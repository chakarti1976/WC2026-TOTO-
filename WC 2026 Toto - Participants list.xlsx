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4DD66EEF-25C6-4881-B066-10396FDDE33B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K50" i="1" s="1"/>
  <c r="BM50" i="1" s="1" a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3" i="1" l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N49" i="1" s="1"/>
  <c r="BK48" i="1"/>
  <c r="BM48" i="1" s="1" a="1"/>
  <c r="BM49" i="1" a="1"/>
  <c r="BH51" i="1"/>
  <c r="BN50" i="1"/>
  <c r="BH49" i="1"/>
  <c r="BK38" i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73" i="1" l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L63" i="1" s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74" i="1" l="1"/>
  <c r="K74" i="1" s="1"/>
  <c r="BL75" i="1"/>
  <c r="BL72" i="1"/>
  <c r="P73" i="1" s="1"/>
  <c r="BL73" i="1"/>
  <c r="K76" i="1" s="1"/>
  <c r="BL60" i="1"/>
  <c r="BL62" i="1"/>
  <c r="BL61" i="1"/>
  <c r="BL56" i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P49" i="1" s="1"/>
  <c r="K51" i="1"/>
  <c r="M51" i="1"/>
  <c r="N50" i="1"/>
  <c r="BL50" i="1"/>
  <c r="N49" i="1" s="1"/>
  <c r="BL49" i="1"/>
  <c r="L51" i="1" s="1"/>
  <c r="BL39" i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3" i="1"/>
  <c r="Q73" i="1"/>
  <c r="AO92" i="1"/>
  <c r="K73" i="1"/>
  <c r="O73" i="1"/>
  <c r="L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O10" i="1" l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<sst xmlns="http://schemas.openxmlformats.org/spreadsheetml/2006/main" count="6931" uniqueCount="1447">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</sst>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B1" zoomScale="99" zoomScaleNormal="99" workbookViewId="0">
      <pane ySplit="4" topLeftCell="A5" activePane="bottomLeft" state="frozen"/>
      <selection pane="bottomLeft" activeCell="G8" sqref="G8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2</v>
      </c>
      <c r="BF6">
        <f t="array" ref="BF6">SUMPRODUCT((E5:E10=BD6)*ISNUMBER(F5:F10)*ISNUMBER(G5:G10)*(F5:F10&gt;G5:G10))+SUMPRODUCT((H5:H10=BD6)*ISNUMBER(F5:F10)*ISNUMBER(G5:G10)*(G5:G10&gt;F5:F10))</f>
        <v>2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3</v>
      </c>
      <c r="BJ6">
        <f t="array" ref="BJ6">SUMPRODUCT((E5:E10=BD6)*IFERROR(G5:G10,0))+SUMPRODUCT((H5:H10=BD6)*IFERROR(F5:F10,0))</f>
        <v>0</v>
      </c>
      <c r="BK6">
        <f>BF6*3+BG6</f>
        <v>6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2</v>
      </c>
      <c r="M7" s="11">
        <f>INDEX(BF6:BF9,MATCH(1,BL6:BL9,0))</f>
        <v>2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3 - 0</v>
      </c>
      <c r="Q7" s="14">
        <f>INDEX(BK6:BK9,MATCH(1,BL6:BL9,0))</f>
        <v>6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2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1</v>
      </c>
      <c r="P8" s="11" t="str">
        <f>INDEX(BI6:BI9,MATCH(2,BL6:BL9,0))&amp;" - "&amp;INDEX(BJ6:BJ9,MATCH(2,BL6:BL9,0))</f>
        <v>2 - 2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2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1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2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2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7</v>
      </c>
      <c r="BJ12">
        <f t="array" ref="BJ12">SUMPRODUCT((E11:E16=BD12)*IFERROR(G11:G16,0))+SUMPRODUCT((H11:H16=BD12)*IFERROR(F11:F16,0))</f>
        <v>1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0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0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2</v>
      </c>
      <c r="M13" s="11">
        <f>INDEX(BF12:BF15,MATCH(1,BL12:BL15,0))</f>
        <v>1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7 - 1</v>
      </c>
      <c r="Q13" s="14">
        <f>INDEX(BK12:BK15,MATCH(1,BL12:BL15,0))</f>
        <v>4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2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2</v>
      </c>
      <c r="BJ13">
        <f t="array" ref="BJ13">SUMPRODUCT((E11:E16=BD13)*IFERROR(G11:G16,0))+SUMPRODUCT((H11:H16=BD13)*IFERROR(F11:F16,0))</f>
        <v>5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0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0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Switzerland</v>
      </c>
      <c r="L14" s="11">
        <f>INDEX(BE12:BE15,MATCH(2,BL12:BL15,0))</f>
        <v>2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5 - 2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2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1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7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2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2 - 5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2</v>
      </c>
      <c r="BF15">
        <f t="array" ref="BF15">SUMPRODUCT((E11:E16=BD15)*ISNUMBER(F11:F16)*ISNUMBER(G11:G16)*(F11:F16&gt;G11:G16))+SUMPRODUCT((H11:H16=BD15)*ISNUMBER(F11:F16)*ISNUMBER(G11:G16)*(G11:G16&gt;F11:F16))</f>
        <v>1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5</v>
      </c>
      <c r="BJ15">
        <f t="array" ref="BJ15">SUMPRODUCT((E11:E16=BD15)*IFERROR(G11:G16,0))+SUMPRODUCT((H11:H16=BD15)*IFERROR(F11:F16,0))</f>
        <v>2</v>
      </c>
      <c r="BK15">
        <f>BF15*3+BG15</f>
        <v>4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2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2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1</v>
      </c>
      <c r="P16" s="18" t="str">
        <f>INDEX(BI12:BI15,MATCH(4,BL12:BL15,0))&amp;" - "&amp;INDEX(BJ12:BJ15,MATCH(4,BL12:BL15,0))</f>
        <v>1 - 7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3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Saudi Arabia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1 - 1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1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0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1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1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Spain</v>
      </c>
      <c r="L51" s="11">
        <f>INDEX(BE48:BE51,MATCH(3,BL48:BL51,0))</f>
        <v>1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1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3 - 1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1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1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1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1 - 3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1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1</v>
      </c>
      <c r="BI63">
        <f t="array" ref="BI63">SUMPRODUCT((E59:E64=BD63)*IFERROR(F59:F64,0))+SUMPRODUCT((H59:H64=BD63)*IFERROR(G59:G64,0))</f>
        <v>1</v>
      </c>
      <c r="BJ63">
        <f t="array" ref="BJ63">SUMPRODUCT((E59:E64=BD63)*IFERROR(G59:G64,0))+SUMPRODUCT((H59:H64=BD63)*IFERROR(F59:F64,0))</f>
        <v>3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1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1</v>
      </c>
      <c r="BJ66">
        <f t="array" ref="BJ66">SUMPRODUCT((E65:E70=BD66)*IFERROR(G65:G70,0))+SUMPRODUCT((H65:H70=BD66)*IFERROR(F65:F70,0))</f>
        <v>1</v>
      </c>
      <c r="BK66">
        <f>BF66*3+BG66</f>
        <v>1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1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1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1</v>
      </c>
      <c r="M67" s="11">
        <f>INDEX(BF66:BF69,MATCH(1,BL66:BL69,0))</f>
        <v>1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3 - 1</v>
      </c>
      <c r="Q67" s="14">
        <f>INDEX(BK66:BK69,MATCH(1,BL66:BL69,0))</f>
        <v>3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1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0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1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1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1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1</v>
      </c>
      <c r="M68" s="11">
        <f>INDEX(BF66:BF69,MATCH(2,BL66:BL69,0))</f>
        <v>0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1 - 1</v>
      </c>
      <c r="Q68" s="14">
        <f>INDEX(BK66:BK69,MATCH(2,BL66:BL69,0))</f>
        <v>1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1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1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3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1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0</v>
      </c>
      <c r="P69" s="11" t="str">
        <f>INDEX(BI66:BI69,MATCH(3,BL66:BL69,0))&amp;" - "&amp;INDEX(BJ66:BJ69,MATCH(3,BL66:BL69,0))</f>
        <v>1 - 1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1</v>
      </c>
      <c r="BF69">
        <f t="array" ref="BF69">SUMPRODUCT((E65:E70=BD69)*ISNUMBER(F65:F70)*ISNUMBER(G65:G70)*(F65:F70&gt;G65:G70))+SUMPRODUCT((H65:H70=BD69)*ISNUMBER(F65:F70)*ISNUMBER(G65:G70)*(G65:G70&gt;F65:F70))</f>
        <v>1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3</v>
      </c>
      <c r="BJ69">
        <f t="array" ref="BJ69">SUMPRODUCT((E65:E70=BD69)*IFERROR(G65:G70,0))+SUMPRODUCT((H65:H70=BD69)*IFERROR(F65:F70,0))</f>
        <v>1</v>
      </c>
      <c r="BK69">
        <f>BF69*3+BG69</f>
        <v>3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1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1</v>
      </c>
      <c r="P70" s="18" t="str">
        <f>INDEX(BI66:BI69,MATCH(4,BL66:BL69,0))&amp;" - "&amp;INDEX(BJ66:BJ69,MATCH(4,BL66:BL69,0))</f>
        <v>1 - 3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1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3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1</v>
      </c>
      <c r="M73" s="11">
        <f>INDEX(BF72:BF75,MATCH(1,BL72:BL75,0))</f>
        <v>1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3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1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2</v>
      </c>
      <c r="BJ73">
        <f t="array" ref="BJ73">SUMPRODUCT((E71:E76=BD73)*IFERROR(G71:G76,0))+SUMPRODUCT((H71:H76=BD73)*IFERROR(F71:F76,0))</f>
        <v>4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4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1</v>
      </c>
      <c r="M74" s="11">
        <f>INDEX(BF72:BF75,MATCH(2,BL72:BL75,0))</f>
        <v>1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3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1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3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Panama</v>
      </c>
      <c r="L75" s="11">
        <f>INDEX(BE72:BE75,MATCH(3,BL72:BL75,0))</f>
        <v>1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0 - 1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1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1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1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3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Croatia</v>
      </c>
      <c r="L76" s="18">
        <f>INDEX(BE72:BE75,MATCH(4,BL72:BL75,0))</f>
        <v>1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1</v>
      </c>
      <c r="P76" s="18" t="str">
        <f>INDEX(BI72:BI75,MATCH(4,BL72:BL75,0))&amp;" - "&amp;INDEX(BJ72:BJ75,MATCH(4,BL72:BL75,0))</f>
        <v>2 - 4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7</v>
      </c>
      <c r="AV81" t="str">
        <f>IFERROR(INDEX($AQ$81:$AQ$92,MATCH(1,$AT$81:$AT$92,0)),"")</f>
        <v>Japan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ABCEFGHK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E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Switzerland</v>
      </c>
      <c r="AQ82" t="str">
        <f>IFERROR(INDEX(BD12:BD15,MATCH(3,BL12:BL15,0)),"")</f>
        <v>Bosnia &amp; Herzegovina</v>
      </c>
      <c r="AR82">
        <f>IFERROR(INDEX(BK12:BK15,MATCH(3,BL12:BL15,0)),0)</f>
        <v>1</v>
      </c>
      <c r="AS82">
        <f>IFERROR(INDEX(BI12:BI15,MATCH(3,BL12:BL15,0))-INDEX(BJ12:BJ15,MATCH(3,BL12:BL15,0)),0)</f>
        <v>-3</v>
      </c>
      <c r="AT82">
        <f t="array" ref="AT82">SUMPRODUCT((($AR$81:$AR$92*1000000000000+($AS$81:$AS$92+20)*100000000+$BU$81:$BU$92*10000-ROW($AR$81:$AR$92))&gt;(AR82*1000000000000+(AS82+20)*100000000+BU82*10000-ROW(AR82)))*1)+1</f>
        <v>6</v>
      </c>
      <c r="AV82" t="str">
        <f>IFERROR(INDEX($AQ$81:$AQ$92,MATCH(2,$AT$81:$AT$92,0)),"")</f>
        <v>Morocco</v>
      </c>
      <c r="AW82" t="str">
        <f>IFERROR(INDEX($AN$81:$AN$92,MATCH(2,$AT$81:$AT$92,0)),"")</f>
        <v>C</v>
      </c>
      <c r="BU82">
        <f>IFERROR(INDEX(BI12:BI15,MATCH(3,BL12:BL15,0)),0)</f>
        <v>2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Belgium</v>
      </c>
      <c r="AW83" t="str">
        <f>IFERROR(INDEX($AN$81:$AN$92,MATCH(3,$AT$81:$AT$92,0)),"")</f>
        <v>G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DR Congo</v>
      </c>
      <c r="AW84" t="str">
        <f>IFERROR(INDEX($AN$81:$AN$92,MATCH(4,$AT$81:$AT$92,0)),"")</f>
        <v>K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8</v>
      </c>
      <c r="AV85" t="str">
        <f>IFERROR(INDEX($AQ$81:$AQ$92,MATCH(5,$AT$81:$AT$92,0)),"")</f>
        <v>Spain</v>
      </c>
      <c r="AW85" t="str">
        <f>IFERROR(INDEX($AN$81:$AN$92,MATCH(5,$AT$81:$AT$92,0)),"")</f>
        <v>H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Bosnia &amp; Herzegovina</v>
      </c>
      <c r="AW86" t="str">
        <f>IFERROR(INDEX($AN$81:$AN$92,MATCH(6,$AT$81:$AT$92,0)),"")</f>
        <v>B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3</v>
      </c>
      <c r="AV87" t="str">
        <f>IFERROR(INDEX($AQ$81:$AQ$92,MATCH(7,$AT$81:$AT$92,0)),"")</f>
        <v>Czechia</v>
      </c>
      <c r="AW87" t="str">
        <f>IFERROR(INDEX($AN$81:$AN$92,MATCH(7,$AT$81:$AT$92,0)),"")</f>
        <v>A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Saudi Arabia</v>
      </c>
      <c r="AP88" t="str">
        <f>IFERROR(INDEX(BD48:BD51,MATCH(2,BL48:BL51,0)),"")</f>
        <v>Uruguay</v>
      </c>
      <c r="AQ88" t="str">
        <f>IFERROR(INDEX(BD48:BD51,MATCH(3,BL48:BL51,0)),"")</f>
        <v>Spain</v>
      </c>
      <c r="AR88">
        <f>IFERROR(INDEX(BK48:BK51,MATCH(3,BL48:BL51,0)),0)</f>
        <v>1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5</v>
      </c>
      <c r="AV88" t="str">
        <f>IFERROR(INDEX($AQ$81:$AQ$92,MATCH(8,$AT$81:$AT$92,0)),"")</f>
        <v>Ecuador</v>
      </c>
      <c r="AW88" t="str">
        <f>IFERROR(INDEX($AN$81:$AN$92,MATCH(8,$AT$81:$AT$92,0)),"")</f>
        <v>E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10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11</v>
      </c>
      <c r="BU90">
        <f>IFERROR(INDEX(BI60:BI63,MATCH(3,BL60:BL63,0)),0)</f>
        <v>1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4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Panama</v>
      </c>
      <c r="AR92">
        <f>IFERROR(INDEX(BK72:BK75,MATCH(3,BL72:BL75,0)),0)</f>
        <v>0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9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Donatas Celesius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58.5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58.5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Vaidas Pažusys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51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51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Aurimas Šumbrauskis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50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50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Lukas Danielevičius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49.5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49.5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Renata Čižauskienė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48.5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48.5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Miglė Juškaitė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47.5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47.5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4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6</v>
      </c>
      <c r="B10" s="27" t="str">
        <f>IF(7&gt;COUNTIF(' Toto teams'!$A$4:$A$119,"&lt;&gt;"),"",INDEX(' Toto teams'!$A$4:$A$119,MATCH(LARGE(' Toto teams'!$T$4:$T$119,7),' Toto teams'!$T$4:$T$119,0)))</f>
        <v>Davide Speranza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47.5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47.5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0</v>
      </c>
      <c r="R10" s="34">
        <f t="shared" si="3"/>
        <v>0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6</v>
      </c>
      <c r="B11" s="27" t="str">
        <f>IF(8&gt;COUNTIF(' Toto teams'!$A$4:$A$119,"&lt;&gt;"),"",INDEX(' Toto teams'!$A$4:$A$119,MATCH(LARGE(' Toto teams'!$T$4:$T$119,8),' Toto teams'!$T$4:$T$119,0)))</f>
        <v>Benas&amp;Šaras Oleknavičius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47.5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47.5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6</v>
      </c>
      <c r="B12" s="27" t="str">
        <f>IF(9&gt;COUNTIF(' Toto teams'!$A$4:$A$119,"&lt;&gt;"),"",INDEX(' Toto teams'!$A$4:$A$119,MATCH(LARGE(' Toto teams'!$T$4:$T$119,9),' Toto teams'!$T$4:$T$119,0)))</f>
        <v>Arnoldas Molis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47.5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47.5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Tomas Bruzga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46.5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46.5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Simona Jociūtė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45.5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45.5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Todor Velikov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45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12</v>
      </c>
      <c r="B16" s="27" t="str">
        <f>IF(13&gt;COUNTIF(' Toto teams'!$A$4:$A$119,"&lt;&gt;"),"",INDEX(' Toto teams'!$A$4:$A$119,MATCH(LARGE(' Toto teams'!$T$4:$T$119,13),' Toto teams'!$T$4:$T$119,0)))</f>
        <v xml:space="preserve">Paulius Bernotas 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45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12</v>
      </c>
      <c r="B17" s="27" t="str">
        <f>IF(14&gt;COUNTIF(' Toto teams'!$A$4:$A$119,"&lt;&gt;"),"",INDEX(' Toto teams'!$A$4:$A$119,MATCH(LARGE(' Toto teams'!$T$4:$T$119,14),' Toto teams'!$T$4:$T$119,0)))</f>
        <v>Giedrius Stanulis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45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Darius Jalo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44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44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Virginija Čižauskienė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43.5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43.5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Benediktas Babraitis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43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43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Benas Bruzga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42.5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42.5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Žygimantas Ryliškis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41.5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41.5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19</v>
      </c>
      <c r="B23" s="27" t="str">
        <f>IF(20&gt;COUNTIF(' Toto teams'!$A$4:$A$119,"&lt;&gt;"),"",INDEX(' Toto teams'!$A$4:$A$119,MATCH(LARGE(' Toto teams'!$T$4:$T$119,20),' Toto teams'!$T$4:$T$119,0)))</f>
        <v>Karolis Marcinkevičius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41.5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41.5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19</v>
      </c>
      <c r="B24" s="27" t="str">
        <f>IF(21&gt;COUNTIF(' Toto teams'!$A$4:$A$119,"&lt;&gt;"),"",INDEX(' Toto teams'!$A$4:$A$119,MATCH(LARGE(' Toto teams'!$T$4:$T$119,21),' Toto teams'!$T$4:$T$119,0)))</f>
        <v>Titas Jodenis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41.5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41.5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Kamran Mikayilov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41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41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22</v>
      </c>
      <c r="B26" s="27" t="str">
        <f>IF(23&gt;COUNTIF(' Toto teams'!$A$4:$A$119,"&lt;&gt;"),"",INDEX(' Toto teams'!$A$4:$A$119,MATCH(LARGE(' Toto teams'!$T$4:$T$119,23),' Toto teams'!$T$4:$T$119,0)))</f>
        <v>Saulius Pipiras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41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41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22</v>
      </c>
      <c r="B27" s="27" t="str">
        <f>IF(24&gt;COUNTIF(' Toto teams'!$A$4:$A$119,"&lt;&gt;"),"",INDEX(' Toto teams'!$A$4:$A$119,MATCH(LARGE(' Toto teams'!$T$4:$T$119,24),' Toto teams'!$T$4:$T$119,0)))</f>
        <v>Enrico Ancarola, Pietro Rivera, Riccardo Gatti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41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41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Slava Maltsev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40.5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40.5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25</v>
      </c>
      <c r="B29" s="27" t="str">
        <f>IF(26&gt;COUNTIF(' Toto teams'!$A$4:$A$119,"&lt;&gt;"),"",INDEX(' Toto teams'!$A$4:$A$119,MATCH(LARGE(' Toto teams'!$T$4:$T$119,26),' Toto teams'!$T$4:$T$119,0)))</f>
        <v>Benas VII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40.5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40.5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25</v>
      </c>
      <c r="B30" s="27" t="str">
        <f>IF(27&gt;COUNTIF(' Toto teams'!$A$4:$A$119,"&lt;&gt;"),"",INDEX(' Toto teams'!$A$4:$A$119,MATCH(LARGE(' Toto teams'!$T$4:$T$119,27),' Toto teams'!$T$4:$T$119,0)))</f>
        <v>Gedas Girdžiūnas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40.5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40.5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25</v>
      </c>
      <c r="B31" s="27" t="str">
        <f>IF(28&gt;COUNTIF(' Toto teams'!$A$4:$A$119,"&lt;&gt;"),"",INDEX(' Toto teams'!$A$4:$A$119,MATCH(LARGE(' Toto teams'!$T$4:$T$119,28),' Toto teams'!$T$4:$T$119,0)))</f>
        <v>Yagub Alizada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40.5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40.5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25</v>
      </c>
      <c r="B32" s="27" t="str">
        <f>IF(29&gt;COUNTIF(' Toto teams'!$A$4:$A$119,"&lt;&gt;"),"",INDEX(' Toto teams'!$A$4:$A$119,MATCH(LARGE(' Toto teams'!$T$4:$T$119,29),' Toto teams'!$T$4:$T$119,0)))</f>
        <v>Artem Lavrov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40.5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40.5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Dobilas III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40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40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30</v>
      </c>
      <c r="B34" s="27" t="str">
        <f>IF(31&gt;COUNTIF(' Toto teams'!$A$4:$A$119,"&lt;&gt;"),"",INDEX(' Toto teams'!$A$4:$A$119,MATCH(LARGE(' Toto teams'!$T$4:$T$119,31),' Toto teams'!$T$4:$T$119,0)))</f>
        <v>Giedrius Šadbaras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40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40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30</v>
      </c>
      <c r="B35" s="27" t="str">
        <f>IF(32&gt;COUNTIF(' Toto teams'!$A$4:$A$119,"&lt;&gt;"),"",INDEX(' Toto teams'!$A$4:$A$119,MATCH(LARGE(' Toto teams'!$T$4:$T$119,32),' Toto teams'!$T$4:$T$119,0)))</f>
        <v>Justinas Novoruckis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40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40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30</v>
      </c>
      <c r="B36" s="27" t="str">
        <f>IF(33&gt;COUNTIF(' Toto teams'!$A$4:$A$119,"&lt;&gt;"),"",INDEX(' Toto teams'!$A$4:$A$119,MATCH(LARGE(' Toto teams'!$T$4:$T$119,33),' Toto teams'!$T$4:$T$119,0)))</f>
        <v>Danielius Pažusys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40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40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Simas Baubonis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39.5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39.5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Gianmarco Monti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39.5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39.5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34</v>
      </c>
      <c r="B39" s="27" t="str">
        <f>IF(36&gt;COUNTIF(' Toto teams'!$A$4:$A$119,"&lt;&gt;"),"",INDEX(' Toto teams'!$A$4:$A$119,MATCH(LARGE(' Toto teams'!$T$4:$T$119,36),' Toto teams'!$T$4:$T$119,0)))</f>
        <v>Partrikas Oleknavičius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39.5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39.5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34</v>
      </c>
      <c r="B40" s="27" t="str">
        <f>IF(37&gt;COUNTIF(' Toto teams'!$A$4:$A$119,"&lt;&gt;"),"",INDEX(' Toto teams'!$A$4:$A$119,MATCH(LARGE(' Toto teams'!$T$4:$T$119,37),' Toto teams'!$T$4:$T$119,0)))</f>
        <v>Gintas Bungarda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39.5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39.5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34</v>
      </c>
      <c r="B41" s="27" t="str">
        <f>IF(38&gt;COUNTIF(' Toto teams'!$A$4:$A$119,"&lt;&gt;"),"",INDEX(' Toto teams'!$A$4:$A$119,MATCH(LARGE(' Toto teams'!$T$4:$T$119,38),' Toto teams'!$T$4:$T$119,0)))</f>
        <v>Gintautas Beržanskis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39.5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39.5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Donatas Pocius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39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39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39</v>
      </c>
      <c r="B43" s="27" t="str">
        <f>IF(40&gt;COUNTIF(' Toto teams'!$A$4:$A$119,"&lt;&gt;"),"",INDEX(' Toto teams'!$A$4:$A$119,MATCH(LARGE(' Toto teams'!$T$4:$T$119,40),' Toto teams'!$T$4:$T$119,0)))</f>
        <v>Ivan Manev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39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39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39</v>
      </c>
      <c r="B44" s="27" t="str">
        <f>IF(41&gt;COUNTIF(' Toto teams'!$A$4:$A$119,"&lt;&gt;"),"",INDEX(' Toto teams'!$A$4:$A$119,MATCH(LARGE(' Toto teams'!$T$4:$T$119,41),' Toto teams'!$T$4:$T$119,0)))</f>
        <v>Raimondas Juška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39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39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39</v>
      </c>
      <c r="B45" s="27" t="str">
        <f>IF(42&gt;COUNTIF(' Toto teams'!$A$4:$A$119,"&lt;&gt;"),"",INDEX(' Toto teams'!$A$4:$A$119,MATCH(LARGE(' Toto teams'!$T$4:$T$119,42),' Toto teams'!$T$4:$T$119,0)))</f>
        <v>Tihomir Chakarov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39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39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39</v>
      </c>
      <c r="B46" s="27" t="str">
        <f>IF(43&gt;COUNTIF(' Toto teams'!$A$4:$A$119,"&lt;&gt;"),"",INDEX(' Toto teams'!$A$4:$A$119,MATCH(LARGE(' Toto teams'!$T$4:$T$119,43),' Toto teams'!$T$4:$T$119,0)))</f>
        <v>Jurga Šantaraitė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39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39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39</v>
      </c>
      <c r="B47" s="27" t="str">
        <f>IF(44&gt;COUNTIF(' Toto teams'!$A$4:$A$119,"&lt;&gt;"),"",INDEX(' Toto teams'!$A$4:$A$119,MATCH(LARGE(' Toto teams'!$T$4:$T$119,44),' Toto teams'!$T$4:$T$119,0)))</f>
        <v>Tomas Šunskis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39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39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Sergey Zhaltuchin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38.5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38.5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Saulius Lileikis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38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38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46</v>
      </c>
      <c r="B50" s="27" t="str">
        <f>IF(47&gt;COUNTIF(' Toto teams'!$A$4:$A$119,"&lt;&gt;"),"",INDEX(' Toto teams'!$A$4:$A$119,MATCH(LARGE(' Toto teams'!$T$4:$T$119,47),' Toto teams'!$T$4:$T$119,0)))</f>
        <v>Elijus Benetis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38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38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46</v>
      </c>
      <c r="B51" s="27" t="str">
        <f>IF(48&gt;COUNTIF(' Toto teams'!$A$4:$A$119,"&lt;&gt;"),"",INDEX(' Toto teams'!$A$4:$A$119,MATCH(LARGE(' Toto teams'!$T$4:$T$119,48),' Toto teams'!$T$4:$T$119,0)))</f>
        <v>Alberto Canova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38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38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46</v>
      </c>
      <c r="B52" s="27" t="str">
        <f>IF(49&gt;COUNTIF(' Toto teams'!$A$4:$A$119,"&lt;&gt;"),"",INDEX(' Toto teams'!$A$4:$A$119,MATCH(LARGE(' Toto teams'!$T$4:$T$119,49),' Toto teams'!$T$4:$T$119,0)))</f>
        <v>Dovilė Smetonė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38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38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46</v>
      </c>
      <c r="B53" s="27" t="str">
        <f>IF(50&gt;COUNTIF(' Toto teams'!$A$4:$A$119,"&lt;&gt;"),"",INDEX(' Toto teams'!$A$4:$A$119,MATCH(LARGE(' Toto teams'!$T$4:$T$119,50),' Toto teams'!$T$4:$T$119,0)))</f>
        <v>Paulina Bungardė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38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38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46</v>
      </c>
      <c r="B54" s="27" t="str">
        <f>IF(51&gt;COUNTIF(' Toto teams'!$A$4:$A$119,"&lt;&gt;"),"",INDEX(' Toto teams'!$A$4:$A$119,MATCH(LARGE(' Toto teams'!$T$4:$T$119,51),' Toto teams'!$T$4:$T$119,0)))</f>
        <v>Deividas Jančius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38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38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Juozas Žimkus Jr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37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37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52</v>
      </c>
      <c r="B56" s="27" t="str">
        <f>IF(53&gt;COUNTIF(' Toto teams'!$A$4:$A$119,"&lt;&gt;"),"",INDEX(' Toto teams'!$A$4:$A$119,MATCH(LARGE(' Toto teams'!$T$4:$T$119,53),' Toto teams'!$T$4:$T$119,0)))</f>
        <v>Anton Panasenko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37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37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52</v>
      </c>
      <c r="B57" s="27" t="str">
        <f>IF(54&gt;COUNTIF(' Toto teams'!$A$4:$A$119,"&lt;&gt;"),"",INDEX(' Toto teams'!$A$4:$A$119,MATCH(LARGE(' Toto teams'!$T$4:$T$119,54),' Toto teams'!$T$4:$T$119,0)))</f>
        <v>Simonas Sipavičius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37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37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52</v>
      </c>
      <c r="B58" s="27" t="str">
        <f>IF(55&gt;COUNTIF(' Toto teams'!$A$4:$A$119,"&lt;&gt;"),"",INDEX(' Toto teams'!$A$4:$A$119,MATCH(LARGE(' Toto teams'!$T$4:$T$119,55),' Toto teams'!$T$4:$T$119,0)))</f>
        <v>Mario Calvi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37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37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Eugenijus Petrošius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36.5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36.5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56</v>
      </c>
      <c r="B60" s="27" t="str">
        <f>IF(57&gt;COUNTIF(' Toto teams'!$A$4:$A$119,"&lt;&gt;"),"",INDEX(' Toto teams'!$A$4:$A$119,MATCH(LARGE(' Toto teams'!$T$4:$T$119,57),' Toto teams'!$T$4:$T$119,0)))</f>
        <v>Zaur Yusubov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36.5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36.5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Susie Wolke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36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36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58</v>
      </c>
      <c r="B62" s="27" t="str">
        <f>IF(59&gt;COUNTIF(' Toto teams'!$A$4:$A$119,"&lt;&gt;"),"",INDEX(' Toto teams'!$A$4:$A$119,MATCH(LARGE(' Toto teams'!$T$4:$T$119,59),' Toto teams'!$T$4:$T$119,0)))</f>
        <v>Alexey Nikitenko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36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36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Evelina Tiščenkė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35.5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35.5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60</v>
      </c>
      <c r="B64" s="27" t="str">
        <f>IF(61&gt;COUNTIF(' Toto teams'!$A$4:$A$119,"&lt;&gt;"),"",INDEX(' Toto teams'!$A$4:$A$119,MATCH(LARGE(' Toto teams'!$T$4:$T$119,61),' Toto teams'!$T$4:$T$119,0)))</f>
        <v>Nadia Mercurio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35.5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35.5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60</v>
      </c>
      <c r="B65" s="27" t="str">
        <f>IF(62&gt;COUNTIF(' Toto teams'!$A$4:$A$119,"&lt;&gt;"),"",INDEX(' Toto teams'!$A$4:$A$119,MATCH(LARGE(' Toto teams'!$T$4:$T$119,62),' Toto teams'!$T$4:$T$119,0)))</f>
        <v>Jokūbas Kušleika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35.5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35.5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Dainius Breivė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35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63</v>
      </c>
      <c r="B67" s="27" t="str">
        <f>IF(64&gt;COUNTIF(' Toto teams'!$A$4:$A$119,"&lt;&gt;"),"",INDEX(' Toto teams'!$A$4:$A$119,MATCH(LARGE(' Toto teams'!$T$4:$T$119,64),' Toto teams'!$T$4:$T$119,0)))</f>
        <v>Jonas Juška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35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Rustam Roikov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34.5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34.5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65</v>
      </c>
      <c r="B69" s="27" t="str">
        <f>IF(66&gt;COUNTIF(' Toto teams'!$A$4:$A$119,"&lt;&gt;"),"",INDEX(' Toto teams'!$A$4:$A$119,MATCH(LARGE(' Toto teams'!$T$4:$T$119,66),' Toto teams'!$T$4:$T$119,0)))</f>
        <v>Andrea Signorini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34.5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34.5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65</v>
      </c>
      <c r="B70" s="27" t="str">
        <f>IF(67&gt;COUNTIF(' Toto teams'!$A$4:$A$119,"&lt;&gt;"),"",INDEX(' Toto teams'!$A$4:$A$119,MATCH(LARGE(' Toto teams'!$T$4:$T$119,67),' Toto teams'!$T$4:$T$119,0)))</f>
        <v>Gintas Bungarda 2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34.5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34.5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65</v>
      </c>
      <c r="B71" s="27" t="str">
        <f>IF(68&gt;COUNTIF(' Toto teams'!$A$4:$A$119,"&lt;&gt;"),"",INDEX(' Toto teams'!$A$4:$A$119,MATCH(LARGE(' Toto teams'!$T$4:$T$119,68),' Toto teams'!$T$4:$T$119,0)))</f>
        <v>Audi club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34.5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34.5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Nikolay Lenkov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34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34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69</v>
      </c>
      <c r="B73" s="27" t="str">
        <f>IF(70&gt;COUNTIF(' Toto teams'!$A$4:$A$119,"&lt;&gt;"),"",INDEX(' Toto teams'!$A$4:$A$119,MATCH(LARGE(' Toto teams'!$T$4:$T$119,70),' Toto teams'!$T$4:$T$119,0)))</f>
        <v>Donatas Bakėjus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34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34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Thomas Wolke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33.5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33.5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Pijus Jalo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33.5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33.5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Deividas Jodenis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33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33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Rimas Baubonis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33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33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Algirdas Čižauskas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32.5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32.5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75</v>
      </c>
      <c r="B79" s="27" t="str">
        <f>IF(76&gt;COUNTIF(' Toto teams'!$A$4:$A$119,"&lt;&gt;"),"",INDEX(' Toto teams'!$A$4:$A$119,MATCH(LARGE(' Toto teams'!$T$4:$T$119,76),' Toto teams'!$T$4:$T$119,0)))</f>
        <v>Sigitas Šarauskis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32.5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32.5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Martynas Bruzga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32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32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77</v>
      </c>
      <c r="B81" s="27" t="str">
        <f>IF(78&gt;COUNTIF(' Toto teams'!$A$4:$A$119,"&lt;&gt;"),"",INDEX(' Toto teams'!$A$4:$A$119,MATCH(LARGE(' Toto teams'!$T$4:$T$119,78),' Toto teams'!$T$4:$T$119,0)))</f>
        <v>Mindaugas Čižauskas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32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32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77</v>
      </c>
      <c r="B82" s="27" t="str">
        <f>IF(79&gt;COUNTIF(' Toto teams'!$A$4:$A$119,"&lt;&gt;"),"",INDEX(' Toto teams'!$A$4:$A$119,MATCH(LARGE(' Toto teams'!$T$4:$T$119,79),' Toto teams'!$T$4:$T$119,0)))</f>
        <v>Donatas Keras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32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32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Edgar Moroz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31.5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31.5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80</v>
      </c>
      <c r="B84" s="27" t="str">
        <f>IF(81&gt;COUNTIF(' Toto teams'!$A$4:$A$119,"&lt;&gt;"),"",INDEX(' Toto teams'!$A$4:$A$119,MATCH(LARGE(' Toto teams'!$T$4:$T$119,81),' Toto teams'!$T$4:$T$119,0)))</f>
        <v>Arūnas Čižauskas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31.5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31.5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Denis Kazarezov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31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31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82</v>
      </c>
      <c r="B86" s="27" t="str">
        <f>IF(83&gt;COUNTIF(' Toto teams'!$A$4:$A$119,"&lt;&gt;"),"",INDEX(' Toto teams'!$A$4:$A$119,MATCH(LARGE(' Toto teams'!$T$4:$T$119,83),' Toto teams'!$T$4:$T$119,0)))</f>
        <v>Vytautas Gliaubicas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31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31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82</v>
      </c>
      <c r="B87" s="27" t="str">
        <f>IF(84&gt;COUNTIF(' Toto teams'!$A$4:$A$119,"&lt;&gt;"),"",INDEX(' Toto teams'!$A$4:$A$119,MATCH(LARGE(' Toto teams'!$T$4:$T$119,84),' Toto teams'!$T$4:$T$119,0)))</f>
        <v>Paolo Papiri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31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31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Sigitas Petraitis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30.5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30.5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85</v>
      </c>
      <c r="B89" s="27" t="str">
        <f>IF(86&gt;COUNTIF(' Toto teams'!$A$4:$A$119,"&lt;&gt;"),"",INDEX(' Toto teams'!$A$4:$A$119,MATCH(LARGE(' Toto teams'!$T$4:$T$119,86),' Toto teams'!$T$4:$T$119,0)))</f>
        <v>Lukas Vaitukaitis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30.5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30.5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85</v>
      </c>
      <c r="B90" s="27" t="str">
        <f>IF(87&gt;COUNTIF(' Toto teams'!$A$4:$A$119,"&lt;&gt;"),"",INDEX(' Toto teams'!$A$4:$A$119,MATCH(LARGE(' Toto teams'!$T$4:$T$119,87),' Toto teams'!$T$4:$T$119,0)))</f>
        <v>Rolandas Urbelis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30.5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30.5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85</v>
      </c>
      <c r="B91" s="27" t="str">
        <f>IF(88&gt;COUNTIF(' Toto teams'!$A$4:$A$119,"&lt;&gt;"),"",INDEX(' Toto teams'!$A$4:$A$119,MATCH(LARGE(' Toto teams'!$T$4:$T$119,88),' Toto teams'!$T$4:$T$119,0)))</f>
        <v>Simonas Anikinas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30.5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30.5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85</v>
      </c>
      <c r="B92" s="27" t="str">
        <f>IF(89&gt;COUNTIF(' Toto teams'!$A$4:$A$119,"&lt;&gt;"),"",INDEX(' Toto teams'!$A$4:$A$119,MATCH(LARGE(' Toto teams'!$T$4:$T$119,89),' Toto teams'!$T$4:$T$119,0)))</f>
        <v>Giuseppe Diana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30.5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30.5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85</v>
      </c>
      <c r="B93" s="27" t="str">
        <f>IF(90&gt;COUNTIF(' Toto teams'!$A$4:$A$119,"&lt;&gt;"),"",INDEX(' Toto teams'!$A$4:$A$119,MATCH(LARGE(' Toto teams'!$T$4:$T$119,90),' Toto teams'!$T$4:$T$119,0)))</f>
        <v>Ernesta Čebienė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30.5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30.5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N&amp;A Pociai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30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30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91</v>
      </c>
      <c r="B95" s="27" t="str">
        <f>IF(92&gt;COUNTIF(' Toto teams'!$A$4:$A$119,"&lt;&gt;"),"",INDEX(' Toto teams'!$A$4:$A$119,MATCH(LARGE(' Toto teams'!$T$4:$T$119,92),' Toto teams'!$T$4:$T$119,0)))</f>
        <v>Aurimas Oleknavičius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30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30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Sofus Wolke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29.5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29.5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93</v>
      </c>
      <c r="B97" s="27" t="str">
        <f>IF(94&gt;COUNTIF(' Toto teams'!$A$4:$A$119,"&lt;&gt;"),"",INDEX(' Toto teams'!$A$4:$A$119,MATCH(LARGE(' Toto teams'!$T$4:$T$119,94),' Toto teams'!$T$4:$T$119,0)))</f>
        <v>Egidijus Navickas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29.5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29.5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Edita Oršauskė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29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29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Mindaugas Sipavičius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28.5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28.5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Sampaio Carlos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27.5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27.5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Kristina I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26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26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98</v>
      </c>
      <c r="B102" s="27" t="str">
        <f>IF(99&gt;COUNTIF(' Toto teams'!$A$4:$A$119,"&lt;&gt;"),"",INDEX(' Toto teams'!$A$4:$A$119,MATCH(LARGE(' Toto teams'!$T$4:$T$119,99),' Toto teams'!$T$4:$T$119,0)))</f>
        <v>Egidijus Mačiukas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26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26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Vytautas Podrezas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24.5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24.5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Gintarė Paipulė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23.5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23.5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Alius Antulis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23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23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102</v>
      </c>
      <c r="B106" s="27" t="str">
        <f>IF(103&gt;COUNTIF(' Toto teams'!$A$4:$A$119,"&lt;&gt;"),"",INDEX(' Toto teams'!$A$4:$A$119,MATCH(LARGE(' Toto teams'!$T$4:$T$119,103),' Toto teams'!$T$4:$T$119,0)))</f>
        <v>Joris Jalo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23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23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Michele Sette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22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22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Dainius Visackas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17.5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17.5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12</v>
      </c>
      <c r="L4" s="28">
        <f>IFERROR(VLOOKUP(D4,Scoring!$A$4:$N$51,14,FALSE())*3,"-")</f>
        <v>9</v>
      </c>
      <c r="M4" s="28">
        <f>IFERROR(VLOOKUP(E4,Scoring!$A$4:$N$51,14,FALSE())*2,"-")</f>
        <v>2</v>
      </c>
      <c r="N4" s="28">
        <f>IFERROR(VLOOKUP(F4,Scoring!$A$4:$N$51,14,FALSE()),"-")</f>
        <v>3</v>
      </c>
      <c r="O4" s="28">
        <f>IFERROR(VLOOKUP(G4,Scoring!$A$4:$N$51,14,FALSE()),"-")</f>
        <v>3</v>
      </c>
      <c r="P4" s="29">
        <f>IFERROR(VLOOKUP(H4,Scoring!$A$4:$N$51,14,FALSE()),"-")</f>
        <v>3</v>
      </c>
      <c r="Q4" s="29">
        <f>IFERROR(VLOOKUP(I4,Scoring!$A$4:$N$51,6,FALSE()),"-")</f>
        <v>0</v>
      </c>
      <c r="R4" s="36">
        <f t="shared" ref="R4:R35" si="0">IF(A4="","-",SUM(J4:Q4))</f>
        <v>38</v>
      </c>
      <c r="S4">
        <f t="shared" ref="S4:S35" si="1">IF(A4="","",RANK(R4,$R$4:$R$119))</f>
        <v>46</v>
      </c>
      <c r="T4">
        <f t="shared" ref="T4:T35" si="2">IF(A4="",-1,R4-ROW(R4)/1000000)</f>
        <v>37.999996000000003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4</v>
      </c>
      <c r="L5" s="28">
        <f>IFERROR(VLOOKUP(D5,Scoring!$A$4:$N$51,14,FALSE())*3,"-")</f>
        <v>9</v>
      </c>
      <c r="M5" s="28">
        <f>IFERROR(VLOOKUP(E5,Scoring!$A$4:$N$51,14,FALSE())*2,"-")</f>
        <v>2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3</v>
      </c>
      <c r="Q5" s="29">
        <f>IFERROR(VLOOKUP(I5,Scoring!$A$4:$N$51,6,FALSE()),"-")</f>
        <v>1.5</v>
      </c>
      <c r="R5" s="36">
        <f t="shared" si="0"/>
        <v>41.5</v>
      </c>
      <c r="S5">
        <f t="shared" si="1"/>
        <v>19</v>
      </c>
      <c r="T5">
        <f t="shared" si="2"/>
        <v>41.499994999999998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4</v>
      </c>
      <c r="L6" s="28">
        <f>IFERROR(VLOOKUP(D6,Scoring!$A$4:$N$51,14,FALSE())*3,"-")</f>
        <v>9</v>
      </c>
      <c r="M6" s="28">
        <f>IFERROR(VLOOKUP(E6,Scoring!$A$4:$N$51,14,FALSE())*2,"-")</f>
        <v>2</v>
      </c>
      <c r="N6" s="28">
        <f>IFERROR(VLOOKUP(F6,Scoring!$A$4:$N$51,14,FALSE()),"-")</f>
        <v>3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40.5</v>
      </c>
      <c r="S6">
        <f t="shared" si="1"/>
        <v>25</v>
      </c>
      <c r="T6">
        <f t="shared" si="2"/>
        <v>40.499994000000001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12</v>
      </c>
      <c r="L7" s="28">
        <f>IFERROR(VLOOKUP(D7,Scoring!$A$4:$N$51,14,FALSE())*3,"-")</f>
        <v>9</v>
      </c>
      <c r="M7" s="28">
        <f>IFERROR(VLOOKUP(E7,Scoring!$A$4:$N$51,14,FALSE())*2,"-")</f>
        <v>2</v>
      </c>
      <c r="N7" s="28">
        <f>IFERROR(VLOOKUP(F7,Scoring!$A$4:$N$51,14,FALSE()),"-")</f>
        <v>1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33.5</v>
      </c>
      <c r="S7">
        <f t="shared" si="1"/>
        <v>71</v>
      </c>
      <c r="T7">
        <f t="shared" si="2"/>
        <v>33.499993000000003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4</v>
      </c>
      <c r="L8" s="28">
        <f>IFERROR(VLOOKUP(D8,Scoring!$A$4:$N$51,14,FALSE())*3,"-")</f>
        <v>9</v>
      </c>
      <c r="M8" s="28">
        <f>IFERROR(VLOOKUP(E8,Scoring!$A$4:$N$51,14,FALSE())*2,"-")</f>
        <v>2</v>
      </c>
      <c r="N8" s="28">
        <f>IFERROR(VLOOKUP(F8,Scoring!$A$4:$N$51,14,FALSE()),"-")</f>
        <v>3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29.5</v>
      </c>
      <c r="S8">
        <f t="shared" si="1"/>
        <v>93</v>
      </c>
      <c r="T8">
        <f t="shared" si="2"/>
        <v>29.499991999999999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2</v>
      </c>
      <c r="N9" s="28">
        <f>IFERROR(VLOOKUP(F9,Scoring!$A$4:$N$51,14,FALSE()),"-")</f>
        <v>1</v>
      </c>
      <c r="O9" s="28">
        <f>IFERROR(VLOOKUP(G9,Scoring!$A$4:$N$51,14,FALSE()),"-")</f>
        <v>3</v>
      </c>
      <c r="P9" s="29">
        <f>IFERROR(VLOOKUP(H9,Scoring!$A$4:$N$51,14,FALSE()),"-")</f>
        <v>3</v>
      </c>
      <c r="Q9" s="29">
        <f>IFERROR(VLOOKUP(I9,Scoring!$A$4:$N$51,6,FALSE()),"-")</f>
        <v>0</v>
      </c>
      <c r="R9" s="36">
        <f t="shared" si="0"/>
        <v>36</v>
      </c>
      <c r="S9">
        <f t="shared" si="1"/>
        <v>58</v>
      </c>
      <c r="T9">
        <f t="shared" si="2"/>
        <v>35.999991000000001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6</v>
      </c>
      <c r="K10" s="28">
        <f>IFERROR(VLOOKUP(C10,Scoring!$A$4:$N$51,14,FALSE())*4,"-")</f>
        <v>4</v>
      </c>
      <c r="L10" s="28">
        <f>IFERROR(VLOOKUP(D10,Scoring!$A$4:$N$51,14,FALSE())*3,"-")</f>
        <v>9</v>
      </c>
      <c r="M10" s="28">
        <f>IFERROR(VLOOKUP(E10,Scoring!$A$4:$N$51,14,FALSE())*2,"-")</f>
        <v>6</v>
      </c>
      <c r="N10" s="28">
        <f>IFERROR(VLOOKUP(F10,Scoring!$A$4:$N$51,14,FALSE()),"-")</f>
        <v>3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31</v>
      </c>
      <c r="S10">
        <f t="shared" si="1"/>
        <v>82</v>
      </c>
      <c r="T10">
        <f t="shared" si="2"/>
        <v>30.99999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12</v>
      </c>
      <c r="L11" s="28">
        <f>IFERROR(VLOOKUP(D11,Scoring!$A$4:$N$51,14,FALSE())*3,"-")</f>
        <v>3</v>
      </c>
      <c r="M11" s="28">
        <f>IFERROR(VLOOKUP(E11,Scoring!$A$4:$N$51,14,FALSE())*2,"-")</f>
        <v>2</v>
      </c>
      <c r="N11" s="28">
        <f>IFERROR(VLOOKUP(F11,Scoring!$A$4:$N$51,14,FALSE()),"-")</f>
        <v>3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30.5</v>
      </c>
      <c r="S11">
        <f t="shared" si="1"/>
        <v>85</v>
      </c>
      <c r="T11">
        <f t="shared" si="2"/>
        <v>30.499988999999999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3</v>
      </c>
      <c r="M12" s="28">
        <f>IFERROR(VLOOKUP(E12,Scoring!$A$4:$N$51,14,FALSE())*2,"-")</f>
        <v>6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1.5</v>
      </c>
      <c r="R12" s="36">
        <f t="shared" si="0"/>
        <v>40.5</v>
      </c>
      <c r="S12">
        <f t="shared" si="1"/>
        <v>25</v>
      </c>
      <c r="T12">
        <f t="shared" si="2"/>
        <v>40.499988000000002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12</v>
      </c>
      <c r="L13" s="28">
        <f>IFERROR(VLOOKUP(D13,Scoring!$A$4:$N$51,14,FALSE())*3,"-")</f>
        <v>9</v>
      </c>
      <c r="M13" s="28">
        <f>IFERROR(VLOOKUP(E13,Scoring!$A$4:$N$51,14,FALSE())*2,"-")</f>
        <v>2</v>
      </c>
      <c r="N13" s="28">
        <f>IFERROR(VLOOKUP(F13,Scoring!$A$4:$N$51,14,FALSE()),"-")</f>
        <v>4</v>
      </c>
      <c r="O13" s="28">
        <f>IFERROR(VLOOKUP(G13,Scoring!$A$4:$N$51,14,FALSE()),"-")</f>
        <v>4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40</v>
      </c>
      <c r="S13">
        <f t="shared" si="1"/>
        <v>30</v>
      </c>
      <c r="T13">
        <f t="shared" si="2"/>
        <v>39.999986999999997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4</v>
      </c>
      <c r="L14" s="28">
        <f>IFERROR(VLOOKUP(D14,Scoring!$A$4:$N$51,14,FALSE())*3,"-")</f>
        <v>9</v>
      </c>
      <c r="M14" s="28">
        <f>IFERROR(VLOOKUP(E14,Scoring!$A$4:$N$51,14,FALSE())*2,"-")</f>
        <v>2</v>
      </c>
      <c r="N14" s="28">
        <f>IFERROR(VLOOKUP(F14,Scoring!$A$4:$N$51,14,FALSE()),"-")</f>
        <v>3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26</v>
      </c>
      <c r="S14">
        <f t="shared" si="1"/>
        <v>98</v>
      </c>
      <c r="T14">
        <f t="shared" si="2"/>
        <v>25.999986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4</v>
      </c>
      <c r="L15" s="28">
        <f>IFERROR(VLOOKUP(D15,Scoring!$A$4:$N$51,14,FALSE())*3,"-")</f>
        <v>3</v>
      </c>
      <c r="M15" s="28">
        <f>IFERROR(VLOOKUP(E15,Scoring!$A$4:$N$51,14,FALSE())*2,"-")</f>
        <v>6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23</v>
      </c>
      <c r="S15">
        <f t="shared" si="1"/>
        <v>102</v>
      </c>
      <c r="T15">
        <f t="shared" si="2"/>
        <v>22.999984999999999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4</v>
      </c>
      <c r="L16" s="28">
        <f>IFERROR(VLOOKUP(D16,Scoring!$A$4:$N$51,14,FALSE())*3,"-")</f>
        <v>9</v>
      </c>
      <c r="M16" s="28">
        <f>IFERROR(VLOOKUP(E16,Scoring!$A$4:$N$51,14,FALSE())*2,"-")</f>
        <v>6</v>
      </c>
      <c r="N16" s="28">
        <f>IFERROR(VLOOKUP(F16,Scoring!$A$4:$N$51,14,FALSE()),"-")</f>
        <v>3</v>
      </c>
      <c r="O16" s="28">
        <f>IFERROR(VLOOKUP(G16,Scoring!$A$4:$N$51,14,FALSE()),"-")</f>
        <v>4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45</v>
      </c>
      <c r="S16">
        <f t="shared" si="1"/>
        <v>12</v>
      </c>
      <c r="T16">
        <f t="shared" si="2"/>
        <v>44.999983999999998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18</v>
      </c>
      <c r="K17" s="28">
        <f>IFERROR(VLOOKUP(C17,Scoring!$A$4:$N$51,14,FALSE())*4,"-")</f>
        <v>4</v>
      </c>
      <c r="L17" s="28">
        <f>IFERROR(VLOOKUP(D17,Scoring!$A$4:$N$51,14,FALSE())*3,"-")</f>
        <v>9</v>
      </c>
      <c r="M17" s="28">
        <f>IFERROR(VLOOKUP(E17,Scoring!$A$4:$N$51,14,FALSE())*2,"-")</f>
        <v>2</v>
      </c>
      <c r="N17" s="28">
        <f>IFERROR(VLOOKUP(F17,Scoring!$A$4:$N$51,14,FALSE()),"-")</f>
        <v>3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41.5</v>
      </c>
      <c r="S17">
        <f t="shared" si="1"/>
        <v>19</v>
      </c>
      <c r="T17">
        <f t="shared" si="2"/>
        <v>41.499983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4</v>
      </c>
      <c r="L18" s="28">
        <f>IFERROR(VLOOKUP(D18,Scoring!$A$4:$N$51,14,FALSE())*3,"-")</f>
        <v>3</v>
      </c>
      <c r="M18" s="28">
        <f>IFERROR(VLOOKUP(E18,Scoring!$A$4:$N$51,14,FALSE())*2,"-")</f>
        <v>6</v>
      </c>
      <c r="N18" s="28">
        <f>IFERROR(VLOOKUP(F18,Scoring!$A$4:$N$51,14,FALSE()),"-")</f>
        <v>6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39</v>
      </c>
      <c r="S18">
        <f t="shared" si="1"/>
        <v>39</v>
      </c>
      <c r="T18">
        <f t="shared" si="2"/>
        <v>38.999982000000003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2</v>
      </c>
      <c r="N19" s="28">
        <f>IFERROR(VLOOKUP(F19,Scoring!$A$4:$N$51,14,FALSE()),"-")</f>
        <v>6</v>
      </c>
      <c r="O19" s="28">
        <f>IFERROR(VLOOKUP(G19,Scoring!$A$4:$N$51,14,FALSE()),"-")</f>
        <v>3</v>
      </c>
      <c r="P19" s="29">
        <f>IFERROR(VLOOKUP(H19,Scoring!$A$4:$N$51,14,FALSE()),"-")</f>
        <v>3</v>
      </c>
      <c r="Q19" s="29">
        <f>IFERROR(VLOOKUP(I19,Scoring!$A$4:$N$51,6,FALSE()),"-")</f>
        <v>0</v>
      </c>
      <c r="R19" s="36">
        <f t="shared" si="0"/>
        <v>41</v>
      </c>
      <c r="S19">
        <f t="shared" si="1"/>
        <v>22</v>
      </c>
      <c r="T19">
        <f t="shared" si="2"/>
        <v>40.999980999999998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4</v>
      </c>
      <c r="L20" s="28">
        <f>IFERROR(VLOOKUP(D20,Scoring!$A$4:$N$51,14,FALSE())*3,"-")</f>
        <v>3</v>
      </c>
      <c r="M20" s="28">
        <f>IFERROR(VLOOKUP(E20,Scoring!$A$4:$N$51,14,FALSE())*2,"-")</f>
        <v>6</v>
      </c>
      <c r="N20" s="28">
        <f>IFERROR(VLOOKUP(F20,Scoring!$A$4:$N$51,14,FALSE()),"-")</f>
        <v>1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36</v>
      </c>
      <c r="S20">
        <f t="shared" si="1"/>
        <v>58</v>
      </c>
      <c r="T20">
        <f t="shared" si="2"/>
        <v>35.999980000000001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4</v>
      </c>
      <c r="L21" s="28">
        <f>IFERROR(VLOOKUP(D21,Scoring!$A$4:$N$51,14,FALSE())*3,"-")</f>
        <v>9</v>
      </c>
      <c r="M21" s="28">
        <f>IFERROR(VLOOKUP(E21,Scoring!$A$4:$N$51,14,FALSE())*2,"-")</f>
        <v>2</v>
      </c>
      <c r="N21" s="28">
        <f>IFERROR(VLOOKUP(F21,Scoring!$A$4:$N$51,14,FALSE()),"-")</f>
        <v>4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0</v>
      </c>
      <c r="R21" s="36">
        <f t="shared" si="0"/>
        <v>29</v>
      </c>
      <c r="S21">
        <f t="shared" si="1"/>
        <v>95</v>
      </c>
      <c r="T21">
        <f t="shared" si="2"/>
        <v>28.999979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12</v>
      </c>
      <c r="L22" s="28">
        <f>IFERROR(VLOOKUP(D22,Scoring!$A$4:$N$51,14,FALSE())*3,"-")</f>
        <v>9</v>
      </c>
      <c r="M22" s="28">
        <f>IFERROR(VLOOKUP(E22,Scoring!$A$4:$N$51,14,FALSE())*2,"-")</f>
        <v>2</v>
      </c>
      <c r="N22" s="28">
        <f>IFERROR(VLOOKUP(F22,Scoring!$A$4:$N$51,14,FALSE()),"-")</f>
        <v>6</v>
      </c>
      <c r="O22" s="28">
        <f>IFERROR(VLOOKUP(G22,Scoring!$A$4:$N$51,14,FALSE()),"-")</f>
        <v>3</v>
      </c>
      <c r="P22" s="29">
        <f>IFERROR(VLOOKUP(H22,Scoring!$A$4:$N$51,14,FALSE()),"-")</f>
        <v>3</v>
      </c>
      <c r="Q22" s="29">
        <f>IFERROR(VLOOKUP(I22,Scoring!$A$4:$N$51,6,FALSE()),"-")</f>
        <v>0</v>
      </c>
      <c r="R22" s="36">
        <f t="shared" si="0"/>
        <v>41</v>
      </c>
      <c r="S22">
        <f t="shared" si="1"/>
        <v>22</v>
      </c>
      <c r="T22">
        <f t="shared" si="2"/>
        <v>40.999977999999999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4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3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31</v>
      </c>
      <c r="S23">
        <f t="shared" si="1"/>
        <v>82</v>
      </c>
      <c r="T23">
        <f t="shared" si="2"/>
        <v>30.999977000000001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12</v>
      </c>
      <c r="L24" s="28">
        <f>IFERROR(VLOOKUP(D24,Scoring!$A$4:$N$51,14,FALSE())*3,"-")</f>
        <v>3</v>
      </c>
      <c r="M24" s="28">
        <f>IFERROR(VLOOKUP(E24,Scoring!$A$4:$N$51,14,FALSE())*2,"-")</f>
        <v>2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3</v>
      </c>
      <c r="Q24" s="29">
        <f>IFERROR(VLOOKUP(I24,Scoring!$A$4:$N$51,6,FALSE()),"-")</f>
        <v>1.5</v>
      </c>
      <c r="R24" s="36">
        <f t="shared" si="0"/>
        <v>42.5</v>
      </c>
      <c r="S24">
        <f t="shared" si="1"/>
        <v>18</v>
      </c>
      <c r="T24">
        <f t="shared" si="2"/>
        <v>42.499975999999997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12</v>
      </c>
      <c r="L25" s="28">
        <f>IFERROR(VLOOKUP(D25,Scoring!$A$4:$N$51,14,FALSE())*3,"-")</f>
        <v>3</v>
      </c>
      <c r="M25" s="28">
        <f>IFERROR(VLOOKUP(E25,Scoring!$A$4:$N$51,14,FALSE())*2,"-")</f>
        <v>2</v>
      </c>
      <c r="N25" s="28">
        <f>IFERROR(VLOOKUP(F25,Scoring!$A$4:$N$51,14,FALSE()),"-")</f>
        <v>3</v>
      </c>
      <c r="O25" s="28">
        <f>IFERROR(VLOOKUP(G25,Scoring!$A$4:$N$51,14,FALSE()),"-")</f>
        <v>4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46.5</v>
      </c>
      <c r="S25">
        <f t="shared" si="1"/>
        <v>10</v>
      </c>
      <c r="T25">
        <f t="shared" si="2"/>
        <v>46.499974999999999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4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3</v>
      </c>
      <c r="O26" s="28">
        <f>IFERROR(VLOOKUP(G26,Scoring!$A$4:$N$51,14,FALSE()),"-")</f>
        <v>4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32</v>
      </c>
      <c r="S26">
        <f t="shared" si="1"/>
        <v>77</v>
      </c>
      <c r="T26">
        <f t="shared" si="2"/>
        <v>31.999974000000002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12</v>
      </c>
      <c r="L27" s="28">
        <f>IFERROR(VLOOKUP(D27,Scoring!$A$4:$N$51,14,FALSE())*3,"-")</f>
        <v>3</v>
      </c>
      <c r="M27" s="28">
        <f>IFERROR(VLOOKUP(E27,Scoring!$A$4:$N$51,14,FALSE())*2,"-")</f>
        <v>2</v>
      </c>
      <c r="N27" s="28">
        <f>IFERROR(VLOOKUP(F27,Scoring!$A$4:$N$51,14,FALSE()),"-")</f>
        <v>1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40.5</v>
      </c>
      <c r="S27">
        <f t="shared" si="1"/>
        <v>25</v>
      </c>
      <c r="T27">
        <f t="shared" si="2"/>
        <v>40.499972999999997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12</v>
      </c>
      <c r="L28" s="28">
        <f>IFERROR(VLOOKUP(D28,Scoring!$A$4:$N$51,14,FALSE())*3,"-")</f>
        <v>9</v>
      </c>
      <c r="M28" s="28">
        <f>IFERROR(VLOOKUP(E28,Scoring!$A$4:$N$51,14,FALSE())*2,"-")</f>
        <v>6</v>
      </c>
      <c r="N28" s="28">
        <f>IFERROR(VLOOKUP(F28,Scoring!$A$4:$N$51,14,FALSE()),"-")</f>
        <v>6</v>
      </c>
      <c r="O28" s="28">
        <f>IFERROR(VLOOKUP(G28,Scoring!$A$4:$N$51,14,FALSE()),"-")</f>
        <v>3</v>
      </c>
      <c r="P28" s="29">
        <f>IFERROR(VLOOKUP(H28,Scoring!$A$4:$N$51,14,FALSE()),"-")</f>
        <v>3</v>
      </c>
      <c r="Q28" s="29">
        <f>IFERROR(VLOOKUP(I28,Scoring!$A$4:$N$51,6,FALSE()),"-")</f>
        <v>0</v>
      </c>
      <c r="R28" s="36">
        <f t="shared" si="0"/>
        <v>45</v>
      </c>
      <c r="S28">
        <f t="shared" si="1"/>
        <v>12</v>
      </c>
      <c r="T28">
        <f t="shared" si="2"/>
        <v>44.999972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4</v>
      </c>
      <c r="L29" s="28">
        <f>IFERROR(VLOOKUP(D29,Scoring!$A$4:$N$51,14,FALSE())*3,"-")</f>
        <v>9</v>
      </c>
      <c r="M29" s="28">
        <f>IFERROR(VLOOKUP(E29,Scoring!$A$4:$N$51,14,FALSE())*2,"-")</f>
        <v>2</v>
      </c>
      <c r="N29" s="28">
        <f>IFERROR(VLOOKUP(F29,Scoring!$A$4:$N$51,14,FALSE()),"-")</f>
        <v>1</v>
      </c>
      <c r="O29" s="28">
        <f>IFERROR(VLOOKUP(G29,Scoring!$A$4:$N$51,14,FALSE()),"-")</f>
        <v>0</v>
      </c>
      <c r="P29" s="29">
        <f>IFERROR(VLOOKUP(H29,Scoring!$A$4:$N$51,14,FALSE()),"-")</f>
        <v>3</v>
      </c>
      <c r="Q29" s="29">
        <f>IFERROR(VLOOKUP(I29,Scoring!$A$4:$N$51,6,FALSE()),"-")</f>
        <v>1</v>
      </c>
      <c r="R29" s="36">
        <f t="shared" si="0"/>
        <v>26</v>
      </c>
      <c r="S29">
        <f t="shared" si="1"/>
        <v>98</v>
      </c>
      <c r="T29">
        <f t="shared" si="2"/>
        <v>25.999970999999999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4</v>
      </c>
      <c r="L30" s="28">
        <f>IFERROR(VLOOKUP(D30,Scoring!$A$4:$N$51,14,FALSE())*3,"-")</f>
        <v>9</v>
      </c>
      <c r="M30" s="28">
        <f>IFERROR(VLOOKUP(E30,Scoring!$A$4:$N$51,14,FALSE())*2,"-")</f>
        <v>6</v>
      </c>
      <c r="N30" s="28">
        <f>IFERROR(VLOOKUP(F30,Scoring!$A$4:$N$51,14,FALSE()),"-")</f>
        <v>4</v>
      </c>
      <c r="O30" s="28">
        <f>IFERROR(VLOOKUP(G30,Scoring!$A$4:$N$51,14,FALSE()),"-")</f>
        <v>3</v>
      </c>
      <c r="P30" s="29">
        <f>IFERROR(VLOOKUP(H30,Scoring!$A$4:$N$51,14,FALSE()),"-")</f>
        <v>0</v>
      </c>
      <c r="Q30" s="29">
        <f>IFERROR(VLOOKUP(I30,Scoring!$A$4:$N$51,6,FALSE()),"-")</f>
        <v>0.5</v>
      </c>
      <c r="R30" s="36">
        <f t="shared" si="0"/>
        <v>32.5</v>
      </c>
      <c r="S30">
        <f t="shared" si="1"/>
        <v>75</v>
      </c>
      <c r="T30">
        <f t="shared" si="2"/>
        <v>32.499969999999998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4</v>
      </c>
      <c r="L31" s="28">
        <f>IFERROR(VLOOKUP(D31,Scoring!$A$4:$N$51,14,FALSE())*3,"-")</f>
        <v>9</v>
      </c>
      <c r="M31" s="28">
        <f>IFERROR(VLOOKUP(E31,Scoring!$A$4:$N$51,14,FALSE())*2,"-")</f>
        <v>2</v>
      </c>
      <c r="N31" s="28">
        <f>IFERROR(VLOOKUP(F31,Scoring!$A$4:$N$51,14,FALSE()),"-")</f>
        <v>6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0.5</v>
      </c>
      <c r="R31" s="36">
        <f t="shared" si="0"/>
        <v>43.5</v>
      </c>
      <c r="S31">
        <f t="shared" si="1"/>
        <v>16</v>
      </c>
      <c r="T31">
        <f t="shared" si="2"/>
        <v>43.499969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12</v>
      </c>
      <c r="L32" s="28">
        <f>IFERROR(VLOOKUP(D32,Scoring!$A$4:$N$51,14,FALSE())*3,"-")</f>
        <v>9</v>
      </c>
      <c r="M32" s="28">
        <f>IFERROR(VLOOKUP(E32,Scoring!$A$4:$N$51,14,FALSE())*2,"-")</f>
        <v>6</v>
      </c>
      <c r="N32" s="28">
        <f>IFERROR(VLOOKUP(F32,Scoring!$A$4:$N$51,14,FALSE()),"-")</f>
        <v>4</v>
      </c>
      <c r="O32" s="28">
        <f>IFERROR(VLOOKUP(G32,Scoring!$A$4:$N$51,14,FALSE()),"-")</f>
        <v>0</v>
      </c>
      <c r="P32" s="29">
        <f>IFERROR(VLOOKUP(H32,Scoring!$A$4:$N$51,14,FALSE()),"-")</f>
        <v>3</v>
      </c>
      <c r="Q32" s="29">
        <f>IFERROR(VLOOKUP(I32,Scoring!$A$4:$N$51,6,FALSE()),"-")</f>
        <v>0</v>
      </c>
      <c r="R32" s="36">
        <f t="shared" si="0"/>
        <v>40</v>
      </c>
      <c r="S32">
        <f t="shared" si="1"/>
        <v>30</v>
      </c>
      <c r="T32">
        <f t="shared" si="2"/>
        <v>39.999968000000003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6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2</v>
      </c>
      <c r="N33" s="28">
        <f>IFERROR(VLOOKUP(F33,Scoring!$A$4:$N$51,14,FALSE()),"-")</f>
        <v>6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3.5</v>
      </c>
      <c r="R33" s="36">
        <f t="shared" si="0"/>
        <v>36.5</v>
      </c>
      <c r="S33">
        <f t="shared" si="1"/>
        <v>56</v>
      </c>
      <c r="T33">
        <f t="shared" si="2"/>
        <v>36.499966999999998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4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4</v>
      </c>
      <c r="O34" s="28">
        <f>IFERROR(VLOOKUP(G34,Scoring!$A$4:$N$51,14,FALSE()),"-")</f>
        <v>3</v>
      </c>
      <c r="P34" s="29">
        <f>IFERROR(VLOOKUP(H34,Scoring!$A$4:$N$51,14,FALSE()),"-")</f>
        <v>3</v>
      </c>
      <c r="Q34" s="29">
        <f>IFERROR(VLOOKUP(I34,Scoring!$A$4:$N$51,6,FALSE()),"-")</f>
        <v>0</v>
      </c>
      <c r="R34" s="36">
        <f t="shared" si="0"/>
        <v>35</v>
      </c>
      <c r="S34">
        <f t="shared" si="1"/>
        <v>63</v>
      </c>
      <c r="T34">
        <f t="shared" si="2"/>
        <v>34.999966000000001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12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4</v>
      </c>
      <c r="O35" s="28">
        <f>IFERROR(VLOOKUP(G35,Scoring!$A$4:$N$51,14,FALSE()),"-")</f>
        <v>3</v>
      </c>
      <c r="P35" s="29">
        <f>IFERROR(VLOOKUP(H35,Scoring!$A$4:$N$51,14,FALSE()),"-")</f>
        <v>1</v>
      </c>
      <c r="Q35" s="29">
        <f>IFERROR(VLOOKUP(I35,Scoring!$A$4:$N$51,6,FALSE()),"-")</f>
        <v>0</v>
      </c>
      <c r="R35" s="36">
        <f t="shared" si="0"/>
        <v>37</v>
      </c>
      <c r="S35">
        <f t="shared" si="1"/>
        <v>52</v>
      </c>
      <c r="T35">
        <f t="shared" si="2"/>
        <v>36.999965000000003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12</v>
      </c>
      <c r="L36" s="28">
        <f>IFERROR(VLOOKUP(D36,Scoring!$A$4:$N$51,14,FALSE())*3,"-")</f>
        <v>9</v>
      </c>
      <c r="M36" s="28">
        <f>IFERROR(VLOOKUP(E36,Scoring!$A$4:$N$51,14,FALSE())*2,"-")</f>
        <v>2</v>
      </c>
      <c r="N36" s="28">
        <f>IFERROR(VLOOKUP(F36,Scoring!$A$4:$N$51,14,FALSE()),"-")</f>
        <v>1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3.5</v>
      </c>
      <c r="R36" s="36">
        <f t="shared" ref="R36:R67" si="3">IF(A36="","-",SUM(J36:Q36))</f>
        <v>49.5</v>
      </c>
      <c r="S36">
        <f t="shared" ref="S36:S67" si="4">IF(A36="","",RANK(R36,$R$4:$R$119))</f>
        <v>4</v>
      </c>
      <c r="T36">
        <f t="shared" ref="T36:T67" si="5">IF(A36="",-1,R36-ROW(R36)/1000000)</f>
        <v>49.499963999999999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12</v>
      </c>
      <c r="L37" s="28">
        <f>IFERROR(VLOOKUP(D37,Scoring!$A$4:$N$51,14,FALSE())*3,"-")</f>
        <v>3</v>
      </c>
      <c r="M37" s="28">
        <f>IFERROR(VLOOKUP(E37,Scoring!$A$4:$N$51,14,FALSE())*2,"-")</f>
        <v>6</v>
      </c>
      <c r="N37" s="28">
        <f>IFERROR(VLOOKUP(F37,Scoring!$A$4:$N$51,14,FALSE()),"-")</f>
        <v>6</v>
      </c>
      <c r="O37" s="28">
        <f>IFERROR(VLOOKUP(G37,Scoring!$A$4:$N$51,14,FALSE()),"-")</f>
        <v>3</v>
      </c>
      <c r="P37" s="29">
        <f>IFERROR(VLOOKUP(H37,Scoring!$A$4:$N$51,14,FALSE()),"-")</f>
        <v>3</v>
      </c>
      <c r="Q37" s="29">
        <f>IFERROR(VLOOKUP(I37,Scoring!$A$4:$N$51,6,FALSE()),"-")</f>
        <v>0.5</v>
      </c>
      <c r="R37" s="36">
        <f t="shared" si="3"/>
        <v>39.5</v>
      </c>
      <c r="S37">
        <f t="shared" si="4"/>
        <v>34</v>
      </c>
      <c r="T37">
        <f t="shared" si="5"/>
        <v>39.499963000000001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4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1</v>
      </c>
      <c r="Q38" s="29">
        <f>IFERROR(VLOOKUP(I38,Scoring!$A$4:$N$51,6,FALSE()),"-")</f>
        <v>0.5</v>
      </c>
      <c r="R38" s="36">
        <f t="shared" si="3"/>
        <v>17.5</v>
      </c>
      <c r="S38">
        <f t="shared" si="4"/>
        <v>105</v>
      </c>
      <c r="T38">
        <f t="shared" si="5"/>
        <v>17.499962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2</v>
      </c>
      <c r="N39" s="28">
        <f>IFERROR(VLOOKUP(F39,Scoring!$A$4:$N$51,14,FALSE()),"-")</f>
        <v>4</v>
      </c>
      <c r="O39" s="28">
        <f>IFERROR(VLOOKUP(G39,Scoring!$A$4:$N$51,14,FALSE()),"-")</f>
        <v>3</v>
      </c>
      <c r="P39" s="29">
        <f>IFERROR(VLOOKUP(H39,Scoring!$A$4:$N$51,14,FALSE()),"-")</f>
        <v>3</v>
      </c>
      <c r="Q39" s="29">
        <f>IFERROR(VLOOKUP(I39,Scoring!$A$4:$N$51,6,FALSE()),"-")</f>
        <v>0</v>
      </c>
      <c r="R39" s="36">
        <f t="shared" si="3"/>
        <v>39</v>
      </c>
      <c r="S39">
        <f t="shared" si="4"/>
        <v>39</v>
      </c>
      <c r="T39">
        <f t="shared" si="5"/>
        <v>38.999960999999999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4</v>
      </c>
      <c r="L40" s="28">
        <f>IFERROR(VLOOKUP(D40,Scoring!$A$4:$N$51,14,FALSE())*3,"-")</f>
        <v>3</v>
      </c>
      <c r="M40" s="28">
        <f>IFERROR(VLOOKUP(E40,Scoring!$A$4:$N$51,14,FALSE())*2,"-")</f>
        <v>2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34.5</v>
      </c>
      <c r="S40">
        <f t="shared" si="4"/>
        <v>65</v>
      </c>
      <c r="T40">
        <f t="shared" si="5"/>
        <v>34.499960000000002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4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4</v>
      </c>
      <c r="O41" s="28">
        <f>IFERROR(VLOOKUP(G41,Scoring!$A$4:$N$51,14,FALSE()),"-")</f>
        <v>3</v>
      </c>
      <c r="P41" s="29">
        <f>IFERROR(VLOOKUP(H41,Scoring!$A$4:$N$51,14,FALSE()),"-")</f>
        <v>3</v>
      </c>
      <c r="Q41" s="29">
        <f>IFERROR(VLOOKUP(I41,Scoring!$A$4:$N$51,6,FALSE()),"-")</f>
        <v>1.5</v>
      </c>
      <c r="R41" s="36">
        <f t="shared" si="3"/>
        <v>36.5</v>
      </c>
      <c r="S41">
        <f t="shared" si="4"/>
        <v>56</v>
      </c>
      <c r="T41">
        <f t="shared" si="5"/>
        <v>36.499958999999997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4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6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34</v>
      </c>
      <c r="S42">
        <f t="shared" si="4"/>
        <v>69</v>
      </c>
      <c r="T42">
        <f t="shared" si="5"/>
        <v>33.999957999999999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12</v>
      </c>
      <c r="L43" s="28">
        <f>IFERROR(VLOOKUP(D43,Scoring!$A$4:$N$51,14,FALSE())*3,"-")</f>
        <v>3</v>
      </c>
      <c r="M43" s="28">
        <f>IFERROR(VLOOKUP(E43,Scoring!$A$4:$N$51,14,FALSE())*2,"-")</f>
        <v>6</v>
      </c>
      <c r="N43" s="28">
        <f>IFERROR(VLOOKUP(F43,Scoring!$A$4:$N$51,14,FALSE()),"-")</f>
        <v>1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45.5</v>
      </c>
      <c r="S43">
        <f t="shared" si="4"/>
        <v>11</v>
      </c>
      <c r="T43">
        <f t="shared" si="5"/>
        <v>45.499957000000002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6</v>
      </c>
      <c r="N44" s="28">
        <f>IFERROR(VLOOKUP(F44,Scoring!$A$4:$N$51,14,FALSE()),"-")</f>
        <v>1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38</v>
      </c>
      <c r="S44">
        <f t="shared" si="4"/>
        <v>46</v>
      </c>
      <c r="T44">
        <f t="shared" si="5"/>
        <v>37.999955999999997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18</v>
      </c>
      <c r="K45" s="28">
        <f>IFERROR(VLOOKUP(C45,Scoring!$A$4:$N$51,14,FALSE())*4,"-")</f>
        <v>4</v>
      </c>
      <c r="L45" s="28">
        <f>IFERROR(VLOOKUP(D45,Scoring!$A$4:$N$51,14,FALSE())*3,"-")</f>
        <v>3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37</v>
      </c>
      <c r="S45">
        <f t="shared" si="4"/>
        <v>52</v>
      </c>
      <c r="T45">
        <f t="shared" si="5"/>
        <v>36.999955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12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3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40</v>
      </c>
      <c r="S46">
        <f t="shared" si="4"/>
        <v>30</v>
      </c>
      <c r="T46">
        <f t="shared" si="5"/>
        <v>39.999954000000002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6</v>
      </c>
      <c r="K47" s="28">
        <f>IFERROR(VLOOKUP(C47,Scoring!$A$4:$N$51,14,FALSE())*4,"-")</f>
        <v>12</v>
      </c>
      <c r="L47" s="28">
        <f>IFERROR(VLOOKUP(D47,Scoring!$A$4:$N$51,14,FALSE())*3,"-")</f>
        <v>3</v>
      </c>
      <c r="M47" s="28">
        <f>IFERROR(VLOOKUP(E47,Scoring!$A$4:$N$51,14,FALSE())*2,"-")</f>
        <v>2</v>
      </c>
      <c r="N47" s="28">
        <f>IFERROR(VLOOKUP(F47,Scoring!$A$4:$N$51,14,FALSE()),"-")</f>
        <v>3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29.5</v>
      </c>
      <c r="S47">
        <f t="shared" si="4"/>
        <v>93</v>
      </c>
      <c r="T47">
        <f t="shared" si="5"/>
        <v>29.499953000000001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12</v>
      </c>
      <c r="L48" s="28">
        <f>IFERROR(VLOOKUP(D48,Scoring!$A$4:$N$51,14,FALSE())*3,"-")</f>
        <v>9</v>
      </c>
      <c r="M48" s="28">
        <f>IFERROR(VLOOKUP(E48,Scoring!$A$4:$N$51,14,FALSE())*2,"-")</f>
        <v>2</v>
      </c>
      <c r="N48" s="28">
        <f>IFERROR(VLOOKUP(F48,Scoring!$A$4:$N$51,14,FALSE()),"-")</f>
        <v>1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33</v>
      </c>
      <c r="S48">
        <f t="shared" si="4"/>
        <v>73</v>
      </c>
      <c r="T48">
        <f t="shared" si="5"/>
        <v>32.999952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3</v>
      </c>
      <c r="M49" s="28">
        <f>IFERROR(VLOOKUP(E49,Scoring!$A$4:$N$51,14,FALSE())*2,"-")</f>
        <v>6</v>
      </c>
      <c r="N49" s="28">
        <f>IFERROR(VLOOKUP(F49,Scoring!$A$4:$N$51,14,FALSE()),"-")</f>
        <v>3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41.5</v>
      </c>
      <c r="S49">
        <f t="shared" si="4"/>
        <v>19</v>
      </c>
      <c r="T49">
        <f t="shared" si="5"/>
        <v>41.499951000000003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18</v>
      </c>
      <c r="K50" s="28">
        <f>IFERROR(VLOOKUP(C50,Scoring!$A$4:$N$51,14,FALSE())*4,"-")</f>
        <v>4</v>
      </c>
      <c r="L50" s="28">
        <f>IFERROR(VLOOKUP(D50,Scoring!$A$4:$N$51,14,FALSE())*3,"-")</f>
        <v>3</v>
      </c>
      <c r="M50" s="28">
        <f>IFERROR(VLOOKUP(E50,Scoring!$A$4:$N$51,14,FALSE())*2,"-")</f>
        <v>6</v>
      </c>
      <c r="N50" s="28">
        <f>IFERROR(VLOOKUP(F50,Scoring!$A$4:$N$51,14,FALSE()),"-")</f>
        <v>3</v>
      </c>
      <c r="O50" s="28">
        <f>IFERROR(VLOOKUP(G50,Scoring!$A$4:$N$51,14,FALSE()),"-")</f>
        <v>3</v>
      </c>
      <c r="P50" s="29">
        <f>IFERROR(VLOOKUP(H50,Scoring!$A$4:$N$51,14,FALSE()),"-")</f>
        <v>3</v>
      </c>
      <c r="Q50" s="29">
        <f>IFERROR(VLOOKUP(I50,Scoring!$A$4:$N$51,6,FALSE()),"-")</f>
        <v>0.5</v>
      </c>
      <c r="R50" s="36">
        <f t="shared" si="3"/>
        <v>40.5</v>
      </c>
      <c r="S50">
        <f t="shared" si="4"/>
        <v>25</v>
      </c>
      <c r="T50">
        <f t="shared" si="5"/>
        <v>40.499949999999998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4</v>
      </c>
      <c r="L51" s="28">
        <f>IFERROR(VLOOKUP(D51,Scoring!$A$4:$N$51,14,FALSE())*3,"-")</f>
        <v>9</v>
      </c>
      <c r="M51" s="28">
        <f>IFERROR(VLOOKUP(E51,Scoring!$A$4:$N$51,14,FALSE())*2,"-")</f>
        <v>2</v>
      </c>
      <c r="N51" s="28">
        <f>IFERROR(VLOOKUP(F51,Scoring!$A$4:$N$51,14,FALSE()),"-")</f>
        <v>6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31.5</v>
      </c>
      <c r="S51">
        <f t="shared" si="4"/>
        <v>80</v>
      </c>
      <c r="T51">
        <f t="shared" si="5"/>
        <v>31.499949000000001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12</v>
      </c>
      <c r="L52" s="28">
        <f>IFERROR(VLOOKUP(D52,Scoring!$A$4:$N$51,14,FALSE())*3,"-")</f>
        <v>9</v>
      </c>
      <c r="M52" s="28">
        <f>IFERROR(VLOOKUP(E52,Scoring!$A$4:$N$51,14,FALSE())*2,"-")</f>
        <v>6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38</v>
      </c>
      <c r="S52">
        <f t="shared" si="4"/>
        <v>46</v>
      </c>
      <c r="T52">
        <f t="shared" si="5"/>
        <v>37.999948000000003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12</v>
      </c>
      <c r="L53" s="28">
        <f>IFERROR(VLOOKUP(D53,Scoring!$A$4:$N$51,14,FALSE())*3,"-")</f>
        <v>9</v>
      </c>
      <c r="M53" s="28">
        <f>IFERROR(VLOOKUP(E53,Scoring!$A$4:$N$51,14,FALSE())*2,"-")</f>
        <v>2</v>
      </c>
      <c r="N53" s="28">
        <f>IFERROR(VLOOKUP(F53,Scoring!$A$4:$N$51,14,FALSE()),"-")</f>
        <v>1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34.5</v>
      </c>
      <c r="S53">
        <f t="shared" si="4"/>
        <v>65</v>
      </c>
      <c r="T53">
        <f t="shared" si="5"/>
        <v>34.499946999999999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6</v>
      </c>
      <c r="K54" s="28">
        <f>IFERROR(VLOOKUP(C54,Scoring!$A$4:$N$51,14,FALSE())*4,"-")</f>
        <v>4</v>
      </c>
      <c r="L54" s="28">
        <f>IFERROR(VLOOKUP(D54,Scoring!$A$4:$N$51,14,FALSE())*3,"-")</f>
        <v>3</v>
      </c>
      <c r="M54" s="28">
        <f>IFERROR(VLOOKUP(E54,Scoring!$A$4:$N$51,14,FALSE())*2,"-")</f>
        <v>6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3</v>
      </c>
      <c r="Q54" s="29">
        <f>IFERROR(VLOOKUP(I54,Scoring!$A$4:$N$51,6,FALSE()),"-")</f>
        <v>0.5</v>
      </c>
      <c r="R54" s="36">
        <f t="shared" si="3"/>
        <v>24.5</v>
      </c>
      <c r="S54">
        <f t="shared" si="4"/>
        <v>100</v>
      </c>
      <c r="T54">
        <f t="shared" si="5"/>
        <v>24.499946000000001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12</v>
      </c>
      <c r="L55" s="28">
        <f>IFERROR(VLOOKUP(D55,Scoring!$A$4:$N$51,14,FALSE())*3,"-")</f>
        <v>3</v>
      </c>
      <c r="M55" s="28">
        <f>IFERROR(VLOOKUP(E55,Scoring!$A$4:$N$51,14,FALSE())*2,"-")</f>
        <v>6</v>
      </c>
      <c r="N55" s="28">
        <f>IFERROR(VLOOKUP(F55,Scoring!$A$4:$N$51,14,FALSE()),"-")</f>
        <v>6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1.5</v>
      </c>
      <c r="R55" s="36">
        <f t="shared" si="3"/>
        <v>38.5</v>
      </c>
      <c r="S55">
        <f t="shared" si="4"/>
        <v>45</v>
      </c>
      <c r="T55">
        <f t="shared" si="5"/>
        <v>38.499944999999997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12</v>
      </c>
      <c r="L56" s="28">
        <f>IFERROR(VLOOKUP(D56,Scoring!$A$4:$N$51,14,FALSE())*3,"-")</f>
        <v>3</v>
      </c>
      <c r="M56" s="28">
        <f>IFERROR(VLOOKUP(E56,Scoring!$A$4:$N$51,14,FALSE())*2,"-")</f>
        <v>6</v>
      </c>
      <c r="N56" s="28">
        <f>IFERROR(VLOOKUP(F56,Scoring!$A$4:$N$51,14,FALSE()),"-")</f>
        <v>1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0</v>
      </c>
      <c r="R56" s="36">
        <f t="shared" si="3"/>
        <v>32</v>
      </c>
      <c r="S56">
        <f t="shared" si="4"/>
        <v>77</v>
      </c>
      <c r="T56">
        <f t="shared" si="5"/>
        <v>31.999943999999999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12</v>
      </c>
      <c r="L57" s="28">
        <f>IFERROR(VLOOKUP(D57,Scoring!$A$4:$N$51,14,FALSE())*3,"-")</f>
        <v>3</v>
      </c>
      <c r="M57" s="28">
        <f>IFERROR(VLOOKUP(E57,Scoring!$A$4:$N$51,14,FALSE())*2,"-")</f>
        <v>6</v>
      </c>
      <c r="N57" s="28">
        <f>IFERROR(VLOOKUP(F57,Scoring!$A$4:$N$51,14,FALSE()),"-")</f>
        <v>4</v>
      </c>
      <c r="O57" s="28">
        <f>IFERROR(VLOOKUP(G57,Scoring!$A$4:$N$51,14,FALSE()),"-")</f>
        <v>1</v>
      </c>
      <c r="P57" s="29">
        <f>IFERROR(VLOOKUP(H57,Scoring!$A$4:$N$51,14,FALSE()),"-")</f>
        <v>3</v>
      </c>
      <c r="Q57" s="29">
        <f>IFERROR(VLOOKUP(I57,Scoring!$A$4:$N$51,6,FALSE()),"-")</f>
        <v>1.5</v>
      </c>
      <c r="R57" s="36">
        <f t="shared" si="3"/>
        <v>48.5</v>
      </c>
      <c r="S57">
        <f t="shared" si="4"/>
        <v>5</v>
      </c>
      <c r="T57">
        <f t="shared" si="5"/>
        <v>48.499943000000002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4</v>
      </c>
      <c r="L58" s="28">
        <f>IFERROR(VLOOKUP(D58,Scoring!$A$4:$N$51,14,FALSE())*3,"-")</f>
        <v>9</v>
      </c>
      <c r="M58" s="28">
        <f>IFERROR(VLOOKUP(E58,Scoring!$A$4:$N$51,14,FALSE())*2,"-")</f>
        <v>6</v>
      </c>
      <c r="N58" s="28">
        <f>IFERROR(VLOOKUP(F58,Scoring!$A$4:$N$51,14,FALSE()),"-")</f>
        <v>6</v>
      </c>
      <c r="O58" s="28">
        <f>IFERROR(VLOOKUP(G58,Scoring!$A$4:$N$51,14,FALSE()),"-")</f>
        <v>4</v>
      </c>
      <c r="P58" s="29">
        <f>IFERROR(VLOOKUP(H58,Scoring!$A$4:$N$51,14,FALSE()),"-")</f>
        <v>3</v>
      </c>
      <c r="Q58" s="29">
        <f>IFERROR(VLOOKUP(I58,Scoring!$A$4:$N$51,6,FALSE()),"-")</f>
        <v>0</v>
      </c>
      <c r="R58" s="36">
        <f t="shared" si="3"/>
        <v>50</v>
      </c>
      <c r="S58">
        <f t="shared" si="4"/>
        <v>3</v>
      </c>
      <c r="T58">
        <f t="shared" si="5"/>
        <v>49.999941999999997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4</v>
      </c>
      <c r="L59" s="28">
        <f>IFERROR(VLOOKUP(D59,Scoring!$A$4:$N$51,14,FALSE())*3,"-")</f>
        <v>9</v>
      </c>
      <c r="M59" s="28">
        <f>IFERROR(VLOOKUP(E59,Scoring!$A$4:$N$51,14,FALSE())*2,"-")</f>
        <v>2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0</v>
      </c>
      <c r="R59" s="36">
        <f t="shared" si="3"/>
        <v>38</v>
      </c>
      <c r="S59">
        <f t="shared" si="4"/>
        <v>46</v>
      </c>
      <c r="T59">
        <f t="shared" si="5"/>
        <v>37.999941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4</v>
      </c>
      <c r="L60" s="28">
        <f>IFERROR(VLOOKUP(D60,Scoring!$A$4:$N$51,14,FALSE())*3,"-")</f>
        <v>9</v>
      </c>
      <c r="M60" s="28">
        <f>IFERROR(VLOOKUP(E60,Scoring!$A$4:$N$51,14,FALSE())*2,"-")</f>
        <v>2</v>
      </c>
      <c r="N60" s="28">
        <f>IFERROR(VLOOKUP(F60,Scoring!$A$4:$N$51,14,FALSE()),"-")</f>
        <v>6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31.5</v>
      </c>
      <c r="S60">
        <f t="shared" si="4"/>
        <v>80</v>
      </c>
      <c r="T60">
        <f t="shared" si="5"/>
        <v>31.499939999999999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6</v>
      </c>
      <c r="K61" s="28">
        <f>IFERROR(VLOOKUP(C61,Scoring!$A$4:$N$51,14,FALSE())*4,"-")</f>
        <v>12</v>
      </c>
      <c r="L61" s="28">
        <f>IFERROR(VLOOKUP(D61,Scoring!$A$4:$N$51,14,FALSE())*3,"-")</f>
        <v>3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4</v>
      </c>
      <c r="P61" s="29">
        <f>IFERROR(VLOOKUP(H61,Scoring!$A$4:$N$51,14,FALSE()),"-")</f>
        <v>3</v>
      </c>
      <c r="Q61" s="29">
        <f>IFERROR(VLOOKUP(I61,Scoring!$A$4:$N$51,6,FALSE()),"-")</f>
        <v>0</v>
      </c>
      <c r="R61" s="36">
        <f t="shared" si="3"/>
        <v>30</v>
      </c>
      <c r="S61">
        <f t="shared" si="4"/>
        <v>91</v>
      </c>
      <c r="T61">
        <f t="shared" si="5"/>
        <v>29.999939000000001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18</v>
      </c>
      <c r="K62" s="28">
        <f>IFERROR(VLOOKUP(C62,Scoring!$A$4:$N$51,14,FALSE())*4,"-")</f>
        <v>12</v>
      </c>
      <c r="L62" s="28">
        <f>IFERROR(VLOOKUP(D62,Scoring!$A$4:$N$51,14,FALSE())*3,"-")</f>
        <v>18</v>
      </c>
      <c r="M62" s="28">
        <f>IFERROR(VLOOKUP(E62,Scoring!$A$4:$N$51,14,FALSE())*2,"-")</f>
        <v>2</v>
      </c>
      <c r="N62" s="28">
        <f>IFERROR(VLOOKUP(F62,Scoring!$A$4:$N$51,14,FALSE()),"-")</f>
        <v>3</v>
      </c>
      <c r="O62" s="28">
        <f>IFERROR(VLOOKUP(G62,Scoring!$A$4:$N$51,14,FALSE()),"-")</f>
        <v>4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58.5</v>
      </c>
      <c r="S62">
        <f t="shared" si="4"/>
        <v>1</v>
      </c>
      <c r="T62">
        <f t="shared" si="5"/>
        <v>58.499938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4</v>
      </c>
      <c r="L63" s="28">
        <f>IFERROR(VLOOKUP(D63,Scoring!$A$4:$N$51,14,FALSE())*3,"-")</f>
        <v>3</v>
      </c>
      <c r="M63" s="28">
        <f>IFERROR(VLOOKUP(E63,Scoring!$A$4:$N$51,14,FALSE())*2,"-")</f>
        <v>6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35.5</v>
      </c>
      <c r="S63">
        <f t="shared" si="4"/>
        <v>60</v>
      </c>
      <c r="T63">
        <f t="shared" si="5"/>
        <v>35.499937000000003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4</v>
      </c>
      <c r="L64" s="28">
        <f>IFERROR(VLOOKUP(D64,Scoring!$A$4:$N$51,14,FALSE())*3,"-")</f>
        <v>3</v>
      </c>
      <c r="M64" s="28">
        <f>IFERROR(VLOOKUP(E64,Scoring!$A$4:$N$51,14,FALSE())*2,"-")</f>
        <v>6</v>
      </c>
      <c r="N64" s="28">
        <f>IFERROR(VLOOKUP(F64,Scoring!$A$4:$N$51,14,FALSE()),"-")</f>
        <v>1</v>
      </c>
      <c r="O64" s="28">
        <f>IFERROR(VLOOKUP(G64,Scoring!$A$4:$N$51,14,FALSE()),"-")</f>
        <v>3</v>
      </c>
      <c r="P64" s="29">
        <f>IFERROR(VLOOKUP(H64,Scoring!$A$4:$N$51,14,FALSE()),"-")</f>
        <v>3</v>
      </c>
      <c r="Q64" s="29">
        <f>IFERROR(VLOOKUP(I64,Scoring!$A$4:$N$51,6,FALSE()),"-")</f>
        <v>1.5</v>
      </c>
      <c r="R64" s="36">
        <f t="shared" si="3"/>
        <v>39.5</v>
      </c>
      <c r="S64">
        <f t="shared" si="4"/>
        <v>34</v>
      </c>
      <c r="T64">
        <f t="shared" si="5"/>
        <v>39.499935999999998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6</v>
      </c>
      <c r="K65" s="28">
        <f>IFERROR(VLOOKUP(C65,Scoring!$A$4:$N$51,14,FALSE())*4,"-")</f>
        <v>12</v>
      </c>
      <c r="L65" s="28">
        <f>IFERROR(VLOOKUP(D65,Scoring!$A$4:$N$51,14,FALSE())*3,"-")</f>
        <v>3</v>
      </c>
      <c r="M65" s="28">
        <f>IFERROR(VLOOKUP(E65,Scoring!$A$4:$N$51,14,FALSE())*2,"-")</f>
        <v>2</v>
      </c>
      <c r="N65" s="28">
        <f>IFERROR(VLOOKUP(F65,Scoring!$A$4:$N$51,14,FALSE()),"-")</f>
        <v>3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30.5</v>
      </c>
      <c r="S65">
        <f t="shared" si="4"/>
        <v>85</v>
      </c>
      <c r="T65">
        <f t="shared" si="5"/>
        <v>30.499935000000001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3</v>
      </c>
      <c r="O66" s="28">
        <f>IFERROR(VLOOKUP(G66,Scoring!$A$4:$N$51,14,FALSE()),"-")</f>
        <v>3</v>
      </c>
      <c r="P66" s="29">
        <f>IFERROR(VLOOKUP(H66,Scoring!$A$4:$N$51,14,FALSE()),"-")</f>
        <v>1</v>
      </c>
      <c r="Q66" s="29">
        <f>IFERROR(VLOOKUP(I66,Scoring!$A$4:$N$51,6,FALSE()),"-")</f>
        <v>0.5</v>
      </c>
      <c r="R66" s="36">
        <f t="shared" si="3"/>
        <v>28.5</v>
      </c>
      <c r="S66">
        <f t="shared" si="4"/>
        <v>96</v>
      </c>
      <c r="T66">
        <f t="shared" si="5"/>
        <v>28.499934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6</v>
      </c>
      <c r="N67" s="28">
        <f>IFERROR(VLOOKUP(F67,Scoring!$A$4:$N$51,14,FALSE()),"-")</f>
        <v>1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37</v>
      </c>
      <c r="S67">
        <f t="shared" si="4"/>
        <v>52</v>
      </c>
      <c r="T67">
        <f t="shared" si="5"/>
        <v>36.999932999999999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4</v>
      </c>
      <c r="L68" s="28">
        <f>IFERROR(VLOOKUP(D68,Scoring!$A$4:$N$51,14,FALSE())*3,"-")</f>
        <v>9</v>
      </c>
      <c r="M68" s="28">
        <f>IFERROR(VLOOKUP(E68,Scoring!$A$4:$N$51,14,FALSE())*2,"-")</f>
        <v>6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30.5</v>
      </c>
      <c r="S68">
        <f t="shared" ref="S68:S99" si="7">IF(A68="","",RANK(R68,$R$4:$R$119))</f>
        <v>85</v>
      </c>
      <c r="T68">
        <f t="shared" ref="T68:T99" si="8">IF(A68="",-1,R68-ROW(R68)/1000000)</f>
        <v>30.499932000000001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4</v>
      </c>
      <c r="L69" s="28">
        <f>IFERROR(VLOOKUP(D69,Scoring!$A$4:$N$51,14,FALSE())*3,"-")</f>
        <v>3</v>
      </c>
      <c r="M69" s="28">
        <f>IFERROR(VLOOKUP(E69,Scoring!$A$4:$N$51,14,FALSE())*2,"-")</f>
        <v>6</v>
      </c>
      <c r="N69" s="28">
        <f>IFERROR(VLOOKUP(F69,Scoring!$A$4:$N$51,14,FALSE()),"-")</f>
        <v>6</v>
      </c>
      <c r="O69" s="28">
        <f>IFERROR(VLOOKUP(G69,Scoring!$A$4:$N$51,14,FALSE()),"-")</f>
        <v>1</v>
      </c>
      <c r="P69" s="29">
        <f>IFERROR(VLOOKUP(H69,Scoring!$A$4:$N$51,14,FALSE()),"-")</f>
        <v>3</v>
      </c>
      <c r="Q69" s="29">
        <f>IFERROR(VLOOKUP(I69,Scoring!$A$4:$N$51,6,FALSE()),"-")</f>
        <v>0</v>
      </c>
      <c r="R69" s="36">
        <f t="shared" si="6"/>
        <v>41</v>
      </c>
      <c r="S69">
        <f t="shared" si="7"/>
        <v>22</v>
      </c>
      <c r="T69">
        <f t="shared" si="8"/>
        <v>40.999930999999997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3</v>
      </c>
      <c r="M70" s="28">
        <f>IFERROR(VLOOKUP(E70,Scoring!$A$4:$N$51,14,FALSE())*2,"-")</f>
        <v>2</v>
      </c>
      <c r="N70" s="28">
        <f>IFERROR(VLOOKUP(F70,Scoring!$A$4:$N$51,14,FALSE()),"-")</f>
        <v>3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40.5</v>
      </c>
      <c r="S70">
        <f t="shared" si="7"/>
        <v>25</v>
      </c>
      <c r="T70">
        <f t="shared" si="8"/>
        <v>40.499929999999999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4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3</v>
      </c>
      <c r="O71" s="28">
        <f>IFERROR(VLOOKUP(G71,Scoring!$A$4:$N$51,14,FALSE()),"-")</f>
        <v>3</v>
      </c>
      <c r="P71" s="29">
        <f>IFERROR(VLOOKUP(H71,Scoring!$A$4:$N$51,14,FALSE()),"-")</f>
        <v>1</v>
      </c>
      <c r="Q71" s="29">
        <f>IFERROR(VLOOKUP(I71,Scoring!$A$4:$N$51,6,FALSE()),"-")</f>
        <v>0</v>
      </c>
      <c r="R71" s="36">
        <f t="shared" si="6"/>
        <v>32</v>
      </c>
      <c r="S71">
        <f t="shared" si="7"/>
        <v>77</v>
      </c>
      <c r="T71">
        <f t="shared" si="8"/>
        <v>31.999929000000002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12</v>
      </c>
      <c r="L72" s="28">
        <f>IFERROR(VLOOKUP(D72,Scoring!$A$4:$N$51,14,FALSE())*3,"-")</f>
        <v>3</v>
      </c>
      <c r="M72" s="28">
        <f>IFERROR(VLOOKUP(E72,Scoring!$A$4:$N$51,14,FALSE())*2,"-")</f>
        <v>6</v>
      </c>
      <c r="N72" s="28">
        <f>IFERROR(VLOOKUP(F72,Scoring!$A$4:$N$51,14,FALSE()),"-")</f>
        <v>3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34</v>
      </c>
      <c r="S72">
        <f t="shared" si="7"/>
        <v>69</v>
      </c>
      <c r="T72">
        <f t="shared" si="8"/>
        <v>33.999927999999997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4</v>
      </c>
      <c r="L73" s="28">
        <f>IFERROR(VLOOKUP(D73,Scoring!$A$4:$N$51,14,FALSE())*3,"-")</f>
        <v>3</v>
      </c>
      <c r="M73" s="28">
        <f>IFERROR(VLOOKUP(E73,Scoring!$A$4:$N$51,14,FALSE())*2,"-")</f>
        <v>6</v>
      </c>
      <c r="N73" s="28">
        <f>IFERROR(VLOOKUP(F73,Scoring!$A$4:$N$51,14,FALSE()),"-")</f>
        <v>6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30.5</v>
      </c>
      <c r="S73">
        <f t="shared" si="7"/>
        <v>85</v>
      </c>
      <c r="T73">
        <f t="shared" si="8"/>
        <v>30.499927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2</v>
      </c>
      <c r="N74" s="28">
        <f>IFERROR(VLOOKUP(F74,Scoring!$A$4:$N$51,14,FALSE()),"-")</f>
        <v>4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39</v>
      </c>
      <c r="S74">
        <f t="shared" si="7"/>
        <v>39</v>
      </c>
      <c r="T74">
        <f t="shared" si="8"/>
        <v>38.999926000000002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4</v>
      </c>
      <c r="L75" s="28">
        <f>IFERROR(VLOOKUP(D75,Scoring!$A$4:$N$51,14,FALSE())*3,"-")</f>
        <v>3</v>
      </c>
      <c r="M75" s="28">
        <f>IFERROR(VLOOKUP(E75,Scoring!$A$4:$N$51,14,FALSE())*2,"-")</f>
        <v>6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0</v>
      </c>
      <c r="R75" s="36">
        <f t="shared" si="6"/>
        <v>35</v>
      </c>
      <c r="S75">
        <f t="shared" si="7"/>
        <v>63</v>
      </c>
      <c r="T75">
        <f t="shared" si="8"/>
        <v>34.999924999999998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6</v>
      </c>
      <c r="K76" s="28">
        <f>IFERROR(VLOOKUP(C76,Scoring!$A$4:$N$51,14,FALSE())*4,"-")</f>
        <v>12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6</v>
      </c>
      <c r="O76" s="28">
        <f>IFERROR(VLOOKUP(G76,Scoring!$A$4:$N$51,14,FALSE()),"-")</f>
        <v>4</v>
      </c>
      <c r="P76" s="29">
        <f>IFERROR(VLOOKUP(H76,Scoring!$A$4:$N$51,14,FALSE()),"-")</f>
        <v>3</v>
      </c>
      <c r="Q76" s="29">
        <f>IFERROR(VLOOKUP(I76,Scoring!$A$4:$N$51,6,FALSE()),"-")</f>
        <v>1.5</v>
      </c>
      <c r="R76" s="36">
        <f t="shared" si="6"/>
        <v>47.5</v>
      </c>
      <c r="S76">
        <f t="shared" si="7"/>
        <v>6</v>
      </c>
      <c r="T76">
        <f t="shared" si="8"/>
        <v>47.499924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12</v>
      </c>
      <c r="L77" s="28">
        <f>IFERROR(VLOOKUP(D77,Scoring!$A$4:$N$51,14,FALSE())*3,"-")</f>
        <v>9</v>
      </c>
      <c r="M77" s="28">
        <f>IFERROR(VLOOKUP(E77,Scoring!$A$4:$N$51,14,FALSE())*2,"-")</f>
        <v>2</v>
      </c>
      <c r="N77" s="28">
        <f>IFERROR(VLOOKUP(F77,Scoring!$A$4:$N$51,14,FALSE()),"-")</f>
        <v>6</v>
      </c>
      <c r="O77" s="28">
        <f>IFERROR(VLOOKUP(G77,Scoring!$A$4:$N$51,14,FALSE()),"-")</f>
        <v>4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39</v>
      </c>
      <c r="S77">
        <f t="shared" si="7"/>
        <v>39</v>
      </c>
      <c r="T77">
        <f t="shared" si="8"/>
        <v>38.999923000000003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18</v>
      </c>
      <c r="K78" s="28">
        <f>IFERROR(VLOOKUP(C78,Scoring!$A$4:$N$51,14,FALSE())*4,"-")</f>
        <v>4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4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45</v>
      </c>
      <c r="S78">
        <f t="shared" si="7"/>
        <v>12</v>
      </c>
      <c r="T78">
        <f t="shared" si="8"/>
        <v>44.999921999999998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6</v>
      </c>
      <c r="K79" s="28">
        <f>IFERROR(VLOOKUP(C79,Scoring!$A$4:$N$51,14,FALSE())*4,"-")</f>
        <v>4</v>
      </c>
      <c r="L79" s="28">
        <f>IFERROR(VLOOKUP(D79,Scoring!$A$4:$N$51,14,FALSE())*3,"-")</f>
        <v>3</v>
      </c>
      <c r="M79" s="28">
        <f>IFERROR(VLOOKUP(E79,Scoring!$A$4:$N$51,14,FALSE())*2,"-")</f>
        <v>6</v>
      </c>
      <c r="N79" s="28">
        <f>IFERROR(VLOOKUP(F79,Scoring!$A$4:$N$51,14,FALSE()),"-")</f>
        <v>0</v>
      </c>
      <c r="O79" s="28">
        <f>IFERROR(VLOOKUP(G79,Scoring!$A$4:$N$51,14,FALSE()),"-")</f>
        <v>4</v>
      </c>
      <c r="P79" s="29">
        <f>IFERROR(VLOOKUP(H79,Scoring!$A$4:$N$51,14,FALSE()),"-")</f>
        <v>3</v>
      </c>
      <c r="Q79" s="29">
        <f>IFERROR(VLOOKUP(I79,Scoring!$A$4:$N$51,6,FALSE()),"-")</f>
        <v>1.5</v>
      </c>
      <c r="R79" s="36">
        <f t="shared" si="6"/>
        <v>27.5</v>
      </c>
      <c r="S79">
        <f t="shared" si="7"/>
        <v>97</v>
      </c>
      <c r="T79">
        <f t="shared" si="8"/>
        <v>27.499921000000001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4</v>
      </c>
      <c r="L80" s="28">
        <f>IFERROR(VLOOKUP(D80,Scoring!$A$4:$N$51,14,FALSE())*3,"-")</f>
        <v>9</v>
      </c>
      <c r="M80" s="28">
        <f>IFERROR(VLOOKUP(E80,Scoring!$A$4:$N$51,14,FALSE())*2,"-")</f>
        <v>2</v>
      </c>
      <c r="N80" s="28">
        <f>IFERROR(VLOOKUP(F80,Scoring!$A$4:$N$51,14,FALSE()),"-")</f>
        <v>4</v>
      </c>
      <c r="O80" s="28">
        <f>IFERROR(VLOOKUP(G80,Scoring!$A$4:$N$51,14,FALSE()),"-")</f>
        <v>4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30</v>
      </c>
      <c r="S80">
        <f t="shared" si="7"/>
        <v>91</v>
      </c>
      <c r="T80">
        <f t="shared" si="8"/>
        <v>29.999919999999999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4</v>
      </c>
      <c r="L81" s="28">
        <f>IFERROR(VLOOKUP(D81,Scoring!$A$4:$N$51,14,FALSE())*3,"-")</f>
        <v>3</v>
      </c>
      <c r="M81" s="28">
        <f>IFERROR(VLOOKUP(E81,Scoring!$A$4:$N$51,14,FALSE())*2,"-")</f>
        <v>6</v>
      </c>
      <c r="N81" s="28">
        <f>IFERROR(VLOOKUP(F81,Scoring!$A$4:$N$51,14,FALSE()),"-")</f>
        <v>3</v>
      </c>
      <c r="O81" s="28">
        <f>IFERROR(VLOOKUP(G81,Scoring!$A$4:$N$51,14,FALSE()),"-")</f>
        <v>3</v>
      </c>
      <c r="P81" s="29">
        <f>IFERROR(VLOOKUP(H81,Scoring!$A$4:$N$51,14,FALSE()),"-")</f>
        <v>1</v>
      </c>
      <c r="Q81" s="29">
        <f>IFERROR(VLOOKUP(I81,Scoring!$A$4:$N$51,6,FALSE()),"-")</f>
        <v>1.5</v>
      </c>
      <c r="R81" s="36">
        <f t="shared" si="6"/>
        <v>39.5</v>
      </c>
      <c r="S81">
        <f t="shared" si="7"/>
        <v>34</v>
      </c>
      <c r="T81">
        <f t="shared" si="8"/>
        <v>39.499918999999998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12</v>
      </c>
      <c r="L82" s="28">
        <f>IFERROR(VLOOKUP(D82,Scoring!$A$4:$N$51,14,FALSE())*3,"-")</f>
        <v>9</v>
      </c>
      <c r="M82" s="28">
        <f>IFERROR(VLOOKUP(E82,Scoring!$A$4:$N$51,14,FALSE())*2,"-")</f>
        <v>2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39</v>
      </c>
      <c r="S82">
        <f t="shared" si="7"/>
        <v>39</v>
      </c>
      <c r="T82">
        <f t="shared" si="8"/>
        <v>38.999918000000001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6</v>
      </c>
      <c r="K83" s="28">
        <f>IFERROR(VLOOKUP(C83,Scoring!$A$4:$N$51,14,FALSE())*4,"-")</f>
        <v>12</v>
      </c>
      <c r="L83" s="28">
        <f>IFERROR(VLOOKUP(D83,Scoring!$A$4:$N$51,14,FALSE())*3,"-")</f>
        <v>3</v>
      </c>
      <c r="M83" s="28">
        <f>IFERROR(VLOOKUP(E83,Scoring!$A$4:$N$51,14,FALSE())*2,"-")</f>
        <v>6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0</v>
      </c>
      <c r="Q83" s="29">
        <f>IFERROR(VLOOKUP(I83,Scoring!$A$4:$N$51,6,FALSE()),"-")</f>
        <v>0.5</v>
      </c>
      <c r="R83" s="36">
        <f t="shared" si="6"/>
        <v>30.5</v>
      </c>
      <c r="S83">
        <f t="shared" si="7"/>
        <v>85</v>
      </c>
      <c r="T83">
        <f t="shared" si="8"/>
        <v>30.499917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6</v>
      </c>
      <c r="N84" s="28">
        <f>IFERROR(VLOOKUP(F84,Scoring!$A$4:$N$51,14,FALSE()),"-")</f>
        <v>3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40</v>
      </c>
      <c r="S84">
        <f t="shared" si="7"/>
        <v>30</v>
      </c>
      <c r="T84">
        <f t="shared" si="8"/>
        <v>39.999915999999999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4</v>
      </c>
      <c r="L85" s="28">
        <f>IFERROR(VLOOKUP(D85,Scoring!$A$4:$N$51,14,FALSE())*3,"-")</f>
        <v>9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22</v>
      </c>
      <c r="S85">
        <f t="shared" si="7"/>
        <v>104</v>
      </c>
      <c r="T85">
        <f t="shared" si="8"/>
        <v>21.999915000000001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12</v>
      </c>
      <c r="L86" s="28">
        <f>IFERROR(VLOOKUP(D86,Scoring!$A$4:$N$51,14,FALSE())*3,"-")</f>
        <v>9</v>
      </c>
      <c r="M86" s="28">
        <f>IFERROR(VLOOKUP(E86,Scoring!$A$4:$N$51,14,FALSE())*2,"-")</f>
        <v>6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37</v>
      </c>
      <c r="S86">
        <f t="shared" si="7"/>
        <v>52</v>
      </c>
      <c r="T86">
        <f t="shared" si="8"/>
        <v>36.999913999999997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3</v>
      </c>
      <c r="M87" s="28">
        <f>IFERROR(VLOOKUP(E87,Scoring!$A$4:$N$51,14,FALSE())*2,"-")</f>
        <v>2</v>
      </c>
      <c r="N87" s="28">
        <f>IFERROR(VLOOKUP(F87,Scoring!$A$4:$N$51,14,FALSE()),"-")</f>
        <v>6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47.5</v>
      </c>
      <c r="S87">
        <f t="shared" si="7"/>
        <v>6</v>
      </c>
      <c r="T87">
        <f t="shared" si="8"/>
        <v>47.499912999999999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4</v>
      </c>
      <c r="L88" s="28">
        <f>IFERROR(VLOOKUP(D88,Scoring!$A$4:$N$51,14,FALSE())*3,"-")</f>
        <v>3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35.5</v>
      </c>
      <c r="S88">
        <f t="shared" si="7"/>
        <v>60</v>
      </c>
      <c r="T88">
        <f t="shared" si="8"/>
        <v>35.499912000000002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4</v>
      </c>
      <c r="L89" s="28">
        <f>IFERROR(VLOOKUP(D89,Scoring!$A$4:$N$51,14,FALSE())*3,"-")</f>
        <v>3</v>
      </c>
      <c r="M89" s="28">
        <f>IFERROR(VLOOKUP(E89,Scoring!$A$4:$N$51,14,FALSE())*2,"-")</f>
        <v>2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31</v>
      </c>
      <c r="S89">
        <f t="shared" si="7"/>
        <v>82</v>
      </c>
      <c r="T89">
        <f t="shared" si="8"/>
        <v>30.999911000000001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4</v>
      </c>
      <c r="L90" s="28">
        <f>IFERROR(VLOOKUP(D90,Scoring!$A$4:$N$51,14,FALSE())*3,"-")</f>
        <v>9</v>
      </c>
      <c r="M90" s="28">
        <f>IFERROR(VLOOKUP(E90,Scoring!$A$4:$N$51,14,FALSE())*2,"-")</f>
        <v>2</v>
      </c>
      <c r="N90" s="28">
        <f>IFERROR(VLOOKUP(F90,Scoring!$A$4:$N$51,14,FALSE()),"-")</f>
        <v>1</v>
      </c>
      <c r="O90" s="28">
        <f>IFERROR(VLOOKUP(G90,Scoring!$A$4:$N$51,14,FALSE()),"-")</f>
        <v>3</v>
      </c>
      <c r="P90" s="29">
        <f>IFERROR(VLOOKUP(H90,Scoring!$A$4:$N$51,14,FALSE()),"-")</f>
        <v>1</v>
      </c>
      <c r="Q90" s="29">
        <f>IFERROR(VLOOKUP(I90,Scoring!$A$4:$N$51,6,FALSE()),"-")</f>
        <v>1.5</v>
      </c>
      <c r="R90" s="36">
        <f t="shared" si="6"/>
        <v>39.5</v>
      </c>
      <c r="S90">
        <f t="shared" si="7"/>
        <v>34</v>
      </c>
      <c r="T90">
        <f t="shared" si="8"/>
        <v>39.49991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12</v>
      </c>
      <c r="L91" s="28">
        <f>IFERROR(VLOOKUP(D91,Scoring!$A$4:$N$51,14,FALSE())*3,"-")</f>
        <v>9</v>
      </c>
      <c r="M91" s="28">
        <f>IFERROR(VLOOKUP(E91,Scoring!$A$4:$N$51,14,FALSE())*2,"-")</f>
        <v>2</v>
      </c>
      <c r="N91" s="28">
        <f>IFERROR(VLOOKUP(F91,Scoring!$A$4:$N$51,14,FALSE()),"-")</f>
        <v>3</v>
      </c>
      <c r="O91" s="28">
        <f>IFERROR(VLOOKUP(G91,Scoring!$A$4:$N$51,14,FALSE()),"-")</f>
        <v>3</v>
      </c>
      <c r="P91" s="29">
        <f>IFERROR(VLOOKUP(H91,Scoring!$A$4:$N$51,14,FALSE()),"-")</f>
        <v>3</v>
      </c>
      <c r="Q91" s="29">
        <f>IFERROR(VLOOKUP(I91,Scoring!$A$4:$N$51,6,FALSE()),"-")</f>
        <v>0</v>
      </c>
      <c r="R91" s="36">
        <f t="shared" si="6"/>
        <v>38</v>
      </c>
      <c r="S91">
        <f t="shared" si="7"/>
        <v>46</v>
      </c>
      <c r="T91">
        <f t="shared" si="8"/>
        <v>37.999909000000002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6</v>
      </c>
      <c r="K92" s="28">
        <f>IFERROR(VLOOKUP(C92,Scoring!$A$4:$N$51,14,FALSE())*4,"-")</f>
        <v>12</v>
      </c>
      <c r="L92" s="28">
        <f>IFERROR(VLOOKUP(D92,Scoring!$A$4:$N$51,14,FALSE())*3,"-")</f>
        <v>3</v>
      </c>
      <c r="M92" s="28">
        <f>IFERROR(VLOOKUP(E92,Scoring!$A$4:$N$51,14,FALSE())*2,"-")</f>
        <v>2</v>
      </c>
      <c r="N92" s="28">
        <f>IFERROR(VLOOKUP(F92,Scoring!$A$4:$N$51,14,FALSE()),"-")</f>
        <v>6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34.5</v>
      </c>
      <c r="S92">
        <f t="shared" si="7"/>
        <v>65</v>
      </c>
      <c r="T92">
        <f t="shared" si="8"/>
        <v>34.499907999999998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12</v>
      </c>
      <c r="L93" s="28">
        <f>IFERROR(VLOOKUP(D93,Scoring!$A$4:$N$51,14,FALSE())*3,"-")</f>
        <v>9</v>
      </c>
      <c r="M93" s="28">
        <f>IFERROR(VLOOKUP(E93,Scoring!$A$4:$N$51,14,FALSE())*2,"-")</f>
        <v>2</v>
      </c>
      <c r="N93" s="28">
        <f>IFERROR(VLOOKUP(F93,Scoring!$A$4:$N$51,14,FALSE()),"-")</f>
        <v>6</v>
      </c>
      <c r="O93" s="28">
        <f>IFERROR(VLOOKUP(G93,Scoring!$A$4:$N$51,14,FALSE()),"-")</f>
        <v>3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39</v>
      </c>
      <c r="S93">
        <f t="shared" si="7"/>
        <v>39</v>
      </c>
      <c r="T93">
        <f t="shared" si="8"/>
        <v>38.999907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12</v>
      </c>
      <c r="L94" s="28">
        <f>IFERROR(VLOOKUP(D94,Scoring!$A$4:$N$51,14,FALSE())*3,"-")</f>
        <v>9</v>
      </c>
      <c r="M94" s="28">
        <f>IFERROR(VLOOKUP(E94,Scoring!$A$4:$N$51,14,FALSE())*2,"-")</f>
        <v>2</v>
      </c>
      <c r="N94" s="28">
        <f>IFERROR(VLOOKUP(F94,Scoring!$A$4:$N$51,14,FALSE()),"-")</f>
        <v>6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39.5</v>
      </c>
      <c r="S94">
        <f t="shared" si="7"/>
        <v>34</v>
      </c>
      <c r="T94">
        <f t="shared" si="8"/>
        <v>39.499906000000003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12</v>
      </c>
      <c r="L95" s="28">
        <f>IFERROR(VLOOKUP(D95,Scoring!$A$4:$N$51,14,FALSE())*3,"-")</f>
        <v>3</v>
      </c>
      <c r="M95" s="28">
        <f>IFERROR(VLOOKUP(E95,Scoring!$A$4:$N$51,14,FALSE())*2,"-")</f>
        <v>6</v>
      </c>
      <c r="N95" s="28">
        <f>IFERROR(VLOOKUP(F95,Scoring!$A$4:$N$51,14,FALSE()),"-")</f>
        <v>6</v>
      </c>
      <c r="O95" s="28">
        <f>IFERROR(VLOOKUP(G95,Scoring!$A$4:$N$51,14,FALSE()),"-")</f>
        <v>3</v>
      </c>
      <c r="P95" s="29">
        <f>IFERROR(VLOOKUP(H95,Scoring!$A$4:$N$51,14,FALSE()),"-")</f>
        <v>3</v>
      </c>
      <c r="Q95" s="29">
        <f>IFERROR(VLOOKUP(I95,Scoring!$A$4:$N$51,6,FALSE()),"-")</f>
        <v>0</v>
      </c>
      <c r="R95" s="36">
        <f t="shared" si="6"/>
        <v>51</v>
      </c>
      <c r="S95">
        <f t="shared" si="7"/>
        <v>2</v>
      </c>
      <c r="T95">
        <f t="shared" si="8"/>
        <v>50.999904999999998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4</v>
      </c>
      <c r="L96" s="28">
        <f>IFERROR(VLOOKUP(D96,Scoring!$A$4:$N$51,14,FALSE())*3,"-")</f>
        <v>3</v>
      </c>
      <c r="M96" s="28">
        <f>IFERROR(VLOOKUP(E96,Scoring!$A$4:$N$51,14,FALSE())*2,"-")</f>
        <v>6</v>
      </c>
      <c r="N96" s="28">
        <f>IFERROR(VLOOKUP(F96,Scoring!$A$4:$N$51,14,FALSE()),"-")</f>
        <v>3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38</v>
      </c>
      <c r="S96">
        <f t="shared" si="7"/>
        <v>46</v>
      </c>
      <c r="T96">
        <f t="shared" si="8"/>
        <v>37.999904000000001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4</v>
      </c>
      <c r="L97" s="28">
        <f>IFERROR(VLOOKUP(D97,Scoring!$A$4:$N$51,14,FALSE())*3,"-")</f>
        <v>3</v>
      </c>
      <c r="M97" s="28">
        <f>IFERROR(VLOOKUP(E97,Scoring!$A$4:$N$51,14,FALSE())*2,"-")</f>
        <v>2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30.5</v>
      </c>
      <c r="S97">
        <f t="shared" si="7"/>
        <v>85</v>
      </c>
      <c r="T97">
        <f t="shared" si="8"/>
        <v>30.499903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18</v>
      </c>
      <c r="K98" s="28">
        <f>IFERROR(VLOOKUP(C98,Scoring!$A$4:$N$51,14,FALSE())*4,"-")</f>
        <v>4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3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44</v>
      </c>
      <c r="S98">
        <f t="shared" si="7"/>
        <v>15</v>
      </c>
      <c r="T98">
        <f t="shared" si="8"/>
        <v>43.999901999999999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4</v>
      </c>
      <c r="L99" s="28">
        <f>IFERROR(VLOOKUP(D99,Scoring!$A$4:$N$51,14,FALSE())*3,"-")</f>
        <v>3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33.5</v>
      </c>
      <c r="S99">
        <f t="shared" si="7"/>
        <v>71</v>
      </c>
      <c r="T99">
        <f t="shared" si="8"/>
        <v>33.499901000000001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4</v>
      </c>
      <c r="L100" s="28">
        <f>IFERROR(VLOOKUP(D100,Scoring!$A$4:$N$51,14,FALSE())*3,"-")</f>
        <v>9</v>
      </c>
      <c r="M100" s="28">
        <f>IFERROR(VLOOKUP(E100,Scoring!$A$4:$N$51,14,FALSE())*2,"-")</f>
        <v>2</v>
      </c>
      <c r="N100" s="28">
        <f>IFERROR(VLOOKUP(F100,Scoring!$A$4:$N$51,14,FALSE()),"-")</f>
        <v>1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23</v>
      </c>
      <c r="S100">
        <f t="shared" ref="S100:S119" si="10">IF(A100="","",RANK(R100,$R$4:$R$119))</f>
        <v>102</v>
      </c>
      <c r="T100">
        <f t="shared" ref="T100:T119" si="11">IF(A100="",-1,R100-ROW(R100)/1000000)</f>
        <v>22.9999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4</v>
      </c>
      <c r="L101" s="28">
        <f>IFERROR(VLOOKUP(D101,Scoring!$A$4:$N$51,14,FALSE())*3,"-")</f>
        <v>3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34.5</v>
      </c>
      <c r="S101">
        <f t="shared" si="10"/>
        <v>65</v>
      </c>
      <c r="T101">
        <f t="shared" si="11"/>
        <v>34.499898999999999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12</v>
      </c>
      <c r="L102" s="28">
        <f>IFERROR(VLOOKUP(D102,Scoring!$A$4:$N$51,14,FALSE())*3,"-")</f>
        <v>9</v>
      </c>
      <c r="M102" s="28">
        <f>IFERROR(VLOOKUP(E102,Scoring!$A$4:$N$51,14,FALSE())*2,"-")</f>
        <v>6</v>
      </c>
      <c r="N102" s="28">
        <f>IFERROR(VLOOKUP(F102,Scoring!$A$4:$N$51,14,FALSE()),"-")</f>
        <v>6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43</v>
      </c>
      <c r="S102">
        <f t="shared" si="10"/>
        <v>17</v>
      </c>
      <c r="T102">
        <f t="shared" si="11"/>
        <v>42.999898000000002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6</v>
      </c>
      <c r="K103" s="28">
        <f>IFERROR(VLOOKUP(C103,Scoring!$A$4:$N$51,14,FALSE())*4,"-")</f>
        <v>4</v>
      </c>
      <c r="L103" s="28">
        <f>IFERROR(VLOOKUP(D103,Scoring!$A$4:$N$51,14,FALSE())*3,"-")</f>
        <v>9</v>
      </c>
      <c r="M103" s="28">
        <f>IFERROR(VLOOKUP(E103,Scoring!$A$4:$N$51,14,FALSE())*2,"-")</f>
        <v>6</v>
      </c>
      <c r="N103" s="28">
        <f>IFERROR(VLOOKUP(F103,Scoring!$A$4:$N$51,14,FALSE()),"-")</f>
        <v>4</v>
      </c>
      <c r="O103" s="28">
        <f>IFERROR(VLOOKUP(G103,Scoring!$A$4:$N$51,14,FALSE()),"-")</f>
        <v>1</v>
      </c>
      <c r="P103" s="29">
        <f>IFERROR(VLOOKUP(H103,Scoring!$A$4:$N$51,14,FALSE()),"-")</f>
        <v>3</v>
      </c>
      <c r="Q103" s="29">
        <f>IFERROR(VLOOKUP(I103,Scoring!$A$4:$N$51,6,FALSE()),"-")</f>
        <v>0</v>
      </c>
      <c r="R103" s="36">
        <f t="shared" si="9"/>
        <v>33</v>
      </c>
      <c r="S103">
        <f t="shared" si="10"/>
        <v>73</v>
      </c>
      <c r="T103">
        <f t="shared" si="11"/>
        <v>32.999896999999997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12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1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32.5</v>
      </c>
      <c r="S104">
        <f t="shared" si="10"/>
        <v>75</v>
      </c>
      <c r="T104">
        <f t="shared" si="11"/>
        <v>32.499896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4</v>
      </c>
      <c r="L105" s="28">
        <f>IFERROR(VLOOKUP(D105,Scoring!$A$4:$N$51,14,FALSE())*3,"-")</f>
        <v>3</v>
      </c>
      <c r="M105" s="28">
        <f>IFERROR(VLOOKUP(E105,Scoring!$A$4:$N$51,14,FALSE())*2,"-")</f>
        <v>6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35.5</v>
      </c>
      <c r="S105">
        <f t="shared" si="10"/>
        <v>60</v>
      </c>
      <c r="T105">
        <f t="shared" si="11"/>
        <v>35.499895000000002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12</v>
      </c>
      <c r="L106" s="28">
        <f>IFERROR(VLOOKUP(D106,Scoring!$A$4:$N$51,14,FALSE())*3,"-")</f>
        <v>9</v>
      </c>
      <c r="M106" s="28">
        <f>IFERROR(VLOOKUP(E106,Scoring!$A$4:$N$51,14,FALSE())*2,"-")</f>
        <v>6</v>
      </c>
      <c r="N106" s="28">
        <f>IFERROR(VLOOKUP(F106,Scoring!$A$4:$N$51,14,FALSE()),"-")</f>
        <v>6</v>
      </c>
      <c r="O106" s="28">
        <f>IFERROR(VLOOKUP(G106,Scoring!$A$4:$N$51,14,FALSE()),"-")</f>
        <v>4</v>
      </c>
      <c r="P106" s="29">
        <f>IFERROR(VLOOKUP(H106,Scoring!$A$4:$N$51,14,FALSE()),"-")</f>
        <v>3</v>
      </c>
      <c r="Q106" s="29">
        <f>IFERROR(VLOOKUP(I106,Scoring!$A$4:$N$51,6,FALSE()),"-")</f>
        <v>1.5</v>
      </c>
      <c r="R106" s="36">
        <f t="shared" si="9"/>
        <v>47.5</v>
      </c>
      <c r="S106">
        <f t="shared" si="10"/>
        <v>6</v>
      </c>
      <c r="T106">
        <f t="shared" si="11"/>
        <v>47.499893999999998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6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23.5</v>
      </c>
      <c r="S107">
        <f t="shared" si="10"/>
        <v>101</v>
      </c>
      <c r="T107">
        <f t="shared" si="11"/>
        <v>23.499893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12</v>
      </c>
      <c r="L108" s="28">
        <f>IFERROR(VLOOKUP(D108,Scoring!$A$4:$N$51,14,FALSE())*3,"-")</f>
        <v>3</v>
      </c>
      <c r="M108" s="28">
        <f>IFERROR(VLOOKUP(E108,Scoring!$A$4:$N$51,14,FALSE())*2,"-")</f>
        <v>2</v>
      </c>
      <c r="N108" s="28">
        <f>IFERROR(VLOOKUP(F108,Scoring!$A$4:$N$51,14,FALSE()),"-")</f>
        <v>6</v>
      </c>
      <c r="O108" s="28">
        <f>IFERROR(VLOOKUP(G108,Scoring!$A$4:$N$51,14,FALSE()),"-")</f>
        <v>4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47.5</v>
      </c>
      <c r="S108">
        <f t="shared" si="10"/>
        <v>6</v>
      </c>
      <c r="T108">
        <f t="shared" si="11"/>
        <v>47.499892000000003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1.5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7.5</v>
      </c>
      <c r="N4" s="110">
        <f t="shared" ref="N4:N51" si="1">M4-F4</f>
        <v>6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3.5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7.5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1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2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3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2.5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6.5</v>
      </c>
      <c r="N11" s="110">
        <f t="shared" si="1"/>
        <v>4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0.5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1.5</v>
      </c>
      <c r="N44" s="110">
        <f t="shared" si="1"/>
        <v>1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1.5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4.5</v>
      </c>
      <c r="N47" s="110">
        <f t="shared" si="1"/>
        <v>3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5</v>
      </c>
      <c r="N48" s="110">
        <f t="shared" si="1"/>
        <v>3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3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3.5</v>
      </c>
      <c r="N50" s="110">
        <f t="shared" si="1"/>
        <v>3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2026-06-19T02:56:35Z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