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F4A456A0-4BC7-4EBD-B8EB-ADC91EDFB6A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M26" i="6" s="1"/>
  <c r="N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9" i="6" l="1"/>
  <c r="N9" i="6" s="1"/>
  <c r="M29" i="6"/>
  <c r="N29" i="6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O85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O11" i="3"/>
  <c r="O59" i="3"/>
  <c r="O5" i="3"/>
  <c r="O72" i="3"/>
  <c r="O40" i="3"/>
  <c r="O39" i="3"/>
  <c r="O89" i="3"/>
  <c r="O73" i="3"/>
  <c r="M62" i="3"/>
  <c r="M36" i="3"/>
  <c r="N90" i="3"/>
  <c r="N105" i="3"/>
  <c r="N53" i="3"/>
  <c r="N48" i="3"/>
  <c r="N54" i="3"/>
  <c r="N5" i="3"/>
  <c r="N56" i="3"/>
  <c r="N63" i="3"/>
  <c r="N104" i="3"/>
  <c r="P29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49" i="3"/>
  <c r="P15" i="3"/>
  <c r="P73" i="3"/>
  <c r="P31" i="3"/>
  <c r="P80" i="3"/>
  <c r="P96" i="3"/>
  <c r="P102" i="3"/>
  <c r="P108" i="3"/>
  <c r="P74" i="3"/>
  <c r="P92" i="3"/>
  <c r="P68" i="3"/>
  <c r="P89" i="3"/>
  <c r="P43" i="3"/>
  <c r="P101" i="3"/>
  <c r="P45" i="3"/>
  <c r="P98" i="3"/>
  <c r="P44" i="3"/>
  <c r="P97" i="3"/>
  <c r="P78" i="3"/>
  <c r="P62" i="3"/>
  <c r="P14" i="3"/>
  <c r="P40" i="3"/>
  <c r="P13" i="3"/>
  <c r="P88" i="3"/>
  <c r="P16" i="3"/>
  <c r="P72" i="3"/>
  <c r="P53" i="3"/>
  <c r="P85" i="3"/>
  <c r="P18" i="3"/>
  <c r="P86" i="3"/>
  <c r="P105" i="3"/>
  <c r="P25" i="3"/>
  <c r="P52" i="3"/>
  <c r="P51" i="3"/>
  <c r="P11" i="3"/>
  <c r="P46" i="3"/>
  <c r="P8" i="3"/>
  <c r="P60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O97" i="3"/>
  <c r="O54" i="3"/>
  <c r="O57" i="3"/>
  <c r="O63" i="3"/>
  <c r="O105" i="3"/>
  <c r="O18" i="3"/>
  <c r="O103" i="3"/>
  <c r="O101" i="3"/>
  <c r="O99" i="3"/>
  <c r="O100" i="3"/>
  <c r="O69" i="3"/>
  <c r="O70" i="3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P77" i="3"/>
  <c r="P12" i="3"/>
  <c r="M44" i="6"/>
  <c r="N44" i="6" s="1"/>
  <c r="Q31" i="3"/>
  <c r="Q83" i="3"/>
  <c r="Q54" i="3"/>
  <c r="M21" i="6"/>
  <c r="N21" i="6" s="1"/>
  <c r="M18" i="6"/>
  <c r="N18" i="6" s="1"/>
  <c r="O32" i="3" l="1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R68" i="3"/>
  <c r="T68" i="3" s="1"/>
  <c r="R46" i="3"/>
  <c r="T46" i="3" s="1"/>
  <c r="R38" i="3"/>
  <c r="T38" i="3" s="1"/>
  <c r="R50" i="3"/>
  <c r="T50" i="3" s="1"/>
  <c r="T62" i="3"/>
  <c r="T42" i="3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L6" i="2" s="1"/>
  <c r="Q8" i="2"/>
  <c r="R8" i="2" s="1"/>
  <c r="L8" i="2" s="1"/>
  <c r="Q7" i="2"/>
  <c r="R7" i="2" s="1"/>
  <c r="Q5" i="2"/>
  <c r="R5" i="2" s="1"/>
  <c r="L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7" i="2" l="1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<sst xmlns="http://schemas.openxmlformats.org/spreadsheetml/2006/main" count="6931" uniqueCount="1447">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</sst>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2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4" borderId="4" xfId="0" applyFont="1" applyFill="1" applyBorder="1" applyAlignment="1">
      <alignment horizontal="right"/>
    </xf>
    <xf numFmtId="0" fontId="45" fillId="5" borderId="0" xfId="0" applyFont="1" applyFill="1" applyAlignment="1">
      <alignment horizontal="center" vertical="center"/>
    </xf>
    <xf numFmtId="0" fontId="45" fillId="4" borderId="4" xfId="0" applyFont="1" applyFill="1" applyBorder="1" applyAlignment="1">
      <alignment horizontal="left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53" activePane="bottomLeft" state="frozen"/>
      <selection pane="bottomLeft" activeCell="G69" sqref="G69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2" t="s">
        <v>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</row>
    <row r="2" spans="1:67" ht="12.75" customHeight="1" x14ac:dyDescent="0.3">
      <c r="A2" s="153" t="str">
        <f>"Times shown in GMT" &amp; IF(GmtOffset=0,"",IF(GmtOffset&gt;0," + "&amp;GmtOffset&amp;"h"," "&amp;GmtOffset&amp;"h"))</f>
        <v>Times shown in GMT + 2h</v>
      </c>
      <c r="B2" s="153"/>
      <c r="C2" s="153"/>
      <c r="D2" s="153"/>
      <c r="E2" s="153"/>
      <c r="F2" s="153"/>
      <c r="G2" s="153"/>
      <c r="H2" s="153"/>
      <c r="I2" s="15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4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4"/>
      <c r="S3" s="155" t="s">
        <v>2</v>
      </c>
      <c r="T3" s="155"/>
      <c r="U3" s="155"/>
      <c r="V3" s="155"/>
      <c r="W3" s="155" t="s">
        <v>3</v>
      </c>
      <c r="X3" s="155"/>
      <c r="Y3" s="155"/>
      <c r="Z3" s="155"/>
      <c r="AA3" s="155" t="s">
        <v>4</v>
      </c>
      <c r="AB3" s="155"/>
      <c r="AC3" s="155"/>
      <c r="AD3" s="155"/>
      <c r="AE3" s="155" t="s">
        <v>5</v>
      </c>
      <c r="AF3" s="155"/>
      <c r="AG3" s="155"/>
      <c r="AH3" s="155"/>
      <c r="AI3" s="155" t="s">
        <v>6</v>
      </c>
      <c r="AJ3" s="155"/>
      <c r="AK3" s="155"/>
      <c r="AL3" s="155"/>
      <c r="AM3" s="3"/>
      <c r="AN3" s="3"/>
    </row>
    <row r="4" spans="1:67" ht="27.75" customHeight="1" x14ac:dyDescent="0.55000000000000004">
      <c r="A4" s="154"/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154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8" t="s">
        <v>14</v>
      </c>
      <c r="L5" s="148"/>
      <c r="M5" s="148"/>
      <c r="N5" s="148"/>
      <c r="O5" s="148"/>
      <c r="P5" s="148"/>
      <c r="Q5" s="148"/>
      <c r="S5" s="9" t="str">
        <f>IF((COUNTIF($F$5:$G$76,"&gt;=0")=144),IFERROR(INDEX($AP$81:$AP$92,1),"Runner-up A"),"Runner-up A")</f>
        <v>South Africa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5" t="s">
        <v>45</v>
      </c>
      <c r="F33" s="146">
        <v>2</v>
      </c>
      <c r="G33" s="146">
        <v>1</v>
      </c>
      <c r="H33" s="147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5" t="s">
        <v>41</v>
      </c>
      <c r="F34" s="146">
        <v>0</v>
      </c>
      <c r="G34" s="146">
        <v>2</v>
      </c>
      <c r="H34" s="147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9" t="s">
        <v>52</v>
      </c>
      <c r="AJ38" s="149"/>
      <c r="AK38" s="149"/>
      <c r="AL38" s="149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0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0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1" t="s">
        <v>59</v>
      </c>
      <c r="AJ42" s="151"/>
      <c r="AK42" s="151"/>
      <c r="AL42" s="151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6">
        <v>1</v>
      </c>
      <c r="G63" s="146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6">
        <v>3</v>
      </c>
      <c r="G64" s="146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6">
        <v>0</v>
      </c>
      <c r="G69" s="146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6">
        <v>3</v>
      </c>
      <c r="G70" s="146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6">
        <v>0</v>
      </c>
      <c r="G75" s="146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6">
        <v>2</v>
      </c>
      <c r="G76" s="146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6" t="s">
        <v>92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N1" s="157" t="s">
        <v>93</v>
      </c>
      <c r="O1" s="157"/>
      <c r="P1" s="157"/>
      <c r="Q1" s="157"/>
      <c r="R1" s="157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Aurimas Šumbrauskis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142.5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214.5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Renata Čižauskienė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142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214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Simona Jociūtė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141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213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Davide Speranza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144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68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212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Simas Baubonis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139.5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211.5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Benas&amp;Šaras Oleknavičius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139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211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 xml:space="preserve">Paulius Bernotas 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138.5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210.5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2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Benediktas Babraitis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138.5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210.5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Artem Lavrov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142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68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210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Todor Velikov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137.5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209.5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Zaur Yusubov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137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209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Gianmarco Monti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137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209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Susie Wolke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136.5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208.5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Kamran Mikayilov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136.5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208.5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Ivan Manev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136.5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208.5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13</v>
      </c>
      <c r="B19" s="27" t="str">
        <f>IF(16&gt;COUNTIF(' Toto teams'!$A$4:$A$119,"&lt;&gt;"),"",INDEX(' Toto teams'!$A$4:$A$119,MATCH(LARGE(' Toto teams'!$T$4:$T$119,16),' Toto teams'!$T$4:$T$119,0)))</f>
        <v>Elijus Benetis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136.5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208.5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13</v>
      </c>
      <c r="B20" s="27" t="str">
        <f>IF(17&gt;COUNTIF(' Toto teams'!$A$4:$A$119,"&lt;&gt;"),"",INDEX(' Toto teams'!$A$4:$A$119,MATCH(LARGE(' Toto teams'!$T$4:$T$119,17),' Toto teams'!$T$4:$T$119,0)))</f>
        <v>Deividas Jančius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136.5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208.5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Sergey Zhaltuchin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207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Raimondas Juška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207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18</v>
      </c>
      <c r="B23" s="27" t="str">
        <f>IF(20&gt;COUNTIF(' Toto teams'!$A$4:$A$119,"&lt;&gt;"),"",INDEX(' Toto teams'!$A$4:$A$119,MATCH(LARGE(' Toto teams'!$T$4:$T$119,20),' Toto teams'!$T$4:$T$119,0)))</f>
        <v>Arnoldas Molis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207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Dainius Breivė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134.5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206.5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Justinas Novoruckis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134.5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206.5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Donatas Bakėjus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134.5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206.5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21</v>
      </c>
      <c r="B27" s="27" t="str">
        <f>IF(24&gt;COUNTIF(' Toto teams'!$A$4:$A$119,"&lt;&gt;"),"",INDEX(' Toto teams'!$A$4:$A$119,MATCH(LARGE(' Toto teams'!$T$4:$T$119,24),' Toto teams'!$T$4:$T$119,0)))</f>
        <v>Giedrius Stanulis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134.5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206.5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21</v>
      </c>
      <c r="B28" s="27" t="str">
        <f>IF(25&gt;COUNTIF(' Toto teams'!$A$4:$A$119,"&lt;&gt;"),"",INDEX(' Toto teams'!$A$4:$A$119,MATCH(LARGE(' Toto teams'!$T$4:$T$119,25),' Toto teams'!$T$4:$T$119,0)))</f>
        <v>Vaidas Pažusys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206.5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21</v>
      </c>
      <c r="B29" s="27" t="str">
        <f>IF(26&gt;COUNTIF(' Toto teams'!$A$4:$A$119,"&lt;&gt;"),"",INDEX(' Toto teams'!$A$4:$A$119,MATCH(LARGE(' Toto teams'!$T$4:$T$119,26),' Toto teams'!$T$4:$T$119,0)))</f>
        <v>Darius Jalo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134.5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206.5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Donatas Pocius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133.5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205.5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27</v>
      </c>
      <c r="B31" s="27" t="str">
        <f>IF(28&gt;COUNTIF(' Toto teams'!$A$4:$A$119,"&lt;&gt;"),"",INDEX(' Toto teams'!$A$4:$A$119,MATCH(LARGE(' Toto teams'!$T$4:$T$119,28),' Toto teams'!$T$4:$T$119,0)))</f>
        <v>Enrico Ancarola, Pietro Rivera, Riccardo Gatti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133.5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205.5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27</v>
      </c>
      <c r="B32" s="27" t="str">
        <f>IF(29&gt;COUNTIF(' Toto teams'!$A$4:$A$119,"&lt;&gt;"),"",INDEX(' Toto teams'!$A$4:$A$119,MATCH(LARGE(' Toto teams'!$T$4:$T$119,29),' Toto teams'!$T$4:$T$119,0)))</f>
        <v>Donatas Keras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133.5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205.5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27</v>
      </c>
      <c r="B33" s="27" t="str">
        <f>IF(30&gt;COUNTIF(' Toto teams'!$A$4:$A$119,"&lt;&gt;"),"",INDEX(' Toto teams'!$A$4:$A$119,MATCH(LARGE(' Toto teams'!$T$4:$T$119,30),' Toto teams'!$T$4:$T$119,0)))</f>
        <v>Nadia Mercurio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205.5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Slava Maltsev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68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205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Audi club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137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205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Saulius Lileikis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132.5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204.5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33</v>
      </c>
      <c r="B37" s="27" t="str">
        <f>IF(34&gt;COUNTIF(' Toto teams'!$A$4:$A$119,"&lt;&gt;"),"",INDEX(' Toto teams'!$A$4:$A$119,MATCH(LARGE(' Toto teams'!$T$4:$T$119,34),' Toto teams'!$T$4:$T$119,0)))</f>
        <v>Alberto Canova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132.5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204.5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33</v>
      </c>
      <c r="B38" s="27" t="str">
        <f>IF(35&gt;COUNTIF(' Toto teams'!$A$4:$A$119,"&lt;&gt;"),"",INDEX(' Toto teams'!$A$4:$A$119,MATCH(LARGE(' Toto teams'!$T$4:$T$119,35),' Toto teams'!$T$4:$T$119,0)))</f>
        <v>Paulina Bungardė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132.5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204.5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33</v>
      </c>
      <c r="B39" s="27" t="str">
        <f>IF(36&gt;COUNTIF(' Toto teams'!$A$4:$A$119,"&lt;&gt;"),"",INDEX(' Toto teams'!$A$4:$A$119,MATCH(LARGE(' Toto teams'!$T$4:$T$119,36),' Toto teams'!$T$4:$T$119,0)))</f>
        <v>Pijus Jalo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136.5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204.5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Benas Bruzga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132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204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Martynas Bruzga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131.5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203.5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Tomas Šunskis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131.5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203.5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38</v>
      </c>
      <c r="B43" s="27" t="str">
        <f>IF(40&gt;COUNTIF(' Toto teams'!$A$4:$A$119,"&lt;&gt;"),"",INDEX(' Toto teams'!$A$4:$A$119,MATCH(LARGE(' Toto teams'!$T$4:$T$119,40),' Toto teams'!$T$4:$T$119,0)))</f>
        <v>Gintautas Beržanskis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131.5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203.5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Partrikas Oleknavičius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131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203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41</v>
      </c>
      <c r="B45" s="27" t="str">
        <f>IF(42&gt;COUNTIF(' Toto teams'!$A$4:$A$119,"&lt;&gt;"),"",INDEX(' Toto teams'!$A$4:$A$119,MATCH(LARGE(' Toto teams'!$T$4:$T$119,42),' Toto teams'!$T$4:$T$119,0)))</f>
        <v>Gintas Bungarda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203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Benas VII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138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64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202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Virginija Čižauskienė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134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202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43</v>
      </c>
      <c r="B48" s="27" t="str">
        <f>IF(45&gt;COUNTIF(' Toto teams'!$A$4:$A$119,"&lt;&gt;"),"",INDEX(' Toto teams'!$A$4:$A$119,MATCH(LARGE(' Toto teams'!$T$4:$T$119,45),' Toto teams'!$T$4:$T$119,0)))</f>
        <v>Ernesta Čebienė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130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202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Juozas Žimkus Jr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129.5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201.5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Yagub Alizada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129.5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201.5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Danielius Pažusys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133.5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68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201.5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Dobilas III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129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72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201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49</v>
      </c>
      <c r="B53" s="27" t="str">
        <f>IF(50&gt;COUNTIF(' Toto teams'!$A$4:$A$119,"&lt;&gt;"),"",INDEX(' Toto teams'!$A$4:$A$119,MATCH(LARGE(' Toto teams'!$T$4:$T$119,50),' Toto teams'!$T$4:$T$119,0)))</f>
        <v>Gedas Girdžiūnas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133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68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201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Saulius Pipiras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128.5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200.5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51</v>
      </c>
      <c r="B55" s="27" t="str">
        <f>IF(52&gt;COUNTIF(' Toto teams'!$A$4:$A$119,"&lt;&gt;"),"",INDEX(' Toto teams'!$A$4:$A$119,MATCH(LARGE(' Toto teams'!$T$4:$T$119,52),' Toto teams'!$T$4:$T$119,0)))</f>
        <v>Simonas Sipavičius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132.5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200.5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51</v>
      </c>
      <c r="B56" s="27" t="str">
        <f>IF(53&gt;COUNTIF(' Toto teams'!$A$4:$A$119,"&lt;&gt;"),"",INDEX(' Toto teams'!$A$4:$A$119,MATCH(LARGE(' Toto teams'!$T$4:$T$119,53),' Toto teams'!$T$4:$T$119,0)))</f>
        <v>Jonas Juška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132.5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200.5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51</v>
      </c>
      <c r="B57" s="27" t="str">
        <f>IF(54&gt;COUNTIF(' Toto teams'!$A$4:$A$119,"&lt;&gt;"),"",INDEX(' Toto teams'!$A$4:$A$119,MATCH(LARGE(' Toto teams'!$T$4:$T$119,54),' Toto teams'!$T$4:$T$119,0)))</f>
        <v>Tihomir Chakarov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128.5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200.5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Giedrius Šadbaras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199.5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Jokūbas Kušleika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131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199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Rustam Roikov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129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197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Simonas Anikinas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197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57</v>
      </c>
      <c r="B62" s="27" t="str">
        <f>IF(59&gt;COUNTIF(' Toto teams'!$A$4:$A$119,"&lt;&gt;"),"",INDEX(' Toto teams'!$A$4:$A$119,MATCH(LARGE(' Toto teams'!$T$4:$T$119,59),' Toto teams'!$T$4:$T$119,0)))</f>
        <v>Gintas Bungarda 2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125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197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Sigitas Petraitis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124.5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196.5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Aurimas Oleknavičius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124.5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196.5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Sofus Wolke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124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196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Karolis Marcinkevičius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128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68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196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62</v>
      </c>
      <c r="B67" s="27" t="str">
        <f>IF(64&gt;COUNTIF(' Toto teams'!$A$4:$A$119,"&lt;&gt;"),"",INDEX(' Toto teams'!$A$4:$A$119,MATCH(LARGE(' Toto teams'!$T$4:$T$119,64),' Toto teams'!$T$4:$T$119,0)))</f>
        <v>Titas Jodenis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124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196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Edgar Moroz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123.5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195.5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Algirdas Čižauskas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122.5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194.5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Andrea Signorini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126.5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194.5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66</v>
      </c>
      <c r="B71" s="27" t="str">
        <f>IF(68&gt;COUNTIF(' Toto teams'!$A$4:$A$119,"&lt;&gt;"),"",INDEX(' Toto teams'!$A$4:$A$119,MATCH(LARGE(' Toto teams'!$T$4:$T$119,68),' Toto teams'!$T$4:$T$119,0)))</f>
        <v>Rolandas Urbelis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126.5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194.5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66</v>
      </c>
      <c r="B72" s="27" t="str">
        <f>IF(69&gt;COUNTIF(' Toto teams'!$A$4:$A$119,"&lt;&gt;"),"",INDEX(' Toto teams'!$A$4:$A$119,MATCH(LARGE(' Toto teams'!$T$4:$T$119,69),' Toto teams'!$T$4:$T$119,0)))</f>
        <v>Paolo Papiri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126.5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68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194.5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Evelina Tiščenkė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130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64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194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Dovilė Smetonė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125.5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68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193.5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Kristina I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121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193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Edita Oršauskė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124.5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192.5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Nikolay Lenkov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124.5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192.5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73</v>
      </c>
      <c r="B78" s="27" t="str">
        <f>IF(75&gt;COUNTIF(' Toto teams'!$A$4:$A$119,"&lt;&gt;"),"",INDEX(' Toto teams'!$A$4:$A$119,MATCH(LARGE(' Toto teams'!$T$4:$T$119,75),' Toto teams'!$T$4:$T$119,0)))</f>
        <v>Mindaugas Čižauskas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128.5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64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192.5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73</v>
      </c>
      <c r="B79" s="27" t="str">
        <f>IF(76&gt;COUNTIF(' Toto teams'!$A$4:$A$119,"&lt;&gt;"),"",INDEX(' Toto teams'!$A$4:$A$119,MATCH(LARGE(' Toto teams'!$T$4:$T$119,76),' Toto teams'!$T$4:$T$119,0)))</f>
        <v>Arūnas Čižauskas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120.5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192.5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Žygimantas Ryliškis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124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192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Thomas Wolke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123.5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191.5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78</v>
      </c>
      <c r="B82" s="27" t="str">
        <f>IF(79&gt;COUNTIF(' Toto teams'!$A$4:$A$119,"&lt;&gt;"),"",INDEX(' Toto teams'!$A$4:$A$119,MATCH(LARGE(' Toto teams'!$T$4:$T$119,79),' Toto teams'!$T$4:$T$119,0)))</f>
        <v>Mario Calvi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123.5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191.5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Miglė Juškaitė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119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191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Vytautas Gliaubicas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122.5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190.5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81</v>
      </c>
      <c r="B85" s="27" t="str">
        <f>IF(82&gt;COUNTIF(' Toto teams'!$A$4:$A$119,"&lt;&gt;"),"",INDEX(' Toto teams'!$A$4:$A$119,MATCH(LARGE(' Toto teams'!$T$4:$T$119,82),' Toto teams'!$T$4:$T$119,0)))</f>
        <v>Mindaugas Sipavičius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118.5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72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190.5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Joris Jalo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119.5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187.5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83</v>
      </c>
      <c r="B87" s="27" t="str">
        <f>IF(84&gt;COUNTIF(' Toto teams'!$A$4:$A$119,"&lt;&gt;"),"",INDEX(' Toto teams'!$A$4:$A$119,MATCH(LARGE(' Toto teams'!$T$4:$T$119,84),' Toto teams'!$T$4:$T$119,0)))</f>
        <v>Rimas Baubonis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115.5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72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187.5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83</v>
      </c>
      <c r="B88" s="27" t="str">
        <f>IF(85&gt;COUNTIF(' Toto teams'!$A$4:$A$119,"&lt;&gt;"),"",INDEX(' Toto teams'!$A$4:$A$119,MATCH(LARGE(' Toto teams'!$T$4:$T$119,85),' Toto teams'!$T$4:$T$119,0)))</f>
        <v>Sigitas Šarauskis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123.5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64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187.5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Anton Panasenko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119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68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187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Lukas Vaitukaitis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119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68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187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Egidijus Mačiukas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118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186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Sampaio Carlos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114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186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Dainius Visackas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113.5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185.5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90</v>
      </c>
      <c r="B94" s="27" t="str">
        <f>IF(91&gt;COUNTIF(' Toto teams'!$A$4:$A$119,"&lt;&gt;"),"",INDEX(' Toto teams'!$A$4:$A$119,MATCH(LARGE(' Toto teams'!$T$4:$T$119,91),' Toto teams'!$T$4:$T$119,0)))</f>
        <v>Egidijus Navickas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117.5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68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185.5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Giuseppe Diana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117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68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185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Tomas Bruzga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112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184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Deividas Jodenis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119.5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64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183.5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Eugenijus Petrošius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111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183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Jurga Šantaraitė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68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183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Alius Antulis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114.5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68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182.5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97</v>
      </c>
      <c r="B101" s="27" t="str">
        <f>IF(98&gt;COUNTIF(' Toto teams'!$A$4:$A$119,"&lt;&gt;"),"",INDEX(' Toto teams'!$A$4:$A$119,MATCH(LARGE(' Toto teams'!$T$4:$T$119,98),' Toto teams'!$T$4:$T$119,0)))</f>
        <v>Alexey Nikitenko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118.5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64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182.5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97</v>
      </c>
      <c r="B102" s="27" t="str">
        <f>IF(99&gt;COUNTIF(' Toto teams'!$A$4:$A$119,"&lt;&gt;"),"",INDEX(' Toto teams'!$A$4:$A$119,MATCH(LARGE(' Toto teams'!$T$4:$T$119,99),' Toto teams'!$T$4:$T$119,0)))</f>
        <v>N&amp;A Pociai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114.5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68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182.5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Lukas Danielevičius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121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60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181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Denis Kazarezov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68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180.5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Donatas Celesius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115.5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64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179.5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Vytautas Podrezas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68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179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113.5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64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177.5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52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149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D1" zoomScale="112" zoomScaleNormal="60" workbookViewId="0">
      <pane ySplit="3" topLeftCell="A65" activePane="bottomLeft" state="frozen"/>
      <selection pane="bottomLeft" activeCell="O77" sqref="O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8" t="s">
        <v>112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66</v>
      </c>
      <c r="K4" s="28">
        <f>IFERROR(VLOOKUP(C4,Scoring!$A$4:$N$51,14,FALSE())*4,"-")</f>
        <v>52</v>
      </c>
      <c r="L4" s="28">
        <f>IFERROR(VLOOKUP(D4,Scoring!$A$4:$N$51,14,FALSE())*3,"-")</f>
        <v>33</v>
      </c>
      <c r="M4" s="28">
        <f>IFERROR(VLOOKUP(E4,Scoring!$A$4:$N$51,14,FALSE())*2,"-")</f>
        <v>22</v>
      </c>
      <c r="N4" s="28">
        <f>IFERROR(VLOOKUP(F4,Scoring!$A$4:$N$51,14,FALSE()),"-")</f>
        <v>11</v>
      </c>
      <c r="O4" s="28">
        <f>IFERROR(VLOOKUP(G4,Scoring!$A$4:$N$51,14,FALSE()),"-")</f>
        <v>10</v>
      </c>
      <c r="P4" s="29">
        <f>IFERROR(VLOOKUP(H4,Scoring!$A$4:$N$51,14,FALSE()),"-")</f>
        <v>8</v>
      </c>
      <c r="Q4" s="29">
        <f>IFERROR(VLOOKUP(I4,Scoring!$A$4:$N$51,6,FALSE()),"-")</f>
        <v>2.5</v>
      </c>
      <c r="R4" s="36">
        <f t="shared" ref="R4:R35" si="0">IF(A4="","-",SUM(J4:Q4))</f>
        <v>204.5</v>
      </c>
      <c r="S4">
        <f t="shared" ref="S4:S35" si="1">IF(A4="","",RANK(R4,$R$4:$R$119))</f>
        <v>33</v>
      </c>
      <c r="T4">
        <f t="shared" ref="T4:T35" si="2">IF(A4="",-1,R4-ROW(R4)/1000000)</f>
        <v>204.49999600000001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78</v>
      </c>
      <c r="K5" s="28">
        <f>IFERROR(VLOOKUP(C5,Scoring!$A$4:$N$51,14,FALSE())*4,"-")</f>
        <v>36</v>
      </c>
      <c r="L5" s="28">
        <f>IFERROR(VLOOKUP(D5,Scoring!$A$4:$N$51,14,FALSE())*3,"-")</f>
        <v>33</v>
      </c>
      <c r="M5" s="28">
        <f>IFERROR(VLOOKUP(E5,Scoring!$A$4:$N$51,14,FALSE())*2,"-")</f>
        <v>22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5</v>
      </c>
      <c r="R5" s="36">
        <f t="shared" si="0"/>
        <v>192</v>
      </c>
      <c r="S5">
        <f t="shared" si="1"/>
        <v>77</v>
      </c>
      <c r="T5">
        <f t="shared" si="2"/>
        <v>191.99999500000001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78</v>
      </c>
      <c r="K6" s="28">
        <f>IFERROR(VLOOKUP(C6,Scoring!$A$4:$N$51,14,FALSE())*4,"-")</f>
        <v>44</v>
      </c>
      <c r="L6" s="28">
        <f>IFERROR(VLOOKUP(D6,Scoring!$A$4:$N$51,14,FALSE())*3,"-")</f>
        <v>39</v>
      </c>
      <c r="M6" s="28">
        <f>IFERROR(VLOOKUP(E6,Scoring!$A$4:$N$51,14,FALSE())*2,"-")</f>
        <v>18</v>
      </c>
      <c r="N6" s="28">
        <f>IFERROR(VLOOKUP(F6,Scoring!$A$4:$N$51,14,FALSE()),"-")</f>
        <v>11</v>
      </c>
      <c r="O6" s="28">
        <f>IFERROR(VLOOKUP(G6,Scoring!$A$4:$N$51,14,FALSE()),"-")</f>
        <v>10</v>
      </c>
      <c r="P6" s="29">
        <f>IFERROR(VLOOKUP(H6,Scoring!$A$4:$N$51,14,FALSE()),"-")</f>
        <v>0</v>
      </c>
      <c r="Q6" s="29">
        <f>IFERROR(VLOOKUP(I6,Scoring!$A$4:$N$51,6,FALSE()),"-")</f>
        <v>5</v>
      </c>
      <c r="R6" s="36">
        <f t="shared" si="0"/>
        <v>205</v>
      </c>
      <c r="S6">
        <f t="shared" si="1"/>
        <v>31</v>
      </c>
      <c r="T6">
        <f t="shared" si="2"/>
        <v>204.99999399999999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66</v>
      </c>
      <c r="K7" s="28">
        <f>IFERROR(VLOOKUP(C7,Scoring!$A$4:$N$51,14,FALSE())*4,"-")</f>
        <v>52</v>
      </c>
      <c r="L7" s="28">
        <f>IFERROR(VLOOKUP(D7,Scoring!$A$4:$N$51,14,FALSE())*3,"-")</f>
        <v>33</v>
      </c>
      <c r="M7" s="28">
        <f>IFERROR(VLOOKUP(E7,Scoring!$A$4:$N$51,14,FALSE())*2,"-")</f>
        <v>18</v>
      </c>
      <c r="N7" s="28">
        <f>IFERROR(VLOOKUP(F7,Scoring!$A$4:$N$51,14,FALSE()),"-")</f>
        <v>9</v>
      </c>
      <c r="O7" s="28">
        <f>IFERROR(VLOOKUP(G7,Scoring!$A$4:$N$51,14,FALSE()),"-")</f>
        <v>10</v>
      </c>
      <c r="P7" s="29">
        <f>IFERROR(VLOOKUP(H7,Scoring!$A$4:$N$51,14,FALSE()),"-")</f>
        <v>0</v>
      </c>
      <c r="Q7" s="29">
        <f>IFERROR(VLOOKUP(I7,Scoring!$A$4:$N$51,6,FALSE()),"-")</f>
        <v>3.5</v>
      </c>
      <c r="R7" s="36">
        <f t="shared" si="0"/>
        <v>191.5</v>
      </c>
      <c r="S7">
        <f t="shared" si="1"/>
        <v>78</v>
      </c>
      <c r="T7">
        <f t="shared" si="2"/>
        <v>191.49999299999999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66</v>
      </c>
      <c r="K8" s="28">
        <f>IFERROR(VLOOKUP(C8,Scoring!$A$4:$N$51,14,FALSE())*4,"-")</f>
        <v>36</v>
      </c>
      <c r="L8" s="28">
        <f>IFERROR(VLOOKUP(D8,Scoring!$A$4:$N$51,14,FALSE())*3,"-")</f>
        <v>39</v>
      </c>
      <c r="M8" s="28">
        <f>IFERROR(VLOOKUP(E8,Scoring!$A$4:$N$51,14,FALSE())*2,"-")</f>
        <v>22</v>
      </c>
      <c r="N8" s="28">
        <f>IFERROR(VLOOKUP(F8,Scoring!$A$4:$N$51,14,FALSE()),"-")</f>
        <v>11</v>
      </c>
      <c r="O8" s="28">
        <f>IFERROR(VLOOKUP(G8,Scoring!$A$4:$N$51,14,FALSE()),"-")</f>
        <v>10</v>
      </c>
      <c r="P8" s="29">
        <f>IFERROR(VLOOKUP(H8,Scoring!$A$4:$N$51,14,FALSE()),"-")</f>
        <v>8</v>
      </c>
      <c r="Q8" s="29">
        <f>IFERROR(VLOOKUP(I8,Scoring!$A$4:$N$51,6,FALSE()),"-")</f>
        <v>4</v>
      </c>
      <c r="R8" s="36">
        <f t="shared" si="0"/>
        <v>196</v>
      </c>
      <c r="S8">
        <f t="shared" si="1"/>
        <v>62</v>
      </c>
      <c r="T8">
        <f t="shared" si="2"/>
        <v>195.99999199999999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52</v>
      </c>
      <c r="L9" s="28">
        <f>IFERROR(VLOOKUP(D9,Scoring!$A$4:$N$51,14,FALSE())*3,"-")</f>
        <v>39</v>
      </c>
      <c r="M9" s="28">
        <f>IFERROR(VLOOKUP(E9,Scoring!$A$4:$N$51,14,FALSE())*2,"-")</f>
        <v>22</v>
      </c>
      <c r="N9" s="28">
        <f>IFERROR(VLOOKUP(F9,Scoring!$A$4:$N$51,14,FALSE()),"-")</f>
        <v>9</v>
      </c>
      <c r="O9" s="28">
        <f>IFERROR(VLOOKUP(G9,Scoring!$A$4:$N$51,14,FALSE()),"-")</f>
        <v>10</v>
      </c>
      <c r="P9" s="29">
        <f>IFERROR(VLOOKUP(H9,Scoring!$A$4:$N$51,14,FALSE()),"-")</f>
        <v>8</v>
      </c>
      <c r="Q9" s="29">
        <f>IFERROR(VLOOKUP(I9,Scoring!$A$4:$N$51,6,FALSE()),"-")</f>
        <v>2.5</v>
      </c>
      <c r="R9" s="36">
        <f t="shared" si="0"/>
        <v>208.5</v>
      </c>
      <c r="S9">
        <f t="shared" si="1"/>
        <v>13</v>
      </c>
      <c r="T9">
        <f t="shared" si="2"/>
        <v>208.49999099999999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54</v>
      </c>
      <c r="K10" s="28">
        <f>IFERROR(VLOOKUP(C10,Scoring!$A$4:$N$51,14,FALSE())*4,"-")</f>
        <v>44</v>
      </c>
      <c r="L10" s="28">
        <f>IFERROR(VLOOKUP(D10,Scoring!$A$4:$N$51,14,FALSE())*3,"-")</f>
        <v>39</v>
      </c>
      <c r="M10" s="28">
        <f>IFERROR(VLOOKUP(E10,Scoring!$A$4:$N$51,14,FALSE())*2,"-")</f>
        <v>20</v>
      </c>
      <c r="N10" s="28">
        <f>IFERROR(VLOOKUP(F10,Scoring!$A$4:$N$51,14,FALSE()),"-")</f>
        <v>11</v>
      </c>
      <c r="O10" s="28">
        <f>IFERROR(VLOOKUP(G10,Scoring!$A$4:$N$51,14,FALSE()),"-")</f>
        <v>10</v>
      </c>
      <c r="P10" s="29">
        <f>IFERROR(VLOOKUP(H10,Scoring!$A$4:$N$51,14,FALSE()),"-")</f>
        <v>0</v>
      </c>
      <c r="Q10" s="29">
        <f>IFERROR(VLOOKUP(I10,Scoring!$A$4:$N$51,6,FALSE()),"-")</f>
        <v>2.5</v>
      </c>
      <c r="R10" s="36">
        <f t="shared" si="0"/>
        <v>180.5</v>
      </c>
      <c r="S10">
        <f t="shared" si="1"/>
        <v>101</v>
      </c>
      <c r="T10">
        <f t="shared" si="2"/>
        <v>180.49999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66</v>
      </c>
      <c r="K11" s="28">
        <f>IFERROR(VLOOKUP(C11,Scoring!$A$4:$N$51,14,FALSE())*4,"-")</f>
        <v>52</v>
      </c>
      <c r="L11" s="28">
        <f>IFERROR(VLOOKUP(D11,Scoring!$A$4:$N$51,14,FALSE())*3,"-")</f>
        <v>27</v>
      </c>
      <c r="M11" s="28">
        <f>IFERROR(VLOOKUP(E11,Scoring!$A$4:$N$51,14,FALSE())*2,"-")</f>
        <v>22</v>
      </c>
      <c r="N11" s="28">
        <f>IFERROR(VLOOKUP(F11,Scoring!$A$4:$N$51,14,FALSE()),"-")</f>
        <v>10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3.5</v>
      </c>
      <c r="R11" s="36">
        <f t="shared" si="0"/>
        <v>196.5</v>
      </c>
      <c r="S11">
        <f t="shared" si="1"/>
        <v>60</v>
      </c>
      <c r="T11">
        <f t="shared" si="2"/>
        <v>196.499989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78</v>
      </c>
      <c r="K12" s="28">
        <f>IFERROR(VLOOKUP(C12,Scoring!$A$4:$N$51,14,FALSE())*4,"-")</f>
        <v>52</v>
      </c>
      <c r="L12" s="28">
        <f>IFERROR(VLOOKUP(D12,Scoring!$A$4:$N$51,14,FALSE())*3,"-")</f>
        <v>33</v>
      </c>
      <c r="M12" s="28">
        <f>IFERROR(VLOOKUP(E12,Scoring!$A$4:$N$51,14,FALSE())*2,"-")</f>
        <v>22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5</v>
      </c>
      <c r="R12" s="36">
        <f t="shared" si="0"/>
        <v>202</v>
      </c>
      <c r="S12">
        <f t="shared" si="1"/>
        <v>43</v>
      </c>
      <c r="T12">
        <f t="shared" si="2"/>
        <v>201.999988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66</v>
      </c>
      <c r="K13" s="28">
        <f>IFERROR(VLOOKUP(C13,Scoring!$A$4:$N$51,14,FALSE())*4,"-")</f>
        <v>44</v>
      </c>
      <c r="L13" s="28">
        <f>IFERROR(VLOOKUP(D13,Scoring!$A$4:$N$51,14,FALSE())*3,"-")</f>
        <v>39</v>
      </c>
      <c r="M13" s="28">
        <f>IFERROR(VLOOKUP(E13,Scoring!$A$4:$N$51,14,FALSE())*2,"-")</f>
        <v>22</v>
      </c>
      <c r="N13" s="28">
        <f>IFERROR(VLOOKUP(F13,Scoring!$A$4:$N$51,14,FALSE()),"-")</f>
        <v>11</v>
      </c>
      <c r="O13" s="28">
        <f>IFERROR(VLOOKUP(G13,Scoring!$A$4:$N$51,14,FALSE()),"-")</f>
        <v>8</v>
      </c>
      <c r="P13" s="29">
        <f>IFERROR(VLOOKUP(H13,Scoring!$A$4:$N$51,14,FALSE()),"-")</f>
        <v>8</v>
      </c>
      <c r="Q13" s="29">
        <f>IFERROR(VLOOKUP(I13,Scoring!$A$4:$N$51,6,FALSE()),"-")</f>
        <v>3</v>
      </c>
      <c r="R13" s="36">
        <f t="shared" si="0"/>
        <v>201</v>
      </c>
      <c r="S13">
        <f t="shared" si="1"/>
        <v>49</v>
      </c>
      <c r="T13">
        <f t="shared" si="2"/>
        <v>200.999987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44</v>
      </c>
      <c r="L14" s="28">
        <f>IFERROR(VLOOKUP(D14,Scoring!$A$4:$N$51,14,FALSE())*3,"-")</f>
        <v>33</v>
      </c>
      <c r="M14" s="28">
        <f>IFERROR(VLOOKUP(E14,Scoring!$A$4:$N$51,14,FALSE())*2,"-")</f>
        <v>18</v>
      </c>
      <c r="N14" s="28">
        <f>IFERROR(VLOOKUP(F14,Scoring!$A$4:$N$51,14,FALSE()),"-")</f>
        <v>11</v>
      </c>
      <c r="O14" s="28">
        <f>IFERROR(VLOOKUP(G14,Scoring!$A$4:$N$51,14,FALSE()),"-")</f>
        <v>8</v>
      </c>
      <c r="P14" s="29">
        <f>IFERROR(VLOOKUP(H14,Scoring!$A$4:$N$51,14,FALSE()),"-")</f>
        <v>8</v>
      </c>
      <c r="Q14" s="29">
        <f>IFERROR(VLOOKUP(I14,Scoring!$A$4:$N$51,6,FALSE()),"-")</f>
        <v>5</v>
      </c>
      <c r="R14" s="36">
        <f t="shared" si="0"/>
        <v>193</v>
      </c>
      <c r="S14">
        <f t="shared" si="1"/>
        <v>72</v>
      </c>
      <c r="T14">
        <f t="shared" si="2"/>
        <v>192.99998600000001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66</v>
      </c>
      <c r="K15" s="28">
        <f>IFERROR(VLOOKUP(C15,Scoring!$A$4:$N$51,14,FALSE())*4,"-")</f>
        <v>44</v>
      </c>
      <c r="L15" s="28">
        <f>IFERROR(VLOOKUP(D15,Scoring!$A$4:$N$51,14,FALSE())*3,"-")</f>
        <v>27</v>
      </c>
      <c r="M15" s="28">
        <f>IFERROR(VLOOKUP(E15,Scoring!$A$4:$N$51,14,FALSE())*2,"-")</f>
        <v>22</v>
      </c>
      <c r="N15" s="28">
        <f>IFERROR(VLOOKUP(F15,Scoring!$A$4:$N$51,14,FALSE()),"-")</f>
        <v>3</v>
      </c>
      <c r="O15" s="28">
        <f>IFERROR(VLOOKUP(G15,Scoring!$A$4:$N$51,14,FALSE()),"-")</f>
        <v>10</v>
      </c>
      <c r="P15" s="29">
        <f>IFERROR(VLOOKUP(H15,Scoring!$A$4:$N$51,14,FALSE()),"-")</f>
        <v>8</v>
      </c>
      <c r="Q15" s="29">
        <f>IFERROR(VLOOKUP(I15,Scoring!$A$4:$N$51,6,FALSE()),"-")</f>
        <v>2.5</v>
      </c>
      <c r="R15" s="36">
        <f t="shared" si="0"/>
        <v>182.5</v>
      </c>
      <c r="S15">
        <f t="shared" si="1"/>
        <v>97</v>
      </c>
      <c r="T15">
        <f t="shared" si="2"/>
        <v>182.49998500000001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78</v>
      </c>
      <c r="K16" s="28">
        <f>IFERROR(VLOOKUP(C16,Scoring!$A$4:$N$51,14,FALSE())*4,"-")</f>
        <v>44</v>
      </c>
      <c r="L16" s="28">
        <f>IFERROR(VLOOKUP(D16,Scoring!$A$4:$N$51,14,FALSE())*3,"-")</f>
        <v>33</v>
      </c>
      <c r="M16" s="28">
        <f>IFERROR(VLOOKUP(E16,Scoring!$A$4:$N$51,14,FALSE())*2,"-")</f>
        <v>26</v>
      </c>
      <c r="N16" s="28">
        <f>IFERROR(VLOOKUP(F16,Scoring!$A$4:$N$51,14,FALSE()),"-")</f>
        <v>10</v>
      </c>
      <c r="O16" s="28">
        <f>IFERROR(VLOOKUP(G16,Scoring!$A$4:$N$51,14,FALSE()),"-")</f>
        <v>8</v>
      </c>
      <c r="P16" s="29">
        <f>IFERROR(VLOOKUP(H16,Scoring!$A$4:$N$51,14,FALSE()),"-")</f>
        <v>8</v>
      </c>
      <c r="Q16" s="29">
        <f>IFERROR(VLOOKUP(I16,Scoring!$A$4:$N$51,6,FALSE()),"-")</f>
        <v>2.5</v>
      </c>
      <c r="R16" s="36">
        <f t="shared" si="0"/>
        <v>209.5</v>
      </c>
      <c r="S16">
        <f t="shared" si="1"/>
        <v>10</v>
      </c>
      <c r="T16">
        <f t="shared" si="2"/>
        <v>209.49998400000001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66</v>
      </c>
      <c r="K17" s="28">
        <f>IFERROR(VLOOKUP(C17,Scoring!$A$4:$N$51,14,FALSE())*4,"-")</f>
        <v>44</v>
      </c>
      <c r="L17" s="28">
        <f>IFERROR(VLOOKUP(D17,Scoring!$A$4:$N$51,14,FALSE())*3,"-")</f>
        <v>39</v>
      </c>
      <c r="M17" s="28">
        <f>IFERROR(VLOOKUP(E17,Scoring!$A$4:$N$51,14,FALSE())*2,"-")</f>
        <v>22</v>
      </c>
      <c r="N17" s="28">
        <f>IFERROR(VLOOKUP(F17,Scoring!$A$4:$N$51,14,FALSE()),"-")</f>
        <v>10</v>
      </c>
      <c r="O17" s="28">
        <f>IFERROR(VLOOKUP(G17,Scoring!$A$4:$N$51,14,FALSE()),"-")</f>
        <v>10</v>
      </c>
      <c r="P17" s="29">
        <f>IFERROR(VLOOKUP(H17,Scoring!$A$4:$N$51,14,FALSE()),"-")</f>
        <v>1</v>
      </c>
      <c r="Q17" s="29">
        <f>IFERROR(VLOOKUP(I17,Scoring!$A$4:$N$51,6,FALSE()),"-")</f>
        <v>4</v>
      </c>
      <c r="R17" s="36">
        <f t="shared" si="0"/>
        <v>196</v>
      </c>
      <c r="S17">
        <f t="shared" si="1"/>
        <v>62</v>
      </c>
      <c r="T17">
        <f t="shared" si="2"/>
        <v>195.99998299999999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78</v>
      </c>
      <c r="K18" s="28">
        <f>IFERROR(VLOOKUP(C18,Scoring!$A$4:$N$51,14,FALSE())*4,"-")</f>
        <v>36</v>
      </c>
      <c r="L18" s="28">
        <f>IFERROR(VLOOKUP(D18,Scoring!$A$4:$N$51,14,FALSE())*3,"-")</f>
        <v>33</v>
      </c>
      <c r="M18" s="28">
        <f>IFERROR(VLOOKUP(E18,Scoring!$A$4:$N$51,14,FALSE())*2,"-")</f>
        <v>26</v>
      </c>
      <c r="N18" s="28">
        <f>IFERROR(VLOOKUP(F18,Scoring!$A$4:$N$51,14,FALSE()),"-")</f>
        <v>13</v>
      </c>
      <c r="O18" s="28">
        <f>IFERROR(VLOOKUP(G18,Scoring!$A$4:$N$51,14,FALSE()),"-")</f>
        <v>9</v>
      </c>
      <c r="P18" s="29">
        <f>IFERROR(VLOOKUP(H18,Scoring!$A$4:$N$51,14,FALSE()),"-")</f>
        <v>8</v>
      </c>
      <c r="Q18" s="29">
        <f>IFERROR(VLOOKUP(I18,Scoring!$A$4:$N$51,6,FALSE()),"-")</f>
        <v>2.5</v>
      </c>
      <c r="R18" s="36">
        <f t="shared" si="0"/>
        <v>205.5</v>
      </c>
      <c r="S18">
        <f t="shared" si="1"/>
        <v>27</v>
      </c>
      <c r="T18">
        <f t="shared" si="2"/>
        <v>205.49998199999999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66</v>
      </c>
      <c r="K19" s="28">
        <f>IFERROR(VLOOKUP(C19,Scoring!$A$4:$N$51,14,FALSE())*4,"-")</f>
        <v>52</v>
      </c>
      <c r="L19" s="28">
        <f>IFERROR(VLOOKUP(D19,Scoring!$A$4:$N$51,14,FALSE())*3,"-")</f>
        <v>39</v>
      </c>
      <c r="M19" s="28">
        <f>IFERROR(VLOOKUP(E19,Scoring!$A$4:$N$51,14,FALSE())*2,"-")</f>
        <v>18</v>
      </c>
      <c r="N19" s="28">
        <f>IFERROR(VLOOKUP(F19,Scoring!$A$4:$N$51,14,FALSE()),"-")</f>
        <v>13</v>
      </c>
      <c r="O19" s="28">
        <f>IFERROR(VLOOKUP(G19,Scoring!$A$4:$N$51,14,FALSE()),"-")</f>
        <v>10</v>
      </c>
      <c r="P19" s="29">
        <f>IFERROR(VLOOKUP(H19,Scoring!$A$4:$N$51,14,FALSE()),"-")</f>
        <v>8</v>
      </c>
      <c r="Q19" s="29">
        <f>IFERROR(VLOOKUP(I19,Scoring!$A$4:$N$51,6,FALSE()),"-")</f>
        <v>2.5</v>
      </c>
      <c r="R19" s="36">
        <f t="shared" si="0"/>
        <v>208.5</v>
      </c>
      <c r="S19">
        <f t="shared" si="1"/>
        <v>13</v>
      </c>
      <c r="T19">
        <f t="shared" si="2"/>
        <v>208.49998099999999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78</v>
      </c>
      <c r="K20" s="28">
        <f>IFERROR(VLOOKUP(C20,Scoring!$A$4:$N$51,14,FALSE())*4,"-")</f>
        <v>36</v>
      </c>
      <c r="L20" s="28">
        <f>IFERROR(VLOOKUP(D20,Scoring!$A$4:$N$51,14,FALSE())*3,"-")</f>
        <v>33</v>
      </c>
      <c r="M20" s="28">
        <f>IFERROR(VLOOKUP(E20,Scoring!$A$4:$N$51,14,FALSE())*2,"-")</f>
        <v>22</v>
      </c>
      <c r="N20" s="28">
        <f>IFERROR(VLOOKUP(F20,Scoring!$A$4:$N$51,14,FALSE()),"-")</f>
        <v>3</v>
      </c>
      <c r="O20" s="28">
        <f>IFERROR(VLOOKUP(G20,Scoring!$A$4:$N$51,14,FALSE()),"-")</f>
        <v>8</v>
      </c>
      <c r="P20" s="29">
        <f>IFERROR(VLOOKUP(H20,Scoring!$A$4:$N$51,14,FALSE()),"-")</f>
        <v>0</v>
      </c>
      <c r="Q20" s="29">
        <f>IFERROR(VLOOKUP(I20,Scoring!$A$4:$N$51,6,FALSE()),"-")</f>
        <v>2.5</v>
      </c>
      <c r="R20" s="36">
        <f t="shared" si="0"/>
        <v>182.5</v>
      </c>
      <c r="S20">
        <f t="shared" si="1"/>
        <v>97</v>
      </c>
      <c r="T20">
        <f t="shared" si="2"/>
        <v>182.49997999999999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66</v>
      </c>
      <c r="K21" s="28">
        <f>IFERROR(VLOOKUP(C21,Scoring!$A$4:$N$51,14,FALSE())*4,"-")</f>
        <v>44</v>
      </c>
      <c r="L21" s="28">
        <f>IFERROR(VLOOKUP(D21,Scoring!$A$4:$N$51,14,FALSE())*3,"-")</f>
        <v>39</v>
      </c>
      <c r="M21" s="28">
        <f>IFERROR(VLOOKUP(E21,Scoring!$A$4:$N$51,14,FALSE())*2,"-")</f>
        <v>18</v>
      </c>
      <c r="N21" s="28">
        <f>IFERROR(VLOOKUP(F21,Scoring!$A$4:$N$51,14,FALSE()),"-")</f>
        <v>11</v>
      </c>
      <c r="O21" s="28">
        <f>IFERROR(VLOOKUP(G21,Scoring!$A$4:$N$51,14,FALSE()),"-")</f>
        <v>10</v>
      </c>
      <c r="P21" s="29">
        <f>IFERROR(VLOOKUP(H21,Scoring!$A$4:$N$51,14,FALSE()),"-")</f>
        <v>2</v>
      </c>
      <c r="Q21" s="29">
        <f>IFERROR(VLOOKUP(I21,Scoring!$A$4:$N$51,6,FALSE()),"-")</f>
        <v>2.5</v>
      </c>
      <c r="R21" s="36">
        <f t="shared" si="0"/>
        <v>192.5</v>
      </c>
      <c r="S21">
        <f t="shared" si="1"/>
        <v>73</v>
      </c>
      <c r="T21">
        <f t="shared" si="2"/>
        <v>192.499979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66</v>
      </c>
      <c r="K22" s="28">
        <f>IFERROR(VLOOKUP(C22,Scoring!$A$4:$N$51,14,FALSE())*4,"-")</f>
        <v>44</v>
      </c>
      <c r="L22" s="28">
        <f>IFERROR(VLOOKUP(D22,Scoring!$A$4:$N$51,14,FALSE())*3,"-")</f>
        <v>39</v>
      </c>
      <c r="M22" s="28">
        <f>IFERROR(VLOOKUP(E22,Scoring!$A$4:$N$51,14,FALSE())*2,"-")</f>
        <v>18</v>
      </c>
      <c r="N22" s="28">
        <f>IFERROR(VLOOKUP(F22,Scoring!$A$4:$N$51,14,FALSE()),"-")</f>
        <v>13</v>
      </c>
      <c r="O22" s="28">
        <f>IFERROR(VLOOKUP(G22,Scoring!$A$4:$N$51,14,FALSE()),"-")</f>
        <v>10</v>
      </c>
      <c r="P22" s="29">
        <f>IFERROR(VLOOKUP(H22,Scoring!$A$4:$N$51,14,FALSE()),"-")</f>
        <v>8</v>
      </c>
      <c r="Q22" s="29">
        <f>IFERROR(VLOOKUP(I22,Scoring!$A$4:$N$51,6,FALSE()),"-")</f>
        <v>2.5</v>
      </c>
      <c r="R22" s="36">
        <f t="shared" si="0"/>
        <v>200.5</v>
      </c>
      <c r="S22">
        <f t="shared" si="1"/>
        <v>51</v>
      </c>
      <c r="T22">
        <f t="shared" si="2"/>
        <v>200.499978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66</v>
      </c>
      <c r="K23" s="28">
        <f>IFERROR(VLOOKUP(C23,Scoring!$A$4:$N$51,14,FALSE())*4,"-")</f>
        <v>36</v>
      </c>
      <c r="L23" s="28">
        <f>IFERROR(VLOOKUP(D23,Scoring!$A$4:$N$51,14,FALSE())*3,"-")</f>
        <v>39</v>
      </c>
      <c r="M23" s="28">
        <f>IFERROR(VLOOKUP(E23,Scoring!$A$4:$N$51,14,FALSE())*2,"-")</f>
        <v>26</v>
      </c>
      <c r="N23" s="28">
        <f>IFERROR(VLOOKUP(F23,Scoring!$A$4:$N$51,14,FALSE()),"-")</f>
        <v>11</v>
      </c>
      <c r="O23" s="28">
        <f>IFERROR(VLOOKUP(G23,Scoring!$A$4:$N$51,14,FALSE()),"-")</f>
        <v>10</v>
      </c>
      <c r="P23" s="29">
        <f>IFERROR(VLOOKUP(H23,Scoring!$A$4:$N$51,14,FALSE()),"-")</f>
        <v>0</v>
      </c>
      <c r="Q23" s="29">
        <f>IFERROR(VLOOKUP(I23,Scoring!$A$4:$N$51,6,FALSE()),"-")</f>
        <v>2.5</v>
      </c>
      <c r="R23" s="36">
        <f t="shared" si="0"/>
        <v>190.5</v>
      </c>
      <c r="S23">
        <f t="shared" si="1"/>
        <v>81</v>
      </c>
      <c r="T23">
        <f t="shared" si="2"/>
        <v>190.499977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78</v>
      </c>
      <c r="K24" s="28">
        <f>IFERROR(VLOOKUP(C24,Scoring!$A$4:$N$51,14,FALSE())*4,"-")</f>
        <v>44</v>
      </c>
      <c r="L24" s="28">
        <f>IFERROR(VLOOKUP(D24,Scoring!$A$4:$N$51,14,FALSE())*3,"-")</f>
        <v>33</v>
      </c>
      <c r="M24" s="28">
        <f>IFERROR(VLOOKUP(E24,Scoring!$A$4:$N$51,14,FALSE())*2,"-")</f>
        <v>18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5</v>
      </c>
      <c r="R24" s="36">
        <f t="shared" si="0"/>
        <v>204</v>
      </c>
      <c r="S24">
        <f t="shared" si="1"/>
        <v>37</v>
      </c>
      <c r="T24">
        <f t="shared" si="2"/>
        <v>203.999976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44</v>
      </c>
      <c r="L25" s="28">
        <f>IFERROR(VLOOKUP(D25,Scoring!$A$4:$N$51,14,FALSE())*3,"-")</f>
        <v>27</v>
      </c>
      <c r="M25" s="28">
        <f>IFERROR(VLOOKUP(E25,Scoring!$A$4:$N$51,14,FALSE())*2,"-")</f>
        <v>22</v>
      </c>
      <c r="N25" s="28">
        <f>IFERROR(VLOOKUP(F25,Scoring!$A$4:$N$51,14,FALSE()),"-")</f>
        <v>10</v>
      </c>
      <c r="O25" s="28">
        <f>IFERROR(VLOOKUP(G25,Scoring!$A$4:$N$51,14,FALSE()),"-")</f>
        <v>8</v>
      </c>
      <c r="P25" s="29">
        <f>IFERROR(VLOOKUP(H25,Scoring!$A$4:$N$51,14,FALSE()),"-")</f>
        <v>8</v>
      </c>
      <c r="Q25" s="29">
        <f>IFERROR(VLOOKUP(I25,Scoring!$A$4:$N$51,6,FALSE()),"-")</f>
        <v>5</v>
      </c>
      <c r="R25" s="36">
        <f t="shared" si="0"/>
        <v>184</v>
      </c>
      <c r="S25">
        <f t="shared" si="1"/>
        <v>93</v>
      </c>
      <c r="T25">
        <f t="shared" si="2"/>
        <v>183.99997500000001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66</v>
      </c>
      <c r="K26" s="28">
        <f>IFERROR(VLOOKUP(C26,Scoring!$A$4:$N$51,14,FALSE())*4,"-")</f>
        <v>44</v>
      </c>
      <c r="L26" s="28">
        <f>IFERROR(VLOOKUP(D26,Scoring!$A$4:$N$51,14,FALSE())*3,"-")</f>
        <v>39</v>
      </c>
      <c r="M26" s="28">
        <f>IFERROR(VLOOKUP(E26,Scoring!$A$4:$N$51,14,FALSE())*2,"-")</f>
        <v>26</v>
      </c>
      <c r="N26" s="28">
        <f>IFERROR(VLOOKUP(F26,Scoring!$A$4:$N$51,14,FALSE()),"-")</f>
        <v>10</v>
      </c>
      <c r="O26" s="28">
        <f>IFERROR(VLOOKUP(G26,Scoring!$A$4:$N$51,14,FALSE()),"-")</f>
        <v>8</v>
      </c>
      <c r="P26" s="29">
        <f>IFERROR(VLOOKUP(H26,Scoring!$A$4:$N$51,14,FALSE()),"-")</f>
        <v>8</v>
      </c>
      <c r="Q26" s="29">
        <f>IFERROR(VLOOKUP(I26,Scoring!$A$4:$N$51,6,FALSE()),"-")</f>
        <v>2.5</v>
      </c>
      <c r="R26" s="36">
        <f t="shared" si="0"/>
        <v>203.5</v>
      </c>
      <c r="S26">
        <f t="shared" si="1"/>
        <v>38</v>
      </c>
      <c r="T26">
        <f t="shared" si="2"/>
        <v>203.49997400000001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78</v>
      </c>
      <c r="K27" s="28">
        <f>IFERROR(VLOOKUP(C27,Scoring!$A$4:$N$51,14,FALSE())*4,"-")</f>
        <v>44</v>
      </c>
      <c r="L27" s="28">
        <f>IFERROR(VLOOKUP(D27,Scoring!$A$4:$N$51,14,FALSE())*3,"-")</f>
        <v>33</v>
      </c>
      <c r="M27" s="28">
        <f>IFERROR(VLOOKUP(E27,Scoring!$A$4:$N$51,14,FALSE())*2,"-")</f>
        <v>22</v>
      </c>
      <c r="N27" s="28">
        <f>IFERROR(VLOOKUP(F27,Scoring!$A$4:$N$51,14,FALSE()),"-")</f>
        <v>9</v>
      </c>
      <c r="O27" s="28">
        <f>IFERROR(VLOOKUP(G27,Scoring!$A$4:$N$51,14,FALSE()),"-")</f>
        <v>10</v>
      </c>
      <c r="P27" s="29">
        <f>IFERROR(VLOOKUP(H27,Scoring!$A$4:$N$51,14,FALSE()),"-")</f>
        <v>0</v>
      </c>
      <c r="Q27" s="29">
        <f>IFERROR(VLOOKUP(I27,Scoring!$A$4:$N$51,6,FALSE()),"-")</f>
        <v>5</v>
      </c>
      <c r="R27" s="36">
        <f t="shared" si="0"/>
        <v>201</v>
      </c>
      <c r="S27">
        <f t="shared" si="1"/>
        <v>49</v>
      </c>
      <c r="T27">
        <f t="shared" si="2"/>
        <v>200.99997300000001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66</v>
      </c>
      <c r="K28" s="28">
        <f>IFERROR(VLOOKUP(C28,Scoring!$A$4:$N$51,14,FALSE())*4,"-")</f>
        <v>52</v>
      </c>
      <c r="L28" s="28">
        <f>IFERROR(VLOOKUP(D28,Scoring!$A$4:$N$51,14,FALSE())*3,"-")</f>
        <v>33</v>
      </c>
      <c r="M28" s="28">
        <f>IFERROR(VLOOKUP(E28,Scoring!$A$4:$N$51,14,FALSE())*2,"-")</f>
        <v>26</v>
      </c>
      <c r="N28" s="28">
        <f>IFERROR(VLOOKUP(F28,Scoring!$A$4:$N$51,14,FALSE()),"-")</f>
        <v>13</v>
      </c>
      <c r="O28" s="28">
        <f>IFERROR(VLOOKUP(G28,Scoring!$A$4:$N$51,14,FALSE()),"-")</f>
        <v>10</v>
      </c>
      <c r="P28" s="29">
        <f>IFERROR(VLOOKUP(H28,Scoring!$A$4:$N$51,14,FALSE()),"-")</f>
        <v>8</v>
      </c>
      <c r="Q28" s="29">
        <f>IFERROR(VLOOKUP(I28,Scoring!$A$4:$N$51,6,FALSE()),"-")</f>
        <v>2.5</v>
      </c>
      <c r="R28" s="36">
        <f t="shared" si="0"/>
        <v>210.5</v>
      </c>
      <c r="S28">
        <f t="shared" si="1"/>
        <v>7</v>
      </c>
      <c r="T28">
        <f t="shared" si="2"/>
        <v>210.49997200000001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36</v>
      </c>
      <c r="L29" s="28">
        <f>IFERROR(VLOOKUP(D29,Scoring!$A$4:$N$51,14,FALSE())*3,"-")</f>
        <v>39</v>
      </c>
      <c r="M29" s="28">
        <f>IFERROR(VLOOKUP(E29,Scoring!$A$4:$N$51,14,FALSE())*2,"-")</f>
        <v>22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</v>
      </c>
      <c r="R29" s="36">
        <f t="shared" si="0"/>
        <v>186</v>
      </c>
      <c r="S29">
        <f t="shared" si="1"/>
        <v>88</v>
      </c>
      <c r="T29">
        <f t="shared" si="2"/>
        <v>185.99997099999999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66</v>
      </c>
      <c r="K30" s="28">
        <f>IFERROR(VLOOKUP(C30,Scoring!$A$4:$N$51,14,FALSE())*4,"-")</f>
        <v>44</v>
      </c>
      <c r="L30" s="28">
        <f>IFERROR(VLOOKUP(D30,Scoring!$A$4:$N$51,14,FALSE())*3,"-")</f>
        <v>30</v>
      </c>
      <c r="M30" s="28">
        <f>IFERROR(VLOOKUP(E30,Scoring!$A$4:$N$51,14,FALSE())*2,"-")</f>
        <v>22</v>
      </c>
      <c r="N30" s="28">
        <f>IFERROR(VLOOKUP(F30,Scoring!$A$4:$N$51,14,FALSE()),"-")</f>
        <v>11</v>
      </c>
      <c r="O30" s="28">
        <f>IFERROR(VLOOKUP(G30,Scoring!$A$4:$N$51,14,FALSE()),"-")</f>
        <v>10</v>
      </c>
      <c r="P30" s="29">
        <f>IFERROR(VLOOKUP(H30,Scoring!$A$4:$N$51,14,FALSE()),"-")</f>
        <v>8</v>
      </c>
      <c r="Q30" s="29">
        <f>IFERROR(VLOOKUP(I30,Scoring!$A$4:$N$51,6,FALSE()),"-")</f>
        <v>3.5</v>
      </c>
      <c r="R30" s="36">
        <f t="shared" si="0"/>
        <v>194.5</v>
      </c>
      <c r="S30">
        <f t="shared" si="1"/>
        <v>66</v>
      </c>
      <c r="T30">
        <f t="shared" si="2"/>
        <v>194.49996999999999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78</v>
      </c>
      <c r="K31" s="28">
        <f>IFERROR(VLOOKUP(C31,Scoring!$A$4:$N$51,14,FALSE())*4,"-")</f>
        <v>36</v>
      </c>
      <c r="L31" s="28">
        <f>IFERROR(VLOOKUP(D31,Scoring!$A$4:$N$51,14,FALSE())*3,"-")</f>
        <v>39</v>
      </c>
      <c r="M31" s="28">
        <f>IFERROR(VLOOKUP(E31,Scoring!$A$4:$N$51,14,FALSE())*2,"-")</f>
        <v>22</v>
      </c>
      <c r="N31" s="28">
        <f>IFERROR(VLOOKUP(F31,Scoring!$A$4:$N$51,14,FALSE()),"-")</f>
        <v>13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3</v>
      </c>
      <c r="R31" s="36">
        <f t="shared" si="0"/>
        <v>202</v>
      </c>
      <c r="S31">
        <f t="shared" si="1"/>
        <v>43</v>
      </c>
      <c r="T31">
        <f t="shared" si="2"/>
        <v>201.99996899999999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66</v>
      </c>
      <c r="K32" s="28">
        <f>IFERROR(VLOOKUP(C32,Scoring!$A$4:$N$51,14,FALSE())*4,"-")</f>
        <v>52</v>
      </c>
      <c r="L32" s="28">
        <f>IFERROR(VLOOKUP(D32,Scoring!$A$4:$N$51,14,FALSE())*3,"-")</f>
        <v>33</v>
      </c>
      <c r="M32" s="28">
        <f>IFERROR(VLOOKUP(E32,Scoring!$A$4:$N$51,14,FALSE())*2,"-")</f>
        <v>26</v>
      </c>
      <c r="N32" s="28">
        <f>IFERROR(VLOOKUP(F32,Scoring!$A$4:$N$51,14,FALSE()),"-")</f>
        <v>11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2.5</v>
      </c>
      <c r="R32" s="36">
        <f t="shared" si="0"/>
        <v>199.5</v>
      </c>
      <c r="S32">
        <f t="shared" si="1"/>
        <v>55</v>
      </c>
      <c r="T32">
        <f t="shared" si="2"/>
        <v>199.499968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54</v>
      </c>
      <c r="K33" s="28">
        <f>IFERROR(VLOOKUP(C33,Scoring!$A$4:$N$51,14,FALSE())*4,"-")</f>
        <v>40</v>
      </c>
      <c r="L33" s="28">
        <f>IFERROR(VLOOKUP(D33,Scoring!$A$4:$N$51,14,FALSE())*3,"-")</f>
        <v>33</v>
      </c>
      <c r="M33" s="28">
        <f>IFERROR(VLOOKUP(E33,Scoring!$A$4:$N$51,14,FALSE())*2,"-")</f>
        <v>22</v>
      </c>
      <c r="N33" s="28">
        <f>IFERROR(VLOOKUP(F33,Scoring!$A$4:$N$51,14,FALSE()),"-")</f>
        <v>13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</v>
      </c>
      <c r="R33" s="36">
        <f t="shared" si="0"/>
        <v>183</v>
      </c>
      <c r="S33">
        <f t="shared" si="1"/>
        <v>95</v>
      </c>
      <c r="T33">
        <f t="shared" si="2"/>
        <v>182.999967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66</v>
      </c>
      <c r="K34" s="28">
        <f>IFERROR(VLOOKUP(C34,Scoring!$A$4:$N$51,14,FALSE())*4,"-")</f>
        <v>44</v>
      </c>
      <c r="L34" s="28">
        <f>IFERROR(VLOOKUP(D34,Scoring!$A$4:$N$51,14,FALSE())*3,"-")</f>
        <v>39</v>
      </c>
      <c r="M34" s="28">
        <f>IFERROR(VLOOKUP(E34,Scoring!$A$4:$N$51,14,FALSE())*2,"-")</f>
        <v>26</v>
      </c>
      <c r="N34" s="28">
        <f>IFERROR(VLOOKUP(F34,Scoring!$A$4:$N$51,14,FALSE()),"-")</f>
        <v>11</v>
      </c>
      <c r="O34" s="28">
        <f>IFERROR(VLOOKUP(G34,Scoring!$A$4:$N$51,14,FALSE()),"-")</f>
        <v>10</v>
      </c>
      <c r="P34" s="29">
        <f>IFERROR(VLOOKUP(H34,Scoring!$A$4:$N$51,14,FALSE()),"-")</f>
        <v>8</v>
      </c>
      <c r="Q34" s="29">
        <f>IFERROR(VLOOKUP(I34,Scoring!$A$4:$N$51,6,FALSE()),"-")</f>
        <v>2.5</v>
      </c>
      <c r="R34" s="36">
        <f t="shared" si="0"/>
        <v>206.5</v>
      </c>
      <c r="S34">
        <f t="shared" si="1"/>
        <v>21</v>
      </c>
      <c r="T34">
        <f t="shared" si="2"/>
        <v>206.499966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66</v>
      </c>
      <c r="K35" s="28">
        <f>IFERROR(VLOOKUP(C35,Scoring!$A$4:$N$51,14,FALSE())*4,"-")</f>
        <v>52</v>
      </c>
      <c r="L35" s="28">
        <f>IFERROR(VLOOKUP(D35,Scoring!$A$4:$N$51,14,FALSE())*3,"-")</f>
        <v>30</v>
      </c>
      <c r="M35" s="28">
        <f>IFERROR(VLOOKUP(E35,Scoring!$A$4:$N$51,14,FALSE())*2,"-")</f>
        <v>22</v>
      </c>
      <c r="N35" s="28">
        <f>IFERROR(VLOOKUP(F35,Scoring!$A$4:$N$51,14,FALSE()),"-")</f>
        <v>11</v>
      </c>
      <c r="O35" s="28">
        <f>IFERROR(VLOOKUP(G35,Scoring!$A$4:$N$51,14,FALSE()),"-")</f>
        <v>10</v>
      </c>
      <c r="P35" s="29">
        <f>IFERROR(VLOOKUP(H35,Scoring!$A$4:$N$51,14,FALSE()),"-")</f>
        <v>8</v>
      </c>
      <c r="Q35" s="29">
        <f>IFERROR(VLOOKUP(I35,Scoring!$A$4:$N$51,6,FALSE()),"-")</f>
        <v>2.5</v>
      </c>
      <c r="R35" s="36">
        <f t="shared" si="0"/>
        <v>201.5</v>
      </c>
      <c r="S35">
        <f t="shared" si="1"/>
        <v>46</v>
      </c>
      <c r="T35">
        <f t="shared" si="2"/>
        <v>201.499965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78</v>
      </c>
      <c r="K36" s="28">
        <f>IFERROR(VLOOKUP(C36,Scoring!$A$4:$N$51,14,FALSE())*4,"-")</f>
        <v>40</v>
      </c>
      <c r="L36" s="28">
        <f>IFERROR(VLOOKUP(D36,Scoring!$A$4:$N$51,14,FALSE())*3,"-")</f>
        <v>33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10</v>
      </c>
      <c r="P36" s="29">
        <f>IFERROR(VLOOKUP(H36,Scoring!$A$4:$N$51,14,FALSE()),"-")</f>
        <v>2</v>
      </c>
      <c r="Q36" s="29">
        <f>IFERROR(VLOOKUP(I36,Scoring!$A$4:$N$51,6,FALSE()),"-")</f>
        <v>5</v>
      </c>
      <c r="R36" s="36">
        <f t="shared" ref="R36:R67" si="3">IF(A36="","-",SUM(J36:Q36))</f>
        <v>181</v>
      </c>
      <c r="S36">
        <f t="shared" ref="S36:S67" si="4">IF(A36="","",RANK(R36,$R$4:$R$119))</f>
        <v>100</v>
      </c>
      <c r="T36">
        <f t="shared" ref="T36:T67" si="5">IF(A36="",-1,R36-ROW(R36)/1000000)</f>
        <v>180.99996400000001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66</v>
      </c>
      <c r="K37" s="28">
        <f>IFERROR(VLOOKUP(C37,Scoring!$A$4:$N$51,14,FALSE())*4,"-")</f>
        <v>52</v>
      </c>
      <c r="L37" s="28">
        <f>IFERROR(VLOOKUP(D37,Scoring!$A$4:$N$51,14,FALSE())*3,"-")</f>
        <v>33</v>
      </c>
      <c r="M37" s="28">
        <f>IFERROR(VLOOKUP(E37,Scoring!$A$4:$N$51,14,FALSE())*2,"-")</f>
        <v>26</v>
      </c>
      <c r="N37" s="28">
        <f>IFERROR(VLOOKUP(F37,Scoring!$A$4:$N$51,14,FALSE()),"-")</f>
        <v>13</v>
      </c>
      <c r="O37" s="28">
        <f>IFERROR(VLOOKUP(G37,Scoring!$A$4:$N$51,14,FALSE()),"-")</f>
        <v>10</v>
      </c>
      <c r="P37" s="29">
        <f>IFERROR(VLOOKUP(H37,Scoring!$A$4:$N$51,14,FALSE()),"-")</f>
        <v>8</v>
      </c>
      <c r="Q37" s="29">
        <f>IFERROR(VLOOKUP(I37,Scoring!$A$4:$N$51,6,FALSE()),"-")</f>
        <v>3.5</v>
      </c>
      <c r="R37" s="36">
        <f t="shared" si="3"/>
        <v>211.5</v>
      </c>
      <c r="S37">
        <f t="shared" si="4"/>
        <v>5</v>
      </c>
      <c r="T37">
        <f t="shared" si="5"/>
        <v>211.49996300000001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66</v>
      </c>
      <c r="K38" s="28">
        <f>IFERROR(VLOOKUP(C38,Scoring!$A$4:$N$51,14,FALSE())*4,"-")</f>
        <v>36</v>
      </c>
      <c r="L38" s="28">
        <f>IFERROR(VLOOKUP(D38,Scoring!$A$4:$N$51,14,FALSE())*3,"-")</f>
        <v>33</v>
      </c>
      <c r="M38" s="28">
        <f>IFERROR(VLOOKUP(E38,Scoring!$A$4:$N$51,14,FALSE())*2,"-")</f>
        <v>22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3.5</v>
      </c>
      <c r="R38" s="36">
        <f t="shared" si="3"/>
        <v>185.5</v>
      </c>
      <c r="S38">
        <f t="shared" si="4"/>
        <v>90</v>
      </c>
      <c r="T38">
        <f t="shared" si="5"/>
        <v>185.49996200000001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66</v>
      </c>
      <c r="K39" s="28">
        <f>IFERROR(VLOOKUP(C39,Scoring!$A$4:$N$51,14,FALSE())*4,"-")</f>
        <v>52</v>
      </c>
      <c r="L39" s="28">
        <f>IFERROR(VLOOKUP(D39,Scoring!$A$4:$N$51,14,FALSE())*3,"-")</f>
        <v>39</v>
      </c>
      <c r="M39" s="28">
        <f>IFERROR(VLOOKUP(E39,Scoring!$A$4:$N$51,14,FALSE())*2,"-")</f>
        <v>22</v>
      </c>
      <c r="N39" s="28">
        <f>IFERROR(VLOOKUP(F39,Scoring!$A$4:$N$51,14,FALSE()),"-")</f>
        <v>11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2.5</v>
      </c>
      <c r="R39" s="36">
        <f t="shared" si="3"/>
        <v>208.5</v>
      </c>
      <c r="S39">
        <f t="shared" si="4"/>
        <v>13</v>
      </c>
      <c r="T39">
        <f t="shared" si="5"/>
        <v>208.49996100000001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78</v>
      </c>
      <c r="K40" s="28">
        <f>IFERROR(VLOOKUP(C40,Scoring!$A$4:$N$51,14,FALSE())*4,"-")</f>
        <v>44</v>
      </c>
      <c r="L40" s="28">
        <f>IFERROR(VLOOKUP(D40,Scoring!$A$4:$N$51,14,FALSE())*3,"-")</f>
        <v>33</v>
      </c>
      <c r="M40" s="28">
        <f>IFERROR(VLOOKUP(E40,Scoring!$A$4:$N$51,14,FALSE())*2,"-")</f>
        <v>18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</v>
      </c>
      <c r="R40" s="36">
        <f t="shared" si="3"/>
        <v>197</v>
      </c>
      <c r="S40">
        <f t="shared" si="4"/>
        <v>57</v>
      </c>
      <c r="T40">
        <f t="shared" si="5"/>
        <v>196.99995999999999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66</v>
      </c>
      <c r="K41" s="28">
        <f>IFERROR(VLOOKUP(C41,Scoring!$A$4:$N$51,14,FALSE())*4,"-")</f>
        <v>44</v>
      </c>
      <c r="L41" s="28">
        <f>IFERROR(VLOOKUP(D41,Scoring!$A$4:$N$51,14,FALSE())*3,"-")</f>
        <v>39</v>
      </c>
      <c r="M41" s="28">
        <f>IFERROR(VLOOKUP(E41,Scoring!$A$4:$N$51,14,FALSE())*2,"-")</f>
        <v>26</v>
      </c>
      <c r="N41" s="28">
        <f>IFERROR(VLOOKUP(F41,Scoring!$A$4:$N$51,14,FALSE()),"-")</f>
        <v>11</v>
      </c>
      <c r="O41" s="28">
        <f>IFERROR(VLOOKUP(G41,Scoring!$A$4:$N$51,14,FALSE()),"-")</f>
        <v>10</v>
      </c>
      <c r="P41" s="29">
        <f>IFERROR(VLOOKUP(H41,Scoring!$A$4:$N$51,14,FALSE()),"-")</f>
        <v>8</v>
      </c>
      <c r="Q41" s="29">
        <f>IFERROR(VLOOKUP(I41,Scoring!$A$4:$N$51,6,FALSE()),"-")</f>
        <v>5</v>
      </c>
      <c r="R41" s="36">
        <f t="shared" si="3"/>
        <v>209</v>
      </c>
      <c r="S41">
        <f t="shared" si="4"/>
        <v>11</v>
      </c>
      <c r="T41">
        <f t="shared" si="5"/>
        <v>208.99995899999999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66</v>
      </c>
      <c r="K42" s="28">
        <f>IFERROR(VLOOKUP(C42,Scoring!$A$4:$N$51,14,FALSE())*4,"-")</f>
        <v>36</v>
      </c>
      <c r="L42" s="28">
        <f>IFERROR(VLOOKUP(D42,Scoring!$A$4:$N$51,14,FALSE())*3,"-")</f>
        <v>39</v>
      </c>
      <c r="M42" s="28">
        <f>IFERROR(VLOOKUP(E42,Scoring!$A$4:$N$51,14,FALSE())*2,"-")</f>
        <v>26</v>
      </c>
      <c r="N42" s="28">
        <f>IFERROR(VLOOKUP(F42,Scoring!$A$4:$N$51,14,FALSE()),"-")</f>
        <v>13</v>
      </c>
      <c r="O42" s="28">
        <f>IFERROR(VLOOKUP(G42,Scoring!$A$4:$N$51,14,FALSE()),"-")</f>
        <v>10</v>
      </c>
      <c r="P42" s="29">
        <f>IFERROR(VLOOKUP(H42,Scoring!$A$4:$N$51,14,FALSE()),"-")</f>
        <v>0</v>
      </c>
      <c r="Q42" s="29">
        <f>IFERROR(VLOOKUP(I42,Scoring!$A$4:$N$51,6,FALSE()),"-")</f>
        <v>2.5</v>
      </c>
      <c r="R42" s="36">
        <f t="shared" si="3"/>
        <v>192.5</v>
      </c>
      <c r="S42">
        <f t="shared" si="4"/>
        <v>73</v>
      </c>
      <c r="T42">
        <f t="shared" si="5"/>
        <v>192.49995799999999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78</v>
      </c>
      <c r="K43" s="28">
        <f>IFERROR(VLOOKUP(C43,Scoring!$A$4:$N$51,14,FALSE())*4,"-")</f>
        <v>44</v>
      </c>
      <c r="L43" s="28">
        <f>IFERROR(VLOOKUP(D43,Scoring!$A$4:$N$51,14,FALSE())*3,"-")</f>
        <v>33</v>
      </c>
      <c r="M43" s="28">
        <f>IFERROR(VLOOKUP(E43,Scoring!$A$4:$N$51,14,FALSE())*2,"-")</f>
        <v>26</v>
      </c>
      <c r="N43" s="28">
        <f>IFERROR(VLOOKUP(F43,Scoring!$A$4:$N$51,14,FALSE()),"-")</f>
        <v>9</v>
      </c>
      <c r="O43" s="28">
        <f>IFERROR(VLOOKUP(G43,Scoring!$A$4:$N$51,14,FALSE()),"-")</f>
        <v>10</v>
      </c>
      <c r="P43" s="29">
        <f>IFERROR(VLOOKUP(H43,Scoring!$A$4:$N$51,14,FALSE()),"-")</f>
        <v>8</v>
      </c>
      <c r="Q43" s="29">
        <f>IFERROR(VLOOKUP(I43,Scoring!$A$4:$N$51,6,FALSE()),"-")</f>
        <v>5</v>
      </c>
      <c r="R43" s="36">
        <f t="shared" si="3"/>
        <v>213</v>
      </c>
      <c r="S43">
        <f t="shared" si="4"/>
        <v>3</v>
      </c>
      <c r="T43">
        <f t="shared" si="5"/>
        <v>212.99995699999999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66</v>
      </c>
      <c r="K44" s="28">
        <f>IFERROR(VLOOKUP(C44,Scoring!$A$4:$N$51,14,FALSE())*4,"-")</f>
        <v>52</v>
      </c>
      <c r="L44" s="28">
        <f>IFERROR(VLOOKUP(D44,Scoring!$A$4:$N$51,14,FALSE())*3,"-")</f>
        <v>39</v>
      </c>
      <c r="M44" s="28">
        <f>IFERROR(VLOOKUP(E44,Scoring!$A$4:$N$51,14,FALSE())*2,"-")</f>
        <v>22</v>
      </c>
      <c r="N44" s="28">
        <f>IFERROR(VLOOKUP(F44,Scoring!$A$4:$N$51,14,FALSE()),"-")</f>
        <v>9</v>
      </c>
      <c r="O44" s="28">
        <f>IFERROR(VLOOKUP(G44,Scoring!$A$4:$N$51,14,FALSE()),"-")</f>
        <v>10</v>
      </c>
      <c r="P44" s="29">
        <f>IFERROR(VLOOKUP(H44,Scoring!$A$4:$N$51,14,FALSE()),"-")</f>
        <v>8</v>
      </c>
      <c r="Q44" s="29">
        <f>IFERROR(VLOOKUP(I44,Scoring!$A$4:$N$51,6,FALSE()),"-")</f>
        <v>2.5</v>
      </c>
      <c r="R44" s="36">
        <f t="shared" si="3"/>
        <v>208.5</v>
      </c>
      <c r="S44">
        <f t="shared" si="4"/>
        <v>13</v>
      </c>
      <c r="T44">
        <f t="shared" si="5"/>
        <v>208.499956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66</v>
      </c>
      <c r="K45" s="28">
        <f>IFERROR(VLOOKUP(C45,Scoring!$A$4:$N$51,14,FALSE())*4,"-")</f>
        <v>44</v>
      </c>
      <c r="L45" s="28">
        <f>IFERROR(VLOOKUP(D45,Scoring!$A$4:$N$51,14,FALSE())*3,"-")</f>
        <v>27</v>
      </c>
      <c r="M45" s="28">
        <f>IFERROR(VLOOKUP(E45,Scoring!$A$4:$N$51,14,FALSE())*2,"-")</f>
        <v>26</v>
      </c>
      <c r="N45" s="28">
        <f>IFERROR(VLOOKUP(F45,Scoring!$A$4:$N$51,14,FALSE()),"-")</f>
        <v>3</v>
      </c>
      <c r="O45" s="28">
        <f>IFERROR(VLOOKUP(G45,Scoring!$A$4:$N$51,14,FALSE()),"-")</f>
        <v>10</v>
      </c>
      <c r="P45" s="29">
        <f>IFERROR(VLOOKUP(H45,Scoring!$A$4:$N$51,14,FALSE()),"-")</f>
        <v>8</v>
      </c>
      <c r="Q45" s="29">
        <f>IFERROR(VLOOKUP(I45,Scoring!$A$4:$N$51,6,FALSE()),"-")</f>
        <v>3</v>
      </c>
      <c r="R45" s="36">
        <f t="shared" si="3"/>
        <v>187</v>
      </c>
      <c r="S45">
        <f t="shared" si="4"/>
        <v>86</v>
      </c>
      <c r="T45">
        <f t="shared" si="5"/>
        <v>186.999955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66</v>
      </c>
      <c r="K46" s="28">
        <f>IFERROR(VLOOKUP(C46,Scoring!$A$4:$N$51,14,FALSE())*4,"-")</f>
        <v>44</v>
      </c>
      <c r="L46" s="28">
        <f>IFERROR(VLOOKUP(D46,Scoring!$A$4:$N$51,14,FALSE())*3,"-")</f>
        <v>39</v>
      </c>
      <c r="M46" s="28">
        <f>IFERROR(VLOOKUP(E46,Scoring!$A$4:$N$51,14,FALSE())*2,"-")</f>
        <v>26</v>
      </c>
      <c r="N46" s="28">
        <f>IFERROR(VLOOKUP(F46,Scoring!$A$4:$N$51,14,FALSE()),"-")</f>
        <v>11</v>
      </c>
      <c r="O46" s="28">
        <f>IFERROR(VLOOKUP(G46,Scoring!$A$4:$N$51,14,FALSE()),"-")</f>
        <v>10</v>
      </c>
      <c r="P46" s="29">
        <f>IFERROR(VLOOKUP(H46,Scoring!$A$4:$N$51,14,FALSE()),"-")</f>
        <v>8</v>
      </c>
      <c r="Q46" s="29">
        <f>IFERROR(VLOOKUP(I46,Scoring!$A$4:$N$51,6,FALSE()),"-")</f>
        <v>2.5</v>
      </c>
      <c r="R46" s="36">
        <f t="shared" si="3"/>
        <v>206.5</v>
      </c>
      <c r="S46">
        <f t="shared" si="4"/>
        <v>21</v>
      </c>
      <c r="T46">
        <f t="shared" si="5"/>
        <v>206.499954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54</v>
      </c>
      <c r="K47" s="28">
        <f>IFERROR(VLOOKUP(C47,Scoring!$A$4:$N$51,14,FALSE())*4,"-")</f>
        <v>52</v>
      </c>
      <c r="L47" s="28">
        <f>IFERROR(VLOOKUP(D47,Scoring!$A$4:$N$51,14,FALSE())*3,"-")</f>
        <v>33</v>
      </c>
      <c r="M47" s="28">
        <f>IFERROR(VLOOKUP(E47,Scoring!$A$4:$N$51,14,FALSE())*2,"-")</f>
        <v>22</v>
      </c>
      <c r="N47" s="28">
        <f>IFERROR(VLOOKUP(F47,Scoring!$A$4:$N$51,14,FALSE()),"-")</f>
        <v>11</v>
      </c>
      <c r="O47" s="28">
        <f>IFERROR(VLOOKUP(G47,Scoring!$A$4:$N$51,14,FALSE()),"-")</f>
        <v>10</v>
      </c>
      <c r="P47" s="29">
        <f>IFERROR(VLOOKUP(H47,Scoring!$A$4:$N$51,14,FALSE()),"-")</f>
        <v>0</v>
      </c>
      <c r="Q47" s="29">
        <f>IFERROR(VLOOKUP(I47,Scoring!$A$4:$N$51,6,FALSE()),"-")</f>
        <v>3.5</v>
      </c>
      <c r="R47" s="36">
        <f t="shared" si="3"/>
        <v>185.5</v>
      </c>
      <c r="S47">
        <f t="shared" si="4"/>
        <v>90</v>
      </c>
      <c r="T47">
        <f t="shared" si="5"/>
        <v>185.499953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66</v>
      </c>
      <c r="K48" s="28">
        <f>IFERROR(VLOOKUP(C48,Scoring!$A$4:$N$51,14,FALSE())*4,"-")</f>
        <v>52</v>
      </c>
      <c r="L48" s="28">
        <f>IFERROR(VLOOKUP(D48,Scoring!$A$4:$N$51,14,FALSE())*3,"-")</f>
        <v>33</v>
      </c>
      <c r="M48" s="28">
        <f>IFERROR(VLOOKUP(E48,Scoring!$A$4:$N$51,14,FALSE())*2,"-")</f>
        <v>18</v>
      </c>
      <c r="N48" s="28">
        <f>IFERROR(VLOOKUP(F48,Scoring!$A$4:$N$51,14,FALSE()),"-")</f>
        <v>2</v>
      </c>
      <c r="O48" s="28">
        <f>IFERROR(VLOOKUP(G48,Scoring!$A$4:$N$51,14,FALSE()),"-")</f>
        <v>10</v>
      </c>
      <c r="P48" s="29">
        <f>IFERROR(VLOOKUP(H48,Scoring!$A$4:$N$51,14,FALSE()),"-")</f>
        <v>0</v>
      </c>
      <c r="Q48" s="29">
        <f>IFERROR(VLOOKUP(I48,Scoring!$A$4:$N$51,6,FALSE()),"-")</f>
        <v>2.5</v>
      </c>
      <c r="R48" s="36">
        <f t="shared" si="3"/>
        <v>183.5</v>
      </c>
      <c r="S48">
        <f t="shared" si="4"/>
        <v>94</v>
      </c>
      <c r="T48">
        <f t="shared" si="5"/>
        <v>183.49995200000001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44</v>
      </c>
      <c r="L49" s="28">
        <f>IFERROR(VLOOKUP(D49,Scoring!$A$4:$N$51,14,FALSE())*3,"-")</f>
        <v>33</v>
      </c>
      <c r="M49" s="28">
        <f>IFERROR(VLOOKUP(E49,Scoring!$A$4:$N$51,14,FALSE())*2,"-")</f>
        <v>26</v>
      </c>
      <c r="N49" s="28">
        <f>IFERROR(VLOOKUP(F49,Scoring!$A$4:$N$51,14,FALSE()),"-")</f>
        <v>10</v>
      </c>
      <c r="O49" s="28">
        <f>IFERROR(VLOOKUP(G49,Scoring!$A$4:$N$51,14,FALSE()),"-")</f>
        <v>10</v>
      </c>
      <c r="P49" s="29">
        <f>IFERROR(VLOOKUP(H49,Scoring!$A$4:$N$51,14,FALSE()),"-")</f>
        <v>8</v>
      </c>
      <c r="Q49" s="29">
        <f>IFERROR(VLOOKUP(I49,Scoring!$A$4:$N$51,6,FALSE()),"-")</f>
        <v>5</v>
      </c>
      <c r="R49" s="36">
        <f t="shared" si="3"/>
        <v>196</v>
      </c>
      <c r="S49">
        <f t="shared" si="4"/>
        <v>62</v>
      </c>
      <c r="T49">
        <f t="shared" si="5"/>
        <v>195.99995100000001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66</v>
      </c>
      <c r="K50" s="28">
        <f>IFERROR(VLOOKUP(C50,Scoring!$A$4:$N$51,14,FALSE())*4,"-")</f>
        <v>44</v>
      </c>
      <c r="L50" s="28">
        <f>IFERROR(VLOOKUP(D50,Scoring!$A$4:$N$51,14,FALSE())*3,"-")</f>
        <v>33</v>
      </c>
      <c r="M50" s="28">
        <f>IFERROR(VLOOKUP(E50,Scoring!$A$4:$N$51,14,FALSE())*2,"-")</f>
        <v>26</v>
      </c>
      <c r="N50" s="28">
        <f>IFERROR(VLOOKUP(F50,Scoring!$A$4:$N$51,14,FALSE()),"-")</f>
        <v>11</v>
      </c>
      <c r="O50" s="28">
        <f>IFERROR(VLOOKUP(G50,Scoring!$A$4:$N$51,14,FALSE()),"-")</f>
        <v>10</v>
      </c>
      <c r="P50" s="29">
        <f>IFERROR(VLOOKUP(H50,Scoring!$A$4:$N$51,14,FALSE()),"-")</f>
        <v>8</v>
      </c>
      <c r="Q50" s="29">
        <f>IFERROR(VLOOKUP(I50,Scoring!$A$4:$N$51,6,FALSE()),"-")</f>
        <v>3.5</v>
      </c>
      <c r="R50" s="36">
        <f t="shared" si="3"/>
        <v>201.5</v>
      </c>
      <c r="S50">
        <f t="shared" si="4"/>
        <v>46</v>
      </c>
      <c r="T50">
        <f t="shared" si="5"/>
        <v>201.49995000000001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66</v>
      </c>
      <c r="K51" s="28">
        <f>IFERROR(VLOOKUP(C51,Scoring!$A$4:$N$51,14,FALSE())*4,"-")</f>
        <v>44</v>
      </c>
      <c r="L51" s="28">
        <f>IFERROR(VLOOKUP(D51,Scoring!$A$4:$N$51,14,FALSE())*3,"-")</f>
        <v>33</v>
      </c>
      <c r="M51" s="28">
        <f>IFERROR(VLOOKUP(E51,Scoring!$A$4:$N$51,14,FALSE())*2,"-")</f>
        <v>18</v>
      </c>
      <c r="N51" s="28">
        <f>IFERROR(VLOOKUP(F51,Scoring!$A$4:$N$51,14,FALSE()),"-")</f>
        <v>13</v>
      </c>
      <c r="O51" s="28">
        <f>IFERROR(VLOOKUP(G51,Scoring!$A$4:$N$51,14,FALSE()),"-")</f>
        <v>10</v>
      </c>
      <c r="P51" s="29">
        <f>IFERROR(VLOOKUP(H51,Scoring!$A$4:$N$51,14,FALSE()),"-")</f>
        <v>8</v>
      </c>
      <c r="Q51" s="29">
        <f>IFERROR(VLOOKUP(I51,Scoring!$A$4:$N$51,6,FALSE()),"-")</f>
        <v>3.5</v>
      </c>
      <c r="R51" s="36">
        <f t="shared" si="3"/>
        <v>195.5</v>
      </c>
      <c r="S51">
        <f t="shared" si="4"/>
        <v>65</v>
      </c>
      <c r="T51">
        <f t="shared" si="5"/>
        <v>195.49994899999999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66</v>
      </c>
      <c r="K52" s="28">
        <f>IFERROR(VLOOKUP(C52,Scoring!$A$4:$N$51,14,FALSE())*4,"-")</f>
        <v>52</v>
      </c>
      <c r="L52" s="28">
        <f>IFERROR(VLOOKUP(D52,Scoring!$A$4:$N$51,14,FALSE())*3,"-")</f>
        <v>33</v>
      </c>
      <c r="M52" s="28">
        <f>IFERROR(VLOOKUP(E52,Scoring!$A$4:$N$51,14,FALSE())*2,"-")</f>
        <v>26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2.5</v>
      </c>
      <c r="R52" s="36">
        <f t="shared" si="3"/>
        <v>204.5</v>
      </c>
      <c r="S52">
        <f t="shared" si="4"/>
        <v>33</v>
      </c>
      <c r="T52">
        <f t="shared" si="5"/>
        <v>204.49994799999999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66</v>
      </c>
      <c r="K53" s="28">
        <f>IFERROR(VLOOKUP(C53,Scoring!$A$4:$N$51,14,FALSE())*4,"-")</f>
        <v>44</v>
      </c>
      <c r="L53" s="28">
        <f>IFERROR(VLOOKUP(D53,Scoring!$A$4:$N$51,14,FALSE())*3,"-")</f>
        <v>39</v>
      </c>
      <c r="M53" s="28">
        <f>IFERROR(VLOOKUP(E53,Scoring!$A$4:$N$51,14,FALSE())*2,"-")</f>
        <v>22</v>
      </c>
      <c r="N53" s="28">
        <f>IFERROR(VLOOKUP(F53,Scoring!$A$4:$N$51,14,FALSE()),"-")</f>
        <v>2</v>
      </c>
      <c r="O53" s="28">
        <f>IFERROR(VLOOKUP(G53,Scoring!$A$4:$N$51,14,FALSE()),"-")</f>
        <v>10</v>
      </c>
      <c r="P53" s="29">
        <f>IFERROR(VLOOKUP(H53,Scoring!$A$4:$N$51,14,FALSE()),"-")</f>
        <v>8</v>
      </c>
      <c r="Q53" s="29">
        <f>IFERROR(VLOOKUP(I53,Scoring!$A$4:$N$51,6,FALSE()),"-")</f>
        <v>3.5</v>
      </c>
      <c r="R53" s="36">
        <f t="shared" si="3"/>
        <v>194.5</v>
      </c>
      <c r="S53">
        <f t="shared" si="4"/>
        <v>66</v>
      </c>
      <c r="T53">
        <f t="shared" si="5"/>
        <v>194.49994699999999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54</v>
      </c>
      <c r="K54" s="28">
        <f>IFERROR(VLOOKUP(C54,Scoring!$A$4:$N$51,14,FALSE())*4,"-")</f>
        <v>44</v>
      </c>
      <c r="L54" s="28">
        <f>IFERROR(VLOOKUP(D54,Scoring!$A$4:$N$51,14,FALSE())*3,"-")</f>
        <v>33</v>
      </c>
      <c r="M54" s="28">
        <f>IFERROR(VLOOKUP(E54,Scoring!$A$4:$N$51,14,FALSE())*2,"-")</f>
        <v>26</v>
      </c>
      <c r="N54" s="28">
        <f>IFERROR(VLOOKUP(F54,Scoring!$A$4:$N$51,14,FALSE()),"-")</f>
        <v>2</v>
      </c>
      <c r="O54" s="28">
        <f>IFERROR(VLOOKUP(G54,Scoring!$A$4:$N$51,14,FALSE()),"-")</f>
        <v>9</v>
      </c>
      <c r="P54" s="29">
        <f>IFERROR(VLOOKUP(H54,Scoring!$A$4:$N$51,14,FALSE()),"-")</f>
        <v>8</v>
      </c>
      <c r="Q54" s="29">
        <f>IFERROR(VLOOKUP(I54,Scoring!$A$4:$N$51,6,FALSE()),"-")</f>
        <v>3</v>
      </c>
      <c r="R54" s="36">
        <f t="shared" si="3"/>
        <v>179</v>
      </c>
      <c r="S54">
        <f t="shared" si="4"/>
        <v>103</v>
      </c>
      <c r="T54">
        <f t="shared" si="5"/>
        <v>178.99994599999999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66</v>
      </c>
      <c r="K55" s="28">
        <f>IFERROR(VLOOKUP(C55,Scoring!$A$4:$N$51,14,FALSE())*4,"-")</f>
        <v>52</v>
      </c>
      <c r="L55" s="28">
        <f>IFERROR(VLOOKUP(D55,Scoring!$A$4:$N$51,14,FALSE())*3,"-")</f>
        <v>33</v>
      </c>
      <c r="M55" s="28">
        <f>IFERROR(VLOOKUP(E55,Scoring!$A$4:$N$51,14,FALSE())*2,"-")</f>
        <v>22</v>
      </c>
      <c r="N55" s="28">
        <f>IFERROR(VLOOKUP(F55,Scoring!$A$4:$N$51,14,FALSE()),"-")</f>
        <v>13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5</v>
      </c>
      <c r="R55" s="36">
        <f t="shared" si="3"/>
        <v>207</v>
      </c>
      <c r="S55">
        <f t="shared" si="4"/>
        <v>18</v>
      </c>
      <c r="T55">
        <f t="shared" si="5"/>
        <v>206.999945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66</v>
      </c>
      <c r="K56" s="28">
        <f>IFERROR(VLOOKUP(C56,Scoring!$A$4:$N$51,14,FALSE())*4,"-")</f>
        <v>52</v>
      </c>
      <c r="L56" s="28">
        <f>IFERROR(VLOOKUP(D56,Scoring!$A$4:$N$51,14,FALSE())*3,"-")</f>
        <v>33</v>
      </c>
      <c r="M56" s="28">
        <f>IFERROR(VLOOKUP(E56,Scoring!$A$4:$N$51,14,FALSE())*2,"-")</f>
        <v>26</v>
      </c>
      <c r="N56" s="28">
        <f>IFERROR(VLOOKUP(F56,Scoring!$A$4:$N$51,14,FALSE()),"-")</f>
        <v>2</v>
      </c>
      <c r="O56" s="28">
        <f>IFERROR(VLOOKUP(G56,Scoring!$A$4:$N$51,14,FALSE()),"-")</f>
        <v>10</v>
      </c>
      <c r="P56" s="29">
        <f>IFERROR(VLOOKUP(H56,Scoring!$A$4:$N$51,14,FALSE()),"-")</f>
        <v>1</v>
      </c>
      <c r="Q56" s="29">
        <f>IFERROR(VLOOKUP(I56,Scoring!$A$4:$N$51,6,FALSE()),"-")</f>
        <v>2.5</v>
      </c>
      <c r="R56" s="36">
        <f t="shared" si="3"/>
        <v>192.5</v>
      </c>
      <c r="S56">
        <f t="shared" si="4"/>
        <v>73</v>
      </c>
      <c r="T56">
        <f t="shared" si="5"/>
        <v>192.499944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78</v>
      </c>
      <c r="K57" s="28">
        <f>IFERROR(VLOOKUP(C57,Scoring!$A$4:$N$51,14,FALSE())*4,"-")</f>
        <v>44</v>
      </c>
      <c r="L57" s="28">
        <f>IFERROR(VLOOKUP(D57,Scoring!$A$4:$N$51,14,FALSE())*3,"-")</f>
        <v>33</v>
      </c>
      <c r="M57" s="28">
        <f>IFERROR(VLOOKUP(E57,Scoring!$A$4:$N$51,14,FALSE())*2,"-")</f>
        <v>26</v>
      </c>
      <c r="N57" s="28">
        <f>IFERROR(VLOOKUP(F57,Scoring!$A$4:$N$51,14,FALSE()),"-")</f>
        <v>11</v>
      </c>
      <c r="O57" s="28">
        <f>IFERROR(VLOOKUP(G57,Scoring!$A$4:$N$51,14,FALSE()),"-")</f>
        <v>9</v>
      </c>
      <c r="P57" s="29">
        <f>IFERROR(VLOOKUP(H57,Scoring!$A$4:$N$51,14,FALSE()),"-")</f>
        <v>8</v>
      </c>
      <c r="Q57" s="29">
        <f>IFERROR(VLOOKUP(I57,Scoring!$A$4:$N$51,6,FALSE()),"-")</f>
        <v>5</v>
      </c>
      <c r="R57" s="36">
        <f t="shared" si="3"/>
        <v>214</v>
      </c>
      <c r="S57">
        <f t="shared" si="4"/>
        <v>2</v>
      </c>
      <c r="T57">
        <f t="shared" si="5"/>
        <v>213.999943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78</v>
      </c>
      <c r="K58" s="28">
        <f>IFERROR(VLOOKUP(C58,Scoring!$A$4:$N$51,14,FALSE())*4,"-")</f>
        <v>44</v>
      </c>
      <c r="L58" s="28">
        <f>IFERROR(VLOOKUP(D58,Scoring!$A$4:$N$51,14,FALSE())*3,"-")</f>
        <v>39</v>
      </c>
      <c r="M58" s="28">
        <f>IFERROR(VLOOKUP(E58,Scoring!$A$4:$N$51,14,FALSE())*2,"-")</f>
        <v>22</v>
      </c>
      <c r="N58" s="28">
        <f>IFERROR(VLOOKUP(F58,Scoring!$A$4:$N$51,14,FALSE()),"-")</f>
        <v>13</v>
      </c>
      <c r="O58" s="28">
        <f>IFERROR(VLOOKUP(G58,Scoring!$A$4:$N$51,14,FALSE()),"-")</f>
        <v>8</v>
      </c>
      <c r="P58" s="29">
        <f>IFERROR(VLOOKUP(H58,Scoring!$A$4:$N$51,14,FALSE()),"-")</f>
        <v>8</v>
      </c>
      <c r="Q58" s="29">
        <f>IFERROR(VLOOKUP(I58,Scoring!$A$4:$N$51,6,FALSE()),"-")</f>
        <v>2.5</v>
      </c>
      <c r="R58" s="36">
        <f t="shared" si="3"/>
        <v>214.5</v>
      </c>
      <c r="S58">
        <f t="shared" si="4"/>
        <v>1</v>
      </c>
      <c r="T58">
        <f t="shared" si="5"/>
        <v>214.499942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78</v>
      </c>
      <c r="K59" s="28">
        <f>IFERROR(VLOOKUP(C59,Scoring!$A$4:$N$51,14,FALSE())*4,"-")</f>
        <v>44</v>
      </c>
      <c r="L59" s="28">
        <f>IFERROR(VLOOKUP(D59,Scoring!$A$4:$N$51,14,FALSE())*3,"-")</f>
        <v>33</v>
      </c>
      <c r="M59" s="28">
        <f>IFERROR(VLOOKUP(E59,Scoring!$A$4:$N$51,14,FALSE())*2,"-")</f>
        <v>18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2.5</v>
      </c>
      <c r="R59" s="36">
        <f t="shared" si="3"/>
        <v>193.5</v>
      </c>
      <c r="S59">
        <f t="shared" si="4"/>
        <v>71</v>
      </c>
      <c r="T59">
        <f t="shared" si="5"/>
        <v>193.49994100000001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66</v>
      </c>
      <c r="K60" s="28">
        <f>IFERROR(VLOOKUP(C60,Scoring!$A$4:$N$51,14,FALSE())*4,"-")</f>
        <v>44</v>
      </c>
      <c r="L60" s="28">
        <f>IFERROR(VLOOKUP(D60,Scoring!$A$4:$N$51,14,FALSE())*3,"-")</f>
        <v>30</v>
      </c>
      <c r="M60" s="28">
        <f>IFERROR(VLOOKUP(E60,Scoring!$A$4:$N$51,14,FALSE())*2,"-")</f>
        <v>18</v>
      </c>
      <c r="N60" s="28">
        <f>IFERROR(VLOOKUP(F60,Scoring!$A$4:$N$51,14,FALSE()),"-")</f>
        <v>13</v>
      </c>
      <c r="O60" s="28">
        <f>IFERROR(VLOOKUP(G60,Scoring!$A$4:$N$51,14,FALSE()),"-")</f>
        <v>10</v>
      </c>
      <c r="P60" s="29">
        <f>IFERROR(VLOOKUP(H60,Scoring!$A$4:$N$51,14,FALSE()),"-")</f>
        <v>8</v>
      </c>
      <c r="Q60" s="29">
        <f>IFERROR(VLOOKUP(I60,Scoring!$A$4:$N$51,6,FALSE()),"-")</f>
        <v>3.5</v>
      </c>
      <c r="R60" s="36">
        <f t="shared" si="3"/>
        <v>192.5</v>
      </c>
      <c r="S60">
        <f t="shared" si="4"/>
        <v>73</v>
      </c>
      <c r="T60">
        <f t="shared" si="5"/>
        <v>192.49994000000001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54</v>
      </c>
      <c r="K61" s="28">
        <f>IFERROR(VLOOKUP(C61,Scoring!$A$4:$N$51,14,FALSE())*4,"-")</f>
        <v>52</v>
      </c>
      <c r="L61" s="28">
        <f>IFERROR(VLOOKUP(D61,Scoring!$A$4:$N$51,14,FALSE())*3,"-")</f>
        <v>33</v>
      </c>
      <c r="M61" s="28">
        <f>IFERROR(VLOOKUP(E61,Scoring!$A$4:$N$51,14,FALSE())*2,"-")</f>
        <v>22</v>
      </c>
      <c r="N61" s="28">
        <f>IFERROR(VLOOKUP(F61,Scoring!$A$4:$N$51,14,FALSE()),"-")</f>
        <v>3</v>
      </c>
      <c r="O61" s="28">
        <f>IFERROR(VLOOKUP(G61,Scoring!$A$4:$N$51,14,FALSE()),"-")</f>
        <v>8</v>
      </c>
      <c r="P61" s="29">
        <f>IFERROR(VLOOKUP(H61,Scoring!$A$4:$N$51,14,FALSE()),"-")</f>
        <v>8</v>
      </c>
      <c r="Q61" s="29">
        <f>IFERROR(VLOOKUP(I61,Scoring!$A$4:$N$51,6,FALSE()),"-")</f>
        <v>2.5</v>
      </c>
      <c r="R61" s="36">
        <f t="shared" si="3"/>
        <v>182.5</v>
      </c>
      <c r="S61">
        <f t="shared" si="4"/>
        <v>97</v>
      </c>
      <c r="T61">
        <f t="shared" si="5"/>
        <v>182.49993900000001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66</v>
      </c>
      <c r="K62" s="28">
        <f>IFERROR(VLOOKUP(C62,Scoring!$A$4:$N$51,14,FALSE())*4,"-")</f>
        <v>40</v>
      </c>
      <c r="L62" s="28">
        <f>IFERROR(VLOOKUP(D62,Scoring!$A$4:$N$51,14,FALSE())*3,"-")</f>
        <v>39</v>
      </c>
      <c r="M62" s="28">
        <f>IFERROR(VLOOKUP(E62,Scoring!$A$4:$N$51,14,FALSE())*2,"-")</f>
        <v>4</v>
      </c>
      <c r="N62" s="28">
        <f>IFERROR(VLOOKUP(F62,Scoring!$A$4:$N$51,14,FALSE()),"-")</f>
        <v>11</v>
      </c>
      <c r="O62" s="28">
        <f>IFERROR(VLOOKUP(G62,Scoring!$A$4:$N$51,14,FALSE()),"-")</f>
        <v>8</v>
      </c>
      <c r="P62" s="29">
        <f>IFERROR(VLOOKUP(H62,Scoring!$A$4:$N$51,14,FALSE()),"-")</f>
        <v>8</v>
      </c>
      <c r="Q62" s="29">
        <f>IFERROR(VLOOKUP(I62,Scoring!$A$4:$N$51,6,FALSE()),"-")</f>
        <v>3.5</v>
      </c>
      <c r="R62" s="36">
        <f t="shared" si="3"/>
        <v>179.5</v>
      </c>
      <c r="S62">
        <f t="shared" si="4"/>
        <v>102</v>
      </c>
      <c r="T62">
        <f t="shared" si="5"/>
        <v>179.49993799999999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78</v>
      </c>
      <c r="K63" s="28">
        <f>IFERROR(VLOOKUP(C63,Scoring!$A$4:$N$51,14,FALSE())*4,"-")</f>
        <v>44</v>
      </c>
      <c r="L63" s="28">
        <f>IFERROR(VLOOKUP(D63,Scoring!$A$4:$N$51,14,FALSE())*3,"-")</f>
        <v>33</v>
      </c>
      <c r="M63" s="28">
        <f>IFERROR(VLOOKUP(E63,Scoring!$A$4:$N$51,14,FALSE())*2,"-")</f>
        <v>22</v>
      </c>
      <c r="N63" s="28">
        <f>IFERROR(VLOOKUP(F63,Scoring!$A$4:$N$51,14,FALSE()),"-")</f>
        <v>2</v>
      </c>
      <c r="O63" s="28">
        <f>IFERROR(VLOOKUP(G63,Scoring!$A$4:$N$51,14,FALSE()),"-")</f>
        <v>9</v>
      </c>
      <c r="P63" s="29">
        <f>IFERROR(VLOOKUP(H63,Scoring!$A$4:$N$51,14,FALSE()),"-")</f>
        <v>1</v>
      </c>
      <c r="Q63" s="29">
        <f>IFERROR(VLOOKUP(I63,Scoring!$A$4:$N$51,6,FALSE()),"-")</f>
        <v>5</v>
      </c>
      <c r="R63" s="36">
        <f t="shared" si="3"/>
        <v>194</v>
      </c>
      <c r="S63">
        <f t="shared" si="4"/>
        <v>70</v>
      </c>
      <c r="T63">
        <f t="shared" si="5"/>
        <v>193.99993699999999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78</v>
      </c>
      <c r="K64" s="28">
        <f>IFERROR(VLOOKUP(C64,Scoring!$A$4:$N$51,14,FALSE())*4,"-")</f>
        <v>44</v>
      </c>
      <c r="L64" s="28">
        <f>IFERROR(VLOOKUP(D64,Scoring!$A$4:$N$51,14,FALSE())*3,"-")</f>
        <v>33</v>
      </c>
      <c r="M64" s="28">
        <f>IFERROR(VLOOKUP(E64,Scoring!$A$4:$N$51,14,FALSE())*2,"-")</f>
        <v>22</v>
      </c>
      <c r="N64" s="28">
        <f>IFERROR(VLOOKUP(F64,Scoring!$A$4:$N$51,14,FALSE()),"-")</f>
        <v>9</v>
      </c>
      <c r="O64" s="28">
        <f>IFERROR(VLOOKUP(G64,Scoring!$A$4:$N$51,14,FALSE()),"-")</f>
        <v>10</v>
      </c>
      <c r="P64" s="29">
        <f>IFERROR(VLOOKUP(H64,Scoring!$A$4:$N$51,14,FALSE()),"-")</f>
        <v>8</v>
      </c>
      <c r="Q64" s="29">
        <f>IFERROR(VLOOKUP(I64,Scoring!$A$4:$N$51,6,FALSE()),"-")</f>
        <v>5</v>
      </c>
      <c r="R64" s="36">
        <f t="shared" si="3"/>
        <v>209</v>
      </c>
      <c r="S64">
        <f t="shared" si="4"/>
        <v>11</v>
      </c>
      <c r="T64">
        <f t="shared" si="5"/>
        <v>208.99993599999999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54</v>
      </c>
      <c r="K65" s="28">
        <f>IFERROR(VLOOKUP(C65,Scoring!$A$4:$N$51,14,FALSE())*4,"-")</f>
        <v>52</v>
      </c>
      <c r="L65" s="28">
        <f>IFERROR(VLOOKUP(D65,Scoring!$A$4:$N$51,14,FALSE())*3,"-")</f>
        <v>33</v>
      </c>
      <c r="M65" s="28">
        <f>IFERROR(VLOOKUP(E65,Scoring!$A$4:$N$51,14,FALSE())*2,"-")</f>
        <v>22</v>
      </c>
      <c r="N65" s="28">
        <f>IFERROR(VLOOKUP(F65,Scoring!$A$4:$N$51,14,FALSE()),"-")</f>
        <v>11</v>
      </c>
      <c r="O65" s="28">
        <f>IFERROR(VLOOKUP(G65,Scoring!$A$4:$N$51,14,FALSE()),"-")</f>
        <v>10</v>
      </c>
      <c r="P65" s="29">
        <f>IFERROR(VLOOKUP(H65,Scoring!$A$4:$N$51,14,FALSE()),"-")</f>
        <v>0</v>
      </c>
      <c r="Q65" s="29">
        <f>IFERROR(VLOOKUP(I65,Scoring!$A$4:$N$51,6,FALSE()),"-")</f>
        <v>5</v>
      </c>
      <c r="R65" s="36">
        <f t="shared" si="3"/>
        <v>187</v>
      </c>
      <c r="S65">
        <f t="shared" si="4"/>
        <v>86</v>
      </c>
      <c r="T65">
        <f t="shared" si="5"/>
        <v>186.99993499999999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66</v>
      </c>
      <c r="K66" s="28">
        <f>IFERROR(VLOOKUP(C66,Scoring!$A$4:$N$51,14,FALSE())*4,"-")</f>
        <v>44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10</v>
      </c>
      <c r="P66" s="29">
        <f>IFERROR(VLOOKUP(H66,Scoring!$A$4:$N$51,14,FALSE()),"-")</f>
        <v>7</v>
      </c>
      <c r="Q66" s="29">
        <f>IFERROR(VLOOKUP(I66,Scoring!$A$4:$N$51,6,FALSE()),"-")</f>
        <v>3.5</v>
      </c>
      <c r="R66" s="36">
        <f t="shared" si="3"/>
        <v>190.5</v>
      </c>
      <c r="S66">
        <f t="shared" si="4"/>
        <v>81</v>
      </c>
      <c r="T66">
        <f t="shared" si="5"/>
        <v>190.499934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66</v>
      </c>
      <c r="K67" s="28">
        <f>IFERROR(VLOOKUP(C67,Scoring!$A$4:$N$51,14,FALSE())*4,"-")</f>
        <v>52</v>
      </c>
      <c r="L67" s="28">
        <f>IFERROR(VLOOKUP(D67,Scoring!$A$4:$N$51,14,FALSE())*3,"-")</f>
        <v>39</v>
      </c>
      <c r="M67" s="28">
        <f>IFERROR(VLOOKUP(E67,Scoring!$A$4:$N$51,14,FALSE())*2,"-")</f>
        <v>22</v>
      </c>
      <c r="N67" s="28">
        <f>IFERROR(VLOOKUP(F67,Scoring!$A$4:$N$51,14,FALSE()),"-")</f>
        <v>9</v>
      </c>
      <c r="O67" s="28">
        <f>IFERROR(VLOOKUP(G67,Scoring!$A$4:$N$51,14,FALSE()),"-")</f>
        <v>10</v>
      </c>
      <c r="P67" s="29">
        <f>IFERROR(VLOOKUP(H67,Scoring!$A$4:$N$51,14,FALSE()),"-")</f>
        <v>0</v>
      </c>
      <c r="Q67" s="29">
        <f>IFERROR(VLOOKUP(I67,Scoring!$A$4:$N$51,6,FALSE()),"-")</f>
        <v>2.5</v>
      </c>
      <c r="R67" s="36">
        <f t="shared" si="3"/>
        <v>200.5</v>
      </c>
      <c r="S67">
        <f t="shared" si="4"/>
        <v>51</v>
      </c>
      <c r="T67">
        <f t="shared" si="5"/>
        <v>200.499933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66</v>
      </c>
      <c r="K68" s="28">
        <f>IFERROR(VLOOKUP(C68,Scoring!$A$4:$N$51,14,FALSE())*4,"-")</f>
        <v>44</v>
      </c>
      <c r="L68" s="28">
        <f>IFERROR(VLOOKUP(D68,Scoring!$A$4:$N$51,14,FALSE())*3,"-")</f>
        <v>39</v>
      </c>
      <c r="M68" s="28">
        <f>IFERROR(VLOOKUP(E68,Scoring!$A$4:$N$51,14,FALSE())*2,"-")</f>
        <v>22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3.5</v>
      </c>
      <c r="R68" s="36">
        <f t="shared" ref="R68:R99" si="6">IF(A68="","-",SUM(J68:Q68))</f>
        <v>194.5</v>
      </c>
      <c r="S68">
        <f t="shared" ref="S68:S99" si="7">IF(A68="","",RANK(R68,$R$4:$R$119))</f>
        <v>66</v>
      </c>
      <c r="T68">
        <f t="shared" ref="T68:T99" si="8">IF(A68="",-1,R68-ROW(R68)/1000000)</f>
        <v>194.499932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78</v>
      </c>
      <c r="K69" s="28">
        <f>IFERROR(VLOOKUP(C69,Scoring!$A$4:$N$51,14,FALSE())*4,"-")</f>
        <v>36</v>
      </c>
      <c r="L69" s="28">
        <f>IFERROR(VLOOKUP(D69,Scoring!$A$4:$N$51,14,FALSE())*3,"-")</f>
        <v>33</v>
      </c>
      <c r="M69" s="28">
        <f>IFERROR(VLOOKUP(E69,Scoring!$A$4:$N$51,14,FALSE())*2,"-")</f>
        <v>26</v>
      </c>
      <c r="N69" s="28">
        <f>IFERROR(VLOOKUP(F69,Scoring!$A$4:$N$51,14,FALSE()),"-")</f>
        <v>13</v>
      </c>
      <c r="O69" s="28">
        <f>IFERROR(VLOOKUP(G69,Scoring!$A$4:$N$51,14,FALSE()),"-")</f>
        <v>9</v>
      </c>
      <c r="P69" s="29">
        <f>IFERROR(VLOOKUP(H69,Scoring!$A$4:$N$51,14,FALSE()),"-")</f>
        <v>8</v>
      </c>
      <c r="Q69" s="29">
        <f>IFERROR(VLOOKUP(I69,Scoring!$A$4:$N$51,6,FALSE()),"-")</f>
        <v>2.5</v>
      </c>
      <c r="R69" s="36">
        <f t="shared" si="6"/>
        <v>205.5</v>
      </c>
      <c r="S69">
        <f t="shared" si="7"/>
        <v>27</v>
      </c>
      <c r="T69">
        <f t="shared" si="8"/>
        <v>205.499931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78</v>
      </c>
      <c r="K70" s="28">
        <f>IFERROR(VLOOKUP(C70,Scoring!$A$4:$N$51,14,FALSE())*4,"-")</f>
        <v>52</v>
      </c>
      <c r="L70" s="28">
        <f>IFERROR(VLOOKUP(D70,Scoring!$A$4:$N$51,14,FALSE())*3,"-")</f>
        <v>33</v>
      </c>
      <c r="M70" s="28">
        <f>IFERROR(VLOOKUP(E70,Scoring!$A$4:$N$51,14,FALSE())*2,"-")</f>
        <v>22</v>
      </c>
      <c r="N70" s="28">
        <f>IFERROR(VLOOKUP(F70,Scoring!$A$4:$N$51,14,FALSE()),"-")</f>
        <v>11</v>
      </c>
      <c r="O70" s="28">
        <f>IFERROR(VLOOKUP(G70,Scoring!$A$4:$N$51,14,FALSE()),"-")</f>
        <v>9</v>
      </c>
      <c r="P70" s="29">
        <f>IFERROR(VLOOKUP(H70,Scoring!$A$4:$N$51,14,FALSE()),"-")</f>
        <v>0</v>
      </c>
      <c r="Q70" s="29">
        <f>IFERROR(VLOOKUP(I70,Scoring!$A$4:$N$51,6,FALSE()),"-")</f>
        <v>5</v>
      </c>
      <c r="R70" s="36">
        <f t="shared" si="6"/>
        <v>210</v>
      </c>
      <c r="S70">
        <f t="shared" si="7"/>
        <v>9</v>
      </c>
      <c r="T70">
        <f t="shared" si="8"/>
        <v>209.99993000000001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66</v>
      </c>
      <c r="K71" s="28">
        <f>IFERROR(VLOOKUP(C71,Scoring!$A$4:$N$51,14,FALSE())*4,"-")</f>
        <v>44</v>
      </c>
      <c r="L71" s="28">
        <f>IFERROR(VLOOKUP(D71,Scoring!$A$4:$N$51,14,FALSE())*3,"-")</f>
        <v>39</v>
      </c>
      <c r="M71" s="28">
        <f>IFERROR(VLOOKUP(E71,Scoring!$A$4:$N$51,14,FALSE())*2,"-")</f>
        <v>26</v>
      </c>
      <c r="N71" s="28">
        <f>IFERROR(VLOOKUP(F71,Scoring!$A$4:$N$51,14,FALSE()),"-")</f>
        <v>10</v>
      </c>
      <c r="O71" s="28">
        <f>IFERROR(VLOOKUP(G71,Scoring!$A$4:$N$51,14,FALSE()),"-")</f>
        <v>10</v>
      </c>
      <c r="P71" s="29">
        <f>IFERROR(VLOOKUP(H71,Scoring!$A$4:$N$51,14,FALSE()),"-")</f>
        <v>8</v>
      </c>
      <c r="Q71" s="29">
        <f>IFERROR(VLOOKUP(I71,Scoring!$A$4:$N$51,6,FALSE()),"-")</f>
        <v>2.5</v>
      </c>
      <c r="R71" s="36">
        <f t="shared" si="6"/>
        <v>205.5</v>
      </c>
      <c r="S71">
        <f t="shared" si="7"/>
        <v>27</v>
      </c>
      <c r="T71">
        <f t="shared" si="8"/>
        <v>205.49992900000001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66</v>
      </c>
      <c r="K72" s="28">
        <f>IFERROR(VLOOKUP(C72,Scoring!$A$4:$N$51,14,FALSE())*4,"-")</f>
        <v>52</v>
      </c>
      <c r="L72" s="28">
        <f>IFERROR(VLOOKUP(D72,Scoring!$A$4:$N$51,14,FALSE())*3,"-")</f>
        <v>33</v>
      </c>
      <c r="M72" s="28">
        <f>IFERROR(VLOOKUP(E72,Scoring!$A$4:$N$51,14,FALSE())*2,"-")</f>
        <v>26</v>
      </c>
      <c r="N72" s="28">
        <f>IFERROR(VLOOKUP(F72,Scoring!$A$4:$N$51,14,FALSE()),"-")</f>
        <v>11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2.5</v>
      </c>
      <c r="R72" s="36">
        <f t="shared" si="6"/>
        <v>206.5</v>
      </c>
      <c r="S72">
        <f t="shared" si="7"/>
        <v>21</v>
      </c>
      <c r="T72">
        <f t="shared" si="8"/>
        <v>206.49992800000001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44</v>
      </c>
      <c r="L73" s="28">
        <f>IFERROR(VLOOKUP(D73,Scoring!$A$4:$N$51,14,FALSE())*3,"-")</f>
        <v>27</v>
      </c>
      <c r="M73" s="28">
        <f>IFERROR(VLOOKUP(E73,Scoring!$A$4:$N$51,14,FALSE())*2,"-")</f>
        <v>26</v>
      </c>
      <c r="N73" s="28">
        <f>IFERROR(VLOOKUP(F73,Scoring!$A$4:$N$51,14,FALSE()),"-")</f>
        <v>13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5</v>
      </c>
      <c r="R73" s="36">
        <f t="shared" si="6"/>
        <v>197</v>
      </c>
      <c r="S73">
        <f t="shared" si="7"/>
        <v>57</v>
      </c>
      <c r="T73">
        <f t="shared" si="8"/>
        <v>196.99992700000001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66</v>
      </c>
      <c r="K74" s="28">
        <f>IFERROR(VLOOKUP(C74,Scoring!$A$4:$N$51,14,FALSE())*4,"-")</f>
        <v>52</v>
      </c>
      <c r="L74" s="28">
        <f>IFERROR(VLOOKUP(D74,Scoring!$A$4:$N$51,14,FALSE())*3,"-")</f>
        <v>39</v>
      </c>
      <c r="M74" s="28">
        <f>IFERROR(VLOOKUP(E74,Scoring!$A$4:$N$51,14,FALSE())*2,"-")</f>
        <v>18</v>
      </c>
      <c r="N74" s="28">
        <f>IFERROR(VLOOKUP(F74,Scoring!$A$4:$N$51,14,FALSE()),"-")</f>
        <v>11</v>
      </c>
      <c r="O74" s="28">
        <f>IFERROR(VLOOKUP(G74,Scoring!$A$4:$N$51,14,FALSE()),"-")</f>
        <v>10</v>
      </c>
      <c r="P74" s="29">
        <f>IFERROR(VLOOKUP(H74,Scoring!$A$4:$N$51,14,FALSE()),"-")</f>
        <v>8</v>
      </c>
      <c r="Q74" s="29">
        <f>IFERROR(VLOOKUP(I74,Scoring!$A$4:$N$51,6,FALSE()),"-")</f>
        <v>3</v>
      </c>
      <c r="R74" s="36">
        <f t="shared" si="6"/>
        <v>207</v>
      </c>
      <c r="S74">
        <f t="shared" si="7"/>
        <v>18</v>
      </c>
      <c r="T74">
        <f t="shared" si="8"/>
        <v>206.99992599999999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78</v>
      </c>
      <c r="K75" s="28">
        <f>IFERROR(VLOOKUP(C75,Scoring!$A$4:$N$51,14,FALSE())*4,"-")</f>
        <v>44</v>
      </c>
      <c r="L75" s="28">
        <f>IFERROR(VLOOKUP(D75,Scoring!$A$4:$N$51,14,FALSE())*3,"-")</f>
        <v>33</v>
      </c>
      <c r="M75" s="28">
        <f>IFERROR(VLOOKUP(E75,Scoring!$A$4:$N$51,14,FALSE())*2,"-")</f>
        <v>22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2.5</v>
      </c>
      <c r="R75" s="36">
        <f t="shared" si="6"/>
        <v>200.5</v>
      </c>
      <c r="S75">
        <f t="shared" si="7"/>
        <v>51</v>
      </c>
      <c r="T75">
        <f t="shared" si="8"/>
        <v>200.49992499999999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54</v>
      </c>
      <c r="K76" s="28">
        <f>IFERROR(VLOOKUP(C76,Scoring!$A$4:$N$51,14,FALSE())*4,"-")</f>
        <v>44</v>
      </c>
      <c r="L76" s="28">
        <f>IFERROR(VLOOKUP(D76,Scoring!$A$4:$N$51,14,FALSE())*3,"-")</f>
        <v>39</v>
      </c>
      <c r="M76" s="28">
        <f>IFERROR(VLOOKUP(E76,Scoring!$A$4:$N$51,14,FALSE())*2,"-")</f>
        <v>20</v>
      </c>
      <c r="N76" s="28">
        <f>IFERROR(VLOOKUP(F76,Scoring!$A$4:$N$51,14,FALSE()),"-")</f>
        <v>13</v>
      </c>
      <c r="O76" s="28">
        <f>IFERROR(VLOOKUP(G76,Scoring!$A$4:$N$51,14,FALSE()),"-")</f>
        <v>8</v>
      </c>
      <c r="P76" s="29">
        <f>IFERROR(VLOOKUP(H76,Scoring!$A$4:$N$51,14,FALSE()),"-")</f>
        <v>8</v>
      </c>
      <c r="Q76" s="29">
        <f>IFERROR(VLOOKUP(I76,Scoring!$A$4:$N$51,6,FALSE()),"-")</f>
        <v>5</v>
      </c>
      <c r="R76" s="36">
        <f t="shared" si="6"/>
        <v>191</v>
      </c>
      <c r="S76">
        <f t="shared" si="7"/>
        <v>80</v>
      </c>
      <c r="T76">
        <f t="shared" si="8"/>
        <v>190.99992399999999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66</v>
      </c>
      <c r="K77" s="28">
        <f>IFERROR(VLOOKUP(C77,Scoring!$A$4:$N$51,14,FALSE())*4,"-")</f>
        <v>52</v>
      </c>
      <c r="L77" s="28">
        <f>IFERROR(VLOOKUP(D77,Scoring!$A$4:$N$51,14,FALSE())*3,"-")</f>
        <v>33</v>
      </c>
      <c r="M77" s="28">
        <f>IFERROR(VLOOKUP(E77,Scoring!$A$4:$N$51,14,FALSE())*2,"-")</f>
        <v>18</v>
      </c>
      <c r="N77" s="28">
        <f>IFERROR(VLOOKUP(F77,Scoring!$A$4:$N$51,14,FALSE()),"-")</f>
        <v>13</v>
      </c>
      <c r="O77" s="28">
        <f>IFERROR(VLOOKUP(G77,Scoring!$A$4:$N$51,14,FALSE()),"-")</f>
        <v>8</v>
      </c>
      <c r="P77" s="29">
        <f>IFERROR(VLOOKUP(H77,Scoring!$A$4:$N$51,14,FALSE()),"-")</f>
        <v>8</v>
      </c>
      <c r="Q77" s="29">
        <f>IFERROR(VLOOKUP(I77,Scoring!$A$4:$N$51,6,FALSE()),"-")</f>
        <v>2.5</v>
      </c>
      <c r="R77" s="36">
        <f t="shared" si="6"/>
        <v>200.5</v>
      </c>
      <c r="S77">
        <f t="shared" si="7"/>
        <v>51</v>
      </c>
      <c r="T77">
        <f t="shared" si="8"/>
        <v>200.499923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66</v>
      </c>
      <c r="K78" s="28">
        <f>IFERROR(VLOOKUP(C78,Scoring!$A$4:$N$51,14,FALSE())*4,"-")</f>
        <v>44</v>
      </c>
      <c r="L78" s="28">
        <f>IFERROR(VLOOKUP(D78,Scoring!$A$4:$N$51,14,FALSE())*3,"-")</f>
        <v>39</v>
      </c>
      <c r="M78" s="28">
        <f>IFERROR(VLOOKUP(E78,Scoring!$A$4:$N$51,14,FALSE())*2,"-")</f>
        <v>26</v>
      </c>
      <c r="N78" s="28">
        <f>IFERROR(VLOOKUP(F78,Scoring!$A$4:$N$51,14,FALSE()),"-")</f>
        <v>11</v>
      </c>
      <c r="O78" s="28">
        <f>IFERROR(VLOOKUP(G78,Scoring!$A$4:$N$51,14,FALSE()),"-")</f>
        <v>10</v>
      </c>
      <c r="P78" s="29">
        <f>IFERROR(VLOOKUP(H78,Scoring!$A$4:$N$51,14,FALSE()),"-")</f>
        <v>8</v>
      </c>
      <c r="Q78" s="29">
        <f>IFERROR(VLOOKUP(I78,Scoring!$A$4:$N$51,6,FALSE()),"-")</f>
        <v>2.5</v>
      </c>
      <c r="R78" s="36">
        <f t="shared" si="6"/>
        <v>206.5</v>
      </c>
      <c r="S78">
        <f t="shared" si="7"/>
        <v>21</v>
      </c>
      <c r="T78">
        <f t="shared" si="8"/>
        <v>206.499922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54</v>
      </c>
      <c r="K79" s="28">
        <f>IFERROR(VLOOKUP(C79,Scoring!$A$4:$N$51,14,FALSE())*4,"-")</f>
        <v>44</v>
      </c>
      <c r="L79" s="28">
        <f>IFERROR(VLOOKUP(D79,Scoring!$A$4:$N$51,14,FALSE())*3,"-")</f>
        <v>33</v>
      </c>
      <c r="M79" s="28">
        <f>IFERROR(VLOOKUP(E79,Scoring!$A$4:$N$51,14,FALSE())*2,"-")</f>
        <v>26</v>
      </c>
      <c r="N79" s="28">
        <f>IFERROR(VLOOKUP(F79,Scoring!$A$4:$N$51,14,FALSE()),"-")</f>
        <v>8</v>
      </c>
      <c r="O79" s="28">
        <f>IFERROR(VLOOKUP(G79,Scoring!$A$4:$N$51,14,FALSE()),"-")</f>
        <v>8</v>
      </c>
      <c r="P79" s="29">
        <f>IFERROR(VLOOKUP(H79,Scoring!$A$4:$N$51,14,FALSE()),"-")</f>
        <v>8</v>
      </c>
      <c r="Q79" s="29">
        <f>IFERROR(VLOOKUP(I79,Scoring!$A$4:$N$51,6,FALSE()),"-")</f>
        <v>5</v>
      </c>
      <c r="R79" s="36">
        <f t="shared" si="6"/>
        <v>186</v>
      </c>
      <c r="S79">
        <f t="shared" si="7"/>
        <v>88</v>
      </c>
      <c r="T79">
        <f t="shared" si="8"/>
        <v>185.999921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66</v>
      </c>
      <c r="K80" s="28">
        <f>IFERROR(VLOOKUP(C80,Scoring!$A$4:$N$51,14,FALSE())*4,"-")</f>
        <v>44</v>
      </c>
      <c r="L80" s="28">
        <f>IFERROR(VLOOKUP(D80,Scoring!$A$4:$N$51,14,FALSE())*3,"-")</f>
        <v>39</v>
      </c>
      <c r="M80" s="28">
        <f>IFERROR(VLOOKUP(E80,Scoring!$A$4:$N$51,14,FALSE())*2,"-")</f>
        <v>18</v>
      </c>
      <c r="N80" s="28">
        <f>IFERROR(VLOOKUP(F80,Scoring!$A$4:$N$51,14,FALSE()),"-")</f>
        <v>11</v>
      </c>
      <c r="O80" s="28">
        <f>IFERROR(VLOOKUP(G80,Scoring!$A$4:$N$51,14,FALSE()),"-")</f>
        <v>8</v>
      </c>
      <c r="P80" s="29">
        <f>IFERROR(VLOOKUP(H80,Scoring!$A$4:$N$51,14,FALSE()),"-")</f>
        <v>8</v>
      </c>
      <c r="Q80" s="29">
        <f>IFERROR(VLOOKUP(I80,Scoring!$A$4:$N$51,6,FALSE()),"-")</f>
        <v>2.5</v>
      </c>
      <c r="R80" s="36">
        <f t="shared" si="6"/>
        <v>196.5</v>
      </c>
      <c r="S80">
        <f t="shared" si="7"/>
        <v>60</v>
      </c>
      <c r="T80">
        <f t="shared" si="8"/>
        <v>196.49992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78</v>
      </c>
      <c r="K81" s="28">
        <f>IFERROR(VLOOKUP(C81,Scoring!$A$4:$N$51,14,FALSE())*4,"-")</f>
        <v>36</v>
      </c>
      <c r="L81" s="28">
        <f>IFERROR(VLOOKUP(D81,Scoring!$A$4:$N$51,14,FALSE())*3,"-")</f>
        <v>33</v>
      </c>
      <c r="M81" s="28">
        <f>IFERROR(VLOOKUP(E81,Scoring!$A$4:$N$51,14,FALSE())*2,"-")</f>
        <v>22</v>
      </c>
      <c r="N81" s="28">
        <f>IFERROR(VLOOKUP(F81,Scoring!$A$4:$N$51,14,FALSE()),"-")</f>
        <v>11</v>
      </c>
      <c r="O81" s="28">
        <f>IFERROR(VLOOKUP(G81,Scoring!$A$4:$N$51,14,FALSE()),"-")</f>
        <v>10</v>
      </c>
      <c r="P81" s="29">
        <f>IFERROR(VLOOKUP(H81,Scoring!$A$4:$N$51,14,FALSE()),"-")</f>
        <v>8</v>
      </c>
      <c r="Q81" s="29">
        <f>IFERROR(VLOOKUP(I81,Scoring!$A$4:$N$51,6,FALSE()),"-")</f>
        <v>5</v>
      </c>
      <c r="R81" s="36">
        <f t="shared" si="6"/>
        <v>203</v>
      </c>
      <c r="S81">
        <f t="shared" si="7"/>
        <v>41</v>
      </c>
      <c r="T81">
        <f t="shared" si="8"/>
        <v>202.99991900000001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66</v>
      </c>
      <c r="K82" s="28">
        <f>IFERROR(VLOOKUP(C82,Scoring!$A$4:$N$51,14,FALSE())*4,"-")</f>
        <v>40</v>
      </c>
      <c r="L82" s="28">
        <f>IFERROR(VLOOKUP(D82,Scoring!$A$4:$N$51,14,FALSE())*3,"-")</f>
        <v>39</v>
      </c>
      <c r="M82" s="28">
        <f>IFERROR(VLOOKUP(E82,Scoring!$A$4:$N$51,14,FALSE())*2,"-")</f>
        <v>18</v>
      </c>
      <c r="N82" s="28">
        <f>IFERROR(VLOOKUP(F82,Scoring!$A$4:$N$51,14,FALSE()),"-")</f>
        <v>8</v>
      </c>
      <c r="O82" s="28">
        <f>IFERROR(VLOOKUP(G82,Scoring!$A$4:$N$51,14,FALSE()),"-")</f>
        <v>8</v>
      </c>
      <c r="P82" s="29">
        <f>IFERROR(VLOOKUP(H82,Scoring!$A$4:$N$51,14,FALSE()),"-")</f>
        <v>1</v>
      </c>
      <c r="Q82" s="29">
        <f>IFERROR(VLOOKUP(I82,Scoring!$A$4:$N$51,6,FALSE()),"-")</f>
        <v>3</v>
      </c>
      <c r="R82" s="36">
        <f t="shared" si="6"/>
        <v>183</v>
      </c>
      <c r="S82">
        <f t="shared" si="7"/>
        <v>95</v>
      </c>
      <c r="T82">
        <f t="shared" si="8"/>
        <v>182.99991800000001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54</v>
      </c>
      <c r="K83" s="28">
        <f>IFERROR(VLOOKUP(C83,Scoring!$A$4:$N$51,14,FALSE())*4,"-")</f>
        <v>52</v>
      </c>
      <c r="L83" s="28">
        <f>IFERROR(VLOOKUP(D83,Scoring!$A$4:$N$51,14,FALSE())*3,"-")</f>
        <v>33</v>
      </c>
      <c r="M83" s="28">
        <f>IFERROR(VLOOKUP(E83,Scoring!$A$4:$N$51,14,FALSE())*2,"-")</f>
        <v>22</v>
      </c>
      <c r="N83" s="28">
        <f>IFERROR(VLOOKUP(F83,Scoring!$A$4:$N$51,14,FALSE()),"-")</f>
        <v>3</v>
      </c>
      <c r="O83" s="28">
        <f>IFERROR(VLOOKUP(G83,Scoring!$A$4:$N$51,14,FALSE()),"-")</f>
        <v>10</v>
      </c>
      <c r="P83" s="29">
        <f>IFERROR(VLOOKUP(H83,Scoring!$A$4:$N$51,14,FALSE()),"-")</f>
        <v>8</v>
      </c>
      <c r="Q83" s="29">
        <f>IFERROR(VLOOKUP(I83,Scoring!$A$4:$N$51,6,FALSE()),"-")</f>
        <v>3</v>
      </c>
      <c r="R83" s="36">
        <f t="shared" si="6"/>
        <v>185</v>
      </c>
      <c r="S83">
        <f t="shared" si="7"/>
        <v>92</v>
      </c>
      <c r="T83">
        <f t="shared" si="8"/>
        <v>184.99991700000001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66</v>
      </c>
      <c r="K84" s="28">
        <f>IFERROR(VLOOKUP(C84,Scoring!$A$4:$N$51,14,FALSE())*4,"-")</f>
        <v>52</v>
      </c>
      <c r="L84" s="28">
        <f>IFERROR(VLOOKUP(D84,Scoring!$A$4:$N$51,14,FALSE())*3,"-")</f>
        <v>39</v>
      </c>
      <c r="M84" s="28">
        <f>IFERROR(VLOOKUP(E84,Scoring!$A$4:$N$51,14,FALSE())*2,"-")</f>
        <v>22</v>
      </c>
      <c r="N84" s="28">
        <f>IFERROR(VLOOKUP(F84,Scoring!$A$4:$N$51,14,FALSE()),"-")</f>
        <v>11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2.5</v>
      </c>
      <c r="R84" s="36">
        <f t="shared" si="6"/>
        <v>201.5</v>
      </c>
      <c r="S84">
        <f t="shared" si="7"/>
        <v>46</v>
      </c>
      <c r="T84">
        <f t="shared" si="8"/>
        <v>201.49991600000001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66</v>
      </c>
      <c r="K85" s="28">
        <f>IFERROR(VLOOKUP(C85,Scoring!$A$4:$N$51,14,FALSE())*4,"-")</f>
        <v>36</v>
      </c>
      <c r="L85" s="28">
        <f>IFERROR(VLOOKUP(D85,Scoring!$A$4:$N$51,14,FALSE())*3,"-")</f>
        <v>39</v>
      </c>
      <c r="M85" s="28">
        <f>IFERROR(VLOOKUP(E85,Scoring!$A$4:$N$51,14,FALSE())*2,"-")</f>
        <v>22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2.5</v>
      </c>
      <c r="R85" s="36">
        <f t="shared" si="6"/>
        <v>177.5</v>
      </c>
      <c r="S85">
        <f t="shared" si="7"/>
        <v>104</v>
      </c>
      <c r="T85">
        <f t="shared" si="8"/>
        <v>177.49991499999999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66</v>
      </c>
      <c r="K86" s="28">
        <f>IFERROR(VLOOKUP(C86,Scoring!$A$4:$N$51,14,FALSE())*4,"-")</f>
        <v>52</v>
      </c>
      <c r="L86" s="28">
        <f>IFERROR(VLOOKUP(D86,Scoring!$A$4:$N$51,14,FALSE())*3,"-")</f>
        <v>30</v>
      </c>
      <c r="M86" s="28">
        <f>IFERROR(VLOOKUP(E86,Scoring!$A$4:$N$51,14,FALSE())*2,"-")</f>
        <v>22</v>
      </c>
      <c r="N86" s="28">
        <f>IFERROR(VLOOKUP(F86,Scoring!$A$4:$N$51,14,FALSE()),"-")</f>
        <v>10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2.5</v>
      </c>
      <c r="R86" s="36">
        <f t="shared" si="6"/>
        <v>191.5</v>
      </c>
      <c r="S86">
        <f t="shared" si="7"/>
        <v>78</v>
      </c>
      <c r="T86">
        <f t="shared" si="8"/>
        <v>191.49991399999999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78</v>
      </c>
      <c r="K87" s="28">
        <f>IFERROR(VLOOKUP(C87,Scoring!$A$4:$N$51,14,FALSE())*4,"-")</f>
        <v>52</v>
      </c>
      <c r="L87" s="28">
        <f>IFERROR(VLOOKUP(D87,Scoring!$A$4:$N$51,14,FALSE())*3,"-")</f>
        <v>33</v>
      </c>
      <c r="M87" s="28">
        <f>IFERROR(VLOOKUP(E87,Scoring!$A$4:$N$51,14,FALSE())*2,"-")</f>
        <v>22</v>
      </c>
      <c r="N87" s="28">
        <f>IFERROR(VLOOKUP(F87,Scoring!$A$4:$N$51,14,FALSE()),"-")</f>
        <v>13</v>
      </c>
      <c r="O87" s="28">
        <f>IFERROR(VLOOKUP(G87,Scoring!$A$4:$N$51,14,FALSE()),"-")</f>
        <v>8</v>
      </c>
      <c r="P87" s="29">
        <f>IFERROR(VLOOKUP(H87,Scoring!$A$4:$N$51,14,FALSE()),"-")</f>
        <v>1</v>
      </c>
      <c r="Q87" s="29">
        <f>IFERROR(VLOOKUP(I87,Scoring!$A$4:$N$51,6,FALSE()),"-")</f>
        <v>5</v>
      </c>
      <c r="R87" s="36">
        <f t="shared" si="6"/>
        <v>212</v>
      </c>
      <c r="S87">
        <f t="shared" si="7"/>
        <v>4</v>
      </c>
      <c r="T87">
        <f t="shared" si="8"/>
        <v>211.99991299999999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78</v>
      </c>
      <c r="K88" s="28">
        <f>IFERROR(VLOOKUP(C88,Scoring!$A$4:$N$51,14,FALSE())*4,"-")</f>
        <v>44</v>
      </c>
      <c r="L88" s="28">
        <f>IFERROR(VLOOKUP(D88,Scoring!$A$4:$N$51,14,FALSE())*3,"-")</f>
        <v>33</v>
      </c>
      <c r="M88" s="28">
        <f>IFERROR(VLOOKUP(E88,Scoring!$A$4:$N$51,14,FALSE())*2,"-")</f>
        <v>26</v>
      </c>
      <c r="N88" s="28">
        <f>IFERROR(VLOOKUP(F88,Scoring!$A$4:$N$51,14,FALSE()),"-")</f>
        <v>3</v>
      </c>
      <c r="O88" s="28">
        <f>IFERROR(VLOOKUP(G88,Scoring!$A$4:$N$51,14,FALSE()),"-")</f>
        <v>10</v>
      </c>
      <c r="P88" s="29">
        <f>IFERROR(VLOOKUP(H88,Scoring!$A$4:$N$51,14,FALSE()),"-")</f>
        <v>8</v>
      </c>
      <c r="Q88" s="29">
        <f>IFERROR(VLOOKUP(I88,Scoring!$A$4:$N$51,6,FALSE()),"-")</f>
        <v>3.5</v>
      </c>
      <c r="R88" s="36">
        <f t="shared" si="6"/>
        <v>205.5</v>
      </c>
      <c r="S88">
        <f t="shared" si="7"/>
        <v>27</v>
      </c>
      <c r="T88">
        <f t="shared" si="8"/>
        <v>205.49991199999999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78</v>
      </c>
      <c r="K89" s="28">
        <f>IFERROR(VLOOKUP(C89,Scoring!$A$4:$N$51,14,FALSE())*4,"-")</f>
        <v>44</v>
      </c>
      <c r="L89" s="28">
        <f>IFERROR(VLOOKUP(D89,Scoring!$A$4:$N$51,14,FALSE())*3,"-")</f>
        <v>33</v>
      </c>
      <c r="M89" s="28">
        <f>IFERROR(VLOOKUP(E89,Scoring!$A$4:$N$51,14,FALSE())*2,"-")</f>
        <v>18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2.5</v>
      </c>
      <c r="R89" s="36">
        <f t="shared" si="6"/>
        <v>194.5</v>
      </c>
      <c r="S89">
        <f t="shared" si="7"/>
        <v>66</v>
      </c>
      <c r="T89">
        <f t="shared" si="8"/>
        <v>194.499911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78</v>
      </c>
      <c r="K90" s="28">
        <f>IFERROR(VLOOKUP(C90,Scoring!$A$4:$N$51,14,FALSE())*4,"-")</f>
        <v>44</v>
      </c>
      <c r="L90" s="28">
        <f>IFERROR(VLOOKUP(D90,Scoring!$A$4:$N$51,14,FALSE())*3,"-")</f>
        <v>39</v>
      </c>
      <c r="M90" s="28">
        <f>IFERROR(VLOOKUP(E90,Scoring!$A$4:$N$51,14,FALSE())*2,"-")</f>
        <v>18</v>
      </c>
      <c r="N90" s="28">
        <f>IFERROR(VLOOKUP(F90,Scoring!$A$4:$N$51,14,FALSE()),"-")</f>
        <v>2</v>
      </c>
      <c r="O90" s="28">
        <f>IFERROR(VLOOKUP(G90,Scoring!$A$4:$N$51,14,FALSE()),"-")</f>
        <v>10</v>
      </c>
      <c r="P90" s="29">
        <f>IFERROR(VLOOKUP(H90,Scoring!$A$4:$N$51,14,FALSE()),"-")</f>
        <v>7</v>
      </c>
      <c r="Q90" s="29">
        <f>IFERROR(VLOOKUP(I90,Scoring!$A$4:$N$51,6,FALSE()),"-")</f>
        <v>5</v>
      </c>
      <c r="R90" s="36">
        <f t="shared" si="6"/>
        <v>203</v>
      </c>
      <c r="S90">
        <f t="shared" si="7"/>
        <v>41</v>
      </c>
      <c r="T90">
        <f t="shared" si="8"/>
        <v>202.99991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66</v>
      </c>
      <c r="K91" s="28">
        <f>IFERROR(VLOOKUP(C91,Scoring!$A$4:$N$51,14,FALSE())*4,"-")</f>
        <v>52</v>
      </c>
      <c r="L91" s="28">
        <f>IFERROR(VLOOKUP(D91,Scoring!$A$4:$N$51,14,FALSE())*3,"-")</f>
        <v>33</v>
      </c>
      <c r="M91" s="28">
        <f>IFERROR(VLOOKUP(E91,Scoring!$A$4:$N$51,14,FALSE())*2,"-")</f>
        <v>22</v>
      </c>
      <c r="N91" s="28">
        <f>IFERROR(VLOOKUP(F91,Scoring!$A$4:$N$51,14,FALSE()),"-")</f>
        <v>11</v>
      </c>
      <c r="O91" s="28">
        <f>IFERROR(VLOOKUP(G91,Scoring!$A$4:$N$51,14,FALSE()),"-")</f>
        <v>10</v>
      </c>
      <c r="P91" s="29">
        <f>IFERROR(VLOOKUP(H91,Scoring!$A$4:$N$51,14,FALSE()),"-")</f>
        <v>8</v>
      </c>
      <c r="Q91" s="29">
        <f>IFERROR(VLOOKUP(I91,Scoring!$A$4:$N$51,6,FALSE()),"-")</f>
        <v>2.5</v>
      </c>
      <c r="R91" s="36">
        <f t="shared" si="6"/>
        <v>204.5</v>
      </c>
      <c r="S91">
        <f t="shared" si="7"/>
        <v>33</v>
      </c>
      <c r="T91">
        <f t="shared" si="8"/>
        <v>204.499909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54</v>
      </c>
      <c r="K92" s="28">
        <f>IFERROR(VLOOKUP(C92,Scoring!$A$4:$N$51,14,FALSE())*4,"-")</f>
        <v>52</v>
      </c>
      <c r="L92" s="28">
        <f>IFERROR(VLOOKUP(D92,Scoring!$A$4:$N$51,14,FALSE())*3,"-")</f>
        <v>33</v>
      </c>
      <c r="M92" s="28">
        <f>IFERROR(VLOOKUP(E92,Scoring!$A$4:$N$51,14,FALSE())*2,"-")</f>
        <v>22</v>
      </c>
      <c r="N92" s="28">
        <f>IFERROR(VLOOKUP(F92,Scoring!$A$4:$N$51,14,FALSE()),"-")</f>
        <v>13</v>
      </c>
      <c r="O92" s="28">
        <f>IFERROR(VLOOKUP(G92,Scoring!$A$4:$N$51,14,FALSE()),"-")</f>
        <v>10</v>
      </c>
      <c r="P92" s="29">
        <f>IFERROR(VLOOKUP(H92,Scoring!$A$4:$N$51,14,FALSE()),"-")</f>
        <v>8</v>
      </c>
      <c r="Q92" s="29">
        <f>IFERROR(VLOOKUP(I92,Scoring!$A$4:$N$51,6,FALSE()),"-")</f>
        <v>5</v>
      </c>
      <c r="R92" s="36">
        <f t="shared" si="6"/>
        <v>197</v>
      </c>
      <c r="S92">
        <f t="shared" si="7"/>
        <v>57</v>
      </c>
      <c r="T92">
        <f t="shared" si="8"/>
        <v>196.999908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66</v>
      </c>
      <c r="K93" s="28">
        <f>IFERROR(VLOOKUP(C93,Scoring!$A$4:$N$51,14,FALSE())*4,"-")</f>
        <v>44</v>
      </c>
      <c r="L93" s="28">
        <f>IFERROR(VLOOKUP(D93,Scoring!$A$4:$N$51,14,FALSE())*3,"-")</f>
        <v>39</v>
      </c>
      <c r="M93" s="28">
        <f>IFERROR(VLOOKUP(E93,Scoring!$A$4:$N$51,14,FALSE())*2,"-")</f>
        <v>22</v>
      </c>
      <c r="N93" s="28">
        <f>IFERROR(VLOOKUP(F93,Scoring!$A$4:$N$51,14,FALSE()),"-")</f>
        <v>13</v>
      </c>
      <c r="O93" s="28">
        <f>IFERROR(VLOOKUP(G93,Scoring!$A$4:$N$51,14,FALSE()),"-")</f>
        <v>10</v>
      </c>
      <c r="P93" s="29">
        <f>IFERROR(VLOOKUP(H93,Scoring!$A$4:$N$51,14,FALSE()),"-")</f>
        <v>7</v>
      </c>
      <c r="Q93" s="29">
        <f>IFERROR(VLOOKUP(I93,Scoring!$A$4:$N$51,6,FALSE()),"-")</f>
        <v>2.5</v>
      </c>
      <c r="R93" s="36">
        <f t="shared" si="6"/>
        <v>203.5</v>
      </c>
      <c r="S93">
        <f t="shared" si="7"/>
        <v>38</v>
      </c>
      <c r="T93">
        <f t="shared" si="8"/>
        <v>203.49990700000001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66</v>
      </c>
      <c r="K94" s="28">
        <f>IFERROR(VLOOKUP(C94,Scoring!$A$4:$N$51,14,FALSE())*4,"-")</f>
        <v>52</v>
      </c>
      <c r="L94" s="28">
        <f>IFERROR(VLOOKUP(D94,Scoring!$A$4:$N$51,14,FALSE())*3,"-")</f>
        <v>33</v>
      </c>
      <c r="M94" s="28">
        <f>IFERROR(VLOOKUP(E94,Scoring!$A$4:$N$51,14,FALSE())*2,"-")</f>
        <v>18</v>
      </c>
      <c r="N94" s="28">
        <f>IFERROR(VLOOKUP(F94,Scoring!$A$4:$N$51,14,FALSE()),"-")</f>
        <v>13</v>
      </c>
      <c r="O94" s="28">
        <f>IFERROR(VLOOKUP(G94,Scoring!$A$4:$N$51,14,FALSE()),"-")</f>
        <v>10</v>
      </c>
      <c r="P94" s="29">
        <f>IFERROR(VLOOKUP(H94,Scoring!$A$4:$N$51,14,FALSE()),"-")</f>
        <v>8</v>
      </c>
      <c r="Q94" s="29">
        <f>IFERROR(VLOOKUP(I94,Scoring!$A$4:$N$51,6,FALSE()),"-")</f>
        <v>3.5</v>
      </c>
      <c r="R94" s="36">
        <f t="shared" si="6"/>
        <v>203.5</v>
      </c>
      <c r="S94">
        <f t="shared" si="7"/>
        <v>38</v>
      </c>
      <c r="T94">
        <f t="shared" si="8"/>
        <v>203.49990600000001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78</v>
      </c>
      <c r="K95" s="28">
        <f>IFERROR(VLOOKUP(C95,Scoring!$A$4:$N$51,14,FALSE())*4,"-")</f>
        <v>40</v>
      </c>
      <c r="L95" s="28">
        <f>IFERROR(VLOOKUP(D95,Scoring!$A$4:$N$51,14,FALSE())*3,"-")</f>
        <v>33</v>
      </c>
      <c r="M95" s="28">
        <f>IFERROR(VLOOKUP(E95,Scoring!$A$4:$N$51,14,FALSE())*2,"-")</f>
        <v>22</v>
      </c>
      <c r="N95" s="28">
        <f>IFERROR(VLOOKUP(F95,Scoring!$A$4:$N$51,14,FALSE()),"-")</f>
        <v>13</v>
      </c>
      <c r="O95" s="28">
        <f>IFERROR(VLOOKUP(G95,Scoring!$A$4:$N$51,14,FALSE()),"-")</f>
        <v>10</v>
      </c>
      <c r="P95" s="29">
        <f>IFERROR(VLOOKUP(H95,Scoring!$A$4:$N$51,14,FALSE()),"-")</f>
        <v>8</v>
      </c>
      <c r="Q95" s="29">
        <f>IFERROR(VLOOKUP(I95,Scoring!$A$4:$N$51,6,FALSE()),"-")</f>
        <v>2.5</v>
      </c>
      <c r="R95" s="36">
        <f t="shared" si="6"/>
        <v>206.5</v>
      </c>
      <c r="S95">
        <f t="shared" si="7"/>
        <v>21</v>
      </c>
      <c r="T95">
        <f t="shared" si="8"/>
        <v>206.49990500000001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78</v>
      </c>
      <c r="K96" s="28">
        <f>IFERROR(VLOOKUP(C96,Scoring!$A$4:$N$51,14,FALSE())*4,"-")</f>
        <v>44</v>
      </c>
      <c r="L96" s="28">
        <f>IFERROR(VLOOKUP(D96,Scoring!$A$4:$N$51,14,FALSE())*3,"-")</f>
        <v>33</v>
      </c>
      <c r="M96" s="28">
        <f>IFERROR(VLOOKUP(E96,Scoring!$A$4:$N$51,14,FALSE())*2,"-")</f>
        <v>22</v>
      </c>
      <c r="N96" s="28">
        <f>IFERROR(VLOOKUP(F96,Scoring!$A$4:$N$51,14,FALSE()),"-")</f>
        <v>11</v>
      </c>
      <c r="O96" s="28">
        <f>IFERROR(VLOOKUP(G96,Scoring!$A$4:$N$51,14,FALSE()),"-")</f>
        <v>10</v>
      </c>
      <c r="P96" s="29">
        <f>IFERROR(VLOOKUP(H96,Scoring!$A$4:$N$51,14,FALSE()),"-")</f>
        <v>8</v>
      </c>
      <c r="Q96" s="29">
        <f>IFERROR(VLOOKUP(I96,Scoring!$A$4:$N$51,6,FALSE()),"-")</f>
        <v>2.5</v>
      </c>
      <c r="R96" s="36">
        <f t="shared" si="6"/>
        <v>208.5</v>
      </c>
      <c r="S96">
        <f t="shared" si="7"/>
        <v>13</v>
      </c>
      <c r="T96">
        <f t="shared" si="8"/>
        <v>208.49990399999999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78</v>
      </c>
      <c r="K97" s="28">
        <f>IFERROR(VLOOKUP(C97,Scoring!$A$4:$N$51,14,FALSE())*4,"-")</f>
        <v>44</v>
      </c>
      <c r="L97" s="28">
        <f>IFERROR(VLOOKUP(D97,Scoring!$A$4:$N$51,14,FALSE())*3,"-")</f>
        <v>33</v>
      </c>
      <c r="M97" s="28">
        <f>IFERROR(VLOOKUP(E97,Scoring!$A$4:$N$51,14,FALSE())*2,"-")</f>
        <v>18</v>
      </c>
      <c r="N97" s="28">
        <f>IFERROR(VLOOKUP(F97,Scoring!$A$4:$N$51,14,FALSE()),"-")</f>
        <v>7</v>
      </c>
      <c r="O97" s="28">
        <f>IFERROR(VLOOKUP(G97,Scoring!$A$4:$N$51,14,FALSE()),"-")</f>
        <v>9</v>
      </c>
      <c r="P97" s="29">
        <f>IFERROR(VLOOKUP(H97,Scoring!$A$4:$N$51,14,FALSE()),"-")</f>
        <v>8</v>
      </c>
      <c r="Q97" s="29">
        <f>IFERROR(VLOOKUP(I97,Scoring!$A$4:$N$51,6,FALSE()),"-")</f>
        <v>5</v>
      </c>
      <c r="R97" s="36">
        <f t="shared" si="6"/>
        <v>202</v>
      </c>
      <c r="S97">
        <f t="shared" si="7"/>
        <v>43</v>
      </c>
      <c r="T97">
        <f t="shared" si="8"/>
        <v>201.99990299999999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66</v>
      </c>
      <c r="K98" s="28">
        <f>IFERROR(VLOOKUP(C98,Scoring!$A$4:$N$51,14,FALSE())*4,"-")</f>
        <v>44</v>
      </c>
      <c r="L98" s="28">
        <f>IFERROR(VLOOKUP(D98,Scoring!$A$4:$N$51,14,FALSE())*3,"-")</f>
        <v>39</v>
      </c>
      <c r="M98" s="28">
        <f>IFERROR(VLOOKUP(E98,Scoring!$A$4:$N$51,14,FALSE())*2,"-")</f>
        <v>26</v>
      </c>
      <c r="N98" s="28">
        <f>IFERROR(VLOOKUP(F98,Scoring!$A$4:$N$51,14,FALSE()),"-")</f>
        <v>11</v>
      </c>
      <c r="O98" s="28">
        <f>IFERROR(VLOOKUP(G98,Scoring!$A$4:$N$51,14,FALSE()),"-")</f>
        <v>10</v>
      </c>
      <c r="P98" s="29">
        <f>IFERROR(VLOOKUP(H98,Scoring!$A$4:$N$51,14,FALSE()),"-")</f>
        <v>8</v>
      </c>
      <c r="Q98" s="29">
        <f>IFERROR(VLOOKUP(I98,Scoring!$A$4:$N$51,6,FALSE()),"-")</f>
        <v>2.5</v>
      </c>
      <c r="R98" s="36">
        <f t="shared" si="6"/>
        <v>206.5</v>
      </c>
      <c r="S98">
        <f t="shared" si="7"/>
        <v>21</v>
      </c>
      <c r="T98">
        <f t="shared" si="8"/>
        <v>206.49990199999999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78</v>
      </c>
      <c r="K99" s="28">
        <f>IFERROR(VLOOKUP(C99,Scoring!$A$4:$N$51,14,FALSE())*4,"-")</f>
        <v>44</v>
      </c>
      <c r="L99" s="28">
        <f>IFERROR(VLOOKUP(D99,Scoring!$A$4:$N$51,14,FALSE())*3,"-")</f>
        <v>33</v>
      </c>
      <c r="M99" s="28">
        <f>IFERROR(VLOOKUP(E99,Scoring!$A$4:$N$51,14,FALSE())*2,"-")</f>
        <v>26</v>
      </c>
      <c r="N99" s="28">
        <f>IFERROR(VLOOKUP(F99,Scoring!$A$4:$N$51,14,FALSE()),"-")</f>
        <v>3</v>
      </c>
      <c r="O99" s="28">
        <f>IFERROR(VLOOKUP(G99,Scoring!$A$4:$N$51,14,FALSE()),"-")</f>
        <v>9</v>
      </c>
      <c r="P99" s="29">
        <f>IFERROR(VLOOKUP(H99,Scoring!$A$4:$N$51,14,FALSE()),"-")</f>
        <v>8</v>
      </c>
      <c r="Q99" s="29">
        <f>IFERROR(VLOOKUP(I99,Scoring!$A$4:$N$51,6,FALSE()),"-")</f>
        <v>3.5</v>
      </c>
      <c r="R99" s="36">
        <f t="shared" si="6"/>
        <v>204.5</v>
      </c>
      <c r="S99">
        <f t="shared" si="7"/>
        <v>33</v>
      </c>
      <c r="T99">
        <f t="shared" si="8"/>
        <v>204.49990099999999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66</v>
      </c>
      <c r="K100" s="28">
        <f>IFERROR(VLOOKUP(C100,Scoring!$A$4:$N$51,14,FALSE())*4,"-")</f>
        <v>44</v>
      </c>
      <c r="L100" s="28">
        <f>IFERROR(VLOOKUP(D100,Scoring!$A$4:$N$51,14,FALSE())*3,"-")</f>
        <v>39</v>
      </c>
      <c r="M100" s="28">
        <f>IFERROR(VLOOKUP(E100,Scoring!$A$4:$N$51,14,FALSE())*2,"-")</f>
        <v>18</v>
      </c>
      <c r="N100" s="28">
        <f>IFERROR(VLOOKUP(F100,Scoring!$A$4:$N$51,14,FALSE()),"-")</f>
        <v>9</v>
      </c>
      <c r="O100" s="28">
        <f>IFERROR(VLOOKUP(G100,Scoring!$A$4:$N$51,14,FALSE()),"-")</f>
        <v>9</v>
      </c>
      <c r="P100" s="29">
        <f>IFERROR(VLOOKUP(H100,Scoring!$A$4:$N$51,14,FALSE()),"-")</f>
        <v>0</v>
      </c>
      <c r="Q100" s="29">
        <f>IFERROR(VLOOKUP(I100,Scoring!$A$4:$N$51,6,FALSE()),"-")</f>
        <v>2.5</v>
      </c>
      <c r="R100" s="36">
        <f t="shared" ref="R100:R119" si="9">IF(A100="","-",SUM(J100:Q100))</f>
        <v>187.5</v>
      </c>
      <c r="S100">
        <f t="shared" ref="S100:S119" si="10">IF(A100="","",RANK(R100,$R$4:$R$119))</f>
        <v>83</v>
      </c>
      <c r="T100">
        <f t="shared" ref="T100:T119" si="11">IF(A100="",-1,R100-ROW(R100)/1000000)</f>
        <v>187.4999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78</v>
      </c>
      <c r="K101" s="28">
        <f>IFERROR(VLOOKUP(C101,Scoring!$A$4:$N$51,14,FALSE())*4,"-")</f>
        <v>44</v>
      </c>
      <c r="L101" s="28">
        <f>IFERROR(VLOOKUP(D101,Scoring!$A$4:$N$51,14,FALSE())*3,"-")</f>
        <v>33</v>
      </c>
      <c r="M101" s="28">
        <f>IFERROR(VLOOKUP(E101,Scoring!$A$4:$N$51,14,FALSE())*2,"-")</f>
        <v>26</v>
      </c>
      <c r="N101" s="28">
        <f>IFERROR(VLOOKUP(F101,Scoring!$A$4:$N$51,14,FALSE()),"-")</f>
        <v>3</v>
      </c>
      <c r="O101" s="28">
        <f>IFERROR(VLOOKUP(G101,Scoring!$A$4:$N$51,14,FALSE()),"-")</f>
        <v>9</v>
      </c>
      <c r="P101" s="29">
        <f>IFERROR(VLOOKUP(H101,Scoring!$A$4:$N$51,14,FALSE()),"-")</f>
        <v>8</v>
      </c>
      <c r="Q101" s="29">
        <f>IFERROR(VLOOKUP(I101,Scoring!$A$4:$N$51,6,FALSE()),"-")</f>
        <v>4</v>
      </c>
      <c r="R101" s="36">
        <f t="shared" si="9"/>
        <v>205</v>
      </c>
      <c r="S101">
        <f t="shared" si="10"/>
        <v>31</v>
      </c>
      <c r="T101">
        <f t="shared" si="11"/>
        <v>204.999899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66</v>
      </c>
      <c r="K102" s="28">
        <f>IFERROR(VLOOKUP(C102,Scoring!$A$4:$N$51,14,FALSE())*4,"-")</f>
        <v>52</v>
      </c>
      <c r="L102" s="28">
        <f>IFERROR(VLOOKUP(D102,Scoring!$A$4:$N$51,14,FALSE())*3,"-")</f>
        <v>33</v>
      </c>
      <c r="M102" s="28">
        <f>IFERROR(VLOOKUP(E102,Scoring!$A$4:$N$51,14,FALSE())*2,"-")</f>
        <v>26</v>
      </c>
      <c r="N102" s="28">
        <f>IFERROR(VLOOKUP(F102,Scoring!$A$4:$N$51,14,FALSE()),"-")</f>
        <v>13</v>
      </c>
      <c r="O102" s="28">
        <f>IFERROR(VLOOKUP(G102,Scoring!$A$4:$N$51,14,FALSE()),"-")</f>
        <v>10</v>
      </c>
      <c r="P102" s="29">
        <f>IFERROR(VLOOKUP(H102,Scoring!$A$4:$N$51,14,FALSE()),"-")</f>
        <v>8</v>
      </c>
      <c r="Q102" s="29">
        <f>IFERROR(VLOOKUP(I102,Scoring!$A$4:$N$51,6,FALSE()),"-")</f>
        <v>2.5</v>
      </c>
      <c r="R102" s="36">
        <f t="shared" si="9"/>
        <v>210.5</v>
      </c>
      <c r="S102">
        <f t="shared" si="10"/>
        <v>7</v>
      </c>
      <c r="T102">
        <f t="shared" si="11"/>
        <v>210.499898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54</v>
      </c>
      <c r="K103" s="28">
        <f>IFERROR(VLOOKUP(C103,Scoring!$A$4:$N$51,14,FALSE())*4,"-")</f>
        <v>44</v>
      </c>
      <c r="L103" s="28">
        <f>IFERROR(VLOOKUP(D103,Scoring!$A$4:$N$51,14,FALSE())*3,"-")</f>
        <v>33</v>
      </c>
      <c r="M103" s="28">
        <f>IFERROR(VLOOKUP(E103,Scoring!$A$4:$N$51,14,FALSE())*2,"-")</f>
        <v>26</v>
      </c>
      <c r="N103" s="28">
        <f>IFERROR(VLOOKUP(F103,Scoring!$A$4:$N$51,14,FALSE()),"-")</f>
        <v>11</v>
      </c>
      <c r="O103" s="28">
        <f>IFERROR(VLOOKUP(G103,Scoring!$A$4:$N$51,14,FALSE()),"-")</f>
        <v>9</v>
      </c>
      <c r="P103" s="29">
        <f>IFERROR(VLOOKUP(H103,Scoring!$A$4:$N$51,14,FALSE()),"-")</f>
        <v>8</v>
      </c>
      <c r="Q103" s="29">
        <f>IFERROR(VLOOKUP(I103,Scoring!$A$4:$N$51,6,FALSE()),"-")</f>
        <v>2.5</v>
      </c>
      <c r="R103" s="36">
        <f t="shared" si="9"/>
        <v>187.5</v>
      </c>
      <c r="S103">
        <f t="shared" si="10"/>
        <v>83</v>
      </c>
      <c r="T103">
        <f t="shared" si="11"/>
        <v>187.499897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66</v>
      </c>
      <c r="K104" s="28">
        <f>IFERROR(VLOOKUP(C104,Scoring!$A$4:$N$51,14,FALSE())*4,"-")</f>
        <v>52</v>
      </c>
      <c r="L104" s="28">
        <f>IFERROR(VLOOKUP(D104,Scoring!$A$4:$N$51,14,FALSE())*3,"-")</f>
        <v>33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10</v>
      </c>
      <c r="P104" s="29">
        <f>IFERROR(VLOOKUP(H104,Scoring!$A$4:$N$51,14,FALSE()),"-")</f>
        <v>1</v>
      </c>
      <c r="Q104" s="29">
        <f>IFERROR(VLOOKUP(I104,Scoring!$A$4:$N$51,6,FALSE()),"-")</f>
        <v>3.5</v>
      </c>
      <c r="R104" s="36">
        <f t="shared" si="9"/>
        <v>187.5</v>
      </c>
      <c r="S104">
        <f t="shared" si="10"/>
        <v>83</v>
      </c>
      <c r="T104">
        <f t="shared" si="11"/>
        <v>187.49989600000001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78</v>
      </c>
      <c r="K105" s="28">
        <f>IFERROR(VLOOKUP(C105,Scoring!$A$4:$N$51,14,FALSE())*4,"-")</f>
        <v>44</v>
      </c>
      <c r="L105" s="28">
        <f>IFERROR(VLOOKUP(D105,Scoring!$A$4:$N$51,14,FALSE())*3,"-")</f>
        <v>27</v>
      </c>
      <c r="M105" s="28">
        <f>IFERROR(VLOOKUP(E105,Scoring!$A$4:$N$51,14,FALSE())*2,"-")</f>
        <v>26</v>
      </c>
      <c r="N105" s="28">
        <f>IFERROR(VLOOKUP(F105,Scoring!$A$4:$N$51,14,FALSE()),"-")</f>
        <v>2</v>
      </c>
      <c r="O105" s="28">
        <f>IFERROR(VLOOKUP(G105,Scoring!$A$4:$N$51,14,FALSE()),"-")</f>
        <v>9</v>
      </c>
      <c r="P105" s="29">
        <f>IFERROR(VLOOKUP(H105,Scoring!$A$4:$N$51,14,FALSE()),"-")</f>
        <v>8</v>
      </c>
      <c r="Q105" s="29">
        <f>IFERROR(VLOOKUP(I105,Scoring!$A$4:$N$51,6,FALSE()),"-")</f>
        <v>5</v>
      </c>
      <c r="R105" s="36">
        <f t="shared" si="9"/>
        <v>199</v>
      </c>
      <c r="S105">
        <f t="shared" si="10"/>
        <v>56</v>
      </c>
      <c r="T105">
        <f t="shared" si="11"/>
        <v>198.99989500000001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66</v>
      </c>
      <c r="K106" s="28">
        <f>IFERROR(VLOOKUP(C106,Scoring!$A$4:$N$51,14,FALSE())*4,"-")</f>
        <v>52</v>
      </c>
      <c r="L106" s="28">
        <f>IFERROR(VLOOKUP(D106,Scoring!$A$4:$N$51,14,FALSE())*3,"-")</f>
        <v>33</v>
      </c>
      <c r="M106" s="28">
        <f>IFERROR(VLOOKUP(E106,Scoring!$A$4:$N$51,14,FALSE())*2,"-")</f>
        <v>26</v>
      </c>
      <c r="N106" s="28">
        <f>IFERROR(VLOOKUP(F106,Scoring!$A$4:$N$51,14,FALSE()),"-")</f>
        <v>13</v>
      </c>
      <c r="O106" s="28">
        <f>IFERROR(VLOOKUP(G106,Scoring!$A$4:$N$51,14,FALSE()),"-")</f>
        <v>8</v>
      </c>
      <c r="P106" s="29">
        <f>IFERROR(VLOOKUP(H106,Scoring!$A$4:$N$51,14,FALSE()),"-")</f>
        <v>8</v>
      </c>
      <c r="Q106" s="29">
        <f>IFERROR(VLOOKUP(I106,Scoring!$A$4:$N$51,6,FALSE()),"-")</f>
        <v>5</v>
      </c>
      <c r="R106" s="36">
        <f t="shared" si="9"/>
        <v>211</v>
      </c>
      <c r="S106">
        <f t="shared" si="10"/>
        <v>6</v>
      </c>
      <c r="T106">
        <f t="shared" si="11"/>
        <v>210.99989400000001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54</v>
      </c>
      <c r="K107" s="28">
        <f>IFERROR(VLOOKUP(C107,Scoring!$A$4:$N$51,14,FALSE())*4,"-")</f>
        <v>12</v>
      </c>
      <c r="L107" s="28">
        <f>IFERROR(VLOOKUP(D107,Scoring!$A$4:$N$51,14,FALSE())*3,"-")</f>
        <v>39</v>
      </c>
      <c r="M107" s="28">
        <f>IFERROR(VLOOKUP(E107,Scoring!$A$4:$N$51,14,FALSE())*2,"-")</f>
        <v>22</v>
      </c>
      <c r="N107" s="28">
        <f>IFERROR(VLOOKUP(F107,Scoring!$A$4:$N$51,14,FALSE()),"-")</f>
        <v>7</v>
      </c>
      <c r="O107" s="28">
        <f>IFERROR(VLOOKUP(G107,Scoring!$A$4:$N$51,14,FALSE()),"-")</f>
        <v>10</v>
      </c>
      <c r="P107" s="29">
        <f>IFERROR(VLOOKUP(H107,Scoring!$A$4:$N$51,14,FALSE()),"-")</f>
        <v>0</v>
      </c>
      <c r="Q107" s="29">
        <f>IFERROR(VLOOKUP(I107,Scoring!$A$4:$N$51,6,FALSE()),"-")</f>
        <v>5</v>
      </c>
      <c r="R107" s="36">
        <f t="shared" si="9"/>
        <v>149</v>
      </c>
      <c r="S107">
        <f t="shared" si="10"/>
        <v>105</v>
      </c>
      <c r="T107">
        <f t="shared" si="11"/>
        <v>148.99989299999999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78</v>
      </c>
      <c r="K108" s="28">
        <f>IFERROR(VLOOKUP(C108,Scoring!$A$4:$N$51,14,FALSE())*4,"-")</f>
        <v>44</v>
      </c>
      <c r="L108" s="28">
        <f>IFERROR(VLOOKUP(D108,Scoring!$A$4:$N$51,14,FALSE())*3,"-")</f>
        <v>33</v>
      </c>
      <c r="M108" s="28">
        <f>IFERROR(VLOOKUP(E108,Scoring!$A$4:$N$51,14,FALSE())*2,"-")</f>
        <v>18</v>
      </c>
      <c r="N108" s="28">
        <f>IFERROR(VLOOKUP(F108,Scoring!$A$4:$N$51,14,FALSE()),"-")</f>
        <v>13</v>
      </c>
      <c r="O108" s="28">
        <f>IFERROR(VLOOKUP(G108,Scoring!$A$4:$N$51,14,FALSE()),"-")</f>
        <v>8</v>
      </c>
      <c r="P108" s="29">
        <f>IFERROR(VLOOKUP(H108,Scoring!$A$4:$N$51,14,FALSE()),"-")</f>
        <v>8</v>
      </c>
      <c r="Q108" s="29">
        <f>IFERROR(VLOOKUP(I108,Scoring!$A$4:$N$51,6,FALSE()),"-")</f>
        <v>5</v>
      </c>
      <c r="R108" s="36">
        <f t="shared" si="9"/>
        <v>207</v>
      </c>
      <c r="S108">
        <f t="shared" si="10"/>
        <v>18</v>
      </c>
      <c r="T108">
        <f t="shared" si="11"/>
        <v>206.99989199999999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9" t="s">
        <v>336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60" t="s">
        <v>337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61" t="s">
        <v>349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9" t="s">
        <v>336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60" t="s">
        <v>372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61" t="s">
        <v>382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18" zoomScaleNormal="100" workbookViewId="0">
      <selection activeCell="G63" sqref="G6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6" t="s">
        <v>400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3</v>
      </c>
      <c r="G4" s="108">
        <f>IF(COUNTIF('FIFA WC 2026'!$S$5:$S$66,A4)&gt;0,4,0)</f>
        <v>4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16</v>
      </c>
      <c r="N4" s="110">
        <f t="shared" ref="N4:N51" si="1">M4-F4</f>
        <v>13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</v>
      </c>
      <c r="G8" s="28">
        <f>IF(COUNTIF('FIFA WC 2026'!$S$5:$S$66,A8)&gt;0,4,0)</f>
        <v>4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12</v>
      </c>
      <c r="N8" s="110">
        <f t="shared" si="1"/>
        <v>8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8">
        <f>IF(COUNTIF('FIFA WC 2026'!$S$5:$S$66,A11)&gt;0,4,0)</f>
        <v>4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14.5</v>
      </c>
      <c r="N11" s="110">
        <f t="shared" si="1"/>
        <v>11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3.5</v>
      </c>
      <c r="G12" s="108">
        <f>IF(COUNTIF('FIFA WC 2026'!$S$5:$S$66,A12)&gt;0,4,0)</f>
        <v>4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14.5</v>
      </c>
      <c r="N12" s="110">
        <f t="shared" si="1"/>
        <v>11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</v>
      </c>
      <c r="G13" s="108">
        <f>IF(COUNTIF('FIFA WC 2026'!$S$5:$S$66,A13)&gt;0,4,0)</f>
        <v>4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14</v>
      </c>
      <c r="N13" s="110">
        <f t="shared" si="1"/>
        <v>11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4</v>
      </c>
      <c r="G16" s="28">
        <f>IF(COUNTIF('FIFA WC 2026'!$S$5:$S$66,A16)&gt;0,4,0)</f>
        <v>4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14</v>
      </c>
      <c r="N16" s="110">
        <f t="shared" si="1"/>
        <v>10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4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9</v>
      </c>
      <c r="N17" s="110">
        <f t="shared" si="1"/>
        <v>8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3.5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12.5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3</v>
      </c>
      <c r="G28" s="108">
        <f>IF(COUNTIF('FIFA WC 2026'!$S$5:$S$66,A28)&gt;0,4,0)</f>
        <v>4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12</v>
      </c>
      <c r="N28" s="110">
        <f t="shared" si="1"/>
        <v>9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8">
        <f>IF(COUNTIF('FIFA WC 2026'!$S$5:$S$66,A29)&gt;0,4,0)</f>
        <v>4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11.5</v>
      </c>
      <c r="N29" s="110">
        <f t="shared" si="1"/>
        <v>9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2.5</v>
      </c>
      <c r="G32" s="28">
        <f>IF(COUNTIF('FIFA WC 2026'!$S$5:$S$66,A32)&gt;0,4,0)</f>
        <v>4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13.5</v>
      </c>
      <c r="N32" s="110">
        <f t="shared" si="1"/>
        <v>11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5</v>
      </c>
      <c r="G36" s="108">
        <f>IF(COUNTIF('FIFA WC 2026'!$S$5:$S$66,A36)&gt;0,4,0)</f>
        <v>4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18</v>
      </c>
      <c r="N36" s="110">
        <f t="shared" si="1"/>
        <v>13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4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11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4</v>
      </c>
      <c r="G39" s="108">
        <f>IF(COUNTIF('FIFA WC 2026'!$S$5:$S$66,A39)&gt;0,4,0)</f>
        <v>4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14</v>
      </c>
      <c r="N39" s="110">
        <f t="shared" si="1"/>
        <v>10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</v>
      </c>
      <c r="G40" s="28">
        <f>IF(COUNTIF('FIFA WC 2026'!$S$5:$S$66,A40)&gt;0,4,0)</f>
        <v>4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17</v>
      </c>
      <c r="N40" s="110">
        <f t="shared" si="1"/>
        <v>13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8">
        <f>IF(COUNTIF('FIFA WC 2026'!$S$5:$S$66,A44)&gt;0,4,0)</f>
        <v>4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12</v>
      </c>
      <c r="N44" s="110">
        <f t="shared" si="1"/>
        <v>9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8">
        <f>IF(COUNTIF('FIFA WC 2026'!$S$5:$S$66,A47)&gt;0,4,0)</f>
        <v>4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13</v>
      </c>
      <c r="N47" s="110">
        <f t="shared" si="1"/>
        <v>11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3</v>
      </c>
      <c r="G48" s="28">
        <f>IF(COUNTIF('FIFA WC 2026'!$S$5:$S$66,A48)&gt;0,4,0)</f>
        <v>4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14</v>
      </c>
      <c r="N48" s="110">
        <f t="shared" si="1"/>
        <v>11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2.5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12.5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2026-06-28T04:53:43Z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