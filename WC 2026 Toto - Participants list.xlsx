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57463F02-1E9B-4AD0-913E-9E42B90A5A47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<sst xmlns="http://schemas.openxmlformats.org/spreadsheetml/2006/main" count="6828" uniqueCount="1446">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</sst>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F1" zoomScale="60" zoomScaleNormal="60" workbookViewId="0">
      <pane ySplit="4" topLeftCell="A15" activePane="bottomLeft" state="frozen"/>
      <selection pane="bottomLeft" activeCell="AA59" sqref="AA59:AB60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>
        <v>2</v>
      </c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>
        <v>0</v>
      </c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France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Spain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>
        <v>2</v>
      </c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>
        <v>1</v>
      </c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>
        <v>1</v>
      </c>
      <c r="AC43" s="10">
        <v>1</v>
      </c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>
        <v>1</v>
      </c>
      <c r="AC44" s="16">
        <v>2</v>
      </c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England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Argentina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>
        <v>1</v>
      </c>
      <c r="AC59" s="10">
        <v>3</v>
      </c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Switzerland</v>
      </c>
      <c r="AB60" s="16">
        <v>1</v>
      </c>
      <c r="AC60" s="16">
        <v>1</v>
      </c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>
        <v>0</v>
      </c>
      <c r="Y63" s="10">
        <v>0</v>
      </c>
      <c r="Z63" s="10">
        <v>4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>
        <v>0</v>
      </c>
      <c r="Y64" s="16">
        <v>0</v>
      </c>
      <c r="Z64" s="16">
        <v>3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B12" sqref="B12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Giedrius Stanulis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137.5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136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150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597.5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Renata Čižauskienė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150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597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 xml:space="preserve">Paulius Bernotas 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141.5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128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150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593.5</v>
      </c>
      <c r="L6" s="30">
        <f t="shared" si="0"/>
        <v>236.25</v>
      </c>
      <c r="N6" s="31">
        <v>3</v>
      </c>
      <c r="O6" s="32">
        <v>0.1</v>
      </c>
      <c r="P6" s="33">
        <f t="shared" si="1"/>
        <v>315</v>
      </c>
      <c r="Q6" s="31">
        <f t="shared" si="2"/>
        <v>2</v>
      </c>
      <c r="R6" s="34">
        <f t="shared" si="3"/>
        <v>236.25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Benediktas Babraitis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141.5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150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593.5</v>
      </c>
      <c r="L7" s="30">
        <f t="shared" si="0"/>
        <v>236.25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Simona Jociūtė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144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96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128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150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590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Justinas Novoruckis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137.5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102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128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150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589.5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3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Aurimas Šumbrauskis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145.5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150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589.5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6</v>
      </c>
      <c r="B11" s="27" t="str">
        <f>IF(8&gt;COUNTIF(' Toto teams'!$A$4:$A$119,"&lt;&gt;"),"",INDEX(' Toto teams'!$A$4:$A$119,MATCH(LARGE(' Toto teams'!$T$4:$T$119,8),' Toto teams'!$T$4:$T$119,0)))</f>
        <v>Darius Jalo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137.5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128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150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589.5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Benas&amp;Šaras Oleknavičius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142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120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150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586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Elijus Benetis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139.5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96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128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150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585.5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Todor Velikov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140.5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102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120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150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584.5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Simonas Sipavičius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135.5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68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96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128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150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577.5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Giedrius Šadbaras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134.5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68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96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128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150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576.5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Kamran Mikayilov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139.5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128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130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571.5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Danielius Pažusys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136.5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68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96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120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150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570.5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Alberto Canova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135.5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72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120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150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567.5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Benas VII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141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64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90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120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150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565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Raimondas Juška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138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120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130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562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Slava Maltsev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140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112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130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552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Paulina Bungardė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72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102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112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130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551.5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21</v>
      </c>
      <c r="B24" s="27" t="str">
        <f>IF(21&gt;COUNTIF(' Toto teams'!$A$4:$A$119,"&lt;&gt;"),"",INDEX(' Toto teams'!$A$4:$A$119,MATCH(LARGE(' Toto teams'!$T$4:$T$119,21),' Toto teams'!$T$4:$T$119,0)))</f>
        <v>Davide Speranza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147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68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104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130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551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Tomas Šunskis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134.5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130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550.5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Ivan Manev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139.5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96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112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130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549.5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Gintautas Beržanskis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133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102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112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130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549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Saulius Pipiras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131.5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102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112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130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547.5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Arnoldas Molis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138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104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130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546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Gintas Bungarda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138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68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96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112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130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544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Saulius Lileikis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135.5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90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112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130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539.5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Tihomir Chakarov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131.5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102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104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130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539.5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Karolis Marcinkevičius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130.5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68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102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128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110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538.5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Deividas Jančius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139.5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102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104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120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537.5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Dobilas III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132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90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112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130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536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Gianmarco Monti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140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96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104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120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532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Thomas Wolke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125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68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96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112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130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531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Benas Bruzga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90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104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130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531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34</v>
      </c>
      <c r="B39" s="27" t="str">
        <f>IF(36&gt;COUNTIF(' Toto teams'!$A$4:$A$119,"&lt;&gt;"),"",INDEX(' Toto teams'!$A$4:$A$119,MATCH(LARGE(' Toto teams'!$T$4:$T$119,36),' Toto teams'!$T$4:$T$119,0)))</f>
        <v>Artem Lavrov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145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102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96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120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531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Yagub Alizada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131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102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104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120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529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Dainius Breivė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137.5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102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104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110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525.5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Deividas Jodenis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122.5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64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112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130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524.5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Gedas Girdžiūnas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136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68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96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104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120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524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Donatas Bakėjus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137.5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96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120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521.5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Dovilė Smetonė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128.5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68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104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130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520.5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Audi club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139.5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96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96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120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519.5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44</v>
      </c>
      <c r="B47" s="27" t="str">
        <f>IF(44&gt;COUNTIF(' Toto teams'!$A$4:$A$119,"&lt;&gt;"),"",INDEX(' Toto teams'!$A$4:$A$119,MATCH(LARGE(' Toto teams'!$T$4:$T$119,44),' Toto teams'!$T$4:$T$119,0)))</f>
        <v>Mindaugas Čižauskas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131.5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64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96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104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120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515.5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Partrikas Oleknavičius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134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96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110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514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Jokūbas Kušleika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134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68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96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96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120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514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Anton Panasenko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122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68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96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104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120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510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Jonas Juška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135.5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68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90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96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120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509.5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Nadia Mercurio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139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68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96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110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509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Donatas Pocius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136.5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102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88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110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508.5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Enrico Ancarola, Pietro Rivera, Riccardo Gatti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136.5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72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102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88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110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508.5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Martynas Bruzga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134.5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72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88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110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506.5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Nikolay Lenkov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127.5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96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110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503.5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Vytautas Gliaubicas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125.5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102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96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110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501.5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Pijus Jalo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138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88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110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500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Vaidas Pažusys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137.5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72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78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96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110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493.5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Donatas Keras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136.5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72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78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96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110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492.5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Zaur Yusubov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140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102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88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90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492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Evelina Tiščenkė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133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64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96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88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110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491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Mario Calvi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126.5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68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78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96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120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488.5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Simas Baubonis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141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102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80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90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485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Juozas Žimkus Jr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132.5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84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96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100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484.5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Žygimantas Ryliškis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127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68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90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88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110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483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Alexey Nikitenko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121.5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64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96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88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110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479.5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Edita Oršauskė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127.5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68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102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88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90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475.5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Aurimas Oleknavičius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127.5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102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80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90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471.5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Edgar Moroz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72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102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80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90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469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Sergey Zhaltuchin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138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72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96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72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90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468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Rustam Roikov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129.5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68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80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100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467.5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Ernesta Čebienė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133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96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72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90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463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Rimas Baubonis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118.5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72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102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80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90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462.5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Andrea Signorini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128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68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96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90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462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Sigitas Šarauskis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64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84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88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100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461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Sofus Wolke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126.5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72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90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80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90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458.5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Giuseppe Diana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118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96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80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90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452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75</v>
      </c>
      <c r="B79" s="27" t="str">
        <f>IF(76&gt;COUNTIF(' Toto teams'!$A$4:$A$119,"&lt;&gt;"),"",INDEX(' Toto teams'!$A$4:$A$119,MATCH(LARGE(' Toto teams'!$T$4:$T$119,76),' Toto teams'!$T$4:$T$119,0)))</f>
        <v>Gintas Bungarda 2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128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102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80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70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452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Paolo Papiri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129.5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68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90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72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90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449.5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Virginija Čižauskienė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84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72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90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449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Joris Jalo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122.5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96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72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90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448.5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Rolandas Urbelis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68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90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72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90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448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Miglė Juškaitė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122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72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102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70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438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Alius Antulis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117.5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96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72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80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433.5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Michele Sette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116.5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64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72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90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432.5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Lukas Vaitukaitis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122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102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64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70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426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Jurga Šantaraitė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118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72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72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90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420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Lukas Danielevičius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121.5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60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60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80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90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411.5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Denis Kazarezov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115.5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68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90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64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70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407.5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87</v>
      </c>
      <c r="B91" s="27" t="str">
        <f>IF(88&gt;COUNTIF(' Toto teams'!$A$4:$A$119,"&lt;&gt;"),"",INDEX(' Toto teams'!$A$4:$A$119,MATCH(LARGE(' Toto teams'!$T$4:$T$119,88),' Toto teams'!$T$4:$T$119,0)))</f>
        <v>N&amp;A Pociai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117.5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96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56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70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407.5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Susie Wolke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139.5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60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64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70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405.5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90</v>
      </c>
      <c r="B93" s="27" t="str">
        <f>IF(90&gt;COUNTIF(' Toto teams'!$A$4:$A$119,"&lt;&gt;"),"",INDEX(' Toto teams'!$A$4:$A$119,MATCH(LARGE(' Toto teams'!$T$4:$T$119,90),' Toto teams'!$T$4:$T$119,0)))</f>
        <v>Egidijus Navickas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119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68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102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56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60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405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Algirdas Čižauskas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124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84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64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60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404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Sigitas Petraitis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126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96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48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60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402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Dainius Visackas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115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90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64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60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401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Sampaio Carlos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117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72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96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48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60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393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Simonas Anikinas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128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72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60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72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60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392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Kristina I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121.5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66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56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70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385.5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Vytautas Podrezas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112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68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96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48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60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384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Mindaugas Sipavičius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120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56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60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374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Titas Jodenis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124.5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48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50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360.5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Tomas Bruzga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112.5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60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358.5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Arūnas Čižauskas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122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84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40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358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50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330.5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20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291.5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30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283.5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C78" sqref="C78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210</v>
      </c>
      <c r="K4" s="28">
        <f>IFERROR(VLOOKUP(C4,Scoring!$A$4:$N$51,14,FALSE())*4,"-")</f>
        <v>148</v>
      </c>
      <c r="L4" s="28">
        <f>IFERROR(VLOOKUP(D4,Scoring!$A$4:$N$51,14,FALSE())*3,"-")</f>
        <v>105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5.5</v>
      </c>
      <c r="R4" s="36">
        <f t="shared" ref="R4:R35" si="0">IF(A4="","-",SUM(J4:Q4))</f>
        <v>539.5</v>
      </c>
      <c r="S4">
        <f t="shared" ref="S4:S35" si="1">IF(A4="","",RANK(R4,$R$4:$R$119))</f>
        <v>28</v>
      </c>
      <c r="T4">
        <f t="shared" ref="T4:T35" si="2">IF(A4="",-1,R4-ROW(R4)/1000000)</f>
        <v>539.49999600000001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222</v>
      </c>
      <c r="K5" s="28">
        <f>IFERROR(VLOOKUP(C5,Scoring!$A$4:$N$51,14,FALSE())*4,"-")</f>
        <v>60</v>
      </c>
      <c r="L5" s="28">
        <f>IFERROR(VLOOKUP(D5,Scoring!$A$4:$N$51,14,FALSE())*3,"-")</f>
        <v>105</v>
      </c>
      <c r="M5" s="28">
        <f>IFERROR(VLOOKUP(E5,Scoring!$A$4:$N$51,14,FALSE())*2,"-")</f>
        <v>70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8</v>
      </c>
      <c r="R5" s="36">
        <f t="shared" si="0"/>
        <v>483</v>
      </c>
      <c r="S5">
        <f t="shared" si="1"/>
        <v>63</v>
      </c>
      <c r="T5">
        <f t="shared" si="2"/>
        <v>482.99999500000001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222</v>
      </c>
      <c r="K6" s="28">
        <f>IFERROR(VLOOKUP(C6,Scoring!$A$4:$N$51,14,FALSE())*4,"-")</f>
        <v>140</v>
      </c>
      <c r="L6" s="28">
        <f>IFERROR(VLOOKUP(D6,Scoring!$A$4:$N$51,14,FALSE())*3,"-")</f>
        <v>111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8</v>
      </c>
      <c r="R6" s="36">
        <f t="shared" si="0"/>
        <v>552</v>
      </c>
      <c r="S6">
        <f t="shared" si="1"/>
        <v>19</v>
      </c>
      <c r="T6">
        <f t="shared" si="2"/>
        <v>551.99999400000002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210</v>
      </c>
      <c r="K7" s="28">
        <f>IFERROR(VLOOKUP(C7,Scoring!$A$4:$N$51,14,FALSE())*4,"-")</f>
        <v>148</v>
      </c>
      <c r="L7" s="28">
        <f>IFERROR(VLOOKUP(D7,Scoring!$A$4:$N$51,14,FALSE())*3,"-")</f>
        <v>105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531</v>
      </c>
      <c r="S7">
        <f t="shared" si="1"/>
        <v>34</v>
      </c>
      <c r="T7">
        <f t="shared" si="2"/>
        <v>530.99999300000002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210</v>
      </c>
      <c r="K8" s="28">
        <f>IFERROR(VLOOKUP(C8,Scoring!$A$4:$N$51,14,FALSE())*4,"-")</f>
        <v>60</v>
      </c>
      <c r="L8" s="28">
        <f>IFERROR(VLOOKUP(D8,Scoring!$A$4:$N$51,14,FALSE())*3,"-")</f>
        <v>111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6.5</v>
      </c>
      <c r="R8" s="36">
        <f t="shared" si="0"/>
        <v>458.5</v>
      </c>
      <c r="S8">
        <f t="shared" si="1"/>
        <v>74</v>
      </c>
      <c r="T8">
        <f t="shared" si="2"/>
        <v>458.49999200000002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148</v>
      </c>
      <c r="L9" s="28">
        <f>IFERROR(VLOOKUP(D9,Scoring!$A$4:$N$51,14,FALSE())*3,"-")</f>
        <v>111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5.5</v>
      </c>
      <c r="R9" s="36">
        <f t="shared" si="0"/>
        <v>405.5</v>
      </c>
      <c r="S9">
        <f t="shared" si="1"/>
        <v>89</v>
      </c>
      <c r="T9">
        <f t="shared" si="2"/>
        <v>405.49999100000002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140</v>
      </c>
      <c r="L10" s="28">
        <f>IFERROR(VLOOKUP(D10,Scoring!$A$4:$N$51,14,FALSE())*3,"-")</f>
        <v>111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5.5</v>
      </c>
      <c r="R10" s="36">
        <f t="shared" si="0"/>
        <v>407.5</v>
      </c>
      <c r="S10">
        <f t="shared" si="1"/>
        <v>87</v>
      </c>
      <c r="T10">
        <f t="shared" si="2"/>
        <v>407.49999000000003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148</v>
      </c>
      <c r="L11" s="28">
        <f>IFERROR(VLOOKUP(D11,Scoring!$A$4:$N$51,14,FALSE())*3,"-")</f>
        <v>45</v>
      </c>
      <c r="M11" s="28">
        <f>IFERROR(VLOOKUP(E11,Scoring!$A$4:$N$51,14,FALSE())*2,"-")</f>
        <v>70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402</v>
      </c>
      <c r="S11">
        <f t="shared" si="1"/>
        <v>92</v>
      </c>
      <c r="T11">
        <f t="shared" si="2"/>
        <v>401.99998900000003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222</v>
      </c>
      <c r="K12" s="28">
        <f>IFERROR(VLOOKUP(C12,Scoring!$A$4:$N$51,14,FALSE())*4,"-")</f>
        <v>148</v>
      </c>
      <c r="L12" s="28">
        <f>IFERROR(VLOOKUP(D12,Scoring!$A$4:$N$51,14,FALSE())*3,"-")</f>
        <v>105</v>
      </c>
      <c r="M12" s="28">
        <f>IFERROR(VLOOKUP(E12,Scoring!$A$4:$N$51,14,FALSE())*2,"-")</f>
        <v>70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8</v>
      </c>
      <c r="R12" s="36">
        <f t="shared" si="0"/>
        <v>565</v>
      </c>
      <c r="S12">
        <f t="shared" si="1"/>
        <v>17</v>
      </c>
      <c r="T12">
        <f t="shared" si="2"/>
        <v>564.99998800000003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210</v>
      </c>
      <c r="K13" s="28">
        <f>IFERROR(VLOOKUP(C13,Scoring!$A$4:$N$51,14,FALSE())*4,"-")</f>
        <v>140</v>
      </c>
      <c r="L13" s="28">
        <f>IFERROR(VLOOKUP(D13,Scoring!$A$4:$N$51,14,FALSE())*3,"-")</f>
        <v>111</v>
      </c>
      <c r="M13" s="28">
        <f>IFERROR(VLOOKUP(E13,Scoring!$A$4:$N$51,14,FALSE())*2,"-")</f>
        <v>22</v>
      </c>
      <c r="N13" s="28">
        <f>IFERROR(VLOOKUP(F13,Scoring!$A$4:$N$51,14,FALSE()),"-")</f>
        <v>25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6</v>
      </c>
      <c r="R13" s="36">
        <f t="shared" si="0"/>
        <v>536</v>
      </c>
      <c r="S13">
        <f t="shared" si="1"/>
        <v>32</v>
      </c>
      <c r="T13">
        <f t="shared" si="2"/>
        <v>535.99998700000003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140</v>
      </c>
      <c r="L14" s="28">
        <f>IFERROR(VLOOKUP(D14,Scoring!$A$4:$N$51,14,FALSE())*3,"-")</f>
        <v>105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385.5</v>
      </c>
      <c r="S14">
        <f t="shared" si="1"/>
        <v>96</v>
      </c>
      <c r="T14">
        <f t="shared" si="2"/>
        <v>385.49998599999998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210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70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5.5</v>
      </c>
      <c r="R15" s="36">
        <f t="shared" si="0"/>
        <v>433.5</v>
      </c>
      <c r="S15">
        <f t="shared" si="1"/>
        <v>82</v>
      </c>
      <c r="T15">
        <f t="shared" si="2"/>
        <v>433.49998499999998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222</v>
      </c>
      <c r="K16" s="28">
        <f>IFERROR(VLOOKUP(C16,Scoring!$A$4:$N$51,14,FALSE())*4,"-")</f>
        <v>140</v>
      </c>
      <c r="L16" s="28">
        <f>IFERROR(VLOOKUP(D16,Scoring!$A$4:$N$51,14,FALSE())*3,"-")</f>
        <v>105</v>
      </c>
      <c r="M16" s="28">
        <f>IFERROR(VLOOKUP(E16,Scoring!$A$4:$N$51,14,FALSE())*2,"-")</f>
        <v>74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5.5</v>
      </c>
      <c r="R16" s="36">
        <f t="shared" si="0"/>
        <v>584.5</v>
      </c>
      <c r="S16">
        <f t="shared" si="1"/>
        <v>11</v>
      </c>
      <c r="T16">
        <f t="shared" si="2"/>
        <v>584.49998400000004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210</v>
      </c>
      <c r="K17" s="28">
        <f>IFERROR(VLOOKUP(C17,Scoring!$A$4:$N$51,14,FALSE())*4,"-")</f>
        <v>100</v>
      </c>
      <c r="L17" s="28">
        <f>IFERROR(VLOOKUP(D17,Scoring!$A$4:$N$51,14,FALSE())*3,"-")</f>
        <v>111</v>
      </c>
      <c r="M17" s="28">
        <f>IFERROR(VLOOKUP(E17,Scoring!$A$4:$N$51,14,FALSE())*2,"-")</f>
        <v>70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6.5</v>
      </c>
      <c r="R17" s="36">
        <f t="shared" si="0"/>
        <v>538.5</v>
      </c>
      <c r="S17">
        <f t="shared" si="1"/>
        <v>30</v>
      </c>
      <c r="T17">
        <f t="shared" si="2"/>
        <v>538.49998300000004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222</v>
      </c>
      <c r="K18" s="28">
        <f>IFERROR(VLOOKUP(C18,Scoring!$A$4:$N$51,14,FALSE())*4,"-")</f>
        <v>60</v>
      </c>
      <c r="L18" s="28">
        <f>IFERROR(VLOOKUP(D18,Scoring!$A$4:$N$51,14,FALSE())*3,"-")</f>
        <v>105</v>
      </c>
      <c r="M18" s="28">
        <f>IFERROR(VLOOKUP(E18,Scoring!$A$4:$N$51,14,FALSE())*2,"-")</f>
        <v>74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5.5</v>
      </c>
      <c r="R18" s="36">
        <f t="shared" si="0"/>
        <v>508.5</v>
      </c>
      <c r="S18">
        <f t="shared" si="1"/>
        <v>50</v>
      </c>
      <c r="T18">
        <f t="shared" si="2"/>
        <v>508.49998199999999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210</v>
      </c>
      <c r="K19" s="28">
        <f>IFERROR(VLOOKUP(C19,Scoring!$A$4:$N$51,14,FALSE())*4,"-")</f>
        <v>148</v>
      </c>
      <c r="L19" s="28">
        <f>IFERROR(VLOOKUP(D19,Scoring!$A$4:$N$51,14,FALSE())*3,"-")</f>
        <v>111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5.5</v>
      </c>
      <c r="R19" s="36">
        <f t="shared" si="0"/>
        <v>571.5</v>
      </c>
      <c r="S19">
        <f t="shared" si="1"/>
        <v>14</v>
      </c>
      <c r="T19">
        <f t="shared" si="2"/>
        <v>571.49998100000005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222</v>
      </c>
      <c r="K20" s="28">
        <f>IFERROR(VLOOKUP(C20,Scoring!$A$4:$N$51,14,FALSE())*4,"-")</f>
        <v>60</v>
      </c>
      <c r="L20" s="28">
        <f>IFERROR(VLOOKUP(D20,Scoring!$A$4:$N$51,14,FALSE())*3,"-")</f>
        <v>105</v>
      </c>
      <c r="M20" s="28">
        <f>IFERROR(VLOOKUP(E20,Scoring!$A$4:$N$51,14,FALSE())*2,"-")</f>
        <v>70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5.5</v>
      </c>
      <c r="R20" s="36">
        <f t="shared" si="0"/>
        <v>479.5</v>
      </c>
      <c r="S20">
        <f t="shared" si="1"/>
        <v>64</v>
      </c>
      <c r="T20">
        <f t="shared" si="2"/>
        <v>479.49997999999999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210</v>
      </c>
      <c r="K21" s="28">
        <f>IFERROR(VLOOKUP(C21,Scoring!$A$4:$N$51,14,FALSE())*4,"-")</f>
        <v>68</v>
      </c>
      <c r="L21" s="28">
        <f>IFERROR(VLOOKUP(D21,Scoring!$A$4:$N$51,14,FALSE())*3,"-")</f>
        <v>111</v>
      </c>
      <c r="M21" s="28">
        <f>IFERROR(VLOOKUP(E21,Scoring!$A$4:$N$51,14,FALSE())*2,"-")</f>
        <v>30</v>
      </c>
      <c r="N21" s="28">
        <f>IFERROR(VLOOKUP(F21,Scoring!$A$4:$N$51,14,FALSE()),"-")</f>
        <v>25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5.5</v>
      </c>
      <c r="R21" s="36">
        <f t="shared" si="0"/>
        <v>475.5</v>
      </c>
      <c r="S21">
        <f t="shared" si="1"/>
        <v>65</v>
      </c>
      <c r="T21">
        <f t="shared" si="2"/>
        <v>475.499979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210</v>
      </c>
      <c r="K22" s="28">
        <f>IFERROR(VLOOKUP(C22,Scoring!$A$4:$N$51,14,FALSE())*4,"-")</f>
        <v>140</v>
      </c>
      <c r="L22" s="28">
        <f>IFERROR(VLOOKUP(D22,Scoring!$A$4:$N$51,14,FALSE())*3,"-")</f>
        <v>111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5.5</v>
      </c>
      <c r="R22" s="36">
        <f t="shared" si="0"/>
        <v>547.5</v>
      </c>
      <c r="S22">
        <f t="shared" si="1"/>
        <v>25</v>
      </c>
      <c r="T22">
        <f t="shared" si="2"/>
        <v>547.49997800000006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210</v>
      </c>
      <c r="K23" s="28">
        <f>IFERROR(VLOOKUP(C23,Scoring!$A$4:$N$51,14,FALSE())*4,"-")</f>
        <v>60</v>
      </c>
      <c r="L23" s="28">
        <f>IFERROR(VLOOKUP(D23,Scoring!$A$4:$N$51,14,FALSE())*3,"-")</f>
        <v>111</v>
      </c>
      <c r="M23" s="28">
        <f>IFERROR(VLOOKUP(E23,Scoring!$A$4:$N$51,14,FALSE())*2,"-")</f>
        <v>74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5.5</v>
      </c>
      <c r="R23" s="36">
        <f t="shared" si="0"/>
        <v>501.5</v>
      </c>
      <c r="S23">
        <f t="shared" si="1"/>
        <v>54</v>
      </c>
      <c r="T23">
        <f t="shared" si="2"/>
        <v>501.499977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222</v>
      </c>
      <c r="K24" s="28">
        <f>IFERROR(VLOOKUP(C24,Scoring!$A$4:$N$51,14,FALSE())*4,"-")</f>
        <v>140</v>
      </c>
      <c r="L24" s="28">
        <f>IFERROR(VLOOKUP(D24,Scoring!$A$4:$N$51,14,FALSE())*3,"-")</f>
        <v>105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8</v>
      </c>
      <c r="R24" s="36">
        <f t="shared" si="0"/>
        <v>531</v>
      </c>
      <c r="S24">
        <f t="shared" si="1"/>
        <v>34</v>
      </c>
      <c r="T24">
        <f t="shared" si="2"/>
        <v>530.99997599999995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140</v>
      </c>
      <c r="L25" s="28">
        <f>IFERROR(VLOOKUP(D25,Scoring!$A$4:$N$51,14,FALSE())*3,"-")</f>
        <v>45</v>
      </c>
      <c r="M25" s="28">
        <f>IFERROR(VLOOKUP(E25,Scoring!$A$4:$N$51,14,FALSE())*2,"-")</f>
        <v>70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358.5</v>
      </c>
      <c r="S25">
        <f t="shared" si="1"/>
        <v>100</v>
      </c>
      <c r="T25">
        <f t="shared" si="2"/>
        <v>358.49997500000001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210</v>
      </c>
      <c r="K26" s="28">
        <f>IFERROR(VLOOKUP(C26,Scoring!$A$4:$N$51,14,FALSE())*4,"-")</f>
        <v>68</v>
      </c>
      <c r="L26" s="28">
        <f>IFERROR(VLOOKUP(D26,Scoring!$A$4:$N$51,14,FALSE())*3,"-")</f>
        <v>111</v>
      </c>
      <c r="M26" s="28">
        <f>IFERROR(VLOOKUP(E26,Scoring!$A$4:$N$51,14,FALSE())*2,"-")</f>
        <v>74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5.5</v>
      </c>
      <c r="R26" s="36">
        <f t="shared" si="0"/>
        <v>506.5</v>
      </c>
      <c r="S26">
        <f t="shared" si="1"/>
        <v>52</v>
      </c>
      <c r="T26">
        <f t="shared" si="2"/>
        <v>506.49997400000001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222</v>
      </c>
      <c r="K27" s="28">
        <f>IFERROR(VLOOKUP(C27,Scoring!$A$4:$N$51,14,FALSE())*4,"-")</f>
        <v>140</v>
      </c>
      <c r="L27" s="28">
        <f>IFERROR(VLOOKUP(D27,Scoring!$A$4:$N$51,14,FALSE())*3,"-")</f>
        <v>51</v>
      </c>
      <c r="M27" s="28">
        <f>IFERROR(VLOOKUP(E27,Scoring!$A$4:$N$51,14,FALSE())*2,"-")</f>
        <v>70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8</v>
      </c>
      <c r="R27" s="36">
        <f t="shared" si="0"/>
        <v>524</v>
      </c>
      <c r="S27">
        <f t="shared" si="1"/>
        <v>40</v>
      </c>
      <c r="T27">
        <f t="shared" si="2"/>
        <v>523.99997299999995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210</v>
      </c>
      <c r="K28" s="28">
        <f>IFERROR(VLOOKUP(C28,Scoring!$A$4:$N$51,14,FALSE())*4,"-")</f>
        <v>148</v>
      </c>
      <c r="L28" s="28">
        <f>IFERROR(VLOOKUP(D28,Scoring!$A$4:$N$51,14,FALSE())*3,"-")</f>
        <v>105</v>
      </c>
      <c r="M28" s="28">
        <f>IFERROR(VLOOKUP(E28,Scoring!$A$4:$N$51,14,FALSE())*2,"-")</f>
        <v>74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5.5</v>
      </c>
      <c r="R28" s="36">
        <f t="shared" si="0"/>
        <v>593.5</v>
      </c>
      <c r="S28">
        <f t="shared" si="1"/>
        <v>3</v>
      </c>
      <c r="T28">
        <f t="shared" si="2"/>
        <v>593.49997199999996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111</v>
      </c>
      <c r="M29" s="28">
        <f>IFERROR(VLOOKUP(E29,Scoring!$A$4:$N$51,14,FALSE())*2,"-")</f>
        <v>70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330.5</v>
      </c>
      <c r="S29">
        <f t="shared" si="1"/>
        <v>102</v>
      </c>
      <c r="T29">
        <f t="shared" si="2"/>
        <v>330.49997100000002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140</v>
      </c>
      <c r="L30" s="28">
        <f>IFERROR(VLOOKUP(D30,Scoring!$A$4:$N$51,14,FALSE())*3,"-")</f>
        <v>30</v>
      </c>
      <c r="M30" s="28">
        <f>IFERROR(VLOOKUP(E30,Scoring!$A$4:$N$51,14,FALSE())*2,"-")</f>
        <v>70</v>
      </c>
      <c r="N30" s="28">
        <f>IFERROR(VLOOKUP(F30,Scoring!$A$4:$N$51,14,FALSE()),"-")</f>
        <v>25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404</v>
      </c>
      <c r="S30">
        <f t="shared" si="1"/>
        <v>91</v>
      </c>
      <c r="T30">
        <f t="shared" si="2"/>
        <v>403.99997000000002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222</v>
      </c>
      <c r="K31" s="28">
        <f>IFERROR(VLOOKUP(C31,Scoring!$A$4:$N$51,14,FALSE())*4,"-")</f>
        <v>60</v>
      </c>
      <c r="L31" s="28">
        <f>IFERROR(VLOOKUP(D31,Scoring!$A$4:$N$51,14,FALSE())*3,"-")</f>
        <v>111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449</v>
      </c>
      <c r="S31">
        <f t="shared" si="1"/>
        <v>78</v>
      </c>
      <c r="T31">
        <f t="shared" si="2"/>
        <v>448.99996900000002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210</v>
      </c>
      <c r="K32" s="28">
        <f>IFERROR(VLOOKUP(C32,Scoring!$A$4:$N$51,14,FALSE())*4,"-")</f>
        <v>148</v>
      </c>
      <c r="L32" s="28">
        <f>IFERROR(VLOOKUP(D32,Scoring!$A$4:$N$51,14,FALSE())*3,"-")</f>
        <v>105</v>
      </c>
      <c r="M32" s="28">
        <f>IFERROR(VLOOKUP(E32,Scoring!$A$4:$N$51,14,FALSE())*2,"-")</f>
        <v>74</v>
      </c>
      <c r="N32" s="28">
        <f>IFERROR(VLOOKUP(F32,Scoring!$A$4:$N$51,14,FALSE()),"-")</f>
        <v>25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5.5</v>
      </c>
      <c r="R32" s="36">
        <f t="shared" si="0"/>
        <v>576.5</v>
      </c>
      <c r="S32">
        <f t="shared" si="1"/>
        <v>13</v>
      </c>
      <c r="T32">
        <f t="shared" si="2"/>
        <v>576.49996799999997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70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291.5</v>
      </c>
      <c r="S33">
        <f t="shared" si="1"/>
        <v>103</v>
      </c>
      <c r="T33">
        <f t="shared" si="2"/>
        <v>291.49996700000003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210</v>
      </c>
      <c r="K34" s="28">
        <f>IFERROR(VLOOKUP(C34,Scoring!$A$4:$N$51,14,FALSE())*4,"-")</f>
        <v>68</v>
      </c>
      <c r="L34" s="28">
        <f>IFERROR(VLOOKUP(D34,Scoring!$A$4:$N$51,14,FALSE())*3,"-")</f>
        <v>111</v>
      </c>
      <c r="M34" s="28">
        <f>IFERROR(VLOOKUP(E34,Scoring!$A$4:$N$51,14,FALSE())*2,"-")</f>
        <v>74</v>
      </c>
      <c r="N34" s="28">
        <f>IFERROR(VLOOKUP(F34,Scoring!$A$4:$N$51,14,FALSE()),"-")</f>
        <v>25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5.5</v>
      </c>
      <c r="R34" s="36">
        <f t="shared" si="0"/>
        <v>525.5</v>
      </c>
      <c r="S34">
        <f t="shared" si="1"/>
        <v>38</v>
      </c>
      <c r="T34">
        <f t="shared" si="2"/>
        <v>525.49996599999997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210</v>
      </c>
      <c r="K35" s="28">
        <f>IFERROR(VLOOKUP(C35,Scoring!$A$4:$N$51,14,FALSE())*4,"-")</f>
        <v>148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25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5.5</v>
      </c>
      <c r="R35" s="36">
        <f t="shared" si="0"/>
        <v>484.5</v>
      </c>
      <c r="S35">
        <f t="shared" si="1"/>
        <v>62</v>
      </c>
      <c r="T35">
        <f t="shared" si="2"/>
        <v>484.49996499999997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222</v>
      </c>
      <c r="K36" s="28">
        <f>IFERROR(VLOOKUP(C36,Scoring!$A$4:$N$51,14,FALSE())*4,"-")</f>
        <v>40</v>
      </c>
      <c r="L36" s="28">
        <f>IFERROR(VLOOKUP(D36,Scoring!$A$4:$N$51,14,FALSE())*3,"-")</f>
        <v>105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411.5</v>
      </c>
      <c r="S36">
        <f t="shared" ref="S36:S67" si="4">IF(A36="","",RANK(R36,$R$4:$R$119))</f>
        <v>86</v>
      </c>
      <c r="T36">
        <f t="shared" ref="T36:T67" si="5">IF(A36="",-1,R36-ROW(R36)/1000000)</f>
        <v>411.49996399999998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148</v>
      </c>
      <c r="L37" s="28">
        <f>IFERROR(VLOOKUP(D37,Scoring!$A$4:$N$51,14,FALSE())*3,"-")</f>
        <v>105</v>
      </c>
      <c r="M37" s="28">
        <f>IFERROR(VLOOKUP(E37,Scoring!$A$4:$N$51,14,FALSE())*2,"-")</f>
        <v>74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485</v>
      </c>
      <c r="S37">
        <f t="shared" si="4"/>
        <v>61</v>
      </c>
      <c r="T37">
        <f t="shared" si="5"/>
        <v>484.99996299999998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210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401</v>
      </c>
      <c r="S38">
        <f t="shared" si="4"/>
        <v>93</v>
      </c>
      <c r="T38">
        <f t="shared" si="5"/>
        <v>400.99996199999998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210</v>
      </c>
      <c r="K39" s="28">
        <f>IFERROR(VLOOKUP(C39,Scoring!$A$4:$N$51,14,FALSE())*4,"-")</f>
        <v>148</v>
      </c>
      <c r="L39" s="28">
        <f>IFERROR(VLOOKUP(D39,Scoring!$A$4:$N$51,14,FALSE())*3,"-")</f>
        <v>111</v>
      </c>
      <c r="M39" s="28">
        <f>IFERROR(VLOOKUP(E39,Scoring!$A$4:$N$51,14,FALSE())*2,"-")</f>
        <v>34</v>
      </c>
      <c r="N39" s="28">
        <f>IFERROR(VLOOKUP(F39,Scoring!$A$4:$N$51,14,FALSE()),"-")</f>
        <v>25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5.5</v>
      </c>
      <c r="R39" s="36">
        <f t="shared" si="3"/>
        <v>549.5</v>
      </c>
      <c r="S39">
        <f t="shared" si="4"/>
        <v>23</v>
      </c>
      <c r="T39">
        <f t="shared" si="5"/>
        <v>549.49996099999998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222</v>
      </c>
      <c r="K40" s="28">
        <f>IFERROR(VLOOKUP(C40,Scoring!$A$4:$N$51,14,FALSE())*4,"-")</f>
        <v>140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467.5</v>
      </c>
      <c r="S40">
        <f t="shared" si="4"/>
        <v>69</v>
      </c>
      <c r="T40">
        <f t="shared" si="5"/>
        <v>467.49995999999999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140</v>
      </c>
      <c r="L41" s="28">
        <f>IFERROR(VLOOKUP(D41,Scoring!$A$4:$N$51,14,FALSE())*3,"-")</f>
        <v>111</v>
      </c>
      <c r="M41" s="28">
        <f>IFERROR(VLOOKUP(E41,Scoring!$A$4:$N$51,14,FALSE())*2,"-")</f>
        <v>74</v>
      </c>
      <c r="N41" s="28">
        <f>IFERROR(VLOOKUP(F41,Scoring!$A$4:$N$51,14,FALSE()),"-")</f>
        <v>25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8</v>
      </c>
      <c r="R41" s="36">
        <f t="shared" si="3"/>
        <v>492</v>
      </c>
      <c r="S41">
        <f t="shared" si="4"/>
        <v>58</v>
      </c>
      <c r="T41">
        <f t="shared" si="5"/>
        <v>491.99995899999999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210</v>
      </c>
      <c r="K42" s="28">
        <f>IFERROR(VLOOKUP(C42,Scoring!$A$4:$N$51,14,FALSE())*4,"-")</f>
        <v>60</v>
      </c>
      <c r="L42" s="28">
        <f>IFERROR(VLOOKUP(D42,Scoring!$A$4:$N$51,14,FALSE())*3,"-")</f>
        <v>111</v>
      </c>
      <c r="M42" s="28">
        <f>IFERROR(VLOOKUP(E42,Scoring!$A$4:$N$51,14,FALSE())*2,"-")</f>
        <v>74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5.5</v>
      </c>
      <c r="R42" s="36">
        <f t="shared" si="3"/>
        <v>503.5</v>
      </c>
      <c r="S42">
        <f t="shared" si="4"/>
        <v>53</v>
      </c>
      <c r="T42">
        <f t="shared" si="5"/>
        <v>503.49995799999999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222</v>
      </c>
      <c r="K43" s="28">
        <f>IFERROR(VLOOKUP(C43,Scoring!$A$4:$N$51,14,FALSE())*4,"-")</f>
        <v>140</v>
      </c>
      <c r="L43" s="28">
        <f>IFERROR(VLOOKUP(D43,Scoring!$A$4:$N$51,14,FALSE())*3,"-")</f>
        <v>105</v>
      </c>
      <c r="M43" s="28">
        <f>IFERROR(VLOOKUP(E43,Scoring!$A$4:$N$51,14,FALSE())*2,"-")</f>
        <v>74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8</v>
      </c>
      <c r="R43" s="36">
        <f t="shared" si="3"/>
        <v>590</v>
      </c>
      <c r="S43">
        <f t="shared" si="4"/>
        <v>5</v>
      </c>
      <c r="T43">
        <f t="shared" si="5"/>
        <v>589.99995699999999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210</v>
      </c>
      <c r="K44" s="28">
        <f>IFERROR(VLOOKUP(C44,Scoring!$A$4:$N$51,14,FALSE())*4,"-")</f>
        <v>148</v>
      </c>
      <c r="L44" s="28">
        <f>IFERROR(VLOOKUP(D44,Scoring!$A$4:$N$51,14,FALSE())*3,"-")</f>
        <v>111</v>
      </c>
      <c r="M44" s="28">
        <f>IFERROR(VLOOKUP(E44,Scoring!$A$4:$N$51,14,FALSE())*2,"-")</f>
        <v>70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5.5</v>
      </c>
      <c r="R44" s="36">
        <f t="shared" si="3"/>
        <v>585.5</v>
      </c>
      <c r="S44">
        <f t="shared" si="4"/>
        <v>10</v>
      </c>
      <c r="T44">
        <f t="shared" si="5"/>
        <v>585.499956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210</v>
      </c>
      <c r="K45" s="28">
        <f>IFERROR(VLOOKUP(C45,Scoring!$A$4:$N$51,14,FALSE())*4,"-")</f>
        <v>140</v>
      </c>
      <c r="L45" s="28">
        <f>IFERROR(VLOOKUP(D45,Scoring!$A$4:$N$51,14,FALSE())*3,"-")</f>
        <v>45</v>
      </c>
      <c r="M45" s="28">
        <f>IFERROR(VLOOKUP(E45,Scoring!$A$4:$N$51,14,FALSE())*2,"-")</f>
        <v>74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6</v>
      </c>
      <c r="R45" s="36">
        <f t="shared" si="3"/>
        <v>510</v>
      </c>
      <c r="S45">
        <f t="shared" si="4"/>
        <v>47</v>
      </c>
      <c r="T45">
        <f t="shared" si="5"/>
        <v>509.999955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210</v>
      </c>
      <c r="K46" s="28">
        <f>IFERROR(VLOOKUP(C46,Scoring!$A$4:$N$51,14,FALSE())*4,"-")</f>
        <v>140</v>
      </c>
      <c r="L46" s="28">
        <f>IFERROR(VLOOKUP(D46,Scoring!$A$4:$N$51,14,FALSE())*3,"-")</f>
        <v>111</v>
      </c>
      <c r="M46" s="28">
        <f>IFERROR(VLOOKUP(E46,Scoring!$A$4:$N$51,14,FALSE())*2,"-")</f>
        <v>74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5.5</v>
      </c>
      <c r="R46" s="36">
        <f t="shared" si="3"/>
        <v>589.5</v>
      </c>
      <c r="S46">
        <f t="shared" si="4"/>
        <v>6</v>
      </c>
      <c r="T46">
        <f t="shared" si="5"/>
        <v>589.499954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148</v>
      </c>
      <c r="L47" s="28">
        <f>IFERROR(VLOOKUP(D47,Scoring!$A$4:$N$51,14,FALSE())*3,"-")</f>
        <v>51</v>
      </c>
      <c r="M47" s="28">
        <f>IFERROR(VLOOKUP(E47,Scoring!$A$4:$N$51,14,FALSE())*2,"-")</f>
        <v>70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405</v>
      </c>
      <c r="S47">
        <f t="shared" si="4"/>
        <v>90</v>
      </c>
      <c r="T47">
        <f t="shared" si="5"/>
        <v>404.999953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210</v>
      </c>
      <c r="K48" s="28">
        <f>IFERROR(VLOOKUP(C48,Scoring!$A$4:$N$51,14,FALSE())*4,"-")</f>
        <v>148</v>
      </c>
      <c r="L48" s="28">
        <f>IFERROR(VLOOKUP(D48,Scoring!$A$4:$N$51,14,FALSE())*3,"-")</f>
        <v>105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5.5</v>
      </c>
      <c r="R48" s="36">
        <f t="shared" si="3"/>
        <v>524.5</v>
      </c>
      <c r="S48">
        <f t="shared" si="4"/>
        <v>39</v>
      </c>
      <c r="T48">
        <f t="shared" si="5"/>
        <v>524.49995200000001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105</v>
      </c>
      <c r="M49" s="28">
        <f>IFERROR(VLOOKUP(E49,Scoring!$A$4:$N$51,14,FALSE())*2,"-")</f>
        <v>74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360.5</v>
      </c>
      <c r="S49">
        <f t="shared" si="4"/>
        <v>99</v>
      </c>
      <c r="T49">
        <f t="shared" si="5"/>
        <v>360.49995100000001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210</v>
      </c>
      <c r="K50" s="28">
        <f>IFERROR(VLOOKUP(C50,Scoring!$A$4:$N$51,14,FALSE())*4,"-")</f>
        <v>140</v>
      </c>
      <c r="L50" s="28">
        <f>IFERROR(VLOOKUP(D50,Scoring!$A$4:$N$51,14,FALSE())*3,"-")</f>
        <v>51</v>
      </c>
      <c r="M50" s="28">
        <f>IFERROR(VLOOKUP(E50,Scoring!$A$4:$N$51,14,FALSE())*2,"-")</f>
        <v>74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529</v>
      </c>
      <c r="S50">
        <f t="shared" si="4"/>
        <v>37</v>
      </c>
      <c r="T50">
        <f t="shared" si="5"/>
        <v>528.99995000000001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210</v>
      </c>
      <c r="K51" s="28">
        <f>IFERROR(VLOOKUP(C51,Scoring!$A$4:$N$51,14,FALSE())*4,"-")</f>
        <v>68</v>
      </c>
      <c r="L51" s="28">
        <f>IFERROR(VLOOKUP(D51,Scoring!$A$4:$N$51,14,FALSE())*3,"-")</f>
        <v>105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469</v>
      </c>
      <c r="S51">
        <f t="shared" si="4"/>
        <v>67</v>
      </c>
      <c r="T51">
        <f t="shared" si="5"/>
        <v>468.99994900000002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210</v>
      </c>
      <c r="K52" s="28">
        <f>IFERROR(VLOOKUP(C52,Scoring!$A$4:$N$51,14,FALSE())*4,"-")</f>
        <v>148</v>
      </c>
      <c r="L52" s="28">
        <f>IFERROR(VLOOKUP(D52,Scoring!$A$4:$N$51,14,FALSE())*3,"-")</f>
        <v>105</v>
      </c>
      <c r="M52" s="28">
        <f>IFERROR(VLOOKUP(E52,Scoring!$A$4:$N$51,14,FALSE())*2,"-")</f>
        <v>74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5.5</v>
      </c>
      <c r="R52" s="36">
        <f t="shared" si="3"/>
        <v>567.5</v>
      </c>
      <c r="S52">
        <f t="shared" si="4"/>
        <v>16</v>
      </c>
      <c r="T52">
        <f t="shared" si="5"/>
        <v>567.49994800000002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140</v>
      </c>
      <c r="L53" s="28">
        <f>IFERROR(VLOOKUP(D53,Scoring!$A$4:$N$51,14,FALSE())*3,"-")</f>
        <v>111</v>
      </c>
      <c r="M53" s="28">
        <f>IFERROR(VLOOKUP(E53,Scoring!$A$4:$N$51,14,FALSE())*2,"-")</f>
        <v>70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462</v>
      </c>
      <c r="S53">
        <f t="shared" si="4"/>
        <v>72</v>
      </c>
      <c r="T53">
        <f t="shared" si="5"/>
        <v>461.99994700000002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140</v>
      </c>
      <c r="L54" s="28">
        <f>IFERROR(VLOOKUP(D54,Scoring!$A$4:$N$51,14,FALSE())*3,"-")</f>
        <v>51</v>
      </c>
      <c r="M54" s="28">
        <f>IFERROR(VLOOKUP(E54,Scoring!$A$4:$N$51,14,FALSE())*2,"-")</f>
        <v>74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384</v>
      </c>
      <c r="S54">
        <f t="shared" si="4"/>
        <v>97</v>
      </c>
      <c r="T54">
        <f t="shared" si="5"/>
        <v>383.99994600000002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148</v>
      </c>
      <c r="L55" s="28">
        <f>IFERROR(VLOOKUP(D55,Scoring!$A$4:$N$51,14,FALSE())*3,"-")</f>
        <v>105</v>
      </c>
      <c r="M55" s="28">
        <f>IFERROR(VLOOKUP(E55,Scoring!$A$4:$N$51,14,FALSE())*2,"-")</f>
        <v>70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8</v>
      </c>
      <c r="R55" s="36">
        <f t="shared" si="3"/>
        <v>468</v>
      </c>
      <c r="S55">
        <f t="shared" si="4"/>
        <v>68</v>
      </c>
      <c r="T55">
        <f t="shared" si="5"/>
        <v>467.99994500000003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210</v>
      </c>
      <c r="K56" s="28">
        <f>IFERROR(VLOOKUP(C56,Scoring!$A$4:$N$51,14,FALSE())*4,"-")</f>
        <v>148</v>
      </c>
      <c r="L56" s="28">
        <f>IFERROR(VLOOKUP(D56,Scoring!$A$4:$N$51,14,FALSE())*3,"-")</f>
        <v>51</v>
      </c>
      <c r="M56" s="28">
        <f>IFERROR(VLOOKUP(E56,Scoring!$A$4:$N$51,14,FALSE())*2,"-")</f>
        <v>74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5.5</v>
      </c>
      <c r="R56" s="36">
        <f t="shared" si="3"/>
        <v>515.5</v>
      </c>
      <c r="S56">
        <f t="shared" si="4"/>
        <v>44</v>
      </c>
      <c r="T56">
        <f t="shared" si="5"/>
        <v>515.49994400000003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222</v>
      </c>
      <c r="K57" s="28">
        <f>IFERROR(VLOOKUP(C57,Scoring!$A$4:$N$51,14,FALSE())*4,"-")</f>
        <v>140</v>
      </c>
      <c r="L57" s="28">
        <f>IFERROR(VLOOKUP(D57,Scoring!$A$4:$N$51,14,FALSE())*3,"-")</f>
        <v>105</v>
      </c>
      <c r="M57" s="28">
        <f>IFERROR(VLOOKUP(E57,Scoring!$A$4:$N$51,14,FALSE())*2,"-")</f>
        <v>74</v>
      </c>
      <c r="N57" s="28">
        <f>IFERROR(VLOOKUP(F57,Scoring!$A$4:$N$51,14,FALSE()),"-")</f>
        <v>25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8</v>
      </c>
      <c r="R57" s="36">
        <f t="shared" si="3"/>
        <v>597</v>
      </c>
      <c r="S57">
        <f t="shared" si="4"/>
        <v>2</v>
      </c>
      <c r="T57">
        <f t="shared" si="5"/>
        <v>596.99994300000003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222</v>
      </c>
      <c r="K58" s="28">
        <f>IFERROR(VLOOKUP(C58,Scoring!$A$4:$N$51,14,FALSE())*4,"-")</f>
        <v>140</v>
      </c>
      <c r="L58" s="28">
        <f>IFERROR(VLOOKUP(D58,Scoring!$A$4:$N$51,14,FALSE())*3,"-")</f>
        <v>111</v>
      </c>
      <c r="M58" s="28">
        <f>IFERROR(VLOOKUP(E58,Scoring!$A$4:$N$51,14,FALSE())*2,"-")</f>
        <v>70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5.5</v>
      </c>
      <c r="R58" s="36">
        <f t="shared" si="3"/>
        <v>589.5</v>
      </c>
      <c r="S58">
        <f t="shared" si="4"/>
        <v>6</v>
      </c>
      <c r="T58">
        <f t="shared" si="5"/>
        <v>589.49994200000003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222</v>
      </c>
      <c r="K59" s="28">
        <f>IFERROR(VLOOKUP(C59,Scoring!$A$4:$N$51,14,FALSE())*4,"-")</f>
        <v>140</v>
      </c>
      <c r="L59" s="28">
        <f>IFERROR(VLOOKUP(D59,Scoring!$A$4:$N$51,14,FALSE())*3,"-")</f>
        <v>105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5.5</v>
      </c>
      <c r="R59" s="36">
        <f t="shared" si="3"/>
        <v>520.5</v>
      </c>
      <c r="S59">
        <f t="shared" si="4"/>
        <v>42</v>
      </c>
      <c r="T59">
        <f t="shared" si="5"/>
        <v>520.49994100000004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140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358</v>
      </c>
      <c r="S60">
        <f t="shared" si="4"/>
        <v>101</v>
      </c>
      <c r="T60">
        <f t="shared" si="5"/>
        <v>357.99993999999998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148</v>
      </c>
      <c r="L61" s="28">
        <f>IFERROR(VLOOKUP(D61,Scoring!$A$4:$N$51,14,FALSE())*3,"-")</f>
        <v>105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5.5</v>
      </c>
      <c r="R61" s="36">
        <f t="shared" si="3"/>
        <v>407.5</v>
      </c>
      <c r="S61">
        <f t="shared" si="4"/>
        <v>87</v>
      </c>
      <c r="T61">
        <f t="shared" si="5"/>
        <v>407.49993899999998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222</v>
      </c>
      <c r="K63" s="28">
        <f>IFERROR(VLOOKUP(C63,Scoring!$A$4:$N$51,14,FALSE())*4,"-")</f>
        <v>68</v>
      </c>
      <c r="L63" s="28">
        <f>IFERROR(VLOOKUP(D63,Scoring!$A$4:$N$51,14,FALSE())*3,"-")</f>
        <v>105</v>
      </c>
      <c r="M63" s="28">
        <f>IFERROR(VLOOKUP(E63,Scoring!$A$4:$N$51,14,FALSE())*2,"-")</f>
        <v>70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8</v>
      </c>
      <c r="R63" s="36">
        <f t="shared" si="3"/>
        <v>491</v>
      </c>
      <c r="S63">
        <f t="shared" si="4"/>
        <v>59</v>
      </c>
      <c r="T63">
        <f t="shared" si="5"/>
        <v>490.99993699999999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222</v>
      </c>
      <c r="K64" s="28">
        <f>IFERROR(VLOOKUP(C64,Scoring!$A$4:$N$51,14,FALSE())*4,"-")</f>
        <v>140</v>
      </c>
      <c r="L64" s="28">
        <f>IFERROR(VLOOKUP(D64,Scoring!$A$4:$N$51,14,FALSE())*3,"-")</f>
        <v>51</v>
      </c>
      <c r="M64" s="28">
        <f>IFERROR(VLOOKUP(E64,Scoring!$A$4:$N$51,14,FALSE())*2,"-")</f>
        <v>70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8</v>
      </c>
      <c r="R64" s="36">
        <f t="shared" si="3"/>
        <v>532</v>
      </c>
      <c r="S64">
        <f t="shared" si="4"/>
        <v>33</v>
      </c>
      <c r="T64">
        <f t="shared" si="5"/>
        <v>531.99993600000005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148</v>
      </c>
      <c r="L65" s="28">
        <f>IFERROR(VLOOKUP(D65,Scoring!$A$4:$N$51,14,FALSE())*3,"-")</f>
        <v>105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8</v>
      </c>
      <c r="R65" s="36">
        <f t="shared" si="3"/>
        <v>426</v>
      </c>
      <c r="S65">
        <f t="shared" si="4"/>
        <v>84</v>
      </c>
      <c r="T65">
        <f t="shared" si="5"/>
        <v>425.99993499999999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210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374</v>
      </c>
      <c r="S66">
        <f t="shared" si="4"/>
        <v>98</v>
      </c>
      <c r="T66">
        <f t="shared" si="5"/>
        <v>373.999934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210</v>
      </c>
      <c r="K67" s="28">
        <f>IFERROR(VLOOKUP(C67,Scoring!$A$4:$N$51,14,FALSE())*4,"-")</f>
        <v>148</v>
      </c>
      <c r="L67" s="28">
        <f>IFERROR(VLOOKUP(D67,Scoring!$A$4:$N$51,14,FALSE())*3,"-")</f>
        <v>111</v>
      </c>
      <c r="M67" s="28">
        <f>IFERROR(VLOOKUP(E67,Scoring!$A$4:$N$51,14,FALSE())*2,"-")</f>
        <v>70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5.5</v>
      </c>
      <c r="R67" s="36">
        <f t="shared" si="3"/>
        <v>577.5</v>
      </c>
      <c r="S67">
        <f t="shared" si="4"/>
        <v>12</v>
      </c>
      <c r="T67">
        <f t="shared" si="5"/>
        <v>577.49993300000006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140</v>
      </c>
      <c r="L68" s="28">
        <f>IFERROR(VLOOKUP(D68,Scoring!$A$4:$N$51,14,FALSE())*3,"-")</f>
        <v>111</v>
      </c>
      <c r="M68" s="28">
        <f>IFERROR(VLOOKUP(E68,Scoring!$A$4:$N$51,14,FALSE())*2,"-")</f>
        <v>70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448</v>
      </c>
      <c r="S68">
        <f t="shared" ref="S68:S99" si="7">IF(A68="","",RANK(R68,$R$4:$R$119))</f>
        <v>80</v>
      </c>
      <c r="T68">
        <f t="shared" ref="T68:T99" si="8">IF(A68="",-1,R68-ROW(R68)/1000000)</f>
        <v>447.999932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222</v>
      </c>
      <c r="K69" s="28">
        <f>IFERROR(VLOOKUP(C69,Scoring!$A$4:$N$51,14,FALSE())*4,"-")</f>
        <v>60</v>
      </c>
      <c r="L69" s="28">
        <f>IFERROR(VLOOKUP(D69,Scoring!$A$4:$N$51,14,FALSE())*3,"-")</f>
        <v>105</v>
      </c>
      <c r="M69" s="28">
        <f>IFERROR(VLOOKUP(E69,Scoring!$A$4:$N$51,14,FALSE())*2,"-")</f>
        <v>74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5.5</v>
      </c>
      <c r="R69" s="36">
        <f t="shared" si="6"/>
        <v>508.5</v>
      </c>
      <c r="S69">
        <f t="shared" si="7"/>
        <v>50</v>
      </c>
      <c r="T69">
        <f t="shared" si="8"/>
        <v>508.499931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222</v>
      </c>
      <c r="K70" s="28">
        <f>IFERROR(VLOOKUP(C70,Scoring!$A$4:$N$51,14,FALSE())*4,"-")</f>
        <v>148</v>
      </c>
      <c r="L70" s="28">
        <f>IFERROR(VLOOKUP(D70,Scoring!$A$4:$N$51,14,FALSE())*3,"-")</f>
        <v>51</v>
      </c>
      <c r="M70" s="28">
        <f>IFERROR(VLOOKUP(E70,Scoring!$A$4:$N$51,14,FALSE())*2,"-")</f>
        <v>70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8</v>
      </c>
      <c r="R70" s="36">
        <f t="shared" si="6"/>
        <v>531</v>
      </c>
      <c r="S70">
        <f t="shared" si="7"/>
        <v>34</v>
      </c>
      <c r="T70">
        <f t="shared" si="8"/>
        <v>530.99992999999995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210</v>
      </c>
      <c r="K71" s="28">
        <f>IFERROR(VLOOKUP(C71,Scoring!$A$4:$N$51,14,FALSE())*4,"-")</f>
        <v>44</v>
      </c>
      <c r="L71" s="28">
        <f>IFERROR(VLOOKUP(D71,Scoring!$A$4:$N$51,14,FALSE())*3,"-")</f>
        <v>111</v>
      </c>
      <c r="M71" s="28">
        <f>IFERROR(VLOOKUP(E71,Scoring!$A$4:$N$51,14,FALSE())*2,"-")</f>
        <v>74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5.5</v>
      </c>
      <c r="R71" s="36">
        <f t="shared" si="6"/>
        <v>492.5</v>
      </c>
      <c r="S71">
        <f t="shared" si="7"/>
        <v>57</v>
      </c>
      <c r="T71">
        <f t="shared" si="8"/>
        <v>492.49992900000001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210</v>
      </c>
      <c r="K72" s="28">
        <f>IFERROR(VLOOKUP(C72,Scoring!$A$4:$N$51,14,FALSE())*4,"-")</f>
        <v>148</v>
      </c>
      <c r="L72" s="28">
        <f>IFERROR(VLOOKUP(D72,Scoring!$A$4:$N$51,14,FALSE())*3,"-")</f>
        <v>51</v>
      </c>
      <c r="M72" s="28">
        <f>IFERROR(VLOOKUP(E72,Scoring!$A$4:$N$51,14,FALSE())*2,"-")</f>
        <v>74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5.5</v>
      </c>
      <c r="R72" s="36">
        <f t="shared" si="6"/>
        <v>521.5</v>
      </c>
      <c r="S72">
        <f t="shared" si="7"/>
        <v>41</v>
      </c>
      <c r="T72">
        <f t="shared" si="8"/>
        <v>521.49992799999995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140</v>
      </c>
      <c r="L73" s="28">
        <f>IFERROR(VLOOKUP(D73,Scoring!$A$4:$N$51,14,FALSE())*3,"-")</f>
        <v>69</v>
      </c>
      <c r="M73" s="28">
        <f>IFERROR(VLOOKUP(E73,Scoring!$A$4:$N$51,14,FALSE())*2,"-")</f>
        <v>74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8</v>
      </c>
      <c r="R73" s="36">
        <f t="shared" si="6"/>
        <v>392</v>
      </c>
      <c r="S73">
        <f t="shared" si="7"/>
        <v>95</v>
      </c>
      <c r="T73">
        <f t="shared" si="8"/>
        <v>391.99992700000001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210</v>
      </c>
      <c r="K74" s="28">
        <f>IFERROR(VLOOKUP(C74,Scoring!$A$4:$N$51,14,FALSE())*4,"-")</f>
        <v>148</v>
      </c>
      <c r="L74" s="28">
        <f>IFERROR(VLOOKUP(D74,Scoring!$A$4:$N$51,14,FALSE())*3,"-")</f>
        <v>111</v>
      </c>
      <c r="M74" s="28">
        <f>IFERROR(VLOOKUP(E74,Scoring!$A$4:$N$51,14,FALSE())*2,"-")</f>
        <v>30</v>
      </c>
      <c r="N74" s="28">
        <f>IFERROR(VLOOKUP(F74,Scoring!$A$4:$N$51,14,FALSE()),"-")</f>
        <v>25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6</v>
      </c>
      <c r="R74" s="36">
        <f t="shared" si="6"/>
        <v>562</v>
      </c>
      <c r="S74">
        <f t="shared" si="7"/>
        <v>18</v>
      </c>
      <c r="T74">
        <f t="shared" si="8"/>
        <v>561.99992599999996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222</v>
      </c>
      <c r="K75" s="28">
        <f>IFERROR(VLOOKUP(C75,Scoring!$A$4:$N$51,14,FALSE())*4,"-")</f>
        <v>140</v>
      </c>
      <c r="L75" s="28">
        <f>IFERROR(VLOOKUP(D75,Scoring!$A$4:$N$51,14,FALSE())*3,"-")</f>
        <v>51</v>
      </c>
      <c r="M75" s="28">
        <f>IFERROR(VLOOKUP(E75,Scoring!$A$4:$N$51,14,FALSE())*2,"-")</f>
        <v>70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5.5</v>
      </c>
      <c r="R75" s="36">
        <f t="shared" si="6"/>
        <v>509.5</v>
      </c>
      <c r="S75">
        <f t="shared" si="7"/>
        <v>48</v>
      </c>
      <c r="T75">
        <f t="shared" si="8"/>
        <v>509.49992500000002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140</v>
      </c>
      <c r="L76" s="28">
        <f>IFERROR(VLOOKUP(D76,Scoring!$A$4:$N$51,14,FALSE())*3,"-")</f>
        <v>111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8</v>
      </c>
      <c r="R76" s="36">
        <f t="shared" si="6"/>
        <v>438</v>
      </c>
      <c r="S76">
        <f t="shared" si="7"/>
        <v>81</v>
      </c>
      <c r="T76">
        <f t="shared" si="8"/>
        <v>437.99992400000002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210</v>
      </c>
      <c r="K77" s="28">
        <f>IFERROR(VLOOKUP(C77,Scoring!$A$4:$N$51,14,FALSE())*4,"-")</f>
        <v>148</v>
      </c>
      <c r="L77" s="28">
        <f>IFERROR(VLOOKUP(D77,Scoring!$A$4:$N$51,14,FALSE())*3,"-")</f>
        <v>105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5.5</v>
      </c>
      <c r="R77" s="36">
        <f t="shared" si="6"/>
        <v>539.5</v>
      </c>
      <c r="S77">
        <f t="shared" si="7"/>
        <v>28</v>
      </c>
      <c r="T77">
        <f t="shared" si="8"/>
        <v>539.49992299999997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210</v>
      </c>
      <c r="K78" s="28">
        <f>IFERROR(VLOOKUP(C78,Scoring!$A$4:$N$51,14,FALSE())*4,"-")</f>
        <v>140</v>
      </c>
      <c r="L78" s="28">
        <f>IFERROR(VLOOKUP(D78,Scoring!$A$4:$N$51,14,FALSE())*3,"-")</f>
        <v>111</v>
      </c>
      <c r="M78" s="28">
        <f>IFERROR(VLOOKUP(E78,Scoring!$A$4:$N$51,14,FALSE())*2,"-")</f>
        <v>74</v>
      </c>
      <c r="N78" s="28">
        <f>IFERROR(VLOOKUP(F78,Scoring!$A$4:$N$51,14,FALSE()),"-")</f>
        <v>25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5.5</v>
      </c>
      <c r="R78" s="36">
        <f t="shared" si="6"/>
        <v>597.5</v>
      </c>
      <c r="S78">
        <f t="shared" si="7"/>
        <v>1</v>
      </c>
      <c r="T78">
        <f t="shared" si="8"/>
        <v>597.49992199999997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140</v>
      </c>
      <c r="L79" s="28">
        <f>IFERROR(VLOOKUP(D79,Scoring!$A$4:$N$51,14,FALSE())*3,"-")</f>
        <v>51</v>
      </c>
      <c r="M79" s="28">
        <f>IFERROR(VLOOKUP(E79,Scoring!$A$4:$N$51,14,FALSE())*2,"-")</f>
        <v>74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8</v>
      </c>
      <c r="R79" s="36">
        <f t="shared" si="6"/>
        <v>393</v>
      </c>
      <c r="S79">
        <f t="shared" si="7"/>
        <v>94</v>
      </c>
      <c r="T79">
        <f t="shared" si="8"/>
        <v>392.99992099999997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210</v>
      </c>
      <c r="K80" s="28">
        <f>IFERROR(VLOOKUP(C80,Scoring!$A$4:$N$51,14,FALSE())*4,"-")</f>
        <v>68</v>
      </c>
      <c r="L80" s="28">
        <f>IFERROR(VLOOKUP(D80,Scoring!$A$4:$N$51,14,FALSE())*3,"-")</f>
        <v>111</v>
      </c>
      <c r="M80" s="28">
        <f>IFERROR(VLOOKUP(E80,Scoring!$A$4:$N$51,14,FALSE())*2,"-")</f>
        <v>30</v>
      </c>
      <c r="N80" s="28">
        <f>IFERROR(VLOOKUP(F80,Scoring!$A$4:$N$51,14,FALSE()),"-")</f>
        <v>25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5.5</v>
      </c>
      <c r="R80" s="36">
        <f t="shared" si="6"/>
        <v>471.5</v>
      </c>
      <c r="S80">
        <f t="shared" si="7"/>
        <v>66</v>
      </c>
      <c r="T80">
        <f t="shared" si="8"/>
        <v>471.49991999999997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222</v>
      </c>
      <c r="K81" s="28">
        <f>IFERROR(VLOOKUP(C81,Scoring!$A$4:$N$51,14,FALSE())*4,"-")</f>
        <v>60</v>
      </c>
      <c r="L81" s="28">
        <f>IFERROR(VLOOKUP(D81,Scoring!$A$4:$N$51,14,FALSE())*3,"-")</f>
        <v>105</v>
      </c>
      <c r="M81" s="28">
        <f>IFERROR(VLOOKUP(E81,Scoring!$A$4:$N$51,14,FALSE())*2,"-")</f>
        <v>70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8</v>
      </c>
      <c r="R81" s="36">
        <f t="shared" si="6"/>
        <v>514</v>
      </c>
      <c r="S81">
        <f t="shared" si="7"/>
        <v>45</v>
      </c>
      <c r="T81">
        <f t="shared" si="8"/>
        <v>513.99991899999998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210</v>
      </c>
      <c r="K82" s="28">
        <f>IFERROR(VLOOKUP(C82,Scoring!$A$4:$N$51,14,FALSE())*4,"-")</f>
        <v>40</v>
      </c>
      <c r="L82" s="28">
        <f>IFERROR(VLOOKUP(D82,Scoring!$A$4:$N$51,14,FALSE())*3,"-")</f>
        <v>111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6</v>
      </c>
      <c r="R82" s="36">
        <f t="shared" si="6"/>
        <v>420</v>
      </c>
      <c r="S82">
        <f t="shared" si="7"/>
        <v>85</v>
      </c>
      <c r="T82">
        <f t="shared" si="8"/>
        <v>419.99991799999998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148</v>
      </c>
      <c r="L83" s="28">
        <f>IFERROR(VLOOKUP(D83,Scoring!$A$4:$N$51,14,FALSE())*3,"-")</f>
        <v>105</v>
      </c>
      <c r="M83" s="28">
        <f>IFERROR(VLOOKUP(E83,Scoring!$A$4:$N$51,14,FALSE())*2,"-")</f>
        <v>70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452</v>
      </c>
      <c r="S83">
        <f t="shared" si="7"/>
        <v>75</v>
      </c>
      <c r="T83">
        <f t="shared" si="8"/>
        <v>451.99991699999998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210</v>
      </c>
      <c r="K84" s="28">
        <f>IFERROR(VLOOKUP(C84,Scoring!$A$4:$N$51,14,FALSE())*4,"-")</f>
        <v>148</v>
      </c>
      <c r="L84" s="28">
        <f>IFERROR(VLOOKUP(D84,Scoring!$A$4:$N$51,14,FALSE())*3,"-")</f>
        <v>111</v>
      </c>
      <c r="M84" s="28">
        <f>IFERROR(VLOOKUP(E84,Scoring!$A$4:$N$51,14,FALSE())*2,"-")</f>
        <v>70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5.5</v>
      </c>
      <c r="R84" s="36">
        <f t="shared" si="6"/>
        <v>570.5</v>
      </c>
      <c r="S84">
        <f t="shared" si="7"/>
        <v>15</v>
      </c>
      <c r="T84">
        <f t="shared" si="8"/>
        <v>570.49991599999998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210</v>
      </c>
      <c r="K85" s="28">
        <f>IFERROR(VLOOKUP(C85,Scoring!$A$4:$N$51,14,FALSE())*4,"-")</f>
        <v>60</v>
      </c>
      <c r="L85" s="28">
        <f>IFERROR(VLOOKUP(D85,Scoring!$A$4:$N$51,14,FALSE())*3,"-")</f>
        <v>111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5.5</v>
      </c>
      <c r="R85" s="36">
        <f t="shared" si="6"/>
        <v>432.5</v>
      </c>
      <c r="S85">
        <f t="shared" si="7"/>
        <v>83</v>
      </c>
      <c r="T85">
        <f t="shared" si="8"/>
        <v>432.49991499999999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210</v>
      </c>
      <c r="K86" s="28">
        <f>IFERROR(VLOOKUP(C86,Scoring!$A$4:$N$51,14,FALSE())*4,"-")</f>
        <v>148</v>
      </c>
      <c r="L86" s="28">
        <f>IFERROR(VLOOKUP(D86,Scoring!$A$4:$N$51,14,FALSE())*3,"-")</f>
        <v>30</v>
      </c>
      <c r="M86" s="28">
        <f>IFERROR(VLOOKUP(E86,Scoring!$A$4:$N$51,14,FALSE())*2,"-")</f>
        <v>70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5.5</v>
      </c>
      <c r="R86" s="36">
        <f t="shared" si="6"/>
        <v>488.5</v>
      </c>
      <c r="S86">
        <f t="shared" si="7"/>
        <v>60</v>
      </c>
      <c r="T86">
        <f t="shared" si="8"/>
        <v>488.49991399999999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222</v>
      </c>
      <c r="K87" s="28">
        <f>IFERROR(VLOOKUP(C87,Scoring!$A$4:$N$51,14,FALSE())*4,"-")</f>
        <v>148</v>
      </c>
      <c r="L87" s="28">
        <f>IFERROR(VLOOKUP(D87,Scoring!$A$4:$N$51,14,FALSE())*3,"-")</f>
        <v>105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8</v>
      </c>
      <c r="R87" s="36">
        <f t="shared" si="6"/>
        <v>551</v>
      </c>
      <c r="S87">
        <f t="shared" si="7"/>
        <v>21</v>
      </c>
      <c r="T87">
        <f t="shared" si="8"/>
        <v>550.99991299999999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222</v>
      </c>
      <c r="K88" s="28">
        <f>IFERROR(VLOOKUP(C88,Scoring!$A$4:$N$51,14,FALSE())*4,"-")</f>
        <v>68</v>
      </c>
      <c r="L88" s="28">
        <f>IFERROR(VLOOKUP(D88,Scoring!$A$4:$N$51,14,FALSE())*3,"-")</f>
        <v>105</v>
      </c>
      <c r="M88" s="28">
        <f>IFERROR(VLOOKUP(E88,Scoring!$A$4:$N$51,14,FALSE())*2,"-")</f>
        <v>74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509</v>
      </c>
      <c r="S88">
        <f t="shared" si="7"/>
        <v>49</v>
      </c>
      <c r="T88">
        <f t="shared" si="8"/>
        <v>508.99991199999999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222</v>
      </c>
      <c r="K89" s="28">
        <f>IFERROR(VLOOKUP(C89,Scoring!$A$4:$N$51,14,FALSE())*4,"-")</f>
        <v>68</v>
      </c>
      <c r="L89" s="28">
        <f>IFERROR(VLOOKUP(D89,Scoring!$A$4:$N$51,14,FALSE())*3,"-")</f>
        <v>105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5.5</v>
      </c>
      <c r="R89" s="36">
        <f t="shared" si="6"/>
        <v>449.5</v>
      </c>
      <c r="S89">
        <f t="shared" si="7"/>
        <v>77</v>
      </c>
      <c r="T89">
        <f t="shared" si="8"/>
        <v>449.499911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222</v>
      </c>
      <c r="K90" s="28">
        <f>IFERROR(VLOOKUP(C90,Scoring!$A$4:$N$51,14,FALSE())*4,"-")</f>
        <v>140</v>
      </c>
      <c r="L90" s="28">
        <f>IFERROR(VLOOKUP(D90,Scoring!$A$4:$N$51,14,FALSE())*3,"-")</f>
        <v>111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8</v>
      </c>
      <c r="R90" s="36">
        <f t="shared" si="6"/>
        <v>544</v>
      </c>
      <c r="S90">
        <f t="shared" si="7"/>
        <v>27</v>
      </c>
      <c r="T90">
        <f t="shared" si="8"/>
        <v>543.99991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210</v>
      </c>
      <c r="K91" s="28">
        <f>IFERROR(VLOOKUP(C91,Scoring!$A$4:$N$51,14,FALSE())*4,"-")</f>
        <v>148</v>
      </c>
      <c r="L91" s="28">
        <f>IFERROR(VLOOKUP(D91,Scoring!$A$4:$N$51,14,FALSE())*3,"-")</f>
        <v>105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5.5</v>
      </c>
      <c r="R91" s="36">
        <f t="shared" si="6"/>
        <v>551.5</v>
      </c>
      <c r="S91">
        <f t="shared" si="7"/>
        <v>20</v>
      </c>
      <c r="T91">
        <f t="shared" si="8"/>
        <v>551.499909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148</v>
      </c>
      <c r="L92" s="28">
        <f>IFERROR(VLOOKUP(D92,Scoring!$A$4:$N$51,14,FALSE())*3,"-")</f>
        <v>105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8</v>
      </c>
      <c r="R92" s="36">
        <f t="shared" si="6"/>
        <v>452</v>
      </c>
      <c r="S92">
        <f t="shared" si="7"/>
        <v>75</v>
      </c>
      <c r="T92">
        <f t="shared" si="8"/>
        <v>451.999908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210</v>
      </c>
      <c r="K93" s="28">
        <f>IFERROR(VLOOKUP(C93,Scoring!$A$4:$N$51,14,FALSE())*4,"-")</f>
        <v>140</v>
      </c>
      <c r="L93" s="28">
        <f>IFERROR(VLOOKUP(D93,Scoring!$A$4:$N$51,14,FALSE())*3,"-")</f>
        <v>111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5.5</v>
      </c>
      <c r="R93" s="36">
        <f t="shared" si="6"/>
        <v>550.5</v>
      </c>
      <c r="S93">
        <f t="shared" si="7"/>
        <v>22</v>
      </c>
      <c r="T93">
        <f t="shared" si="8"/>
        <v>550.49990700000001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210</v>
      </c>
      <c r="K94" s="28">
        <f>IFERROR(VLOOKUP(C94,Scoring!$A$4:$N$51,14,FALSE())*4,"-")</f>
        <v>148</v>
      </c>
      <c r="L94" s="28">
        <f>IFERROR(VLOOKUP(D94,Scoring!$A$4:$N$51,14,FALSE())*3,"-")</f>
        <v>105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549</v>
      </c>
      <c r="S94">
        <f t="shared" si="7"/>
        <v>24</v>
      </c>
      <c r="T94">
        <f t="shared" si="8"/>
        <v>548.99990600000001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222</v>
      </c>
      <c r="K95" s="28">
        <f>IFERROR(VLOOKUP(C95,Scoring!$A$4:$N$51,14,FALSE())*4,"-")</f>
        <v>40</v>
      </c>
      <c r="L95" s="28">
        <f>IFERROR(VLOOKUP(D95,Scoring!$A$4:$N$51,14,FALSE())*3,"-")</f>
        <v>105</v>
      </c>
      <c r="M95" s="28">
        <f>IFERROR(VLOOKUP(E95,Scoring!$A$4:$N$51,14,FALSE())*2,"-")</f>
        <v>70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5.5</v>
      </c>
      <c r="R95" s="36">
        <f t="shared" si="6"/>
        <v>493.5</v>
      </c>
      <c r="S95">
        <f t="shared" si="7"/>
        <v>56</v>
      </c>
      <c r="T95">
        <f t="shared" si="8"/>
        <v>493.49990500000001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222</v>
      </c>
      <c r="K96" s="28">
        <f>IFERROR(VLOOKUP(C96,Scoring!$A$4:$N$51,14,FALSE())*4,"-")</f>
        <v>140</v>
      </c>
      <c r="L96" s="28">
        <f>IFERROR(VLOOKUP(D96,Scoring!$A$4:$N$51,14,FALSE())*3,"-")</f>
        <v>51</v>
      </c>
      <c r="M96" s="28">
        <f>IFERROR(VLOOKUP(E96,Scoring!$A$4:$N$51,14,FALSE())*2,"-")</f>
        <v>70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5.5</v>
      </c>
      <c r="R96" s="36">
        <f t="shared" si="6"/>
        <v>537.5</v>
      </c>
      <c r="S96">
        <f t="shared" si="7"/>
        <v>31</v>
      </c>
      <c r="T96">
        <f t="shared" si="8"/>
        <v>537.49990400000002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222</v>
      </c>
      <c r="K97" s="28">
        <f>IFERROR(VLOOKUP(C97,Scoring!$A$4:$N$51,14,FALSE())*4,"-")</f>
        <v>68</v>
      </c>
      <c r="L97" s="28">
        <f>IFERROR(VLOOKUP(D97,Scoring!$A$4:$N$51,14,FALSE())*3,"-")</f>
        <v>105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8</v>
      </c>
      <c r="R97" s="36">
        <f t="shared" si="6"/>
        <v>463</v>
      </c>
      <c r="S97">
        <f t="shared" si="7"/>
        <v>70</v>
      </c>
      <c r="T97">
        <f t="shared" si="8"/>
        <v>462.99990300000002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210</v>
      </c>
      <c r="K98" s="28">
        <f>IFERROR(VLOOKUP(C98,Scoring!$A$4:$N$51,14,FALSE())*4,"-")</f>
        <v>140</v>
      </c>
      <c r="L98" s="28">
        <f>IFERROR(VLOOKUP(D98,Scoring!$A$4:$N$51,14,FALSE())*3,"-")</f>
        <v>111</v>
      </c>
      <c r="M98" s="28">
        <f>IFERROR(VLOOKUP(E98,Scoring!$A$4:$N$51,14,FALSE())*2,"-")</f>
        <v>74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5.5</v>
      </c>
      <c r="R98" s="36">
        <f t="shared" si="6"/>
        <v>589.5</v>
      </c>
      <c r="S98">
        <f t="shared" si="7"/>
        <v>6</v>
      </c>
      <c r="T98">
        <f t="shared" si="8"/>
        <v>589.49990200000002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222</v>
      </c>
      <c r="K99" s="28">
        <f>IFERROR(VLOOKUP(C99,Scoring!$A$4:$N$51,14,FALSE())*4,"-")</f>
        <v>68</v>
      </c>
      <c r="L99" s="28">
        <f>IFERROR(VLOOKUP(D99,Scoring!$A$4:$N$51,14,FALSE())*3,"-")</f>
        <v>105</v>
      </c>
      <c r="M99" s="28">
        <f>IFERROR(VLOOKUP(E99,Scoring!$A$4:$N$51,14,FALSE())*2,"-")</f>
        <v>74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500</v>
      </c>
      <c r="S99">
        <f t="shared" si="7"/>
        <v>55</v>
      </c>
      <c r="T99">
        <f t="shared" si="8"/>
        <v>499.99990100000002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210</v>
      </c>
      <c r="K100" s="28">
        <f>IFERROR(VLOOKUP(C100,Scoring!$A$4:$N$51,14,FALSE())*4,"-")</f>
        <v>68</v>
      </c>
      <c r="L100" s="28">
        <f>IFERROR(VLOOKUP(D100,Scoring!$A$4:$N$51,14,FALSE())*3,"-")</f>
        <v>111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5.5</v>
      </c>
      <c r="R100" s="36">
        <f t="shared" ref="R100:R119" si="9">IF(A100="","-",SUM(J100:Q100))</f>
        <v>448.5</v>
      </c>
      <c r="S100">
        <f t="shared" ref="S100:S119" si="10">IF(A100="","",RANK(R100,$R$4:$R$119))</f>
        <v>79</v>
      </c>
      <c r="T100">
        <f t="shared" ref="T100:T119" si="11">IF(A100="",-1,R100-ROW(R100)/1000000)</f>
        <v>448.49990000000003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222</v>
      </c>
      <c r="K101" s="28">
        <f>IFERROR(VLOOKUP(C101,Scoring!$A$4:$N$51,14,FALSE())*4,"-")</f>
        <v>140</v>
      </c>
      <c r="L101" s="28">
        <f>IFERROR(VLOOKUP(D101,Scoring!$A$4:$N$51,14,FALSE())*3,"-")</f>
        <v>51</v>
      </c>
      <c r="M101" s="28">
        <f>IFERROR(VLOOKUP(E101,Scoring!$A$4:$N$51,14,FALSE())*2,"-")</f>
        <v>74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6.5</v>
      </c>
      <c r="R101" s="36">
        <f t="shared" si="9"/>
        <v>519.5</v>
      </c>
      <c r="S101">
        <f t="shared" si="10"/>
        <v>43</v>
      </c>
      <c r="T101">
        <f t="shared" si="11"/>
        <v>519.49989900000003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210</v>
      </c>
      <c r="K102" s="28">
        <f>IFERROR(VLOOKUP(C102,Scoring!$A$4:$N$51,14,FALSE())*4,"-")</f>
        <v>148</v>
      </c>
      <c r="L102" s="28">
        <f>IFERROR(VLOOKUP(D102,Scoring!$A$4:$N$51,14,FALSE())*3,"-")</f>
        <v>105</v>
      </c>
      <c r="M102" s="28">
        <f>IFERROR(VLOOKUP(E102,Scoring!$A$4:$N$51,14,FALSE())*2,"-")</f>
        <v>74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5.5</v>
      </c>
      <c r="R102" s="36">
        <f t="shared" si="9"/>
        <v>593.5</v>
      </c>
      <c r="S102">
        <f t="shared" si="10"/>
        <v>3</v>
      </c>
      <c r="T102">
        <f t="shared" si="11"/>
        <v>593.49989800000003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140</v>
      </c>
      <c r="L103" s="28">
        <f>IFERROR(VLOOKUP(D103,Scoring!$A$4:$N$51,14,FALSE())*3,"-")</f>
        <v>105</v>
      </c>
      <c r="M103" s="28">
        <f>IFERROR(VLOOKUP(E103,Scoring!$A$4:$N$51,14,FALSE())*2,"-")</f>
        <v>74</v>
      </c>
      <c r="N103" s="28">
        <f>IFERROR(VLOOKUP(F103,Scoring!$A$4:$N$51,14,FALSE()),"-")</f>
        <v>25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5.5</v>
      </c>
      <c r="R103" s="36">
        <f t="shared" si="9"/>
        <v>462.5</v>
      </c>
      <c r="S103">
        <f t="shared" si="10"/>
        <v>71</v>
      </c>
      <c r="T103">
        <f t="shared" si="11"/>
        <v>462.49989699999998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210</v>
      </c>
      <c r="K104" s="28">
        <f>IFERROR(VLOOKUP(C104,Scoring!$A$4:$N$51,14,FALSE())*4,"-")</f>
        <v>148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461</v>
      </c>
      <c r="S104">
        <f t="shared" si="10"/>
        <v>73</v>
      </c>
      <c r="T104">
        <f t="shared" si="11"/>
        <v>460.99989599999998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222</v>
      </c>
      <c r="K105" s="28">
        <f>IFERROR(VLOOKUP(C105,Scoring!$A$4:$N$51,14,FALSE())*4,"-")</f>
        <v>140</v>
      </c>
      <c r="L105" s="28">
        <f>IFERROR(VLOOKUP(D105,Scoring!$A$4:$N$51,14,FALSE())*3,"-")</f>
        <v>45</v>
      </c>
      <c r="M105" s="28">
        <f>IFERROR(VLOOKUP(E105,Scoring!$A$4:$N$51,14,FALSE())*2,"-")</f>
        <v>74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8</v>
      </c>
      <c r="R105" s="36">
        <f t="shared" si="9"/>
        <v>514</v>
      </c>
      <c r="S105">
        <f t="shared" si="10"/>
        <v>45</v>
      </c>
      <c r="T105">
        <f t="shared" si="11"/>
        <v>513.99989500000004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210</v>
      </c>
      <c r="K106" s="28">
        <f>IFERROR(VLOOKUP(C106,Scoring!$A$4:$N$51,14,FALSE())*4,"-")</f>
        <v>148</v>
      </c>
      <c r="L106" s="28">
        <f>IFERROR(VLOOKUP(D106,Scoring!$A$4:$N$51,14,FALSE())*3,"-")</f>
        <v>105</v>
      </c>
      <c r="M106" s="28">
        <f>IFERROR(VLOOKUP(E106,Scoring!$A$4:$N$51,14,FALSE())*2,"-")</f>
        <v>74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8</v>
      </c>
      <c r="R106" s="36">
        <f t="shared" si="9"/>
        <v>586</v>
      </c>
      <c r="S106">
        <f t="shared" si="10"/>
        <v>9</v>
      </c>
      <c r="T106">
        <f t="shared" si="11"/>
        <v>585.99989400000004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111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283.5</v>
      </c>
      <c r="S107">
        <f t="shared" si="10"/>
        <v>104</v>
      </c>
      <c r="T107">
        <f t="shared" si="11"/>
        <v>283.49989299999999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222</v>
      </c>
      <c r="K108" s="28">
        <f>IFERROR(VLOOKUP(C108,Scoring!$A$4:$N$51,14,FALSE())*4,"-")</f>
        <v>140</v>
      </c>
      <c r="L108" s="28">
        <f>IFERROR(VLOOKUP(D108,Scoring!$A$4:$N$51,14,FALSE())*3,"-")</f>
        <v>105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8</v>
      </c>
      <c r="R108" s="36">
        <f t="shared" si="9"/>
        <v>546</v>
      </c>
      <c r="S108">
        <f t="shared" si="10"/>
        <v>26</v>
      </c>
      <c r="T108">
        <f t="shared" si="11"/>
        <v>545.99989200000005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8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30</v>
      </c>
      <c r="N11" s="110">
        <f t="shared" si="1"/>
        <v>25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6.5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29.5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5.5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10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40.5</v>
      </c>
      <c r="N32" s="110">
        <f t="shared" si="1"/>
        <v>35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8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10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45</v>
      </c>
      <c r="N36" s="110">
        <f t="shared" si="1"/>
        <v>37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6.5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30.5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6.5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10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43.5</v>
      </c>
      <c r="N40" s="110">
        <f t="shared" si="1"/>
        <v>37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6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10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41</v>
      </c>
      <c r="N48" s="110">
        <f t="shared" si="1"/>
        <v>35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2026-07-12T03:51:17Z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