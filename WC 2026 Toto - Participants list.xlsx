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8BC1593F-6A03-491B-8234-D6FBC8C75377}" xr6:coauthVersionLast="47" xr6:coauthVersionMax="47" xr10:uidLastSave="{00000000-0000-0000-0000-000000000000}"/>
  <bookViews>
    <workbookView xWindow="-110" yWindow="-110" windowWidth="19420" windowHeight="11500" tabRatio="500" activeTab="2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AI44" i="1" s="1"/>
  <c r="AI41" i="1" s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S41" i="1"/>
  <c r="D41" i="1"/>
  <c r="C41" i="1"/>
  <c r="B41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AI40" i="1" s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AI43" i="1" s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K63" i="1"/>
  <c r="BK61" i="1"/>
  <c r="BK60" i="1"/>
  <c r="BH61" i="1"/>
  <c r="BH62" i="1"/>
  <c r="BH63" i="1"/>
  <c r="BH55" i="1"/>
  <c r="BK56" i="1"/>
  <c r="BH57" i="1"/>
  <c r="BK57" i="1"/>
  <c r="BK55" i="1"/>
  <c r="BK54" i="1"/>
  <c r="BK43" i="1"/>
  <c r="BK42" i="1"/>
  <c r="BK45" i="1"/>
  <c r="BH42" i="1"/>
  <c r="BH43" i="1"/>
  <c r="BH45" i="1"/>
  <c r="BH48" i="1"/>
  <c r="BK49" i="1"/>
  <c r="BM49" i="1" s="1" a="1"/>
  <c r="BH49" i="1"/>
  <c r="BK51" i="1"/>
  <c r="BK48" i="1"/>
  <c r="BM48" i="1" a="1"/>
  <c r="BM50" i="1" a="1"/>
  <c r="BM51" i="1" a="1"/>
  <c r="BH50" i="1"/>
  <c r="BH51" i="1"/>
  <c r="BH38" i="1"/>
  <c r="BK38" i="1"/>
  <c r="BH39" i="1"/>
  <c r="BK36" i="1"/>
  <c r="BK37" i="1"/>
  <c r="BK39" i="1"/>
  <c r="BK31" i="1"/>
  <c r="BM33" i="1" s="1" a="1"/>
  <c r="BH37" i="1"/>
  <c r="BM39" i="1" a="1"/>
  <c r="BH36" i="1"/>
  <c r="BK30" i="1"/>
  <c r="BK32" i="1"/>
  <c r="BK33" i="1"/>
  <c r="BH30" i="1"/>
  <c r="BH31" i="1"/>
  <c r="BH33" i="1"/>
  <c r="BH20" i="1"/>
  <c r="BH19" i="1"/>
  <c r="BK18" i="1"/>
  <c r="BH18" i="1"/>
  <c r="BK21" i="1"/>
  <c r="BK20" i="1"/>
  <c r="BK19" i="1"/>
  <c r="BH27" i="1"/>
  <c r="BH7" i="1"/>
  <c r="K115" i="2"/>
  <c r="L115" i="2"/>
  <c r="BK7" i="1"/>
  <c r="BK6" i="1"/>
  <c r="BK8" i="1"/>
  <c r="BK9" i="1"/>
  <c r="BN9" i="1" s="1" a="1"/>
  <c r="BH6" i="1"/>
  <c r="BH8" i="1"/>
  <c r="BH9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M21" i="1" s="1"/>
  <c r="BK24" i="1"/>
  <c r="BH24" i="1"/>
  <c r="BK14" i="1"/>
  <c r="BH14" i="1"/>
  <c r="BO60" i="1" a="1"/>
  <c r="BO60" i="1" s="1"/>
  <c r="BN60" i="1" a="1"/>
  <c r="BN60" i="1" s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N18" i="1" s="1"/>
  <c r="BM18" i="1" a="1"/>
  <c r="BM18" i="1" s="1"/>
  <c r="BO18" i="1" a="1"/>
  <c r="BO18" i="1" s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O61" i="1" s="1"/>
  <c r="BN61" i="1" a="1"/>
  <c r="BN61" i="1" s="1"/>
  <c r="BM61" i="1" a="1"/>
  <c r="BM61" i="1" s="1"/>
  <c r="BK68" i="1"/>
  <c r="BM37" i="1" a="1"/>
  <c r="BK69" i="1"/>
  <c r="BH69" i="1"/>
  <c r="BO36" i="1" a="1"/>
  <c r="BN37" i="1" a="1"/>
  <c r="BN56" i="1" a="1"/>
  <c r="BM56" i="1" a="1"/>
  <c r="BO56" i="1" a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39" i="1" l="1"/>
  <c r="BM36" i="1"/>
  <c r="BO37" i="1"/>
  <c r="BN37" i="1"/>
  <c r="BM38" i="1"/>
  <c r="BM43" i="1"/>
  <c r="BO45" i="1"/>
  <c r="BM45" i="1"/>
  <c r="BM72" i="1"/>
  <c r="BM73" i="1"/>
  <c r="BN75" i="1"/>
  <c r="BN72" i="1"/>
  <c r="BM75" i="1"/>
  <c r="BO75" i="1"/>
  <c r="BN73" i="1"/>
  <c r="BN57" i="1"/>
  <c r="BM56" i="1"/>
  <c r="BN56" i="1"/>
  <c r="BM55" i="1"/>
  <c r="BO54" i="1"/>
  <c r="BM54" i="1"/>
  <c r="BN55" i="1"/>
  <c r="BN50" i="1"/>
  <c r="BO48" i="1"/>
  <c r="BN49" i="1"/>
  <c r="BM48" i="1"/>
  <c r="BM49" i="1"/>
  <c r="BO51" i="1"/>
  <c r="BN51" i="1"/>
  <c r="BN48" i="1"/>
  <c r="BO49" i="1"/>
  <c r="BM51" i="1"/>
  <c r="BO50" i="1"/>
  <c r="BM50" i="1"/>
  <c r="BM39" i="1"/>
  <c r="BM37" i="1"/>
  <c r="BO38" i="1"/>
  <c r="BN31" i="1"/>
  <c r="BN30" i="1"/>
  <c r="BO32" i="1"/>
  <c r="BM31" i="1"/>
  <c r="BM32" i="1"/>
  <c r="BM33" i="1"/>
  <c r="BN32" i="1"/>
  <c r="BN38" i="1"/>
  <c r="BO36" i="1"/>
  <c r="BN36" i="1"/>
  <c r="BN39" i="1"/>
  <c r="BM8" i="1"/>
  <c r="BO8" i="1"/>
  <c r="BN7" i="1"/>
  <c r="BM7" i="1"/>
  <c r="BO7" i="1"/>
  <c r="BN6" i="1"/>
  <c r="BM9" i="1"/>
  <c r="BO9" i="1"/>
  <c r="BN8" i="1"/>
  <c r="BM6" i="1"/>
  <c r="BO6" i="1"/>
  <c r="BN9" i="1"/>
  <c r="BO73" i="1"/>
  <c r="BO72" i="1"/>
  <c r="BN74" i="1"/>
  <c r="BO74" i="1"/>
  <c r="BM74" i="1"/>
  <c r="BM60" i="1"/>
  <c r="BL61" i="1" s="1"/>
  <c r="BN54" i="1"/>
  <c r="BO57" i="1"/>
  <c r="BM57" i="1"/>
  <c r="BO56" i="1"/>
  <c r="BO55" i="1"/>
  <c r="BN33" i="1"/>
  <c r="BO31" i="1"/>
  <c r="BM30" i="1"/>
  <c r="BO30" i="1"/>
  <c r="BL18" i="1"/>
  <c r="BL20" i="1"/>
  <c r="BL19" i="1"/>
  <c r="BL21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N19" i="1" l="1"/>
  <c r="BL33" i="1"/>
  <c r="BL75" i="1"/>
  <c r="BL74" i="1"/>
  <c r="BL55" i="1"/>
  <c r="BL54" i="1"/>
  <c r="O55" i="1" s="1"/>
  <c r="BL56" i="1"/>
  <c r="BL57" i="1"/>
  <c r="BL63" i="1"/>
  <c r="BL60" i="1"/>
  <c r="M61" i="1" s="1"/>
  <c r="BL50" i="1"/>
  <c r="N50" i="1" s="1"/>
  <c r="BL51" i="1"/>
  <c r="BL49" i="1"/>
  <c r="BL48" i="1"/>
  <c r="BL38" i="1"/>
  <c r="BL37" i="1"/>
  <c r="BL36" i="1"/>
  <c r="BL32" i="1"/>
  <c r="BL31" i="1"/>
  <c r="BL30" i="1"/>
  <c r="P34" i="1" s="1"/>
  <c r="BL39" i="1"/>
  <c r="N22" i="1"/>
  <c r="N20" i="1"/>
  <c r="M19" i="1"/>
  <c r="BL9" i="1"/>
  <c r="AS81" i="1" s="1"/>
  <c r="BL6" i="1"/>
  <c r="O7" i="1" s="1"/>
  <c r="BL7" i="1"/>
  <c r="BL8" i="1"/>
  <c r="N8" i="1" s="1"/>
  <c r="BL73" i="1"/>
  <c r="BL72" i="1"/>
  <c r="P74" i="1" s="1"/>
  <c r="BL62" i="1"/>
  <c r="BL44" i="1"/>
  <c r="L19" i="1"/>
  <c r="O19" i="1"/>
  <c r="P19" i="1"/>
  <c r="AR83" i="1"/>
  <c r="K19" i="1"/>
  <c r="AS83" i="1"/>
  <c r="AP83" i="1"/>
  <c r="L20" i="1"/>
  <c r="AO83" i="1"/>
  <c r="O22" i="1"/>
  <c r="Q19" i="1"/>
  <c r="K22" i="1"/>
  <c r="O20" i="1"/>
  <c r="K20" i="1"/>
  <c r="Q22" i="1"/>
  <c r="L22" i="1"/>
  <c r="BU83" i="1"/>
  <c r="AQ83" i="1"/>
  <c r="L21" i="1"/>
  <c r="O21" i="1"/>
  <c r="M22" i="1"/>
  <c r="P22" i="1"/>
  <c r="Q20" i="1"/>
  <c r="M20" i="1"/>
  <c r="P20" i="1"/>
  <c r="Q21" i="1"/>
  <c r="M21" i="1"/>
  <c r="P21" i="1"/>
  <c r="K21" i="1"/>
  <c r="N21" i="1"/>
  <c r="BL25" i="1"/>
  <c r="BL26" i="1"/>
  <c r="BL27" i="1"/>
  <c r="BL14" i="1"/>
  <c r="BL15" i="1"/>
  <c r="BL13" i="1"/>
  <c r="L7" i="1"/>
  <c r="N7" i="1"/>
  <c r="BL68" i="1"/>
  <c r="BL67" i="1"/>
  <c r="BL24" i="1"/>
  <c r="BL66" i="1"/>
  <c r="AP81" i="1"/>
  <c r="P8" i="1"/>
  <c r="BL12" i="1"/>
  <c r="BL69" i="1"/>
  <c r="P9" i="1"/>
  <c r="L8" i="1"/>
  <c r="N76" i="1"/>
  <c r="BL45" i="1"/>
  <c r="BL43" i="1"/>
  <c r="BL42" i="1"/>
  <c r="N9" i="1"/>
  <c r="L9" i="1"/>
  <c r="K76" i="1"/>
  <c r="O9" i="1"/>
  <c r="Q8" i="1"/>
  <c r="Q9" i="1"/>
  <c r="BU81" i="1"/>
  <c r="M8" i="1"/>
  <c r="L76" i="1"/>
  <c r="Q76" i="1" l="1"/>
  <c r="M62" i="1"/>
  <c r="N61" i="1"/>
  <c r="O63" i="1"/>
  <c r="O61" i="1"/>
  <c r="K61" i="1"/>
  <c r="O64" i="1"/>
  <c r="N62" i="1"/>
  <c r="K63" i="1"/>
  <c r="K64" i="1"/>
  <c r="L61" i="1"/>
  <c r="P64" i="1"/>
  <c r="AP90" i="1"/>
  <c r="L62" i="1"/>
  <c r="Q61" i="1"/>
  <c r="AO90" i="1"/>
  <c r="L64" i="1"/>
  <c r="Q64" i="1"/>
  <c r="P61" i="1"/>
  <c r="AP89" i="1"/>
  <c r="K56" i="1"/>
  <c r="AQ89" i="1"/>
  <c r="Q58" i="1"/>
  <c r="N58" i="1"/>
  <c r="L56" i="1"/>
  <c r="Q57" i="1"/>
  <c r="AS89" i="1"/>
  <c r="O56" i="1"/>
  <c r="N56" i="1"/>
  <c r="L58" i="1"/>
  <c r="K57" i="1"/>
  <c r="AR89" i="1"/>
  <c r="P56" i="1"/>
  <c r="M58" i="1"/>
  <c r="L57" i="1"/>
  <c r="K50" i="1"/>
  <c r="AQ88" i="1"/>
  <c r="K10" i="1"/>
  <c r="L10" i="1"/>
  <c r="K8" i="1"/>
  <c r="P10" i="1"/>
  <c r="N10" i="1"/>
  <c r="O10" i="1"/>
  <c r="M10" i="1"/>
  <c r="Q10" i="1"/>
  <c r="O8" i="1"/>
  <c r="AR81" i="1"/>
  <c r="M9" i="1"/>
  <c r="AQ81" i="1"/>
  <c r="AO81" i="1"/>
  <c r="K7" i="1"/>
  <c r="P7" i="1"/>
  <c r="K9" i="1"/>
  <c r="P76" i="1"/>
  <c r="O74" i="1"/>
  <c r="N74" i="1"/>
  <c r="Q74" i="1"/>
  <c r="M74" i="1"/>
  <c r="BU92" i="1"/>
  <c r="N75" i="1"/>
  <c r="O73" i="1"/>
  <c r="O75" i="1"/>
  <c r="K75" i="1"/>
  <c r="K73" i="1"/>
  <c r="M73" i="1"/>
  <c r="AO92" i="1"/>
  <c r="S33" i="1" s="1"/>
  <c r="P73" i="1"/>
  <c r="L74" i="1"/>
  <c r="AP92" i="1"/>
  <c r="S46" i="1" s="1"/>
  <c r="Q73" i="1"/>
  <c r="M76" i="1"/>
  <c r="L73" i="1"/>
  <c r="N73" i="1"/>
  <c r="P75" i="1"/>
  <c r="AQ92" i="1"/>
  <c r="L75" i="1"/>
  <c r="Q75" i="1"/>
  <c r="M64" i="1"/>
  <c r="N64" i="1"/>
  <c r="L63" i="1"/>
  <c r="Q55" i="1"/>
  <c r="P58" i="1"/>
  <c r="AO89" i="1"/>
  <c r="P55" i="1"/>
  <c r="P57" i="1"/>
  <c r="O58" i="1"/>
  <c r="BU89" i="1"/>
  <c r="N57" i="1"/>
  <c r="N55" i="1"/>
  <c r="M57" i="1"/>
  <c r="L55" i="1"/>
  <c r="K58" i="1"/>
  <c r="M55" i="1"/>
  <c r="O57" i="1"/>
  <c r="K55" i="1"/>
  <c r="M56" i="1"/>
  <c r="Q56" i="1"/>
  <c r="AR90" i="1"/>
  <c r="N63" i="1"/>
  <c r="K62" i="1"/>
  <c r="Q62" i="1"/>
  <c r="Q63" i="1"/>
  <c r="O62" i="1"/>
  <c r="BU90" i="1"/>
  <c r="AQ90" i="1"/>
  <c r="AS90" i="1"/>
  <c r="M63" i="1"/>
  <c r="P62" i="1"/>
  <c r="P63" i="1"/>
  <c r="K49" i="1"/>
  <c r="AS88" i="1"/>
  <c r="O51" i="1"/>
  <c r="BU88" i="1"/>
  <c r="Q52" i="1"/>
  <c r="P49" i="1"/>
  <c r="Q50" i="1"/>
  <c r="Q49" i="1"/>
  <c r="L49" i="1"/>
  <c r="K51" i="1"/>
  <c r="O50" i="1"/>
  <c r="N49" i="1"/>
  <c r="K52" i="1"/>
  <c r="M49" i="1"/>
  <c r="L51" i="1"/>
  <c r="O49" i="1"/>
  <c r="Q51" i="1"/>
  <c r="N52" i="1"/>
  <c r="AP88" i="1"/>
  <c r="P52" i="1"/>
  <c r="AR88" i="1"/>
  <c r="M50" i="1"/>
  <c r="O52" i="1"/>
  <c r="L52" i="1"/>
  <c r="L50" i="1"/>
  <c r="M52" i="1"/>
  <c r="P50" i="1"/>
  <c r="AO88" i="1"/>
  <c r="P51" i="1"/>
  <c r="N51" i="1"/>
  <c r="M51" i="1"/>
  <c r="AQ86" i="1"/>
  <c r="AR86" i="1"/>
  <c r="Q38" i="1"/>
  <c r="AO86" i="1"/>
  <c r="O40" i="1"/>
  <c r="L40" i="1"/>
  <c r="P40" i="1"/>
  <c r="M37" i="1"/>
  <c r="Q40" i="1"/>
  <c r="M38" i="1"/>
  <c r="L37" i="1"/>
  <c r="L38" i="1"/>
  <c r="L39" i="1"/>
  <c r="O37" i="1"/>
  <c r="AS86" i="1"/>
  <c r="M39" i="1"/>
  <c r="K40" i="1"/>
  <c r="AP86" i="1"/>
  <c r="P39" i="1"/>
  <c r="Q39" i="1"/>
  <c r="P37" i="1"/>
  <c r="BU86" i="1"/>
  <c r="M40" i="1"/>
  <c r="O39" i="1"/>
  <c r="Q37" i="1"/>
  <c r="K37" i="1"/>
  <c r="N37" i="1"/>
  <c r="N38" i="1"/>
  <c r="O38" i="1"/>
  <c r="K38" i="1"/>
  <c r="P38" i="1"/>
  <c r="K39" i="1"/>
  <c r="N39" i="1"/>
  <c r="N40" i="1"/>
  <c r="K31" i="1"/>
  <c r="O33" i="1"/>
  <c r="O32" i="1"/>
  <c r="BU85" i="1"/>
  <c r="M33" i="1"/>
  <c r="K33" i="1"/>
  <c r="K34" i="1"/>
  <c r="AS85" i="1"/>
  <c r="AQ85" i="1"/>
  <c r="Q31" i="1"/>
  <c r="L34" i="1"/>
  <c r="M32" i="1"/>
  <c r="M31" i="1"/>
  <c r="Q33" i="1"/>
  <c r="L32" i="1"/>
  <c r="N33" i="1"/>
  <c r="N34" i="1"/>
  <c r="AR85" i="1"/>
  <c r="L33" i="1"/>
  <c r="K32" i="1"/>
  <c r="N32" i="1"/>
  <c r="P33" i="1"/>
  <c r="N31" i="1"/>
  <c r="AP85" i="1"/>
  <c r="Q34" i="1"/>
  <c r="O31" i="1"/>
  <c r="AO85" i="1"/>
  <c r="O34" i="1"/>
  <c r="M34" i="1"/>
  <c r="L31" i="1"/>
  <c r="P31" i="1"/>
  <c r="Q32" i="1"/>
  <c r="P32" i="1"/>
  <c r="Q7" i="1"/>
  <c r="M7" i="1"/>
  <c r="K74" i="1"/>
  <c r="M75" i="1"/>
  <c r="AS92" i="1"/>
  <c r="AR92" i="1"/>
  <c r="O76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42" i="6" l="1"/>
  <c r="F48" i="6" a="1"/>
  <c r="F48" i="6" s="1"/>
  <c r="F35" i="6" a="1"/>
  <c r="F35" i="6" s="1"/>
  <c r="F22" i="6" a="1"/>
  <c r="F22" i="6" s="1"/>
  <c r="F9" i="6" a="1"/>
  <c r="F9" i="6" s="1"/>
  <c r="G40" i="6"/>
  <c r="G27" i="6"/>
  <c r="G48" i="6"/>
  <c r="G4" i="6"/>
  <c r="F10" i="6" a="1"/>
  <c r="F10" i="6" s="1"/>
  <c r="M10" i="6" s="1"/>
  <c r="N10" i="6" s="1"/>
  <c r="F51" i="6" a="1"/>
  <c r="F51" i="6" s="1"/>
  <c r="M51" i="6" s="1"/>
  <c r="N51" i="6" s="1"/>
  <c r="G45" i="6"/>
  <c r="G32" i="6"/>
  <c r="G19" i="6"/>
  <c r="F46" i="6" a="1"/>
  <c r="F46" i="6" s="1"/>
  <c r="F33" i="6" a="1"/>
  <c r="F33" i="6" s="1"/>
  <c r="F20" i="6" a="1"/>
  <c r="F20" i="6" s="1"/>
  <c r="F41" i="6" a="1"/>
  <c r="F41" i="6" s="1"/>
  <c r="F34" i="6" a="1"/>
  <c r="F34" i="6" s="1"/>
  <c r="F31" i="6" a="1"/>
  <c r="F31" i="6" s="1"/>
  <c r="G11" i="6"/>
  <c r="F38" i="6" a="1"/>
  <c r="F38" i="6" s="1"/>
  <c r="M38" i="6" s="1"/>
  <c r="N38" i="6" s="1"/>
  <c r="P107" i="3" s="1"/>
  <c r="F25" i="6" a="1"/>
  <c r="F25" i="6" s="1"/>
  <c r="M25" i="6" s="1"/>
  <c r="N25" i="6" s="1"/>
  <c r="F12" i="6" a="1"/>
  <c r="F12" i="6" s="1"/>
  <c r="G43" i="6"/>
  <c r="G30" i="6"/>
  <c r="G17" i="6"/>
  <c r="G38" i="6"/>
  <c r="G31" i="6"/>
  <c r="G22" i="6"/>
  <c r="G9" i="6"/>
  <c r="F36" i="6" a="1"/>
  <c r="F36" i="6" s="1"/>
  <c r="F23" i="6" a="1"/>
  <c r="F23" i="6" s="1"/>
  <c r="F17" i="6" a="1"/>
  <c r="F17" i="6" s="1"/>
  <c r="M17" i="6" s="1"/>
  <c r="N17" i="6" s="1"/>
  <c r="O14" i="3" s="1"/>
  <c r="F43" i="6" a="1"/>
  <c r="F43" i="6" s="1"/>
  <c r="M43" i="6" s="1"/>
  <c r="N43" i="6" s="1"/>
  <c r="P47" i="3" s="1"/>
  <c r="G35" i="6"/>
  <c r="F28" i="6" a="1"/>
  <c r="F28" i="6" s="1"/>
  <c r="F15" i="6" a="1"/>
  <c r="F15" i="6" s="1"/>
  <c r="F49" i="6" a="1"/>
  <c r="F49" i="6" s="1"/>
  <c r="G33" i="6"/>
  <c r="G20" i="6"/>
  <c r="G7" i="6"/>
  <c r="G28" i="6"/>
  <c r="G24" i="6"/>
  <c r="G21" i="6"/>
  <c r="G49" i="6"/>
  <c r="F50" i="6" a="1"/>
  <c r="F50" i="6" s="1"/>
  <c r="M50" i="6" s="1"/>
  <c r="N50" i="6" s="1"/>
  <c r="F30" i="6" a="1"/>
  <c r="F30" i="6" s="1"/>
  <c r="M30" i="6" s="1"/>
  <c r="N30" i="6" s="1"/>
  <c r="N20" i="3" s="1"/>
  <c r="G25" i="6"/>
  <c r="G12" i="6"/>
  <c r="G46" i="6"/>
  <c r="F26" i="6" a="1"/>
  <c r="F26" i="6" s="1"/>
  <c r="F13" i="6" a="1"/>
  <c r="F13" i="6" s="1"/>
  <c r="F47" i="6" a="1"/>
  <c r="F47" i="6" s="1"/>
  <c r="F21" i="6" a="1"/>
  <c r="F21" i="6" s="1"/>
  <c r="M21" i="6" s="1"/>
  <c r="N21" i="6" s="1"/>
  <c r="F16" i="6" a="1"/>
  <c r="F16" i="6" s="1"/>
  <c r="F11" i="6" a="1"/>
  <c r="F11" i="6" s="1"/>
  <c r="M11" i="6" s="1"/>
  <c r="N11" i="6" s="1"/>
  <c r="G16" i="6"/>
  <c r="G6" i="6"/>
  <c r="F18" i="6" a="1"/>
  <c r="F18" i="6" s="1"/>
  <c r="M18" i="6" s="1"/>
  <c r="N18" i="6" s="1"/>
  <c r="F5" i="6" a="1"/>
  <c r="F5" i="6" s="1"/>
  <c r="F39" i="6" a="1"/>
  <c r="F39" i="6" s="1"/>
  <c r="G23" i="6"/>
  <c r="G10" i="6"/>
  <c r="G44" i="6"/>
  <c r="G18" i="6"/>
  <c r="F24" i="6" a="1"/>
  <c r="F24" i="6" s="1"/>
  <c r="G36" i="6"/>
  <c r="F37" i="6" a="1"/>
  <c r="F37" i="6" s="1"/>
  <c r="F27" i="6" a="1"/>
  <c r="F27" i="6" s="1"/>
  <c r="M27" i="6" s="1"/>
  <c r="N27" i="6" s="1"/>
  <c r="G29" i="6"/>
  <c r="G15" i="6"/>
  <c r="F8" i="6" a="1"/>
  <c r="F8" i="6" s="1"/>
  <c r="M8" i="6" s="1"/>
  <c r="N8" i="6" s="1"/>
  <c r="F42" i="6" a="1"/>
  <c r="F42" i="6" s="1"/>
  <c r="M42" i="6" s="1"/>
  <c r="N42" i="6" s="1"/>
  <c r="F29" i="6" a="1"/>
  <c r="F29" i="6" s="1"/>
  <c r="G13" i="6"/>
  <c r="G47" i="6"/>
  <c r="G51" i="6"/>
  <c r="G8" i="6"/>
  <c r="F7" i="6" a="1"/>
  <c r="F7" i="6" s="1"/>
  <c r="M7" i="6" s="1"/>
  <c r="N7" i="6" s="1"/>
  <c r="F32" i="6" a="1"/>
  <c r="F32" i="6" s="1"/>
  <c r="G50" i="6"/>
  <c r="G37" i="6"/>
  <c r="G41" i="6"/>
  <c r="F14" i="6" a="1"/>
  <c r="F14" i="6" s="1"/>
  <c r="M14" i="6" s="1"/>
  <c r="N14" i="6" s="1"/>
  <c r="G5" i="6"/>
  <c r="G39" i="6"/>
  <c r="G26" i="6"/>
  <c r="F6" i="6" a="1"/>
  <c r="F6" i="6" s="1"/>
  <c r="F40" i="6" a="1"/>
  <c r="F40" i="6" s="1"/>
  <c r="F44" i="6" a="1"/>
  <c r="F44" i="6" s="1"/>
  <c r="G34" i="6"/>
  <c r="G14" i="6"/>
  <c r="F45" i="6" a="1"/>
  <c r="F45" i="6" s="1"/>
  <c r="M45" i="6" s="1"/>
  <c r="N45" i="6" s="1"/>
  <c r="F19" i="6" a="1"/>
  <c r="F19" i="6" s="1"/>
  <c r="M19" i="6" s="1"/>
  <c r="N19" i="6" s="1"/>
  <c r="F4" i="6" a="1"/>
  <c r="F4" i="6" s="1"/>
  <c r="M4" i="6" s="1"/>
  <c r="N4" i="6" s="1"/>
  <c r="P34" i="3" l="1"/>
  <c r="P69" i="3"/>
  <c r="P54" i="3"/>
  <c r="P106" i="3"/>
  <c r="P32" i="3"/>
  <c r="P61" i="3"/>
  <c r="P22" i="3"/>
  <c r="P76" i="3"/>
  <c r="P29" i="3"/>
  <c r="P57" i="3"/>
  <c r="P95" i="3"/>
  <c r="P28" i="3"/>
  <c r="P50" i="3"/>
  <c r="P103" i="3"/>
  <c r="P79" i="3"/>
  <c r="P58" i="3"/>
  <c r="P64" i="3"/>
  <c r="P9" i="3"/>
  <c r="P41" i="3"/>
  <c r="P5" i="3"/>
  <c r="P39" i="3"/>
  <c r="P19" i="3"/>
  <c r="P37" i="3"/>
  <c r="P24" i="3"/>
  <c r="P4" i="3"/>
  <c r="P91" i="3"/>
  <c r="P63" i="3"/>
  <c r="P87" i="3"/>
  <c r="P104" i="3"/>
  <c r="P84" i="3"/>
  <c r="M37" i="6"/>
  <c r="N37" i="6" s="1"/>
  <c r="N32" i="3"/>
  <c r="N30" i="3"/>
  <c r="N41" i="3"/>
  <c r="N34" i="3"/>
  <c r="N39" i="3"/>
  <c r="N74" i="3"/>
  <c r="N35" i="3"/>
  <c r="N78" i="3"/>
  <c r="N80" i="3"/>
  <c r="N57" i="3"/>
  <c r="N103" i="3"/>
  <c r="N13" i="3"/>
  <c r="N21" i="3"/>
  <c r="M23" i="6"/>
  <c r="N23" i="6" s="1"/>
  <c r="Q51" i="3"/>
  <c r="Q104" i="3"/>
  <c r="Q50" i="3"/>
  <c r="Q53" i="3"/>
  <c r="Q94" i="3"/>
  <c r="Q47" i="3"/>
  <c r="Q60" i="3"/>
  <c r="Q62" i="3"/>
  <c r="Q7" i="3"/>
  <c r="Q88" i="3"/>
  <c r="Q99" i="3"/>
  <c r="Q66" i="3"/>
  <c r="Q30" i="3"/>
  <c r="Q11" i="3"/>
  <c r="Q37" i="3"/>
  <c r="Q68" i="3"/>
  <c r="Q38" i="3"/>
  <c r="M12" i="6"/>
  <c r="N12" i="6" s="1"/>
  <c r="M16" i="6"/>
  <c r="N16" i="6" s="1"/>
  <c r="Q27" i="3"/>
  <c r="Q57" i="3"/>
  <c r="Q81" i="3"/>
  <c r="Q108" i="3"/>
  <c r="Q5" i="3"/>
  <c r="Q63" i="3"/>
  <c r="Q79" i="3"/>
  <c r="Q12" i="3"/>
  <c r="Q105" i="3"/>
  <c r="Q43" i="3"/>
  <c r="Q87" i="3"/>
  <c r="Q6" i="3"/>
  <c r="M36" i="6"/>
  <c r="N36" i="6" s="1"/>
  <c r="Q65" i="3"/>
  <c r="Q41" i="3"/>
  <c r="Q55" i="3"/>
  <c r="Q97" i="3"/>
  <c r="Q90" i="3"/>
  <c r="Q70" i="3"/>
  <c r="Q24" i="3"/>
  <c r="Q64" i="3"/>
  <c r="Q76" i="3"/>
  <c r="Q92" i="3"/>
  <c r="Q73" i="3"/>
  <c r="Q106" i="3"/>
  <c r="M31" i="6"/>
  <c r="N31" i="6" s="1"/>
  <c r="Q83" i="3"/>
  <c r="M44" i="6"/>
  <c r="N44" i="6" s="1"/>
  <c r="Q31" i="3"/>
  <c r="Q54" i="3"/>
  <c r="Q14" i="3"/>
  <c r="M24" i="6"/>
  <c r="N24" i="6" s="1"/>
  <c r="Q29" i="3"/>
  <c r="M34" i="6"/>
  <c r="N34" i="6" s="1"/>
  <c r="O32" i="3"/>
  <c r="O29" i="3"/>
  <c r="O12" i="3"/>
  <c r="O85" i="3"/>
  <c r="O86" i="3"/>
  <c r="M40" i="6"/>
  <c r="N40" i="6" s="1"/>
  <c r="Q101" i="3"/>
  <c r="Q17" i="3"/>
  <c r="Q8" i="3"/>
  <c r="M47" i="6"/>
  <c r="N47" i="6" s="1"/>
  <c r="M41" i="6"/>
  <c r="N41" i="6" s="1"/>
  <c r="O38" i="3" s="1"/>
  <c r="O84" i="3"/>
  <c r="O52" i="3"/>
  <c r="O33" i="3"/>
  <c r="O55" i="3"/>
  <c r="P75" i="3"/>
  <c r="P35" i="3"/>
  <c r="P33" i="3"/>
  <c r="P38" i="3"/>
  <c r="P55" i="3"/>
  <c r="P81" i="3"/>
  <c r="P71" i="3"/>
  <c r="M6" i="6"/>
  <c r="N6" i="6" s="1"/>
  <c r="M13" i="6"/>
  <c r="N13" i="6" s="1"/>
  <c r="M20" i="6"/>
  <c r="N20" i="6" s="1"/>
  <c r="Q25" i="3"/>
  <c r="Q36" i="3"/>
  <c r="Q49" i="3"/>
  <c r="Q107" i="3"/>
  <c r="Q33" i="3"/>
  <c r="Q40" i="3"/>
  <c r="M9" i="6"/>
  <c r="N9" i="6" s="1"/>
  <c r="N61" i="3"/>
  <c r="N45" i="3"/>
  <c r="N88" i="3"/>
  <c r="N83" i="3"/>
  <c r="N85" i="3"/>
  <c r="N75" i="3"/>
  <c r="N89" i="3"/>
  <c r="K107" i="3"/>
  <c r="N101" i="3"/>
  <c r="N40" i="3"/>
  <c r="N15" i="3"/>
  <c r="N12" i="3"/>
  <c r="N99" i="3"/>
  <c r="Q84" i="3"/>
  <c r="Q18" i="3"/>
  <c r="Q48" i="3"/>
  <c r="Q98" i="3"/>
  <c r="Q15" i="3"/>
  <c r="Q103" i="3"/>
  <c r="Q16" i="3"/>
  <c r="Q46" i="3"/>
  <c r="Q10" i="3"/>
  <c r="Q20" i="3"/>
  <c r="Q52" i="3"/>
  <c r="Q93" i="3"/>
  <c r="Q4" i="3"/>
  <c r="Q69" i="3"/>
  <c r="Q86" i="3"/>
  <c r="Q78" i="3"/>
  <c r="Q58" i="3"/>
  <c r="Q102" i="3"/>
  <c r="Q59" i="3"/>
  <c r="Q100" i="3"/>
  <c r="Q71" i="3"/>
  <c r="M32" i="6"/>
  <c r="N32" i="6" s="1"/>
  <c r="Q39" i="3"/>
  <c r="Q72" i="3"/>
  <c r="Q34" i="3"/>
  <c r="Q80" i="3"/>
  <c r="Q9" i="3"/>
  <c r="Q91" i="3"/>
  <c r="Q32" i="3"/>
  <c r="Q61" i="3"/>
  <c r="Q85" i="3"/>
  <c r="Q44" i="3"/>
  <c r="Q75" i="3"/>
  <c r="Q21" i="3"/>
  <c r="Q42" i="3"/>
  <c r="Q96" i="3"/>
  <c r="Q35" i="3"/>
  <c r="Q19" i="3"/>
  <c r="Q67" i="3"/>
  <c r="Q28" i="3"/>
  <c r="Q56" i="3"/>
  <c r="Q95" i="3"/>
  <c r="Q23" i="3"/>
  <c r="Q26" i="3"/>
  <c r="Q89" i="3"/>
  <c r="Q22" i="3"/>
  <c r="Q77" i="3"/>
  <c r="M26" i="6"/>
  <c r="N26" i="6" s="1"/>
  <c r="M33" i="6"/>
  <c r="N33" i="6" s="1"/>
  <c r="M22" i="6"/>
  <c r="N22" i="6" s="1"/>
  <c r="N44" i="3"/>
  <c r="N43" i="3"/>
  <c r="N36" i="3"/>
  <c r="N68" i="3"/>
  <c r="N100" i="3"/>
  <c r="N38" i="3"/>
  <c r="N52" i="3"/>
  <c r="N59" i="3"/>
  <c r="N67" i="3"/>
  <c r="N7" i="3"/>
  <c r="N9" i="3"/>
  <c r="N27" i="3"/>
  <c r="N64" i="3"/>
  <c r="N29" i="3"/>
  <c r="M29" i="6"/>
  <c r="N29" i="6" s="1"/>
  <c r="M49" i="6"/>
  <c r="N49" i="6" s="1"/>
  <c r="M46" i="6"/>
  <c r="N46" i="6" s="1"/>
  <c r="M35" i="6"/>
  <c r="N35" i="6" s="1"/>
  <c r="N66" i="3"/>
  <c r="N82" i="3"/>
  <c r="M39" i="6"/>
  <c r="N39" i="6" s="1"/>
  <c r="M15" i="6"/>
  <c r="N15" i="6" s="1"/>
  <c r="Q82" i="3"/>
  <c r="Q13" i="3"/>
  <c r="Q45" i="3"/>
  <c r="M48" i="6"/>
  <c r="N48" i="6" s="1"/>
  <c r="Q74" i="3"/>
  <c r="N87" i="3"/>
  <c r="N31" i="3"/>
  <c r="N77" i="3"/>
  <c r="N93" i="3"/>
  <c r="N106" i="3"/>
  <c r="N73" i="3"/>
  <c r="N58" i="3"/>
  <c r="N76" i="3"/>
  <c r="N42" i="3"/>
  <c r="N19" i="3"/>
  <c r="N95" i="3"/>
  <c r="N102" i="3"/>
  <c r="N28" i="3"/>
  <c r="N94" i="3"/>
  <c r="N55" i="3"/>
  <c r="N37" i="3"/>
  <c r="N92" i="3"/>
  <c r="N51" i="3"/>
  <c r="L62" i="3"/>
  <c r="N69" i="3"/>
  <c r="N108" i="3"/>
  <c r="N22" i="3"/>
  <c r="N60" i="3"/>
  <c r="N33" i="3"/>
  <c r="N18" i="3"/>
  <c r="O76" i="3"/>
  <c r="O61" i="3"/>
  <c r="O77" i="3"/>
  <c r="O80" i="3"/>
  <c r="O16" i="3"/>
  <c r="O58" i="3"/>
  <c r="O106" i="3"/>
  <c r="O13" i="3"/>
  <c r="O26" i="3"/>
  <c r="O25" i="3"/>
  <c r="O79" i="3"/>
  <c r="O20" i="3"/>
  <c r="O82" i="3"/>
  <c r="O108" i="3"/>
  <c r="O87" i="3"/>
  <c r="O62" i="3"/>
  <c r="M5" i="6"/>
  <c r="N5" i="6" s="1"/>
  <c r="M28" i="6"/>
  <c r="N28" i="6" s="1"/>
  <c r="P66" i="3" l="1"/>
  <c r="P93" i="3"/>
  <c r="P90" i="3"/>
  <c r="M99" i="3"/>
  <c r="J70" i="3"/>
  <c r="M37" i="3"/>
  <c r="K12" i="3"/>
  <c r="K44" i="3"/>
  <c r="L90" i="3"/>
  <c r="K87" i="3"/>
  <c r="M34" i="3"/>
  <c r="L6" i="3"/>
  <c r="L31" i="3"/>
  <c r="M106" i="3"/>
  <c r="K35" i="3"/>
  <c r="M79" i="3"/>
  <c r="M71" i="3"/>
  <c r="L82" i="3"/>
  <c r="M42" i="3"/>
  <c r="M43" i="3"/>
  <c r="M23" i="3"/>
  <c r="M69" i="3"/>
  <c r="L58" i="3"/>
  <c r="M73" i="3"/>
  <c r="K32" i="3"/>
  <c r="L26" i="3"/>
  <c r="M49" i="3"/>
  <c r="K84" i="3"/>
  <c r="K102" i="3"/>
  <c r="M46" i="3"/>
  <c r="J101" i="3"/>
  <c r="K67" i="3"/>
  <c r="K86" i="3"/>
  <c r="K104" i="3"/>
  <c r="J16" i="3"/>
  <c r="M88" i="3"/>
  <c r="M18" i="3"/>
  <c r="L74" i="3"/>
  <c r="J95" i="3"/>
  <c r="L19" i="3"/>
  <c r="M72" i="3"/>
  <c r="M57" i="3"/>
  <c r="L39" i="3"/>
  <c r="L78" i="3"/>
  <c r="M56" i="3"/>
  <c r="L98" i="3"/>
  <c r="M28" i="3"/>
  <c r="M52" i="3"/>
  <c r="K77" i="3"/>
  <c r="L41" i="3"/>
  <c r="K4" i="3"/>
  <c r="L93" i="3"/>
  <c r="K9" i="3"/>
  <c r="L13" i="3"/>
  <c r="M105" i="3"/>
  <c r="M108" i="3"/>
  <c r="M7" i="3"/>
  <c r="M80" i="3"/>
  <c r="J10" i="3"/>
  <c r="M59" i="3"/>
  <c r="J61" i="3"/>
  <c r="M14" i="3"/>
  <c r="J47" i="3"/>
  <c r="K8" i="3"/>
  <c r="M100" i="3"/>
  <c r="M97" i="3"/>
  <c r="J103" i="3"/>
  <c r="M40" i="3"/>
  <c r="K29" i="3"/>
  <c r="M6" i="3"/>
  <c r="M77" i="3"/>
  <c r="M90" i="3"/>
  <c r="J33" i="3"/>
  <c r="K23" i="3"/>
  <c r="J79" i="3"/>
  <c r="M24" i="3"/>
  <c r="K5" i="3"/>
  <c r="K69" i="3"/>
  <c r="K81" i="3"/>
  <c r="J83" i="3"/>
  <c r="J107" i="3"/>
  <c r="M22" i="3"/>
  <c r="M74" i="3"/>
  <c r="M60" i="3"/>
  <c r="L11" i="3"/>
  <c r="K31" i="3"/>
  <c r="L105" i="3"/>
  <c r="M21" i="3"/>
  <c r="L45" i="3"/>
  <c r="K38" i="3"/>
  <c r="J54" i="3"/>
  <c r="J92" i="3"/>
  <c r="M94" i="3"/>
  <c r="L15" i="3"/>
  <c r="M48" i="3"/>
  <c r="K20" i="3"/>
  <c r="K85" i="3"/>
  <c r="K42" i="3"/>
  <c r="M89" i="3"/>
  <c r="J65" i="3"/>
  <c r="M82" i="3"/>
  <c r="M51" i="3"/>
  <c r="K18" i="3"/>
  <c r="J76" i="3"/>
  <c r="L25" i="3"/>
  <c r="O31" i="3"/>
  <c r="O68" i="3"/>
  <c r="K41" i="3"/>
  <c r="L108" i="3"/>
  <c r="K96" i="3"/>
  <c r="L81" i="3"/>
  <c r="J93" i="3"/>
  <c r="K40" i="3"/>
  <c r="J21" i="3"/>
  <c r="M53" i="3"/>
  <c r="J42" i="3"/>
  <c r="J32" i="3"/>
  <c r="J100" i="3"/>
  <c r="J86" i="3"/>
  <c r="M17" i="3"/>
  <c r="L83" i="3"/>
  <c r="J26" i="3"/>
  <c r="J19" i="3"/>
  <c r="L65" i="3"/>
  <c r="M47" i="3"/>
  <c r="L69" i="3"/>
  <c r="K50" i="3"/>
  <c r="M29" i="3"/>
  <c r="L88" i="3"/>
  <c r="M70" i="3"/>
  <c r="J84" i="3"/>
  <c r="J77" i="3"/>
  <c r="L55" i="3"/>
  <c r="J15" i="3"/>
  <c r="L49" i="3"/>
  <c r="K59" i="3"/>
  <c r="L12" i="3"/>
  <c r="J22" i="3"/>
  <c r="J80" i="3"/>
  <c r="L61" i="3"/>
  <c r="J67" i="3"/>
  <c r="K54" i="3"/>
  <c r="K45" i="3"/>
  <c r="J13" i="3"/>
  <c r="L43" i="3"/>
  <c r="K58" i="3"/>
  <c r="L57" i="3"/>
  <c r="L20" i="3"/>
  <c r="K79" i="3"/>
  <c r="J56" i="3"/>
  <c r="L63" i="3"/>
  <c r="J51" i="3"/>
  <c r="L37" i="3"/>
  <c r="J44" i="3"/>
  <c r="L24" i="3"/>
  <c r="J71" i="3"/>
  <c r="K10" i="3"/>
  <c r="J28" i="3"/>
  <c r="L99" i="3"/>
  <c r="K98" i="3"/>
  <c r="K105" i="3"/>
  <c r="M27" i="3"/>
  <c r="J48" i="3"/>
  <c r="J35" i="3"/>
  <c r="J85" i="3"/>
  <c r="K16" i="3"/>
  <c r="J94" i="3"/>
  <c r="J106" i="3"/>
  <c r="J102" i="3"/>
  <c r="J91" i="3"/>
  <c r="L97" i="3"/>
  <c r="J74" i="3"/>
  <c r="M25" i="3"/>
  <c r="J46" i="3"/>
  <c r="K6" i="3"/>
  <c r="J39" i="3"/>
  <c r="K14" i="3"/>
  <c r="J72" i="3"/>
  <c r="K30" i="3"/>
  <c r="J7" i="3"/>
  <c r="L92" i="3"/>
  <c r="K101" i="3"/>
  <c r="K90" i="3"/>
  <c r="L87" i="3"/>
  <c r="K75" i="3"/>
  <c r="L18" i="3"/>
  <c r="K64" i="3"/>
  <c r="K73" i="3"/>
  <c r="J34" i="3"/>
  <c r="J8" i="3"/>
  <c r="K68" i="3"/>
  <c r="M11" i="3"/>
  <c r="M33" i="3"/>
  <c r="J104" i="3"/>
  <c r="J82" i="3"/>
  <c r="L89" i="3"/>
  <c r="K78" i="3"/>
  <c r="J66" i="3"/>
  <c r="L95" i="3"/>
  <c r="J38" i="3"/>
  <c r="M5" i="3"/>
  <c r="J23" i="3"/>
  <c r="J4" i="3"/>
  <c r="K103" i="3"/>
  <c r="J52" i="3"/>
  <c r="K60" i="3"/>
  <c r="M62" i="3"/>
  <c r="N104" i="3"/>
  <c r="N90" i="3"/>
  <c r="N105" i="3"/>
  <c r="N5" i="3"/>
  <c r="N63" i="3"/>
  <c r="N54" i="3"/>
  <c r="N48" i="3"/>
  <c r="M36" i="3"/>
  <c r="N56" i="3"/>
  <c r="N53" i="3"/>
  <c r="N107" i="3"/>
  <c r="N97" i="3"/>
  <c r="O67" i="3"/>
  <c r="O74" i="3"/>
  <c r="O90" i="3"/>
  <c r="O45" i="3"/>
  <c r="O48" i="3"/>
  <c r="O47" i="3"/>
  <c r="O64" i="3"/>
  <c r="O23" i="3"/>
  <c r="O44" i="3"/>
  <c r="O91" i="3"/>
  <c r="O83" i="3"/>
  <c r="O30" i="3"/>
  <c r="O37" i="3"/>
  <c r="O93" i="3"/>
  <c r="O22" i="3"/>
  <c r="O43" i="3"/>
  <c r="O15" i="3"/>
  <c r="O94" i="3"/>
  <c r="O27" i="3"/>
  <c r="O92" i="3"/>
  <c r="O21" i="3"/>
  <c r="O42" i="3"/>
  <c r="O98" i="3"/>
  <c r="O28" i="3"/>
  <c r="O17" i="3"/>
  <c r="O81" i="3"/>
  <c r="O19" i="3"/>
  <c r="O41" i="3"/>
  <c r="O56" i="3"/>
  <c r="O7" i="3"/>
  <c r="O71" i="3"/>
  <c r="O4" i="3"/>
  <c r="O102" i="3"/>
  <c r="O65" i="3"/>
  <c r="O51" i="3"/>
  <c r="O96" i="3"/>
  <c r="O6" i="3"/>
  <c r="O36" i="3"/>
  <c r="O88" i="3"/>
  <c r="O10" i="3"/>
  <c r="O66" i="3"/>
  <c r="O9" i="3"/>
  <c r="O35" i="3"/>
  <c r="O60" i="3"/>
  <c r="O104" i="3"/>
  <c r="O95" i="3"/>
  <c r="O78" i="3"/>
  <c r="O34" i="3"/>
  <c r="O53" i="3"/>
  <c r="O50" i="3"/>
  <c r="O46" i="3"/>
  <c r="O49" i="3"/>
  <c r="M76" i="3"/>
  <c r="O8" i="3"/>
  <c r="O107" i="3"/>
  <c r="P105" i="3"/>
  <c r="P8" i="3"/>
  <c r="P97" i="3"/>
  <c r="P85" i="3"/>
  <c r="P72" i="3"/>
  <c r="P88" i="3"/>
  <c r="P94" i="3"/>
  <c r="P25" i="3"/>
  <c r="P60" i="3"/>
  <c r="P98" i="3"/>
  <c r="P73" i="3"/>
  <c r="P18" i="3"/>
  <c r="P53" i="3"/>
  <c r="P14" i="3"/>
  <c r="P102" i="3"/>
  <c r="P99" i="3"/>
  <c r="P52" i="3"/>
  <c r="P44" i="3"/>
  <c r="P13" i="3"/>
  <c r="P92" i="3"/>
  <c r="P31" i="3"/>
  <c r="P51" i="3"/>
  <c r="P43" i="3"/>
  <c r="P101" i="3"/>
  <c r="P108" i="3"/>
  <c r="P49" i="3"/>
  <c r="P86" i="3"/>
  <c r="P78" i="3"/>
  <c r="P68" i="3"/>
  <c r="P80" i="3"/>
  <c r="P89" i="3"/>
  <c r="P96" i="3"/>
  <c r="P15" i="3"/>
  <c r="P45" i="3"/>
  <c r="P74" i="3"/>
  <c r="P46" i="3"/>
  <c r="P16" i="3"/>
  <c r="P40" i="3"/>
  <c r="P11" i="3"/>
  <c r="P62" i="3"/>
  <c r="N24" i="3"/>
  <c r="N79" i="3"/>
  <c r="P42" i="3"/>
  <c r="P67" i="3"/>
  <c r="P48" i="3"/>
  <c r="P100" i="3"/>
  <c r="P70" i="3"/>
  <c r="P6" i="3"/>
  <c r="P20" i="3"/>
  <c r="P65" i="3"/>
  <c r="P10" i="3"/>
  <c r="P7" i="3"/>
  <c r="P23" i="3"/>
  <c r="P27" i="3"/>
  <c r="P56" i="3"/>
  <c r="P17" i="3"/>
  <c r="P82" i="3"/>
  <c r="P59" i="3"/>
  <c r="J12" i="3"/>
  <c r="L67" i="3"/>
  <c r="J87" i="3"/>
  <c r="L68" i="3"/>
  <c r="L9" i="3"/>
  <c r="L34" i="3"/>
  <c r="K47" i="3"/>
  <c r="L10" i="3"/>
  <c r="J43" i="3"/>
  <c r="K72" i="3"/>
  <c r="K94" i="3"/>
  <c r="J20" i="3"/>
  <c r="K11" i="3"/>
  <c r="J59" i="3"/>
  <c r="J75" i="3"/>
  <c r="M32" i="3"/>
  <c r="J64" i="3"/>
  <c r="L29" i="3"/>
  <c r="M41" i="3"/>
  <c r="J88" i="3"/>
  <c r="J27" i="3"/>
  <c r="K83" i="3"/>
  <c r="L21" i="3"/>
  <c r="J36" i="3"/>
  <c r="J89" i="3"/>
  <c r="J108" i="3"/>
  <c r="L71" i="3"/>
  <c r="L23" i="3"/>
  <c r="L53" i="3"/>
  <c r="L8" i="3"/>
  <c r="J6" i="3"/>
  <c r="M98" i="3"/>
  <c r="J58" i="3"/>
  <c r="J24" i="3"/>
  <c r="K106" i="3"/>
  <c r="J81" i="3"/>
  <c r="K74" i="3"/>
  <c r="M16" i="3"/>
  <c r="K65" i="3"/>
  <c r="J5" i="3"/>
  <c r="K19" i="3"/>
  <c r="L46" i="3"/>
  <c r="J99" i="3"/>
  <c r="L84" i="3"/>
  <c r="K70" i="3"/>
  <c r="M103" i="3"/>
  <c r="K92" i="3"/>
  <c r="K56" i="3"/>
  <c r="J63" i="3"/>
  <c r="L44" i="3"/>
  <c r="J97" i="3"/>
  <c r="J90" i="3"/>
  <c r="J96" i="3"/>
  <c r="L76" i="3"/>
  <c r="K55" i="3"/>
  <c r="J40" i="3"/>
  <c r="K39" i="3"/>
  <c r="L22" i="3"/>
  <c r="K28" i="3"/>
  <c r="M102" i="3"/>
  <c r="M78" i="3"/>
  <c r="J57" i="3"/>
  <c r="M26" i="3"/>
  <c r="K52" i="3"/>
  <c r="K48" i="3"/>
  <c r="K7" i="3"/>
  <c r="K37" i="3"/>
  <c r="L80" i="3"/>
  <c r="L100" i="3"/>
  <c r="L107" i="3"/>
  <c r="J105" i="3"/>
  <c r="L17" i="3"/>
  <c r="M45" i="3"/>
  <c r="L42" i="3"/>
  <c r="J31" i="3"/>
  <c r="K91" i="3"/>
  <c r="M54" i="3"/>
  <c r="J69" i="3"/>
  <c r="K61" i="3"/>
  <c r="M101" i="3"/>
  <c r="L85" i="3"/>
  <c r="M50" i="3"/>
  <c r="J18" i="3"/>
  <c r="N10" i="3"/>
  <c r="N72" i="3"/>
  <c r="N98" i="3"/>
  <c r="N23" i="3"/>
  <c r="J62" i="3"/>
  <c r="N47" i="3"/>
  <c r="N8" i="3"/>
  <c r="N46" i="3"/>
  <c r="N81" i="3"/>
  <c r="N96" i="3"/>
  <c r="N70" i="3"/>
  <c r="N6" i="3"/>
  <c r="N65" i="3"/>
  <c r="N50" i="3"/>
  <c r="N84" i="3"/>
  <c r="N4" i="3"/>
  <c r="N62" i="3"/>
  <c r="N91" i="3"/>
  <c r="N14" i="3"/>
  <c r="J9" i="3"/>
  <c r="M13" i="3"/>
  <c r="M8" i="3"/>
  <c r="J14" i="3"/>
  <c r="M66" i="3"/>
  <c r="J73" i="3"/>
  <c r="K71" i="3"/>
  <c r="M31" i="3"/>
  <c r="J29" i="3"/>
  <c r="M4" i="3"/>
  <c r="L73" i="3"/>
  <c r="M19" i="3"/>
  <c r="O57" i="3"/>
  <c r="O103" i="3"/>
  <c r="O101" i="3"/>
  <c r="O105" i="3"/>
  <c r="O63" i="3"/>
  <c r="O18" i="3"/>
  <c r="O70" i="3"/>
  <c r="O99" i="3"/>
  <c r="O54" i="3"/>
  <c r="O69" i="3"/>
  <c r="O100" i="3"/>
  <c r="O97" i="3"/>
  <c r="N86" i="3"/>
  <c r="N17" i="3"/>
  <c r="N26" i="3"/>
  <c r="N16" i="3"/>
  <c r="N71" i="3"/>
  <c r="N49" i="3"/>
  <c r="N11" i="3"/>
  <c r="N25" i="3"/>
  <c r="L66" i="3"/>
  <c r="L35" i="3"/>
  <c r="M104" i="3"/>
  <c r="L30" i="3"/>
  <c r="K82" i="3"/>
  <c r="J25" i="3"/>
  <c r="K36" i="3"/>
  <c r="L60" i="3"/>
  <c r="J49" i="3"/>
  <c r="K33" i="3"/>
  <c r="L86" i="3"/>
  <c r="M10" i="3"/>
  <c r="K95" i="3"/>
  <c r="K62" i="3"/>
  <c r="K51" i="3"/>
  <c r="L70" i="3"/>
  <c r="J55" i="3"/>
  <c r="J11" i="3"/>
  <c r="K80" i="3"/>
  <c r="K88" i="3"/>
  <c r="L64" i="3"/>
  <c r="K66" i="3"/>
  <c r="J37" i="3"/>
  <c r="L27" i="3"/>
  <c r="M65" i="3"/>
  <c r="L50" i="3"/>
  <c r="L104" i="3"/>
  <c r="L72" i="3"/>
  <c r="M91" i="3"/>
  <c r="M61" i="3"/>
  <c r="L54" i="3"/>
  <c r="J53" i="3"/>
  <c r="K21" i="3"/>
  <c r="K99" i="3"/>
  <c r="K49" i="3"/>
  <c r="L96" i="3"/>
  <c r="M35" i="3"/>
  <c r="L40" i="3"/>
  <c r="L47" i="3"/>
  <c r="J68" i="3"/>
  <c r="J30" i="3"/>
  <c r="L75" i="3"/>
  <c r="M39" i="3"/>
  <c r="M87" i="3"/>
  <c r="L33" i="3"/>
  <c r="K89" i="3"/>
  <c r="L101" i="3"/>
  <c r="K100" i="3"/>
  <c r="K15" i="3"/>
  <c r="L79" i="3"/>
  <c r="K34" i="3"/>
  <c r="M9" i="3"/>
  <c r="J41" i="3"/>
  <c r="K63" i="3"/>
  <c r="L56" i="3"/>
  <c r="M93" i="3"/>
  <c r="K26" i="3"/>
  <c r="M107" i="3"/>
  <c r="M85" i="3"/>
  <c r="L38" i="3"/>
  <c r="K97" i="3"/>
  <c r="J60" i="3"/>
  <c r="M75" i="3"/>
  <c r="L14" i="3"/>
  <c r="L48" i="3"/>
  <c r="L102" i="3"/>
  <c r="K93" i="3"/>
  <c r="M64" i="3"/>
  <c r="M83" i="3"/>
  <c r="J45" i="3"/>
  <c r="L51" i="3"/>
  <c r="M81" i="3"/>
  <c r="K25" i="3"/>
  <c r="K57" i="3"/>
  <c r="K76" i="3"/>
  <c r="L32" i="3"/>
  <c r="L94" i="3"/>
  <c r="M84" i="3"/>
  <c r="M58" i="3"/>
  <c r="K22" i="3"/>
  <c r="J17" i="3"/>
  <c r="M68" i="3"/>
  <c r="L4" i="3"/>
  <c r="M30" i="3"/>
  <c r="L91" i="3"/>
  <c r="K108" i="3"/>
  <c r="L59" i="3"/>
  <c r="K46" i="3"/>
  <c r="L28" i="3"/>
  <c r="K53" i="3"/>
  <c r="J98" i="3"/>
  <c r="L103" i="3"/>
  <c r="M44" i="3"/>
  <c r="L106" i="3"/>
  <c r="M55" i="3"/>
  <c r="M12" i="3"/>
  <c r="M96" i="3"/>
  <c r="J78" i="3"/>
  <c r="J50" i="3"/>
  <c r="K13" i="3"/>
  <c r="L5" i="3"/>
  <c r="M86" i="3"/>
  <c r="K43" i="3"/>
  <c r="M67" i="3"/>
  <c r="L7" i="3"/>
  <c r="M20" i="3"/>
  <c r="L77" i="3"/>
  <c r="M63" i="3"/>
  <c r="K24" i="3"/>
  <c r="K27" i="3"/>
  <c r="M15" i="3"/>
  <c r="M95" i="3"/>
  <c r="L16" i="3"/>
  <c r="L52" i="3"/>
  <c r="L36" i="3"/>
  <c r="M38" i="3"/>
  <c r="K17" i="3"/>
  <c r="M92" i="3"/>
  <c r="P21" i="3"/>
  <c r="P36" i="3"/>
  <c r="O40" i="3"/>
  <c r="O39" i="3"/>
  <c r="O11" i="3"/>
  <c r="O5" i="3"/>
  <c r="O72" i="3"/>
  <c r="O89" i="3"/>
  <c r="O59" i="3"/>
  <c r="O73" i="3"/>
  <c r="P26" i="3"/>
  <c r="P83" i="3"/>
  <c r="P12" i="3"/>
  <c r="P30" i="3"/>
  <c r="P77" i="3"/>
  <c r="O75" i="3"/>
  <c r="O24" i="3"/>
  <c r="R29" i="3" l="1"/>
  <c r="T29" i="3" s="1"/>
  <c r="R37" i="3"/>
  <c r="T37" i="3" s="1"/>
  <c r="R31" i="3"/>
  <c r="T31" i="3" s="1"/>
  <c r="R87" i="3"/>
  <c r="T87" i="3" s="1"/>
  <c r="R94" i="3"/>
  <c r="T94" i="3" s="1"/>
  <c r="R84" i="3"/>
  <c r="T84" i="3" s="1"/>
  <c r="R86" i="3"/>
  <c r="T86" i="3" s="1"/>
  <c r="R72" i="3"/>
  <c r="T72" i="3" s="1"/>
  <c r="R78" i="3"/>
  <c r="T78" i="3" s="1"/>
  <c r="R90" i="3"/>
  <c r="T90" i="3" s="1"/>
  <c r="R60" i="3"/>
  <c r="T60" i="3" s="1"/>
  <c r="R5" i="3"/>
  <c r="T5" i="3" s="1"/>
  <c r="R7" i="3"/>
  <c r="T7" i="3" s="1"/>
  <c r="R106" i="3"/>
  <c r="T106" i="3" s="1"/>
  <c r="R71" i="3"/>
  <c r="T71" i="3" s="1"/>
  <c r="R13" i="3"/>
  <c r="T13" i="3" s="1"/>
  <c r="R77" i="3"/>
  <c r="T77" i="3" s="1"/>
  <c r="R89" i="3"/>
  <c r="T89" i="3" s="1"/>
  <c r="R10" i="3"/>
  <c r="T10" i="3" s="1"/>
  <c r="R57" i="3"/>
  <c r="R34" i="3"/>
  <c r="R85" i="3"/>
  <c r="R67" i="3"/>
  <c r="R32" i="3"/>
  <c r="R107" i="3"/>
  <c r="R16" i="3"/>
  <c r="R108" i="3"/>
  <c r="R73" i="3"/>
  <c r="R81" i="3"/>
  <c r="R36" i="3"/>
  <c r="R20" i="3"/>
  <c r="R38" i="3"/>
  <c r="R39" i="3"/>
  <c r="R35" i="3"/>
  <c r="R51" i="3"/>
  <c r="R42" i="3"/>
  <c r="R76" i="3"/>
  <c r="R92" i="3"/>
  <c r="R83" i="3"/>
  <c r="R8" i="3"/>
  <c r="R18" i="3"/>
  <c r="R105" i="3"/>
  <c r="R48" i="3"/>
  <c r="R80" i="3"/>
  <c r="R54" i="3"/>
  <c r="R103" i="3"/>
  <c r="R101" i="3"/>
  <c r="R53" i="3"/>
  <c r="R14" i="3"/>
  <c r="R24" i="3"/>
  <c r="R66" i="3"/>
  <c r="R46" i="3"/>
  <c r="R56" i="3"/>
  <c r="R22" i="3"/>
  <c r="R21" i="3"/>
  <c r="R44" i="3"/>
  <c r="R98" i="3"/>
  <c r="R58" i="3"/>
  <c r="R27" i="3"/>
  <c r="R43" i="3"/>
  <c r="R70" i="3"/>
  <c r="R75" i="3"/>
  <c r="R49" i="3"/>
  <c r="R11" i="3"/>
  <c r="R25" i="3"/>
  <c r="R40" i="3"/>
  <c r="R88" i="3"/>
  <c r="R74" i="3"/>
  <c r="R93" i="3"/>
  <c r="R65" i="3"/>
  <c r="R100" i="3"/>
  <c r="R45" i="3"/>
  <c r="R41" i="3"/>
  <c r="R30" i="3"/>
  <c r="R55" i="3"/>
  <c r="R9" i="3"/>
  <c r="R99" i="3"/>
  <c r="R6" i="3"/>
  <c r="R82" i="3"/>
  <c r="R19" i="3"/>
  <c r="R79" i="3"/>
  <c r="R47" i="3"/>
  <c r="R95" i="3"/>
  <c r="R62" i="3"/>
  <c r="R4" i="3"/>
  <c r="R59" i="3"/>
  <c r="R23" i="3"/>
  <c r="R63" i="3"/>
  <c r="R17" i="3"/>
  <c r="R68" i="3"/>
  <c r="R69" i="3"/>
  <c r="R104" i="3"/>
  <c r="R91" i="3"/>
  <c r="R28" i="3"/>
  <c r="R15" i="3"/>
  <c r="R26" i="3"/>
  <c r="R97" i="3"/>
  <c r="R12" i="3"/>
  <c r="R50" i="3"/>
  <c r="R96" i="3"/>
  <c r="R64" i="3"/>
  <c r="R52" i="3"/>
  <c r="R102" i="3"/>
  <c r="R33" i="3"/>
  <c r="R61" i="3"/>
  <c r="S87" i="3" l="1"/>
  <c r="S31" i="3"/>
  <c r="S70" i="3"/>
  <c r="T70" i="3"/>
  <c r="T96" i="3"/>
  <c r="S96" i="3"/>
  <c r="T11" i="3"/>
  <c r="S11" i="3"/>
  <c r="T69" i="3"/>
  <c r="S69" i="3"/>
  <c r="S89" i="3"/>
  <c r="T42" i="3"/>
  <c r="S42" i="3"/>
  <c r="T64" i="3"/>
  <c r="S64" i="3"/>
  <c r="S83" i="3"/>
  <c r="T83" i="3"/>
  <c r="S43" i="3"/>
  <c r="T43" i="3"/>
  <c r="T50" i="3"/>
  <c r="S50" i="3"/>
  <c r="T95" i="3"/>
  <c r="S95" i="3"/>
  <c r="T68" i="3"/>
  <c r="S68" i="3"/>
  <c r="S94" i="3"/>
  <c r="S19" i="3"/>
  <c r="T19" i="3"/>
  <c r="S32" i="3"/>
  <c r="T32" i="3"/>
  <c r="T66" i="3"/>
  <c r="S66" i="3"/>
  <c r="T62" i="3"/>
  <c r="S62" i="3"/>
  <c r="T76" i="3"/>
  <c r="S76" i="3"/>
  <c r="S37" i="3"/>
  <c r="S39" i="3"/>
  <c r="T39" i="3"/>
  <c r="S67" i="3"/>
  <c r="T67" i="3"/>
  <c r="T4" i="3"/>
  <c r="S4" i="3"/>
  <c r="T92" i="3"/>
  <c r="S92" i="3"/>
  <c r="T100" i="3"/>
  <c r="S100" i="3"/>
  <c r="S47" i="3"/>
  <c r="T47" i="3"/>
  <c r="T97" i="3"/>
  <c r="S97" i="3"/>
  <c r="T107" i="3"/>
  <c r="S107" i="3"/>
  <c r="T38" i="3"/>
  <c r="S38" i="3"/>
  <c r="T85" i="3"/>
  <c r="S85" i="3"/>
  <c r="T41" i="3"/>
  <c r="S41" i="3"/>
  <c r="T16" i="3"/>
  <c r="S16" i="3"/>
  <c r="T49" i="3"/>
  <c r="S49" i="3"/>
  <c r="T12" i="3"/>
  <c r="S12" i="3"/>
  <c r="T17" i="3"/>
  <c r="S17" i="3"/>
  <c r="T51" i="3"/>
  <c r="S51" i="3"/>
  <c r="S44" i="3"/>
  <c r="T44" i="3"/>
  <c r="S21" i="3"/>
  <c r="T21" i="3"/>
  <c r="S7" i="3"/>
  <c r="S20" i="3"/>
  <c r="T20" i="3"/>
  <c r="S34" i="3"/>
  <c r="T34" i="3"/>
  <c r="T25" i="3"/>
  <c r="S25" i="3"/>
  <c r="T104" i="3"/>
  <c r="S104" i="3"/>
  <c r="T24" i="3"/>
  <c r="S24" i="3"/>
  <c r="T14" i="3"/>
  <c r="S14" i="3"/>
  <c r="S58" i="3"/>
  <c r="T58" i="3"/>
  <c r="S86" i="3"/>
  <c r="S106" i="3"/>
  <c r="T75" i="3"/>
  <c r="S75" i="3"/>
  <c r="S71" i="3"/>
  <c r="T23" i="3"/>
  <c r="S23" i="3"/>
  <c r="S93" i="3"/>
  <c r="T93" i="3"/>
  <c r="T9" i="3"/>
  <c r="S9" i="3"/>
  <c r="S13" i="3"/>
  <c r="T22" i="3"/>
  <c r="S22" i="3"/>
  <c r="T103" i="3"/>
  <c r="S103" i="3"/>
  <c r="S36" i="3"/>
  <c r="T36" i="3"/>
  <c r="S72" i="3"/>
  <c r="T91" i="3"/>
  <c r="S91" i="3"/>
  <c r="T48" i="3"/>
  <c r="S48" i="3"/>
  <c r="T105" i="3"/>
  <c r="S105" i="3"/>
  <c r="T27" i="3"/>
  <c r="S27" i="3"/>
  <c r="S84" i="3"/>
  <c r="S77" i="3"/>
  <c r="S8" i="3"/>
  <c r="T8" i="3"/>
  <c r="S82" i="3"/>
  <c r="T82" i="3"/>
  <c r="S29" i="3"/>
  <c r="S60" i="3"/>
  <c r="T65" i="3"/>
  <c r="S65" i="3"/>
  <c r="T99" i="3"/>
  <c r="S99" i="3"/>
  <c r="S33" i="3"/>
  <c r="T33" i="3"/>
  <c r="S59" i="3"/>
  <c r="T59" i="3"/>
  <c r="S74" i="3"/>
  <c r="T74" i="3"/>
  <c r="T15" i="3"/>
  <c r="S15" i="3"/>
  <c r="S78" i="3"/>
  <c r="T54" i="3"/>
  <c r="S54" i="3"/>
  <c r="S90" i="3"/>
  <c r="T81" i="3"/>
  <c r="S81" i="3"/>
  <c r="T108" i="3"/>
  <c r="S108" i="3"/>
  <c r="S45" i="3"/>
  <c r="T45" i="3"/>
  <c r="S18" i="3"/>
  <c r="T18" i="3"/>
  <c r="T53" i="3"/>
  <c r="S53" i="3"/>
  <c r="T79" i="3"/>
  <c r="S79" i="3"/>
  <c r="T98" i="3"/>
  <c r="S98" i="3"/>
  <c r="S63" i="3"/>
  <c r="T63" i="3"/>
  <c r="T35" i="3"/>
  <c r="S35" i="3"/>
  <c r="S5" i="3"/>
  <c r="T6" i="3"/>
  <c r="S6" i="3"/>
  <c r="T61" i="3"/>
  <c r="S61" i="3"/>
  <c r="T101" i="3"/>
  <c r="S101" i="3"/>
  <c r="S26" i="3"/>
  <c r="T26" i="3"/>
  <c r="S102" i="3"/>
  <c r="T102" i="3"/>
  <c r="S10" i="3"/>
  <c r="T55" i="3"/>
  <c r="S55" i="3"/>
  <c r="S88" i="3"/>
  <c r="T88" i="3"/>
  <c r="S56" i="3"/>
  <c r="T56" i="3"/>
  <c r="T52" i="3"/>
  <c r="S52" i="3"/>
  <c r="S28" i="3"/>
  <c r="T28" i="3"/>
  <c r="T30" i="3"/>
  <c r="S30" i="3"/>
  <c r="T40" i="3"/>
  <c r="S40" i="3"/>
  <c r="T46" i="3"/>
  <c r="S46" i="3"/>
  <c r="T80" i="3"/>
  <c r="S80" i="3"/>
  <c r="T73" i="3"/>
  <c r="S73" i="3"/>
  <c r="T57" i="3"/>
  <c r="S57" i="3"/>
  <c r="A107" i="2" l="1"/>
  <c r="B57" i="2"/>
  <c r="B94" i="2"/>
  <c r="B68" i="2"/>
  <c r="B55" i="2"/>
  <c r="B76" i="2"/>
  <c r="A76" i="2"/>
  <c r="A64" i="2"/>
  <c r="A71" i="2"/>
  <c r="B19" i="2"/>
  <c r="B18" i="2"/>
  <c r="B17" i="2"/>
  <c r="B29" i="2"/>
  <c r="A29" i="2"/>
  <c r="A26" i="2"/>
  <c r="B41" i="2"/>
  <c r="B34" i="2"/>
  <c r="A23" i="2"/>
  <c r="B89" i="2"/>
  <c r="A50" i="2"/>
  <c r="A63" i="2"/>
  <c r="A12" i="2"/>
  <c r="A28" i="2"/>
  <c r="A22" i="2"/>
  <c r="A98" i="2"/>
  <c r="A27" i="2"/>
  <c r="A108" i="2"/>
  <c r="A102" i="2"/>
  <c r="A106" i="2"/>
  <c r="A95" i="2"/>
  <c r="B84" i="2"/>
  <c r="B45" i="2"/>
  <c r="A45" i="2"/>
  <c r="B60" i="2"/>
  <c r="B64" i="2"/>
  <c r="A53" i="2"/>
  <c r="B52" i="2"/>
  <c r="B8" i="2"/>
  <c r="A10" i="2"/>
  <c r="A94" i="2"/>
  <c r="A17" i="2"/>
  <c r="B27" i="2"/>
  <c r="B24" i="2"/>
  <c r="B47" i="2"/>
  <c r="B7" i="2"/>
  <c r="A32" i="2"/>
  <c r="A90" i="2"/>
  <c r="B79" i="2"/>
  <c r="B40" i="2"/>
  <c r="A40" i="2"/>
  <c r="A59" i="2"/>
  <c r="B63" i="2"/>
  <c r="A48" i="2"/>
  <c r="A11" i="2"/>
  <c r="B85" i="2"/>
  <c r="B105" i="2"/>
  <c r="B97" i="2"/>
  <c r="A85" i="2"/>
  <c r="B74" i="2"/>
  <c r="B35" i="2"/>
  <c r="A35" i="2"/>
  <c r="A58" i="2"/>
  <c r="A62" i="2"/>
  <c r="A43" i="2"/>
  <c r="A92" i="2"/>
  <c r="B4" i="2"/>
  <c r="A6" i="2"/>
  <c r="B88" i="2"/>
  <c r="B103" i="2"/>
  <c r="B15" i="2"/>
  <c r="A9" i="2"/>
  <c r="A41" i="2"/>
  <c r="B13" i="2"/>
  <c r="B5" i="2"/>
  <c r="A80" i="2"/>
  <c r="B69" i="2"/>
  <c r="B108" i="2"/>
  <c r="A30" i="2"/>
  <c r="A54" i="2"/>
  <c r="A61" i="2"/>
  <c r="A38" i="2"/>
  <c r="B86" i="2"/>
  <c r="A42" i="2"/>
  <c r="B92" i="2"/>
  <c r="B87" i="2"/>
  <c r="A75" i="2"/>
  <c r="A103" i="2"/>
  <c r="B104" i="2"/>
  <c r="A25" i="2"/>
  <c r="A49" i="2"/>
  <c r="B53" i="2"/>
  <c r="A33" i="2"/>
  <c r="B51" i="2"/>
  <c r="A57" i="2"/>
  <c r="B107" i="2"/>
  <c r="A79" i="2"/>
  <c r="A67" i="2"/>
  <c r="B102" i="2"/>
  <c r="A81" i="2"/>
  <c r="B98" i="2"/>
  <c r="B33" i="2"/>
  <c r="B81" i="2"/>
  <c r="B95" i="2"/>
  <c r="A36" i="2"/>
  <c r="B54" i="2"/>
  <c r="A66" i="2"/>
  <c r="A91" i="2"/>
  <c r="A4" i="2"/>
  <c r="B82" i="2"/>
  <c r="A70" i="2"/>
  <c r="A99" i="2"/>
  <c r="A93" i="2"/>
  <c r="A20" i="2"/>
  <c r="A105" i="2"/>
  <c r="A101" i="2"/>
  <c r="B106" i="2"/>
  <c r="B43" i="2"/>
  <c r="A51" i="2"/>
  <c r="A97" i="2"/>
  <c r="B73" i="2"/>
  <c r="B49" i="2"/>
  <c r="A78" i="2"/>
  <c r="B75" i="2"/>
  <c r="A47" i="2"/>
  <c r="A13" i="2"/>
  <c r="A60" i="2"/>
  <c r="B12" i="2"/>
  <c r="B90" i="2"/>
  <c r="A44" i="2"/>
  <c r="B66" i="2"/>
  <c r="B23" i="2"/>
  <c r="A8" i="2"/>
  <c r="A14" i="2"/>
  <c r="A7" i="2"/>
  <c r="B77" i="2"/>
  <c r="A65" i="2"/>
  <c r="B93" i="2"/>
  <c r="A87" i="2"/>
  <c r="A15" i="2"/>
  <c r="B101" i="2"/>
  <c r="B96" i="2"/>
  <c r="A96" i="2"/>
  <c r="B37" i="2"/>
  <c r="B48" i="2"/>
  <c r="B91" i="2"/>
  <c r="B59" i="2"/>
  <c r="A39" i="2"/>
  <c r="A72" i="2"/>
  <c r="A69" i="2"/>
  <c r="B11" i="2"/>
  <c r="B26" i="2"/>
  <c r="A86" i="2"/>
  <c r="A83" i="2"/>
  <c r="B44" i="2"/>
  <c r="B32" i="2"/>
  <c r="A31" i="2"/>
  <c r="B16" i="2"/>
  <c r="A73" i="2"/>
  <c r="B72" i="2"/>
  <c r="B67" i="2"/>
  <c r="A55" i="2"/>
  <c r="B80" i="2"/>
  <c r="A68" i="2"/>
  <c r="A88" i="2"/>
  <c r="A89" i="2"/>
  <c r="A77" i="2"/>
  <c r="A84" i="2"/>
  <c r="A21" i="2"/>
  <c r="A37" i="2"/>
  <c r="B38" i="2"/>
  <c r="A52" i="2"/>
  <c r="B31" i="2"/>
  <c r="B46" i="2"/>
  <c r="B58" i="2"/>
  <c r="B22" i="2"/>
  <c r="B21" i="2"/>
  <c r="B50" i="2"/>
  <c r="B70" i="2"/>
  <c r="B10" i="2"/>
  <c r="B28" i="2"/>
  <c r="A24" i="2"/>
  <c r="A16" i="2"/>
  <c r="A104" i="2"/>
  <c r="A5" i="2"/>
  <c r="B62" i="2"/>
  <c r="B99" i="2"/>
  <c r="A74" i="2"/>
  <c r="B56" i="2"/>
  <c r="A82" i="2"/>
  <c r="B83" i="2"/>
  <c r="B71" i="2"/>
  <c r="B78" i="2"/>
  <c r="B20" i="2"/>
  <c r="A19" i="2"/>
  <c r="A18" i="2"/>
  <c r="B39" i="2"/>
  <c r="B30" i="2"/>
  <c r="A34" i="2"/>
  <c r="A46" i="2"/>
  <c r="A56" i="2"/>
  <c r="B9" i="2"/>
  <c r="A100" i="2"/>
  <c r="B61" i="2"/>
  <c r="B65" i="2"/>
  <c r="B100" i="2"/>
  <c r="B25" i="2"/>
  <c r="B36" i="2"/>
  <c r="B6" i="2"/>
  <c r="B42" i="2"/>
  <c r="B14" i="2"/>
  <c r="H61" i="2" l="1"/>
  <c r="G61" i="2"/>
  <c r="C61" i="2"/>
  <c r="D61" i="2"/>
  <c r="F61" i="2"/>
  <c r="E61" i="2"/>
  <c r="K61" i="2"/>
  <c r="I61" i="2"/>
  <c r="J61" i="2"/>
  <c r="L61" i="2"/>
  <c r="D60" i="2"/>
  <c r="J60" i="2"/>
  <c r="I60" i="2"/>
  <c r="H60" i="2"/>
  <c r="G60" i="2"/>
  <c r="C60" i="2"/>
  <c r="F60" i="2"/>
  <c r="K60" i="2"/>
  <c r="E60" i="2"/>
  <c r="L60" i="2"/>
  <c r="C19" i="2"/>
  <c r="K19" i="2"/>
  <c r="J19" i="2"/>
  <c r="I19" i="2"/>
  <c r="G19" i="2"/>
  <c r="H19" i="2"/>
  <c r="F19" i="2"/>
  <c r="E19" i="2"/>
  <c r="D19" i="2"/>
  <c r="L19" i="2"/>
  <c r="G92" i="2"/>
  <c r="F92" i="2"/>
  <c r="J92" i="2"/>
  <c r="I92" i="2"/>
  <c r="H92" i="2"/>
  <c r="E92" i="2"/>
  <c r="K92" i="2"/>
  <c r="C92" i="2"/>
  <c r="D92" i="2"/>
  <c r="L92" i="2"/>
  <c r="K37" i="2"/>
  <c r="I37" i="2"/>
  <c r="F37" i="2"/>
  <c r="J37" i="2"/>
  <c r="E37" i="2"/>
  <c r="D37" i="2"/>
  <c r="H37" i="2"/>
  <c r="G37" i="2"/>
  <c r="C37" i="2"/>
  <c r="L37" i="2"/>
  <c r="D44" i="2"/>
  <c r="C44" i="2"/>
  <c r="I44" i="2"/>
  <c r="E44" i="2"/>
  <c r="J44" i="2"/>
  <c r="H44" i="2"/>
  <c r="G44" i="2"/>
  <c r="K44" i="2"/>
  <c r="F44" i="2"/>
  <c r="L44" i="2"/>
  <c r="E96" i="2"/>
  <c r="C96" i="2"/>
  <c r="K96" i="2"/>
  <c r="D96" i="2"/>
  <c r="G96" i="2"/>
  <c r="I96" i="2"/>
  <c r="H96" i="2"/>
  <c r="J96" i="2"/>
  <c r="F96" i="2"/>
  <c r="L96" i="2"/>
  <c r="F43" i="2"/>
  <c r="E43" i="2"/>
  <c r="K43" i="2"/>
  <c r="J43" i="2"/>
  <c r="H43" i="2"/>
  <c r="G43" i="2"/>
  <c r="I43" i="2"/>
  <c r="D43" i="2"/>
  <c r="C43" i="2"/>
  <c r="L43" i="2"/>
  <c r="J54" i="2"/>
  <c r="I54" i="2"/>
  <c r="H54" i="2"/>
  <c r="G54" i="2"/>
  <c r="F54" i="2"/>
  <c r="E54" i="2"/>
  <c r="C54" i="2"/>
  <c r="K54" i="2"/>
  <c r="D54" i="2"/>
  <c r="L54" i="2"/>
  <c r="J51" i="2"/>
  <c r="I51" i="2"/>
  <c r="G51" i="2"/>
  <c r="E51" i="2"/>
  <c r="H51" i="2"/>
  <c r="F51" i="2"/>
  <c r="D51" i="2"/>
  <c r="C51" i="2"/>
  <c r="K51" i="2"/>
  <c r="L51" i="2"/>
  <c r="H103" i="2"/>
  <c r="K103" i="2"/>
  <c r="G103" i="2"/>
  <c r="F103" i="2"/>
  <c r="E103" i="2"/>
  <c r="C103" i="2"/>
  <c r="J103" i="2"/>
  <c r="I103" i="2"/>
  <c r="D103" i="2"/>
  <c r="L103" i="2"/>
  <c r="G97" i="2"/>
  <c r="F97" i="2"/>
  <c r="K97" i="2"/>
  <c r="J97" i="2"/>
  <c r="H97" i="2"/>
  <c r="E97" i="2"/>
  <c r="D97" i="2"/>
  <c r="C97" i="2"/>
  <c r="I97" i="2"/>
  <c r="L97" i="2"/>
  <c r="C7" i="2"/>
  <c r="K7" i="2"/>
  <c r="H7" i="2"/>
  <c r="E7" i="2"/>
  <c r="J7" i="2"/>
  <c r="I7" i="2"/>
  <c r="D7" i="2"/>
  <c r="G7" i="2"/>
  <c r="F7" i="2"/>
  <c r="J78" i="2"/>
  <c r="E78" i="2"/>
  <c r="D78" i="2"/>
  <c r="K78" i="2"/>
  <c r="I78" i="2"/>
  <c r="G78" i="2"/>
  <c r="H78" i="2"/>
  <c r="C78" i="2"/>
  <c r="F78" i="2"/>
  <c r="L78" i="2"/>
  <c r="J74" i="2"/>
  <c r="I74" i="2"/>
  <c r="G74" i="2"/>
  <c r="D74" i="2"/>
  <c r="F74" i="2"/>
  <c r="E74" i="2"/>
  <c r="H74" i="2"/>
  <c r="C74" i="2"/>
  <c r="K74" i="2"/>
  <c r="L74" i="2"/>
  <c r="K50" i="2"/>
  <c r="I50" i="2"/>
  <c r="G50" i="2"/>
  <c r="J50" i="2"/>
  <c r="H50" i="2"/>
  <c r="F50" i="2"/>
  <c r="D50" i="2"/>
  <c r="C50" i="2"/>
  <c r="E50" i="2"/>
  <c r="L50" i="2"/>
  <c r="D56" i="2"/>
  <c r="I56" i="2"/>
  <c r="C56" i="2"/>
  <c r="K56" i="2"/>
  <c r="J56" i="2"/>
  <c r="H56" i="2"/>
  <c r="G56" i="2"/>
  <c r="F56" i="2"/>
  <c r="E56" i="2"/>
  <c r="L56" i="2"/>
  <c r="F21" i="2"/>
  <c r="D21" i="2"/>
  <c r="C21" i="2"/>
  <c r="K21" i="2"/>
  <c r="I21" i="2"/>
  <c r="J21" i="2"/>
  <c r="H21" i="2"/>
  <c r="G21" i="2"/>
  <c r="E21" i="2"/>
  <c r="L21" i="2"/>
  <c r="D101" i="2"/>
  <c r="I101" i="2"/>
  <c r="E101" i="2"/>
  <c r="C101" i="2"/>
  <c r="F101" i="2"/>
  <c r="K101" i="2"/>
  <c r="G101" i="2"/>
  <c r="J101" i="2"/>
  <c r="H101" i="2"/>
  <c r="L101" i="2"/>
  <c r="F90" i="2"/>
  <c r="K90" i="2"/>
  <c r="J90" i="2"/>
  <c r="I90" i="2"/>
  <c r="H90" i="2"/>
  <c r="E90" i="2"/>
  <c r="D90" i="2"/>
  <c r="C90" i="2"/>
  <c r="G90" i="2"/>
  <c r="L90" i="2"/>
  <c r="C106" i="2"/>
  <c r="G106" i="2"/>
  <c r="F106" i="2"/>
  <c r="K106" i="2"/>
  <c r="J106" i="2"/>
  <c r="H106" i="2"/>
  <c r="E106" i="2"/>
  <c r="D106" i="2"/>
  <c r="I106" i="2"/>
  <c r="L106" i="2"/>
  <c r="I88" i="2"/>
  <c r="H88" i="2"/>
  <c r="G88" i="2"/>
  <c r="J88" i="2"/>
  <c r="E88" i="2"/>
  <c r="D88" i="2"/>
  <c r="F88" i="2"/>
  <c r="C88" i="2"/>
  <c r="K88" i="2"/>
  <c r="L88" i="2"/>
  <c r="E105" i="2"/>
  <c r="H105" i="2"/>
  <c r="G105" i="2"/>
  <c r="I105" i="2"/>
  <c r="F105" i="2"/>
  <c r="C105" i="2"/>
  <c r="J105" i="2"/>
  <c r="D105" i="2"/>
  <c r="K105" i="2"/>
  <c r="L105" i="2"/>
  <c r="H47" i="2"/>
  <c r="G47" i="2"/>
  <c r="E47" i="2"/>
  <c r="C47" i="2"/>
  <c r="K47" i="2"/>
  <c r="D47" i="2"/>
  <c r="J47" i="2"/>
  <c r="F47" i="2"/>
  <c r="I47" i="2"/>
  <c r="L47" i="2"/>
  <c r="K45" i="2"/>
  <c r="I45" i="2"/>
  <c r="G45" i="2"/>
  <c r="F45" i="2"/>
  <c r="E45" i="2"/>
  <c r="D45" i="2"/>
  <c r="C45" i="2"/>
  <c r="J45" i="2"/>
  <c r="H45" i="2"/>
  <c r="L45" i="2"/>
  <c r="I79" i="2"/>
  <c r="G79" i="2"/>
  <c r="F79" i="2"/>
  <c r="E79" i="2"/>
  <c r="J79" i="2"/>
  <c r="D79" i="2"/>
  <c r="H79" i="2"/>
  <c r="C79" i="2"/>
  <c r="K79" i="2"/>
  <c r="L79" i="2"/>
  <c r="K10" i="2"/>
  <c r="I10" i="2"/>
  <c r="H10" i="2"/>
  <c r="F10" i="2"/>
  <c r="J10" i="2"/>
  <c r="G10" i="2"/>
  <c r="E10" i="2"/>
  <c r="D10" i="2"/>
  <c r="C10" i="2"/>
  <c r="K107" i="2"/>
  <c r="F107" i="2"/>
  <c r="E107" i="2"/>
  <c r="J107" i="2"/>
  <c r="I107" i="2"/>
  <c r="H107" i="2"/>
  <c r="D107" i="2"/>
  <c r="C107" i="2"/>
  <c r="G107" i="2"/>
  <c r="L107" i="2"/>
  <c r="H83" i="2"/>
  <c r="K83" i="2"/>
  <c r="G83" i="2"/>
  <c r="C83" i="2"/>
  <c r="I83" i="2"/>
  <c r="F83" i="2"/>
  <c r="J83" i="2"/>
  <c r="E83" i="2"/>
  <c r="D83" i="2"/>
  <c r="L83" i="2"/>
  <c r="D86" i="2"/>
  <c r="I86" i="2"/>
  <c r="H86" i="2"/>
  <c r="K86" i="2"/>
  <c r="J86" i="2"/>
  <c r="G86" i="2"/>
  <c r="F86" i="2"/>
  <c r="E86" i="2"/>
  <c r="C86" i="2"/>
  <c r="L86" i="2"/>
  <c r="F22" i="2"/>
  <c r="D22" i="2"/>
  <c r="C22" i="2"/>
  <c r="I22" i="2"/>
  <c r="G22" i="2"/>
  <c r="K22" i="2"/>
  <c r="J22" i="2"/>
  <c r="E22" i="2"/>
  <c r="H22" i="2"/>
  <c r="L22" i="2"/>
  <c r="F26" i="2"/>
  <c r="C26" i="2"/>
  <c r="E26" i="2"/>
  <c r="D26" i="2"/>
  <c r="K26" i="2"/>
  <c r="J26" i="2"/>
  <c r="H26" i="2"/>
  <c r="I26" i="2"/>
  <c r="G26" i="2"/>
  <c r="L26" i="2"/>
  <c r="D12" i="2"/>
  <c r="K12" i="2"/>
  <c r="H12" i="2"/>
  <c r="C12" i="2"/>
  <c r="J12" i="2"/>
  <c r="I12" i="2"/>
  <c r="G12" i="2"/>
  <c r="E12" i="2"/>
  <c r="F12" i="2"/>
  <c r="G95" i="2"/>
  <c r="E95" i="2"/>
  <c r="C95" i="2"/>
  <c r="I95" i="2"/>
  <c r="H95" i="2"/>
  <c r="D95" i="2"/>
  <c r="F95" i="2"/>
  <c r="K95" i="2"/>
  <c r="J95" i="2"/>
  <c r="L95" i="2"/>
  <c r="K53" i="2"/>
  <c r="J53" i="2"/>
  <c r="I53" i="2"/>
  <c r="G53" i="2"/>
  <c r="D53" i="2"/>
  <c r="H53" i="2"/>
  <c r="F53" i="2"/>
  <c r="E53" i="2"/>
  <c r="C53" i="2"/>
  <c r="L53" i="2"/>
  <c r="D85" i="2"/>
  <c r="I85" i="2"/>
  <c r="C85" i="2"/>
  <c r="F85" i="2"/>
  <c r="K85" i="2"/>
  <c r="J85" i="2"/>
  <c r="H85" i="2"/>
  <c r="G85" i="2"/>
  <c r="E85" i="2"/>
  <c r="L85" i="2"/>
  <c r="C24" i="2"/>
  <c r="I24" i="2"/>
  <c r="H24" i="2"/>
  <c r="G24" i="2"/>
  <c r="F24" i="2"/>
  <c r="E24" i="2"/>
  <c r="K24" i="2"/>
  <c r="J24" i="2"/>
  <c r="D24" i="2"/>
  <c r="L24" i="2"/>
  <c r="D84" i="2"/>
  <c r="K84" i="2"/>
  <c r="G84" i="2"/>
  <c r="H84" i="2"/>
  <c r="C84" i="2"/>
  <c r="J84" i="2"/>
  <c r="I84" i="2"/>
  <c r="F84" i="2"/>
  <c r="E84" i="2"/>
  <c r="L84" i="2"/>
  <c r="J89" i="2"/>
  <c r="I89" i="2"/>
  <c r="E89" i="2"/>
  <c r="H89" i="2"/>
  <c r="C89" i="2"/>
  <c r="G89" i="2"/>
  <c r="F89" i="2"/>
  <c r="D89" i="2"/>
  <c r="K89" i="2"/>
  <c r="L89" i="2"/>
  <c r="I70" i="2"/>
  <c r="H70" i="2"/>
  <c r="D70" i="2"/>
  <c r="F70" i="2"/>
  <c r="K70" i="2"/>
  <c r="J70" i="2"/>
  <c r="G70" i="2"/>
  <c r="E70" i="2"/>
  <c r="C70" i="2"/>
  <c r="L70" i="2"/>
  <c r="I9" i="2"/>
  <c r="H9" i="2"/>
  <c r="E9" i="2"/>
  <c r="G9" i="2"/>
  <c r="F9" i="2"/>
  <c r="D9" i="2"/>
  <c r="K9" i="2"/>
  <c r="C9" i="2"/>
  <c r="J9" i="2"/>
  <c r="J58" i="2"/>
  <c r="E58" i="2"/>
  <c r="D58" i="2"/>
  <c r="C58" i="2"/>
  <c r="K58" i="2"/>
  <c r="I58" i="2"/>
  <c r="H58" i="2"/>
  <c r="F58" i="2"/>
  <c r="G58" i="2"/>
  <c r="L58" i="2"/>
  <c r="C80" i="2"/>
  <c r="E80" i="2"/>
  <c r="D80" i="2"/>
  <c r="F80" i="2"/>
  <c r="K80" i="2"/>
  <c r="J80" i="2"/>
  <c r="I80" i="2"/>
  <c r="H80" i="2"/>
  <c r="G80" i="2"/>
  <c r="L80" i="2"/>
  <c r="I11" i="2"/>
  <c r="H11" i="2"/>
  <c r="E11" i="2"/>
  <c r="G11" i="2"/>
  <c r="F11" i="2"/>
  <c r="D11" i="2"/>
  <c r="C11" i="2"/>
  <c r="K11" i="2"/>
  <c r="J11" i="2"/>
  <c r="C81" i="2"/>
  <c r="K81" i="2"/>
  <c r="J81" i="2"/>
  <c r="G81" i="2"/>
  <c r="E81" i="2"/>
  <c r="F81" i="2"/>
  <c r="D81" i="2"/>
  <c r="I81" i="2"/>
  <c r="H81" i="2"/>
  <c r="L81" i="2"/>
  <c r="K4" i="2"/>
  <c r="I4" i="2"/>
  <c r="H4" i="2"/>
  <c r="J4" i="2"/>
  <c r="G4" i="2"/>
  <c r="F4" i="2"/>
  <c r="E4" i="2"/>
  <c r="D4" i="2"/>
  <c r="C4" i="2"/>
  <c r="G27" i="2"/>
  <c r="F27" i="2"/>
  <c r="E27" i="2"/>
  <c r="D27" i="2"/>
  <c r="C27" i="2"/>
  <c r="K27" i="2"/>
  <c r="J27" i="2"/>
  <c r="I27" i="2"/>
  <c r="H27" i="2"/>
  <c r="L27" i="2"/>
  <c r="C76" i="2"/>
  <c r="D76" i="2"/>
  <c r="H76" i="2"/>
  <c r="I76" i="2"/>
  <c r="E76" i="2"/>
  <c r="G76" i="2"/>
  <c r="F76" i="2"/>
  <c r="J76" i="2"/>
  <c r="K76" i="2"/>
  <c r="L76" i="2"/>
  <c r="I65" i="2"/>
  <c r="H65" i="2"/>
  <c r="E65" i="2"/>
  <c r="D65" i="2"/>
  <c r="C65" i="2"/>
  <c r="G65" i="2"/>
  <c r="J65" i="2"/>
  <c r="F65" i="2"/>
  <c r="K65" i="2"/>
  <c r="L65" i="2"/>
  <c r="G35" i="2"/>
  <c r="K35" i="2"/>
  <c r="I35" i="2"/>
  <c r="H35" i="2"/>
  <c r="F35" i="2"/>
  <c r="D35" i="2"/>
  <c r="C35" i="2"/>
  <c r="E35" i="2"/>
  <c r="J35" i="2"/>
  <c r="L35" i="2"/>
  <c r="C23" i="2"/>
  <c r="K23" i="2"/>
  <c r="D23" i="2"/>
  <c r="E23" i="2"/>
  <c r="H23" i="2"/>
  <c r="G23" i="2"/>
  <c r="J23" i="2"/>
  <c r="I23" i="2"/>
  <c r="F23" i="2"/>
  <c r="L23" i="2"/>
  <c r="E18" i="2"/>
  <c r="C18" i="2"/>
  <c r="J18" i="2"/>
  <c r="H18" i="2"/>
  <c r="I18" i="2"/>
  <c r="F18" i="2"/>
  <c r="G18" i="2"/>
  <c r="D18" i="2"/>
  <c r="K18" i="2"/>
  <c r="L18" i="2"/>
  <c r="H42" i="2"/>
  <c r="G42" i="2"/>
  <c r="C42" i="2"/>
  <c r="K42" i="2"/>
  <c r="J42" i="2"/>
  <c r="I42" i="2"/>
  <c r="E42" i="2"/>
  <c r="D42" i="2"/>
  <c r="F42" i="2"/>
  <c r="L42" i="2"/>
  <c r="J93" i="2"/>
  <c r="E93" i="2"/>
  <c r="D93" i="2"/>
  <c r="K93" i="2"/>
  <c r="H93" i="2"/>
  <c r="F93" i="2"/>
  <c r="C93" i="2"/>
  <c r="I93" i="2"/>
  <c r="G93" i="2"/>
  <c r="L93" i="2"/>
  <c r="E33" i="2"/>
  <c r="K33" i="2"/>
  <c r="H33" i="2"/>
  <c r="G33" i="2"/>
  <c r="F33" i="2"/>
  <c r="D33" i="2"/>
  <c r="C33" i="2"/>
  <c r="J33" i="2"/>
  <c r="I33" i="2"/>
  <c r="L33" i="2"/>
  <c r="I108" i="2"/>
  <c r="K108" i="2"/>
  <c r="E108" i="2"/>
  <c r="D108" i="2"/>
  <c r="G108" i="2"/>
  <c r="C108" i="2"/>
  <c r="H108" i="2"/>
  <c r="J108" i="2"/>
  <c r="F108" i="2"/>
  <c r="L108" i="2"/>
  <c r="D34" i="2"/>
  <c r="C34" i="2"/>
  <c r="I34" i="2"/>
  <c r="J34" i="2"/>
  <c r="H34" i="2"/>
  <c r="G34" i="2"/>
  <c r="F34" i="2"/>
  <c r="E34" i="2"/>
  <c r="K34" i="2"/>
  <c r="L34" i="2"/>
  <c r="F55" i="2"/>
  <c r="K55" i="2"/>
  <c r="C55" i="2"/>
  <c r="J55" i="2"/>
  <c r="I55" i="2"/>
  <c r="H55" i="2"/>
  <c r="G55" i="2"/>
  <c r="E55" i="2"/>
  <c r="D55" i="2"/>
  <c r="L55" i="2"/>
  <c r="G32" i="2"/>
  <c r="C32" i="2"/>
  <c r="H32" i="2"/>
  <c r="F32" i="2"/>
  <c r="E32" i="2"/>
  <c r="D32" i="2"/>
  <c r="K32" i="2"/>
  <c r="J32" i="2"/>
  <c r="I32" i="2"/>
  <c r="L32" i="2"/>
  <c r="F64" i="2"/>
  <c r="D64" i="2"/>
  <c r="K64" i="2"/>
  <c r="J64" i="2"/>
  <c r="I64" i="2"/>
  <c r="E64" i="2"/>
  <c r="H64" i="2"/>
  <c r="G64" i="2"/>
  <c r="C64" i="2"/>
  <c r="L64" i="2"/>
  <c r="K30" i="2"/>
  <c r="G30" i="2"/>
  <c r="F30" i="2"/>
  <c r="E30" i="2"/>
  <c r="D30" i="2"/>
  <c r="C30" i="2"/>
  <c r="J30" i="2"/>
  <c r="I30" i="2"/>
  <c r="H30" i="2"/>
  <c r="L30" i="2"/>
  <c r="G39" i="2"/>
  <c r="F39" i="2"/>
  <c r="E39" i="2"/>
  <c r="K39" i="2"/>
  <c r="J39" i="2"/>
  <c r="H39" i="2"/>
  <c r="D39" i="2"/>
  <c r="C39" i="2"/>
  <c r="I39" i="2"/>
  <c r="L39" i="2"/>
  <c r="F31" i="2"/>
  <c r="D31" i="2"/>
  <c r="C31" i="2"/>
  <c r="K31" i="2"/>
  <c r="H31" i="2"/>
  <c r="J31" i="2"/>
  <c r="I31" i="2"/>
  <c r="E31" i="2"/>
  <c r="G31" i="2"/>
  <c r="L31" i="2"/>
  <c r="J67" i="2"/>
  <c r="I67" i="2"/>
  <c r="H67" i="2"/>
  <c r="K67" i="2"/>
  <c r="D67" i="2"/>
  <c r="C67" i="2"/>
  <c r="E67" i="2"/>
  <c r="G67" i="2"/>
  <c r="F67" i="2"/>
  <c r="L67" i="2"/>
  <c r="J98" i="2"/>
  <c r="E98" i="2"/>
  <c r="D98" i="2"/>
  <c r="I98" i="2"/>
  <c r="H98" i="2"/>
  <c r="G98" i="2"/>
  <c r="F98" i="2"/>
  <c r="K98" i="2"/>
  <c r="C98" i="2"/>
  <c r="L98" i="2"/>
  <c r="E104" i="2"/>
  <c r="J104" i="2"/>
  <c r="F104" i="2"/>
  <c r="G104" i="2"/>
  <c r="C104" i="2"/>
  <c r="I104" i="2"/>
  <c r="D104" i="2"/>
  <c r="K104" i="2"/>
  <c r="H104" i="2"/>
  <c r="L104" i="2"/>
  <c r="H69" i="2"/>
  <c r="C69" i="2"/>
  <c r="E69" i="2"/>
  <c r="D69" i="2"/>
  <c r="K69" i="2"/>
  <c r="J69" i="2"/>
  <c r="G69" i="2"/>
  <c r="I69" i="2"/>
  <c r="F69" i="2"/>
  <c r="L69" i="2"/>
  <c r="J63" i="2"/>
  <c r="E63" i="2"/>
  <c r="G63" i="2"/>
  <c r="F63" i="2"/>
  <c r="C63" i="2"/>
  <c r="K63" i="2"/>
  <c r="H63" i="2"/>
  <c r="D63" i="2"/>
  <c r="I63" i="2"/>
  <c r="L63" i="2"/>
  <c r="D41" i="2"/>
  <c r="J41" i="2"/>
  <c r="I41" i="2"/>
  <c r="E41" i="2"/>
  <c r="C41" i="2"/>
  <c r="F41" i="2"/>
  <c r="H41" i="2"/>
  <c r="G41" i="2"/>
  <c r="K41" i="2"/>
  <c r="L41" i="2"/>
  <c r="K68" i="2"/>
  <c r="I68" i="2"/>
  <c r="H68" i="2"/>
  <c r="C68" i="2"/>
  <c r="G68" i="2"/>
  <c r="F68" i="2"/>
  <c r="J68" i="2"/>
  <c r="D68" i="2"/>
  <c r="E68" i="2"/>
  <c r="L68" i="2"/>
  <c r="D28" i="2"/>
  <c r="C28" i="2"/>
  <c r="J28" i="2"/>
  <c r="I28" i="2"/>
  <c r="H28" i="2"/>
  <c r="G28" i="2"/>
  <c r="E28" i="2"/>
  <c r="K28" i="2"/>
  <c r="F28" i="2"/>
  <c r="L28" i="2"/>
  <c r="Q10" i="2"/>
  <c r="R10" i="2" s="1"/>
  <c r="Q6" i="2"/>
  <c r="R6" i="2" s="1"/>
  <c r="Q8" i="2"/>
  <c r="R8" i="2" s="1"/>
  <c r="Q12" i="2"/>
  <c r="R12" i="2" s="1"/>
  <c r="L14" i="2" s="1"/>
  <c r="Q11" i="2"/>
  <c r="R11" i="2" s="1"/>
  <c r="Q9" i="2"/>
  <c r="R9" i="2" s="1"/>
  <c r="Q7" i="2"/>
  <c r="R7" i="2" s="1"/>
  <c r="Q4" i="2"/>
  <c r="R4" i="2" s="1"/>
  <c r="L40" i="2" s="1"/>
  <c r="Q5" i="2"/>
  <c r="R5" i="2" s="1"/>
  <c r="J71" i="2"/>
  <c r="G71" i="2"/>
  <c r="E71" i="2"/>
  <c r="C71" i="2"/>
  <c r="K71" i="2"/>
  <c r="F71" i="2"/>
  <c r="D71" i="2"/>
  <c r="I71" i="2"/>
  <c r="H71" i="2"/>
  <c r="L71" i="2"/>
  <c r="D66" i="2"/>
  <c r="I66" i="2"/>
  <c r="H66" i="2"/>
  <c r="K66" i="2"/>
  <c r="G66" i="2"/>
  <c r="F66" i="2"/>
  <c r="E66" i="2"/>
  <c r="C66" i="2"/>
  <c r="J66" i="2"/>
  <c r="L66" i="2"/>
  <c r="C14" i="2"/>
  <c r="G14" i="2"/>
  <c r="F14" i="2"/>
  <c r="D14" i="2"/>
  <c r="I14" i="2"/>
  <c r="H14" i="2"/>
  <c r="E14" i="2"/>
  <c r="K14" i="2"/>
  <c r="J14" i="2"/>
  <c r="E46" i="2"/>
  <c r="K46" i="2"/>
  <c r="H46" i="2"/>
  <c r="F46" i="2"/>
  <c r="D46" i="2"/>
  <c r="C46" i="2"/>
  <c r="J46" i="2"/>
  <c r="I46" i="2"/>
  <c r="G46" i="2"/>
  <c r="L46" i="2"/>
  <c r="K36" i="2"/>
  <c r="H36" i="2"/>
  <c r="F36" i="2"/>
  <c r="D36" i="2"/>
  <c r="G36" i="2"/>
  <c r="C36" i="2"/>
  <c r="E36" i="2"/>
  <c r="I36" i="2"/>
  <c r="J36" i="2"/>
  <c r="L36" i="2"/>
  <c r="G72" i="2"/>
  <c r="F72" i="2"/>
  <c r="K72" i="2"/>
  <c r="J72" i="2"/>
  <c r="H72" i="2"/>
  <c r="E72" i="2"/>
  <c r="D72" i="2"/>
  <c r="C72" i="2"/>
  <c r="I72" i="2"/>
  <c r="L72" i="2"/>
  <c r="K77" i="2"/>
  <c r="J77" i="2"/>
  <c r="E77" i="2"/>
  <c r="G77" i="2"/>
  <c r="F77" i="2"/>
  <c r="I77" i="2"/>
  <c r="H77" i="2"/>
  <c r="D77" i="2"/>
  <c r="C77" i="2"/>
  <c r="L77" i="2"/>
  <c r="H75" i="2"/>
  <c r="E75" i="2"/>
  <c r="G75" i="2"/>
  <c r="F75" i="2"/>
  <c r="K75" i="2"/>
  <c r="J75" i="2"/>
  <c r="D75" i="2"/>
  <c r="C75" i="2"/>
  <c r="I75" i="2"/>
  <c r="L75" i="2"/>
  <c r="H94" i="2"/>
  <c r="C94" i="2"/>
  <c r="E94" i="2"/>
  <c r="D94" i="2"/>
  <c r="K94" i="2"/>
  <c r="J94" i="2"/>
  <c r="I94" i="2"/>
  <c r="G94" i="2"/>
  <c r="F94" i="2"/>
  <c r="L94" i="2"/>
  <c r="J73" i="2"/>
  <c r="E73" i="2"/>
  <c r="D73" i="2"/>
  <c r="I73" i="2"/>
  <c r="H73" i="2"/>
  <c r="G73" i="2"/>
  <c r="F73" i="2"/>
  <c r="K73" i="2"/>
  <c r="C73" i="2"/>
  <c r="L73" i="2"/>
  <c r="E15" i="2"/>
  <c r="C15" i="2"/>
  <c r="H15" i="2"/>
  <c r="J15" i="2"/>
  <c r="G15" i="2"/>
  <c r="D15" i="2"/>
  <c r="I15" i="2"/>
  <c r="F15" i="2"/>
  <c r="K15" i="2"/>
  <c r="L15" i="2"/>
  <c r="G62" i="2"/>
  <c r="F62" i="2"/>
  <c r="E62" i="2"/>
  <c r="C62" i="2"/>
  <c r="K62" i="2"/>
  <c r="H62" i="2"/>
  <c r="D62" i="2"/>
  <c r="J62" i="2"/>
  <c r="I62" i="2"/>
  <c r="L62" i="2"/>
  <c r="K25" i="2"/>
  <c r="H25" i="2"/>
  <c r="G25" i="2"/>
  <c r="F25" i="2"/>
  <c r="E25" i="2"/>
  <c r="D25" i="2"/>
  <c r="C25" i="2"/>
  <c r="J25" i="2"/>
  <c r="I25" i="2"/>
  <c r="L25" i="2"/>
  <c r="G38" i="2"/>
  <c r="F38" i="2"/>
  <c r="K38" i="2"/>
  <c r="E38" i="2"/>
  <c r="D38" i="2"/>
  <c r="C38" i="2"/>
  <c r="J38" i="2"/>
  <c r="I38" i="2"/>
  <c r="H38" i="2"/>
  <c r="L38" i="2"/>
  <c r="J59" i="2"/>
  <c r="I59" i="2"/>
  <c r="G59" i="2"/>
  <c r="C59" i="2"/>
  <c r="K59" i="2"/>
  <c r="E59" i="2"/>
  <c r="F59" i="2"/>
  <c r="H59" i="2"/>
  <c r="D59" i="2"/>
  <c r="L59" i="2"/>
  <c r="I102" i="2"/>
  <c r="G102" i="2"/>
  <c r="F102" i="2"/>
  <c r="D102" i="2"/>
  <c r="C102" i="2"/>
  <c r="H102" i="2"/>
  <c r="E102" i="2"/>
  <c r="J102" i="2"/>
  <c r="K102" i="2"/>
  <c r="L102" i="2"/>
  <c r="C5" i="2"/>
  <c r="K5" i="2"/>
  <c r="J5" i="2"/>
  <c r="I5" i="2"/>
  <c r="H5" i="2"/>
  <c r="E5" i="2"/>
  <c r="F5" i="2"/>
  <c r="D5" i="2"/>
  <c r="G5" i="2"/>
  <c r="H8" i="2"/>
  <c r="F8" i="2"/>
  <c r="J8" i="2"/>
  <c r="E8" i="2"/>
  <c r="D8" i="2"/>
  <c r="C8" i="2"/>
  <c r="I8" i="2"/>
  <c r="G8" i="2"/>
  <c r="K8" i="2"/>
  <c r="G57" i="2"/>
  <c r="D57" i="2"/>
  <c r="C57" i="2"/>
  <c r="K57" i="2"/>
  <c r="J57" i="2"/>
  <c r="I57" i="2"/>
  <c r="E57" i="2"/>
  <c r="H57" i="2"/>
  <c r="F57" i="2"/>
  <c r="L57" i="2"/>
  <c r="F48" i="2"/>
  <c r="E48" i="2"/>
  <c r="C48" i="2"/>
  <c r="K48" i="2"/>
  <c r="D48" i="2"/>
  <c r="J48" i="2"/>
  <c r="I48" i="2"/>
  <c r="H48" i="2"/>
  <c r="G48" i="2"/>
  <c r="L48" i="2"/>
  <c r="F17" i="2"/>
  <c r="E17" i="2"/>
  <c r="J17" i="2"/>
  <c r="G17" i="2"/>
  <c r="D17" i="2"/>
  <c r="C17" i="2"/>
  <c r="K17" i="2"/>
  <c r="I17" i="2"/>
  <c r="H17" i="2"/>
  <c r="L17" i="2"/>
  <c r="H99" i="2"/>
  <c r="C99" i="2"/>
  <c r="K99" i="2"/>
  <c r="J99" i="2"/>
  <c r="I99" i="2"/>
  <c r="G99" i="2"/>
  <c r="E99" i="2"/>
  <c r="F99" i="2"/>
  <c r="D99" i="2"/>
  <c r="L99" i="2"/>
  <c r="G6" i="2"/>
  <c r="E6" i="2"/>
  <c r="D6" i="2"/>
  <c r="K6" i="2"/>
  <c r="J6" i="2"/>
  <c r="H6" i="2"/>
  <c r="I6" i="2"/>
  <c r="F6" i="2"/>
  <c r="C6" i="2"/>
  <c r="I100" i="2"/>
  <c r="H100" i="2"/>
  <c r="F100" i="2"/>
  <c r="E100" i="2"/>
  <c r="G100" i="2"/>
  <c r="K100" i="2"/>
  <c r="D100" i="2"/>
  <c r="J100" i="2"/>
  <c r="C100" i="2"/>
  <c r="L100" i="2"/>
  <c r="K20" i="2"/>
  <c r="J20" i="2"/>
  <c r="I20" i="2"/>
  <c r="H20" i="2"/>
  <c r="F20" i="2"/>
  <c r="C20" i="2"/>
  <c r="G20" i="2"/>
  <c r="E20" i="2"/>
  <c r="D20" i="2"/>
  <c r="L20" i="2"/>
  <c r="J16" i="2"/>
  <c r="K16" i="2"/>
  <c r="H16" i="2"/>
  <c r="G16" i="2"/>
  <c r="F16" i="2"/>
  <c r="C16" i="2"/>
  <c r="D16" i="2"/>
  <c r="E16" i="2"/>
  <c r="I16" i="2"/>
  <c r="L16" i="2"/>
  <c r="E91" i="2"/>
  <c r="C91" i="2"/>
  <c r="J91" i="2"/>
  <c r="D91" i="2"/>
  <c r="I91" i="2"/>
  <c r="H91" i="2"/>
  <c r="G91" i="2"/>
  <c r="F91" i="2"/>
  <c r="K91" i="2"/>
  <c r="L91" i="2"/>
  <c r="D49" i="2"/>
  <c r="C49" i="2"/>
  <c r="I49" i="2"/>
  <c r="K49" i="2"/>
  <c r="H49" i="2"/>
  <c r="G49" i="2"/>
  <c r="F49" i="2"/>
  <c r="E49" i="2"/>
  <c r="J49" i="2"/>
  <c r="L49" i="2"/>
  <c r="I82" i="2"/>
  <c r="H82" i="2"/>
  <c r="C82" i="2"/>
  <c r="G82" i="2"/>
  <c r="F82" i="2"/>
  <c r="E82" i="2"/>
  <c r="K82" i="2"/>
  <c r="J82" i="2"/>
  <c r="D82" i="2"/>
  <c r="L82" i="2"/>
  <c r="G87" i="2"/>
  <c r="F87" i="2"/>
  <c r="C87" i="2"/>
  <c r="K87" i="2"/>
  <c r="J87" i="2"/>
  <c r="I87" i="2"/>
  <c r="H87" i="2"/>
  <c r="D87" i="2"/>
  <c r="E87" i="2"/>
  <c r="L87" i="2"/>
  <c r="G13" i="2"/>
  <c r="J13" i="2"/>
  <c r="I13" i="2"/>
  <c r="F13" i="2"/>
  <c r="E13" i="2"/>
  <c r="C13" i="2"/>
  <c r="H13" i="2"/>
  <c r="D13" i="2"/>
  <c r="K13" i="2"/>
  <c r="L13" i="2"/>
  <c r="D40" i="2"/>
  <c r="J40" i="2"/>
  <c r="C40" i="2"/>
  <c r="K40" i="2"/>
  <c r="G40" i="2"/>
  <c r="I40" i="2"/>
  <c r="H40" i="2"/>
  <c r="F40" i="2"/>
  <c r="E40" i="2"/>
  <c r="H52" i="2"/>
  <c r="G52" i="2"/>
  <c r="E52" i="2"/>
  <c r="C52" i="2"/>
  <c r="I52" i="2"/>
  <c r="F52" i="2"/>
  <c r="D52" i="2"/>
  <c r="K52" i="2"/>
  <c r="J52" i="2"/>
  <c r="L52" i="2"/>
  <c r="C29" i="2"/>
  <c r="I29" i="2"/>
  <c r="F29" i="2"/>
  <c r="E29" i="2"/>
  <c r="D29" i="2"/>
  <c r="K29" i="2"/>
  <c r="J29" i="2"/>
  <c r="H29" i="2"/>
  <c r="G29" i="2"/>
  <c r="L29" i="2"/>
  <c r="L6" i="2" l="1"/>
  <c r="L5" i="2"/>
  <c r="L7" i="2"/>
  <c r="L9" i="2"/>
  <c r="L12" i="2"/>
  <c r="L8" i="2"/>
  <c r="L10" i="2"/>
  <c r="L11" i="2"/>
  <c r="L4" i="2"/>
</calcChain>
</file>

<file path=xl/sharedStrings.xml><?xml version="1.0" encoding="utf-8"?>
<sst xmlns="http://schemas.openxmlformats.org/spreadsheetml/2006/main" count="6828" uniqueCount="1446">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</sst>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0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5" fillId="5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opLeftCell="F1" zoomScale="60" zoomScaleNormal="60" workbookViewId="0">
      <pane ySplit="4" topLeftCell="A15" activePane="bottomLeft" state="frozen"/>
      <selection pane="bottomLeft" activeCell="AB60" sqref="AB43:AB60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50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</row>
    <row r="2" spans="1:67" ht="12.75" customHeight="1" x14ac:dyDescent="0.3">
      <c r="A2" s="151" t="str">
        <f>"Times shown in GMT" &amp; IF(GmtOffset=0,"",IF(GmtOffset&gt;0," + "&amp;GmtOffset&amp;"h"," "&amp;GmtOffset&amp;"h"))</f>
        <v>Times shown in GMT + 2h</v>
      </c>
      <c r="B2" s="151"/>
      <c r="C2" s="151"/>
      <c r="D2" s="151"/>
      <c r="E2" s="151"/>
      <c r="F2" s="151"/>
      <c r="G2" s="151"/>
      <c r="H2" s="151"/>
      <c r="I2" s="1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2" t="s">
        <v>1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4"/>
      <c r="S3" s="153" t="s">
        <v>2</v>
      </c>
      <c r="T3" s="153"/>
      <c r="U3" s="153"/>
      <c r="V3" s="153"/>
      <c r="W3" s="153" t="s">
        <v>3</v>
      </c>
      <c r="X3" s="153"/>
      <c r="Y3" s="153"/>
      <c r="Z3" s="153"/>
      <c r="AA3" s="153" t="s">
        <v>4</v>
      </c>
      <c r="AB3" s="153"/>
      <c r="AC3" s="153"/>
      <c r="AD3" s="153"/>
      <c r="AE3" s="153" t="s">
        <v>5</v>
      </c>
      <c r="AF3" s="153"/>
      <c r="AG3" s="153"/>
      <c r="AH3" s="153"/>
      <c r="AI3" s="153" t="s">
        <v>6</v>
      </c>
      <c r="AJ3" s="153"/>
      <c r="AK3" s="153"/>
      <c r="AL3" s="153"/>
      <c r="AM3" s="3"/>
      <c r="AN3" s="3"/>
    </row>
    <row r="4" spans="1:67" ht="27.75" customHeight="1" x14ac:dyDescent="0.55000000000000004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6" t="s">
        <v>14</v>
      </c>
      <c r="L5" s="146"/>
      <c r="M5" s="146"/>
      <c r="N5" s="146"/>
      <c r="O5" s="146"/>
      <c r="P5" s="146"/>
      <c r="Q5" s="146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>
        <v>0</v>
      </c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>
        <v>1</v>
      </c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0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0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France</v>
      </c>
      <c r="AB11" s="10">
        <v>2</v>
      </c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Morocco</v>
      </c>
      <c r="AB12" s="16">
        <v>0</v>
      </c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0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0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>
        <v>0</v>
      </c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>
        <v>3</v>
      </c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France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Spain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>
        <v>1</v>
      </c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>
        <v>2</v>
      </c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Spain</v>
      </c>
      <c r="AB27" s="10">
        <v>2</v>
      </c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Belgium</v>
      </c>
      <c r="AB28" s="16">
        <v>1</v>
      </c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>
        <v>2</v>
      </c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>
        <v>3</v>
      </c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>
        <v>2</v>
      </c>
      <c r="G33" s="7">
        <v>1</v>
      </c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>
        <v>0</v>
      </c>
      <c r="G34" s="7">
        <v>2</v>
      </c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7" t="s">
        <v>52</v>
      </c>
      <c r="AJ38" s="147"/>
      <c r="AK38" s="147"/>
      <c r="AL38" s="147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>
        <v>0</v>
      </c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>
        <v>1</v>
      </c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8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8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1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0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9" t="s">
        <v>59</v>
      </c>
      <c r="AJ42" s="149"/>
      <c r="AK42" s="149"/>
      <c r="AL42" s="149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Norway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England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>
        <v>1</v>
      </c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>
        <v>4</v>
      </c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Argentina</v>
      </c>
      <c r="X55" s="10">
        <v>3</v>
      </c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Egypt</v>
      </c>
      <c r="X56" s="16">
        <v>2</v>
      </c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>
        <v>1</v>
      </c>
      <c r="U57" s="10">
        <v>2</v>
      </c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>
        <v>1</v>
      </c>
      <c r="U58" s="16">
        <v>1</v>
      </c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Argentina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Switzerland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3</v>
      </c>
      <c r="BF60">
        <f t="array" ref="BF60">SUMPRODUCT((E59:E64=BD60)*ISNUMBER(F59:F64)*ISNUMBER(G59:G64)*(F59:F64&gt;G59:G64))+SUMPRODUCT((H59:H64=BD60)*ISNUMBER(F59:F64)*ISNUMBER(G59:G64)*(G59:G64&gt;F59:F64))</f>
        <v>3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8</v>
      </c>
      <c r="BJ60">
        <f t="array" ref="BJ60">SUMPRODUCT((E59:E64=BD60)*IFERROR(G59:G64,0))+SUMPRODUCT((H59:H64=BD60)*IFERROR(F59:F64,0))</f>
        <v>1</v>
      </c>
      <c r="BK60">
        <f>BF60*3+BG60</f>
        <v>9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>
        <v>1</v>
      </c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3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1</v>
      </c>
      <c r="BH61">
        <f>BE61-BF61-BG61</f>
        <v>1</v>
      </c>
      <c r="BI61">
        <f t="array" ref="BI61">SUMPRODUCT((E59:E64=BD61)*IFERROR(F59:F64,0))+SUMPRODUCT((H59:H64=BD61)*IFERROR(G59:G64,0))</f>
        <v>5</v>
      </c>
      <c r="BJ61">
        <f t="array" ref="BJ61">SUMPRODUCT((E59:E64=BD61)*IFERROR(G59:G64,0))+SUMPRODUCT((H59:H64=BD61)*IFERROR(F59:F64,0))</f>
        <v>7</v>
      </c>
      <c r="BK61">
        <f>BF61*3+BG61</f>
        <v>4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>
        <v>0</v>
      </c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3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1</v>
      </c>
      <c r="BH62">
        <f>BE62-BF62-BG62</f>
        <v>1</v>
      </c>
      <c r="BI62">
        <f t="array" ref="BI62">SUMPRODUCT((E59:E64=BD62)*IFERROR(F59:F64,0))+SUMPRODUCT((H59:H64=BD62)*IFERROR(G59:G64,0))</f>
        <v>6</v>
      </c>
      <c r="BJ62">
        <f t="array" ref="BJ62">SUMPRODUCT((E59:E64=BD62)*IFERROR(G59:G64,0))+SUMPRODUCT((H59:H64=BD62)*IFERROR(F59:F64,0))</f>
        <v>6</v>
      </c>
      <c r="BK62">
        <f>BF62*3+BG62</f>
        <v>4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>
        <v>1</v>
      </c>
      <c r="G63" s="7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>
        <v>0</v>
      </c>
      <c r="Y63" s="10">
        <v>0</v>
      </c>
      <c r="Z63" s="10">
        <v>4</v>
      </c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3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3</v>
      </c>
      <c r="BI63">
        <f t="array" ref="BI63">SUMPRODUCT((E59:E64=BD63)*IFERROR(F59:F64,0))+SUMPRODUCT((H59:H64=BD63)*IFERROR(G59:G64,0))</f>
        <v>3</v>
      </c>
      <c r="BJ63">
        <f t="array" ref="BJ63">SUMPRODUCT((E59:E64=BD63)*IFERROR(G59:G64,0))+SUMPRODUCT((H59:H64=BD63)*IFERROR(F59:F64,0))</f>
        <v>8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>
        <v>3</v>
      </c>
      <c r="G64" s="7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Colombia</v>
      </c>
      <c r="X64" s="16">
        <v>0</v>
      </c>
      <c r="Y64" s="16">
        <v>0</v>
      </c>
      <c r="Z64" s="16">
        <v>3</v>
      </c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>
        <v>1</v>
      </c>
      <c r="U65" s="10">
        <v>0</v>
      </c>
      <c r="V65" s="10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>
        <v>1</v>
      </c>
      <c r="U66" s="16">
        <v>0</v>
      </c>
      <c r="V66" s="16">
        <v>4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3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2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5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3</v>
      </c>
      <c r="BF67">
        <f t="array" ref="BF67">SUMPRODUCT((E65:E70=BD67)*ISNUMBER(F65:F70)*ISNUMBER(G65:G70)*(F65:F70&gt;G65:G70))+SUMPRODUCT((H65:H70=BD67)*ISNUMBER(F65:F70)*ISNUMBER(G65:G70)*(G65:G70&gt;F65:F70))</f>
        <v>1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4</v>
      </c>
      <c r="BJ67">
        <f t="array" ref="BJ67">SUMPRODUCT((E65:E70=BD67)*IFERROR(G65:G70,0))+SUMPRODUCT((H65:H70=BD67)*IFERROR(F65:F70,0))</f>
        <v>3</v>
      </c>
      <c r="BK67">
        <f>BF67*3+BG67</f>
        <v>4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3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3</v>
      </c>
      <c r="BI68">
        <f t="array" ref="BI68">SUMPRODUCT((E65:E70=BD68)*IFERROR(F65:F70,0))+SUMPRODUCT((H65:H70=BD68)*IFERROR(G65:G70,0))</f>
        <v>2</v>
      </c>
      <c r="BJ68">
        <f t="array" ref="BJ68">SUMPRODUCT((E65:E70=BD68)*IFERROR(G65:G70,0))+SUMPRODUCT((H65:H70=BD68)*IFERROR(F65:F70,0))</f>
        <v>11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>
        <v>0</v>
      </c>
      <c r="G69" s="7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3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1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7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>
        <v>3</v>
      </c>
      <c r="G70" s="7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3</v>
      </c>
      <c r="BF72">
        <f t="array" ref="BF72">SUMPRODUCT((E71:E76=BD72)*ISNUMBER(F71:F76)*ISNUMBER(G71:G76)*(F71:F76&gt;G71:G76))+SUMPRODUCT((H71:H76=BD72)*ISNUMBER(F71:F76)*ISNUMBER(G71:G76)*(G71:G76&gt;F71:F76))</f>
        <v>2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6</v>
      </c>
      <c r="BJ72">
        <f t="array" ref="BJ72">SUMPRODUCT((E71:E76=BD72)*IFERROR(G71:G76,0))+SUMPRODUCT((H71:H76=BD72)*IFERROR(F71:F76,0))</f>
        <v>2</v>
      </c>
      <c r="BK72">
        <f>BF72*3+BG72</f>
        <v>7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3</v>
      </c>
      <c r="BF73">
        <f t="array" ref="BF73">SUMPRODUCT((E71:E76=BD73)*ISNUMBER(F71:F76)*ISNUMBER(G71:G76)*(F71:F76&gt;G71:G76))+SUMPRODUCT((H71:H76=BD73)*ISNUMBER(F71:F76)*ISNUMBER(G71:G76)*(G71:G76&gt;F71:F76))</f>
        <v>2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5</v>
      </c>
      <c r="BJ73">
        <f t="array" ref="BJ73">SUMPRODUCT((E71:E76=BD73)*IFERROR(G71:G76,0))+SUMPRODUCT((H71:H76=BD73)*IFERROR(F71:F76,0))</f>
        <v>5</v>
      </c>
      <c r="BK73">
        <f>BF73*3+BG73</f>
        <v>6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3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1</v>
      </c>
      <c r="BI74">
        <f t="array" ref="BI74">SUMPRODUCT((E71:E76=BD74)*IFERROR(F71:F76,0))+SUMPRODUCT((H71:H76=BD74)*IFERROR(G71:G76,0))</f>
        <v>2</v>
      </c>
      <c r="BJ74">
        <f t="array" ref="BJ74">SUMPRODUCT((E71:E76=BD74)*IFERROR(G71:G76,0))+SUMPRODUCT((H71:H76=BD74)*IFERROR(F71:F76,0))</f>
        <v>2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>
        <v>0</v>
      </c>
      <c r="G75" s="7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3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3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4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>
        <v>2</v>
      </c>
      <c r="G76" s="7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DR Congo</v>
      </c>
      <c r="AW81" t="str">
        <f>IFERROR(INDEX($AN$81:$AN$92,MATCH(1,$AT$81:$AT$92,0)),"")</f>
        <v>K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I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5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11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7</v>
      </c>
      <c r="AV84" t="str">
        <f>IFERROR(INDEX($AQ$81:$AQ$92,MATCH(4,$AT$81:$AT$92,0)),"")</f>
        <v>Ghana</v>
      </c>
      <c r="AW84" t="str">
        <f>IFERROR(INDEX($AN$81:$AN$92,MATCH(4,$AT$81:$AT$92,0)),"")</f>
        <v>L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Bosnia &amp; Herzegovina</v>
      </c>
      <c r="AW85" t="str">
        <f>IFERROR(INDEX($AN$81:$AN$92,MATCH(5,$AT$81:$AT$92,0)),"")</f>
        <v>B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Paraguay</v>
      </c>
      <c r="AW87" t="str">
        <f>IFERROR(INDEX($AN$81:$AN$92,MATCH(7,$AT$81:$AT$92,0)),"")</f>
        <v>D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12</v>
      </c>
      <c r="AV88" t="str">
        <f>IFERROR(INDEX($AQ$81:$AQ$92,MATCH(8,$AT$81:$AT$92,0)),"")</f>
        <v>Senegal</v>
      </c>
      <c r="AW88" t="str">
        <f>IFERROR(INDEX($AN$81:$AN$92,MATCH(8,$AT$81:$AT$92,0)),"")</f>
        <v>I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4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4</v>
      </c>
      <c r="AS91">
        <f>IFERROR(INDEX(BI66:BI69,MATCH(3,BL66:BL69,0))-INDEX(BJ66:BJ69,MATCH(3,BL66:BL69,0)),0)</f>
        <v>1</v>
      </c>
      <c r="AT91">
        <f t="array" ref="AT91">SUMPRODUCT((($AR$81:$AR$92*1000000000000+($AS$81:$AS$92+20)*100000000+$BU$81:$BU$92*10000-ROW($AR$81:$AR$92))&gt;(AR91*1000000000000+(AS91+20)*100000000+BU91*10000-ROW(AR91)))*1)+1</f>
        <v>1</v>
      </c>
      <c r="BU91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4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4</v>
      </c>
      <c r="BU92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selection activeCell="B12" sqref="B12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4" t="s">
        <v>92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N1" s="155" t="s">
        <v>93</v>
      </c>
      <c r="O1" s="155"/>
      <c r="P1" s="155"/>
      <c r="Q1" s="155"/>
      <c r="R1" s="155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 xml:space="preserve">Paulius Bernotas 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141.5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128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100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543.5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Kamran Mikayilov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139.5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102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128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100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541.5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Aurimas Šumbrauskis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145.5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102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120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100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539.5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Renata Čižauskienė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145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102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128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90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537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Benas&amp;Šaras Oleknavičius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142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102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120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100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536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Raimondas Juška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137.5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102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120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100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531.5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Simona Jociūtė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144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96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128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90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530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Justinas Novoruckis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137.5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102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128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90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529.5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1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Elijus Benetis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139.5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96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128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90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525.5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Benediktas Babraitis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141.5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102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128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80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523.5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Slava Maltsev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140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68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102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112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100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522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Paulina Bungardė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135.5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102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112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100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521.5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Ivan Manev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139.5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96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112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100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519.5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Gintautas Beržanskis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133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72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102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112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100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519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Alberto Canova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135.5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72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90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120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100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517.5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15</v>
      </c>
      <c r="B19" s="27" t="str">
        <f>IF(16&gt;COUNTIF(' Toto teams'!$A$4:$A$119,"&lt;&gt;"),"",INDEX(' Toto teams'!$A$4:$A$119,MATCH(LARGE(' Toto teams'!$T$4:$T$119,16),' Toto teams'!$T$4:$T$119,0)))</f>
        <v>Simonas Sipavičius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135.5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68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96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128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90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517.5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15</v>
      </c>
      <c r="B20" s="27" t="str">
        <f>IF(17&gt;COUNTIF(' Toto teams'!$A$4:$A$119,"&lt;&gt;"),"",INDEX(' Toto teams'!$A$4:$A$119,MATCH(LARGE(' Toto teams'!$T$4:$T$119,17),' Toto teams'!$T$4:$T$119,0)))</f>
        <v>Deividas Jančius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139.5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102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104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100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517.5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Gintas Bungarda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138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68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96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112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100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514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Gianmarco Monti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140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72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96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104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100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512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Davide Speranza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147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68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102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104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90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511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Danielius Pažusys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136.5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68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96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120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90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510.5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Saulius Pipiras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131.5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102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112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90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507.5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22</v>
      </c>
      <c r="B26" s="27" t="str">
        <f>IF(23&gt;COUNTIF(' Toto teams'!$A$4:$A$119,"&lt;&gt;"),"",INDEX(' Toto teams'!$A$4:$A$119,MATCH(LARGE(' Toto teams'!$T$4:$T$119,23),' Toto teams'!$T$4:$T$119,0)))</f>
        <v>Giedrius Stanulis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137.5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102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136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60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507.5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Giedrius Šadbaras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134.5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68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96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128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80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506.5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Arnoldas Molis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138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102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104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90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506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Dainius Breivė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137.5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72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102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104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90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505.5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Benas VII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141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64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90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120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90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505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Donatas Bakėjus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137.5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72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96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96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100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501.5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Thomas Wolke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125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68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96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112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100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501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Darius Jalo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137.5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72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102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128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60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499.5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Mindaugas Čižauskas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131.5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64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96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104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100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495.5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Todor Velikov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140.5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72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102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120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60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494.5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Deividas Jodenis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122.5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64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96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112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100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494.5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Partrikas Oleknavičius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134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102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96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90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494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Jokūbas Kušleika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134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68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96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96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100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494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Benas Bruzga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72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90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104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90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491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Dovilė Smetonė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128.5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68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90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104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100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490.5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>Jonas Juška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135.5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68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90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96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100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489.5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Nadia Mercurio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139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68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96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96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90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489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Donatas Pocius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136.5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102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88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90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488.5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40</v>
      </c>
      <c r="B44" s="27" t="str">
        <f>IF(41&gt;COUNTIF(' Toto teams'!$A$4:$A$119,"&lt;&gt;"),"",INDEX(' Toto teams'!$A$4:$A$119,MATCH(LARGE(' Toto teams'!$T$4:$T$119,41),' Toto teams'!$T$4:$T$119,0)))</f>
        <v>Enrico Ancarola, Pietro Rivera, Riccardo Gatti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136.5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72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102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88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90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488.5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Gedas Girdžiūnas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136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68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96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104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80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484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Nikolay Lenkov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127.5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68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102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96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90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483.5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44</v>
      </c>
      <c r="B47" s="27" t="str">
        <f>IF(44&gt;COUNTIF(' Toto teams'!$A$4:$A$119,"&lt;&gt;"),"",INDEX(' Toto teams'!$A$4:$A$119,MATCH(LARGE(' Toto teams'!$T$4:$T$119,44),' Toto teams'!$T$4:$T$119,0)))</f>
        <v>Vytautas Gliaubicas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125.5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68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102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96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90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481.5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Tomas Šunskis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134.5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102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112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60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480.5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Pijus Jalo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138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68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96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88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90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480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Karolis Marcinkevičius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130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68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102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128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50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478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48</v>
      </c>
      <c r="B51" s="27" t="str">
        <f>IF(48&gt;COUNTIF(' Toto teams'!$A$4:$A$119,"&lt;&gt;"),"",INDEX(' Toto teams'!$A$4:$A$119,MATCH(LARGE(' Toto teams'!$T$4:$T$119,48),' Toto teams'!$T$4:$T$119,0)))</f>
        <v>Martynas Bruzga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134.5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72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102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88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80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476.5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Edita Oršauskė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127.5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68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102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88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90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475.5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Donatas Keras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136.5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72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78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96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90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472.5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Aurimas Oleknavičius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127.5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72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102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80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90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471.5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Evelina Tiščenkė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133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64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96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88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90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471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52</v>
      </c>
      <c r="B56" s="27" t="str">
        <f>IF(53&gt;COUNTIF(' Toto teams'!$A$4:$A$119,"&lt;&gt;"),"",INDEX(' Toto teams'!$A$4:$A$119,MATCH(LARGE(' Toto teams'!$T$4:$T$119,53),' Toto teams'!$T$4:$T$119,0)))</f>
        <v>Artem Lavrov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145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102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96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60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471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Saulius Lileikis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135.5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72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90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112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60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469.5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54</v>
      </c>
      <c r="B58" s="27" t="str">
        <f>IF(55&gt;COUNTIF(' Toto teams'!$A$4:$A$119,"&lt;&gt;"),"",INDEX(' Toto teams'!$A$4:$A$119,MATCH(LARGE(' Toto teams'!$T$4:$T$119,55),' Toto teams'!$T$4:$T$119,0)))</f>
        <v>Tihomir Chakarov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131.5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72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102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104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60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469.5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Yagub Alizada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131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72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102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104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60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469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Rustam Roikov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129.5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68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90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80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100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467.5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Dobilas III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131.5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72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90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112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60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465.5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Simas Baubonis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141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72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102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80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70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465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Ernesta Čebienė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133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72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96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72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90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463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Zaur Yusubov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140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72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102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88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60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462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Alexey Nikitenko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121.5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64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96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88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90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459.5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Audi club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139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68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96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96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60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459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Sofus Wolke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126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72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90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80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90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458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Žygimantas Ryliškis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127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68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90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88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80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453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Gintas Bungarda 2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128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72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102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80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70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452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Anton Panasenko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121.5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68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96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104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60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449.5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67</v>
      </c>
      <c r="B71" s="27" t="str">
        <f>IF(68&gt;COUNTIF(' Toto teams'!$A$4:$A$119,"&lt;&gt;"),"",INDEX(' Toto teams'!$A$4:$A$119,MATCH(LARGE(' Toto teams'!$T$4:$T$119,68),' Toto teams'!$T$4:$T$119,0)))</f>
        <v>Paolo Papiri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129.5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68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90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72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90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449.5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Joris Jalo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122.5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68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96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72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90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448.5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70</v>
      </c>
      <c r="B73" s="27" t="str">
        <f>IF(70&gt;COUNTIF(' Toto teams'!$A$4:$A$119,"&lt;&gt;"),"",INDEX(' Toto teams'!$A$4:$A$119,MATCH(LARGE(' Toto teams'!$T$4:$T$119,70),' Toto teams'!$T$4:$T$119,0)))</f>
        <v>Sergey Zhaltuchin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138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72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96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72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70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448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Juozas Žimkus Jr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132.5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72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84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96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60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444.5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Edgar Moroz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125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72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102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80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60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439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Michele Sette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116.5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64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90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72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90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432.5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Rimas Baubonis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118.5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72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102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80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60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432.5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Giuseppe Diana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118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68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96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80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70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432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Mario Calvi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126.5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68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78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96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60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428.5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Rolandas Urbelis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128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68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90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72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70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428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Lukas Vaitukaitis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122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102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64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70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426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Andrea Signorini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128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96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80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50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422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Sigitas Šarauskis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125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64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84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88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60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421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Virginija Čižauskienė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135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84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72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60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419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Alius Antulis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117.5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68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96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72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60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413.5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82</v>
      </c>
      <c r="B86" s="27" t="str">
        <f>IF(83&gt;COUNTIF(' Toto teams'!$A$4:$A$119,"&lt;&gt;"),"",INDEX(' Toto teams'!$A$4:$A$119,MATCH(LARGE(' Toto teams'!$T$4:$T$119,83),' Toto teams'!$T$4:$T$119,0)))</f>
        <v>Vaidas Pažusys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137.5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72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78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96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30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413.5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Denis Kazarezov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115.5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90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64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70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407.5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84</v>
      </c>
      <c r="B88" s="27" t="str">
        <f>IF(85&gt;COUNTIF(' Toto teams'!$A$4:$A$119,"&lt;&gt;"),"",INDEX(' Toto teams'!$A$4:$A$119,MATCH(LARGE(' Toto teams'!$T$4:$T$119,85),' Toto teams'!$T$4:$T$119,0)))</f>
        <v>N&amp;A Pociai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117.5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68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96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56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70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407.5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Egidijus Navickas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119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68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102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56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60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405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Sigitas Petraitis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126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72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96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48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60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402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Dainius Visackas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115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72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90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64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60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401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Miglė Juškaitė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122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72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102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72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30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398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Jurga Šantaraitė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117.5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68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72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72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60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389.5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Algirdas Čižauskas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124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72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84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64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40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384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91</v>
      </c>
      <c r="B95" s="27" t="str">
        <f>IF(92&gt;COUNTIF(' Toto teams'!$A$4:$A$119,"&lt;&gt;"),"",INDEX(' Toto teams'!$A$4:$A$119,MATCH(LARGE(' Toto teams'!$T$4:$T$119,92),' Toto teams'!$T$4:$T$119,0)))</f>
        <v>Vytautas Podrezas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112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68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96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48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60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384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Lukas Danielevičius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121.5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60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60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80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60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381.5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Mindaugas Sipavičius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120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72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66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56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60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374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Sampaio Carlos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117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72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96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48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40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373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Simonas Anikinas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128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72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60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72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40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372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Susie Wolke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139.5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72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60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64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30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365.5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Arūnas Čižauskas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122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72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84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40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40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358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Kristina I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121.5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66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56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40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355.5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Titas Jodenis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124.5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66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48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30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340.5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Egidijus Mačiukas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118.5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68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54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40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50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330.5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Tomas Bruzga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112.5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72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66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48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20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318.5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Eugenijus Petrošius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72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16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20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291.5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52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72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32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30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283.5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Donatas Celesius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117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64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66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247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abSelected="1"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6" t="s">
        <v>112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210</v>
      </c>
      <c r="K4" s="28">
        <f>IFERROR(VLOOKUP(C4,Scoring!$A$4:$N$51,14,FALSE())*4,"-")</f>
        <v>108</v>
      </c>
      <c r="L4" s="28">
        <f>IFERROR(VLOOKUP(D4,Scoring!$A$4:$N$51,14,FALSE())*3,"-")</f>
        <v>75</v>
      </c>
      <c r="M4" s="28">
        <f>IFERROR(VLOOKUP(E4,Scoring!$A$4:$N$51,14,FALSE())*2,"-")</f>
        <v>22</v>
      </c>
      <c r="N4" s="28">
        <f>IFERROR(VLOOKUP(F4,Scoring!$A$4:$N$51,14,FALSE()),"-")</f>
        <v>17</v>
      </c>
      <c r="O4" s="28">
        <f>IFERROR(VLOOKUP(G4,Scoring!$A$4:$N$51,14,FALSE()),"-")</f>
        <v>24</v>
      </c>
      <c r="P4" s="29">
        <f>IFERROR(VLOOKUP(H4,Scoring!$A$4:$N$51,14,FALSE()),"-")</f>
        <v>8</v>
      </c>
      <c r="Q4" s="29">
        <f>IFERROR(VLOOKUP(I4,Scoring!$A$4:$N$51,6,FALSE()),"-")</f>
        <v>5.5</v>
      </c>
      <c r="R4" s="36">
        <f t="shared" ref="R4:R35" si="0">IF(A4="","-",SUM(J4:Q4))</f>
        <v>469.5</v>
      </c>
      <c r="S4">
        <f t="shared" ref="S4:S35" si="1">IF(A4="","",RANK(R4,$R$4:$R$119))</f>
        <v>54</v>
      </c>
      <c r="T4">
        <f t="shared" ref="T4:T35" si="2">IF(A4="",-1,R4-ROW(R4)/1000000)</f>
        <v>469.49999600000001</v>
      </c>
      <c r="U4" s="44" t="s">
        <v>138</v>
      </c>
      <c r="W4" s="44"/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222</v>
      </c>
      <c r="K5" s="28">
        <f>IFERROR(VLOOKUP(C5,Scoring!$A$4:$N$51,14,FALSE())*4,"-")</f>
        <v>60</v>
      </c>
      <c r="L5" s="28">
        <f>IFERROR(VLOOKUP(D5,Scoring!$A$4:$N$51,14,FALSE())*3,"-")</f>
        <v>75</v>
      </c>
      <c r="M5" s="28">
        <f>IFERROR(VLOOKUP(E5,Scoring!$A$4:$N$51,14,FALSE())*2,"-")</f>
        <v>70</v>
      </c>
      <c r="N5" s="28">
        <f>IFERROR(VLOOKUP(F5,Scoring!$A$4:$N$51,14,FALSE()),"-")</f>
        <v>2</v>
      </c>
      <c r="O5" s="28">
        <f>IFERROR(VLOOKUP(G5,Scoring!$A$4:$N$51,14,FALSE()),"-")</f>
        <v>8</v>
      </c>
      <c r="P5" s="29">
        <f>IFERROR(VLOOKUP(H5,Scoring!$A$4:$N$51,14,FALSE()),"-")</f>
        <v>8</v>
      </c>
      <c r="Q5" s="29">
        <f>IFERROR(VLOOKUP(I5,Scoring!$A$4:$N$51,6,FALSE()),"-")</f>
        <v>8</v>
      </c>
      <c r="R5" s="36">
        <f t="shared" si="0"/>
        <v>453</v>
      </c>
      <c r="S5">
        <f t="shared" si="1"/>
        <v>65</v>
      </c>
      <c r="T5">
        <f t="shared" si="2"/>
        <v>452.99999500000001</v>
      </c>
      <c r="U5" s="44" t="s">
        <v>140</v>
      </c>
      <c r="W5" s="44"/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222</v>
      </c>
      <c r="K6" s="28">
        <f>IFERROR(VLOOKUP(C6,Scoring!$A$4:$N$51,14,FALSE())*4,"-")</f>
        <v>140</v>
      </c>
      <c r="L6" s="28">
        <f>IFERROR(VLOOKUP(D6,Scoring!$A$4:$N$51,14,FALSE())*3,"-")</f>
        <v>81</v>
      </c>
      <c r="M6" s="28">
        <f>IFERROR(VLOOKUP(E6,Scoring!$A$4:$N$51,14,FALSE())*2,"-")</f>
        <v>30</v>
      </c>
      <c r="N6" s="28">
        <f>IFERROR(VLOOKUP(F6,Scoring!$A$4:$N$51,14,FALSE()),"-")</f>
        <v>17</v>
      </c>
      <c r="O6" s="28">
        <f>IFERROR(VLOOKUP(G6,Scoring!$A$4:$N$51,14,FALSE()),"-")</f>
        <v>24</v>
      </c>
      <c r="P6" s="29">
        <f>IFERROR(VLOOKUP(H6,Scoring!$A$4:$N$51,14,FALSE()),"-")</f>
        <v>0</v>
      </c>
      <c r="Q6" s="29">
        <f>IFERROR(VLOOKUP(I6,Scoring!$A$4:$N$51,6,FALSE()),"-")</f>
        <v>8</v>
      </c>
      <c r="R6" s="36">
        <f t="shared" si="0"/>
        <v>522</v>
      </c>
      <c r="S6">
        <f t="shared" si="1"/>
        <v>11</v>
      </c>
      <c r="T6">
        <f t="shared" si="2"/>
        <v>521.99999400000002</v>
      </c>
      <c r="U6" s="44" t="s">
        <v>142</v>
      </c>
      <c r="W6" s="44"/>
    </row>
    <row r="7" spans="1:23" ht="12.75" customHeight="1" x14ac:dyDescent="0.3">
      <c r="A7" s="27" t="s">
        <v>143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210</v>
      </c>
      <c r="K7" s="28">
        <f>IFERROR(VLOOKUP(C7,Scoring!$A$4:$N$51,14,FALSE())*4,"-")</f>
        <v>148</v>
      </c>
      <c r="L7" s="28">
        <f>IFERROR(VLOOKUP(D7,Scoring!$A$4:$N$51,14,FALSE())*3,"-")</f>
        <v>75</v>
      </c>
      <c r="M7" s="28">
        <f>IFERROR(VLOOKUP(E7,Scoring!$A$4:$N$51,14,FALSE())*2,"-")</f>
        <v>30</v>
      </c>
      <c r="N7" s="28">
        <f>IFERROR(VLOOKUP(F7,Scoring!$A$4:$N$51,14,FALSE()),"-")</f>
        <v>9</v>
      </c>
      <c r="O7" s="28">
        <f>IFERROR(VLOOKUP(G7,Scoring!$A$4:$N$51,14,FALSE()),"-")</f>
        <v>24</v>
      </c>
      <c r="P7" s="29">
        <f>IFERROR(VLOOKUP(H7,Scoring!$A$4:$N$51,14,FALSE()),"-")</f>
        <v>0</v>
      </c>
      <c r="Q7" s="29">
        <f>IFERROR(VLOOKUP(I7,Scoring!$A$4:$N$51,6,FALSE()),"-")</f>
        <v>5</v>
      </c>
      <c r="R7" s="36">
        <f t="shared" si="0"/>
        <v>501</v>
      </c>
      <c r="S7">
        <f t="shared" si="1"/>
        <v>29</v>
      </c>
      <c r="T7">
        <f t="shared" si="2"/>
        <v>500.99999300000002</v>
      </c>
      <c r="U7" s="44" t="s">
        <v>144</v>
      </c>
      <c r="W7" s="44"/>
    </row>
    <row r="8" spans="1:23" ht="12.75" customHeight="1" x14ac:dyDescent="0.3">
      <c r="A8" s="27" t="s">
        <v>145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210</v>
      </c>
      <c r="K8" s="28">
        <f>IFERROR(VLOOKUP(C8,Scoring!$A$4:$N$51,14,FALSE())*4,"-")</f>
        <v>60</v>
      </c>
      <c r="L8" s="28">
        <f>IFERROR(VLOOKUP(D8,Scoring!$A$4:$N$51,14,FALSE())*3,"-")</f>
        <v>111</v>
      </c>
      <c r="M8" s="28">
        <f>IFERROR(VLOOKUP(E8,Scoring!$A$4:$N$51,14,FALSE())*2,"-")</f>
        <v>22</v>
      </c>
      <c r="N8" s="28">
        <f>IFERROR(VLOOKUP(F8,Scoring!$A$4:$N$51,14,FALSE()),"-")</f>
        <v>17</v>
      </c>
      <c r="O8" s="28">
        <f>IFERROR(VLOOKUP(G8,Scoring!$A$4:$N$51,14,FALSE()),"-")</f>
        <v>24</v>
      </c>
      <c r="P8" s="29">
        <f>IFERROR(VLOOKUP(H8,Scoring!$A$4:$N$51,14,FALSE()),"-")</f>
        <v>8</v>
      </c>
      <c r="Q8" s="29">
        <f>IFERROR(VLOOKUP(I8,Scoring!$A$4:$N$51,6,FALSE()),"-")</f>
        <v>6</v>
      </c>
      <c r="R8" s="36">
        <f t="shared" si="0"/>
        <v>458</v>
      </c>
      <c r="S8">
        <f t="shared" si="1"/>
        <v>64</v>
      </c>
      <c r="T8">
        <f t="shared" si="2"/>
        <v>457.99999200000002</v>
      </c>
      <c r="U8" s="44" t="s">
        <v>146</v>
      </c>
      <c r="W8" s="44"/>
    </row>
    <row r="9" spans="1:23" ht="12.75" customHeight="1" x14ac:dyDescent="0.3">
      <c r="A9" s="27" t="s">
        <v>147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66</v>
      </c>
      <c r="K9" s="28">
        <f>IFERROR(VLOOKUP(C9,Scoring!$A$4:$N$51,14,FALSE())*4,"-")</f>
        <v>108</v>
      </c>
      <c r="L9" s="28">
        <f>IFERROR(VLOOKUP(D9,Scoring!$A$4:$N$51,14,FALSE())*3,"-")</f>
        <v>111</v>
      </c>
      <c r="M9" s="28">
        <f>IFERROR(VLOOKUP(E9,Scoring!$A$4:$N$51,14,FALSE())*2,"-")</f>
        <v>34</v>
      </c>
      <c r="N9" s="28">
        <f>IFERROR(VLOOKUP(F9,Scoring!$A$4:$N$51,14,FALSE()),"-")</f>
        <v>9</v>
      </c>
      <c r="O9" s="28">
        <f>IFERROR(VLOOKUP(G9,Scoring!$A$4:$N$51,14,FALSE()),"-")</f>
        <v>24</v>
      </c>
      <c r="P9" s="29">
        <f>IFERROR(VLOOKUP(H9,Scoring!$A$4:$N$51,14,FALSE()),"-")</f>
        <v>8</v>
      </c>
      <c r="Q9" s="29">
        <f>IFERROR(VLOOKUP(I9,Scoring!$A$4:$N$51,6,FALSE()),"-")</f>
        <v>5.5</v>
      </c>
      <c r="R9" s="36">
        <f t="shared" si="0"/>
        <v>365.5</v>
      </c>
      <c r="S9">
        <f t="shared" si="1"/>
        <v>97</v>
      </c>
      <c r="T9">
        <f t="shared" si="2"/>
        <v>365.49999100000002</v>
      </c>
      <c r="U9" s="44" t="s">
        <v>148</v>
      </c>
      <c r="W9" s="44"/>
    </row>
    <row r="10" spans="1:23" ht="12.75" customHeight="1" x14ac:dyDescent="0.3">
      <c r="A10" s="27" t="s">
        <v>149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90</v>
      </c>
      <c r="K10" s="28">
        <f>IFERROR(VLOOKUP(C10,Scoring!$A$4:$N$51,14,FALSE())*4,"-")</f>
        <v>140</v>
      </c>
      <c r="L10" s="28">
        <f>IFERROR(VLOOKUP(D10,Scoring!$A$4:$N$51,14,FALSE())*3,"-")</f>
        <v>111</v>
      </c>
      <c r="M10" s="28">
        <f>IFERROR(VLOOKUP(E10,Scoring!$A$4:$N$51,14,FALSE())*2,"-")</f>
        <v>20</v>
      </c>
      <c r="N10" s="28">
        <f>IFERROR(VLOOKUP(F10,Scoring!$A$4:$N$51,14,FALSE()),"-")</f>
        <v>17</v>
      </c>
      <c r="O10" s="28">
        <f>IFERROR(VLOOKUP(G10,Scoring!$A$4:$N$51,14,FALSE()),"-")</f>
        <v>24</v>
      </c>
      <c r="P10" s="29">
        <f>IFERROR(VLOOKUP(H10,Scoring!$A$4:$N$51,14,FALSE()),"-")</f>
        <v>0</v>
      </c>
      <c r="Q10" s="29">
        <f>IFERROR(VLOOKUP(I10,Scoring!$A$4:$N$51,6,FALSE()),"-")</f>
        <v>5.5</v>
      </c>
      <c r="R10" s="36">
        <f t="shared" si="0"/>
        <v>407.5</v>
      </c>
      <c r="S10">
        <f t="shared" si="1"/>
        <v>84</v>
      </c>
      <c r="T10">
        <f t="shared" si="2"/>
        <v>407.49999000000003</v>
      </c>
      <c r="U10" s="44" t="s">
        <v>150</v>
      </c>
      <c r="W10" s="44"/>
    </row>
    <row r="11" spans="1:23" ht="12.75" customHeight="1" x14ac:dyDescent="0.3">
      <c r="A11" s="27" t="s">
        <v>151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102</v>
      </c>
      <c r="K11" s="28">
        <f>IFERROR(VLOOKUP(C11,Scoring!$A$4:$N$51,14,FALSE())*4,"-")</f>
        <v>148</v>
      </c>
      <c r="L11" s="28">
        <f>IFERROR(VLOOKUP(D11,Scoring!$A$4:$N$51,14,FALSE())*3,"-")</f>
        <v>45</v>
      </c>
      <c r="M11" s="28">
        <f>IFERROR(VLOOKUP(E11,Scoring!$A$4:$N$51,14,FALSE())*2,"-")</f>
        <v>70</v>
      </c>
      <c r="N11" s="28">
        <f>IFERROR(VLOOKUP(F11,Scoring!$A$4:$N$51,14,FALSE()),"-")</f>
        <v>16</v>
      </c>
      <c r="O11" s="28">
        <f>IFERROR(VLOOKUP(G11,Scoring!$A$4:$N$51,14,FALSE()),"-")</f>
        <v>8</v>
      </c>
      <c r="P11" s="29">
        <f>IFERROR(VLOOKUP(H11,Scoring!$A$4:$N$51,14,FALSE()),"-")</f>
        <v>8</v>
      </c>
      <c r="Q11" s="29">
        <f>IFERROR(VLOOKUP(I11,Scoring!$A$4:$N$51,6,FALSE()),"-")</f>
        <v>5</v>
      </c>
      <c r="R11" s="36">
        <f t="shared" si="0"/>
        <v>402</v>
      </c>
      <c r="S11">
        <f t="shared" si="1"/>
        <v>87</v>
      </c>
      <c r="T11">
        <f t="shared" si="2"/>
        <v>401.99998900000003</v>
      </c>
      <c r="U11" s="44" t="s">
        <v>152</v>
      </c>
      <c r="W11" s="44"/>
    </row>
    <row r="12" spans="1:23" ht="12.75" customHeight="1" x14ac:dyDescent="0.3">
      <c r="A12" s="27" t="s">
        <v>153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222</v>
      </c>
      <c r="K12" s="28">
        <f>IFERROR(VLOOKUP(C12,Scoring!$A$4:$N$51,14,FALSE())*4,"-")</f>
        <v>108</v>
      </c>
      <c r="L12" s="28">
        <f>IFERROR(VLOOKUP(D12,Scoring!$A$4:$N$51,14,FALSE())*3,"-")</f>
        <v>105</v>
      </c>
      <c r="M12" s="28">
        <f>IFERROR(VLOOKUP(E12,Scoring!$A$4:$N$51,14,FALSE())*2,"-")</f>
        <v>50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8</v>
      </c>
      <c r="Q12" s="29">
        <f>IFERROR(VLOOKUP(I12,Scoring!$A$4:$N$51,6,FALSE()),"-")</f>
        <v>8</v>
      </c>
      <c r="R12" s="36">
        <f t="shared" si="0"/>
        <v>505</v>
      </c>
      <c r="S12">
        <f t="shared" si="1"/>
        <v>27</v>
      </c>
      <c r="T12">
        <f t="shared" si="2"/>
        <v>504.99998799999997</v>
      </c>
      <c r="U12" s="44" t="s">
        <v>154</v>
      </c>
      <c r="W12" s="44"/>
    </row>
    <row r="13" spans="1:23" ht="12.75" customHeight="1" x14ac:dyDescent="0.3">
      <c r="A13" s="27" t="s">
        <v>155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210</v>
      </c>
      <c r="K13" s="28">
        <f>IFERROR(VLOOKUP(C13,Scoring!$A$4:$N$51,14,FALSE())*4,"-")</f>
        <v>100</v>
      </c>
      <c r="L13" s="28">
        <f>IFERROR(VLOOKUP(D13,Scoring!$A$4:$N$51,14,FALSE())*3,"-")</f>
        <v>81</v>
      </c>
      <c r="M13" s="28">
        <f>IFERROR(VLOOKUP(E13,Scoring!$A$4:$N$51,14,FALSE())*2,"-")</f>
        <v>22</v>
      </c>
      <c r="N13" s="28">
        <f>IFERROR(VLOOKUP(F13,Scoring!$A$4:$N$51,14,FALSE()),"-")</f>
        <v>25</v>
      </c>
      <c r="O13" s="28">
        <f>IFERROR(VLOOKUP(G13,Scoring!$A$4:$N$51,14,FALSE()),"-")</f>
        <v>14</v>
      </c>
      <c r="P13" s="29">
        <f>IFERROR(VLOOKUP(H13,Scoring!$A$4:$N$51,14,FALSE()),"-")</f>
        <v>8</v>
      </c>
      <c r="Q13" s="29">
        <f>IFERROR(VLOOKUP(I13,Scoring!$A$4:$N$51,6,FALSE()),"-")</f>
        <v>5.5</v>
      </c>
      <c r="R13" s="36">
        <f t="shared" si="0"/>
        <v>465.5</v>
      </c>
      <c r="S13">
        <f t="shared" si="1"/>
        <v>58</v>
      </c>
      <c r="T13">
        <f t="shared" si="2"/>
        <v>465.49998699999998</v>
      </c>
      <c r="U13" s="44" t="s">
        <v>154</v>
      </c>
      <c r="W13" s="44"/>
    </row>
    <row r="14" spans="1:23" ht="12.75" customHeight="1" x14ac:dyDescent="0.3">
      <c r="A14" s="27" t="s">
        <v>156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66</v>
      </c>
      <c r="K14" s="28">
        <f>IFERROR(VLOOKUP(C14,Scoring!$A$4:$N$51,14,FALSE())*4,"-")</f>
        <v>140</v>
      </c>
      <c r="L14" s="28">
        <f>IFERROR(VLOOKUP(D14,Scoring!$A$4:$N$51,14,FALSE())*3,"-")</f>
        <v>75</v>
      </c>
      <c r="M14" s="28">
        <f>IFERROR(VLOOKUP(E14,Scoring!$A$4:$N$51,14,FALSE())*2,"-")</f>
        <v>30</v>
      </c>
      <c r="N14" s="28">
        <f>IFERROR(VLOOKUP(F14,Scoring!$A$4:$N$51,14,FALSE()),"-")</f>
        <v>17</v>
      </c>
      <c r="O14" s="28">
        <f>IFERROR(VLOOKUP(G14,Scoring!$A$4:$N$51,14,FALSE()),"-")</f>
        <v>14</v>
      </c>
      <c r="P14" s="29">
        <f>IFERROR(VLOOKUP(H14,Scoring!$A$4:$N$51,14,FALSE()),"-")</f>
        <v>8</v>
      </c>
      <c r="Q14" s="29">
        <f>IFERROR(VLOOKUP(I14,Scoring!$A$4:$N$51,6,FALSE()),"-")</f>
        <v>5.5</v>
      </c>
      <c r="R14" s="36">
        <f t="shared" si="0"/>
        <v>355.5</v>
      </c>
      <c r="S14">
        <f t="shared" si="1"/>
        <v>99</v>
      </c>
      <c r="T14">
        <f t="shared" si="2"/>
        <v>355.49998599999998</v>
      </c>
      <c r="U14" s="44" t="s">
        <v>154</v>
      </c>
      <c r="W14" s="44"/>
    </row>
    <row r="15" spans="1:23" ht="12.75" customHeight="1" x14ac:dyDescent="0.3">
      <c r="A15" s="27" t="s">
        <v>157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210</v>
      </c>
      <c r="K15" s="28">
        <f>IFERROR(VLOOKUP(C15,Scoring!$A$4:$N$51,14,FALSE())*4,"-")</f>
        <v>68</v>
      </c>
      <c r="L15" s="28">
        <f>IFERROR(VLOOKUP(D15,Scoring!$A$4:$N$51,14,FALSE())*3,"-")</f>
        <v>45</v>
      </c>
      <c r="M15" s="28">
        <f>IFERROR(VLOOKUP(E15,Scoring!$A$4:$N$51,14,FALSE())*2,"-")</f>
        <v>50</v>
      </c>
      <c r="N15" s="28">
        <f>IFERROR(VLOOKUP(F15,Scoring!$A$4:$N$51,14,FALSE()),"-")</f>
        <v>3</v>
      </c>
      <c r="O15" s="28">
        <f>IFERROR(VLOOKUP(G15,Scoring!$A$4:$N$51,14,FALSE()),"-")</f>
        <v>24</v>
      </c>
      <c r="P15" s="29">
        <f>IFERROR(VLOOKUP(H15,Scoring!$A$4:$N$51,14,FALSE()),"-")</f>
        <v>8</v>
      </c>
      <c r="Q15" s="29">
        <f>IFERROR(VLOOKUP(I15,Scoring!$A$4:$N$51,6,FALSE()),"-")</f>
        <v>5.5</v>
      </c>
      <c r="R15" s="36">
        <f t="shared" si="0"/>
        <v>413.5</v>
      </c>
      <c r="S15">
        <f t="shared" si="1"/>
        <v>82</v>
      </c>
      <c r="T15">
        <f t="shared" si="2"/>
        <v>413.49998499999998</v>
      </c>
      <c r="U15" s="44" t="s">
        <v>158</v>
      </c>
      <c r="W15" s="44"/>
    </row>
    <row r="16" spans="1:23" ht="12.75" customHeight="1" x14ac:dyDescent="0.3">
      <c r="A16" s="27" t="s">
        <v>159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162</v>
      </c>
      <c r="K16" s="28">
        <f>IFERROR(VLOOKUP(C16,Scoring!$A$4:$N$51,14,FALSE())*4,"-")</f>
        <v>140</v>
      </c>
      <c r="L16" s="28">
        <f>IFERROR(VLOOKUP(D16,Scoring!$A$4:$N$51,14,FALSE())*3,"-")</f>
        <v>75</v>
      </c>
      <c r="M16" s="28">
        <f>IFERROR(VLOOKUP(E16,Scoring!$A$4:$N$51,14,FALSE())*2,"-")</f>
        <v>74</v>
      </c>
      <c r="N16" s="28">
        <f>IFERROR(VLOOKUP(F16,Scoring!$A$4:$N$51,14,FALSE()),"-")</f>
        <v>16</v>
      </c>
      <c r="O16" s="28">
        <f>IFERROR(VLOOKUP(G16,Scoring!$A$4:$N$51,14,FALSE()),"-")</f>
        <v>14</v>
      </c>
      <c r="P16" s="29">
        <f>IFERROR(VLOOKUP(H16,Scoring!$A$4:$N$51,14,FALSE()),"-")</f>
        <v>8</v>
      </c>
      <c r="Q16" s="29">
        <f>IFERROR(VLOOKUP(I16,Scoring!$A$4:$N$51,6,FALSE()),"-")</f>
        <v>5.5</v>
      </c>
      <c r="R16" s="36">
        <f t="shared" si="0"/>
        <v>494.5</v>
      </c>
      <c r="S16">
        <f t="shared" si="1"/>
        <v>32</v>
      </c>
      <c r="T16">
        <f t="shared" si="2"/>
        <v>494.49998399999998</v>
      </c>
      <c r="U16" s="44" t="s">
        <v>160</v>
      </c>
      <c r="W16" s="44"/>
    </row>
    <row r="17" spans="1:23" ht="12.75" customHeight="1" x14ac:dyDescent="0.3">
      <c r="A17" s="27" t="s">
        <v>161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150</v>
      </c>
      <c r="K17" s="28">
        <f>IFERROR(VLOOKUP(C17,Scoring!$A$4:$N$51,14,FALSE())*4,"-")</f>
        <v>100</v>
      </c>
      <c r="L17" s="28">
        <f>IFERROR(VLOOKUP(D17,Scoring!$A$4:$N$51,14,FALSE())*3,"-")</f>
        <v>111</v>
      </c>
      <c r="M17" s="28">
        <f>IFERROR(VLOOKUP(E17,Scoring!$A$4:$N$51,14,FALSE())*2,"-")</f>
        <v>70</v>
      </c>
      <c r="N17" s="28">
        <f>IFERROR(VLOOKUP(F17,Scoring!$A$4:$N$51,14,FALSE()),"-")</f>
        <v>16</v>
      </c>
      <c r="O17" s="28">
        <f>IFERROR(VLOOKUP(G17,Scoring!$A$4:$N$51,14,FALSE()),"-")</f>
        <v>24</v>
      </c>
      <c r="P17" s="29">
        <f>IFERROR(VLOOKUP(H17,Scoring!$A$4:$N$51,14,FALSE()),"-")</f>
        <v>1</v>
      </c>
      <c r="Q17" s="29">
        <f>IFERROR(VLOOKUP(I17,Scoring!$A$4:$N$51,6,FALSE()),"-")</f>
        <v>6</v>
      </c>
      <c r="R17" s="36">
        <f t="shared" si="0"/>
        <v>478</v>
      </c>
      <c r="S17">
        <f t="shared" si="1"/>
        <v>47</v>
      </c>
      <c r="T17">
        <f t="shared" si="2"/>
        <v>477.99998299999999</v>
      </c>
      <c r="U17" s="44" t="s">
        <v>162</v>
      </c>
      <c r="W17" s="44"/>
    </row>
    <row r="18" spans="1:23" ht="12.75" customHeight="1" x14ac:dyDescent="0.3">
      <c r="A18" s="27" t="s">
        <v>163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222</v>
      </c>
      <c r="K18" s="28">
        <f>IFERROR(VLOOKUP(C18,Scoring!$A$4:$N$51,14,FALSE())*4,"-")</f>
        <v>60</v>
      </c>
      <c r="L18" s="28">
        <f>IFERROR(VLOOKUP(D18,Scoring!$A$4:$N$51,14,FALSE())*3,"-")</f>
        <v>105</v>
      </c>
      <c r="M18" s="28">
        <f>IFERROR(VLOOKUP(E18,Scoring!$A$4:$N$51,14,FALSE())*2,"-")</f>
        <v>54</v>
      </c>
      <c r="N18" s="28">
        <f>IFERROR(VLOOKUP(F18,Scoring!$A$4:$N$51,14,FALSE()),"-")</f>
        <v>19</v>
      </c>
      <c r="O18" s="28">
        <f>IFERROR(VLOOKUP(G18,Scoring!$A$4:$N$51,14,FALSE()),"-")</f>
        <v>15</v>
      </c>
      <c r="P18" s="29">
        <f>IFERROR(VLOOKUP(H18,Scoring!$A$4:$N$51,14,FALSE()),"-")</f>
        <v>8</v>
      </c>
      <c r="Q18" s="29">
        <f>IFERROR(VLOOKUP(I18,Scoring!$A$4:$N$51,6,FALSE()),"-")</f>
        <v>5.5</v>
      </c>
      <c r="R18" s="36">
        <f t="shared" si="0"/>
        <v>488.5</v>
      </c>
      <c r="S18">
        <f t="shared" si="1"/>
        <v>40</v>
      </c>
      <c r="T18">
        <f t="shared" si="2"/>
        <v>488.49998199999999</v>
      </c>
      <c r="U18" s="44" t="s">
        <v>164</v>
      </c>
      <c r="W18" s="44"/>
    </row>
    <row r="19" spans="1:23" ht="12.75" customHeight="1" x14ac:dyDescent="0.3">
      <c r="A19" s="27" t="s">
        <v>165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210</v>
      </c>
      <c r="K19" s="28">
        <f>IFERROR(VLOOKUP(C19,Scoring!$A$4:$N$51,14,FALSE())*4,"-")</f>
        <v>148</v>
      </c>
      <c r="L19" s="28">
        <f>IFERROR(VLOOKUP(D19,Scoring!$A$4:$N$51,14,FALSE())*3,"-")</f>
        <v>81</v>
      </c>
      <c r="M19" s="28">
        <f>IFERROR(VLOOKUP(E19,Scoring!$A$4:$N$51,14,FALSE())*2,"-")</f>
        <v>46</v>
      </c>
      <c r="N19" s="28">
        <f>IFERROR(VLOOKUP(F19,Scoring!$A$4:$N$51,14,FALSE()),"-")</f>
        <v>19</v>
      </c>
      <c r="O19" s="28">
        <f>IFERROR(VLOOKUP(G19,Scoring!$A$4:$N$51,14,FALSE()),"-")</f>
        <v>24</v>
      </c>
      <c r="P19" s="29">
        <f>IFERROR(VLOOKUP(H19,Scoring!$A$4:$N$51,14,FALSE()),"-")</f>
        <v>8</v>
      </c>
      <c r="Q19" s="29">
        <f>IFERROR(VLOOKUP(I19,Scoring!$A$4:$N$51,6,FALSE()),"-")</f>
        <v>5.5</v>
      </c>
      <c r="R19" s="36">
        <f t="shared" si="0"/>
        <v>541.5</v>
      </c>
      <c r="S19">
        <f t="shared" si="1"/>
        <v>2</v>
      </c>
      <c r="T19">
        <f t="shared" si="2"/>
        <v>541.49998100000005</v>
      </c>
      <c r="U19" s="44" t="s">
        <v>166</v>
      </c>
      <c r="W19" s="44"/>
    </row>
    <row r="20" spans="1:23" ht="12.75" customHeight="1" x14ac:dyDescent="0.3">
      <c r="A20" s="27" t="s">
        <v>167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222</v>
      </c>
      <c r="K20" s="28">
        <f>IFERROR(VLOOKUP(C20,Scoring!$A$4:$N$51,14,FALSE())*4,"-")</f>
        <v>60</v>
      </c>
      <c r="L20" s="28">
        <f>IFERROR(VLOOKUP(D20,Scoring!$A$4:$N$51,14,FALSE())*3,"-")</f>
        <v>105</v>
      </c>
      <c r="M20" s="28">
        <f>IFERROR(VLOOKUP(E20,Scoring!$A$4:$N$51,14,FALSE())*2,"-")</f>
        <v>50</v>
      </c>
      <c r="N20" s="28">
        <f>IFERROR(VLOOKUP(F20,Scoring!$A$4:$N$51,14,FALSE()),"-")</f>
        <v>3</v>
      </c>
      <c r="O20" s="28">
        <f>IFERROR(VLOOKUP(G20,Scoring!$A$4:$N$51,14,FALSE()),"-")</f>
        <v>14</v>
      </c>
      <c r="P20" s="29">
        <f>IFERROR(VLOOKUP(H20,Scoring!$A$4:$N$51,14,FALSE()),"-")</f>
        <v>0</v>
      </c>
      <c r="Q20" s="29">
        <f>IFERROR(VLOOKUP(I20,Scoring!$A$4:$N$51,6,FALSE()),"-")</f>
        <v>5.5</v>
      </c>
      <c r="R20" s="36">
        <f t="shared" si="0"/>
        <v>459.5</v>
      </c>
      <c r="S20">
        <f t="shared" si="1"/>
        <v>62</v>
      </c>
      <c r="T20">
        <f t="shared" si="2"/>
        <v>459.49997999999999</v>
      </c>
      <c r="U20" s="143" t="s">
        <v>168</v>
      </c>
      <c r="W20" s="44"/>
    </row>
    <row r="21" spans="1:23" ht="12.75" customHeight="1" x14ac:dyDescent="0.3">
      <c r="A21" s="27" t="s">
        <v>169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210</v>
      </c>
      <c r="K21" s="28">
        <f>IFERROR(VLOOKUP(C21,Scoring!$A$4:$N$51,14,FALSE())*4,"-")</f>
        <v>68</v>
      </c>
      <c r="L21" s="28">
        <f>IFERROR(VLOOKUP(D21,Scoring!$A$4:$N$51,14,FALSE())*3,"-")</f>
        <v>111</v>
      </c>
      <c r="M21" s="28">
        <f>IFERROR(VLOOKUP(E21,Scoring!$A$4:$N$51,14,FALSE())*2,"-")</f>
        <v>30</v>
      </c>
      <c r="N21" s="28">
        <f>IFERROR(VLOOKUP(F21,Scoring!$A$4:$N$51,14,FALSE()),"-")</f>
        <v>25</v>
      </c>
      <c r="O21" s="28">
        <f>IFERROR(VLOOKUP(G21,Scoring!$A$4:$N$51,14,FALSE()),"-")</f>
        <v>24</v>
      </c>
      <c r="P21" s="29">
        <f>IFERROR(VLOOKUP(H21,Scoring!$A$4:$N$51,14,FALSE()),"-")</f>
        <v>2</v>
      </c>
      <c r="Q21" s="29">
        <f>IFERROR(VLOOKUP(I21,Scoring!$A$4:$N$51,6,FALSE()),"-")</f>
        <v>5.5</v>
      </c>
      <c r="R21" s="36">
        <f t="shared" si="0"/>
        <v>475.5</v>
      </c>
      <c r="S21">
        <f t="shared" si="1"/>
        <v>49</v>
      </c>
      <c r="T21">
        <f t="shared" si="2"/>
        <v>475.499979</v>
      </c>
      <c r="U21" s="143" t="s">
        <v>170</v>
      </c>
      <c r="W21" s="44"/>
    </row>
    <row r="22" spans="1:23" ht="12.75" customHeight="1" x14ac:dyDescent="0.3">
      <c r="A22" s="27" t="s">
        <v>171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210</v>
      </c>
      <c r="K22" s="28">
        <f>IFERROR(VLOOKUP(C22,Scoring!$A$4:$N$51,14,FALSE())*4,"-")</f>
        <v>100</v>
      </c>
      <c r="L22" s="28">
        <f>IFERROR(VLOOKUP(D22,Scoring!$A$4:$N$51,14,FALSE())*3,"-")</f>
        <v>111</v>
      </c>
      <c r="M22" s="28">
        <f>IFERROR(VLOOKUP(E22,Scoring!$A$4:$N$51,14,FALSE())*2,"-")</f>
        <v>30</v>
      </c>
      <c r="N22" s="28">
        <f>IFERROR(VLOOKUP(F22,Scoring!$A$4:$N$51,14,FALSE()),"-")</f>
        <v>19</v>
      </c>
      <c r="O22" s="28">
        <f>IFERROR(VLOOKUP(G22,Scoring!$A$4:$N$51,14,FALSE()),"-")</f>
        <v>24</v>
      </c>
      <c r="P22" s="29">
        <f>IFERROR(VLOOKUP(H22,Scoring!$A$4:$N$51,14,FALSE()),"-")</f>
        <v>8</v>
      </c>
      <c r="Q22" s="29">
        <f>IFERROR(VLOOKUP(I22,Scoring!$A$4:$N$51,6,FALSE()),"-")</f>
        <v>5.5</v>
      </c>
      <c r="R22" s="36">
        <f t="shared" si="0"/>
        <v>507.5</v>
      </c>
      <c r="S22">
        <f t="shared" si="1"/>
        <v>22</v>
      </c>
      <c r="T22">
        <f t="shared" si="2"/>
        <v>507.499978</v>
      </c>
      <c r="U22" s="143" t="s">
        <v>172</v>
      </c>
      <c r="W22" s="44"/>
    </row>
    <row r="23" spans="1:23" ht="12.75" customHeight="1" x14ac:dyDescent="0.3">
      <c r="A23" s="27" t="s">
        <v>173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210</v>
      </c>
      <c r="K23" s="28">
        <f>IFERROR(VLOOKUP(C23,Scoring!$A$4:$N$51,14,FALSE())*4,"-")</f>
        <v>60</v>
      </c>
      <c r="L23" s="28">
        <f>IFERROR(VLOOKUP(D23,Scoring!$A$4:$N$51,14,FALSE())*3,"-")</f>
        <v>111</v>
      </c>
      <c r="M23" s="28">
        <f>IFERROR(VLOOKUP(E23,Scoring!$A$4:$N$51,14,FALSE())*2,"-")</f>
        <v>54</v>
      </c>
      <c r="N23" s="28">
        <f>IFERROR(VLOOKUP(F23,Scoring!$A$4:$N$51,14,FALSE()),"-")</f>
        <v>17</v>
      </c>
      <c r="O23" s="28">
        <f>IFERROR(VLOOKUP(G23,Scoring!$A$4:$N$51,14,FALSE()),"-")</f>
        <v>24</v>
      </c>
      <c r="P23" s="29">
        <f>IFERROR(VLOOKUP(H23,Scoring!$A$4:$N$51,14,FALSE()),"-")</f>
        <v>0</v>
      </c>
      <c r="Q23" s="29">
        <f>IFERROR(VLOOKUP(I23,Scoring!$A$4:$N$51,6,FALSE()),"-")</f>
        <v>5.5</v>
      </c>
      <c r="R23" s="36">
        <f t="shared" si="0"/>
        <v>481.5</v>
      </c>
      <c r="S23">
        <f t="shared" si="1"/>
        <v>44</v>
      </c>
      <c r="T23">
        <f t="shared" si="2"/>
        <v>481.499977</v>
      </c>
      <c r="U23" s="143" t="s">
        <v>174</v>
      </c>
      <c r="W23" s="44"/>
    </row>
    <row r="24" spans="1:23" ht="12.75" customHeight="1" x14ac:dyDescent="0.3">
      <c r="A24" s="27" t="s">
        <v>175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222</v>
      </c>
      <c r="K24" s="28">
        <f>IFERROR(VLOOKUP(C24,Scoring!$A$4:$N$51,14,FALSE())*4,"-")</f>
        <v>100</v>
      </c>
      <c r="L24" s="28">
        <f>IFERROR(VLOOKUP(D24,Scoring!$A$4:$N$51,14,FALSE())*3,"-")</f>
        <v>105</v>
      </c>
      <c r="M24" s="28">
        <f>IFERROR(VLOOKUP(E24,Scoring!$A$4:$N$51,14,FALSE())*2,"-")</f>
        <v>30</v>
      </c>
      <c r="N24" s="28">
        <f>IFERROR(VLOOKUP(F24,Scoring!$A$4:$N$51,14,FALSE()),"-")</f>
        <v>8</v>
      </c>
      <c r="O24" s="28">
        <f>IFERROR(VLOOKUP(G24,Scoring!$A$4:$N$51,14,FALSE()),"-")</f>
        <v>10</v>
      </c>
      <c r="P24" s="29">
        <f>IFERROR(VLOOKUP(H24,Scoring!$A$4:$N$51,14,FALSE()),"-")</f>
        <v>8</v>
      </c>
      <c r="Q24" s="29">
        <f>IFERROR(VLOOKUP(I24,Scoring!$A$4:$N$51,6,FALSE()),"-")</f>
        <v>8</v>
      </c>
      <c r="R24" s="36">
        <f t="shared" si="0"/>
        <v>491</v>
      </c>
      <c r="S24">
        <f t="shared" si="1"/>
        <v>36</v>
      </c>
      <c r="T24">
        <f t="shared" si="2"/>
        <v>490.999976</v>
      </c>
      <c r="U24" s="144" t="s">
        <v>176</v>
      </c>
      <c r="W24" s="44"/>
    </row>
    <row r="25" spans="1:23" ht="12.75" customHeight="1" x14ac:dyDescent="0.3">
      <c r="A25" s="27" t="s">
        <v>177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60</v>
      </c>
      <c r="K25" s="28">
        <f>IFERROR(VLOOKUP(C25,Scoring!$A$4:$N$51,14,FALSE())*4,"-")</f>
        <v>100</v>
      </c>
      <c r="L25" s="28">
        <f>IFERROR(VLOOKUP(D25,Scoring!$A$4:$N$51,14,FALSE())*3,"-")</f>
        <v>45</v>
      </c>
      <c r="M25" s="28">
        <f>IFERROR(VLOOKUP(E25,Scoring!$A$4:$N$51,14,FALSE())*2,"-")</f>
        <v>70</v>
      </c>
      <c r="N25" s="28">
        <f>IFERROR(VLOOKUP(F25,Scoring!$A$4:$N$51,14,FALSE()),"-")</f>
        <v>16</v>
      </c>
      <c r="O25" s="28">
        <f>IFERROR(VLOOKUP(G25,Scoring!$A$4:$N$51,14,FALSE()),"-")</f>
        <v>14</v>
      </c>
      <c r="P25" s="29">
        <f>IFERROR(VLOOKUP(H25,Scoring!$A$4:$N$51,14,FALSE()),"-")</f>
        <v>8</v>
      </c>
      <c r="Q25" s="29">
        <f>IFERROR(VLOOKUP(I25,Scoring!$A$4:$N$51,6,FALSE()),"-")</f>
        <v>5.5</v>
      </c>
      <c r="R25" s="36">
        <f t="shared" si="0"/>
        <v>318.5</v>
      </c>
      <c r="S25">
        <f t="shared" si="1"/>
        <v>102</v>
      </c>
      <c r="T25">
        <f t="shared" si="2"/>
        <v>318.49997500000001</v>
      </c>
      <c r="U25" s="143" t="s">
        <v>178</v>
      </c>
      <c r="W25" s="44"/>
    </row>
    <row r="26" spans="1:23" ht="12.75" customHeight="1" x14ac:dyDescent="0.3">
      <c r="A26" s="27" t="s">
        <v>179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210</v>
      </c>
      <c r="K26" s="28">
        <f>IFERROR(VLOOKUP(C26,Scoring!$A$4:$N$51,14,FALSE())*4,"-")</f>
        <v>68</v>
      </c>
      <c r="L26" s="28">
        <f>IFERROR(VLOOKUP(D26,Scoring!$A$4:$N$51,14,FALSE())*3,"-")</f>
        <v>81</v>
      </c>
      <c r="M26" s="28">
        <f>IFERROR(VLOOKUP(E26,Scoring!$A$4:$N$51,14,FALSE())*2,"-")</f>
        <v>74</v>
      </c>
      <c r="N26" s="28">
        <f>IFERROR(VLOOKUP(F26,Scoring!$A$4:$N$51,14,FALSE()),"-")</f>
        <v>16</v>
      </c>
      <c r="O26" s="28">
        <f>IFERROR(VLOOKUP(G26,Scoring!$A$4:$N$51,14,FALSE()),"-")</f>
        <v>14</v>
      </c>
      <c r="P26" s="29">
        <f>IFERROR(VLOOKUP(H26,Scoring!$A$4:$N$51,14,FALSE()),"-")</f>
        <v>8</v>
      </c>
      <c r="Q26" s="29">
        <f>IFERROR(VLOOKUP(I26,Scoring!$A$4:$N$51,6,FALSE()),"-")</f>
        <v>5.5</v>
      </c>
      <c r="R26" s="36">
        <f t="shared" si="0"/>
        <v>476.5</v>
      </c>
      <c r="S26">
        <f t="shared" si="1"/>
        <v>48</v>
      </c>
      <c r="T26">
        <f t="shared" si="2"/>
        <v>476.49997400000001</v>
      </c>
      <c r="U26" s="143" t="s">
        <v>178</v>
      </c>
      <c r="W26" s="44"/>
    </row>
    <row r="27" spans="1:23" ht="12.75" customHeight="1" x14ac:dyDescent="0.3">
      <c r="A27" s="27" t="s">
        <v>180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222</v>
      </c>
      <c r="K27" s="28">
        <f>IFERROR(VLOOKUP(C27,Scoring!$A$4:$N$51,14,FALSE())*4,"-")</f>
        <v>100</v>
      </c>
      <c r="L27" s="28">
        <f>IFERROR(VLOOKUP(D27,Scoring!$A$4:$N$51,14,FALSE())*3,"-")</f>
        <v>51</v>
      </c>
      <c r="M27" s="28">
        <f>IFERROR(VLOOKUP(E27,Scoring!$A$4:$N$51,14,FALSE())*2,"-")</f>
        <v>70</v>
      </c>
      <c r="N27" s="28">
        <f>IFERROR(VLOOKUP(F27,Scoring!$A$4:$N$51,14,FALSE()),"-")</f>
        <v>9</v>
      </c>
      <c r="O27" s="28">
        <f>IFERROR(VLOOKUP(G27,Scoring!$A$4:$N$51,14,FALSE()),"-")</f>
        <v>24</v>
      </c>
      <c r="P27" s="29">
        <f>IFERROR(VLOOKUP(H27,Scoring!$A$4:$N$51,14,FALSE()),"-")</f>
        <v>0</v>
      </c>
      <c r="Q27" s="29">
        <f>IFERROR(VLOOKUP(I27,Scoring!$A$4:$N$51,6,FALSE()),"-")</f>
        <v>8</v>
      </c>
      <c r="R27" s="36">
        <f t="shared" si="0"/>
        <v>484</v>
      </c>
      <c r="S27">
        <f t="shared" si="1"/>
        <v>42</v>
      </c>
      <c r="T27">
        <f t="shared" si="2"/>
        <v>483.99997300000001</v>
      </c>
      <c r="U27" s="44" t="s">
        <v>181</v>
      </c>
      <c r="W27" s="44"/>
    </row>
    <row r="28" spans="1:23" ht="12.75" customHeight="1" x14ac:dyDescent="0.3">
      <c r="A28" s="27" t="s">
        <v>182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210</v>
      </c>
      <c r="K28" s="28">
        <f>IFERROR(VLOOKUP(C28,Scoring!$A$4:$N$51,14,FALSE())*4,"-")</f>
        <v>148</v>
      </c>
      <c r="L28" s="28">
        <f>IFERROR(VLOOKUP(D28,Scoring!$A$4:$N$51,14,FALSE())*3,"-")</f>
        <v>75</v>
      </c>
      <c r="M28" s="28">
        <f>IFERROR(VLOOKUP(E28,Scoring!$A$4:$N$51,14,FALSE())*2,"-")</f>
        <v>54</v>
      </c>
      <c r="N28" s="28">
        <f>IFERROR(VLOOKUP(F28,Scoring!$A$4:$N$51,14,FALSE()),"-")</f>
        <v>19</v>
      </c>
      <c r="O28" s="28">
        <f>IFERROR(VLOOKUP(G28,Scoring!$A$4:$N$51,14,FALSE()),"-")</f>
        <v>24</v>
      </c>
      <c r="P28" s="29">
        <f>IFERROR(VLOOKUP(H28,Scoring!$A$4:$N$51,14,FALSE()),"-")</f>
        <v>8</v>
      </c>
      <c r="Q28" s="29">
        <f>IFERROR(VLOOKUP(I28,Scoring!$A$4:$N$51,6,FALSE()),"-")</f>
        <v>5.5</v>
      </c>
      <c r="R28" s="36">
        <f t="shared" si="0"/>
        <v>543.5</v>
      </c>
      <c r="S28">
        <f t="shared" si="1"/>
        <v>1</v>
      </c>
      <c r="T28">
        <f t="shared" si="2"/>
        <v>543.49997199999996</v>
      </c>
      <c r="U28" s="44" t="s">
        <v>183</v>
      </c>
      <c r="W28" s="44"/>
    </row>
    <row r="29" spans="1:23" ht="12.75" customHeight="1" x14ac:dyDescent="0.3">
      <c r="A29" s="27" t="s">
        <v>184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66</v>
      </c>
      <c r="K29" s="28">
        <f>IFERROR(VLOOKUP(C29,Scoring!$A$4:$N$51,14,FALSE())*4,"-")</f>
        <v>60</v>
      </c>
      <c r="L29" s="28">
        <f>IFERROR(VLOOKUP(D29,Scoring!$A$4:$N$51,14,FALSE())*3,"-")</f>
        <v>111</v>
      </c>
      <c r="M29" s="28">
        <f>IFERROR(VLOOKUP(E29,Scoring!$A$4:$N$51,14,FALSE())*2,"-")</f>
        <v>70</v>
      </c>
      <c r="N29" s="28">
        <f>IFERROR(VLOOKUP(F29,Scoring!$A$4:$N$51,14,FALSE()),"-")</f>
        <v>9</v>
      </c>
      <c r="O29" s="28">
        <f>IFERROR(VLOOKUP(G29,Scoring!$A$4:$N$51,14,FALSE()),"-")</f>
        <v>1</v>
      </c>
      <c r="P29" s="29">
        <f>IFERROR(VLOOKUP(H29,Scoring!$A$4:$N$51,14,FALSE()),"-")</f>
        <v>8</v>
      </c>
      <c r="Q29" s="29">
        <f>IFERROR(VLOOKUP(I29,Scoring!$A$4:$N$51,6,FALSE()),"-")</f>
        <v>5.5</v>
      </c>
      <c r="R29" s="36">
        <f t="shared" si="0"/>
        <v>330.5</v>
      </c>
      <c r="S29">
        <f t="shared" si="1"/>
        <v>101</v>
      </c>
      <c r="T29">
        <f t="shared" si="2"/>
        <v>330.49997100000002</v>
      </c>
      <c r="U29" s="44" t="s">
        <v>185</v>
      </c>
      <c r="W29" s="44"/>
    </row>
    <row r="30" spans="1:23" ht="12.75" customHeight="1" x14ac:dyDescent="0.3">
      <c r="A30" s="27" t="s">
        <v>186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102</v>
      </c>
      <c r="K30" s="28">
        <f>IFERROR(VLOOKUP(C30,Scoring!$A$4:$N$51,14,FALSE())*4,"-")</f>
        <v>140</v>
      </c>
      <c r="L30" s="28">
        <f>IFERROR(VLOOKUP(D30,Scoring!$A$4:$N$51,14,FALSE())*3,"-")</f>
        <v>30</v>
      </c>
      <c r="M30" s="28">
        <f>IFERROR(VLOOKUP(E30,Scoring!$A$4:$N$51,14,FALSE())*2,"-")</f>
        <v>50</v>
      </c>
      <c r="N30" s="28">
        <f>IFERROR(VLOOKUP(F30,Scoring!$A$4:$N$51,14,FALSE()),"-")</f>
        <v>25</v>
      </c>
      <c r="O30" s="28">
        <f>IFERROR(VLOOKUP(G30,Scoring!$A$4:$N$51,14,FALSE()),"-")</f>
        <v>24</v>
      </c>
      <c r="P30" s="29">
        <f>IFERROR(VLOOKUP(H30,Scoring!$A$4:$N$51,14,FALSE()),"-")</f>
        <v>8</v>
      </c>
      <c r="Q30" s="29">
        <f>IFERROR(VLOOKUP(I30,Scoring!$A$4:$N$51,6,FALSE()),"-")</f>
        <v>5</v>
      </c>
      <c r="R30" s="36">
        <f t="shared" si="0"/>
        <v>384</v>
      </c>
      <c r="S30">
        <f t="shared" si="1"/>
        <v>91</v>
      </c>
      <c r="T30">
        <f t="shared" si="2"/>
        <v>383.99997000000002</v>
      </c>
      <c r="U30" s="44" t="s">
        <v>187</v>
      </c>
      <c r="W30" s="44"/>
    </row>
    <row r="31" spans="1:23" ht="12.75" customHeight="1" x14ac:dyDescent="0.3">
      <c r="A31" s="27" t="s">
        <v>188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222</v>
      </c>
      <c r="K31" s="28">
        <f>IFERROR(VLOOKUP(C31,Scoring!$A$4:$N$51,14,FALSE())*4,"-")</f>
        <v>60</v>
      </c>
      <c r="L31" s="28">
        <f>IFERROR(VLOOKUP(D31,Scoring!$A$4:$N$51,14,FALSE())*3,"-")</f>
        <v>81</v>
      </c>
      <c r="M31" s="28">
        <f>IFERROR(VLOOKUP(E31,Scoring!$A$4:$N$51,14,FALSE())*2,"-")</f>
        <v>22</v>
      </c>
      <c r="N31" s="28">
        <f>IFERROR(VLOOKUP(F31,Scoring!$A$4:$N$51,14,FALSE()),"-")</f>
        <v>19</v>
      </c>
      <c r="O31" s="28">
        <f>IFERROR(VLOOKUP(G31,Scoring!$A$4:$N$51,14,FALSE()),"-")</f>
        <v>3</v>
      </c>
      <c r="P31" s="29">
        <f>IFERROR(VLOOKUP(H31,Scoring!$A$4:$N$51,14,FALSE()),"-")</f>
        <v>8</v>
      </c>
      <c r="Q31" s="29">
        <f>IFERROR(VLOOKUP(I31,Scoring!$A$4:$N$51,6,FALSE()),"-")</f>
        <v>4</v>
      </c>
      <c r="R31" s="36">
        <f t="shared" si="0"/>
        <v>419</v>
      </c>
      <c r="S31">
        <f t="shared" si="1"/>
        <v>81</v>
      </c>
      <c r="T31">
        <f t="shared" si="2"/>
        <v>418.99996900000002</v>
      </c>
      <c r="U31" s="44" t="s">
        <v>189</v>
      </c>
      <c r="W31" s="44"/>
    </row>
    <row r="32" spans="1:23" ht="12.75" customHeight="1" x14ac:dyDescent="0.3">
      <c r="A32" s="27" t="s">
        <v>190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210</v>
      </c>
      <c r="K32" s="28">
        <f>IFERROR(VLOOKUP(C32,Scoring!$A$4:$N$51,14,FALSE())*4,"-")</f>
        <v>108</v>
      </c>
      <c r="L32" s="28">
        <f>IFERROR(VLOOKUP(D32,Scoring!$A$4:$N$51,14,FALSE())*3,"-")</f>
        <v>75</v>
      </c>
      <c r="M32" s="28">
        <f>IFERROR(VLOOKUP(E32,Scoring!$A$4:$N$51,14,FALSE())*2,"-")</f>
        <v>74</v>
      </c>
      <c r="N32" s="28">
        <f>IFERROR(VLOOKUP(F32,Scoring!$A$4:$N$51,14,FALSE()),"-")</f>
        <v>25</v>
      </c>
      <c r="O32" s="28">
        <f>IFERROR(VLOOKUP(G32,Scoring!$A$4:$N$51,14,FALSE()),"-")</f>
        <v>1</v>
      </c>
      <c r="P32" s="29">
        <f>IFERROR(VLOOKUP(H32,Scoring!$A$4:$N$51,14,FALSE()),"-")</f>
        <v>8</v>
      </c>
      <c r="Q32" s="29">
        <f>IFERROR(VLOOKUP(I32,Scoring!$A$4:$N$51,6,FALSE()),"-")</f>
        <v>5.5</v>
      </c>
      <c r="R32" s="36">
        <f t="shared" si="0"/>
        <v>506.5</v>
      </c>
      <c r="S32">
        <f t="shared" si="1"/>
        <v>24</v>
      </c>
      <c r="T32">
        <f t="shared" si="2"/>
        <v>506.49996800000002</v>
      </c>
      <c r="U32" s="44" t="s">
        <v>191</v>
      </c>
      <c r="W32" s="44"/>
    </row>
    <row r="33" spans="1:23" ht="12.75" customHeight="1" x14ac:dyDescent="0.3">
      <c r="A33" s="27" t="s">
        <v>192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90</v>
      </c>
      <c r="K33" s="28">
        <f>IFERROR(VLOOKUP(C33,Scoring!$A$4:$N$51,14,FALSE())*4,"-")</f>
        <v>40</v>
      </c>
      <c r="L33" s="28">
        <f>IFERROR(VLOOKUP(D33,Scoring!$A$4:$N$51,14,FALSE())*3,"-")</f>
        <v>51</v>
      </c>
      <c r="M33" s="28">
        <f>IFERROR(VLOOKUP(E33,Scoring!$A$4:$N$51,14,FALSE())*2,"-")</f>
        <v>70</v>
      </c>
      <c r="N33" s="28">
        <f>IFERROR(VLOOKUP(F33,Scoring!$A$4:$N$51,14,FALSE()),"-")</f>
        <v>19</v>
      </c>
      <c r="O33" s="28">
        <f>IFERROR(VLOOKUP(G33,Scoring!$A$4:$N$51,14,FALSE()),"-")</f>
        <v>8</v>
      </c>
      <c r="P33" s="29">
        <f>IFERROR(VLOOKUP(H33,Scoring!$A$4:$N$51,14,FALSE()),"-")</f>
        <v>8</v>
      </c>
      <c r="Q33" s="29">
        <f>IFERROR(VLOOKUP(I33,Scoring!$A$4:$N$51,6,FALSE()),"-")</f>
        <v>5.5</v>
      </c>
      <c r="R33" s="36">
        <f t="shared" si="0"/>
        <v>291.5</v>
      </c>
      <c r="S33">
        <f t="shared" si="1"/>
        <v>103</v>
      </c>
      <c r="T33">
        <f t="shared" si="2"/>
        <v>291.49996700000003</v>
      </c>
      <c r="U33" s="143" t="s">
        <v>193</v>
      </c>
      <c r="W33" s="44"/>
    </row>
    <row r="34" spans="1:23" ht="12.75" customHeight="1" x14ac:dyDescent="0.3">
      <c r="A34" s="27" t="s">
        <v>194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210</v>
      </c>
      <c r="K34" s="28">
        <f>IFERROR(VLOOKUP(C34,Scoring!$A$4:$N$51,14,FALSE())*4,"-")</f>
        <v>68</v>
      </c>
      <c r="L34" s="28">
        <f>IFERROR(VLOOKUP(D34,Scoring!$A$4:$N$51,14,FALSE())*3,"-")</f>
        <v>111</v>
      </c>
      <c r="M34" s="28">
        <f>IFERROR(VLOOKUP(E34,Scoring!$A$4:$N$51,14,FALSE())*2,"-")</f>
        <v>54</v>
      </c>
      <c r="N34" s="28">
        <f>IFERROR(VLOOKUP(F34,Scoring!$A$4:$N$51,14,FALSE()),"-")</f>
        <v>25</v>
      </c>
      <c r="O34" s="28">
        <f>IFERROR(VLOOKUP(G34,Scoring!$A$4:$N$51,14,FALSE()),"-")</f>
        <v>24</v>
      </c>
      <c r="P34" s="29">
        <f>IFERROR(VLOOKUP(H34,Scoring!$A$4:$N$51,14,FALSE()),"-")</f>
        <v>8</v>
      </c>
      <c r="Q34" s="29">
        <f>IFERROR(VLOOKUP(I34,Scoring!$A$4:$N$51,6,FALSE()),"-")</f>
        <v>5.5</v>
      </c>
      <c r="R34" s="36">
        <f t="shared" si="0"/>
        <v>505.5</v>
      </c>
      <c r="S34">
        <f t="shared" si="1"/>
        <v>26</v>
      </c>
      <c r="T34">
        <f t="shared" si="2"/>
        <v>505.49996599999997</v>
      </c>
      <c r="U34" s="143" t="s">
        <v>195</v>
      </c>
      <c r="W34" s="44"/>
    </row>
    <row r="35" spans="1:23" ht="12.75" customHeight="1" x14ac:dyDescent="0.3">
      <c r="A35" s="27" t="s">
        <v>196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210</v>
      </c>
      <c r="K35" s="28">
        <f>IFERROR(VLOOKUP(C35,Scoring!$A$4:$N$51,14,FALSE())*4,"-")</f>
        <v>108</v>
      </c>
      <c r="L35" s="28">
        <f>IFERROR(VLOOKUP(D35,Scoring!$A$4:$N$51,14,FALSE())*3,"-")</f>
        <v>30</v>
      </c>
      <c r="M35" s="28">
        <f>IFERROR(VLOOKUP(E35,Scoring!$A$4:$N$51,14,FALSE())*2,"-")</f>
        <v>34</v>
      </c>
      <c r="N35" s="28">
        <f>IFERROR(VLOOKUP(F35,Scoring!$A$4:$N$51,14,FALSE()),"-")</f>
        <v>25</v>
      </c>
      <c r="O35" s="28">
        <f>IFERROR(VLOOKUP(G35,Scoring!$A$4:$N$51,14,FALSE()),"-")</f>
        <v>24</v>
      </c>
      <c r="P35" s="29">
        <f>IFERROR(VLOOKUP(H35,Scoring!$A$4:$N$51,14,FALSE()),"-")</f>
        <v>8</v>
      </c>
      <c r="Q35" s="29">
        <f>IFERROR(VLOOKUP(I35,Scoring!$A$4:$N$51,6,FALSE()),"-")</f>
        <v>5.5</v>
      </c>
      <c r="R35" s="36">
        <f t="shared" si="0"/>
        <v>444.5</v>
      </c>
      <c r="S35">
        <f t="shared" si="1"/>
        <v>71</v>
      </c>
      <c r="T35">
        <f t="shared" si="2"/>
        <v>444.49996499999997</v>
      </c>
      <c r="U35" s="143" t="s">
        <v>195</v>
      </c>
      <c r="W35" s="44"/>
    </row>
    <row r="36" spans="1:23" ht="12.75" customHeight="1" x14ac:dyDescent="0.3">
      <c r="A36" s="27" t="s">
        <v>197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222</v>
      </c>
      <c r="K36" s="28">
        <f>IFERROR(VLOOKUP(C36,Scoring!$A$4:$N$51,14,FALSE())*4,"-")</f>
        <v>40</v>
      </c>
      <c r="L36" s="28">
        <f>IFERROR(VLOOKUP(D36,Scoring!$A$4:$N$51,14,FALSE())*3,"-")</f>
        <v>75</v>
      </c>
      <c r="M36" s="28">
        <f>IFERROR(VLOOKUP(E36,Scoring!$A$4:$N$51,14,FALSE())*2,"-")</f>
        <v>4</v>
      </c>
      <c r="N36" s="28">
        <f>IFERROR(VLOOKUP(F36,Scoring!$A$4:$N$51,14,FALSE()),"-")</f>
        <v>9</v>
      </c>
      <c r="O36" s="28">
        <f>IFERROR(VLOOKUP(G36,Scoring!$A$4:$N$51,14,FALSE()),"-")</f>
        <v>24</v>
      </c>
      <c r="P36" s="29">
        <f>IFERROR(VLOOKUP(H36,Scoring!$A$4:$N$51,14,FALSE()),"-")</f>
        <v>2</v>
      </c>
      <c r="Q36" s="29">
        <f>IFERROR(VLOOKUP(I36,Scoring!$A$4:$N$51,6,FALSE()),"-")</f>
        <v>5.5</v>
      </c>
      <c r="R36" s="36">
        <f t="shared" ref="R36:R67" si="3">IF(A36="","-",SUM(J36:Q36))</f>
        <v>381.5</v>
      </c>
      <c r="S36">
        <f t="shared" ref="S36:S67" si="4">IF(A36="","",RANK(R36,$R$4:$R$119))</f>
        <v>93</v>
      </c>
      <c r="T36">
        <f t="shared" ref="T36:T67" si="5">IF(A36="",-1,R36-ROW(R36)/1000000)</f>
        <v>381.49996399999998</v>
      </c>
      <c r="U36" s="143" t="s">
        <v>198</v>
      </c>
      <c r="W36" s="44"/>
    </row>
    <row r="37" spans="1:23" ht="12.75" customHeight="1" x14ac:dyDescent="0.3">
      <c r="A37" s="27" t="s">
        <v>199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102</v>
      </c>
      <c r="K37" s="28">
        <f>IFERROR(VLOOKUP(C37,Scoring!$A$4:$N$51,14,FALSE())*4,"-")</f>
        <v>148</v>
      </c>
      <c r="L37" s="28">
        <f>IFERROR(VLOOKUP(D37,Scoring!$A$4:$N$51,14,FALSE())*3,"-")</f>
        <v>105</v>
      </c>
      <c r="M37" s="28">
        <f>IFERROR(VLOOKUP(E37,Scoring!$A$4:$N$51,14,FALSE())*2,"-")</f>
        <v>54</v>
      </c>
      <c r="N37" s="28">
        <f>IFERROR(VLOOKUP(F37,Scoring!$A$4:$N$51,14,FALSE()),"-")</f>
        <v>19</v>
      </c>
      <c r="O37" s="28">
        <f>IFERROR(VLOOKUP(G37,Scoring!$A$4:$N$51,14,FALSE()),"-")</f>
        <v>24</v>
      </c>
      <c r="P37" s="29">
        <f>IFERROR(VLOOKUP(H37,Scoring!$A$4:$N$51,14,FALSE()),"-")</f>
        <v>8</v>
      </c>
      <c r="Q37" s="29">
        <f>IFERROR(VLOOKUP(I37,Scoring!$A$4:$N$51,6,FALSE()),"-")</f>
        <v>5</v>
      </c>
      <c r="R37" s="36">
        <f t="shared" si="3"/>
        <v>465</v>
      </c>
      <c r="S37">
        <f t="shared" si="4"/>
        <v>59</v>
      </c>
      <c r="T37">
        <f t="shared" si="5"/>
        <v>464.99996299999998</v>
      </c>
      <c r="U37" s="143" t="s">
        <v>200</v>
      </c>
      <c r="W37" s="44"/>
    </row>
    <row r="38" spans="1:23" ht="12.75" customHeight="1" x14ac:dyDescent="0.3">
      <c r="A38" s="27" t="s">
        <v>201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210</v>
      </c>
      <c r="K38" s="28">
        <f>IFERROR(VLOOKUP(C38,Scoring!$A$4:$N$51,14,FALSE())*4,"-")</f>
        <v>60</v>
      </c>
      <c r="L38" s="28">
        <f>IFERROR(VLOOKUP(D38,Scoring!$A$4:$N$51,14,FALSE())*3,"-")</f>
        <v>51</v>
      </c>
      <c r="M38" s="28">
        <f>IFERROR(VLOOKUP(E38,Scoring!$A$4:$N$51,14,FALSE())*2,"-")</f>
        <v>50</v>
      </c>
      <c r="N38" s="28">
        <f>IFERROR(VLOOKUP(F38,Scoring!$A$4:$N$51,14,FALSE()),"-")</f>
        <v>9</v>
      </c>
      <c r="O38" s="28">
        <f>IFERROR(VLOOKUP(G38,Scoring!$A$4:$N$51,14,FALSE()),"-")</f>
        <v>8</v>
      </c>
      <c r="P38" s="29">
        <f>IFERROR(VLOOKUP(H38,Scoring!$A$4:$N$51,14,FALSE()),"-")</f>
        <v>8</v>
      </c>
      <c r="Q38" s="29">
        <f>IFERROR(VLOOKUP(I38,Scoring!$A$4:$N$51,6,FALSE()),"-")</f>
        <v>5</v>
      </c>
      <c r="R38" s="36">
        <f t="shared" si="3"/>
        <v>401</v>
      </c>
      <c r="S38">
        <f t="shared" si="4"/>
        <v>88</v>
      </c>
      <c r="T38">
        <f t="shared" si="5"/>
        <v>400.99996199999998</v>
      </c>
      <c r="U38" s="143" t="s">
        <v>202</v>
      </c>
      <c r="W38" s="44"/>
    </row>
    <row r="39" spans="1:23" ht="12.75" customHeight="1" x14ac:dyDescent="0.3">
      <c r="A39" s="27" t="s">
        <v>203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210</v>
      </c>
      <c r="K39" s="28">
        <f>IFERROR(VLOOKUP(C39,Scoring!$A$4:$N$51,14,FALSE())*4,"-")</f>
        <v>148</v>
      </c>
      <c r="L39" s="28">
        <f>IFERROR(VLOOKUP(D39,Scoring!$A$4:$N$51,14,FALSE())*3,"-")</f>
        <v>81</v>
      </c>
      <c r="M39" s="28">
        <f>IFERROR(VLOOKUP(E39,Scoring!$A$4:$N$51,14,FALSE())*2,"-")</f>
        <v>34</v>
      </c>
      <c r="N39" s="28">
        <f>IFERROR(VLOOKUP(F39,Scoring!$A$4:$N$51,14,FALSE()),"-")</f>
        <v>25</v>
      </c>
      <c r="O39" s="28">
        <f>IFERROR(VLOOKUP(G39,Scoring!$A$4:$N$51,14,FALSE()),"-")</f>
        <v>8</v>
      </c>
      <c r="P39" s="29">
        <f>IFERROR(VLOOKUP(H39,Scoring!$A$4:$N$51,14,FALSE()),"-")</f>
        <v>8</v>
      </c>
      <c r="Q39" s="29">
        <f>IFERROR(VLOOKUP(I39,Scoring!$A$4:$N$51,6,FALSE()),"-")</f>
        <v>5.5</v>
      </c>
      <c r="R39" s="36">
        <f t="shared" si="3"/>
        <v>519.5</v>
      </c>
      <c r="S39">
        <f t="shared" si="4"/>
        <v>13</v>
      </c>
      <c r="T39">
        <f t="shared" si="5"/>
        <v>519.49996099999998</v>
      </c>
      <c r="U39" s="143" t="s">
        <v>204</v>
      </c>
      <c r="W39" s="44"/>
    </row>
    <row r="40" spans="1:23" ht="12.75" customHeight="1" x14ac:dyDescent="0.3">
      <c r="A40" s="27" t="s">
        <v>205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222</v>
      </c>
      <c r="K40" s="28">
        <f>IFERROR(VLOOKUP(C40,Scoring!$A$4:$N$51,14,FALSE())*4,"-")</f>
        <v>140</v>
      </c>
      <c r="L40" s="28">
        <f>IFERROR(VLOOKUP(D40,Scoring!$A$4:$N$51,14,FALSE())*3,"-")</f>
        <v>51</v>
      </c>
      <c r="M40" s="28">
        <f>IFERROR(VLOOKUP(E40,Scoring!$A$4:$N$51,14,FALSE())*2,"-")</f>
        <v>30</v>
      </c>
      <c r="N40" s="28">
        <f>IFERROR(VLOOKUP(F40,Scoring!$A$4:$N$51,14,FALSE()),"-")</f>
        <v>3</v>
      </c>
      <c r="O40" s="28">
        <f>IFERROR(VLOOKUP(G40,Scoring!$A$4:$N$51,14,FALSE()),"-")</f>
        <v>8</v>
      </c>
      <c r="P40" s="29">
        <f>IFERROR(VLOOKUP(H40,Scoring!$A$4:$N$51,14,FALSE()),"-")</f>
        <v>8</v>
      </c>
      <c r="Q40" s="29">
        <f>IFERROR(VLOOKUP(I40,Scoring!$A$4:$N$51,6,FALSE()),"-")</f>
        <v>5.5</v>
      </c>
      <c r="R40" s="36">
        <f t="shared" si="3"/>
        <v>467.5</v>
      </c>
      <c r="S40">
        <f t="shared" si="4"/>
        <v>57</v>
      </c>
      <c r="T40">
        <f t="shared" si="5"/>
        <v>467.49995999999999</v>
      </c>
      <c r="U40" s="143" t="s">
        <v>206</v>
      </c>
      <c r="W40" s="44"/>
    </row>
    <row r="41" spans="1:23" ht="12.75" customHeight="1" x14ac:dyDescent="0.3">
      <c r="A41" s="27" t="s">
        <v>207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102</v>
      </c>
      <c r="K41" s="28">
        <f>IFERROR(VLOOKUP(C41,Scoring!$A$4:$N$51,14,FALSE())*4,"-")</f>
        <v>140</v>
      </c>
      <c r="L41" s="28">
        <f>IFERROR(VLOOKUP(D41,Scoring!$A$4:$N$51,14,FALSE())*3,"-")</f>
        <v>81</v>
      </c>
      <c r="M41" s="28">
        <f>IFERROR(VLOOKUP(E41,Scoring!$A$4:$N$51,14,FALSE())*2,"-")</f>
        <v>74</v>
      </c>
      <c r="N41" s="28">
        <f>IFERROR(VLOOKUP(F41,Scoring!$A$4:$N$51,14,FALSE()),"-")</f>
        <v>25</v>
      </c>
      <c r="O41" s="28">
        <f>IFERROR(VLOOKUP(G41,Scoring!$A$4:$N$51,14,FALSE()),"-")</f>
        <v>24</v>
      </c>
      <c r="P41" s="29">
        <f>IFERROR(VLOOKUP(H41,Scoring!$A$4:$N$51,14,FALSE()),"-")</f>
        <v>8</v>
      </c>
      <c r="Q41" s="29">
        <f>IFERROR(VLOOKUP(I41,Scoring!$A$4:$N$51,6,FALSE()),"-")</f>
        <v>8</v>
      </c>
      <c r="R41" s="36">
        <f t="shared" si="3"/>
        <v>462</v>
      </c>
      <c r="S41">
        <f t="shared" si="4"/>
        <v>61</v>
      </c>
      <c r="T41">
        <f t="shared" si="5"/>
        <v>461.99995899999999</v>
      </c>
      <c r="U41" s="143" t="s">
        <v>208</v>
      </c>
      <c r="W41" s="44"/>
    </row>
    <row r="42" spans="1:23" ht="12.75" customHeight="1" x14ac:dyDescent="0.3">
      <c r="A42" s="27" t="s">
        <v>209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210</v>
      </c>
      <c r="K42" s="28">
        <f>IFERROR(VLOOKUP(C42,Scoring!$A$4:$N$51,14,FALSE())*4,"-")</f>
        <v>60</v>
      </c>
      <c r="L42" s="28">
        <f>IFERROR(VLOOKUP(D42,Scoring!$A$4:$N$51,14,FALSE())*3,"-")</f>
        <v>111</v>
      </c>
      <c r="M42" s="28">
        <f>IFERROR(VLOOKUP(E42,Scoring!$A$4:$N$51,14,FALSE())*2,"-")</f>
        <v>54</v>
      </c>
      <c r="N42" s="28">
        <f>IFERROR(VLOOKUP(F42,Scoring!$A$4:$N$51,14,FALSE()),"-")</f>
        <v>19</v>
      </c>
      <c r="O42" s="28">
        <f>IFERROR(VLOOKUP(G42,Scoring!$A$4:$N$51,14,FALSE()),"-")</f>
        <v>24</v>
      </c>
      <c r="P42" s="29">
        <f>IFERROR(VLOOKUP(H42,Scoring!$A$4:$N$51,14,FALSE()),"-")</f>
        <v>0</v>
      </c>
      <c r="Q42" s="29">
        <f>IFERROR(VLOOKUP(I42,Scoring!$A$4:$N$51,6,FALSE()),"-")</f>
        <v>5.5</v>
      </c>
      <c r="R42" s="36">
        <f t="shared" si="3"/>
        <v>483.5</v>
      </c>
      <c r="S42">
        <f t="shared" si="4"/>
        <v>43</v>
      </c>
      <c r="T42">
        <f t="shared" si="5"/>
        <v>483.49995799999999</v>
      </c>
      <c r="U42" s="143" t="s">
        <v>210</v>
      </c>
    </row>
    <row r="43" spans="1:23" ht="12.75" customHeight="1" x14ac:dyDescent="0.3">
      <c r="A43" s="27" t="s">
        <v>211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222</v>
      </c>
      <c r="K43" s="28">
        <f>IFERROR(VLOOKUP(C43,Scoring!$A$4:$N$51,14,FALSE())*4,"-")</f>
        <v>100</v>
      </c>
      <c r="L43" s="28">
        <f>IFERROR(VLOOKUP(D43,Scoring!$A$4:$N$51,14,FALSE())*3,"-")</f>
        <v>105</v>
      </c>
      <c r="M43" s="28">
        <f>IFERROR(VLOOKUP(E43,Scoring!$A$4:$N$51,14,FALSE())*2,"-")</f>
        <v>54</v>
      </c>
      <c r="N43" s="28">
        <f>IFERROR(VLOOKUP(F43,Scoring!$A$4:$N$51,14,FALSE()),"-")</f>
        <v>9</v>
      </c>
      <c r="O43" s="28">
        <f>IFERROR(VLOOKUP(G43,Scoring!$A$4:$N$51,14,FALSE()),"-")</f>
        <v>24</v>
      </c>
      <c r="P43" s="29">
        <f>IFERROR(VLOOKUP(H43,Scoring!$A$4:$N$51,14,FALSE()),"-")</f>
        <v>8</v>
      </c>
      <c r="Q43" s="29">
        <f>IFERROR(VLOOKUP(I43,Scoring!$A$4:$N$51,6,FALSE()),"-")</f>
        <v>8</v>
      </c>
      <c r="R43" s="36">
        <f t="shared" si="3"/>
        <v>530</v>
      </c>
      <c r="S43">
        <f t="shared" si="4"/>
        <v>7</v>
      </c>
      <c r="T43">
        <f t="shared" si="5"/>
        <v>529.99995699999999</v>
      </c>
      <c r="U43" s="143" t="s">
        <v>212</v>
      </c>
      <c r="W43" s="44"/>
    </row>
    <row r="44" spans="1:23" ht="12.75" customHeight="1" x14ac:dyDescent="0.3">
      <c r="A44" s="27" t="s">
        <v>213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210</v>
      </c>
      <c r="K44" s="28">
        <f>IFERROR(VLOOKUP(C44,Scoring!$A$4:$N$51,14,FALSE())*4,"-")</f>
        <v>108</v>
      </c>
      <c r="L44" s="28">
        <f>IFERROR(VLOOKUP(D44,Scoring!$A$4:$N$51,14,FALSE())*3,"-")</f>
        <v>111</v>
      </c>
      <c r="M44" s="28">
        <f>IFERROR(VLOOKUP(E44,Scoring!$A$4:$N$51,14,FALSE())*2,"-")</f>
        <v>50</v>
      </c>
      <c r="N44" s="28">
        <f>IFERROR(VLOOKUP(F44,Scoring!$A$4:$N$51,14,FALSE()),"-")</f>
        <v>9</v>
      </c>
      <c r="O44" s="28">
        <f>IFERROR(VLOOKUP(G44,Scoring!$A$4:$N$51,14,FALSE()),"-")</f>
        <v>24</v>
      </c>
      <c r="P44" s="29">
        <f>IFERROR(VLOOKUP(H44,Scoring!$A$4:$N$51,14,FALSE()),"-")</f>
        <v>8</v>
      </c>
      <c r="Q44" s="29">
        <f>IFERROR(VLOOKUP(I44,Scoring!$A$4:$N$51,6,FALSE()),"-")</f>
        <v>5.5</v>
      </c>
      <c r="R44" s="36">
        <f t="shared" si="3"/>
        <v>525.5</v>
      </c>
      <c r="S44">
        <f t="shared" si="4"/>
        <v>9</v>
      </c>
      <c r="T44">
        <f t="shared" si="5"/>
        <v>525.499956</v>
      </c>
      <c r="U44" s="143" t="s">
        <v>212</v>
      </c>
      <c r="W44" s="44"/>
    </row>
    <row r="45" spans="1:23" ht="12.75" customHeight="1" x14ac:dyDescent="0.3">
      <c r="A45" s="27" t="s">
        <v>214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150</v>
      </c>
      <c r="K45" s="28">
        <f>IFERROR(VLOOKUP(C45,Scoring!$A$4:$N$51,14,FALSE())*4,"-")</f>
        <v>140</v>
      </c>
      <c r="L45" s="28">
        <f>IFERROR(VLOOKUP(D45,Scoring!$A$4:$N$51,14,FALSE())*3,"-")</f>
        <v>45</v>
      </c>
      <c r="M45" s="28">
        <f>IFERROR(VLOOKUP(E45,Scoring!$A$4:$N$51,14,FALSE())*2,"-")</f>
        <v>74</v>
      </c>
      <c r="N45" s="28">
        <f>IFERROR(VLOOKUP(F45,Scoring!$A$4:$N$51,14,FALSE()),"-")</f>
        <v>3</v>
      </c>
      <c r="O45" s="28">
        <f>IFERROR(VLOOKUP(G45,Scoring!$A$4:$N$51,14,FALSE()),"-")</f>
        <v>24</v>
      </c>
      <c r="P45" s="29">
        <f>IFERROR(VLOOKUP(H45,Scoring!$A$4:$N$51,14,FALSE()),"-")</f>
        <v>8</v>
      </c>
      <c r="Q45" s="29">
        <f>IFERROR(VLOOKUP(I45,Scoring!$A$4:$N$51,6,FALSE()),"-")</f>
        <v>5.5</v>
      </c>
      <c r="R45" s="36">
        <f t="shared" si="3"/>
        <v>449.5</v>
      </c>
      <c r="S45">
        <f t="shared" si="4"/>
        <v>67</v>
      </c>
      <c r="T45">
        <f t="shared" si="5"/>
        <v>449.499955</v>
      </c>
      <c r="U45" s="143" t="s">
        <v>215</v>
      </c>
      <c r="W45" s="44"/>
    </row>
    <row r="46" spans="1:23" ht="12.75" customHeight="1" x14ac:dyDescent="0.3">
      <c r="A46" s="27" t="s">
        <v>216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210</v>
      </c>
      <c r="K46" s="28">
        <f>IFERROR(VLOOKUP(C46,Scoring!$A$4:$N$51,14,FALSE())*4,"-")</f>
        <v>100</v>
      </c>
      <c r="L46" s="28">
        <f>IFERROR(VLOOKUP(D46,Scoring!$A$4:$N$51,14,FALSE())*3,"-")</f>
        <v>111</v>
      </c>
      <c r="M46" s="28">
        <f>IFERROR(VLOOKUP(E46,Scoring!$A$4:$N$51,14,FALSE())*2,"-")</f>
        <v>54</v>
      </c>
      <c r="N46" s="28">
        <f>IFERROR(VLOOKUP(F46,Scoring!$A$4:$N$51,14,FALSE()),"-")</f>
        <v>17</v>
      </c>
      <c r="O46" s="28">
        <f>IFERROR(VLOOKUP(G46,Scoring!$A$4:$N$51,14,FALSE()),"-")</f>
        <v>24</v>
      </c>
      <c r="P46" s="29">
        <f>IFERROR(VLOOKUP(H46,Scoring!$A$4:$N$51,14,FALSE()),"-")</f>
        <v>8</v>
      </c>
      <c r="Q46" s="29">
        <f>IFERROR(VLOOKUP(I46,Scoring!$A$4:$N$51,6,FALSE()),"-")</f>
        <v>5.5</v>
      </c>
      <c r="R46" s="36">
        <f t="shared" si="3"/>
        <v>529.5</v>
      </c>
      <c r="S46">
        <f t="shared" si="4"/>
        <v>8</v>
      </c>
      <c r="T46">
        <f t="shared" si="5"/>
        <v>529.499954</v>
      </c>
      <c r="U46" s="143" t="s">
        <v>217</v>
      </c>
      <c r="W46" s="44"/>
    </row>
    <row r="47" spans="1:23" ht="12.75" customHeight="1" x14ac:dyDescent="0.3">
      <c r="A47" s="27" t="s">
        <v>218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90</v>
      </c>
      <c r="K47" s="28">
        <f>IFERROR(VLOOKUP(C47,Scoring!$A$4:$N$51,14,FALSE())*4,"-")</f>
        <v>148</v>
      </c>
      <c r="L47" s="28">
        <f>IFERROR(VLOOKUP(D47,Scoring!$A$4:$N$51,14,FALSE())*3,"-")</f>
        <v>51</v>
      </c>
      <c r="M47" s="28">
        <f>IFERROR(VLOOKUP(E47,Scoring!$A$4:$N$51,14,FALSE())*2,"-")</f>
        <v>70</v>
      </c>
      <c r="N47" s="28">
        <f>IFERROR(VLOOKUP(F47,Scoring!$A$4:$N$51,14,FALSE()),"-")</f>
        <v>17</v>
      </c>
      <c r="O47" s="28">
        <f>IFERROR(VLOOKUP(G47,Scoring!$A$4:$N$51,14,FALSE()),"-")</f>
        <v>24</v>
      </c>
      <c r="P47" s="29">
        <f>IFERROR(VLOOKUP(H47,Scoring!$A$4:$N$51,14,FALSE()),"-")</f>
        <v>0</v>
      </c>
      <c r="Q47" s="29">
        <f>IFERROR(VLOOKUP(I47,Scoring!$A$4:$N$51,6,FALSE()),"-")</f>
        <v>5</v>
      </c>
      <c r="R47" s="36">
        <f t="shared" si="3"/>
        <v>405</v>
      </c>
      <c r="S47">
        <f t="shared" si="4"/>
        <v>86</v>
      </c>
      <c r="T47">
        <f t="shared" si="5"/>
        <v>404.999953</v>
      </c>
      <c r="U47" s="143" t="s">
        <v>219</v>
      </c>
      <c r="W47" s="44"/>
    </row>
    <row r="48" spans="1:23" ht="12.75" customHeight="1" x14ac:dyDescent="0.3">
      <c r="A48" s="27" t="s">
        <v>220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210</v>
      </c>
      <c r="K48" s="28">
        <f>IFERROR(VLOOKUP(C48,Scoring!$A$4:$N$51,14,FALSE())*4,"-")</f>
        <v>148</v>
      </c>
      <c r="L48" s="28">
        <f>IFERROR(VLOOKUP(D48,Scoring!$A$4:$N$51,14,FALSE())*3,"-")</f>
        <v>75</v>
      </c>
      <c r="M48" s="28">
        <f>IFERROR(VLOOKUP(E48,Scoring!$A$4:$N$51,14,FALSE())*2,"-")</f>
        <v>30</v>
      </c>
      <c r="N48" s="28">
        <f>IFERROR(VLOOKUP(F48,Scoring!$A$4:$N$51,14,FALSE()),"-")</f>
        <v>2</v>
      </c>
      <c r="O48" s="28">
        <f>IFERROR(VLOOKUP(G48,Scoring!$A$4:$N$51,14,FALSE()),"-")</f>
        <v>24</v>
      </c>
      <c r="P48" s="29">
        <f>IFERROR(VLOOKUP(H48,Scoring!$A$4:$N$51,14,FALSE()),"-")</f>
        <v>0</v>
      </c>
      <c r="Q48" s="29">
        <f>IFERROR(VLOOKUP(I48,Scoring!$A$4:$N$51,6,FALSE()),"-")</f>
        <v>5.5</v>
      </c>
      <c r="R48" s="36">
        <f t="shared" si="3"/>
        <v>494.5</v>
      </c>
      <c r="S48">
        <f t="shared" si="4"/>
        <v>32</v>
      </c>
      <c r="T48">
        <f t="shared" si="5"/>
        <v>494.49995200000001</v>
      </c>
      <c r="U48" s="143" t="s">
        <v>221</v>
      </c>
      <c r="W48" s="44"/>
    </row>
    <row r="49" spans="1:23" ht="12.75" customHeight="1" x14ac:dyDescent="0.3">
      <c r="A49" s="27" t="s">
        <v>222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60</v>
      </c>
      <c r="K49" s="28">
        <f>IFERROR(VLOOKUP(C49,Scoring!$A$4:$N$51,14,FALSE())*4,"-")</f>
        <v>68</v>
      </c>
      <c r="L49" s="28">
        <f>IFERROR(VLOOKUP(D49,Scoring!$A$4:$N$51,14,FALSE())*3,"-")</f>
        <v>105</v>
      </c>
      <c r="M49" s="28">
        <f>IFERROR(VLOOKUP(E49,Scoring!$A$4:$N$51,14,FALSE())*2,"-")</f>
        <v>54</v>
      </c>
      <c r="N49" s="28">
        <f>IFERROR(VLOOKUP(F49,Scoring!$A$4:$N$51,14,FALSE()),"-")</f>
        <v>16</v>
      </c>
      <c r="O49" s="28">
        <f>IFERROR(VLOOKUP(G49,Scoring!$A$4:$N$51,14,FALSE()),"-")</f>
        <v>24</v>
      </c>
      <c r="P49" s="29">
        <f>IFERROR(VLOOKUP(H49,Scoring!$A$4:$N$51,14,FALSE()),"-")</f>
        <v>8</v>
      </c>
      <c r="Q49" s="29">
        <f>IFERROR(VLOOKUP(I49,Scoring!$A$4:$N$51,6,FALSE()),"-")</f>
        <v>5.5</v>
      </c>
      <c r="R49" s="36">
        <f t="shared" si="3"/>
        <v>340.5</v>
      </c>
      <c r="S49">
        <f t="shared" si="4"/>
        <v>100</v>
      </c>
      <c r="T49">
        <f t="shared" si="5"/>
        <v>340.49995100000001</v>
      </c>
      <c r="U49" s="143" t="s">
        <v>221</v>
      </c>
      <c r="W49" s="44"/>
    </row>
    <row r="50" spans="1:23" ht="12.75" customHeight="1" x14ac:dyDescent="0.3">
      <c r="A50" s="27" t="s">
        <v>223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150</v>
      </c>
      <c r="K50" s="28">
        <f>IFERROR(VLOOKUP(C50,Scoring!$A$4:$N$51,14,FALSE())*4,"-")</f>
        <v>140</v>
      </c>
      <c r="L50" s="28">
        <f>IFERROR(VLOOKUP(D50,Scoring!$A$4:$N$51,14,FALSE())*3,"-")</f>
        <v>51</v>
      </c>
      <c r="M50" s="28">
        <f>IFERROR(VLOOKUP(E50,Scoring!$A$4:$N$51,14,FALSE())*2,"-")</f>
        <v>74</v>
      </c>
      <c r="N50" s="28">
        <f>IFERROR(VLOOKUP(F50,Scoring!$A$4:$N$51,14,FALSE()),"-")</f>
        <v>17</v>
      </c>
      <c r="O50" s="28">
        <f>IFERROR(VLOOKUP(G50,Scoring!$A$4:$N$51,14,FALSE()),"-")</f>
        <v>24</v>
      </c>
      <c r="P50" s="29">
        <f>IFERROR(VLOOKUP(H50,Scoring!$A$4:$N$51,14,FALSE()),"-")</f>
        <v>8</v>
      </c>
      <c r="Q50" s="29">
        <f>IFERROR(VLOOKUP(I50,Scoring!$A$4:$N$51,6,FALSE()),"-")</f>
        <v>5</v>
      </c>
      <c r="R50" s="36">
        <f t="shared" si="3"/>
        <v>469</v>
      </c>
      <c r="S50">
        <f t="shared" si="4"/>
        <v>56</v>
      </c>
      <c r="T50">
        <f t="shared" si="5"/>
        <v>468.99995000000001</v>
      </c>
      <c r="U50" s="143" t="s">
        <v>224</v>
      </c>
      <c r="W50" s="44"/>
    </row>
    <row r="51" spans="1:23" ht="12.75" customHeight="1" x14ac:dyDescent="0.3">
      <c r="A51" s="27" t="s">
        <v>225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210</v>
      </c>
      <c r="K51" s="28">
        <f>IFERROR(VLOOKUP(C51,Scoring!$A$4:$N$51,14,FALSE())*4,"-")</f>
        <v>68</v>
      </c>
      <c r="L51" s="28">
        <f>IFERROR(VLOOKUP(D51,Scoring!$A$4:$N$51,14,FALSE())*3,"-")</f>
        <v>75</v>
      </c>
      <c r="M51" s="28">
        <f>IFERROR(VLOOKUP(E51,Scoring!$A$4:$N$51,14,FALSE())*2,"-")</f>
        <v>30</v>
      </c>
      <c r="N51" s="28">
        <f>IFERROR(VLOOKUP(F51,Scoring!$A$4:$N$51,14,FALSE()),"-")</f>
        <v>19</v>
      </c>
      <c r="O51" s="28">
        <f>IFERROR(VLOOKUP(G51,Scoring!$A$4:$N$51,14,FALSE()),"-")</f>
        <v>24</v>
      </c>
      <c r="P51" s="29">
        <f>IFERROR(VLOOKUP(H51,Scoring!$A$4:$N$51,14,FALSE()),"-")</f>
        <v>8</v>
      </c>
      <c r="Q51" s="29">
        <f>IFERROR(VLOOKUP(I51,Scoring!$A$4:$N$51,6,FALSE()),"-")</f>
        <v>5</v>
      </c>
      <c r="R51" s="36">
        <f t="shared" si="3"/>
        <v>439</v>
      </c>
      <c r="S51">
        <f t="shared" si="4"/>
        <v>72</v>
      </c>
      <c r="T51">
        <f t="shared" si="5"/>
        <v>438.99994900000002</v>
      </c>
      <c r="U51" s="143" t="s">
        <v>226</v>
      </c>
      <c r="W51" s="44"/>
    </row>
    <row r="52" spans="1:23" ht="12.75" customHeight="1" x14ac:dyDescent="0.3">
      <c r="A52" s="27" t="s">
        <v>227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210</v>
      </c>
      <c r="K52" s="28">
        <f>IFERROR(VLOOKUP(C52,Scoring!$A$4:$N$51,14,FALSE())*4,"-")</f>
        <v>148</v>
      </c>
      <c r="L52" s="28">
        <f>IFERROR(VLOOKUP(D52,Scoring!$A$4:$N$51,14,FALSE())*3,"-")</f>
        <v>75</v>
      </c>
      <c r="M52" s="28">
        <f>IFERROR(VLOOKUP(E52,Scoring!$A$4:$N$51,14,FALSE())*2,"-")</f>
        <v>54</v>
      </c>
      <c r="N52" s="28">
        <f>IFERROR(VLOOKUP(F52,Scoring!$A$4:$N$51,14,FALSE()),"-")</f>
        <v>9</v>
      </c>
      <c r="O52" s="28">
        <f>IFERROR(VLOOKUP(G52,Scoring!$A$4:$N$51,14,FALSE()),"-")</f>
        <v>8</v>
      </c>
      <c r="P52" s="29">
        <f>IFERROR(VLOOKUP(H52,Scoring!$A$4:$N$51,14,FALSE()),"-")</f>
        <v>8</v>
      </c>
      <c r="Q52" s="29">
        <f>IFERROR(VLOOKUP(I52,Scoring!$A$4:$N$51,6,FALSE()),"-")</f>
        <v>5.5</v>
      </c>
      <c r="R52" s="36">
        <f t="shared" si="3"/>
        <v>517.5</v>
      </c>
      <c r="S52">
        <f t="shared" si="4"/>
        <v>15</v>
      </c>
      <c r="T52">
        <f t="shared" si="5"/>
        <v>517.49994800000002</v>
      </c>
      <c r="U52" s="143" t="s">
        <v>228</v>
      </c>
      <c r="W52" s="44"/>
    </row>
    <row r="53" spans="1:23" ht="12.75" customHeight="1" x14ac:dyDescent="0.3">
      <c r="A53" s="27" t="s">
        <v>229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102</v>
      </c>
      <c r="K53" s="28">
        <f>IFERROR(VLOOKUP(C53,Scoring!$A$4:$N$51,14,FALSE())*4,"-")</f>
        <v>100</v>
      </c>
      <c r="L53" s="28">
        <f>IFERROR(VLOOKUP(D53,Scoring!$A$4:$N$51,14,FALSE())*3,"-")</f>
        <v>111</v>
      </c>
      <c r="M53" s="28">
        <f>IFERROR(VLOOKUP(E53,Scoring!$A$4:$N$51,14,FALSE())*2,"-")</f>
        <v>70</v>
      </c>
      <c r="N53" s="28">
        <f>IFERROR(VLOOKUP(F53,Scoring!$A$4:$N$51,14,FALSE()),"-")</f>
        <v>2</v>
      </c>
      <c r="O53" s="28">
        <f>IFERROR(VLOOKUP(G53,Scoring!$A$4:$N$51,14,FALSE()),"-")</f>
        <v>24</v>
      </c>
      <c r="P53" s="29">
        <f>IFERROR(VLOOKUP(H53,Scoring!$A$4:$N$51,14,FALSE()),"-")</f>
        <v>8</v>
      </c>
      <c r="Q53" s="29">
        <f>IFERROR(VLOOKUP(I53,Scoring!$A$4:$N$51,6,FALSE()),"-")</f>
        <v>5</v>
      </c>
      <c r="R53" s="36">
        <f t="shared" si="3"/>
        <v>422</v>
      </c>
      <c r="S53">
        <f t="shared" si="4"/>
        <v>79</v>
      </c>
      <c r="T53">
        <f t="shared" si="5"/>
        <v>421.99994700000002</v>
      </c>
      <c r="U53" s="143" t="s">
        <v>230</v>
      </c>
      <c r="W53" s="44"/>
    </row>
    <row r="54" spans="1:23" ht="12.75" customHeight="1" x14ac:dyDescent="0.3">
      <c r="A54" s="27" t="s">
        <v>231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90</v>
      </c>
      <c r="K54" s="28">
        <f>IFERROR(VLOOKUP(C54,Scoring!$A$4:$N$51,14,FALSE())*4,"-")</f>
        <v>140</v>
      </c>
      <c r="L54" s="28">
        <f>IFERROR(VLOOKUP(D54,Scoring!$A$4:$N$51,14,FALSE())*3,"-")</f>
        <v>51</v>
      </c>
      <c r="M54" s="28">
        <f>IFERROR(VLOOKUP(E54,Scoring!$A$4:$N$51,14,FALSE())*2,"-")</f>
        <v>74</v>
      </c>
      <c r="N54" s="28">
        <f>IFERROR(VLOOKUP(F54,Scoring!$A$4:$N$51,14,FALSE()),"-")</f>
        <v>2</v>
      </c>
      <c r="O54" s="28">
        <f>IFERROR(VLOOKUP(G54,Scoring!$A$4:$N$51,14,FALSE()),"-")</f>
        <v>15</v>
      </c>
      <c r="P54" s="29">
        <f>IFERROR(VLOOKUP(H54,Scoring!$A$4:$N$51,14,FALSE()),"-")</f>
        <v>8</v>
      </c>
      <c r="Q54" s="29">
        <f>IFERROR(VLOOKUP(I54,Scoring!$A$4:$N$51,6,FALSE()),"-")</f>
        <v>4</v>
      </c>
      <c r="R54" s="36">
        <f t="shared" si="3"/>
        <v>384</v>
      </c>
      <c r="S54">
        <f t="shared" si="4"/>
        <v>91</v>
      </c>
      <c r="T54">
        <f t="shared" si="5"/>
        <v>383.99994600000002</v>
      </c>
      <c r="U54" s="44" t="s">
        <v>232</v>
      </c>
      <c r="W54" s="44"/>
    </row>
    <row r="55" spans="1:23" ht="12.75" customHeight="1" x14ac:dyDescent="0.3">
      <c r="A55" s="27" t="s">
        <v>233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102</v>
      </c>
      <c r="K55" s="28">
        <f>IFERROR(VLOOKUP(C55,Scoring!$A$4:$N$51,14,FALSE())*4,"-")</f>
        <v>148</v>
      </c>
      <c r="L55" s="28">
        <f>IFERROR(VLOOKUP(D55,Scoring!$A$4:$N$51,14,FALSE())*3,"-")</f>
        <v>105</v>
      </c>
      <c r="M55" s="28">
        <f>IFERROR(VLOOKUP(E55,Scoring!$A$4:$N$51,14,FALSE())*2,"-")</f>
        <v>50</v>
      </c>
      <c r="N55" s="28">
        <f>IFERROR(VLOOKUP(F55,Scoring!$A$4:$N$51,14,FALSE()),"-")</f>
        <v>19</v>
      </c>
      <c r="O55" s="28">
        <f>IFERROR(VLOOKUP(G55,Scoring!$A$4:$N$51,14,FALSE()),"-")</f>
        <v>8</v>
      </c>
      <c r="P55" s="29">
        <f>IFERROR(VLOOKUP(H55,Scoring!$A$4:$N$51,14,FALSE()),"-")</f>
        <v>8</v>
      </c>
      <c r="Q55" s="29">
        <f>IFERROR(VLOOKUP(I55,Scoring!$A$4:$N$51,6,FALSE()),"-")</f>
        <v>8</v>
      </c>
      <c r="R55" s="36">
        <f t="shared" si="3"/>
        <v>448</v>
      </c>
      <c r="S55">
        <f t="shared" si="4"/>
        <v>70</v>
      </c>
      <c r="T55">
        <f t="shared" si="5"/>
        <v>447.99994500000003</v>
      </c>
      <c r="U55" s="44" t="s">
        <v>234</v>
      </c>
      <c r="W55" s="44"/>
    </row>
    <row r="56" spans="1:23" ht="12.75" customHeight="1" x14ac:dyDescent="0.3">
      <c r="A56" s="27" t="s">
        <v>235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210</v>
      </c>
      <c r="K56" s="28">
        <f>IFERROR(VLOOKUP(C56,Scoring!$A$4:$N$51,14,FALSE())*4,"-")</f>
        <v>148</v>
      </c>
      <c r="L56" s="28">
        <f>IFERROR(VLOOKUP(D56,Scoring!$A$4:$N$51,14,FALSE())*3,"-")</f>
        <v>51</v>
      </c>
      <c r="M56" s="28">
        <f>IFERROR(VLOOKUP(E56,Scoring!$A$4:$N$51,14,FALSE())*2,"-")</f>
        <v>54</v>
      </c>
      <c r="N56" s="28">
        <f>IFERROR(VLOOKUP(F56,Scoring!$A$4:$N$51,14,FALSE()),"-")</f>
        <v>2</v>
      </c>
      <c r="O56" s="28">
        <f>IFERROR(VLOOKUP(G56,Scoring!$A$4:$N$51,14,FALSE()),"-")</f>
        <v>24</v>
      </c>
      <c r="P56" s="29">
        <f>IFERROR(VLOOKUP(H56,Scoring!$A$4:$N$51,14,FALSE()),"-")</f>
        <v>1</v>
      </c>
      <c r="Q56" s="29">
        <f>IFERROR(VLOOKUP(I56,Scoring!$A$4:$N$51,6,FALSE()),"-")</f>
        <v>5.5</v>
      </c>
      <c r="R56" s="36">
        <f t="shared" si="3"/>
        <v>495.5</v>
      </c>
      <c r="S56">
        <f t="shared" si="4"/>
        <v>31</v>
      </c>
      <c r="T56">
        <f t="shared" si="5"/>
        <v>495.49994400000003</v>
      </c>
      <c r="U56" s="44" t="s">
        <v>236</v>
      </c>
      <c r="W56" s="44"/>
    </row>
    <row r="57" spans="1:23" ht="12.75" customHeight="1" x14ac:dyDescent="0.3">
      <c r="A57" s="27" t="s">
        <v>237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222</v>
      </c>
      <c r="K57" s="28">
        <f>IFERROR(VLOOKUP(C57,Scoring!$A$4:$N$51,14,FALSE())*4,"-")</f>
        <v>100</v>
      </c>
      <c r="L57" s="28">
        <f>IFERROR(VLOOKUP(D57,Scoring!$A$4:$N$51,14,FALSE())*3,"-")</f>
        <v>105</v>
      </c>
      <c r="M57" s="28">
        <f>IFERROR(VLOOKUP(E57,Scoring!$A$4:$N$51,14,FALSE())*2,"-")</f>
        <v>54</v>
      </c>
      <c r="N57" s="28">
        <f>IFERROR(VLOOKUP(F57,Scoring!$A$4:$N$51,14,FALSE()),"-")</f>
        <v>25</v>
      </c>
      <c r="O57" s="28">
        <f>IFERROR(VLOOKUP(G57,Scoring!$A$4:$N$51,14,FALSE()),"-")</f>
        <v>15</v>
      </c>
      <c r="P57" s="29">
        <f>IFERROR(VLOOKUP(H57,Scoring!$A$4:$N$51,14,FALSE()),"-")</f>
        <v>8</v>
      </c>
      <c r="Q57" s="29">
        <f>IFERROR(VLOOKUP(I57,Scoring!$A$4:$N$51,6,FALSE()),"-")</f>
        <v>8</v>
      </c>
      <c r="R57" s="36">
        <f t="shared" si="3"/>
        <v>537</v>
      </c>
      <c r="S57">
        <f t="shared" si="4"/>
        <v>4</v>
      </c>
      <c r="T57">
        <f t="shared" si="5"/>
        <v>536.99994300000003</v>
      </c>
      <c r="U57" s="44" t="s">
        <v>238</v>
      </c>
      <c r="W57" s="44"/>
    </row>
    <row r="58" spans="1:23" ht="12.75" customHeight="1" x14ac:dyDescent="0.3">
      <c r="A58" s="27" t="s">
        <v>239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222</v>
      </c>
      <c r="K58" s="28">
        <f>IFERROR(VLOOKUP(C58,Scoring!$A$4:$N$51,14,FALSE())*4,"-")</f>
        <v>140</v>
      </c>
      <c r="L58" s="28">
        <f>IFERROR(VLOOKUP(D58,Scoring!$A$4:$N$51,14,FALSE())*3,"-")</f>
        <v>81</v>
      </c>
      <c r="M58" s="28">
        <f>IFERROR(VLOOKUP(E58,Scoring!$A$4:$N$51,14,FALSE())*2,"-")</f>
        <v>50</v>
      </c>
      <c r="N58" s="28">
        <f>IFERROR(VLOOKUP(F58,Scoring!$A$4:$N$51,14,FALSE()),"-")</f>
        <v>19</v>
      </c>
      <c r="O58" s="28">
        <f>IFERROR(VLOOKUP(G58,Scoring!$A$4:$N$51,14,FALSE()),"-")</f>
        <v>14</v>
      </c>
      <c r="P58" s="29">
        <f>IFERROR(VLOOKUP(H58,Scoring!$A$4:$N$51,14,FALSE()),"-")</f>
        <v>8</v>
      </c>
      <c r="Q58" s="29">
        <f>IFERROR(VLOOKUP(I58,Scoring!$A$4:$N$51,6,FALSE()),"-")</f>
        <v>5.5</v>
      </c>
      <c r="R58" s="36">
        <f t="shared" si="3"/>
        <v>539.5</v>
      </c>
      <c r="S58">
        <f t="shared" si="4"/>
        <v>3</v>
      </c>
      <c r="T58">
        <f t="shared" si="5"/>
        <v>539.49994200000003</v>
      </c>
      <c r="U58" s="143" t="s">
        <v>240</v>
      </c>
      <c r="W58" s="44"/>
    </row>
    <row r="59" spans="1:23" ht="12.75" customHeight="1" x14ac:dyDescent="0.3">
      <c r="A59" s="27" t="s">
        <v>241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222</v>
      </c>
      <c r="K59" s="28">
        <f>IFERROR(VLOOKUP(C59,Scoring!$A$4:$N$51,14,FALSE())*4,"-")</f>
        <v>140</v>
      </c>
      <c r="L59" s="28">
        <f>IFERROR(VLOOKUP(D59,Scoring!$A$4:$N$51,14,FALSE())*3,"-")</f>
        <v>75</v>
      </c>
      <c r="M59" s="28">
        <f>IFERROR(VLOOKUP(E59,Scoring!$A$4:$N$51,14,FALSE())*2,"-")</f>
        <v>30</v>
      </c>
      <c r="N59" s="28">
        <f>IFERROR(VLOOKUP(F59,Scoring!$A$4:$N$51,14,FALSE()),"-")</f>
        <v>9</v>
      </c>
      <c r="O59" s="28">
        <f>IFERROR(VLOOKUP(G59,Scoring!$A$4:$N$51,14,FALSE()),"-")</f>
        <v>8</v>
      </c>
      <c r="P59" s="29">
        <f>IFERROR(VLOOKUP(H59,Scoring!$A$4:$N$51,14,FALSE()),"-")</f>
        <v>1</v>
      </c>
      <c r="Q59" s="29">
        <f>IFERROR(VLOOKUP(I59,Scoring!$A$4:$N$51,6,FALSE()),"-")</f>
        <v>5.5</v>
      </c>
      <c r="R59" s="36">
        <f t="shared" si="3"/>
        <v>490.5</v>
      </c>
      <c r="S59">
        <f t="shared" si="4"/>
        <v>37</v>
      </c>
      <c r="T59">
        <f t="shared" si="5"/>
        <v>490.49994099999998</v>
      </c>
      <c r="U59" s="44" t="s">
        <v>242</v>
      </c>
      <c r="W59" s="44"/>
    </row>
    <row r="60" spans="1:23" ht="12.75" customHeight="1" x14ac:dyDescent="0.3">
      <c r="A60" s="27" t="s">
        <v>243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102</v>
      </c>
      <c r="K60" s="28">
        <f>IFERROR(VLOOKUP(C60,Scoring!$A$4:$N$51,14,FALSE())*4,"-")</f>
        <v>140</v>
      </c>
      <c r="L60" s="28">
        <f>IFERROR(VLOOKUP(D60,Scoring!$A$4:$N$51,14,FALSE())*3,"-")</f>
        <v>30</v>
      </c>
      <c r="M60" s="28">
        <f>IFERROR(VLOOKUP(E60,Scoring!$A$4:$N$51,14,FALSE())*2,"-")</f>
        <v>30</v>
      </c>
      <c r="N60" s="28">
        <f>IFERROR(VLOOKUP(F60,Scoring!$A$4:$N$51,14,FALSE()),"-")</f>
        <v>19</v>
      </c>
      <c r="O60" s="28">
        <f>IFERROR(VLOOKUP(G60,Scoring!$A$4:$N$51,14,FALSE()),"-")</f>
        <v>24</v>
      </c>
      <c r="P60" s="29">
        <f>IFERROR(VLOOKUP(H60,Scoring!$A$4:$N$51,14,FALSE()),"-")</f>
        <v>8</v>
      </c>
      <c r="Q60" s="29">
        <f>IFERROR(VLOOKUP(I60,Scoring!$A$4:$N$51,6,FALSE()),"-")</f>
        <v>5</v>
      </c>
      <c r="R60" s="36">
        <f t="shared" si="3"/>
        <v>358</v>
      </c>
      <c r="S60">
        <f t="shared" si="4"/>
        <v>98</v>
      </c>
      <c r="T60">
        <f t="shared" si="5"/>
        <v>357.99993999999998</v>
      </c>
      <c r="U60" s="44" t="s">
        <v>244</v>
      </c>
      <c r="W60" s="44"/>
    </row>
    <row r="61" spans="1:23" ht="12.75" customHeight="1" x14ac:dyDescent="0.3">
      <c r="A61" s="27" t="s">
        <v>245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90</v>
      </c>
      <c r="K61" s="28">
        <f>IFERROR(VLOOKUP(C61,Scoring!$A$4:$N$51,14,FALSE())*4,"-")</f>
        <v>148</v>
      </c>
      <c r="L61" s="28">
        <f>IFERROR(VLOOKUP(D61,Scoring!$A$4:$N$51,14,FALSE())*3,"-")</f>
        <v>105</v>
      </c>
      <c r="M61" s="28">
        <f>IFERROR(VLOOKUP(E61,Scoring!$A$4:$N$51,14,FALSE())*2,"-")</f>
        <v>34</v>
      </c>
      <c r="N61" s="28">
        <f>IFERROR(VLOOKUP(F61,Scoring!$A$4:$N$51,14,FALSE()),"-")</f>
        <v>3</v>
      </c>
      <c r="O61" s="28">
        <f>IFERROR(VLOOKUP(G61,Scoring!$A$4:$N$51,14,FALSE()),"-")</f>
        <v>14</v>
      </c>
      <c r="P61" s="29">
        <f>IFERROR(VLOOKUP(H61,Scoring!$A$4:$N$51,14,FALSE()),"-")</f>
        <v>8</v>
      </c>
      <c r="Q61" s="29">
        <f>IFERROR(VLOOKUP(I61,Scoring!$A$4:$N$51,6,FALSE()),"-")</f>
        <v>5.5</v>
      </c>
      <c r="R61" s="36">
        <f t="shared" si="3"/>
        <v>407.5</v>
      </c>
      <c r="S61">
        <f t="shared" si="4"/>
        <v>84</v>
      </c>
      <c r="T61">
        <f t="shared" si="5"/>
        <v>407.49993899999998</v>
      </c>
      <c r="U61" s="44" t="s">
        <v>246</v>
      </c>
      <c r="W61" s="44"/>
    </row>
    <row r="62" spans="1:23" ht="12.75" customHeight="1" x14ac:dyDescent="0.3">
      <c r="A62" s="27" t="s">
        <v>247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102</v>
      </c>
      <c r="K62" s="28">
        <f>IFERROR(VLOOKUP(C62,Scoring!$A$4:$N$51,14,FALSE())*4,"-")</f>
        <v>40</v>
      </c>
      <c r="L62" s="28">
        <f>IFERROR(VLOOKUP(D62,Scoring!$A$4:$N$51,14,FALSE())*3,"-")</f>
        <v>57</v>
      </c>
      <c r="M62" s="28">
        <f>IFERROR(VLOOKUP(E62,Scoring!$A$4:$N$51,14,FALSE())*2,"-")</f>
        <v>4</v>
      </c>
      <c r="N62" s="28">
        <f>IFERROR(VLOOKUP(F62,Scoring!$A$4:$N$51,14,FALSE()),"-")</f>
        <v>17</v>
      </c>
      <c r="O62" s="28">
        <f>IFERROR(VLOOKUP(G62,Scoring!$A$4:$N$51,14,FALSE()),"-")</f>
        <v>14</v>
      </c>
      <c r="P62" s="29">
        <f>IFERROR(VLOOKUP(H62,Scoring!$A$4:$N$51,14,FALSE()),"-")</f>
        <v>8</v>
      </c>
      <c r="Q62" s="29">
        <f>IFERROR(VLOOKUP(I62,Scoring!$A$4:$N$51,6,FALSE()),"-")</f>
        <v>5</v>
      </c>
      <c r="R62" s="36">
        <f t="shared" si="3"/>
        <v>247</v>
      </c>
      <c r="S62">
        <f t="shared" si="4"/>
        <v>105</v>
      </c>
      <c r="T62">
        <f t="shared" si="5"/>
        <v>246.99993799999999</v>
      </c>
      <c r="U62" s="143" t="s">
        <v>248</v>
      </c>
      <c r="W62" s="44"/>
    </row>
    <row r="63" spans="1:23" ht="12.75" customHeight="1" x14ac:dyDescent="0.3">
      <c r="A63" s="27" t="s">
        <v>249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222</v>
      </c>
      <c r="K63" s="28">
        <f>IFERROR(VLOOKUP(C63,Scoring!$A$4:$N$51,14,FALSE())*4,"-")</f>
        <v>68</v>
      </c>
      <c r="L63" s="28">
        <f>IFERROR(VLOOKUP(D63,Scoring!$A$4:$N$51,14,FALSE())*3,"-")</f>
        <v>105</v>
      </c>
      <c r="M63" s="28">
        <f>IFERROR(VLOOKUP(E63,Scoring!$A$4:$N$51,14,FALSE())*2,"-")</f>
        <v>50</v>
      </c>
      <c r="N63" s="28">
        <f>IFERROR(VLOOKUP(F63,Scoring!$A$4:$N$51,14,FALSE()),"-")</f>
        <v>2</v>
      </c>
      <c r="O63" s="28">
        <f>IFERROR(VLOOKUP(G63,Scoring!$A$4:$N$51,14,FALSE()),"-")</f>
        <v>15</v>
      </c>
      <c r="P63" s="29">
        <f>IFERROR(VLOOKUP(H63,Scoring!$A$4:$N$51,14,FALSE()),"-")</f>
        <v>1</v>
      </c>
      <c r="Q63" s="29">
        <f>IFERROR(VLOOKUP(I63,Scoring!$A$4:$N$51,6,FALSE()),"-")</f>
        <v>8</v>
      </c>
      <c r="R63" s="36">
        <f t="shared" si="3"/>
        <v>471</v>
      </c>
      <c r="S63">
        <f t="shared" si="4"/>
        <v>52</v>
      </c>
      <c r="T63">
        <f t="shared" si="5"/>
        <v>470.99993699999999</v>
      </c>
      <c r="U63" s="143" t="s">
        <v>250</v>
      </c>
      <c r="W63" s="44"/>
    </row>
    <row r="64" spans="1:23" ht="12.75" customHeight="1" x14ac:dyDescent="0.3">
      <c r="A64" s="27" t="s">
        <v>251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222</v>
      </c>
      <c r="K64" s="28">
        <f>IFERROR(VLOOKUP(C64,Scoring!$A$4:$N$51,14,FALSE())*4,"-")</f>
        <v>140</v>
      </c>
      <c r="L64" s="28">
        <f>IFERROR(VLOOKUP(D64,Scoring!$A$4:$N$51,14,FALSE())*3,"-")</f>
        <v>51</v>
      </c>
      <c r="M64" s="28">
        <f>IFERROR(VLOOKUP(E64,Scoring!$A$4:$N$51,14,FALSE())*2,"-")</f>
        <v>50</v>
      </c>
      <c r="N64" s="28">
        <f>IFERROR(VLOOKUP(F64,Scoring!$A$4:$N$51,14,FALSE()),"-")</f>
        <v>9</v>
      </c>
      <c r="O64" s="28">
        <f>IFERROR(VLOOKUP(G64,Scoring!$A$4:$N$51,14,FALSE()),"-")</f>
        <v>24</v>
      </c>
      <c r="P64" s="29">
        <f>IFERROR(VLOOKUP(H64,Scoring!$A$4:$N$51,14,FALSE()),"-")</f>
        <v>8</v>
      </c>
      <c r="Q64" s="29">
        <f>IFERROR(VLOOKUP(I64,Scoring!$A$4:$N$51,6,FALSE()),"-")</f>
        <v>8</v>
      </c>
      <c r="R64" s="36">
        <f t="shared" si="3"/>
        <v>512</v>
      </c>
      <c r="S64">
        <f t="shared" si="4"/>
        <v>19</v>
      </c>
      <c r="T64">
        <f t="shared" si="5"/>
        <v>511.99993599999999</v>
      </c>
      <c r="U64" s="143" t="s">
        <v>252</v>
      </c>
      <c r="W64" s="44"/>
    </row>
    <row r="65" spans="1:23" ht="12.75" customHeight="1" x14ac:dyDescent="0.3">
      <c r="A65" s="27" t="s">
        <v>253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90</v>
      </c>
      <c r="K65" s="28">
        <f>IFERROR(VLOOKUP(C65,Scoring!$A$4:$N$51,14,FALSE())*4,"-")</f>
        <v>148</v>
      </c>
      <c r="L65" s="28">
        <f>IFERROR(VLOOKUP(D65,Scoring!$A$4:$N$51,14,FALSE())*3,"-")</f>
        <v>105</v>
      </c>
      <c r="M65" s="28">
        <f>IFERROR(VLOOKUP(E65,Scoring!$A$4:$N$51,14,FALSE())*2,"-")</f>
        <v>34</v>
      </c>
      <c r="N65" s="28">
        <f>IFERROR(VLOOKUP(F65,Scoring!$A$4:$N$51,14,FALSE()),"-")</f>
        <v>17</v>
      </c>
      <c r="O65" s="28">
        <f>IFERROR(VLOOKUP(G65,Scoring!$A$4:$N$51,14,FALSE()),"-")</f>
        <v>24</v>
      </c>
      <c r="P65" s="29">
        <f>IFERROR(VLOOKUP(H65,Scoring!$A$4:$N$51,14,FALSE()),"-")</f>
        <v>0</v>
      </c>
      <c r="Q65" s="29">
        <f>IFERROR(VLOOKUP(I65,Scoring!$A$4:$N$51,6,FALSE()),"-")</f>
        <v>8</v>
      </c>
      <c r="R65" s="36">
        <f t="shared" si="3"/>
        <v>426</v>
      </c>
      <c r="S65">
        <f t="shared" si="4"/>
        <v>78</v>
      </c>
      <c r="T65">
        <f t="shared" si="5"/>
        <v>425.99993499999999</v>
      </c>
      <c r="U65" s="143" t="s">
        <v>254</v>
      </c>
      <c r="W65" s="44"/>
    </row>
    <row r="66" spans="1:23" ht="12.75" customHeight="1" x14ac:dyDescent="0.3">
      <c r="A66" s="27" t="s">
        <v>255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210</v>
      </c>
      <c r="K66" s="28">
        <f>IFERROR(VLOOKUP(C66,Scoring!$A$4:$N$51,14,FALSE())*4,"-")</f>
        <v>68</v>
      </c>
      <c r="L66" s="28">
        <f>IFERROR(VLOOKUP(D66,Scoring!$A$4:$N$51,14,FALSE())*3,"-")</f>
        <v>30</v>
      </c>
      <c r="M66" s="28">
        <f>IFERROR(VLOOKUP(E66,Scoring!$A$4:$N$51,14,FALSE())*2,"-")</f>
        <v>22</v>
      </c>
      <c r="N66" s="28">
        <f>IFERROR(VLOOKUP(F66,Scoring!$A$4:$N$51,14,FALSE()),"-")</f>
        <v>8</v>
      </c>
      <c r="O66" s="28">
        <f>IFERROR(VLOOKUP(G66,Scoring!$A$4:$N$51,14,FALSE()),"-")</f>
        <v>24</v>
      </c>
      <c r="P66" s="29">
        <f>IFERROR(VLOOKUP(H66,Scoring!$A$4:$N$51,14,FALSE()),"-")</f>
        <v>7</v>
      </c>
      <c r="Q66" s="29">
        <f>IFERROR(VLOOKUP(I66,Scoring!$A$4:$N$51,6,FALSE()),"-")</f>
        <v>5</v>
      </c>
      <c r="R66" s="36">
        <f t="shared" si="3"/>
        <v>374</v>
      </c>
      <c r="S66">
        <f t="shared" si="4"/>
        <v>94</v>
      </c>
      <c r="T66">
        <f t="shared" si="5"/>
        <v>373.999934</v>
      </c>
      <c r="U66" s="143" t="s">
        <v>256</v>
      </c>
      <c r="W66" s="44"/>
    </row>
    <row r="67" spans="1:23" ht="12.75" customHeight="1" x14ac:dyDescent="0.3">
      <c r="A67" s="27" t="s">
        <v>257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210</v>
      </c>
      <c r="K67" s="28">
        <f>IFERROR(VLOOKUP(C67,Scoring!$A$4:$N$51,14,FALSE())*4,"-")</f>
        <v>108</v>
      </c>
      <c r="L67" s="28">
        <f>IFERROR(VLOOKUP(D67,Scoring!$A$4:$N$51,14,FALSE())*3,"-")</f>
        <v>111</v>
      </c>
      <c r="M67" s="28">
        <f>IFERROR(VLOOKUP(E67,Scoring!$A$4:$N$51,14,FALSE())*2,"-")</f>
        <v>50</v>
      </c>
      <c r="N67" s="28">
        <f>IFERROR(VLOOKUP(F67,Scoring!$A$4:$N$51,14,FALSE()),"-")</f>
        <v>9</v>
      </c>
      <c r="O67" s="28">
        <f>IFERROR(VLOOKUP(G67,Scoring!$A$4:$N$51,14,FALSE()),"-")</f>
        <v>24</v>
      </c>
      <c r="P67" s="29">
        <f>IFERROR(VLOOKUP(H67,Scoring!$A$4:$N$51,14,FALSE()),"-")</f>
        <v>0</v>
      </c>
      <c r="Q67" s="29">
        <f>IFERROR(VLOOKUP(I67,Scoring!$A$4:$N$51,6,FALSE()),"-")</f>
        <v>5.5</v>
      </c>
      <c r="R67" s="36">
        <f t="shared" si="3"/>
        <v>517.5</v>
      </c>
      <c r="S67">
        <f t="shared" si="4"/>
        <v>15</v>
      </c>
      <c r="T67">
        <f t="shared" si="5"/>
        <v>517.49993300000006</v>
      </c>
      <c r="U67" s="143" t="s">
        <v>256</v>
      </c>
      <c r="W67" s="44"/>
    </row>
    <row r="68" spans="1:23" ht="12.75" customHeight="1" x14ac:dyDescent="0.3">
      <c r="A68" s="27" t="s">
        <v>258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102</v>
      </c>
      <c r="K68" s="28">
        <f>IFERROR(VLOOKUP(C68,Scoring!$A$4:$N$51,14,FALSE())*4,"-")</f>
        <v>140</v>
      </c>
      <c r="L68" s="28">
        <f>IFERROR(VLOOKUP(D68,Scoring!$A$4:$N$51,14,FALSE())*3,"-")</f>
        <v>111</v>
      </c>
      <c r="M68" s="28">
        <f>IFERROR(VLOOKUP(E68,Scoring!$A$4:$N$51,14,FALSE())*2,"-")</f>
        <v>50</v>
      </c>
      <c r="N68" s="28">
        <f>IFERROR(VLOOKUP(F68,Scoring!$A$4:$N$51,14,FALSE()),"-")</f>
        <v>9</v>
      </c>
      <c r="O68" s="28">
        <f>IFERROR(VLOOKUP(G68,Scoring!$A$4:$N$51,14,FALSE()),"-")</f>
        <v>3</v>
      </c>
      <c r="P68" s="29">
        <f>IFERROR(VLOOKUP(H68,Scoring!$A$4:$N$51,14,FALSE()),"-")</f>
        <v>8</v>
      </c>
      <c r="Q68" s="29">
        <f>IFERROR(VLOOKUP(I68,Scoring!$A$4:$N$51,6,FALSE()),"-")</f>
        <v>5</v>
      </c>
      <c r="R68" s="36">
        <f t="shared" ref="R68:R99" si="6">IF(A68="","-",SUM(J68:Q68))</f>
        <v>428</v>
      </c>
      <c r="S68">
        <f t="shared" ref="S68:S99" si="7">IF(A68="","",RANK(R68,$R$4:$R$119))</f>
        <v>77</v>
      </c>
      <c r="T68">
        <f t="shared" ref="T68:T99" si="8">IF(A68="",-1,R68-ROW(R68)/1000000)</f>
        <v>427.999932</v>
      </c>
      <c r="U68" s="143" t="s">
        <v>259</v>
      </c>
      <c r="W68" s="44"/>
    </row>
    <row r="69" spans="1:23" ht="12.75" customHeight="1" x14ac:dyDescent="0.3">
      <c r="A69" s="27" t="s">
        <v>260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222</v>
      </c>
      <c r="K69" s="28">
        <f>IFERROR(VLOOKUP(C69,Scoring!$A$4:$N$51,14,FALSE())*4,"-")</f>
        <v>60</v>
      </c>
      <c r="L69" s="28">
        <f>IFERROR(VLOOKUP(D69,Scoring!$A$4:$N$51,14,FALSE())*3,"-")</f>
        <v>105</v>
      </c>
      <c r="M69" s="28">
        <f>IFERROR(VLOOKUP(E69,Scoring!$A$4:$N$51,14,FALSE())*2,"-")</f>
        <v>54</v>
      </c>
      <c r="N69" s="28">
        <f>IFERROR(VLOOKUP(F69,Scoring!$A$4:$N$51,14,FALSE()),"-")</f>
        <v>19</v>
      </c>
      <c r="O69" s="28">
        <f>IFERROR(VLOOKUP(G69,Scoring!$A$4:$N$51,14,FALSE()),"-")</f>
        <v>15</v>
      </c>
      <c r="P69" s="29">
        <f>IFERROR(VLOOKUP(H69,Scoring!$A$4:$N$51,14,FALSE()),"-")</f>
        <v>8</v>
      </c>
      <c r="Q69" s="29">
        <f>IFERROR(VLOOKUP(I69,Scoring!$A$4:$N$51,6,FALSE()),"-")</f>
        <v>5.5</v>
      </c>
      <c r="R69" s="36">
        <f t="shared" si="6"/>
        <v>488.5</v>
      </c>
      <c r="S69">
        <f t="shared" si="7"/>
        <v>40</v>
      </c>
      <c r="T69">
        <f t="shared" si="8"/>
        <v>488.499931</v>
      </c>
      <c r="U69" s="44" t="s">
        <v>261</v>
      </c>
      <c r="W69" s="44"/>
    </row>
    <row r="70" spans="1:23" ht="12.75" customHeight="1" x14ac:dyDescent="0.3">
      <c r="A70" s="27" t="s">
        <v>262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162</v>
      </c>
      <c r="K70" s="28">
        <f>IFERROR(VLOOKUP(C70,Scoring!$A$4:$N$51,14,FALSE())*4,"-")</f>
        <v>148</v>
      </c>
      <c r="L70" s="28">
        <f>IFERROR(VLOOKUP(D70,Scoring!$A$4:$N$51,14,FALSE())*3,"-")</f>
        <v>51</v>
      </c>
      <c r="M70" s="28">
        <f>IFERROR(VLOOKUP(E70,Scoring!$A$4:$N$51,14,FALSE())*2,"-")</f>
        <v>70</v>
      </c>
      <c r="N70" s="28">
        <f>IFERROR(VLOOKUP(F70,Scoring!$A$4:$N$51,14,FALSE()),"-")</f>
        <v>17</v>
      </c>
      <c r="O70" s="28">
        <f>IFERROR(VLOOKUP(G70,Scoring!$A$4:$N$51,14,FALSE()),"-")</f>
        <v>15</v>
      </c>
      <c r="P70" s="29">
        <f>IFERROR(VLOOKUP(H70,Scoring!$A$4:$N$51,14,FALSE()),"-")</f>
        <v>0</v>
      </c>
      <c r="Q70" s="29">
        <f>IFERROR(VLOOKUP(I70,Scoring!$A$4:$N$51,6,FALSE()),"-")</f>
        <v>8</v>
      </c>
      <c r="R70" s="36">
        <f t="shared" si="6"/>
        <v>471</v>
      </c>
      <c r="S70">
        <f t="shared" si="7"/>
        <v>52</v>
      </c>
      <c r="T70">
        <f t="shared" si="8"/>
        <v>470.99993000000001</v>
      </c>
      <c r="U70" s="143" t="s">
        <v>263</v>
      </c>
      <c r="W70" s="44"/>
    </row>
    <row r="71" spans="1:23" ht="12.75" customHeight="1" x14ac:dyDescent="0.3">
      <c r="A71" s="27" t="s">
        <v>264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210</v>
      </c>
      <c r="K71" s="28">
        <f>IFERROR(VLOOKUP(C71,Scoring!$A$4:$N$51,14,FALSE())*4,"-")</f>
        <v>44</v>
      </c>
      <c r="L71" s="28">
        <f>IFERROR(VLOOKUP(D71,Scoring!$A$4:$N$51,14,FALSE())*3,"-")</f>
        <v>111</v>
      </c>
      <c r="M71" s="28">
        <f>IFERROR(VLOOKUP(E71,Scoring!$A$4:$N$51,14,FALSE())*2,"-")</f>
        <v>54</v>
      </c>
      <c r="N71" s="28">
        <f>IFERROR(VLOOKUP(F71,Scoring!$A$4:$N$51,14,FALSE()),"-")</f>
        <v>16</v>
      </c>
      <c r="O71" s="28">
        <f>IFERROR(VLOOKUP(G71,Scoring!$A$4:$N$51,14,FALSE()),"-")</f>
        <v>24</v>
      </c>
      <c r="P71" s="29">
        <f>IFERROR(VLOOKUP(H71,Scoring!$A$4:$N$51,14,FALSE()),"-")</f>
        <v>8</v>
      </c>
      <c r="Q71" s="29">
        <f>IFERROR(VLOOKUP(I71,Scoring!$A$4:$N$51,6,FALSE()),"-")</f>
        <v>5.5</v>
      </c>
      <c r="R71" s="36">
        <f t="shared" si="6"/>
        <v>472.5</v>
      </c>
      <c r="S71">
        <f t="shared" si="7"/>
        <v>50</v>
      </c>
      <c r="T71">
        <f t="shared" si="8"/>
        <v>472.49992900000001</v>
      </c>
      <c r="U71" s="44" t="s">
        <v>265</v>
      </c>
      <c r="W71" s="44"/>
    </row>
    <row r="72" spans="1:23" ht="12.75" customHeight="1" x14ac:dyDescent="0.3">
      <c r="A72" s="27" t="s">
        <v>266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210</v>
      </c>
      <c r="K72" s="28">
        <f>IFERROR(VLOOKUP(C72,Scoring!$A$4:$N$51,14,FALSE())*4,"-")</f>
        <v>148</v>
      </c>
      <c r="L72" s="28">
        <f>IFERROR(VLOOKUP(D72,Scoring!$A$4:$N$51,14,FALSE())*3,"-")</f>
        <v>51</v>
      </c>
      <c r="M72" s="28">
        <f>IFERROR(VLOOKUP(E72,Scoring!$A$4:$N$51,14,FALSE())*2,"-")</f>
        <v>54</v>
      </c>
      <c r="N72" s="28">
        <f>IFERROR(VLOOKUP(F72,Scoring!$A$4:$N$51,14,FALSE()),"-")</f>
        <v>17</v>
      </c>
      <c r="O72" s="28">
        <f>IFERROR(VLOOKUP(G72,Scoring!$A$4:$N$51,14,FALSE()),"-")</f>
        <v>8</v>
      </c>
      <c r="P72" s="29">
        <f>IFERROR(VLOOKUP(H72,Scoring!$A$4:$N$51,14,FALSE()),"-")</f>
        <v>8</v>
      </c>
      <c r="Q72" s="29">
        <f>IFERROR(VLOOKUP(I72,Scoring!$A$4:$N$51,6,FALSE()),"-")</f>
        <v>5.5</v>
      </c>
      <c r="R72" s="36">
        <f t="shared" si="6"/>
        <v>501.5</v>
      </c>
      <c r="S72">
        <f t="shared" si="7"/>
        <v>28</v>
      </c>
      <c r="T72">
        <f t="shared" si="8"/>
        <v>501.49992800000001</v>
      </c>
      <c r="U72" s="143" t="s">
        <v>267</v>
      </c>
      <c r="W72" s="44"/>
    </row>
    <row r="73" spans="1:23" ht="12.75" customHeight="1" x14ac:dyDescent="0.3">
      <c r="A73" s="27" t="s">
        <v>268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66</v>
      </c>
      <c r="K73" s="28">
        <f>IFERROR(VLOOKUP(C73,Scoring!$A$4:$N$51,14,FALSE())*4,"-")</f>
        <v>140</v>
      </c>
      <c r="L73" s="28">
        <f>IFERROR(VLOOKUP(D73,Scoring!$A$4:$N$51,14,FALSE())*3,"-")</f>
        <v>69</v>
      </c>
      <c r="M73" s="28">
        <f>IFERROR(VLOOKUP(E73,Scoring!$A$4:$N$51,14,FALSE())*2,"-")</f>
        <v>54</v>
      </c>
      <c r="N73" s="28">
        <f>IFERROR(VLOOKUP(F73,Scoring!$A$4:$N$51,14,FALSE()),"-")</f>
        <v>19</v>
      </c>
      <c r="O73" s="28">
        <f>IFERROR(VLOOKUP(G73,Scoring!$A$4:$N$51,14,FALSE()),"-")</f>
        <v>8</v>
      </c>
      <c r="P73" s="29">
        <f>IFERROR(VLOOKUP(H73,Scoring!$A$4:$N$51,14,FALSE()),"-")</f>
        <v>8</v>
      </c>
      <c r="Q73" s="29">
        <f>IFERROR(VLOOKUP(I73,Scoring!$A$4:$N$51,6,FALSE()),"-")</f>
        <v>8</v>
      </c>
      <c r="R73" s="36">
        <f t="shared" si="6"/>
        <v>372</v>
      </c>
      <c r="S73">
        <f t="shared" si="7"/>
        <v>96</v>
      </c>
      <c r="T73">
        <f t="shared" si="8"/>
        <v>371.99992700000001</v>
      </c>
      <c r="U73" s="44" t="s">
        <v>269</v>
      </c>
      <c r="W73" s="44"/>
    </row>
    <row r="74" spans="1:23" ht="12.75" customHeight="1" x14ac:dyDescent="0.3">
      <c r="A74" s="27" t="s">
        <v>270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210</v>
      </c>
      <c r="K74" s="28">
        <f>IFERROR(VLOOKUP(C74,Scoring!$A$4:$N$51,14,FALSE())*4,"-")</f>
        <v>148</v>
      </c>
      <c r="L74" s="28">
        <f>IFERROR(VLOOKUP(D74,Scoring!$A$4:$N$51,14,FALSE())*3,"-")</f>
        <v>81</v>
      </c>
      <c r="M74" s="28">
        <f>IFERROR(VLOOKUP(E74,Scoring!$A$4:$N$51,14,FALSE())*2,"-")</f>
        <v>30</v>
      </c>
      <c r="N74" s="28">
        <f>IFERROR(VLOOKUP(F74,Scoring!$A$4:$N$51,14,FALSE()),"-")</f>
        <v>25</v>
      </c>
      <c r="O74" s="28">
        <f>IFERROR(VLOOKUP(G74,Scoring!$A$4:$N$51,14,FALSE()),"-")</f>
        <v>24</v>
      </c>
      <c r="P74" s="29">
        <f>IFERROR(VLOOKUP(H74,Scoring!$A$4:$N$51,14,FALSE()),"-")</f>
        <v>8</v>
      </c>
      <c r="Q74" s="29">
        <f>IFERROR(VLOOKUP(I74,Scoring!$A$4:$N$51,6,FALSE()),"-")</f>
        <v>5.5</v>
      </c>
      <c r="R74" s="36">
        <f t="shared" si="6"/>
        <v>531.5</v>
      </c>
      <c r="S74">
        <f t="shared" si="7"/>
        <v>6</v>
      </c>
      <c r="T74">
        <f t="shared" si="8"/>
        <v>531.49992599999996</v>
      </c>
      <c r="U74" s="143" t="s">
        <v>271</v>
      </c>
      <c r="W74" s="44"/>
    </row>
    <row r="75" spans="1:23" ht="12.75" customHeight="1" x14ac:dyDescent="0.3">
      <c r="A75" s="27" t="s">
        <v>272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222</v>
      </c>
      <c r="K75" s="28">
        <f>IFERROR(VLOOKUP(C75,Scoring!$A$4:$N$51,14,FALSE())*4,"-")</f>
        <v>140</v>
      </c>
      <c r="L75" s="28">
        <f>IFERROR(VLOOKUP(D75,Scoring!$A$4:$N$51,14,FALSE())*3,"-")</f>
        <v>51</v>
      </c>
      <c r="M75" s="28">
        <f>IFERROR(VLOOKUP(E75,Scoring!$A$4:$N$51,14,FALSE())*2,"-")</f>
        <v>50</v>
      </c>
      <c r="N75" s="28">
        <f>IFERROR(VLOOKUP(F75,Scoring!$A$4:$N$51,14,FALSE()),"-")</f>
        <v>3</v>
      </c>
      <c r="O75" s="28">
        <f>IFERROR(VLOOKUP(G75,Scoring!$A$4:$N$51,14,FALSE()),"-")</f>
        <v>10</v>
      </c>
      <c r="P75" s="29">
        <f>IFERROR(VLOOKUP(H75,Scoring!$A$4:$N$51,14,FALSE()),"-")</f>
        <v>8</v>
      </c>
      <c r="Q75" s="29">
        <f>IFERROR(VLOOKUP(I75,Scoring!$A$4:$N$51,6,FALSE()),"-")</f>
        <v>5.5</v>
      </c>
      <c r="R75" s="36">
        <f t="shared" si="6"/>
        <v>489.5</v>
      </c>
      <c r="S75">
        <f t="shared" si="7"/>
        <v>38</v>
      </c>
      <c r="T75">
        <f t="shared" si="8"/>
        <v>489.49992500000002</v>
      </c>
      <c r="U75" s="143" t="s">
        <v>271</v>
      </c>
      <c r="W75" s="44"/>
    </row>
    <row r="76" spans="1:23" ht="12.75" customHeight="1" x14ac:dyDescent="0.3">
      <c r="A76" s="27" t="s">
        <v>273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90</v>
      </c>
      <c r="K76" s="28">
        <f>IFERROR(VLOOKUP(C76,Scoring!$A$4:$N$51,14,FALSE())*4,"-")</f>
        <v>100</v>
      </c>
      <c r="L76" s="28">
        <f>IFERROR(VLOOKUP(D76,Scoring!$A$4:$N$51,14,FALSE())*3,"-")</f>
        <v>111</v>
      </c>
      <c r="M76" s="28">
        <f>IFERROR(VLOOKUP(E76,Scoring!$A$4:$N$51,14,FALSE())*2,"-")</f>
        <v>48</v>
      </c>
      <c r="N76" s="28">
        <f>IFERROR(VLOOKUP(F76,Scoring!$A$4:$N$51,14,FALSE()),"-")</f>
        <v>19</v>
      </c>
      <c r="O76" s="28">
        <f>IFERROR(VLOOKUP(G76,Scoring!$A$4:$N$51,14,FALSE()),"-")</f>
        <v>14</v>
      </c>
      <c r="P76" s="29">
        <f>IFERROR(VLOOKUP(H76,Scoring!$A$4:$N$51,14,FALSE()),"-")</f>
        <v>8</v>
      </c>
      <c r="Q76" s="29">
        <f>IFERROR(VLOOKUP(I76,Scoring!$A$4:$N$51,6,FALSE()),"-")</f>
        <v>8</v>
      </c>
      <c r="R76" s="36">
        <f t="shared" si="6"/>
        <v>398</v>
      </c>
      <c r="S76">
        <f t="shared" si="7"/>
        <v>89</v>
      </c>
      <c r="T76">
        <f t="shared" si="8"/>
        <v>397.99992400000002</v>
      </c>
      <c r="U76" s="143" t="s">
        <v>271</v>
      </c>
      <c r="W76" s="44"/>
    </row>
    <row r="77" spans="1:23" ht="12.75" customHeight="1" x14ac:dyDescent="0.3">
      <c r="A77" s="27" t="s">
        <v>274</v>
      </c>
      <c r="B77" s="145" t="s">
        <v>60</v>
      </c>
      <c r="C77" s="145" t="s">
        <v>72</v>
      </c>
      <c r="D77" s="145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210</v>
      </c>
      <c r="K77" s="28">
        <f>IFERROR(VLOOKUP(C77,Scoring!$A$4:$N$51,14,FALSE())*4,"-")</f>
        <v>108</v>
      </c>
      <c r="L77" s="28">
        <f>IFERROR(VLOOKUP(D77,Scoring!$A$4:$N$51,14,FALSE())*3,"-")</f>
        <v>75</v>
      </c>
      <c r="M77" s="28">
        <f>IFERROR(VLOOKUP(E77,Scoring!$A$4:$N$51,14,FALSE())*2,"-")</f>
        <v>30</v>
      </c>
      <c r="N77" s="28">
        <f>IFERROR(VLOOKUP(F77,Scoring!$A$4:$N$51,14,FALSE()),"-")</f>
        <v>19</v>
      </c>
      <c r="O77" s="28">
        <f>IFERROR(VLOOKUP(G77,Scoring!$A$4:$N$51,14,FALSE()),"-")</f>
        <v>14</v>
      </c>
      <c r="P77" s="29">
        <f>IFERROR(VLOOKUP(H77,Scoring!$A$4:$N$51,14,FALSE()),"-")</f>
        <v>8</v>
      </c>
      <c r="Q77" s="29">
        <f>IFERROR(VLOOKUP(I77,Scoring!$A$4:$N$51,6,FALSE()),"-")</f>
        <v>5.5</v>
      </c>
      <c r="R77" s="36">
        <f t="shared" si="6"/>
        <v>469.5</v>
      </c>
      <c r="S77">
        <f t="shared" si="7"/>
        <v>54</v>
      </c>
      <c r="T77">
        <f t="shared" si="8"/>
        <v>469.49992300000002</v>
      </c>
      <c r="U77" s="143" t="s">
        <v>275</v>
      </c>
      <c r="W77" s="44"/>
    </row>
    <row r="78" spans="1:23" ht="12.75" customHeight="1" x14ac:dyDescent="0.3">
      <c r="A78" s="27" t="s">
        <v>276</v>
      </c>
      <c r="B78" s="43" t="s">
        <v>84</v>
      </c>
      <c r="C78" s="43" t="s">
        <v>60</v>
      </c>
      <c r="D78" s="43" t="s">
        <v>72</v>
      </c>
      <c r="E78" s="43" t="s">
        <v>66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150</v>
      </c>
      <c r="K78" s="28">
        <f>IFERROR(VLOOKUP(C78,Scoring!$A$4:$N$51,14,FALSE())*4,"-")</f>
        <v>140</v>
      </c>
      <c r="L78" s="28">
        <f>IFERROR(VLOOKUP(D78,Scoring!$A$4:$N$51,14,FALSE())*3,"-")</f>
        <v>81</v>
      </c>
      <c r="M78" s="28">
        <f>IFERROR(VLOOKUP(E78,Scoring!$A$4:$N$51,14,FALSE())*2,"-")</f>
        <v>74</v>
      </c>
      <c r="N78" s="28">
        <f>IFERROR(VLOOKUP(F78,Scoring!$A$4:$N$51,14,FALSE()),"-")</f>
        <v>25</v>
      </c>
      <c r="O78" s="28">
        <f>IFERROR(VLOOKUP(G78,Scoring!$A$4:$N$51,14,FALSE()),"-")</f>
        <v>24</v>
      </c>
      <c r="P78" s="29">
        <f>IFERROR(VLOOKUP(H78,Scoring!$A$4:$N$51,14,FALSE()),"-")</f>
        <v>8</v>
      </c>
      <c r="Q78" s="29">
        <f>IFERROR(VLOOKUP(I78,Scoring!$A$4:$N$51,6,FALSE()),"-")</f>
        <v>5.5</v>
      </c>
      <c r="R78" s="36">
        <f t="shared" si="6"/>
        <v>507.5</v>
      </c>
      <c r="S78">
        <f t="shared" si="7"/>
        <v>22</v>
      </c>
      <c r="T78">
        <f t="shared" si="8"/>
        <v>507.49992200000003</v>
      </c>
      <c r="U78" s="143" t="s">
        <v>277</v>
      </c>
      <c r="W78" s="44"/>
    </row>
    <row r="79" spans="1:23" ht="12.75" customHeight="1" x14ac:dyDescent="0.3">
      <c r="A79" s="27" t="s">
        <v>278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90</v>
      </c>
      <c r="K79" s="28">
        <f>IFERROR(VLOOKUP(C79,Scoring!$A$4:$N$51,14,FALSE())*4,"-")</f>
        <v>140</v>
      </c>
      <c r="L79" s="28">
        <f>IFERROR(VLOOKUP(D79,Scoring!$A$4:$N$51,14,FALSE())*3,"-")</f>
        <v>51</v>
      </c>
      <c r="M79" s="28">
        <f>IFERROR(VLOOKUP(E79,Scoring!$A$4:$N$51,14,FALSE())*2,"-")</f>
        <v>54</v>
      </c>
      <c r="N79" s="28">
        <f>IFERROR(VLOOKUP(F79,Scoring!$A$4:$N$51,14,FALSE()),"-")</f>
        <v>8</v>
      </c>
      <c r="O79" s="28">
        <f>IFERROR(VLOOKUP(G79,Scoring!$A$4:$N$51,14,FALSE()),"-")</f>
        <v>14</v>
      </c>
      <c r="P79" s="29">
        <f>IFERROR(VLOOKUP(H79,Scoring!$A$4:$N$51,14,FALSE()),"-")</f>
        <v>8</v>
      </c>
      <c r="Q79" s="29">
        <f>IFERROR(VLOOKUP(I79,Scoring!$A$4:$N$51,6,FALSE()),"-")</f>
        <v>8</v>
      </c>
      <c r="R79" s="36">
        <f t="shared" si="6"/>
        <v>373</v>
      </c>
      <c r="S79">
        <f t="shared" si="7"/>
        <v>95</v>
      </c>
      <c r="T79">
        <f t="shared" si="8"/>
        <v>372.99992099999997</v>
      </c>
      <c r="U79" s="143" t="s">
        <v>279</v>
      </c>
      <c r="W79" s="44"/>
    </row>
    <row r="80" spans="1:23" ht="12.75" customHeight="1" x14ac:dyDescent="0.3">
      <c r="A80" s="27" t="s">
        <v>280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210</v>
      </c>
      <c r="K80" s="28">
        <f>IFERROR(VLOOKUP(C80,Scoring!$A$4:$N$51,14,FALSE())*4,"-")</f>
        <v>68</v>
      </c>
      <c r="L80" s="28">
        <f>IFERROR(VLOOKUP(D80,Scoring!$A$4:$N$51,14,FALSE())*3,"-")</f>
        <v>111</v>
      </c>
      <c r="M80" s="28">
        <f>IFERROR(VLOOKUP(E80,Scoring!$A$4:$N$51,14,FALSE())*2,"-")</f>
        <v>30</v>
      </c>
      <c r="N80" s="28">
        <f>IFERROR(VLOOKUP(F80,Scoring!$A$4:$N$51,14,FALSE()),"-")</f>
        <v>25</v>
      </c>
      <c r="O80" s="28">
        <f>IFERROR(VLOOKUP(G80,Scoring!$A$4:$N$51,14,FALSE()),"-")</f>
        <v>14</v>
      </c>
      <c r="P80" s="29">
        <f>IFERROR(VLOOKUP(H80,Scoring!$A$4:$N$51,14,FALSE()),"-")</f>
        <v>8</v>
      </c>
      <c r="Q80" s="29">
        <f>IFERROR(VLOOKUP(I80,Scoring!$A$4:$N$51,6,FALSE()),"-")</f>
        <v>5.5</v>
      </c>
      <c r="R80" s="36">
        <f t="shared" si="6"/>
        <v>471.5</v>
      </c>
      <c r="S80">
        <f t="shared" si="7"/>
        <v>51</v>
      </c>
      <c r="T80">
        <f t="shared" si="8"/>
        <v>471.49991999999997</v>
      </c>
      <c r="U80" s="143" t="s">
        <v>281</v>
      </c>
      <c r="W80" s="44"/>
    </row>
    <row r="81" spans="1:23" ht="12.75" customHeight="1" x14ac:dyDescent="0.3">
      <c r="A81" s="27" t="s">
        <v>282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222</v>
      </c>
      <c r="K81" s="28">
        <f>IFERROR(VLOOKUP(C81,Scoring!$A$4:$N$51,14,FALSE())*4,"-")</f>
        <v>60</v>
      </c>
      <c r="L81" s="28">
        <f>IFERROR(VLOOKUP(D81,Scoring!$A$4:$N$51,14,FALSE())*3,"-")</f>
        <v>105</v>
      </c>
      <c r="M81" s="28">
        <f>IFERROR(VLOOKUP(E81,Scoring!$A$4:$N$51,14,FALSE())*2,"-")</f>
        <v>50</v>
      </c>
      <c r="N81" s="28">
        <f>IFERROR(VLOOKUP(F81,Scoring!$A$4:$N$51,14,FALSE()),"-")</f>
        <v>17</v>
      </c>
      <c r="O81" s="28">
        <f>IFERROR(VLOOKUP(G81,Scoring!$A$4:$N$51,14,FALSE()),"-")</f>
        <v>24</v>
      </c>
      <c r="P81" s="29">
        <f>IFERROR(VLOOKUP(H81,Scoring!$A$4:$N$51,14,FALSE()),"-")</f>
        <v>8</v>
      </c>
      <c r="Q81" s="29">
        <f>IFERROR(VLOOKUP(I81,Scoring!$A$4:$N$51,6,FALSE()),"-")</f>
        <v>8</v>
      </c>
      <c r="R81" s="36">
        <f t="shared" si="6"/>
        <v>494</v>
      </c>
      <c r="S81">
        <f t="shared" si="7"/>
        <v>34</v>
      </c>
      <c r="T81">
        <f t="shared" si="8"/>
        <v>493.99991899999998</v>
      </c>
      <c r="U81" s="143" t="s">
        <v>281</v>
      </c>
      <c r="W81" s="44"/>
    </row>
    <row r="82" spans="1:23" ht="12.75" customHeight="1" x14ac:dyDescent="0.3">
      <c r="A82" s="27" t="s">
        <v>283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210</v>
      </c>
      <c r="K82" s="28">
        <f>IFERROR(VLOOKUP(C82,Scoring!$A$4:$N$51,14,FALSE())*4,"-")</f>
        <v>40</v>
      </c>
      <c r="L82" s="28">
        <f>IFERROR(VLOOKUP(D82,Scoring!$A$4:$N$51,14,FALSE())*3,"-")</f>
        <v>81</v>
      </c>
      <c r="M82" s="28">
        <f>IFERROR(VLOOKUP(E82,Scoring!$A$4:$N$51,14,FALSE())*2,"-")</f>
        <v>30</v>
      </c>
      <c r="N82" s="28">
        <f>IFERROR(VLOOKUP(F82,Scoring!$A$4:$N$51,14,FALSE()),"-")</f>
        <v>8</v>
      </c>
      <c r="O82" s="28">
        <f>IFERROR(VLOOKUP(G82,Scoring!$A$4:$N$51,14,FALSE()),"-")</f>
        <v>14</v>
      </c>
      <c r="P82" s="29">
        <f>IFERROR(VLOOKUP(H82,Scoring!$A$4:$N$51,14,FALSE()),"-")</f>
        <v>1</v>
      </c>
      <c r="Q82" s="29">
        <f>IFERROR(VLOOKUP(I82,Scoring!$A$4:$N$51,6,FALSE()),"-")</f>
        <v>5.5</v>
      </c>
      <c r="R82" s="36">
        <f t="shared" si="6"/>
        <v>389.5</v>
      </c>
      <c r="S82">
        <f t="shared" si="7"/>
        <v>90</v>
      </c>
      <c r="T82">
        <f t="shared" si="8"/>
        <v>389.49991799999998</v>
      </c>
      <c r="U82" s="143" t="s">
        <v>284</v>
      </c>
      <c r="W82" s="44"/>
    </row>
    <row r="83" spans="1:23" ht="12.75" customHeight="1" x14ac:dyDescent="0.3">
      <c r="A83" s="27" t="s">
        <v>285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90</v>
      </c>
      <c r="K83" s="28">
        <f>IFERROR(VLOOKUP(C83,Scoring!$A$4:$N$51,14,FALSE())*4,"-")</f>
        <v>148</v>
      </c>
      <c r="L83" s="28">
        <f>IFERROR(VLOOKUP(D83,Scoring!$A$4:$N$51,14,FALSE())*3,"-")</f>
        <v>105</v>
      </c>
      <c r="M83" s="28">
        <f>IFERROR(VLOOKUP(E83,Scoring!$A$4:$N$51,14,FALSE())*2,"-")</f>
        <v>50</v>
      </c>
      <c r="N83" s="28">
        <f>IFERROR(VLOOKUP(F83,Scoring!$A$4:$N$51,14,FALSE()),"-")</f>
        <v>3</v>
      </c>
      <c r="O83" s="28">
        <f>IFERROR(VLOOKUP(G83,Scoring!$A$4:$N$51,14,FALSE()),"-")</f>
        <v>24</v>
      </c>
      <c r="P83" s="29">
        <f>IFERROR(VLOOKUP(H83,Scoring!$A$4:$N$51,14,FALSE()),"-")</f>
        <v>8</v>
      </c>
      <c r="Q83" s="29">
        <f>IFERROR(VLOOKUP(I83,Scoring!$A$4:$N$51,6,FALSE()),"-")</f>
        <v>4</v>
      </c>
      <c r="R83" s="36">
        <f t="shared" si="6"/>
        <v>432</v>
      </c>
      <c r="S83">
        <f t="shared" si="7"/>
        <v>75</v>
      </c>
      <c r="T83">
        <f t="shared" si="8"/>
        <v>431.99991699999998</v>
      </c>
      <c r="U83" s="143" t="s">
        <v>286</v>
      </c>
      <c r="W83" s="44"/>
    </row>
    <row r="84" spans="1:23" ht="12.75" customHeight="1" x14ac:dyDescent="0.3">
      <c r="A84" s="27" t="s">
        <v>287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210</v>
      </c>
      <c r="K84" s="28">
        <f>IFERROR(VLOOKUP(C84,Scoring!$A$4:$N$51,14,FALSE())*4,"-")</f>
        <v>108</v>
      </c>
      <c r="L84" s="28">
        <f>IFERROR(VLOOKUP(D84,Scoring!$A$4:$N$51,14,FALSE())*3,"-")</f>
        <v>111</v>
      </c>
      <c r="M84" s="28">
        <f>IFERROR(VLOOKUP(E84,Scoring!$A$4:$N$51,14,FALSE())*2,"-")</f>
        <v>50</v>
      </c>
      <c r="N84" s="28">
        <f>IFERROR(VLOOKUP(F84,Scoring!$A$4:$N$51,14,FALSE()),"-")</f>
        <v>17</v>
      </c>
      <c r="O84" s="28">
        <f>IFERROR(VLOOKUP(G84,Scoring!$A$4:$N$51,14,FALSE()),"-")</f>
        <v>8</v>
      </c>
      <c r="P84" s="29">
        <f>IFERROR(VLOOKUP(H84,Scoring!$A$4:$N$51,14,FALSE()),"-")</f>
        <v>1</v>
      </c>
      <c r="Q84" s="29">
        <f>IFERROR(VLOOKUP(I84,Scoring!$A$4:$N$51,6,FALSE()),"-")</f>
        <v>5.5</v>
      </c>
      <c r="R84" s="36">
        <f t="shared" si="6"/>
        <v>510.5</v>
      </c>
      <c r="S84">
        <f t="shared" si="7"/>
        <v>21</v>
      </c>
      <c r="T84">
        <f t="shared" si="8"/>
        <v>510.49991599999998</v>
      </c>
      <c r="U84" s="143" t="s">
        <v>288</v>
      </c>
      <c r="W84" s="44"/>
    </row>
    <row r="85" spans="1:23" ht="12.75" customHeight="1" x14ac:dyDescent="0.3">
      <c r="A85" s="27" t="s">
        <v>289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210</v>
      </c>
      <c r="K85" s="28">
        <f>IFERROR(VLOOKUP(C85,Scoring!$A$4:$N$51,14,FALSE())*4,"-")</f>
        <v>60</v>
      </c>
      <c r="L85" s="28">
        <f>IFERROR(VLOOKUP(D85,Scoring!$A$4:$N$51,14,FALSE())*3,"-")</f>
        <v>111</v>
      </c>
      <c r="M85" s="28">
        <f>IFERROR(VLOOKUP(E85,Scoring!$A$4:$N$51,14,FALSE())*2,"-")</f>
        <v>34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8</v>
      </c>
      <c r="Q85" s="29">
        <f>IFERROR(VLOOKUP(I85,Scoring!$A$4:$N$51,6,FALSE()),"-")</f>
        <v>5.5</v>
      </c>
      <c r="R85" s="36">
        <f t="shared" si="6"/>
        <v>432.5</v>
      </c>
      <c r="S85">
        <f t="shared" si="7"/>
        <v>73</v>
      </c>
      <c r="T85">
        <f t="shared" si="8"/>
        <v>432.49991499999999</v>
      </c>
      <c r="U85" s="143" t="s">
        <v>290</v>
      </c>
      <c r="W85" s="44"/>
    </row>
    <row r="86" spans="1:23" ht="12.75" customHeight="1" x14ac:dyDescent="0.3">
      <c r="A86" s="27" t="s">
        <v>291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210</v>
      </c>
      <c r="K86" s="28">
        <f>IFERROR(VLOOKUP(C86,Scoring!$A$4:$N$51,14,FALSE())*4,"-")</f>
        <v>108</v>
      </c>
      <c r="L86" s="28">
        <f>IFERROR(VLOOKUP(D86,Scoring!$A$4:$N$51,14,FALSE())*3,"-")</f>
        <v>30</v>
      </c>
      <c r="M86" s="28">
        <f>IFERROR(VLOOKUP(E86,Scoring!$A$4:$N$51,14,FALSE())*2,"-")</f>
        <v>50</v>
      </c>
      <c r="N86" s="28">
        <f>IFERROR(VLOOKUP(F86,Scoring!$A$4:$N$51,14,FALSE()),"-")</f>
        <v>16</v>
      </c>
      <c r="O86" s="28">
        <f>IFERROR(VLOOKUP(G86,Scoring!$A$4:$N$51,14,FALSE()),"-")</f>
        <v>1</v>
      </c>
      <c r="P86" s="29">
        <f>IFERROR(VLOOKUP(H86,Scoring!$A$4:$N$51,14,FALSE()),"-")</f>
        <v>8</v>
      </c>
      <c r="Q86" s="29">
        <f>IFERROR(VLOOKUP(I86,Scoring!$A$4:$N$51,6,FALSE()),"-")</f>
        <v>5.5</v>
      </c>
      <c r="R86" s="36">
        <f t="shared" si="6"/>
        <v>428.5</v>
      </c>
      <c r="S86">
        <f t="shared" si="7"/>
        <v>76</v>
      </c>
      <c r="T86">
        <f t="shared" si="8"/>
        <v>428.49991399999999</v>
      </c>
      <c r="U86" s="143" t="s">
        <v>292</v>
      </c>
      <c r="W86" s="44"/>
    </row>
    <row r="87" spans="1:23" ht="12.75" customHeight="1" x14ac:dyDescent="0.3">
      <c r="A87" s="27" t="s">
        <v>293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222</v>
      </c>
      <c r="K87" s="28">
        <f>IFERROR(VLOOKUP(C87,Scoring!$A$4:$N$51,14,FALSE())*4,"-")</f>
        <v>108</v>
      </c>
      <c r="L87" s="28">
        <f>IFERROR(VLOOKUP(D87,Scoring!$A$4:$N$51,14,FALSE())*3,"-")</f>
        <v>105</v>
      </c>
      <c r="M87" s="28">
        <f>IFERROR(VLOOKUP(E87,Scoring!$A$4:$N$51,14,FALSE())*2,"-")</f>
        <v>34</v>
      </c>
      <c r="N87" s="28">
        <f>IFERROR(VLOOKUP(F87,Scoring!$A$4:$N$51,14,FALSE()),"-")</f>
        <v>19</v>
      </c>
      <c r="O87" s="28">
        <f>IFERROR(VLOOKUP(G87,Scoring!$A$4:$N$51,14,FALSE()),"-")</f>
        <v>14</v>
      </c>
      <c r="P87" s="29">
        <f>IFERROR(VLOOKUP(H87,Scoring!$A$4:$N$51,14,FALSE()),"-")</f>
        <v>1</v>
      </c>
      <c r="Q87" s="29">
        <f>IFERROR(VLOOKUP(I87,Scoring!$A$4:$N$51,6,FALSE()),"-")</f>
        <v>8</v>
      </c>
      <c r="R87" s="36">
        <f t="shared" si="6"/>
        <v>511</v>
      </c>
      <c r="S87">
        <f t="shared" si="7"/>
        <v>20</v>
      </c>
      <c r="T87">
        <f t="shared" si="8"/>
        <v>510.99991299999999</v>
      </c>
      <c r="U87" s="143" t="s">
        <v>294</v>
      </c>
      <c r="W87" s="44"/>
    </row>
    <row r="88" spans="1:23" ht="12.75" customHeight="1" x14ac:dyDescent="0.3">
      <c r="A88" s="27" t="s">
        <v>295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222</v>
      </c>
      <c r="K88" s="28">
        <f>IFERROR(VLOOKUP(C88,Scoring!$A$4:$N$51,14,FALSE())*4,"-")</f>
        <v>68</v>
      </c>
      <c r="L88" s="28">
        <f>IFERROR(VLOOKUP(D88,Scoring!$A$4:$N$51,14,FALSE())*3,"-")</f>
        <v>105</v>
      </c>
      <c r="M88" s="28">
        <f>IFERROR(VLOOKUP(E88,Scoring!$A$4:$N$51,14,FALSE())*2,"-")</f>
        <v>54</v>
      </c>
      <c r="N88" s="28">
        <f>IFERROR(VLOOKUP(F88,Scoring!$A$4:$N$51,14,FALSE()),"-")</f>
        <v>3</v>
      </c>
      <c r="O88" s="28">
        <f>IFERROR(VLOOKUP(G88,Scoring!$A$4:$N$51,14,FALSE()),"-")</f>
        <v>24</v>
      </c>
      <c r="P88" s="29">
        <f>IFERROR(VLOOKUP(H88,Scoring!$A$4:$N$51,14,FALSE()),"-")</f>
        <v>8</v>
      </c>
      <c r="Q88" s="29">
        <f>IFERROR(VLOOKUP(I88,Scoring!$A$4:$N$51,6,FALSE()),"-")</f>
        <v>5</v>
      </c>
      <c r="R88" s="36">
        <f t="shared" si="6"/>
        <v>489</v>
      </c>
      <c r="S88">
        <f t="shared" si="7"/>
        <v>39</v>
      </c>
      <c r="T88">
        <f t="shared" si="8"/>
        <v>488.99991199999999</v>
      </c>
      <c r="U88" s="143" t="s">
        <v>296</v>
      </c>
      <c r="W88" s="44"/>
    </row>
    <row r="89" spans="1:23" ht="12.75" customHeight="1" x14ac:dyDescent="0.3">
      <c r="A89" s="27" t="s">
        <v>297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222</v>
      </c>
      <c r="K89" s="28">
        <f>IFERROR(VLOOKUP(C89,Scoring!$A$4:$N$51,14,FALSE())*4,"-")</f>
        <v>68</v>
      </c>
      <c r="L89" s="28">
        <f>IFERROR(VLOOKUP(D89,Scoring!$A$4:$N$51,14,FALSE())*3,"-")</f>
        <v>105</v>
      </c>
      <c r="M89" s="28">
        <f>IFERROR(VLOOKUP(E89,Scoring!$A$4:$N$51,14,FALSE())*2,"-")</f>
        <v>30</v>
      </c>
      <c r="N89" s="28">
        <f>IFERROR(VLOOKUP(F89,Scoring!$A$4:$N$51,14,FALSE()),"-")</f>
        <v>3</v>
      </c>
      <c r="O89" s="28">
        <f>IFERROR(VLOOKUP(G89,Scoring!$A$4:$N$51,14,FALSE()),"-")</f>
        <v>8</v>
      </c>
      <c r="P89" s="29">
        <f>IFERROR(VLOOKUP(H89,Scoring!$A$4:$N$51,14,FALSE()),"-")</f>
        <v>8</v>
      </c>
      <c r="Q89" s="29">
        <f>IFERROR(VLOOKUP(I89,Scoring!$A$4:$N$51,6,FALSE()),"-")</f>
        <v>5.5</v>
      </c>
      <c r="R89" s="36">
        <f t="shared" si="6"/>
        <v>449.5</v>
      </c>
      <c r="S89">
        <f t="shared" si="7"/>
        <v>67</v>
      </c>
      <c r="T89">
        <f t="shared" si="8"/>
        <v>449.499911</v>
      </c>
      <c r="U89" s="143" t="s">
        <v>298</v>
      </c>
      <c r="W89" s="44"/>
    </row>
    <row r="90" spans="1:23" ht="12.75" customHeight="1" x14ac:dyDescent="0.3">
      <c r="A90" s="27" t="s">
        <v>299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222</v>
      </c>
      <c r="K90" s="28">
        <f>IFERROR(VLOOKUP(C90,Scoring!$A$4:$N$51,14,FALSE())*4,"-")</f>
        <v>140</v>
      </c>
      <c r="L90" s="28">
        <f>IFERROR(VLOOKUP(D90,Scoring!$A$4:$N$51,14,FALSE())*3,"-")</f>
        <v>81</v>
      </c>
      <c r="M90" s="28">
        <f>IFERROR(VLOOKUP(E90,Scoring!$A$4:$N$51,14,FALSE())*2,"-")</f>
        <v>30</v>
      </c>
      <c r="N90" s="28">
        <f>IFERROR(VLOOKUP(F90,Scoring!$A$4:$N$51,14,FALSE()),"-")</f>
        <v>2</v>
      </c>
      <c r="O90" s="28">
        <f>IFERROR(VLOOKUP(G90,Scoring!$A$4:$N$51,14,FALSE()),"-")</f>
        <v>24</v>
      </c>
      <c r="P90" s="29">
        <f>IFERROR(VLOOKUP(H90,Scoring!$A$4:$N$51,14,FALSE()),"-")</f>
        <v>7</v>
      </c>
      <c r="Q90" s="29">
        <f>IFERROR(VLOOKUP(I90,Scoring!$A$4:$N$51,6,FALSE()),"-")</f>
        <v>8</v>
      </c>
      <c r="R90" s="36">
        <f t="shared" si="6"/>
        <v>514</v>
      </c>
      <c r="S90">
        <f t="shared" si="7"/>
        <v>18</v>
      </c>
      <c r="T90">
        <f t="shared" si="8"/>
        <v>513.99991</v>
      </c>
      <c r="U90" s="143" t="s">
        <v>300</v>
      </c>
      <c r="W90" s="44"/>
    </row>
    <row r="91" spans="1:23" ht="12.75" customHeight="1" x14ac:dyDescent="0.3">
      <c r="A91" s="27" t="s">
        <v>301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210</v>
      </c>
      <c r="K91" s="28">
        <f>IFERROR(VLOOKUP(C91,Scoring!$A$4:$N$51,14,FALSE())*4,"-")</f>
        <v>148</v>
      </c>
      <c r="L91" s="28">
        <f>IFERROR(VLOOKUP(D91,Scoring!$A$4:$N$51,14,FALSE())*3,"-")</f>
        <v>75</v>
      </c>
      <c r="M91" s="28">
        <f>IFERROR(VLOOKUP(E91,Scoring!$A$4:$N$51,14,FALSE())*2,"-")</f>
        <v>34</v>
      </c>
      <c r="N91" s="28">
        <f>IFERROR(VLOOKUP(F91,Scoring!$A$4:$N$51,14,FALSE()),"-")</f>
        <v>17</v>
      </c>
      <c r="O91" s="28">
        <f>IFERROR(VLOOKUP(G91,Scoring!$A$4:$N$51,14,FALSE()),"-")</f>
        <v>24</v>
      </c>
      <c r="P91" s="29">
        <f>IFERROR(VLOOKUP(H91,Scoring!$A$4:$N$51,14,FALSE()),"-")</f>
        <v>8</v>
      </c>
      <c r="Q91" s="29">
        <f>IFERROR(VLOOKUP(I91,Scoring!$A$4:$N$51,6,FALSE()),"-")</f>
        <v>5.5</v>
      </c>
      <c r="R91" s="36">
        <f t="shared" si="6"/>
        <v>521.5</v>
      </c>
      <c r="S91">
        <f t="shared" si="7"/>
        <v>12</v>
      </c>
      <c r="T91">
        <f t="shared" si="8"/>
        <v>521.499909</v>
      </c>
      <c r="U91" s="143" t="s">
        <v>300</v>
      </c>
      <c r="W91" s="44"/>
    </row>
    <row r="92" spans="1:23" ht="12.75" customHeight="1" x14ac:dyDescent="0.3">
      <c r="A92" s="27" t="s">
        <v>302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90</v>
      </c>
      <c r="K92" s="28">
        <f>IFERROR(VLOOKUP(C92,Scoring!$A$4:$N$51,14,FALSE())*4,"-")</f>
        <v>148</v>
      </c>
      <c r="L92" s="28">
        <f>IFERROR(VLOOKUP(D92,Scoring!$A$4:$N$51,14,FALSE())*3,"-")</f>
        <v>105</v>
      </c>
      <c r="M92" s="28">
        <f>IFERROR(VLOOKUP(E92,Scoring!$A$4:$N$51,14,FALSE())*2,"-")</f>
        <v>50</v>
      </c>
      <c r="N92" s="28">
        <f>IFERROR(VLOOKUP(F92,Scoring!$A$4:$N$51,14,FALSE()),"-")</f>
        <v>19</v>
      </c>
      <c r="O92" s="28">
        <f>IFERROR(VLOOKUP(G92,Scoring!$A$4:$N$51,14,FALSE()),"-")</f>
        <v>24</v>
      </c>
      <c r="P92" s="29">
        <f>IFERROR(VLOOKUP(H92,Scoring!$A$4:$N$51,14,FALSE()),"-")</f>
        <v>8</v>
      </c>
      <c r="Q92" s="29">
        <f>IFERROR(VLOOKUP(I92,Scoring!$A$4:$N$51,6,FALSE()),"-")</f>
        <v>8</v>
      </c>
      <c r="R92" s="36">
        <f t="shared" si="6"/>
        <v>452</v>
      </c>
      <c r="S92">
        <f t="shared" si="7"/>
        <v>66</v>
      </c>
      <c r="T92">
        <f t="shared" si="8"/>
        <v>451.999908</v>
      </c>
      <c r="U92" s="143" t="s">
        <v>300</v>
      </c>
      <c r="W92" s="44"/>
    </row>
    <row r="93" spans="1:23" ht="12.75" customHeight="1" x14ac:dyDescent="0.3">
      <c r="A93" s="27" t="s">
        <v>303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210</v>
      </c>
      <c r="K93" s="28">
        <f>IFERROR(VLOOKUP(C93,Scoring!$A$4:$N$51,14,FALSE())*4,"-")</f>
        <v>100</v>
      </c>
      <c r="L93" s="28">
        <f>IFERROR(VLOOKUP(D93,Scoring!$A$4:$N$51,14,FALSE())*3,"-")</f>
        <v>81</v>
      </c>
      <c r="M93" s="28">
        <f>IFERROR(VLOOKUP(E93,Scoring!$A$4:$N$51,14,FALSE())*2,"-")</f>
        <v>34</v>
      </c>
      <c r="N93" s="28">
        <f>IFERROR(VLOOKUP(F93,Scoring!$A$4:$N$51,14,FALSE()),"-")</f>
        <v>19</v>
      </c>
      <c r="O93" s="28">
        <f>IFERROR(VLOOKUP(G93,Scoring!$A$4:$N$51,14,FALSE()),"-")</f>
        <v>24</v>
      </c>
      <c r="P93" s="29">
        <f>IFERROR(VLOOKUP(H93,Scoring!$A$4:$N$51,14,FALSE()),"-")</f>
        <v>7</v>
      </c>
      <c r="Q93" s="29">
        <f>IFERROR(VLOOKUP(I93,Scoring!$A$4:$N$51,6,FALSE()),"-")</f>
        <v>5.5</v>
      </c>
      <c r="R93" s="36">
        <f t="shared" si="6"/>
        <v>480.5</v>
      </c>
      <c r="S93">
        <f t="shared" si="7"/>
        <v>45</v>
      </c>
      <c r="T93">
        <f t="shared" si="8"/>
        <v>480.49990700000001</v>
      </c>
      <c r="U93" s="143" t="s">
        <v>304</v>
      </c>
      <c r="W93" s="44"/>
    </row>
    <row r="94" spans="1:23" ht="12.75" customHeight="1" x14ac:dyDescent="0.3">
      <c r="A94" s="27" t="s">
        <v>305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210</v>
      </c>
      <c r="K94" s="28">
        <f>IFERROR(VLOOKUP(C94,Scoring!$A$4:$N$51,14,FALSE())*4,"-")</f>
        <v>148</v>
      </c>
      <c r="L94" s="28">
        <f>IFERROR(VLOOKUP(D94,Scoring!$A$4:$N$51,14,FALSE())*3,"-")</f>
        <v>75</v>
      </c>
      <c r="M94" s="28">
        <f>IFERROR(VLOOKUP(E94,Scoring!$A$4:$N$51,14,FALSE())*2,"-")</f>
        <v>30</v>
      </c>
      <c r="N94" s="28">
        <f>IFERROR(VLOOKUP(F94,Scoring!$A$4:$N$51,14,FALSE()),"-")</f>
        <v>19</v>
      </c>
      <c r="O94" s="28">
        <f>IFERROR(VLOOKUP(G94,Scoring!$A$4:$N$51,14,FALSE()),"-")</f>
        <v>24</v>
      </c>
      <c r="P94" s="29">
        <f>IFERROR(VLOOKUP(H94,Scoring!$A$4:$N$51,14,FALSE()),"-")</f>
        <v>8</v>
      </c>
      <c r="Q94" s="29">
        <f>IFERROR(VLOOKUP(I94,Scoring!$A$4:$N$51,6,FALSE()),"-")</f>
        <v>5</v>
      </c>
      <c r="R94" s="36">
        <f t="shared" si="6"/>
        <v>519</v>
      </c>
      <c r="S94">
        <f t="shared" si="7"/>
        <v>14</v>
      </c>
      <c r="T94">
        <f t="shared" si="8"/>
        <v>518.99990600000001</v>
      </c>
      <c r="U94" s="143" t="s">
        <v>306</v>
      </c>
      <c r="W94" s="44"/>
    </row>
    <row r="95" spans="1:23" ht="12.75" customHeight="1" x14ac:dyDescent="0.3">
      <c r="A95" s="27" t="s">
        <v>307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162</v>
      </c>
      <c r="K95" s="28">
        <f>IFERROR(VLOOKUP(C95,Scoring!$A$4:$N$51,14,FALSE())*4,"-")</f>
        <v>40</v>
      </c>
      <c r="L95" s="28">
        <f>IFERROR(VLOOKUP(D95,Scoring!$A$4:$N$51,14,FALSE())*3,"-")</f>
        <v>105</v>
      </c>
      <c r="M95" s="28">
        <f>IFERROR(VLOOKUP(E95,Scoring!$A$4:$N$51,14,FALSE())*2,"-")</f>
        <v>50</v>
      </c>
      <c r="N95" s="28">
        <f>IFERROR(VLOOKUP(F95,Scoring!$A$4:$N$51,14,FALSE()),"-")</f>
        <v>19</v>
      </c>
      <c r="O95" s="28">
        <f>IFERROR(VLOOKUP(G95,Scoring!$A$4:$N$51,14,FALSE()),"-")</f>
        <v>24</v>
      </c>
      <c r="P95" s="29">
        <f>IFERROR(VLOOKUP(H95,Scoring!$A$4:$N$51,14,FALSE()),"-")</f>
        <v>8</v>
      </c>
      <c r="Q95" s="29">
        <f>IFERROR(VLOOKUP(I95,Scoring!$A$4:$N$51,6,FALSE()),"-")</f>
        <v>5.5</v>
      </c>
      <c r="R95" s="36">
        <f t="shared" si="6"/>
        <v>413.5</v>
      </c>
      <c r="S95">
        <f t="shared" si="7"/>
        <v>82</v>
      </c>
      <c r="T95">
        <f t="shared" si="8"/>
        <v>413.49990500000001</v>
      </c>
      <c r="U95" s="44" t="s">
        <v>308</v>
      </c>
      <c r="W95" s="44"/>
    </row>
    <row r="96" spans="1:23" ht="12.75" customHeight="1" x14ac:dyDescent="0.3">
      <c r="A96" s="27" t="s">
        <v>309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222</v>
      </c>
      <c r="K96" s="28">
        <f>IFERROR(VLOOKUP(C96,Scoring!$A$4:$N$51,14,FALSE())*4,"-")</f>
        <v>140</v>
      </c>
      <c r="L96" s="28">
        <f>IFERROR(VLOOKUP(D96,Scoring!$A$4:$N$51,14,FALSE())*3,"-")</f>
        <v>51</v>
      </c>
      <c r="M96" s="28">
        <f>IFERROR(VLOOKUP(E96,Scoring!$A$4:$N$51,14,FALSE())*2,"-")</f>
        <v>50</v>
      </c>
      <c r="N96" s="28">
        <f>IFERROR(VLOOKUP(F96,Scoring!$A$4:$N$51,14,FALSE()),"-")</f>
        <v>17</v>
      </c>
      <c r="O96" s="28">
        <f>IFERROR(VLOOKUP(G96,Scoring!$A$4:$N$51,14,FALSE()),"-")</f>
        <v>24</v>
      </c>
      <c r="P96" s="29">
        <f>IFERROR(VLOOKUP(H96,Scoring!$A$4:$N$51,14,FALSE()),"-")</f>
        <v>8</v>
      </c>
      <c r="Q96" s="29">
        <f>IFERROR(VLOOKUP(I96,Scoring!$A$4:$N$51,6,FALSE()),"-")</f>
        <v>5.5</v>
      </c>
      <c r="R96" s="36">
        <f t="shared" si="6"/>
        <v>517.5</v>
      </c>
      <c r="S96">
        <f t="shared" si="7"/>
        <v>15</v>
      </c>
      <c r="T96">
        <f t="shared" si="8"/>
        <v>517.49990400000002</v>
      </c>
      <c r="U96" s="143" t="s">
        <v>310</v>
      </c>
      <c r="W96" s="44"/>
    </row>
    <row r="97" spans="1:23" ht="12.75" customHeight="1" x14ac:dyDescent="0.3">
      <c r="A97" s="27" t="s">
        <v>311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222</v>
      </c>
      <c r="K97" s="28">
        <f>IFERROR(VLOOKUP(C97,Scoring!$A$4:$N$51,14,FALSE())*4,"-")</f>
        <v>68</v>
      </c>
      <c r="L97" s="28">
        <f>IFERROR(VLOOKUP(D97,Scoring!$A$4:$N$51,14,FALSE())*3,"-")</f>
        <v>105</v>
      </c>
      <c r="M97" s="28">
        <f>IFERROR(VLOOKUP(E97,Scoring!$A$4:$N$51,14,FALSE())*2,"-")</f>
        <v>30</v>
      </c>
      <c r="N97" s="28">
        <f>IFERROR(VLOOKUP(F97,Scoring!$A$4:$N$51,14,FALSE()),"-")</f>
        <v>7</v>
      </c>
      <c r="O97" s="28">
        <f>IFERROR(VLOOKUP(G97,Scoring!$A$4:$N$51,14,FALSE()),"-")</f>
        <v>15</v>
      </c>
      <c r="P97" s="29">
        <f>IFERROR(VLOOKUP(H97,Scoring!$A$4:$N$51,14,FALSE()),"-")</f>
        <v>8</v>
      </c>
      <c r="Q97" s="29">
        <f>IFERROR(VLOOKUP(I97,Scoring!$A$4:$N$51,6,FALSE()),"-")</f>
        <v>8</v>
      </c>
      <c r="R97" s="36">
        <f t="shared" si="6"/>
        <v>463</v>
      </c>
      <c r="S97">
        <f t="shared" si="7"/>
        <v>60</v>
      </c>
      <c r="T97">
        <f t="shared" si="8"/>
        <v>462.99990300000002</v>
      </c>
      <c r="U97" s="143" t="s">
        <v>312</v>
      </c>
      <c r="W97" s="44"/>
    </row>
    <row r="98" spans="1:23" ht="12.75" customHeight="1" x14ac:dyDescent="0.3">
      <c r="A98" s="27" t="s">
        <v>313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150</v>
      </c>
      <c r="K98" s="28">
        <f>IFERROR(VLOOKUP(C98,Scoring!$A$4:$N$51,14,FALSE())*4,"-")</f>
        <v>140</v>
      </c>
      <c r="L98" s="28">
        <f>IFERROR(VLOOKUP(D98,Scoring!$A$4:$N$51,14,FALSE())*3,"-")</f>
        <v>81</v>
      </c>
      <c r="M98" s="28">
        <f>IFERROR(VLOOKUP(E98,Scoring!$A$4:$N$51,14,FALSE())*2,"-")</f>
        <v>74</v>
      </c>
      <c r="N98" s="28">
        <f>IFERROR(VLOOKUP(F98,Scoring!$A$4:$N$51,14,FALSE()),"-")</f>
        <v>17</v>
      </c>
      <c r="O98" s="28">
        <f>IFERROR(VLOOKUP(G98,Scoring!$A$4:$N$51,14,FALSE()),"-")</f>
        <v>24</v>
      </c>
      <c r="P98" s="29">
        <f>IFERROR(VLOOKUP(H98,Scoring!$A$4:$N$51,14,FALSE()),"-")</f>
        <v>8</v>
      </c>
      <c r="Q98" s="29">
        <f>IFERROR(VLOOKUP(I98,Scoring!$A$4:$N$51,6,FALSE()),"-")</f>
        <v>5.5</v>
      </c>
      <c r="R98" s="36">
        <f t="shared" si="6"/>
        <v>499.5</v>
      </c>
      <c r="S98">
        <f t="shared" si="7"/>
        <v>30</v>
      </c>
      <c r="T98">
        <f t="shared" si="8"/>
        <v>499.49990200000002</v>
      </c>
      <c r="U98" s="44" t="s">
        <v>314</v>
      </c>
      <c r="W98" s="44"/>
    </row>
    <row r="99" spans="1:23" ht="12.75" customHeight="1" x14ac:dyDescent="0.3">
      <c r="A99" s="27" t="s">
        <v>315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222</v>
      </c>
      <c r="K99" s="28">
        <f>IFERROR(VLOOKUP(C99,Scoring!$A$4:$N$51,14,FALSE())*4,"-")</f>
        <v>68</v>
      </c>
      <c r="L99" s="28">
        <f>IFERROR(VLOOKUP(D99,Scoring!$A$4:$N$51,14,FALSE())*3,"-")</f>
        <v>105</v>
      </c>
      <c r="M99" s="28">
        <f>IFERROR(VLOOKUP(E99,Scoring!$A$4:$N$51,14,FALSE())*2,"-")</f>
        <v>54</v>
      </c>
      <c r="N99" s="28">
        <f>IFERROR(VLOOKUP(F99,Scoring!$A$4:$N$51,14,FALSE()),"-")</f>
        <v>3</v>
      </c>
      <c r="O99" s="28">
        <f>IFERROR(VLOOKUP(G99,Scoring!$A$4:$N$51,14,FALSE()),"-")</f>
        <v>15</v>
      </c>
      <c r="P99" s="29">
        <f>IFERROR(VLOOKUP(H99,Scoring!$A$4:$N$51,14,FALSE()),"-")</f>
        <v>8</v>
      </c>
      <c r="Q99" s="29">
        <f>IFERROR(VLOOKUP(I99,Scoring!$A$4:$N$51,6,FALSE()),"-")</f>
        <v>5</v>
      </c>
      <c r="R99" s="36">
        <f t="shared" si="6"/>
        <v>480</v>
      </c>
      <c r="S99">
        <f t="shared" si="7"/>
        <v>46</v>
      </c>
      <c r="T99">
        <f t="shared" si="8"/>
        <v>479.99990100000002</v>
      </c>
      <c r="U99" s="44" t="s">
        <v>316</v>
      </c>
      <c r="W99" s="44"/>
    </row>
    <row r="100" spans="1:23" ht="12.75" customHeight="1" x14ac:dyDescent="0.3">
      <c r="A100" s="27" t="s">
        <v>317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210</v>
      </c>
      <c r="K100" s="28">
        <f>IFERROR(VLOOKUP(C100,Scoring!$A$4:$N$51,14,FALSE())*4,"-")</f>
        <v>68</v>
      </c>
      <c r="L100" s="28">
        <f>IFERROR(VLOOKUP(D100,Scoring!$A$4:$N$51,14,FALSE())*3,"-")</f>
        <v>111</v>
      </c>
      <c r="M100" s="28">
        <f>IFERROR(VLOOKUP(E100,Scoring!$A$4:$N$51,14,FALSE())*2,"-")</f>
        <v>30</v>
      </c>
      <c r="N100" s="28">
        <f>IFERROR(VLOOKUP(F100,Scoring!$A$4:$N$51,14,FALSE()),"-")</f>
        <v>9</v>
      </c>
      <c r="O100" s="28">
        <f>IFERROR(VLOOKUP(G100,Scoring!$A$4:$N$51,14,FALSE()),"-")</f>
        <v>15</v>
      </c>
      <c r="P100" s="29">
        <f>IFERROR(VLOOKUP(H100,Scoring!$A$4:$N$51,14,FALSE()),"-")</f>
        <v>0</v>
      </c>
      <c r="Q100" s="29">
        <f>IFERROR(VLOOKUP(I100,Scoring!$A$4:$N$51,6,FALSE()),"-")</f>
        <v>5.5</v>
      </c>
      <c r="R100" s="36">
        <f t="shared" ref="R100:R119" si="9">IF(A100="","-",SUM(J100:Q100))</f>
        <v>448.5</v>
      </c>
      <c r="S100">
        <f t="shared" ref="S100:S119" si="10">IF(A100="","",RANK(R100,$R$4:$R$119))</f>
        <v>69</v>
      </c>
      <c r="T100">
        <f t="shared" ref="T100:T119" si="11">IF(A100="",-1,R100-ROW(R100)/1000000)</f>
        <v>448.49990000000003</v>
      </c>
      <c r="U100" s="44" t="s">
        <v>318</v>
      </c>
      <c r="W100" s="44"/>
    </row>
    <row r="101" spans="1:23" ht="12.75" customHeight="1" x14ac:dyDescent="0.3">
      <c r="A101" s="27" t="s">
        <v>319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162</v>
      </c>
      <c r="K101" s="28">
        <f>IFERROR(VLOOKUP(C101,Scoring!$A$4:$N$51,14,FALSE())*4,"-")</f>
        <v>140</v>
      </c>
      <c r="L101" s="28">
        <f>IFERROR(VLOOKUP(D101,Scoring!$A$4:$N$51,14,FALSE())*3,"-")</f>
        <v>51</v>
      </c>
      <c r="M101" s="28">
        <f>IFERROR(VLOOKUP(E101,Scoring!$A$4:$N$51,14,FALSE())*2,"-")</f>
        <v>74</v>
      </c>
      <c r="N101" s="28">
        <f>IFERROR(VLOOKUP(F101,Scoring!$A$4:$N$51,14,FALSE()),"-")</f>
        <v>3</v>
      </c>
      <c r="O101" s="28">
        <f>IFERROR(VLOOKUP(G101,Scoring!$A$4:$N$51,14,FALSE()),"-")</f>
        <v>15</v>
      </c>
      <c r="P101" s="29">
        <f>IFERROR(VLOOKUP(H101,Scoring!$A$4:$N$51,14,FALSE()),"-")</f>
        <v>8</v>
      </c>
      <c r="Q101" s="29">
        <f>IFERROR(VLOOKUP(I101,Scoring!$A$4:$N$51,6,FALSE()),"-")</f>
        <v>6</v>
      </c>
      <c r="R101" s="36">
        <f t="shared" si="9"/>
        <v>459</v>
      </c>
      <c r="S101">
        <f t="shared" si="10"/>
        <v>63</v>
      </c>
      <c r="T101">
        <f t="shared" si="11"/>
        <v>458.99989900000003</v>
      </c>
      <c r="U101" s="44" t="s">
        <v>320</v>
      </c>
      <c r="W101" s="44"/>
    </row>
    <row r="102" spans="1:23" ht="13.5" customHeight="1" x14ac:dyDescent="0.3">
      <c r="A102" s="27" t="s">
        <v>321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210</v>
      </c>
      <c r="K102" s="28">
        <f>IFERROR(VLOOKUP(C102,Scoring!$A$4:$N$51,14,FALSE())*4,"-")</f>
        <v>108</v>
      </c>
      <c r="L102" s="28">
        <f>IFERROR(VLOOKUP(D102,Scoring!$A$4:$N$51,14,FALSE())*3,"-")</f>
        <v>75</v>
      </c>
      <c r="M102" s="28">
        <f>IFERROR(VLOOKUP(E102,Scoring!$A$4:$N$51,14,FALSE())*2,"-")</f>
        <v>74</v>
      </c>
      <c r="N102" s="28">
        <f>IFERROR(VLOOKUP(F102,Scoring!$A$4:$N$51,14,FALSE()),"-")</f>
        <v>19</v>
      </c>
      <c r="O102" s="28">
        <f>IFERROR(VLOOKUP(G102,Scoring!$A$4:$N$51,14,FALSE()),"-")</f>
        <v>24</v>
      </c>
      <c r="P102" s="29">
        <f>IFERROR(VLOOKUP(H102,Scoring!$A$4:$N$51,14,FALSE()),"-")</f>
        <v>8</v>
      </c>
      <c r="Q102" s="29">
        <f>IFERROR(VLOOKUP(I102,Scoring!$A$4:$N$51,6,FALSE()),"-")</f>
        <v>5.5</v>
      </c>
      <c r="R102" s="36">
        <f t="shared" si="9"/>
        <v>523.5</v>
      </c>
      <c r="S102">
        <f t="shared" si="10"/>
        <v>10</v>
      </c>
      <c r="T102">
        <f t="shared" si="11"/>
        <v>523.49989800000003</v>
      </c>
      <c r="U102" s="44" t="s">
        <v>322</v>
      </c>
      <c r="W102" s="44"/>
    </row>
    <row r="103" spans="1:23" ht="13.5" customHeight="1" x14ac:dyDescent="0.3">
      <c r="A103" s="27" t="s">
        <v>323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90</v>
      </c>
      <c r="K103" s="28">
        <f>IFERROR(VLOOKUP(C103,Scoring!$A$4:$N$51,14,FALSE())*4,"-")</f>
        <v>140</v>
      </c>
      <c r="L103" s="28">
        <f>IFERROR(VLOOKUP(D103,Scoring!$A$4:$N$51,14,FALSE())*3,"-")</f>
        <v>75</v>
      </c>
      <c r="M103" s="28">
        <f>IFERROR(VLOOKUP(E103,Scoring!$A$4:$N$51,14,FALSE())*2,"-")</f>
        <v>74</v>
      </c>
      <c r="N103" s="28">
        <f>IFERROR(VLOOKUP(F103,Scoring!$A$4:$N$51,14,FALSE()),"-")</f>
        <v>25</v>
      </c>
      <c r="O103" s="28">
        <f>IFERROR(VLOOKUP(G103,Scoring!$A$4:$N$51,14,FALSE()),"-")</f>
        <v>15</v>
      </c>
      <c r="P103" s="29">
        <f>IFERROR(VLOOKUP(H103,Scoring!$A$4:$N$51,14,FALSE()),"-")</f>
        <v>8</v>
      </c>
      <c r="Q103" s="29">
        <f>IFERROR(VLOOKUP(I103,Scoring!$A$4:$N$51,6,FALSE()),"-")</f>
        <v>5.5</v>
      </c>
      <c r="R103" s="36">
        <f t="shared" si="9"/>
        <v>432.5</v>
      </c>
      <c r="S103">
        <f t="shared" si="10"/>
        <v>73</v>
      </c>
      <c r="T103">
        <f t="shared" si="11"/>
        <v>432.49989699999998</v>
      </c>
      <c r="U103" s="143" t="s">
        <v>324</v>
      </c>
      <c r="W103" s="44"/>
    </row>
    <row r="104" spans="1:23" ht="13.5" customHeight="1" x14ac:dyDescent="0.3">
      <c r="A104" s="27" t="s">
        <v>325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210</v>
      </c>
      <c r="K104" s="28">
        <f>IFERROR(VLOOKUP(C104,Scoring!$A$4:$N$51,14,FALSE())*4,"-")</f>
        <v>108</v>
      </c>
      <c r="L104" s="28">
        <f>IFERROR(VLOOKUP(D104,Scoring!$A$4:$N$51,14,FALSE())*3,"-")</f>
        <v>51</v>
      </c>
      <c r="M104" s="28">
        <f>IFERROR(VLOOKUP(E104,Scoring!$A$4:$N$51,14,FALSE())*2,"-")</f>
        <v>20</v>
      </c>
      <c r="N104" s="28">
        <f>IFERROR(VLOOKUP(F104,Scoring!$A$4:$N$51,14,FALSE()),"-")</f>
        <v>2</v>
      </c>
      <c r="O104" s="28">
        <f>IFERROR(VLOOKUP(G104,Scoring!$A$4:$N$51,14,FALSE()),"-")</f>
        <v>24</v>
      </c>
      <c r="P104" s="29">
        <f>IFERROR(VLOOKUP(H104,Scoring!$A$4:$N$51,14,FALSE()),"-")</f>
        <v>1</v>
      </c>
      <c r="Q104" s="29">
        <f>IFERROR(VLOOKUP(I104,Scoring!$A$4:$N$51,6,FALSE()),"-")</f>
        <v>5</v>
      </c>
      <c r="R104" s="36">
        <f t="shared" si="9"/>
        <v>421</v>
      </c>
      <c r="S104">
        <f t="shared" si="10"/>
        <v>80</v>
      </c>
      <c r="T104">
        <f t="shared" si="11"/>
        <v>420.99989599999998</v>
      </c>
      <c r="U104" s="44" t="s">
        <v>326</v>
      </c>
      <c r="W104" s="44"/>
    </row>
    <row r="105" spans="1:23" ht="13.5" customHeight="1" x14ac:dyDescent="0.3">
      <c r="A105" s="27" t="s">
        <v>327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222</v>
      </c>
      <c r="K105" s="28">
        <f>IFERROR(VLOOKUP(C105,Scoring!$A$4:$N$51,14,FALSE())*4,"-")</f>
        <v>140</v>
      </c>
      <c r="L105" s="28">
        <f>IFERROR(VLOOKUP(D105,Scoring!$A$4:$N$51,14,FALSE())*3,"-")</f>
        <v>45</v>
      </c>
      <c r="M105" s="28">
        <f>IFERROR(VLOOKUP(E105,Scoring!$A$4:$N$51,14,FALSE())*2,"-")</f>
        <v>54</v>
      </c>
      <c r="N105" s="28">
        <f>IFERROR(VLOOKUP(F105,Scoring!$A$4:$N$51,14,FALSE()),"-")</f>
        <v>2</v>
      </c>
      <c r="O105" s="28">
        <f>IFERROR(VLOOKUP(G105,Scoring!$A$4:$N$51,14,FALSE()),"-")</f>
        <v>15</v>
      </c>
      <c r="P105" s="29">
        <f>IFERROR(VLOOKUP(H105,Scoring!$A$4:$N$51,14,FALSE()),"-")</f>
        <v>8</v>
      </c>
      <c r="Q105" s="29">
        <f>IFERROR(VLOOKUP(I105,Scoring!$A$4:$N$51,6,FALSE()),"-")</f>
        <v>8</v>
      </c>
      <c r="R105" s="36">
        <f t="shared" si="9"/>
        <v>494</v>
      </c>
      <c r="S105">
        <f t="shared" si="10"/>
        <v>34</v>
      </c>
      <c r="T105">
        <f t="shared" si="11"/>
        <v>493.99989499999998</v>
      </c>
      <c r="U105" s="44" t="s">
        <v>328</v>
      </c>
      <c r="W105" s="44"/>
    </row>
    <row r="106" spans="1:23" ht="13.5" customHeight="1" x14ac:dyDescent="0.3">
      <c r="A106" s="27" t="s">
        <v>329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210</v>
      </c>
      <c r="K106" s="28">
        <f>IFERROR(VLOOKUP(C106,Scoring!$A$4:$N$51,14,FALSE())*4,"-")</f>
        <v>148</v>
      </c>
      <c r="L106" s="28">
        <f>IFERROR(VLOOKUP(D106,Scoring!$A$4:$N$51,14,FALSE())*3,"-")</f>
        <v>75</v>
      </c>
      <c r="M106" s="28">
        <f>IFERROR(VLOOKUP(E106,Scoring!$A$4:$N$51,14,FALSE())*2,"-")</f>
        <v>54</v>
      </c>
      <c r="N106" s="28">
        <f>IFERROR(VLOOKUP(F106,Scoring!$A$4:$N$51,14,FALSE()),"-")</f>
        <v>19</v>
      </c>
      <c r="O106" s="28">
        <f>IFERROR(VLOOKUP(G106,Scoring!$A$4:$N$51,14,FALSE()),"-")</f>
        <v>14</v>
      </c>
      <c r="P106" s="29">
        <f>IFERROR(VLOOKUP(H106,Scoring!$A$4:$N$51,14,FALSE()),"-")</f>
        <v>8</v>
      </c>
      <c r="Q106" s="29">
        <f>IFERROR(VLOOKUP(I106,Scoring!$A$4:$N$51,6,FALSE()),"-")</f>
        <v>8</v>
      </c>
      <c r="R106" s="36">
        <f t="shared" si="9"/>
        <v>536</v>
      </c>
      <c r="S106">
        <f t="shared" si="10"/>
        <v>5</v>
      </c>
      <c r="T106">
        <f t="shared" si="11"/>
        <v>535.99989400000004</v>
      </c>
      <c r="U106" s="44" t="s">
        <v>330</v>
      </c>
      <c r="W106" s="44"/>
    </row>
    <row r="107" spans="1:23" ht="13.5" customHeight="1" x14ac:dyDescent="0.3">
      <c r="A107" s="27" t="s">
        <v>331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90</v>
      </c>
      <c r="K107" s="28">
        <f>IFERROR(VLOOKUP(C107,Scoring!$A$4:$N$51,14,FALSE())*4,"-")</f>
        <v>12</v>
      </c>
      <c r="L107" s="28">
        <f>IFERROR(VLOOKUP(D107,Scoring!$A$4:$N$51,14,FALSE())*3,"-")</f>
        <v>111</v>
      </c>
      <c r="M107" s="28">
        <f>IFERROR(VLOOKUP(E107,Scoring!$A$4:$N$51,14,FALSE())*2,"-")</f>
        <v>34</v>
      </c>
      <c r="N107" s="28">
        <f>IFERROR(VLOOKUP(F107,Scoring!$A$4:$N$51,14,FALSE()),"-")</f>
        <v>7</v>
      </c>
      <c r="O107" s="28">
        <f>IFERROR(VLOOKUP(G107,Scoring!$A$4:$N$51,14,FALSE()),"-")</f>
        <v>24</v>
      </c>
      <c r="P107" s="29">
        <f>IFERROR(VLOOKUP(H107,Scoring!$A$4:$N$51,14,FALSE()),"-")</f>
        <v>0</v>
      </c>
      <c r="Q107" s="29">
        <f>IFERROR(VLOOKUP(I107,Scoring!$A$4:$N$51,6,FALSE()),"-")</f>
        <v>5.5</v>
      </c>
      <c r="R107" s="36">
        <f t="shared" si="9"/>
        <v>283.5</v>
      </c>
      <c r="S107">
        <f t="shared" si="10"/>
        <v>104</v>
      </c>
      <c r="T107">
        <f t="shared" si="11"/>
        <v>283.49989299999999</v>
      </c>
      <c r="U107" s="143" t="s">
        <v>332</v>
      </c>
      <c r="W107" s="44"/>
    </row>
    <row r="108" spans="1:23" ht="13.5" customHeight="1" x14ac:dyDescent="0.3">
      <c r="A108" s="27" t="s">
        <v>333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222</v>
      </c>
      <c r="K108" s="28">
        <f>IFERROR(VLOOKUP(C108,Scoring!$A$4:$N$51,14,FALSE())*4,"-")</f>
        <v>100</v>
      </c>
      <c r="L108" s="28">
        <f>IFERROR(VLOOKUP(D108,Scoring!$A$4:$N$51,14,FALSE())*3,"-")</f>
        <v>105</v>
      </c>
      <c r="M108" s="28">
        <f>IFERROR(VLOOKUP(E108,Scoring!$A$4:$N$51,14,FALSE())*2,"-")</f>
        <v>30</v>
      </c>
      <c r="N108" s="28">
        <f>IFERROR(VLOOKUP(F108,Scoring!$A$4:$N$51,14,FALSE()),"-")</f>
        <v>19</v>
      </c>
      <c r="O108" s="28">
        <f>IFERROR(VLOOKUP(G108,Scoring!$A$4:$N$51,14,FALSE()),"-")</f>
        <v>14</v>
      </c>
      <c r="P108" s="29">
        <f>IFERROR(VLOOKUP(H108,Scoring!$A$4:$N$51,14,FALSE()),"-")</f>
        <v>8</v>
      </c>
      <c r="Q108" s="29">
        <f>IFERROR(VLOOKUP(I108,Scoring!$A$4:$N$51,6,FALSE()),"-")</f>
        <v>8</v>
      </c>
      <c r="R108" s="36">
        <f t="shared" si="9"/>
        <v>506</v>
      </c>
      <c r="S108">
        <f t="shared" si="10"/>
        <v>25</v>
      </c>
      <c r="T108">
        <f t="shared" si="11"/>
        <v>505.99989199999999</v>
      </c>
      <c r="U108" s="143" t="s">
        <v>334</v>
      </c>
      <c r="W108" s="44"/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336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337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338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340</v>
      </c>
      <c r="C27" s="83" t="s">
        <v>341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344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345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346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347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348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349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350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351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352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353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354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355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356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357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358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359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360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361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362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363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364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365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366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367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368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369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370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371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372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373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374</v>
      </c>
      <c r="C27" s="83" t="s">
        <v>375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376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377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378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379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380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381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382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383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384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385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386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387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388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389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390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391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392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393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394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395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396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397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398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A28" sqref="A28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4" t="s">
        <v>399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</row>
    <row r="3" spans="1:15" s="105" customFormat="1" ht="31.5" customHeight="1" x14ac:dyDescent="0.3">
      <c r="A3" s="104" t="s">
        <v>7</v>
      </c>
      <c r="B3" s="104" t="s">
        <v>400</v>
      </c>
      <c r="C3" s="104" t="s">
        <v>401</v>
      </c>
      <c r="D3" s="104" t="s">
        <v>402</v>
      </c>
      <c r="E3" s="104" t="s">
        <v>403</v>
      </c>
      <c r="F3" s="104" t="s">
        <v>404</v>
      </c>
      <c r="G3" s="104" t="s">
        <v>405</v>
      </c>
      <c r="H3" s="104" t="s">
        <v>406</v>
      </c>
      <c r="I3" s="104" t="s">
        <v>407</v>
      </c>
      <c r="J3" s="104" t="s">
        <v>408</v>
      </c>
      <c r="K3" s="104" t="s">
        <v>409</v>
      </c>
      <c r="L3" s="104" t="s">
        <v>410</v>
      </c>
      <c r="M3" s="104" t="s">
        <v>103</v>
      </c>
      <c r="N3" s="104" t="s">
        <v>411</v>
      </c>
      <c r="O3" s="105" t="s">
        <v>412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5</v>
      </c>
      <c r="G4" s="108">
        <f>IF(COUNTIF('FIFA WC 2026'!$S$5:$S$66,A4)&gt;0,4,0)</f>
        <v>4</v>
      </c>
      <c r="H4" s="108">
        <f>IF(COUNTIF('FIFA WC 2026'!$W$7:$W$64,A4)&gt;0,6,0)</f>
        <v>6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24</v>
      </c>
      <c r="N4" s="110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4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9</v>
      </c>
      <c r="N5" s="110">
        <f t="shared" si="1"/>
        <v>8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8">
        <f>IF(COUNTIF('FIFA WC 2026'!$S$5:$S$66,A8)&gt;0,4,0)</f>
        <v>4</v>
      </c>
      <c r="H8" s="28">
        <f>IF(COUNTIF('FIFA WC 2026'!$W$7:$W$64,A8)&gt;0,6,0)</f>
        <v>6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18.5</v>
      </c>
      <c r="N8" s="110">
        <f t="shared" si="1"/>
        <v>14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4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10.5</v>
      </c>
      <c r="N9" s="110">
        <f t="shared" si="1"/>
        <v>8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4.5</v>
      </c>
      <c r="G11" s="28">
        <f>IF(COUNTIF('FIFA WC 2026'!$S$5:$S$66,A11)&gt;0,4,0)</f>
        <v>4</v>
      </c>
      <c r="H11" s="28">
        <f>IF(COUNTIF('FIFA WC 2026'!$W$7:$W$64,A11)&gt;0,6,0)</f>
        <v>6</v>
      </c>
      <c r="I11" s="28">
        <f>IF(COUNTIF('FIFA WC 2026'!$AA$11:$AA$60,A11)&gt;0,8,0)</f>
        <v>8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29.5</v>
      </c>
      <c r="N11" s="110">
        <f t="shared" si="1"/>
        <v>25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5</v>
      </c>
      <c r="G12" s="108">
        <f>IF(COUNTIF('FIFA WC 2026'!$S$5:$S$66,A12)&gt;0,4,0)</f>
        <v>4</v>
      </c>
      <c r="H12" s="108">
        <f>IF(COUNTIF('FIFA WC 2026'!$W$7:$W$64,A12)&gt;0,6,0)</f>
        <v>6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22</v>
      </c>
      <c r="N12" s="110">
        <f t="shared" si="1"/>
        <v>17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5</v>
      </c>
      <c r="G13" s="108">
        <f>IF(COUNTIF('FIFA WC 2026'!$S$5:$S$66,A13)&gt;0,4,0)</f>
        <v>4</v>
      </c>
      <c r="H13" s="108">
        <f>IF(COUNTIF('FIFA WC 2026'!$W$7:$W$64,A13)&gt;0,6,0)</f>
        <v>6</v>
      </c>
      <c r="I13" s="108">
        <f>IF(COUNTIF('FIFA WC 2026'!$AA$11:$AA$60,A13)&gt;0,8,0)</f>
        <v>8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30</v>
      </c>
      <c r="N13" s="110">
        <f t="shared" si="1"/>
        <v>25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5.5</v>
      </c>
      <c r="G16" s="28">
        <f>IF(COUNTIF('FIFA WC 2026'!$S$5:$S$66,A16)&gt;0,4,0)</f>
        <v>4</v>
      </c>
      <c r="H16" s="28">
        <f>IF(COUNTIF('FIFA WC 2026'!$W$7:$W$64,A16)&gt;0,6,0)</f>
        <v>6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21.5</v>
      </c>
      <c r="N16" s="110">
        <f t="shared" si="1"/>
        <v>16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8">
        <f>IF(COUNTIF('FIFA WC 2026'!$S$5:$S$66,A17)&gt;0,4,0)</f>
        <v>4</v>
      </c>
      <c r="H17" s="28">
        <f>IF(COUNTIF('FIFA WC 2026'!$W$7:$W$64,A17)&gt;0,6,0)</f>
        <v>6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15.5</v>
      </c>
      <c r="N17" s="110">
        <f t="shared" si="1"/>
        <v>14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1.5</v>
      </c>
      <c r="G18" s="28">
        <f>IF(COUNTIF('FIFA WC 2026'!$S$5:$S$66,A18)&gt;0,4,0)</f>
        <v>4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9.5</v>
      </c>
      <c r="N18" s="110">
        <f t="shared" si="1"/>
        <v>8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8">
        <f>IF(COUNTIF('FIFA WC 2026'!$S$5:$S$66,A20)&gt;0,4,0)</f>
        <v>4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15.5</v>
      </c>
      <c r="N20" s="110">
        <f t="shared" si="1"/>
        <v>10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8">
        <f>IF(COUNTIF('FIFA WC 2026'!$S$5:$S$66,A22)&gt;0,4,0)</f>
        <v>4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12.5</v>
      </c>
      <c r="N22" s="110">
        <f t="shared" si="1"/>
        <v>10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4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9</v>
      </c>
      <c r="N23" s="110">
        <f t="shared" si="1"/>
        <v>8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8">
        <f>IF(COUNTIF('FIFA WC 2026'!$S$5:$S$66,A24)&gt;0,4,0)</f>
        <v>4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16.5</v>
      </c>
      <c r="N24" s="110">
        <f t="shared" si="1"/>
        <v>11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8">
        <f>IF(COUNTIF('FIFA WC 2026'!$S$5:$S$66,A25)&gt;0,4,0)</f>
        <v>4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13</v>
      </c>
      <c r="N25" s="110">
        <f t="shared" si="1"/>
        <v>9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4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11.5</v>
      </c>
      <c r="N26" s="110">
        <f t="shared" si="1"/>
        <v>8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6.5</v>
      </c>
      <c r="G28" s="108">
        <f>IF(COUNTIF('FIFA WC 2026'!$S$5:$S$66,A28)&gt;0,4,0)</f>
        <v>4</v>
      </c>
      <c r="H28" s="108">
        <f>IF(COUNTIF('FIFA WC 2026'!$W$7:$W$64,A28)&gt;0,6,0)</f>
        <v>6</v>
      </c>
      <c r="I28" s="108">
        <f>IF(COUNTIF('FIFA WC 2026'!$AA$11:$AA$60,A28)&gt;0,8,0)</f>
        <v>8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29.5</v>
      </c>
      <c r="N28" s="110">
        <f t="shared" si="1"/>
        <v>23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4</v>
      </c>
      <c r="G29" s="108">
        <f>IF(COUNTIF('FIFA WC 2026'!$S$5:$S$66,A29)&gt;0,4,0)</f>
        <v>4</v>
      </c>
      <c r="H29" s="108">
        <f>IF(COUNTIF('FIFA WC 2026'!$W$7:$W$64,A29)&gt;0,6,0)</f>
        <v>6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19</v>
      </c>
      <c r="N29" s="110">
        <f t="shared" si="1"/>
        <v>15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5.5</v>
      </c>
      <c r="G32" s="28">
        <f>IF(COUNTIF('FIFA WC 2026'!$S$5:$S$66,A32)&gt;0,4,0)</f>
        <v>4</v>
      </c>
      <c r="H32" s="28">
        <f>IF(COUNTIF('FIFA WC 2026'!$W$7:$W$64,A32)&gt;0,6,0)</f>
        <v>6</v>
      </c>
      <c r="I32" s="28">
        <f>IF(COUNTIF('FIFA WC 2026'!$AA$11:$AA$60,A32)&gt;0,8,0)</f>
        <v>8</v>
      </c>
      <c r="J32" s="28">
        <f>IF(COUNTIF('FIFA WC 2026'!$AE$19:$AE$52,A32)&gt;0,10,0)</f>
        <v>10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40.5</v>
      </c>
      <c r="N32" s="110">
        <f t="shared" si="1"/>
        <v>35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1.5</v>
      </c>
      <c r="G33" s="28">
        <f>IF(COUNTIF('FIFA WC 2026'!$S$5:$S$66,A33)&gt;0,4,0)</f>
        <v>4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8.5</v>
      </c>
      <c r="N33" s="110">
        <f t="shared" si="1"/>
        <v>7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8</v>
      </c>
      <c r="G36" s="108">
        <f>IF(COUNTIF('FIFA WC 2026'!$S$5:$S$66,A36)&gt;0,4,0)</f>
        <v>4</v>
      </c>
      <c r="H36" s="108">
        <f>IF(COUNTIF('FIFA WC 2026'!$W$7:$W$64,A36)&gt;0,6,0)</f>
        <v>6</v>
      </c>
      <c r="I36" s="108">
        <f>IF(COUNTIF('FIFA WC 2026'!$AA$11:$AA$60,A36)&gt;0,8,0)</f>
        <v>8</v>
      </c>
      <c r="J36" s="108">
        <f>IF(COUNTIF('FIFA WC 2026'!$AE$19:$AE$52,A36)&gt;0,10,0)</f>
        <v>10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45</v>
      </c>
      <c r="N36" s="110">
        <f t="shared" si="1"/>
        <v>37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8">
        <f>IF(COUNTIF('FIFA WC 2026'!$S$5:$S$66,A37)&gt;0,4,0)</f>
        <v>4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12</v>
      </c>
      <c r="N37" s="110">
        <f t="shared" si="1"/>
        <v>7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6</v>
      </c>
      <c r="G39" s="108">
        <f>IF(COUNTIF('FIFA WC 2026'!$S$5:$S$66,A39)&gt;0,4,0)</f>
        <v>4</v>
      </c>
      <c r="H39" s="108">
        <f>IF(COUNTIF('FIFA WC 2026'!$W$7:$W$64,A39)&gt;0,6,0)</f>
        <v>6</v>
      </c>
      <c r="I39" s="108">
        <f>IF(COUNTIF('FIFA WC 2026'!$AA$11:$AA$60,A39)&gt;0,8,0)</f>
        <v>8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30</v>
      </c>
      <c r="N39" s="110">
        <f t="shared" si="1"/>
        <v>24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6</v>
      </c>
      <c r="G40" s="28">
        <f>IF(COUNTIF('FIFA WC 2026'!$S$5:$S$66,A40)&gt;0,4,0)</f>
        <v>4</v>
      </c>
      <c r="H40" s="28">
        <f>IF(COUNTIF('FIFA WC 2026'!$W$7:$W$64,A40)&gt;0,6,0)</f>
        <v>6</v>
      </c>
      <c r="I40" s="28">
        <f>IF(COUNTIF('FIFA WC 2026'!$AA$11:$AA$60,A40)&gt;0,8,0)</f>
        <v>8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33</v>
      </c>
      <c r="N40" s="110">
        <f t="shared" si="1"/>
        <v>27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8">
        <f>IF(COUNTIF('FIFA WC 2026'!$S$5:$S$66,A41)&gt;0,4,0)</f>
        <v>4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10.5</v>
      </c>
      <c r="N41" s="110">
        <f t="shared" si="1"/>
        <v>8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8">
        <f>IF(COUNTIF('FIFA WC 2026'!$S$5:$S$66,A42)&gt;0,4,0)</f>
        <v>4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11</v>
      </c>
      <c r="N42" s="110">
        <f t="shared" si="1"/>
        <v>8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8">
        <f>IF(COUNTIF('FIFA WC 2026'!$S$5:$S$66,A44)&gt;0,4,0)</f>
        <v>4</v>
      </c>
      <c r="H44" s="108">
        <f>IF(COUNTIF('FIFA WC 2026'!$W$7:$W$64,A44)&gt;0,6,0)</f>
        <v>6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19</v>
      </c>
      <c r="N44" s="110">
        <f t="shared" si="1"/>
        <v>15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8">
        <f>IF(COUNTIF('FIFA WC 2026'!$S$5:$S$66,A45)&gt;0,4,0)</f>
        <v>4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10.5</v>
      </c>
      <c r="N45" s="110">
        <f t="shared" si="1"/>
        <v>8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1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2.5</v>
      </c>
      <c r="G47" s="108">
        <f>IF(COUNTIF('FIFA WC 2026'!$S$5:$S$66,A47)&gt;0,4,0)</f>
        <v>4</v>
      </c>
      <c r="H47" s="108">
        <f>IF(COUNTIF('FIFA WC 2026'!$W$7:$W$64,A47)&gt;0,6,0)</f>
        <v>6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19.5</v>
      </c>
      <c r="N47" s="110">
        <f t="shared" si="1"/>
        <v>17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5.5</v>
      </c>
      <c r="G48" s="28">
        <f>IF(COUNTIF('FIFA WC 2026'!$S$5:$S$66,A48)&gt;0,4,0)</f>
        <v>4</v>
      </c>
      <c r="H48" s="28">
        <f>IF(COUNTIF('FIFA WC 2026'!$W$7:$W$64,A48)&gt;0,6,0)</f>
        <v>6</v>
      </c>
      <c r="I48" s="28">
        <f>IF(COUNTIF('FIFA WC 2026'!$AA$11:$AA$60,A48)&gt;0,8,0)</f>
        <v>8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30.5</v>
      </c>
      <c r="N48" s="110">
        <f t="shared" si="1"/>
        <v>25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8">
        <f>IF(COUNTIF('FIFA WC 2026'!$S$5:$S$66,A49)&gt;0,4,0)</f>
        <v>4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13</v>
      </c>
      <c r="N49" s="110">
        <f t="shared" si="1"/>
        <v>10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8">
        <f>IF(COUNTIF('FIFA WC 2026'!$S$5:$S$66,A50)&gt;0,4,0)</f>
        <v>4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9</v>
      </c>
      <c r="N50" s="110">
        <f t="shared" si="1"/>
        <v>8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413</v>
      </c>
      <c r="C2" s="115"/>
      <c r="D2" s="116"/>
    </row>
    <row r="3" spans="2:9" ht="12.75" customHeight="1" x14ac:dyDescent="0.3">
      <c r="B3" s="117" t="s">
        <v>414</v>
      </c>
      <c r="C3" s="118" t="s">
        <v>415</v>
      </c>
      <c r="D3" s="119"/>
    </row>
    <row r="4" spans="2:9" ht="12.75" customHeight="1" x14ac:dyDescent="0.3">
      <c r="B4" s="117" t="s">
        <v>416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417</v>
      </c>
      <c r="F7" s="129"/>
    </row>
    <row r="8" spans="2:9" ht="15.75" customHeight="1" x14ac:dyDescent="0.3">
      <c r="B8" s="130" t="s">
        <v>418</v>
      </c>
      <c r="C8" s="131" t="s">
        <v>419</v>
      </c>
      <c r="D8" s="119"/>
      <c r="F8" s="129"/>
      <c r="G8" s="132" t="s">
        <v>420</v>
      </c>
      <c r="H8" s="132" t="s">
        <v>421</v>
      </c>
      <c r="I8" s="132" t="s">
        <v>422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423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424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425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426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427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428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429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430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431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432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433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434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435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436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437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438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439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440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441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442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443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444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445</v>
      </c>
      <c r="B1" s="142" t="s">
        <v>446</v>
      </c>
      <c r="C1" s="142" t="s">
        <v>447</v>
      </c>
      <c r="D1" s="142" t="s">
        <v>448</v>
      </c>
      <c r="E1" s="142" t="s">
        <v>449</v>
      </c>
      <c r="F1" s="142" t="s">
        <v>450</v>
      </c>
      <c r="G1" s="142" t="s">
        <v>451</v>
      </c>
      <c r="H1" s="142" t="s">
        <v>452</v>
      </c>
      <c r="I1" s="142" t="s">
        <v>453</v>
      </c>
      <c r="J1" s="142" t="s">
        <v>454</v>
      </c>
      <c r="K1" s="142" t="s">
        <v>455</v>
      </c>
    </row>
    <row r="2" spans="1:11" ht="12.75" customHeight="1" x14ac:dyDescent="0.3">
      <c r="A2" s="141">
        <v>1</v>
      </c>
      <c r="B2" s="141" t="s">
        <v>456</v>
      </c>
      <c r="C2" s="141" t="s">
        <v>457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458</v>
      </c>
      <c r="C3" s="141" t="s">
        <v>459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460</v>
      </c>
      <c r="C4" s="141" t="s">
        <v>461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462</v>
      </c>
      <c r="C5" s="141" t="s">
        <v>463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464</v>
      </c>
      <c r="C6" s="141" t="s">
        <v>465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466</v>
      </c>
      <c r="C7" s="141" t="s">
        <v>467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468</v>
      </c>
      <c r="C8" s="141" t="s">
        <v>469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470</v>
      </c>
      <c r="C9" s="141" t="s">
        <v>471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472</v>
      </c>
      <c r="C10" s="141" t="s">
        <v>473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474</v>
      </c>
      <c r="C11" s="141" t="s">
        <v>475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476</v>
      </c>
      <c r="C12" s="141" t="s">
        <v>477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478</v>
      </c>
      <c r="C13" s="141" t="s">
        <v>479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480</v>
      </c>
      <c r="C14" s="141" t="s">
        <v>481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482</v>
      </c>
      <c r="C15" s="141" t="s">
        <v>483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484</v>
      </c>
      <c r="C16" s="141" t="s">
        <v>485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486</v>
      </c>
      <c r="C17" s="141" t="s">
        <v>487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488</v>
      </c>
      <c r="C18" s="141" t="s">
        <v>489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490</v>
      </c>
      <c r="C19" s="141" t="s">
        <v>491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492</v>
      </c>
      <c r="C20" s="141" t="s">
        <v>493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494</v>
      </c>
      <c r="C21" s="141" t="s">
        <v>495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496</v>
      </c>
      <c r="C22" s="141" t="s">
        <v>497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498</v>
      </c>
      <c r="C23" s="141" t="s">
        <v>499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500</v>
      </c>
      <c r="C24" s="141" t="s">
        <v>501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502</v>
      </c>
      <c r="C25" s="141" t="s">
        <v>503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504</v>
      </c>
      <c r="C26" s="141" t="s">
        <v>505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506</v>
      </c>
      <c r="C27" s="141" t="s">
        <v>507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508</v>
      </c>
      <c r="C28" s="141" t="s">
        <v>509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510</v>
      </c>
      <c r="C29" s="141" t="s">
        <v>511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512</v>
      </c>
      <c r="C30" s="141" t="s">
        <v>513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514</v>
      </c>
      <c r="C31" s="141" t="s">
        <v>515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516</v>
      </c>
      <c r="C32" s="141" t="s">
        <v>517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518</v>
      </c>
      <c r="C33" s="141" t="s">
        <v>519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520</v>
      </c>
      <c r="C34" s="141" t="s">
        <v>521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522</v>
      </c>
      <c r="C35" s="141" t="s">
        <v>523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524</v>
      </c>
      <c r="C36" s="141" t="s">
        <v>525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526</v>
      </c>
      <c r="C37" s="141" t="s">
        <v>527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528</v>
      </c>
      <c r="C38" s="141" t="s">
        <v>529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530</v>
      </c>
      <c r="C39" s="141" t="s">
        <v>531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532</v>
      </c>
      <c r="C40" s="141" t="s">
        <v>533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534</v>
      </c>
      <c r="C41" s="141" t="s">
        <v>535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536</v>
      </c>
      <c r="C42" s="141" t="s">
        <v>537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538</v>
      </c>
      <c r="C43" s="141" t="s">
        <v>539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540</v>
      </c>
      <c r="C44" s="141" t="s">
        <v>541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542</v>
      </c>
      <c r="C45" s="141" t="s">
        <v>543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544</v>
      </c>
      <c r="C46" s="141" t="s">
        <v>545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546</v>
      </c>
      <c r="C47" s="141" t="s">
        <v>547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548</v>
      </c>
      <c r="C48" s="141" t="s">
        <v>549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550</v>
      </c>
      <c r="C49" s="141" t="s">
        <v>551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552</v>
      </c>
      <c r="C50" s="141" t="s">
        <v>553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554</v>
      </c>
      <c r="C51" s="141" t="s">
        <v>555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556</v>
      </c>
      <c r="C52" s="141" t="s">
        <v>557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558</v>
      </c>
      <c r="C53" s="141" t="s">
        <v>559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560</v>
      </c>
      <c r="C54" s="141" t="s">
        <v>561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562</v>
      </c>
      <c r="C55" s="141" t="s">
        <v>563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564</v>
      </c>
      <c r="C56" s="141" t="s">
        <v>565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566</v>
      </c>
      <c r="C57" s="141" t="s">
        <v>567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568</v>
      </c>
      <c r="C58" s="141" t="s">
        <v>569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570</v>
      </c>
      <c r="C59" s="141" t="s">
        <v>571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572</v>
      </c>
      <c r="C60" s="141" t="s">
        <v>573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574</v>
      </c>
      <c r="C61" s="141" t="s">
        <v>575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576</v>
      </c>
      <c r="C62" s="141" t="s">
        <v>577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578</v>
      </c>
      <c r="C63" s="141" t="s">
        <v>579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580</v>
      </c>
      <c r="C64" s="141" t="s">
        <v>581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582</v>
      </c>
      <c r="C65" s="141" t="s">
        <v>583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584</v>
      </c>
      <c r="C66" s="141" t="s">
        <v>585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586</v>
      </c>
      <c r="C67" s="141" t="s">
        <v>587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588</v>
      </c>
      <c r="C68" s="141" t="s">
        <v>589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590</v>
      </c>
      <c r="C69" s="141" t="s">
        <v>591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592</v>
      </c>
      <c r="C70" s="141" t="s">
        <v>593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594</v>
      </c>
      <c r="C71" s="141" t="s">
        <v>595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596</v>
      </c>
      <c r="C72" s="141" t="s">
        <v>597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598</v>
      </c>
      <c r="C73" s="141" t="s">
        <v>599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600</v>
      </c>
      <c r="C74" s="141" t="s">
        <v>601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602</v>
      </c>
      <c r="C75" s="141" t="s">
        <v>603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604</v>
      </c>
      <c r="C76" s="141" t="s">
        <v>605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606</v>
      </c>
      <c r="C77" s="141" t="s">
        <v>607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608</v>
      </c>
      <c r="C78" s="141" t="s">
        <v>609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610</v>
      </c>
      <c r="C79" s="141" t="s">
        <v>611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612</v>
      </c>
      <c r="C80" s="141" t="s">
        <v>613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614</v>
      </c>
      <c r="C81" s="141" t="s">
        <v>615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616</v>
      </c>
      <c r="C82" s="141" t="s">
        <v>617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618</v>
      </c>
      <c r="C83" s="141" t="s">
        <v>619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620</v>
      </c>
      <c r="C84" s="141" t="s">
        <v>621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622</v>
      </c>
      <c r="C85" s="141" t="s">
        <v>623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624</v>
      </c>
      <c r="C86" s="141" t="s">
        <v>625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626</v>
      </c>
      <c r="C87" s="141" t="s">
        <v>627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628</v>
      </c>
      <c r="C88" s="141" t="s">
        <v>629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630</v>
      </c>
      <c r="C89" s="141" t="s">
        <v>631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632</v>
      </c>
      <c r="C90" s="141" t="s">
        <v>633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634</v>
      </c>
      <c r="C91" s="141" t="s">
        <v>635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636</v>
      </c>
      <c r="C92" s="141" t="s">
        <v>637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638</v>
      </c>
      <c r="C93" s="141" t="s">
        <v>639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640</v>
      </c>
      <c r="C94" s="141" t="s">
        <v>641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642</v>
      </c>
      <c r="C95" s="141" t="s">
        <v>643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644</v>
      </c>
      <c r="C96" s="141" t="s">
        <v>645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646</v>
      </c>
      <c r="C97" s="141" t="s">
        <v>647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648</v>
      </c>
      <c r="C98" s="141" t="s">
        <v>649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650</v>
      </c>
      <c r="C99" s="141" t="s">
        <v>651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652</v>
      </c>
      <c r="C100" s="141" t="s">
        <v>653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654</v>
      </c>
      <c r="C101" s="141" t="s">
        <v>655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656</v>
      </c>
      <c r="C102" s="141" t="s">
        <v>657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658</v>
      </c>
      <c r="C103" s="141" t="s">
        <v>659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660</v>
      </c>
      <c r="C104" s="141" t="s">
        <v>661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662</v>
      </c>
      <c r="C105" s="141" t="s">
        <v>663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664</v>
      </c>
      <c r="C106" s="141" t="s">
        <v>665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666</v>
      </c>
      <c r="C107" s="141" t="s">
        <v>667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668</v>
      </c>
      <c r="C108" s="141" t="s">
        <v>669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670</v>
      </c>
      <c r="C109" s="141" t="s">
        <v>671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672</v>
      </c>
      <c r="C110" s="141" t="s">
        <v>673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674</v>
      </c>
      <c r="C111" s="141" t="s">
        <v>675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676</v>
      </c>
      <c r="C112" s="141" t="s">
        <v>677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678</v>
      </c>
      <c r="C113" s="141" t="s">
        <v>679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680</v>
      </c>
      <c r="C114" s="141" t="s">
        <v>681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682</v>
      </c>
      <c r="C115" s="141" t="s">
        <v>683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684</v>
      </c>
      <c r="C116" s="141" t="s">
        <v>685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686</v>
      </c>
      <c r="C117" s="141" t="s">
        <v>687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688</v>
      </c>
      <c r="C118" s="141" t="s">
        <v>689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690</v>
      </c>
      <c r="C119" s="141" t="s">
        <v>691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692</v>
      </c>
      <c r="C120" s="141" t="s">
        <v>693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694</v>
      </c>
      <c r="C121" s="141" t="s">
        <v>695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696</v>
      </c>
      <c r="C122" s="141" t="s">
        <v>697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698</v>
      </c>
      <c r="C123" s="141" t="s">
        <v>699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700</v>
      </c>
      <c r="C124" s="141" t="s">
        <v>701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702</v>
      </c>
      <c r="C125" s="141" t="s">
        <v>703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704</v>
      </c>
      <c r="C126" s="141" t="s">
        <v>705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706</v>
      </c>
      <c r="C127" s="141" t="s">
        <v>707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708</v>
      </c>
      <c r="C128" s="141" t="s">
        <v>709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710</v>
      </c>
      <c r="C129" s="141" t="s">
        <v>711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712</v>
      </c>
      <c r="C130" s="141" t="s">
        <v>713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714</v>
      </c>
      <c r="C131" s="141" t="s">
        <v>715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716</v>
      </c>
      <c r="C132" s="141" t="s">
        <v>717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718</v>
      </c>
      <c r="C133" s="141" t="s">
        <v>719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720</v>
      </c>
      <c r="C134" s="141" t="s">
        <v>721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722</v>
      </c>
      <c r="C135" s="141" t="s">
        <v>723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724</v>
      </c>
      <c r="C136" s="141" t="s">
        <v>725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726</v>
      </c>
      <c r="C137" s="141" t="s">
        <v>727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728</v>
      </c>
      <c r="C138" s="141" t="s">
        <v>729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730</v>
      </c>
      <c r="C139" s="141" t="s">
        <v>731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732</v>
      </c>
      <c r="C140" s="141" t="s">
        <v>733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734</v>
      </c>
      <c r="C141" s="141" t="s">
        <v>735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736</v>
      </c>
      <c r="C142" s="141" t="s">
        <v>737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738</v>
      </c>
      <c r="C143" s="141" t="s">
        <v>739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740</v>
      </c>
      <c r="C144" s="141" t="s">
        <v>741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742</v>
      </c>
      <c r="C145" s="141" t="s">
        <v>743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744</v>
      </c>
      <c r="C146" s="141" t="s">
        <v>745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746</v>
      </c>
      <c r="C147" s="141" t="s">
        <v>747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748</v>
      </c>
      <c r="C148" s="141" t="s">
        <v>749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750</v>
      </c>
      <c r="C149" s="141" t="s">
        <v>751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752</v>
      </c>
      <c r="C150" s="141" t="s">
        <v>753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754</v>
      </c>
      <c r="C151" s="141" t="s">
        <v>755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756</v>
      </c>
      <c r="C152" s="141" t="s">
        <v>757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758</v>
      </c>
      <c r="C153" s="141" t="s">
        <v>759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760</v>
      </c>
      <c r="C154" s="141" t="s">
        <v>761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762</v>
      </c>
      <c r="C155" s="141" t="s">
        <v>763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764</v>
      </c>
      <c r="C156" s="141" t="s">
        <v>765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766</v>
      </c>
      <c r="C157" s="141" t="s">
        <v>767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768</v>
      </c>
      <c r="C158" s="141" t="s">
        <v>769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770</v>
      </c>
      <c r="C159" s="141" t="s">
        <v>771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772</v>
      </c>
      <c r="C160" s="141" t="s">
        <v>773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774</v>
      </c>
      <c r="C161" s="141" t="s">
        <v>775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776</v>
      </c>
      <c r="C162" s="141" t="s">
        <v>777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778</v>
      </c>
      <c r="C163" s="141" t="s">
        <v>779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780</v>
      </c>
      <c r="C164" s="141" t="s">
        <v>781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782</v>
      </c>
      <c r="C165" s="141" t="s">
        <v>783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784</v>
      </c>
      <c r="C166" s="141" t="s">
        <v>785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786</v>
      </c>
      <c r="C167" s="141" t="s">
        <v>787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788</v>
      </c>
      <c r="C168" s="141" t="s">
        <v>789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790</v>
      </c>
      <c r="C169" s="141" t="s">
        <v>791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792</v>
      </c>
      <c r="C170" s="141" t="s">
        <v>793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794</v>
      </c>
      <c r="C171" s="141" t="s">
        <v>795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796</v>
      </c>
      <c r="C172" s="141" t="s">
        <v>797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798</v>
      </c>
      <c r="C173" s="141" t="s">
        <v>799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800</v>
      </c>
      <c r="C174" s="141" t="s">
        <v>801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802</v>
      </c>
      <c r="C175" s="141" t="s">
        <v>803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804</v>
      </c>
      <c r="C176" s="141" t="s">
        <v>805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806</v>
      </c>
      <c r="C177" s="141" t="s">
        <v>807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808</v>
      </c>
      <c r="C178" s="141" t="s">
        <v>809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810</v>
      </c>
      <c r="C179" s="141" t="s">
        <v>811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812</v>
      </c>
      <c r="C180" s="141" t="s">
        <v>813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814</v>
      </c>
      <c r="C181" s="141" t="s">
        <v>815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816</v>
      </c>
      <c r="C182" s="141" t="s">
        <v>817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818</v>
      </c>
      <c r="C183" s="141" t="s">
        <v>819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820</v>
      </c>
      <c r="C184" s="141" t="s">
        <v>821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822</v>
      </c>
      <c r="C185" s="141" t="s">
        <v>823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824</v>
      </c>
      <c r="C186" s="141" t="s">
        <v>825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826</v>
      </c>
      <c r="C187" s="141" t="s">
        <v>827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828</v>
      </c>
      <c r="C188" s="141" t="s">
        <v>829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830</v>
      </c>
      <c r="C189" s="141" t="s">
        <v>831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832</v>
      </c>
      <c r="C190" s="141" t="s">
        <v>833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834</v>
      </c>
      <c r="C191" s="141" t="s">
        <v>835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836</v>
      </c>
      <c r="C192" s="141" t="s">
        <v>837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838</v>
      </c>
      <c r="C193" s="141" t="s">
        <v>839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840</v>
      </c>
      <c r="C194" s="141" t="s">
        <v>841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842</v>
      </c>
      <c r="C195" s="141" t="s">
        <v>843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844</v>
      </c>
      <c r="C196" s="141" t="s">
        <v>845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846</v>
      </c>
      <c r="C197" s="141" t="s">
        <v>847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848</v>
      </c>
      <c r="C198" s="141" t="s">
        <v>849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850</v>
      </c>
      <c r="C199" s="141" t="s">
        <v>851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852</v>
      </c>
      <c r="C200" s="141" t="s">
        <v>853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854</v>
      </c>
      <c r="C201" s="141" t="s">
        <v>855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856</v>
      </c>
      <c r="C202" s="141" t="s">
        <v>857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858</v>
      </c>
      <c r="C203" s="141" t="s">
        <v>859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860</v>
      </c>
      <c r="C204" s="141" t="s">
        <v>861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862</v>
      </c>
      <c r="C205" s="141" t="s">
        <v>863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864</v>
      </c>
      <c r="C206" s="141" t="s">
        <v>865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866</v>
      </c>
      <c r="C207" s="141" t="s">
        <v>867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868</v>
      </c>
      <c r="C208" s="141" t="s">
        <v>869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870</v>
      </c>
      <c r="C209" s="141" t="s">
        <v>871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872</v>
      </c>
      <c r="C210" s="141" t="s">
        <v>873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874</v>
      </c>
      <c r="C211" s="141" t="s">
        <v>875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876</v>
      </c>
      <c r="C212" s="141" t="s">
        <v>877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878</v>
      </c>
      <c r="C213" s="141" t="s">
        <v>879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880</v>
      </c>
      <c r="C214" s="141" t="s">
        <v>881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882</v>
      </c>
      <c r="C215" s="141" t="s">
        <v>883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884</v>
      </c>
      <c r="C216" s="141" t="s">
        <v>885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886</v>
      </c>
      <c r="C217" s="141" t="s">
        <v>887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888</v>
      </c>
      <c r="C218" s="141" t="s">
        <v>889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890</v>
      </c>
      <c r="C219" s="141" t="s">
        <v>891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892</v>
      </c>
      <c r="C220" s="141" t="s">
        <v>893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894</v>
      </c>
      <c r="C221" s="141" t="s">
        <v>895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896</v>
      </c>
      <c r="C222" s="141" t="s">
        <v>897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898</v>
      </c>
      <c r="C223" s="141" t="s">
        <v>899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900</v>
      </c>
      <c r="C224" s="141" t="s">
        <v>901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902</v>
      </c>
      <c r="C225" s="141" t="s">
        <v>903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904</v>
      </c>
      <c r="C226" s="141" t="s">
        <v>905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906</v>
      </c>
      <c r="C227" s="141" t="s">
        <v>907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908</v>
      </c>
      <c r="C228" s="141" t="s">
        <v>909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910</v>
      </c>
      <c r="C229" s="141" t="s">
        <v>911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912</v>
      </c>
      <c r="C230" s="141" t="s">
        <v>913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914</v>
      </c>
      <c r="C231" s="141" t="s">
        <v>915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916</v>
      </c>
      <c r="C232" s="141" t="s">
        <v>917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918</v>
      </c>
      <c r="C233" s="141" t="s">
        <v>919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920</v>
      </c>
      <c r="C234" s="141" t="s">
        <v>921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922</v>
      </c>
      <c r="C235" s="141" t="s">
        <v>923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924</v>
      </c>
      <c r="C236" s="141" t="s">
        <v>925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926</v>
      </c>
      <c r="C237" s="141" t="s">
        <v>927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928</v>
      </c>
      <c r="C238" s="141" t="s">
        <v>929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930</v>
      </c>
      <c r="C239" s="141" t="s">
        <v>931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932</v>
      </c>
      <c r="C240" s="141" t="s">
        <v>933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934</v>
      </c>
      <c r="C241" s="141" t="s">
        <v>935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936</v>
      </c>
      <c r="C242" s="141" t="s">
        <v>937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938</v>
      </c>
      <c r="C243" s="141" t="s">
        <v>939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940</v>
      </c>
      <c r="C244" s="141" t="s">
        <v>941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942</v>
      </c>
      <c r="C245" s="141" t="s">
        <v>943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944</v>
      </c>
      <c r="C246" s="141" t="s">
        <v>945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946</v>
      </c>
      <c r="C247" s="141" t="s">
        <v>947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948</v>
      </c>
      <c r="C248" s="141" t="s">
        <v>949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950</v>
      </c>
      <c r="C249" s="141" t="s">
        <v>951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952</v>
      </c>
      <c r="C250" s="141" t="s">
        <v>953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954</v>
      </c>
      <c r="C251" s="141" t="s">
        <v>955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956</v>
      </c>
      <c r="C252" s="141" t="s">
        <v>957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958</v>
      </c>
      <c r="C253" s="141" t="s">
        <v>959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960</v>
      </c>
      <c r="C254" s="141" t="s">
        <v>961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962</v>
      </c>
      <c r="C255" s="141" t="s">
        <v>963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964</v>
      </c>
      <c r="C256" s="141" t="s">
        <v>965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966</v>
      </c>
      <c r="C257" s="141" t="s">
        <v>967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968</v>
      </c>
      <c r="C258" s="141" t="s">
        <v>969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970</v>
      </c>
      <c r="C259" s="141" t="s">
        <v>971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972</v>
      </c>
      <c r="C260" s="141" t="s">
        <v>973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974</v>
      </c>
      <c r="C261" s="141" t="s">
        <v>975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976</v>
      </c>
      <c r="C262" s="141" t="s">
        <v>977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978</v>
      </c>
      <c r="C263" s="141" t="s">
        <v>979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980</v>
      </c>
      <c r="C264" s="141" t="s">
        <v>981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982</v>
      </c>
      <c r="C265" s="141" t="s">
        <v>983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984</v>
      </c>
      <c r="C266" s="141" t="s">
        <v>985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986</v>
      </c>
      <c r="C267" s="141" t="s">
        <v>987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988</v>
      </c>
      <c r="C268" s="141" t="s">
        <v>989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990</v>
      </c>
      <c r="C269" s="141" t="s">
        <v>991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992</v>
      </c>
      <c r="C270" s="141" t="s">
        <v>993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994</v>
      </c>
      <c r="C271" s="141" t="s">
        <v>995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996</v>
      </c>
      <c r="C272" s="141" t="s">
        <v>997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998</v>
      </c>
      <c r="C273" s="141" t="s">
        <v>999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1000</v>
      </c>
      <c r="C274" s="141" t="s">
        <v>1001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1002</v>
      </c>
      <c r="C275" s="141" t="s">
        <v>1003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1004</v>
      </c>
      <c r="C276" s="141" t="s">
        <v>1005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1006</v>
      </c>
      <c r="C277" s="141" t="s">
        <v>1007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1008</v>
      </c>
      <c r="C278" s="141" t="s">
        <v>1009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1010</v>
      </c>
      <c r="C279" s="141" t="s">
        <v>1011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1012</v>
      </c>
      <c r="C280" s="141" t="s">
        <v>1013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1014</v>
      </c>
      <c r="C281" s="141" t="s">
        <v>1015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1016</v>
      </c>
      <c r="C282" s="141" t="s">
        <v>1017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1018</v>
      </c>
      <c r="C283" s="141" t="s">
        <v>1019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1020</v>
      </c>
      <c r="C284" s="141" t="s">
        <v>1021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1022</v>
      </c>
      <c r="C285" s="141" t="s">
        <v>1023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1024</v>
      </c>
      <c r="C286" s="141" t="s">
        <v>1025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1026</v>
      </c>
      <c r="C287" s="141" t="s">
        <v>1027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1028</v>
      </c>
      <c r="C288" s="141" t="s">
        <v>1029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1030</v>
      </c>
      <c r="C289" s="141" t="s">
        <v>1031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1032</v>
      </c>
      <c r="C290" s="141" t="s">
        <v>1033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1034</v>
      </c>
      <c r="C291" s="141" t="s">
        <v>1035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1036</v>
      </c>
      <c r="C292" s="141" t="s">
        <v>1037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1038</v>
      </c>
      <c r="C293" s="141" t="s">
        <v>1039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1040</v>
      </c>
      <c r="C294" s="141" t="s">
        <v>1041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1042</v>
      </c>
      <c r="C295" s="141" t="s">
        <v>1043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1044</v>
      </c>
      <c r="C296" s="141" t="s">
        <v>1045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1046</v>
      </c>
      <c r="C297" s="141" t="s">
        <v>1047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1048</v>
      </c>
      <c r="C298" s="141" t="s">
        <v>1049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1050</v>
      </c>
      <c r="C299" s="141" t="s">
        <v>1051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1052</v>
      </c>
      <c r="C300" s="141" t="s">
        <v>1053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1054</v>
      </c>
      <c r="C301" s="141" t="s">
        <v>1055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1056</v>
      </c>
      <c r="C302" s="141" t="s">
        <v>1057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1058</v>
      </c>
      <c r="C303" s="141" t="s">
        <v>1059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1060</v>
      </c>
      <c r="C304" s="141" t="s">
        <v>1061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1062</v>
      </c>
      <c r="C305" s="141" t="s">
        <v>1063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1064</v>
      </c>
      <c r="C306" s="141" t="s">
        <v>1065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1066</v>
      </c>
      <c r="C307" s="141" t="s">
        <v>1067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1068</v>
      </c>
      <c r="C308" s="141" t="s">
        <v>1069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1070</v>
      </c>
      <c r="C309" s="141" t="s">
        <v>1071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1072</v>
      </c>
      <c r="C310" s="141" t="s">
        <v>1073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1074</v>
      </c>
      <c r="C311" s="141" t="s">
        <v>1075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1076</v>
      </c>
      <c r="C312" s="141" t="s">
        <v>1077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1078</v>
      </c>
      <c r="C313" s="141" t="s">
        <v>1079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1080</v>
      </c>
      <c r="C314" s="141" t="s">
        <v>1081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1082</v>
      </c>
      <c r="C315" s="141" t="s">
        <v>1083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1084</v>
      </c>
      <c r="C316" s="141" t="s">
        <v>1085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1086</v>
      </c>
      <c r="C317" s="141" t="s">
        <v>1087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1088</v>
      </c>
      <c r="C318" s="141" t="s">
        <v>1089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1090</v>
      </c>
      <c r="C319" s="141" t="s">
        <v>1091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1092</v>
      </c>
      <c r="C320" s="141" t="s">
        <v>1093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1094</v>
      </c>
      <c r="C321" s="141" t="s">
        <v>1095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1096</v>
      </c>
      <c r="C322" s="141" t="s">
        <v>1097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1098</v>
      </c>
      <c r="C323" s="141" t="s">
        <v>1099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1100</v>
      </c>
      <c r="C324" s="141" t="s">
        <v>1101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1102</v>
      </c>
      <c r="C325" s="141" t="s">
        <v>1103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1104</v>
      </c>
      <c r="C326" s="141" t="s">
        <v>1105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1106</v>
      </c>
      <c r="C327" s="141" t="s">
        <v>1107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1108</v>
      </c>
      <c r="C328" s="141" t="s">
        <v>1109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1110</v>
      </c>
      <c r="C329" s="141" t="s">
        <v>1111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1112</v>
      </c>
      <c r="C330" s="141" t="s">
        <v>1113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1114</v>
      </c>
      <c r="C331" s="141" t="s">
        <v>1115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1116</v>
      </c>
      <c r="C332" s="141" t="s">
        <v>1117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1118</v>
      </c>
      <c r="C333" s="141" t="s">
        <v>1119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1120</v>
      </c>
      <c r="C334" s="141" t="s">
        <v>1121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1122</v>
      </c>
      <c r="C335" s="141" t="s">
        <v>1123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1124</v>
      </c>
      <c r="C336" s="141" t="s">
        <v>1125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1126</v>
      </c>
      <c r="C337" s="141" t="s">
        <v>1127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1128</v>
      </c>
      <c r="C338" s="141" t="s">
        <v>1129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1130</v>
      </c>
      <c r="C339" s="141" t="s">
        <v>1131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1132</v>
      </c>
      <c r="C340" s="141" t="s">
        <v>1133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1134</v>
      </c>
      <c r="C341" s="141" t="s">
        <v>1135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1136</v>
      </c>
      <c r="C342" s="141" t="s">
        <v>1137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1138</v>
      </c>
      <c r="C343" s="141" t="s">
        <v>1139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1140</v>
      </c>
      <c r="C344" s="141" t="s">
        <v>1141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1142</v>
      </c>
      <c r="C345" s="141" t="s">
        <v>1143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1144</v>
      </c>
      <c r="C346" s="141" t="s">
        <v>1145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1146</v>
      </c>
      <c r="C347" s="141" t="s">
        <v>1147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1148</v>
      </c>
      <c r="C348" s="141" t="s">
        <v>1149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1150</v>
      </c>
      <c r="C349" s="141" t="s">
        <v>1151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1152</v>
      </c>
      <c r="C350" s="141" t="s">
        <v>1153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1154</v>
      </c>
      <c r="C351" s="141" t="s">
        <v>1155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1156</v>
      </c>
      <c r="C352" s="141" t="s">
        <v>1157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1158</v>
      </c>
      <c r="C353" s="141" t="s">
        <v>1159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1160</v>
      </c>
      <c r="C354" s="141" t="s">
        <v>1161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1162</v>
      </c>
      <c r="C355" s="141" t="s">
        <v>1163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1164</v>
      </c>
      <c r="C356" s="141" t="s">
        <v>1165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1166</v>
      </c>
      <c r="C357" s="141" t="s">
        <v>1167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1168</v>
      </c>
      <c r="C358" s="141" t="s">
        <v>1169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1170</v>
      </c>
      <c r="C359" s="141" t="s">
        <v>1171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1172</v>
      </c>
      <c r="C360" s="141" t="s">
        <v>1173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1174</v>
      </c>
      <c r="C361" s="141" t="s">
        <v>1175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1176</v>
      </c>
      <c r="C362" s="141" t="s">
        <v>1177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1178</v>
      </c>
      <c r="C363" s="141" t="s">
        <v>1179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1180</v>
      </c>
      <c r="C364" s="141" t="s">
        <v>1181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1182</v>
      </c>
      <c r="C365" s="141" t="s">
        <v>1183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1184</v>
      </c>
      <c r="C366" s="141" t="s">
        <v>1185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1186</v>
      </c>
      <c r="C367" s="141" t="s">
        <v>1187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1188</v>
      </c>
      <c r="C368" s="141" t="s">
        <v>1189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1190</v>
      </c>
      <c r="C369" s="141" t="s">
        <v>1191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1192</v>
      </c>
      <c r="C370" s="141" t="s">
        <v>1193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1194</v>
      </c>
      <c r="C371" s="141" t="s">
        <v>1195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1196</v>
      </c>
      <c r="C372" s="141" t="s">
        <v>1197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1198</v>
      </c>
      <c r="C373" s="141" t="s">
        <v>1199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1200</v>
      </c>
      <c r="C374" s="141" t="s">
        <v>1201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1202</v>
      </c>
      <c r="C375" s="141" t="s">
        <v>1203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1204</v>
      </c>
      <c r="C376" s="141" t="s">
        <v>1205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1206</v>
      </c>
      <c r="C377" s="141" t="s">
        <v>1207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1208</v>
      </c>
      <c r="C378" s="141" t="s">
        <v>1209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1210</v>
      </c>
      <c r="C379" s="141" t="s">
        <v>1211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1212</v>
      </c>
      <c r="C380" s="141" t="s">
        <v>1213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1214</v>
      </c>
      <c r="C381" s="141" t="s">
        <v>1215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1216</v>
      </c>
      <c r="C382" s="141" t="s">
        <v>1217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1218</v>
      </c>
      <c r="C383" s="141" t="s">
        <v>1219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1220</v>
      </c>
      <c r="C384" s="141" t="s">
        <v>1221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1222</v>
      </c>
      <c r="C385" s="141" t="s">
        <v>1223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1224</v>
      </c>
      <c r="C386" s="141" t="s">
        <v>1225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1226</v>
      </c>
      <c r="C387" s="141" t="s">
        <v>1227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1228</v>
      </c>
      <c r="C388" s="141" t="s">
        <v>1229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1230</v>
      </c>
      <c r="C389" s="141" t="s">
        <v>1231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1232</v>
      </c>
      <c r="C390" s="141" t="s">
        <v>1233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1234</v>
      </c>
      <c r="C391" s="141" t="s">
        <v>1235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1236</v>
      </c>
      <c r="C392" s="141" t="s">
        <v>1237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1238</v>
      </c>
      <c r="C393" s="141" t="s">
        <v>1239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1240</v>
      </c>
      <c r="C394" s="141" t="s">
        <v>1241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1242</v>
      </c>
      <c r="C395" s="141" t="s">
        <v>1243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1244</v>
      </c>
      <c r="C396" s="141" t="s">
        <v>1245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1246</v>
      </c>
      <c r="C397" s="141" t="s">
        <v>1247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1248</v>
      </c>
      <c r="C398" s="141" t="s">
        <v>1249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1250</v>
      </c>
      <c r="C399" s="141" t="s">
        <v>1251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1252</v>
      </c>
      <c r="C400" s="141" t="s">
        <v>1253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1254</v>
      </c>
      <c r="C401" s="141" t="s">
        <v>1255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1256</v>
      </c>
      <c r="C402" s="141" t="s">
        <v>1257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1258</v>
      </c>
      <c r="C403" s="141" t="s">
        <v>1259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1260</v>
      </c>
      <c r="C404" s="141" t="s">
        <v>1261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1262</v>
      </c>
      <c r="C405" s="141" t="s">
        <v>1263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1264</v>
      </c>
      <c r="C406" s="141" t="s">
        <v>1265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1266</v>
      </c>
      <c r="C407" s="141" t="s">
        <v>1267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1268</v>
      </c>
      <c r="C408" s="141" t="s">
        <v>1269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1270</v>
      </c>
      <c r="C409" s="141" t="s">
        <v>1271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1272</v>
      </c>
      <c r="C410" s="141" t="s">
        <v>1273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1274</v>
      </c>
      <c r="C411" s="141" t="s">
        <v>1275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1276</v>
      </c>
      <c r="C412" s="141" t="s">
        <v>1277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1278</v>
      </c>
      <c r="C413" s="141" t="s">
        <v>1279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1280</v>
      </c>
      <c r="C414" s="141" t="s">
        <v>1281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1282</v>
      </c>
      <c r="C415" s="141" t="s">
        <v>1283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1284</v>
      </c>
      <c r="C416" s="141" t="s">
        <v>1285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1286</v>
      </c>
      <c r="C417" s="141" t="s">
        <v>1287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1288</v>
      </c>
      <c r="C418" s="141" t="s">
        <v>1289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1290</v>
      </c>
      <c r="C419" s="141" t="s">
        <v>1291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1292</v>
      </c>
      <c r="C420" s="141" t="s">
        <v>1293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1294</v>
      </c>
      <c r="C421" s="141" t="s">
        <v>1295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1296</v>
      </c>
      <c r="C422" s="141" t="s">
        <v>1297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1298</v>
      </c>
      <c r="C423" s="141" t="s">
        <v>1299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1300</v>
      </c>
      <c r="C424" s="141" t="s">
        <v>1301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1302</v>
      </c>
      <c r="C425" s="141" t="s">
        <v>1303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1304</v>
      </c>
      <c r="C426" s="141" t="s">
        <v>1305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1306</v>
      </c>
      <c r="C427" s="141" t="s">
        <v>1307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1308</v>
      </c>
      <c r="C428" s="141" t="s">
        <v>1309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1310</v>
      </c>
      <c r="C429" s="141" t="s">
        <v>1311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1312</v>
      </c>
      <c r="C430" s="141" t="s">
        <v>1313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1314</v>
      </c>
      <c r="C431" s="141" t="s">
        <v>1315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1316</v>
      </c>
      <c r="C432" s="141" t="s">
        <v>1317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1318</v>
      </c>
      <c r="C433" s="141" t="s">
        <v>1319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1320</v>
      </c>
      <c r="C434" s="141" t="s">
        <v>1321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1322</v>
      </c>
      <c r="C435" s="141" t="s">
        <v>1323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1324</v>
      </c>
      <c r="C436" s="141" t="s">
        <v>1325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1326</v>
      </c>
      <c r="C437" s="141" t="s">
        <v>1327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1328</v>
      </c>
      <c r="C438" s="141" t="s">
        <v>1329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1330</v>
      </c>
      <c r="C439" s="141" t="s">
        <v>1331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1332</v>
      </c>
      <c r="C440" s="141" t="s">
        <v>1333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1334</v>
      </c>
      <c r="C441" s="141" t="s">
        <v>1335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1336</v>
      </c>
      <c r="C442" s="141" t="s">
        <v>1337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1338</v>
      </c>
      <c r="C443" s="141" t="s">
        <v>1339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1340</v>
      </c>
      <c r="C444" s="141" t="s">
        <v>1341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1342</v>
      </c>
      <c r="C445" s="141" t="s">
        <v>1343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1344</v>
      </c>
      <c r="C446" s="141" t="s">
        <v>1345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1346</v>
      </c>
      <c r="C447" s="141" t="s">
        <v>1347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1348</v>
      </c>
      <c r="C448" s="141" t="s">
        <v>1349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1350</v>
      </c>
      <c r="C449" s="141" t="s">
        <v>1351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1352</v>
      </c>
      <c r="C450" s="141" t="s">
        <v>1353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1354</v>
      </c>
      <c r="C451" s="141" t="s">
        <v>1355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1356</v>
      </c>
      <c r="C452" s="141" t="s">
        <v>1357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1358</v>
      </c>
      <c r="C453" s="141" t="s">
        <v>1359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1360</v>
      </c>
      <c r="C454" s="141" t="s">
        <v>1361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1362</v>
      </c>
      <c r="C455" s="141" t="s">
        <v>1363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1364</v>
      </c>
      <c r="C456" s="141" t="s">
        <v>1365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1366</v>
      </c>
      <c r="C457" s="141" t="s">
        <v>1367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1368</v>
      </c>
      <c r="C458" s="141" t="s">
        <v>1369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1370</v>
      </c>
      <c r="C459" s="141" t="s">
        <v>1371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1372</v>
      </c>
      <c r="C460" s="141" t="s">
        <v>1373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1374</v>
      </c>
      <c r="C461" s="141" t="s">
        <v>1375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1376</v>
      </c>
      <c r="C462" s="141" t="s">
        <v>1377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1378</v>
      </c>
      <c r="C463" s="141" t="s">
        <v>1379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1380</v>
      </c>
      <c r="C464" s="141" t="s">
        <v>1381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1382</v>
      </c>
      <c r="C465" s="141" t="s">
        <v>1383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1384</v>
      </c>
      <c r="C466" s="141" t="s">
        <v>1385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1386</v>
      </c>
      <c r="C467" s="141" t="s">
        <v>1387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1388</v>
      </c>
      <c r="C468" s="141" t="s">
        <v>1389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1390</v>
      </c>
      <c r="C469" s="141" t="s">
        <v>1391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1392</v>
      </c>
      <c r="C470" s="141" t="s">
        <v>1393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1394</v>
      </c>
      <c r="C471" s="141" t="s">
        <v>1395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1396</v>
      </c>
      <c r="C472" s="141" t="s">
        <v>1397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1398</v>
      </c>
      <c r="C473" s="141" t="s">
        <v>1399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1400</v>
      </c>
      <c r="C474" s="141" t="s">
        <v>1401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1402</v>
      </c>
      <c r="C475" s="141" t="s">
        <v>1403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1404</v>
      </c>
      <c r="C476" s="141" t="s">
        <v>1405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1406</v>
      </c>
      <c r="C477" s="141" t="s">
        <v>1407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1408</v>
      </c>
      <c r="C478" s="141" t="s">
        <v>1409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1410</v>
      </c>
      <c r="C479" s="141" t="s">
        <v>1411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1412</v>
      </c>
      <c r="C480" s="141" t="s">
        <v>1413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1414</v>
      </c>
      <c r="C481" s="141" t="s">
        <v>1415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1416</v>
      </c>
      <c r="C482" s="141" t="s">
        <v>1417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1418</v>
      </c>
      <c r="C483" s="141" t="s">
        <v>1419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1420</v>
      </c>
      <c r="C484" s="141" t="s">
        <v>1421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1422</v>
      </c>
      <c r="C485" s="141" t="s">
        <v>1423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1424</v>
      </c>
      <c r="C486" s="141" t="s">
        <v>1425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1426</v>
      </c>
      <c r="C487" s="141" t="s">
        <v>1427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1428</v>
      </c>
      <c r="C488" s="141" t="s">
        <v>1429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1430</v>
      </c>
      <c r="C489" s="141" t="s">
        <v>1431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1432</v>
      </c>
      <c r="C490" s="141" t="s">
        <v>1433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1434</v>
      </c>
      <c r="C491" s="141" t="s">
        <v>1435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1436</v>
      </c>
      <c r="C492" s="141" t="s">
        <v>1437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1438</v>
      </c>
      <c r="C493" s="141" t="s">
        <v>1439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1440</v>
      </c>
      <c r="C494" s="141" t="s">
        <v>1441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1442</v>
      </c>
      <c r="C495" s="141" t="s">
        <v>1443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1444</v>
      </c>
      <c r="C496" s="141" t="s">
        <v>1445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2026-07-11T04:38:36Z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