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93C6AB2-D487-4F77-9691-54F34143CD8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O51" i="1" s="1"/>
  <c r="BN51" i="1" a="1"/>
  <c r="BN51" i="1" s="1"/>
  <c r="BK51" i="1"/>
  <c r="BM51" i="1" s="1" a="1"/>
  <c r="BM51" i="1" s="1"/>
  <c r="BJ51" i="1" a="1"/>
  <c r="BJ51" i="1"/>
  <c r="BI51" i="1" a="1"/>
  <c r="BI51" i="1" s="1"/>
  <c r="BG51" i="1" a="1"/>
  <c r="BG51" i="1"/>
  <c r="BF51" i="1" a="1"/>
  <c r="BF51" i="1"/>
  <c r="BE51" i="1" a="1"/>
  <c r="BE51" i="1" s="1"/>
  <c r="BH51" i="1" s="1"/>
  <c r="AE51" i="1"/>
  <c r="D51" i="1"/>
  <c r="C51" i="1"/>
  <c r="B51" i="1"/>
  <c r="BO50" i="1" a="1"/>
  <c r="BO50" i="1"/>
  <c r="BN50" i="1" a="1"/>
  <c r="BN50" i="1" s="1"/>
  <c r="BK50" i="1"/>
  <c r="BM50" i="1" s="1" a="1"/>
  <c r="BM50" i="1" s="1"/>
  <c r="BJ50" i="1" a="1"/>
  <c r="BJ50" i="1"/>
  <c r="BI50" i="1" a="1"/>
  <c r="BI50" i="1"/>
  <c r="BG50" i="1" a="1"/>
  <c r="BG50" i="1"/>
  <c r="BF50" i="1" a="1"/>
  <c r="BF50" i="1"/>
  <c r="BE50" i="1" a="1"/>
  <c r="BE50" i="1" s="1"/>
  <c r="BH50" i="1" s="1"/>
  <c r="S50" i="1"/>
  <c r="D50" i="1"/>
  <c r="C50" i="1"/>
  <c r="B50" i="1"/>
  <c r="BO49" i="1" a="1"/>
  <c r="BO49" i="1"/>
  <c r="BN49" i="1" a="1"/>
  <c r="BN49" i="1" s="1"/>
  <c r="BK49" i="1"/>
  <c r="BM49" i="1" s="1" a="1"/>
  <c r="BM49" i="1" s="1"/>
  <c r="BJ49" i="1" a="1"/>
  <c r="BJ49" i="1"/>
  <c r="BI49" i="1" a="1"/>
  <c r="BI49" i="1" s="1"/>
  <c r="BG49" i="1" a="1"/>
  <c r="BG49" i="1"/>
  <c r="BF49" i="1" a="1"/>
  <c r="BF49" i="1"/>
  <c r="BE49" i="1" a="1"/>
  <c r="BE49" i="1" s="1"/>
  <c r="BH49" i="1" s="1"/>
  <c r="S49" i="1"/>
  <c r="D49" i="1"/>
  <c r="C49" i="1"/>
  <c r="B49" i="1"/>
  <c r="BO48" i="1" a="1"/>
  <c r="BO48" i="1"/>
  <c r="BN48" i="1" a="1"/>
  <c r="BN48" i="1" s="1"/>
  <c r="BK48" i="1"/>
  <c r="BM48" i="1" s="1" a="1"/>
  <c r="BM48" i="1" s="1"/>
  <c r="BJ48" i="1" a="1"/>
  <c r="BJ48" i="1"/>
  <c r="BI48" i="1" a="1"/>
  <c r="BI48" i="1" s="1"/>
  <c r="BG48" i="1" a="1"/>
  <c r="BG48" i="1"/>
  <c r="BF48" i="1" a="1"/>
  <c r="BF48" i="1"/>
  <c r="BE48" i="1" a="1"/>
  <c r="BE48" i="1" s="1"/>
  <c r="BH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/>
  <c r="BI45" i="1" a="1"/>
  <c r="BI45" i="1"/>
  <c r="BG45" i="1" a="1"/>
  <c r="BG45" i="1"/>
  <c r="BH45" i="1" s="1"/>
  <c r="BF45" i="1" a="1"/>
  <c r="BF45" i="1"/>
  <c r="BK45" i="1" s="1"/>
  <c r="BE45" i="1" a="1"/>
  <c r="BE45" i="1"/>
  <c r="S45" i="1"/>
  <c r="D45" i="1"/>
  <c r="C45" i="1"/>
  <c r="B45" i="1"/>
  <c r="BJ44" i="1" a="1"/>
  <c r="BJ44" i="1"/>
  <c r="BI44" i="1" a="1"/>
  <c r="BI44" i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K43" i="1" s="1"/>
  <c r="BF43" i="1" a="1"/>
  <c r="BF43" i="1"/>
  <c r="BE43" i="1" a="1"/>
  <c r="BE43" i="1"/>
  <c r="BH43" i="1" s="1"/>
  <c r="AI43" i="1"/>
  <c r="AA43" i="1"/>
  <c r="D43" i="1"/>
  <c r="C43" i="1"/>
  <c r="B43" i="1"/>
  <c r="BK42" i="1"/>
  <c r="BJ42" i="1" a="1"/>
  <c r="BJ42" i="1" s="1"/>
  <c r="BI42" i="1" a="1"/>
  <c r="BI42" i="1"/>
  <c r="BG42" i="1" a="1"/>
  <c r="BG42" i="1"/>
  <c r="BF42" i="1" a="1"/>
  <c r="BF42" i="1"/>
  <c r="BE42" i="1" a="1"/>
  <c r="BE42" i="1" s="1"/>
  <c r="BH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38" i="1" l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M43" i="1" s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L48" i="1"/>
  <c r="BL49" i="1"/>
  <c r="BL50" i="1"/>
  <c r="BL51" i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38" i="1" l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AR88" i="1"/>
  <c r="AQ88" i="1"/>
  <c r="AO88" i="1"/>
  <c r="BU88" i="1"/>
  <c r="N52" i="1"/>
  <c r="N51" i="1"/>
  <c r="N50" i="1"/>
  <c r="N49" i="1"/>
  <c r="M52" i="1"/>
  <c r="M51" i="1"/>
  <c r="M50" i="1"/>
  <c r="M49" i="1"/>
  <c r="L52" i="1"/>
  <c r="L51" i="1"/>
  <c r="L50" i="1"/>
  <c r="L49" i="1"/>
  <c r="K52" i="1"/>
  <c r="K51" i="1"/>
  <c r="K50" i="1"/>
  <c r="K49" i="1"/>
  <c r="AS88" i="1"/>
  <c r="AP88" i="1"/>
  <c r="O52" i="1"/>
  <c r="O51" i="1"/>
  <c r="P50" i="1"/>
  <c r="Q49" i="1"/>
  <c r="O50" i="1"/>
  <c r="P49" i="1"/>
  <c r="O49" i="1"/>
  <c r="Q52" i="1"/>
  <c r="Q51" i="1"/>
  <c r="P52" i="1"/>
  <c r="P51" i="1"/>
  <c r="Q50" i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L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39" i="1" l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Q37" i="1" l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<sst xmlns="http://schemas.openxmlformats.org/spreadsheetml/2006/main" count="6931" uniqueCount="1447">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</sst>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15" activePane="bottomLeft" state="frozen"/>
      <selection pane="bottomLeft" activeCell="F37" sqref="F37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/>
      <c r="G41" s="7"/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/>
      <c r="G42" s="7"/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0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0</v>
      </c>
      <c r="BH42">
        <f>BE42-BF42-BG42</f>
        <v>0</v>
      </c>
      <c r="BI42">
        <f t="array" ref="BI42">SUMPRODUCT((E41:E46=BD42)*IFERROR(F41:F46,0))+SUMPRODUCT((H41:H46=BD42)*IFERROR(G41:G46,0))</f>
        <v>0</v>
      </c>
      <c r="BJ42">
        <f t="array" ref="BJ42">SUMPRODUCT((E41:E46=BD42)*IFERROR(G41:G46,0))+SUMPRODUCT((H41:H46=BD42)*IFERROR(F41:F46,0))</f>
        <v>0</v>
      </c>
      <c r="BK42">
        <f>BF42*3+BG42</f>
        <v>0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0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0</v>
      </c>
      <c r="M43" s="11">
        <f>INDEX(BF42:BF45,MATCH(1,BL42:BL45,0))</f>
        <v>0</v>
      </c>
      <c r="N43" s="11">
        <f>INDEX(BG42:BG45,MATCH(1,BL42:BL45,0))</f>
        <v>0</v>
      </c>
      <c r="O43" s="11">
        <f>INDEX(BH42:BH45,MATCH(1,BL42:BL45,0))</f>
        <v>0</v>
      </c>
      <c r="P43" s="11" t="str">
        <f>INDEX(BI42:BI45,MATCH(1,BL42:BL45,0))&amp;" - "&amp;INDEX(BJ42:BJ45,MATCH(1,BL42:BL45,0))</f>
        <v>0 - 0</v>
      </c>
      <c r="Q43" s="14">
        <f>INDEX(BK42:BK45,MATCH(1,BL42:BL45,0))</f>
        <v>0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0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0</v>
      </c>
      <c r="BH43">
        <f>BE43-BF43-BG43</f>
        <v>0</v>
      </c>
      <c r="BI43">
        <f t="array" ref="BI43">SUMPRODUCT((E41:E46=BD43)*IFERROR(F41:F46,0))+SUMPRODUCT((H41:H46=BD43)*IFERROR(G41:G46,0))</f>
        <v>0</v>
      </c>
      <c r="BJ43">
        <f t="array" ref="BJ43">SUMPRODUCT((E41:E46=BD43)*IFERROR(G41:G46,0))+SUMPRODUCT((H41:H46=BD43)*IFERROR(F41:F46,0))</f>
        <v>0</v>
      </c>
      <c r="BK43">
        <f>BF43*3+BG43</f>
        <v>0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0</v>
      </c>
      <c r="M44" s="11">
        <f>INDEX(BF42:BF45,MATCH(2,BL42:BL45,0))</f>
        <v>0</v>
      </c>
      <c r="N44" s="11">
        <f>INDEX(BG42:BG45,MATCH(2,BL42:BL45,0))</f>
        <v>0</v>
      </c>
      <c r="O44" s="11">
        <f>INDEX(BH42:BH45,MATCH(2,BL42:BL45,0))</f>
        <v>0</v>
      </c>
      <c r="P44" s="11" t="str">
        <f>INDEX(BI42:BI45,MATCH(2,BL42:BL45,0))&amp;" - "&amp;INDEX(BJ42:BJ45,MATCH(2,BL42:BL45,0))</f>
        <v>0 - 0</v>
      </c>
      <c r="Q44" s="14">
        <f>INDEX(BK42:BK45,MATCH(2,BL42:BL45,0))</f>
        <v>0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0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0</v>
      </c>
      <c r="BH44">
        <f>BE44-BF44-BG44</f>
        <v>0</v>
      </c>
      <c r="BI44">
        <f t="array" ref="BI44">SUMPRODUCT((E41:E46=BD44)*IFERROR(F41:F46,0))+SUMPRODUCT((H41:H46=BD44)*IFERROR(G41:G46,0))</f>
        <v>0</v>
      </c>
      <c r="BJ44">
        <f t="array" ref="BJ44">SUMPRODUCT((E41:E46=BD44)*IFERROR(G41:G46,0))+SUMPRODUCT((H41:H46=BD44)*IFERROR(F41:F46,0))</f>
        <v>0</v>
      </c>
      <c r="BK44">
        <f>BF44*3+BG44</f>
        <v>0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0</v>
      </c>
      <c r="M45" s="11">
        <f>INDEX(BF42:BF45,MATCH(3,BL42:BL45,0))</f>
        <v>0</v>
      </c>
      <c r="N45" s="11">
        <f>INDEX(BG42:BG45,MATCH(3,BL42:BL45,0))</f>
        <v>0</v>
      </c>
      <c r="O45" s="11">
        <f>INDEX(BH42:BH45,MATCH(3,BL42:BL45,0))</f>
        <v>0</v>
      </c>
      <c r="P45" s="11" t="str">
        <f>INDEX(BI42:BI45,MATCH(3,BL42:BL45,0))&amp;" - "&amp;INDEX(BJ42:BJ45,MATCH(3,BL42:BL45,0))</f>
        <v>0 - 0</v>
      </c>
      <c r="Q45" s="14">
        <f>INDEX(BK42:BK45,MATCH(3,BL42:BL45,0))</f>
        <v>0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0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0</v>
      </c>
      <c r="BH45">
        <f>BE45-BF45-BG45</f>
        <v>0</v>
      </c>
      <c r="BI45">
        <f t="array" ref="BI45">SUMPRODUCT((E41:E46=BD45)*IFERROR(F41:F46,0))+SUMPRODUCT((H41:H46=BD45)*IFERROR(G41:G46,0))</f>
        <v>0</v>
      </c>
      <c r="BJ45">
        <f t="array" ref="BJ45">SUMPRODUCT((E41:E46=BD45)*IFERROR(G41:G46,0))+SUMPRODUCT((H41:H46=BD45)*IFERROR(F41:F46,0))</f>
        <v>0</v>
      </c>
      <c r="BK45">
        <f>BF45*3+BG45</f>
        <v>0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0</v>
      </c>
      <c r="M46" s="18">
        <f>INDEX(BF42:BF45,MATCH(4,BL42:BL45,0))</f>
        <v>0</v>
      </c>
      <c r="N46" s="18">
        <f>INDEX(BG42:BG45,MATCH(4,BL42:BL45,0))</f>
        <v>0</v>
      </c>
      <c r="O46" s="18">
        <f>INDEX(BH42:BH45,MATCH(4,BL42:BL45,0))</f>
        <v>0</v>
      </c>
      <c r="P46" s="18" t="str">
        <f>INDEX(BI42:BI45,MATCH(4,BL42:BL45,0))&amp;" - "&amp;INDEX(BJ42:BJ45,MATCH(4,BL42:BL45,0))</f>
        <v>0 - 0</v>
      </c>
      <c r="Q46" s="19">
        <f>INDEX(BK42:BK45,MATCH(4,BL42:BL45,0))</f>
        <v>0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/>
      <c r="G47" s="7"/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/>
      <c r="G48" s="7"/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0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0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0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0</v>
      </c>
      <c r="M49" s="11">
        <f>INDEX(BF48:BF51,MATCH(1,BL48:BL51,0))</f>
        <v>0</v>
      </c>
      <c r="N49" s="11">
        <f>INDEX(BG48:BG51,MATCH(1,BL48:BL51,0))</f>
        <v>0</v>
      </c>
      <c r="O49" s="11">
        <f>INDEX(BH48:BH51,MATCH(1,BL48:BL51,0))</f>
        <v>0</v>
      </c>
      <c r="P49" s="11" t="str">
        <f>INDEX(BI48:BI51,MATCH(1,BL48:BL51,0))&amp;" - "&amp;INDEX(BJ48:BJ51,MATCH(1,BL48:BL51,0))</f>
        <v>0 - 0</v>
      </c>
      <c r="Q49" s="14">
        <f>INDEX(BK48:BK51,MATCH(1,BL48:BL51,0))</f>
        <v>0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0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0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0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0</v>
      </c>
      <c r="M50" s="11">
        <f>INDEX(BF48:BF51,MATCH(2,BL48:BL51,0))</f>
        <v>0</v>
      </c>
      <c r="N50" s="11">
        <f>INDEX(BG48:BG51,MATCH(2,BL48:BL51,0))</f>
        <v>0</v>
      </c>
      <c r="O50" s="11">
        <f>INDEX(BH48:BH51,MATCH(2,BL48:BL51,0))</f>
        <v>0</v>
      </c>
      <c r="P50" s="11" t="str">
        <f>INDEX(BI48:BI51,MATCH(2,BL48:BL51,0))&amp;" - "&amp;INDEX(BJ48:BJ51,MATCH(2,BL48:BL51,0))</f>
        <v>0 - 0</v>
      </c>
      <c r="Q50" s="14">
        <f>INDEX(BK48:BK51,MATCH(2,BL48:BL51,0))</f>
        <v>0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0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0</v>
      </c>
      <c r="BH50">
        <f>BE50-BF50-BG50</f>
        <v>0</v>
      </c>
      <c r="BI50">
        <f t="array" ref="BI50">SUMPRODUCT((E47:E52=BD50)*IFERROR(F47:F52,0))+SUMPRODUCT((H47:H52=BD50)*IFERROR(G47:G52,0))</f>
        <v>0</v>
      </c>
      <c r="BJ50">
        <f t="array" ref="BJ50">SUMPRODUCT((E47:E52=BD50)*IFERROR(G47:G52,0))+SUMPRODUCT((H47:H52=BD50)*IFERROR(F47:F52,0))</f>
        <v>0</v>
      </c>
      <c r="BK50">
        <f>BF50*3+BG50</f>
        <v>0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0</v>
      </c>
      <c r="M51" s="11">
        <f>INDEX(BF48:BF51,MATCH(3,BL48:BL51,0))</f>
        <v>0</v>
      </c>
      <c r="N51" s="11">
        <f>INDEX(BG48:BG51,MATCH(3,BL48:BL51,0))</f>
        <v>0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0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0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0</v>
      </c>
      <c r="BH51">
        <f>BE51-BF51-BG51</f>
        <v>0</v>
      </c>
      <c r="BI51">
        <f t="array" ref="BI51">SUMPRODUCT((E47:E52=BD51)*IFERROR(F47:F52,0))+SUMPRODUCT((H47:H52=BD51)*IFERROR(G47:G52,0))</f>
        <v>0</v>
      </c>
      <c r="BJ51">
        <f t="array" ref="BJ51">SUMPRODUCT((E47:E52=BD51)*IFERROR(G47:G52,0))+SUMPRODUCT((H47:H52=BD51)*IFERROR(F47:F52,0))</f>
        <v>0</v>
      </c>
      <c r="BK51">
        <f>BF51*3+BG51</f>
        <v>0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4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0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0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Uruguay</v>
      </c>
      <c r="L52" s="18">
        <f>INDEX(BE48:BE51,MATCH(4,BL48:BL51,0))</f>
        <v>0</v>
      </c>
      <c r="M52" s="18">
        <f>INDEX(BF48:BF51,MATCH(4,BL48:BL51,0))</f>
        <v>0</v>
      </c>
      <c r="N52" s="18">
        <f>INDEX(BG48:BG51,MATCH(4,BL48:BL51,0))</f>
        <v>0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0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BCFGHIJK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J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I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Iran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11</v>
      </c>
      <c r="AV85" t="str">
        <f>IFERROR(INDEX($AQ$81:$AQ$92,MATCH(5,$AT$81:$AT$92,0)),"")</f>
        <v>Saudi Arabia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Iraq</v>
      </c>
      <c r="AW86" t="str">
        <f>IFERROR(INDEX($AN$81:$AN$92,MATCH(6,$AT$81:$AT$92,0)),"")</f>
        <v>I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0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Austria</v>
      </c>
      <c r="AW87" t="str">
        <f>IFERROR(INDEX($AN$81:$AN$92,MATCH(7,$AT$81:$AT$92,0)),"")</f>
        <v>J</v>
      </c>
      <c r="BU87">
        <f>IFERROR(INDEX(BI42:BI45,MATCH(3,BL42:BL45,0)),0)</f>
        <v>0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Saudi Arabia</v>
      </c>
      <c r="AR88">
        <f>IFERROR(INDEX(BK48:BK51,MATCH(3,BL48:BL51,0)),0)</f>
        <v>0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Uzbekistan</v>
      </c>
      <c r="AW88" t="str">
        <f>IFERROR(INDEX($AN$81:$AN$92,MATCH(8,$AT$81:$AT$92,0)),"")</f>
        <v>K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6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7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8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29.5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29.5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Tomas Bruzga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26.5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26.5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Eugenijus Petrošius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24.5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24.5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Donatas Celesius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23.5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23.5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Arūnas Čižauskas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19.5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19.5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Algirdas Čižauskas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16.5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16.5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2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Lukas Danielevičius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16.5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16.5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Mindaugas Sipavičius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15.5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15.5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Vaidas Pažusys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15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Sigitas Petraitis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13.5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Simonas Anikinas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13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Jurga Šantaraitė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13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11</v>
      </c>
      <c r="B16" s="27" t="str">
        <f>IF(13&gt;COUNTIF(' Toto teams'!$A$4:$A$119,"&lt;&gt;"),"",INDEX(' Toto teams'!$A$4:$A$119,MATCH(LARGE(' Toto teams'!$T$4:$T$119,13),' Toto teams'!$T$4:$T$119,0)))</f>
        <v>Mario Calvi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13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Juozas Žimkus Jr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12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12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14</v>
      </c>
      <c r="B18" s="27" t="str">
        <f>IF(15&gt;COUNTIF(' Toto teams'!$A$4:$A$119,"&lt;&gt;"),"",INDEX(' Toto teams'!$A$4:$A$119,MATCH(LARGE(' Toto teams'!$T$4:$T$119,15),' Toto teams'!$T$4:$T$119,0)))</f>
        <v>Sergey Zhaltuchin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12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12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Rolandas Urbelis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11.5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11.5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Rustam Roikov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10.5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10.5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Sigitas Šarauskis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10.5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10.5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Simas Baubonis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9.5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9.5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Susie Wolke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9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9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Virginija Čižauskienė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9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9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Edgar Moroz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8.5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8.5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Kristina I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8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8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23</v>
      </c>
      <c r="B27" s="27" t="str">
        <f>IF(24&gt;COUNTIF(' Toto teams'!$A$4:$A$119,"&lt;&gt;"),"",INDEX(' Toto teams'!$A$4:$A$119,MATCH(LARGE(' Toto teams'!$T$4:$T$119,24),' Toto teams'!$T$4:$T$119,0)))</f>
        <v>Martynas Bruzga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8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8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23</v>
      </c>
      <c r="B28" s="27" t="str">
        <f>IF(25&gt;COUNTIF(' Toto teams'!$A$4:$A$119,"&lt;&gt;"),"",INDEX(' Toto teams'!$A$4:$A$119,MATCH(LARGE(' Toto teams'!$T$4:$T$119,25),' Toto teams'!$T$4:$T$119,0)))</f>
        <v>Egidijus Mačiukas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8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8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23</v>
      </c>
      <c r="B29" s="27" t="str">
        <f>IF(26&gt;COUNTIF(' Toto teams'!$A$4:$A$119,"&lt;&gt;"),"",INDEX(' Toto teams'!$A$4:$A$119,MATCH(LARGE(' Toto teams'!$T$4:$T$119,26),' Toto teams'!$T$4:$T$119,0)))</f>
        <v>Paolo Papiri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8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8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Andrea Signorini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7.5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7.5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Karolis Marcinkevičius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7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7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Zaur Yusubov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7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7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28</v>
      </c>
      <c r="B33" s="27" t="str">
        <f>IF(30&gt;COUNTIF(' Toto teams'!$A$4:$A$119,"&lt;&gt;"),"",INDEX(' Toto teams'!$A$4:$A$119,MATCH(LARGE(' Toto teams'!$T$4:$T$119,30),' Toto teams'!$T$4:$T$119,0)))</f>
        <v>Donatas Keras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7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28</v>
      </c>
      <c r="B34" s="27" t="str">
        <f>IF(31&gt;COUNTIF(' Toto teams'!$A$4:$A$119,"&lt;&gt;"),"",INDEX(' Toto teams'!$A$4:$A$119,MATCH(LARGE(' Toto teams'!$T$4:$T$119,31),' Toto teams'!$T$4:$T$119,0)))</f>
        <v>Donatas Bakėjus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7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7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28</v>
      </c>
      <c r="B35" s="27" t="str">
        <f>IF(32&gt;COUNTIF(' Toto teams'!$A$4:$A$119,"&lt;&gt;"),"",INDEX(' Toto teams'!$A$4:$A$119,MATCH(LARGE(' Toto teams'!$T$4:$T$119,32),' Toto teams'!$T$4:$T$119,0)))</f>
        <v>Aurimas Oleknavičius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7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7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28</v>
      </c>
      <c r="B36" s="27" t="str">
        <f>IF(33&gt;COUNTIF(' Toto teams'!$A$4:$A$119,"&lt;&gt;"),"",INDEX(' Toto teams'!$A$4:$A$119,MATCH(LARGE(' Toto teams'!$T$4:$T$119,33),' Toto teams'!$T$4:$T$119,0)))</f>
        <v>Davide Speranza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7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7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Dainius Visackas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6.5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6.5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Denis Kazarezov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6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6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Ivan Manev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6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6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35</v>
      </c>
      <c r="B40" s="27" t="str">
        <f>IF(37&gt;COUNTIF(' Toto teams'!$A$4:$A$119,"&lt;&gt;"),"",INDEX(' Toto teams'!$A$4:$A$119,MATCH(LARGE(' Toto teams'!$T$4:$T$119,37),' Toto teams'!$T$4:$T$119,0)))</f>
        <v>Jonas Juška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6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6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35</v>
      </c>
      <c r="B41" s="27" t="str">
        <f>IF(38&gt;COUNTIF(' Toto teams'!$A$4:$A$119,"&lt;&gt;"),"",INDEX(' Toto teams'!$A$4:$A$119,MATCH(LARGE(' Toto teams'!$T$4:$T$119,38),' Toto teams'!$T$4:$T$119,0)))</f>
        <v>Gintas Bungarda 2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6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6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Nadia Mercurio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5.5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5.5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Pijus Jalo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5.5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5.5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39</v>
      </c>
      <c r="B44" s="27" t="str">
        <f>IF(41&gt;COUNTIF(' Toto teams'!$A$4:$A$119,"&lt;&gt;"),"",INDEX(' Toto teams'!$A$4:$A$119,MATCH(LARGE(' Toto teams'!$T$4:$T$119,41),' Toto teams'!$T$4:$T$119,0)))</f>
        <v>Gintarė Paipulė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5.5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5.5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Dobilas III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42</v>
      </c>
      <c r="B46" s="27" t="str">
        <f>IF(43&gt;COUNTIF(' Toto teams'!$A$4:$A$119,"&lt;&gt;"),"",INDEX(' Toto teams'!$A$4:$A$119,MATCH(LARGE(' Toto teams'!$T$4:$T$119,43),' Toto teams'!$T$4:$T$119,0)))</f>
        <v>Alius Antulis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42</v>
      </c>
      <c r="B47" s="27" t="str">
        <f>IF(44&gt;COUNTIF(' Toto teams'!$A$4:$A$119,"&lt;&gt;"),"",INDEX(' Toto teams'!$A$4:$A$119,MATCH(LARGE(' Toto teams'!$T$4:$T$119,44),' Toto teams'!$T$4:$T$119,0)))</f>
        <v>Todor Velikov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42</v>
      </c>
      <c r="B48" s="27" t="str">
        <f>IF(45&gt;COUNTIF(' Toto teams'!$A$4:$A$119,"&lt;&gt;"),"",INDEX(' Toto teams'!$A$4:$A$119,MATCH(LARGE(' Toto teams'!$T$4:$T$119,45),' Toto teams'!$T$4:$T$119,0)))</f>
        <v>Edita Oršauskė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42</v>
      </c>
      <c r="B49" s="27" t="str">
        <f>IF(46&gt;COUNTIF(' Toto teams'!$A$4:$A$119,"&lt;&gt;"),"",INDEX(' Toto teams'!$A$4:$A$119,MATCH(LARGE(' Toto teams'!$T$4:$T$119,46),' Toto teams'!$T$4:$T$119,0)))</f>
        <v>Dainius Breivė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42</v>
      </c>
      <c r="B50" s="27" t="str">
        <f>IF(47&gt;COUNTIF(' Toto teams'!$A$4:$A$119,"&lt;&gt;"),"",INDEX(' Toto teams'!$A$4:$A$119,MATCH(LARGE(' Toto teams'!$T$4:$T$119,47),' Toto teams'!$T$4:$T$119,0)))</f>
        <v>Alberto Canova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42</v>
      </c>
      <c r="B51" s="27" t="str">
        <f>IF(48&gt;COUNTIF(' Toto teams'!$A$4:$A$119,"&lt;&gt;"),"",INDEX(' Toto teams'!$A$4:$A$119,MATCH(LARGE(' Toto teams'!$T$4:$T$119,48),' Toto teams'!$T$4:$T$119,0)))</f>
        <v>Evelina Tiščenkė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42</v>
      </c>
      <c r="B52" s="27" t="str">
        <f>IF(49&gt;COUNTIF(' Toto teams'!$A$4:$A$119,"&lt;&gt;"),"",INDEX(' Toto teams'!$A$4:$A$119,MATCH(LARGE(' Toto teams'!$T$4:$T$119,49),' Toto teams'!$T$4:$T$119,0)))</f>
        <v>Tomas Šunskis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42</v>
      </c>
      <c r="B53" s="27" t="str">
        <f>IF(50&gt;COUNTIF(' Toto teams'!$A$4:$A$119,"&lt;&gt;"),"",INDEX(' Toto teams'!$A$4:$A$119,MATCH(LARGE(' Toto teams'!$T$4:$T$119,50),' Toto teams'!$T$4:$T$119,0)))</f>
        <v>Ernesta Čebienė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42</v>
      </c>
      <c r="B54" s="27" t="str">
        <f>IF(51&gt;COUNTIF(' Toto teams'!$A$4:$A$119,"&lt;&gt;"),"",INDEX(' Toto teams'!$A$4:$A$119,MATCH(LARGE(' Toto teams'!$T$4:$T$119,51),' Toto teams'!$T$4:$T$119,0)))</f>
        <v>Joris Jalo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42</v>
      </c>
      <c r="B55" s="27" t="str">
        <f>IF(52&gt;COUNTIF(' Toto teams'!$A$4:$A$119,"&lt;&gt;"),"",INDEX(' Toto teams'!$A$4:$A$119,MATCH(LARGE(' Toto teams'!$T$4:$T$119,52),' Toto teams'!$T$4:$T$119,0)))</f>
        <v>Arnoldas Molis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Gintautas Beržanskis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4.5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4.5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Donatas Pocius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4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4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54</v>
      </c>
      <c r="B58" s="27" t="str">
        <f>IF(55&gt;COUNTIF(' Toto teams'!$A$4:$A$119,"&lt;&gt;"),"",INDEX(' Toto teams'!$A$4:$A$119,MATCH(LARGE(' Toto teams'!$T$4:$T$119,55),' Toto teams'!$T$4:$T$119,0)))</f>
        <v>Gedas Girdžiūnas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4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4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54</v>
      </c>
      <c r="B59" s="27" t="str">
        <f>IF(56&gt;COUNTIF(' Toto teams'!$A$4:$A$119,"&lt;&gt;"),"",INDEX(' Toto teams'!$A$4:$A$119,MATCH(LARGE(' Toto teams'!$T$4:$T$119,56),' Toto teams'!$T$4:$T$119,0)))</f>
        <v>Aurimas Šumbrauskis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4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4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54</v>
      </c>
      <c r="B60" s="27" t="str">
        <f>IF(57&gt;COUNTIF(' Toto teams'!$A$4:$A$119,"&lt;&gt;"),"",INDEX(' Toto teams'!$A$4:$A$119,MATCH(LARGE(' Toto teams'!$T$4:$T$119,57),' Toto teams'!$T$4:$T$119,0)))</f>
        <v>Dovilė Smetonė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4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4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54</v>
      </c>
      <c r="B61" s="27" t="str">
        <f>IF(58&gt;COUNTIF(' Toto teams'!$A$4:$A$119,"&lt;&gt;"),"",INDEX(' Toto teams'!$A$4:$A$119,MATCH(LARGE(' Toto teams'!$T$4:$T$119,58),' Toto teams'!$T$4:$T$119,0)))</f>
        <v>Gianmarco Monti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4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4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54</v>
      </c>
      <c r="B62" s="27" t="str">
        <f>IF(59&gt;COUNTIF(' Toto teams'!$A$4:$A$119,"&lt;&gt;"),"",INDEX(' Toto teams'!$A$4:$A$119,MATCH(LARGE(' Toto teams'!$T$4:$T$119,59),' Toto teams'!$T$4:$T$119,0)))</f>
        <v>Miglė Juškaitė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4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4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54</v>
      </c>
      <c r="B63" s="27" t="str">
        <f>IF(60&gt;COUNTIF(' Toto teams'!$A$4:$A$119,"&lt;&gt;"),"",INDEX(' Toto teams'!$A$4:$A$119,MATCH(LARGE(' Toto teams'!$T$4:$T$119,60),' Toto teams'!$T$4:$T$119,0)))</f>
        <v>Tihomir Chakarov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4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4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54</v>
      </c>
      <c r="B64" s="27" t="str">
        <f>IF(61&gt;COUNTIF(' Toto teams'!$A$4:$A$119,"&lt;&gt;"),"",INDEX(' Toto teams'!$A$4:$A$119,MATCH(LARGE(' Toto teams'!$T$4:$T$119,61),' Toto teams'!$T$4:$T$119,0)))</f>
        <v>Sampaio Carlos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4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4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54</v>
      </c>
      <c r="B65" s="27" t="str">
        <f>IF(62&gt;COUNTIF(' Toto teams'!$A$4:$A$119,"&lt;&gt;"),"",INDEX(' Toto teams'!$A$4:$A$119,MATCH(LARGE(' Toto teams'!$T$4:$T$119,62),' Toto teams'!$T$4:$T$119,0)))</f>
        <v>Danielius Pažusys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4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4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54</v>
      </c>
      <c r="B66" s="27" t="str">
        <f>IF(63&gt;COUNTIF(' Toto teams'!$A$4:$A$119,"&lt;&gt;"),"",INDEX(' Toto teams'!$A$4:$A$119,MATCH(LARGE(' Toto teams'!$T$4:$T$119,63),' Toto teams'!$T$4:$T$119,0)))</f>
        <v>Deividas Jančius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4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4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54</v>
      </c>
      <c r="B67" s="27" t="str">
        <f>IF(64&gt;COUNTIF(' Toto teams'!$A$4:$A$119,"&lt;&gt;"),"",INDEX(' Toto teams'!$A$4:$A$119,MATCH(LARGE(' Toto teams'!$T$4:$T$119,64),' Toto teams'!$T$4:$T$119,0)))</f>
        <v>Audi club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4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4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54</v>
      </c>
      <c r="B68" s="27" t="str">
        <f>IF(65&gt;COUNTIF(' Toto teams'!$A$4:$A$119,"&lt;&gt;"),"",INDEX(' Toto teams'!$A$4:$A$119,MATCH(LARGE(' Toto teams'!$T$4:$T$119,65),' Toto teams'!$T$4:$T$119,0)))</f>
        <v>Benediktas Babraitis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4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4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54</v>
      </c>
      <c r="B69" s="27" t="str">
        <f>IF(66&gt;COUNTIF(' Toto teams'!$A$4:$A$119,"&lt;&gt;"),"",INDEX(' Toto teams'!$A$4:$A$119,MATCH(LARGE(' Toto teams'!$T$4:$T$119,66),' Toto teams'!$T$4:$T$119,0)))</f>
        <v>Benas&amp;Šaras Oleknavičius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4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4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Egidijus Navickas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Yagub Alizada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Žygimantas Ryliškis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Sofus Wolke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69</v>
      </c>
      <c r="B74" s="27" t="str">
        <f>IF(71&gt;COUNTIF(' Toto teams'!$A$4:$A$119,"&lt;&gt;"),"",INDEX(' Toto teams'!$A$4:$A$119,MATCH(LARGE(' Toto teams'!$T$4:$T$119,71),' Toto teams'!$T$4:$T$119,0)))</f>
        <v>Kamran Mikayilov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69</v>
      </c>
      <c r="B75" s="27" t="str">
        <f>IF(72&gt;COUNTIF(' Toto teams'!$A$4:$A$119,"&lt;&gt;"),"",INDEX(' Toto teams'!$A$4:$A$119,MATCH(LARGE(' Toto teams'!$T$4:$T$119,72),' Toto teams'!$T$4:$T$119,0)))</f>
        <v>Saulius Pipiras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69</v>
      </c>
      <c r="B76" s="27" t="str">
        <f>IF(73&gt;COUNTIF(' Toto teams'!$A$4:$A$119,"&lt;&gt;"),"",INDEX(' Toto teams'!$A$4:$A$119,MATCH(LARGE(' Toto teams'!$T$4:$T$119,73),' Toto teams'!$T$4:$T$119,0)))</f>
        <v>Benas Bruzga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69</v>
      </c>
      <c r="B77" s="27" t="str">
        <f>IF(74&gt;COUNTIF(' Toto teams'!$A$4:$A$119,"&lt;&gt;"),"",INDEX(' Toto teams'!$A$4:$A$119,MATCH(LARGE(' Toto teams'!$T$4:$T$119,74),' Toto teams'!$T$4:$T$119,0)))</f>
        <v xml:space="preserve">Paulius Bernotas 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69</v>
      </c>
      <c r="B78" s="27" t="str">
        <f>IF(75&gt;COUNTIF(' Toto teams'!$A$4:$A$119,"&lt;&gt;"),"",INDEX(' Toto teams'!$A$4:$A$119,MATCH(LARGE(' Toto teams'!$T$4:$T$119,75),' Toto teams'!$T$4:$T$119,0)))</f>
        <v>Nikolay Lenkov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69</v>
      </c>
      <c r="B79" s="27" t="str">
        <f>IF(76&gt;COUNTIF(' Toto teams'!$A$4:$A$119,"&lt;&gt;"),"",INDEX(' Toto teams'!$A$4:$A$119,MATCH(LARGE(' Toto teams'!$T$4:$T$119,76),' Toto teams'!$T$4:$T$119,0)))</f>
        <v>Vytautas Podrezas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69</v>
      </c>
      <c r="B80" s="27" t="str">
        <f>IF(77&gt;COUNTIF(' Toto teams'!$A$4:$A$119,"&lt;&gt;"),"",INDEX(' Toto teams'!$A$4:$A$119,MATCH(LARGE(' Toto teams'!$T$4:$T$119,77),' Toto teams'!$T$4:$T$119,0)))</f>
        <v>Mindaugas Čižauskas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69</v>
      </c>
      <c r="B81" s="27" t="str">
        <f>IF(78&gt;COUNTIF(' Toto teams'!$A$4:$A$119,"&lt;&gt;"),"",INDEX(' Toto teams'!$A$4:$A$119,MATCH(LARGE(' Toto teams'!$T$4:$T$119,78),' Toto teams'!$T$4:$T$119,0)))</f>
        <v>N&amp;A Pociai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69</v>
      </c>
      <c r="B82" s="27" t="str">
        <f>IF(79&gt;COUNTIF(' Toto teams'!$A$4:$A$119,"&lt;&gt;"),"",INDEX(' Toto teams'!$A$4:$A$119,MATCH(LARGE(' Toto teams'!$T$4:$T$119,79),' Toto teams'!$T$4:$T$119,0)))</f>
        <v>Enrico Ancarola, Pietro Rivera, Riccardo Gatti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69</v>
      </c>
      <c r="B83" s="27" t="str">
        <f>IF(80&gt;COUNTIF(' Toto teams'!$A$4:$A$119,"&lt;&gt;"),"",INDEX(' Toto teams'!$A$4:$A$119,MATCH(LARGE(' Toto teams'!$T$4:$T$119,80),' Toto teams'!$T$4:$T$119,0)))</f>
        <v>Artem Lavrov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69</v>
      </c>
      <c r="B84" s="27" t="str">
        <f>IF(81&gt;COUNTIF(' Toto teams'!$A$4:$A$119,"&lt;&gt;"),"",INDEX(' Toto teams'!$A$4:$A$119,MATCH(LARGE(' Toto teams'!$T$4:$T$119,81),' Toto teams'!$T$4:$T$119,0)))</f>
        <v>Michele Sette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Saulius Lileikis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2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2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Simona Jociūtė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2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2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82</v>
      </c>
      <c r="B87" s="27" t="str">
        <f>IF(84&gt;COUNTIF(' Toto teams'!$A$4:$A$119,"&lt;&gt;"),"",INDEX(' Toto teams'!$A$4:$A$119,MATCH(LARGE(' Toto teams'!$T$4:$T$119,84),' Toto teams'!$T$4:$T$119,0)))</f>
        <v>Elijus Benetis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2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2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82</v>
      </c>
      <c r="B88" s="27" t="str">
        <f>IF(85&gt;COUNTIF(' Toto teams'!$A$4:$A$119,"&lt;&gt;"),"",INDEX(' Toto teams'!$A$4:$A$119,MATCH(LARGE(' Toto teams'!$T$4:$T$119,85),' Toto teams'!$T$4:$T$119,0)))</f>
        <v>Lukas Vaitukaitis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2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2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82</v>
      </c>
      <c r="B89" s="27" t="str">
        <f>IF(86&gt;COUNTIF(' Toto teams'!$A$4:$A$119,"&lt;&gt;"),"",INDEX(' Toto teams'!$A$4:$A$119,MATCH(LARGE(' Toto teams'!$T$4:$T$119,86),' Toto teams'!$T$4:$T$119,0)))</f>
        <v>Raimondas Juška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2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2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82</v>
      </c>
      <c r="B90" s="27" t="str">
        <f>IF(87&gt;COUNTIF(' Toto teams'!$A$4:$A$119,"&lt;&gt;"),"",INDEX(' Toto teams'!$A$4:$A$119,MATCH(LARGE(' Toto teams'!$T$4:$T$119,87),' Toto teams'!$T$4:$T$119,0)))</f>
        <v>Giedrius Stanulis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2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2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82</v>
      </c>
      <c r="B91" s="27" t="str">
        <f>IF(88&gt;COUNTIF(' Toto teams'!$A$4:$A$119,"&lt;&gt;"),"",INDEX(' Toto teams'!$A$4:$A$119,MATCH(LARGE(' Toto teams'!$T$4:$T$119,88),' Toto teams'!$T$4:$T$119,0)))</f>
        <v>Paulina Bungardė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2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2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Thomas Wolke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1.5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Alexey Nikitenko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1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90</v>
      </c>
      <c r="B94" s="27" t="str">
        <f>IF(91&gt;COUNTIF(' Toto teams'!$A$4:$A$119,"&lt;&gt;"),"",INDEX(' Toto teams'!$A$4:$A$119,MATCH(LARGE(' Toto teams'!$T$4:$T$119,91),' Toto teams'!$T$4:$T$119,0)))</f>
        <v>Giedrius Šadbaras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1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90</v>
      </c>
      <c r="B95" s="27" t="str">
        <f>IF(92&gt;COUNTIF(' Toto teams'!$A$4:$A$119,"&lt;&gt;"),"",INDEX(' Toto teams'!$A$4:$A$119,MATCH(LARGE(' Toto teams'!$T$4:$T$119,92),' Toto teams'!$T$4:$T$119,0)))</f>
        <v>Anton Panasenko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1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90</v>
      </c>
      <c r="B96" s="27" t="str">
        <f>IF(93&gt;COUNTIF(' Toto teams'!$A$4:$A$119,"&lt;&gt;"),"",INDEX(' Toto teams'!$A$4:$A$119,MATCH(LARGE(' Toto teams'!$T$4:$T$119,93),' Toto teams'!$T$4:$T$119,0)))</f>
        <v>Justinas Novoruckis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1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90</v>
      </c>
      <c r="B97" s="27" t="str">
        <f>IF(94&gt;COUNTIF(' Toto teams'!$A$4:$A$119,"&lt;&gt;"),"",INDEX(' Toto teams'!$A$4:$A$119,MATCH(LARGE(' Toto teams'!$T$4:$T$119,94),' Toto teams'!$T$4:$T$119,0)))</f>
        <v>Renata Čižauskienė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1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90</v>
      </c>
      <c r="B98" s="27" t="str">
        <f>IF(95&gt;COUNTIF(' Toto teams'!$A$4:$A$119,"&lt;&gt;"),"",INDEX(' Toto teams'!$A$4:$A$119,MATCH(LARGE(' Toto teams'!$T$4:$T$119,95),' Toto teams'!$T$4:$T$119,0)))</f>
        <v>Simonas Sipavičius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1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90</v>
      </c>
      <c r="B99" s="27" t="str">
        <f>IF(96&gt;COUNTIF(' Toto teams'!$A$4:$A$119,"&lt;&gt;"),"",INDEX(' Toto teams'!$A$4:$A$119,MATCH(LARGE(' Toto teams'!$T$4:$T$119,96),' Toto teams'!$T$4:$T$119,0)))</f>
        <v>Darius Jalo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1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90</v>
      </c>
      <c r="B100" s="27" t="str">
        <f>IF(97&gt;COUNTIF(' Toto teams'!$A$4:$A$119,"&lt;&gt;"),"",INDEX(' Toto teams'!$A$4:$A$119,MATCH(LARGE(' Toto teams'!$T$4:$T$119,97),' Toto teams'!$T$4:$T$119,0)))</f>
        <v>Rimas Baubonis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1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90</v>
      </c>
      <c r="B101" s="27" t="str">
        <f>IF(98&gt;COUNTIF(' Toto teams'!$A$4:$A$119,"&lt;&gt;"),"",INDEX(' Toto teams'!$A$4:$A$119,MATCH(LARGE(' Toto teams'!$T$4:$T$119,98),' Toto teams'!$T$4:$T$119,0)))</f>
        <v>Jokūbas Kušleika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1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Slava Maltsev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0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99</v>
      </c>
      <c r="B103" s="27" t="str">
        <f>IF(100&gt;COUNTIF(' Toto teams'!$A$4:$A$119,"&lt;&gt;"),"",INDEX(' Toto teams'!$A$4:$A$119,MATCH(LARGE(' Toto teams'!$T$4:$T$119,100),' Toto teams'!$T$4:$T$119,0)))</f>
        <v>Benas VII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0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0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99</v>
      </c>
      <c r="B104" s="27" t="str">
        <f>IF(101&gt;COUNTIF(' Toto teams'!$A$4:$A$119,"&lt;&gt;"),"",INDEX(' Toto teams'!$A$4:$A$119,MATCH(LARGE(' Toto teams'!$T$4:$T$119,101),' Toto teams'!$T$4:$T$119,0)))</f>
        <v>Vytautas Gliaubicas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0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0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99</v>
      </c>
      <c r="B105" s="27" t="str">
        <f>IF(102&gt;COUNTIF(' Toto teams'!$A$4:$A$119,"&lt;&gt;"),"",INDEX(' Toto teams'!$A$4:$A$119,MATCH(LARGE(' Toto teams'!$T$4:$T$119,102),' Toto teams'!$T$4:$T$119,0)))</f>
        <v>Deividas Jodenis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99</v>
      </c>
      <c r="B106" s="27" t="str">
        <f>IF(103&gt;COUNTIF(' Toto teams'!$A$4:$A$119,"&lt;&gt;"),"",INDEX(' Toto teams'!$A$4:$A$119,MATCH(LARGE(' Toto teams'!$T$4:$T$119,103),' Toto teams'!$T$4:$T$119,0)))</f>
        <v>Partrikas Oleknavičius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0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0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99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0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0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99</v>
      </c>
      <c r="B108" s="27" t="str">
        <f>IF(105&gt;COUNTIF(' Toto teams'!$A$4:$A$119,"&lt;&gt;"),"",INDEX(' Toto teams'!$A$4:$A$119,MATCH(LARGE(' Toto teams'!$T$4:$T$119,105),' Toto teams'!$T$4:$T$119,0)))</f>
        <v>Gintas Bungarda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0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0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0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2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2</v>
      </c>
      <c r="S4">
        <f t="shared" ref="S4:S35" si="1">IF(A4="","",RANK(R4,$R$4:$R$119))</f>
        <v>82</v>
      </c>
      <c r="T4">
        <f t="shared" ref="T4:T35" si="2">IF(A4="",-1,R4-ROW(R4)/1000000)</f>
        <v>1.9999960000000001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0</v>
      </c>
      <c r="N5" s="28">
        <f>IFERROR(VLOOKUP(F5,Scoring!$A$4:$N$51,14,FALSE()),"-")</f>
        <v>0</v>
      </c>
      <c r="O5" s="28">
        <f>IFERROR(VLOOKUP(G5,Scoring!$A$4:$N$51,14,FALSE()),"-")</f>
        <v>3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3</v>
      </c>
      <c r="S5">
        <f t="shared" si="1"/>
        <v>69</v>
      </c>
      <c r="T5">
        <f t="shared" si="2"/>
        <v>2.9999950000000002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0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0</v>
      </c>
      <c r="S6">
        <f t="shared" si="1"/>
        <v>99</v>
      </c>
      <c r="T6">
        <f t="shared" si="2"/>
        <v>-6.0000000000000002E-6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0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1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1.5</v>
      </c>
      <c r="S7">
        <f t="shared" si="1"/>
        <v>89</v>
      </c>
      <c r="T7">
        <f t="shared" si="2"/>
        <v>1.4999929999999999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0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2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3</v>
      </c>
      <c r="S8">
        <f t="shared" si="1"/>
        <v>69</v>
      </c>
      <c r="T8">
        <f t="shared" si="2"/>
        <v>2.9999920000000002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9</v>
      </c>
      <c r="S9">
        <f t="shared" si="1"/>
        <v>20</v>
      </c>
      <c r="T9">
        <f t="shared" si="2"/>
        <v>8.9999909999999996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0</v>
      </c>
      <c r="L10" s="28">
        <f>IFERROR(VLOOKUP(D10,Scoring!$A$4:$N$51,14,FALSE())*3,"-")</f>
        <v>0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6</v>
      </c>
      <c r="S10">
        <f t="shared" si="1"/>
        <v>35</v>
      </c>
      <c r="T10">
        <f t="shared" si="2"/>
        <v>5.9999900000000004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0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13.5</v>
      </c>
      <c r="S11">
        <f t="shared" si="1"/>
        <v>10</v>
      </c>
      <c r="T11">
        <f t="shared" si="2"/>
        <v>13.499988999999999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0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0</v>
      </c>
      <c r="S12">
        <f t="shared" si="1"/>
        <v>99</v>
      </c>
      <c r="T12">
        <f t="shared" si="2"/>
        <v>-1.2E-5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0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5</v>
      </c>
      <c r="S13">
        <f t="shared" si="1"/>
        <v>42</v>
      </c>
      <c r="T13">
        <f t="shared" si="2"/>
        <v>4.999987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0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8</v>
      </c>
      <c r="S14">
        <f t="shared" si="1"/>
        <v>23</v>
      </c>
      <c r="T14">
        <f t="shared" si="2"/>
        <v>7.9999859999999998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0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5</v>
      </c>
      <c r="S15">
        <f t="shared" si="1"/>
        <v>42</v>
      </c>
      <c r="T15">
        <f t="shared" si="2"/>
        <v>4.9999849999999997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0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5</v>
      </c>
      <c r="S16">
        <f t="shared" si="1"/>
        <v>42</v>
      </c>
      <c r="T16">
        <f t="shared" si="2"/>
        <v>4.9999840000000004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0</v>
      </c>
      <c r="M17" s="28">
        <f>IFERROR(VLOOKUP(E17,Scoring!$A$4:$N$51,14,FALSE())*2,"-")</f>
        <v>0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0</v>
      </c>
      <c r="Q17" s="29">
        <f>IFERROR(VLOOKUP(I17,Scoring!$A$4:$N$51,6,FALSE()),"-")</f>
        <v>0</v>
      </c>
      <c r="R17" s="36">
        <f t="shared" si="0"/>
        <v>7</v>
      </c>
      <c r="S17">
        <f t="shared" si="1"/>
        <v>28</v>
      </c>
      <c r="T17">
        <f t="shared" si="2"/>
        <v>6.9999830000000003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0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0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4</v>
      </c>
      <c r="S18">
        <f t="shared" si="1"/>
        <v>54</v>
      </c>
      <c r="T18">
        <f t="shared" si="2"/>
        <v>3.9999820000000001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0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0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</v>
      </c>
      <c r="S19">
        <f t="shared" si="1"/>
        <v>69</v>
      </c>
      <c r="T19">
        <f t="shared" si="2"/>
        <v>2.999981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0</v>
      </c>
      <c r="M20" s="28">
        <f>IFERROR(VLOOKUP(E20,Scoring!$A$4:$N$51,14,FALSE())*2,"-")</f>
        <v>0</v>
      </c>
      <c r="N20" s="28">
        <f>IFERROR(VLOOKUP(F20,Scoring!$A$4:$N$51,14,FALSE()),"-")</f>
        <v>0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1</v>
      </c>
      <c r="S20">
        <f t="shared" si="1"/>
        <v>90</v>
      </c>
      <c r="T20">
        <f t="shared" si="2"/>
        <v>0.99997999999999998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0</v>
      </c>
      <c r="K21" s="28">
        <f>IFERROR(VLOOKUP(C21,Scoring!$A$4:$N$51,14,FALSE())*4,"-")</f>
        <v>4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0</v>
      </c>
      <c r="P21" s="29">
        <f>IFERROR(VLOOKUP(H21,Scoring!$A$4:$N$51,14,FALSE()),"-")</f>
        <v>0</v>
      </c>
      <c r="Q21" s="29">
        <f>IFERROR(VLOOKUP(I21,Scoring!$A$4:$N$51,6,FALSE()),"-")</f>
        <v>0</v>
      </c>
      <c r="R21" s="36">
        <f t="shared" si="0"/>
        <v>5</v>
      </c>
      <c r="S21">
        <f t="shared" si="1"/>
        <v>42</v>
      </c>
      <c r="T21">
        <f t="shared" si="2"/>
        <v>4.9999789999999997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0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3</v>
      </c>
      <c r="S22">
        <f t="shared" si="1"/>
        <v>69</v>
      </c>
      <c r="T22">
        <f t="shared" si="2"/>
        <v>2.999978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0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0</v>
      </c>
      <c r="S23">
        <f t="shared" si="1"/>
        <v>99</v>
      </c>
      <c r="T23">
        <f t="shared" si="2"/>
        <v>-2.3E-5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0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3</v>
      </c>
      <c r="S24">
        <f t="shared" si="1"/>
        <v>69</v>
      </c>
      <c r="T24">
        <f t="shared" si="2"/>
        <v>2.9999760000000002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0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26.5</v>
      </c>
      <c r="S25">
        <f t="shared" si="1"/>
        <v>2</v>
      </c>
      <c r="T25">
        <f t="shared" si="2"/>
        <v>26.499974999999999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0</v>
      </c>
      <c r="K26" s="28">
        <f>IFERROR(VLOOKUP(C26,Scoring!$A$4:$N$51,14,FALSE())*4,"-")</f>
        <v>4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8</v>
      </c>
      <c r="S26">
        <f t="shared" si="1"/>
        <v>23</v>
      </c>
      <c r="T26">
        <f t="shared" si="2"/>
        <v>7.9999739999999999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0</v>
      </c>
      <c r="N27" s="28">
        <f>IFERROR(VLOOKUP(F27,Scoring!$A$4:$N$51,14,FALSE()),"-")</f>
        <v>1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4</v>
      </c>
      <c r="S27">
        <f t="shared" si="1"/>
        <v>54</v>
      </c>
      <c r="T27">
        <f t="shared" si="2"/>
        <v>3.9999729999999998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0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</v>
      </c>
      <c r="S28">
        <f t="shared" si="1"/>
        <v>69</v>
      </c>
      <c r="T28">
        <f t="shared" si="2"/>
        <v>2.9999720000000001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0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1</v>
      </c>
      <c r="R29" s="36">
        <f t="shared" si="0"/>
        <v>8</v>
      </c>
      <c r="S29">
        <f t="shared" si="1"/>
        <v>23</v>
      </c>
      <c r="T29">
        <f t="shared" si="2"/>
        <v>7.9999710000000004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0</v>
      </c>
      <c r="L30" s="28">
        <f>IFERROR(VLOOKUP(D30,Scoring!$A$4:$N$51,14,FALSE())*3,"-")</f>
        <v>9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16.5</v>
      </c>
      <c r="S30">
        <f t="shared" si="1"/>
        <v>6</v>
      </c>
      <c r="T30">
        <f t="shared" si="2"/>
        <v>16.499970000000001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9</v>
      </c>
      <c r="S31">
        <f t="shared" si="1"/>
        <v>20</v>
      </c>
      <c r="T31">
        <f t="shared" si="2"/>
        <v>8.9999690000000001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0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1</v>
      </c>
      <c r="S32">
        <f t="shared" si="1"/>
        <v>90</v>
      </c>
      <c r="T32">
        <f t="shared" si="2"/>
        <v>0.99996799999999997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0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3.5</v>
      </c>
      <c r="R33" s="36">
        <f t="shared" si="0"/>
        <v>24.5</v>
      </c>
      <c r="S33">
        <f t="shared" si="1"/>
        <v>3</v>
      </c>
      <c r="T33">
        <f t="shared" si="2"/>
        <v>24.499967000000002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0</v>
      </c>
      <c r="K34" s="28">
        <f>IFERROR(VLOOKUP(C34,Scoring!$A$4:$N$51,14,FALSE())*4,"-")</f>
        <v>4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1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5</v>
      </c>
      <c r="S34">
        <f t="shared" si="1"/>
        <v>42</v>
      </c>
      <c r="T34">
        <f t="shared" si="2"/>
        <v>4.9999659999999997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0</v>
      </c>
      <c r="K35" s="28">
        <f>IFERROR(VLOOKUP(C35,Scoring!$A$4:$N$51,14,FALSE())*4,"-")</f>
        <v>0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12</v>
      </c>
      <c r="S35">
        <f t="shared" si="1"/>
        <v>14</v>
      </c>
      <c r="T35">
        <f t="shared" si="2"/>
        <v>11.999965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12</v>
      </c>
      <c r="L36" s="28">
        <f>IFERROR(VLOOKUP(D36,Scoring!$A$4:$N$51,14,FALSE())*3,"-")</f>
        <v>0</v>
      </c>
      <c r="M36" s="28">
        <f>IFERROR(VLOOKUP(E36,Scoring!$A$4:$N$51,14,FALSE())*2,"-")</f>
        <v>0</v>
      </c>
      <c r="N36" s="28">
        <f>IFERROR(VLOOKUP(F36,Scoring!$A$4:$N$51,14,FALSE()),"-")</f>
        <v>1</v>
      </c>
      <c r="O36" s="28">
        <f>IFERROR(VLOOKUP(G36,Scoring!$A$4:$N$51,14,FALSE()),"-")</f>
        <v>0</v>
      </c>
      <c r="P36" s="29">
        <f>IFERROR(VLOOKUP(H36,Scoring!$A$4:$N$51,14,FALSE()),"-")</f>
        <v>0</v>
      </c>
      <c r="Q36" s="29">
        <f>IFERROR(VLOOKUP(I36,Scoring!$A$4:$N$51,6,FALSE()),"-")</f>
        <v>3.5</v>
      </c>
      <c r="R36" s="36">
        <f t="shared" ref="R36:R67" si="3">IF(A36="","-",SUM(J36:Q36))</f>
        <v>16.5</v>
      </c>
      <c r="S36">
        <f t="shared" ref="S36:S67" si="4">IF(A36="","",RANK(R36,$R$4:$R$119))</f>
        <v>6</v>
      </c>
      <c r="T36">
        <f t="shared" ref="T36:T67" si="5">IF(A36="",-1,R36-ROW(R36)/1000000)</f>
        <v>16.499963999999999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0</v>
      </c>
      <c r="L37" s="28">
        <f>IFERROR(VLOOKUP(D37,Scoring!$A$4:$N$51,14,FALSE())*3,"-")</f>
        <v>0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9.5</v>
      </c>
      <c r="S37">
        <f t="shared" si="4"/>
        <v>19</v>
      </c>
      <c r="T37">
        <f t="shared" si="5"/>
        <v>9.4999629999999993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0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6.5</v>
      </c>
      <c r="S38">
        <f t="shared" si="4"/>
        <v>34</v>
      </c>
      <c r="T38">
        <f t="shared" si="5"/>
        <v>6.499962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0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6</v>
      </c>
      <c r="S39">
        <f t="shared" si="4"/>
        <v>35</v>
      </c>
      <c r="T39">
        <f t="shared" si="5"/>
        <v>5.9999609999999999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0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10.5</v>
      </c>
      <c r="S40">
        <f t="shared" si="4"/>
        <v>17</v>
      </c>
      <c r="T40">
        <f t="shared" si="5"/>
        <v>10.49996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0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1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7</v>
      </c>
      <c r="S41">
        <f t="shared" si="4"/>
        <v>28</v>
      </c>
      <c r="T41">
        <f t="shared" si="5"/>
        <v>6.9999589999999996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0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</v>
      </c>
      <c r="S42">
        <f t="shared" si="4"/>
        <v>69</v>
      </c>
      <c r="T42">
        <f t="shared" si="5"/>
        <v>2.9999579999999999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0</v>
      </c>
      <c r="M43" s="28">
        <f>IFERROR(VLOOKUP(E43,Scoring!$A$4:$N$51,14,FALSE())*2,"-")</f>
        <v>0</v>
      </c>
      <c r="N43" s="28">
        <f>IFERROR(VLOOKUP(F43,Scoring!$A$4:$N$51,14,FALSE()),"-")</f>
        <v>1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2</v>
      </c>
      <c r="S43">
        <f t="shared" si="4"/>
        <v>82</v>
      </c>
      <c r="T43">
        <f t="shared" si="5"/>
        <v>1.999957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0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1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2</v>
      </c>
      <c r="S44">
        <f t="shared" si="4"/>
        <v>82</v>
      </c>
      <c r="T44">
        <f t="shared" si="5"/>
        <v>1.9999560000000001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0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</v>
      </c>
      <c r="S45">
        <f t="shared" si="4"/>
        <v>90</v>
      </c>
      <c r="T45">
        <f t="shared" si="5"/>
        <v>0.99995500000000004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0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1</v>
      </c>
      <c r="S46">
        <f t="shared" si="4"/>
        <v>90</v>
      </c>
      <c r="T46">
        <f t="shared" si="5"/>
        <v>0.99995400000000001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3</v>
      </c>
      <c r="M47" s="28">
        <f>IFERROR(VLOOKUP(E47,Scoring!$A$4:$N$51,14,FALSE())*2,"-")</f>
        <v>0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3.5</v>
      </c>
      <c r="S47">
        <f t="shared" si="4"/>
        <v>67</v>
      </c>
      <c r="T47">
        <f t="shared" si="5"/>
        <v>3.4999530000000001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0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0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0</v>
      </c>
      <c r="S48">
        <f t="shared" si="4"/>
        <v>99</v>
      </c>
      <c r="T48">
        <f t="shared" si="5"/>
        <v>-4.8000000000000001E-5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0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29.5</v>
      </c>
      <c r="S49">
        <f t="shared" si="4"/>
        <v>1</v>
      </c>
      <c r="T49">
        <f t="shared" si="5"/>
        <v>29.499950999999999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0</v>
      </c>
      <c r="L50" s="28">
        <f>IFERROR(VLOOKUP(D50,Scoring!$A$4:$N$51,14,FALSE())*3,"-")</f>
        <v>3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3.5</v>
      </c>
      <c r="S50">
        <f t="shared" si="4"/>
        <v>67</v>
      </c>
      <c r="T50">
        <f t="shared" si="5"/>
        <v>3.4999500000000001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0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8.5</v>
      </c>
      <c r="S51">
        <f t="shared" si="4"/>
        <v>22</v>
      </c>
      <c r="T51">
        <f t="shared" si="5"/>
        <v>8.4999490000000009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0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5</v>
      </c>
      <c r="S52">
        <f t="shared" si="4"/>
        <v>42</v>
      </c>
      <c r="T52">
        <f t="shared" si="5"/>
        <v>4.9999479999999998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0</v>
      </c>
      <c r="N53" s="28">
        <f>IFERROR(VLOOKUP(F53,Scoring!$A$4:$N$51,14,FALSE()),"-")</f>
        <v>0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7.5</v>
      </c>
      <c r="S53">
        <f t="shared" si="4"/>
        <v>27</v>
      </c>
      <c r="T53">
        <f t="shared" si="5"/>
        <v>7.4999469999999997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0</v>
      </c>
      <c r="L54" s="28">
        <f>IFERROR(VLOOKUP(D54,Scoring!$A$4:$N$51,14,FALSE())*3,"-")</f>
        <v>3</v>
      </c>
      <c r="M54" s="28">
        <f>IFERROR(VLOOKUP(E54,Scoring!$A$4:$N$51,14,FALSE())*2,"-")</f>
        <v>0</v>
      </c>
      <c r="N54" s="28">
        <f>IFERROR(VLOOKUP(F54,Scoring!$A$4:$N$51,14,FALSE()),"-")</f>
        <v>0</v>
      </c>
      <c r="O54" s="28">
        <f>IFERROR(VLOOKUP(G54,Scoring!$A$4:$N$51,14,FALSE()),"-")</f>
        <v>0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3</v>
      </c>
      <c r="S54">
        <f t="shared" si="4"/>
        <v>69</v>
      </c>
      <c r="T54">
        <f t="shared" si="5"/>
        <v>2.999946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0</v>
      </c>
      <c r="L55" s="28">
        <f>IFERROR(VLOOKUP(D55,Scoring!$A$4:$N$51,14,FALSE())*3,"-")</f>
        <v>0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12</v>
      </c>
      <c r="S55">
        <f t="shared" si="4"/>
        <v>14</v>
      </c>
      <c r="T55">
        <f t="shared" si="5"/>
        <v>11.999945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0</v>
      </c>
      <c r="K56" s="28">
        <f>IFERROR(VLOOKUP(C56,Scoring!$A$4:$N$51,14,FALSE())*4,"-")</f>
        <v>0</v>
      </c>
      <c r="L56" s="28">
        <f>IFERROR(VLOOKUP(D56,Scoring!$A$4:$N$51,14,FALSE())*3,"-")</f>
        <v>3</v>
      </c>
      <c r="M56" s="28">
        <f>IFERROR(VLOOKUP(E56,Scoring!$A$4:$N$51,14,FALSE())*2,"-")</f>
        <v>0</v>
      </c>
      <c r="N56" s="28">
        <f>IFERROR(VLOOKUP(F56,Scoring!$A$4:$N$51,14,FALSE()),"-")</f>
        <v>0</v>
      </c>
      <c r="O56" s="28">
        <f>IFERROR(VLOOKUP(G56,Scoring!$A$4:$N$51,14,FALSE()),"-")</f>
        <v>0</v>
      </c>
      <c r="P56" s="29">
        <f>IFERROR(VLOOKUP(H56,Scoring!$A$4:$N$51,14,FALSE()),"-")</f>
        <v>0</v>
      </c>
      <c r="Q56" s="29">
        <f>IFERROR(VLOOKUP(I56,Scoring!$A$4:$N$51,6,FALSE()),"-")</f>
        <v>0</v>
      </c>
      <c r="R56" s="36">
        <f t="shared" si="3"/>
        <v>3</v>
      </c>
      <c r="S56">
        <f t="shared" si="4"/>
        <v>69</v>
      </c>
      <c r="T56">
        <f t="shared" si="5"/>
        <v>2.9999440000000002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0</v>
      </c>
      <c r="M57" s="28">
        <f>IFERROR(VLOOKUP(E57,Scoring!$A$4:$N$51,14,FALSE())*2,"-")</f>
        <v>0</v>
      </c>
      <c r="N57" s="28">
        <f>IFERROR(VLOOKUP(F57,Scoring!$A$4:$N$51,14,FALSE()),"-")</f>
        <v>1</v>
      </c>
      <c r="O57" s="28">
        <f>IFERROR(VLOOKUP(G57,Scoring!$A$4:$N$51,14,FALSE()),"-")</f>
        <v>0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1</v>
      </c>
      <c r="S57">
        <f t="shared" si="4"/>
        <v>90</v>
      </c>
      <c r="T57">
        <f t="shared" si="5"/>
        <v>0.99994300000000003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0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4</v>
      </c>
      <c r="S58">
        <f t="shared" si="4"/>
        <v>54</v>
      </c>
      <c r="T58">
        <f t="shared" si="5"/>
        <v>3.9999419999999999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0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0</v>
      </c>
      <c r="Q59" s="29">
        <f>IFERROR(VLOOKUP(I59,Scoring!$A$4:$N$51,6,FALSE()),"-")</f>
        <v>0</v>
      </c>
      <c r="R59" s="36">
        <f t="shared" si="3"/>
        <v>4</v>
      </c>
      <c r="S59">
        <f t="shared" si="4"/>
        <v>54</v>
      </c>
      <c r="T59">
        <f t="shared" si="5"/>
        <v>3.9999410000000002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0</v>
      </c>
      <c r="L60" s="28">
        <f>IFERROR(VLOOKUP(D60,Scoring!$A$4:$N$51,14,FALSE())*3,"-")</f>
        <v>9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19.5</v>
      </c>
      <c r="S60">
        <f t="shared" si="4"/>
        <v>5</v>
      </c>
      <c r="T60">
        <f t="shared" si="5"/>
        <v>19.499939999999999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0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3</v>
      </c>
      <c r="S61">
        <f t="shared" si="4"/>
        <v>69</v>
      </c>
      <c r="T61">
        <f t="shared" si="5"/>
        <v>2.9999389999999999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0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23.5</v>
      </c>
      <c r="S62">
        <f t="shared" si="4"/>
        <v>4</v>
      </c>
      <c r="T62">
        <f t="shared" si="5"/>
        <v>23.499938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4</v>
      </c>
      <c r="L63" s="28">
        <f>IFERROR(VLOOKUP(D63,Scoring!$A$4:$N$51,14,FALSE())*3,"-")</f>
        <v>0</v>
      </c>
      <c r="M63" s="28">
        <f>IFERROR(VLOOKUP(E63,Scoring!$A$4:$N$51,14,FALSE())*2,"-")</f>
        <v>0</v>
      </c>
      <c r="N63" s="28">
        <f>IFERROR(VLOOKUP(F63,Scoring!$A$4:$N$51,14,FALSE()),"-")</f>
        <v>0</v>
      </c>
      <c r="O63" s="28">
        <f>IFERROR(VLOOKUP(G63,Scoring!$A$4:$N$51,14,FALSE()),"-")</f>
        <v>0</v>
      </c>
      <c r="P63" s="29">
        <f>IFERROR(VLOOKUP(H63,Scoring!$A$4:$N$51,14,FALSE()),"-")</f>
        <v>1</v>
      </c>
      <c r="Q63" s="29">
        <f>IFERROR(VLOOKUP(I63,Scoring!$A$4:$N$51,6,FALSE()),"-")</f>
        <v>0</v>
      </c>
      <c r="R63" s="36">
        <f t="shared" si="3"/>
        <v>5</v>
      </c>
      <c r="S63">
        <f t="shared" si="4"/>
        <v>42</v>
      </c>
      <c r="T63">
        <f t="shared" si="5"/>
        <v>4.9999370000000001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0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1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4</v>
      </c>
      <c r="S64">
        <f t="shared" si="4"/>
        <v>54</v>
      </c>
      <c r="T64">
        <f t="shared" si="5"/>
        <v>3.9999359999999999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0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2</v>
      </c>
      <c r="S65">
        <f t="shared" si="4"/>
        <v>82</v>
      </c>
      <c r="T65">
        <f t="shared" si="5"/>
        <v>1.999935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0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0</v>
      </c>
      <c r="Q66" s="29">
        <f>IFERROR(VLOOKUP(I66,Scoring!$A$4:$N$51,6,FALSE()),"-")</f>
        <v>0.5</v>
      </c>
      <c r="R66" s="36">
        <f t="shared" si="3"/>
        <v>15.5</v>
      </c>
      <c r="S66">
        <f t="shared" si="4"/>
        <v>8</v>
      </c>
      <c r="T66">
        <f t="shared" si="5"/>
        <v>15.499934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0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1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1</v>
      </c>
      <c r="S67">
        <f t="shared" si="4"/>
        <v>90</v>
      </c>
      <c r="T67">
        <f t="shared" si="5"/>
        <v>0.99993299999999996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0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11.5</v>
      </c>
      <c r="S68">
        <f t="shared" ref="S68:S99" si="7">IF(A68="","",RANK(R68,$R$4:$R$119))</f>
        <v>16</v>
      </c>
      <c r="T68">
        <f t="shared" ref="T68:T99" si="8">IF(A68="",-1,R68-ROW(R68)/1000000)</f>
        <v>11.499931999999999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0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0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</v>
      </c>
      <c r="S69">
        <f t="shared" si="7"/>
        <v>69</v>
      </c>
      <c r="T69">
        <f t="shared" si="8"/>
        <v>2.9999310000000001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3</v>
      </c>
      <c r="M70" s="28">
        <f>IFERROR(VLOOKUP(E70,Scoring!$A$4:$N$51,14,FALSE())*2,"-")</f>
        <v>0</v>
      </c>
      <c r="N70" s="28">
        <f>IFERROR(VLOOKUP(F70,Scoring!$A$4:$N$51,14,FALSE()),"-")</f>
        <v>0</v>
      </c>
      <c r="O70" s="28">
        <f>IFERROR(VLOOKUP(G70,Scoring!$A$4:$N$51,14,FALSE()),"-")</f>
        <v>0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3</v>
      </c>
      <c r="S70">
        <f t="shared" si="7"/>
        <v>69</v>
      </c>
      <c r="T70">
        <f t="shared" si="8"/>
        <v>2.99993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0</v>
      </c>
      <c r="K71" s="28">
        <f>IFERROR(VLOOKUP(C71,Scoring!$A$4:$N$51,14,FALSE())*4,"-")</f>
        <v>4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7</v>
      </c>
      <c r="S71">
        <f t="shared" si="7"/>
        <v>28</v>
      </c>
      <c r="T71">
        <f t="shared" si="8"/>
        <v>6.9999289999999998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0</v>
      </c>
      <c r="K72" s="28">
        <f>IFERROR(VLOOKUP(C72,Scoring!$A$4:$N$51,14,FALSE())*4,"-")</f>
        <v>0</v>
      </c>
      <c r="L72" s="28">
        <f>IFERROR(VLOOKUP(D72,Scoring!$A$4:$N$51,14,FALSE())*3,"-")</f>
        <v>3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7</v>
      </c>
      <c r="S72">
        <f t="shared" si="7"/>
        <v>28</v>
      </c>
      <c r="T72">
        <f t="shared" si="8"/>
        <v>6.9999279999999997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0</v>
      </c>
      <c r="L73" s="28">
        <f>IFERROR(VLOOKUP(D73,Scoring!$A$4:$N$51,14,FALSE())*3,"-")</f>
        <v>0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13</v>
      </c>
      <c r="S73">
        <f t="shared" si="7"/>
        <v>11</v>
      </c>
      <c r="T73">
        <f t="shared" si="8"/>
        <v>12.999927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0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2</v>
      </c>
      <c r="S74">
        <f t="shared" si="7"/>
        <v>82</v>
      </c>
      <c r="T74">
        <f t="shared" si="8"/>
        <v>1.9999260000000001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0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6</v>
      </c>
      <c r="S75">
        <f t="shared" si="7"/>
        <v>35</v>
      </c>
      <c r="T75">
        <f t="shared" si="8"/>
        <v>5.9999250000000002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54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0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4</v>
      </c>
      <c r="S77">
        <f t="shared" si="7"/>
        <v>54</v>
      </c>
      <c r="T77">
        <f t="shared" si="8"/>
        <v>3.9999229999999999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0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1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2</v>
      </c>
      <c r="S78">
        <f t="shared" si="7"/>
        <v>82</v>
      </c>
      <c r="T78">
        <f t="shared" si="8"/>
        <v>1.999922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0</v>
      </c>
      <c r="L79" s="28">
        <f>IFERROR(VLOOKUP(D79,Scoring!$A$4:$N$51,14,FALSE())*3,"-")</f>
        <v>3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4</v>
      </c>
      <c r="S79">
        <f t="shared" si="7"/>
        <v>54</v>
      </c>
      <c r="T79">
        <f t="shared" si="8"/>
        <v>3.9999210000000001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0</v>
      </c>
      <c r="K80" s="28">
        <f>IFERROR(VLOOKUP(C80,Scoring!$A$4:$N$51,14,FALSE())*4,"-")</f>
        <v>4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7</v>
      </c>
      <c r="S80">
        <f t="shared" si="7"/>
        <v>28</v>
      </c>
      <c r="T80">
        <f t="shared" si="8"/>
        <v>6.9999200000000004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0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0</v>
      </c>
      <c r="S81">
        <f t="shared" si="7"/>
        <v>99</v>
      </c>
      <c r="T81">
        <f t="shared" si="8"/>
        <v>-8.1000000000000004E-5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0</v>
      </c>
      <c r="K82" s="28">
        <f>IFERROR(VLOOKUP(C82,Scoring!$A$4:$N$51,14,FALSE())*4,"-")</f>
        <v>12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0</v>
      </c>
      <c r="Q82" s="29">
        <f>IFERROR(VLOOKUP(I82,Scoring!$A$4:$N$51,6,FALSE()),"-")</f>
        <v>0</v>
      </c>
      <c r="R82" s="36">
        <f t="shared" si="6"/>
        <v>13</v>
      </c>
      <c r="S82">
        <f t="shared" si="7"/>
        <v>11</v>
      </c>
      <c r="T82">
        <f t="shared" si="8"/>
        <v>12.999917999999999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0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0</v>
      </c>
      <c r="S83">
        <f t="shared" si="7"/>
        <v>99</v>
      </c>
      <c r="T83">
        <f t="shared" si="8"/>
        <v>-8.2999999999999998E-5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0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</v>
      </c>
      <c r="S84">
        <f t="shared" si="7"/>
        <v>54</v>
      </c>
      <c r="T84">
        <f t="shared" si="8"/>
        <v>3.9999159999999998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0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3</v>
      </c>
      <c r="S85">
        <f t="shared" si="7"/>
        <v>69</v>
      </c>
      <c r="T85">
        <f t="shared" si="8"/>
        <v>2.9999150000000001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0</v>
      </c>
      <c r="K86" s="28">
        <f>IFERROR(VLOOKUP(C86,Scoring!$A$4:$N$51,14,FALSE())*4,"-")</f>
        <v>0</v>
      </c>
      <c r="L86" s="28">
        <f>IFERROR(VLOOKUP(D86,Scoring!$A$4:$N$51,14,FALSE())*3,"-")</f>
        <v>9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13</v>
      </c>
      <c r="S86">
        <f t="shared" si="7"/>
        <v>11</v>
      </c>
      <c r="T86">
        <f t="shared" si="8"/>
        <v>12.999914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0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0</v>
      </c>
      <c r="R87" s="36">
        <f t="shared" si="6"/>
        <v>7</v>
      </c>
      <c r="S87">
        <f t="shared" si="7"/>
        <v>28</v>
      </c>
      <c r="T87">
        <f t="shared" si="8"/>
        <v>6.9999130000000003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4</v>
      </c>
      <c r="L88" s="28">
        <f>IFERROR(VLOOKUP(D88,Scoring!$A$4:$N$51,14,FALSE())*3,"-")</f>
        <v>0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5.5</v>
      </c>
      <c r="S88">
        <f t="shared" si="7"/>
        <v>39</v>
      </c>
      <c r="T88">
        <f t="shared" si="8"/>
        <v>5.4999120000000001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4</v>
      </c>
      <c r="L89" s="28">
        <f>IFERROR(VLOOKUP(D89,Scoring!$A$4:$N$51,14,FALSE())*3,"-")</f>
        <v>0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8</v>
      </c>
      <c r="S89">
        <f t="shared" si="7"/>
        <v>23</v>
      </c>
      <c r="T89">
        <f t="shared" si="8"/>
        <v>7.999911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0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0</v>
      </c>
      <c r="O90" s="28">
        <f>IFERROR(VLOOKUP(G90,Scoring!$A$4:$N$51,14,FALSE()),"-")</f>
        <v>0</v>
      </c>
      <c r="P90" s="29">
        <f>IFERROR(VLOOKUP(H90,Scoring!$A$4:$N$51,14,FALSE()),"-")</f>
        <v>0</v>
      </c>
      <c r="Q90" s="29">
        <f>IFERROR(VLOOKUP(I90,Scoring!$A$4:$N$51,6,FALSE()),"-")</f>
        <v>0</v>
      </c>
      <c r="R90" s="36">
        <f t="shared" si="6"/>
        <v>0</v>
      </c>
      <c r="S90">
        <f t="shared" si="7"/>
        <v>99</v>
      </c>
      <c r="T90">
        <f t="shared" si="8"/>
        <v>-9.0000000000000006E-5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0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2</v>
      </c>
      <c r="S91">
        <f t="shared" si="7"/>
        <v>82</v>
      </c>
      <c r="T91">
        <f t="shared" si="8"/>
        <v>1.9999089999999999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0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6</v>
      </c>
      <c r="S92">
        <f t="shared" si="7"/>
        <v>35</v>
      </c>
      <c r="T92">
        <f t="shared" si="8"/>
        <v>5.9999079999999996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0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0</v>
      </c>
      <c r="Q93" s="29">
        <f>IFERROR(VLOOKUP(I93,Scoring!$A$4:$N$51,6,FALSE()),"-")</f>
        <v>0</v>
      </c>
      <c r="R93" s="36">
        <f t="shared" si="6"/>
        <v>5</v>
      </c>
      <c r="S93">
        <f t="shared" si="7"/>
        <v>42</v>
      </c>
      <c r="T93">
        <f t="shared" si="8"/>
        <v>4.9999070000000003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0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4.5</v>
      </c>
      <c r="S94">
        <f t="shared" si="7"/>
        <v>53</v>
      </c>
      <c r="T94">
        <f t="shared" si="8"/>
        <v>4.4999060000000002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12</v>
      </c>
      <c r="L95" s="28">
        <f>IFERROR(VLOOKUP(D95,Scoring!$A$4:$N$51,14,FALSE())*3,"-")</f>
        <v>0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15</v>
      </c>
      <c r="S95">
        <f t="shared" si="7"/>
        <v>9</v>
      </c>
      <c r="T95">
        <f t="shared" si="8"/>
        <v>14.999905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0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4</v>
      </c>
      <c r="S96">
        <f t="shared" si="7"/>
        <v>54</v>
      </c>
      <c r="T96">
        <f t="shared" si="8"/>
        <v>3.9999039999999999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4</v>
      </c>
      <c r="L97" s="28">
        <f>IFERROR(VLOOKUP(D97,Scoring!$A$4:$N$51,14,FALSE())*3,"-")</f>
        <v>0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0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5</v>
      </c>
      <c r="S97">
        <f t="shared" si="7"/>
        <v>42</v>
      </c>
      <c r="T97">
        <f t="shared" si="8"/>
        <v>4.9999029999999998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0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1</v>
      </c>
      <c r="S98">
        <f t="shared" si="7"/>
        <v>90</v>
      </c>
      <c r="T98">
        <f t="shared" si="8"/>
        <v>0.99990199999999996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4</v>
      </c>
      <c r="L99" s="28">
        <f>IFERROR(VLOOKUP(D99,Scoring!$A$4:$N$51,14,FALSE())*3,"-")</f>
        <v>0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0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5.5</v>
      </c>
      <c r="S99">
        <f t="shared" si="7"/>
        <v>39</v>
      </c>
      <c r="T99">
        <f t="shared" si="8"/>
        <v>5.4999010000000004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0</v>
      </c>
      <c r="K100" s="28">
        <f>IFERROR(VLOOKUP(C100,Scoring!$A$4:$N$51,14,FALSE())*4,"-")</f>
        <v>4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1</v>
      </c>
      <c r="O100" s="28">
        <f>IFERROR(VLOOKUP(G100,Scoring!$A$4:$N$51,14,FALSE()),"-")</f>
        <v>0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5</v>
      </c>
      <c r="S100">
        <f t="shared" ref="S100:S119" si="10">IF(A100="","",RANK(R100,$R$4:$R$119))</f>
        <v>42</v>
      </c>
      <c r="T100">
        <f t="shared" ref="T100:T119" si="11">IF(A100="",-1,R100-ROW(R100)/1000000)</f>
        <v>4.9999000000000002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0</v>
      </c>
      <c r="L101" s="28">
        <f>IFERROR(VLOOKUP(D101,Scoring!$A$4:$N$51,14,FALSE())*3,"-")</f>
        <v>3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0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4</v>
      </c>
      <c r="S101">
        <f t="shared" si="10"/>
        <v>54</v>
      </c>
      <c r="T101">
        <f t="shared" si="11"/>
        <v>3.9998990000000001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0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</v>
      </c>
      <c r="S102">
        <f t="shared" si="10"/>
        <v>54</v>
      </c>
      <c r="T102">
        <f t="shared" si="11"/>
        <v>3.999898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0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1</v>
      </c>
      <c r="O103" s="28">
        <f>IFERROR(VLOOKUP(G103,Scoring!$A$4:$N$51,14,FALSE()),"-")</f>
        <v>0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1</v>
      </c>
      <c r="S103">
        <f t="shared" si="10"/>
        <v>90</v>
      </c>
      <c r="T103">
        <f t="shared" si="11"/>
        <v>0.99989700000000004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0</v>
      </c>
      <c r="K104" s="28">
        <f>IFERROR(VLOOKUP(C104,Scoring!$A$4:$N$51,14,FALSE())*4,"-")</f>
        <v>0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0</v>
      </c>
      <c r="O104" s="28">
        <f>IFERROR(VLOOKUP(G104,Scoring!$A$4:$N$51,14,FALSE()),"-")</f>
        <v>0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10.5</v>
      </c>
      <c r="S104">
        <f t="shared" si="10"/>
        <v>17</v>
      </c>
      <c r="T104">
        <f t="shared" si="11"/>
        <v>10.499896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0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0</v>
      </c>
      <c r="O105" s="28">
        <f>IFERROR(VLOOKUP(G105,Scoring!$A$4:$N$51,14,FALSE()),"-")</f>
        <v>0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1</v>
      </c>
      <c r="S105">
        <f t="shared" si="10"/>
        <v>90</v>
      </c>
      <c r="T105">
        <f t="shared" si="11"/>
        <v>0.99989499999999998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0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4</v>
      </c>
      <c r="S106">
        <f t="shared" si="10"/>
        <v>54</v>
      </c>
      <c r="T106">
        <f t="shared" si="11"/>
        <v>3.9998939999999998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5.5</v>
      </c>
      <c r="S107">
        <f t="shared" si="10"/>
        <v>39</v>
      </c>
      <c r="T107">
        <f t="shared" si="11"/>
        <v>5.4998930000000001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0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5</v>
      </c>
      <c r="S108">
        <f t="shared" si="10"/>
        <v>42</v>
      </c>
      <c r="T108">
        <f t="shared" si="11"/>
        <v>4.999892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0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0</v>
      </c>
      <c r="N28" s="110">
        <f t="shared" si="1"/>
        <v>0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0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0</v>
      </c>
      <c r="N29" s="110">
        <f t="shared" si="1"/>
        <v>0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0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0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0</v>
      </c>
      <c r="N30" s="110">
        <f t="shared" si="1"/>
        <v>0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0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0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0</v>
      </c>
      <c r="N31" s="110">
        <f t="shared" si="1"/>
        <v>0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0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0</v>
      </c>
      <c r="N32" s="110">
        <f t="shared" si="1"/>
        <v>0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0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0</v>
      </c>
      <c r="N33" s="110">
        <f t="shared" si="1"/>
        <v>0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0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0</v>
      </c>
      <c r="N34" s="110">
        <f t="shared" si="1"/>
        <v>0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0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0</v>
      </c>
      <c r="N35" s="110">
        <f t="shared" si="1"/>
        <v>0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2026-06-15T04:00:19Z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