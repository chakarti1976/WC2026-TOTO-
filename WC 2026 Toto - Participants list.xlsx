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BGCHATIH\Downloads\"/>
    </mc:Choice>
  </mc:AlternateContent>
  <xr:revisionPtr revIDLastSave="0" documentId="13_ncr:1_{77EA3199-D4EB-40A9-BC30-512253228995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FIFA WC 2026" sheetId="1" r:id="rId1"/>
    <sheet name="Results" sheetId="2" r:id="rId2"/>
    <sheet name=" Toto teams" sheetId="3" r:id="rId3"/>
    <sheet name="Rules EN" sheetId="4" r:id="rId4"/>
    <sheet name="Taisyklės LT" sheetId="5" r:id="rId5"/>
    <sheet name="Scoring" sheetId="6" state="hidden" r:id="rId6"/>
    <sheet name="Settings" sheetId="7" r:id="rId7"/>
    <sheet name="Helpers" sheetId="8" state="hidden" r:id="rId8"/>
    <sheet name="Annex C (generated)" sheetId="9" state="hidden" r:id="rId9"/>
  </sheets>
  <definedNames>
    <definedName name="AllTeams">Settings!$B$9:$B$56</definedName>
    <definedName name="champ" localSheetId="8">#REF!</definedName>
    <definedName name="champ">#REF!</definedName>
    <definedName name="Champion" localSheetId="8">#REF!</definedName>
    <definedName name="Champion">#REF!</definedName>
    <definedName name="db_fifarank">Settings!$B$9:$C$56</definedName>
    <definedName name="ExtraTeams" localSheetId="8">#REF!</definedName>
    <definedName name="ExtraTeams">#REF!</definedName>
    <definedName name="FifaRank13_24">Settings!$G$9:$G$20</definedName>
    <definedName name="FifaRank25_36">Settings!$H$9:$H$18</definedName>
    <definedName name="FifaRank37Plus">Settings!$I$9:$I$32</definedName>
    <definedName name="Final" localSheetId="8">#REF!</definedName>
    <definedName name="Final">#REF!</definedName>
    <definedName name="finalas\" localSheetId="8">#REF!</definedName>
    <definedName name="finalas\">#REF!</definedName>
    <definedName name="gmt_delta">Settings!#REF!</definedName>
    <definedName name="GmtOffset">Settings!$C$4</definedName>
    <definedName name="Goals_Final" localSheetId="8">#REF!</definedName>
    <definedName name="Goals_Final">#REF!</definedName>
    <definedName name="Goals_Final_OT" localSheetId="8">#REF!</definedName>
    <definedName name="Goals_Final_OT">#REF!</definedName>
    <definedName name="Goals_Quart" localSheetId="8">#REF!</definedName>
    <definedName name="Goals_Quart">#REF!</definedName>
    <definedName name="Goals_Quart_OT" localSheetId="8">#REF!</definedName>
    <definedName name="Goals_Quart_OT">#REF!</definedName>
    <definedName name="Goals_Ro16" localSheetId="8">#REF!</definedName>
    <definedName name="Goals_Ro16">#REF!</definedName>
    <definedName name="Goals_Ro16_OT" localSheetId="8">#REF!</definedName>
    <definedName name="Goals_Ro16_OT">#REF!</definedName>
    <definedName name="Goals_Semi" localSheetId="8">#REF!</definedName>
    <definedName name="Goals_Semi">#REF!</definedName>
    <definedName name="GoalsSemi_OT" localSheetId="8">#REF!</definedName>
    <definedName name="GoalsSemi_OT">#REF!</definedName>
    <definedName name="HomeGoals" localSheetId="8">#REF!</definedName>
    <definedName name="HomeGoals">#REF!</definedName>
    <definedName name="ID_Home" localSheetId="8">#REF!</definedName>
    <definedName name="ID_Home">#REF!</definedName>
    <definedName name="ID_Visitor" localSheetId="8">#REF!</definedName>
    <definedName name="ID_Visitor">#REF!</definedName>
    <definedName name="itype">Settings!#REF!</definedName>
    <definedName name="lang">Settings!#REF!</definedName>
    <definedName name="lang_list" localSheetId="8">#REF!</definedName>
    <definedName name="lang_list">#REF!</definedName>
    <definedName name="lookup_3rd" localSheetId="8">#REF!</definedName>
    <definedName name="lookup_3rd">#REF!</definedName>
    <definedName name="qfinal" localSheetId="8">#REF!</definedName>
    <definedName name="qfinal">#REF!</definedName>
    <definedName name="Quarterfinals" localSheetId="8">#REF!</definedName>
    <definedName name="Quarterfinals">#REF!</definedName>
    <definedName name="Round_16" localSheetId="8">#REF!</definedName>
    <definedName name="Round_16">#REF!</definedName>
    <definedName name="round16" localSheetId="8">#REF!</definedName>
    <definedName name="round16">#REF!</definedName>
    <definedName name="Semifinals" localSheetId="8">#REF!</definedName>
    <definedName name="Semifinals">#REF!</definedName>
    <definedName name="sfinal" localSheetId="8">#REF!</definedName>
    <definedName name="sfinal">#REF!</definedName>
    <definedName name="T" localSheetId="8">#REF!</definedName>
    <definedName name="T">#REF!</definedName>
    <definedName name="tbl_lookup_3rd" localSheetId="8">#REF!</definedName>
    <definedName name="tbl_lookup_3rd">#REF!</definedName>
    <definedName name="Teams" localSheetId="8">#REF!</definedName>
    <definedName name="Teams">#REF!</definedName>
    <definedName name="Teams_Quart" localSheetId="8">#REF!</definedName>
    <definedName name="Teams_Quart">#REF!</definedName>
    <definedName name="Teams_Ro16" localSheetId="8">#REF!</definedName>
    <definedName name="Teams_Ro16">#REF!</definedName>
    <definedName name="Teams_Semi" localSheetId="8">#REF!</definedName>
    <definedName name="Teams_Semi">#REF!</definedName>
    <definedName name="TeamsFinal" localSheetId="8">#REF!</definedName>
    <definedName name="TeamsFinal">#REF!</definedName>
    <definedName name="ThirdPlace" localSheetId="8">#REF!</definedName>
    <definedName name="ThirdPlace">#REF!</definedName>
    <definedName name="VisitorsGoals" localSheetId="8">#REF!</definedName>
    <definedName name="VisitorsGoals">#REF!</definedName>
    <definedName name="WeakTeams">Settings!$I$9:$I$32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1" i="6" l="1" a="1"/>
  <c r="E51" i="6" s="1"/>
  <c r="D51" i="6" a="1"/>
  <c r="D51" i="6" s="1"/>
  <c r="C51" i="6" a="1"/>
  <c r="C51" i="6" s="1"/>
  <c r="E50" i="6" a="1"/>
  <c r="E50" i="6" s="1"/>
  <c r="D50" i="6" a="1"/>
  <c r="D50" i="6" s="1"/>
  <c r="C50" i="6" a="1"/>
  <c r="C50" i="6" s="1"/>
  <c r="E49" i="6" a="1"/>
  <c r="E49" i="6" s="1"/>
  <c r="D49" i="6" a="1"/>
  <c r="D49" i="6" s="1"/>
  <c r="C49" i="6" a="1"/>
  <c r="C49" i="6" s="1"/>
  <c r="E48" i="6" a="1"/>
  <c r="E48" i="6" s="1"/>
  <c r="D48" i="6" a="1"/>
  <c r="D48" i="6" s="1"/>
  <c r="C48" i="6" a="1"/>
  <c r="C48" i="6" s="1"/>
  <c r="E47" i="6" a="1"/>
  <c r="E47" i="6" s="1"/>
  <c r="D47" i="6" a="1"/>
  <c r="D47" i="6" s="1"/>
  <c r="C47" i="6" a="1"/>
  <c r="C47" i="6" s="1"/>
  <c r="E46" i="6" a="1"/>
  <c r="E46" i="6" s="1"/>
  <c r="D46" i="6" a="1"/>
  <c r="D46" i="6" s="1"/>
  <c r="C46" i="6" a="1"/>
  <c r="C46" i="6" s="1"/>
  <c r="E45" i="6" a="1"/>
  <c r="E45" i="6" s="1"/>
  <c r="D45" i="6" a="1"/>
  <c r="D45" i="6" s="1"/>
  <c r="C45" i="6" a="1"/>
  <c r="C45" i="6" s="1"/>
  <c r="E44" i="6" a="1"/>
  <c r="E44" i="6" s="1"/>
  <c r="D44" i="6" a="1"/>
  <c r="D44" i="6" s="1"/>
  <c r="C44" i="6" a="1"/>
  <c r="C44" i="6" s="1"/>
  <c r="E43" i="6" a="1"/>
  <c r="E43" i="6" s="1"/>
  <c r="D43" i="6" a="1"/>
  <c r="D43" i="6" s="1"/>
  <c r="C43" i="6" a="1"/>
  <c r="C43" i="6" s="1"/>
  <c r="E42" i="6" a="1"/>
  <c r="E42" i="6" s="1"/>
  <c r="D42" i="6" a="1"/>
  <c r="D42" i="6" s="1"/>
  <c r="C42" i="6" a="1"/>
  <c r="C42" i="6" s="1"/>
  <c r="E41" i="6" a="1"/>
  <c r="E41" i="6" s="1"/>
  <c r="D41" i="6" a="1"/>
  <c r="D41" i="6" s="1"/>
  <c r="C41" i="6" a="1"/>
  <c r="C41" i="6" s="1"/>
  <c r="E40" i="6" a="1"/>
  <c r="E40" i="6" s="1"/>
  <c r="D40" i="6" a="1"/>
  <c r="D40" i="6" s="1"/>
  <c r="C40" i="6" a="1"/>
  <c r="C40" i="6" s="1"/>
  <c r="E39" i="6" a="1"/>
  <c r="E39" i="6" s="1"/>
  <c r="D39" i="6" a="1"/>
  <c r="D39" i="6" s="1"/>
  <c r="C39" i="6" a="1"/>
  <c r="C39" i="6" s="1"/>
  <c r="E38" i="6" a="1"/>
  <c r="E38" i="6" s="1"/>
  <c r="D38" i="6" a="1"/>
  <c r="D38" i="6" s="1"/>
  <c r="C38" i="6" a="1"/>
  <c r="C38" i="6" s="1"/>
  <c r="E37" i="6" a="1"/>
  <c r="E37" i="6" s="1"/>
  <c r="D37" i="6" a="1"/>
  <c r="D37" i="6" s="1"/>
  <c r="C37" i="6" a="1"/>
  <c r="C37" i="6" s="1"/>
  <c r="E36" i="6" a="1"/>
  <c r="E36" i="6" s="1"/>
  <c r="D36" i="6" a="1"/>
  <c r="D36" i="6" s="1"/>
  <c r="C36" i="6" a="1"/>
  <c r="C36" i="6" s="1"/>
  <c r="E35" i="6" a="1"/>
  <c r="E35" i="6" s="1"/>
  <c r="D35" i="6" a="1"/>
  <c r="D35" i="6" s="1"/>
  <c r="C35" i="6" a="1"/>
  <c r="C35" i="6" s="1"/>
  <c r="E34" i="6" a="1"/>
  <c r="E34" i="6" s="1"/>
  <c r="D34" i="6" a="1"/>
  <c r="D34" i="6" s="1"/>
  <c r="C34" i="6" a="1"/>
  <c r="C34" i="6" s="1"/>
  <c r="E33" i="6" a="1"/>
  <c r="E33" i="6" s="1"/>
  <c r="D33" i="6" a="1"/>
  <c r="D33" i="6" s="1"/>
  <c r="C33" i="6" a="1"/>
  <c r="C33" i="6" s="1"/>
  <c r="E32" i="6" a="1"/>
  <c r="E32" i="6" s="1"/>
  <c r="D32" i="6" a="1"/>
  <c r="D32" i="6" s="1"/>
  <c r="C32" i="6" a="1"/>
  <c r="C32" i="6" s="1"/>
  <c r="E31" i="6" a="1"/>
  <c r="E31" i="6" s="1"/>
  <c r="D31" i="6" a="1"/>
  <c r="D31" i="6" s="1"/>
  <c r="C31" i="6" a="1"/>
  <c r="C31" i="6" s="1"/>
  <c r="E30" i="6" a="1"/>
  <c r="E30" i="6" s="1"/>
  <c r="D30" i="6" a="1"/>
  <c r="D30" i="6" s="1"/>
  <c r="C30" i="6" a="1"/>
  <c r="C30" i="6" s="1"/>
  <c r="E29" i="6" a="1"/>
  <c r="E29" i="6" s="1"/>
  <c r="D29" i="6" a="1"/>
  <c r="D29" i="6" s="1"/>
  <c r="C29" i="6" a="1"/>
  <c r="C29" i="6" s="1"/>
  <c r="E28" i="6" a="1"/>
  <c r="E28" i="6" s="1"/>
  <c r="D28" i="6" a="1"/>
  <c r="D28" i="6" s="1"/>
  <c r="C28" i="6" a="1"/>
  <c r="C28" i="6" s="1"/>
  <c r="E27" i="6" a="1"/>
  <c r="E27" i="6" s="1"/>
  <c r="D27" i="6" a="1"/>
  <c r="D27" i="6" s="1"/>
  <c r="C27" i="6" a="1"/>
  <c r="C27" i="6" s="1"/>
  <c r="E26" i="6" a="1"/>
  <c r="E26" i="6" s="1"/>
  <c r="D26" i="6" a="1"/>
  <c r="D26" i="6" s="1"/>
  <c r="C26" i="6" a="1"/>
  <c r="C26" i="6" s="1"/>
  <c r="E25" i="6" a="1"/>
  <c r="E25" i="6" s="1"/>
  <c r="D25" i="6" a="1"/>
  <c r="D25" i="6" s="1"/>
  <c r="C25" i="6" a="1"/>
  <c r="C25" i="6" s="1"/>
  <c r="E24" i="6" a="1"/>
  <c r="E24" i="6" s="1"/>
  <c r="D24" i="6" a="1"/>
  <c r="D24" i="6" s="1"/>
  <c r="C24" i="6" a="1"/>
  <c r="C24" i="6" s="1"/>
  <c r="E23" i="6" a="1"/>
  <c r="E23" i="6" s="1"/>
  <c r="D23" i="6" a="1"/>
  <c r="D23" i="6" s="1"/>
  <c r="C23" i="6" a="1"/>
  <c r="C23" i="6" s="1"/>
  <c r="E22" i="6" a="1"/>
  <c r="E22" i="6" s="1"/>
  <c r="D22" i="6" a="1"/>
  <c r="D22" i="6" s="1"/>
  <c r="C22" i="6" a="1"/>
  <c r="C22" i="6" s="1"/>
  <c r="E21" i="6" a="1"/>
  <c r="E21" i="6" s="1"/>
  <c r="D21" i="6" a="1"/>
  <c r="D21" i="6" s="1"/>
  <c r="C21" i="6" a="1"/>
  <c r="C21" i="6" s="1"/>
  <c r="E20" i="6" a="1"/>
  <c r="E20" i="6" s="1"/>
  <c r="D20" i="6" a="1"/>
  <c r="D20" i="6" s="1"/>
  <c r="C20" i="6" a="1"/>
  <c r="C20" i="6" s="1"/>
  <c r="E19" i="6" a="1"/>
  <c r="E19" i="6" s="1"/>
  <c r="D19" i="6" a="1"/>
  <c r="D19" i="6" s="1"/>
  <c r="C19" i="6" a="1"/>
  <c r="C19" i="6" s="1"/>
  <c r="E18" i="6" a="1"/>
  <c r="E18" i="6" s="1"/>
  <c r="D18" i="6" a="1"/>
  <c r="D18" i="6" s="1"/>
  <c r="C18" i="6" a="1"/>
  <c r="C18" i="6" s="1"/>
  <c r="E17" i="6" a="1"/>
  <c r="E17" i="6" s="1"/>
  <c r="D17" i="6" a="1"/>
  <c r="D17" i="6" s="1"/>
  <c r="C17" i="6" a="1"/>
  <c r="C17" i="6" s="1"/>
  <c r="E16" i="6" a="1"/>
  <c r="E16" i="6" s="1"/>
  <c r="D16" i="6" a="1"/>
  <c r="D16" i="6" s="1"/>
  <c r="C16" i="6" a="1"/>
  <c r="C16" i="6" s="1"/>
  <c r="E15" i="6" a="1"/>
  <c r="E15" i="6" s="1"/>
  <c r="D15" i="6" a="1"/>
  <c r="D15" i="6" s="1"/>
  <c r="C15" i="6" a="1"/>
  <c r="C15" i="6" s="1"/>
  <c r="E14" i="6" a="1"/>
  <c r="E14" i="6" s="1"/>
  <c r="D14" i="6" a="1"/>
  <c r="D14" i="6" s="1"/>
  <c r="C14" i="6" a="1"/>
  <c r="C14" i="6" s="1"/>
  <c r="E13" i="6" a="1"/>
  <c r="E13" i="6" s="1"/>
  <c r="D13" i="6" a="1"/>
  <c r="D13" i="6" s="1"/>
  <c r="C13" i="6" a="1"/>
  <c r="C13" i="6" s="1"/>
  <c r="E12" i="6" a="1"/>
  <c r="E12" i="6" s="1"/>
  <c r="D12" i="6" a="1"/>
  <c r="D12" i="6" s="1"/>
  <c r="C12" i="6" a="1"/>
  <c r="C12" i="6" s="1"/>
  <c r="E11" i="6" a="1"/>
  <c r="E11" i="6" s="1"/>
  <c r="D11" i="6" a="1"/>
  <c r="D11" i="6" s="1"/>
  <c r="C11" i="6" a="1"/>
  <c r="C11" i="6" s="1"/>
  <c r="E10" i="6" a="1"/>
  <c r="E10" i="6" s="1"/>
  <c r="D10" i="6" a="1"/>
  <c r="D10" i="6" s="1"/>
  <c r="C10" i="6" a="1"/>
  <c r="C10" i="6" s="1"/>
  <c r="E9" i="6" a="1"/>
  <c r="E9" i="6" s="1"/>
  <c r="D9" i="6" a="1"/>
  <c r="D9" i="6" s="1"/>
  <c r="C9" i="6" a="1"/>
  <c r="C9" i="6" s="1"/>
  <c r="E8" i="6" a="1"/>
  <c r="E8" i="6" s="1"/>
  <c r="D8" i="6" a="1"/>
  <c r="D8" i="6" s="1"/>
  <c r="C8" i="6" a="1"/>
  <c r="C8" i="6" s="1"/>
  <c r="E7" i="6" a="1"/>
  <c r="E7" i="6" s="1"/>
  <c r="D7" i="6" a="1"/>
  <c r="D7" i="6" s="1"/>
  <c r="C7" i="6" a="1"/>
  <c r="C7" i="6" s="1"/>
  <c r="E6" i="6" a="1"/>
  <c r="E6" i="6" s="1"/>
  <c r="D6" i="6" a="1"/>
  <c r="D6" i="6" s="1"/>
  <c r="C6" i="6" a="1"/>
  <c r="C6" i="6" s="1"/>
  <c r="E5" i="6" a="1"/>
  <c r="E5" i="6" s="1"/>
  <c r="D5" i="6" a="1"/>
  <c r="D5" i="6" s="1"/>
  <c r="C5" i="6" a="1"/>
  <c r="C5" i="6" s="1"/>
  <c r="E4" i="6" a="1"/>
  <c r="E4" i="6" s="1"/>
  <c r="D4" i="6" a="1"/>
  <c r="D4" i="6" s="1"/>
  <c r="C4" i="6" a="1"/>
  <c r="C4" i="6" s="1"/>
  <c r="B119" i="2"/>
  <c r="A119" i="2"/>
  <c r="B118" i="2"/>
  <c r="L118" i="2" s="1"/>
  <c r="A118" i="2"/>
  <c r="B117" i="2"/>
  <c r="H117" i="2" s="1"/>
  <c r="A117" i="2"/>
  <c r="B116" i="2"/>
  <c r="C116" i="2" s="1"/>
  <c r="A116" i="2"/>
  <c r="B115" i="2"/>
  <c r="J115" i="2" s="1"/>
  <c r="A115" i="2"/>
  <c r="B114" i="2"/>
  <c r="E114" i="2" s="1"/>
  <c r="A114" i="2"/>
  <c r="B113" i="2"/>
  <c r="A113" i="2"/>
  <c r="B112" i="2"/>
  <c r="I112" i="2" s="1"/>
  <c r="A112" i="2"/>
  <c r="B111" i="2"/>
  <c r="C111" i="2" s="1"/>
  <c r="A111" i="2"/>
  <c r="B110" i="2"/>
  <c r="E110" i="2" s="1"/>
  <c r="A110" i="2"/>
  <c r="B109" i="2"/>
  <c r="K109" i="2" s="1"/>
  <c r="A109" i="2"/>
  <c r="O13" i="2"/>
  <c r="P12" i="2"/>
  <c r="P11" i="2"/>
  <c r="P10" i="2"/>
  <c r="P9" i="2"/>
  <c r="P8" i="2"/>
  <c r="P7" i="2"/>
  <c r="P6" i="2"/>
  <c r="P5" i="2"/>
  <c r="P4" i="2"/>
  <c r="D76" i="1"/>
  <c r="C76" i="1"/>
  <c r="B76" i="1"/>
  <c r="BJ75" i="1" a="1"/>
  <c r="BJ75" i="1" s="1"/>
  <c r="BI75" i="1" a="1"/>
  <c r="BI75" i="1" s="1"/>
  <c r="BG75" i="1" a="1"/>
  <c r="BG75" i="1"/>
  <c r="BF75" i="1" a="1"/>
  <c r="BF75" i="1"/>
  <c r="BE75" i="1" a="1"/>
  <c r="BE75" i="1"/>
  <c r="D75" i="1"/>
  <c r="C75" i="1"/>
  <c r="B75" i="1"/>
  <c r="BJ74" i="1" a="1"/>
  <c r="BJ74" i="1" s="1"/>
  <c r="BI74" i="1" a="1"/>
  <c r="BI74" i="1" s="1"/>
  <c r="BG74" i="1" a="1"/>
  <c r="BG74" i="1" s="1"/>
  <c r="BF74" i="1" a="1"/>
  <c r="BF74" i="1"/>
  <c r="BE74" i="1" a="1"/>
  <c r="BE74" i="1" s="1"/>
  <c r="D74" i="1"/>
  <c r="C74" i="1"/>
  <c r="B74" i="1"/>
  <c r="BJ73" i="1" a="1"/>
  <c r="BJ73" i="1" s="1"/>
  <c r="BI73" i="1" a="1"/>
  <c r="BI73" i="1"/>
  <c r="BG73" i="1" a="1"/>
  <c r="BG73" i="1"/>
  <c r="BF73" i="1" a="1"/>
  <c r="BF73" i="1" s="1"/>
  <c r="BE73" i="1" a="1"/>
  <c r="BE73" i="1" s="1"/>
  <c r="D73" i="1"/>
  <c r="C73" i="1"/>
  <c r="B73" i="1"/>
  <c r="BJ72" i="1" a="1"/>
  <c r="BJ72" i="1" s="1"/>
  <c r="BI72" i="1" a="1"/>
  <c r="BI72" i="1" s="1"/>
  <c r="BG72" i="1" a="1"/>
  <c r="BG72" i="1"/>
  <c r="BF72" i="1" a="1"/>
  <c r="BF72" i="1"/>
  <c r="BE72" i="1" a="1"/>
  <c r="BE72" i="1" s="1"/>
  <c r="D72" i="1"/>
  <c r="C72" i="1"/>
  <c r="B72" i="1"/>
  <c r="D71" i="1"/>
  <c r="C71" i="1"/>
  <c r="B71" i="1"/>
  <c r="D70" i="1"/>
  <c r="C70" i="1"/>
  <c r="B70" i="1"/>
  <c r="BJ69" i="1" a="1"/>
  <c r="BJ69" i="1" s="1"/>
  <c r="BI69" i="1" a="1"/>
  <c r="BI69" i="1" s="1"/>
  <c r="BG69" i="1" a="1"/>
  <c r="BG69" i="1" s="1"/>
  <c r="BF69" i="1" a="1"/>
  <c r="BF69" i="1" s="1"/>
  <c r="BE69" i="1" a="1"/>
  <c r="BE69" i="1"/>
  <c r="D69" i="1"/>
  <c r="C69" i="1"/>
  <c r="B69" i="1"/>
  <c r="BJ68" i="1" a="1"/>
  <c r="BJ68" i="1" s="1"/>
  <c r="BI68" i="1" a="1"/>
  <c r="BI68" i="1" s="1"/>
  <c r="BG68" i="1" a="1"/>
  <c r="BG68" i="1" s="1"/>
  <c r="BF68" i="1" a="1"/>
  <c r="BF68" i="1"/>
  <c r="BE68" i="1" a="1"/>
  <c r="BE68" i="1"/>
  <c r="D68" i="1"/>
  <c r="C68" i="1"/>
  <c r="B68" i="1"/>
  <c r="BJ67" i="1" a="1"/>
  <c r="BJ67" i="1" s="1"/>
  <c r="BI67" i="1" a="1"/>
  <c r="BI67" i="1" s="1"/>
  <c r="BG67" i="1" a="1"/>
  <c r="BG67" i="1"/>
  <c r="BF67" i="1" a="1"/>
  <c r="BF67" i="1" s="1"/>
  <c r="BE67" i="1" a="1"/>
  <c r="BE67" i="1" s="1"/>
  <c r="D67" i="1"/>
  <c r="C67" i="1"/>
  <c r="B67" i="1"/>
  <c r="BJ66" i="1" a="1"/>
  <c r="BJ66" i="1" s="1"/>
  <c r="BI66" i="1" a="1"/>
  <c r="BI66" i="1" s="1"/>
  <c r="BG66" i="1" a="1"/>
  <c r="BG66" i="1"/>
  <c r="BF66" i="1" a="1"/>
  <c r="BF66" i="1" s="1"/>
  <c r="BE66" i="1" a="1"/>
  <c r="BE66" i="1"/>
  <c r="S66" i="1"/>
  <c r="D66" i="1"/>
  <c r="C66" i="1"/>
  <c r="B66" i="1"/>
  <c r="S65" i="1"/>
  <c r="D65" i="1"/>
  <c r="C65" i="1"/>
  <c r="B65" i="1"/>
  <c r="W64" i="1"/>
  <c r="D64" i="1"/>
  <c r="C64" i="1"/>
  <c r="B64" i="1"/>
  <c r="BK63" i="1"/>
  <c r="BJ63" i="1" a="1"/>
  <c r="BJ63" i="1" s="1"/>
  <c r="BI63" i="1" a="1"/>
  <c r="BI63" i="1" s="1"/>
  <c r="BG63" i="1" a="1"/>
  <c r="BG63" i="1"/>
  <c r="BF63" i="1" a="1"/>
  <c r="BF63" i="1"/>
  <c r="BE63" i="1" a="1"/>
  <c r="BE63" i="1" s="1"/>
  <c r="BH63" i="1" s="1"/>
  <c r="W63" i="1"/>
  <c r="D63" i="1"/>
  <c r="C63" i="1"/>
  <c r="B63" i="1"/>
  <c r="BK62" i="1"/>
  <c r="BJ62" i="1" a="1"/>
  <c r="BJ62" i="1" s="1"/>
  <c r="BI62" i="1" a="1"/>
  <c r="BI62" i="1" s="1"/>
  <c r="BG62" i="1" a="1"/>
  <c r="BG62" i="1"/>
  <c r="BF62" i="1" a="1"/>
  <c r="BF62" i="1"/>
  <c r="BE62" i="1" a="1"/>
  <c r="BE62" i="1" s="1"/>
  <c r="BH62" i="1" s="1"/>
  <c r="S62" i="1"/>
  <c r="D62" i="1"/>
  <c r="C62" i="1"/>
  <c r="B62" i="1"/>
  <c r="BK61" i="1"/>
  <c r="BJ61" i="1" a="1"/>
  <c r="BJ61" i="1" s="1"/>
  <c r="BI61" i="1" a="1"/>
  <c r="BI61" i="1" s="1"/>
  <c r="BG61" i="1" a="1"/>
  <c r="BG61" i="1"/>
  <c r="BF61" i="1" a="1"/>
  <c r="BF61" i="1"/>
  <c r="BE61" i="1" a="1"/>
  <c r="BE61" i="1" s="1"/>
  <c r="BH61" i="1" s="1"/>
  <c r="S61" i="1"/>
  <c r="D61" i="1"/>
  <c r="C61" i="1"/>
  <c r="B61" i="1"/>
  <c r="BJ60" i="1" a="1"/>
  <c r="BJ60" i="1" s="1"/>
  <c r="BI60" i="1" a="1"/>
  <c r="BI60" i="1" s="1"/>
  <c r="BG60" i="1" a="1"/>
  <c r="BG60" i="1" s="1"/>
  <c r="BK60" i="1" s="1"/>
  <c r="BF60" i="1" a="1"/>
  <c r="BF60" i="1"/>
  <c r="BE60" i="1" a="1"/>
  <c r="BE60" i="1" s="1"/>
  <c r="AA60" i="1"/>
  <c r="D60" i="1"/>
  <c r="C60" i="1"/>
  <c r="B60" i="1"/>
  <c r="AA59" i="1"/>
  <c r="D59" i="1"/>
  <c r="C59" i="1"/>
  <c r="B59" i="1"/>
  <c r="S58" i="1"/>
  <c r="D58" i="1"/>
  <c r="C58" i="1"/>
  <c r="B58" i="1"/>
  <c r="BJ57" i="1" a="1"/>
  <c r="BJ57" i="1"/>
  <c r="BI57" i="1" a="1"/>
  <c r="BI57" i="1" s="1"/>
  <c r="BG57" i="1" a="1"/>
  <c r="BG57" i="1"/>
  <c r="BF57" i="1" a="1"/>
  <c r="BF57" i="1" s="1"/>
  <c r="BK57" i="1" s="1"/>
  <c r="BE57" i="1" a="1"/>
  <c r="BE57" i="1"/>
  <c r="BH57" i="1" s="1"/>
  <c r="S57" i="1"/>
  <c r="D57" i="1"/>
  <c r="C57" i="1"/>
  <c r="B57" i="1"/>
  <c r="BJ56" i="1" a="1"/>
  <c r="BJ56" i="1" s="1"/>
  <c r="BI56" i="1" a="1"/>
  <c r="BI56" i="1" s="1"/>
  <c r="BG56" i="1" a="1"/>
  <c r="BG56" i="1"/>
  <c r="BF56" i="1" a="1"/>
  <c r="BF56" i="1" s="1"/>
  <c r="BK56" i="1" s="1"/>
  <c r="BE56" i="1" a="1"/>
  <c r="BE56" i="1"/>
  <c r="W56" i="1"/>
  <c r="D56" i="1"/>
  <c r="C56" i="1"/>
  <c r="B56" i="1"/>
  <c r="BJ55" i="1" a="1"/>
  <c r="BJ55" i="1" s="1"/>
  <c r="BI55" i="1" a="1"/>
  <c r="BI55" i="1" s="1"/>
  <c r="BG55" i="1" a="1"/>
  <c r="BG55" i="1"/>
  <c r="BF55" i="1" a="1"/>
  <c r="BF55" i="1" s="1"/>
  <c r="BK55" i="1" s="1"/>
  <c r="BE55" i="1" a="1"/>
  <c r="BE55" i="1"/>
  <c r="BH55" i="1" s="1"/>
  <c r="W55" i="1"/>
  <c r="D55" i="1"/>
  <c r="C55" i="1"/>
  <c r="B55" i="1"/>
  <c r="BJ54" i="1" a="1"/>
  <c r="BJ54" i="1" s="1"/>
  <c r="BI54" i="1" a="1"/>
  <c r="BI54" i="1" s="1"/>
  <c r="BG54" i="1" a="1"/>
  <c r="BG54" i="1"/>
  <c r="BF54" i="1" a="1"/>
  <c r="BF54" i="1" s="1"/>
  <c r="BK54" i="1" s="1"/>
  <c r="BE54" i="1" a="1"/>
  <c r="BE54" i="1"/>
  <c r="S54" i="1"/>
  <c r="D54" i="1"/>
  <c r="C54" i="1"/>
  <c r="B54" i="1"/>
  <c r="S53" i="1"/>
  <c r="D53" i="1"/>
  <c r="C53" i="1"/>
  <c r="B53" i="1"/>
  <c r="AE52" i="1"/>
  <c r="D52" i="1"/>
  <c r="C52" i="1"/>
  <c r="B52" i="1"/>
  <c r="BO51" i="1" a="1"/>
  <c r="BO51" i="1" s="1"/>
  <c r="BN51" i="1" a="1"/>
  <c r="BN51" i="1" s="1"/>
  <c r="BK51" i="1"/>
  <c r="BM51" i="1" s="1" a="1"/>
  <c r="BM51" i="1" s="1"/>
  <c r="BJ51" i="1" a="1"/>
  <c r="BJ51" i="1"/>
  <c r="BI51" i="1" a="1"/>
  <c r="BI51" i="1" s="1"/>
  <c r="BG51" i="1" a="1"/>
  <c r="BG51" i="1"/>
  <c r="BF51" i="1" a="1"/>
  <c r="BF51" i="1"/>
  <c r="BE51" i="1" a="1"/>
  <c r="BE51" i="1" s="1"/>
  <c r="BH51" i="1" s="1"/>
  <c r="AE51" i="1"/>
  <c r="D51" i="1"/>
  <c r="C51" i="1"/>
  <c r="B51" i="1"/>
  <c r="BO50" i="1" a="1"/>
  <c r="BO50" i="1"/>
  <c r="BN50" i="1" a="1"/>
  <c r="BN50" i="1" s="1"/>
  <c r="BK50" i="1"/>
  <c r="BM50" i="1" s="1" a="1"/>
  <c r="BM50" i="1" s="1"/>
  <c r="BJ50" i="1" a="1"/>
  <c r="BJ50" i="1"/>
  <c r="BI50" i="1" a="1"/>
  <c r="BI50" i="1"/>
  <c r="BG50" i="1" a="1"/>
  <c r="BG50" i="1"/>
  <c r="BF50" i="1" a="1"/>
  <c r="BF50" i="1"/>
  <c r="BE50" i="1" a="1"/>
  <c r="BE50" i="1" s="1"/>
  <c r="BH50" i="1" s="1"/>
  <c r="S50" i="1"/>
  <c r="D50" i="1"/>
  <c r="C50" i="1"/>
  <c r="B50" i="1"/>
  <c r="BO49" i="1" a="1"/>
  <c r="BO49" i="1"/>
  <c r="BN49" i="1" a="1"/>
  <c r="BN49" i="1" s="1"/>
  <c r="BK49" i="1"/>
  <c r="BM49" i="1" s="1" a="1"/>
  <c r="BM49" i="1" s="1"/>
  <c r="BJ49" i="1" a="1"/>
  <c r="BJ49" i="1"/>
  <c r="BI49" i="1" a="1"/>
  <c r="BI49" i="1" s="1"/>
  <c r="BG49" i="1" a="1"/>
  <c r="BG49" i="1"/>
  <c r="BF49" i="1" a="1"/>
  <c r="BF49" i="1"/>
  <c r="BE49" i="1" a="1"/>
  <c r="BE49" i="1" s="1"/>
  <c r="BH49" i="1" s="1"/>
  <c r="S49" i="1"/>
  <c r="D49" i="1"/>
  <c r="C49" i="1"/>
  <c r="B49" i="1"/>
  <c r="BO48" i="1" a="1"/>
  <c r="BO48" i="1"/>
  <c r="BN48" i="1" a="1"/>
  <c r="BN48" i="1" s="1"/>
  <c r="BK48" i="1"/>
  <c r="BM48" i="1" s="1" a="1"/>
  <c r="BM48" i="1" s="1"/>
  <c r="BJ48" i="1" a="1"/>
  <c r="BJ48" i="1"/>
  <c r="BI48" i="1" a="1"/>
  <c r="BI48" i="1" s="1"/>
  <c r="BG48" i="1" a="1"/>
  <c r="BG48" i="1"/>
  <c r="BF48" i="1" a="1"/>
  <c r="BF48" i="1"/>
  <c r="BE48" i="1" a="1"/>
  <c r="BE48" i="1" s="1"/>
  <c r="BH48" i="1" s="1"/>
  <c r="W48" i="1"/>
  <c r="D48" i="1"/>
  <c r="C48" i="1"/>
  <c r="B48" i="1"/>
  <c r="W47" i="1"/>
  <c r="D47" i="1"/>
  <c r="C47" i="1"/>
  <c r="B47" i="1"/>
  <c r="S46" i="1"/>
  <c r="D46" i="1"/>
  <c r="C46" i="1"/>
  <c r="B46" i="1"/>
  <c r="BJ45" i="1" a="1"/>
  <c r="BJ45" i="1"/>
  <c r="BI45" i="1" a="1"/>
  <c r="BI45" i="1"/>
  <c r="BG45" i="1" a="1"/>
  <c r="BG45" i="1"/>
  <c r="BH45" i="1" s="1"/>
  <c r="BF45" i="1" a="1"/>
  <c r="BF45" i="1"/>
  <c r="BK45" i="1" s="1"/>
  <c r="BE45" i="1" a="1"/>
  <c r="BE45" i="1"/>
  <c r="S45" i="1"/>
  <c r="D45" i="1"/>
  <c r="C45" i="1"/>
  <c r="B45" i="1"/>
  <c r="BJ44" i="1" a="1"/>
  <c r="BJ44" i="1"/>
  <c r="BI44" i="1" a="1"/>
  <c r="BI44" i="1"/>
  <c r="BG44" i="1" a="1"/>
  <c r="BG44" i="1" s="1"/>
  <c r="BF44" i="1" a="1"/>
  <c r="BF44" i="1"/>
  <c r="BE44" i="1" a="1"/>
  <c r="BE44" i="1"/>
  <c r="AI44" i="1"/>
  <c r="AA44" i="1"/>
  <c r="D44" i="1"/>
  <c r="C44" i="1"/>
  <c r="B44" i="1"/>
  <c r="BJ43" i="1" a="1"/>
  <c r="BJ43" i="1" s="1"/>
  <c r="BI43" i="1" a="1"/>
  <c r="BI43" i="1" s="1"/>
  <c r="BG43" i="1" a="1"/>
  <c r="BG43" i="1" s="1"/>
  <c r="BK43" i="1" s="1"/>
  <c r="BF43" i="1" a="1"/>
  <c r="BF43" i="1"/>
  <c r="BE43" i="1" a="1"/>
  <c r="BE43" i="1"/>
  <c r="BH43" i="1" s="1"/>
  <c r="AI43" i="1"/>
  <c r="AA43" i="1"/>
  <c r="D43" i="1"/>
  <c r="C43" i="1"/>
  <c r="B43" i="1"/>
  <c r="BK42" i="1"/>
  <c r="BJ42" i="1" a="1"/>
  <c r="BJ42" i="1" s="1"/>
  <c r="BI42" i="1" a="1"/>
  <c r="BI42" i="1"/>
  <c r="BG42" i="1" a="1"/>
  <c r="BG42" i="1"/>
  <c r="BF42" i="1" a="1"/>
  <c r="BF42" i="1"/>
  <c r="BE42" i="1" a="1"/>
  <c r="BE42" i="1" s="1"/>
  <c r="BH42" i="1" s="1"/>
  <c r="S42" i="1"/>
  <c r="D42" i="1"/>
  <c r="C42" i="1"/>
  <c r="B42" i="1"/>
  <c r="AI41" i="1"/>
  <c r="S41" i="1"/>
  <c r="D41" i="1"/>
  <c r="C41" i="1"/>
  <c r="B41" i="1"/>
  <c r="AI40" i="1"/>
  <c r="W40" i="1"/>
  <c r="D40" i="1"/>
  <c r="C40" i="1"/>
  <c r="B40" i="1"/>
  <c r="BO39" i="1" a="1"/>
  <c r="BO39" i="1"/>
  <c r="BN39" i="1" a="1"/>
  <c r="BN39" i="1" s="1"/>
  <c r="BK39" i="1"/>
  <c r="BM39" i="1" s="1" a="1"/>
  <c r="BM39" i="1" s="1"/>
  <c r="BJ39" i="1" a="1"/>
  <c r="BJ39" i="1"/>
  <c r="BI39" i="1" a="1"/>
  <c r="BI39" i="1" s="1"/>
  <c r="BG39" i="1" a="1"/>
  <c r="BG39" i="1"/>
  <c r="BF39" i="1" a="1"/>
  <c r="BF39" i="1"/>
  <c r="BE39" i="1" a="1"/>
  <c r="BE39" i="1" s="1"/>
  <c r="BH39" i="1" s="1"/>
  <c r="W39" i="1"/>
  <c r="D39" i="1"/>
  <c r="C39" i="1"/>
  <c r="B39" i="1"/>
  <c r="BO38" i="1" a="1"/>
  <c r="BO38" i="1" s="1"/>
  <c r="BK38" i="1"/>
  <c r="BJ38" i="1" a="1"/>
  <c r="BJ38" i="1" s="1"/>
  <c r="BI38" i="1" a="1"/>
  <c r="BI38" i="1"/>
  <c r="BG38" i="1" a="1"/>
  <c r="BG38" i="1"/>
  <c r="BF38" i="1" a="1"/>
  <c r="BF38" i="1"/>
  <c r="BE38" i="1" a="1"/>
  <c r="BE38" i="1" s="1"/>
  <c r="BH38" i="1" s="1"/>
  <c r="S38" i="1"/>
  <c r="D38" i="1"/>
  <c r="C38" i="1"/>
  <c r="B38" i="1"/>
  <c r="BK37" i="1"/>
  <c r="BJ37" i="1" a="1"/>
  <c r="BJ37" i="1"/>
  <c r="BI37" i="1" a="1"/>
  <c r="BI37" i="1"/>
  <c r="BH37" i="1"/>
  <c r="BG37" i="1" a="1"/>
  <c r="BG37" i="1"/>
  <c r="BF37" i="1" a="1"/>
  <c r="BF37" i="1"/>
  <c r="BE37" i="1" a="1"/>
  <c r="BE37" i="1"/>
  <c r="S37" i="1"/>
  <c r="D37" i="1"/>
  <c r="C37" i="1"/>
  <c r="B37" i="1"/>
  <c r="BK36" i="1"/>
  <c r="BJ36" i="1" a="1"/>
  <c r="BJ36" i="1"/>
  <c r="BI36" i="1" a="1"/>
  <c r="BI36" i="1" s="1"/>
  <c r="BG36" i="1" a="1"/>
  <c r="BG36" i="1"/>
  <c r="BF36" i="1" a="1"/>
  <c r="BF36" i="1"/>
  <c r="BE36" i="1" a="1"/>
  <c r="BE36" i="1"/>
  <c r="BH36" i="1" s="1"/>
  <c r="AI36" i="1"/>
  <c r="D36" i="1"/>
  <c r="C36" i="1"/>
  <c r="B36" i="1"/>
  <c r="AI35" i="1"/>
  <c r="D35" i="1"/>
  <c r="C35" i="1"/>
  <c r="B35" i="1"/>
  <c r="S34" i="1"/>
  <c r="D34" i="1"/>
  <c r="C34" i="1"/>
  <c r="B34" i="1"/>
  <c r="BJ33" i="1" a="1"/>
  <c r="BJ33" i="1"/>
  <c r="BI33" i="1" a="1"/>
  <c r="BI33" i="1" s="1"/>
  <c r="BG33" i="1" a="1"/>
  <c r="BG33" i="1"/>
  <c r="BK33" i="1" s="1"/>
  <c r="BF33" i="1" a="1"/>
  <c r="BF33" i="1"/>
  <c r="BE33" i="1" a="1"/>
  <c r="BE33" i="1"/>
  <c r="BH33" i="1" s="1"/>
  <c r="S33" i="1"/>
  <c r="D33" i="1"/>
  <c r="C33" i="1"/>
  <c r="B33" i="1"/>
  <c r="BJ32" i="1" a="1"/>
  <c r="BJ32" i="1"/>
  <c r="BI32" i="1" a="1"/>
  <c r="BI32" i="1"/>
  <c r="BG32" i="1" a="1"/>
  <c r="BG32" i="1" s="1"/>
  <c r="BK32" i="1" s="1"/>
  <c r="BF32" i="1" a="1"/>
  <c r="BF32" i="1"/>
  <c r="BE32" i="1" a="1"/>
  <c r="BE32" i="1"/>
  <c r="W32" i="1"/>
  <c r="D32" i="1"/>
  <c r="C32" i="1"/>
  <c r="B32" i="1"/>
  <c r="BM31" i="1" a="1"/>
  <c r="BM31" i="1" s="1"/>
  <c r="BJ31" i="1" a="1"/>
  <c r="BJ31" i="1"/>
  <c r="BI31" i="1" a="1"/>
  <c r="BI31" i="1" s="1"/>
  <c r="BG31" i="1" a="1"/>
  <c r="BG31" i="1"/>
  <c r="BK31" i="1" s="1"/>
  <c r="BM33" i="1" s="1" a="1"/>
  <c r="BM33" i="1" s="1"/>
  <c r="BF31" i="1" a="1"/>
  <c r="BF31" i="1"/>
  <c r="BE31" i="1" a="1"/>
  <c r="BE31" i="1" s="1"/>
  <c r="BH31" i="1" s="1"/>
  <c r="W31" i="1"/>
  <c r="D31" i="1"/>
  <c r="C31" i="1"/>
  <c r="B31" i="1"/>
  <c r="BJ30" i="1" a="1"/>
  <c r="BJ30" i="1"/>
  <c r="BI30" i="1" a="1"/>
  <c r="BI30" i="1" s="1"/>
  <c r="BG30" i="1" a="1"/>
  <c r="BG30" i="1" s="1"/>
  <c r="BK30" i="1" s="1"/>
  <c r="BF30" i="1" a="1"/>
  <c r="BF30" i="1"/>
  <c r="BE30" i="1" a="1"/>
  <c r="BE30" i="1"/>
  <c r="BH30" i="1" s="1"/>
  <c r="S30" i="1"/>
  <c r="D30" i="1"/>
  <c r="C30" i="1"/>
  <c r="B30" i="1"/>
  <c r="S29" i="1"/>
  <c r="D29" i="1"/>
  <c r="C29" i="1"/>
  <c r="B29" i="1"/>
  <c r="AA28" i="1"/>
  <c r="D28" i="1"/>
  <c r="C28" i="1"/>
  <c r="B28" i="1"/>
  <c r="BJ27" i="1" a="1"/>
  <c r="BJ27" i="1"/>
  <c r="BI27" i="1" a="1"/>
  <c r="BI27" i="1" s="1"/>
  <c r="BG27" i="1" a="1"/>
  <c r="BG27" i="1" s="1"/>
  <c r="BF27" i="1" a="1"/>
  <c r="BF27" i="1"/>
  <c r="BE27" i="1" a="1"/>
  <c r="BE27" i="1"/>
  <c r="AA27" i="1"/>
  <c r="D27" i="1"/>
  <c r="C27" i="1"/>
  <c r="B27" i="1"/>
  <c r="BJ26" i="1" a="1"/>
  <c r="BJ26" i="1" s="1"/>
  <c r="BI26" i="1" a="1"/>
  <c r="BI26" i="1" s="1"/>
  <c r="BG26" i="1" a="1"/>
  <c r="BG26" i="1"/>
  <c r="BF26" i="1" a="1"/>
  <c r="BF26" i="1" s="1"/>
  <c r="BE26" i="1" a="1"/>
  <c r="BE26" i="1"/>
  <c r="S26" i="1"/>
  <c r="D26" i="1"/>
  <c r="C26" i="1"/>
  <c r="B26" i="1"/>
  <c r="BJ25" i="1" a="1"/>
  <c r="BJ25" i="1" s="1"/>
  <c r="BI25" i="1" a="1"/>
  <c r="BI25" i="1" s="1"/>
  <c r="BG25" i="1" a="1"/>
  <c r="BG25" i="1"/>
  <c r="BF25" i="1" a="1"/>
  <c r="BF25" i="1" s="1"/>
  <c r="BE25" i="1" a="1"/>
  <c r="BE25" i="1"/>
  <c r="S25" i="1"/>
  <c r="D25" i="1"/>
  <c r="C25" i="1"/>
  <c r="B25" i="1"/>
  <c r="BJ24" i="1" a="1"/>
  <c r="BJ24" i="1" s="1"/>
  <c r="BI24" i="1" a="1"/>
  <c r="BI24" i="1" s="1"/>
  <c r="BG24" i="1" a="1"/>
  <c r="BG24" i="1"/>
  <c r="BF24" i="1" a="1"/>
  <c r="BF24" i="1" s="1"/>
  <c r="BE24" i="1" a="1"/>
  <c r="BE24" i="1"/>
  <c r="W24" i="1"/>
  <c r="D24" i="1"/>
  <c r="C24" i="1"/>
  <c r="B24" i="1"/>
  <c r="W23" i="1"/>
  <c r="D23" i="1"/>
  <c r="C23" i="1"/>
  <c r="B23" i="1"/>
  <c r="S22" i="1"/>
  <c r="D22" i="1"/>
  <c r="C22" i="1"/>
  <c r="B22" i="1"/>
  <c r="BJ21" i="1" a="1"/>
  <c r="BJ21" i="1" s="1"/>
  <c r="BI21" i="1" a="1"/>
  <c r="BI21" i="1" s="1"/>
  <c r="BG21" i="1" a="1"/>
  <c r="BG21" i="1" s="1"/>
  <c r="BK21" i="1" s="1"/>
  <c r="BF21" i="1" a="1"/>
  <c r="BF21" i="1"/>
  <c r="BE21" i="1" a="1"/>
  <c r="BE21" i="1"/>
  <c r="S21" i="1"/>
  <c r="D21" i="1"/>
  <c r="C21" i="1"/>
  <c r="B21" i="1"/>
  <c r="BJ20" i="1" a="1"/>
  <c r="BJ20" i="1" s="1"/>
  <c r="BI20" i="1" a="1"/>
  <c r="BI20" i="1" s="1"/>
  <c r="BG20" i="1" a="1"/>
  <c r="BG20" i="1" s="1"/>
  <c r="BK20" i="1" s="1"/>
  <c r="BF20" i="1" a="1"/>
  <c r="BF20" i="1"/>
  <c r="BE20" i="1" a="1"/>
  <c r="BE20" i="1"/>
  <c r="BH20" i="1" s="1"/>
  <c r="AE20" i="1"/>
  <c r="D20" i="1"/>
  <c r="C20" i="1"/>
  <c r="B20" i="1"/>
  <c r="BJ19" i="1" a="1"/>
  <c r="BJ19" i="1" s="1"/>
  <c r="BI19" i="1" a="1"/>
  <c r="BI19" i="1" s="1"/>
  <c r="BG19" i="1" a="1"/>
  <c r="BG19" i="1" s="1"/>
  <c r="BK19" i="1" s="1"/>
  <c r="BF19" i="1" a="1"/>
  <c r="BF19" i="1"/>
  <c r="BE19" i="1" a="1"/>
  <c r="BE19" i="1"/>
  <c r="BH19" i="1" s="1"/>
  <c r="AE19" i="1"/>
  <c r="D19" i="1"/>
  <c r="C19" i="1"/>
  <c r="B19" i="1"/>
  <c r="BJ18" i="1" a="1"/>
  <c r="BJ18" i="1" s="1"/>
  <c r="BI18" i="1" a="1"/>
  <c r="BI18" i="1" s="1"/>
  <c r="BG18" i="1" a="1"/>
  <c r="BG18" i="1" s="1"/>
  <c r="BK18" i="1" s="1"/>
  <c r="BF18" i="1" a="1"/>
  <c r="BF18" i="1"/>
  <c r="BE18" i="1" a="1"/>
  <c r="BE18" i="1"/>
  <c r="BH18" i="1" s="1"/>
  <c r="S18" i="1"/>
  <c r="D18" i="1"/>
  <c r="C18" i="1"/>
  <c r="B18" i="1"/>
  <c r="S17" i="1"/>
  <c r="D17" i="1"/>
  <c r="C17" i="1"/>
  <c r="B17" i="1"/>
  <c r="W16" i="1"/>
  <c r="D16" i="1"/>
  <c r="C16" i="1"/>
  <c r="B16" i="1"/>
  <c r="BJ15" i="1" a="1"/>
  <c r="BJ15" i="1"/>
  <c r="BI15" i="1" a="1"/>
  <c r="BI15" i="1" s="1"/>
  <c r="BG15" i="1" a="1"/>
  <c r="BG15" i="1"/>
  <c r="BF15" i="1" a="1"/>
  <c r="BF15" i="1" s="1"/>
  <c r="BE15" i="1" a="1"/>
  <c r="BE15" i="1"/>
  <c r="W15" i="1"/>
  <c r="D15" i="1"/>
  <c r="C15" i="1"/>
  <c r="B15" i="1"/>
  <c r="BJ14" i="1" a="1"/>
  <c r="BJ14" i="1"/>
  <c r="BI14" i="1" a="1"/>
  <c r="BI14" i="1"/>
  <c r="BG14" i="1" a="1"/>
  <c r="BG14" i="1"/>
  <c r="BF14" i="1" a="1"/>
  <c r="BF14" i="1" s="1"/>
  <c r="BE14" i="1" a="1"/>
  <c r="BE14" i="1"/>
  <c r="S14" i="1"/>
  <c r="D14" i="1"/>
  <c r="C14" i="1"/>
  <c r="B14" i="1"/>
  <c r="BJ13" i="1" a="1"/>
  <c r="BJ13" i="1"/>
  <c r="BI13" i="1" a="1"/>
  <c r="BI13" i="1" s="1"/>
  <c r="BG13" i="1" a="1"/>
  <c r="BG13" i="1"/>
  <c r="BF13" i="1" a="1"/>
  <c r="BF13" i="1" s="1"/>
  <c r="BE13" i="1" a="1"/>
  <c r="BE13" i="1"/>
  <c r="S13" i="1"/>
  <c r="D13" i="1"/>
  <c r="C13" i="1"/>
  <c r="B13" i="1"/>
  <c r="BJ12" i="1" a="1"/>
  <c r="BJ12" i="1" s="1"/>
  <c r="BI12" i="1" a="1"/>
  <c r="BI12" i="1" s="1"/>
  <c r="BG12" i="1" a="1"/>
  <c r="BG12" i="1"/>
  <c r="BF12" i="1" a="1"/>
  <c r="BF12" i="1" s="1"/>
  <c r="BE12" i="1" a="1"/>
  <c r="BE12" i="1"/>
  <c r="AA12" i="1"/>
  <c r="D12" i="1"/>
  <c r="C12" i="1"/>
  <c r="B12" i="1"/>
  <c r="AA11" i="1"/>
  <c r="D11" i="1"/>
  <c r="C11" i="1"/>
  <c r="B11" i="1"/>
  <c r="S10" i="1"/>
  <c r="D10" i="1"/>
  <c r="C10" i="1"/>
  <c r="B10" i="1"/>
  <c r="BJ9" i="1" a="1"/>
  <c r="BJ9" i="1" s="1"/>
  <c r="BI9" i="1" a="1"/>
  <c r="BI9" i="1" s="1"/>
  <c r="BG9" i="1" a="1"/>
  <c r="BG9" i="1" s="1"/>
  <c r="BF9" i="1" a="1"/>
  <c r="BF9" i="1"/>
  <c r="BE9" i="1" a="1"/>
  <c r="BE9" i="1" s="1"/>
  <c r="S9" i="1"/>
  <c r="D9" i="1"/>
  <c r="C9" i="1"/>
  <c r="B9" i="1"/>
  <c r="BJ8" i="1" a="1"/>
  <c r="BJ8" i="1" s="1"/>
  <c r="BI8" i="1" a="1"/>
  <c r="BI8" i="1" s="1"/>
  <c r="BG8" i="1" a="1"/>
  <c r="BG8" i="1" s="1"/>
  <c r="BF8" i="1" a="1"/>
  <c r="BF8" i="1"/>
  <c r="BE8" i="1" a="1"/>
  <c r="BE8" i="1" s="1"/>
  <c r="W8" i="1"/>
  <c r="D8" i="1"/>
  <c r="C8" i="1"/>
  <c r="B8" i="1"/>
  <c r="BJ7" i="1" a="1"/>
  <c r="BJ7" i="1" s="1"/>
  <c r="BI7" i="1" a="1"/>
  <c r="BI7" i="1" s="1"/>
  <c r="BG7" i="1" a="1"/>
  <c r="BG7" i="1" s="1"/>
  <c r="BF7" i="1" a="1"/>
  <c r="BF7" i="1"/>
  <c r="BE7" i="1" a="1"/>
  <c r="BE7" i="1" s="1"/>
  <c r="W7" i="1"/>
  <c r="D7" i="1"/>
  <c r="C7" i="1"/>
  <c r="B7" i="1"/>
  <c r="BJ6" i="1" a="1"/>
  <c r="BJ6" i="1" s="1"/>
  <c r="BI6" i="1" a="1"/>
  <c r="BI6" i="1" s="1"/>
  <c r="BG6" i="1" a="1"/>
  <c r="BG6" i="1" s="1"/>
  <c r="BF6" i="1" a="1"/>
  <c r="BF6" i="1"/>
  <c r="BE6" i="1" a="1"/>
  <c r="BE6" i="1" s="1"/>
  <c r="S6" i="1"/>
  <c r="D6" i="1"/>
  <c r="C6" i="1"/>
  <c r="B6" i="1"/>
  <c r="S5" i="1"/>
  <c r="D5" i="1"/>
  <c r="C5" i="1"/>
  <c r="B5" i="1"/>
  <c r="A2" i="1"/>
  <c r="T119" i="3"/>
  <c r="S119" i="3"/>
  <c r="R119" i="3"/>
  <c r="Q119" i="3"/>
  <c r="P119" i="3"/>
  <c r="O119" i="3"/>
  <c r="N119" i="3"/>
  <c r="M119" i="3"/>
  <c r="L119" i="3"/>
  <c r="K119" i="3"/>
  <c r="J119" i="3"/>
  <c r="T118" i="3"/>
  <c r="S118" i="3"/>
  <c r="R118" i="3"/>
  <c r="Q118" i="3"/>
  <c r="P118" i="3"/>
  <c r="O118" i="3"/>
  <c r="N118" i="3"/>
  <c r="M118" i="3"/>
  <c r="L118" i="3"/>
  <c r="K118" i="3"/>
  <c r="J118" i="3"/>
  <c r="T117" i="3"/>
  <c r="S117" i="3"/>
  <c r="R117" i="3"/>
  <c r="Q117" i="3"/>
  <c r="P117" i="3"/>
  <c r="O117" i="3"/>
  <c r="N117" i="3"/>
  <c r="M117" i="3"/>
  <c r="L117" i="3"/>
  <c r="K117" i="3"/>
  <c r="J117" i="3"/>
  <c r="T116" i="3"/>
  <c r="S116" i="3"/>
  <c r="R116" i="3"/>
  <c r="Q116" i="3"/>
  <c r="P116" i="3"/>
  <c r="O116" i="3"/>
  <c r="N116" i="3"/>
  <c r="M116" i="3"/>
  <c r="L116" i="3"/>
  <c r="K116" i="3"/>
  <c r="J116" i="3"/>
  <c r="T115" i="3"/>
  <c r="S115" i="3"/>
  <c r="R115" i="3"/>
  <c r="Q115" i="3"/>
  <c r="P115" i="3"/>
  <c r="O115" i="3"/>
  <c r="N115" i="3"/>
  <c r="M115" i="3"/>
  <c r="L115" i="3"/>
  <c r="K115" i="3"/>
  <c r="J115" i="3"/>
  <c r="T114" i="3"/>
  <c r="S114" i="3"/>
  <c r="R114" i="3"/>
  <c r="Q114" i="3"/>
  <c r="P114" i="3"/>
  <c r="O114" i="3"/>
  <c r="N114" i="3"/>
  <c r="M114" i="3"/>
  <c r="L114" i="3"/>
  <c r="K114" i="3"/>
  <c r="J114" i="3"/>
  <c r="T113" i="3"/>
  <c r="S113" i="3"/>
  <c r="R113" i="3"/>
  <c r="Q113" i="3"/>
  <c r="P113" i="3"/>
  <c r="O113" i="3"/>
  <c r="N113" i="3"/>
  <c r="M113" i="3"/>
  <c r="L113" i="3"/>
  <c r="K113" i="3"/>
  <c r="J113" i="3"/>
  <c r="T112" i="3"/>
  <c r="S112" i="3"/>
  <c r="R112" i="3"/>
  <c r="Q112" i="3"/>
  <c r="P112" i="3"/>
  <c r="O112" i="3"/>
  <c r="N112" i="3"/>
  <c r="M112" i="3"/>
  <c r="L112" i="3"/>
  <c r="K112" i="3"/>
  <c r="J112" i="3"/>
  <c r="T111" i="3"/>
  <c r="S111" i="3"/>
  <c r="R111" i="3"/>
  <c r="Q111" i="3"/>
  <c r="P111" i="3"/>
  <c r="O111" i="3"/>
  <c r="N111" i="3"/>
  <c r="M111" i="3"/>
  <c r="L111" i="3"/>
  <c r="K111" i="3"/>
  <c r="J111" i="3"/>
  <c r="T110" i="3"/>
  <c r="S110" i="3"/>
  <c r="R110" i="3"/>
  <c r="Q110" i="3"/>
  <c r="P110" i="3"/>
  <c r="O110" i="3"/>
  <c r="N110" i="3"/>
  <c r="M110" i="3"/>
  <c r="L110" i="3"/>
  <c r="K110" i="3"/>
  <c r="J110" i="3"/>
  <c r="T109" i="3"/>
  <c r="S109" i="3"/>
  <c r="R109" i="3"/>
  <c r="Q109" i="3"/>
  <c r="P109" i="3"/>
  <c r="O109" i="3"/>
  <c r="N109" i="3"/>
  <c r="M109" i="3"/>
  <c r="L109" i="3"/>
  <c r="K109" i="3"/>
  <c r="J109" i="3"/>
  <c r="BH27" i="1" l="1"/>
  <c r="BH9" i="1"/>
  <c r="BH7" i="1"/>
  <c r="L115" i="2"/>
  <c r="BH6" i="1"/>
  <c r="BK7" i="1"/>
  <c r="K115" i="2"/>
  <c r="BK6" i="1"/>
  <c r="BH8" i="1"/>
  <c r="BK9" i="1"/>
  <c r="BN9" i="1" s="1" a="1"/>
  <c r="BK8" i="1"/>
  <c r="BK67" i="1"/>
  <c r="BH68" i="1"/>
  <c r="I116" i="2"/>
  <c r="L116" i="2"/>
  <c r="BK74" i="1"/>
  <c r="BK75" i="1"/>
  <c r="F118" i="2"/>
  <c r="G116" i="2"/>
  <c r="G118" i="2"/>
  <c r="J118" i="2"/>
  <c r="D115" i="2"/>
  <c r="J116" i="2"/>
  <c r="F115" i="2"/>
  <c r="K116" i="2"/>
  <c r="G115" i="2"/>
  <c r="BK72" i="1"/>
  <c r="D111" i="2"/>
  <c r="F111" i="2"/>
  <c r="G111" i="2"/>
  <c r="I109" i="2"/>
  <c r="I111" i="2"/>
  <c r="D116" i="2"/>
  <c r="I117" i="2"/>
  <c r="H111" i="2"/>
  <c r="C117" i="2"/>
  <c r="L109" i="2"/>
  <c r="J111" i="2"/>
  <c r="F116" i="2"/>
  <c r="J117" i="2"/>
  <c r="K111" i="2"/>
  <c r="L111" i="2"/>
  <c r="BH72" i="1"/>
  <c r="BK73" i="1"/>
  <c r="D110" i="2"/>
  <c r="E111" i="2"/>
  <c r="D112" i="2"/>
  <c r="E116" i="2"/>
  <c r="G110" i="2"/>
  <c r="H112" i="2"/>
  <c r="BH74" i="1"/>
  <c r="F110" i="2"/>
  <c r="E112" i="2"/>
  <c r="H110" i="2"/>
  <c r="E109" i="2"/>
  <c r="J110" i="2"/>
  <c r="K110" i="2"/>
  <c r="L110" i="2"/>
  <c r="BO21" i="1" a="1"/>
  <c r="BO21" i="1" s="1"/>
  <c r="BN21" i="1" a="1"/>
  <c r="BN21" i="1" s="1"/>
  <c r="BM21" i="1" a="1"/>
  <c r="BM21" i="1" s="1"/>
  <c r="BK24" i="1"/>
  <c r="BH24" i="1"/>
  <c r="BK14" i="1"/>
  <c r="BH14" i="1"/>
  <c r="BO60" i="1" a="1"/>
  <c r="BO60" i="1" s="1"/>
  <c r="BN60" i="1" a="1"/>
  <c r="BN60" i="1" s="1"/>
  <c r="BM60" i="1" a="1"/>
  <c r="BM60" i="1" s="1"/>
  <c r="BL61" i="1" s="1"/>
  <c r="J46" i="6"/>
  <c r="J36" i="6"/>
  <c r="J26" i="6"/>
  <c r="J16" i="6"/>
  <c r="J6" i="6"/>
  <c r="J43" i="6"/>
  <c r="J33" i="6"/>
  <c r="J23" i="6"/>
  <c r="J13" i="6"/>
  <c r="J50" i="6"/>
  <c r="J40" i="6"/>
  <c r="J30" i="6"/>
  <c r="J20" i="6"/>
  <c r="J10" i="6"/>
  <c r="J47" i="6"/>
  <c r="J37" i="6"/>
  <c r="J27" i="6"/>
  <c r="J17" i="6"/>
  <c r="J7" i="6"/>
  <c r="J44" i="6"/>
  <c r="J34" i="6"/>
  <c r="J24" i="6"/>
  <c r="J14" i="6"/>
  <c r="J4" i="6"/>
  <c r="J51" i="6"/>
  <c r="J41" i="6"/>
  <c r="J31" i="6"/>
  <c r="J21" i="6"/>
  <c r="J11" i="6"/>
  <c r="J48" i="6"/>
  <c r="J38" i="6"/>
  <c r="J28" i="6"/>
  <c r="J18" i="6"/>
  <c r="J8" i="6"/>
  <c r="J45" i="6"/>
  <c r="J35" i="6"/>
  <c r="J42" i="6"/>
  <c r="J49" i="6"/>
  <c r="J39" i="6"/>
  <c r="J29" i="6"/>
  <c r="J19" i="6"/>
  <c r="J9" i="6"/>
  <c r="J32" i="6"/>
  <c r="J22" i="6"/>
  <c r="J12" i="6"/>
  <c r="J5" i="6"/>
  <c r="J15" i="6"/>
  <c r="J25" i="6"/>
  <c r="BK26" i="1"/>
  <c r="BH26" i="1"/>
  <c r="BK44" i="1"/>
  <c r="BH44" i="1"/>
  <c r="BO6" i="1" a="1"/>
  <c r="BM6" i="1" a="1"/>
  <c r="BN8" i="1" a="1"/>
  <c r="BO9" i="1" a="1"/>
  <c r="BM9" i="1" a="1"/>
  <c r="BM45" i="1" a="1"/>
  <c r="BM45" i="1" s="1"/>
  <c r="BK13" i="1"/>
  <c r="BH13" i="1"/>
  <c r="F48" i="6" a="1"/>
  <c r="F48" i="6" s="1"/>
  <c r="G45" i="6"/>
  <c r="F38" i="6" a="1"/>
  <c r="F38" i="6" s="1"/>
  <c r="G35" i="6"/>
  <c r="F28" i="6" a="1"/>
  <c r="F28" i="6" s="1"/>
  <c r="G25" i="6"/>
  <c r="F18" i="6" a="1"/>
  <c r="F18" i="6" s="1"/>
  <c r="G15" i="6"/>
  <c r="F8" i="6" a="1"/>
  <c r="F8" i="6" s="1"/>
  <c r="G5" i="6"/>
  <c r="F45" i="6" a="1"/>
  <c r="F45" i="6" s="1"/>
  <c r="G42" i="6"/>
  <c r="F35" i="6" a="1"/>
  <c r="F35" i="6" s="1"/>
  <c r="G32" i="6"/>
  <c r="F25" i="6" a="1"/>
  <c r="F25" i="6" s="1"/>
  <c r="G22" i="6"/>
  <c r="F15" i="6" a="1"/>
  <c r="F15" i="6" s="1"/>
  <c r="G12" i="6"/>
  <c r="F5" i="6" a="1"/>
  <c r="F5" i="6" s="1"/>
  <c r="G49" i="6"/>
  <c r="F42" i="6" a="1"/>
  <c r="F42" i="6" s="1"/>
  <c r="G39" i="6"/>
  <c r="F32" i="6" a="1"/>
  <c r="F32" i="6" s="1"/>
  <c r="G29" i="6"/>
  <c r="F22" i="6" a="1"/>
  <c r="F22" i="6" s="1"/>
  <c r="G19" i="6"/>
  <c r="F12" i="6" a="1"/>
  <c r="F12" i="6" s="1"/>
  <c r="G9" i="6"/>
  <c r="F49" i="6" a="1"/>
  <c r="F49" i="6" s="1"/>
  <c r="G46" i="6"/>
  <c r="F39" i="6" a="1"/>
  <c r="F39" i="6" s="1"/>
  <c r="G36" i="6"/>
  <c r="F29" i="6" a="1"/>
  <c r="F29" i="6" s="1"/>
  <c r="G26" i="6"/>
  <c r="F19" i="6" a="1"/>
  <c r="F19" i="6" s="1"/>
  <c r="G16" i="6"/>
  <c r="F9" i="6" a="1"/>
  <c r="F9" i="6" s="1"/>
  <c r="F46" i="6" a="1"/>
  <c r="F46" i="6" s="1"/>
  <c r="G43" i="6"/>
  <c r="F36" i="6" a="1"/>
  <c r="F36" i="6" s="1"/>
  <c r="G33" i="6"/>
  <c r="F26" i="6" a="1"/>
  <c r="F26" i="6" s="1"/>
  <c r="G23" i="6"/>
  <c r="F16" i="6" a="1"/>
  <c r="F16" i="6" s="1"/>
  <c r="G13" i="6"/>
  <c r="F6" i="6" a="1"/>
  <c r="F6" i="6" s="1"/>
  <c r="G50" i="6"/>
  <c r="F43" i="6" a="1"/>
  <c r="F43" i="6" s="1"/>
  <c r="G40" i="6"/>
  <c r="F33" i="6" a="1"/>
  <c r="F33" i="6" s="1"/>
  <c r="G30" i="6"/>
  <c r="F23" i="6" a="1"/>
  <c r="F23" i="6" s="1"/>
  <c r="G20" i="6"/>
  <c r="F13" i="6" a="1"/>
  <c r="F13" i="6" s="1"/>
  <c r="G10" i="6"/>
  <c r="F50" i="6" a="1"/>
  <c r="F50" i="6" s="1"/>
  <c r="G47" i="6"/>
  <c r="F40" i="6" a="1"/>
  <c r="F40" i="6" s="1"/>
  <c r="G37" i="6"/>
  <c r="F30" i="6" a="1"/>
  <c r="F30" i="6" s="1"/>
  <c r="G27" i="6"/>
  <c r="F20" i="6" a="1"/>
  <c r="F20" i="6" s="1"/>
  <c r="G17" i="6"/>
  <c r="F10" i="6" a="1"/>
  <c r="F10" i="6" s="1"/>
  <c r="G7" i="6"/>
  <c r="F47" i="6" a="1"/>
  <c r="F47" i="6" s="1"/>
  <c r="G44" i="6"/>
  <c r="F37" i="6" a="1"/>
  <c r="F37" i="6" s="1"/>
  <c r="G51" i="6"/>
  <c r="F44" i="6" a="1"/>
  <c r="F44" i="6" s="1"/>
  <c r="G41" i="6"/>
  <c r="F51" i="6" a="1"/>
  <c r="F51" i="6" s="1"/>
  <c r="G48" i="6"/>
  <c r="F41" i="6" a="1"/>
  <c r="F41" i="6" s="1"/>
  <c r="G38" i="6"/>
  <c r="F31" i="6" a="1"/>
  <c r="F31" i="6" s="1"/>
  <c r="G28" i="6"/>
  <c r="F21" i="6" a="1"/>
  <c r="F21" i="6" s="1"/>
  <c r="G18" i="6"/>
  <c r="F11" i="6" a="1"/>
  <c r="F11" i="6" s="1"/>
  <c r="G8" i="6"/>
  <c r="G34" i="6"/>
  <c r="F14" i="6" a="1"/>
  <c r="F14" i="6" s="1"/>
  <c r="G11" i="6"/>
  <c r="G4" i="6"/>
  <c r="F34" i="6" a="1"/>
  <c r="F34" i="6" s="1"/>
  <c r="G31" i="6"/>
  <c r="F17" i="6" a="1"/>
  <c r="F17" i="6" s="1"/>
  <c r="G24" i="6"/>
  <c r="G21" i="6"/>
  <c r="F24" i="6" a="1"/>
  <c r="F24" i="6" s="1"/>
  <c r="F27" i="6" a="1"/>
  <c r="F27" i="6" s="1"/>
  <c r="F7" i="6" a="1"/>
  <c r="F7" i="6" s="1"/>
  <c r="G14" i="6"/>
  <c r="F4" i="6" a="1"/>
  <c r="F4" i="6" s="1"/>
  <c r="G6" i="6"/>
  <c r="BN18" i="1" a="1"/>
  <c r="BN18" i="1" s="1"/>
  <c r="BM18" i="1" a="1"/>
  <c r="BM18" i="1" s="1"/>
  <c r="BL18" i="1" s="1"/>
  <c r="BO18" i="1" a="1"/>
  <c r="BO18" i="1" s="1"/>
  <c r="BL21" i="1" s="1"/>
  <c r="BN32" i="1" a="1"/>
  <c r="BN32" i="1" s="1"/>
  <c r="BM32" i="1" a="1"/>
  <c r="BM32" i="1" s="1"/>
  <c r="BO32" i="1" a="1"/>
  <c r="BO32" i="1" s="1"/>
  <c r="BN7" i="1" a="1"/>
  <c r="BO8" i="1" a="1"/>
  <c r="BM8" i="1" a="1"/>
  <c r="BK25" i="1"/>
  <c r="BH25" i="1"/>
  <c r="BH32" i="1"/>
  <c r="BK12" i="1"/>
  <c r="BH12" i="1"/>
  <c r="BN19" i="1" a="1"/>
  <c r="BN19" i="1" s="1"/>
  <c r="BM19" i="1" a="1"/>
  <c r="BM19" i="1" s="1"/>
  <c r="BL19" i="1" s="1"/>
  <c r="BO19" i="1" a="1"/>
  <c r="BO19" i="1" s="1"/>
  <c r="BH21" i="1"/>
  <c r="BO30" i="1" a="1"/>
  <c r="BO30" i="1" s="1"/>
  <c r="BL30" i="1" s="1"/>
  <c r="BN30" i="1" a="1"/>
  <c r="BN30" i="1" s="1"/>
  <c r="BL33" i="1" s="1"/>
  <c r="BM30" i="1" a="1"/>
  <c r="BM30" i="1" s="1"/>
  <c r="BL32" i="1" s="1"/>
  <c r="BK15" i="1"/>
  <c r="BH15" i="1"/>
  <c r="BO31" i="1" a="1"/>
  <c r="BO31" i="1" s="1"/>
  <c r="BN33" i="1" a="1"/>
  <c r="BN33" i="1" s="1"/>
  <c r="BN31" i="1" a="1"/>
  <c r="BN31" i="1" s="1"/>
  <c r="BL31" i="1" s="1"/>
  <c r="BN6" i="1" a="1"/>
  <c r="BO7" i="1" a="1"/>
  <c r="BM7" i="1" a="1"/>
  <c r="BN20" i="1" a="1"/>
  <c r="BN20" i="1" s="1"/>
  <c r="BM20" i="1" a="1"/>
  <c r="BM20" i="1" s="1"/>
  <c r="BL20" i="1" s="1"/>
  <c r="BO20" i="1" a="1"/>
  <c r="BO20" i="1" s="1"/>
  <c r="BO33" i="1" a="1"/>
  <c r="BO33" i="1" s="1"/>
  <c r="L50" i="6"/>
  <c r="L40" i="6"/>
  <c r="L30" i="6"/>
  <c r="L20" i="6"/>
  <c r="L10" i="6"/>
  <c r="L47" i="6"/>
  <c r="L37" i="6"/>
  <c r="L27" i="6"/>
  <c r="L17" i="6"/>
  <c r="L7" i="6"/>
  <c r="L44" i="6"/>
  <c r="L34" i="6"/>
  <c r="L24" i="6"/>
  <c r="L14" i="6"/>
  <c r="L4" i="6"/>
  <c r="L51" i="6"/>
  <c r="L41" i="6"/>
  <c r="L31" i="6"/>
  <c r="L21" i="6"/>
  <c r="L11" i="6"/>
  <c r="L48" i="6"/>
  <c r="L38" i="6"/>
  <c r="L28" i="6"/>
  <c r="L18" i="6"/>
  <c r="L8" i="6"/>
  <c r="L45" i="6"/>
  <c r="L35" i="6"/>
  <c r="L25" i="6"/>
  <c r="L15" i="6"/>
  <c r="L42" i="6"/>
  <c r="L32" i="6"/>
  <c r="L22" i="6"/>
  <c r="L12" i="6"/>
  <c r="L49" i="6"/>
  <c r="L39" i="6"/>
  <c r="L46" i="6"/>
  <c r="L36" i="6"/>
  <c r="L43" i="6"/>
  <c r="L33" i="6"/>
  <c r="L23" i="6"/>
  <c r="L13" i="6"/>
  <c r="L9" i="6"/>
  <c r="L29" i="6"/>
  <c r="L26" i="6"/>
  <c r="L6" i="6"/>
  <c r="L5" i="6"/>
  <c r="L16" i="6"/>
  <c r="L19" i="6"/>
  <c r="BO45" i="1" a="1"/>
  <c r="BO45" i="1" s="1"/>
  <c r="BH54" i="1"/>
  <c r="BH67" i="1"/>
  <c r="BH73" i="1"/>
  <c r="BN54" i="1" a="1"/>
  <c r="BN54" i="1" s="1"/>
  <c r="BM54" i="1" a="1"/>
  <c r="BM54" i="1" s="1"/>
  <c r="BL54" i="1" s="1"/>
  <c r="BL57" i="1"/>
  <c r="BL56" i="1"/>
  <c r="BO54" i="1" a="1"/>
  <c r="BO54" i="1" s="1"/>
  <c r="BO73" i="1" a="1"/>
  <c r="BO73" i="1" s="1"/>
  <c r="BN73" i="1" a="1"/>
  <c r="BN73" i="1" s="1"/>
  <c r="BM73" i="1" a="1"/>
  <c r="BM73" i="1" s="1"/>
  <c r="BM36" i="1" a="1"/>
  <c r="BM36" i="1" s="1"/>
  <c r="BN43" i="1" a="1"/>
  <c r="BN43" i="1" s="1"/>
  <c r="BK66" i="1"/>
  <c r="BH66" i="1"/>
  <c r="BM74" i="1" a="1"/>
  <c r="BM74" i="1" s="1"/>
  <c r="BO74" i="1" a="1"/>
  <c r="BO74" i="1" s="1"/>
  <c r="BN74" i="1" a="1"/>
  <c r="BN74" i="1" s="1"/>
  <c r="H42" i="6"/>
  <c r="H32" i="6"/>
  <c r="H22" i="6"/>
  <c r="H12" i="6"/>
  <c r="H49" i="6"/>
  <c r="H39" i="6"/>
  <c r="H29" i="6"/>
  <c r="H19" i="6"/>
  <c r="H9" i="6"/>
  <c r="H46" i="6"/>
  <c r="H36" i="6"/>
  <c r="H26" i="6"/>
  <c r="H16" i="6"/>
  <c r="H6" i="6"/>
  <c r="H43" i="6"/>
  <c r="H33" i="6"/>
  <c r="H23" i="6"/>
  <c r="H13" i="6"/>
  <c r="H50" i="6"/>
  <c r="H40" i="6"/>
  <c r="H30" i="6"/>
  <c r="H20" i="6"/>
  <c r="H10" i="6"/>
  <c r="H47" i="6"/>
  <c r="H37" i="6"/>
  <c r="H27" i="6"/>
  <c r="H17" i="6"/>
  <c r="H44" i="6"/>
  <c r="H34" i="6"/>
  <c r="H24" i="6"/>
  <c r="H14" i="6"/>
  <c r="H51" i="6"/>
  <c r="H41" i="6"/>
  <c r="H48" i="6"/>
  <c r="H38" i="6"/>
  <c r="H45" i="6"/>
  <c r="H35" i="6"/>
  <c r="H25" i="6"/>
  <c r="H15" i="6"/>
  <c r="H31" i="6"/>
  <c r="H28" i="6"/>
  <c r="H8" i="6"/>
  <c r="H5" i="6"/>
  <c r="H21" i="6"/>
  <c r="H18" i="6"/>
  <c r="H4" i="6"/>
  <c r="H11" i="6"/>
  <c r="H7" i="6"/>
  <c r="BN36" i="1" a="1"/>
  <c r="BN36" i="1" s="1"/>
  <c r="BL39" i="1" s="1"/>
  <c r="BN55" i="1" a="1"/>
  <c r="BN55" i="1" s="1"/>
  <c r="BM55" i="1" a="1"/>
  <c r="BM55" i="1" s="1"/>
  <c r="BO55" i="1" a="1"/>
  <c r="BO55" i="1" s="1"/>
  <c r="BH56" i="1"/>
  <c r="BO61" i="1" a="1"/>
  <c r="BO61" i="1" s="1"/>
  <c r="BN61" i="1" a="1"/>
  <c r="BN61" i="1" s="1"/>
  <c r="BM61" i="1" a="1"/>
  <c r="BM61" i="1" s="1"/>
  <c r="BK68" i="1"/>
  <c r="BM37" i="1" a="1"/>
  <c r="BM37" i="1" s="1"/>
  <c r="BL37" i="1" s="1"/>
  <c r="BK69" i="1"/>
  <c r="BH69" i="1"/>
  <c r="BO36" i="1" a="1"/>
  <c r="BO36" i="1" s="1"/>
  <c r="BN37" i="1" a="1"/>
  <c r="BN37" i="1" s="1"/>
  <c r="BN56" i="1" a="1"/>
  <c r="BN56" i="1" s="1"/>
  <c r="BM56" i="1" a="1"/>
  <c r="BM56" i="1" s="1"/>
  <c r="BO56" i="1" a="1"/>
  <c r="BO56" i="1" s="1"/>
  <c r="BH60" i="1"/>
  <c r="BO62" i="1" a="1"/>
  <c r="BO62" i="1" s="1"/>
  <c r="BN62" i="1" a="1"/>
  <c r="BN62" i="1" s="1"/>
  <c r="BM62" i="1" a="1"/>
  <c r="BM62" i="1" s="1"/>
  <c r="BK27" i="1"/>
  <c r="BM38" i="1" a="1"/>
  <c r="BM38" i="1" s="1"/>
  <c r="BL38" i="1" s="1"/>
  <c r="BM43" i="1" a="1"/>
  <c r="BM43" i="1" s="1"/>
  <c r="BO72" i="1" a="1"/>
  <c r="BO72" i="1" s="1"/>
  <c r="I49" i="6"/>
  <c r="I39" i="6"/>
  <c r="I29" i="6"/>
  <c r="I19" i="6"/>
  <c r="I9" i="6"/>
  <c r="I46" i="6"/>
  <c r="I36" i="6"/>
  <c r="I26" i="6"/>
  <c r="I16" i="6"/>
  <c r="I6" i="6"/>
  <c r="I43" i="6"/>
  <c r="I33" i="6"/>
  <c r="I23" i="6"/>
  <c r="I13" i="6"/>
  <c r="I50" i="6"/>
  <c r="I40" i="6"/>
  <c r="I30" i="6"/>
  <c r="I20" i="6"/>
  <c r="I10" i="6"/>
  <c r="I47" i="6"/>
  <c r="I37" i="6"/>
  <c r="I27" i="6"/>
  <c r="I17" i="6"/>
  <c r="I7" i="6"/>
  <c r="I44" i="6"/>
  <c r="I34" i="6"/>
  <c r="I24" i="6"/>
  <c r="I14" i="6"/>
  <c r="I51" i="6"/>
  <c r="I41" i="6"/>
  <c r="I31" i="6"/>
  <c r="I21" i="6"/>
  <c r="I11" i="6"/>
  <c r="I48" i="6"/>
  <c r="I38" i="6"/>
  <c r="I45" i="6"/>
  <c r="I42" i="6"/>
  <c r="I32" i="6"/>
  <c r="I22" i="6"/>
  <c r="I12" i="6"/>
  <c r="I25" i="6"/>
  <c r="I15" i="6"/>
  <c r="I35" i="6"/>
  <c r="I18" i="6"/>
  <c r="I28" i="6"/>
  <c r="I8" i="6"/>
  <c r="I5" i="6"/>
  <c r="I4" i="6"/>
  <c r="BO37" i="1" a="1"/>
  <c r="BO37" i="1" s="1"/>
  <c r="BN38" i="1" a="1"/>
  <c r="BN38" i="1" s="1"/>
  <c r="BN57" i="1" a="1"/>
  <c r="BN57" i="1" s="1"/>
  <c r="BM57" i="1" a="1"/>
  <c r="BM57" i="1" s="1"/>
  <c r="BO57" i="1" a="1"/>
  <c r="BO57" i="1" s="1"/>
  <c r="BO63" i="1" a="1"/>
  <c r="BO63" i="1" s="1"/>
  <c r="BN63" i="1" a="1"/>
  <c r="BN63" i="1" s="1"/>
  <c r="BM63" i="1" a="1"/>
  <c r="BM63" i="1" s="1"/>
  <c r="BO75" i="1" a="1"/>
  <c r="BO75" i="1" s="1"/>
  <c r="G119" i="2"/>
  <c r="J119" i="2"/>
  <c r="D119" i="2"/>
  <c r="C119" i="2"/>
  <c r="L119" i="2"/>
  <c r="I119" i="2"/>
  <c r="H119" i="2"/>
  <c r="F119" i="2"/>
  <c r="E119" i="2"/>
  <c r="K119" i="2"/>
  <c r="BM72" i="1" a="1"/>
  <c r="BM72" i="1" s="1"/>
  <c r="BM75" i="1" a="1"/>
  <c r="BM75" i="1" s="1"/>
  <c r="BL48" i="1"/>
  <c r="BL49" i="1"/>
  <c r="BL50" i="1"/>
  <c r="BL51" i="1"/>
  <c r="BN72" i="1" a="1"/>
  <c r="BN72" i="1" s="1"/>
  <c r="BN75" i="1" a="1"/>
  <c r="BN75" i="1" s="1"/>
  <c r="BH75" i="1"/>
  <c r="P13" i="2"/>
  <c r="K43" i="6"/>
  <c r="K33" i="6"/>
  <c r="K23" i="6"/>
  <c r="K13" i="6"/>
  <c r="K50" i="6"/>
  <c r="K40" i="6"/>
  <c r="K30" i="6"/>
  <c r="K20" i="6"/>
  <c r="K10" i="6"/>
  <c r="K47" i="6"/>
  <c r="K37" i="6"/>
  <c r="K27" i="6"/>
  <c r="K17" i="6"/>
  <c r="K7" i="6"/>
  <c r="K44" i="6"/>
  <c r="K34" i="6"/>
  <c r="K24" i="6"/>
  <c r="K14" i="6"/>
  <c r="K51" i="6"/>
  <c r="K41" i="6"/>
  <c r="K31" i="6"/>
  <c r="K21" i="6"/>
  <c r="K11" i="6"/>
  <c r="K48" i="6"/>
  <c r="K38" i="6"/>
  <c r="K28" i="6"/>
  <c r="K18" i="6"/>
  <c r="K45" i="6"/>
  <c r="K35" i="6"/>
  <c r="K25" i="6"/>
  <c r="K15" i="6"/>
  <c r="K42" i="6"/>
  <c r="K49" i="6"/>
  <c r="K39" i="6"/>
  <c r="K46" i="6"/>
  <c r="K36" i="6"/>
  <c r="K26" i="6"/>
  <c r="K16" i="6"/>
  <c r="K12" i="6"/>
  <c r="K32" i="6"/>
  <c r="K29" i="6"/>
  <c r="K22" i="6"/>
  <c r="K4" i="6"/>
  <c r="K5" i="6"/>
  <c r="K19" i="6"/>
  <c r="K6" i="6"/>
  <c r="K9" i="6"/>
  <c r="K8" i="6"/>
  <c r="O51" i="6"/>
  <c r="O41" i="6"/>
  <c r="O31" i="6"/>
  <c r="O21" i="6"/>
  <c r="O11" i="6"/>
  <c r="O48" i="6"/>
  <c r="O38" i="6"/>
  <c r="O28" i="6"/>
  <c r="O18" i="6"/>
  <c r="O8" i="6"/>
  <c r="O45" i="6"/>
  <c r="O35" i="6"/>
  <c r="O25" i="6"/>
  <c r="O15" i="6"/>
  <c r="O5" i="6"/>
  <c r="O42" i="6"/>
  <c r="O32" i="6"/>
  <c r="O22" i="6"/>
  <c r="O12" i="6"/>
  <c r="O49" i="6"/>
  <c r="O39" i="6"/>
  <c r="O29" i="6"/>
  <c r="O19" i="6"/>
  <c r="O9" i="6"/>
  <c r="O46" i="6"/>
  <c r="O36" i="6"/>
  <c r="O26" i="6"/>
  <c r="O16" i="6"/>
  <c r="O43" i="6"/>
  <c r="O33" i="6"/>
  <c r="O23" i="6"/>
  <c r="O13" i="6"/>
  <c r="O50" i="6"/>
  <c r="O40" i="6"/>
  <c r="O47" i="6"/>
  <c r="O37" i="6"/>
  <c r="O44" i="6"/>
  <c r="O34" i="6"/>
  <c r="O24" i="6"/>
  <c r="O14" i="6"/>
  <c r="O17" i="6"/>
  <c r="O10" i="6"/>
  <c r="O6" i="6"/>
  <c r="O30" i="6"/>
  <c r="O27" i="6"/>
  <c r="O7" i="6"/>
  <c r="O4" i="6"/>
  <c r="O20" i="6"/>
  <c r="G114" i="2"/>
  <c r="D114" i="2"/>
  <c r="J114" i="2"/>
  <c r="I114" i="2"/>
  <c r="L114" i="2"/>
  <c r="K114" i="2"/>
  <c r="H114" i="2"/>
  <c r="F114" i="2"/>
  <c r="C114" i="2"/>
  <c r="I113" i="2"/>
  <c r="E113" i="2"/>
  <c r="K113" i="2"/>
  <c r="J113" i="2"/>
  <c r="L113" i="2"/>
  <c r="G113" i="2"/>
  <c r="F113" i="2"/>
  <c r="D113" i="2"/>
  <c r="C113" i="2"/>
  <c r="H113" i="2"/>
  <c r="K112" i="2"/>
  <c r="F112" i="2"/>
  <c r="L112" i="2"/>
  <c r="J112" i="2"/>
  <c r="I118" i="2"/>
  <c r="K118" i="2"/>
  <c r="E118" i="2"/>
  <c r="D118" i="2"/>
  <c r="C112" i="2"/>
  <c r="C118" i="2"/>
  <c r="G109" i="2"/>
  <c r="J109" i="2"/>
  <c r="D109" i="2"/>
  <c r="C109" i="2"/>
  <c r="K117" i="2"/>
  <c r="L117" i="2"/>
  <c r="F117" i="2"/>
  <c r="E117" i="2"/>
  <c r="F109" i="2"/>
  <c r="G112" i="2"/>
  <c r="E115" i="2"/>
  <c r="C115" i="2"/>
  <c r="I115" i="2"/>
  <c r="H115" i="2"/>
  <c r="D117" i="2"/>
  <c r="H118" i="2"/>
  <c r="H109" i="2"/>
  <c r="G117" i="2"/>
  <c r="C110" i="2"/>
  <c r="H116" i="2"/>
  <c r="I110" i="2"/>
  <c r="BM7" i="1" l="1"/>
  <c r="BN6" i="1"/>
  <c r="BM9" i="1"/>
  <c r="BO7" i="1"/>
  <c r="BM8" i="1"/>
  <c r="BO8" i="1"/>
  <c r="BO9" i="1"/>
  <c r="BN8" i="1"/>
  <c r="BM6" i="1"/>
  <c r="BN9" i="1"/>
  <c r="BO6" i="1"/>
  <c r="BN7" i="1"/>
  <c r="M18" i="6"/>
  <c r="N18" i="6" s="1"/>
  <c r="O55" i="3" s="1"/>
  <c r="M12" i="6"/>
  <c r="N12" i="6" s="1"/>
  <c r="K89" i="3" s="1"/>
  <c r="BL74" i="1"/>
  <c r="M24" i="6"/>
  <c r="N24" i="6" s="1"/>
  <c r="J73" i="3" s="1"/>
  <c r="M20" i="6"/>
  <c r="N20" i="6" s="1"/>
  <c r="J49" i="3" s="1"/>
  <c r="M43" i="6"/>
  <c r="N43" i="6" s="1"/>
  <c r="P47" i="3" s="1"/>
  <c r="M16" i="6"/>
  <c r="N16" i="6" s="1"/>
  <c r="N86" i="3" s="1"/>
  <c r="M22" i="6"/>
  <c r="N22" i="6" s="1"/>
  <c r="O75" i="3" s="1"/>
  <c r="M28" i="6"/>
  <c r="N28" i="6" s="1"/>
  <c r="M21" i="6"/>
  <c r="N21" i="6" s="1"/>
  <c r="M35" i="6"/>
  <c r="N35" i="6" s="1"/>
  <c r="M62" i="3" s="1"/>
  <c r="M41" i="6"/>
  <c r="N41" i="6" s="1"/>
  <c r="O38" i="3" s="1"/>
  <c r="BL72" i="1"/>
  <c r="M75" i="1" s="1"/>
  <c r="BL73" i="1"/>
  <c r="AR83" i="1"/>
  <c r="AQ83" i="1"/>
  <c r="AO83" i="1"/>
  <c r="AS83" i="1"/>
  <c r="AP83" i="1"/>
  <c r="BU83" i="1"/>
  <c r="Q22" i="1"/>
  <c r="P21" i="1"/>
  <c r="P20" i="1"/>
  <c r="P19" i="1"/>
  <c r="P22" i="1"/>
  <c r="O21" i="1"/>
  <c r="O20" i="1"/>
  <c r="O19" i="1"/>
  <c r="O22" i="1"/>
  <c r="N21" i="1"/>
  <c r="N20" i="1"/>
  <c r="N19" i="1"/>
  <c r="N22" i="1"/>
  <c r="M21" i="1"/>
  <c r="M20" i="1"/>
  <c r="M19" i="1"/>
  <c r="M22" i="1"/>
  <c r="L21" i="1"/>
  <c r="L20" i="1"/>
  <c r="L19" i="1"/>
  <c r="L22" i="1"/>
  <c r="K21" i="1"/>
  <c r="K20" i="1"/>
  <c r="K19" i="1"/>
  <c r="K22" i="1"/>
  <c r="Q21" i="1"/>
  <c r="Q20" i="1"/>
  <c r="Q19" i="1"/>
  <c r="P74" i="1"/>
  <c r="AR85" i="1"/>
  <c r="AQ85" i="1"/>
  <c r="AO85" i="1"/>
  <c r="L34" i="1"/>
  <c r="L33" i="1"/>
  <c r="L32" i="1"/>
  <c r="L31" i="1"/>
  <c r="BU85" i="1"/>
  <c r="K34" i="1"/>
  <c r="K33" i="1"/>
  <c r="K32" i="1"/>
  <c r="K31" i="1"/>
  <c r="AS85" i="1"/>
  <c r="AP85" i="1"/>
  <c r="M34" i="1"/>
  <c r="M32" i="1"/>
  <c r="Q33" i="1"/>
  <c r="P33" i="1"/>
  <c r="Q31" i="1"/>
  <c r="O33" i="1"/>
  <c r="P31" i="1"/>
  <c r="N33" i="1"/>
  <c r="O31" i="1"/>
  <c r="M33" i="1"/>
  <c r="N31" i="1"/>
  <c r="Q34" i="1"/>
  <c r="Q32" i="1"/>
  <c r="M31" i="1"/>
  <c r="N34" i="1"/>
  <c r="N32" i="1"/>
  <c r="O34" i="1"/>
  <c r="P32" i="1"/>
  <c r="O32" i="1"/>
  <c r="P34" i="1"/>
  <c r="AO89" i="1"/>
  <c r="P58" i="1"/>
  <c r="P57" i="1"/>
  <c r="P55" i="1"/>
  <c r="O58" i="1"/>
  <c r="O55" i="1"/>
  <c r="N57" i="1"/>
  <c r="N56" i="1"/>
  <c r="N55" i="1"/>
  <c r="M57" i="1"/>
  <c r="M56" i="1"/>
  <c r="M55" i="1"/>
  <c r="L55" i="1"/>
  <c r="BU89" i="1"/>
  <c r="K58" i="1"/>
  <c r="K56" i="1"/>
  <c r="K55" i="1"/>
  <c r="Q56" i="1"/>
  <c r="Q55" i="1"/>
  <c r="M23" i="6"/>
  <c r="N23" i="6" s="1"/>
  <c r="M39" i="6"/>
  <c r="N39" i="6" s="1"/>
  <c r="M51" i="6"/>
  <c r="N51" i="6" s="1"/>
  <c r="M14" i="6"/>
  <c r="N14" i="6" s="1"/>
  <c r="M33" i="6"/>
  <c r="N33" i="6" s="1"/>
  <c r="M49" i="6"/>
  <c r="N49" i="6" s="1"/>
  <c r="M8" i="6"/>
  <c r="N8" i="6" s="1"/>
  <c r="BM27" i="1" a="1"/>
  <c r="BM27" i="1" s="1"/>
  <c r="BO27" i="1" a="1"/>
  <c r="BO27" i="1" s="1"/>
  <c r="BN27" i="1" a="1"/>
  <c r="BN27" i="1" s="1"/>
  <c r="BL55" i="1"/>
  <c r="O57" i="1" s="1"/>
  <c r="BL62" i="1"/>
  <c r="BM69" i="1" a="1"/>
  <c r="BM69" i="1" s="1"/>
  <c r="BO69" i="1" a="1"/>
  <c r="BO69" i="1" s="1"/>
  <c r="BN69" i="1" a="1"/>
  <c r="BN69" i="1" s="1"/>
  <c r="Q95" i="3"/>
  <c r="Q85" i="3"/>
  <c r="Q75" i="3"/>
  <c r="Q35" i="3"/>
  <c r="Q15" i="3"/>
  <c r="Q84" i="3"/>
  <c r="Q103" i="3"/>
  <c r="Q93" i="3"/>
  <c r="Q102" i="3"/>
  <c r="Q72" i="3"/>
  <c r="Q91" i="3"/>
  <c r="Q67" i="3"/>
  <c r="Q23" i="3"/>
  <c r="Q22" i="3"/>
  <c r="Q21" i="3"/>
  <c r="Q20" i="3"/>
  <c r="Q19" i="3"/>
  <c r="Q18" i="3"/>
  <c r="Q16" i="3"/>
  <c r="Q4" i="3"/>
  <c r="Q59" i="3"/>
  <c r="Q34" i="3"/>
  <c r="Q32" i="3"/>
  <c r="Q28" i="3"/>
  <c r="Q26" i="3"/>
  <c r="Q44" i="3"/>
  <c r="Q42" i="3"/>
  <c r="Q39" i="3"/>
  <c r="Q52" i="3"/>
  <c r="Q48" i="3"/>
  <c r="Q46" i="3"/>
  <c r="Q69" i="3"/>
  <c r="Q100" i="3"/>
  <c r="Q80" i="3"/>
  <c r="Q61" i="3"/>
  <c r="Q56" i="3"/>
  <c r="Q89" i="3"/>
  <c r="Q77" i="3"/>
  <c r="Q96" i="3"/>
  <c r="Q78" i="3"/>
  <c r="Q58" i="3"/>
  <c r="Q98" i="3"/>
  <c r="Q10" i="3"/>
  <c r="Q86" i="3"/>
  <c r="Q71" i="3"/>
  <c r="Q9" i="3"/>
  <c r="BL63" i="1"/>
  <c r="Q25" i="3"/>
  <c r="Q33" i="3"/>
  <c r="Q40" i="3"/>
  <c r="Q36" i="3"/>
  <c r="Q49" i="3"/>
  <c r="Q107" i="3"/>
  <c r="BM42" i="1" a="1"/>
  <c r="BM42" i="1" s="1"/>
  <c r="M4" i="6"/>
  <c r="N4" i="6" s="1"/>
  <c r="M44" i="6"/>
  <c r="N44" i="6" s="1"/>
  <c r="M26" i="6"/>
  <c r="N26" i="6" s="1"/>
  <c r="M32" i="6"/>
  <c r="N32" i="6" s="1"/>
  <c r="M38" i="6"/>
  <c r="N38" i="6" s="1"/>
  <c r="P107" i="3" s="1"/>
  <c r="BO68" i="1" a="1"/>
  <c r="BO68" i="1" s="1"/>
  <c r="BN68" i="1" a="1"/>
  <c r="BN68" i="1" s="1"/>
  <c r="BM68" i="1" a="1"/>
  <c r="BM68" i="1" s="1"/>
  <c r="Q29" i="3"/>
  <c r="Q14" i="3"/>
  <c r="Q45" i="3"/>
  <c r="Q74" i="3"/>
  <c r="Q82" i="3"/>
  <c r="Q13" i="3"/>
  <c r="M7" i="6"/>
  <c r="N7" i="6" s="1"/>
  <c r="M37" i="6"/>
  <c r="N37" i="6" s="1"/>
  <c r="M36" i="6"/>
  <c r="N36" i="6" s="1"/>
  <c r="M42" i="6"/>
  <c r="N42" i="6" s="1"/>
  <c r="BO66" i="1" a="1"/>
  <c r="BO66" i="1" s="1"/>
  <c r="BN66" i="1" a="1"/>
  <c r="BN66" i="1" s="1"/>
  <c r="BM66" i="1" a="1"/>
  <c r="BM66" i="1" s="1"/>
  <c r="BO25" i="1" a="1"/>
  <c r="BO25" i="1" s="1"/>
  <c r="BN25" i="1" a="1"/>
  <c r="BN25" i="1" s="1"/>
  <c r="BM25" i="1" a="1"/>
  <c r="BM25" i="1" s="1"/>
  <c r="Q83" i="3"/>
  <c r="Q31" i="3"/>
  <c r="Q54" i="3"/>
  <c r="Q105" i="3"/>
  <c r="Q65" i="3"/>
  <c r="Q55" i="3"/>
  <c r="Q64" i="3"/>
  <c r="Q92" i="3"/>
  <c r="Q90" i="3"/>
  <c r="Q87" i="3"/>
  <c r="Q63" i="3"/>
  <c r="Q24" i="3"/>
  <c r="Q27" i="3"/>
  <c r="Q108" i="3"/>
  <c r="Q79" i="3"/>
  <c r="Q43" i="3"/>
  <c r="Q41" i="3"/>
  <c r="Q97" i="3"/>
  <c r="Q76" i="3"/>
  <c r="Q73" i="3"/>
  <c r="Q106" i="3"/>
  <c r="Q70" i="3"/>
  <c r="Q6" i="3"/>
  <c r="Q81" i="3"/>
  <c r="Q57" i="3"/>
  <c r="Q5" i="3"/>
  <c r="Q12" i="3"/>
  <c r="M48" i="6"/>
  <c r="N48" i="6" s="1"/>
  <c r="M27" i="6"/>
  <c r="N27" i="6" s="1"/>
  <c r="M47" i="6"/>
  <c r="N47" i="6" s="1"/>
  <c r="M46" i="6"/>
  <c r="N46" i="6" s="1"/>
  <c r="M5" i="6"/>
  <c r="N5" i="6" s="1"/>
  <c r="M11" i="6"/>
  <c r="N11" i="6" s="1"/>
  <c r="BM67" i="1" a="1"/>
  <c r="BM67" i="1" s="1"/>
  <c r="BM13" i="1" a="1"/>
  <c r="BM13" i="1" s="1"/>
  <c r="BN13" i="1" a="1"/>
  <c r="BN13" i="1" s="1"/>
  <c r="BO13" i="1" a="1"/>
  <c r="BO13" i="1" s="1"/>
  <c r="M30" i="6"/>
  <c r="N30" i="6" s="1"/>
  <c r="N20" i="3" s="1"/>
  <c r="M40" i="6"/>
  <c r="N40" i="6" s="1"/>
  <c r="M9" i="6"/>
  <c r="N9" i="6" s="1"/>
  <c r="M15" i="6"/>
  <c r="N15" i="6" s="1"/>
  <c r="BL36" i="1"/>
  <c r="BN67" i="1" a="1"/>
  <c r="BN67" i="1" s="1"/>
  <c r="Q101" i="3"/>
  <c r="Q17" i="3"/>
  <c r="Q8" i="3"/>
  <c r="BM14" i="1" a="1"/>
  <c r="BM14" i="1" s="1"/>
  <c r="BN14" i="1" a="1"/>
  <c r="BN14" i="1" s="1"/>
  <c r="BO14" i="1" a="1"/>
  <c r="BO14" i="1" s="1"/>
  <c r="BO24" i="1" a="1"/>
  <c r="BO24" i="1" s="1"/>
  <c r="BN24" i="1" a="1"/>
  <c r="BN24" i="1" s="1"/>
  <c r="BM24" i="1" a="1"/>
  <c r="BM24" i="1" s="1"/>
  <c r="J29" i="3"/>
  <c r="BM12" i="1" a="1"/>
  <c r="BM12" i="1" s="1"/>
  <c r="BN12" i="1" a="1"/>
  <c r="BN12" i="1" s="1"/>
  <c r="BO12" i="1" a="1"/>
  <c r="BO12" i="1" s="1"/>
  <c r="M34" i="6"/>
  <c r="N34" i="6" s="1"/>
  <c r="AR88" i="1"/>
  <c r="AQ88" i="1"/>
  <c r="AO88" i="1"/>
  <c r="BU88" i="1"/>
  <c r="N52" i="1"/>
  <c r="N51" i="1"/>
  <c r="N50" i="1"/>
  <c r="N49" i="1"/>
  <c r="M52" i="1"/>
  <c r="M51" i="1"/>
  <c r="M50" i="1"/>
  <c r="M49" i="1"/>
  <c r="L52" i="1"/>
  <c r="L51" i="1"/>
  <c r="L50" i="1"/>
  <c r="L49" i="1"/>
  <c r="K52" i="1"/>
  <c r="K51" i="1"/>
  <c r="K50" i="1"/>
  <c r="K49" i="1"/>
  <c r="AS88" i="1"/>
  <c r="AP88" i="1"/>
  <c r="O52" i="1"/>
  <c r="O51" i="1"/>
  <c r="P50" i="1"/>
  <c r="Q49" i="1"/>
  <c r="O50" i="1"/>
  <c r="P49" i="1"/>
  <c r="O49" i="1"/>
  <c r="Q52" i="1"/>
  <c r="Q51" i="1"/>
  <c r="P52" i="1"/>
  <c r="P51" i="1"/>
  <c r="Q50" i="1"/>
  <c r="M6" i="6"/>
  <c r="N6" i="6" s="1"/>
  <c r="M50" i="6"/>
  <c r="N50" i="6" s="1"/>
  <c r="M19" i="6"/>
  <c r="N19" i="6" s="1"/>
  <c r="M25" i="6"/>
  <c r="N25" i="6" s="1"/>
  <c r="M31" i="6"/>
  <c r="N31" i="6" s="1"/>
  <c r="BO67" i="1" a="1"/>
  <c r="BO67" i="1" s="1"/>
  <c r="Q104" i="3"/>
  <c r="Q94" i="3"/>
  <c r="Q62" i="3"/>
  <c r="Q99" i="3"/>
  <c r="Q30" i="3"/>
  <c r="Q68" i="3"/>
  <c r="Q38" i="3"/>
  <c r="Q37" i="3"/>
  <c r="Q88" i="3"/>
  <c r="Q60" i="3"/>
  <c r="Q53" i="3"/>
  <c r="Q51" i="3"/>
  <c r="Q50" i="3"/>
  <c r="Q47" i="3"/>
  <c r="Q7" i="3"/>
  <c r="Q66" i="3"/>
  <c r="Q11" i="3"/>
  <c r="BO44" i="1" a="1"/>
  <c r="BO44" i="1" s="1"/>
  <c r="BN44" i="1" a="1"/>
  <c r="BN44" i="1" s="1"/>
  <c r="BM44" i="1" a="1"/>
  <c r="BM44" i="1" s="1"/>
  <c r="BL44" i="1" s="1"/>
  <c r="BN45" i="1" a="1"/>
  <c r="BN45" i="1" s="1"/>
  <c r="BO43" i="1" a="1"/>
  <c r="BO43" i="1" s="1"/>
  <c r="BL75" i="1"/>
  <c r="O76" i="1" s="1"/>
  <c r="BM15" i="1" a="1"/>
  <c r="BM15" i="1" s="1"/>
  <c r="BN15" i="1" a="1"/>
  <c r="BN15" i="1" s="1"/>
  <c r="BO15" i="1" a="1"/>
  <c r="BO15" i="1" s="1"/>
  <c r="BL60" i="1"/>
  <c r="BN42" i="1" a="1"/>
  <c r="BN42" i="1" s="1"/>
  <c r="N16" i="3"/>
  <c r="N11" i="3"/>
  <c r="M19" i="3"/>
  <c r="L73" i="3"/>
  <c r="M10" i="6"/>
  <c r="N10" i="6" s="1"/>
  <c r="M13" i="6"/>
  <c r="N13" i="6" s="1"/>
  <c r="M29" i="6"/>
  <c r="N29" i="6" s="1"/>
  <c r="N5" i="3"/>
  <c r="N54" i="3"/>
  <c r="N53" i="3"/>
  <c r="M17" i="6"/>
  <c r="N17" i="6" s="1"/>
  <c r="O14" i="3" s="1"/>
  <c r="M45" i="6"/>
  <c r="N45" i="6" s="1"/>
  <c r="BO26" i="1" a="1"/>
  <c r="BO26" i="1" s="1"/>
  <c r="BM26" i="1" a="1"/>
  <c r="BM26" i="1" s="1"/>
  <c r="BN26" i="1" a="1"/>
  <c r="BN26" i="1" s="1"/>
  <c r="BO42" i="1" a="1"/>
  <c r="BO42" i="1" s="1"/>
  <c r="BL26" i="1" l="1"/>
  <c r="BL27" i="1"/>
  <c r="N56" i="3"/>
  <c r="BL25" i="1"/>
  <c r="N63" i="3"/>
  <c r="BL14" i="1"/>
  <c r="M36" i="3"/>
  <c r="N90" i="3"/>
  <c r="BL15" i="1"/>
  <c r="BL13" i="1"/>
  <c r="N48" i="3"/>
  <c r="L47" i="3"/>
  <c r="K34" i="3"/>
  <c r="N49" i="3"/>
  <c r="N25" i="3"/>
  <c r="N26" i="3"/>
  <c r="L79" i="3"/>
  <c r="K100" i="3"/>
  <c r="N17" i="3"/>
  <c r="N104" i="3"/>
  <c r="N71" i="3"/>
  <c r="N105" i="3"/>
  <c r="M104" i="3"/>
  <c r="K80" i="3"/>
  <c r="BL7" i="1"/>
  <c r="O10" i="1" s="1"/>
  <c r="L27" i="3"/>
  <c r="M35" i="3"/>
  <c r="O24" i="3"/>
  <c r="O33" i="3"/>
  <c r="K63" i="3"/>
  <c r="O84" i="3"/>
  <c r="BL6" i="1"/>
  <c r="L54" i="3"/>
  <c r="L72" i="3"/>
  <c r="M85" i="3"/>
  <c r="K15" i="3"/>
  <c r="L101" i="3"/>
  <c r="K99" i="3"/>
  <c r="M107" i="3"/>
  <c r="K95" i="3"/>
  <c r="M4" i="3"/>
  <c r="BL8" i="1"/>
  <c r="J9" i="3"/>
  <c r="J14" i="3"/>
  <c r="K66" i="3"/>
  <c r="L75" i="3"/>
  <c r="M13" i="3"/>
  <c r="K36" i="3"/>
  <c r="K26" i="3"/>
  <c r="J53" i="3"/>
  <c r="M39" i="3"/>
  <c r="M8" i="3"/>
  <c r="M31" i="3"/>
  <c r="J30" i="3"/>
  <c r="L56" i="3"/>
  <c r="K49" i="3"/>
  <c r="J55" i="3"/>
  <c r="L40" i="3"/>
  <c r="M66" i="3"/>
  <c r="K62" i="3"/>
  <c r="L66" i="3"/>
  <c r="L60" i="3"/>
  <c r="K33" i="3"/>
  <c r="J11" i="3"/>
  <c r="K21" i="3"/>
  <c r="L33" i="3"/>
  <c r="J25" i="3"/>
  <c r="L86" i="3"/>
  <c r="L64" i="3"/>
  <c r="J60" i="3"/>
  <c r="L96" i="3"/>
  <c r="L50" i="3"/>
  <c r="K71" i="3"/>
  <c r="M9" i="3"/>
  <c r="K97" i="3"/>
  <c r="M61" i="3"/>
  <c r="BL9" i="1"/>
  <c r="M10" i="3"/>
  <c r="J68" i="3"/>
  <c r="K51" i="3"/>
  <c r="L38" i="3"/>
  <c r="L70" i="3"/>
  <c r="K82" i="3"/>
  <c r="J41" i="3"/>
  <c r="M93" i="3"/>
  <c r="M87" i="3"/>
  <c r="O52" i="3"/>
  <c r="L30" i="3"/>
  <c r="J37" i="3"/>
  <c r="M91" i="3"/>
  <c r="L35" i="3"/>
  <c r="K88" i="3"/>
  <c r="M65" i="3"/>
  <c r="L104" i="3"/>
  <c r="BL68" i="1"/>
  <c r="BL67" i="1"/>
  <c r="N75" i="1"/>
  <c r="O74" i="1"/>
  <c r="Q75" i="1"/>
  <c r="AR92" i="1"/>
  <c r="AQ92" i="1"/>
  <c r="K74" i="1"/>
  <c r="N73" i="1"/>
  <c r="Q73" i="1"/>
  <c r="BU92" i="1"/>
  <c r="K75" i="1"/>
  <c r="L74" i="1"/>
  <c r="AO92" i="1"/>
  <c r="O75" i="1"/>
  <c r="K73" i="1"/>
  <c r="O73" i="1"/>
  <c r="AS92" i="1"/>
  <c r="M74" i="1"/>
  <c r="L75" i="1"/>
  <c r="P75" i="1"/>
  <c r="L73" i="1"/>
  <c r="AP92" i="1"/>
  <c r="Q74" i="1"/>
  <c r="N74" i="1"/>
  <c r="P73" i="1"/>
  <c r="M73" i="1"/>
  <c r="BL24" i="1"/>
  <c r="BL66" i="1"/>
  <c r="O86" i="3"/>
  <c r="O85" i="3"/>
  <c r="O12" i="3"/>
  <c r="O32" i="3"/>
  <c r="O29" i="3"/>
  <c r="P56" i="3"/>
  <c r="P17" i="3"/>
  <c r="P82" i="3"/>
  <c r="P59" i="3"/>
  <c r="J102" i="3"/>
  <c r="K101" i="3"/>
  <c r="J82" i="3"/>
  <c r="J72" i="3"/>
  <c r="J52" i="3"/>
  <c r="J42" i="3"/>
  <c r="K41" i="3"/>
  <c r="J32" i="3"/>
  <c r="M29" i="3"/>
  <c r="J22" i="3"/>
  <c r="L20" i="3"/>
  <c r="L99" i="3"/>
  <c r="J91" i="3"/>
  <c r="K90" i="3"/>
  <c r="L89" i="3"/>
  <c r="J71" i="3"/>
  <c r="L69" i="3"/>
  <c r="K60" i="3"/>
  <c r="L108" i="3"/>
  <c r="J100" i="3"/>
  <c r="L88" i="3"/>
  <c r="J80" i="3"/>
  <c r="K79" i="3"/>
  <c r="K98" i="3"/>
  <c r="L97" i="3"/>
  <c r="L87" i="3"/>
  <c r="K78" i="3"/>
  <c r="K68" i="3"/>
  <c r="K58" i="3"/>
  <c r="L57" i="3"/>
  <c r="K96" i="3"/>
  <c r="J86" i="3"/>
  <c r="M70" i="3"/>
  <c r="L61" i="3"/>
  <c r="J56" i="3"/>
  <c r="K105" i="3"/>
  <c r="J74" i="3"/>
  <c r="K75" i="3"/>
  <c r="J66" i="3"/>
  <c r="K103" i="3"/>
  <c r="J94" i="3"/>
  <c r="L92" i="3"/>
  <c r="L81" i="3"/>
  <c r="M17" i="3"/>
  <c r="J84" i="3"/>
  <c r="J67" i="3"/>
  <c r="L63" i="3"/>
  <c r="M27" i="3"/>
  <c r="M25" i="3"/>
  <c r="L18" i="3"/>
  <c r="L95" i="3"/>
  <c r="K59" i="3"/>
  <c r="M33" i="3"/>
  <c r="J106" i="3"/>
  <c r="J93" i="3"/>
  <c r="L83" i="3"/>
  <c r="J77" i="3"/>
  <c r="K54" i="3"/>
  <c r="J51" i="3"/>
  <c r="J48" i="3"/>
  <c r="J46" i="3"/>
  <c r="K64" i="3"/>
  <c r="J38" i="3"/>
  <c r="K30" i="3"/>
  <c r="L12" i="3"/>
  <c r="J28" i="3"/>
  <c r="K40" i="3"/>
  <c r="J26" i="3"/>
  <c r="L55" i="3"/>
  <c r="K45" i="3"/>
  <c r="L37" i="3"/>
  <c r="J35" i="3"/>
  <c r="K6" i="3"/>
  <c r="K73" i="3"/>
  <c r="M5" i="3"/>
  <c r="M47" i="3"/>
  <c r="K10" i="3"/>
  <c r="J104" i="3"/>
  <c r="J21" i="3"/>
  <c r="J19" i="3"/>
  <c r="J15" i="3"/>
  <c r="J13" i="3"/>
  <c r="J44" i="3"/>
  <c r="J85" i="3"/>
  <c r="J39" i="3"/>
  <c r="J34" i="3"/>
  <c r="J23" i="3"/>
  <c r="M11" i="3"/>
  <c r="J7" i="3"/>
  <c r="K50" i="3"/>
  <c r="M53" i="3"/>
  <c r="L65" i="3"/>
  <c r="L49" i="3"/>
  <c r="L43" i="3"/>
  <c r="L24" i="3"/>
  <c r="K16" i="3"/>
  <c r="K14" i="3"/>
  <c r="J8" i="3"/>
  <c r="J4" i="3"/>
  <c r="O87" i="3"/>
  <c r="O77" i="3"/>
  <c r="O106" i="3"/>
  <c r="O76" i="3"/>
  <c r="O16" i="3"/>
  <c r="O58" i="3"/>
  <c r="O13" i="3"/>
  <c r="O26" i="3"/>
  <c r="O25" i="3"/>
  <c r="O20" i="3"/>
  <c r="O82" i="3"/>
  <c r="O108" i="3"/>
  <c r="O79" i="3"/>
  <c r="O62" i="3"/>
  <c r="O80" i="3"/>
  <c r="O61" i="3"/>
  <c r="K57" i="1"/>
  <c r="M58" i="1"/>
  <c r="P56" i="1"/>
  <c r="M76" i="1"/>
  <c r="N68" i="3"/>
  <c r="N38" i="3"/>
  <c r="N67" i="3"/>
  <c r="N7" i="3"/>
  <c r="N9" i="3"/>
  <c r="N27" i="3"/>
  <c r="N64" i="3"/>
  <c r="N59" i="3"/>
  <c r="N36" i="3"/>
  <c r="N29" i="3"/>
  <c r="N44" i="3"/>
  <c r="N43" i="3"/>
  <c r="N100" i="3"/>
  <c r="N52" i="3"/>
  <c r="AR86" i="1"/>
  <c r="AQ86" i="1"/>
  <c r="AO86" i="1"/>
  <c r="AP86" i="1"/>
  <c r="N40" i="1"/>
  <c r="N39" i="1"/>
  <c r="N38" i="1"/>
  <c r="N37" i="1"/>
  <c r="M40" i="1"/>
  <c r="M39" i="1"/>
  <c r="M38" i="1"/>
  <c r="M37" i="1"/>
  <c r="L40" i="1"/>
  <c r="L39" i="1"/>
  <c r="L38" i="1"/>
  <c r="L37" i="1"/>
  <c r="K40" i="1"/>
  <c r="K39" i="1"/>
  <c r="K38" i="1"/>
  <c r="K37" i="1"/>
  <c r="BU86" i="1"/>
  <c r="AS86" i="1"/>
  <c r="Q40" i="1"/>
  <c r="P40" i="1"/>
  <c r="O40" i="1"/>
  <c r="Q39" i="1"/>
  <c r="P39" i="1"/>
  <c r="O39" i="1"/>
  <c r="Q38" i="1"/>
  <c r="P38" i="1"/>
  <c r="O38" i="1"/>
  <c r="Q37" i="1"/>
  <c r="P37" i="1"/>
  <c r="O37" i="1"/>
  <c r="O11" i="3"/>
  <c r="O5" i="3"/>
  <c r="O72" i="3"/>
  <c r="O59" i="3"/>
  <c r="O73" i="3"/>
  <c r="O40" i="3"/>
  <c r="O39" i="3"/>
  <c r="O89" i="3"/>
  <c r="P76" i="1"/>
  <c r="AS90" i="1"/>
  <c r="AQ90" i="1"/>
  <c r="BU90" i="1"/>
  <c r="Q64" i="1"/>
  <c r="Q63" i="1"/>
  <c r="Q62" i="1"/>
  <c r="Q61" i="1"/>
  <c r="AR90" i="1"/>
  <c r="P64" i="1"/>
  <c r="P63" i="1"/>
  <c r="P62" i="1"/>
  <c r="P61" i="1"/>
  <c r="AP90" i="1"/>
  <c r="O64" i="1"/>
  <c r="O63" i="1"/>
  <c r="O62" i="1"/>
  <c r="O61" i="1"/>
  <c r="AO90" i="1"/>
  <c r="N64" i="1"/>
  <c r="N63" i="1"/>
  <c r="N62" i="1"/>
  <c r="N61" i="1"/>
  <c r="M64" i="1"/>
  <c r="M63" i="1"/>
  <c r="M62" i="1"/>
  <c r="M61" i="1"/>
  <c r="L64" i="1"/>
  <c r="L63" i="1"/>
  <c r="L62" i="1"/>
  <c r="L61" i="1"/>
  <c r="K64" i="1"/>
  <c r="K63" i="1"/>
  <c r="K62" i="1"/>
  <c r="K61" i="1"/>
  <c r="N88" i="3"/>
  <c r="N85" i="3"/>
  <c r="N75" i="3"/>
  <c r="K107" i="3"/>
  <c r="N101" i="3"/>
  <c r="N15" i="3"/>
  <c r="N12" i="3"/>
  <c r="N99" i="3"/>
  <c r="N45" i="3"/>
  <c r="N40" i="3"/>
  <c r="N89" i="3"/>
  <c r="N61" i="3"/>
  <c r="N83" i="3"/>
  <c r="BL12" i="1"/>
  <c r="O31" i="3"/>
  <c r="O68" i="3"/>
  <c r="N78" i="3"/>
  <c r="N57" i="3"/>
  <c r="N103" i="3"/>
  <c r="N13" i="3"/>
  <c r="N21" i="3"/>
  <c r="N35" i="3"/>
  <c r="N34" i="3"/>
  <c r="N32" i="3"/>
  <c r="N30" i="3"/>
  <c r="N41" i="3"/>
  <c r="N39" i="3"/>
  <c r="N74" i="3"/>
  <c r="N80" i="3"/>
  <c r="BL69" i="1"/>
  <c r="J92" i="3"/>
  <c r="M89" i="3"/>
  <c r="K81" i="3"/>
  <c r="M59" i="3"/>
  <c r="K31" i="3"/>
  <c r="M108" i="3"/>
  <c r="J61" i="3"/>
  <c r="M97" i="3"/>
  <c r="M77" i="3"/>
  <c r="J79" i="3"/>
  <c r="J107" i="3"/>
  <c r="L105" i="3"/>
  <c r="M94" i="3"/>
  <c r="J65" i="3"/>
  <c r="J54" i="3"/>
  <c r="M6" i="3"/>
  <c r="J83" i="3"/>
  <c r="M7" i="3"/>
  <c r="M14" i="3"/>
  <c r="J103" i="3"/>
  <c r="M90" i="3"/>
  <c r="M24" i="3"/>
  <c r="M22" i="3"/>
  <c r="M21" i="3"/>
  <c r="L15" i="3"/>
  <c r="M82" i="3"/>
  <c r="K85" i="3"/>
  <c r="J76" i="3"/>
  <c r="M100" i="3"/>
  <c r="M80" i="3"/>
  <c r="J47" i="3"/>
  <c r="M40" i="3"/>
  <c r="J33" i="3"/>
  <c r="K5" i="3"/>
  <c r="M74" i="3"/>
  <c r="L45" i="3"/>
  <c r="M48" i="3"/>
  <c r="M51" i="3"/>
  <c r="L11" i="3"/>
  <c r="K42" i="3"/>
  <c r="L25" i="3"/>
  <c r="J10" i="3"/>
  <c r="K8" i="3"/>
  <c r="K29" i="3"/>
  <c r="K23" i="3"/>
  <c r="K69" i="3"/>
  <c r="M60" i="3"/>
  <c r="K38" i="3"/>
  <c r="K20" i="3"/>
  <c r="K18" i="3"/>
  <c r="P66" i="3"/>
  <c r="P93" i="3"/>
  <c r="P90" i="3"/>
  <c r="Q76" i="1"/>
  <c r="P106" i="3"/>
  <c r="P76" i="3"/>
  <c r="P95" i="3"/>
  <c r="P103" i="3"/>
  <c r="P58" i="3"/>
  <c r="P9" i="3"/>
  <c r="P5" i="3"/>
  <c r="P19" i="3"/>
  <c r="P24" i="3"/>
  <c r="P22" i="3"/>
  <c r="P4" i="3"/>
  <c r="P34" i="3"/>
  <c r="P32" i="3"/>
  <c r="P29" i="3"/>
  <c r="P28" i="3"/>
  <c r="P79" i="3"/>
  <c r="P64" i="3"/>
  <c r="P41" i="3"/>
  <c r="P39" i="3"/>
  <c r="P37" i="3"/>
  <c r="P54" i="3"/>
  <c r="P50" i="3"/>
  <c r="P91" i="3"/>
  <c r="P69" i="3"/>
  <c r="P61" i="3"/>
  <c r="P57" i="3"/>
  <c r="P26" i="3"/>
  <c r="P83" i="3"/>
  <c r="P12" i="3"/>
  <c r="P30" i="3"/>
  <c r="P77" i="3"/>
  <c r="N108" i="3"/>
  <c r="N58" i="3"/>
  <c r="N28" i="3"/>
  <c r="N18" i="3"/>
  <c r="N87" i="3"/>
  <c r="N77" i="3"/>
  <c r="N106" i="3"/>
  <c r="N76" i="3"/>
  <c r="N95" i="3"/>
  <c r="N94" i="3"/>
  <c r="N92" i="3"/>
  <c r="L62" i="3"/>
  <c r="N22" i="3"/>
  <c r="N19" i="3"/>
  <c r="N37" i="3"/>
  <c r="N33" i="3"/>
  <c r="N31" i="3"/>
  <c r="N93" i="3"/>
  <c r="N73" i="3"/>
  <c r="N42" i="3"/>
  <c r="N102" i="3"/>
  <c r="N55" i="3"/>
  <c r="N51" i="3"/>
  <c r="N69" i="3"/>
  <c r="N60" i="3"/>
  <c r="N76" i="1"/>
  <c r="P36" i="3"/>
  <c r="P21" i="3"/>
  <c r="P75" i="3"/>
  <c r="P35" i="3"/>
  <c r="P33" i="3"/>
  <c r="P38" i="3"/>
  <c r="P55" i="3"/>
  <c r="P81" i="3"/>
  <c r="P71" i="3"/>
  <c r="P96" i="3"/>
  <c r="P86" i="3"/>
  <c r="P46" i="3"/>
  <c r="P16" i="3"/>
  <c r="P105" i="3"/>
  <c r="P85" i="3"/>
  <c r="P94" i="3"/>
  <c r="P73" i="3"/>
  <c r="P102" i="3"/>
  <c r="P92" i="3"/>
  <c r="P101" i="3"/>
  <c r="P78" i="3"/>
  <c r="P15" i="3"/>
  <c r="P14" i="3"/>
  <c r="P13" i="3"/>
  <c r="P11" i="3"/>
  <c r="P8" i="3"/>
  <c r="P72" i="3"/>
  <c r="P25" i="3"/>
  <c r="P18" i="3"/>
  <c r="P99" i="3"/>
  <c r="P31" i="3"/>
  <c r="P108" i="3"/>
  <c r="P68" i="3"/>
  <c r="P45" i="3"/>
  <c r="P44" i="3"/>
  <c r="P43" i="3"/>
  <c r="P40" i="3"/>
  <c r="P97" i="3"/>
  <c r="P88" i="3"/>
  <c r="P60" i="3"/>
  <c r="P53" i="3"/>
  <c r="P52" i="3"/>
  <c r="P51" i="3"/>
  <c r="P49" i="3"/>
  <c r="P80" i="3"/>
  <c r="P74" i="3"/>
  <c r="P89" i="3"/>
  <c r="P98" i="3"/>
  <c r="P62" i="3"/>
  <c r="M99" i="3"/>
  <c r="L90" i="3"/>
  <c r="M79" i="3"/>
  <c r="M69" i="3"/>
  <c r="M49" i="3"/>
  <c r="J101" i="3"/>
  <c r="M88" i="3"/>
  <c r="M78" i="3"/>
  <c r="L98" i="3"/>
  <c r="M106" i="3"/>
  <c r="M56" i="3"/>
  <c r="M105" i="3"/>
  <c r="J70" i="3"/>
  <c r="K87" i="3"/>
  <c r="M71" i="3"/>
  <c r="L58" i="3"/>
  <c r="K84" i="3"/>
  <c r="K67" i="3"/>
  <c r="M18" i="3"/>
  <c r="M72" i="3"/>
  <c r="M28" i="3"/>
  <c r="M23" i="3"/>
  <c r="L19" i="3"/>
  <c r="L13" i="3"/>
  <c r="M37" i="3"/>
  <c r="M34" i="3"/>
  <c r="L82" i="3"/>
  <c r="M73" i="3"/>
  <c r="K102" i="3"/>
  <c r="K86" i="3"/>
  <c r="L74" i="3"/>
  <c r="M57" i="3"/>
  <c r="M52" i="3"/>
  <c r="J16" i="3"/>
  <c r="K35" i="3"/>
  <c r="K9" i="3"/>
  <c r="K12" i="3"/>
  <c r="L6" i="3"/>
  <c r="M42" i="3"/>
  <c r="K32" i="3"/>
  <c r="M46" i="3"/>
  <c r="K104" i="3"/>
  <c r="J95" i="3"/>
  <c r="L39" i="3"/>
  <c r="K77" i="3"/>
  <c r="L41" i="3"/>
  <c r="K4" i="3"/>
  <c r="L93" i="3"/>
  <c r="K44" i="3"/>
  <c r="L31" i="3"/>
  <c r="M43" i="3"/>
  <c r="L26" i="3"/>
  <c r="P6" i="3"/>
  <c r="P65" i="3"/>
  <c r="P10" i="3"/>
  <c r="P7" i="3"/>
  <c r="P23" i="3"/>
  <c r="P67" i="3"/>
  <c r="P20" i="3"/>
  <c r="P27" i="3"/>
  <c r="P42" i="3"/>
  <c r="P48" i="3"/>
  <c r="P100" i="3"/>
  <c r="P70" i="3"/>
  <c r="BL45" i="1"/>
  <c r="BL43" i="1"/>
  <c r="BL42" i="1"/>
  <c r="Q57" i="1"/>
  <c r="L56" i="1"/>
  <c r="N58" i="1"/>
  <c r="AQ89" i="1"/>
  <c r="K76" i="1"/>
  <c r="P104" i="3"/>
  <c r="P84" i="3"/>
  <c r="P63" i="3"/>
  <c r="P87" i="3"/>
  <c r="N98" i="3"/>
  <c r="J62" i="3"/>
  <c r="N8" i="3"/>
  <c r="N96" i="3"/>
  <c r="N65" i="3"/>
  <c r="N84" i="3"/>
  <c r="N62" i="3"/>
  <c r="N81" i="3"/>
  <c r="N6" i="3"/>
  <c r="N14" i="3"/>
  <c r="N10" i="3"/>
  <c r="N72" i="3"/>
  <c r="N23" i="3"/>
  <c r="N47" i="3"/>
  <c r="N46" i="3"/>
  <c r="N70" i="3"/>
  <c r="N50" i="3"/>
  <c r="N4" i="3"/>
  <c r="N91" i="3"/>
  <c r="N82" i="3"/>
  <c r="N66" i="3"/>
  <c r="O107" i="3"/>
  <c r="O67" i="3"/>
  <c r="O47" i="3"/>
  <c r="O37" i="3"/>
  <c r="O27" i="3"/>
  <c r="O17" i="3"/>
  <c r="O7" i="3"/>
  <c r="O96" i="3"/>
  <c r="O66" i="3"/>
  <c r="O95" i="3"/>
  <c r="O104" i="3"/>
  <c r="O94" i="3"/>
  <c r="M76" i="3"/>
  <c r="O74" i="3"/>
  <c r="O64" i="3"/>
  <c r="O93" i="3"/>
  <c r="O92" i="3"/>
  <c r="O81" i="3"/>
  <c r="O71" i="3"/>
  <c r="O6" i="3"/>
  <c r="O9" i="3"/>
  <c r="O78" i="3"/>
  <c r="O15" i="3"/>
  <c r="O10" i="3"/>
  <c r="O8" i="3"/>
  <c r="O90" i="3"/>
  <c r="O23" i="3"/>
  <c r="O22" i="3"/>
  <c r="O21" i="3"/>
  <c r="O19" i="3"/>
  <c r="O4" i="3"/>
  <c r="O36" i="3"/>
  <c r="O35" i="3"/>
  <c r="O34" i="3"/>
  <c r="O30" i="3"/>
  <c r="O28" i="3"/>
  <c r="O46" i="3"/>
  <c r="O45" i="3"/>
  <c r="O44" i="3"/>
  <c r="O43" i="3"/>
  <c r="O42" i="3"/>
  <c r="O41" i="3"/>
  <c r="O102" i="3"/>
  <c r="O88" i="3"/>
  <c r="O60" i="3"/>
  <c r="O53" i="3"/>
  <c r="O51" i="3"/>
  <c r="O50" i="3"/>
  <c r="O49" i="3"/>
  <c r="O48" i="3"/>
  <c r="O91" i="3"/>
  <c r="O83" i="3"/>
  <c r="O98" i="3"/>
  <c r="O56" i="3"/>
  <c r="O65" i="3"/>
  <c r="Q58" i="1"/>
  <c r="L57" i="1"/>
  <c r="AR89" i="1"/>
  <c r="L100" i="3"/>
  <c r="K91" i="3"/>
  <c r="L80" i="3"/>
  <c r="K61" i="3"/>
  <c r="J12" i="3"/>
  <c r="K11" i="3"/>
  <c r="L10" i="3"/>
  <c r="M98" i="3"/>
  <c r="J81" i="3"/>
  <c r="K70" i="3"/>
  <c r="J90" i="3"/>
  <c r="L78" i="3"/>
  <c r="L107" i="3"/>
  <c r="J99" i="3"/>
  <c r="J89" i="3"/>
  <c r="J69" i="3"/>
  <c r="L67" i="3"/>
  <c r="J59" i="3"/>
  <c r="J108" i="3"/>
  <c r="K83" i="3"/>
  <c r="K74" i="3"/>
  <c r="M103" i="3"/>
  <c r="J96" i="3"/>
  <c r="J57" i="3"/>
  <c r="J105" i="3"/>
  <c r="K94" i="3"/>
  <c r="L84" i="3"/>
  <c r="M101" i="3"/>
  <c r="J87" i="3"/>
  <c r="J75" i="3"/>
  <c r="L71" i="3"/>
  <c r="J58" i="3"/>
  <c r="M16" i="3"/>
  <c r="K92" i="3"/>
  <c r="L76" i="3"/>
  <c r="M26" i="3"/>
  <c r="L17" i="3"/>
  <c r="K106" i="3"/>
  <c r="J97" i="3"/>
  <c r="L85" i="3"/>
  <c r="L68" i="3"/>
  <c r="M32" i="3"/>
  <c r="J88" i="3"/>
  <c r="K72" i="3"/>
  <c r="K65" i="3"/>
  <c r="K56" i="3"/>
  <c r="K55" i="3"/>
  <c r="K52" i="3"/>
  <c r="M45" i="3"/>
  <c r="K28" i="3"/>
  <c r="J20" i="3"/>
  <c r="J18" i="3"/>
  <c r="L9" i="3"/>
  <c r="J64" i="3"/>
  <c r="J43" i="3"/>
  <c r="J24" i="3"/>
  <c r="J5" i="3"/>
  <c r="J63" i="3"/>
  <c r="J40" i="3"/>
  <c r="K48" i="3"/>
  <c r="L42" i="3"/>
  <c r="K37" i="3"/>
  <c r="J6" i="3"/>
  <c r="M54" i="3"/>
  <c r="L34" i="3"/>
  <c r="L29" i="3"/>
  <c r="L23" i="3"/>
  <c r="L21" i="3"/>
  <c r="K19" i="3"/>
  <c r="L44" i="3"/>
  <c r="K39" i="3"/>
  <c r="K7" i="3"/>
  <c r="J31" i="3"/>
  <c r="L8" i="3"/>
  <c r="M102" i="3"/>
  <c r="M50" i="3"/>
  <c r="K47" i="3"/>
  <c r="M41" i="3"/>
  <c r="J27" i="3"/>
  <c r="L53" i="3"/>
  <c r="L46" i="3"/>
  <c r="J36" i="3"/>
  <c r="L22" i="3"/>
  <c r="N24" i="3"/>
  <c r="N79" i="3"/>
  <c r="AP89" i="1"/>
  <c r="L58" i="1"/>
  <c r="O56" i="1"/>
  <c r="O97" i="3"/>
  <c r="O57" i="3"/>
  <c r="O105" i="3"/>
  <c r="O103" i="3"/>
  <c r="O101" i="3"/>
  <c r="O63" i="3"/>
  <c r="O18" i="3"/>
  <c r="O99" i="3"/>
  <c r="O54" i="3"/>
  <c r="O69" i="3"/>
  <c r="O70" i="3"/>
  <c r="O100" i="3"/>
  <c r="M92" i="3"/>
  <c r="M38" i="3"/>
  <c r="K17" i="3"/>
  <c r="M68" i="3"/>
  <c r="L59" i="3"/>
  <c r="M58" i="3"/>
  <c r="K108" i="3"/>
  <c r="M96" i="3"/>
  <c r="M86" i="3"/>
  <c r="L77" i="3"/>
  <c r="L106" i="3"/>
  <c r="J98" i="3"/>
  <c r="M95" i="3"/>
  <c r="M75" i="3"/>
  <c r="K57" i="3"/>
  <c r="L94" i="3"/>
  <c r="M84" i="3"/>
  <c r="L103" i="3"/>
  <c r="M81" i="3"/>
  <c r="J78" i="3"/>
  <c r="M67" i="3"/>
  <c r="M63" i="3"/>
  <c r="M15" i="3"/>
  <c r="M20" i="3"/>
  <c r="L16" i="3"/>
  <c r="L14" i="3"/>
  <c r="K76" i="3"/>
  <c r="M64" i="3"/>
  <c r="M30" i="3"/>
  <c r="L91" i="3"/>
  <c r="K53" i="3"/>
  <c r="J50" i="3"/>
  <c r="K43" i="3"/>
  <c r="K24" i="3"/>
  <c r="K22" i="3"/>
  <c r="M55" i="3"/>
  <c r="L52" i="3"/>
  <c r="L48" i="3"/>
  <c r="L32" i="3"/>
  <c r="L4" i="3"/>
  <c r="J45" i="3"/>
  <c r="L51" i="3"/>
  <c r="M44" i="3"/>
  <c r="K13" i="3"/>
  <c r="L7" i="3"/>
  <c r="K27" i="3"/>
  <c r="K25" i="3"/>
  <c r="J17" i="3"/>
  <c r="L36" i="3"/>
  <c r="L102" i="3"/>
  <c r="K93" i="3"/>
  <c r="M83" i="3"/>
  <c r="K46" i="3"/>
  <c r="L28" i="3"/>
  <c r="M12" i="3"/>
  <c r="L5" i="3"/>
  <c r="N107" i="3"/>
  <c r="N97" i="3"/>
  <c r="AS89" i="1"/>
  <c r="L76" i="1"/>
  <c r="P10" i="1" l="1"/>
  <c r="N7" i="1"/>
  <c r="R25" i="3"/>
  <c r="T25" i="3" s="1"/>
  <c r="N10" i="1"/>
  <c r="Q8" i="1"/>
  <c r="L10" i="1"/>
  <c r="P9" i="1"/>
  <c r="L7" i="1"/>
  <c r="M8" i="1"/>
  <c r="O9" i="1"/>
  <c r="M7" i="1"/>
  <c r="Q7" i="1"/>
  <c r="L9" i="1"/>
  <c r="M10" i="1"/>
  <c r="K7" i="1"/>
  <c r="AQ81" i="1"/>
  <c r="AR81" i="1"/>
  <c r="Q10" i="1"/>
  <c r="K10" i="1"/>
  <c r="P7" i="1"/>
  <c r="O7" i="1"/>
  <c r="AO81" i="1"/>
  <c r="N9" i="1"/>
  <c r="BU81" i="1"/>
  <c r="Q9" i="1"/>
  <c r="N8" i="1"/>
  <c r="L8" i="1"/>
  <c r="P8" i="1"/>
  <c r="AS81" i="1"/>
  <c r="K8" i="1"/>
  <c r="O8" i="1"/>
  <c r="AP81" i="1"/>
  <c r="M9" i="1"/>
  <c r="K9" i="1"/>
  <c r="R62" i="3"/>
  <c r="T62" i="3" s="1"/>
  <c r="R53" i="3"/>
  <c r="T53" i="3" s="1"/>
  <c r="R75" i="3"/>
  <c r="T75" i="3" s="1"/>
  <c r="R50" i="3"/>
  <c r="T50" i="3" s="1"/>
  <c r="R68" i="3"/>
  <c r="T68" i="3" s="1"/>
  <c r="R37" i="3"/>
  <c r="T37" i="3" s="1"/>
  <c r="R40" i="3"/>
  <c r="T40" i="3" s="1"/>
  <c r="R97" i="3"/>
  <c r="T97" i="3" s="1"/>
  <c r="R87" i="3"/>
  <c r="T87" i="3" s="1"/>
  <c r="R108" i="3"/>
  <c r="T108" i="3" s="1"/>
  <c r="R29" i="3"/>
  <c r="T29" i="3" s="1"/>
  <c r="R73" i="3"/>
  <c r="T73" i="3" s="1"/>
  <c r="R5" i="3"/>
  <c r="T5" i="3" s="1"/>
  <c r="R55" i="3"/>
  <c r="T55" i="3" s="1"/>
  <c r="R14" i="3"/>
  <c r="T14" i="3" s="1"/>
  <c r="R24" i="3"/>
  <c r="T24" i="3" s="1"/>
  <c r="R11" i="3"/>
  <c r="T11" i="3" s="1"/>
  <c r="R41" i="3"/>
  <c r="T41" i="3" s="1"/>
  <c r="R9" i="3"/>
  <c r="T9" i="3" s="1"/>
  <c r="R98" i="3"/>
  <c r="T98" i="3" s="1"/>
  <c r="R105" i="3"/>
  <c r="T105" i="3" s="1"/>
  <c r="R89" i="3"/>
  <c r="T89" i="3" s="1"/>
  <c r="R49" i="3"/>
  <c r="T49" i="3" s="1"/>
  <c r="R64" i="3"/>
  <c r="T64" i="3" s="1"/>
  <c r="R78" i="3"/>
  <c r="T78" i="3" s="1"/>
  <c r="R30" i="3"/>
  <c r="T30" i="3" s="1"/>
  <c r="R60" i="3"/>
  <c r="T60" i="3" s="1"/>
  <c r="R20" i="3"/>
  <c r="R90" i="3"/>
  <c r="R103" i="3"/>
  <c r="R79" i="3"/>
  <c r="R4" i="3"/>
  <c r="R7" i="3"/>
  <c r="R21" i="3"/>
  <c r="R51" i="3"/>
  <c r="R66" i="3"/>
  <c r="R8" i="3"/>
  <c r="R104" i="3"/>
  <c r="R26" i="3"/>
  <c r="R32" i="3"/>
  <c r="R76" i="3"/>
  <c r="R23" i="3"/>
  <c r="R77" i="3"/>
  <c r="R74" i="3"/>
  <c r="R27" i="3"/>
  <c r="R81" i="3"/>
  <c r="R63" i="3"/>
  <c r="R59" i="3"/>
  <c r="R83" i="3"/>
  <c r="R61" i="3"/>
  <c r="R34" i="3"/>
  <c r="R28" i="3"/>
  <c r="R67" i="3"/>
  <c r="R71" i="3"/>
  <c r="R42" i="3"/>
  <c r="R39" i="3"/>
  <c r="R93" i="3"/>
  <c r="R84" i="3"/>
  <c r="R56" i="3"/>
  <c r="R52" i="3"/>
  <c r="R45" i="3"/>
  <c r="R69" i="3"/>
  <c r="AR87" i="1"/>
  <c r="AQ87" i="1"/>
  <c r="AO87" i="1"/>
  <c r="L46" i="1"/>
  <c r="L45" i="1"/>
  <c r="M44" i="1"/>
  <c r="N43" i="1"/>
  <c r="K46" i="1"/>
  <c r="K45" i="1"/>
  <c r="L44" i="1"/>
  <c r="M43" i="1"/>
  <c r="AS87" i="1"/>
  <c r="K44" i="1"/>
  <c r="L43" i="1"/>
  <c r="AP87" i="1"/>
  <c r="K43" i="1"/>
  <c r="Q46" i="1"/>
  <c r="Q45" i="1"/>
  <c r="BU87" i="1"/>
  <c r="O46" i="1"/>
  <c r="O43" i="1"/>
  <c r="N46" i="1"/>
  <c r="M46" i="1"/>
  <c r="P45" i="1"/>
  <c r="O45" i="1"/>
  <c r="N45" i="1"/>
  <c r="M45" i="1"/>
  <c r="Q44" i="1"/>
  <c r="P44" i="1"/>
  <c r="O44" i="1"/>
  <c r="Q43" i="1"/>
  <c r="P46" i="1"/>
  <c r="N44" i="1"/>
  <c r="P43" i="1"/>
  <c r="R54" i="3"/>
  <c r="R85" i="3"/>
  <c r="R106" i="3"/>
  <c r="R72" i="3"/>
  <c r="R101" i="3"/>
  <c r="R65" i="3"/>
  <c r="AR82" i="1"/>
  <c r="AQ82" i="1"/>
  <c r="AO82" i="1"/>
  <c r="BU82" i="1"/>
  <c r="AS82" i="1"/>
  <c r="AP82" i="1"/>
  <c r="N16" i="1"/>
  <c r="N15" i="1"/>
  <c r="N14" i="1"/>
  <c r="N13" i="1"/>
  <c r="M16" i="1"/>
  <c r="M15" i="1"/>
  <c r="M14" i="1"/>
  <c r="M13" i="1"/>
  <c r="L16" i="1"/>
  <c r="L15" i="1"/>
  <c r="L14" i="1"/>
  <c r="L13" i="1"/>
  <c r="K16" i="1"/>
  <c r="K15" i="1"/>
  <c r="K14" i="1"/>
  <c r="K13" i="1"/>
  <c r="O16" i="1"/>
  <c r="O15" i="1"/>
  <c r="O14" i="1"/>
  <c r="O13" i="1"/>
  <c r="P13" i="1"/>
  <c r="Q14" i="1"/>
  <c r="P14" i="1"/>
  <c r="Q15" i="1"/>
  <c r="P15" i="1"/>
  <c r="Q16" i="1"/>
  <c r="P16" i="1"/>
  <c r="Q13" i="1"/>
  <c r="R44" i="3"/>
  <c r="R38" i="3"/>
  <c r="R91" i="3"/>
  <c r="R82" i="3"/>
  <c r="R43" i="3"/>
  <c r="R12" i="3"/>
  <c r="R33" i="3"/>
  <c r="R13" i="3"/>
  <c r="R35" i="3"/>
  <c r="R86" i="3"/>
  <c r="R80" i="3"/>
  <c r="BU91" i="1"/>
  <c r="AS91" i="1"/>
  <c r="M70" i="1"/>
  <c r="L69" i="1"/>
  <c r="K68" i="1"/>
  <c r="L70" i="1"/>
  <c r="K69" i="1"/>
  <c r="K70" i="1"/>
  <c r="Q67" i="1"/>
  <c r="Q68" i="1"/>
  <c r="P67" i="1"/>
  <c r="Q69" i="1"/>
  <c r="P68" i="1"/>
  <c r="O67" i="1"/>
  <c r="AR91" i="1"/>
  <c r="Q70" i="1"/>
  <c r="P69" i="1"/>
  <c r="O68" i="1"/>
  <c r="N67" i="1"/>
  <c r="AQ91" i="1"/>
  <c r="P70" i="1"/>
  <c r="O69" i="1"/>
  <c r="N68" i="1"/>
  <c r="M67" i="1"/>
  <c r="AP91" i="1"/>
  <c r="O70" i="1"/>
  <c r="N69" i="1"/>
  <c r="M68" i="1"/>
  <c r="L67" i="1"/>
  <c r="AO91" i="1"/>
  <c r="N70" i="1"/>
  <c r="M69" i="1"/>
  <c r="L68" i="1"/>
  <c r="K67" i="1"/>
  <c r="R31" i="3"/>
  <c r="R15" i="3"/>
  <c r="R46" i="3"/>
  <c r="R94" i="3"/>
  <c r="R102" i="3"/>
  <c r="AR84" i="1"/>
  <c r="AQ84" i="1"/>
  <c r="AO84" i="1"/>
  <c r="AS84" i="1"/>
  <c r="AP84" i="1"/>
  <c r="BU84" i="1"/>
  <c r="M28" i="1"/>
  <c r="L27" i="1"/>
  <c r="K26" i="1"/>
  <c r="L28" i="1"/>
  <c r="K27" i="1"/>
  <c r="K28" i="1"/>
  <c r="Q25" i="1"/>
  <c r="Q26" i="1"/>
  <c r="P25" i="1"/>
  <c r="Q27" i="1"/>
  <c r="P26" i="1"/>
  <c r="O25" i="1"/>
  <c r="Q28" i="1"/>
  <c r="P27" i="1"/>
  <c r="O26" i="1"/>
  <c r="N25" i="1"/>
  <c r="N28" i="1"/>
  <c r="M27" i="1"/>
  <c r="L26" i="1"/>
  <c r="K25" i="1"/>
  <c r="N26" i="1"/>
  <c r="M26" i="1"/>
  <c r="O27" i="1"/>
  <c r="N27" i="1"/>
  <c r="P28" i="1"/>
  <c r="O28" i="1"/>
  <c r="M25" i="1"/>
  <c r="L25" i="1"/>
  <c r="R57" i="3"/>
  <c r="R99" i="3"/>
  <c r="R17" i="3"/>
  <c r="R6" i="3"/>
  <c r="R88" i="3"/>
  <c r="R96" i="3"/>
  <c r="R16" i="3"/>
  <c r="R10" i="3"/>
  <c r="R36" i="3"/>
  <c r="R18" i="3"/>
  <c r="R58" i="3"/>
  <c r="R95" i="3"/>
  <c r="R70" i="3"/>
  <c r="R47" i="3"/>
  <c r="R107" i="3"/>
  <c r="R92" i="3"/>
  <c r="R19" i="3"/>
  <c r="R48" i="3"/>
  <c r="R100" i="3"/>
  <c r="R22" i="3"/>
  <c r="AT86" i="1" l="1" a="1"/>
  <c r="AT86" i="1" s="1"/>
  <c r="AT92" i="1" a="1"/>
  <c r="AT92" i="1" s="1"/>
  <c r="AT89" i="1" a="1"/>
  <c r="AT89" i="1" s="1"/>
  <c r="AT90" i="1" a="1"/>
  <c r="AT90" i="1" s="1"/>
  <c r="AT87" i="1" a="1"/>
  <c r="AT87" i="1" s="1"/>
  <c r="S75" i="3"/>
  <c r="S60" i="3"/>
  <c r="AT81" i="1" a="1"/>
  <c r="AT81" i="1" s="1"/>
  <c r="AT83" i="1" a="1"/>
  <c r="AT83" i="1" s="1"/>
  <c r="AT91" i="1" a="1"/>
  <c r="AT91" i="1" s="1"/>
  <c r="T58" i="3"/>
  <c r="S58" i="3"/>
  <c r="T57" i="3"/>
  <c r="S57" i="3"/>
  <c r="S93" i="3"/>
  <c r="T93" i="3"/>
  <c r="T67" i="3"/>
  <c r="S67" i="3"/>
  <c r="T27" i="3"/>
  <c r="S27" i="3"/>
  <c r="S40" i="3"/>
  <c r="T79" i="3"/>
  <c r="S79" i="3"/>
  <c r="T102" i="3"/>
  <c r="S102" i="3"/>
  <c r="T12" i="3"/>
  <c r="S12" i="3"/>
  <c r="S39" i="3"/>
  <c r="T39" i="3"/>
  <c r="S28" i="3"/>
  <c r="T28" i="3"/>
  <c r="T74" i="3"/>
  <c r="S74" i="3"/>
  <c r="T32" i="3"/>
  <c r="S32" i="3"/>
  <c r="S103" i="3"/>
  <c r="T103" i="3"/>
  <c r="S73" i="3"/>
  <c r="S53" i="3"/>
  <c r="T100" i="3"/>
  <c r="S100" i="3"/>
  <c r="S36" i="3"/>
  <c r="T36" i="3"/>
  <c r="S37" i="3"/>
  <c r="S94" i="3"/>
  <c r="T94" i="3"/>
  <c r="S89" i="3"/>
  <c r="S5" i="3"/>
  <c r="S34" i="3"/>
  <c r="T34" i="3"/>
  <c r="T77" i="3"/>
  <c r="S77" i="3"/>
  <c r="T26" i="3"/>
  <c r="S26" i="3"/>
  <c r="T90" i="3"/>
  <c r="S90" i="3"/>
  <c r="S9" i="3"/>
  <c r="S25" i="3"/>
  <c r="T65" i="3"/>
  <c r="S65" i="3"/>
  <c r="T69" i="3"/>
  <c r="S69" i="3"/>
  <c r="T61" i="3"/>
  <c r="S61" i="3"/>
  <c r="S23" i="3"/>
  <c r="T23" i="3"/>
  <c r="T104" i="3"/>
  <c r="S104" i="3"/>
  <c r="S20" i="3"/>
  <c r="T20" i="3"/>
  <c r="AT85" i="1" a="1"/>
  <c r="AT85" i="1" s="1"/>
  <c r="T19" i="3"/>
  <c r="S19" i="3"/>
  <c r="T15" i="3"/>
  <c r="S15" i="3"/>
  <c r="T101" i="3"/>
  <c r="S101" i="3"/>
  <c r="S98" i="3"/>
  <c r="S83" i="3"/>
  <c r="T83" i="3"/>
  <c r="T76" i="3"/>
  <c r="S76" i="3"/>
  <c r="T8" i="3"/>
  <c r="S8" i="3"/>
  <c r="S49" i="3"/>
  <c r="T22" i="3"/>
  <c r="S22" i="3"/>
  <c r="T46" i="3"/>
  <c r="S46" i="3"/>
  <c r="S43" i="3"/>
  <c r="T43" i="3"/>
  <c r="AT88" i="1" a="1"/>
  <c r="AT88" i="1" s="1"/>
  <c r="T92" i="3"/>
  <c r="S92" i="3"/>
  <c r="T96" i="3"/>
  <c r="S96" i="3"/>
  <c r="T31" i="3"/>
  <c r="S31" i="3"/>
  <c r="T86" i="3"/>
  <c r="S86" i="3"/>
  <c r="T82" i="3"/>
  <c r="S82" i="3"/>
  <c r="T72" i="3"/>
  <c r="S72" i="3"/>
  <c r="S24" i="3"/>
  <c r="T59" i="3"/>
  <c r="S59" i="3"/>
  <c r="S108" i="3"/>
  <c r="T66" i="3"/>
  <c r="S66" i="3"/>
  <c r="S41" i="3"/>
  <c r="S68" i="3"/>
  <c r="AT82" i="1" a="1"/>
  <c r="AT82" i="1" s="1"/>
  <c r="T48" i="3"/>
  <c r="S48" i="3"/>
  <c r="S10" i="3"/>
  <c r="T10" i="3"/>
  <c r="T107" i="3"/>
  <c r="S107" i="3"/>
  <c r="T45" i="3"/>
  <c r="S45" i="3"/>
  <c r="S50" i="3"/>
  <c r="S63" i="3"/>
  <c r="T63" i="3"/>
  <c r="T51" i="3"/>
  <c r="S51" i="3"/>
  <c r="S11" i="3"/>
  <c r="T88" i="3"/>
  <c r="S88" i="3"/>
  <c r="T91" i="3"/>
  <c r="S91" i="3"/>
  <c r="T47" i="3"/>
  <c r="S47" i="3"/>
  <c r="S105" i="3"/>
  <c r="S13" i="3"/>
  <c r="T13" i="3"/>
  <c r="S38" i="3"/>
  <c r="T38" i="3"/>
  <c r="T85" i="3"/>
  <c r="S85" i="3"/>
  <c r="T52" i="3"/>
  <c r="S52" i="3"/>
  <c r="S97" i="3"/>
  <c r="T21" i="3"/>
  <c r="S21" i="3"/>
  <c r="S14" i="3"/>
  <c r="T16" i="3"/>
  <c r="S16" i="3"/>
  <c r="S35" i="3"/>
  <c r="T35" i="3"/>
  <c r="T106" i="3"/>
  <c r="S106" i="3"/>
  <c r="T6" i="3"/>
  <c r="S6" i="3"/>
  <c r="T81" i="3"/>
  <c r="S81" i="3"/>
  <c r="S70" i="3"/>
  <c r="T70" i="3"/>
  <c r="T17" i="3"/>
  <c r="S17" i="3"/>
  <c r="S78" i="3"/>
  <c r="S33" i="3"/>
  <c r="T33" i="3"/>
  <c r="T44" i="3"/>
  <c r="S44" i="3"/>
  <c r="T54" i="3"/>
  <c r="S54" i="3"/>
  <c r="T56" i="3"/>
  <c r="S56" i="3"/>
  <c r="T42" i="3"/>
  <c r="S42" i="3"/>
  <c r="S87" i="3"/>
  <c r="T7" i="3"/>
  <c r="S7" i="3"/>
  <c r="S55" i="3"/>
  <c r="S29" i="3"/>
  <c r="S30" i="3"/>
  <c r="S18" i="3"/>
  <c r="T18" i="3"/>
  <c r="S62" i="3"/>
  <c r="T80" i="3"/>
  <c r="S80" i="3"/>
  <c r="AT84" i="1" a="1"/>
  <c r="AT84" i="1" s="1"/>
  <c r="T95" i="3"/>
  <c r="S95" i="3"/>
  <c r="T99" i="3"/>
  <c r="S99" i="3"/>
  <c r="S64" i="3"/>
  <c r="S84" i="3"/>
  <c r="T84" i="3"/>
  <c r="T71" i="3"/>
  <c r="S71" i="3"/>
  <c r="T4" i="3"/>
  <c r="S4" i="3"/>
  <c r="A107" i="2" l="1"/>
  <c r="A102" i="2"/>
  <c r="A106" i="2"/>
  <c r="B105" i="2"/>
  <c r="B97" i="2"/>
  <c r="B92" i="2"/>
  <c r="B87" i="2"/>
  <c r="B82" i="2"/>
  <c r="B77" i="2"/>
  <c r="B72" i="2"/>
  <c r="B67" i="2"/>
  <c r="B62" i="2"/>
  <c r="B57" i="2"/>
  <c r="A100" i="2"/>
  <c r="A95" i="2"/>
  <c r="A90" i="2"/>
  <c r="A85" i="2"/>
  <c r="A80" i="2"/>
  <c r="A75" i="2"/>
  <c r="A70" i="2"/>
  <c r="A65" i="2"/>
  <c r="A60" i="2"/>
  <c r="A55" i="2"/>
  <c r="B99" i="2"/>
  <c r="B94" i="2"/>
  <c r="B89" i="2"/>
  <c r="B84" i="2"/>
  <c r="B79" i="2"/>
  <c r="B74" i="2"/>
  <c r="B69" i="2"/>
  <c r="A103" i="2"/>
  <c r="A99" i="2"/>
  <c r="B93" i="2"/>
  <c r="A86" i="2"/>
  <c r="B80" i="2"/>
  <c r="A74" i="2"/>
  <c r="B68" i="2"/>
  <c r="B50" i="2"/>
  <c r="B45" i="2"/>
  <c r="B40" i="2"/>
  <c r="B35" i="2"/>
  <c r="B108" i="2"/>
  <c r="B104" i="2"/>
  <c r="A93" i="2"/>
  <c r="A87" i="2"/>
  <c r="B81" i="2"/>
  <c r="A68" i="2"/>
  <c r="B56" i="2"/>
  <c r="B55" i="2"/>
  <c r="A50" i="2"/>
  <c r="A45" i="2"/>
  <c r="A40" i="2"/>
  <c r="A35" i="2"/>
  <c r="A30" i="2"/>
  <c r="A25" i="2"/>
  <c r="A20" i="2"/>
  <c r="A15" i="2"/>
  <c r="B12" i="2"/>
  <c r="A88" i="2"/>
  <c r="A82" i="2"/>
  <c r="B76" i="2"/>
  <c r="B61" i="2"/>
  <c r="B60" i="2"/>
  <c r="A59" i="2"/>
  <c r="A58" i="2"/>
  <c r="A54" i="2"/>
  <c r="A49" i="2"/>
  <c r="A105" i="2"/>
  <c r="B101" i="2"/>
  <c r="B95" i="2"/>
  <c r="A89" i="2"/>
  <c r="B83" i="2"/>
  <c r="A76" i="2"/>
  <c r="B70" i="2"/>
  <c r="B64" i="2"/>
  <c r="B63" i="2"/>
  <c r="A62" i="2"/>
  <c r="A61" i="2"/>
  <c r="B53" i="2"/>
  <c r="A101" i="2"/>
  <c r="B96" i="2"/>
  <c r="A83" i="2"/>
  <c r="A77" i="2"/>
  <c r="B71" i="2"/>
  <c r="A64" i="2"/>
  <c r="A63" i="2"/>
  <c r="A53" i="2"/>
  <c r="A48" i="2"/>
  <c r="A43" i="2"/>
  <c r="A38" i="2"/>
  <c r="A33" i="2"/>
  <c r="B106" i="2"/>
  <c r="A96" i="2"/>
  <c r="B90" i="2"/>
  <c r="A84" i="2"/>
  <c r="B78" i="2"/>
  <c r="A71" i="2"/>
  <c r="B65" i="2"/>
  <c r="B52" i="2"/>
  <c r="A98" i="2"/>
  <c r="A92" i="2"/>
  <c r="B86" i="2"/>
  <c r="B51" i="2"/>
  <c r="B43" i="2"/>
  <c r="B37" i="2"/>
  <c r="A36" i="2"/>
  <c r="A21" i="2"/>
  <c r="B20" i="2"/>
  <c r="B19" i="2"/>
  <c r="B10" i="2"/>
  <c r="B8" i="2"/>
  <c r="B6" i="2"/>
  <c r="B4" i="2"/>
  <c r="A104" i="2"/>
  <c r="A57" i="2"/>
  <c r="A51" i="2"/>
  <c r="B48" i="2"/>
  <c r="B44" i="2"/>
  <c r="A37" i="2"/>
  <c r="A19" i="2"/>
  <c r="B18" i="2"/>
  <c r="A12" i="2"/>
  <c r="A10" i="2"/>
  <c r="A8" i="2"/>
  <c r="A6" i="2"/>
  <c r="A4" i="2"/>
  <c r="B107" i="2"/>
  <c r="A97" i="2"/>
  <c r="B91" i="2"/>
  <c r="A44" i="2"/>
  <c r="B38" i="2"/>
  <c r="A18" i="2"/>
  <c r="B17" i="2"/>
  <c r="B100" i="2"/>
  <c r="A94" i="2"/>
  <c r="A91" i="2"/>
  <c r="B88" i="2"/>
  <c r="B85" i="2"/>
  <c r="A79" i="2"/>
  <c r="B73" i="2"/>
  <c r="B59" i="2"/>
  <c r="B54" i="2"/>
  <c r="A52" i="2"/>
  <c r="B39" i="2"/>
  <c r="B29" i="2"/>
  <c r="B28" i="2"/>
  <c r="A17" i="2"/>
  <c r="B16" i="2"/>
  <c r="B103" i="2"/>
  <c r="A73" i="2"/>
  <c r="A67" i="2"/>
  <c r="B49" i="2"/>
  <c r="A39" i="2"/>
  <c r="B32" i="2"/>
  <c r="B31" i="2"/>
  <c r="B30" i="2"/>
  <c r="A29" i="2"/>
  <c r="A28" i="2"/>
  <c r="B27" i="2"/>
  <c r="A16" i="2"/>
  <c r="B15" i="2"/>
  <c r="B14" i="2"/>
  <c r="B102" i="2"/>
  <c r="A78" i="2"/>
  <c r="A72" i="2"/>
  <c r="B66" i="2"/>
  <c r="B46" i="2"/>
  <c r="A34" i="2"/>
  <c r="A26" i="2"/>
  <c r="B25" i="2"/>
  <c r="B24" i="2"/>
  <c r="A11" i="2"/>
  <c r="A9" i="2"/>
  <c r="A7" i="2"/>
  <c r="A81" i="2"/>
  <c r="B75" i="2"/>
  <c r="A69" i="2"/>
  <c r="A66" i="2"/>
  <c r="B58" i="2"/>
  <c r="A46" i="2"/>
  <c r="B41" i="2"/>
  <c r="A24" i="2"/>
  <c r="B47" i="2"/>
  <c r="B42" i="2"/>
  <c r="A41" i="2"/>
  <c r="A108" i="2"/>
  <c r="B98" i="2"/>
  <c r="A47" i="2"/>
  <c r="B11" i="2"/>
  <c r="A31" i="2"/>
  <c r="B22" i="2"/>
  <c r="A56" i="2"/>
  <c r="B34" i="2"/>
  <c r="A22" i="2"/>
  <c r="B7" i="2"/>
  <c r="A27" i="2"/>
  <c r="B13" i="2"/>
  <c r="A42" i="2"/>
  <c r="B33" i="2"/>
  <c r="A13" i="2"/>
  <c r="B26" i="2"/>
  <c r="B23" i="2"/>
  <c r="B21" i="2"/>
  <c r="B9" i="2"/>
  <c r="A23" i="2"/>
  <c r="B36" i="2"/>
  <c r="A32" i="2"/>
  <c r="A14" i="2"/>
  <c r="B5" i="2"/>
  <c r="A5" i="2"/>
  <c r="AV84" i="1"/>
  <c r="AW88" i="1"/>
  <c r="AV88" i="1"/>
  <c r="AW85" i="1"/>
  <c r="AV85" i="1"/>
  <c r="AW82" i="1"/>
  <c r="AV82" i="1"/>
  <c r="AW86" i="1"/>
  <c r="AV86" i="1"/>
  <c r="AW83" i="1"/>
  <c r="AW81" i="1"/>
  <c r="AV83" i="1"/>
  <c r="AV81" i="1"/>
  <c r="AW87" i="1"/>
  <c r="AV87" i="1"/>
  <c r="AW84" i="1"/>
  <c r="J73" i="2" l="1"/>
  <c r="E73" i="2"/>
  <c r="D73" i="2"/>
  <c r="I73" i="2"/>
  <c r="H73" i="2"/>
  <c r="G73" i="2"/>
  <c r="F73" i="2"/>
  <c r="K73" i="2"/>
  <c r="C73" i="2"/>
  <c r="F95" i="2"/>
  <c r="K95" i="2"/>
  <c r="J95" i="2"/>
  <c r="G95" i="2"/>
  <c r="E95" i="2"/>
  <c r="C95" i="2"/>
  <c r="I95" i="2"/>
  <c r="H95" i="2"/>
  <c r="D95" i="2"/>
  <c r="K40" i="2"/>
  <c r="G40" i="2"/>
  <c r="I40" i="2"/>
  <c r="H40" i="2"/>
  <c r="F40" i="2"/>
  <c r="E40" i="2"/>
  <c r="D40" i="2"/>
  <c r="J40" i="2"/>
  <c r="C40" i="2"/>
  <c r="H69" i="2"/>
  <c r="C69" i="2"/>
  <c r="E69" i="2"/>
  <c r="D69" i="2"/>
  <c r="K69" i="2"/>
  <c r="J69" i="2"/>
  <c r="I69" i="2"/>
  <c r="F69" i="2"/>
  <c r="G69" i="2"/>
  <c r="G72" i="2"/>
  <c r="F72" i="2"/>
  <c r="K72" i="2"/>
  <c r="J72" i="2"/>
  <c r="H72" i="2"/>
  <c r="E72" i="2"/>
  <c r="D72" i="2"/>
  <c r="C72" i="2"/>
  <c r="I72" i="2"/>
  <c r="G5" i="2"/>
  <c r="F5" i="2"/>
  <c r="D5" i="2"/>
  <c r="C5" i="2"/>
  <c r="K5" i="2"/>
  <c r="J5" i="2"/>
  <c r="I5" i="2"/>
  <c r="H5" i="2"/>
  <c r="E5" i="2"/>
  <c r="G11" i="2"/>
  <c r="F11" i="2"/>
  <c r="D11" i="2"/>
  <c r="C11" i="2"/>
  <c r="K11" i="2"/>
  <c r="J11" i="2"/>
  <c r="I11" i="2"/>
  <c r="H11" i="2"/>
  <c r="E11" i="2"/>
  <c r="J58" i="2"/>
  <c r="E58" i="2"/>
  <c r="D58" i="2"/>
  <c r="C58" i="2"/>
  <c r="K58" i="2"/>
  <c r="I58" i="2"/>
  <c r="H58" i="2"/>
  <c r="F58" i="2"/>
  <c r="G58" i="2"/>
  <c r="G27" i="2"/>
  <c r="F27" i="2"/>
  <c r="E27" i="2"/>
  <c r="D27" i="2"/>
  <c r="C27" i="2"/>
  <c r="K27" i="2"/>
  <c r="J27" i="2"/>
  <c r="I27" i="2"/>
  <c r="H27" i="2"/>
  <c r="I103" i="2"/>
  <c r="D103" i="2"/>
  <c r="J103" i="2"/>
  <c r="H103" i="2"/>
  <c r="K103" i="2"/>
  <c r="G103" i="2"/>
  <c r="F103" i="2"/>
  <c r="E103" i="2"/>
  <c r="C103" i="2"/>
  <c r="D91" i="2"/>
  <c r="I91" i="2"/>
  <c r="H91" i="2"/>
  <c r="K91" i="2"/>
  <c r="G91" i="2"/>
  <c r="F91" i="2"/>
  <c r="E91" i="2"/>
  <c r="C91" i="2"/>
  <c r="J91" i="2"/>
  <c r="C19" i="2"/>
  <c r="K19" i="2"/>
  <c r="J19" i="2"/>
  <c r="I19" i="2"/>
  <c r="G19" i="2"/>
  <c r="H19" i="2"/>
  <c r="F19" i="2"/>
  <c r="E19" i="2"/>
  <c r="D19" i="2"/>
  <c r="H52" i="2"/>
  <c r="G52" i="2"/>
  <c r="E52" i="2"/>
  <c r="C52" i="2"/>
  <c r="I52" i="2"/>
  <c r="F52" i="2"/>
  <c r="D52" i="2"/>
  <c r="K52" i="2"/>
  <c r="J52" i="2"/>
  <c r="F53" i="2"/>
  <c r="E53" i="2"/>
  <c r="C53" i="2"/>
  <c r="K53" i="2"/>
  <c r="J53" i="2"/>
  <c r="I53" i="2"/>
  <c r="G53" i="2"/>
  <c r="D53" i="2"/>
  <c r="H53" i="2"/>
  <c r="C101" i="2"/>
  <c r="F101" i="2"/>
  <c r="K101" i="2"/>
  <c r="J101" i="2"/>
  <c r="H101" i="2"/>
  <c r="G101" i="2"/>
  <c r="D101" i="2"/>
  <c r="I101" i="2"/>
  <c r="E101" i="2"/>
  <c r="F55" i="2"/>
  <c r="K55" i="2"/>
  <c r="C55" i="2"/>
  <c r="J55" i="2"/>
  <c r="I55" i="2"/>
  <c r="H55" i="2"/>
  <c r="G55" i="2"/>
  <c r="E55" i="2"/>
  <c r="D55" i="2"/>
  <c r="K45" i="2"/>
  <c r="I45" i="2"/>
  <c r="G45" i="2"/>
  <c r="F45" i="2"/>
  <c r="E45" i="2"/>
  <c r="D45" i="2"/>
  <c r="C45" i="2"/>
  <c r="J45" i="2"/>
  <c r="H45" i="2"/>
  <c r="H74" i="2"/>
  <c r="C74" i="2"/>
  <c r="K74" i="2"/>
  <c r="J74" i="2"/>
  <c r="I74" i="2"/>
  <c r="G74" i="2"/>
  <c r="D74" i="2"/>
  <c r="F74" i="2"/>
  <c r="E74" i="2"/>
  <c r="G77" i="2"/>
  <c r="F77" i="2"/>
  <c r="I77" i="2"/>
  <c r="H77" i="2"/>
  <c r="D77" i="2"/>
  <c r="C77" i="2"/>
  <c r="K77" i="2"/>
  <c r="J77" i="2"/>
  <c r="E77" i="2"/>
  <c r="K25" i="2"/>
  <c r="H25" i="2"/>
  <c r="G25" i="2"/>
  <c r="F25" i="2"/>
  <c r="E25" i="2"/>
  <c r="D25" i="2"/>
  <c r="J25" i="2"/>
  <c r="I25" i="2"/>
  <c r="C25" i="2"/>
  <c r="E33" i="2"/>
  <c r="K33" i="2"/>
  <c r="H33" i="2"/>
  <c r="G33" i="2"/>
  <c r="F33" i="2"/>
  <c r="D33" i="2"/>
  <c r="C33" i="2"/>
  <c r="J33" i="2"/>
  <c r="I33" i="2"/>
  <c r="I16" i="2"/>
  <c r="E16" i="2"/>
  <c r="D16" i="2"/>
  <c r="J16" i="2"/>
  <c r="K16" i="2"/>
  <c r="H16" i="2"/>
  <c r="G16" i="2"/>
  <c r="F16" i="2"/>
  <c r="C16" i="2"/>
  <c r="F85" i="2"/>
  <c r="K85" i="2"/>
  <c r="J85" i="2"/>
  <c r="H85" i="2"/>
  <c r="G85" i="2"/>
  <c r="E85" i="2"/>
  <c r="D85" i="2"/>
  <c r="I85" i="2"/>
  <c r="C85" i="2"/>
  <c r="D44" i="2"/>
  <c r="C44" i="2"/>
  <c r="I44" i="2"/>
  <c r="E44" i="2"/>
  <c r="J44" i="2"/>
  <c r="H44" i="2"/>
  <c r="G44" i="2"/>
  <c r="K44" i="2"/>
  <c r="F44" i="2"/>
  <c r="K20" i="2"/>
  <c r="J20" i="2"/>
  <c r="I20" i="2"/>
  <c r="H20" i="2"/>
  <c r="F20" i="2"/>
  <c r="C20" i="2"/>
  <c r="G20" i="2"/>
  <c r="E20" i="2"/>
  <c r="D20" i="2"/>
  <c r="F65" i="2"/>
  <c r="K65" i="2"/>
  <c r="J65" i="2"/>
  <c r="I65" i="2"/>
  <c r="H65" i="2"/>
  <c r="E65" i="2"/>
  <c r="D65" i="2"/>
  <c r="C65" i="2"/>
  <c r="G65" i="2"/>
  <c r="C12" i="2"/>
  <c r="J12" i="2"/>
  <c r="I12" i="2"/>
  <c r="G12" i="2"/>
  <c r="F12" i="2"/>
  <c r="E12" i="2"/>
  <c r="D12" i="2"/>
  <c r="K12" i="2"/>
  <c r="H12" i="2"/>
  <c r="D56" i="2"/>
  <c r="I56" i="2"/>
  <c r="C56" i="2"/>
  <c r="K56" i="2"/>
  <c r="J56" i="2"/>
  <c r="H56" i="2"/>
  <c r="G56" i="2"/>
  <c r="F56" i="2"/>
  <c r="E56" i="2"/>
  <c r="K50" i="2"/>
  <c r="I50" i="2"/>
  <c r="G50" i="2"/>
  <c r="J50" i="2"/>
  <c r="H50" i="2"/>
  <c r="F50" i="2"/>
  <c r="D50" i="2"/>
  <c r="C50" i="2"/>
  <c r="E50" i="2"/>
  <c r="H79" i="2"/>
  <c r="C79" i="2"/>
  <c r="K79" i="2"/>
  <c r="I79" i="2"/>
  <c r="G79" i="2"/>
  <c r="F79" i="2"/>
  <c r="E79" i="2"/>
  <c r="J79" i="2"/>
  <c r="D79" i="2"/>
  <c r="G82" i="2"/>
  <c r="F82" i="2"/>
  <c r="E82" i="2"/>
  <c r="D82" i="2"/>
  <c r="K82" i="2"/>
  <c r="J82" i="2"/>
  <c r="I82" i="2"/>
  <c r="H82" i="2"/>
  <c r="C82" i="2"/>
  <c r="G13" i="2"/>
  <c r="J13" i="2"/>
  <c r="I13" i="2"/>
  <c r="F13" i="2"/>
  <c r="E13" i="2"/>
  <c r="C13" i="2"/>
  <c r="K13" i="2"/>
  <c r="H13" i="2"/>
  <c r="D13" i="2"/>
  <c r="J98" i="2"/>
  <c r="E98" i="2"/>
  <c r="D98" i="2"/>
  <c r="I98" i="2"/>
  <c r="H98" i="2"/>
  <c r="G98" i="2"/>
  <c r="F98" i="2"/>
  <c r="K98" i="2"/>
  <c r="C98" i="2"/>
  <c r="J46" i="2"/>
  <c r="I46" i="2"/>
  <c r="G46" i="2"/>
  <c r="E46" i="2"/>
  <c r="K46" i="2"/>
  <c r="H46" i="2"/>
  <c r="F46" i="2"/>
  <c r="D46" i="2"/>
  <c r="C46" i="2"/>
  <c r="J88" i="2"/>
  <c r="E88" i="2"/>
  <c r="D88" i="2"/>
  <c r="F88" i="2"/>
  <c r="C88" i="2"/>
  <c r="K88" i="2"/>
  <c r="I88" i="2"/>
  <c r="H88" i="2"/>
  <c r="G88" i="2"/>
  <c r="K107" i="2"/>
  <c r="F107" i="2"/>
  <c r="E107" i="2"/>
  <c r="J107" i="2"/>
  <c r="I107" i="2"/>
  <c r="H107" i="2"/>
  <c r="G107" i="2"/>
  <c r="D107" i="2"/>
  <c r="C107" i="2"/>
  <c r="F48" i="2"/>
  <c r="E48" i="2"/>
  <c r="C48" i="2"/>
  <c r="K48" i="2"/>
  <c r="D48" i="2"/>
  <c r="J48" i="2"/>
  <c r="I48" i="2"/>
  <c r="H48" i="2"/>
  <c r="G48" i="2"/>
  <c r="J68" i="2"/>
  <c r="E68" i="2"/>
  <c r="D68" i="2"/>
  <c r="K68" i="2"/>
  <c r="I68" i="2"/>
  <c r="H68" i="2"/>
  <c r="C68" i="2"/>
  <c r="G68" i="2"/>
  <c r="F68" i="2"/>
  <c r="H84" i="2"/>
  <c r="C84" i="2"/>
  <c r="J84" i="2"/>
  <c r="I84" i="2"/>
  <c r="F84" i="2"/>
  <c r="E84" i="2"/>
  <c r="D84" i="2"/>
  <c r="K84" i="2"/>
  <c r="G84" i="2"/>
  <c r="G87" i="2"/>
  <c r="F87" i="2"/>
  <c r="C87" i="2"/>
  <c r="K87" i="2"/>
  <c r="J87" i="2"/>
  <c r="I87" i="2"/>
  <c r="H87" i="2"/>
  <c r="D87" i="2"/>
  <c r="E87" i="2"/>
  <c r="K10" i="2"/>
  <c r="I10" i="2"/>
  <c r="H10" i="2"/>
  <c r="F10" i="2"/>
  <c r="J10" i="2"/>
  <c r="G10" i="2"/>
  <c r="E10" i="2"/>
  <c r="D10" i="2"/>
  <c r="C10" i="2"/>
  <c r="J36" i="2"/>
  <c r="I36" i="2"/>
  <c r="E36" i="2"/>
  <c r="K36" i="2"/>
  <c r="H36" i="2"/>
  <c r="F36" i="2"/>
  <c r="D36" i="2"/>
  <c r="G36" i="2"/>
  <c r="C36" i="2"/>
  <c r="F75" i="2"/>
  <c r="K75" i="2"/>
  <c r="J75" i="2"/>
  <c r="D75" i="2"/>
  <c r="C75" i="2"/>
  <c r="I75" i="2"/>
  <c r="H75" i="2"/>
  <c r="E75" i="2"/>
  <c r="G75" i="2"/>
  <c r="D66" i="2"/>
  <c r="I66" i="2"/>
  <c r="H66" i="2"/>
  <c r="K66" i="2"/>
  <c r="G66" i="2"/>
  <c r="F66" i="2"/>
  <c r="E66" i="2"/>
  <c r="C66" i="2"/>
  <c r="J66" i="2"/>
  <c r="K30" i="2"/>
  <c r="G30" i="2"/>
  <c r="F30" i="2"/>
  <c r="E30" i="2"/>
  <c r="D30" i="2"/>
  <c r="C30" i="2"/>
  <c r="J30" i="2"/>
  <c r="I30" i="2"/>
  <c r="H30" i="2"/>
  <c r="E28" i="2"/>
  <c r="K28" i="2"/>
  <c r="F28" i="2"/>
  <c r="D28" i="2"/>
  <c r="C28" i="2"/>
  <c r="J28" i="2"/>
  <c r="I28" i="2"/>
  <c r="H28" i="2"/>
  <c r="G28" i="2"/>
  <c r="Q12" i="2"/>
  <c r="R12" i="2" s="1"/>
  <c r="Q11" i="2"/>
  <c r="R11" i="2" s="1"/>
  <c r="Q9" i="2"/>
  <c r="R9" i="2" s="1"/>
  <c r="Q7" i="2"/>
  <c r="R7" i="2" s="1"/>
  <c r="Q5" i="2"/>
  <c r="R5" i="2" s="1"/>
  <c r="Q4" i="2"/>
  <c r="R4" i="2" s="1"/>
  <c r="L40" i="2" s="1"/>
  <c r="Q10" i="2"/>
  <c r="R10" i="2" s="1"/>
  <c r="Q6" i="2"/>
  <c r="R6" i="2" s="1"/>
  <c r="Q8" i="2"/>
  <c r="R8" i="2" s="1"/>
  <c r="J78" i="2"/>
  <c r="E78" i="2"/>
  <c r="D78" i="2"/>
  <c r="K78" i="2"/>
  <c r="I78" i="2"/>
  <c r="G78" i="2"/>
  <c r="F78" i="2"/>
  <c r="C78" i="2"/>
  <c r="H78" i="2"/>
  <c r="J63" i="2"/>
  <c r="E63" i="2"/>
  <c r="G63" i="2"/>
  <c r="F63" i="2"/>
  <c r="C63" i="2"/>
  <c r="K63" i="2"/>
  <c r="H63" i="2"/>
  <c r="D63" i="2"/>
  <c r="I63" i="2"/>
  <c r="D81" i="2"/>
  <c r="I81" i="2"/>
  <c r="H81" i="2"/>
  <c r="C81" i="2"/>
  <c r="K81" i="2"/>
  <c r="J81" i="2"/>
  <c r="G81" i="2"/>
  <c r="E81" i="2"/>
  <c r="F81" i="2"/>
  <c r="H89" i="2"/>
  <c r="C89" i="2"/>
  <c r="G89" i="2"/>
  <c r="F89" i="2"/>
  <c r="D89" i="2"/>
  <c r="K89" i="2"/>
  <c r="J89" i="2"/>
  <c r="I89" i="2"/>
  <c r="E89" i="2"/>
  <c r="G92" i="2"/>
  <c r="F92" i="2"/>
  <c r="J92" i="2"/>
  <c r="I92" i="2"/>
  <c r="H92" i="2"/>
  <c r="E92" i="2"/>
  <c r="K92" i="2"/>
  <c r="D92" i="2"/>
  <c r="C92" i="2"/>
  <c r="C29" i="2"/>
  <c r="I29" i="2"/>
  <c r="F29" i="2"/>
  <c r="E29" i="2"/>
  <c r="D29" i="2"/>
  <c r="K29" i="2"/>
  <c r="J29" i="2"/>
  <c r="H29" i="2"/>
  <c r="G29" i="2"/>
  <c r="H64" i="2"/>
  <c r="C64" i="2"/>
  <c r="G64" i="2"/>
  <c r="F64" i="2"/>
  <c r="D64" i="2"/>
  <c r="K64" i="2"/>
  <c r="J64" i="2"/>
  <c r="I64" i="2"/>
  <c r="E64" i="2"/>
  <c r="F80" i="2"/>
  <c r="K80" i="2"/>
  <c r="J80" i="2"/>
  <c r="I80" i="2"/>
  <c r="H80" i="2"/>
  <c r="G80" i="2"/>
  <c r="C80" i="2"/>
  <c r="E80" i="2"/>
  <c r="D80" i="2"/>
  <c r="H94" i="2"/>
  <c r="C94" i="2"/>
  <c r="E94" i="2"/>
  <c r="D94" i="2"/>
  <c r="K94" i="2"/>
  <c r="J94" i="2"/>
  <c r="I94" i="2"/>
  <c r="G94" i="2"/>
  <c r="F94" i="2"/>
  <c r="G97" i="2"/>
  <c r="F97" i="2"/>
  <c r="K97" i="2"/>
  <c r="J97" i="2"/>
  <c r="H97" i="2"/>
  <c r="E97" i="2"/>
  <c r="D97" i="2"/>
  <c r="C97" i="2"/>
  <c r="I97" i="2"/>
  <c r="I31" i="2"/>
  <c r="E31" i="2"/>
  <c r="G31" i="2"/>
  <c r="F31" i="2"/>
  <c r="D31" i="2"/>
  <c r="C31" i="2"/>
  <c r="K31" i="2"/>
  <c r="H31" i="2"/>
  <c r="J31" i="2"/>
  <c r="G9" i="2"/>
  <c r="F9" i="2"/>
  <c r="D9" i="2"/>
  <c r="C9" i="2"/>
  <c r="K9" i="2"/>
  <c r="J9" i="2"/>
  <c r="I9" i="2"/>
  <c r="H9" i="2"/>
  <c r="E9" i="2"/>
  <c r="H42" i="2"/>
  <c r="G42" i="2"/>
  <c r="C42" i="2"/>
  <c r="K42" i="2"/>
  <c r="J42" i="2"/>
  <c r="I42" i="2"/>
  <c r="E42" i="2"/>
  <c r="D42" i="2"/>
  <c r="F42" i="2"/>
  <c r="G32" i="2"/>
  <c r="C32" i="2"/>
  <c r="H32" i="2"/>
  <c r="F32" i="2"/>
  <c r="E32" i="2"/>
  <c r="D32" i="2"/>
  <c r="K32" i="2"/>
  <c r="J32" i="2"/>
  <c r="I32" i="2"/>
  <c r="D39" i="2"/>
  <c r="C39" i="2"/>
  <c r="I39" i="2"/>
  <c r="G39" i="2"/>
  <c r="F39" i="2"/>
  <c r="E39" i="2"/>
  <c r="K39" i="2"/>
  <c r="J39" i="2"/>
  <c r="H39" i="2"/>
  <c r="E100" i="2"/>
  <c r="G100" i="2"/>
  <c r="K100" i="2"/>
  <c r="D100" i="2"/>
  <c r="C100" i="2"/>
  <c r="J100" i="2"/>
  <c r="I100" i="2"/>
  <c r="H100" i="2"/>
  <c r="F100" i="2"/>
  <c r="F43" i="2"/>
  <c r="E43" i="2"/>
  <c r="K43" i="2"/>
  <c r="J43" i="2"/>
  <c r="H43" i="2"/>
  <c r="G43" i="2"/>
  <c r="D43" i="2"/>
  <c r="I43" i="2"/>
  <c r="C43" i="2"/>
  <c r="F90" i="2"/>
  <c r="K90" i="2"/>
  <c r="J90" i="2"/>
  <c r="I90" i="2"/>
  <c r="H90" i="2"/>
  <c r="E90" i="2"/>
  <c r="D90" i="2"/>
  <c r="C90" i="2"/>
  <c r="G90" i="2"/>
  <c r="D71" i="2"/>
  <c r="I71" i="2"/>
  <c r="H71" i="2"/>
  <c r="J71" i="2"/>
  <c r="G71" i="2"/>
  <c r="E71" i="2"/>
  <c r="C71" i="2"/>
  <c r="K71" i="2"/>
  <c r="F71" i="2"/>
  <c r="F70" i="2"/>
  <c r="K70" i="2"/>
  <c r="J70" i="2"/>
  <c r="G70" i="2"/>
  <c r="E70" i="2"/>
  <c r="C70" i="2"/>
  <c r="I70" i="2"/>
  <c r="H70" i="2"/>
  <c r="D70" i="2"/>
  <c r="H99" i="2"/>
  <c r="C99" i="2"/>
  <c r="K99" i="2"/>
  <c r="J99" i="2"/>
  <c r="I99" i="2"/>
  <c r="G99" i="2"/>
  <c r="F99" i="2"/>
  <c r="D99" i="2"/>
  <c r="E99" i="2"/>
  <c r="E105" i="2"/>
  <c r="H105" i="2"/>
  <c r="G105" i="2"/>
  <c r="I105" i="2"/>
  <c r="F105" i="2"/>
  <c r="C105" i="2"/>
  <c r="J105" i="2"/>
  <c r="D105" i="2"/>
  <c r="K105" i="2"/>
  <c r="G7" i="2"/>
  <c r="F7" i="2"/>
  <c r="D7" i="2"/>
  <c r="C7" i="2"/>
  <c r="K7" i="2"/>
  <c r="H7" i="2"/>
  <c r="E7" i="2"/>
  <c r="J7" i="2"/>
  <c r="I7" i="2"/>
  <c r="I21" i="2"/>
  <c r="K21" i="2"/>
  <c r="J21" i="2"/>
  <c r="H21" i="2"/>
  <c r="G21" i="2"/>
  <c r="E21" i="2"/>
  <c r="F21" i="2"/>
  <c r="D21" i="2"/>
  <c r="C21" i="2"/>
  <c r="D34" i="2"/>
  <c r="C34" i="2"/>
  <c r="I34" i="2"/>
  <c r="J34" i="2"/>
  <c r="H34" i="2"/>
  <c r="G34" i="2"/>
  <c r="F34" i="2"/>
  <c r="E34" i="2"/>
  <c r="K34" i="2"/>
  <c r="H47" i="2"/>
  <c r="G47" i="2"/>
  <c r="E47" i="2"/>
  <c r="C47" i="2"/>
  <c r="K47" i="2"/>
  <c r="J47" i="2"/>
  <c r="F47" i="2"/>
  <c r="D47" i="2"/>
  <c r="I47" i="2"/>
  <c r="K102" i="2"/>
  <c r="E102" i="2"/>
  <c r="J102" i="2"/>
  <c r="I102" i="2"/>
  <c r="G102" i="2"/>
  <c r="F102" i="2"/>
  <c r="D102" i="2"/>
  <c r="C102" i="2"/>
  <c r="H102" i="2"/>
  <c r="G17" i="2"/>
  <c r="D17" i="2"/>
  <c r="C17" i="2"/>
  <c r="K17" i="2"/>
  <c r="I17" i="2"/>
  <c r="H17" i="2"/>
  <c r="F17" i="2"/>
  <c r="E17" i="2"/>
  <c r="J17" i="2"/>
  <c r="K4" i="2"/>
  <c r="I4" i="2"/>
  <c r="H4" i="2"/>
  <c r="J4" i="2"/>
  <c r="G4" i="2"/>
  <c r="F4" i="2"/>
  <c r="E4" i="2"/>
  <c r="D4" i="2"/>
  <c r="C4" i="2"/>
  <c r="J51" i="2"/>
  <c r="I51" i="2"/>
  <c r="G51" i="2"/>
  <c r="E51" i="2"/>
  <c r="H51" i="2"/>
  <c r="F51" i="2"/>
  <c r="D51" i="2"/>
  <c r="C51" i="2"/>
  <c r="K51" i="2"/>
  <c r="F60" i="2"/>
  <c r="K60" i="2"/>
  <c r="E60" i="2"/>
  <c r="D60" i="2"/>
  <c r="J60" i="2"/>
  <c r="I60" i="2"/>
  <c r="H60" i="2"/>
  <c r="G60" i="2"/>
  <c r="C60" i="2"/>
  <c r="G104" i="2"/>
  <c r="C104" i="2"/>
  <c r="I104" i="2"/>
  <c r="H104" i="2"/>
  <c r="D104" i="2"/>
  <c r="K104" i="2"/>
  <c r="E104" i="2"/>
  <c r="J104" i="2"/>
  <c r="F104" i="2"/>
  <c r="J93" i="2"/>
  <c r="E93" i="2"/>
  <c r="D93" i="2"/>
  <c r="K93" i="2"/>
  <c r="I93" i="2"/>
  <c r="H93" i="2"/>
  <c r="G93" i="2"/>
  <c r="C93" i="2"/>
  <c r="F93" i="2"/>
  <c r="G57" i="2"/>
  <c r="D57" i="2"/>
  <c r="C57" i="2"/>
  <c r="K57" i="2"/>
  <c r="J57" i="2"/>
  <c r="I57" i="2"/>
  <c r="E57" i="2"/>
  <c r="H57" i="2"/>
  <c r="F57" i="2"/>
  <c r="H37" i="2"/>
  <c r="G37" i="2"/>
  <c r="C37" i="2"/>
  <c r="K37" i="2"/>
  <c r="I37" i="2"/>
  <c r="F37" i="2"/>
  <c r="J37" i="2"/>
  <c r="E37" i="2"/>
  <c r="D37" i="2"/>
  <c r="E23" i="2"/>
  <c r="J23" i="2"/>
  <c r="I23" i="2"/>
  <c r="H23" i="2"/>
  <c r="G23" i="2"/>
  <c r="F23" i="2"/>
  <c r="C23" i="2"/>
  <c r="K23" i="2"/>
  <c r="D23" i="2"/>
  <c r="C14" i="2"/>
  <c r="G14" i="2"/>
  <c r="F14" i="2"/>
  <c r="D14" i="2"/>
  <c r="K14" i="2"/>
  <c r="J14" i="2"/>
  <c r="I14" i="2"/>
  <c r="H14" i="2"/>
  <c r="E14" i="2"/>
  <c r="D49" i="2"/>
  <c r="C49" i="2"/>
  <c r="K49" i="2"/>
  <c r="I49" i="2"/>
  <c r="H49" i="2"/>
  <c r="G49" i="2"/>
  <c r="F49" i="2"/>
  <c r="E49" i="2"/>
  <c r="J49" i="2"/>
  <c r="D54" i="2"/>
  <c r="C54" i="2"/>
  <c r="K54" i="2"/>
  <c r="J54" i="2"/>
  <c r="I54" i="2"/>
  <c r="H54" i="2"/>
  <c r="G54" i="2"/>
  <c r="F54" i="2"/>
  <c r="E54" i="2"/>
  <c r="K6" i="2"/>
  <c r="I6" i="2"/>
  <c r="H6" i="2"/>
  <c r="F6" i="2"/>
  <c r="C6" i="2"/>
  <c r="J6" i="2"/>
  <c r="G6" i="2"/>
  <c r="E6" i="2"/>
  <c r="D6" i="2"/>
  <c r="D86" i="2"/>
  <c r="I86" i="2"/>
  <c r="H86" i="2"/>
  <c r="K86" i="2"/>
  <c r="J86" i="2"/>
  <c r="G86" i="2"/>
  <c r="F86" i="2"/>
  <c r="E86" i="2"/>
  <c r="C86" i="2"/>
  <c r="C106" i="2"/>
  <c r="L106" i="2"/>
  <c r="G106" i="2"/>
  <c r="F106" i="2"/>
  <c r="K106" i="2"/>
  <c r="J106" i="2"/>
  <c r="H106" i="2"/>
  <c r="E106" i="2"/>
  <c r="D106" i="2"/>
  <c r="I106" i="2"/>
  <c r="J83" i="2"/>
  <c r="E83" i="2"/>
  <c r="D83" i="2"/>
  <c r="H83" i="2"/>
  <c r="G83" i="2"/>
  <c r="C83" i="2"/>
  <c r="K83" i="2"/>
  <c r="I83" i="2"/>
  <c r="F83" i="2"/>
  <c r="D61" i="2"/>
  <c r="I61" i="2"/>
  <c r="F61" i="2"/>
  <c r="E61" i="2"/>
  <c r="K61" i="2"/>
  <c r="J61" i="2"/>
  <c r="H61" i="2"/>
  <c r="G61" i="2"/>
  <c r="C61" i="2"/>
  <c r="I108" i="2"/>
  <c r="K108" i="2"/>
  <c r="E108" i="2"/>
  <c r="D108" i="2"/>
  <c r="C108" i="2"/>
  <c r="J108" i="2"/>
  <c r="H108" i="2"/>
  <c r="G108" i="2"/>
  <c r="F108" i="2"/>
  <c r="G62" i="2"/>
  <c r="F62" i="2"/>
  <c r="E62" i="2"/>
  <c r="C62" i="2"/>
  <c r="K62" i="2"/>
  <c r="H62" i="2"/>
  <c r="D62" i="2"/>
  <c r="J62" i="2"/>
  <c r="I62" i="2"/>
  <c r="AX81" i="1"/>
  <c r="I26" i="2"/>
  <c r="G26" i="2"/>
  <c r="F26" i="2"/>
  <c r="E26" i="2"/>
  <c r="D26" i="2"/>
  <c r="C26" i="2"/>
  <c r="K26" i="2"/>
  <c r="J26" i="2"/>
  <c r="H26" i="2"/>
  <c r="G22" i="2"/>
  <c r="K22" i="2"/>
  <c r="J22" i="2"/>
  <c r="I22" i="2"/>
  <c r="H22" i="2"/>
  <c r="F22" i="2"/>
  <c r="D22" i="2"/>
  <c r="C22" i="2"/>
  <c r="E22" i="2"/>
  <c r="J41" i="2"/>
  <c r="I41" i="2"/>
  <c r="E41" i="2"/>
  <c r="K41" i="2"/>
  <c r="H41" i="2"/>
  <c r="G41" i="2"/>
  <c r="F41" i="2"/>
  <c r="C41" i="2"/>
  <c r="D41" i="2"/>
  <c r="C24" i="2"/>
  <c r="I24" i="2"/>
  <c r="H24" i="2"/>
  <c r="G24" i="2"/>
  <c r="F24" i="2"/>
  <c r="E24" i="2"/>
  <c r="K24" i="2"/>
  <c r="J24" i="2"/>
  <c r="D24" i="2"/>
  <c r="K15" i="2"/>
  <c r="F15" i="2"/>
  <c r="E15" i="2"/>
  <c r="C15" i="2"/>
  <c r="J15" i="2"/>
  <c r="H15" i="2"/>
  <c r="G15" i="2"/>
  <c r="D15" i="2"/>
  <c r="I15" i="2"/>
  <c r="H59" i="2"/>
  <c r="C59" i="2"/>
  <c r="E59" i="2"/>
  <c r="D59" i="2"/>
  <c r="K59" i="2"/>
  <c r="J59" i="2"/>
  <c r="I59" i="2"/>
  <c r="G59" i="2"/>
  <c r="F59" i="2"/>
  <c r="F38" i="2"/>
  <c r="E38" i="2"/>
  <c r="K38" i="2"/>
  <c r="D38" i="2"/>
  <c r="C38" i="2"/>
  <c r="J38" i="2"/>
  <c r="I38" i="2"/>
  <c r="H38" i="2"/>
  <c r="G38" i="2"/>
  <c r="E18" i="2"/>
  <c r="C18" i="2"/>
  <c r="K18" i="2"/>
  <c r="J18" i="2"/>
  <c r="H18" i="2"/>
  <c r="I18" i="2"/>
  <c r="G18" i="2"/>
  <c r="F18" i="2"/>
  <c r="D18" i="2"/>
  <c r="K8" i="2"/>
  <c r="I8" i="2"/>
  <c r="H8" i="2"/>
  <c r="F8" i="2"/>
  <c r="J8" i="2"/>
  <c r="G8" i="2"/>
  <c r="E8" i="2"/>
  <c r="D8" i="2"/>
  <c r="C8" i="2"/>
  <c r="D96" i="2"/>
  <c r="I96" i="2"/>
  <c r="H96" i="2"/>
  <c r="J96" i="2"/>
  <c r="G96" i="2"/>
  <c r="E96" i="2"/>
  <c r="C96" i="2"/>
  <c r="K96" i="2"/>
  <c r="F96" i="2"/>
  <c r="D76" i="2"/>
  <c r="I76" i="2"/>
  <c r="H76" i="2"/>
  <c r="F76" i="2"/>
  <c r="E76" i="2"/>
  <c r="K76" i="2"/>
  <c r="J76" i="2"/>
  <c r="G76" i="2"/>
  <c r="C76" i="2"/>
  <c r="K35" i="2"/>
  <c r="G35" i="2"/>
  <c r="J35" i="2"/>
  <c r="I35" i="2"/>
  <c r="H35" i="2"/>
  <c r="F35" i="2"/>
  <c r="D35" i="2"/>
  <c r="C35" i="2"/>
  <c r="E35" i="2"/>
  <c r="G67" i="2"/>
  <c r="F67" i="2"/>
  <c r="J67" i="2"/>
  <c r="I67" i="2"/>
  <c r="H67" i="2"/>
  <c r="E67" i="2"/>
  <c r="K67" i="2"/>
  <c r="D67" i="2"/>
  <c r="C67" i="2"/>
  <c r="L41" i="2" l="1"/>
  <c r="L35" i="2"/>
  <c r="L8" i="2"/>
  <c r="L61" i="2"/>
  <c r="L37" i="2"/>
  <c r="L67" i="2"/>
  <c r="L21" i="2"/>
  <c r="L51" i="2"/>
  <c r="L93" i="2"/>
  <c r="L60" i="2"/>
  <c r="L18" i="2"/>
  <c r="L29" i="2"/>
  <c r="L62" i="2"/>
  <c r="L6" i="2"/>
  <c r="L57" i="2"/>
  <c r="L4" i="2"/>
  <c r="L71" i="2"/>
  <c r="L31" i="2"/>
  <c r="L90" i="2"/>
  <c r="L54" i="2"/>
  <c r="L105" i="2"/>
  <c r="L38" i="2"/>
  <c r="L24" i="2"/>
  <c r="L26" i="2"/>
  <c r="L86" i="2"/>
  <c r="L23" i="2"/>
  <c r="L80" i="2"/>
  <c r="L15" i="2"/>
  <c r="L70" i="2"/>
  <c r="L32" i="2"/>
  <c r="L49" i="2"/>
  <c r="L76" i="2"/>
  <c r="L83" i="2"/>
  <c r="L43" i="2"/>
  <c r="L42" i="2"/>
  <c r="L94" i="2"/>
  <c r="L64" i="2"/>
  <c r="L22" i="2"/>
  <c r="L34" i="2"/>
  <c r="L39" i="2"/>
  <c r="L96" i="2"/>
  <c r="L59" i="2"/>
  <c r="L108" i="2"/>
  <c r="L14" i="2"/>
  <c r="L104" i="2"/>
  <c r="L102" i="2"/>
  <c r="L47" i="2"/>
  <c r="L99" i="2"/>
  <c r="L100" i="2"/>
  <c r="L78" i="2"/>
  <c r="L28" i="2"/>
  <c r="L97" i="2"/>
  <c r="L92" i="2"/>
  <c r="L7" i="2"/>
  <c r="L9" i="2"/>
  <c r="L17" i="2"/>
  <c r="L33" i="2"/>
  <c r="L89" i="2"/>
  <c r="L30" i="2"/>
  <c r="L48" i="2"/>
  <c r="L65" i="2"/>
  <c r="L63" i="2"/>
  <c r="BO81" i="1"/>
  <c r="BN81" i="1"/>
  <c r="BT81" i="1"/>
  <c r="BS81" i="1"/>
  <c r="BR81" i="1"/>
  <c r="BQ81" i="1"/>
  <c r="BP81" i="1"/>
  <c r="BM81" i="1"/>
  <c r="L101" i="2"/>
  <c r="L27" i="2"/>
  <c r="L13" i="2"/>
  <c r="L25" i="2"/>
  <c r="L95" i="2"/>
  <c r="L75" i="2"/>
  <c r="L88" i="2"/>
  <c r="L11" i="2"/>
  <c r="L5" i="2"/>
  <c r="L46" i="2"/>
  <c r="L44" i="2"/>
  <c r="L52" i="2"/>
  <c r="L103" i="2"/>
  <c r="L58" i="2"/>
  <c r="L81" i="2"/>
  <c r="L66" i="2"/>
  <c r="L36" i="2"/>
  <c r="L68" i="2"/>
  <c r="L98" i="2"/>
  <c r="L56" i="2"/>
  <c r="L85" i="2"/>
  <c r="L16" i="2"/>
  <c r="L55" i="2"/>
  <c r="L53" i="2"/>
  <c r="L91" i="2"/>
  <c r="L73" i="2"/>
  <c r="L84" i="2"/>
  <c r="L79" i="2"/>
  <c r="L74" i="2"/>
  <c r="L69" i="2"/>
  <c r="L107" i="2"/>
  <c r="L20" i="2"/>
  <c r="L19" i="2"/>
  <c r="L10" i="2"/>
  <c r="L87" i="2"/>
  <c r="L82" i="2"/>
  <c r="L50" i="2"/>
  <c r="L12" i="2"/>
  <c r="L77" i="2"/>
  <c r="L45" i="2"/>
  <c r="L72" i="2"/>
</calcChain>
</file>

<file path=xl/sharedStrings.xml><?xml version="1.0" encoding="utf-8"?>
<sst xmlns="http://schemas.openxmlformats.org/spreadsheetml/2006/main" count="6931" uniqueCount="1447">
  <si>
    <t>FIFA WORLD CUP 2026</t>
  </si>
  <si>
    <t>Group Stage</t>
  </si>
  <si>
    <t>Round of 32</t>
  </si>
  <si>
    <t>Round of 16</t>
  </si>
  <si>
    <t>Quarterfinals</t>
  </si>
  <si>
    <t>Semifinals</t>
  </si>
  <si>
    <t>Final</t>
  </si>
  <si>
    <t>Team</t>
  </si>
  <si>
    <t>Score</t>
  </si>
  <si>
    <t>ET</t>
  </si>
  <si>
    <t>PEN</t>
  </si>
  <si>
    <t>Mexico</t>
  </si>
  <si>
    <t>South Africa</t>
  </si>
  <si>
    <t>A</t>
  </si>
  <si>
    <t>Group A</t>
  </si>
  <si>
    <t>South Korea</t>
  </si>
  <si>
    <t>Czechia</t>
  </si>
  <si>
    <t>PL</t>
  </si>
  <si>
    <t>W</t>
  </si>
  <si>
    <t>D</t>
  </si>
  <si>
    <t>L</t>
  </si>
  <si>
    <t>GF - GA</t>
  </si>
  <si>
    <t>P</t>
  </si>
  <si>
    <t>Canada</t>
  </si>
  <si>
    <t>Bosnia &amp; Herzegovina</t>
  </si>
  <si>
    <t>B</t>
  </si>
  <si>
    <t>Group B</t>
  </si>
  <si>
    <t>Qatar</t>
  </si>
  <si>
    <t>Switzerland</t>
  </si>
  <si>
    <t>Brazil</t>
  </si>
  <si>
    <t>Morocco</t>
  </si>
  <si>
    <t>C</t>
  </si>
  <si>
    <t>Group C</t>
  </si>
  <si>
    <t>Haiti</t>
  </si>
  <si>
    <t>Scotland</t>
  </si>
  <si>
    <t>United States</t>
  </si>
  <si>
    <t>Paraguay</t>
  </si>
  <si>
    <t>Group D</t>
  </si>
  <si>
    <t>Australia</t>
  </si>
  <si>
    <t>Türkiye</t>
  </si>
  <si>
    <t>Germany</t>
  </si>
  <si>
    <t>Curaçao</t>
  </si>
  <si>
    <t>E</t>
  </si>
  <si>
    <t>Group E</t>
  </si>
  <si>
    <t>Ivory Coast</t>
  </si>
  <si>
    <t>Ecuador</t>
  </si>
  <si>
    <t>Netherlands</t>
  </si>
  <si>
    <t>Japan</t>
  </si>
  <si>
    <t>F</t>
  </si>
  <si>
    <t>Group F</t>
  </si>
  <si>
    <t>Sweden</t>
  </si>
  <si>
    <t>Tunisia</t>
  </si>
  <si>
    <t>Champion 2026</t>
  </si>
  <si>
    <t>Belgium</t>
  </si>
  <si>
    <t>Egypt</t>
  </si>
  <si>
    <t>G</t>
  </si>
  <si>
    <t>Group G</t>
  </si>
  <si>
    <t>Iran</t>
  </si>
  <si>
    <t>New Zealand</t>
  </si>
  <si>
    <t>3rd Place</t>
  </si>
  <si>
    <t>Spain</t>
  </si>
  <si>
    <t>Cape Verde</t>
  </si>
  <si>
    <t>H</t>
  </si>
  <si>
    <t>Group H</t>
  </si>
  <si>
    <t>Saudi Arabia</t>
  </si>
  <si>
    <t>Uruguay</t>
  </si>
  <si>
    <t>France</t>
  </si>
  <si>
    <t>Senegal</t>
  </si>
  <si>
    <t>I</t>
  </si>
  <si>
    <t>Group I</t>
  </si>
  <si>
    <t>Iraq</t>
  </si>
  <si>
    <t>Norway</t>
  </si>
  <si>
    <t>Argentina</t>
  </si>
  <si>
    <t>Algeria</t>
  </si>
  <si>
    <t>J</t>
  </si>
  <si>
    <t>Group J</t>
  </si>
  <si>
    <t>Austria</t>
  </si>
  <si>
    <t>Jordan</t>
  </si>
  <si>
    <t>Portugal</t>
  </si>
  <si>
    <t>DR Congo</t>
  </si>
  <si>
    <t>K</t>
  </si>
  <si>
    <t>Group K</t>
  </si>
  <si>
    <t>Uzbekistan</t>
  </si>
  <si>
    <t>Colombia</t>
  </si>
  <si>
    <t>England</t>
  </si>
  <si>
    <t>Croatia</t>
  </si>
  <si>
    <t>Group L</t>
  </si>
  <si>
    <t>Ghana</t>
  </si>
  <si>
    <t>Panama</t>
  </si>
  <si>
    <t>H2H Pts</t>
  </si>
  <si>
    <t>H2H GD</t>
  </si>
  <si>
    <t>H2H GF</t>
  </si>
  <si>
    <t>FIFA WC 2026 — Toto Leaderboard</t>
  </si>
  <si>
    <t>PRIZE POOL</t>
  </si>
  <si>
    <t>Rank</t>
  </si>
  <si>
    <t>Participant</t>
  </si>
  <si>
    <t>Group</t>
  </si>
  <si>
    <t>R32</t>
  </si>
  <si>
    <t>R16</t>
  </si>
  <si>
    <t>QF</t>
  </si>
  <si>
    <t>SF</t>
  </si>
  <si>
    <t>3rd</t>
  </si>
  <si>
    <t>Champ</t>
  </si>
  <si>
    <t>TOTAL</t>
  </si>
  <si>
    <t>Prize €</t>
  </si>
  <si>
    <t>Place</t>
  </si>
  <si>
    <t>%</t>
  </si>
  <si>
    <t>€ Pool</t>
  </si>
  <si>
    <t># Tied</t>
  </si>
  <si>
    <t>€ / Winner</t>
  </si>
  <si>
    <t>Total</t>
  </si>
  <si>
    <t>Total Pot €:</t>
  </si>
  <si>
    <t>FIFA WC 2026 — Toto Participants</t>
  </si>
  <si>
    <t>Multipliers →</t>
  </si>
  <si>
    <t>×6</t>
  </si>
  <si>
    <t>×4</t>
  </si>
  <si>
    <t>×3</t>
  </si>
  <si>
    <t>×2</t>
  </si>
  <si>
    <t>×1</t>
  </si>
  <si>
    <t>Goals ×0.5</t>
  </si>
  <si>
    <t>Free 1 (×6)</t>
  </si>
  <si>
    <t>Free 2 (×4)</t>
  </si>
  <si>
    <t>Free 3 (×3)</t>
  </si>
  <si>
    <t>Free 4 (×2)</t>
  </si>
  <si>
    <t>FIFA #13–24 (×1)</t>
  </si>
  <si>
    <t>FIFA #25–36 (×1)</t>
  </si>
  <si>
    <t>FIFA #37–48 (×1)</t>
  </si>
  <si>
    <t>Best Scoring Team</t>
  </si>
  <si>
    <t>Free1</t>
  </si>
  <si>
    <t>Free2</t>
  </si>
  <si>
    <t>Free3</t>
  </si>
  <si>
    <t>Free4</t>
  </si>
  <si>
    <t>#13–24</t>
  </si>
  <si>
    <t>#25–36</t>
  </si>
  <si>
    <t>#37+</t>
  </si>
  <si>
    <t>Goals</t>
  </si>
  <si>
    <t>[helper] sortable</t>
  </si>
  <si>
    <t>Saulius Lileikis</t>
  </si>
  <si>
    <t>saulius.lileikis@gmail.com</t>
  </si>
  <si>
    <t>Žygimantas Ryliškis</t>
  </si>
  <si>
    <t>zygimantas.ryliskis@gmail.com</t>
  </si>
  <si>
    <t>Slava Maltsev</t>
  </si>
  <si>
    <t>Slava.Maltsev@carlsberg.kz</t>
  </si>
  <si>
    <t>p</t>
  </si>
  <si>
    <t>Thomas Wolke</t>
  </si>
  <si>
    <t>Thomas.Wolke@carlsberg.kz</t>
  </si>
  <si>
    <t>Sofus Wolke</t>
  </si>
  <si>
    <t>sejfus8@gmail.com</t>
  </si>
  <si>
    <t>Susie Wolke</t>
  </si>
  <si>
    <t>wolke3540@gmail.com</t>
  </si>
  <si>
    <t>Denis Kazarezov</t>
  </si>
  <si>
    <t>Denis.Kazarezov@carlsberg.kz</t>
  </si>
  <si>
    <t>Sigitas Petraitis</t>
  </si>
  <si>
    <t>Sigitas.Petraitis@svyturys.lt</t>
  </si>
  <si>
    <t>Benas VII</t>
  </si>
  <si>
    <t>dobilas.sirotka@gmail.com</t>
  </si>
  <si>
    <t>Dobilas III</t>
  </si>
  <si>
    <t>Kristina I</t>
  </si>
  <si>
    <t>Alius Antulis</t>
  </si>
  <si>
    <t>alius.antulis@gmail.com</t>
  </si>
  <si>
    <t>Todor Velikov</t>
  </si>
  <si>
    <t>todor.velikov@yahoo.com</t>
  </si>
  <si>
    <t>Karolis Marcinkevičius</t>
  </si>
  <si>
    <t>karolis.mrc@gmail.com</t>
  </si>
  <si>
    <t>Donatas Pocius</t>
  </si>
  <si>
    <t>pocius.d@gmail.com</t>
  </si>
  <si>
    <t>Kamran Mikayilov</t>
  </si>
  <si>
    <t>Kamran.Mikayilov@carlsberg.az</t>
  </si>
  <si>
    <t>Alexey Nikitenko</t>
  </si>
  <si>
    <t>Alexey.Nikitenko@carlsberg.kz</t>
  </si>
  <si>
    <t>Edita Oršauskė</t>
  </si>
  <si>
    <t>edita.pakulyte@gmail.com</t>
  </si>
  <si>
    <t>Saulius Pipiras</t>
  </si>
  <si>
    <t>saulys73@gmail.com</t>
  </si>
  <si>
    <t>Vytautas Gliaubicas</t>
  </si>
  <si>
    <t>vytautas.gliaubicas@lineja.com</t>
  </si>
  <si>
    <t>Benas Bruzga</t>
  </si>
  <si>
    <t>benas.bruzg@gmail.com</t>
  </si>
  <si>
    <t>Tomas Bruzga</t>
  </si>
  <si>
    <t>Tomas.Bruzga@jdecoffee.com</t>
  </si>
  <si>
    <t>Martynas Bruzga</t>
  </si>
  <si>
    <t>Gedas Girdžiūnas</t>
  </si>
  <si>
    <t>gedas@arkus.lt</t>
  </si>
  <si>
    <t xml:space="preserve">Paulius Bernotas </t>
  </si>
  <si>
    <t>bernotas9@yahoo.com</t>
  </si>
  <si>
    <t>Egidijus Mačiukas</t>
  </si>
  <si>
    <t>e.maciukas@gmail.com</t>
  </si>
  <si>
    <t>Algirdas Čižauskas</t>
  </si>
  <si>
    <t>algirdasvytautas@gmail.com</t>
  </si>
  <si>
    <t>Virginija Čižauskienė</t>
  </si>
  <si>
    <t>cvirgin@gmail.com</t>
  </si>
  <si>
    <t>Giedrius Šadbaras</t>
  </si>
  <si>
    <t>giedrius.sadbaras@gmail.com</t>
  </si>
  <si>
    <t>Eugenijus Petrošius</t>
  </si>
  <si>
    <t>eugenijus.petrosius@gmail.com</t>
  </si>
  <si>
    <t>Dainius Breivė</t>
  </si>
  <si>
    <t>juozuks@gmail.com</t>
  </si>
  <si>
    <t>Juozas Žimkus Jr</t>
  </si>
  <si>
    <t>Lukas Danielevičius</t>
  </si>
  <si>
    <t>lukas.danielevicius@gmail.com</t>
  </si>
  <si>
    <t>Simas Baubonis</t>
  </si>
  <si>
    <t>export@arkus.lt</t>
  </si>
  <si>
    <t>Dainius Visackas</t>
  </si>
  <si>
    <t>v.dainius73@gmail.com</t>
  </si>
  <si>
    <t>Ivan Manev</t>
  </si>
  <si>
    <t>ivan.manev12@gmail.com</t>
  </si>
  <si>
    <t>Rustam Roikov</t>
  </si>
  <si>
    <t>Rustam.Rojkov@carlsberg.az</t>
  </si>
  <si>
    <t>Zaur Yusubov</t>
  </si>
  <si>
    <t>zyusubov23@gmail.com</t>
  </si>
  <si>
    <t>Nikolay Lenkov</t>
  </si>
  <si>
    <t>Nikolay.Lenkov@carlsberg.kz</t>
  </si>
  <si>
    <t>Simona Jociūtė</t>
  </si>
  <si>
    <t>simonajociute@gmail.com</t>
  </si>
  <si>
    <t>Elijus Benetis</t>
  </si>
  <si>
    <t>Anton Panasenko</t>
  </si>
  <si>
    <t>Anton.Panasenko@carlsberg.az</t>
  </si>
  <si>
    <t>Justinas Novoruckis</t>
  </si>
  <si>
    <t>justinas.novoruckis@lineja.com</t>
  </si>
  <si>
    <t>Egidijus Navickas</t>
  </si>
  <si>
    <t>egidijus.navickas@gmail.com</t>
  </si>
  <si>
    <t>Deividas Jodenis</t>
  </si>
  <si>
    <t>dzionizz@gmail.com</t>
  </si>
  <si>
    <t>Titas Jodenis</t>
  </si>
  <si>
    <t>Yagub Alizada</t>
  </si>
  <si>
    <t>Yagub.Alizada@carlsberg.az</t>
  </si>
  <si>
    <t>Edgar Moroz</t>
  </si>
  <si>
    <t>edgar@claimsmanagement.lt</t>
  </si>
  <si>
    <t>Alberto Canova</t>
  </si>
  <si>
    <t>Alberto.Canova@carlsberg.it</t>
  </si>
  <si>
    <t>Andrea Signorini</t>
  </si>
  <si>
    <t>Andrea.Signorini@carlsberg.it</t>
  </si>
  <si>
    <t>Vytautas Podrezas</t>
  </si>
  <si>
    <t>vytautas.podrezas@gmail.com</t>
  </si>
  <si>
    <t>Sergey Zhaltuchin</t>
  </si>
  <si>
    <t>fillup@mail.ru</t>
  </si>
  <si>
    <t>Mindaugas Čižauskas</t>
  </si>
  <si>
    <t>mindaugas.cizauskas@svyturys.lt</t>
  </si>
  <si>
    <t>Renata Čižauskienė</t>
  </si>
  <si>
    <t>renata.baublyte@gmail.com</t>
  </si>
  <si>
    <t>Aurimas Šumbrauskis</t>
  </si>
  <si>
    <t>aurimas.sumbrauskis@gmail.com</t>
  </si>
  <si>
    <t>Dovilė Smetonė</t>
  </si>
  <si>
    <t>dovile.smetone@svyturys.lt</t>
  </si>
  <si>
    <t>Arūnas Čižauskas</t>
  </si>
  <si>
    <t>a.cizauskas@gmail.com</t>
  </si>
  <si>
    <t>N&amp;A Pociai</t>
  </si>
  <si>
    <t>arnas.pocius@gmail.com</t>
  </si>
  <si>
    <t>Donatas Celesius</t>
  </si>
  <si>
    <t>donatas.c@gmail.com</t>
  </si>
  <si>
    <t>Evelina Tiščenkė</t>
  </si>
  <si>
    <t>evelina.tiscenke@klinkera.lt</t>
  </si>
  <si>
    <t>Gianmarco Monti</t>
  </si>
  <si>
    <t>Gianmarco.Monti@carlsberg.it</t>
  </si>
  <si>
    <t>Lukas Vaitukaitis</t>
  </si>
  <si>
    <t>lukas.vaitukaitis@cchellenic.com</t>
  </si>
  <si>
    <t>Mindaugas Sipavičius</t>
  </si>
  <si>
    <t>mindaugas.sipavicius@gmail.com</t>
  </si>
  <si>
    <t>Simonas Sipavičius</t>
  </si>
  <si>
    <t>Rolandas Urbelis</t>
  </si>
  <si>
    <t>rolandasurbelis@yahoo.com</t>
  </si>
  <si>
    <t>Enrico Ancarola, Pietro Rivera, Riccardo Gatti</t>
  </si>
  <si>
    <t>Enrico.Ancarola@carlsberg.it; Pietro.Rivera@carlsberg.it; riccardo.gatti@carlsberg.lt</t>
  </si>
  <si>
    <t>Artem Lavrov</t>
  </si>
  <si>
    <t>Artem.Lavrov@carlsberg.kz</t>
  </si>
  <si>
    <t>Donatas Keras</t>
  </si>
  <si>
    <t>Donatas.Keras@gjensidige.lt</t>
  </si>
  <si>
    <t>Donatas Bakėjus</t>
  </si>
  <si>
    <t>donatas.bakejus@gmail.com</t>
  </si>
  <si>
    <t>Simonas Anikinas</t>
  </si>
  <si>
    <t>simas.design@gmail.com</t>
  </si>
  <si>
    <t>Raimondas Juška</t>
  </si>
  <si>
    <t>raimondas1979@gmail.com</t>
  </si>
  <si>
    <t>Jonas Juška</t>
  </si>
  <si>
    <t>Miglė Juškaitė</t>
  </si>
  <si>
    <t>Tihomir Chakarov</t>
  </si>
  <si>
    <t>tisho.chakarov@abv.bg</t>
  </si>
  <si>
    <t>Giedrius Stanulis</t>
  </si>
  <si>
    <t>giedrius@audis.lt</t>
  </si>
  <si>
    <t>Sampaio Carlos</t>
  </si>
  <si>
    <t>carlosmiguel.sampaio@hotmail.com</t>
  </si>
  <si>
    <t>Aurimas Oleknavičius</t>
  </si>
  <si>
    <t>aurimas.oleknavicius@gmail.com</t>
  </si>
  <si>
    <t>Partrikas Oleknavičius</t>
  </si>
  <si>
    <t>Jurga Šantaraitė</t>
  </si>
  <si>
    <t>j.santaraite@gmail.com</t>
  </si>
  <si>
    <t>Giuseppe Diana</t>
  </si>
  <si>
    <t>Giuseppe.Diana@carlsberg.it</t>
  </si>
  <si>
    <t>Danielius Pažusys</t>
  </si>
  <si>
    <t>pazusysdanielius@gmail.com</t>
  </si>
  <si>
    <t>Michele Sette</t>
  </si>
  <si>
    <t>Michele.Sette@carlsberg.it</t>
  </si>
  <si>
    <t>Mario Calvi</t>
  </si>
  <si>
    <t>Mario.Calvi@carlsberg.it</t>
  </si>
  <si>
    <t>Davide Speranza</t>
  </si>
  <si>
    <t>Davide.Speranza@carlsberg.it</t>
  </si>
  <si>
    <t>Nadia Mercurio</t>
  </si>
  <si>
    <t>Nadia.Mercurio@carlsberg.it</t>
  </si>
  <si>
    <t>Paolo Papiri</t>
  </si>
  <si>
    <t>Paolo.Papiri@carlsberg.it</t>
  </si>
  <si>
    <t>Gintas Bungarda</t>
  </si>
  <si>
    <t>gintas.bungarda@gmail.com</t>
  </si>
  <si>
    <t>Paulina Bungardė</t>
  </si>
  <si>
    <t>Gintas Bungarda 2</t>
  </si>
  <si>
    <t>Tomas Šunskis</t>
  </si>
  <si>
    <t>tom.tomazas@gmail.com</t>
  </si>
  <si>
    <t>Gintautas Beržanskis</t>
  </si>
  <si>
    <t>Gintautas.Berzanskis@dhl.com</t>
  </si>
  <si>
    <t>Vaidas Pažusys</t>
  </si>
  <si>
    <t>vaidas.pazusys@svyturys.lt</t>
  </si>
  <si>
    <t>Deividas Jančius</t>
  </si>
  <si>
    <t>d.jancius@gmail.com</t>
  </si>
  <si>
    <t>Ernesta Čebienė</t>
  </si>
  <si>
    <t>ernesta.ceb@gmail.com</t>
  </si>
  <si>
    <t>Darius Jalo</t>
  </si>
  <si>
    <t>darius.jaloveckas@gmail.com</t>
  </si>
  <si>
    <t>Pijus Jalo</t>
  </si>
  <si>
    <t>pijusjalo@gmail.com</t>
  </si>
  <si>
    <t>Joris Jalo</t>
  </si>
  <si>
    <t>jorisjalo@gmail.com</t>
  </si>
  <si>
    <t>Audi club</t>
  </si>
  <si>
    <t>audiclub1056@gmail.com</t>
  </si>
  <si>
    <t>Benediktas Babraitis</t>
  </si>
  <si>
    <t>benediktas.babraitis@gmail.com</t>
  </si>
  <si>
    <t>Rimas Baubonis</t>
  </si>
  <si>
    <t>r.baubonis@gmail.com</t>
  </si>
  <si>
    <t>Sigitas Šarauskis</t>
  </si>
  <si>
    <t>sigitas.sarauskis@gmail.com</t>
  </si>
  <si>
    <t>Jokūbas Kušleika</t>
  </si>
  <si>
    <t>kusleikajokubas@gmail.com</t>
  </si>
  <si>
    <t>Benas&amp;Šaras Oleknavičius</t>
  </si>
  <si>
    <t>saras.oleknavicius@gmail.com</t>
  </si>
  <si>
    <t>Gintarė Paipulė</t>
  </si>
  <si>
    <t>gd@gintarediz.lt</t>
  </si>
  <si>
    <t>Arnoldas Molis</t>
  </si>
  <si>
    <t>arnoldas.molis@gmail.com</t>
  </si>
  <si>
    <t>Instructions</t>
  </si>
  <si>
    <t>1.Each participant chooses 4 teams and ranks them in order from 1 (the team they believe in the most) to 4 (the team they believe in the least). Additionally, you need to choose 1 extra team that you think will score the most goals throughout the championship (play the most beautiful and high-scoring football), regardless of which stage they reach. Also, there is a new TOTO criterion where you need to choose three"weaker" teams from the list below 1.1.; 1.2 and 1.3 Three extra teams are  ranked by the existing FIFA rating. This is an opportunity to earn additional points.</t>
  </si>
  <si>
    <t>List of additional teams</t>
  </si>
  <si>
    <t>2.In the group stage, selected teams will receive 3 points for a win, 1 point for a draw, and 0 points for a loss</t>
  </si>
  <si>
    <t>Point that will be awarded if teams advances to knockout stages are below:</t>
  </si>
  <si>
    <t>Stages</t>
  </si>
  <si>
    <t>Points</t>
  </si>
  <si>
    <t>1/32</t>
  </si>
  <si>
    <t>1/16</t>
  </si>
  <si>
    <t>Quarterfinal</t>
  </si>
  <si>
    <t>Semifinal</t>
  </si>
  <si>
    <t>Champion</t>
  </si>
  <si>
    <t xml:space="preserve">3rd place </t>
  </si>
  <si>
    <t xml:space="preserve">The team that scores the most goals will receive 0.5 points for each goal scored in all stages.
</t>
  </si>
  <si>
    <t>(Penalty shootout goals after extra time do not count)</t>
  </si>
  <si>
    <t>3. The total points of the teams will be increase based on the position of the team in participants ranking.</t>
  </si>
  <si>
    <t>1. First team  x 6.</t>
  </si>
  <si>
    <t>2. Second team x 4.</t>
  </si>
  <si>
    <t>3. Third team x 3.</t>
  </si>
  <si>
    <t>4. Fourth team x 2.</t>
  </si>
  <si>
    <t>OC. Extra Team Nr1 x 1.</t>
  </si>
  <si>
    <t>OC. Extra Team Nr2 x 1.</t>
  </si>
  <si>
    <t>OC. Extra Team Nr3 x 1.</t>
  </si>
  <si>
    <t>SC. Team goals x 0,5.</t>
  </si>
  <si>
    <t>4. Winner is the participant who collects most points.</t>
  </si>
  <si>
    <t>5. Prize fund split: 1st place — 50%, 2nd — 20%, 3rd — 10%, 4th — 5%, 5th — 5%, 6th — 2.5%, 7th — 2.5%, 8th — 2.5%, 9th — 2.5%.</t>
  </si>
  <si>
    <t>If two or more participants collect the same number of points, they will equally share the prize fund allocated for the respective positions, for example:</t>
  </si>
  <si>
    <t>a) If two participants collect the same number of points and occupy 1st-2nd places, they will equally share the prize fund allocated for 1st-2nd places.</t>
  </si>
  <si>
    <t>b) If two participants collect the same number of points and occupy 2nd-3rd places, they will equally share the prize fund allocated for 2nd-3rd places, and so on…</t>
  </si>
  <si>
    <t>The prize fund will be reduced by bank transfer fees so that the game manager (CFO) does not have to finance you.</t>
  </si>
  <si>
    <t xml:space="preserve">If WC Toto collects more than 60 participants, the Admins keep the rights to change Toto price fund split could involving more winners. </t>
  </si>
  <si>
    <t>This will be decided once the participants' list is complete.</t>
  </si>
  <si>
    <t>6. Participation Fee - 30 EUR from each participant.</t>
  </si>
  <si>
    <t>Support team:</t>
  </si>
  <si>
    <t>Toto manager and fund collector - Arūnas Čižauskas</t>
  </si>
  <si>
    <t>Creativity and Data manager -Yagub Alizada</t>
  </si>
  <si>
    <t>Kiekvienas dalyvis pasirenka 4 komandas ir išrikiuoja jas pagal svarbą nuo 1 (komanda, kuria labiausiai tiki) iki 4 (komanda, kuria tiki mažiausiai). Be to, reikia pasirinkti 1 papildomą komandą, kuri, tavo nuomone, pelnys daugiausiai įvarčių per čempionatą (žais gražiausią ir rezultatyviausią futbolą), nepriklausomai nuo to, kuriame etape ji sustos. Taip pat yra naujas TOTO kriterijus — reikia pasirinkti tris „silpnesnes“ komandas iš žemiau pateikto sąrašo 1.1, 1.2 ir 1.3. Trys papildomos komandos yra reitinguojamos pagal esamą FIFA reitingą. Tai galimybė užsidirbti papildomų taškų.</t>
  </si>
  <si>
    <t>Papildomų komandų sąrašai:</t>
  </si>
  <si>
    <t>2. Grupių etape, komanda už pergalę gauna 3 taškus, už lygiasias 1 tašką, 0 taškų už pralaimėjimą.</t>
  </si>
  <si>
    <t>Atkrintamieji etapai</t>
  </si>
  <si>
    <t>Taškai</t>
  </si>
  <si>
    <t>Ketvirtfinalis</t>
  </si>
  <si>
    <t>Pusfinalis</t>
  </si>
  <si>
    <t>Finalas</t>
  </si>
  <si>
    <t>Čempionai</t>
  </si>
  <si>
    <t>3vietos laimėtojai</t>
  </si>
  <si>
    <t xml:space="preserve">Komanda, įmušusi daugiausia įvarčių, gaus po 0,5 taško už kiekvieną įmuštą įvartį visuose etapuose. Įvarčiai, pelnyti baudinių serijoje po pratęsimo, neįskaičiuojami.
</t>
  </si>
  <si>
    <t>3. Bendras komandų taškų skaičius bus padidintas atsižvelgiant į komandos vietą dalyvių reitinge.</t>
  </si>
  <si>
    <t>1. Pirma komanda  x 6.</t>
  </si>
  <si>
    <t>2. Antra komanda x 4.</t>
  </si>
  <si>
    <t>3. Trečia komanda x 3.</t>
  </si>
  <si>
    <t>4. Ketvirta komanda x 2.</t>
  </si>
  <si>
    <t>OC. Papildoma komanda Nr1 x 1.</t>
  </si>
  <si>
    <t>OC. Papildoma komanda Nr2 x 1.</t>
  </si>
  <si>
    <t>OC. Papildoma komanda Nr3 x 1.</t>
  </si>
  <si>
    <t>SC. Rezultatyviausios komandos įvarčiai x 0,5.</t>
  </si>
  <si>
    <t>4. Laimėtoju tampa dalyvis, surinkęs daugiausia taškų.</t>
  </si>
  <si>
    <t>5. Prizinio fondo paskirstymas: 1 vieta — 50%, 2 — 20%, 3 — 10%, 4 — 5%, 5 — 5%, 6 — 2,5%, 7 — 2,5%, 8 — 2,5%, 9 — 2,5%.</t>
  </si>
  <si>
    <t>Jeigu du ar daugiau dalyvių surenka vienodą taškų skaičių, jie lygiomis dalimis pasidalija prizinį fondą, skirtą atitinkamoms vietoms, pavyzdžiui:</t>
  </si>
  <si>
    <t>a) Jeigu du dalyviai surenka vienodą taškų skaičių ir užima 1-2 vietas, jie lygiomis dalimis pasidalija prizinį fondą, skirtą 1-2 vietoms.</t>
  </si>
  <si>
    <t>b) Jeigu du dalyviai surenka vienodą taškų skaičių ir užima 2-3 vietas, jie lygiomis dalimis pasidalija prizinį fondą, skirtą 2-3 vietoms, ir t. t.</t>
  </si>
  <si>
    <t>Jeigu WC Toto surinks daugiau nei 60 dalyvių, administratoriai pasilieka teisę pakeisti prizinio fondo paskirstymą, įtraukiant daugiau laimėtojų. Sprendimas bus priimtas užbaigus dalyvių sąrašą.</t>
  </si>
  <si>
    <t>6. Dalyvio mokestis - 30 EUR nuo dalyvio.</t>
  </si>
  <si>
    <t>TOTO brain and support team:</t>
  </si>
  <si>
    <t>FIFA WC 2026 — Team Scoring</t>
  </si>
  <si>
    <t>Grp</t>
  </si>
  <si>
    <t>G1</t>
  </si>
  <si>
    <t>G2</t>
  </si>
  <si>
    <t>G3</t>
  </si>
  <si>
    <t>Goals×0.5</t>
  </si>
  <si>
    <t>R32 (4)</t>
  </si>
  <si>
    <t>R16 (6)</t>
  </si>
  <si>
    <t>QF (8)</t>
  </si>
  <si>
    <t>SF (10)</t>
  </si>
  <si>
    <t>Final (13)</t>
  </si>
  <si>
    <t>Champ (16)</t>
  </si>
  <si>
    <t>TOTAL ex-goals</t>
  </si>
  <si>
    <t>3rd (5)</t>
  </si>
  <si>
    <t>Time settings</t>
  </si>
  <si>
    <t>Time</t>
  </si>
  <si>
    <t>Enter manually below</t>
  </si>
  <si>
    <t>Example: +4 or -4</t>
  </si>
  <si>
    <t>Language ID</t>
  </si>
  <si>
    <t>FIFA WC 2026 Teams</t>
  </si>
  <si>
    <t>FIFA Rank</t>
  </si>
  <si>
    <t>FIFA #13–24</t>
  </si>
  <si>
    <t>FIFA #25–36</t>
  </si>
  <si>
    <t>FIFA #37+</t>
  </si>
  <si>
    <t>GMT - 4:00</t>
  </si>
  <si>
    <t>GMT - 3:00</t>
  </si>
  <si>
    <t>GMT - 2:00</t>
  </si>
  <si>
    <t>GMT - 1:00</t>
  </si>
  <si>
    <t>GMT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</si>
  <si>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</si>
  <si>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</si>
  <si>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</si>
  <si>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</si>
  <si>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</si>
  <si>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</si>
  <si>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</si>
  <si>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</si>
  <si>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</si>
  <si>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</si>
  <si>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</si>
  <si>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</si>
  <si>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+0 min</t>
  </si>
  <si>
    <t>+15 min</t>
  </si>
  <si>
    <t>+30 min</t>
  </si>
  <si>
    <t>+45 min</t>
  </si>
  <si>
    <t>itype</t>
  </si>
  <si>
    <t>Scenario</t>
  </si>
  <si>
    <t>ComboKey</t>
  </si>
  <si>
    <t>ThirdPlaceGroups</t>
  </si>
  <si>
    <t>vs 1E (Match74) Best3rd A/B/C/D/F</t>
  </si>
  <si>
    <t>vs 1I (Match77) Best3rd C/D/F/G/H</t>
  </si>
  <si>
    <t>vs 1A (Match79) Best3rd C/E/F/H/I</t>
  </si>
  <si>
    <t>vs 1L (Match80) Best3rd E/H/I/J/K</t>
  </si>
  <si>
    <t>vs 1D (Match81) Best3rd B/E/F/I/J</t>
  </si>
  <si>
    <t>vs 1G (Match82) Best3rd A/E/H/I/J</t>
  </si>
  <si>
    <t>vs 1B (Match85) Best3rd E/F/G/I/J</t>
  </si>
  <si>
    <t>vs 1K (Match87) Best3rd D/E/I/J/L</t>
  </si>
  <si>
    <t>EFGHIJKL</t>
  </si>
  <si>
    <t>E,F,G,H,I,J,K,L</t>
  </si>
  <si>
    <t>DFGHIJKL</t>
  </si>
  <si>
    <t>D,F,G,H,I,J,K,L</t>
  </si>
  <si>
    <t>DEGHIJKL</t>
  </si>
  <si>
    <t>D,E,G,H,I,J,K,L</t>
  </si>
  <si>
    <t>DEFHIJKL</t>
  </si>
  <si>
    <t>D,E,F,H,I,J,K,L</t>
  </si>
  <si>
    <t>DEFGIJKL</t>
  </si>
  <si>
    <t>D,E,F,G,I,J,K,L</t>
  </si>
  <si>
    <t>DEFGHJKL</t>
  </si>
  <si>
    <t>D,E,F,G,H,J,K,L</t>
  </si>
  <si>
    <t>DEFGHIKL</t>
  </si>
  <si>
    <t>D,E,F,G,H,I,K,L</t>
  </si>
  <si>
    <t>DEFGHIJL</t>
  </si>
  <si>
    <t>D,E,F,G,H,I,J,L</t>
  </si>
  <si>
    <t>DEFGHIJK</t>
  </si>
  <si>
    <t>D,E,F,G,H,I,J,K</t>
  </si>
  <si>
    <t>CFGHIJKL</t>
  </si>
  <si>
    <t>C,F,G,H,I,J,K,L</t>
  </si>
  <si>
    <t>CEGHIJKL</t>
  </si>
  <si>
    <t>C,E,G,H,I,J,K,L</t>
  </si>
  <si>
    <t>CEFHIJKL</t>
  </si>
  <si>
    <t>C,E,F,H,I,J,K,L</t>
  </si>
  <si>
    <t>CEFGIJKL</t>
  </si>
  <si>
    <t>C,E,F,G,I,J,K,L</t>
  </si>
  <si>
    <t>CEFGHJKL</t>
  </si>
  <si>
    <t>C,E,F,G,H,J,K,L</t>
  </si>
  <si>
    <t>CEFGHIKL</t>
  </si>
  <si>
    <t>C,E,F,G,H,I,K,L</t>
  </si>
  <si>
    <t>CEFGHIJL</t>
  </si>
  <si>
    <t>C,E,F,G,H,I,J,L</t>
  </si>
  <si>
    <t>CEFGHIJK</t>
  </si>
  <si>
    <t>C,E,F,G,H,I,J,K</t>
  </si>
  <si>
    <t>CDGHIJKL</t>
  </si>
  <si>
    <t>C,D,G,H,I,J,K,L</t>
  </si>
  <si>
    <t>CDFHIJKL</t>
  </si>
  <si>
    <t>C,D,F,H,I,J,K,L</t>
  </si>
  <si>
    <t>CDFGIJKL</t>
  </si>
  <si>
    <t>C,D,F,G,I,J,K,L</t>
  </si>
  <si>
    <t>CDFGHJKL</t>
  </si>
  <si>
    <t>C,D,F,G,H,J,K,L</t>
  </si>
  <si>
    <t>CDFGHIKL</t>
  </si>
  <si>
    <t>C,D,F,G,H,I,K,L</t>
  </si>
  <si>
    <t>CDFGHIJL</t>
  </si>
  <si>
    <t>C,D,F,G,H,I,J,L</t>
  </si>
  <si>
    <t>CDFGHIJK</t>
  </si>
  <si>
    <t>C,D,F,G,H,I,J,K</t>
  </si>
  <si>
    <t>CDEHIJKL</t>
  </si>
  <si>
    <t>C,D,E,H,I,J,K,L</t>
  </si>
  <si>
    <t>CDEGIJKL</t>
  </si>
  <si>
    <t>C,D,E,G,I,J,K,L</t>
  </si>
  <si>
    <t>CDEGHJKL</t>
  </si>
  <si>
    <t>C,D,E,G,H,J,K,L</t>
  </si>
  <si>
    <t>CDEGHIKL</t>
  </si>
  <si>
    <t>C,D,E,G,H,I,K,L</t>
  </si>
  <si>
    <t>CDEGHIJL</t>
  </si>
  <si>
    <t>C,D,E,G,H,I,J,L</t>
  </si>
  <si>
    <t>CDEGHIJK</t>
  </si>
  <si>
    <t>C,D,E,G,H,I,J,K</t>
  </si>
  <si>
    <t>CDEFIJKL</t>
  </si>
  <si>
    <t>C,D,E,F,I,J,K,L</t>
  </si>
  <si>
    <t>CDEFHJKL</t>
  </si>
  <si>
    <t>C,D,E,F,H,J,K,L</t>
  </si>
  <si>
    <t>CDEFHIKL</t>
  </si>
  <si>
    <t>C,D,E,F,H,I,K,L</t>
  </si>
  <si>
    <t>CDEFHIJL</t>
  </si>
  <si>
    <t>C,D,E,F,H,I,J,L</t>
  </si>
  <si>
    <t>CDEFHIJK</t>
  </si>
  <si>
    <t>C,D,E,F,H,I,J,K</t>
  </si>
  <si>
    <t>CDEFGJKL</t>
  </si>
  <si>
    <t>C,D,E,F,G,J,K,L</t>
  </si>
  <si>
    <t>CDEFGIKL</t>
  </si>
  <si>
    <t>C,D,E,F,G,I,K,L</t>
  </si>
  <si>
    <t>CDEFGIJL</t>
  </si>
  <si>
    <t>C,D,E,F,G,I,J,L</t>
  </si>
  <si>
    <t>CDEFGIJK</t>
  </si>
  <si>
    <t>C,D,E,F,G,I,J,K</t>
  </si>
  <si>
    <t>CDEFGHKL</t>
  </si>
  <si>
    <t>C,D,E,F,G,H,K,L</t>
  </si>
  <si>
    <t>CDEFGHJL</t>
  </si>
  <si>
    <t>C,D,E,F,G,H,J,L</t>
  </si>
  <si>
    <t>CDEFGHJK</t>
  </si>
  <si>
    <t>C,D,E,F,G,H,J,K</t>
  </si>
  <si>
    <t>CDEFGHIL</t>
  </si>
  <si>
    <t>C,D,E,F,G,H,I,L</t>
  </si>
  <si>
    <t>CDEFGHIK</t>
  </si>
  <si>
    <t>C,D,E,F,G,H,I,K</t>
  </si>
  <si>
    <t>CDEFGHIJ</t>
  </si>
  <si>
    <t>C,D,E,F,G,H,I,J</t>
  </si>
  <si>
    <t>BFGHIJKL</t>
  </si>
  <si>
    <t>B,F,G,H,I,J,K,L</t>
  </si>
  <si>
    <t>BEGHIJKL</t>
  </si>
  <si>
    <t>B,E,G,H,I,J,K,L</t>
  </si>
  <si>
    <t>BEFHIJKL</t>
  </si>
  <si>
    <t>B,E,F,H,I,J,K,L</t>
  </si>
  <si>
    <t>BEFGIJKL</t>
  </si>
  <si>
    <t>B,E,F,G,I,J,K,L</t>
  </si>
  <si>
    <t>BEFGHJKL</t>
  </si>
  <si>
    <t>B,E,F,G,H,J,K,L</t>
  </si>
  <si>
    <t>BEFGHIKL</t>
  </si>
  <si>
    <t>B,E,F,G,H,I,K,L</t>
  </si>
  <si>
    <t>BEFGHIJL</t>
  </si>
  <si>
    <t>B,E,F,G,H,I,J,L</t>
  </si>
  <si>
    <t>BEFGHIJK</t>
  </si>
  <si>
    <t>B,E,F,G,H,I,J,K</t>
  </si>
  <si>
    <t>BDGHIJKL</t>
  </si>
  <si>
    <t>B,D,G,H,I,J,K,L</t>
  </si>
  <si>
    <t>BDFHIJKL</t>
  </si>
  <si>
    <t>B,D,F,H,I,J,K,L</t>
  </si>
  <si>
    <t>BDFGIJKL</t>
  </si>
  <si>
    <t>B,D,F,G,I,J,K,L</t>
  </si>
  <si>
    <t>BDFGHJKL</t>
  </si>
  <si>
    <t>B,D,F,G,H,J,K,L</t>
  </si>
  <si>
    <t>BDFGHIKL</t>
  </si>
  <si>
    <t>B,D,F,G,H,I,K,L</t>
  </si>
  <si>
    <t>BDFGHIJL</t>
  </si>
  <si>
    <t>B,D,F,G,H,I,J,L</t>
  </si>
  <si>
    <t>BDFGHIJK</t>
  </si>
  <si>
    <t>B,D,F,G,H,I,J,K</t>
  </si>
  <si>
    <t>BDEHIJKL</t>
  </si>
  <si>
    <t>B,D,E,H,I,J,K,L</t>
  </si>
  <si>
    <t>BDEGIJKL</t>
  </si>
  <si>
    <t>B,D,E,G,I,J,K,L</t>
  </si>
  <si>
    <t>BDEGHJKL</t>
  </si>
  <si>
    <t>B,D,E,G,H,J,K,L</t>
  </si>
  <si>
    <t>BDEGHIKL</t>
  </si>
  <si>
    <t>B,D,E,G,H,I,K,L</t>
  </si>
  <si>
    <t>BDEGHIJL</t>
  </si>
  <si>
    <t>B,D,E,G,H,I,J,L</t>
  </si>
  <si>
    <t>BDEGHIJK</t>
  </si>
  <si>
    <t>B,D,E,G,H,I,J,K</t>
  </si>
  <si>
    <t>BDEFIJKL</t>
  </si>
  <si>
    <t>B,D,E,F,I,J,K,L</t>
  </si>
  <si>
    <t>BDEFHJKL</t>
  </si>
  <si>
    <t>B,D,E,F,H,J,K,L</t>
  </si>
  <si>
    <t>BDEFHIKL</t>
  </si>
  <si>
    <t>B,D,E,F,H,I,K,L</t>
  </si>
  <si>
    <t>BDEFHIJL</t>
  </si>
  <si>
    <t>B,D,E,F,H,I,J,L</t>
  </si>
  <si>
    <t>BDEFHIJK</t>
  </si>
  <si>
    <t>B,D,E,F,H,I,J,K</t>
  </si>
  <si>
    <t>BDEFGJKL</t>
  </si>
  <si>
    <t>B,D,E,F,G,J,K,L</t>
  </si>
  <si>
    <t>BDEFGIKL</t>
  </si>
  <si>
    <t>B,D,E,F,G,I,K,L</t>
  </si>
  <si>
    <t>BDEFGIJL</t>
  </si>
  <si>
    <t>B,D,E,F,G,I,J,L</t>
  </si>
  <si>
    <t>BDEFGIJK</t>
  </si>
  <si>
    <t>B,D,E,F,G,I,J,K</t>
  </si>
  <si>
    <t>BDEFGHKL</t>
  </si>
  <si>
    <t>B,D,E,F,G,H,K,L</t>
  </si>
  <si>
    <t>BDEFGHJL</t>
  </si>
  <si>
    <t>B,D,E,F,G,H,J,L</t>
  </si>
  <si>
    <t>BDEFGHJK</t>
  </si>
  <si>
    <t>B,D,E,F,G,H,J,K</t>
  </si>
  <si>
    <t>BDEFGHIL</t>
  </si>
  <si>
    <t>B,D,E,F,G,H,I,L</t>
  </si>
  <si>
    <t>BDEFGHIK</t>
  </si>
  <si>
    <t>B,D,E,F,G,H,I,K</t>
  </si>
  <si>
    <t>BDEFGHIJ</t>
  </si>
  <si>
    <t>B,D,E,F,G,H,I,J</t>
  </si>
  <si>
    <t>BCGHIJKL</t>
  </si>
  <si>
    <t>B,C,G,H,I,J,K,L</t>
  </si>
  <si>
    <t>BCFHIJKL</t>
  </si>
  <si>
    <t>B,C,F,H,I,J,K,L</t>
  </si>
  <si>
    <t>BCFGIJKL</t>
  </si>
  <si>
    <t>B,C,F,G,I,J,K,L</t>
  </si>
  <si>
    <t>BCFGHJKL</t>
  </si>
  <si>
    <t>B,C,F,G,H,J,K,L</t>
  </si>
  <si>
    <t>BCFGHIKL</t>
  </si>
  <si>
    <t>B,C,F,G,H,I,K,L</t>
  </si>
  <si>
    <t>BCFGHIJL</t>
  </si>
  <si>
    <t>B,C,F,G,H,I,J,L</t>
  </si>
  <si>
    <t>BCFGHIJK</t>
  </si>
  <si>
    <t>B,C,F,G,H,I,J,K</t>
  </si>
  <si>
    <t>BCEHIJKL</t>
  </si>
  <si>
    <t>B,C,E,H,I,J,K,L</t>
  </si>
  <si>
    <t>BCEGIJKL</t>
  </si>
  <si>
    <t>B,C,E,G,I,J,K,L</t>
  </si>
  <si>
    <t>BCEGHJKL</t>
  </si>
  <si>
    <t>B,C,E,G,H,J,K,L</t>
  </si>
  <si>
    <t>BCEGHIKL</t>
  </si>
  <si>
    <t>B,C,E,G,H,I,K,L</t>
  </si>
  <si>
    <t>BCEGHIJL</t>
  </si>
  <si>
    <t>B,C,E,G,H,I,J,L</t>
  </si>
  <si>
    <t>BCEGHIJK</t>
  </si>
  <si>
    <t>B,C,E,G,H,I,J,K</t>
  </si>
  <si>
    <t>BCEFIJKL</t>
  </si>
  <si>
    <t>B,C,E,F,I,J,K,L</t>
  </si>
  <si>
    <t>BCEFHJKL</t>
  </si>
  <si>
    <t>B,C,E,F,H,J,K,L</t>
  </si>
  <si>
    <t>BCEFHIKL</t>
  </si>
  <si>
    <t>B,C,E,F,H,I,K,L</t>
  </si>
  <si>
    <t>BCEFHIJL</t>
  </si>
  <si>
    <t>B,C,E,F,H,I,J,L</t>
  </si>
  <si>
    <t>BCEFHIJK</t>
  </si>
  <si>
    <t>B,C,E,F,H,I,J,K</t>
  </si>
  <si>
    <t>BCEFGJKL</t>
  </si>
  <si>
    <t>B,C,E,F,G,J,K,L</t>
  </si>
  <si>
    <t>BCEFGIKL</t>
  </si>
  <si>
    <t>B,C,E,F,G,I,K,L</t>
  </si>
  <si>
    <t>BCEFGIJL</t>
  </si>
  <si>
    <t>B,C,E,F,G,I,J,L</t>
  </si>
  <si>
    <t>BCEFGIJK</t>
  </si>
  <si>
    <t>B,C,E,F,G,I,J,K</t>
  </si>
  <si>
    <t>BCEFGHKL</t>
  </si>
  <si>
    <t>B,C,E,F,G,H,K,L</t>
  </si>
  <si>
    <t>BCEFGHJL</t>
  </si>
  <si>
    <t>B,C,E,F,G,H,J,L</t>
  </si>
  <si>
    <t>BCEFGHJK</t>
  </si>
  <si>
    <t>B,C,E,F,G,H,J,K</t>
  </si>
  <si>
    <t>BCEFGHIL</t>
  </si>
  <si>
    <t>B,C,E,F,G,H,I,L</t>
  </si>
  <si>
    <t>BCEFGHIK</t>
  </si>
  <si>
    <t>B,C,E,F,G,H,I,K</t>
  </si>
  <si>
    <t>BCEFGHIJ</t>
  </si>
  <si>
    <t>B,C,E,F,G,H,I,J</t>
  </si>
  <si>
    <t>BCDHIJKL</t>
  </si>
  <si>
    <t>B,C,D,H,I,J,K,L</t>
  </si>
  <si>
    <t>BCDGIJKL</t>
  </si>
  <si>
    <t>B,C,D,G,I,J,K,L</t>
  </si>
  <si>
    <t>BCDGHJKL</t>
  </si>
  <si>
    <t>B,C,D,G,H,J,K,L</t>
  </si>
  <si>
    <t>BCDGHIKL</t>
  </si>
  <si>
    <t>B,C,D,G,H,I,K,L</t>
  </si>
  <si>
    <t>BCDGHIJL</t>
  </si>
  <si>
    <t>B,C,D,G,H,I,J,L</t>
  </si>
  <si>
    <t>BCDGHIJK</t>
  </si>
  <si>
    <t>B,C,D,G,H,I,J,K</t>
  </si>
  <si>
    <t>BCDFIJKL</t>
  </si>
  <si>
    <t>B,C,D,F,I,J,K,L</t>
  </si>
  <si>
    <t>BCDFHJKL</t>
  </si>
  <si>
    <t>B,C,D,F,H,J,K,L</t>
  </si>
  <si>
    <t>BCDFHIKL</t>
  </si>
  <si>
    <t>B,C,D,F,H,I,K,L</t>
  </si>
  <si>
    <t>BCDFHIJL</t>
  </si>
  <si>
    <t>B,C,D,F,H,I,J,L</t>
  </si>
  <si>
    <t>BCDFHIJK</t>
  </si>
  <si>
    <t>B,C,D,F,H,I,J,K</t>
  </si>
  <si>
    <t>BCDFGJKL</t>
  </si>
  <si>
    <t>B,C,D,F,G,J,K,L</t>
  </si>
  <si>
    <t>BCDFGIKL</t>
  </si>
  <si>
    <t>B,C,D,F,G,I,K,L</t>
  </si>
  <si>
    <t>BCDFGIJL</t>
  </si>
  <si>
    <t>B,C,D,F,G,I,J,L</t>
  </si>
  <si>
    <t>BCDFGIJK</t>
  </si>
  <si>
    <t>B,C,D,F,G,I,J,K</t>
  </si>
  <si>
    <t>BCDFGHKL</t>
  </si>
  <si>
    <t>B,C,D,F,G,H,K,L</t>
  </si>
  <si>
    <t>BCDFGHJL</t>
  </si>
  <si>
    <t>B,C,D,F,G,H,J,L</t>
  </si>
  <si>
    <t>BCDFGHJK</t>
  </si>
  <si>
    <t>B,C,D,F,G,H,J,K</t>
  </si>
  <si>
    <t>BCDFGHIL</t>
  </si>
  <si>
    <t>B,C,D,F,G,H,I,L</t>
  </si>
  <si>
    <t>BCDFGHIK</t>
  </si>
  <si>
    <t>B,C,D,F,G,H,I,K</t>
  </si>
  <si>
    <t>BCDFGHIJ</t>
  </si>
  <si>
    <t>B,C,D,F,G,H,I,J</t>
  </si>
  <si>
    <t>BCDEIJKL</t>
  </si>
  <si>
    <t>B,C,D,E,I,J,K,L</t>
  </si>
  <si>
    <t>BCDEHJKL</t>
  </si>
  <si>
    <t>B,C,D,E,H,J,K,L</t>
  </si>
  <si>
    <t>BCDEHIKL</t>
  </si>
  <si>
    <t>B,C,D,E,H,I,K,L</t>
  </si>
  <si>
    <t>BCDEHIJL</t>
  </si>
  <si>
    <t>B,C,D,E,H,I,J,L</t>
  </si>
  <si>
    <t>BCDEHIJK</t>
  </si>
  <si>
    <t>B,C,D,E,H,I,J,K</t>
  </si>
  <si>
    <t>BCDEGJKL</t>
  </si>
  <si>
    <t>B,C,D,E,G,J,K,L</t>
  </si>
  <si>
    <t>BCDEGIKL</t>
  </si>
  <si>
    <t>B,C,D,E,G,I,K,L</t>
  </si>
  <si>
    <t>BCDEGIJL</t>
  </si>
  <si>
    <t>B,C,D,E,G,I,J,L</t>
  </si>
  <si>
    <t>BCDEGIJK</t>
  </si>
  <si>
    <t>B,C,D,E,G,I,J,K</t>
  </si>
  <si>
    <t>BCDEGHKL</t>
  </si>
  <si>
    <t>B,C,D,E,G,H,K,L</t>
  </si>
  <si>
    <t>BCDEGHJL</t>
  </si>
  <si>
    <t>B,C,D,E,G,H,J,L</t>
  </si>
  <si>
    <t>BCDEGHJK</t>
  </si>
  <si>
    <t>B,C,D,E,G,H,J,K</t>
  </si>
  <si>
    <t>BCDEGHIL</t>
  </si>
  <si>
    <t>B,C,D,E,G,H,I,L</t>
  </si>
  <si>
    <t>BCDEGHIK</t>
  </si>
  <si>
    <t>B,C,D,E,G,H,I,K</t>
  </si>
  <si>
    <t>BCDEGHIJ</t>
  </si>
  <si>
    <t>B,C,D,E,G,H,I,J</t>
  </si>
  <si>
    <t>BCDEFJKL</t>
  </si>
  <si>
    <t>B,C,D,E,F,J,K,L</t>
  </si>
  <si>
    <t>BCDEFIKL</t>
  </si>
  <si>
    <t>B,C,D,E,F,I,K,L</t>
  </si>
  <si>
    <t>BCDEFIJL</t>
  </si>
  <si>
    <t>B,C,D,E,F,I,J,L</t>
  </si>
  <si>
    <t>BCDEFIJK</t>
  </si>
  <si>
    <t>B,C,D,E,F,I,J,K</t>
  </si>
  <si>
    <t>BCDEFHKL</t>
  </si>
  <si>
    <t>B,C,D,E,F,H,K,L</t>
  </si>
  <si>
    <t>BCDEFHJL</t>
  </si>
  <si>
    <t>B,C,D,E,F,H,J,L</t>
  </si>
  <si>
    <t>BCDEFHJK</t>
  </si>
  <si>
    <t>B,C,D,E,F,H,J,K</t>
  </si>
  <si>
    <t>BCDEFHIL</t>
  </si>
  <si>
    <t>B,C,D,E,F,H,I,L</t>
  </si>
  <si>
    <t>BCDEFHIK</t>
  </si>
  <si>
    <t>B,C,D,E,F,H,I,K</t>
  </si>
  <si>
    <t>BCDEFHIJ</t>
  </si>
  <si>
    <t>B,C,D,E,F,H,I,J</t>
  </si>
  <si>
    <t>BCDEFGKL</t>
  </si>
  <si>
    <t>B,C,D,E,F,G,K,L</t>
  </si>
  <si>
    <t>BCDEFGJL</t>
  </si>
  <si>
    <t>B,C,D,E,F,G,J,L</t>
  </si>
  <si>
    <t>BCDEFGJK</t>
  </si>
  <si>
    <t>B,C,D,E,F,G,J,K</t>
  </si>
  <si>
    <t>BCDEFGIL</t>
  </si>
  <si>
    <t>B,C,D,E,F,G,I,L</t>
  </si>
  <si>
    <t>BCDEFGIK</t>
  </si>
  <si>
    <t>B,C,D,E,F,G,I,K</t>
  </si>
  <si>
    <t>BCDEFGIJ</t>
  </si>
  <si>
    <t>B,C,D,E,F,G,I,J</t>
  </si>
  <si>
    <t>BCDEFGHL</t>
  </si>
  <si>
    <t>B,C,D,E,F,G,H,L</t>
  </si>
  <si>
    <t>BCDEFGHK</t>
  </si>
  <si>
    <t>B,C,D,E,F,G,H,K</t>
  </si>
  <si>
    <t>BCDEFGHJ</t>
  </si>
  <si>
    <t>B,C,D,E,F,G,H,J</t>
  </si>
  <si>
    <t>BCDEFGHI</t>
  </si>
  <si>
    <t>B,C,D,E,F,G,H,I</t>
  </si>
  <si>
    <t>AFGHIJKL</t>
  </si>
  <si>
    <t>A,F,G,H,I,J,K,L</t>
  </si>
  <si>
    <t>AEGHIJKL</t>
  </si>
  <si>
    <t>A,E,G,H,I,J,K,L</t>
  </si>
  <si>
    <t>AEFHIJKL</t>
  </si>
  <si>
    <t>A,E,F,H,I,J,K,L</t>
  </si>
  <si>
    <t>AEFGIJKL</t>
  </si>
  <si>
    <t>A,E,F,G,I,J,K,L</t>
  </si>
  <si>
    <t>AEFGHJKL</t>
  </si>
  <si>
    <t>A,E,F,G,H,J,K,L</t>
  </si>
  <si>
    <t>AEFGHIKL</t>
  </si>
  <si>
    <t>A,E,F,G,H,I,K,L</t>
  </si>
  <si>
    <t>AEFGHIJL</t>
  </si>
  <si>
    <t>A,E,F,G,H,I,J,L</t>
  </si>
  <si>
    <t>AEFGHIJK</t>
  </si>
  <si>
    <t>A,E,F,G,H,I,J,K</t>
  </si>
  <si>
    <t>ADGHIJKL</t>
  </si>
  <si>
    <t>A,D,G,H,I,J,K,L</t>
  </si>
  <si>
    <t>ADFHIJKL</t>
  </si>
  <si>
    <t>A,D,F,H,I,J,K,L</t>
  </si>
  <si>
    <t>ADFGIJKL</t>
  </si>
  <si>
    <t>A,D,F,G,I,J,K,L</t>
  </si>
  <si>
    <t>ADFGHJKL</t>
  </si>
  <si>
    <t>A,D,F,G,H,J,K,L</t>
  </si>
  <si>
    <t>ADFGHIKL</t>
  </si>
  <si>
    <t>A,D,F,G,H,I,K,L</t>
  </si>
  <si>
    <t>ADFGHIJL</t>
  </si>
  <si>
    <t>A,D,F,G,H,I,J,L</t>
  </si>
  <si>
    <t>ADFGHIJK</t>
  </si>
  <si>
    <t>A,D,F,G,H,I,J,K</t>
  </si>
  <si>
    <t>ADEHIJKL</t>
  </si>
  <si>
    <t>A,D,E,H,I,J,K,L</t>
  </si>
  <si>
    <t>ADEGIJKL</t>
  </si>
  <si>
    <t>A,D,E,G,I,J,K,L</t>
  </si>
  <si>
    <t>ADEGHJKL</t>
  </si>
  <si>
    <t>A,D,E,G,H,J,K,L</t>
  </si>
  <si>
    <t>ADEGHIKL</t>
  </si>
  <si>
    <t>A,D,E,G,H,I,K,L</t>
  </si>
  <si>
    <t>ADEGHIJL</t>
  </si>
  <si>
    <t>A,D,E,G,H,I,J,L</t>
  </si>
  <si>
    <t>ADEGHIJK</t>
  </si>
  <si>
    <t>A,D,E,G,H,I,J,K</t>
  </si>
  <si>
    <t>ADEFIJKL</t>
  </si>
  <si>
    <t>A,D,E,F,I,J,K,L</t>
  </si>
  <si>
    <t>ADEFHJKL</t>
  </si>
  <si>
    <t>A,D,E,F,H,J,K,L</t>
  </si>
  <si>
    <t>ADEFHIKL</t>
  </si>
  <si>
    <t>A,D,E,F,H,I,K,L</t>
  </si>
  <si>
    <t>ADEFHIJL</t>
  </si>
  <si>
    <t>A,D,E,F,H,I,J,L</t>
  </si>
  <si>
    <t>ADEFHIJK</t>
  </si>
  <si>
    <t>A,D,E,F,H,I,J,K</t>
  </si>
  <si>
    <t>ADEFGJKL</t>
  </si>
  <si>
    <t>A,D,E,F,G,J,K,L</t>
  </si>
  <si>
    <t>ADEFGIKL</t>
  </si>
  <si>
    <t>A,D,E,F,G,I,K,L</t>
  </si>
  <si>
    <t>ADEFGIJL</t>
  </si>
  <si>
    <t>A,D,E,F,G,I,J,L</t>
  </si>
  <si>
    <t>ADEFGIJK</t>
  </si>
  <si>
    <t>A,D,E,F,G,I,J,K</t>
  </si>
  <si>
    <t>ADEFGHKL</t>
  </si>
  <si>
    <t>A,D,E,F,G,H,K,L</t>
  </si>
  <si>
    <t>ADEFGHJL</t>
  </si>
  <si>
    <t>A,D,E,F,G,H,J,L</t>
  </si>
  <si>
    <t>ADEFGHJK</t>
  </si>
  <si>
    <t>A,D,E,F,G,H,J,K</t>
  </si>
  <si>
    <t>ADEFGHIL</t>
  </si>
  <si>
    <t>A,D,E,F,G,H,I,L</t>
  </si>
  <si>
    <t>ADEFGHIK</t>
  </si>
  <si>
    <t>A,D,E,F,G,H,I,K</t>
  </si>
  <si>
    <t>ADEFGHIJ</t>
  </si>
  <si>
    <t>A,D,E,F,G,H,I,J</t>
  </si>
  <si>
    <t>ACGHIJKL</t>
  </si>
  <si>
    <t>A,C,G,H,I,J,K,L</t>
  </si>
  <si>
    <t>ACFHIJKL</t>
  </si>
  <si>
    <t>A,C,F,H,I,J,K,L</t>
  </si>
  <si>
    <t>ACFGIJKL</t>
  </si>
  <si>
    <t>A,C,F,G,I,J,K,L</t>
  </si>
  <si>
    <t>ACFGHJKL</t>
  </si>
  <si>
    <t>A,C,F,G,H,J,K,L</t>
  </si>
  <si>
    <t>ACFGHIKL</t>
  </si>
  <si>
    <t>A,C,F,G,H,I,K,L</t>
  </si>
  <si>
    <t>ACFGHIJL</t>
  </si>
  <si>
    <t>A,C,F,G,H,I,J,L</t>
  </si>
  <si>
    <t>ACFGHIJK</t>
  </si>
  <si>
    <t>A,C,F,G,H,I,J,K</t>
  </si>
  <si>
    <t>ACEHIJKL</t>
  </si>
  <si>
    <t>A,C,E,H,I,J,K,L</t>
  </si>
  <si>
    <t>ACEGIJKL</t>
  </si>
  <si>
    <t>A,C,E,G,I,J,K,L</t>
  </si>
  <si>
    <t>ACEGHJKL</t>
  </si>
  <si>
    <t>A,C,E,G,H,J,K,L</t>
  </si>
  <si>
    <t>ACEGHIKL</t>
  </si>
  <si>
    <t>A,C,E,G,H,I,K,L</t>
  </si>
  <si>
    <t>ACEGHIJL</t>
  </si>
  <si>
    <t>A,C,E,G,H,I,J,L</t>
  </si>
  <si>
    <t>ACEGHIJK</t>
  </si>
  <si>
    <t>A,C,E,G,H,I,J,K</t>
  </si>
  <si>
    <t>ACEFIJKL</t>
  </si>
  <si>
    <t>A,C,E,F,I,J,K,L</t>
  </si>
  <si>
    <t>ACEFHJKL</t>
  </si>
  <si>
    <t>A,C,E,F,H,J,K,L</t>
  </si>
  <si>
    <t>ACEFHIKL</t>
  </si>
  <si>
    <t>A,C,E,F,H,I,K,L</t>
  </si>
  <si>
    <t>ACEFHIJL</t>
  </si>
  <si>
    <t>A,C,E,F,H,I,J,L</t>
  </si>
  <si>
    <t>ACEFHIJK</t>
  </si>
  <si>
    <t>A,C,E,F,H,I,J,K</t>
  </si>
  <si>
    <t>ACEFGJKL</t>
  </si>
  <si>
    <t>A,C,E,F,G,J,K,L</t>
  </si>
  <si>
    <t>ACEFGIKL</t>
  </si>
  <si>
    <t>A,C,E,F,G,I,K,L</t>
  </si>
  <si>
    <t>ACEFGIJL</t>
  </si>
  <si>
    <t>A,C,E,F,G,I,J,L</t>
  </si>
  <si>
    <t>ACEFGIJK</t>
  </si>
  <si>
    <t>A,C,E,F,G,I,J,K</t>
  </si>
  <si>
    <t>ACEFGHKL</t>
  </si>
  <si>
    <t>A,C,E,F,G,H,K,L</t>
  </si>
  <si>
    <t>ACEFGHJL</t>
  </si>
  <si>
    <t>A,C,E,F,G,H,J,L</t>
  </si>
  <si>
    <t>ACEFGHJK</t>
  </si>
  <si>
    <t>A,C,E,F,G,H,J,K</t>
  </si>
  <si>
    <t>ACEFGHIL</t>
  </si>
  <si>
    <t>A,C,E,F,G,H,I,L</t>
  </si>
  <si>
    <t>ACEFGHIK</t>
  </si>
  <si>
    <t>A,C,E,F,G,H,I,K</t>
  </si>
  <si>
    <t>ACEFGHIJ</t>
  </si>
  <si>
    <t>A,C,E,F,G,H,I,J</t>
  </si>
  <si>
    <t>ACDHIJKL</t>
  </si>
  <si>
    <t>A,C,D,H,I,J,K,L</t>
  </si>
  <si>
    <t>ACDGIJKL</t>
  </si>
  <si>
    <t>A,C,D,G,I,J,K,L</t>
  </si>
  <si>
    <t>ACDGHJKL</t>
  </si>
  <si>
    <t>A,C,D,G,H,J,K,L</t>
  </si>
  <si>
    <t>ACDGHIKL</t>
  </si>
  <si>
    <t>A,C,D,G,H,I,K,L</t>
  </si>
  <si>
    <t>ACDGHIJL</t>
  </si>
  <si>
    <t>A,C,D,G,H,I,J,L</t>
  </si>
  <si>
    <t>ACDGHIJK</t>
  </si>
  <si>
    <t>A,C,D,G,H,I,J,K</t>
  </si>
  <si>
    <t>ACDFIJKL</t>
  </si>
  <si>
    <t>A,C,D,F,I,J,K,L</t>
  </si>
  <si>
    <t>ACDFHJKL</t>
  </si>
  <si>
    <t>A,C,D,F,H,J,K,L</t>
  </si>
  <si>
    <t>ACDFHIKL</t>
  </si>
  <si>
    <t>A,C,D,F,H,I,K,L</t>
  </si>
  <si>
    <t>ACDFHIJL</t>
  </si>
  <si>
    <t>A,C,D,F,H,I,J,L</t>
  </si>
  <si>
    <t>ACDFHIJK</t>
  </si>
  <si>
    <t>A,C,D,F,H,I,J,K</t>
  </si>
  <si>
    <t>ACDFGJKL</t>
  </si>
  <si>
    <t>A,C,D,F,G,J,K,L</t>
  </si>
  <si>
    <t>ACDFGIKL</t>
  </si>
  <si>
    <t>A,C,D,F,G,I,K,L</t>
  </si>
  <si>
    <t>ACDFGIJL</t>
  </si>
  <si>
    <t>A,C,D,F,G,I,J,L</t>
  </si>
  <si>
    <t>ACDFGIJK</t>
  </si>
  <si>
    <t>A,C,D,F,G,I,J,K</t>
  </si>
  <si>
    <t>ACDFGHKL</t>
  </si>
  <si>
    <t>A,C,D,F,G,H,K,L</t>
  </si>
  <si>
    <t>ACDFGHJL</t>
  </si>
  <si>
    <t>A,C,D,F,G,H,J,L</t>
  </si>
  <si>
    <t>ACDFGHJK</t>
  </si>
  <si>
    <t>A,C,D,F,G,H,J,K</t>
  </si>
  <si>
    <t>ACDFGHIL</t>
  </si>
  <si>
    <t>A,C,D,F,G,H,I,L</t>
  </si>
  <si>
    <t>ACDFGHIK</t>
  </si>
  <si>
    <t>A,C,D,F,G,H,I,K</t>
  </si>
  <si>
    <t>ACDFGHIJ</t>
  </si>
  <si>
    <t>A,C,D,F,G,H,I,J</t>
  </si>
  <si>
    <t>ACDEIJKL</t>
  </si>
  <si>
    <t>A,C,D,E,I,J,K,L</t>
  </si>
  <si>
    <t>ACDEHJKL</t>
  </si>
  <si>
    <t>A,C,D,E,H,J,K,L</t>
  </si>
  <si>
    <t>ACDEHIKL</t>
  </si>
  <si>
    <t>A,C,D,E,H,I,K,L</t>
  </si>
  <si>
    <t>ACDEHIJL</t>
  </si>
  <si>
    <t>A,C,D,E,H,I,J,L</t>
  </si>
  <si>
    <t>ACDEHIJK</t>
  </si>
  <si>
    <t>A,C,D,E,H,I,J,K</t>
  </si>
  <si>
    <t>ACDEGJKL</t>
  </si>
  <si>
    <t>A,C,D,E,G,J,K,L</t>
  </si>
  <si>
    <t>ACDEGIKL</t>
  </si>
  <si>
    <t>A,C,D,E,G,I,K,L</t>
  </si>
  <si>
    <t>ACDEGIJL</t>
  </si>
  <si>
    <t>A,C,D,E,G,I,J,L</t>
  </si>
  <si>
    <t>ACDEGIJK</t>
  </si>
  <si>
    <t>A,C,D,E,G,I,J,K</t>
  </si>
  <si>
    <t>ACDEGHKL</t>
  </si>
  <si>
    <t>A,C,D,E,G,H,K,L</t>
  </si>
  <si>
    <t>ACDEGHJL</t>
  </si>
  <si>
    <t>A,C,D,E,G,H,J,L</t>
  </si>
  <si>
    <t>ACDEGHJK</t>
  </si>
  <si>
    <t>A,C,D,E,G,H,J,K</t>
  </si>
  <si>
    <t>ACDEGHIL</t>
  </si>
  <si>
    <t>A,C,D,E,G,H,I,L</t>
  </si>
  <si>
    <t>ACDEGHIK</t>
  </si>
  <si>
    <t>A,C,D,E,G,H,I,K</t>
  </si>
  <si>
    <t>ACDEGHIJ</t>
  </si>
  <si>
    <t>A,C,D,E,G,H,I,J</t>
  </si>
  <si>
    <t>ACDEFJKL</t>
  </si>
  <si>
    <t>A,C,D,E,F,J,K,L</t>
  </si>
  <si>
    <t>ACDEFIKL</t>
  </si>
  <si>
    <t>A,C,D,E,F,I,K,L</t>
  </si>
  <si>
    <t>ACDEFIJL</t>
  </si>
  <si>
    <t>A,C,D,E,F,I,J,L</t>
  </si>
  <si>
    <t>ACDEFIJK</t>
  </si>
  <si>
    <t>A,C,D,E,F,I,J,K</t>
  </si>
  <si>
    <t>ACDEFHKL</t>
  </si>
  <si>
    <t>A,C,D,E,F,H,K,L</t>
  </si>
  <si>
    <t>ACDEFHJL</t>
  </si>
  <si>
    <t>A,C,D,E,F,H,J,L</t>
  </si>
  <si>
    <t>ACDEFHJK</t>
  </si>
  <si>
    <t>A,C,D,E,F,H,J,K</t>
  </si>
  <si>
    <t>ACDEFHIL</t>
  </si>
  <si>
    <t>A,C,D,E,F,H,I,L</t>
  </si>
  <si>
    <t>ACDEFHIK</t>
  </si>
  <si>
    <t>A,C,D,E,F,H,I,K</t>
  </si>
  <si>
    <t>ACDEFHIJ</t>
  </si>
  <si>
    <t>A,C,D,E,F,H,I,J</t>
  </si>
  <si>
    <t>ACDEFGKL</t>
  </si>
  <si>
    <t>A,C,D,E,F,G,K,L</t>
  </si>
  <si>
    <t>ACDEFGJL</t>
  </si>
  <si>
    <t>A,C,D,E,F,G,J,L</t>
  </si>
  <si>
    <t>ACDEFGJK</t>
  </si>
  <si>
    <t>A,C,D,E,F,G,J,K</t>
  </si>
  <si>
    <t>ACDEFGIL</t>
  </si>
  <si>
    <t>A,C,D,E,F,G,I,L</t>
  </si>
  <si>
    <t>ACDEFGIK</t>
  </si>
  <si>
    <t>A,C,D,E,F,G,I,K</t>
  </si>
  <si>
    <t>ACDEFGIJ</t>
  </si>
  <si>
    <t>A,C,D,E,F,G,I,J</t>
  </si>
  <si>
    <t>ACDEFGHL</t>
  </si>
  <si>
    <t>A,C,D,E,F,G,H,L</t>
  </si>
  <si>
    <t>ACDEFGHK</t>
  </si>
  <si>
    <t>A,C,D,E,F,G,H,K</t>
  </si>
  <si>
    <t>ACDEFGHJ</t>
  </si>
  <si>
    <t>A,C,D,E,F,G,H,J</t>
  </si>
  <si>
    <t>ACDEFGHI</t>
  </si>
  <si>
    <t>A,C,D,E,F,G,H,I</t>
  </si>
  <si>
    <t>ABGHIJKL</t>
  </si>
  <si>
    <t>A,B,G,H,I,J,K,L</t>
  </si>
  <si>
    <t>ABFHIJKL</t>
  </si>
  <si>
    <t>A,B,F,H,I,J,K,L</t>
  </si>
  <si>
    <t>ABFGIJKL</t>
  </si>
  <si>
    <t>A,B,F,G,I,J,K,L</t>
  </si>
  <si>
    <t>ABFGHJKL</t>
  </si>
  <si>
    <t>A,B,F,G,H,J,K,L</t>
  </si>
  <si>
    <t>ABFGHIKL</t>
  </si>
  <si>
    <t>A,B,F,G,H,I,K,L</t>
  </si>
  <si>
    <t>ABFGHIJL</t>
  </si>
  <si>
    <t>A,B,F,G,H,I,J,L</t>
  </si>
  <si>
    <t>ABFGHIJK</t>
  </si>
  <si>
    <t>A,B,F,G,H,I,J,K</t>
  </si>
  <si>
    <t>ABEHIJKL</t>
  </si>
  <si>
    <t>A,B,E,H,I,J,K,L</t>
  </si>
  <si>
    <t>ABEGIJKL</t>
  </si>
  <si>
    <t>A,B,E,G,I,J,K,L</t>
  </si>
  <si>
    <t>ABEGHJKL</t>
  </si>
  <si>
    <t>A,B,E,G,H,J,K,L</t>
  </si>
  <si>
    <t>ABEGHIKL</t>
  </si>
  <si>
    <t>A,B,E,G,H,I,K,L</t>
  </si>
  <si>
    <t>ABEGHIJL</t>
  </si>
  <si>
    <t>A,B,E,G,H,I,J,L</t>
  </si>
  <si>
    <t>ABEGHIJK</t>
  </si>
  <si>
    <t>A,B,E,G,H,I,J,K</t>
  </si>
  <si>
    <t>ABEFIJKL</t>
  </si>
  <si>
    <t>A,B,E,F,I,J,K,L</t>
  </si>
  <si>
    <t>ABEFHJKL</t>
  </si>
  <si>
    <t>A,B,E,F,H,J,K,L</t>
  </si>
  <si>
    <t>ABEFHIKL</t>
  </si>
  <si>
    <t>A,B,E,F,H,I,K,L</t>
  </si>
  <si>
    <t>ABEFHIJL</t>
  </si>
  <si>
    <t>A,B,E,F,H,I,J,L</t>
  </si>
  <si>
    <t>ABEFHIJK</t>
  </si>
  <si>
    <t>A,B,E,F,H,I,J,K</t>
  </si>
  <si>
    <t>ABEFGJKL</t>
  </si>
  <si>
    <t>A,B,E,F,G,J,K,L</t>
  </si>
  <si>
    <t>ABEFGIKL</t>
  </si>
  <si>
    <t>A,B,E,F,G,I,K,L</t>
  </si>
  <si>
    <t>ABEFGIJL</t>
  </si>
  <si>
    <t>A,B,E,F,G,I,J,L</t>
  </si>
  <si>
    <t>ABEFGIJK</t>
  </si>
  <si>
    <t>A,B,E,F,G,I,J,K</t>
  </si>
  <si>
    <t>ABEFGHKL</t>
  </si>
  <si>
    <t>A,B,E,F,G,H,K,L</t>
  </si>
  <si>
    <t>ABEFGHJL</t>
  </si>
  <si>
    <t>A,B,E,F,G,H,J,L</t>
  </si>
  <si>
    <t>ABEFGHJK</t>
  </si>
  <si>
    <t>A,B,E,F,G,H,J,K</t>
  </si>
  <si>
    <t>ABEFGHIL</t>
  </si>
  <si>
    <t>A,B,E,F,G,H,I,L</t>
  </si>
  <si>
    <t>ABEFGHIK</t>
  </si>
  <si>
    <t>A,B,E,F,G,H,I,K</t>
  </si>
  <si>
    <t>ABEFGHIJ</t>
  </si>
  <si>
    <t>A,B,E,F,G,H,I,J</t>
  </si>
  <si>
    <t>ABDHIJKL</t>
  </si>
  <si>
    <t>A,B,D,H,I,J,K,L</t>
  </si>
  <si>
    <t>ABDGIJKL</t>
  </si>
  <si>
    <t>A,B,D,G,I,J,K,L</t>
  </si>
  <si>
    <t>ABDGHJKL</t>
  </si>
  <si>
    <t>A,B,D,G,H,J,K,L</t>
  </si>
  <si>
    <t>ABDGHIKL</t>
  </si>
  <si>
    <t>A,B,D,G,H,I,K,L</t>
  </si>
  <si>
    <t>ABDGHIJL</t>
  </si>
  <si>
    <t>A,B,D,G,H,I,J,L</t>
  </si>
  <si>
    <t>ABDGHIJK</t>
  </si>
  <si>
    <t>A,B,D,G,H,I,J,K</t>
  </si>
  <si>
    <t>ABDFIJKL</t>
  </si>
  <si>
    <t>A,B,D,F,I,J,K,L</t>
  </si>
  <si>
    <t>ABDFHJKL</t>
  </si>
  <si>
    <t>A,B,D,F,H,J,K,L</t>
  </si>
  <si>
    <t>ABDFHIKL</t>
  </si>
  <si>
    <t>A,B,D,F,H,I,K,L</t>
  </si>
  <si>
    <t>ABDFHIJL</t>
  </si>
  <si>
    <t>A,B,D,F,H,I,J,L</t>
  </si>
  <si>
    <t>ABDFHIJK</t>
  </si>
  <si>
    <t>A,B,D,F,H,I,J,K</t>
  </si>
  <si>
    <t>ABDFGJKL</t>
  </si>
  <si>
    <t>A,B,D,F,G,J,K,L</t>
  </si>
  <si>
    <t>ABDFGIKL</t>
  </si>
  <si>
    <t>A,B,D,F,G,I,K,L</t>
  </si>
  <si>
    <t>ABDFGIJL</t>
  </si>
  <si>
    <t>A,B,D,F,G,I,J,L</t>
  </si>
  <si>
    <t>ABDFGIJK</t>
  </si>
  <si>
    <t>A,B,D,F,G,I,J,K</t>
  </si>
  <si>
    <t>ABDFGHKL</t>
  </si>
  <si>
    <t>A,B,D,F,G,H,K,L</t>
  </si>
  <si>
    <t>ABDFGHJL</t>
  </si>
  <si>
    <t>A,B,D,F,G,H,J,L</t>
  </si>
  <si>
    <t>ABDFGHJK</t>
  </si>
  <si>
    <t>A,B,D,F,G,H,J,K</t>
  </si>
  <si>
    <t>ABDFGHIL</t>
  </si>
  <si>
    <t>A,B,D,F,G,H,I,L</t>
  </si>
  <si>
    <t>ABDFGHIK</t>
  </si>
  <si>
    <t>A,B,D,F,G,H,I,K</t>
  </si>
  <si>
    <t>ABDFGHIJ</t>
  </si>
  <si>
    <t>A,B,D,F,G,H,I,J</t>
  </si>
  <si>
    <t>ABDEIJKL</t>
  </si>
  <si>
    <t>A,B,D,E,I,J,K,L</t>
  </si>
  <si>
    <t>ABDEHJKL</t>
  </si>
  <si>
    <t>A,B,D,E,H,J,K,L</t>
  </si>
  <si>
    <t>ABDEHIKL</t>
  </si>
  <si>
    <t>A,B,D,E,H,I,K,L</t>
  </si>
  <si>
    <t>ABDEHIJL</t>
  </si>
  <si>
    <t>A,B,D,E,H,I,J,L</t>
  </si>
  <si>
    <t>ABDEHIJK</t>
  </si>
  <si>
    <t>A,B,D,E,H,I,J,K</t>
  </si>
  <si>
    <t>ABDEGJKL</t>
  </si>
  <si>
    <t>A,B,D,E,G,J,K,L</t>
  </si>
  <si>
    <t>ABDEGIKL</t>
  </si>
  <si>
    <t>A,B,D,E,G,I,K,L</t>
  </si>
  <si>
    <t>ABDEGIJL</t>
  </si>
  <si>
    <t>A,B,D,E,G,I,J,L</t>
  </si>
  <si>
    <t>ABDEGIJK</t>
  </si>
  <si>
    <t>A,B,D,E,G,I,J,K</t>
  </si>
  <si>
    <t>ABDEGHKL</t>
  </si>
  <si>
    <t>A,B,D,E,G,H,K,L</t>
  </si>
  <si>
    <t>ABDEGHJL</t>
  </si>
  <si>
    <t>A,B,D,E,G,H,J,L</t>
  </si>
  <si>
    <t>ABDEGHJK</t>
  </si>
  <si>
    <t>A,B,D,E,G,H,J,K</t>
  </si>
  <si>
    <t>ABDEGHIL</t>
  </si>
  <si>
    <t>A,B,D,E,G,H,I,L</t>
  </si>
  <si>
    <t>ABDEGHIK</t>
  </si>
  <si>
    <t>A,B,D,E,G,H,I,K</t>
  </si>
  <si>
    <t>ABDEGHIJ</t>
  </si>
  <si>
    <t>A,B,D,E,G,H,I,J</t>
  </si>
  <si>
    <t>ABDEFJKL</t>
  </si>
  <si>
    <t>A,B,D,E,F,J,K,L</t>
  </si>
  <si>
    <t>ABDEFIKL</t>
  </si>
  <si>
    <t>A,B,D,E,F,I,K,L</t>
  </si>
  <si>
    <t>ABDEFIJL</t>
  </si>
  <si>
    <t>A,B,D,E,F,I,J,L</t>
  </si>
  <si>
    <t>ABDEFIJK</t>
  </si>
  <si>
    <t>A,B,D,E,F,I,J,K</t>
  </si>
  <si>
    <t>ABDEFHKL</t>
  </si>
  <si>
    <t>A,B,D,E,F,H,K,L</t>
  </si>
  <si>
    <t>ABDEFHJL</t>
  </si>
  <si>
    <t>A,B,D,E,F,H,J,L</t>
  </si>
  <si>
    <t>ABDEFHJK</t>
  </si>
  <si>
    <t>A,B,D,E,F,H,J,K</t>
  </si>
  <si>
    <t>ABDEFHIL</t>
  </si>
  <si>
    <t>A,B,D,E,F,H,I,L</t>
  </si>
  <si>
    <t>ABDEFHIK</t>
  </si>
  <si>
    <t>A,B,D,E,F,H,I,K</t>
  </si>
  <si>
    <t>ABDEFHIJ</t>
  </si>
  <si>
    <t>A,B,D,E,F,H,I,J</t>
  </si>
  <si>
    <t>ABDEFGKL</t>
  </si>
  <si>
    <t>A,B,D,E,F,G,K,L</t>
  </si>
  <si>
    <t>ABDEFGJL</t>
  </si>
  <si>
    <t>A,B,D,E,F,G,J,L</t>
  </si>
  <si>
    <t>ABDEFGJK</t>
  </si>
  <si>
    <t>A,B,D,E,F,G,J,K</t>
  </si>
  <si>
    <t>ABDEFGIL</t>
  </si>
  <si>
    <t>A,B,D,E,F,G,I,L</t>
  </si>
  <si>
    <t>ABDEFGIK</t>
  </si>
  <si>
    <t>A,B,D,E,F,G,I,K</t>
  </si>
  <si>
    <t>ABDEFGIJ</t>
  </si>
  <si>
    <t>A,B,D,E,F,G,I,J</t>
  </si>
  <si>
    <t>ABDEFGHL</t>
  </si>
  <si>
    <t>A,B,D,E,F,G,H,L</t>
  </si>
  <si>
    <t>ABDEFGHK</t>
  </si>
  <si>
    <t>A,B,D,E,F,G,H,K</t>
  </si>
  <si>
    <t>ABDEFGHJ</t>
  </si>
  <si>
    <t>A,B,D,E,F,G,H,J</t>
  </si>
  <si>
    <t>ABDEFGHI</t>
  </si>
  <si>
    <t>A,B,D,E,F,G,H,I</t>
  </si>
  <si>
    <t>ABCHIJKL</t>
  </si>
  <si>
    <t>A,B,C,H,I,J,K,L</t>
  </si>
  <si>
    <t>ABCGIJKL</t>
  </si>
  <si>
    <t>A,B,C,G,I,J,K,L</t>
  </si>
  <si>
    <t>ABCGHJKL</t>
  </si>
  <si>
    <t>A,B,C,G,H,J,K,L</t>
  </si>
  <si>
    <t>ABCGHIKL</t>
  </si>
  <si>
    <t>A,B,C,G,H,I,K,L</t>
  </si>
  <si>
    <t>ABCGHIJL</t>
  </si>
  <si>
    <t>A,B,C,G,H,I,J,L</t>
  </si>
  <si>
    <t>ABCGHIJK</t>
  </si>
  <si>
    <t>A,B,C,G,H,I,J,K</t>
  </si>
  <si>
    <t>ABCFIJKL</t>
  </si>
  <si>
    <t>A,B,C,F,I,J,K,L</t>
  </si>
  <si>
    <t>ABCFHJKL</t>
  </si>
  <si>
    <t>A,B,C,F,H,J,K,L</t>
  </si>
  <si>
    <t>ABCFHIKL</t>
  </si>
  <si>
    <t>A,B,C,F,H,I,K,L</t>
  </si>
  <si>
    <t>ABCFHIJL</t>
  </si>
  <si>
    <t>A,B,C,F,H,I,J,L</t>
  </si>
  <si>
    <t>ABCFHIJK</t>
  </si>
  <si>
    <t>A,B,C,F,H,I,J,K</t>
  </si>
  <si>
    <t>ABCFGJKL</t>
  </si>
  <si>
    <t>A,B,C,F,G,J,K,L</t>
  </si>
  <si>
    <t>ABCFGIKL</t>
  </si>
  <si>
    <t>A,B,C,F,G,I,K,L</t>
  </si>
  <si>
    <t>ABCFGIJL</t>
  </si>
  <si>
    <t>A,B,C,F,G,I,J,L</t>
  </si>
  <si>
    <t>ABCFGIJK</t>
  </si>
  <si>
    <t>A,B,C,F,G,I,J,K</t>
  </si>
  <si>
    <t>ABCFGHKL</t>
  </si>
  <si>
    <t>A,B,C,F,G,H,K,L</t>
  </si>
  <si>
    <t>ABCFGHJL</t>
  </si>
  <si>
    <t>A,B,C,F,G,H,J,L</t>
  </si>
  <si>
    <t>ABCFGHJK</t>
  </si>
  <si>
    <t>A,B,C,F,G,H,J,K</t>
  </si>
  <si>
    <t>ABCFGHIL</t>
  </si>
  <si>
    <t>A,B,C,F,G,H,I,L</t>
  </si>
  <si>
    <t>ABCFGHIK</t>
  </si>
  <si>
    <t>A,B,C,F,G,H,I,K</t>
  </si>
  <si>
    <t>ABCFGHIJ</t>
  </si>
  <si>
    <t>A,B,C,F,G,H,I,J</t>
  </si>
  <si>
    <t>ABCEIJKL</t>
  </si>
  <si>
    <t>A,B,C,E,I,J,K,L</t>
  </si>
  <si>
    <t>ABCEHJKL</t>
  </si>
  <si>
    <t>A,B,C,E,H,J,K,L</t>
  </si>
  <si>
    <t>ABCEHIKL</t>
  </si>
  <si>
    <t>A,B,C,E,H,I,K,L</t>
  </si>
  <si>
    <t>ABCEHIJL</t>
  </si>
  <si>
    <t>A,B,C,E,H,I,J,L</t>
  </si>
  <si>
    <t>ABCEHIJK</t>
  </si>
  <si>
    <t>A,B,C,E,H,I,J,K</t>
  </si>
  <si>
    <t>ABCEGJKL</t>
  </si>
  <si>
    <t>A,B,C,E,G,J,K,L</t>
  </si>
  <si>
    <t>ABCEGIKL</t>
  </si>
  <si>
    <t>A,B,C,E,G,I,K,L</t>
  </si>
  <si>
    <t>ABCEGIJL</t>
  </si>
  <si>
    <t>A,B,C,E,G,I,J,L</t>
  </si>
  <si>
    <t>ABCEGIJK</t>
  </si>
  <si>
    <t>A,B,C,E,G,I,J,K</t>
  </si>
  <si>
    <t>ABCEGHKL</t>
  </si>
  <si>
    <t>A,B,C,E,G,H,K,L</t>
  </si>
  <si>
    <t>ABCEGHJL</t>
  </si>
  <si>
    <t>A,B,C,E,G,H,J,L</t>
  </si>
  <si>
    <t>ABCEGHJK</t>
  </si>
  <si>
    <t>A,B,C,E,G,H,J,K</t>
  </si>
  <si>
    <t>ABCEGHIL</t>
  </si>
  <si>
    <t>A,B,C,E,G,H,I,L</t>
  </si>
  <si>
    <t>ABCEGHIK</t>
  </si>
  <si>
    <t>A,B,C,E,G,H,I,K</t>
  </si>
  <si>
    <t>ABCEGHIJ</t>
  </si>
  <si>
    <t>A,B,C,E,G,H,I,J</t>
  </si>
  <si>
    <t>ABCEFJKL</t>
  </si>
  <si>
    <t>A,B,C,E,F,J,K,L</t>
  </si>
  <si>
    <t>ABCEFIKL</t>
  </si>
  <si>
    <t>A,B,C,E,F,I,K,L</t>
  </si>
  <si>
    <t>ABCEFIJL</t>
  </si>
  <si>
    <t>A,B,C,E,F,I,J,L</t>
  </si>
  <si>
    <t>ABCEFIJK</t>
  </si>
  <si>
    <t>A,B,C,E,F,I,J,K</t>
  </si>
  <si>
    <t>ABCEFHKL</t>
  </si>
  <si>
    <t>A,B,C,E,F,H,K,L</t>
  </si>
  <si>
    <t>ABCEFHJL</t>
  </si>
  <si>
    <t>A,B,C,E,F,H,J,L</t>
  </si>
  <si>
    <t>ABCEFHJK</t>
  </si>
  <si>
    <t>A,B,C,E,F,H,J,K</t>
  </si>
  <si>
    <t>ABCEFHIL</t>
  </si>
  <si>
    <t>A,B,C,E,F,H,I,L</t>
  </si>
  <si>
    <t>ABCEFHIK</t>
  </si>
  <si>
    <t>A,B,C,E,F,H,I,K</t>
  </si>
  <si>
    <t>ABCEFHIJ</t>
  </si>
  <si>
    <t>A,B,C,E,F,H,I,J</t>
  </si>
  <si>
    <t>ABCEFGKL</t>
  </si>
  <si>
    <t>A,B,C,E,F,G,K,L</t>
  </si>
  <si>
    <t>ABCEFGJL</t>
  </si>
  <si>
    <t>A,B,C,E,F,G,J,L</t>
  </si>
  <si>
    <t>ABCEFGJK</t>
  </si>
  <si>
    <t>A,B,C,E,F,G,J,K</t>
  </si>
  <si>
    <t>ABCEFGIL</t>
  </si>
  <si>
    <t>A,B,C,E,F,G,I,L</t>
  </si>
  <si>
    <t>ABCEFGIK</t>
  </si>
  <si>
    <t>A,B,C,E,F,G,I,K</t>
  </si>
  <si>
    <t>ABCEFGIJ</t>
  </si>
  <si>
    <t>A,B,C,E,F,G,I,J</t>
  </si>
  <si>
    <t>ABCEFGHL</t>
  </si>
  <si>
    <t>A,B,C,E,F,G,H,L</t>
  </si>
  <si>
    <t>ABCEFGHK</t>
  </si>
  <si>
    <t>A,B,C,E,F,G,H,K</t>
  </si>
  <si>
    <t>ABCEFGHJ</t>
  </si>
  <si>
    <t>A,B,C,E,F,G,H,J</t>
  </si>
  <si>
    <t>ABCEFGHI</t>
  </si>
  <si>
    <t>A,B,C,E,F,G,H,I</t>
  </si>
  <si>
    <t>ABCDIJKL</t>
  </si>
  <si>
    <t>A,B,C,D,I,J,K,L</t>
  </si>
  <si>
    <t>ABCDHJKL</t>
  </si>
  <si>
    <t>A,B,C,D,H,J,K,L</t>
  </si>
  <si>
    <t>ABCDHIKL</t>
  </si>
  <si>
    <t>A,B,C,D,H,I,K,L</t>
  </si>
  <si>
    <t>ABCDHIJL</t>
  </si>
  <si>
    <t>A,B,C,D,H,I,J,L</t>
  </si>
  <si>
    <t>ABCDHIJK</t>
  </si>
  <si>
    <t>A,B,C,D,H,I,J,K</t>
  </si>
  <si>
    <t>ABCDGJKL</t>
  </si>
  <si>
    <t>A,B,C,D,G,J,K,L</t>
  </si>
  <si>
    <t>ABCDGIKL</t>
  </si>
  <si>
    <t>A,B,C,D,G,I,K,L</t>
  </si>
  <si>
    <t>ABCDGIJL</t>
  </si>
  <si>
    <t>A,B,C,D,G,I,J,L</t>
  </si>
  <si>
    <t>ABCDGIJK</t>
  </si>
  <si>
    <t>A,B,C,D,G,I,J,K</t>
  </si>
  <si>
    <t>ABCDGHKL</t>
  </si>
  <si>
    <t>A,B,C,D,G,H,K,L</t>
  </si>
  <si>
    <t>ABCDGHJL</t>
  </si>
  <si>
    <t>A,B,C,D,G,H,J,L</t>
  </si>
  <si>
    <t>ABCDGHJK</t>
  </si>
  <si>
    <t>A,B,C,D,G,H,J,K</t>
  </si>
  <si>
    <t>ABCDGHIL</t>
  </si>
  <si>
    <t>A,B,C,D,G,H,I,L</t>
  </si>
  <si>
    <t>ABCDGHIK</t>
  </si>
  <si>
    <t>A,B,C,D,G,H,I,K</t>
  </si>
  <si>
    <t>ABCDGHIJ</t>
  </si>
  <si>
    <t>A,B,C,D,G,H,I,J</t>
  </si>
  <si>
    <t>ABCDFJKL</t>
  </si>
  <si>
    <t>A,B,C,D,F,J,K,L</t>
  </si>
  <si>
    <t>ABCDFIKL</t>
  </si>
  <si>
    <t>A,B,C,D,F,I,K,L</t>
  </si>
  <si>
    <t>ABCDFIJL</t>
  </si>
  <si>
    <t>A,B,C,D,F,I,J,L</t>
  </si>
  <si>
    <t>ABCDFIJK</t>
  </si>
  <si>
    <t>A,B,C,D,F,I,J,K</t>
  </si>
  <si>
    <t>ABCDFHKL</t>
  </si>
  <si>
    <t>A,B,C,D,F,H,K,L</t>
  </si>
  <si>
    <t>ABCDFHJL</t>
  </si>
  <si>
    <t>A,B,C,D,F,H,J,L</t>
  </si>
  <si>
    <t>ABCDFHJK</t>
  </si>
  <si>
    <t>A,B,C,D,F,H,J,K</t>
  </si>
  <si>
    <t>ABCDFHIL</t>
  </si>
  <si>
    <t>A,B,C,D,F,H,I,L</t>
  </si>
  <si>
    <t>ABCDFHIK</t>
  </si>
  <si>
    <t>A,B,C,D,F,H,I,K</t>
  </si>
  <si>
    <t>ABCDFHIJ</t>
  </si>
  <si>
    <t>A,B,C,D,F,H,I,J</t>
  </si>
  <si>
    <t>ABCDFGKL</t>
  </si>
  <si>
    <t>A,B,C,D,F,G,K,L</t>
  </si>
  <si>
    <t>ABCDFGJL</t>
  </si>
  <si>
    <t>A,B,C,D,F,G,J,L</t>
  </si>
  <si>
    <t>ABCDFGJK</t>
  </si>
  <si>
    <t>A,B,C,D,F,G,J,K</t>
  </si>
  <si>
    <t>ABCDFGIL</t>
  </si>
  <si>
    <t>A,B,C,D,F,G,I,L</t>
  </si>
  <si>
    <t>ABCDFGIK</t>
  </si>
  <si>
    <t>A,B,C,D,F,G,I,K</t>
  </si>
  <si>
    <t>ABCDFGIJ</t>
  </si>
  <si>
    <t>A,B,C,D,F,G,I,J</t>
  </si>
  <si>
    <t>ABCDFGHL</t>
  </si>
  <si>
    <t>A,B,C,D,F,G,H,L</t>
  </si>
  <si>
    <t>ABCDFGHK</t>
  </si>
  <si>
    <t>A,B,C,D,F,G,H,K</t>
  </si>
  <si>
    <t>ABCDFGHJ</t>
  </si>
  <si>
    <t>A,B,C,D,F,G,H,J</t>
  </si>
  <si>
    <t>ABCDFGHI</t>
  </si>
  <si>
    <t>A,B,C,D,F,G,H,I</t>
  </si>
  <si>
    <t>ABCDEJKL</t>
  </si>
  <si>
    <t>A,B,C,D,E,J,K,L</t>
  </si>
  <si>
    <t>ABCDEIKL</t>
  </si>
  <si>
    <t>A,B,C,D,E,I,K,L</t>
  </si>
  <si>
    <t>ABCDEIJL</t>
  </si>
  <si>
    <t>A,B,C,D,E,I,J,L</t>
  </si>
  <si>
    <t>ABCDEIJK</t>
  </si>
  <si>
    <t>A,B,C,D,E,I,J,K</t>
  </si>
  <si>
    <t>ABCDEHKL</t>
  </si>
  <si>
    <t>A,B,C,D,E,H,K,L</t>
  </si>
  <si>
    <t>ABCDEHJL</t>
  </si>
  <si>
    <t>A,B,C,D,E,H,J,L</t>
  </si>
  <si>
    <t>ABCDEHJK</t>
  </si>
  <si>
    <t>A,B,C,D,E,H,J,K</t>
  </si>
  <si>
    <t>ABCDEHIL</t>
  </si>
  <si>
    <t>A,B,C,D,E,H,I,L</t>
  </si>
  <si>
    <t>ABCDEHIK</t>
  </si>
  <si>
    <t>A,B,C,D,E,H,I,K</t>
  </si>
  <si>
    <t>ABCDEHIJ</t>
  </si>
  <si>
    <t>A,B,C,D,E,H,I,J</t>
  </si>
  <si>
    <t>ABCDEGKL</t>
  </si>
  <si>
    <t>A,B,C,D,E,G,K,L</t>
  </si>
  <si>
    <t>ABCDEGJL</t>
  </si>
  <si>
    <t>A,B,C,D,E,G,J,L</t>
  </si>
  <si>
    <t>ABCDEGJK</t>
  </si>
  <si>
    <t>A,B,C,D,E,G,J,K</t>
  </si>
  <si>
    <t>ABCDEGIL</t>
  </si>
  <si>
    <t>A,B,C,D,E,G,I,L</t>
  </si>
  <si>
    <t>ABCDEGIK</t>
  </si>
  <si>
    <t>A,B,C,D,E,G,I,K</t>
  </si>
  <si>
    <t>ABCDEGIJ</t>
  </si>
  <si>
    <t>A,B,C,D,E,G,I,J</t>
  </si>
  <si>
    <t>ABCDEGHL</t>
  </si>
  <si>
    <t>A,B,C,D,E,G,H,L</t>
  </si>
  <si>
    <t>ABCDEGHK</t>
  </si>
  <si>
    <t>A,B,C,D,E,G,H,K</t>
  </si>
  <si>
    <t>ABCDEGHJ</t>
  </si>
  <si>
    <t>A,B,C,D,E,G,H,J</t>
  </si>
  <si>
    <t>ABCDEGHI</t>
  </si>
  <si>
    <t>A,B,C,D,E,G,H,I</t>
  </si>
  <si>
    <t>ABCDEFKL</t>
  </si>
  <si>
    <t>A,B,C,D,E,F,K,L</t>
  </si>
  <si>
    <t>ABCDEFJL</t>
  </si>
  <si>
    <t>A,B,C,D,E,F,J,L</t>
  </si>
  <si>
    <t>ABCDEFJK</t>
  </si>
  <si>
    <t>A,B,C,D,E,F,J,K</t>
  </si>
  <si>
    <t>ABCDEFIL</t>
  </si>
  <si>
    <t>A,B,C,D,E,F,I,L</t>
  </si>
  <si>
    <t>ABCDEFIK</t>
  </si>
  <si>
    <t>A,B,C,D,E,F,I,K</t>
  </si>
  <si>
    <t>ABCDEFIJ</t>
  </si>
  <si>
    <t>A,B,C,D,E,F,I,J</t>
  </si>
  <si>
    <t>ABCDEFHL</t>
  </si>
  <si>
    <t>A,B,C,D,E,F,H,L</t>
  </si>
  <si>
    <t>ABCDEFHK</t>
  </si>
  <si>
    <t>A,B,C,D,E,F,H,K</t>
  </si>
  <si>
    <t>ABCDEFHJ</t>
  </si>
  <si>
    <t>A,B,C,D,E,F,H,J</t>
  </si>
  <si>
    <t>ABCDEFHI</t>
  </si>
  <si>
    <t>A,B,C,D,E,F,H,I</t>
  </si>
  <si>
    <t>ABCDEFGL</t>
  </si>
  <si>
    <t>A,B,C,D,E,F,G,L</t>
  </si>
  <si>
    <t>ABCDEFGK</t>
  </si>
  <si>
    <t>A,B,C,D,E,F,G,K</t>
  </si>
  <si>
    <t>ABCDEFGJ</t>
  </si>
  <si>
    <t>A,B,C,D,E,F,G,J</t>
  </si>
  <si>
    <t>ABCDEFGI</t>
  </si>
  <si>
    <t>A,B,C,D,E,F,G,I</t>
  </si>
  <si>
    <t>ABCDEFGH</t>
  </si>
  <si>
    <t>A,B,C,D,E,F,G,H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</si>
</sst>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\-0.0;\-"/>
    <numFmt numFmtId="165" formatCode="\€#,##0;&quot;-€&quot;#,##0;\-"/>
    <numFmt numFmtId="166" formatCode="\€#,##0"/>
    <numFmt numFmtId="167" formatCode="0.0%"/>
    <numFmt numFmtId="168" formatCode="[$-419]d\ mmm"/>
    <numFmt numFmtId="169" formatCode="0.0"/>
    <numFmt numFmtId="170" formatCode="\+0;\-0;0"/>
    <numFmt numFmtId="171" formatCode=";;;"/>
  </numFmts>
  <fonts count="45" x14ac:knownFonts="1">
    <font>
      <sz val="10"/>
      <name val="Calibri"/>
      <charset val="204"/>
    </font>
    <font>
      <sz val="11"/>
      <color theme="1"/>
      <name val="Calibri"/>
      <family val="2"/>
      <charset val="186"/>
    </font>
    <font>
      <u/>
      <sz val="10"/>
      <color theme="10"/>
      <name val="Calibri"/>
      <family val="2"/>
      <charset val="186"/>
    </font>
    <font>
      <u/>
      <sz val="10"/>
      <color rgb="FF800080"/>
      <name val="Calibri"/>
      <family val="2"/>
      <charset val="204"/>
    </font>
    <font>
      <sz val="10"/>
      <name val="Calibri"/>
      <family val="2"/>
      <charset val="186"/>
    </font>
    <font>
      <sz val="8"/>
      <name val="Arial CYR"/>
      <charset val="204"/>
    </font>
    <font>
      <sz val="10"/>
      <name val="Calibri"/>
      <family val="2"/>
      <charset val="1"/>
    </font>
    <font>
      <sz val="10"/>
      <name val="Arial"/>
      <family val="2"/>
      <charset val="186"/>
    </font>
    <font>
      <b/>
      <sz val="24"/>
      <color theme="0"/>
      <name val="Calibri"/>
      <family val="2"/>
      <charset val="1"/>
    </font>
    <font>
      <i/>
      <sz val="10"/>
      <color theme="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8"/>
      <color rgb="FFFFFFFF"/>
      <name val="Calibri"/>
      <family val="2"/>
      <charset val="1"/>
    </font>
    <font>
      <sz val="18"/>
      <name val="Calibri"/>
      <family val="2"/>
      <charset val="1"/>
    </font>
    <font>
      <b/>
      <sz val="10"/>
      <color rgb="FF000000"/>
      <name val="Calibri"/>
      <family val="2"/>
      <charset val="1"/>
    </font>
    <font>
      <b/>
      <sz val="12"/>
      <color rgb="FFFFFFFF"/>
      <name val="Calibri"/>
      <family val="2"/>
      <charset val="1"/>
    </font>
    <font>
      <b/>
      <sz val="14"/>
      <color rgb="FF1F3864"/>
      <name val="Calibri"/>
      <family val="2"/>
      <charset val="1"/>
    </font>
    <font>
      <b/>
      <sz val="10"/>
      <color rgb="FFFFFFFF"/>
      <name val="Calibri"/>
      <family val="2"/>
      <charset val="1"/>
    </font>
    <font>
      <sz val="10"/>
      <color rgb="FF666666"/>
      <name val="Calibri"/>
      <family val="2"/>
      <charset val="1"/>
    </font>
    <font>
      <b/>
      <sz val="10"/>
      <name val="Calibri"/>
      <family val="2"/>
      <charset val="186"/>
    </font>
    <font>
      <b/>
      <sz val="14"/>
      <color rgb="FFFFFFFF"/>
      <name val="Calibri"/>
      <family val="2"/>
      <charset val="1"/>
    </font>
    <font>
      <b/>
      <sz val="10"/>
      <name val="Calibri"/>
      <family val="2"/>
      <charset val="1"/>
    </font>
    <font>
      <b/>
      <sz val="16"/>
      <color rgb="FFFFFFFF"/>
      <name val="Calibri"/>
      <family val="2"/>
      <charset val="186"/>
    </font>
    <font>
      <b/>
      <i/>
      <sz val="10"/>
      <color rgb="FF000000"/>
      <name val="Calibri"/>
      <family val="2"/>
      <charset val="1"/>
    </font>
    <font>
      <b/>
      <sz val="10"/>
      <color rgb="FF000000"/>
      <name val="Calibri"/>
      <family val="2"/>
      <charset val="186"/>
    </font>
    <font>
      <b/>
      <i/>
      <sz val="9"/>
      <color rgb="FFFFFFFF"/>
      <name val="Calibri"/>
      <family val="2"/>
      <charset val="1"/>
    </font>
    <font>
      <b/>
      <sz val="10"/>
      <color rgb="FFFFFFFF"/>
      <name val="Calibri"/>
      <family val="2"/>
      <charset val="186"/>
    </font>
    <font>
      <sz val="20"/>
      <color rgb="FF121D47"/>
      <name val="Arial Black"/>
      <family val="2"/>
      <charset val="1"/>
    </font>
    <font>
      <sz val="10"/>
      <color theme="1"/>
      <name val="Tahoma"/>
      <family val="2"/>
      <charset val="1"/>
    </font>
    <font>
      <sz val="10"/>
      <color rgb="FF0066CC"/>
      <name val="Tahoma"/>
      <family val="2"/>
      <charset val="1"/>
    </font>
    <font>
      <b/>
      <sz val="10"/>
      <color rgb="FF0066CC"/>
      <name val="Tahoma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Tahoma"/>
      <family val="2"/>
      <charset val="1"/>
    </font>
    <font>
      <sz val="8"/>
      <color theme="1"/>
      <name val="Arial"/>
      <family val="2"/>
    </font>
    <font>
      <b/>
      <sz val="10"/>
      <color theme="1"/>
      <name val="Tahoma"/>
      <family val="2"/>
      <charset val="186"/>
    </font>
    <font>
      <sz val="10"/>
      <name val="Calibri"/>
      <family val="2"/>
      <charset val="204"/>
    </font>
    <font>
      <b/>
      <sz val="10"/>
      <color rgb="FF7F7F7F"/>
      <name val="Tahoma"/>
      <family val="2"/>
      <charset val="1"/>
    </font>
    <font>
      <b/>
      <sz val="10"/>
      <color theme="0"/>
      <name val="Tahoma"/>
      <family val="2"/>
      <charset val="1"/>
    </font>
    <font>
      <sz val="10"/>
      <color theme="1"/>
      <name val="Arial"/>
      <family val="2"/>
      <charset val="1"/>
    </font>
    <font>
      <b/>
      <sz val="12"/>
      <name val="Calibri"/>
      <family val="2"/>
      <charset val="204"/>
    </font>
    <font>
      <b/>
      <sz val="10"/>
      <color rgb="FF0000FF"/>
      <name val="Calibri"/>
      <family val="2"/>
      <charset val="204"/>
    </font>
    <font>
      <sz val="8"/>
      <name val="Calibri"/>
      <family val="2"/>
      <charset val="204"/>
    </font>
    <font>
      <b/>
      <sz val="10"/>
      <name val="Calibri"/>
      <family val="2"/>
      <charset val="204"/>
    </font>
    <font>
      <b/>
      <sz val="10"/>
      <color rgb="FFFFFFFF"/>
      <name val="Calibri"/>
      <family val="2"/>
      <charset val="204"/>
    </font>
    <font>
      <sz val="8"/>
      <name val="Arial"/>
      <family val="2"/>
      <charset val="186"/>
    </font>
    <font>
      <u/>
      <sz val="1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0.79979857783745845"/>
        <bgColor rgb="FFD9E1F2"/>
      </patternFill>
    </fill>
    <fill>
      <patternFill patternType="solid">
        <fgColor rgb="FF1F3864"/>
        <bgColor rgb="FF1F4E78"/>
      </patternFill>
    </fill>
    <fill>
      <patternFill patternType="solid">
        <fgColor rgb="FFFFFFFF"/>
        <bgColor rgb="FFFFF9E6"/>
      </patternFill>
    </fill>
    <fill>
      <patternFill patternType="solid">
        <fgColor rgb="FFFFF9E6"/>
        <bgColor rgb="FFFFFFFF"/>
      </patternFill>
    </fill>
    <fill>
      <patternFill patternType="solid">
        <fgColor rgb="FFD9E1F2"/>
        <bgColor rgb="FFDAE3F3"/>
      </patternFill>
    </fill>
    <fill>
      <patternFill patternType="solid">
        <fgColor rgb="FF1F4E78"/>
        <bgColor rgb="FF1F3864"/>
      </patternFill>
    </fill>
    <fill>
      <patternFill patternType="solid">
        <fgColor rgb="FFD9EAF7"/>
        <bgColor rgb="FFDAE3F3"/>
      </patternFill>
    </fill>
    <fill>
      <patternFill patternType="solid">
        <fgColor rgb="FF5B9BD5"/>
        <bgColor rgb="FF969696"/>
      </patternFill>
    </fill>
    <fill>
      <patternFill patternType="solid">
        <fgColor rgb="FFF2F2F2"/>
        <bgColor rgb="FFFFF9E6"/>
      </patternFill>
    </fill>
    <fill>
      <patternFill patternType="solid">
        <fgColor theme="1"/>
        <bgColor rgb="FF1F1F1F"/>
      </patternFill>
    </fill>
    <fill>
      <patternFill patternType="solid">
        <fgColor rgb="FF99CCFF"/>
        <bgColor rgb="FFD0D0D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9E6"/>
      </patternFill>
    </fill>
    <fill>
      <patternFill patternType="solid">
        <fgColor rgb="FFCCFFFF"/>
        <bgColor rgb="FFD9EAF7"/>
      </patternFill>
    </fill>
  </fills>
  <borders count="30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auto="1"/>
      </left>
      <right/>
      <top style="thin">
        <color auto="1"/>
      </top>
      <bottom style="thin">
        <color rgb="FFD0D0D0"/>
      </bottom>
      <diagonal/>
    </border>
    <border>
      <left/>
      <right style="thin">
        <color auto="1"/>
      </right>
      <top style="thin">
        <color auto="1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 style="thin">
        <color auto="1"/>
      </left>
      <right/>
      <top style="thin">
        <color rgb="FFD0D0D0"/>
      </top>
      <bottom style="thin">
        <color auto="1"/>
      </bottom>
      <diagonal/>
    </border>
    <border>
      <left/>
      <right style="thin">
        <color auto="1"/>
      </right>
      <top style="thin">
        <color rgb="FFD0D0D0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121D47"/>
      </left>
      <right style="thin">
        <color rgb="FF121D47"/>
      </right>
      <top style="thin">
        <color rgb="FF121D47"/>
      </top>
      <bottom/>
      <diagonal/>
    </border>
    <border>
      <left style="thin">
        <color rgb="FF121D47"/>
      </left>
      <right/>
      <top/>
      <bottom/>
      <diagonal/>
    </border>
    <border>
      <left/>
      <right style="thin">
        <color rgb="FF121D47"/>
      </right>
      <top/>
      <bottom/>
      <diagonal/>
    </border>
    <border>
      <left style="thin">
        <color rgb="FF121D47"/>
      </left>
      <right/>
      <top/>
      <bottom style="thin">
        <color rgb="FF121D47"/>
      </bottom>
      <diagonal/>
    </border>
    <border>
      <left/>
      <right/>
      <top/>
      <bottom style="thin">
        <color rgb="FF121D47"/>
      </bottom>
      <diagonal/>
    </border>
    <border>
      <left/>
      <right style="thin">
        <color rgb="FF121D47"/>
      </right>
      <top/>
      <bottom style="thin">
        <color rgb="FF121D4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21D47"/>
      </left>
      <right style="thin">
        <color rgb="FF121D47"/>
      </right>
      <top/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1" fillId="2" borderId="0"/>
    <xf numFmtId="0" fontId="1" fillId="2" borderId="0"/>
    <xf numFmtId="0" fontId="2" fillId="0" borderId="0"/>
    <xf numFmtId="0" fontId="3" fillId="0" borderId="0">
      <alignment vertical="top"/>
      <protection locked="0"/>
    </xf>
    <xf numFmtId="0" fontId="4" fillId="0" borderId="0"/>
    <xf numFmtId="0" fontId="5" fillId="0" borderId="0"/>
    <xf numFmtId="0" fontId="6" fillId="0" borderId="0"/>
    <xf numFmtId="0" fontId="7" fillId="0" borderId="0"/>
    <xf numFmtId="9" fontId="4" fillId="0" borderId="0"/>
  </cellStyleXfs>
  <cellXfs count="159">
    <xf numFmtId="0" fontId="0" fillId="0" borderId="0" xfId="0"/>
    <xf numFmtId="0" fontId="13" fillId="6" borderId="1" xfId="0" applyFont="1" applyFill="1" applyBorder="1" applyAlignment="1">
      <alignment horizontal="left"/>
    </xf>
    <xf numFmtId="0" fontId="11" fillId="3" borderId="0" xfId="0" applyFont="1" applyFill="1" applyAlignment="1">
      <alignment horizontal="center"/>
    </xf>
    <xf numFmtId="0" fontId="10" fillId="0" borderId="0" xfId="0" applyFont="1"/>
    <xf numFmtId="0" fontId="12" fillId="0" borderId="0" xfId="0" applyFont="1"/>
    <xf numFmtId="0" fontId="10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right"/>
    </xf>
    <xf numFmtId="0" fontId="10" fillId="5" borderId="0" xfId="0" applyFont="1" applyFill="1" applyAlignment="1">
      <alignment horizontal="center" vertical="center"/>
    </xf>
    <xf numFmtId="0" fontId="10" fillId="4" borderId="1" xfId="0" applyFont="1" applyFill="1" applyBorder="1" applyAlignment="1">
      <alignment horizontal="left"/>
    </xf>
    <xf numFmtId="0" fontId="10" fillId="4" borderId="2" xfId="0" applyFont="1" applyFill="1" applyBorder="1" applyAlignment="1">
      <alignment horizontal="left"/>
    </xf>
    <xf numFmtId="0" fontId="13" fillId="5" borderId="3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left"/>
    </xf>
    <xf numFmtId="0" fontId="13" fillId="4" borderId="4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left"/>
    </xf>
    <xf numFmtId="0" fontId="13" fillId="5" borderId="6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left"/>
    </xf>
    <xf numFmtId="0" fontId="10" fillId="4" borderId="7" xfId="0" applyFont="1" applyFill="1" applyBorder="1" applyAlignment="1">
      <alignment horizontal="center"/>
    </xf>
    <xf numFmtId="0" fontId="13" fillId="4" borderId="7" xfId="0" applyFont="1" applyFill="1" applyBorder="1" applyAlignment="1">
      <alignment horizontal="center"/>
    </xf>
    <xf numFmtId="0" fontId="10" fillId="6" borderId="1" xfId="0" applyFont="1" applyFill="1" applyBorder="1"/>
    <xf numFmtId="0" fontId="10" fillId="4" borderId="0" xfId="0" applyFont="1" applyFill="1"/>
    <xf numFmtId="0" fontId="10" fillId="4" borderId="7" xfId="0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20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20" fillId="0" borderId="0" xfId="0" applyNumberFormat="1" applyFont="1" applyAlignment="1">
      <alignment horizontal="center"/>
    </xf>
    <xf numFmtId="167" fontId="0" fillId="0" borderId="0" xfId="0" applyNumberFormat="1"/>
    <xf numFmtId="164" fontId="0" fillId="0" borderId="0" xfId="0" applyNumberFormat="1"/>
    <xf numFmtId="0" fontId="22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/>
    </xf>
    <xf numFmtId="0" fontId="16" fillId="9" borderId="0" xfId="0" applyFont="1" applyFill="1" applyAlignment="1">
      <alignment horizontal="center" vertical="center" wrapText="1"/>
    </xf>
    <xf numFmtId="0" fontId="24" fillId="9" borderId="0" xfId="0" applyFont="1" applyFill="1" applyAlignment="1">
      <alignment horizontal="center" vertical="center" wrapText="1"/>
    </xf>
    <xf numFmtId="0" fontId="25" fillId="9" borderId="0" xfId="0" applyFont="1" applyFill="1" applyAlignment="1">
      <alignment horizontal="center"/>
    </xf>
    <xf numFmtId="0" fontId="0" fillId="5" borderId="0" xfId="0" applyFill="1" applyAlignment="1">
      <alignment horizontal="left" vertical="center"/>
    </xf>
    <xf numFmtId="0" fontId="4" fillId="0" borderId="0" xfId="0" applyFont="1"/>
    <xf numFmtId="0" fontId="4" fillId="5" borderId="0" xfId="0" applyFont="1" applyFill="1" applyAlignment="1">
      <alignment horizontal="left" vertical="center"/>
    </xf>
    <xf numFmtId="0" fontId="27" fillId="0" borderId="0" xfId="0" applyFont="1" applyAlignment="1">
      <alignment vertical="center"/>
    </xf>
    <xf numFmtId="168" fontId="28" fillId="10" borderId="10" xfId="0" applyNumberFormat="1" applyFont="1" applyFill="1" applyBorder="1" applyAlignment="1">
      <alignment horizontal="right" vertical="center"/>
    </xf>
    <xf numFmtId="20" fontId="28" fillId="10" borderId="0" xfId="0" applyNumberFormat="1" applyFont="1" applyFill="1" applyAlignment="1">
      <alignment vertical="center"/>
    </xf>
    <xf numFmtId="20" fontId="28" fillId="10" borderId="0" xfId="0" applyNumberFormat="1" applyFont="1" applyFill="1" applyAlignment="1">
      <alignment horizontal="left" vertical="center"/>
    </xf>
    <xf numFmtId="0" fontId="27" fillId="10" borderId="0" xfId="0" applyFont="1" applyFill="1" applyAlignment="1">
      <alignment horizontal="right" vertical="center" shrinkToFit="1"/>
    </xf>
    <xf numFmtId="0" fontId="27" fillId="10" borderId="0" xfId="0" applyFont="1" applyFill="1" applyAlignment="1">
      <alignment horizontal="center" vertical="center"/>
    </xf>
    <xf numFmtId="0" fontId="27" fillId="10" borderId="0" xfId="0" applyFont="1" applyFill="1" applyAlignment="1">
      <alignment vertical="center"/>
    </xf>
    <xf numFmtId="0" fontId="27" fillId="10" borderId="0" xfId="0" applyFont="1" applyFill="1" applyAlignment="1">
      <alignment vertical="center" shrinkToFit="1"/>
    </xf>
    <xf numFmtId="0" fontId="27" fillId="10" borderId="11" xfId="0" applyFont="1" applyFill="1" applyBorder="1" applyAlignment="1">
      <alignment vertical="center"/>
    </xf>
    <xf numFmtId="168" fontId="29" fillId="10" borderId="12" xfId="0" applyNumberFormat="1" applyFont="1" applyFill="1" applyBorder="1" applyAlignment="1">
      <alignment horizontal="right" vertical="center"/>
    </xf>
    <xf numFmtId="20" fontId="29" fillId="10" borderId="13" xfId="0" applyNumberFormat="1" applyFont="1" applyFill="1" applyBorder="1" applyAlignment="1">
      <alignment vertical="center"/>
    </xf>
    <xf numFmtId="0" fontId="30" fillId="10" borderId="13" xfId="0" applyFont="1" applyFill="1" applyBorder="1"/>
    <xf numFmtId="0" fontId="31" fillId="10" borderId="13" xfId="0" applyFont="1" applyFill="1" applyBorder="1" applyAlignment="1">
      <alignment horizontal="right" vertical="center" shrinkToFit="1"/>
    </xf>
    <xf numFmtId="0" fontId="31" fillId="10" borderId="13" xfId="0" applyFont="1" applyFill="1" applyBorder="1" applyAlignment="1">
      <alignment horizontal="center" vertical="center"/>
    </xf>
    <xf numFmtId="0" fontId="31" fillId="10" borderId="13" xfId="0" applyFont="1" applyFill="1" applyBorder="1" applyAlignment="1">
      <alignment horizontal="left" vertical="center" shrinkToFit="1"/>
    </xf>
    <xf numFmtId="0" fontId="31" fillId="10" borderId="13" xfId="0" applyFont="1" applyFill="1" applyBorder="1" applyAlignment="1">
      <alignment vertical="center"/>
    </xf>
    <xf numFmtId="0" fontId="27" fillId="10" borderId="14" xfId="0" applyFont="1" applyFill="1" applyBorder="1" applyAlignment="1">
      <alignment vertical="center"/>
    </xf>
    <xf numFmtId="0" fontId="32" fillId="10" borderId="10" xfId="0" applyFont="1" applyFill="1" applyBorder="1"/>
    <xf numFmtId="20" fontId="31" fillId="10" borderId="0" xfId="0" applyNumberFormat="1" applyFont="1" applyFill="1" applyAlignment="1">
      <alignment horizontal="left" vertical="center"/>
    </xf>
    <xf numFmtId="0" fontId="31" fillId="10" borderId="0" xfId="0" applyFont="1" applyFill="1" applyAlignment="1">
      <alignment horizontal="right" vertical="center" shrinkToFit="1"/>
    </xf>
    <xf numFmtId="0" fontId="31" fillId="10" borderId="0" xfId="0" applyFont="1" applyFill="1" applyAlignment="1">
      <alignment horizontal="center" vertical="center"/>
    </xf>
    <xf numFmtId="0" fontId="31" fillId="10" borderId="0" xfId="0" applyFont="1" applyFill="1" applyAlignment="1">
      <alignment horizontal="left" vertical="center" shrinkToFit="1"/>
    </xf>
    <xf numFmtId="0" fontId="31" fillId="10" borderId="0" xfId="0" applyFont="1" applyFill="1" applyAlignment="1">
      <alignment vertical="center"/>
    </xf>
    <xf numFmtId="0" fontId="31" fillId="10" borderId="10" xfId="0" applyFont="1" applyFill="1" applyBorder="1" applyAlignment="1">
      <alignment horizontal="left" vertical="top" wrapText="1"/>
    </xf>
    <xf numFmtId="0" fontId="30" fillId="0" borderId="0" xfId="0" applyFont="1"/>
    <xf numFmtId="0" fontId="31" fillId="10" borderId="0" xfId="0" applyFont="1" applyFill="1" applyAlignment="1">
      <alignment horizontal="left" vertical="top" wrapText="1"/>
    </xf>
    <xf numFmtId="0" fontId="31" fillId="10" borderId="0" xfId="0" applyFont="1" applyFill="1" applyAlignment="1">
      <alignment horizontal="left" vertical="top"/>
    </xf>
    <xf numFmtId="0" fontId="0" fillId="10" borderId="0" xfId="0" applyFill="1"/>
    <xf numFmtId="0" fontId="31" fillId="10" borderId="0" xfId="0" applyFont="1" applyFill="1" applyAlignment="1">
      <alignment horizontal="center" vertical="top" wrapText="1"/>
    </xf>
    <xf numFmtId="0" fontId="33" fillId="10" borderId="0" xfId="0" applyFont="1" applyFill="1" applyAlignment="1">
      <alignment horizontal="center" vertical="center"/>
    </xf>
    <xf numFmtId="0" fontId="34" fillId="10" borderId="0" xfId="0" applyFont="1" applyFill="1" applyProtection="1">
      <protection hidden="1"/>
    </xf>
    <xf numFmtId="0" fontId="33" fillId="10" borderId="0" xfId="0" applyFont="1" applyFill="1" applyAlignment="1">
      <alignment vertical="center"/>
    </xf>
    <xf numFmtId="0" fontId="30" fillId="10" borderId="0" xfId="0" applyFont="1" applyFill="1"/>
    <xf numFmtId="0" fontId="30" fillId="10" borderId="0" xfId="0" applyFont="1" applyFill="1" applyAlignment="1">
      <alignment horizontal="left"/>
    </xf>
    <xf numFmtId="168" fontId="31" fillId="10" borderId="10" xfId="0" applyNumberFormat="1" applyFont="1" applyFill="1" applyBorder="1" applyAlignment="1">
      <alignment horizontal="left" vertical="center"/>
    </xf>
    <xf numFmtId="0" fontId="35" fillId="10" borderId="0" xfId="0" applyFont="1" applyFill="1" applyAlignment="1">
      <alignment horizontal="left" vertical="center" shrinkToFit="1"/>
    </xf>
    <xf numFmtId="20" fontId="36" fillId="11" borderId="15" xfId="0" applyNumberFormat="1" applyFont="1" applyFill="1" applyBorder="1" applyAlignment="1">
      <alignment horizontal="left" vertical="center"/>
    </xf>
    <xf numFmtId="20" fontId="36" fillId="11" borderId="15" xfId="0" applyNumberFormat="1" applyFont="1" applyFill="1" applyBorder="1" applyAlignment="1">
      <alignment horizontal="right" vertical="center"/>
    </xf>
    <xf numFmtId="20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right" vertical="center"/>
    </xf>
    <xf numFmtId="17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left" vertical="center"/>
    </xf>
    <xf numFmtId="0" fontId="32" fillId="10" borderId="11" xfId="0" applyFont="1" applyFill="1" applyBorder="1"/>
    <xf numFmtId="0" fontId="37" fillId="0" borderId="0" xfId="0" applyFont="1"/>
    <xf numFmtId="0" fontId="27" fillId="10" borderId="12" xfId="0" applyFont="1" applyFill="1" applyBorder="1" applyAlignment="1">
      <alignment vertical="center"/>
    </xf>
    <xf numFmtId="0" fontId="27" fillId="10" borderId="13" xfId="0" applyFont="1" applyFill="1" applyBorder="1" applyAlignment="1">
      <alignment vertical="center"/>
    </xf>
    <xf numFmtId="0" fontId="27" fillId="10" borderId="13" xfId="0" applyFont="1" applyFill="1" applyBorder="1" applyAlignment="1">
      <alignment horizontal="left" vertical="center" shrinkToFit="1"/>
    </xf>
    <xf numFmtId="0" fontId="27" fillId="10" borderId="13" xfId="0" applyFont="1" applyFill="1" applyBorder="1" applyAlignment="1">
      <alignment horizontal="center" vertical="center"/>
    </xf>
    <xf numFmtId="0" fontId="27" fillId="0" borderId="0" xfId="0" applyFont="1" applyAlignment="1">
      <alignment horizontal="left" vertical="center" shrinkToFit="1"/>
    </xf>
    <xf numFmtId="0" fontId="27" fillId="0" borderId="0" xfId="0" applyFont="1" applyAlignment="1">
      <alignment horizontal="center" vertical="center"/>
    </xf>
    <xf numFmtId="168" fontId="27" fillId="0" borderId="0" xfId="0" applyNumberFormat="1" applyFont="1" applyAlignment="1">
      <alignment horizontal="right" vertical="center"/>
    </xf>
    <xf numFmtId="20" fontId="27" fillId="0" borderId="0" xfId="0" applyNumberFormat="1" applyFont="1" applyAlignment="1">
      <alignment vertical="center"/>
    </xf>
    <xf numFmtId="20" fontId="27" fillId="0" borderId="0" xfId="0" applyNumberFormat="1" applyFont="1" applyAlignment="1">
      <alignment horizontal="left" vertical="center"/>
    </xf>
    <xf numFmtId="0" fontId="27" fillId="0" borderId="0" xfId="0" applyFont="1" applyAlignment="1">
      <alignment horizontal="right" vertical="center" shrinkToFit="1"/>
    </xf>
    <xf numFmtId="168" fontId="28" fillId="0" borderId="0" xfId="0" applyNumberFormat="1" applyFont="1" applyAlignment="1">
      <alignment horizontal="right" vertical="center"/>
    </xf>
    <xf numFmtId="20" fontId="28" fillId="0" borderId="0" xfId="0" applyNumberFormat="1" applyFont="1" applyAlignment="1">
      <alignment vertical="center"/>
    </xf>
    <xf numFmtId="20" fontId="28" fillId="0" borderId="0" xfId="0" applyNumberFormat="1" applyFont="1" applyAlignment="1">
      <alignment horizontal="left" vertical="center"/>
    </xf>
    <xf numFmtId="49" fontId="31" fillId="10" borderId="15" xfId="0" applyNumberFormat="1" applyFont="1" applyFill="1" applyBorder="1" applyAlignment="1">
      <alignment horizontal="left" vertical="center"/>
    </xf>
    <xf numFmtId="0" fontId="2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20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164" fontId="0" fillId="10" borderId="0" xfId="0" applyNumberFormat="1" applyFill="1" applyAlignment="1">
      <alignment horizontal="center" vertical="center"/>
    </xf>
    <xf numFmtId="169" fontId="20" fillId="10" borderId="0" xfId="0" applyNumberFormat="1" applyFont="1" applyFill="1" applyAlignment="1">
      <alignment horizontal="center" vertical="center"/>
    </xf>
    <xf numFmtId="169" fontId="20" fillId="0" borderId="0" xfId="0" applyNumberFormat="1" applyFont="1" applyAlignment="1">
      <alignment horizontal="center"/>
    </xf>
    <xf numFmtId="169" fontId="20" fillId="0" borderId="0" xfId="0" applyNumberFormat="1" applyFont="1" applyAlignment="1">
      <alignment horizontal="center" vertical="center"/>
    </xf>
    <xf numFmtId="0" fontId="34" fillId="0" borderId="0" xfId="0" applyFont="1" applyProtection="1">
      <protection hidden="1"/>
    </xf>
    <xf numFmtId="0" fontId="34" fillId="0" borderId="0" xfId="0" applyFont="1" applyAlignment="1" applyProtection="1">
      <alignment horizontal="left"/>
      <protection hidden="1"/>
    </xf>
    <xf numFmtId="0" fontId="38" fillId="12" borderId="17" xfId="0" applyFont="1" applyFill="1" applyBorder="1" applyAlignment="1" applyProtection="1">
      <alignment horizontal="left" vertical="center"/>
      <protection hidden="1"/>
    </xf>
    <xf numFmtId="0" fontId="34" fillId="12" borderId="18" xfId="0" applyFont="1" applyFill="1" applyBorder="1" applyAlignment="1" applyProtection="1">
      <alignment horizontal="left"/>
      <protection hidden="1"/>
    </xf>
    <xf numFmtId="0" fontId="34" fillId="12" borderId="19" xfId="0" applyFont="1" applyFill="1" applyBorder="1" applyProtection="1">
      <protection hidden="1"/>
    </xf>
    <xf numFmtId="0" fontId="34" fillId="12" borderId="20" xfId="0" applyFont="1" applyFill="1" applyBorder="1" applyAlignment="1" applyProtection="1">
      <alignment horizontal="left" vertical="center"/>
      <protection hidden="1"/>
    </xf>
    <xf numFmtId="0" fontId="34" fillId="13" borderId="0" xfId="0" applyFont="1" applyFill="1" applyAlignment="1" applyProtection="1">
      <alignment horizontal="center" vertical="center"/>
      <protection hidden="1"/>
    </xf>
    <xf numFmtId="0" fontId="34" fillId="12" borderId="21" xfId="0" applyFont="1" applyFill="1" applyBorder="1" applyProtection="1">
      <protection hidden="1"/>
    </xf>
    <xf numFmtId="170" fontId="39" fillId="14" borderId="0" xfId="0" applyNumberFormat="1" applyFont="1" applyFill="1" applyAlignment="1" applyProtection="1">
      <alignment horizontal="center"/>
      <protection hidden="1"/>
    </xf>
    <xf numFmtId="0" fontId="34" fillId="12" borderId="22" xfId="0" applyFont="1" applyFill="1" applyBorder="1" applyProtection="1">
      <protection hidden="1"/>
    </xf>
    <xf numFmtId="0" fontId="34" fillId="12" borderId="8" xfId="0" applyFont="1" applyFill="1" applyBorder="1" applyAlignment="1" applyProtection="1">
      <alignment horizontal="left"/>
      <protection hidden="1"/>
    </xf>
    <xf numFmtId="0" fontId="34" fillId="12" borderId="23" xfId="0" applyFont="1" applyFill="1" applyBorder="1" applyProtection="1">
      <protection hidden="1"/>
    </xf>
    <xf numFmtId="0" fontId="40" fillId="0" borderId="0" xfId="0" applyFont="1" applyAlignment="1" applyProtection="1">
      <alignment horizontal="left" vertical="center"/>
      <protection hidden="1"/>
    </xf>
    <xf numFmtId="0" fontId="40" fillId="12" borderId="24" xfId="0" applyFont="1" applyFill="1" applyBorder="1" applyAlignment="1" applyProtection="1">
      <alignment horizontal="left" vertical="center"/>
      <protection hidden="1"/>
    </xf>
    <xf numFmtId="0" fontId="40" fillId="12" borderId="25" xfId="0" applyFont="1" applyFill="1" applyBorder="1" applyAlignment="1" applyProtection="1">
      <alignment horizontal="left" vertical="center"/>
      <protection hidden="1"/>
    </xf>
    <xf numFmtId="0" fontId="34" fillId="12" borderId="26" xfId="0" applyFont="1" applyFill="1" applyBorder="1" applyProtection="1">
      <protection hidden="1"/>
    </xf>
    <xf numFmtId="171" fontId="40" fillId="0" borderId="0" xfId="0" applyNumberFormat="1" applyFont="1" applyAlignment="1" applyProtection="1">
      <alignment horizontal="left" vertical="center"/>
      <protection hidden="1"/>
    </xf>
    <xf numFmtId="171" fontId="34" fillId="0" borderId="0" xfId="0" applyNumberFormat="1" applyFont="1" applyProtection="1">
      <protection hidden="1"/>
    </xf>
    <xf numFmtId="0" fontId="41" fillId="12" borderId="20" xfId="0" applyFont="1" applyFill="1" applyBorder="1" applyAlignment="1" applyProtection="1">
      <alignment horizontal="left" vertical="center"/>
      <protection hidden="1"/>
    </xf>
    <xf numFmtId="0" fontId="38" fillId="12" borderId="0" xfId="0" applyFont="1" applyFill="1" applyAlignment="1" applyProtection="1">
      <alignment horizontal="center" vertical="center"/>
      <protection hidden="1"/>
    </xf>
    <xf numFmtId="0" fontId="42" fillId="9" borderId="0" xfId="0" applyFont="1" applyFill="1" applyProtection="1">
      <protection hidden="1"/>
    </xf>
    <xf numFmtId="3" fontId="34" fillId="15" borderId="27" xfId="0" applyNumberFormat="1" applyFont="1" applyFill="1" applyBorder="1" applyAlignment="1" applyProtection="1">
      <alignment horizontal="center" vertical="center"/>
      <protection hidden="1"/>
    </xf>
    <xf numFmtId="171" fontId="40" fillId="0" borderId="0" xfId="0" applyNumberFormat="1" applyFont="1" applyAlignment="1" applyProtection="1">
      <alignment horizontal="center" vertical="center"/>
      <protection hidden="1"/>
    </xf>
    <xf numFmtId="3" fontId="34" fillId="15" borderId="28" xfId="0" applyNumberFormat="1" applyFont="1" applyFill="1" applyBorder="1" applyAlignment="1" applyProtection="1">
      <alignment horizontal="center" vertical="center"/>
      <protection hidden="1"/>
    </xf>
    <xf numFmtId="0" fontId="34" fillId="15" borderId="28" xfId="0" applyFont="1" applyFill="1" applyBorder="1" applyAlignment="1" applyProtection="1">
      <alignment horizontal="center" vertical="center"/>
      <protection hidden="1"/>
    </xf>
    <xf numFmtId="0" fontId="34" fillId="12" borderId="28" xfId="0" applyFont="1" applyFill="1" applyBorder="1" applyAlignment="1" applyProtection="1">
      <alignment horizontal="left" indent="2"/>
      <protection hidden="1"/>
    </xf>
    <xf numFmtId="3" fontId="34" fillId="15" borderId="29" xfId="0" applyNumberFormat="1" applyFont="1" applyFill="1" applyBorder="1" applyAlignment="1" applyProtection="1">
      <alignment horizontal="center" vertical="center"/>
      <protection hidden="1"/>
    </xf>
    <xf numFmtId="0" fontId="40" fillId="12" borderId="22" xfId="0" applyFont="1" applyFill="1" applyBorder="1" applyAlignment="1" applyProtection="1">
      <alignment horizontal="left" vertical="center"/>
      <protection hidden="1"/>
    </xf>
    <xf numFmtId="0" fontId="40" fillId="12" borderId="8" xfId="0" applyFont="1" applyFill="1" applyBorder="1" applyAlignment="1" applyProtection="1">
      <alignment horizontal="left" vertical="center"/>
      <protection hidden="1"/>
    </xf>
    <xf numFmtId="0" fontId="6" fillId="0" borderId="0" xfId="0" applyFont="1"/>
    <xf numFmtId="0" fontId="20" fillId="0" borderId="0" xfId="0" applyFont="1" applyAlignment="1">
      <alignment horizontal="center" vertical="center" wrapText="1"/>
    </xf>
    <xf numFmtId="0" fontId="43" fillId="0" borderId="0" xfId="0" applyFont="1"/>
    <xf numFmtId="0" fontId="44" fillId="0" borderId="0" xfId="0" applyFont="1"/>
    <xf numFmtId="0" fontId="13" fillId="6" borderId="1" xfId="0" applyFont="1" applyFill="1" applyBorder="1" applyAlignment="1">
      <alignment horizontal="left"/>
    </xf>
    <xf numFmtId="0" fontId="14" fillId="3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1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1" fillId="7" borderId="0" xfId="0" applyFont="1" applyFill="1"/>
    <xf numFmtId="0" fontId="26" fillId="10" borderId="9" xfId="0" applyFont="1" applyFill="1" applyBorder="1" applyAlignment="1">
      <alignment horizontal="left" shrinkToFit="1"/>
    </xf>
    <xf numFmtId="0" fontId="31" fillId="10" borderId="10" xfId="0" applyFont="1" applyFill="1" applyBorder="1" applyAlignment="1">
      <alignment horizontal="left" vertical="top" wrapText="1"/>
    </xf>
    <xf numFmtId="168" fontId="31" fillId="10" borderId="16" xfId="0" applyNumberFormat="1" applyFont="1" applyFill="1" applyBorder="1" applyAlignment="1">
      <alignment horizontal="left" vertical="top" wrapText="1"/>
    </xf>
  </cellXfs>
  <cellStyles count="10">
    <cellStyle name="20% - Accent1 2" xfId="1" xr:uid="{00000000-0005-0000-0000-000006000000}"/>
    <cellStyle name="20% - Accent1 2 2" xfId="2" xr:uid="{00000000-0005-0000-0000-000007000000}"/>
    <cellStyle name="Hyperlink 2" xfId="3" xr:uid="{00000000-0005-0000-0000-000008000000}"/>
    <cellStyle name="Hyperlink 3" xfId="4" xr:uid="{00000000-0005-0000-0000-000009000000}"/>
    <cellStyle name="Normal" xfId="0" builtinId="0"/>
    <cellStyle name="Normal 2" xfId="5" xr:uid="{00000000-0005-0000-0000-00000A000000}"/>
    <cellStyle name="Normal 2 2" xfId="6" xr:uid="{00000000-0005-0000-0000-00000B000000}"/>
    <cellStyle name="Normal 3" xfId="7" xr:uid="{00000000-0005-0000-0000-00000C000000}"/>
    <cellStyle name="Normal 3 2" xfId="8" xr:uid="{00000000-0005-0000-0000-00000D000000}"/>
    <cellStyle name="Percent 2" xfId="9" xr:uid="{00000000-0005-0000-0000-00000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E5E5E"/>
      <rgbColor rgb="FF800080"/>
      <rgbColor rgb="FF0563C1"/>
      <rgbColor rgb="FFD9E1F2"/>
      <rgbColor rgb="FF7F7F7F"/>
      <rgbColor rgb="FF5B9BD5"/>
      <rgbColor rgb="FF993366"/>
      <rgbColor rgb="FFFFF9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DAE3F3"/>
      <rgbColor rgb="FFFFF2CC"/>
      <rgbColor rgb="FF99CCFF"/>
      <rgbColor rgb="FFFF99CC"/>
      <rgbColor rgb="FFCC99FF"/>
      <rgbColor rgb="FFF2F2F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121D47"/>
      <rgbColor rgb="FF1F1F1F"/>
      <rgbColor rgb="FF993300"/>
      <rgbColor rgb="FF993366"/>
      <rgbColor rgb="FF1F4E78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arnas.pocius@gmail.com" TargetMode="External"/><Relationship Id="rId13" Type="http://schemas.openxmlformats.org/officeDocument/2006/relationships/hyperlink" Target="mailto:pijusjalo@gmail.com" TargetMode="External"/><Relationship Id="rId3" Type="http://schemas.openxmlformats.org/officeDocument/2006/relationships/hyperlink" Target="mailto:fillup@mail.ru" TargetMode="External"/><Relationship Id="rId7" Type="http://schemas.openxmlformats.org/officeDocument/2006/relationships/hyperlink" Target="mailto:a.cizauskas@gmail.com" TargetMode="External"/><Relationship Id="rId12" Type="http://schemas.openxmlformats.org/officeDocument/2006/relationships/hyperlink" Target="mailto:vaidas.pazusys@svyturys.lt" TargetMode="External"/><Relationship Id="rId17" Type="http://schemas.openxmlformats.org/officeDocument/2006/relationships/hyperlink" Target="mailto:saras.oleknavicius@gmail.com" TargetMode="External"/><Relationship Id="rId2" Type="http://schemas.openxmlformats.org/officeDocument/2006/relationships/hyperlink" Target="mailto:vytautas.podrezas@gmail.com" TargetMode="External"/><Relationship Id="rId16" Type="http://schemas.openxmlformats.org/officeDocument/2006/relationships/hyperlink" Target="mailto:kusleikajokubas@gmail.com" TargetMode="External"/><Relationship Id="rId1" Type="http://schemas.openxmlformats.org/officeDocument/2006/relationships/hyperlink" Target="mailto:benas.bruzg@gmail.com" TargetMode="External"/><Relationship Id="rId6" Type="http://schemas.openxmlformats.org/officeDocument/2006/relationships/hyperlink" Target="mailto:dovile.smetone@svyturys.lt" TargetMode="External"/><Relationship Id="rId11" Type="http://schemas.openxmlformats.org/officeDocument/2006/relationships/hyperlink" Target="mailto:simas.design@gmail.com" TargetMode="External"/><Relationship Id="rId5" Type="http://schemas.openxmlformats.org/officeDocument/2006/relationships/hyperlink" Target="mailto:renata.baublyte@gmail.com" TargetMode="External"/><Relationship Id="rId15" Type="http://schemas.openxmlformats.org/officeDocument/2006/relationships/hyperlink" Target="mailto:sigitas.sarauskis@gmail.com" TargetMode="External"/><Relationship Id="rId10" Type="http://schemas.openxmlformats.org/officeDocument/2006/relationships/hyperlink" Target="mailto:Donatas.Keras@gjensidige.lt" TargetMode="External"/><Relationship Id="rId4" Type="http://schemas.openxmlformats.org/officeDocument/2006/relationships/hyperlink" Target="mailto:mindaugas.cizauskas@svyturys.lt" TargetMode="External"/><Relationship Id="rId9" Type="http://schemas.openxmlformats.org/officeDocument/2006/relationships/hyperlink" Target="mailto:Enrico.Ancarola@carlsberg.it;" TargetMode="External"/><Relationship Id="rId14" Type="http://schemas.openxmlformats.org/officeDocument/2006/relationships/hyperlink" Target="mailto:benediktas.babraitis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201"/>
  <sheetViews>
    <sheetView showGridLines="0" tabSelected="1" zoomScale="99" zoomScaleNormal="99" workbookViewId="0">
      <pane ySplit="4" topLeftCell="A5" activePane="bottomLeft" state="frozen"/>
      <selection pane="bottomLeft" activeCell="D5" sqref="D5"/>
    </sheetView>
  </sheetViews>
  <sheetFormatPr defaultColWidth="11.3984375" defaultRowHeight="13" x14ac:dyDescent="0.3"/>
  <cols>
    <col min="1" max="1" width="6.3984375" customWidth="1"/>
    <col min="2" max="2" width="7.59765625" customWidth="1"/>
    <col min="3" max="3" width="16" customWidth="1"/>
    <col min="4" max="4" width="8.3984375" customWidth="1"/>
    <col min="5" max="5" width="26" customWidth="1"/>
    <col min="6" max="7" width="6.3984375" customWidth="1"/>
    <col min="8" max="8" width="26" customWidth="1"/>
    <col min="9" max="9" width="6.3984375" customWidth="1"/>
    <col min="10" max="10" width="1.59765625" customWidth="1"/>
    <col min="11" max="11" width="24" customWidth="1"/>
    <col min="12" max="13" width="6" customWidth="1"/>
    <col min="14" max="14" width="8.3984375" customWidth="1"/>
    <col min="15" max="15" width="6" customWidth="1"/>
    <col min="17" max="18" width="7.59765625" customWidth="1"/>
    <col min="19" max="19" width="28" customWidth="1"/>
    <col min="20" max="22" width="10.19921875" customWidth="1"/>
    <col min="23" max="23" width="28" customWidth="1"/>
    <col min="24" max="26" width="10.19921875" customWidth="1"/>
    <col min="27" max="27" width="28" customWidth="1"/>
    <col min="28" max="30" width="10.19921875" customWidth="1"/>
    <col min="31" max="31" width="28" customWidth="1"/>
    <col min="32" max="34" width="10.19921875" customWidth="1"/>
    <col min="35" max="35" width="30" customWidth="1"/>
    <col min="36" max="38" width="10.19921875" customWidth="1"/>
    <col min="39" max="73" width="12.59765625" hidden="1" customWidth="1"/>
  </cols>
  <sheetData>
    <row r="1" spans="1:67" ht="49.5" customHeight="1" x14ac:dyDescent="0.3">
      <c r="A1" s="149" t="s">
        <v>0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</row>
    <row r="2" spans="1:67" ht="12.75" customHeight="1" x14ac:dyDescent="0.3">
      <c r="A2" s="150" t="str">
        <f>"Times shown in GMT" &amp; IF(GmtOffset=0,"",IF(GmtOffset&gt;0," + "&amp;GmtOffset&amp;"h"," "&amp;GmtOffset&amp;"h"))</f>
        <v>Times shown in GMT + 2h</v>
      </c>
      <c r="B2" s="150"/>
      <c r="C2" s="150"/>
      <c r="D2" s="150"/>
      <c r="E2" s="150"/>
      <c r="F2" s="150"/>
      <c r="G2" s="150"/>
      <c r="H2" s="150"/>
      <c r="I2" s="150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spans="1:67" ht="27.75" customHeight="1" x14ac:dyDescent="0.55000000000000004">
      <c r="A3" s="151" t="s">
        <v>1</v>
      </c>
      <c r="B3" s="151"/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151"/>
      <c r="O3" s="151"/>
      <c r="P3" s="151"/>
      <c r="Q3" s="151"/>
      <c r="R3" s="4"/>
      <c r="S3" s="152" t="s">
        <v>2</v>
      </c>
      <c r="T3" s="152"/>
      <c r="U3" s="152"/>
      <c r="V3" s="152"/>
      <c r="W3" s="152" t="s">
        <v>3</v>
      </c>
      <c r="X3" s="152"/>
      <c r="Y3" s="152"/>
      <c r="Z3" s="152"/>
      <c r="AA3" s="152" t="s">
        <v>4</v>
      </c>
      <c r="AB3" s="152"/>
      <c r="AC3" s="152"/>
      <c r="AD3" s="152"/>
      <c r="AE3" s="152" t="s">
        <v>5</v>
      </c>
      <c r="AF3" s="152"/>
      <c r="AG3" s="152"/>
      <c r="AH3" s="152"/>
      <c r="AI3" s="152" t="s">
        <v>6</v>
      </c>
      <c r="AJ3" s="152"/>
      <c r="AK3" s="152"/>
      <c r="AL3" s="152"/>
      <c r="AM3" s="3"/>
      <c r="AN3" s="3"/>
    </row>
    <row r="4" spans="1:67" ht="27.75" customHeight="1" x14ac:dyDescent="0.55000000000000004">
      <c r="A4" s="151"/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4"/>
      <c r="S4" s="2" t="s">
        <v>7</v>
      </c>
      <c r="T4" s="2" t="s">
        <v>8</v>
      </c>
      <c r="U4" s="2" t="s">
        <v>9</v>
      </c>
      <c r="V4" s="2" t="s">
        <v>10</v>
      </c>
      <c r="W4" s="2" t="s">
        <v>7</v>
      </c>
      <c r="X4" s="2" t="s">
        <v>8</v>
      </c>
      <c r="Y4" s="2" t="s">
        <v>9</v>
      </c>
      <c r="Z4" s="2" t="s">
        <v>10</v>
      </c>
      <c r="AA4" s="2" t="s">
        <v>7</v>
      </c>
      <c r="AB4" s="2" t="s">
        <v>8</v>
      </c>
      <c r="AC4" s="2" t="s">
        <v>9</v>
      </c>
      <c r="AD4" s="2" t="s">
        <v>10</v>
      </c>
      <c r="AE4" s="2" t="s">
        <v>7</v>
      </c>
      <c r="AF4" s="2" t="s">
        <v>8</v>
      </c>
      <c r="AG4" s="2" t="s">
        <v>9</v>
      </c>
      <c r="AH4" s="2" t="s">
        <v>10</v>
      </c>
      <c r="AI4" s="2" t="s">
        <v>7</v>
      </c>
      <c r="AJ4" s="2" t="s">
        <v>8</v>
      </c>
      <c r="AK4" s="2" t="s">
        <v>9</v>
      </c>
      <c r="AL4" s="2" t="s">
        <v>10</v>
      </c>
      <c r="AM4" s="3"/>
      <c r="AN4" s="3"/>
    </row>
    <row r="5" spans="1:67" ht="12.75" customHeight="1" x14ac:dyDescent="0.3">
      <c r="A5" s="5">
        <v>1</v>
      </c>
      <c r="B5" s="5" t="str">
        <f>TEXT((46184)+(15+4+GmtOffset)/24,"ddd")</f>
        <v>Thu</v>
      </c>
      <c r="C5" s="5" t="str">
        <f>TEXT((46184)+(15+4+GmtOffset)/24,"mmm d, yyyy")</f>
        <v>Jun 11, 2026</v>
      </c>
      <c r="D5" s="5" t="str">
        <f>TEXT((46184)+(15+4+GmtOffset)/24,"h:mm")</f>
        <v>21:00</v>
      </c>
      <c r="E5" s="6" t="s">
        <v>11</v>
      </c>
      <c r="F5" s="7">
        <v>2</v>
      </c>
      <c r="G5" s="7">
        <v>0</v>
      </c>
      <c r="H5" s="8" t="s">
        <v>12</v>
      </c>
      <c r="I5" s="5" t="s">
        <v>13</v>
      </c>
      <c r="J5" s="3"/>
      <c r="K5" s="145" t="s">
        <v>14</v>
      </c>
      <c r="L5" s="145"/>
      <c r="M5" s="145"/>
      <c r="N5" s="145"/>
      <c r="O5" s="145"/>
      <c r="P5" s="145"/>
      <c r="Q5" s="145"/>
      <c r="S5" s="9" t="str">
        <f>IF((COUNTIF($F$5:$G$76,"&gt;=0")=144),IFERROR(INDEX($AP$81:$AP$92,1),"Runner-up A"),"Runner-up A")</f>
        <v>Runner-up A</v>
      </c>
      <c r="T5" s="10"/>
      <c r="U5" s="10"/>
      <c r="V5" s="10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67" ht="12.75" customHeight="1" x14ac:dyDescent="0.3">
      <c r="A6" s="11">
        <v>2</v>
      </c>
      <c r="B6" s="11" t="str">
        <f>TEXT((46184)+(22+4+GmtOffset)/24,"ddd")</f>
        <v>Fri</v>
      </c>
      <c r="C6" s="11" t="str">
        <f>TEXT((46184)+(22+4+GmtOffset)/24,"mmm d, yyyy")</f>
        <v>Jun 12, 2026</v>
      </c>
      <c r="D6" s="11" t="str">
        <f>TEXT((46184)+(22+4+GmtOffset)/24,"h:mm")</f>
        <v>4:00</v>
      </c>
      <c r="E6" s="12" t="s">
        <v>15</v>
      </c>
      <c r="F6" s="7">
        <v>2</v>
      </c>
      <c r="G6" s="7">
        <v>1</v>
      </c>
      <c r="H6" s="13" t="s">
        <v>16</v>
      </c>
      <c r="I6" s="11" t="s">
        <v>13</v>
      </c>
      <c r="J6" s="3"/>
      <c r="K6" s="14"/>
      <c r="L6" s="14" t="s">
        <v>17</v>
      </c>
      <c r="M6" s="14" t="s">
        <v>18</v>
      </c>
      <c r="N6" s="14" t="s">
        <v>19</v>
      </c>
      <c r="O6" s="14" t="s">
        <v>20</v>
      </c>
      <c r="P6" s="14" t="s">
        <v>21</v>
      </c>
      <c r="Q6" s="14" t="s">
        <v>22</v>
      </c>
      <c r="S6" s="15" t="str">
        <f>IF((COUNTIF($F$5:$G$76,"&gt;=0")=144),IFERROR(INDEX($AP$81:$AP$92,2),"Runner-up B"),"Runner-up B")</f>
        <v>Runner-up B</v>
      </c>
      <c r="T6" s="16"/>
      <c r="U6" s="16"/>
      <c r="V6" s="16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BD6" t="s">
        <v>11</v>
      </c>
      <c r="BE6">
        <f t="array" ref="BE6">SUMPRODUCT((((E5:E10=BD6)+(H5:H10=BD6))&gt;0)*ISNUMBER(F5:F10)*ISNUMBER(G5:G10))</f>
        <v>1</v>
      </c>
      <c r="BF6">
        <f t="array" ref="BF6">SUMPRODUCT((E5:E10=BD6)*ISNUMBER(F5:F10)*ISNUMBER(G5:G10)*(F5:F10&gt;G5:G10))+SUMPRODUCT((H5:H10=BD6)*ISNUMBER(F5:F10)*ISNUMBER(G5:G10)*(G5:G10&gt;F5:F10))</f>
        <v>1</v>
      </c>
      <c r="BG6">
        <f t="array" ref="BG6">SUMPRODUCT((((E5:E10=BD6)+(H5:H10=BD6))&gt;0)*ISNUMBER(F5:F10)*ISNUMBER(G5:G10)*(F5:F10=G5:G10))</f>
        <v>0</v>
      </c>
      <c r="BH6">
        <f>BE6-BF6-BG6</f>
        <v>0</v>
      </c>
      <c r="BI6">
        <f t="array" ref="BI6">SUMPRODUCT((E5:E10=BD6)*IFERROR(F5:F10,0))+SUMPRODUCT((H5:H10=BD6)*IFERROR(G5:G10,0))</f>
        <v>2</v>
      </c>
      <c r="BJ6">
        <f t="array" ref="BJ6">SUMPRODUCT((E5:E10=BD6)*IFERROR(G5:G10,0))+SUMPRODUCT((H5:H10=BD6)*IFERROR(F5:F10,0))</f>
        <v>0</v>
      </c>
      <c r="BK6">
        <f>BF6*3+BG6</f>
        <v>3</v>
      </c>
      <c r="BL6">
        <f>1+SUMPRODUCT(((BK$6:BK$9&gt;BK6)+(BK$6:BK$9=BK6)*(BM$6:BM$9&gt;BM6)+(BK$6:BK$9=BK6)*(BM$6:BM$9=BM6)*(BN$6:BN$9&gt;BN6)+(BK$6:BK$9=BK6)*(BM$6:BM$9=BM6)*(BN$6:BN$9=BN6)*(BO$6:BO$9&gt;BO6)+(BK$6:BK$9=BK6)*(BM$6:BM$9=BM6)*(BN$6:BN$9=BN6)*(BO$6:BO$9=BO6)*((BI$6:BI$9-BJ$6:BJ$9)&gt;(BI6-BJ6))+(BK$6:BK$9=BK6)*(BM$6:BM$9=BM6)*(BN$6:BN$9=BN6)*(BO$6:BO$9=BO6)*((BI$6:BI$9-BJ$6:BJ$9)=(BI6-BJ6))*(BI$6:BI$9&gt;BI6)+(BK$6:BK$9=BK6)*(BM$6:BM$9=BM6)*(BN$6:BN$9=BN6)*(BO$6:BO$9=BO6)*((BI$6:BI$9-BJ$6:BJ$9)=(BI6-BJ6))*(BI$6:BI$9=BI6)*(ROW(BK$6:BK$9)&lt;ROW(BK6)))*1)</f>
        <v>1</v>
      </c>
      <c r="BM6">
        <f t="array" ref="BM6">SUMPRODUCT((E$5:E$10=BD6)*ISNUMBER(F$5:F$10)*ISNUMBER(G$5:G$10)*COUNTIFS(BD$6:BD$9,H$5:H$10,BK$6:BK$9,BK6)*((F$5:F$10&gt;G$5:G$10)*3+(F$5:F$10=G$5:G$10)))+SUMPRODUCT((H$5:H$10=BD6)*ISNUMBER(F$5:F$10)*ISNUMBER(G$5:G$10)*COUNTIFS(BD$6:BD$9,E$5:E$10,BK$6:BK$9,BK6)*((G$5:G$10&gt;F$5:F$10)*3+(F$5:F$10=G$5:G$10)))</f>
        <v>0</v>
      </c>
      <c r="BN6">
        <f t="array" ref="BN6">SUMPRODUCT((E$5:E$10=BD6)*ISNUMBER(F$5:F$10)*ISNUMBER(G$5:G$10)*COUNTIFS(BD$6:BD$9,H$5:H$10,BK$6:BK$9,BK6)*(F$5:F$10-G$5:G$10))+SUMPRODUCT((H$5:H$10=BD6)*ISNUMBER(F$5:F$10)*ISNUMBER(G$5:G$10)*COUNTIFS(BD$6:BD$9,E$5:E$10,BK$6:BK$9,BK6)*(G$5:G$10-F$5:F$10))</f>
        <v>0</v>
      </c>
      <c r="BO6">
        <f t="array" ref="BO6">SUMPRODUCT((E$5:E$10=BD6)*ISNUMBER(F$5:F$10)*ISNUMBER(G$5:G$10)*COUNTIFS(BD$6:BD$9,H$5:H$10,BK$6:BK$9,BK6)*F$5:F$10)+SUMPRODUCT((H$5:H$10=BD6)*ISNUMBER(F$5:F$10)*ISNUMBER(G$5:G$10)*COUNTIFS(BD$6:BD$9,E$5:E$10,BK$6:BK$9,BK6)*G$5:G$10)</f>
        <v>0</v>
      </c>
    </row>
    <row r="7" spans="1:67" ht="12.75" customHeight="1" x14ac:dyDescent="0.3">
      <c r="A7" s="11">
        <v>3</v>
      </c>
      <c r="B7" s="11" t="str">
        <f>TEXT((46191)+(21+4+GmtOffset)/24,"ddd")</f>
        <v>Fri</v>
      </c>
      <c r="C7" s="11" t="str">
        <f>TEXT((46191)+(21+4+GmtOffset)/24,"mmm d, yyyy")</f>
        <v>Jun 19, 2026</v>
      </c>
      <c r="D7" s="11" t="str">
        <f>TEXT((46191)+(21+4+GmtOffset)/24,"h:mm")</f>
        <v>3:00</v>
      </c>
      <c r="E7" s="12" t="s">
        <v>11</v>
      </c>
      <c r="F7" s="7"/>
      <c r="G7" s="7"/>
      <c r="H7" s="13" t="s">
        <v>15</v>
      </c>
      <c r="I7" s="11" t="s">
        <v>13</v>
      </c>
      <c r="J7" s="3"/>
      <c r="K7" s="13" t="str">
        <f>INDEX(BD6:BD9,MATCH(1,BL6:BL9,0))</f>
        <v>Mexico</v>
      </c>
      <c r="L7" s="11">
        <f>INDEX(BE6:BE9,MATCH(1,BL6:BL9,0))</f>
        <v>1</v>
      </c>
      <c r="M7" s="11">
        <f>INDEX(BF6:BF9,MATCH(1,BL6:BL9,0))</f>
        <v>1</v>
      </c>
      <c r="N7" s="11">
        <f>INDEX(BG6:BG9,MATCH(1,BL6:BL9,0))</f>
        <v>0</v>
      </c>
      <c r="O7" s="11">
        <f>INDEX(BH6:BH9,MATCH(1,BL6:BL9,0))</f>
        <v>0</v>
      </c>
      <c r="P7" s="11" t="str">
        <f>INDEX(BI6:BI9,MATCH(1,BL6:BL9,0))&amp;" - "&amp;INDEX(BJ6:BJ9,MATCH(1,BL6:BL9,0))</f>
        <v>2 - 0</v>
      </c>
      <c r="Q7" s="14">
        <f>INDEX(BK6:BK9,MATCH(1,BL6:BL9,0))</f>
        <v>3</v>
      </c>
      <c r="S7" s="3"/>
      <c r="T7" s="3"/>
      <c r="U7" s="3"/>
      <c r="V7" s="3"/>
      <c r="W7" s="9" t="str">
        <f>IF(AND(ISNUMBER(T9),ISNUMBER(T10)),IF(T9&gt;T10,S9,IF(T10&gt;T9,S10,IF(NOT(AND(ISNUMBER(U9),ISNUMBER(U10))),"",IF(U9&gt;U10,S9,IF(U10&gt;U9,S10,IF(NOT(AND(ISNUMBER(V9),ISNUMBER(V10))),"",IF(V9&gt;V10,S9,IF(V10&gt;V9,S10,"")))))))),"W74")</f>
        <v>W74</v>
      </c>
      <c r="X7" s="10"/>
      <c r="Y7" s="10"/>
      <c r="Z7" s="10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BD7" t="s">
        <v>12</v>
      </c>
      <c r="BE7">
        <f t="array" ref="BE7">SUMPRODUCT((((E5:E10=BD7)+(H5:H10=BD7))&gt;0)*ISNUMBER(F5:F10)*ISNUMBER(G5:G10))</f>
        <v>1</v>
      </c>
      <c r="BF7">
        <f t="array" ref="BF7">SUMPRODUCT((E5:E10=BD7)*ISNUMBER(F5:F10)*ISNUMBER(G5:G10)*(F5:F10&gt;G5:G10))+SUMPRODUCT((H5:H10=BD7)*ISNUMBER(F5:F10)*ISNUMBER(G5:G10)*(G5:G10&gt;F5:F10))</f>
        <v>0</v>
      </c>
      <c r="BG7">
        <f t="array" ref="BG7">SUMPRODUCT((((E5:E10=BD7)+(H5:H10=BD7))&gt;0)*ISNUMBER(F5:F10)*ISNUMBER(G5:G10)*(F5:F10=G5:G10))</f>
        <v>0</v>
      </c>
      <c r="BH7">
        <f>BE7-BF7-BG7</f>
        <v>1</v>
      </c>
      <c r="BI7">
        <f t="array" ref="BI7">SUMPRODUCT((E5:E10=BD7)*IFERROR(F5:F10,0))+SUMPRODUCT((H5:H10=BD7)*IFERROR(G5:G10,0))</f>
        <v>0</v>
      </c>
      <c r="BJ7">
        <f t="array" ref="BJ7">SUMPRODUCT((E5:E10=BD7)*IFERROR(G5:G10,0))+SUMPRODUCT((H5:H10=BD7)*IFERROR(F5:F10,0))</f>
        <v>2</v>
      </c>
      <c r="BK7">
        <f>BF7*3+BG7</f>
        <v>0</v>
      </c>
      <c r="BL7">
        <f>1+SUMPRODUCT(((BK$6:BK$9&gt;BK7)+(BK$6:BK$9=BK7)*(BM$6:BM$9&gt;BM7)+(BK$6:BK$9=BK7)*(BM$6:BM$9=BM7)*(BN$6:BN$9&gt;BN7)+(BK$6:BK$9=BK7)*(BM$6:BM$9=BM7)*(BN$6:BN$9=BN7)*(BO$6:BO$9&gt;BO7)+(BK$6:BK$9=BK7)*(BM$6:BM$9=BM7)*(BN$6:BN$9=BN7)*(BO$6:BO$9=BO7)*((BI$6:BI$9-BJ$6:BJ$9)&gt;(BI7-BJ7))+(BK$6:BK$9=BK7)*(BM$6:BM$9=BM7)*(BN$6:BN$9=BN7)*(BO$6:BO$9=BO7)*((BI$6:BI$9-BJ$6:BJ$9)=(BI7-BJ7))*(BI$6:BI$9&gt;BI7)+(BK$6:BK$9=BK7)*(BM$6:BM$9=BM7)*(BN$6:BN$9=BN7)*(BO$6:BO$9=BO7)*((BI$6:BI$9-BJ$6:BJ$9)=(BI7-BJ7))*(BI$6:BI$9=BI7)*(ROW(BK$6:BK$9)&lt;ROW(BK7)))*1)</f>
        <v>4</v>
      </c>
      <c r="BM7">
        <f t="array" ref="BM7">SUMPRODUCT((E$5:E$10=BD7)*ISNUMBER(F$5:F$10)*ISNUMBER(G$5:G$10)*COUNTIFS(BD$6:BD$9,H$5:H$10,BK$6:BK$9,BK7)*((F$5:F$10&gt;G$5:G$10)*3+(F$5:F$10=G$5:G$10)))+SUMPRODUCT((H$5:H$10=BD7)*ISNUMBER(F$5:F$10)*ISNUMBER(G$5:G$10)*COUNTIFS(BD$6:BD$9,E$5:E$10,BK$6:BK$9,BK7)*((G$5:G$10&gt;F$5:F$10)*3+(F$5:F$10=G$5:G$10)))</f>
        <v>0</v>
      </c>
      <c r="BN7">
        <f t="array" ref="BN7">SUMPRODUCT((E$5:E$10=BD7)*ISNUMBER(F$5:F$10)*ISNUMBER(G$5:G$10)*COUNTIFS(BD$6:BD$9,H$5:H$10,BK$6:BK$9,BK7)*(F$5:F$10-G$5:G$10))+SUMPRODUCT((H$5:H$10=BD7)*ISNUMBER(F$5:F$10)*ISNUMBER(G$5:G$10)*COUNTIFS(BD$6:BD$9,E$5:E$10,BK$6:BK$9,BK7)*(G$5:G$10-F$5:F$10))</f>
        <v>0</v>
      </c>
      <c r="BO7">
        <f t="array" ref="BO7">SUMPRODUCT((E$5:E$10=BD7)*ISNUMBER(F$5:F$10)*ISNUMBER(G$5:G$10)*COUNTIFS(BD$6:BD$9,H$5:H$10,BK$6:BK$9,BK7)*F$5:F$10)+SUMPRODUCT((H$5:H$10=BD7)*ISNUMBER(F$5:F$10)*ISNUMBER(G$5:G$10)*COUNTIFS(BD$6:BD$9,E$5:E$10,BK$6:BK$9,BK7)*G$5:G$10)</f>
        <v>0</v>
      </c>
    </row>
    <row r="8" spans="1:67" ht="12.75" customHeight="1" x14ac:dyDescent="0.3">
      <c r="A8" s="11">
        <v>4</v>
      </c>
      <c r="B8" s="11" t="str">
        <f>TEXT((46191)+(12+4+GmtOffset)/24,"ddd")</f>
        <v>Thu</v>
      </c>
      <c r="C8" s="11" t="str">
        <f>TEXT((46191)+(12+4+GmtOffset)/24,"mmm d, yyyy")</f>
        <v>Jun 18, 2026</v>
      </c>
      <c r="D8" s="11" t="str">
        <f>TEXT((46191)+(12+4+GmtOffset)/24,"h:mm")</f>
        <v>18:00</v>
      </c>
      <c r="E8" s="12" t="s">
        <v>16</v>
      </c>
      <c r="F8" s="7"/>
      <c r="G8" s="7"/>
      <c r="H8" s="13" t="s">
        <v>12</v>
      </c>
      <c r="I8" s="11" t="s">
        <v>13</v>
      </c>
      <c r="J8" s="3"/>
      <c r="K8" s="13" t="str">
        <f>INDEX(BD6:BD9,MATCH(2,BL6:BL9,0))</f>
        <v>South Korea</v>
      </c>
      <c r="L8" s="11">
        <f>INDEX(BE6:BE9,MATCH(2,BL6:BL9,0))</f>
        <v>1</v>
      </c>
      <c r="M8" s="11">
        <f>INDEX(BF6:BF9,MATCH(2,BL6:BL9,0))</f>
        <v>1</v>
      </c>
      <c r="N8" s="11">
        <f>INDEX(BG6:BG9,MATCH(2,BL6:BL9,0))</f>
        <v>0</v>
      </c>
      <c r="O8" s="11">
        <f>INDEX(BH6:BH9,MATCH(2,BL6:BL9,0))</f>
        <v>0</v>
      </c>
      <c r="P8" s="11" t="str">
        <f>INDEX(BI6:BI9,MATCH(2,BL6:BL9,0))&amp;" - "&amp;INDEX(BJ6:BJ9,MATCH(2,BL6:BL9,0))</f>
        <v>2 - 1</v>
      </c>
      <c r="Q8" s="14">
        <f>INDEX(BK6:BK9,MATCH(2,BL6:BL9,0))</f>
        <v>3</v>
      </c>
      <c r="S8" s="3"/>
      <c r="T8" s="3"/>
      <c r="U8" s="3"/>
      <c r="V8" s="3"/>
      <c r="W8" s="15" t="str">
        <f>IF(AND(ISNUMBER(T21),ISNUMBER(T22)),IF(T21&gt;T22,S21,IF(T22&gt;T21,S22,IF(NOT(AND(ISNUMBER(U21),ISNUMBER(U22))),"",IF(U21&gt;U22,S21,IF(U22&gt;U21,S22,IF(NOT(AND(ISNUMBER(V21),ISNUMBER(V22))),"",IF(V21&gt;V22,S21,IF(V22&gt;V21,S22,"")))))))),"W77")</f>
        <v>W77</v>
      </c>
      <c r="X8" s="16"/>
      <c r="Y8" s="16"/>
      <c r="Z8" s="16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BD8" t="s">
        <v>15</v>
      </c>
      <c r="BE8">
        <f t="array" ref="BE8">SUMPRODUCT((((E5:E10=BD8)+(H5:H10=BD8))&gt;0)*ISNUMBER(F5:F10)*ISNUMBER(G5:G10))</f>
        <v>1</v>
      </c>
      <c r="BF8">
        <f t="array" ref="BF8">SUMPRODUCT((E5:E10=BD8)*ISNUMBER(F5:F10)*ISNUMBER(G5:G10)*(F5:F10&gt;G5:G10))+SUMPRODUCT((H5:H10=BD8)*ISNUMBER(F5:F10)*ISNUMBER(G5:G10)*(G5:G10&gt;F5:F10))</f>
        <v>1</v>
      </c>
      <c r="BG8">
        <f t="array" ref="BG8">SUMPRODUCT((((E5:E10=BD8)+(H5:H10=BD8))&gt;0)*ISNUMBER(F5:F10)*ISNUMBER(G5:G10)*(F5:F10=G5:G10))</f>
        <v>0</v>
      </c>
      <c r="BH8">
        <f>BE8-BF8-BG8</f>
        <v>0</v>
      </c>
      <c r="BI8">
        <f t="array" ref="BI8">SUMPRODUCT((E5:E10=BD8)*IFERROR(F5:F10,0))+SUMPRODUCT((H5:H10=BD8)*IFERROR(G5:G10,0))</f>
        <v>2</v>
      </c>
      <c r="BJ8">
        <f t="array" ref="BJ8">SUMPRODUCT((E5:E10=BD8)*IFERROR(G5:G10,0))+SUMPRODUCT((H5:H10=BD8)*IFERROR(F5:F10,0))</f>
        <v>1</v>
      </c>
      <c r="BK8">
        <f>BF8*3+BG8</f>
        <v>3</v>
      </c>
      <c r="BL8">
        <f>1+SUMPRODUCT(((BK$6:BK$9&gt;BK8)+(BK$6:BK$9=BK8)*(BM$6:BM$9&gt;BM8)+(BK$6:BK$9=BK8)*(BM$6:BM$9=BM8)*(BN$6:BN$9&gt;BN8)+(BK$6:BK$9=BK8)*(BM$6:BM$9=BM8)*(BN$6:BN$9=BN8)*(BO$6:BO$9&gt;BO8)+(BK$6:BK$9=BK8)*(BM$6:BM$9=BM8)*(BN$6:BN$9=BN8)*(BO$6:BO$9=BO8)*((BI$6:BI$9-BJ$6:BJ$9)&gt;(BI8-BJ8))+(BK$6:BK$9=BK8)*(BM$6:BM$9=BM8)*(BN$6:BN$9=BN8)*(BO$6:BO$9=BO8)*((BI$6:BI$9-BJ$6:BJ$9)=(BI8-BJ8))*(BI$6:BI$9&gt;BI8)+(BK$6:BK$9=BK8)*(BM$6:BM$9=BM8)*(BN$6:BN$9=BN8)*(BO$6:BO$9=BO8)*((BI$6:BI$9-BJ$6:BJ$9)=(BI8-BJ8))*(BI$6:BI$9=BI8)*(ROW(BK$6:BK$9)&lt;ROW(BK8)))*1)</f>
        <v>2</v>
      </c>
      <c r="BM8">
        <f t="array" ref="BM8">SUMPRODUCT((E$5:E$10=BD8)*ISNUMBER(F$5:F$10)*ISNUMBER(G$5:G$10)*COUNTIFS(BD$6:BD$9,H$5:H$10,BK$6:BK$9,BK8)*((F$5:F$10&gt;G$5:G$10)*3+(F$5:F$10=G$5:G$10)))+SUMPRODUCT((H$5:H$10=BD8)*ISNUMBER(F$5:F$10)*ISNUMBER(G$5:G$10)*COUNTIFS(BD$6:BD$9,E$5:E$10,BK$6:BK$9,BK8)*((G$5:G$10&gt;F$5:F$10)*3+(F$5:F$10=G$5:G$10)))</f>
        <v>0</v>
      </c>
      <c r="BN8">
        <f t="array" ref="BN8">SUMPRODUCT((E$5:E$10=BD8)*ISNUMBER(F$5:F$10)*ISNUMBER(G$5:G$10)*COUNTIFS(BD$6:BD$9,H$5:H$10,BK$6:BK$9,BK8)*(F$5:F$10-G$5:G$10))+SUMPRODUCT((H$5:H$10=BD8)*ISNUMBER(F$5:F$10)*ISNUMBER(G$5:G$10)*COUNTIFS(BD$6:BD$9,E$5:E$10,BK$6:BK$9,BK8)*(G$5:G$10-F$5:F$10))</f>
        <v>0</v>
      </c>
      <c r="BO8">
        <f t="array" ref="BO8">SUMPRODUCT((E$5:E$10=BD8)*ISNUMBER(F$5:F$10)*ISNUMBER(G$5:G$10)*COUNTIFS(BD$6:BD$9,H$5:H$10,BK$6:BK$9,BK8)*F$5:F$10)+SUMPRODUCT((H$5:H$10=BD8)*ISNUMBER(F$5:F$10)*ISNUMBER(G$5:G$10)*COUNTIFS(BD$6:BD$9,E$5:E$10,BK$6:BK$9,BK8)*G$5:G$10)</f>
        <v>0</v>
      </c>
    </row>
    <row r="9" spans="1:67" ht="12.75" customHeight="1" x14ac:dyDescent="0.3">
      <c r="A9" s="11">
        <v>5</v>
      </c>
      <c r="B9" s="11" t="str">
        <f>TEXT((46197)+(21+4+GmtOffset)/24,"ddd")</f>
        <v>Thu</v>
      </c>
      <c r="C9" s="11" t="str">
        <f>TEXT((46197)+(21+4+GmtOffset)/24,"mmm d, yyyy")</f>
        <v>Jun 25, 2026</v>
      </c>
      <c r="D9" s="11" t="str">
        <f>TEXT((46197)+(21+4+GmtOffset)/24,"h:mm")</f>
        <v>3:00</v>
      </c>
      <c r="E9" s="12" t="s">
        <v>16</v>
      </c>
      <c r="F9" s="7"/>
      <c r="G9" s="7"/>
      <c r="H9" s="13" t="s">
        <v>11</v>
      </c>
      <c r="I9" s="11" t="s">
        <v>13</v>
      </c>
      <c r="J9" s="3"/>
      <c r="K9" s="13" t="str">
        <f>INDEX(BD6:BD9,MATCH(3,BL6:BL9,0))</f>
        <v>Czechia</v>
      </c>
      <c r="L9" s="11">
        <f>INDEX(BE6:BE9,MATCH(3,BL6:BL9,0))</f>
        <v>1</v>
      </c>
      <c r="M9" s="11">
        <f>INDEX(BF6:BF9,MATCH(3,BL6:BL9,0))</f>
        <v>0</v>
      </c>
      <c r="N9" s="11">
        <f>INDEX(BG6:BG9,MATCH(3,BL6:BL9,0))</f>
        <v>0</v>
      </c>
      <c r="O9" s="11">
        <f>INDEX(BH6:BH9,MATCH(3,BL6:BL9,0))</f>
        <v>1</v>
      </c>
      <c r="P9" s="11" t="str">
        <f>INDEX(BI6:BI9,MATCH(3,BL6:BL9,0))&amp;" - "&amp;INDEX(BJ6:BJ9,MATCH(3,BL6:BL9,0))</f>
        <v>1 - 2</v>
      </c>
      <c r="Q9" s="14">
        <f>INDEX(BK6:BK9,MATCH(3,BL6:BL9,0))</f>
        <v>0</v>
      </c>
      <c r="S9" s="9" t="str">
        <f>IF((COUNTIF($F$5:$G$76,"&gt;=0")=144),IFERROR(INDEX($AO$81:$AO$92,5),"Winner E"),"Winner E")</f>
        <v>Winner E</v>
      </c>
      <c r="T9" s="10"/>
      <c r="U9" s="10"/>
      <c r="V9" s="10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BD9" t="s">
        <v>16</v>
      </c>
      <c r="BE9">
        <f t="array" ref="BE9">SUMPRODUCT((((E5:E10=BD9)+(H5:H10=BD9))&gt;0)*ISNUMBER(F5:F10)*ISNUMBER(G5:G10))</f>
        <v>1</v>
      </c>
      <c r="BF9">
        <f t="array" ref="BF9">SUMPRODUCT((E5:E10=BD9)*ISNUMBER(F5:F10)*ISNUMBER(G5:G10)*(F5:F10&gt;G5:G10))+SUMPRODUCT((H5:H10=BD9)*ISNUMBER(F5:F10)*ISNUMBER(G5:G10)*(G5:G10&gt;F5:F10))</f>
        <v>0</v>
      </c>
      <c r="BG9">
        <f t="array" ref="BG9">SUMPRODUCT((((E5:E10=BD9)+(H5:H10=BD9))&gt;0)*ISNUMBER(F5:F10)*ISNUMBER(G5:G10)*(F5:F10=G5:G10))</f>
        <v>0</v>
      </c>
      <c r="BH9">
        <f>BE9-BF9-BG9</f>
        <v>1</v>
      </c>
      <c r="BI9">
        <f t="array" ref="BI9">SUMPRODUCT((E5:E10=BD9)*IFERROR(F5:F10,0))+SUMPRODUCT((H5:H10=BD9)*IFERROR(G5:G10,0))</f>
        <v>1</v>
      </c>
      <c r="BJ9">
        <f t="array" ref="BJ9">SUMPRODUCT((E5:E10=BD9)*IFERROR(G5:G10,0))+SUMPRODUCT((H5:H10=BD9)*IFERROR(F5:F10,0))</f>
        <v>2</v>
      </c>
      <c r="BK9">
        <f>BF9*3+BG9</f>
        <v>0</v>
      </c>
      <c r="BL9">
        <f>1+SUMPRODUCT(((BK$6:BK$9&gt;BK9)+(BK$6:BK$9=BK9)*(BM$6:BM$9&gt;BM9)+(BK$6:BK$9=BK9)*(BM$6:BM$9=BM9)*(BN$6:BN$9&gt;BN9)+(BK$6:BK$9=BK9)*(BM$6:BM$9=BM9)*(BN$6:BN$9=BN9)*(BO$6:BO$9&gt;BO9)+(BK$6:BK$9=BK9)*(BM$6:BM$9=BM9)*(BN$6:BN$9=BN9)*(BO$6:BO$9=BO9)*((BI$6:BI$9-BJ$6:BJ$9)&gt;(BI9-BJ9))+(BK$6:BK$9=BK9)*(BM$6:BM$9=BM9)*(BN$6:BN$9=BN9)*(BO$6:BO$9=BO9)*((BI$6:BI$9-BJ$6:BJ$9)=(BI9-BJ9))*(BI$6:BI$9&gt;BI9)+(BK$6:BK$9=BK9)*(BM$6:BM$9=BM9)*(BN$6:BN$9=BN9)*(BO$6:BO$9=BO9)*((BI$6:BI$9-BJ$6:BJ$9)=(BI9-BJ9))*(BI$6:BI$9=BI9)*(ROW(BK$6:BK$9)&lt;ROW(BK9)))*1)</f>
        <v>3</v>
      </c>
      <c r="BM9">
        <f t="array" ref="BM9">SUMPRODUCT((E$5:E$10=BD9)*ISNUMBER(F$5:F$10)*ISNUMBER(G$5:G$10)*COUNTIFS(BD$6:BD$9,H$5:H$10,BK$6:BK$9,BK9)*((F$5:F$10&gt;G$5:G$10)*3+(F$5:F$10=G$5:G$10)))+SUMPRODUCT((H$5:H$10=BD9)*ISNUMBER(F$5:F$10)*ISNUMBER(G$5:G$10)*COUNTIFS(BD$6:BD$9,E$5:E$10,BK$6:BK$9,BK9)*((G$5:G$10&gt;F$5:F$10)*3+(F$5:F$10=G$5:G$10)))</f>
        <v>0</v>
      </c>
      <c r="BN9">
        <f t="array" ref="BN9">SUMPRODUCT((E$5:E$10=BD9)*ISNUMBER(F$5:F$10)*ISNUMBER(G$5:G$10)*COUNTIFS(BD$6:BD$9,H$5:H$10,BK$6:BK$9,BK9)*(F$5:F$10-G$5:G$10))+SUMPRODUCT((H$5:H$10=BD9)*ISNUMBER(F$5:F$10)*ISNUMBER(G$5:G$10)*COUNTIFS(BD$6:BD$9,E$5:E$10,BK$6:BK$9,BK9)*(G$5:G$10-F$5:F$10))</f>
        <v>0</v>
      </c>
      <c r="BO9">
        <f t="array" ref="BO9">SUMPRODUCT((E$5:E$10=BD9)*ISNUMBER(F$5:F$10)*ISNUMBER(G$5:G$10)*COUNTIFS(BD$6:BD$9,H$5:H$10,BK$6:BK$9,BK9)*F$5:F$10)+SUMPRODUCT((H$5:H$10=BD9)*ISNUMBER(F$5:F$10)*ISNUMBER(G$5:G$10)*COUNTIFS(BD$6:BD$9,E$5:E$10,BK$6:BK$9,BK9)*G$5:G$10)</f>
        <v>0</v>
      </c>
    </row>
    <row r="10" spans="1:67" ht="12.75" customHeight="1" x14ac:dyDescent="0.3">
      <c r="A10" s="11">
        <v>6</v>
      </c>
      <c r="B10" s="11" t="str">
        <f>TEXT((46197)+(21+4+GmtOffset)/24,"ddd")</f>
        <v>Thu</v>
      </c>
      <c r="C10" s="11" t="str">
        <f>TEXT((46197)+(21+4+GmtOffset)/24,"mmm d, yyyy")</f>
        <v>Jun 25, 2026</v>
      </c>
      <c r="D10" s="11" t="str">
        <f>TEXT((46197)+(21+4+GmtOffset)/24,"h:mm")</f>
        <v>3:00</v>
      </c>
      <c r="E10" s="12" t="s">
        <v>12</v>
      </c>
      <c r="F10" s="7"/>
      <c r="G10" s="7"/>
      <c r="H10" s="13" t="s">
        <v>15</v>
      </c>
      <c r="I10" s="11" t="s">
        <v>13</v>
      </c>
      <c r="J10" s="3"/>
      <c r="K10" s="17" t="str">
        <f>INDEX(BD6:BD9,MATCH(4,BL6:BL9,0))</f>
        <v>South Africa</v>
      </c>
      <c r="L10" s="18">
        <f>INDEX(BE6:BE9,MATCH(4,BL6:BL9,0))</f>
        <v>1</v>
      </c>
      <c r="M10" s="18">
        <f>INDEX(BF6:BF9,MATCH(4,BL6:BL9,0))</f>
        <v>0</v>
      </c>
      <c r="N10" s="18">
        <f>INDEX(BG6:BG9,MATCH(4,BL6:BL9,0))</f>
        <v>0</v>
      </c>
      <c r="O10" s="18">
        <f>INDEX(BH6:BH9,MATCH(4,BL6:BL9,0))</f>
        <v>1</v>
      </c>
      <c r="P10" s="18" t="str">
        <f>INDEX(BI6:BI9,MATCH(4,BL6:BL9,0))&amp;" - "&amp;INDEX(BJ6:BJ9,MATCH(4,BL6:BL9,0))</f>
        <v>0 - 2</v>
      </c>
      <c r="Q10" s="19">
        <f>INDEX(BK6:BK9,MATCH(4,BL6:BL9,0))</f>
        <v>0</v>
      </c>
      <c r="S10" s="15" t="str">
        <f>IF((COUNTIF($F$5:$G$76,"&gt;=0")=144),IFERROR(INDEX($AQ$81:$AQ$92,MATCH($BM$81,$AN$81:$AN$92,0)),"Best 3rd A/B/C/D/F"),"Best 3rd A/B/C/D/F")</f>
        <v>Best 3rd A/B/C/D/F</v>
      </c>
      <c r="T10" s="16"/>
      <c r="U10" s="16"/>
      <c r="V10" s="16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67" ht="12.75" customHeight="1" x14ac:dyDescent="0.3">
      <c r="A11" s="11">
        <v>7</v>
      </c>
      <c r="B11" s="11" t="str">
        <f>TEXT((46185)+(15+4+GmtOffset)/24,"ddd")</f>
        <v>Fri</v>
      </c>
      <c r="C11" s="11" t="str">
        <f>TEXT((46185)+(15+4+GmtOffset)/24,"mmm d, yyyy")</f>
        <v>Jun 12, 2026</v>
      </c>
      <c r="D11" s="11" t="str">
        <f>TEXT((46185)+(15+4+GmtOffset)/24,"h:mm")</f>
        <v>21:00</v>
      </c>
      <c r="E11" s="12" t="s">
        <v>23</v>
      </c>
      <c r="F11" s="7">
        <v>1</v>
      </c>
      <c r="G11" s="7">
        <v>1</v>
      </c>
      <c r="H11" s="13" t="s">
        <v>24</v>
      </c>
      <c r="I11" s="11" t="s">
        <v>25</v>
      </c>
      <c r="J11" s="3"/>
      <c r="K11" s="1" t="s">
        <v>26</v>
      </c>
      <c r="L11" s="20"/>
      <c r="M11" s="20"/>
      <c r="N11" s="20"/>
      <c r="O11" s="20"/>
      <c r="P11" s="20"/>
      <c r="Q11" s="20"/>
      <c r="S11" s="3"/>
      <c r="T11" s="3"/>
      <c r="U11" s="3"/>
      <c r="V11" s="3"/>
      <c r="W11" s="3"/>
      <c r="X11" s="3"/>
      <c r="Y11" s="3"/>
      <c r="Z11" s="3"/>
      <c r="AA11" s="9" t="str">
        <f>IF(AND(ISNUMBER(X7),ISNUMBER(X8)),IF(X7&gt;X8,W7,IF(X8&gt;X7,W8,IF(NOT(AND(ISNUMBER(Y7),ISNUMBER(Y8))),"",IF(Y7&gt;Y8,W7,IF(Y8&gt;Y7,W8,IF(NOT(AND(ISNUMBER(Z7),ISNUMBER(Z8))),"",IF(Z7&gt;Z8,W7,IF(Z8&gt;Z7,W8,"")))))))),"W89")</f>
        <v>W89</v>
      </c>
      <c r="AB11" s="10"/>
      <c r="AC11" s="10"/>
      <c r="AD11" s="10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67" ht="12.75" customHeight="1" x14ac:dyDescent="0.3">
      <c r="A12" s="11">
        <v>8</v>
      </c>
      <c r="B12" s="11" t="str">
        <f>TEXT((46186)+(15+4+GmtOffset)/24,"ddd")</f>
        <v>Sat</v>
      </c>
      <c r="C12" s="11" t="str">
        <f>TEXT((46186)+(15+4+GmtOffset)/24,"mmm d, yyyy")</f>
        <v>Jun 13, 2026</v>
      </c>
      <c r="D12" s="11" t="str">
        <f>TEXT((46186)+(15+4+GmtOffset)/24,"h:mm")</f>
        <v>21:00</v>
      </c>
      <c r="E12" s="12" t="s">
        <v>27</v>
      </c>
      <c r="F12" s="7"/>
      <c r="G12" s="7"/>
      <c r="H12" s="13" t="s">
        <v>28</v>
      </c>
      <c r="I12" s="11" t="s">
        <v>25</v>
      </c>
      <c r="J12" s="3"/>
      <c r="K12" s="14"/>
      <c r="L12" s="14" t="s">
        <v>17</v>
      </c>
      <c r="M12" s="14" t="s">
        <v>18</v>
      </c>
      <c r="N12" s="14" t="s">
        <v>19</v>
      </c>
      <c r="O12" s="14" t="s">
        <v>20</v>
      </c>
      <c r="P12" s="14" t="s">
        <v>21</v>
      </c>
      <c r="Q12" s="14" t="s">
        <v>22</v>
      </c>
      <c r="S12" s="3"/>
      <c r="T12" s="3"/>
      <c r="U12" s="3"/>
      <c r="V12" s="3"/>
      <c r="W12" s="3"/>
      <c r="X12" s="3"/>
      <c r="Y12" s="3"/>
      <c r="Z12" s="3"/>
      <c r="AA12" s="15" t="str">
        <f>IF(AND(ISNUMBER(X15),ISNUMBER(X16)),IF(X15&gt;X16,W15,IF(X16&gt;X15,W16,IF(NOT(AND(ISNUMBER(Y15),ISNUMBER(Y16))),"",IF(Y15&gt;Y16,W15,IF(Y16&gt;Y15,W16,IF(NOT(AND(ISNUMBER(Z15),ISNUMBER(Z16))),"",IF(Z15&gt;Z16,W15,IF(Z16&gt;Z15,W16,"")))))))),"W90")</f>
        <v>W90</v>
      </c>
      <c r="AB12" s="16"/>
      <c r="AC12" s="16"/>
      <c r="AD12" s="16"/>
      <c r="AE12" s="3"/>
      <c r="AF12" s="3"/>
      <c r="AG12" s="3"/>
      <c r="AH12" s="3"/>
      <c r="AI12" s="3"/>
      <c r="AJ12" s="3"/>
      <c r="AK12" s="3"/>
      <c r="AL12" s="3"/>
      <c r="AM12" s="3"/>
      <c r="AN12" s="3"/>
      <c r="BD12" t="s">
        <v>23</v>
      </c>
      <c r="BE12">
        <f t="array" ref="BE12">SUMPRODUCT((((E11:E16=BD12)+(H11:H16=BD12))&gt;0)*ISNUMBER(F11:F16)*ISNUMBER(G11:G16))</f>
        <v>1</v>
      </c>
      <c r="BF12">
        <f t="array" ref="BF12">SUMPRODUCT((E11:E16=BD12)*ISNUMBER(F11:F16)*ISNUMBER(G11:G16)*(F11:F16&gt;G11:G16))+SUMPRODUCT((H11:H16=BD12)*ISNUMBER(F11:F16)*ISNUMBER(G11:G16)*(G11:G16&gt;F11:F16))</f>
        <v>0</v>
      </c>
      <c r="BG12">
        <f t="array" ref="BG12">SUMPRODUCT((((E11:E16=BD12)+(H11:H16=BD12))&gt;0)*ISNUMBER(F11:F16)*ISNUMBER(G11:G16)*(F11:F16=G11:G16))</f>
        <v>1</v>
      </c>
      <c r="BH12">
        <f>BE12-BF12-BG12</f>
        <v>0</v>
      </c>
      <c r="BI12">
        <f t="array" ref="BI12">SUMPRODUCT((E11:E16=BD12)*IFERROR(F11:F16,0))+SUMPRODUCT((H11:H16=BD12)*IFERROR(G11:G16,0))</f>
        <v>1</v>
      </c>
      <c r="BJ12">
        <f t="array" ref="BJ12">SUMPRODUCT((E11:E16=BD12)*IFERROR(G11:G16,0))+SUMPRODUCT((H11:H16=BD12)*IFERROR(F11:F16,0))</f>
        <v>1</v>
      </c>
      <c r="BK12">
        <f>BF12*3+BG12</f>
        <v>1</v>
      </c>
      <c r="BL12">
        <f>1+SUMPRODUCT(((BK$12:BK$15&gt;BK12)+(BK$12:BK$15=BK12)*(BM$12:BM$15&gt;BM12)+(BK$12:BK$15=BK12)*(BM$12:BM$15=BM12)*(BN$12:BN$15&gt;BN12)+(BK$12:BK$15=BK12)*(BM$12:BM$15=BM12)*(BN$12:BN$15=BN12)*(BO$12:BO$15&gt;BO12)+(BK$12:BK$15=BK12)*(BM$12:BM$15=BM12)*(BN$12:BN$15=BN12)*(BO$12:BO$15=BO12)*((BI$12:BI$15-BJ$12:BJ$15)&gt;(BI12-BJ12))+(BK$12:BK$15=BK12)*(BM$12:BM$15=BM12)*(BN$12:BN$15=BN12)*(BO$12:BO$15=BO12)*((BI$12:BI$15-BJ$12:BJ$15)=(BI12-BJ12))*(BI$12:BI$15&gt;BI12)+(BK$12:BK$15=BK12)*(BM$12:BM$15=BM12)*(BN$12:BN$15=BN12)*(BO$12:BO$15=BO12)*((BI$12:BI$15-BJ$12:BJ$15)=(BI12-BJ12))*(BI$12:BI$15=BI12)*(ROW(BK$12:BK$15)&lt;ROW(BK12)))*1)</f>
        <v>1</v>
      </c>
      <c r="BM12">
        <f t="array" ref="BM12">SUMPRODUCT((E$11:E$16=BD12)*ISNUMBER(F$11:F$16)*ISNUMBER(G$11:G$16)*COUNTIFS(BD$12:BD$15,H$11:H$16,BK$12:BK$15,BK12)*((F$11:F$16&gt;G$11:G$16)*3+(F$11:F$16=G$11:G$16)))+SUMPRODUCT((H$11:H$16=BD12)*ISNUMBER(F$11:F$16)*ISNUMBER(G$11:G$16)*COUNTIFS(BD$12:BD$15,E$11:E$16,BK$12:BK$15,BK12)*((G$11:G$16&gt;F$11:F$16)*3+(F$11:F$16=G$11:G$16)))</f>
        <v>1</v>
      </c>
      <c r="BN12">
        <f t="array" ref="BN12">SUMPRODUCT((E$11:E$16=BD12)*ISNUMBER(F$11:F$16)*ISNUMBER(G$11:G$16)*COUNTIFS(BD$12:BD$15,H$11:H$16,BK$12:BK$15,BK12)*(F$11:F$16-G$11:G$16))+SUMPRODUCT((H$11:H$16=BD12)*ISNUMBER(F$11:F$16)*ISNUMBER(G$11:G$16)*COUNTIFS(BD$12:BD$15,E$11:E$16,BK$12:BK$15,BK12)*(G$11:G$16-F$11:F$16))</f>
        <v>0</v>
      </c>
      <c r="BO12">
        <f t="array" ref="BO12">SUMPRODUCT((E$11:E$16=BD12)*ISNUMBER(F$11:F$16)*ISNUMBER(G$11:G$16)*COUNTIFS(BD$12:BD$15,H$11:H$16,BK$12:BK$15,BK12)*F$11:F$16)+SUMPRODUCT((H$11:H$16=BD12)*ISNUMBER(F$11:F$16)*ISNUMBER(G$11:G$16)*COUNTIFS(BD$12:BD$15,E$11:E$16,BK$12:BK$15,BK12)*G$11:G$16)</f>
        <v>1</v>
      </c>
    </row>
    <row r="13" spans="1:67" ht="12.75" customHeight="1" x14ac:dyDescent="0.3">
      <c r="A13" s="11">
        <v>9</v>
      </c>
      <c r="B13" s="11" t="str">
        <f>TEXT((46191)+(18+4+GmtOffset)/24,"ddd")</f>
        <v>Fri</v>
      </c>
      <c r="C13" s="11" t="str">
        <f>TEXT((46191)+(18+4+GmtOffset)/24,"mmm d, yyyy")</f>
        <v>Jun 19, 2026</v>
      </c>
      <c r="D13" s="11" t="str">
        <f>TEXT((46191)+(18+4+GmtOffset)/24,"h:mm")</f>
        <v>0:00</v>
      </c>
      <c r="E13" s="12" t="s">
        <v>23</v>
      </c>
      <c r="F13" s="7"/>
      <c r="G13" s="7"/>
      <c r="H13" s="13" t="s">
        <v>27</v>
      </c>
      <c r="I13" s="11" t="s">
        <v>25</v>
      </c>
      <c r="J13" s="3"/>
      <c r="K13" s="13" t="str">
        <f>INDEX(BD12:BD15,MATCH(1,BL12:BL15,0))</f>
        <v>Canada</v>
      </c>
      <c r="L13" s="11">
        <f>INDEX(BE12:BE15,MATCH(1,BL12:BL15,0))</f>
        <v>1</v>
      </c>
      <c r="M13" s="11">
        <f>INDEX(BF12:BF15,MATCH(1,BL12:BL15,0))</f>
        <v>0</v>
      </c>
      <c r="N13" s="11">
        <f>INDEX(BG12:BG15,MATCH(1,BL12:BL15,0))</f>
        <v>1</v>
      </c>
      <c r="O13" s="11">
        <f>INDEX(BH12:BH15,MATCH(1,BL12:BL15,0))</f>
        <v>0</v>
      </c>
      <c r="P13" s="11" t="str">
        <f>INDEX(BI12:BI15,MATCH(1,BL12:BL15,0))&amp;" - "&amp;INDEX(BJ12:BJ15,MATCH(1,BL12:BL15,0))</f>
        <v>1 - 1</v>
      </c>
      <c r="Q13" s="14">
        <f>INDEX(BK12:BK15,MATCH(1,BL12:BL15,0))</f>
        <v>1</v>
      </c>
      <c r="S13" s="9" t="str">
        <f>IF((COUNTIF($F$5:$G$76,"&gt;=0")=144),IFERROR(INDEX($AO$81:$AO$92,6),"Winner F"),"Winner F")</f>
        <v>Winner F</v>
      </c>
      <c r="T13" s="10"/>
      <c r="U13" s="10"/>
      <c r="V13" s="10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BD13" t="s">
        <v>24</v>
      </c>
      <c r="BE13">
        <f t="array" ref="BE13">SUMPRODUCT((((E11:E16=BD13)+(H11:H16=BD13))&gt;0)*ISNUMBER(F11:F16)*ISNUMBER(G11:G16))</f>
        <v>1</v>
      </c>
      <c r="BF13">
        <f t="array" ref="BF13">SUMPRODUCT((E11:E16=BD13)*ISNUMBER(F11:F16)*ISNUMBER(G11:G16)*(F11:F16&gt;G11:G16))+SUMPRODUCT((H11:H16=BD13)*ISNUMBER(F11:F16)*ISNUMBER(G11:G16)*(G11:G16&gt;F11:F16))</f>
        <v>0</v>
      </c>
      <c r="BG13">
        <f t="array" ref="BG13">SUMPRODUCT((((E11:E16=BD13)+(H11:H16=BD13))&gt;0)*ISNUMBER(F11:F16)*ISNUMBER(G11:G16)*(F11:F16=G11:G16))</f>
        <v>1</v>
      </c>
      <c r="BH13">
        <f>BE13-BF13-BG13</f>
        <v>0</v>
      </c>
      <c r="BI13">
        <f t="array" ref="BI13">SUMPRODUCT((E11:E16=BD13)*IFERROR(F11:F16,0))+SUMPRODUCT((H11:H16=BD13)*IFERROR(G11:G16,0))</f>
        <v>1</v>
      </c>
      <c r="BJ13">
        <f t="array" ref="BJ13">SUMPRODUCT((E11:E16=BD13)*IFERROR(G11:G16,0))+SUMPRODUCT((H11:H16=BD13)*IFERROR(F11:F16,0))</f>
        <v>1</v>
      </c>
      <c r="BK13">
        <f>BF13*3+BG13</f>
        <v>1</v>
      </c>
      <c r="BL13">
        <f>1+SUMPRODUCT(((BK$12:BK$15&gt;BK13)+(BK$12:BK$15=BK13)*(BM$12:BM$15&gt;BM13)+(BK$12:BK$15=BK13)*(BM$12:BM$15=BM13)*(BN$12:BN$15&gt;BN13)+(BK$12:BK$15=BK13)*(BM$12:BM$15=BM13)*(BN$12:BN$15=BN13)*(BO$12:BO$15&gt;BO13)+(BK$12:BK$15=BK13)*(BM$12:BM$15=BM13)*(BN$12:BN$15=BN13)*(BO$12:BO$15=BO13)*((BI$12:BI$15-BJ$12:BJ$15)&gt;(BI13-BJ13))+(BK$12:BK$15=BK13)*(BM$12:BM$15=BM13)*(BN$12:BN$15=BN13)*(BO$12:BO$15=BO13)*((BI$12:BI$15-BJ$12:BJ$15)=(BI13-BJ13))*(BI$12:BI$15&gt;BI13)+(BK$12:BK$15=BK13)*(BM$12:BM$15=BM13)*(BN$12:BN$15=BN13)*(BO$12:BO$15=BO13)*((BI$12:BI$15-BJ$12:BJ$15)=(BI13-BJ13))*(BI$12:BI$15=BI13)*(ROW(BK$12:BK$15)&lt;ROW(BK13)))*1)</f>
        <v>2</v>
      </c>
      <c r="BM13">
        <f t="array" ref="BM13">SUMPRODUCT((E$11:E$16=BD13)*ISNUMBER(F$11:F$16)*ISNUMBER(G$11:G$16)*COUNTIFS(BD$12:BD$15,H$11:H$16,BK$12:BK$15,BK13)*((F$11:F$16&gt;G$11:G$16)*3+(F$11:F$16=G$11:G$16)))+SUMPRODUCT((H$11:H$16=BD13)*ISNUMBER(F$11:F$16)*ISNUMBER(G$11:G$16)*COUNTIFS(BD$12:BD$15,E$11:E$16,BK$12:BK$15,BK13)*((G$11:G$16&gt;F$11:F$16)*3+(F$11:F$16=G$11:G$16)))</f>
        <v>1</v>
      </c>
      <c r="BN13">
        <f t="array" ref="BN13">SUMPRODUCT((E$11:E$16=BD13)*ISNUMBER(F$11:F$16)*ISNUMBER(G$11:G$16)*COUNTIFS(BD$12:BD$15,H$11:H$16,BK$12:BK$15,BK13)*(F$11:F$16-G$11:G$16))+SUMPRODUCT((H$11:H$16=BD13)*ISNUMBER(F$11:F$16)*ISNUMBER(G$11:G$16)*COUNTIFS(BD$12:BD$15,E$11:E$16,BK$12:BK$15,BK13)*(G$11:G$16-F$11:F$16))</f>
        <v>0</v>
      </c>
      <c r="BO13">
        <f t="array" ref="BO13">SUMPRODUCT((E$11:E$16=BD13)*ISNUMBER(F$11:F$16)*ISNUMBER(G$11:G$16)*COUNTIFS(BD$12:BD$15,H$11:H$16,BK$12:BK$15,BK13)*F$11:F$16)+SUMPRODUCT((H$11:H$16=BD13)*ISNUMBER(F$11:F$16)*ISNUMBER(G$11:G$16)*COUNTIFS(BD$12:BD$15,E$11:E$16,BK$12:BK$15,BK13)*G$11:G$16)</f>
        <v>1</v>
      </c>
    </row>
    <row r="14" spans="1:67" ht="12.75" customHeight="1" x14ac:dyDescent="0.3">
      <c r="A14" s="11">
        <v>10</v>
      </c>
      <c r="B14" s="11" t="str">
        <f>TEXT((46191)+(15+4+GmtOffset)/24,"ddd")</f>
        <v>Thu</v>
      </c>
      <c r="C14" s="11" t="str">
        <f>TEXT((46191)+(15+4+GmtOffset)/24,"mmm d, yyyy")</f>
        <v>Jun 18, 2026</v>
      </c>
      <c r="D14" s="11" t="str">
        <f>TEXT((46191)+(15+4+GmtOffset)/24,"h:mm")</f>
        <v>21:00</v>
      </c>
      <c r="E14" s="12" t="s">
        <v>28</v>
      </c>
      <c r="F14" s="7"/>
      <c r="G14" s="7"/>
      <c r="H14" s="13" t="s">
        <v>24</v>
      </c>
      <c r="I14" s="11" t="s">
        <v>25</v>
      </c>
      <c r="J14" s="3"/>
      <c r="K14" s="13" t="str">
        <f>INDEX(BD12:BD15,MATCH(2,BL12:BL15,0))</f>
        <v>Bosnia &amp; Herzegovina</v>
      </c>
      <c r="L14" s="11">
        <f>INDEX(BE12:BE15,MATCH(2,BL12:BL15,0))</f>
        <v>1</v>
      </c>
      <c r="M14" s="11">
        <f>INDEX(BF12:BF15,MATCH(2,BL12:BL15,0))</f>
        <v>0</v>
      </c>
      <c r="N14" s="11">
        <f>INDEX(BG12:BG15,MATCH(2,BL12:BL15,0))</f>
        <v>1</v>
      </c>
      <c r="O14" s="11">
        <f>INDEX(BH12:BH15,MATCH(2,BL12:BL15,0))</f>
        <v>0</v>
      </c>
      <c r="P14" s="11" t="str">
        <f>INDEX(BI12:BI15,MATCH(2,BL12:BL15,0))&amp;" - "&amp;INDEX(BJ12:BJ15,MATCH(2,BL12:BL15,0))</f>
        <v>1 - 1</v>
      </c>
      <c r="Q14" s="14">
        <f>INDEX(BK12:BK15,MATCH(2,BL12:BL15,0))</f>
        <v>1</v>
      </c>
      <c r="S14" s="15" t="str">
        <f>IF((COUNTIF($F$5:$G$76,"&gt;=0")=144),IFERROR(INDEX($AP$81:$AP$92,3),"Runner-up C"),"Runner-up C")</f>
        <v>Runner-up C</v>
      </c>
      <c r="T14" s="16"/>
      <c r="U14" s="16"/>
      <c r="V14" s="16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BD14" t="s">
        <v>27</v>
      </c>
      <c r="BE14">
        <f t="array" ref="BE14">SUMPRODUCT((((E11:E16=BD14)+(H11:H16=BD14))&gt;0)*ISNUMBER(F11:F16)*ISNUMBER(G11:G16))</f>
        <v>0</v>
      </c>
      <c r="BF14">
        <f t="array" ref="BF14">SUMPRODUCT((E11:E16=BD14)*ISNUMBER(F11:F16)*ISNUMBER(G11:G16)*(F11:F16&gt;G11:G16))+SUMPRODUCT((H11:H16=BD14)*ISNUMBER(F11:F16)*ISNUMBER(G11:G16)*(G11:G16&gt;F11:F16))</f>
        <v>0</v>
      </c>
      <c r="BG14">
        <f t="array" ref="BG14">SUMPRODUCT((((E11:E16=BD14)+(H11:H16=BD14))&gt;0)*ISNUMBER(F11:F16)*ISNUMBER(G11:G16)*(F11:F16=G11:G16))</f>
        <v>0</v>
      </c>
      <c r="BH14">
        <f>BE14-BF14-BG14</f>
        <v>0</v>
      </c>
      <c r="BI14">
        <f t="array" ref="BI14">SUMPRODUCT((E11:E16=BD14)*IFERROR(F11:F16,0))+SUMPRODUCT((H11:H16=BD14)*IFERROR(G11:G16,0))</f>
        <v>0</v>
      </c>
      <c r="BJ14">
        <f t="array" ref="BJ14">SUMPRODUCT((E11:E16=BD14)*IFERROR(G11:G16,0))+SUMPRODUCT((H11:H16=BD14)*IFERROR(F11:F16,0))</f>
        <v>0</v>
      </c>
      <c r="BK14">
        <f>BF14*3+BG14</f>
        <v>0</v>
      </c>
      <c r="BL14">
        <f>1+SUMPRODUCT(((BK$12:BK$15&gt;BK14)+(BK$12:BK$15=BK14)*(BM$12:BM$15&gt;BM14)+(BK$12:BK$15=BK14)*(BM$12:BM$15=BM14)*(BN$12:BN$15&gt;BN14)+(BK$12:BK$15=BK14)*(BM$12:BM$15=BM14)*(BN$12:BN$15=BN14)*(BO$12:BO$15&gt;BO14)+(BK$12:BK$15=BK14)*(BM$12:BM$15=BM14)*(BN$12:BN$15=BN14)*(BO$12:BO$15=BO14)*((BI$12:BI$15-BJ$12:BJ$15)&gt;(BI14-BJ14))+(BK$12:BK$15=BK14)*(BM$12:BM$15=BM14)*(BN$12:BN$15=BN14)*(BO$12:BO$15=BO14)*((BI$12:BI$15-BJ$12:BJ$15)=(BI14-BJ14))*(BI$12:BI$15&gt;BI14)+(BK$12:BK$15=BK14)*(BM$12:BM$15=BM14)*(BN$12:BN$15=BN14)*(BO$12:BO$15=BO14)*((BI$12:BI$15-BJ$12:BJ$15)=(BI14-BJ14))*(BI$12:BI$15=BI14)*(ROW(BK$12:BK$15)&lt;ROW(BK14)))*1)</f>
        <v>3</v>
      </c>
      <c r="BM14">
        <f t="array" ref="BM14">SUMPRODUCT((E$11:E$16=BD14)*ISNUMBER(F$11:F$16)*ISNUMBER(G$11:G$16)*COUNTIFS(BD$12:BD$15,H$11:H$16,BK$12:BK$15,BK14)*((F$11:F$16&gt;G$11:G$16)*3+(F$11:F$16=G$11:G$16)))+SUMPRODUCT((H$11:H$16=BD14)*ISNUMBER(F$11:F$16)*ISNUMBER(G$11:G$16)*COUNTIFS(BD$12:BD$15,E$11:E$16,BK$12:BK$15,BK14)*((G$11:G$16&gt;F$11:F$16)*3+(F$11:F$16=G$11:G$16)))</f>
        <v>0</v>
      </c>
      <c r="BN14">
        <f t="array" ref="BN14">SUMPRODUCT((E$11:E$16=BD14)*ISNUMBER(F$11:F$16)*ISNUMBER(G$11:G$16)*COUNTIFS(BD$12:BD$15,H$11:H$16,BK$12:BK$15,BK14)*(F$11:F$16-G$11:G$16))+SUMPRODUCT((H$11:H$16=BD14)*ISNUMBER(F$11:F$16)*ISNUMBER(G$11:G$16)*COUNTIFS(BD$12:BD$15,E$11:E$16,BK$12:BK$15,BK14)*(G$11:G$16-F$11:F$16))</f>
        <v>0</v>
      </c>
      <c r="BO14">
        <f t="array" ref="BO14">SUMPRODUCT((E$11:E$16=BD14)*ISNUMBER(F$11:F$16)*ISNUMBER(G$11:G$16)*COUNTIFS(BD$12:BD$15,H$11:H$16,BK$12:BK$15,BK14)*F$11:F$16)+SUMPRODUCT((H$11:H$16=BD14)*ISNUMBER(F$11:F$16)*ISNUMBER(G$11:G$16)*COUNTIFS(BD$12:BD$15,E$11:E$16,BK$12:BK$15,BK14)*G$11:G$16)</f>
        <v>0</v>
      </c>
    </row>
    <row r="15" spans="1:67" ht="12.75" customHeight="1" x14ac:dyDescent="0.3">
      <c r="A15" s="11">
        <v>11</v>
      </c>
      <c r="B15" s="11" t="str">
        <f>TEXT((46197)+(15+4+GmtOffset)/24,"ddd")</f>
        <v>Wed</v>
      </c>
      <c r="C15" s="11" t="str">
        <f>TEXT((46197)+(15+4+GmtOffset)/24,"mmm d, yyyy")</f>
        <v>Jun 24, 2026</v>
      </c>
      <c r="D15" s="11" t="str">
        <f>TEXT((46197)+(15+4+GmtOffset)/24,"h:mm")</f>
        <v>21:00</v>
      </c>
      <c r="E15" s="12" t="s">
        <v>28</v>
      </c>
      <c r="F15" s="7"/>
      <c r="G15" s="7"/>
      <c r="H15" s="13" t="s">
        <v>23</v>
      </c>
      <c r="I15" s="11" t="s">
        <v>25</v>
      </c>
      <c r="J15" s="3"/>
      <c r="K15" s="13" t="str">
        <f>INDEX(BD12:BD15,MATCH(3,BL12:BL15,0))</f>
        <v>Qatar</v>
      </c>
      <c r="L15" s="11">
        <f>INDEX(BE12:BE15,MATCH(3,BL12:BL15,0))</f>
        <v>0</v>
      </c>
      <c r="M15" s="11">
        <f>INDEX(BF12:BF15,MATCH(3,BL12:BL15,0))</f>
        <v>0</v>
      </c>
      <c r="N15" s="11">
        <f>INDEX(BG12:BG15,MATCH(3,BL12:BL15,0))</f>
        <v>0</v>
      </c>
      <c r="O15" s="11">
        <f>INDEX(BH12:BH15,MATCH(3,BL12:BL15,0))</f>
        <v>0</v>
      </c>
      <c r="P15" s="11" t="str">
        <f>INDEX(BI12:BI15,MATCH(3,BL12:BL15,0))&amp;" - "&amp;INDEX(BJ12:BJ15,MATCH(3,BL12:BL15,0))</f>
        <v>0 - 0</v>
      </c>
      <c r="Q15" s="14">
        <f>INDEX(BK12:BK15,MATCH(3,BL12:BL15,0))</f>
        <v>0</v>
      </c>
      <c r="S15" s="3"/>
      <c r="T15" s="3"/>
      <c r="U15" s="3"/>
      <c r="V15" s="3"/>
      <c r="W15" s="9" t="str">
        <f>IF(AND(ISNUMBER(T5),ISNUMBER(T6)),IF(T5&gt;T6,S5,IF(T6&gt;T5,S6,IF(NOT(AND(ISNUMBER(U5),ISNUMBER(U6))),"",IF(U5&gt;U6,S5,IF(U6&gt;U5,S6,IF(NOT(AND(ISNUMBER(V5),ISNUMBER(V6))),"",IF(V5&gt;V6,S5,IF(V6&gt;V5,S6,"")))))))),"W73")</f>
        <v>W73</v>
      </c>
      <c r="X15" s="10"/>
      <c r="Y15" s="10"/>
      <c r="Z15" s="10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BD15" t="s">
        <v>28</v>
      </c>
      <c r="BE15">
        <f t="array" ref="BE15">SUMPRODUCT((((E11:E16=BD15)+(H11:H16=BD15))&gt;0)*ISNUMBER(F11:F16)*ISNUMBER(G11:G16))</f>
        <v>0</v>
      </c>
      <c r="BF15">
        <f t="array" ref="BF15">SUMPRODUCT((E11:E16=BD15)*ISNUMBER(F11:F16)*ISNUMBER(G11:G16)*(F11:F16&gt;G11:G16))+SUMPRODUCT((H11:H16=BD15)*ISNUMBER(F11:F16)*ISNUMBER(G11:G16)*(G11:G16&gt;F11:F16))</f>
        <v>0</v>
      </c>
      <c r="BG15">
        <f t="array" ref="BG15">SUMPRODUCT((((E11:E16=BD15)+(H11:H16=BD15))&gt;0)*ISNUMBER(F11:F16)*ISNUMBER(G11:G16)*(F11:F16=G11:G16))</f>
        <v>0</v>
      </c>
      <c r="BH15">
        <f>BE15-BF15-BG15</f>
        <v>0</v>
      </c>
      <c r="BI15">
        <f t="array" ref="BI15">SUMPRODUCT((E11:E16=BD15)*IFERROR(F11:F16,0))+SUMPRODUCT((H11:H16=BD15)*IFERROR(G11:G16,0))</f>
        <v>0</v>
      </c>
      <c r="BJ15">
        <f t="array" ref="BJ15">SUMPRODUCT((E11:E16=BD15)*IFERROR(G11:G16,0))+SUMPRODUCT((H11:H16=BD15)*IFERROR(F11:F16,0))</f>
        <v>0</v>
      </c>
      <c r="BK15">
        <f>BF15*3+BG15</f>
        <v>0</v>
      </c>
      <c r="BL15">
        <f>1+SUMPRODUCT(((BK$12:BK$15&gt;BK15)+(BK$12:BK$15=BK15)*(BM$12:BM$15&gt;BM15)+(BK$12:BK$15=BK15)*(BM$12:BM$15=BM15)*(BN$12:BN$15&gt;BN15)+(BK$12:BK$15=BK15)*(BM$12:BM$15=BM15)*(BN$12:BN$15=BN15)*(BO$12:BO$15&gt;BO15)+(BK$12:BK$15=BK15)*(BM$12:BM$15=BM15)*(BN$12:BN$15=BN15)*(BO$12:BO$15=BO15)*((BI$12:BI$15-BJ$12:BJ$15)&gt;(BI15-BJ15))+(BK$12:BK$15=BK15)*(BM$12:BM$15=BM15)*(BN$12:BN$15=BN15)*(BO$12:BO$15=BO15)*((BI$12:BI$15-BJ$12:BJ$15)=(BI15-BJ15))*(BI$12:BI$15&gt;BI15)+(BK$12:BK$15=BK15)*(BM$12:BM$15=BM15)*(BN$12:BN$15=BN15)*(BO$12:BO$15=BO15)*((BI$12:BI$15-BJ$12:BJ$15)=(BI15-BJ15))*(BI$12:BI$15=BI15)*(ROW(BK$12:BK$15)&lt;ROW(BK15)))*1)</f>
        <v>4</v>
      </c>
      <c r="BM15">
        <f t="array" ref="BM15">SUMPRODUCT((E$11:E$16=BD15)*ISNUMBER(F$11:F$16)*ISNUMBER(G$11:G$16)*COUNTIFS(BD$12:BD$15,H$11:H$16,BK$12:BK$15,BK15)*((F$11:F$16&gt;G$11:G$16)*3+(F$11:F$16=G$11:G$16)))+SUMPRODUCT((H$11:H$16=BD15)*ISNUMBER(F$11:F$16)*ISNUMBER(G$11:G$16)*COUNTIFS(BD$12:BD$15,E$11:E$16,BK$12:BK$15,BK15)*((G$11:G$16&gt;F$11:F$16)*3+(F$11:F$16=G$11:G$16)))</f>
        <v>0</v>
      </c>
      <c r="BN15">
        <f t="array" ref="BN15">SUMPRODUCT((E$11:E$16=BD15)*ISNUMBER(F$11:F$16)*ISNUMBER(G$11:G$16)*COUNTIFS(BD$12:BD$15,H$11:H$16,BK$12:BK$15,BK15)*(F$11:F$16-G$11:G$16))+SUMPRODUCT((H$11:H$16=BD15)*ISNUMBER(F$11:F$16)*ISNUMBER(G$11:G$16)*COUNTIFS(BD$12:BD$15,E$11:E$16,BK$12:BK$15,BK15)*(G$11:G$16-F$11:F$16))</f>
        <v>0</v>
      </c>
      <c r="BO15">
        <f t="array" ref="BO15">SUMPRODUCT((E$11:E$16=BD15)*ISNUMBER(F$11:F$16)*ISNUMBER(G$11:G$16)*COUNTIFS(BD$12:BD$15,H$11:H$16,BK$12:BK$15,BK15)*F$11:F$16)+SUMPRODUCT((H$11:H$16=BD15)*ISNUMBER(F$11:F$16)*ISNUMBER(G$11:G$16)*COUNTIFS(BD$12:BD$15,E$11:E$16,BK$12:BK$15,BK15)*G$11:G$16)</f>
        <v>0</v>
      </c>
    </row>
    <row r="16" spans="1:67" ht="12.75" customHeight="1" x14ac:dyDescent="0.3">
      <c r="A16" s="11">
        <v>12</v>
      </c>
      <c r="B16" s="11" t="str">
        <f>TEXT((46197)+(15+4+GmtOffset)/24,"ddd")</f>
        <v>Wed</v>
      </c>
      <c r="C16" s="11" t="str">
        <f>TEXT((46197)+(15+4+GmtOffset)/24,"mmm d, yyyy")</f>
        <v>Jun 24, 2026</v>
      </c>
      <c r="D16" s="11" t="str">
        <f>TEXT((46197)+(15+4+GmtOffset)/24,"h:mm")</f>
        <v>21:00</v>
      </c>
      <c r="E16" s="12" t="s">
        <v>24</v>
      </c>
      <c r="F16" s="7"/>
      <c r="G16" s="7"/>
      <c r="H16" s="13" t="s">
        <v>27</v>
      </c>
      <c r="I16" s="11" t="s">
        <v>25</v>
      </c>
      <c r="J16" s="3"/>
      <c r="K16" s="17" t="str">
        <f>INDEX(BD12:BD15,MATCH(4,BL12:BL15,0))</f>
        <v>Switzerland</v>
      </c>
      <c r="L16" s="18">
        <f>INDEX(BE12:BE15,MATCH(4,BL12:BL15,0))</f>
        <v>0</v>
      </c>
      <c r="M16" s="18">
        <f>INDEX(BF12:BF15,MATCH(4,BL12:BL15,0))</f>
        <v>0</v>
      </c>
      <c r="N16" s="18">
        <f>INDEX(BG12:BG15,MATCH(4,BL12:BL15,0))</f>
        <v>0</v>
      </c>
      <c r="O16" s="18">
        <f>INDEX(BH12:BH15,MATCH(4,BL12:BL15,0))</f>
        <v>0</v>
      </c>
      <c r="P16" s="18" t="str">
        <f>INDEX(BI12:BI15,MATCH(4,BL12:BL15,0))&amp;" - "&amp;INDEX(BJ12:BJ15,MATCH(4,BL12:BL15,0))</f>
        <v>0 - 0</v>
      </c>
      <c r="Q16" s="19">
        <f>INDEX(BK12:BK15,MATCH(4,BL12:BL15,0))</f>
        <v>0</v>
      </c>
      <c r="S16" s="3"/>
      <c r="T16" s="3"/>
      <c r="U16" s="3"/>
      <c r="V16" s="3"/>
      <c r="W16" s="15" t="str">
        <f>IF(AND(ISNUMBER(T13),ISNUMBER(T14)),IF(T13&gt;T14,S13,IF(T14&gt;T13,S14,IF(NOT(AND(ISNUMBER(U13),ISNUMBER(U14))),"",IF(U13&gt;U14,S13,IF(U14&gt;U13,S14,IF(NOT(AND(ISNUMBER(V13),ISNUMBER(V14))),"",IF(V13&gt;V14,S13,IF(V14&gt;V13,S14,"")))))))),"W75")</f>
        <v>W75</v>
      </c>
      <c r="X16" s="16"/>
      <c r="Y16" s="16"/>
      <c r="Z16" s="16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67" ht="12.75" customHeight="1" x14ac:dyDescent="0.3">
      <c r="A17" s="11">
        <v>13</v>
      </c>
      <c r="B17" s="11" t="str">
        <f>TEXT((46186)+(18+4+GmtOffset)/24,"ddd")</f>
        <v>Sun</v>
      </c>
      <c r="C17" s="11" t="str">
        <f>TEXT((46186)+(18+4+GmtOffset)/24,"mmm d, yyyy")</f>
        <v>Jun 14, 2026</v>
      </c>
      <c r="D17" s="11" t="str">
        <f>TEXT((46186)+(18+4+GmtOffset)/24,"h:mm")</f>
        <v>0:00</v>
      </c>
      <c r="E17" s="12" t="s">
        <v>29</v>
      </c>
      <c r="F17" s="7"/>
      <c r="G17" s="7"/>
      <c r="H17" s="13" t="s">
        <v>30</v>
      </c>
      <c r="I17" s="11" t="s">
        <v>31</v>
      </c>
      <c r="J17" s="3"/>
      <c r="K17" s="1" t="s">
        <v>32</v>
      </c>
      <c r="L17" s="20"/>
      <c r="M17" s="20"/>
      <c r="N17" s="20"/>
      <c r="O17" s="20"/>
      <c r="P17" s="20"/>
      <c r="Q17" s="20"/>
      <c r="S17" s="9" t="str">
        <f>IF((COUNTIF($F$5:$G$76,"&gt;=0")=144),IFERROR(INDEX($AO$81:$AO$92,3),"Winner C"),"Winner C")</f>
        <v>Winner C</v>
      </c>
      <c r="T17" s="10"/>
      <c r="U17" s="10"/>
      <c r="V17" s="10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67" ht="12.75" customHeight="1" x14ac:dyDescent="0.3">
      <c r="A18" s="11">
        <v>14</v>
      </c>
      <c r="B18" s="11" t="str">
        <f>TEXT((46186)+(21+4+GmtOffset)/24,"ddd")</f>
        <v>Sun</v>
      </c>
      <c r="C18" s="11" t="str">
        <f>TEXT((46186)+(21+4+GmtOffset)/24,"mmm d, yyyy")</f>
        <v>Jun 14, 2026</v>
      </c>
      <c r="D18" s="11" t="str">
        <f>TEXT((46186)+(21+4+GmtOffset)/24,"h:mm")</f>
        <v>3:00</v>
      </c>
      <c r="E18" s="12" t="s">
        <v>33</v>
      </c>
      <c r="F18" s="7"/>
      <c r="G18" s="7"/>
      <c r="H18" s="13" t="s">
        <v>34</v>
      </c>
      <c r="I18" s="11" t="s">
        <v>31</v>
      </c>
      <c r="J18" s="3"/>
      <c r="K18" s="14"/>
      <c r="L18" s="14" t="s">
        <v>17</v>
      </c>
      <c r="M18" s="14" t="s">
        <v>18</v>
      </c>
      <c r="N18" s="14" t="s">
        <v>19</v>
      </c>
      <c r="O18" s="14" t="s">
        <v>20</v>
      </c>
      <c r="P18" s="14" t="s">
        <v>21</v>
      </c>
      <c r="Q18" s="14" t="s">
        <v>22</v>
      </c>
      <c r="S18" s="15" t="str">
        <f>IF((COUNTIF($F$5:$G$76,"&gt;=0")=144),IFERROR(INDEX($AP$81:$AP$92,6),"Runner-up F"),"Runner-up F")</f>
        <v>Runner-up F</v>
      </c>
      <c r="T18" s="16"/>
      <c r="U18" s="16"/>
      <c r="V18" s="16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BD18" t="s">
        <v>29</v>
      </c>
      <c r="BE18">
        <f t="array" ref="BE18">SUMPRODUCT((((E17:E22=BD18)+(H17:H22=BD18))&gt;0)*ISNUMBER(F17:F22)*ISNUMBER(G17:G22))</f>
        <v>0</v>
      </c>
      <c r="BF18">
        <f t="array" ref="BF18">SUMPRODUCT((E17:E22=BD18)*ISNUMBER(F17:F22)*ISNUMBER(G17:G22)*(F17:F22&gt;G17:G22))+SUMPRODUCT((H17:H22=BD18)*ISNUMBER(F17:F22)*ISNUMBER(G17:G22)*(G17:G22&gt;F17:F22))</f>
        <v>0</v>
      </c>
      <c r="BG18">
        <f t="array" ref="BG18">SUMPRODUCT((((E17:E22=BD18)+(H17:H22=BD18))&gt;0)*ISNUMBER(F17:F22)*ISNUMBER(G17:G22)*(F17:F22=G17:G22))</f>
        <v>0</v>
      </c>
      <c r="BH18">
        <f>BE18-BF18-BG18</f>
        <v>0</v>
      </c>
      <c r="BI18">
        <f t="array" ref="BI18">SUMPRODUCT((E17:E22=BD18)*IFERROR(F17:F22,0))+SUMPRODUCT((H17:H22=BD18)*IFERROR(G17:G22,0))</f>
        <v>0</v>
      </c>
      <c r="BJ18">
        <f t="array" ref="BJ18">SUMPRODUCT((E17:E22=BD18)*IFERROR(G17:G22,0))+SUMPRODUCT((H17:H22=BD18)*IFERROR(F17:F22,0))</f>
        <v>0</v>
      </c>
      <c r="BK18">
        <f>BF18*3+BG18</f>
        <v>0</v>
      </c>
      <c r="BL18">
        <f>1+SUMPRODUCT(((BK$18:BK$21&gt;BK18)+(BK$18:BK$21=BK18)*(BM$18:BM$21&gt;BM18)+(BK$18:BK$21=BK18)*(BM$18:BM$21=BM18)*(BN$18:BN$21&gt;BN18)+(BK$18:BK$21=BK18)*(BM$18:BM$21=BM18)*(BN$18:BN$21=BN18)*(BO$18:BO$21&gt;BO18)+(BK$18:BK$21=BK18)*(BM$18:BM$21=BM18)*(BN$18:BN$21=BN18)*(BO$18:BO$21=BO18)*((BI$18:BI$21-BJ$18:BJ$21)&gt;(BI18-BJ18))+(BK$18:BK$21=BK18)*(BM$18:BM$21=BM18)*(BN$18:BN$21=BN18)*(BO$18:BO$21=BO18)*((BI$18:BI$21-BJ$18:BJ$21)=(BI18-BJ18))*(BI$18:BI$21&gt;BI18)+(BK$18:BK$21=BK18)*(BM$18:BM$21=BM18)*(BN$18:BN$21=BN18)*(BO$18:BO$21=BO18)*((BI$18:BI$21-BJ$18:BJ$21)=(BI18-BJ18))*(BI$18:BI$21=BI18)*(ROW(BK$18:BK$21)&lt;ROW(BK18)))*1)</f>
        <v>1</v>
      </c>
      <c r="BM18">
        <f t="array" ref="BM18">SUMPRODUCT((E$17:E$22=BD18)*ISNUMBER(F$17:F$22)*ISNUMBER(G$17:G$22)*COUNTIFS(BD$18:BD$21,H$17:H$22,BK$18:BK$21,BK18)*((F$17:F$22&gt;G$17:G$22)*3+(F$17:F$22=G$17:G$22)))+SUMPRODUCT((H$17:H$22=BD18)*ISNUMBER(F$17:F$22)*ISNUMBER(G$17:G$22)*COUNTIFS(BD$18:BD$21,E$17:E$22,BK$18:BK$21,BK18)*((G$17:G$22&gt;F$17:F$22)*3+(F$17:F$22=G$17:G$22)))</f>
        <v>0</v>
      </c>
      <c r="BN18">
        <f t="array" ref="BN18">SUMPRODUCT((E$17:E$22=BD18)*ISNUMBER(F$17:F$22)*ISNUMBER(G$17:G$22)*COUNTIFS(BD$18:BD$21,H$17:H$22,BK$18:BK$21,BK18)*(F$17:F$22-G$17:G$22))+SUMPRODUCT((H$17:H$22=BD18)*ISNUMBER(F$17:F$22)*ISNUMBER(G$17:G$22)*COUNTIFS(BD$18:BD$21,E$17:E$22,BK$18:BK$21,BK18)*(G$17:G$22-F$17:F$22))</f>
        <v>0</v>
      </c>
      <c r="BO18">
        <f t="array" ref="BO18">SUMPRODUCT((E$17:E$22=BD18)*ISNUMBER(F$17:F$22)*ISNUMBER(G$17:G$22)*COUNTIFS(BD$18:BD$21,H$17:H$22,BK$18:BK$21,BK18)*F$17:F$22)+SUMPRODUCT((H$17:H$22=BD18)*ISNUMBER(F$17:F$22)*ISNUMBER(G$17:G$22)*COUNTIFS(BD$18:BD$21,E$17:E$22,BK$18:BK$21,BK18)*G$17:G$22)</f>
        <v>0</v>
      </c>
    </row>
    <row r="19" spans="1:67" ht="12.75" customHeight="1" x14ac:dyDescent="0.3">
      <c r="A19" s="11">
        <v>15</v>
      </c>
      <c r="B19" s="11" t="str">
        <f>TEXT((46192)+(20.5+4+GmtOffset)/24,"ddd")</f>
        <v>Sat</v>
      </c>
      <c r="C19" s="11" t="str">
        <f>TEXT((46192)+(20.5+4+GmtOffset)/24,"mmm d, yyyy")</f>
        <v>Jun 20, 2026</v>
      </c>
      <c r="D19" s="11" t="str">
        <f>TEXT((46192)+(20.5+4+GmtOffset)/24,"h:mm")</f>
        <v>2:30</v>
      </c>
      <c r="E19" s="12" t="s">
        <v>29</v>
      </c>
      <c r="F19" s="7"/>
      <c r="G19" s="7"/>
      <c r="H19" s="13" t="s">
        <v>33</v>
      </c>
      <c r="I19" s="11" t="s">
        <v>31</v>
      </c>
      <c r="J19" s="3"/>
      <c r="K19" s="13" t="str">
        <f>INDEX(BD18:BD21,MATCH(1,BL18:BL21,0))</f>
        <v>Brazil</v>
      </c>
      <c r="L19" s="11">
        <f>INDEX(BE18:BE21,MATCH(1,BL18:BL21,0))</f>
        <v>0</v>
      </c>
      <c r="M19" s="11">
        <f>INDEX(BF18:BF21,MATCH(1,BL18:BL21,0))</f>
        <v>0</v>
      </c>
      <c r="N19" s="11">
        <f>INDEX(BG18:BG21,MATCH(1,BL18:BL21,0))</f>
        <v>0</v>
      </c>
      <c r="O19" s="11">
        <f>INDEX(BH18:BH21,MATCH(1,BL18:BL21,0))</f>
        <v>0</v>
      </c>
      <c r="P19" s="11" t="str">
        <f>INDEX(BI18:BI21,MATCH(1,BL18:BL21,0))&amp;" - "&amp;INDEX(BJ18:BJ21,MATCH(1,BL18:BL21,0))</f>
        <v>0 - 0</v>
      </c>
      <c r="Q19" s="14">
        <f>INDEX(BK18:BK21,MATCH(1,BL18:BL21,0))</f>
        <v>0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9" t="str">
        <f>IF(AND(ISNUMBER(AB11),ISNUMBER(AB12)),IF(AB11&gt;AB12,AA11,IF(AB12&gt;AB11,AA12,IF(NOT(AND(ISNUMBER(AC11),ISNUMBER(AC12))),"",IF(AC11&gt;AC12,AA11,IF(AC12&gt;AC11,AA12,IF(NOT(AND(ISNUMBER(AD11),ISNUMBER(AD12))),"",IF(AD11&gt;AD12,AA11,IF(AD12&gt;AD11,AA12,"")))))))),"W97")</f>
        <v>W97</v>
      </c>
      <c r="AF19" s="10"/>
      <c r="AG19" s="10"/>
      <c r="AH19" s="10"/>
      <c r="AI19" s="3"/>
      <c r="AJ19" s="3"/>
      <c r="AK19" s="3"/>
      <c r="AL19" s="3"/>
      <c r="AM19" s="3"/>
      <c r="AN19" s="3"/>
      <c r="BD19" t="s">
        <v>30</v>
      </c>
      <c r="BE19">
        <f t="array" ref="BE19">SUMPRODUCT((((E17:E22=BD19)+(H17:H22=BD19))&gt;0)*ISNUMBER(F17:F22)*ISNUMBER(G17:G22))</f>
        <v>0</v>
      </c>
      <c r="BF19">
        <f t="array" ref="BF19">SUMPRODUCT((E17:E22=BD19)*ISNUMBER(F17:F22)*ISNUMBER(G17:G22)*(F17:F22&gt;G17:G22))+SUMPRODUCT((H17:H22=BD19)*ISNUMBER(F17:F22)*ISNUMBER(G17:G22)*(G17:G22&gt;F17:F22))</f>
        <v>0</v>
      </c>
      <c r="BG19">
        <f t="array" ref="BG19">SUMPRODUCT((((E17:E22=BD19)+(H17:H22=BD19))&gt;0)*ISNUMBER(F17:F22)*ISNUMBER(G17:G22)*(F17:F22=G17:G22))</f>
        <v>0</v>
      </c>
      <c r="BH19">
        <f>BE19-BF19-BG19</f>
        <v>0</v>
      </c>
      <c r="BI19">
        <f t="array" ref="BI19">SUMPRODUCT((E17:E22=BD19)*IFERROR(F17:F22,0))+SUMPRODUCT((H17:H22=BD19)*IFERROR(G17:G22,0))</f>
        <v>0</v>
      </c>
      <c r="BJ19">
        <f t="array" ref="BJ19">SUMPRODUCT((E17:E22=BD19)*IFERROR(G17:G22,0))+SUMPRODUCT((H17:H22=BD19)*IFERROR(F17:F22,0))</f>
        <v>0</v>
      </c>
      <c r="BK19">
        <f>BF19*3+BG19</f>
        <v>0</v>
      </c>
      <c r="BL19">
        <f>1+SUMPRODUCT(((BK$18:BK$21&gt;BK19)+(BK$18:BK$21=BK19)*(BM$18:BM$21&gt;BM19)+(BK$18:BK$21=BK19)*(BM$18:BM$21=BM19)*(BN$18:BN$21&gt;BN19)+(BK$18:BK$21=BK19)*(BM$18:BM$21=BM19)*(BN$18:BN$21=BN19)*(BO$18:BO$21&gt;BO19)+(BK$18:BK$21=BK19)*(BM$18:BM$21=BM19)*(BN$18:BN$21=BN19)*(BO$18:BO$21=BO19)*((BI$18:BI$21-BJ$18:BJ$21)&gt;(BI19-BJ19))+(BK$18:BK$21=BK19)*(BM$18:BM$21=BM19)*(BN$18:BN$21=BN19)*(BO$18:BO$21=BO19)*((BI$18:BI$21-BJ$18:BJ$21)=(BI19-BJ19))*(BI$18:BI$21&gt;BI19)+(BK$18:BK$21=BK19)*(BM$18:BM$21=BM19)*(BN$18:BN$21=BN19)*(BO$18:BO$21=BO19)*((BI$18:BI$21-BJ$18:BJ$21)=(BI19-BJ19))*(BI$18:BI$21=BI19)*(ROW(BK$18:BK$21)&lt;ROW(BK19)))*1)</f>
        <v>2</v>
      </c>
      <c r="BM19">
        <f t="array" ref="BM19">SUMPRODUCT((E$17:E$22=BD19)*ISNUMBER(F$17:F$22)*ISNUMBER(G$17:G$22)*COUNTIFS(BD$18:BD$21,H$17:H$22,BK$18:BK$21,BK19)*((F$17:F$22&gt;G$17:G$22)*3+(F$17:F$22=G$17:G$22)))+SUMPRODUCT((H$17:H$22=BD19)*ISNUMBER(F$17:F$22)*ISNUMBER(G$17:G$22)*COUNTIFS(BD$18:BD$21,E$17:E$22,BK$18:BK$21,BK19)*((G$17:G$22&gt;F$17:F$22)*3+(F$17:F$22=G$17:G$22)))</f>
        <v>0</v>
      </c>
      <c r="BN19">
        <f t="array" ref="BN19">SUMPRODUCT((E$17:E$22=BD19)*ISNUMBER(F$17:F$22)*ISNUMBER(G$17:G$22)*COUNTIFS(BD$18:BD$21,H$17:H$22,BK$18:BK$21,BK19)*(F$17:F$22-G$17:G$22))+SUMPRODUCT((H$17:H$22=BD19)*ISNUMBER(F$17:F$22)*ISNUMBER(G$17:G$22)*COUNTIFS(BD$18:BD$21,E$17:E$22,BK$18:BK$21,BK19)*(G$17:G$22-F$17:F$22))</f>
        <v>0</v>
      </c>
      <c r="BO19">
        <f t="array" ref="BO19">SUMPRODUCT((E$17:E$22=BD19)*ISNUMBER(F$17:F$22)*ISNUMBER(G$17:G$22)*COUNTIFS(BD$18:BD$21,H$17:H$22,BK$18:BK$21,BK19)*F$17:F$22)+SUMPRODUCT((H$17:H$22=BD19)*ISNUMBER(F$17:F$22)*ISNUMBER(G$17:G$22)*COUNTIFS(BD$18:BD$21,E$17:E$22,BK$18:BK$21,BK19)*G$17:G$22)</f>
        <v>0</v>
      </c>
    </row>
    <row r="20" spans="1:67" ht="12.75" customHeight="1" x14ac:dyDescent="0.3">
      <c r="A20" s="11">
        <v>16</v>
      </c>
      <c r="B20" s="11" t="str">
        <f>TEXT((46192)+(18+4+GmtOffset)/24,"ddd")</f>
        <v>Sat</v>
      </c>
      <c r="C20" s="11" t="str">
        <f>TEXT((46192)+(18+4+GmtOffset)/24,"mmm d, yyyy")</f>
        <v>Jun 20, 2026</v>
      </c>
      <c r="D20" s="11" t="str">
        <f>TEXT((46192)+(18+4+GmtOffset)/24,"h:mm")</f>
        <v>0:00</v>
      </c>
      <c r="E20" s="12" t="s">
        <v>34</v>
      </c>
      <c r="F20" s="7"/>
      <c r="G20" s="7"/>
      <c r="H20" s="13" t="s">
        <v>30</v>
      </c>
      <c r="I20" s="11" t="s">
        <v>31</v>
      </c>
      <c r="J20" s="3"/>
      <c r="K20" s="13" t="str">
        <f>INDEX(BD18:BD21,MATCH(2,BL18:BL21,0))</f>
        <v>Morocco</v>
      </c>
      <c r="L20" s="11">
        <f>INDEX(BE18:BE21,MATCH(2,BL18:BL21,0))</f>
        <v>0</v>
      </c>
      <c r="M20" s="11">
        <f>INDEX(BF18:BF21,MATCH(2,BL18:BL21,0))</f>
        <v>0</v>
      </c>
      <c r="N20" s="11">
        <f>INDEX(BG18:BG21,MATCH(2,BL18:BL21,0))</f>
        <v>0</v>
      </c>
      <c r="O20" s="11">
        <f>INDEX(BH18:BH21,MATCH(2,BL18:BL21,0))</f>
        <v>0</v>
      </c>
      <c r="P20" s="11" t="str">
        <f>INDEX(BI18:BI21,MATCH(2,BL18:BL21,0))&amp;" - "&amp;INDEX(BJ18:BJ21,MATCH(2,BL18:BL21,0))</f>
        <v>0 - 0</v>
      </c>
      <c r="Q20" s="14">
        <f>INDEX(BK18:BK21,MATCH(2,BL18:BL21,0))</f>
        <v>0</v>
      </c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15" t="str">
        <f>IF(AND(ISNUMBER(AB27),ISNUMBER(AB28)),IF(AB27&gt;AB28,AA27,IF(AB28&gt;AB27,AA28,IF(NOT(AND(ISNUMBER(AC27),ISNUMBER(AC28))),"",IF(AC27&gt;AC28,AA27,IF(AC28&gt;AC27,AA28,IF(NOT(AND(ISNUMBER(AD27),ISNUMBER(AD28))),"",IF(AD27&gt;AD28,AA27,IF(AD28&gt;AD27,AA28,"")))))))),"W98")</f>
        <v>W98</v>
      </c>
      <c r="AF20" s="16"/>
      <c r="AG20" s="16"/>
      <c r="AH20" s="16"/>
      <c r="AI20" s="3"/>
      <c r="AJ20" s="3"/>
      <c r="AK20" s="3"/>
      <c r="AL20" s="3"/>
      <c r="AM20" s="3"/>
      <c r="AN20" s="3"/>
      <c r="BD20" t="s">
        <v>33</v>
      </c>
      <c r="BE20">
        <f t="array" ref="BE20">SUMPRODUCT((((E17:E22=BD20)+(H17:H22=BD20))&gt;0)*ISNUMBER(F17:F22)*ISNUMBER(G17:G22))</f>
        <v>0</v>
      </c>
      <c r="BF20">
        <f t="array" ref="BF20">SUMPRODUCT((E17:E22=BD20)*ISNUMBER(F17:F22)*ISNUMBER(G17:G22)*(F17:F22&gt;G17:G22))+SUMPRODUCT((H17:H22=BD20)*ISNUMBER(F17:F22)*ISNUMBER(G17:G22)*(G17:G22&gt;F17:F22))</f>
        <v>0</v>
      </c>
      <c r="BG20">
        <f t="array" ref="BG20">SUMPRODUCT((((E17:E22=BD20)+(H17:H22=BD20))&gt;0)*ISNUMBER(F17:F22)*ISNUMBER(G17:G22)*(F17:F22=G17:G22))</f>
        <v>0</v>
      </c>
      <c r="BH20">
        <f>BE20-BF20-BG20</f>
        <v>0</v>
      </c>
      <c r="BI20">
        <f t="array" ref="BI20">SUMPRODUCT((E17:E22=BD20)*IFERROR(F17:F22,0))+SUMPRODUCT((H17:H22=BD20)*IFERROR(G17:G22,0))</f>
        <v>0</v>
      </c>
      <c r="BJ20">
        <f t="array" ref="BJ20">SUMPRODUCT((E17:E22=BD20)*IFERROR(G17:G22,0))+SUMPRODUCT((H17:H22=BD20)*IFERROR(F17:F22,0))</f>
        <v>0</v>
      </c>
      <c r="BK20">
        <f>BF20*3+BG20</f>
        <v>0</v>
      </c>
      <c r="BL20">
        <f>1+SUMPRODUCT(((BK$18:BK$21&gt;BK20)+(BK$18:BK$21=BK20)*(BM$18:BM$21&gt;BM20)+(BK$18:BK$21=BK20)*(BM$18:BM$21=BM20)*(BN$18:BN$21&gt;BN20)+(BK$18:BK$21=BK20)*(BM$18:BM$21=BM20)*(BN$18:BN$21=BN20)*(BO$18:BO$21&gt;BO20)+(BK$18:BK$21=BK20)*(BM$18:BM$21=BM20)*(BN$18:BN$21=BN20)*(BO$18:BO$21=BO20)*((BI$18:BI$21-BJ$18:BJ$21)&gt;(BI20-BJ20))+(BK$18:BK$21=BK20)*(BM$18:BM$21=BM20)*(BN$18:BN$21=BN20)*(BO$18:BO$21=BO20)*((BI$18:BI$21-BJ$18:BJ$21)=(BI20-BJ20))*(BI$18:BI$21&gt;BI20)+(BK$18:BK$21=BK20)*(BM$18:BM$21=BM20)*(BN$18:BN$21=BN20)*(BO$18:BO$21=BO20)*((BI$18:BI$21-BJ$18:BJ$21)=(BI20-BJ20))*(BI$18:BI$21=BI20)*(ROW(BK$18:BK$21)&lt;ROW(BK20)))*1)</f>
        <v>3</v>
      </c>
      <c r="BM20">
        <f t="array" ref="BM20">SUMPRODUCT((E$17:E$22=BD20)*ISNUMBER(F$17:F$22)*ISNUMBER(G$17:G$22)*COUNTIFS(BD$18:BD$21,H$17:H$22,BK$18:BK$21,BK20)*((F$17:F$22&gt;G$17:G$22)*3+(F$17:F$22=G$17:G$22)))+SUMPRODUCT((H$17:H$22=BD20)*ISNUMBER(F$17:F$22)*ISNUMBER(G$17:G$22)*COUNTIFS(BD$18:BD$21,E$17:E$22,BK$18:BK$21,BK20)*((G$17:G$22&gt;F$17:F$22)*3+(F$17:F$22=G$17:G$22)))</f>
        <v>0</v>
      </c>
      <c r="BN20">
        <f t="array" ref="BN20">SUMPRODUCT((E$17:E$22=BD20)*ISNUMBER(F$17:F$22)*ISNUMBER(G$17:G$22)*COUNTIFS(BD$18:BD$21,H$17:H$22,BK$18:BK$21,BK20)*(F$17:F$22-G$17:G$22))+SUMPRODUCT((H$17:H$22=BD20)*ISNUMBER(F$17:F$22)*ISNUMBER(G$17:G$22)*COUNTIFS(BD$18:BD$21,E$17:E$22,BK$18:BK$21,BK20)*(G$17:G$22-F$17:F$22))</f>
        <v>0</v>
      </c>
      <c r="BO20">
        <f t="array" ref="BO20">SUMPRODUCT((E$17:E$22=BD20)*ISNUMBER(F$17:F$22)*ISNUMBER(G$17:G$22)*COUNTIFS(BD$18:BD$21,H$17:H$22,BK$18:BK$21,BK20)*F$17:F$22)+SUMPRODUCT((H$17:H$22=BD20)*ISNUMBER(F$17:F$22)*ISNUMBER(G$17:G$22)*COUNTIFS(BD$18:BD$21,E$17:E$22,BK$18:BK$21,BK20)*G$17:G$22)</f>
        <v>0</v>
      </c>
    </row>
    <row r="21" spans="1:67" ht="12.75" customHeight="1" x14ac:dyDescent="0.3">
      <c r="A21" s="11">
        <v>17</v>
      </c>
      <c r="B21" s="11" t="str">
        <f>TEXT((46197)+(18+4+GmtOffset)/24,"ddd")</f>
        <v>Thu</v>
      </c>
      <c r="C21" s="11" t="str">
        <f>TEXT((46197)+(18+4+GmtOffset)/24,"mmm d, yyyy")</f>
        <v>Jun 25, 2026</v>
      </c>
      <c r="D21" s="11" t="str">
        <f>TEXT((46197)+(18+4+GmtOffset)/24,"h:mm")</f>
        <v>0:00</v>
      </c>
      <c r="E21" s="12" t="s">
        <v>34</v>
      </c>
      <c r="F21" s="7"/>
      <c r="G21" s="7"/>
      <c r="H21" s="13" t="s">
        <v>29</v>
      </c>
      <c r="I21" s="11" t="s">
        <v>31</v>
      </c>
      <c r="J21" s="3"/>
      <c r="K21" s="13" t="str">
        <f>INDEX(BD18:BD21,MATCH(3,BL18:BL21,0))</f>
        <v>Haiti</v>
      </c>
      <c r="L21" s="11">
        <f>INDEX(BE18:BE21,MATCH(3,BL18:BL21,0))</f>
        <v>0</v>
      </c>
      <c r="M21" s="11">
        <f>INDEX(BF18:BF21,MATCH(3,BL18:BL21,0))</f>
        <v>0</v>
      </c>
      <c r="N21" s="11">
        <f>INDEX(BG18:BG21,MATCH(3,BL18:BL21,0))</f>
        <v>0</v>
      </c>
      <c r="O21" s="11">
        <f>INDEX(BH18:BH21,MATCH(3,BL18:BL21,0))</f>
        <v>0</v>
      </c>
      <c r="P21" s="11" t="str">
        <f>INDEX(BI18:BI21,MATCH(3,BL18:BL21,0))&amp;" - "&amp;INDEX(BJ18:BJ21,MATCH(3,BL18:BL21,0))</f>
        <v>0 - 0</v>
      </c>
      <c r="Q21" s="14">
        <f>INDEX(BK18:BK21,MATCH(3,BL18:BL21,0))</f>
        <v>0</v>
      </c>
      <c r="S21" s="9" t="str">
        <f>IF((COUNTIF($F$5:$G$76,"&gt;=0")=144),IFERROR(INDEX($AO$81:$AO$92,9),"Winner I"),"Winner I")</f>
        <v>Winner I</v>
      </c>
      <c r="T21" s="10"/>
      <c r="U21" s="10"/>
      <c r="V21" s="10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BD21" t="s">
        <v>34</v>
      </c>
      <c r="BE21">
        <f t="array" ref="BE21">SUMPRODUCT((((E17:E22=BD21)+(H17:H22=BD21))&gt;0)*ISNUMBER(F17:F22)*ISNUMBER(G17:G22))</f>
        <v>0</v>
      </c>
      <c r="BF21">
        <f t="array" ref="BF21">SUMPRODUCT((E17:E22=BD21)*ISNUMBER(F17:F22)*ISNUMBER(G17:G22)*(F17:F22&gt;G17:G22))+SUMPRODUCT((H17:H22=BD21)*ISNUMBER(F17:F22)*ISNUMBER(G17:G22)*(G17:G22&gt;F17:F22))</f>
        <v>0</v>
      </c>
      <c r="BG21">
        <f t="array" ref="BG21">SUMPRODUCT((((E17:E22=BD21)+(H17:H22=BD21))&gt;0)*ISNUMBER(F17:F22)*ISNUMBER(G17:G22)*(F17:F22=G17:G22))</f>
        <v>0</v>
      </c>
      <c r="BH21">
        <f>BE21-BF21-BG21</f>
        <v>0</v>
      </c>
      <c r="BI21">
        <f t="array" ref="BI21">SUMPRODUCT((E17:E22=BD21)*IFERROR(F17:F22,0))+SUMPRODUCT((H17:H22=BD21)*IFERROR(G17:G22,0))</f>
        <v>0</v>
      </c>
      <c r="BJ21">
        <f t="array" ref="BJ21">SUMPRODUCT((E17:E22=BD21)*IFERROR(G17:G22,0))+SUMPRODUCT((H17:H22=BD21)*IFERROR(F17:F22,0))</f>
        <v>0</v>
      </c>
      <c r="BK21">
        <f>BF21*3+BG21</f>
        <v>0</v>
      </c>
      <c r="BL21">
        <f>1+SUMPRODUCT(((BK$18:BK$21&gt;BK21)+(BK$18:BK$21=BK21)*(BM$18:BM$21&gt;BM21)+(BK$18:BK$21=BK21)*(BM$18:BM$21=BM21)*(BN$18:BN$21&gt;BN21)+(BK$18:BK$21=BK21)*(BM$18:BM$21=BM21)*(BN$18:BN$21=BN21)*(BO$18:BO$21&gt;BO21)+(BK$18:BK$21=BK21)*(BM$18:BM$21=BM21)*(BN$18:BN$21=BN21)*(BO$18:BO$21=BO21)*((BI$18:BI$21-BJ$18:BJ$21)&gt;(BI21-BJ21))+(BK$18:BK$21=BK21)*(BM$18:BM$21=BM21)*(BN$18:BN$21=BN21)*(BO$18:BO$21=BO21)*((BI$18:BI$21-BJ$18:BJ$21)=(BI21-BJ21))*(BI$18:BI$21&gt;BI21)+(BK$18:BK$21=BK21)*(BM$18:BM$21=BM21)*(BN$18:BN$21=BN21)*(BO$18:BO$21=BO21)*((BI$18:BI$21-BJ$18:BJ$21)=(BI21-BJ21))*(BI$18:BI$21=BI21)*(ROW(BK$18:BK$21)&lt;ROW(BK21)))*1)</f>
        <v>4</v>
      </c>
      <c r="BM21">
        <f t="array" ref="BM21">SUMPRODUCT((E$17:E$22=BD21)*ISNUMBER(F$17:F$22)*ISNUMBER(G$17:G$22)*COUNTIFS(BD$18:BD$21,H$17:H$22,BK$18:BK$21,BK21)*((F$17:F$22&gt;G$17:G$22)*3+(F$17:F$22=G$17:G$22)))+SUMPRODUCT((H$17:H$22=BD21)*ISNUMBER(F$17:F$22)*ISNUMBER(G$17:G$22)*COUNTIFS(BD$18:BD$21,E$17:E$22,BK$18:BK$21,BK21)*((G$17:G$22&gt;F$17:F$22)*3+(F$17:F$22=G$17:G$22)))</f>
        <v>0</v>
      </c>
      <c r="BN21">
        <f t="array" ref="BN21">SUMPRODUCT((E$17:E$22=BD21)*ISNUMBER(F$17:F$22)*ISNUMBER(G$17:G$22)*COUNTIFS(BD$18:BD$21,H$17:H$22,BK$18:BK$21,BK21)*(F$17:F$22-G$17:G$22))+SUMPRODUCT((H$17:H$22=BD21)*ISNUMBER(F$17:F$22)*ISNUMBER(G$17:G$22)*COUNTIFS(BD$18:BD$21,E$17:E$22,BK$18:BK$21,BK21)*(G$17:G$22-F$17:F$22))</f>
        <v>0</v>
      </c>
      <c r="BO21">
        <f t="array" ref="BO21">SUMPRODUCT((E$17:E$22=BD21)*ISNUMBER(F$17:F$22)*ISNUMBER(G$17:G$22)*COUNTIFS(BD$18:BD$21,H$17:H$22,BK$18:BK$21,BK21)*F$17:F$22)+SUMPRODUCT((H$17:H$22=BD21)*ISNUMBER(F$17:F$22)*ISNUMBER(G$17:G$22)*COUNTIFS(BD$18:BD$21,E$17:E$22,BK$18:BK$21,BK21)*G$17:G$22)</f>
        <v>0</v>
      </c>
    </row>
    <row r="22" spans="1:67" ht="12.75" customHeight="1" x14ac:dyDescent="0.3">
      <c r="A22" s="11">
        <v>18</v>
      </c>
      <c r="B22" s="11" t="str">
        <f>TEXT((46197)+(18+4+GmtOffset)/24,"ddd")</f>
        <v>Thu</v>
      </c>
      <c r="C22" s="11" t="str">
        <f>TEXT((46197)+(18+4+GmtOffset)/24,"mmm d, yyyy")</f>
        <v>Jun 25, 2026</v>
      </c>
      <c r="D22" s="11" t="str">
        <f>TEXT((46197)+(18+4+GmtOffset)/24,"h:mm")</f>
        <v>0:00</v>
      </c>
      <c r="E22" s="12" t="s">
        <v>30</v>
      </c>
      <c r="F22" s="7"/>
      <c r="G22" s="7"/>
      <c r="H22" s="13" t="s">
        <v>33</v>
      </c>
      <c r="I22" s="11" t="s">
        <v>31</v>
      </c>
      <c r="J22" s="3"/>
      <c r="K22" s="17" t="str">
        <f>INDEX(BD18:BD21,MATCH(4,BL18:BL21,0))</f>
        <v>Scotland</v>
      </c>
      <c r="L22" s="18">
        <f>INDEX(BE18:BE21,MATCH(4,BL18:BL21,0))</f>
        <v>0</v>
      </c>
      <c r="M22" s="18">
        <f>INDEX(BF18:BF21,MATCH(4,BL18:BL21,0))</f>
        <v>0</v>
      </c>
      <c r="N22" s="18">
        <f>INDEX(BG18:BG21,MATCH(4,BL18:BL21,0))</f>
        <v>0</v>
      </c>
      <c r="O22" s="18">
        <f>INDEX(BH18:BH21,MATCH(4,BL18:BL21,0))</f>
        <v>0</v>
      </c>
      <c r="P22" s="18" t="str">
        <f>INDEX(BI18:BI21,MATCH(4,BL18:BL21,0))&amp;" - "&amp;INDEX(BJ18:BJ21,MATCH(4,BL18:BL21,0))</f>
        <v>0 - 0</v>
      </c>
      <c r="Q22" s="19">
        <f>INDEX(BK18:BK21,MATCH(4,BL18:BL21,0))</f>
        <v>0</v>
      </c>
      <c r="S22" s="15" t="str">
        <f>IF((COUNTIF($F$5:$G$76,"&gt;=0")=144),IFERROR(INDEX($AQ$81:$AQ$92,MATCH($BN$81,$AN$81:$AN$92,0)),"Best 3rd C/D/F/G/H"),"Best 3rd C/D/F/G/H")</f>
        <v>Best 3rd C/D/F/G/H</v>
      </c>
      <c r="T22" s="16"/>
      <c r="U22" s="16"/>
      <c r="V22" s="16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67" ht="12.75" customHeight="1" x14ac:dyDescent="0.3">
      <c r="A23" s="11">
        <v>19</v>
      </c>
      <c r="B23" s="11" t="str">
        <f>TEXT((46185)+(21+4+GmtOffset)/24,"ddd")</f>
        <v>Sat</v>
      </c>
      <c r="C23" s="11" t="str">
        <f>TEXT((46185)+(21+4+GmtOffset)/24,"mmm d, yyyy")</f>
        <v>Jun 13, 2026</v>
      </c>
      <c r="D23" s="11" t="str">
        <f>TEXT((46185)+(21+4+GmtOffset)/24,"h:mm")</f>
        <v>3:00</v>
      </c>
      <c r="E23" s="12" t="s">
        <v>35</v>
      </c>
      <c r="F23" s="7">
        <v>4</v>
      </c>
      <c r="G23" s="7">
        <v>1</v>
      </c>
      <c r="H23" s="13" t="s">
        <v>36</v>
      </c>
      <c r="I23" s="11" t="s">
        <v>19</v>
      </c>
      <c r="J23" s="3"/>
      <c r="K23" s="1" t="s">
        <v>37</v>
      </c>
      <c r="L23" s="20"/>
      <c r="M23" s="20"/>
      <c r="N23" s="20"/>
      <c r="O23" s="20"/>
      <c r="P23" s="20"/>
      <c r="Q23" s="20"/>
      <c r="S23" s="3"/>
      <c r="T23" s="3"/>
      <c r="U23" s="3"/>
      <c r="V23" s="3"/>
      <c r="W23" s="9" t="str">
        <f>IF(AND(ISNUMBER(T17),ISNUMBER(T18)),IF(T17&gt;T18,S17,IF(T18&gt;T17,S18,IF(NOT(AND(ISNUMBER(U17),ISNUMBER(U18))),"",IF(U17&gt;U18,S17,IF(U18&gt;U17,S18,IF(NOT(AND(ISNUMBER(V17),ISNUMBER(V18))),"",IF(V17&gt;V18,S17,IF(V18&gt;V17,S18,"")))))))),"W76")</f>
        <v>W76</v>
      </c>
      <c r="X23" s="10"/>
      <c r="Y23" s="10"/>
      <c r="Z23" s="10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67" ht="12.75" customHeight="1" x14ac:dyDescent="0.3">
      <c r="A24" s="11">
        <v>20</v>
      </c>
      <c r="B24" s="11" t="str">
        <f>TEXT((46187)+(0+4+GmtOffset)/24,"ddd")</f>
        <v>Sun</v>
      </c>
      <c r="C24" s="11" t="str">
        <f>TEXT((46187)+(0+4+GmtOffset)/24,"mmm d, yyyy")</f>
        <v>Jun 14, 2026</v>
      </c>
      <c r="D24" s="11" t="str">
        <f>TEXT((46187)+(0+4+GmtOffset)/24,"h:mm")</f>
        <v>6:00</v>
      </c>
      <c r="E24" s="12" t="s">
        <v>38</v>
      </c>
      <c r="F24" s="7"/>
      <c r="G24" s="7"/>
      <c r="H24" s="13" t="s">
        <v>39</v>
      </c>
      <c r="I24" s="11" t="s">
        <v>19</v>
      </c>
      <c r="J24" s="3"/>
      <c r="K24" s="14"/>
      <c r="L24" s="14" t="s">
        <v>17</v>
      </c>
      <c r="M24" s="14" t="s">
        <v>18</v>
      </c>
      <c r="N24" s="14" t="s">
        <v>19</v>
      </c>
      <c r="O24" s="14" t="s">
        <v>20</v>
      </c>
      <c r="P24" s="14" t="s">
        <v>21</v>
      </c>
      <c r="Q24" s="14" t="s">
        <v>22</v>
      </c>
      <c r="S24" s="3"/>
      <c r="T24" s="3"/>
      <c r="U24" s="3"/>
      <c r="V24" s="3"/>
      <c r="W24" s="15" t="str">
        <f>IF(AND(ISNUMBER(T25),ISNUMBER(T26)),IF(T25&gt;T26,S25,IF(T26&gt;T25,S26,IF(NOT(AND(ISNUMBER(U25),ISNUMBER(U26))),"",IF(U25&gt;U26,S25,IF(U26&gt;U25,S26,IF(NOT(AND(ISNUMBER(V25),ISNUMBER(V26))),"",IF(V25&gt;V26,S25,IF(V26&gt;V25,S26,"")))))))),"W78")</f>
        <v>W78</v>
      </c>
      <c r="X24" s="16"/>
      <c r="Y24" s="16"/>
      <c r="Z24" s="16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BD24" t="s">
        <v>35</v>
      </c>
      <c r="BE24">
        <f t="array" ref="BE24">SUMPRODUCT((((E23:E28=BD24)+(H23:H28=BD24))&gt;0)*ISNUMBER(F23:F28)*ISNUMBER(G23:G28))</f>
        <v>1</v>
      </c>
      <c r="BF24">
        <f t="array" ref="BF24">SUMPRODUCT((E23:E28=BD24)*ISNUMBER(F23:F28)*ISNUMBER(G23:G28)*(F23:F28&gt;G23:G28))+SUMPRODUCT((H23:H28=BD24)*ISNUMBER(F23:F28)*ISNUMBER(G23:G28)*(G23:G28&gt;F23:F28))</f>
        <v>1</v>
      </c>
      <c r="BG24">
        <f t="array" ref="BG24">SUMPRODUCT((((E23:E28=BD24)+(H23:H28=BD24))&gt;0)*ISNUMBER(F23:F28)*ISNUMBER(G23:G28)*(F23:F28=G23:G28))</f>
        <v>0</v>
      </c>
      <c r="BH24">
        <f>BE24-BF24-BG24</f>
        <v>0</v>
      </c>
      <c r="BI24">
        <f t="array" ref="BI24">SUMPRODUCT((E23:E28=BD24)*IFERROR(F23:F28,0))+SUMPRODUCT((H23:H28=BD24)*IFERROR(G23:G28,0))</f>
        <v>4</v>
      </c>
      <c r="BJ24">
        <f t="array" ref="BJ24">SUMPRODUCT((E23:E28=BD24)*IFERROR(G23:G28,0))+SUMPRODUCT((H23:H28=BD24)*IFERROR(F23:F28,0))</f>
        <v>1</v>
      </c>
      <c r="BK24">
        <f>BF24*3+BG24</f>
        <v>3</v>
      </c>
      <c r="BL24">
        <f>1+SUMPRODUCT(((BK$24:BK$27&gt;BK24)+(BK$24:BK$27=BK24)*(BM$24:BM$27&gt;BM24)+(BK$24:BK$27=BK24)*(BM$24:BM$27=BM24)*(BN$24:BN$27&gt;BN24)+(BK$24:BK$27=BK24)*(BM$24:BM$27=BM24)*(BN$24:BN$27=BN24)*(BO$24:BO$27&gt;BO24)+(BK$24:BK$27=BK24)*(BM$24:BM$27=BM24)*(BN$24:BN$27=BN24)*(BO$24:BO$27=BO24)*((BI$24:BI$27-BJ$24:BJ$27)&gt;(BI24-BJ24))+(BK$24:BK$27=BK24)*(BM$24:BM$27=BM24)*(BN$24:BN$27=BN24)*(BO$24:BO$27=BO24)*((BI$24:BI$27-BJ$24:BJ$27)=(BI24-BJ24))*(BI$24:BI$27&gt;BI24)+(BK$24:BK$27=BK24)*(BM$24:BM$27=BM24)*(BN$24:BN$27=BN24)*(BO$24:BO$27=BO24)*((BI$24:BI$27-BJ$24:BJ$27)=(BI24-BJ24))*(BI$24:BI$27=BI24)*(ROW(BK$24:BK$27)&lt;ROW(BK24)))*1)</f>
        <v>1</v>
      </c>
      <c r="BM24">
        <f t="array" ref="BM24">SUMPRODUCT((E$23:E$28=BD24)*ISNUMBER(F$23:F$28)*ISNUMBER(G$23:G$28)*COUNTIFS(BD$24:BD$27,H$23:H$28,BK$24:BK$27,BK24)*((F$23:F$28&gt;G$23:G$28)*3+(F$23:F$28=G$23:G$28)))+SUMPRODUCT((H$23:H$28=BD24)*ISNUMBER(F$23:F$28)*ISNUMBER(G$23:G$28)*COUNTIFS(BD$24:BD$27,E$23:E$28,BK$24:BK$27,BK24)*((G$23:G$28&gt;F$23:F$28)*3+(F$23:F$28=G$23:G$28)))</f>
        <v>0</v>
      </c>
      <c r="BN24">
        <f t="array" ref="BN24">SUMPRODUCT((E$23:E$28=BD24)*ISNUMBER(F$23:F$28)*ISNUMBER(G$23:G$28)*COUNTIFS(BD$24:BD$27,H$23:H$28,BK$24:BK$27,BK24)*(F$23:F$28-G$23:G$28))+SUMPRODUCT((H$23:H$28=BD24)*ISNUMBER(F$23:F$28)*ISNUMBER(G$23:G$28)*COUNTIFS(BD$24:BD$27,E$23:E$28,BK$24:BK$27,BK24)*(G$23:G$28-F$23:F$28))</f>
        <v>0</v>
      </c>
      <c r="BO24">
        <f t="array" ref="BO24">SUMPRODUCT((E$23:E$28=BD24)*ISNUMBER(F$23:F$28)*ISNUMBER(G$23:G$28)*COUNTIFS(BD$24:BD$27,H$23:H$28,BK$24:BK$27,BK24)*F$23:F$28)+SUMPRODUCT((H$23:H$28=BD24)*ISNUMBER(F$23:F$28)*ISNUMBER(G$23:G$28)*COUNTIFS(BD$24:BD$27,E$23:E$28,BK$24:BK$27,BK24)*G$23:G$28)</f>
        <v>0</v>
      </c>
    </row>
    <row r="25" spans="1:67" ht="12.75" customHeight="1" x14ac:dyDescent="0.3">
      <c r="A25" s="11">
        <v>21</v>
      </c>
      <c r="B25" s="11" t="str">
        <f>TEXT((46192)+(15+4+GmtOffset)/24,"ddd")</f>
        <v>Fri</v>
      </c>
      <c r="C25" s="11" t="str">
        <f>TEXT((46192)+(15+4+GmtOffset)/24,"mmm d, yyyy")</f>
        <v>Jun 19, 2026</v>
      </c>
      <c r="D25" s="11" t="str">
        <f>TEXT((46192)+(15+4+GmtOffset)/24,"h:mm")</f>
        <v>21:00</v>
      </c>
      <c r="E25" s="12" t="s">
        <v>35</v>
      </c>
      <c r="F25" s="7"/>
      <c r="G25" s="7"/>
      <c r="H25" s="13" t="s">
        <v>38</v>
      </c>
      <c r="I25" s="11" t="s">
        <v>19</v>
      </c>
      <c r="J25" s="3"/>
      <c r="K25" s="13" t="str">
        <f>INDEX(BD24:BD27,MATCH(1,BL24:BL27,0))</f>
        <v>United States</v>
      </c>
      <c r="L25" s="11">
        <f>INDEX(BE24:BE27,MATCH(1,BL24:BL27,0))</f>
        <v>1</v>
      </c>
      <c r="M25" s="11">
        <f>INDEX(BF24:BF27,MATCH(1,BL24:BL27,0))</f>
        <v>1</v>
      </c>
      <c r="N25" s="11">
        <f>INDEX(BG24:BG27,MATCH(1,BL24:BL27,0))</f>
        <v>0</v>
      </c>
      <c r="O25" s="11">
        <f>INDEX(BH24:BH27,MATCH(1,BL24:BL27,0))</f>
        <v>0</v>
      </c>
      <c r="P25" s="11" t="str">
        <f>INDEX(BI24:BI27,MATCH(1,BL24:BL27,0))&amp;" - "&amp;INDEX(BJ24:BJ27,MATCH(1,BL24:BL27,0))</f>
        <v>4 - 1</v>
      </c>
      <c r="Q25" s="14">
        <f>INDEX(BK24:BK27,MATCH(1,BL24:BL27,0))</f>
        <v>3</v>
      </c>
      <c r="S25" s="9" t="str">
        <f>IF((COUNTIF($F$5:$G$76,"&gt;=0")=144),IFERROR(INDEX($AP$81:$AP$92,5),"Runner-up E"),"Runner-up E")</f>
        <v>Runner-up E</v>
      </c>
      <c r="T25" s="10"/>
      <c r="U25" s="10"/>
      <c r="V25" s="10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BD25" t="s">
        <v>36</v>
      </c>
      <c r="BE25">
        <f t="array" ref="BE25">SUMPRODUCT((((E23:E28=BD25)+(H23:H28=BD25))&gt;0)*ISNUMBER(F23:F28)*ISNUMBER(G23:G28))</f>
        <v>1</v>
      </c>
      <c r="BF25">
        <f t="array" ref="BF25">SUMPRODUCT((E23:E28=BD25)*ISNUMBER(F23:F28)*ISNUMBER(G23:G28)*(F23:F28&gt;G23:G28))+SUMPRODUCT((H23:H28=BD25)*ISNUMBER(F23:F28)*ISNUMBER(G23:G28)*(G23:G28&gt;F23:F28))</f>
        <v>0</v>
      </c>
      <c r="BG25">
        <f t="array" ref="BG25">SUMPRODUCT((((E23:E28=BD25)+(H23:H28=BD25))&gt;0)*ISNUMBER(F23:F28)*ISNUMBER(G23:G28)*(F23:F28=G23:G28))</f>
        <v>0</v>
      </c>
      <c r="BH25">
        <f>BE25-BF25-BG25</f>
        <v>1</v>
      </c>
      <c r="BI25">
        <f t="array" ref="BI25">SUMPRODUCT((E23:E28=BD25)*IFERROR(F23:F28,0))+SUMPRODUCT((H23:H28=BD25)*IFERROR(G23:G28,0))</f>
        <v>1</v>
      </c>
      <c r="BJ25">
        <f t="array" ref="BJ25">SUMPRODUCT((E23:E28=BD25)*IFERROR(G23:G28,0))+SUMPRODUCT((H23:H28=BD25)*IFERROR(F23:F28,0))</f>
        <v>4</v>
      </c>
      <c r="BK25">
        <f>BF25*3+BG25</f>
        <v>0</v>
      </c>
      <c r="BL25">
        <f>1+SUMPRODUCT(((BK$24:BK$27&gt;BK25)+(BK$24:BK$27=BK25)*(BM$24:BM$27&gt;BM25)+(BK$24:BK$27=BK25)*(BM$24:BM$27=BM25)*(BN$24:BN$27&gt;BN25)+(BK$24:BK$27=BK25)*(BM$24:BM$27=BM25)*(BN$24:BN$27=BN25)*(BO$24:BO$27&gt;BO25)+(BK$24:BK$27=BK25)*(BM$24:BM$27=BM25)*(BN$24:BN$27=BN25)*(BO$24:BO$27=BO25)*((BI$24:BI$27-BJ$24:BJ$27)&gt;(BI25-BJ25))+(BK$24:BK$27=BK25)*(BM$24:BM$27=BM25)*(BN$24:BN$27=BN25)*(BO$24:BO$27=BO25)*((BI$24:BI$27-BJ$24:BJ$27)=(BI25-BJ25))*(BI$24:BI$27&gt;BI25)+(BK$24:BK$27=BK25)*(BM$24:BM$27=BM25)*(BN$24:BN$27=BN25)*(BO$24:BO$27=BO25)*((BI$24:BI$27-BJ$24:BJ$27)=(BI25-BJ25))*(BI$24:BI$27=BI25)*(ROW(BK$24:BK$27)&lt;ROW(BK25)))*1)</f>
        <v>4</v>
      </c>
      <c r="BM25">
        <f t="array" ref="BM25">SUMPRODUCT((E$23:E$28=BD25)*ISNUMBER(F$23:F$28)*ISNUMBER(G$23:G$28)*COUNTIFS(BD$24:BD$27,H$23:H$28,BK$24:BK$27,BK25)*((F$23:F$28&gt;G$23:G$28)*3+(F$23:F$28=G$23:G$28)))+SUMPRODUCT((H$23:H$28=BD25)*ISNUMBER(F$23:F$28)*ISNUMBER(G$23:G$28)*COUNTIFS(BD$24:BD$27,E$23:E$28,BK$24:BK$27,BK25)*((G$23:G$28&gt;F$23:F$28)*3+(F$23:F$28=G$23:G$28)))</f>
        <v>0</v>
      </c>
      <c r="BN25">
        <f t="array" ref="BN25">SUMPRODUCT((E$23:E$28=BD25)*ISNUMBER(F$23:F$28)*ISNUMBER(G$23:G$28)*COUNTIFS(BD$24:BD$27,H$23:H$28,BK$24:BK$27,BK25)*(F$23:F$28-G$23:G$28))+SUMPRODUCT((H$23:H$28=BD25)*ISNUMBER(F$23:F$28)*ISNUMBER(G$23:G$28)*COUNTIFS(BD$24:BD$27,E$23:E$28,BK$24:BK$27,BK25)*(G$23:G$28-F$23:F$28))</f>
        <v>0</v>
      </c>
      <c r="BO25">
        <f t="array" ref="BO25">SUMPRODUCT((E$23:E$28=BD25)*ISNUMBER(F$23:F$28)*ISNUMBER(G$23:G$28)*COUNTIFS(BD$24:BD$27,H$23:H$28,BK$24:BK$27,BK25)*F$23:F$28)+SUMPRODUCT((H$23:H$28=BD25)*ISNUMBER(F$23:F$28)*ISNUMBER(G$23:G$28)*COUNTIFS(BD$24:BD$27,E$23:E$28,BK$24:BK$27,BK25)*G$23:G$28)</f>
        <v>0</v>
      </c>
    </row>
    <row r="26" spans="1:67" ht="12.75" customHeight="1" x14ac:dyDescent="0.3">
      <c r="A26" s="11">
        <v>22</v>
      </c>
      <c r="B26" s="11" t="str">
        <f>TEXT((46192)+(23+4+GmtOffset)/24,"ddd")</f>
        <v>Sat</v>
      </c>
      <c r="C26" s="11" t="str">
        <f>TEXT((46192)+(23+4+GmtOffset)/24,"mmm d, yyyy")</f>
        <v>Jun 20, 2026</v>
      </c>
      <c r="D26" s="11" t="str">
        <f>TEXT((46192)+(23+4+GmtOffset)/24,"h:mm")</f>
        <v>5:00</v>
      </c>
      <c r="E26" s="12" t="s">
        <v>39</v>
      </c>
      <c r="F26" s="7"/>
      <c r="G26" s="7"/>
      <c r="H26" s="13" t="s">
        <v>36</v>
      </c>
      <c r="I26" s="11" t="s">
        <v>19</v>
      </c>
      <c r="J26" s="3"/>
      <c r="K26" s="13" t="str">
        <f>INDEX(BD24:BD27,MATCH(2,BL24:BL27,0))</f>
        <v>Australia</v>
      </c>
      <c r="L26" s="11">
        <f>INDEX(BE24:BE27,MATCH(2,BL24:BL27,0))</f>
        <v>0</v>
      </c>
      <c r="M26" s="11">
        <f>INDEX(BF24:BF27,MATCH(2,BL24:BL27,0))</f>
        <v>0</v>
      </c>
      <c r="N26" s="11">
        <f>INDEX(BG24:BG27,MATCH(2,BL24:BL27,0))</f>
        <v>0</v>
      </c>
      <c r="O26" s="11">
        <f>INDEX(BH24:BH27,MATCH(2,BL24:BL27,0))</f>
        <v>0</v>
      </c>
      <c r="P26" s="11" t="str">
        <f>INDEX(BI24:BI27,MATCH(2,BL24:BL27,0))&amp;" - "&amp;INDEX(BJ24:BJ27,MATCH(2,BL24:BL27,0))</f>
        <v>0 - 0</v>
      </c>
      <c r="Q26" s="14">
        <f>INDEX(BK24:BK27,MATCH(2,BL24:BL27,0))</f>
        <v>0</v>
      </c>
      <c r="S26" s="15" t="str">
        <f>IF((COUNTIF($F$5:$G$76,"&gt;=0")=144),IFERROR(INDEX($AP$81:$AP$92,9),"Runner-up I"),"Runner-up I")</f>
        <v>Runner-up I</v>
      </c>
      <c r="T26" s="16"/>
      <c r="U26" s="16"/>
      <c r="V26" s="16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BD26" t="s">
        <v>38</v>
      </c>
      <c r="BE26">
        <f t="array" ref="BE26">SUMPRODUCT((((E23:E28=BD26)+(H23:H28=BD26))&gt;0)*ISNUMBER(F23:F28)*ISNUMBER(G23:G28))</f>
        <v>0</v>
      </c>
      <c r="BF26">
        <f t="array" ref="BF26">SUMPRODUCT((E23:E28=BD26)*ISNUMBER(F23:F28)*ISNUMBER(G23:G28)*(F23:F28&gt;G23:G28))+SUMPRODUCT((H23:H28=BD26)*ISNUMBER(F23:F28)*ISNUMBER(G23:G28)*(G23:G28&gt;F23:F28))</f>
        <v>0</v>
      </c>
      <c r="BG26">
        <f t="array" ref="BG26">SUMPRODUCT((((E23:E28=BD26)+(H23:H28=BD26))&gt;0)*ISNUMBER(F23:F28)*ISNUMBER(G23:G28)*(F23:F28=G23:G28))</f>
        <v>0</v>
      </c>
      <c r="BH26">
        <f>BE26-BF26-BG26</f>
        <v>0</v>
      </c>
      <c r="BI26">
        <f t="array" ref="BI26">SUMPRODUCT((E23:E28=BD26)*IFERROR(F23:F28,0))+SUMPRODUCT((H23:H28=BD26)*IFERROR(G23:G28,0))</f>
        <v>0</v>
      </c>
      <c r="BJ26">
        <f t="array" ref="BJ26">SUMPRODUCT((E23:E28=BD26)*IFERROR(G23:G28,0))+SUMPRODUCT((H23:H28=BD26)*IFERROR(F23:F28,0))</f>
        <v>0</v>
      </c>
      <c r="BK26">
        <f>BF26*3+BG26</f>
        <v>0</v>
      </c>
      <c r="BL26">
        <f>1+SUMPRODUCT(((BK$24:BK$27&gt;BK26)+(BK$24:BK$27=BK26)*(BM$24:BM$27&gt;BM26)+(BK$24:BK$27=BK26)*(BM$24:BM$27=BM26)*(BN$24:BN$27&gt;BN26)+(BK$24:BK$27=BK26)*(BM$24:BM$27=BM26)*(BN$24:BN$27=BN26)*(BO$24:BO$27&gt;BO26)+(BK$24:BK$27=BK26)*(BM$24:BM$27=BM26)*(BN$24:BN$27=BN26)*(BO$24:BO$27=BO26)*((BI$24:BI$27-BJ$24:BJ$27)&gt;(BI26-BJ26))+(BK$24:BK$27=BK26)*(BM$24:BM$27=BM26)*(BN$24:BN$27=BN26)*(BO$24:BO$27=BO26)*((BI$24:BI$27-BJ$24:BJ$27)=(BI26-BJ26))*(BI$24:BI$27&gt;BI26)+(BK$24:BK$27=BK26)*(BM$24:BM$27=BM26)*(BN$24:BN$27=BN26)*(BO$24:BO$27=BO26)*((BI$24:BI$27-BJ$24:BJ$27)=(BI26-BJ26))*(BI$24:BI$27=BI26)*(ROW(BK$24:BK$27)&lt;ROW(BK26)))*1)</f>
        <v>2</v>
      </c>
      <c r="BM26">
        <f t="array" ref="BM26">SUMPRODUCT((E$23:E$28=BD26)*ISNUMBER(F$23:F$28)*ISNUMBER(G$23:G$28)*COUNTIFS(BD$24:BD$27,H$23:H$28,BK$24:BK$27,BK26)*((F$23:F$28&gt;G$23:G$28)*3+(F$23:F$28=G$23:G$28)))+SUMPRODUCT((H$23:H$28=BD26)*ISNUMBER(F$23:F$28)*ISNUMBER(G$23:G$28)*COUNTIFS(BD$24:BD$27,E$23:E$28,BK$24:BK$27,BK26)*((G$23:G$28&gt;F$23:F$28)*3+(F$23:F$28=G$23:G$28)))</f>
        <v>0</v>
      </c>
      <c r="BN26">
        <f t="array" ref="BN26">SUMPRODUCT((E$23:E$28=BD26)*ISNUMBER(F$23:F$28)*ISNUMBER(G$23:G$28)*COUNTIFS(BD$24:BD$27,H$23:H$28,BK$24:BK$27,BK26)*(F$23:F$28-G$23:G$28))+SUMPRODUCT((H$23:H$28=BD26)*ISNUMBER(F$23:F$28)*ISNUMBER(G$23:G$28)*COUNTIFS(BD$24:BD$27,E$23:E$28,BK$24:BK$27,BK26)*(G$23:G$28-F$23:F$28))</f>
        <v>0</v>
      </c>
      <c r="BO26">
        <f t="array" ref="BO26">SUMPRODUCT((E$23:E$28=BD26)*ISNUMBER(F$23:F$28)*ISNUMBER(G$23:G$28)*COUNTIFS(BD$24:BD$27,H$23:H$28,BK$24:BK$27,BK26)*F$23:F$28)+SUMPRODUCT((H$23:H$28=BD26)*ISNUMBER(F$23:F$28)*ISNUMBER(G$23:G$28)*COUNTIFS(BD$24:BD$27,E$23:E$28,BK$24:BK$27,BK26)*G$23:G$28)</f>
        <v>0</v>
      </c>
    </row>
    <row r="27" spans="1:67" ht="12.75" customHeight="1" x14ac:dyDescent="0.3">
      <c r="A27" s="11">
        <v>23</v>
      </c>
      <c r="B27" s="11" t="str">
        <f>TEXT((46198)+(22+4+GmtOffset)/24,"ddd")</f>
        <v>Fri</v>
      </c>
      <c r="C27" s="11" t="str">
        <f>TEXT((46198)+(22+4+GmtOffset)/24,"mmm d, yyyy")</f>
        <v>Jun 26, 2026</v>
      </c>
      <c r="D27" s="11" t="str">
        <f>TEXT((46198)+(22+4+GmtOffset)/24,"h:mm")</f>
        <v>4:00</v>
      </c>
      <c r="E27" s="12" t="s">
        <v>39</v>
      </c>
      <c r="F27" s="7"/>
      <c r="G27" s="7"/>
      <c r="H27" s="13" t="s">
        <v>35</v>
      </c>
      <c r="I27" s="11" t="s">
        <v>19</v>
      </c>
      <c r="J27" s="3"/>
      <c r="K27" s="13" t="str">
        <f>INDEX(BD24:BD27,MATCH(3,BL24:BL27,0))</f>
        <v>Türkiye</v>
      </c>
      <c r="L27" s="11">
        <f>INDEX(BE24:BE27,MATCH(3,BL24:BL27,0))</f>
        <v>0</v>
      </c>
      <c r="M27" s="11">
        <f>INDEX(BF24:BF27,MATCH(3,BL24:BL27,0))</f>
        <v>0</v>
      </c>
      <c r="N27" s="11">
        <f>INDEX(BG24:BG27,MATCH(3,BL24:BL27,0))</f>
        <v>0</v>
      </c>
      <c r="O27" s="11">
        <f>INDEX(BH24:BH27,MATCH(3,BL24:BL27,0))</f>
        <v>0</v>
      </c>
      <c r="P27" s="11" t="str">
        <f>INDEX(BI24:BI27,MATCH(3,BL24:BL27,0))&amp;" - "&amp;INDEX(BJ24:BJ27,MATCH(3,BL24:BL27,0))</f>
        <v>0 - 0</v>
      </c>
      <c r="Q27" s="14">
        <f>INDEX(BK24:BK27,MATCH(3,BL24:BL27,0))</f>
        <v>0</v>
      </c>
      <c r="S27" s="3"/>
      <c r="T27" s="3"/>
      <c r="U27" s="3"/>
      <c r="V27" s="3"/>
      <c r="W27" s="3"/>
      <c r="X27" s="3"/>
      <c r="Y27" s="3"/>
      <c r="Z27" s="3"/>
      <c r="AA27" s="9" t="str">
        <f>IF(AND(ISNUMBER(X39),ISNUMBER(X40)),IF(X39&gt;X40,W39,IF(X40&gt;X39,W40,IF(NOT(AND(ISNUMBER(Y39),ISNUMBER(Y40))),"",IF(Y39&gt;Y40,W39,IF(Y40&gt;Y39,W40,IF(NOT(AND(ISNUMBER(Z39),ISNUMBER(Z40))),"",IF(Z39&gt;Z40,W39,IF(Z40&gt;Z39,W40,"")))))))),"W93")</f>
        <v>W93</v>
      </c>
      <c r="AB27" s="10"/>
      <c r="AC27" s="10"/>
      <c r="AD27" s="10"/>
      <c r="AE27" s="3"/>
      <c r="AF27" s="3"/>
      <c r="AG27" s="3"/>
      <c r="AH27" s="3"/>
      <c r="AI27" s="3"/>
      <c r="AJ27" s="3"/>
      <c r="AK27" s="3"/>
      <c r="AL27" s="3"/>
      <c r="AM27" s="3"/>
      <c r="AN27" s="3"/>
      <c r="BD27" t="s">
        <v>39</v>
      </c>
      <c r="BE27">
        <f t="array" ref="BE27">SUMPRODUCT((((E23:E28=BD27)+(H23:H28=BD27))&gt;0)*ISNUMBER(F23:F28)*ISNUMBER(G23:G28))</f>
        <v>0</v>
      </c>
      <c r="BF27">
        <f t="array" ref="BF27">SUMPRODUCT((E23:E28=BD27)*ISNUMBER(F23:F28)*ISNUMBER(G23:G28)*(F23:F28&gt;G23:G28))+SUMPRODUCT((H23:H28=BD27)*ISNUMBER(F23:F28)*ISNUMBER(G23:G28)*(G23:G28&gt;F23:F28))</f>
        <v>0</v>
      </c>
      <c r="BG27">
        <f t="array" ref="BG27">SUMPRODUCT((((E23:E28=BD27)+(H23:H28=BD27))&gt;0)*ISNUMBER(F23:F28)*ISNUMBER(G23:G28)*(F23:F28=G23:G28))</f>
        <v>0</v>
      </c>
      <c r="BH27">
        <f>BE27-BF27-BG27</f>
        <v>0</v>
      </c>
      <c r="BI27">
        <f t="array" ref="BI27">SUMPRODUCT((E23:E28=BD27)*IFERROR(F23:F28,0))+SUMPRODUCT((H23:H28=BD27)*IFERROR(G23:G28,0))</f>
        <v>0</v>
      </c>
      <c r="BJ27">
        <f t="array" ref="BJ27">SUMPRODUCT((E23:E28=BD27)*IFERROR(G23:G28,0))+SUMPRODUCT((H23:H28=BD27)*IFERROR(F23:F28,0))</f>
        <v>0</v>
      </c>
      <c r="BK27">
        <f>BF27*3+BG27</f>
        <v>0</v>
      </c>
      <c r="BL27">
        <f>1+SUMPRODUCT(((BK$24:BK$27&gt;BK27)+(BK$24:BK$27=BK27)*(BM$24:BM$27&gt;BM27)+(BK$24:BK$27=BK27)*(BM$24:BM$27=BM27)*(BN$24:BN$27&gt;BN27)+(BK$24:BK$27=BK27)*(BM$24:BM$27=BM27)*(BN$24:BN$27=BN27)*(BO$24:BO$27&gt;BO27)+(BK$24:BK$27=BK27)*(BM$24:BM$27=BM27)*(BN$24:BN$27=BN27)*(BO$24:BO$27=BO27)*((BI$24:BI$27-BJ$24:BJ$27)&gt;(BI27-BJ27))+(BK$24:BK$27=BK27)*(BM$24:BM$27=BM27)*(BN$24:BN$27=BN27)*(BO$24:BO$27=BO27)*((BI$24:BI$27-BJ$24:BJ$27)=(BI27-BJ27))*(BI$24:BI$27&gt;BI27)+(BK$24:BK$27=BK27)*(BM$24:BM$27=BM27)*(BN$24:BN$27=BN27)*(BO$24:BO$27=BO27)*((BI$24:BI$27-BJ$24:BJ$27)=(BI27-BJ27))*(BI$24:BI$27=BI27)*(ROW(BK$24:BK$27)&lt;ROW(BK27)))*1)</f>
        <v>3</v>
      </c>
      <c r="BM27">
        <f t="array" ref="BM27">SUMPRODUCT((E$23:E$28=BD27)*ISNUMBER(F$23:F$28)*ISNUMBER(G$23:G$28)*COUNTIFS(BD$24:BD$27,H$23:H$28,BK$24:BK$27,BK27)*((F$23:F$28&gt;G$23:G$28)*3+(F$23:F$28=G$23:G$28)))+SUMPRODUCT((H$23:H$28=BD27)*ISNUMBER(F$23:F$28)*ISNUMBER(G$23:G$28)*COUNTIFS(BD$24:BD$27,E$23:E$28,BK$24:BK$27,BK27)*((G$23:G$28&gt;F$23:F$28)*3+(F$23:F$28=G$23:G$28)))</f>
        <v>0</v>
      </c>
      <c r="BN27">
        <f t="array" ref="BN27">SUMPRODUCT((E$23:E$28=BD27)*ISNUMBER(F$23:F$28)*ISNUMBER(G$23:G$28)*COUNTIFS(BD$24:BD$27,H$23:H$28,BK$24:BK$27,BK27)*(F$23:F$28-G$23:G$28))+SUMPRODUCT((H$23:H$28=BD27)*ISNUMBER(F$23:F$28)*ISNUMBER(G$23:G$28)*COUNTIFS(BD$24:BD$27,E$23:E$28,BK$24:BK$27,BK27)*(G$23:G$28-F$23:F$28))</f>
        <v>0</v>
      </c>
      <c r="BO27">
        <f t="array" ref="BO27">SUMPRODUCT((E$23:E$28=BD27)*ISNUMBER(F$23:F$28)*ISNUMBER(G$23:G$28)*COUNTIFS(BD$24:BD$27,H$23:H$28,BK$24:BK$27,BK27)*F$23:F$28)+SUMPRODUCT((H$23:H$28=BD27)*ISNUMBER(F$23:F$28)*ISNUMBER(G$23:G$28)*COUNTIFS(BD$24:BD$27,E$23:E$28,BK$24:BK$27,BK27)*G$23:G$28)</f>
        <v>0</v>
      </c>
    </row>
    <row r="28" spans="1:67" ht="12.75" customHeight="1" x14ac:dyDescent="0.3">
      <c r="A28" s="11">
        <v>24</v>
      </c>
      <c r="B28" s="11" t="str">
        <f>TEXT((46198)+(22+4+GmtOffset)/24,"ddd")</f>
        <v>Fri</v>
      </c>
      <c r="C28" s="11" t="str">
        <f>TEXT((46198)+(22+4+GmtOffset)/24,"mmm d, yyyy")</f>
        <v>Jun 26, 2026</v>
      </c>
      <c r="D28" s="11" t="str">
        <f>TEXT((46198)+(22+4+GmtOffset)/24,"h:mm")</f>
        <v>4:00</v>
      </c>
      <c r="E28" s="12" t="s">
        <v>36</v>
      </c>
      <c r="F28" s="7"/>
      <c r="G28" s="7"/>
      <c r="H28" s="13" t="s">
        <v>38</v>
      </c>
      <c r="I28" s="11" t="s">
        <v>19</v>
      </c>
      <c r="J28" s="3"/>
      <c r="K28" s="17" t="str">
        <f>INDEX(BD24:BD27,MATCH(4,BL24:BL27,0))</f>
        <v>Paraguay</v>
      </c>
      <c r="L28" s="18">
        <f>INDEX(BE24:BE27,MATCH(4,BL24:BL27,0))</f>
        <v>1</v>
      </c>
      <c r="M28" s="18">
        <f>INDEX(BF24:BF27,MATCH(4,BL24:BL27,0))</f>
        <v>0</v>
      </c>
      <c r="N28" s="18">
        <f>INDEX(BG24:BG27,MATCH(4,BL24:BL27,0))</f>
        <v>0</v>
      </c>
      <c r="O28" s="18">
        <f>INDEX(BH24:BH27,MATCH(4,BL24:BL27,0))</f>
        <v>1</v>
      </c>
      <c r="P28" s="18" t="str">
        <f>INDEX(BI24:BI27,MATCH(4,BL24:BL27,0))&amp;" - "&amp;INDEX(BJ24:BJ27,MATCH(4,BL24:BL27,0))</f>
        <v>1 - 4</v>
      </c>
      <c r="Q28" s="19">
        <f>INDEX(BK24:BK27,MATCH(4,BL24:BL27,0))</f>
        <v>0</v>
      </c>
      <c r="S28" s="3"/>
      <c r="T28" s="3"/>
      <c r="U28" s="3"/>
      <c r="V28" s="3"/>
      <c r="W28" s="3"/>
      <c r="X28" s="3"/>
      <c r="Y28" s="3"/>
      <c r="Z28" s="3"/>
      <c r="AA28" s="15" t="str">
        <f>IF(AND(ISNUMBER(X47),ISNUMBER(X48)),IF(X47&gt;X48,W47,IF(X48&gt;X47,W48,IF(NOT(AND(ISNUMBER(Y47),ISNUMBER(Y48))),"",IF(Y47&gt;Y48,W47,IF(Y48&gt;Y47,W48,IF(NOT(AND(ISNUMBER(Z47),ISNUMBER(Z48))),"",IF(Z47&gt;Z48,W47,IF(Z48&gt;Z47,W48,"")))))))),"W94")</f>
        <v>W94</v>
      </c>
      <c r="AB28" s="16"/>
      <c r="AC28" s="16"/>
      <c r="AD28" s="16"/>
      <c r="AE28" s="3"/>
      <c r="AF28" s="3"/>
      <c r="AG28" s="3"/>
      <c r="AH28" s="3"/>
      <c r="AI28" s="3"/>
      <c r="AJ28" s="3"/>
      <c r="AK28" s="3"/>
      <c r="AL28" s="3"/>
      <c r="AM28" s="3"/>
      <c r="AN28" s="3"/>
    </row>
    <row r="29" spans="1:67" ht="12.75" customHeight="1" x14ac:dyDescent="0.3">
      <c r="A29" s="11">
        <v>25</v>
      </c>
      <c r="B29" s="11" t="str">
        <f>TEXT((46187)+(13+4+GmtOffset)/24,"ddd")</f>
        <v>Sun</v>
      </c>
      <c r="C29" s="11" t="str">
        <f>TEXT((46187)+(13+4+GmtOffset)/24,"mmm d, yyyy")</f>
        <v>Jun 14, 2026</v>
      </c>
      <c r="D29" s="11" t="str">
        <f>TEXT((46187)+(13+4+GmtOffset)/24,"h:mm")</f>
        <v>19:00</v>
      </c>
      <c r="E29" s="12" t="s">
        <v>40</v>
      </c>
      <c r="F29" s="7"/>
      <c r="G29" s="7"/>
      <c r="H29" s="13" t="s">
        <v>41</v>
      </c>
      <c r="I29" s="11" t="s">
        <v>42</v>
      </c>
      <c r="J29" s="3"/>
      <c r="K29" s="1" t="s">
        <v>43</v>
      </c>
      <c r="L29" s="20"/>
      <c r="M29" s="20"/>
      <c r="N29" s="20"/>
      <c r="O29" s="20"/>
      <c r="P29" s="20"/>
      <c r="Q29" s="20"/>
      <c r="S29" s="9" t="str">
        <f>IF((COUNTIF($F$5:$G$76,"&gt;=0")=144),IFERROR(INDEX($AO$81:$AO$92,1),"Winner A"),"Winner A")</f>
        <v>Winner A</v>
      </c>
      <c r="T29" s="10"/>
      <c r="U29" s="10"/>
      <c r="V29" s="10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67" ht="12.75" customHeight="1" x14ac:dyDescent="0.3">
      <c r="A30" s="11">
        <v>26</v>
      </c>
      <c r="B30" s="11" t="str">
        <f>TEXT((46187)+(19+4+GmtOffset)/24,"ddd")</f>
        <v>Mon</v>
      </c>
      <c r="C30" s="11" t="str">
        <f>TEXT((46187)+(19+4+GmtOffset)/24,"mmm d, yyyy")</f>
        <v>Jun 15, 2026</v>
      </c>
      <c r="D30" s="11" t="str">
        <f>TEXT((46187)+(19+4+GmtOffset)/24,"h:mm")</f>
        <v>1:00</v>
      </c>
      <c r="E30" s="12" t="s">
        <v>44</v>
      </c>
      <c r="F30" s="7"/>
      <c r="G30" s="7"/>
      <c r="H30" s="13" t="s">
        <v>45</v>
      </c>
      <c r="I30" s="11" t="s">
        <v>42</v>
      </c>
      <c r="J30" s="3"/>
      <c r="K30" s="14"/>
      <c r="L30" s="14" t="s">
        <v>17</v>
      </c>
      <c r="M30" s="14" t="s">
        <v>18</v>
      </c>
      <c r="N30" s="14" t="s">
        <v>19</v>
      </c>
      <c r="O30" s="14" t="s">
        <v>20</v>
      </c>
      <c r="P30" s="14" t="s">
        <v>21</v>
      </c>
      <c r="Q30" s="14" t="s">
        <v>22</v>
      </c>
      <c r="S30" s="15" t="str">
        <f>IF((COUNTIF($F$5:$G$76,"&gt;=0")=144),IFERROR(INDEX($AQ$81:$AQ$92,MATCH($BO$81,$AN$81:$AN$92,0)),"Best 3rd C/E/F/H/I"),"Best 3rd C/E/F/H/I")</f>
        <v>Best 3rd C/E/F/H/I</v>
      </c>
      <c r="T30" s="16"/>
      <c r="U30" s="16"/>
      <c r="V30" s="16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BD30" t="s">
        <v>40</v>
      </c>
      <c r="BE30">
        <f t="array" ref="BE30">SUMPRODUCT((((E29:E34=BD30)+(H29:H34=BD30))&gt;0)*ISNUMBER(F29:F34)*ISNUMBER(G29:G34))</f>
        <v>0</v>
      </c>
      <c r="BF30">
        <f t="array" ref="BF30">SUMPRODUCT((E29:E34=BD30)*ISNUMBER(F29:F34)*ISNUMBER(G29:G34)*(F29:F34&gt;G29:G34))+SUMPRODUCT((H29:H34=BD30)*ISNUMBER(F29:F34)*ISNUMBER(G29:G34)*(G29:G34&gt;F29:F34))</f>
        <v>0</v>
      </c>
      <c r="BG30">
        <f t="array" ref="BG30">SUMPRODUCT((((E29:E34=BD30)+(H29:H34=BD30))&gt;0)*ISNUMBER(F29:F34)*ISNUMBER(G29:G34)*(F29:F34=G29:G34))</f>
        <v>0</v>
      </c>
      <c r="BH30">
        <f>BE30-BF30-BG30</f>
        <v>0</v>
      </c>
      <c r="BI30">
        <f t="array" ref="BI30">SUMPRODUCT((E29:E34=BD30)*IFERROR(F29:F34,0))+SUMPRODUCT((H29:H34=BD30)*IFERROR(G29:G34,0))</f>
        <v>0</v>
      </c>
      <c r="BJ30">
        <f t="array" ref="BJ30">SUMPRODUCT((E29:E34=BD30)*IFERROR(G29:G34,0))+SUMPRODUCT((H29:H34=BD30)*IFERROR(F29:F34,0))</f>
        <v>0</v>
      </c>
      <c r="BK30">
        <f>BF30*3+BG30</f>
        <v>0</v>
      </c>
      <c r="BL30">
        <f>1+SUMPRODUCT(((BK$30:BK$33&gt;BK30)+(BK$30:BK$33=BK30)*(BM$30:BM$33&gt;BM30)+(BK$30:BK$33=BK30)*(BM$30:BM$33=BM30)*(BN$30:BN$33&gt;BN30)+(BK$30:BK$33=BK30)*(BM$30:BM$33=BM30)*(BN$30:BN$33=BN30)*(BO$30:BO$33&gt;BO30)+(BK$30:BK$33=BK30)*(BM$30:BM$33=BM30)*(BN$30:BN$33=BN30)*(BO$30:BO$33=BO30)*((BI$30:BI$33-BJ$30:BJ$33)&gt;(BI30-BJ30))+(BK$30:BK$33=BK30)*(BM$30:BM$33=BM30)*(BN$30:BN$33=BN30)*(BO$30:BO$33=BO30)*((BI$30:BI$33-BJ$30:BJ$33)=(BI30-BJ30))*(BI$30:BI$33&gt;BI30)+(BK$30:BK$33=BK30)*(BM$30:BM$33=BM30)*(BN$30:BN$33=BN30)*(BO$30:BO$33=BO30)*((BI$30:BI$33-BJ$30:BJ$33)=(BI30-BJ30))*(BI$30:BI$33=BI30)*(ROW(BK$30:BK$33)&lt;ROW(BK30)))*1)</f>
        <v>1</v>
      </c>
      <c r="BM30">
        <f t="array" ref="BM30">SUMPRODUCT((E$29:E$34=BD30)*ISNUMBER(F$29:F$34)*ISNUMBER(G$29:G$34)*COUNTIFS(BD$30:BD$33,H$29:H$34,BK$30:BK$33,BK30)*((F$29:F$34&gt;G$29:G$34)*3+(F$29:F$34=G$29:G$34)))+SUMPRODUCT((H$29:H$34=BD30)*ISNUMBER(F$29:F$34)*ISNUMBER(G$29:G$34)*COUNTIFS(BD$30:BD$33,E$29:E$34,BK$30:BK$33,BK30)*((G$29:G$34&gt;F$29:F$34)*3+(F$29:F$34=G$29:G$34)))</f>
        <v>0</v>
      </c>
      <c r="BN30">
        <f t="array" ref="BN30">SUMPRODUCT((E$29:E$34=BD30)*ISNUMBER(F$29:F$34)*ISNUMBER(G$29:G$34)*COUNTIFS(BD$30:BD$33,H$29:H$34,BK$30:BK$33,BK30)*(F$29:F$34-G$29:G$34))+SUMPRODUCT((H$29:H$34=BD30)*ISNUMBER(F$29:F$34)*ISNUMBER(G$29:G$34)*COUNTIFS(BD$30:BD$33,E$29:E$34,BK$30:BK$33,BK30)*(G$29:G$34-F$29:F$34))</f>
        <v>0</v>
      </c>
      <c r="BO30">
        <f t="array" ref="BO30">SUMPRODUCT((E$29:E$34=BD30)*ISNUMBER(F$29:F$34)*ISNUMBER(G$29:G$34)*COUNTIFS(BD$30:BD$33,H$29:H$34,BK$30:BK$33,BK30)*F$29:F$34)+SUMPRODUCT((H$29:H$34=BD30)*ISNUMBER(F$29:F$34)*ISNUMBER(G$29:G$34)*COUNTIFS(BD$30:BD$33,E$29:E$34,BK$30:BK$33,BK30)*G$29:G$34)</f>
        <v>0</v>
      </c>
    </row>
    <row r="31" spans="1:67" ht="12.75" customHeight="1" x14ac:dyDescent="0.3">
      <c r="A31" s="11">
        <v>27</v>
      </c>
      <c r="B31" s="11" t="str">
        <f>TEXT((46193)+(16+4+GmtOffset)/24,"ddd")</f>
        <v>Sat</v>
      </c>
      <c r="C31" s="11" t="str">
        <f>TEXT((46193)+(16+4+GmtOffset)/24,"mmm d, yyyy")</f>
        <v>Jun 20, 2026</v>
      </c>
      <c r="D31" s="11" t="str">
        <f>TEXT((46193)+(16+4+GmtOffset)/24,"h:mm")</f>
        <v>22:00</v>
      </c>
      <c r="E31" s="12" t="s">
        <v>40</v>
      </c>
      <c r="F31" s="7"/>
      <c r="G31" s="7"/>
      <c r="H31" s="13" t="s">
        <v>44</v>
      </c>
      <c r="I31" s="11" t="s">
        <v>42</v>
      </c>
      <c r="J31" s="3"/>
      <c r="K31" s="13" t="str">
        <f>INDEX(BD30:BD33,MATCH(1,BL30:BL33,0))</f>
        <v>Germany</v>
      </c>
      <c r="L31" s="11">
        <f>INDEX(BE30:BE33,MATCH(1,BL30:BL33,0))</f>
        <v>0</v>
      </c>
      <c r="M31" s="11">
        <f>INDEX(BF30:BF33,MATCH(1,BL30:BL33,0))</f>
        <v>0</v>
      </c>
      <c r="N31" s="11">
        <f>INDEX(BG30:BG33,MATCH(1,BL30:BL33,0))</f>
        <v>0</v>
      </c>
      <c r="O31" s="11">
        <f>INDEX(BH30:BH33,MATCH(1,BL30:BL33,0))</f>
        <v>0</v>
      </c>
      <c r="P31" s="11" t="str">
        <f>INDEX(BI30:BI33,MATCH(1,BL30:BL33,0))&amp;" - "&amp;INDEX(BJ30:BJ33,MATCH(1,BL30:BL33,0))</f>
        <v>0 - 0</v>
      </c>
      <c r="Q31" s="14">
        <f>INDEX(BK30:BK33,MATCH(1,BL30:BL33,0))</f>
        <v>0</v>
      </c>
      <c r="S31" s="3"/>
      <c r="T31" s="3"/>
      <c r="U31" s="3"/>
      <c r="V31" s="3"/>
      <c r="W31" s="9" t="str">
        <f>IF(AND(ISNUMBER(T29),ISNUMBER(T30)),IF(T29&gt;T30,S29,IF(T30&gt;T29,S30,IF(NOT(AND(ISNUMBER(U29),ISNUMBER(U30))),"",IF(U29&gt;U30,S29,IF(U30&gt;U29,S30,IF(NOT(AND(ISNUMBER(V29),ISNUMBER(V30))),"",IF(V29&gt;V30,S29,IF(V30&gt;V29,S30,"")))))))),"W79")</f>
        <v>W79</v>
      </c>
      <c r="X31" s="10"/>
      <c r="Y31" s="10"/>
      <c r="Z31" s="10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BD31" t="s">
        <v>41</v>
      </c>
      <c r="BE31">
        <f t="array" ref="BE31">SUMPRODUCT((((E29:E34=BD31)+(H29:H34=BD31))&gt;0)*ISNUMBER(F29:F34)*ISNUMBER(G29:G34))</f>
        <v>0</v>
      </c>
      <c r="BF31">
        <f t="array" ref="BF31">SUMPRODUCT((E29:E34=BD31)*ISNUMBER(F29:F34)*ISNUMBER(G29:G34)*(F29:F34&gt;G29:G34))+SUMPRODUCT((H29:H34=BD31)*ISNUMBER(F29:F34)*ISNUMBER(G29:G34)*(G29:G34&gt;F29:F34))</f>
        <v>0</v>
      </c>
      <c r="BG31">
        <f t="array" ref="BG31">SUMPRODUCT((((E29:E34=BD31)+(H29:H34=BD31))&gt;0)*ISNUMBER(F29:F34)*ISNUMBER(G29:G34)*(F29:F34=G29:G34))</f>
        <v>0</v>
      </c>
      <c r="BH31">
        <f>BE31-BF31-BG31</f>
        <v>0</v>
      </c>
      <c r="BI31">
        <f t="array" ref="BI31">SUMPRODUCT((E29:E34=BD31)*IFERROR(F29:F34,0))+SUMPRODUCT((H29:H34=BD31)*IFERROR(G29:G34,0))</f>
        <v>0</v>
      </c>
      <c r="BJ31">
        <f t="array" ref="BJ31">SUMPRODUCT((E29:E34=BD31)*IFERROR(G29:G34,0))+SUMPRODUCT((H29:H34=BD31)*IFERROR(F29:F34,0))</f>
        <v>0</v>
      </c>
      <c r="BK31">
        <f>BF31*3+BG31</f>
        <v>0</v>
      </c>
      <c r="BL31">
        <f>1+SUMPRODUCT(((BK$30:BK$33&gt;BK31)+(BK$30:BK$33=BK31)*(BM$30:BM$33&gt;BM31)+(BK$30:BK$33=BK31)*(BM$30:BM$33=BM31)*(BN$30:BN$33&gt;BN31)+(BK$30:BK$33=BK31)*(BM$30:BM$33=BM31)*(BN$30:BN$33=BN31)*(BO$30:BO$33&gt;BO31)+(BK$30:BK$33=BK31)*(BM$30:BM$33=BM31)*(BN$30:BN$33=BN31)*(BO$30:BO$33=BO31)*((BI$30:BI$33-BJ$30:BJ$33)&gt;(BI31-BJ31))+(BK$30:BK$33=BK31)*(BM$30:BM$33=BM31)*(BN$30:BN$33=BN31)*(BO$30:BO$33=BO31)*((BI$30:BI$33-BJ$30:BJ$33)=(BI31-BJ31))*(BI$30:BI$33&gt;BI31)+(BK$30:BK$33=BK31)*(BM$30:BM$33=BM31)*(BN$30:BN$33=BN31)*(BO$30:BO$33=BO31)*((BI$30:BI$33-BJ$30:BJ$33)=(BI31-BJ31))*(BI$30:BI$33=BI31)*(ROW(BK$30:BK$33)&lt;ROW(BK31)))*1)</f>
        <v>2</v>
      </c>
      <c r="BM31">
        <f t="array" ref="BM31">SUMPRODUCT((E$29:E$34=BD31)*ISNUMBER(F$29:F$34)*ISNUMBER(G$29:G$34)*COUNTIFS(BD$30:BD$33,H$29:H$34,BK$30:BK$33,BK31)*((F$29:F$34&gt;G$29:G$34)*3+(F$29:F$34=G$29:G$34)))+SUMPRODUCT((H$29:H$34=BD31)*ISNUMBER(F$29:F$34)*ISNUMBER(G$29:G$34)*COUNTIFS(BD$30:BD$33,E$29:E$34,BK$30:BK$33,BK31)*((G$29:G$34&gt;F$29:F$34)*3+(F$29:F$34=G$29:G$34)))</f>
        <v>0</v>
      </c>
      <c r="BN31">
        <f t="array" ref="BN31">SUMPRODUCT((E$29:E$34=BD31)*ISNUMBER(F$29:F$34)*ISNUMBER(G$29:G$34)*COUNTIFS(BD$30:BD$33,H$29:H$34,BK$30:BK$33,BK31)*(F$29:F$34-G$29:G$34))+SUMPRODUCT((H$29:H$34=BD31)*ISNUMBER(F$29:F$34)*ISNUMBER(G$29:G$34)*COUNTIFS(BD$30:BD$33,E$29:E$34,BK$30:BK$33,BK31)*(G$29:G$34-F$29:F$34))</f>
        <v>0</v>
      </c>
      <c r="BO31">
        <f t="array" ref="BO31">SUMPRODUCT((E$29:E$34=BD31)*ISNUMBER(F$29:F$34)*ISNUMBER(G$29:G$34)*COUNTIFS(BD$30:BD$33,H$29:H$34,BK$30:BK$33,BK31)*F$29:F$34)+SUMPRODUCT((H$29:H$34=BD31)*ISNUMBER(F$29:F$34)*ISNUMBER(G$29:G$34)*COUNTIFS(BD$30:BD$33,E$29:E$34,BK$30:BK$33,BK31)*G$29:G$34)</f>
        <v>0</v>
      </c>
    </row>
    <row r="32" spans="1:67" ht="12.75" customHeight="1" x14ac:dyDescent="0.3">
      <c r="A32" s="11">
        <v>28</v>
      </c>
      <c r="B32" s="11" t="str">
        <f>TEXT((46193)+(20+4+GmtOffset)/24,"ddd")</f>
        <v>Sun</v>
      </c>
      <c r="C32" s="11" t="str">
        <f>TEXT((46193)+(20+4+GmtOffset)/24,"mmm d, yyyy")</f>
        <v>Jun 21, 2026</v>
      </c>
      <c r="D32" s="11" t="str">
        <f>TEXT((46193)+(20+4+GmtOffset)/24,"h:mm")</f>
        <v>2:00</v>
      </c>
      <c r="E32" s="12" t="s">
        <v>45</v>
      </c>
      <c r="F32" s="7"/>
      <c r="G32" s="7"/>
      <c r="H32" s="13" t="s">
        <v>41</v>
      </c>
      <c r="I32" s="11" t="s">
        <v>42</v>
      </c>
      <c r="J32" s="3"/>
      <c r="K32" s="13" t="str">
        <f>INDEX(BD30:BD33,MATCH(2,BL30:BL33,0))</f>
        <v>Curaçao</v>
      </c>
      <c r="L32" s="11">
        <f>INDEX(BE30:BE33,MATCH(2,BL30:BL33,0))</f>
        <v>0</v>
      </c>
      <c r="M32" s="11">
        <f>INDEX(BF30:BF33,MATCH(2,BL30:BL33,0))</f>
        <v>0</v>
      </c>
      <c r="N32" s="11">
        <f>INDEX(BG30:BG33,MATCH(2,BL30:BL33,0))</f>
        <v>0</v>
      </c>
      <c r="O32" s="11">
        <f>INDEX(BH30:BH33,MATCH(2,BL30:BL33,0))</f>
        <v>0</v>
      </c>
      <c r="P32" s="11" t="str">
        <f>INDEX(BI30:BI33,MATCH(2,BL30:BL33,0))&amp;" - "&amp;INDEX(BJ30:BJ33,MATCH(2,BL30:BL33,0))</f>
        <v>0 - 0</v>
      </c>
      <c r="Q32" s="14">
        <f>INDEX(BK30:BK33,MATCH(2,BL30:BL33,0))</f>
        <v>0</v>
      </c>
      <c r="S32" s="3"/>
      <c r="T32" s="3"/>
      <c r="U32" s="3"/>
      <c r="V32" s="3"/>
      <c r="W32" s="15" t="str">
        <f>IF(AND(ISNUMBER(T33),ISNUMBER(T34)),IF(T33&gt;T34,S33,IF(T34&gt;T33,S34,IF(NOT(AND(ISNUMBER(U33),ISNUMBER(U34))),"",IF(U33&gt;U34,S33,IF(U34&gt;U33,S34,IF(NOT(AND(ISNUMBER(V33),ISNUMBER(V34))),"",IF(V33&gt;V34,S33,IF(V34&gt;V33,S34,"")))))))),"W80")</f>
        <v>W80</v>
      </c>
      <c r="X32" s="16"/>
      <c r="Y32" s="16"/>
      <c r="Z32" s="16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BD32" t="s">
        <v>44</v>
      </c>
      <c r="BE32">
        <f t="array" ref="BE32">SUMPRODUCT((((E29:E34=BD32)+(H29:H34=BD32))&gt;0)*ISNUMBER(F29:F34)*ISNUMBER(G29:G34))</f>
        <v>0</v>
      </c>
      <c r="BF32">
        <f t="array" ref="BF32">SUMPRODUCT((E29:E34=BD32)*ISNUMBER(F29:F34)*ISNUMBER(G29:G34)*(F29:F34&gt;G29:G34))+SUMPRODUCT((H29:H34=BD32)*ISNUMBER(F29:F34)*ISNUMBER(G29:G34)*(G29:G34&gt;F29:F34))</f>
        <v>0</v>
      </c>
      <c r="BG32">
        <f t="array" ref="BG32">SUMPRODUCT((((E29:E34=BD32)+(H29:H34=BD32))&gt;0)*ISNUMBER(F29:F34)*ISNUMBER(G29:G34)*(F29:F34=G29:G34))</f>
        <v>0</v>
      </c>
      <c r="BH32">
        <f>BE32-BF32-BG32</f>
        <v>0</v>
      </c>
      <c r="BI32">
        <f t="array" ref="BI32">SUMPRODUCT((E29:E34=BD32)*IFERROR(F29:F34,0))+SUMPRODUCT((H29:H34=BD32)*IFERROR(G29:G34,0))</f>
        <v>0</v>
      </c>
      <c r="BJ32">
        <f t="array" ref="BJ32">SUMPRODUCT((E29:E34=BD32)*IFERROR(G29:G34,0))+SUMPRODUCT((H29:H34=BD32)*IFERROR(F29:F34,0))</f>
        <v>0</v>
      </c>
      <c r="BK32">
        <f>BF32*3+BG32</f>
        <v>0</v>
      </c>
      <c r="BL32">
        <f>1+SUMPRODUCT(((BK$30:BK$33&gt;BK32)+(BK$30:BK$33=BK32)*(BM$30:BM$33&gt;BM32)+(BK$30:BK$33=BK32)*(BM$30:BM$33=BM32)*(BN$30:BN$33&gt;BN32)+(BK$30:BK$33=BK32)*(BM$30:BM$33=BM32)*(BN$30:BN$33=BN32)*(BO$30:BO$33&gt;BO32)+(BK$30:BK$33=BK32)*(BM$30:BM$33=BM32)*(BN$30:BN$33=BN32)*(BO$30:BO$33=BO32)*((BI$30:BI$33-BJ$30:BJ$33)&gt;(BI32-BJ32))+(BK$30:BK$33=BK32)*(BM$30:BM$33=BM32)*(BN$30:BN$33=BN32)*(BO$30:BO$33=BO32)*((BI$30:BI$33-BJ$30:BJ$33)=(BI32-BJ32))*(BI$30:BI$33&gt;BI32)+(BK$30:BK$33=BK32)*(BM$30:BM$33=BM32)*(BN$30:BN$33=BN32)*(BO$30:BO$33=BO32)*((BI$30:BI$33-BJ$30:BJ$33)=(BI32-BJ32))*(BI$30:BI$33=BI32)*(ROW(BK$30:BK$33)&lt;ROW(BK32)))*1)</f>
        <v>3</v>
      </c>
      <c r="BM32">
        <f t="array" ref="BM32">SUMPRODUCT((E$29:E$34=BD32)*ISNUMBER(F$29:F$34)*ISNUMBER(G$29:G$34)*COUNTIFS(BD$30:BD$33,H$29:H$34,BK$30:BK$33,BK32)*((F$29:F$34&gt;G$29:G$34)*3+(F$29:F$34=G$29:G$34)))+SUMPRODUCT((H$29:H$34=BD32)*ISNUMBER(F$29:F$34)*ISNUMBER(G$29:G$34)*COUNTIFS(BD$30:BD$33,E$29:E$34,BK$30:BK$33,BK32)*((G$29:G$34&gt;F$29:F$34)*3+(F$29:F$34=G$29:G$34)))</f>
        <v>0</v>
      </c>
      <c r="BN32">
        <f t="array" ref="BN32">SUMPRODUCT((E$29:E$34=BD32)*ISNUMBER(F$29:F$34)*ISNUMBER(G$29:G$34)*COUNTIFS(BD$30:BD$33,H$29:H$34,BK$30:BK$33,BK32)*(F$29:F$34-G$29:G$34))+SUMPRODUCT((H$29:H$34=BD32)*ISNUMBER(F$29:F$34)*ISNUMBER(G$29:G$34)*COUNTIFS(BD$30:BD$33,E$29:E$34,BK$30:BK$33,BK32)*(G$29:G$34-F$29:F$34))</f>
        <v>0</v>
      </c>
      <c r="BO32">
        <f t="array" ref="BO32">SUMPRODUCT((E$29:E$34=BD32)*ISNUMBER(F$29:F$34)*ISNUMBER(G$29:G$34)*COUNTIFS(BD$30:BD$33,H$29:H$34,BK$30:BK$33,BK32)*F$29:F$34)+SUMPRODUCT((H$29:H$34=BD32)*ISNUMBER(F$29:F$34)*ISNUMBER(G$29:G$34)*COUNTIFS(BD$30:BD$33,E$29:E$34,BK$30:BK$33,BK32)*G$29:G$34)</f>
        <v>0</v>
      </c>
    </row>
    <row r="33" spans="1:67" ht="12.75" customHeight="1" x14ac:dyDescent="0.3">
      <c r="A33" s="11">
        <v>29</v>
      </c>
      <c r="B33" s="11" t="str">
        <f>TEXT((46198)+(16+4+GmtOffset)/24,"ddd")</f>
        <v>Thu</v>
      </c>
      <c r="C33" s="11" t="str">
        <f>TEXT((46198)+(16+4+GmtOffset)/24,"mmm d, yyyy")</f>
        <v>Jun 25, 2026</v>
      </c>
      <c r="D33" s="11" t="str">
        <f>TEXT((46198)+(16+4+GmtOffset)/24,"h:mm")</f>
        <v>22:00</v>
      </c>
      <c r="E33" s="12" t="s">
        <v>45</v>
      </c>
      <c r="F33" s="7"/>
      <c r="G33" s="7"/>
      <c r="H33" s="13" t="s">
        <v>40</v>
      </c>
      <c r="I33" s="11" t="s">
        <v>42</v>
      </c>
      <c r="J33" s="3"/>
      <c r="K33" s="13" t="str">
        <f>INDEX(BD30:BD33,MATCH(3,BL30:BL33,0))</f>
        <v>Ivory Coast</v>
      </c>
      <c r="L33" s="11">
        <f>INDEX(BE30:BE33,MATCH(3,BL30:BL33,0))</f>
        <v>0</v>
      </c>
      <c r="M33" s="11">
        <f>INDEX(BF30:BF33,MATCH(3,BL30:BL33,0))</f>
        <v>0</v>
      </c>
      <c r="N33" s="11">
        <f>INDEX(BG30:BG33,MATCH(3,BL30:BL33,0))</f>
        <v>0</v>
      </c>
      <c r="O33" s="11">
        <f>INDEX(BH30:BH33,MATCH(3,BL30:BL33,0))</f>
        <v>0</v>
      </c>
      <c r="P33" s="11" t="str">
        <f>INDEX(BI30:BI33,MATCH(3,BL30:BL33,0))&amp;" - "&amp;INDEX(BJ30:BJ33,MATCH(3,BL30:BL33,0))</f>
        <v>0 - 0</v>
      </c>
      <c r="Q33" s="14">
        <f>INDEX(BK30:BK33,MATCH(3,BL30:BL33,0))</f>
        <v>0</v>
      </c>
      <c r="S33" s="9" t="str">
        <f>IF((COUNTIF($F$5:$G$76,"&gt;=0")=144),IFERROR(INDEX($AO$81:$AO$92,12),"Winner L"),"Winner L")</f>
        <v>Winner L</v>
      </c>
      <c r="T33" s="10"/>
      <c r="U33" s="10"/>
      <c r="V33" s="10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BD33" t="s">
        <v>45</v>
      </c>
      <c r="BE33">
        <f t="array" ref="BE33">SUMPRODUCT((((E29:E34=BD33)+(H29:H34=BD33))&gt;0)*ISNUMBER(F29:F34)*ISNUMBER(G29:G34))</f>
        <v>0</v>
      </c>
      <c r="BF33">
        <f t="array" ref="BF33">SUMPRODUCT((E29:E34=BD33)*ISNUMBER(F29:F34)*ISNUMBER(G29:G34)*(F29:F34&gt;G29:G34))+SUMPRODUCT((H29:H34=BD33)*ISNUMBER(F29:F34)*ISNUMBER(G29:G34)*(G29:G34&gt;F29:F34))</f>
        <v>0</v>
      </c>
      <c r="BG33">
        <f t="array" ref="BG33">SUMPRODUCT((((E29:E34=BD33)+(H29:H34=BD33))&gt;0)*ISNUMBER(F29:F34)*ISNUMBER(G29:G34)*(F29:F34=G29:G34))</f>
        <v>0</v>
      </c>
      <c r="BH33">
        <f>BE33-BF33-BG33</f>
        <v>0</v>
      </c>
      <c r="BI33">
        <f t="array" ref="BI33">SUMPRODUCT((E29:E34=BD33)*IFERROR(F29:F34,0))+SUMPRODUCT((H29:H34=BD33)*IFERROR(G29:G34,0))</f>
        <v>0</v>
      </c>
      <c r="BJ33">
        <f t="array" ref="BJ33">SUMPRODUCT((E29:E34=BD33)*IFERROR(G29:G34,0))+SUMPRODUCT((H29:H34=BD33)*IFERROR(F29:F34,0))</f>
        <v>0</v>
      </c>
      <c r="BK33">
        <f>BF33*3+BG33</f>
        <v>0</v>
      </c>
      <c r="BL33">
        <f>1+SUMPRODUCT(((BK$30:BK$33&gt;BK33)+(BK$30:BK$33=BK33)*(BM$30:BM$33&gt;BM33)+(BK$30:BK$33=BK33)*(BM$30:BM$33=BM33)*(BN$30:BN$33&gt;BN33)+(BK$30:BK$33=BK33)*(BM$30:BM$33=BM33)*(BN$30:BN$33=BN33)*(BO$30:BO$33&gt;BO33)+(BK$30:BK$33=BK33)*(BM$30:BM$33=BM33)*(BN$30:BN$33=BN33)*(BO$30:BO$33=BO33)*((BI$30:BI$33-BJ$30:BJ$33)&gt;(BI33-BJ33))+(BK$30:BK$33=BK33)*(BM$30:BM$33=BM33)*(BN$30:BN$33=BN33)*(BO$30:BO$33=BO33)*((BI$30:BI$33-BJ$30:BJ$33)=(BI33-BJ33))*(BI$30:BI$33&gt;BI33)+(BK$30:BK$33=BK33)*(BM$30:BM$33=BM33)*(BN$30:BN$33=BN33)*(BO$30:BO$33=BO33)*((BI$30:BI$33-BJ$30:BJ$33)=(BI33-BJ33))*(BI$30:BI$33=BI33)*(ROW(BK$30:BK$33)&lt;ROW(BK33)))*1)</f>
        <v>4</v>
      </c>
      <c r="BM33">
        <f t="array" ref="BM33">SUMPRODUCT((E$29:E$34=BD33)*ISNUMBER(F$29:F$34)*ISNUMBER(G$29:G$34)*COUNTIFS(BD$30:BD$33,H$29:H$34,BK$30:BK$33,BK33)*((F$29:F$34&gt;G$29:G$34)*3+(F$29:F$34=G$29:G$34)))+SUMPRODUCT((H$29:H$34=BD33)*ISNUMBER(F$29:F$34)*ISNUMBER(G$29:G$34)*COUNTIFS(BD$30:BD$33,E$29:E$34,BK$30:BK$33,BK33)*((G$29:G$34&gt;F$29:F$34)*3+(F$29:F$34=G$29:G$34)))</f>
        <v>0</v>
      </c>
      <c r="BN33">
        <f t="array" ref="BN33">SUMPRODUCT((E$29:E$34=BD33)*ISNUMBER(F$29:F$34)*ISNUMBER(G$29:G$34)*COUNTIFS(BD$30:BD$33,H$29:H$34,BK$30:BK$33,BK33)*(F$29:F$34-G$29:G$34))+SUMPRODUCT((H$29:H$34=BD33)*ISNUMBER(F$29:F$34)*ISNUMBER(G$29:G$34)*COUNTIFS(BD$30:BD$33,E$29:E$34,BK$30:BK$33,BK33)*(G$29:G$34-F$29:F$34))</f>
        <v>0</v>
      </c>
      <c r="BO33">
        <f t="array" ref="BO33">SUMPRODUCT((E$29:E$34=BD33)*ISNUMBER(F$29:F$34)*ISNUMBER(G$29:G$34)*COUNTIFS(BD$30:BD$33,H$29:H$34,BK$30:BK$33,BK33)*F$29:F$34)+SUMPRODUCT((H$29:H$34=BD33)*ISNUMBER(F$29:F$34)*ISNUMBER(G$29:G$34)*COUNTIFS(BD$30:BD$33,E$29:E$34,BK$30:BK$33,BK33)*G$29:G$34)</f>
        <v>0</v>
      </c>
    </row>
    <row r="34" spans="1:67" ht="12.75" customHeight="1" x14ac:dyDescent="0.3">
      <c r="A34" s="11">
        <v>30</v>
      </c>
      <c r="B34" s="11" t="str">
        <f>TEXT((46198)+(16+4+GmtOffset)/24,"ddd")</f>
        <v>Thu</v>
      </c>
      <c r="C34" s="11" t="str">
        <f>TEXT((46198)+(16+4+GmtOffset)/24,"mmm d, yyyy")</f>
        <v>Jun 25, 2026</v>
      </c>
      <c r="D34" s="11" t="str">
        <f>TEXT((46198)+(16+4+GmtOffset)/24,"h:mm")</f>
        <v>22:00</v>
      </c>
      <c r="E34" s="12" t="s">
        <v>41</v>
      </c>
      <c r="F34" s="7"/>
      <c r="G34" s="7"/>
      <c r="H34" s="13" t="s">
        <v>44</v>
      </c>
      <c r="I34" s="11" t="s">
        <v>42</v>
      </c>
      <c r="J34" s="3"/>
      <c r="K34" s="17" t="str">
        <f>INDEX(BD30:BD33,MATCH(4,BL30:BL33,0))</f>
        <v>Ecuador</v>
      </c>
      <c r="L34" s="18">
        <f>INDEX(BE30:BE33,MATCH(4,BL30:BL33,0))</f>
        <v>0</v>
      </c>
      <c r="M34" s="18">
        <f>INDEX(BF30:BF33,MATCH(4,BL30:BL33,0))</f>
        <v>0</v>
      </c>
      <c r="N34" s="18">
        <f>INDEX(BG30:BG33,MATCH(4,BL30:BL33,0))</f>
        <v>0</v>
      </c>
      <c r="O34" s="18">
        <f>INDEX(BH30:BH33,MATCH(4,BL30:BL33,0))</f>
        <v>0</v>
      </c>
      <c r="P34" s="18" t="str">
        <f>INDEX(BI30:BI33,MATCH(4,BL30:BL33,0))&amp;" - "&amp;INDEX(BJ30:BJ33,MATCH(4,BL30:BL33,0))</f>
        <v>0 - 0</v>
      </c>
      <c r="Q34" s="19">
        <f>INDEX(BK30:BK33,MATCH(4,BL30:BL33,0))</f>
        <v>0</v>
      </c>
      <c r="S34" s="15" t="str">
        <f>IF((COUNTIF($F$5:$G$76,"&gt;=0")=144),IFERROR(INDEX($AQ$81:$AQ$92,MATCH($BP$81,$AN$81:$AN$92,0)),"Best 3rd E/H/I/J/K"),"Best 3rd E/H/I/J/K")</f>
        <v>Best 3rd E/H/I/J/K</v>
      </c>
      <c r="T34" s="16"/>
      <c r="U34" s="16"/>
      <c r="V34" s="16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</row>
    <row r="35" spans="1:67" ht="12.75" customHeight="1" x14ac:dyDescent="0.3">
      <c r="A35" s="11">
        <v>31</v>
      </c>
      <c r="B35" s="11" t="str">
        <f>TEXT((46187)+(16+4+GmtOffset)/24,"ddd")</f>
        <v>Sun</v>
      </c>
      <c r="C35" s="11" t="str">
        <f>TEXT((46187)+(16+4+GmtOffset)/24,"mmm d, yyyy")</f>
        <v>Jun 14, 2026</v>
      </c>
      <c r="D35" s="11" t="str">
        <f>TEXT((46187)+(16+4+GmtOffset)/24,"h:mm")</f>
        <v>22:00</v>
      </c>
      <c r="E35" s="12" t="s">
        <v>46</v>
      </c>
      <c r="F35" s="7"/>
      <c r="G35" s="7"/>
      <c r="H35" s="13" t="s">
        <v>47</v>
      </c>
      <c r="I35" s="11" t="s">
        <v>48</v>
      </c>
      <c r="J35" s="3"/>
      <c r="K35" s="1" t="s">
        <v>49</v>
      </c>
      <c r="L35" s="20"/>
      <c r="M35" s="20"/>
      <c r="N35" s="20"/>
      <c r="O35" s="20"/>
      <c r="P35" s="20"/>
      <c r="Q35" s="20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9" t="str">
        <f>IF(AND(ISNUMBER(AF19),ISNUMBER(AF20)),IF(AF19&gt;AF20,AE19,IF(AF20&gt;AF19,AE20,IF(NOT(AND(ISNUMBER(AG19),ISNUMBER(AG20))),"",IF(AG19&gt;AG20,AE19,IF(AG20&gt;AG19,AE20,IF(NOT(AND(ISNUMBER(AH19),ISNUMBER(AH20))),"",IF(AH19&gt;AH20,AE19,IF(AH20&gt;AH19,AE20,"")))))))),"W101")</f>
        <v>W101</v>
      </c>
      <c r="AJ35" s="10"/>
      <c r="AK35" s="10"/>
      <c r="AL35" s="10"/>
      <c r="AM35" s="3"/>
      <c r="AN35" s="3"/>
    </row>
    <row r="36" spans="1:67" ht="12.75" customHeight="1" x14ac:dyDescent="0.3">
      <c r="A36" s="11">
        <v>32</v>
      </c>
      <c r="B36" s="11" t="str">
        <f>TEXT((46187)+(22+4+GmtOffset)/24,"ddd")</f>
        <v>Mon</v>
      </c>
      <c r="C36" s="11" t="str">
        <f>TEXT((46187)+(22+4+GmtOffset)/24,"mmm d, yyyy")</f>
        <v>Jun 15, 2026</v>
      </c>
      <c r="D36" s="11" t="str">
        <f>TEXT((46187)+(22+4+GmtOffset)/24,"h:mm")</f>
        <v>4:00</v>
      </c>
      <c r="E36" s="12" t="s">
        <v>50</v>
      </c>
      <c r="F36" s="7"/>
      <c r="G36" s="7"/>
      <c r="H36" s="13" t="s">
        <v>51</v>
      </c>
      <c r="I36" s="11" t="s">
        <v>48</v>
      </c>
      <c r="J36" s="3"/>
      <c r="K36" s="14"/>
      <c r="L36" s="14" t="s">
        <v>17</v>
      </c>
      <c r="M36" s="14" t="s">
        <v>18</v>
      </c>
      <c r="N36" s="14" t="s">
        <v>19</v>
      </c>
      <c r="O36" s="14" t="s">
        <v>20</v>
      </c>
      <c r="P36" s="14" t="s">
        <v>21</v>
      </c>
      <c r="Q36" s="14" t="s">
        <v>22</v>
      </c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15" t="str">
        <f>IF(AND(ISNUMBER(AF51),ISNUMBER(AF52)),IF(AF51&gt;AF52,AE51,IF(AF52&gt;AF51,AE52,IF(NOT(AND(ISNUMBER(AG51),ISNUMBER(AG52))),"",IF(AG51&gt;AG52,AE51,IF(AG52&gt;AG51,AE52,IF(NOT(AND(ISNUMBER(AH51),ISNUMBER(AH52))),"",IF(AH51&gt;AH52,AE51,IF(AH52&gt;AH51,AE52,"")))))))),"W102")</f>
        <v>W102</v>
      </c>
      <c r="AJ36" s="16"/>
      <c r="AK36" s="16"/>
      <c r="AL36" s="16"/>
      <c r="AM36" s="3"/>
      <c r="AN36" s="3"/>
      <c r="BD36" t="s">
        <v>46</v>
      </c>
      <c r="BE36">
        <f t="array" ref="BE36">SUMPRODUCT((((E35:E40=BD36)+(H35:H40=BD36))&gt;0)*ISNUMBER(F35:F40)*ISNUMBER(G35:G40))</f>
        <v>0</v>
      </c>
      <c r="BF36">
        <f t="array" ref="BF36">SUMPRODUCT((E35:E40=BD36)*ISNUMBER(F35:F40)*ISNUMBER(G35:G40)*(F35:F40&gt;G35:G40))+SUMPRODUCT((H35:H40=BD36)*ISNUMBER(F35:F40)*ISNUMBER(G35:G40)*(G35:G40&gt;F35:F40))</f>
        <v>0</v>
      </c>
      <c r="BG36">
        <f t="array" ref="BG36">SUMPRODUCT((((E35:E40=BD36)+(H35:H40=BD36))&gt;0)*ISNUMBER(F35:F40)*ISNUMBER(G35:G40)*(F35:F40=G35:G40))</f>
        <v>0</v>
      </c>
      <c r="BH36">
        <f>BE36-BF36-BG36</f>
        <v>0</v>
      </c>
      <c r="BI36">
        <f t="array" ref="BI36">SUMPRODUCT((E35:E40=BD36)*IFERROR(F35:F40,0))+SUMPRODUCT((H35:H40=BD36)*IFERROR(G35:G40,0))</f>
        <v>0</v>
      </c>
      <c r="BJ36">
        <f t="array" ref="BJ36">SUMPRODUCT((E35:E40=BD36)*IFERROR(G35:G40,0))+SUMPRODUCT((H35:H40=BD36)*IFERROR(F35:F40,0))</f>
        <v>0</v>
      </c>
      <c r="BK36">
        <f>BF36*3+BG36</f>
        <v>0</v>
      </c>
      <c r="BL36">
        <f>1+SUMPRODUCT(((BK$36:BK$39&gt;BK36)+(BK$36:BK$39=BK36)*(BM$36:BM$39&gt;BM36)+(BK$36:BK$39=BK36)*(BM$36:BM$39=BM36)*(BN$36:BN$39&gt;BN36)+(BK$36:BK$39=BK36)*(BM$36:BM$39=BM36)*(BN$36:BN$39=BN36)*(BO$36:BO$39&gt;BO36)+(BK$36:BK$39=BK36)*(BM$36:BM$39=BM36)*(BN$36:BN$39=BN36)*(BO$36:BO$39=BO36)*((BI$36:BI$39-BJ$36:BJ$39)&gt;(BI36-BJ36))+(BK$36:BK$39=BK36)*(BM$36:BM$39=BM36)*(BN$36:BN$39=BN36)*(BO$36:BO$39=BO36)*((BI$36:BI$39-BJ$36:BJ$39)=(BI36-BJ36))*(BI$36:BI$39&gt;BI36)+(BK$36:BK$39=BK36)*(BM$36:BM$39=BM36)*(BN$36:BN$39=BN36)*(BO$36:BO$39=BO36)*((BI$36:BI$39-BJ$36:BJ$39)=(BI36-BJ36))*(BI$36:BI$39=BI36)*(ROW(BK$36:BK$39)&lt;ROW(BK36)))*1)</f>
        <v>1</v>
      </c>
      <c r="BM36">
        <f t="array" ref="BM36">SUMPRODUCT((E$35:E$40=BD36)*ISNUMBER(F$35:F$40)*ISNUMBER(G$35:G$40)*COUNTIFS(BD$36:BD$39,H$35:H$40,BK$36:BK$39,BK36)*((F$35:F$40&gt;G$35:G$40)*3+(F$35:F$40=G$35:G$40)))+SUMPRODUCT((H$35:H$40=BD36)*ISNUMBER(F$35:F$40)*ISNUMBER(G$35:G$40)*COUNTIFS(BD$36:BD$39,E$35:E$40,BK$36:BK$39,BK36)*((G$35:G$40&gt;F$35:F$40)*3+(F$35:F$40=G$35:G$40)))</f>
        <v>0</v>
      </c>
      <c r="BN36">
        <f t="array" ref="BN36">SUMPRODUCT((E$35:E$40=BD36)*ISNUMBER(F$35:F$40)*ISNUMBER(G$35:G$40)*COUNTIFS(BD$36:BD$39,H$35:H$40,BK$36:BK$39,BK36)*(F$35:F$40-G$35:G$40))+SUMPRODUCT((H$35:H$40=BD36)*ISNUMBER(F$35:F$40)*ISNUMBER(G$35:G$40)*COUNTIFS(BD$36:BD$39,E$35:E$40,BK$36:BK$39,BK36)*(G$35:G$40-F$35:F$40))</f>
        <v>0</v>
      </c>
      <c r="BO36">
        <f t="array" ref="BO36">SUMPRODUCT((E$35:E$40=BD36)*ISNUMBER(F$35:F$40)*ISNUMBER(G$35:G$40)*COUNTIFS(BD$36:BD$39,H$35:H$40,BK$36:BK$39,BK36)*F$35:F$40)+SUMPRODUCT((H$35:H$40=BD36)*ISNUMBER(F$35:F$40)*ISNUMBER(G$35:G$40)*COUNTIFS(BD$36:BD$39,E$35:E$40,BK$36:BK$39,BK36)*G$35:G$40)</f>
        <v>0</v>
      </c>
    </row>
    <row r="37" spans="1:67" ht="12.75" customHeight="1" x14ac:dyDescent="0.3">
      <c r="A37" s="11">
        <v>33</v>
      </c>
      <c r="B37" s="11" t="str">
        <f>TEXT((46193)+(13+4+GmtOffset)/24,"ddd")</f>
        <v>Sat</v>
      </c>
      <c r="C37" s="11" t="str">
        <f>TEXT((46193)+(13+4+GmtOffset)/24,"mmm d, yyyy")</f>
        <v>Jun 20, 2026</v>
      </c>
      <c r="D37" s="11" t="str">
        <f>TEXT((46193)+(13+4+GmtOffset)/24,"h:mm")</f>
        <v>19:00</v>
      </c>
      <c r="E37" s="12" t="s">
        <v>46</v>
      </c>
      <c r="F37" s="7"/>
      <c r="G37" s="7"/>
      <c r="H37" s="13" t="s">
        <v>50</v>
      </c>
      <c r="I37" s="11" t="s">
        <v>48</v>
      </c>
      <c r="J37" s="3"/>
      <c r="K37" s="13" t="str">
        <f>INDEX(BD36:BD39,MATCH(1,BL36:BL39,0))</f>
        <v>Netherlands</v>
      </c>
      <c r="L37" s="11">
        <f>INDEX(BE36:BE39,MATCH(1,BL36:BL39,0))</f>
        <v>0</v>
      </c>
      <c r="M37" s="11">
        <f>INDEX(BF36:BF39,MATCH(1,BL36:BL39,0))</f>
        <v>0</v>
      </c>
      <c r="N37" s="11">
        <f>INDEX(BG36:BG39,MATCH(1,BL36:BL39,0))</f>
        <v>0</v>
      </c>
      <c r="O37" s="11">
        <f>INDEX(BH36:BH39,MATCH(1,BL36:BL39,0))</f>
        <v>0</v>
      </c>
      <c r="P37" s="11" t="str">
        <f>INDEX(BI36:BI39,MATCH(1,BL36:BL39,0))&amp;" - "&amp;INDEX(BJ36:BJ39,MATCH(1,BL36:BL39,0))</f>
        <v>0 - 0</v>
      </c>
      <c r="Q37" s="14">
        <f>INDEX(BK36:BK39,MATCH(1,BL36:BL39,0))</f>
        <v>0</v>
      </c>
      <c r="S37" s="9" t="str">
        <f>IF((COUNTIF($F$5:$G$76,"&gt;=0")=144),IFERROR(INDEX($AO$81:$AO$92,4),"Winner D"),"Winner D")</f>
        <v>Winner D</v>
      </c>
      <c r="T37" s="10"/>
      <c r="U37" s="10"/>
      <c r="V37" s="10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BD37" t="s">
        <v>47</v>
      </c>
      <c r="BE37">
        <f t="array" ref="BE37">SUMPRODUCT((((E35:E40=BD37)+(H35:H40=BD37))&gt;0)*ISNUMBER(F35:F40)*ISNUMBER(G35:G40))</f>
        <v>0</v>
      </c>
      <c r="BF37">
        <f t="array" ref="BF37">SUMPRODUCT((E35:E40=BD37)*ISNUMBER(F35:F40)*ISNUMBER(G35:G40)*(F35:F40&gt;G35:G40))+SUMPRODUCT((H35:H40=BD37)*ISNUMBER(F35:F40)*ISNUMBER(G35:G40)*(G35:G40&gt;F35:F40))</f>
        <v>0</v>
      </c>
      <c r="BG37">
        <f t="array" ref="BG37">SUMPRODUCT((((E35:E40=BD37)+(H35:H40=BD37))&gt;0)*ISNUMBER(F35:F40)*ISNUMBER(G35:G40)*(F35:F40=G35:G40))</f>
        <v>0</v>
      </c>
      <c r="BH37">
        <f>BE37-BF37-BG37</f>
        <v>0</v>
      </c>
      <c r="BI37">
        <f t="array" ref="BI37">SUMPRODUCT((E35:E40=BD37)*IFERROR(F35:F40,0))+SUMPRODUCT((H35:H40=BD37)*IFERROR(G35:G40,0))</f>
        <v>0</v>
      </c>
      <c r="BJ37">
        <f t="array" ref="BJ37">SUMPRODUCT((E35:E40=BD37)*IFERROR(G35:G40,0))+SUMPRODUCT((H35:H40=BD37)*IFERROR(F35:F40,0))</f>
        <v>0</v>
      </c>
      <c r="BK37">
        <f>BF37*3+BG37</f>
        <v>0</v>
      </c>
      <c r="BL37">
        <f>1+SUMPRODUCT(((BK$36:BK$39&gt;BK37)+(BK$36:BK$39=BK37)*(BM$36:BM$39&gt;BM37)+(BK$36:BK$39=BK37)*(BM$36:BM$39=BM37)*(BN$36:BN$39&gt;BN37)+(BK$36:BK$39=BK37)*(BM$36:BM$39=BM37)*(BN$36:BN$39=BN37)*(BO$36:BO$39&gt;BO37)+(BK$36:BK$39=BK37)*(BM$36:BM$39=BM37)*(BN$36:BN$39=BN37)*(BO$36:BO$39=BO37)*((BI$36:BI$39-BJ$36:BJ$39)&gt;(BI37-BJ37))+(BK$36:BK$39=BK37)*(BM$36:BM$39=BM37)*(BN$36:BN$39=BN37)*(BO$36:BO$39=BO37)*((BI$36:BI$39-BJ$36:BJ$39)=(BI37-BJ37))*(BI$36:BI$39&gt;BI37)+(BK$36:BK$39=BK37)*(BM$36:BM$39=BM37)*(BN$36:BN$39=BN37)*(BO$36:BO$39=BO37)*((BI$36:BI$39-BJ$36:BJ$39)=(BI37-BJ37))*(BI$36:BI$39=BI37)*(ROW(BK$36:BK$39)&lt;ROW(BK37)))*1)</f>
        <v>2</v>
      </c>
      <c r="BM37">
        <f t="array" ref="BM37">SUMPRODUCT((E$35:E$40=BD37)*ISNUMBER(F$35:F$40)*ISNUMBER(G$35:G$40)*COUNTIFS(BD$36:BD$39,H$35:H$40,BK$36:BK$39,BK37)*((F$35:F$40&gt;G$35:G$40)*3+(F$35:F$40=G$35:G$40)))+SUMPRODUCT((H$35:H$40=BD37)*ISNUMBER(F$35:F$40)*ISNUMBER(G$35:G$40)*COUNTIFS(BD$36:BD$39,E$35:E$40,BK$36:BK$39,BK37)*((G$35:G$40&gt;F$35:F$40)*3+(F$35:F$40=G$35:G$40)))</f>
        <v>0</v>
      </c>
      <c r="BN37">
        <f t="array" ref="BN37">SUMPRODUCT((E$35:E$40=BD37)*ISNUMBER(F$35:F$40)*ISNUMBER(G$35:G$40)*COUNTIFS(BD$36:BD$39,H$35:H$40,BK$36:BK$39,BK37)*(F$35:F$40-G$35:G$40))+SUMPRODUCT((H$35:H$40=BD37)*ISNUMBER(F$35:F$40)*ISNUMBER(G$35:G$40)*COUNTIFS(BD$36:BD$39,E$35:E$40,BK$36:BK$39,BK37)*(G$35:G$40-F$35:F$40))</f>
        <v>0</v>
      </c>
      <c r="BO37">
        <f t="array" ref="BO37">SUMPRODUCT((E$35:E$40=BD37)*ISNUMBER(F$35:F$40)*ISNUMBER(G$35:G$40)*COUNTIFS(BD$36:BD$39,H$35:H$40,BK$36:BK$39,BK37)*F$35:F$40)+SUMPRODUCT((H$35:H$40=BD37)*ISNUMBER(F$35:F$40)*ISNUMBER(G$35:G$40)*COUNTIFS(BD$36:BD$39,E$35:E$40,BK$36:BK$39,BK37)*G$35:G$40)</f>
        <v>0</v>
      </c>
    </row>
    <row r="38" spans="1:67" ht="15.75" customHeight="1" x14ac:dyDescent="0.35">
      <c r="A38" s="11">
        <v>34</v>
      </c>
      <c r="B38" s="11" t="str">
        <f>TEXT((46194)+(0+4+GmtOffset)/24,"ddd")</f>
        <v>Sun</v>
      </c>
      <c r="C38" s="11" t="str">
        <f>TEXT((46194)+(0+4+GmtOffset)/24,"mmm d, yyyy")</f>
        <v>Jun 21, 2026</v>
      </c>
      <c r="D38" s="11" t="str">
        <f>TEXT((46194)+(0+4+GmtOffset)/24,"h:mm")</f>
        <v>6:00</v>
      </c>
      <c r="E38" s="12" t="s">
        <v>51</v>
      </c>
      <c r="F38" s="7"/>
      <c r="G38" s="7"/>
      <c r="H38" s="13" t="s">
        <v>47</v>
      </c>
      <c r="I38" s="11" t="s">
        <v>48</v>
      </c>
      <c r="J38" s="3"/>
      <c r="K38" s="13" t="str">
        <f>INDEX(BD36:BD39,MATCH(2,BL36:BL39,0))</f>
        <v>Japan</v>
      </c>
      <c r="L38" s="11">
        <f>INDEX(BE36:BE39,MATCH(2,BL36:BL39,0))</f>
        <v>0</v>
      </c>
      <c r="M38" s="11">
        <f>INDEX(BF36:BF39,MATCH(2,BL36:BL39,0))</f>
        <v>0</v>
      </c>
      <c r="N38" s="11">
        <f>INDEX(BG36:BG39,MATCH(2,BL36:BL39,0))</f>
        <v>0</v>
      </c>
      <c r="O38" s="11">
        <f>INDEX(BH36:BH39,MATCH(2,BL36:BL39,0))</f>
        <v>0</v>
      </c>
      <c r="P38" s="11" t="str">
        <f>INDEX(BI36:BI39,MATCH(2,BL36:BL39,0))&amp;" - "&amp;INDEX(BJ36:BJ39,MATCH(2,BL36:BL39,0))</f>
        <v>0 - 0</v>
      </c>
      <c r="Q38" s="14">
        <f>INDEX(BK36:BK39,MATCH(2,BL36:BL39,0))</f>
        <v>0</v>
      </c>
      <c r="S38" s="15" t="str">
        <f>IF((COUNTIF($F$5:$G$76,"&gt;=0")=144),IFERROR(INDEX($AQ$81:$AQ$92,MATCH($BQ$81,$AN$81:$AN$92,0)),"Best 3rd B/E/F/I/J"),"Best 3rd B/E/F/I/J")</f>
        <v>Best 3rd B/E/F/I/J</v>
      </c>
      <c r="T38" s="16"/>
      <c r="U38" s="16"/>
      <c r="V38" s="16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146" t="s">
        <v>52</v>
      </c>
      <c r="AJ38" s="146"/>
      <c r="AK38" s="146"/>
      <c r="AL38" s="146"/>
      <c r="AM38" s="3"/>
      <c r="AN38" s="3"/>
      <c r="BD38" t="s">
        <v>50</v>
      </c>
      <c r="BE38">
        <f t="array" ref="BE38">SUMPRODUCT((((E35:E40=BD38)+(H35:H40=BD38))&gt;0)*ISNUMBER(F35:F40)*ISNUMBER(G35:G40))</f>
        <v>0</v>
      </c>
      <c r="BF38">
        <f t="array" ref="BF38">SUMPRODUCT((E35:E40=BD38)*ISNUMBER(F35:F40)*ISNUMBER(G35:G40)*(F35:F40&gt;G35:G40))+SUMPRODUCT((H35:H40=BD38)*ISNUMBER(F35:F40)*ISNUMBER(G35:G40)*(G35:G40&gt;F35:F40))</f>
        <v>0</v>
      </c>
      <c r="BG38">
        <f t="array" ref="BG38">SUMPRODUCT((((E35:E40=BD38)+(H35:H40=BD38))&gt;0)*ISNUMBER(F35:F40)*ISNUMBER(G35:G40)*(F35:F40=G35:G40))</f>
        <v>0</v>
      </c>
      <c r="BH38">
        <f>BE38-BF38-BG38</f>
        <v>0</v>
      </c>
      <c r="BI38">
        <f t="array" ref="BI38">SUMPRODUCT((E35:E40=BD38)*IFERROR(F35:F40,0))+SUMPRODUCT((H35:H40=BD38)*IFERROR(G35:G40,0))</f>
        <v>0</v>
      </c>
      <c r="BJ38">
        <f t="array" ref="BJ38">SUMPRODUCT((E35:E40=BD38)*IFERROR(G35:G40,0))+SUMPRODUCT((H35:H40=BD38)*IFERROR(F35:F40,0))</f>
        <v>0</v>
      </c>
      <c r="BK38">
        <f>BF38*3+BG38</f>
        <v>0</v>
      </c>
      <c r="BL38">
        <f>1+SUMPRODUCT(((BK$36:BK$39&gt;BK38)+(BK$36:BK$39=BK38)*(BM$36:BM$39&gt;BM38)+(BK$36:BK$39=BK38)*(BM$36:BM$39=BM38)*(BN$36:BN$39&gt;BN38)+(BK$36:BK$39=BK38)*(BM$36:BM$39=BM38)*(BN$36:BN$39=BN38)*(BO$36:BO$39&gt;BO38)+(BK$36:BK$39=BK38)*(BM$36:BM$39=BM38)*(BN$36:BN$39=BN38)*(BO$36:BO$39=BO38)*((BI$36:BI$39-BJ$36:BJ$39)&gt;(BI38-BJ38))+(BK$36:BK$39=BK38)*(BM$36:BM$39=BM38)*(BN$36:BN$39=BN38)*(BO$36:BO$39=BO38)*((BI$36:BI$39-BJ$36:BJ$39)=(BI38-BJ38))*(BI$36:BI$39&gt;BI38)+(BK$36:BK$39=BK38)*(BM$36:BM$39=BM38)*(BN$36:BN$39=BN38)*(BO$36:BO$39=BO38)*((BI$36:BI$39-BJ$36:BJ$39)=(BI38-BJ38))*(BI$36:BI$39=BI38)*(ROW(BK$36:BK$39)&lt;ROW(BK38)))*1)</f>
        <v>3</v>
      </c>
      <c r="BM38">
        <f t="array" ref="BM38">SUMPRODUCT((E$35:E$40=BD38)*ISNUMBER(F$35:F$40)*ISNUMBER(G$35:G$40)*COUNTIFS(BD$36:BD$39,H$35:H$40,BK$36:BK$39,BK38)*((F$35:F$40&gt;G$35:G$40)*3+(F$35:F$40=G$35:G$40)))+SUMPRODUCT((H$35:H$40=BD38)*ISNUMBER(F$35:F$40)*ISNUMBER(G$35:G$40)*COUNTIFS(BD$36:BD$39,E$35:E$40,BK$36:BK$39,BK38)*((G$35:G$40&gt;F$35:F$40)*3+(F$35:F$40=G$35:G$40)))</f>
        <v>0</v>
      </c>
      <c r="BN38">
        <f t="array" ref="BN38">SUMPRODUCT((E$35:E$40=BD38)*ISNUMBER(F$35:F$40)*ISNUMBER(G$35:G$40)*COUNTIFS(BD$36:BD$39,H$35:H$40,BK$36:BK$39,BK38)*(F$35:F$40-G$35:G$40))+SUMPRODUCT((H$35:H$40=BD38)*ISNUMBER(F$35:F$40)*ISNUMBER(G$35:G$40)*COUNTIFS(BD$36:BD$39,E$35:E$40,BK$36:BK$39,BK38)*(G$35:G$40-F$35:F$40))</f>
        <v>0</v>
      </c>
      <c r="BO38">
        <f t="array" ref="BO38">SUMPRODUCT((E$35:E$40=BD38)*ISNUMBER(F$35:F$40)*ISNUMBER(G$35:G$40)*COUNTIFS(BD$36:BD$39,H$35:H$40,BK$36:BK$39,BK38)*F$35:F$40)+SUMPRODUCT((H$35:H$40=BD38)*ISNUMBER(F$35:F$40)*ISNUMBER(G$35:G$40)*COUNTIFS(BD$36:BD$39,E$35:E$40,BK$36:BK$39,BK38)*G$35:G$40)</f>
        <v>0</v>
      </c>
    </row>
    <row r="39" spans="1:67" ht="12.75" customHeight="1" x14ac:dyDescent="0.3">
      <c r="A39" s="11">
        <v>35</v>
      </c>
      <c r="B39" s="11" t="str">
        <f>TEXT((46198)+(19+4+GmtOffset)/24,"ddd")</f>
        <v>Fri</v>
      </c>
      <c r="C39" s="11" t="str">
        <f>TEXT((46198)+(19+4+GmtOffset)/24,"mmm d, yyyy")</f>
        <v>Jun 26, 2026</v>
      </c>
      <c r="D39" s="11" t="str">
        <f>TEXT((46198)+(19+4+GmtOffset)/24,"h:mm")</f>
        <v>1:00</v>
      </c>
      <c r="E39" s="12" t="s">
        <v>51</v>
      </c>
      <c r="F39" s="7"/>
      <c r="G39" s="7"/>
      <c r="H39" s="13" t="s">
        <v>46</v>
      </c>
      <c r="I39" s="11" t="s">
        <v>48</v>
      </c>
      <c r="J39" s="3"/>
      <c r="K39" s="13" t="str">
        <f>INDEX(BD36:BD39,MATCH(3,BL36:BL39,0))</f>
        <v>Sweden</v>
      </c>
      <c r="L39" s="11">
        <f>INDEX(BE36:BE39,MATCH(3,BL36:BL39,0))</f>
        <v>0</v>
      </c>
      <c r="M39" s="11">
        <f>INDEX(BF36:BF39,MATCH(3,BL36:BL39,0))</f>
        <v>0</v>
      </c>
      <c r="N39" s="11">
        <f>INDEX(BG36:BG39,MATCH(3,BL36:BL39,0))</f>
        <v>0</v>
      </c>
      <c r="O39" s="11">
        <f>INDEX(BH36:BH39,MATCH(3,BL36:BL39,0))</f>
        <v>0</v>
      </c>
      <c r="P39" s="11" t="str">
        <f>INDEX(BI36:BI39,MATCH(3,BL36:BL39,0))&amp;" - "&amp;INDEX(BJ36:BJ39,MATCH(3,BL36:BL39,0))</f>
        <v>0 - 0</v>
      </c>
      <c r="Q39" s="14">
        <f>INDEX(BK36:BK39,MATCH(3,BL36:BL39,0))</f>
        <v>0</v>
      </c>
      <c r="S39" s="3"/>
      <c r="T39" s="3"/>
      <c r="U39" s="3"/>
      <c r="V39" s="3"/>
      <c r="W39" s="9" t="str">
        <f>IF(AND(ISNUMBER(T45),ISNUMBER(T46)),IF(T45&gt;T46,S45,IF(T46&gt;T45,S46,IF(NOT(AND(ISNUMBER(U45),ISNUMBER(U46))),"",IF(U45&gt;U46,S45,IF(U46&gt;U45,S46,IF(NOT(AND(ISNUMBER(V45),ISNUMBER(V46))),"",IF(V45&gt;V46,S45,IF(V46&gt;V45,S46,"")))))))),"W83")</f>
        <v>W83</v>
      </c>
      <c r="X39" s="10"/>
      <c r="Y39" s="10"/>
      <c r="Z39" s="10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BD39" t="s">
        <v>51</v>
      </c>
      <c r="BE39">
        <f t="array" ref="BE39">SUMPRODUCT((((E35:E40=BD39)+(H35:H40=BD39))&gt;0)*ISNUMBER(F35:F40)*ISNUMBER(G35:G40))</f>
        <v>0</v>
      </c>
      <c r="BF39">
        <f t="array" ref="BF39">SUMPRODUCT((E35:E40=BD39)*ISNUMBER(F35:F40)*ISNUMBER(G35:G40)*(F35:F40&gt;G35:G40))+SUMPRODUCT((H35:H40=BD39)*ISNUMBER(F35:F40)*ISNUMBER(G35:G40)*(G35:G40&gt;F35:F40))</f>
        <v>0</v>
      </c>
      <c r="BG39">
        <f t="array" ref="BG39">SUMPRODUCT((((E35:E40=BD39)+(H35:H40=BD39))&gt;0)*ISNUMBER(F35:F40)*ISNUMBER(G35:G40)*(F35:F40=G35:G40))</f>
        <v>0</v>
      </c>
      <c r="BH39">
        <f>BE39-BF39-BG39</f>
        <v>0</v>
      </c>
      <c r="BI39">
        <f t="array" ref="BI39">SUMPRODUCT((E35:E40=BD39)*IFERROR(F35:F40,0))+SUMPRODUCT((H35:H40=BD39)*IFERROR(G35:G40,0))</f>
        <v>0</v>
      </c>
      <c r="BJ39">
        <f t="array" ref="BJ39">SUMPRODUCT((E35:E40=BD39)*IFERROR(G35:G40,0))+SUMPRODUCT((H35:H40=BD39)*IFERROR(F35:F40,0))</f>
        <v>0</v>
      </c>
      <c r="BK39">
        <f>BF39*3+BG39</f>
        <v>0</v>
      </c>
      <c r="BL39">
        <f>1+SUMPRODUCT(((BK$36:BK$39&gt;BK39)+(BK$36:BK$39=BK39)*(BM$36:BM$39&gt;BM39)+(BK$36:BK$39=BK39)*(BM$36:BM$39=BM39)*(BN$36:BN$39&gt;BN39)+(BK$36:BK$39=BK39)*(BM$36:BM$39=BM39)*(BN$36:BN$39=BN39)*(BO$36:BO$39&gt;BO39)+(BK$36:BK$39=BK39)*(BM$36:BM$39=BM39)*(BN$36:BN$39=BN39)*(BO$36:BO$39=BO39)*((BI$36:BI$39-BJ$36:BJ$39)&gt;(BI39-BJ39))+(BK$36:BK$39=BK39)*(BM$36:BM$39=BM39)*(BN$36:BN$39=BN39)*(BO$36:BO$39=BO39)*((BI$36:BI$39-BJ$36:BJ$39)=(BI39-BJ39))*(BI$36:BI$39&gt;BI39)+(BK$36:BK$39=BK39)*(BM$36:BM$39=BM39)*(BN$36:BN$39=BN39)*(BO$36:BO$39=BO39)*((BI$36:BI$39-BJ$36:BJ$39)=(BI39-BJ39))*(BI$36:BI$39=BI39)*(ROW(BK$36:BK$39)&lt;ROW(BK39)))*1)</f>
        <v>4</v>
      </c>
      <c r="BM39">
        <f t="array" ref="BM39">SUMPRODUCT((E$35:E$40=BD39)*ISNUMBER(F$35:F$40)*ISNUMBER(G$35:G$40)*COUNTIFS(BD$36:BD$39,H$35:H$40,BK$36:BK$39,BK39)*((F$35:F$40&gt;G$35:G$40)*3+(F$35:F$40=G$35:G$40)))+SUMPRODUCT((H$35:H$40=BD39)*ISNUMBER(F$35:F$40)*ISNUMBER(G$35:G$40)*COUNTIFS(BD$36:BD$39,E$35:E$40,BK$36:BK$39,BK39)*((G$35:G$40&gt;F$35:F$40)*3+(F$35:F$40=G$35:G$40)))</f>
        <v>0</v>
      </c>
      <c r="BN39">
        <f t="array" ref="BN39">SUMPRODUCT((E$35:E$40=BD39)*ISNUMBER(F$35:F$40)*ISNUMBER(G$35:G$40)*COUNTIFS(BD$36:BD$39,H$35:H$40,BK$36:BK$39,BK39)*(F$35:F$40-G$35:G$40))+SUMPRODUCT((H$35:H$40=BD39)*ISNUMBER(F$35:F$40)*ISNUMBER(G$35:G$40)*COUNTIFS(BD$36:BD$39,E$35:E$40,BK$36:BK$39,BK39)*(G$35:G$40-F$35:F$40))</f>
        <v>0</v>
      </c>
      <c r="BO39">
        <f t="array" ref="BO39">SUMPRODUCT((E$35:E$40=BD39)*ISNUMBER(F$35:F$40)*ISNUMBER(G$35:G$40)*COUNTIFS(BD$36:BD$39,H$35:H$40,BK$36:BK$39,BK39)*F$35:F$40)+SUMPRODUCT((H$35:H$40=BD39)*ISNUMBER(F$35:F$40)*ISNUMBER(G$35:G$40)*COUNTIFS(BD$36:BD$39,E$35:E$40,BK$36:BK$39,BK39)*G$35:G$40)</f>
        <v>0</v>
      </c>
    </row>
    <row r="40" spans="1:67" ht="18.75" customHeight="1" x14ac:dyDescent="0.45">
      <c r="A40" s="11">
        <v>36</v>
      </c>
      <c r="B40" s="11" t="str">
        <f>TEXT((46198)+(19+4+GmtOffset)/24,"ddd")</f>
        <v>Fri</v>
      </c>
      <c r="C40" s="11" t="str">
        <f>TEXT((46198)+(19+4+GmtOffset)/24,"mmm d, yyyy")</f>
        <v>Jun 26, 2026</v>
      </c>
      <c r="D40" s="11" t="str">
        <f>TEXT((46198)+(19+4+GmtOffset)/24,"h:mm")</f>
        <v>1:00</v>
      </c>
      <c r="E40" s="12" t="s">
        <v>47</v>
      </c>
      <c r="F40" s="7"/>
      <c r="G40" s="7"/>
      <c r="H40" s="13" t="s">
        <v>50</v>
      </c>
      <c r="I40" s="11" t="s">
        <v>48</v>
      </c>
      <c r="J40" s="3"/>
      <c r="K40" s="17" t="str">
        <f>INDEX(BD36:BD39,MATCH(4,BL36:BL39,0))</f>
        <v>Tunisia</v>
      </c>
      <c r="L40" s="18">
        <f>INDEX(BE36:BE39,MATCH(4,BL36:BL39,0))</f>
        <v>0</v>
      </c>
      <c r="M40" s="18">
        <f>INDEX(BF36:BF39,MATCH(4,BL36:BL39,0))</f>
        <v>0</v>
      </c>
      <c r="N40" s="18">
        <f>INDEX(BG36:BG39,MATCH(4,BL36:BL39,0))</f>
        <v>0</v>
      </c>
      <c r="O40" s="18">
        <f>INDEX(BH36:BH39,MATCH(4,BL36:BL39,0))</f>
        <v>0</v>
      </c>
      <c r="P40" s="18" t="str">
        <f>INDEX(BI36:BI39,MATCH(4,BL36:BL39,0))&amp;" - "&amp;INDEX(BJ36:BJ39,MATCH(4,BL36:BL39,0))</f>
        <v>0 - 0</v>
      </c>
      <c r="Q40" s="19">
        <f>INDEX(BK36:BK39,MATCH(4,BL36:BL39,0))</f>
        <v>0</v>
      </c>
      <c r="S40" s="3"/>
      <c r="T40" s="3"/>
      <c r="U40" s="3"/>
      <c r="V40" s="3"/>
      <c r="W40" s="15" t="str">
        <f>IF(AND(ISNUMBER(T49),ISNUMBER(T50)),IF(T49&gt;T50,S49,IF(T50&gt;T49,S50,IF(NOT(AND(ISNUMBER(U49),ISNUMBER(U50))),"",IF(U49&gt;U50,S49,IF(U50&gt;U49,S50,IF(NOT(AND(ISNUMBER(V49),ISNUMBER(V50))),"",IF(V49&gt;V50,S49,IF(V50&gt;V49,S50,"")))))))),"W84")</f>
        <v>W84</v>
      </c>
      <c r="X40" s="16"/>
      <c r="Y40" s="16"/>
      <c r="Z40" s="16"/>
      <c r="AA40" s="3"/>
      <c r="AB40" s="3"/>
      <c r="AC40" s="3"/>
      <c r="AD40" s="3"/>
      <c r="AE40" s="3"/>
      <c r="AF40" s="3"/>
      <c r="AG40" s="3"/>
      <c r="AH40" s="3"/>
      <c r="AI40" s="147" t="str">
        <f>IF(AND(ISNUMBER(AJ35),ISNUMBER(AJ36)),IF(AJ35&gt;AJ36,AI35,IF(AJ36&gt;AJ35,AI36,IF(NOT(AND(ISNUMBER(AK35),ISNUMBER(AK36))),"",IF(AK35&gt;AK36,AI35,IF(AK36&gt;AK35,AI36,IF(NOT(AND(ISNUMBER(AL35),ISNUMBER(AL36))),"",IF(AL35&gt;AL36,AI35,IF(AL36&gt;AL35,AI36,"")))))))),"")</f>
        <v/>
      </c>
      <c r="AJ40" s="147"/>
      <c r="AK40" s="21"/>
      <c r="AL40" s="21"/>
      <c r="AM40" s="3"/>
      <c r="AN40" s="3"/>
    </row>
    <row r="41" spans="1:67" ht="12.75" customHeight="1" x14ac:dyDescent="0.3">
      <c r="A41" s="11">
        <v>37</v>
      </c>
      <c r="B41" s="11" t="str">
        <f>TEXT((46188)+(15+4+GmtOffset)/24,"ddd")</f>
        <v>Mon</v>
      </c>
      <c r="C41" s="11" t="str">
        <f>TEXT((46188)+(15+4+GmtOffset)/24,"mmm d, yyyy")</f>
        <v>Jun 15, 2026</v>
      </c>
      <c r="D41" s="11" t="str">
        <f>TEXT((46188)+(15+4+GmtOffset)/24,"h:mm")</f>
        <v>21:00</v>
      </c>
      <c r="E41" s="12" t="s">
        <v>53</v>
      </c>
      <c r="F41" s="7"/>
      <c r="G41" s="7"/>
      <c r="H41" s="13" t="s">
        <v>54</v>
      </c>
      <c r="I41" s="11" t="s">
        <v>55</v>
      </c>
      <c r="J41" s="3"/>
      <c r="K41" s="1" t="s">
        <v>56</v>
      </c>
      <c r="L41" s="20"/>
      <c r="M41" s="20"/>
      <c r="N41" s="20"/>
      <c r="O41" s="20"/>
      <c r="P41" s="20"/>
      <c r="Q41" s="20"/>
      <c r="S41" s="9" t="str">
        <f>IF((COUNTIF($F$5:$G$76,"&gt;=0")=144),IFERROR(INDEX($AO$81:$AO$92,7),"Winner G"),"Winner G")</f>
        <v>Winner G</v>
      </c>
      <c r="T41" s="10"/>
      <c r="U41" s="10"/>
      <c r="V41" s="10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 t="str">
        <f>IF(AND(ISNUMBER(AJ43),ISNUMBER(AJ44)),IF(AJ43&gt;AJ44,AI43,IF(AJ44&gt;AJ43,AI44,IF(NOT(AND(ISNUMBER(AK43),ISNUMBER(AK44))),"",IF(AK43&gt;AK44,AI43,IF(AK44&gt;AK43,AI44,IF(NOT(AND(ISNUMBER(AL43),ISNUMBER(AL44))),"",IF(AL43&gt;AL44,AI43,IF(AL44&gt;AL43,AI44,"")))))))),"")</f>
        <v/>
      </c>
      <c r="AJ41" s="3"/>
      <c r="AK41" s="3"/>
      <c r="AL41" s="3"/>
      <c r="AM41" s="3"/>
      <c r="AN41" s="3"/>
    </row>
    <row r="42" spans="1:67" ht="12.75" customHeight="1" x14ac:dyDescent="0.3">
      <c r="A42" s="11">
        <v>38</v>
      </c>
      <c r="B42" s="11" t="str">
        <f>TEXT((46188)+(21+4+GmtOffset)/24,"ddd")</f>
        <v>Tue</v>
      </c>
      <c r="C42" s="11" t="str">
        <f>TEXT((46188)+(21+4+GmtOffset)/24,"mmm d, yyyy")</f>
        <v>Jun 16, 2026</v>
      </c>
      <c r="D42" s="11" t="str">
        <f>TEXT((46188)+(21+4+GmtOffset)/24,"h:mm")</f>
        <v>3:00</v>
      </c>
      <c r="E42" s="12" t="s">
        <v>57</v>
      </c>
      <c r="F42" s="7"/>
      <c r="G42" s="7"/>
      <c r="H42" s="13" t="s">
        <v>58</v>
      </c>
      <c r="I42" s="11" t="s">
        <v>55</v>
      </c>
      <c r="J42" s="3"/>
      <c r="K42" s="14"/>
      <c r="L42" s="14" t="s">
        <v>17</v>
      </c>
      <c r="M42" s="14" t="s">
        <v>18</v>
      </c>
      <c r="N42" s="14" t="s">
        <v>19</v>
      </c>
      <c r="O42" s="14" t="s">
        <v>20</v>
      </c>
      <c r="P42" s="14" t="s">
        <v>21</v>
      </c>
      <c r="Q42" s="14" t="s">
        <v>22</v>
      </c>
      <c r="S42" s="15" t="str">
        <f>IF((COUNTIF($F$5:$G$76,"&gt;=0")=144),IFERROR(INDEX($AQ$81:$AQ$92,MATCH($BR$81,$AN$81:$AN$92,0)),"Best 3rd A/E/H/I/J"),"Best 3rd A/E/H/I/J")</f>
        <v>Best 3rd A/E/H/I/J</v>
      </c>
      <c r="T42" s="16"/>
      <c r="U42" s="16"/>
      <c r="V42" s="16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148" t="s">
        <v>59</v>
      </c>
      <c r="AJ42" s="148"/>
      <c r="AK42" s="148"/>
      <c r="AL42" s="148"/>
      <c r="AM42" s="3"/>
      <c r="AN42" s="3"/>
      <c r="BD42" t="s">
        <v>53</v>
      </c>
      <c r="BE42">
        <f t="array" ref="BE42">SUMPRODUCT((((E41:E46=BD42)+(H41:H46=BD42))&gt;0)*ISNUMBER(F41:F46)*ISNUMBER(G41:G46))</f>
        <v>0</v>
      </c>
      <c r="BF42">
        <f t="array" ref="BF42">SUMPRODUCT((E41:E46=BD42)*ISNUMBER(F41:F46)*ISNUMBER(G41:G46)*(F41:F46&gt;G41:G46))+SUMPRODUCT((H41:H46=BD42)*ISNUMBER(F41:F46)*ISNUMBER(G41:G46)*(G41:G46&gt;F41:F46))</f>
        <v>0</v>
      </c>
      <c r="BG42">
        <f t="array" ref="BG42">SUMPRODUCT((((E41:E46=BD42)+(H41:H46=BD42))&gt;0)*ISNUMBER(F41:F46)*ISNUMBER(G41:G46)*(F41:F46=G41:G46))</f>
        <v>0</v>
      </c>
      <c r="BH42">
        <f>BE42-BF42-BG42</f>
        <v>0</v>
      </c>
      <c r="BI42">
        <f t="array" ref="BI42">SUMPRODUCT((E41:E46=BD42)*IFERROR(F41:F46,0))+SUMPRODUCT((H41:H46=BD42)*IFERROR(G41:G46,0))</f>
        <v>0</v>
      </c>
      <c r="BJ42">
        <f t="array" ref="BJ42">SUMPRODUCT((E41:E46=BD42)*IFERROR(G41:G46,0))+SUMPRODUCT((H41:H46=BD42)*IFERROR(F41:F46,0))</f>
        <v>0</v>
      </c>
      <c r="BK42">
        <f>BF42*3+BG42</f>
        <v>0</v>
      </c>
      <c r="BL42">
        <f>1+SUMPRODUCT(((BK$42:BK$45&gt;BK42)+(BK$42:BK$45=BK42)*(BM$42:BM$45&gt;BM42)+(BK$42:BK$45=BK42)*(BM$42:BM$45=BM42)*(BN$42:BN$45&gt;BN42)+(BK$42:BK$45=BK42)*(BM$42:BM$45=BM42)*(BN$42:BN$45=BN42)*(BO$42:BO$45&gt;BO42)+(BK$42:BK$45=BK42)*(BM$42:BM$45=BM42)*(BN$42:BN$45=BN42)*(BO$42:BO$45=BO42)*((BI$42:BI$45-BJ$42:BJ$45)&gt;(BI42-BJ42))+(BK$42:BK$45=BK42)*(BM$42:BM$45=BM42)*(BN$42:BN$45=BN42)*(BO$42:BO$45=BO42)*((BI$42:BI$45-BJ$42:BJ$45)=(BI42-BJ42))*(BI$42:BI$45&gt;BI42)+(BK$42:BK$45=BK42)*(BM$42:BM$45=BM42)*(BN$42:BN$45=BN42)*(BO$42:BO$45=BO42)*((BI$42:BI$45-BJ$42:BJ$45)=(BI42-BJ42))*(BI$42:BI$45=BI42)*(ROW(BK$42:BK$45)&lt;ROW(BK42)))*1)</f>
        <v>1</v>
      </c>
      <c r="BM42">
        <f t="array" ref="BM42">SUMPRODUCT((E$41:E$46=BD42)*ISNUMBER(F$41:F$46)*ISNUMBER(G$41:G$46)*COUNTIFS(BD$42:BD$45,H$41:H$46,BK$42:BK$45,BK42)*((F$41:F$46&gt;G$41:G$46)*3+(F$41:F$46=G$41:G$46)))+SUMPRODUCT((H$41:H$46=BD42)*ISNUMBER(F$41:F$46)*ISNUMBER(G$41:G$46)*COUNTIFS(BD$42:BD$45,E$41:E$46,BK$42:BK$45,BK42)*((G$41:G$46&gt;F$41:F$46)*3+(F$41:F$46=G$41:G$46)))</f>
        <v>0</v>
      </c>
      <c r="BN42">
        <f t="array" ref="BN42">SUMPRODUCT((E$41:E$46=BD42)*ISNUMBER(F$41:F$46)*ISNUMBER(G$41:G$46)*COUNTIFS(BD$42:BD$45,H$41:H$46,BK$42:BK$45,BK42)*(F$41:F$46-G$41:G$46))+SUMPRODUCT((H$41:H$46=BD42)*ISNUMBER(F$41:F$46)*ISNUMBER(G$41:G$46)*COUNTIFS(BD$42:BD$45,E$41:E$46,BK$42:BK$45,BK42)*(G$41:G$46-F$41:F$46))</f>
        <v>0</v>
      </c>
      <c r="BO42">
        <f t="array" ref="BO42">SUMPRODUCT((E$41:E$46=BD42)*ISNUMBER(F$41:F$46)*ISNUMBER(G$41:G$46)*COUNTIFS(BD$42:BD$45,H$41:H$46,BK$42:BK$45,BK42)*F$41:F$46)+SUMPRODUCT((H$41:H$46=BD42)*ISNUMBER(F$41:F$46)*ISNUMBER(G$41:G$46)*COUNTIFS(BD$42:BD$45,E$41:E$46,BK$42:BK$45,BK42)*G$41:G$46)</f>
        <v>0</v>
      </c>
    </row>
    <row r="43" spans="1:67" ht="12.75" customHeight="1" x14ac:dyDescent="0.3">
      <c r="A43" s="11">
        <v>39</v>
      </c>
      <c r="B43" s="11" t="str">
        <f>TEXT((46194)+(15+4+GmtOffset)/24,"ddd")</f>
        <v>Sun</v>
      </c>
      <c r="C43" s="11" t="str">
        <f>TEXT((46194)+(15+4+GmtOffset)/24,"mmm d, yyyy")</f>
        <v>Jun 21, 2026</v>
      </c>
      <c r="D43" s="11" t="str">
        <f>TEXT((46194)+(15+4+GmtOffset)/24,"h:mm")</f>
        <v>21:00</v>
      </c>
      <c r="E43" s="12" t="s">
        <v>53</v>
      </c>
      <c r="F43" s="7"/>
      <c r="G43" s="7"/>
      <c r="H43" s="13" t="s">
        <v>57</v>
      </c>
      <c r="I43" s="11" t="s">
        <v>55</v>
      </c>
      <c r="J43" s="3"/>
      <c r="K43" s="13" t="str">
        <f>INDEX(BD42:BD45,MATCH(1,BL42:BL45,0))</f>
        <v>Belgium</v>
      </c>
      <c r="L43" s="11">
        <f>INDEX(BE42:BE45,MATCH(1,BL42:BL45,0))</f>
        <v>0</v>
      </c>
      <c r="M43" s="11">
        <f>INDEX(BF42:BF45,MATCH(1,BL42:BL45,0))</f>
        <v>0</v>
      </c>
      <c r="N43" s="11">
        <f>INDEX(BG42:BG45,MATCH(1,BL42:BL45,0))</f>
        <v>0</v>
      </c>
      <c r="O43" s="11">
        <f>INDEX(BH42:BH45,MATCH(1,BL42:BL45,0))</f>
        <v>0</v>
      </c>
      <c r="P43" s="11" t="str">
        <f>INDEX(BI42:BI45,MATCH(1,BL42:BL45,0))&amp;" - "&amp;INDEX(BJ42:BJ45,MATCH(1,BL42:BL45,0))</f>
        <v>0 - 0</v>
      </c>
      <c r="Q43" s="14">
        <f>INDEX(BK42:BK45,MATCH(1,BL42:BL45,0))</f>
        <v>0</v>
      </c>
      <c r="S43" s="3"/>
      <c r="T43" s="3"/>
      <c r="U43" s="3"/>
      <c r="V43" s="3"/>
      <c r="W43" s="3"/>
      <c r="X43" s="3"/>
      <c r="Y43" s="3"/>
      <c r="Z43" s="3"/>
      <c r="AA43" s="9" t="str">
        <f>IF(AND(ISNUMBER(X23),ISNUMBER(X24)),IF(X23&gt;X24,W23,IF(X24&gt;X23,W24,IF(NOT(AND(ISNUMBER(Y23),ISNUMBER(Y24))),"",IF(Y23&gt;Y24,W23,IF(Y24&gt;Y23,W24,IF(NOT(AND(ISNUMBER(Z23),ISNUMBER(Z24))),"",IF(Z23&gt;Z24,W23,IF(Z24&gt;Z23,W24,"")))))))),"W91")</f>
        <v>W91</v>
      </c>
      <c r="AB43" s="10"/>
      <c r="AC43" s="10"/>
      <c r="AD43" s="10"/>
      <c r="AE43" s="3"/>
      <c r="AF43" s="3"/>
      <c r="AG43" s="3"/>
      <c r="AH43" s="3"/>
      <c r="AI43" s="9" t="str">
        <f>IF(AND(ISNUMBER(AF19),ISNUMBER(AF20)),IF(AF19&lt;AF20,AE19,IF(AF20&lt;AF19,AE20,IF(NOT(AND(ISNUMBER(AG19),ISNUMBER(AG20))),"",IF(AG19&lt;AG20,AE19,IF(AG20&lt;AG19,AE20,IF(NOT(AND(ISNUMBER(AH19),ISNUMBER(AH20))),"",IF(AH19&lt;AH20,AE19,IF(AH20&lt;AH19,AE20,"")))))))),"L101")</f>
        <v>L101</v>
      </c>
      <c r="AJ43" s="10"/>
      <c r="AK43" s="10"/>
      <c r="AL43" s="10"/>
      <c r="AM43" s="3"/>
      <c r="AN43" s="3"/>
      <c r="BD43" t="s">
        <v>54</v>
      </c>
      <c r="BE43">
        <f t="array" ref="BE43">SUMPRODUCT((((E41:E46=BD43)+(H41:H46=BD43))&gt;0)*ISNUMBER(F41:F46)*ISNUMBER(G41:G46))</f>
        <v>0</v>
      </c>
      <c r="BF43">
        <f t="array" ref="BF43">SUMPRODUCT((E41:E46=BD43)*ISNUMBER(F41:F46)*ISNUMBER(G41:G46)*(F41:F46&gt;G41:G46))+SUMPRODUCT((H41:H46=BD43)*ISNUMBER(F41:F46)*ISNUMBER(G41:G46)*(G41:G46&gt;F41:F46))</f>
        <v>0</v>
      </c>
      <c r="BG43">
        <f t="array" ref="BG43">SUMPRODUCT((((E41:E46=BD43)+(H41:H46=BD43))&gt;0)*ISNUMBER(F41:F46)*ISNUMBER(G41:G46)*(F41:F46=G41:G46))</f>
        <v>0</v>
      </c>
      <c r="BH43">
        <f>BE43-BF43-BG43</f>
        <v>0</v>
      </c>
      <c r="BI43">
        <f t="array" ref="BI43">SUMPRODUCT((E41:E46=BD43)*IFERROR(F41:F46,0))+SUMPRODUCT((H41:H46=BD43)*IFERROR(G41:G46,0))</f>
        <v>0</v>
      </c>
      <c r="BJ43">
        <f t="array" ref="BJ43">SUMPRODUCT((E41:E46=BD43)*IFERROR(G41:G46,0))+SUMPRODUCT((H41:H46=BD43)*IFERROR(F41:F46,0))</f>
        <v>0</v>
      </c>
      <c r="BK43">
        <f>BF43*3+BG43</f>
        <v>0</v>
      </c>
      <c r="BL43">
        <f>1+SUMPRODUCT(((BK$42:BK$45&gt;BK43)+(BK$42:BK$45=BK43)*(BM$42:BM$45&gt;BM43)+(BK$42:BK$45=BK43)*(BM$42:BM$45=BM43)*(BN$42:BN$45&gt;BN43)+(BK$42:BK$45=BK43)*(BM$42:BM$45=BM43)*(BN$42:BN$45=BN43)*(BO$42:BO$45&gt;BO43)+(BK$42:BK$45=BK43)*(BM$42:BM$45=BM43)*(BN$42:BN$45=BN43)*(BO$42:BO$45=BO43)*((BI$42:BI$45-BJ$42:BJ$45)&gt;(BI43-BJ43))+(BK$42:BK$45=BK43)*(BM$42:BM$45=BM43)*(BN$42:BN$45=BN43)*(BO$42:BO$45=BO43)*((BI$42:BI$45-BJ$42:BJ$45)=(BI43-BJ43))*(BI$42:BI$45&gt;BI43)+(BK$42:BK$45=BK43)*(BM$42:BM$45=BM43)*(BN$42:BN$45=BN43)*(BO$42:BO$45=BO43)*((BI$42:BI$45-BJ$42:BJ$45)=(BI43-BJ43))*(BI$42:BI$45=BI43)*(ROW(BK$42:BK$45)&lt;ROW(BK43)))*1)</f>
        <v>2</v>
      </c>
      <c r="BM43">
        <f t="array" ref="BM43">SUMPRODUCT((E$41:E$46=BD43)*ISNUMBER(F$41:F$46)*ISNUMBER(G$41:G$46)*COUNTIFS(BD$42:BD$45,H$41:H$46,BK$42:BK$45,BK43)*((F$41:F$46&gt;G$41:G$46)*3+(F$41:F$46=G$41:G$46)))+SUMPRODUCT((H$41:H$46=BD43)*ISNUMBER(F$41:F$46)*ISNUMBER(G$41:G$46)*COUNTIFS(BD$42:BD$45,E$41:E$46,BK$42:BK$45,BK43)*((G$41:G$46&gt;F$41:F$46)*3+(F$41:F$46=G$41:G$46)))</f>
        <v>0</v>
      </c>
      <c r="BN43">
        <f t="array" ref="BN43">SUMPRODUCT((E$41:E$46=BD43)*ISNUMBER(F$41:F$46)*ISNUMBER(G$41:G$46)*COUNTIFS(BD$42:BD$45,H$41:H$46,BK$42:BK$45,BK43)*(F$41:F$46-G$41:G$46))+SUMPRODUCT((H$41:H$46=BD43)*ISNUMBER(F$41:F$46)*ISNUMBER(G$41:G$46)*COUNTIFS(BD$42:BD$45,E$41:E$46,BK$42:BK$45,BK43)*(G$41:G$46-F$41:F$46))</f>
        <v>0</v>
      </c>
      <c r="BO43">
        <f t="array" ref="BO43">SUMPRODUCT((E$41:E$46=BD43)*ISNUMBER(F$41:F$46)*ISNUMBER(G$41:G$46)*COUNTIFS(BD$42:BD$45,H$41:H$46,BK$42:BK$45,BK43)*F$41:F$46)+SUMPRODUCT((H$41:H$46=BD43)*ISNUMBER(F$41:F$46)*ISNUMBER(G$41:G$46)*COUNTIFS(BD$42:BD$45,E$41:E$46,BK$42:BK$45,BK43)*G$41:G$46)</f>
        <v>0</v>
      </c>
    </row>
    <row r="44" spans="1:67" ht="12.75" customHeight="1" x14ac:dyDescent="0.3">
      <c r="A44" s="11">
        <v>40</v>
      </c>
      <c r="B44" s="11" t="str">
        <f>TEXT((46194)+(21+4+GmtOffset)/24,"ddd")</f>
        <v>Mon</v>
      </c>
      <c r="C44" s="11" t="str">
        <f>TEXT((46194)+(21+4+GmtOffset)/24,"mmm d, yyyy")</f>
        <v>Jun 22, 2026</v>
      </c>
      <c r="D44" s="11" t="str">
        <f>TEXT((46194)+(21+4+GmtOffset)/24,"h:mm")</f>
        <v>3:00</v>
      </c>
      <c r="E44" s="12" t="s">
        <v>58</v>
      </c>
      <c r="F44" s="7"/>
      <c r="G44" s="7"/>
      <c r="H44" s="13" t="s">
        <v>54</v>
      </c>
      <c r="I44" s="11" t="s">
        <v>55</v>
      </c>
      <c r="J44" s="3"/>
      <c r="K44" s="13" t="str">
        <f>INDEX(BD42:BD45,MATCH(2,BL42:BL45,0))</f>
        <v>Egypt</v>
      </c>
      <c r="L44" s="11">
        <f>INDEX(BE42:BE45,MATCH(2,BL42:BL45,0))</f>
        <v>0</v>
      </c>
      <c r="M44" s="11">
        <f>INDEX(BF42:BF45,MATCH(2,BL42:BL45,0))</f>
        <v>0</v>
      </c>
      <c r="N44" s="11">
        <f>INDEX(BG42:BG45,MATCH(2,BL42:BL45,0))</f>
        <v>0</v>
      </c>
      <c r="O44" s="11">
        <f>INDEX(BH42:BH45,MATCH(2,BL42:BL45,0))</f>
        <v>0</v>
      </c>
      <c r="P44" s="11" t="str">
        <f>INDEX(BI42:BI45,MATCH(2,BL42:BL45,0))&amp;" - "&amp;INDEX(BJ42:BJ45,MATCH(2,BL42:BL45,0))</f>
        <v>0 - 0</v>
      </c>
      <c r="Q44" s="14">
        <f>INDEX(BK42:BK45,MATCH(2,BL42:BL45,0))</f>
        <v>0</v>
      </c>
      <c r="S44" s="3"/>
      <c r="T44" s="3"/>
      <c r="U44" s="3"/>
      <c r="V44" s="3"/>
      <c r="W44" s="3"/>
      <c r="X44" s="3"/>
      <c r="Y44" s="3"/>
      <c r="Z44" s="3"/>
      <c r="AA44" s="15" t="str">
        <f>IF(AND(ISNUMBER(X31),ISNUMBER(X32)),IF(X31&gt;X32,W31,IF(X32&gt;X31,W32,IF(NOT(AND(ISNUMBER(Y31),ISNUMBER(Y32))),"",IF(Y31&gt;Y32,W31,IF(Y32&gt;Y31,W32,IF(NOT(AND(ISNUMBER(Z31),ISNUMBER(Z32))),"",IF(Z31&gt;Z32,W31,IF(Z32&gt;Z31,W32,"")))))))),"W92")</f>
        <v>W92</v>
      </c>
      <c r="AB44" s="16"/>
      <c r="AC44" s="16"/>
      <c r="AD44" s="16"/>
      <c r="AE44" s="3"/>
      <c r="AF44" s="3"/>
      <c r="AG44" s="3"/>
      <c r="AH44" s="3"/>
      <c r="AI44" s="15" t="str">
        <f>IF(AND(ISNUMBER(AF51),ISNUMBER(AF52)),IF(AF51&lt;AF52,AE51,IF(AF52&lt;AF51,AE52,IF(NOT(AND(ISNUMBER(AG51),ISNUMBER(AG52))),"",IF(AG51&lt;AG52,AE51,IF(AG52&lt;AG51,AE52,IF(NOT(AND(ISNUMBER(AH51),ISNUMBER(AH52))),"",IF(AH51&lt;AH52,AE51,IF(AH52&lt;AH51,AE52,"")))))))),"L102")</f>
        <v>L102</v>
      </c>
      <c r="AJ44" s="16"/>
      <c r="AK44" s="16"/>
      <c r="AL44" s="16"/>
      <c r="AM44" s="3"/>
      <c r="AN44" s="3"/>
      <c r="BD44" t="s">
        <v>57</v>
      </c>
      <c r="BE44">
        <f t="array" ref="BE44">SUMPRODUCT((((E41:E46=BD44)+(H41:H46=BD44))&gt;0)*ISNUMBER(F41:F46)*ISNUMBER(G41:G46))</f>
        <v>0</v>
      </c>
      <c r="BF44">
        <f t="array" ref="BF44">SUMPRODUCT((E41:E46=BD44)*ISNUMBER(F41:F46)*ISNUMBER(G41:G46)*(F41:F46&gt;G41:G46))+SUMPRODUCT((H41:H46=BD44)*ISNUMBER(F41:F46)*ISNUMBER(G41:G46)*(G41:G46&gt;F41:F46))</f>
        <v>0</v>
      </c>
      <c r="BG44">
        <f t="array" ref="BG44">SUMPRODUCT((((E41:E46=BD44)+(H41:H46=BD44))&gt;0)*ISNUMBER(F41:F46)*ISNUMBER(G41:G46)*(F41:F46=G41:G46))</f>
        <v>0</v>
      </c>
      <c r="BH44">
        <f>BE44-BF44-BG44</f>
        <v>0</v>
      </c>
      <c r="BI44">
        <f t="array" ref="BI44">SUMPRODUCT((E41:E46=BD44)*IFERROR(F41:F46,0))+SUMPRODUCT((H41:H46=BD44)*IFERROR(G41:G46,0))</f>
        <v>0</v>
      </c>
      <c r="BJ44">
        <f t="array" ref="BJ44">SUMPRODUCT((E41:E46=BD44)*IFERROR(G41:G46,0))+SUMPRODUCT((H41:H46=BD44)*IFERROR(F41:F46,0))</f>
        <v>0</v>
      </c>
      <c r="BK44">
        <f>BF44*3+BG44</f>
        <v>0</v>
      </c>
      <c r="BL44">
        <f>1+SUMPRODUCT(((BK$42:BK$45&gt;BK44)+(BK$42:BK$45=BK44)*(BM$42:BM$45&gt;BM44)+(BK$42:BK$45=BK44)*(BM$42:BM$45=BM44)*(BN$42:BN$45&gt;BN44)+(BK$42:BK$45=BK44)*(BM$42:BM$45=BM44)*(BN$42:BN$45=BN44)*(BO$42:BO$45&gt;BO44)+(BK$42:BK$45=BK44)*(BM$42:BM$45=BM44)*(BN$42:BN$45=BN44)*(BO$42:BO$45=BO44)*((BI$42:BI$45-BJ$42:BJ$45)&gt;(BI44-BJ44))+(BK$42:BK$45=BK44)*(BM$42:BM$45=BM44)*(BN$42:BN$45=BN44)*(BO$42:BO$45=BO44)*((BI$42:BI$45-BJ$42:BJ$45)=(BI44-BJ44))*(BI$42:BI$45&gt;BI44)+(BK$42:BK$45=BK44)*(BM$42:BM$45=BM44)*(BN$42:BN$45=BN44)*(BO$42:BO$45=BO44)*((BI$42:BI$45-BJ$42:BJ$45)=(BI44-BJ44))*(BI$42:BI$45=BI44)*(ROW(BK$42:BK$45)&lt;ROW(BK44)))*1)</f>
        <v>3</v>
      </c>
      <c r="BM44">
        <f t="array" ref="BM44">SUMPRODUCT((E$41:E$46=BD44)*ISNUMBER(F$41:F$46)*ISNUMBER(G$41:G$46)*COUNTIFS(BD$42:BD$45,H$41:H$46,BK$42:BK$45,BK44)*((F$41:F$46&gt;G$41:G$46)*3+(F$41:F$46=G$41:G$46)))+SUMPRODUCT((H$41:H$46=BD44)*ISNUMBER(F$41:F$46)*ISNUMBER(G$41:G$46)*COUNTIFS(BD$42:BD$45,E$41:E$46,BK$42:BK$45,BK44)*((G$41:G$46&gt;F$41:F$46)*3+(F$41:F$46=G$41:G$46)))</f>
        <v>0</v>
      </c>
      <c r="BN44">
        <f t="array" ref="BN44">SUMPRODUCT((E$41:E$46=BD44)*ISNUMBER(F$41:F$46)*ISNUMBER(G$41:G$46)*COUNTIFS(BD$42:BD$45,H$41:H$46,BK$42:BK$45,BK44)*(F$41:F$46-G$41:G$46))+SUMPRODUCT((H$41:H$46=BD44)*ISNUMBER(F$41:F$46)*ISNUMBER(G$41:G$46)*COUNTIFS(BD$42:BD$45,E$41:E$46,BK$42:BK$45,BK44)*(G$41:G$46-F$41:F$46))</f>
        <v>0</v>
      </c>
      <c r="BO44">
        <f t="array" ref="BO44">SUMPRODUCT((E$41:E$46=BD44)*ISNUMBER(F$41:F$46)*ISNUMBER(G$41:G$46)*COUNTIFS(BD$42:BD$45,H$41:H$46,BK$42:BK$45,BK44)*F$41:F$46)+SUMPRODUCT((H$41:H$46=BD44)*ISNUMBER(F$41:F$46)*ISNUMBER(G$41:G$46)*COUNTIFS(BD$42:BD$45,E$41:E$46,BK$42:BK$45,BK44)*G$41:G$46)</f>
        <v>0</v>
      </c>
    </row>
    <row r="45" spans="1:67" ht="12.75" customHeight="1" x14ac:dyDescent="0.3">
      <c r="A45" s="11">
        <v>41</v>
      </c>
      <c r="B45" s="11" t="str">
        <f>TEXT((46199)+(23+4+GmtOffset)/24,"ddd")</f>
        <v>Sat</v>
      </c>
      <c r="C45" s="11" t="str">
        <f>TEXT((46199)+(23+4+GmtOffset)/24,"mmm d, yyyy")</f>
        <v>Jun 27, 2026</v>
      </c>
      <c r="D45" s="11" t="str">
        <f>TEXT((46199)+(23+4+GmtOffset)/24,"h:mm")</f>
        <v>5:00</v>
      </c>
      <c r="E45" s="12" t="s">
        <v>58</v>
      </c>
      <c r="F45" s="7"/>
      <c r="G45" s="7"/>
      <c r="H45" s="13" t="s">
        <v>53</v>
      </c>
      <c r="I45" s="11" t="s">
        <v>55</v>
      </c>
      <c r="J45" s="3"/>
      <c r="K45" s="13" t="str">
        <f>INDEX(BD42:BD45,MATCH(3,BL42:BL45,0))</f>
        <v>Iran</v>
      </c>
      <c r="L45" s="11">
        <f>INDEX(BE42:BE45,MATCH(3,BL42:BL45,0))</f>
        <v>0</v>
      </c>
      <c r="M45" s="11">
        <f>INDEX(BF42:BF45,MATCH(3,BL42:BL45,0))</f>
        <v>0</v>
      </c>
      <c r="N45" s="11">
        <f>INDEX(BG42:BG45,MATCH(3,BL42:BL45,0))</f>
        <v>0</v>
      </c>
      <c r="O45" s="11">
        <f>INDEX(BH42:BH45,MATCH(3,BL42:BL45,0))</f>
        <v>0</v>
      </c>
      <c r="P45" s="11" t="str">
        <f>INDEX(BI42:BI45,MATCH(3,BL42:BL45,0))&amp;" - "&amp;INDEX(BJ42:BJ45,MATCH(3,BL42:BL45,0))</f>
        <v>0 - 0</v>
      </c>
      <c r="Q45" s="14">
        <f>INDEX(BK42:BK45,MATCH(3,BL42:BL45,0))</f>
        <v>0</v>
      </c>
      <c r="S45" s="9" t="str">
        <f>IF((COUNTIF($F$5:$G$76,"&gt;=0")=144),IFERROR(INDEX($AP$81:$AP$92,11),"Runner-up K"),"Runner-up K")</f>
        <v>Runner-up K</v>
      </c>
      <c r="T45" s="10"/>
      <c r="U45" s="10"/>
      <c r="V45" s="10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BD45" t="s">
        <v>58</v>
      </c>
      <c r="BE45">
        <f t="array" ref="BE45">SUMPRODUCT((((E41:E46=BD45)+(H41:H46=BD45))&gt;0)*ISNUMBER(F41:F46)*ISNUMBER(G41:G46))</f>
        <v>0</v>
      </c>
      <c r="BF45">
        <f t="array" ref="BF45">SUMPRODUCT((E41:E46=BD45)*ISNUMBER(F41:F46)*ISNUMBER(G41:G46)*(F41:F46&gt;G41:G46))+SUMPRODUCT((H41:H46=BD45)*ISNUMBER(F41:F46)*ISNUMBER(G41:G46)*(G41:G46&gt;F41:F46))</f>
        <v>0</v>
      </c>
      <c r="BG45">
        <f t="array" ref="BG45">SUMPRODUCT((((E41:E46=BD45)+(H41:H46=BD45))&gt;0)*ISNUMBER(F41:F46)*ISNUMBER(G41:G46)*(F41:F46=G41:G46))</f>
        <v>0</v>
      </c>
      <c r="BH45">
        <f>BE45-BF45-BG45</f>
        <v>0</v>
      </c>
      <c r="BI45">
        <f t="array" ref="BI45">SUMPRODUCT((E41:E46=BD45)*IFERROR(F41:F46,0))+SUMPRODUCT((H41:H46=BD45)*IFERROR(G41:G46,0))</f>
        <v>0</v>
      </c>
      <c r="BJ45">
        <f t="array" ref="BJ45">SUMPRODUCT((E41:E46=BD45)*IFERROR(G41:G46,0))+SUMPRODUCT((H41:H46=BD45)*IFERROR(F41:F46,0))</f>
        <v>0</v>
      </c>
      <c r="BK45">
        <f>BF45*3+BG45</f>
        <v>0</v>
      </c>
      <c r="BL45">
        <f>1+SUMPRODUCT(((BK$42:BK$45&gt;BK45)+(BK$42:BK$45=BK45)*(BM$42:BM$45&gt;BM45)+(BK$42:BK$45=BK45)*(BM$42:BM$45=BM45)*(BN$42:BN$45&gt;BN45)+(BK$42:BK$45=BK45)*(BM$42:BM$45=BM45)*(BN$42:BN$45=BN45)*(BO$42:BO$45&gt;BO45)+(BK$42:BK$45=BK45)*(BM$42:BM$45=BM45)*(BN$42:BN$45=BN45)*(BO$42:BO$45=BO45)*((BI$42:BI$45-BJ$42:BJ$45)&gt;(BI45-BJ45))+(BK$42:BK$45=BK45)*(BM$42:BM$45=BM45)*(BN$42:BN$45=BN45)*(BO$42:BO$45=BO45)*((BI$42:BI$45-BJ$42:BJ$45)=(BI45-BJ45))*(BI$42:BI$45&gt;BI45)+(BK$42:BK$45=BK45)*(BM$42:BM$45=BM45)*(BN$42:BN$45=BN45)*(BO$42:BO$45=BO45)*((BI$42:BI$45-BJ$42:BJ$45)=(BI45-BJ45))*(BI$42:BI$45=BI45)*(ROW(BK$42:BK$45)&lt;ROW(BK45)))*1)</f>
        <v>4</v>
      </c>
      <c r="BM45">
        <f t="array" ref="BM45">SUMPRODUCT((E$41:E$46=BD45)*ISNUMBER(F$41:F$46)*ISNUMBER(G$41:G$46)*COUNTIFS(BD$42:BD$45,H$41:H$46,BK$42:BK$45,BK45)*((F$41:F$46&gt;G$41:G$46)*3+(F$41:F$46=G$41:G$46)))+SUMPRODUCT((H$41:H$46=BD45)*ISNUMBER(F$41:F$46)*ISNUMBER(G$41:G$46)*COUNTIFS(BD$42:BD$45,E$41:E$46,BK$42:BK$45,BK45)*((G$41:G$46&gt;F$41:F$46)*3+(F$41:F$46=G$41:G$46)))</f>
        <v>0</v>
      </c>
      <c r="BN45">
        <f t="array" ref="BN45">SUMPRODUCT((E$41:E$46=BD45)*ISNUMBER(F$41:F$46)*ISNUMBER(G$41:G$46)*COUNTIFS(BD$42:BD$45,H$41:H$46,BK$42:BK$45,BK45)*(F$41:F$46-G$41:G$46))+SUMPRODUCT((H$41:H$46=BD45)*ISNUMBER(F$41:F$46)*ISNUMBER(G$41:G$46)*COUNTIFS(BD$42:BD$45,E$41:E$46,BK$42:BK$45,BK45)*(G$41:G$46-F$41:F$46))</f>
        <v>0</v>
      </c>
      <c r="BO45">
        <f t="array" ref="BO45">SUMPRODUCT((E$41:E$46=BD45)*ISNUMBER(F$41:F$46)*ISNUMBER(G$41:G$46)*COUNTIFS(BD$42:BD$45,H$41:H$46,BK$42:BK$45,BK45)*F$41:F$46)+SUMPRODUCT((H$41:H$46=BD45)*ISNUMBER(F$41:F$46)*ISNUMBER(G$41:G$46)*COUNTIFS(BD$42:BD$45,E$41:E$46,BK$42:BK$45,BK45)*G$41:G$46)</f>
        <v>0</v>
      </c>
    </row>
    <row r="46" spans="1:67" ht="12.75" customHeight="1" x14ac:dyDescent="0.3">
      <c r="A46" s="11">
        <v>42</v>
      </c>
      <c r="B46" s="11" t="str">
        <f>TEXT((46199)+(23+4+GmtOffset)/24,"ddd")</f>
        <v>Sat</v>
      </c>
      <c r="C46" s="11" t="str">
        <f>TEXT((46199)+(23+4+GmtOffset)/24,"mmm d, yyyy")</f>
        <v>Jun 27, 2026</v>
      </c>
      <c r="D46" s="11" t="str">
        <f>TEXT((46199)+(23+4+GmtOffset)/24,"h:mm")</f>
        <v>5:00</v>
      </c>
      <c r="E46" s="12" t="s">
        <v>54</v>
      </c>
      <c r="F46" s="7"/>
      <c r="G46" s="7"/>
      <c r="H46" s="13" t="s">
        <v>57</v>
      </c>
      <c r="I46" s="11" t="s">
        <v>55</v>
      </c>
      <c r="J46" s="3"/>
      <c r="K46" s="17" t="str">
        <f>INDEX(BD42:BD45,MATCH(4,BL42:BL45,0))</f>
        <v>New Zealand</v>
      </c>
      <c r="L46" s="18">
        <f>INDEX(BE42:BE45,MATCH(4,BL42:BL45,0))</f>
        <v>0</v>
      </c>
      <c r="M46" s="18">
        <f>INDEX(BF42:BF45,MATCH(4,BL42:BL45,0))</f>
        <v>0</v>
      </c>
      <c r="N46" s="18">
        <f>INDEX(BG42:BG45,MATCH(4,BL42:BL45,0))</f>
        <v>0</v>
      </c>
      <c r="O46" s="18">
        <f>INDEX(BH42:BH45,MATCH(4,BL42:BL45,0))</f>
        <v>0</v>
      </c>
      <c r="P46" s="18" t="str">
        <f>INDEX(BI42:BI45,MATCH(4,BL42:BL45,0))&amp;" - "&amp;INDEX(BJ42:BJ45,MATCH(4,BL42:BL45,0))</f>
        <v>0 - 0</v>
      </c>
      <c r="Q46" s="19">
        <f>INDEX(BK42:BK45,MATCH(4,BL42:BL45,0))</f>
        <v>0</v>
      </c>
      <c r="S46" s="15" t="str">
        <f>IF((COUNTIF($F$5:$G$76,"&gt;=0")=144),IFERROR(INDEX($AP$81:$AP$92,12),"Runner-up L"),"Runner-up L")</f>
        <v>Runner-up L</v>
      </c>
      <c r="T46" s="16"/>
      <c r="U46" s="16"/>
      <c r="V46" s="16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67" ht="12.75" customHeight="1" x14ac:dyDescent="0.3">
      <c r="A47" s="11">
        <v>43</v>
      </c>
      <c r="B47" s="11" t="str">
        <f>TEXT((46188)+(12+4+GmtOffset)/24,"ddd")</f>
        <v>Mon</v>
      </c>
      <c r="C47" s="11" t="str">
        <f>TEXT((46188)+(12+4+GmtOffset)/24,"mmm d, yyyy")</f>
        <v>Jun 15, 2026</v>
      </c>
      <c r="D47" s="11" t="str">
        <f>TEXT((46188)+(12+4+GmtOffset)/24,"h:mm")</f>
        <v>18:00</v>
      </c>
      <c r="E47" s="12" t="s">
        <v>60</v>
      </c>
      <c r="F47" s="7"/>
      <c r="G47" s="7"/>
      <c r="H47" s="13" t="s">
        <v>61</v>
      </c>
      <c r="I47" s="11" t="s">
        <v>62</v>
      </c>
      <c r="J47" s="3"/>
      <c r="K47" s="1" t="s">
        <v>63</v>
      </c>
      <c r="L47" s="20"/>
      <c r="M47" s="20"/>
      <c r="N47" s="20"/>
      <c r="O47" s="20"/>
      <c r="P47" s="20"/>
      <c r="Q47" s="20"/>
      <c r="S47" s="3"/>
      <c r="T47" s="3"/>
      <c r="U47" s="3"/>
      <c r="V47" s="3"/>
      <c r="W47" s="9" t="str">
        <f>IF(AND(ISNUMBER(T37),ISNUMBER(T38)),IF(T37&gt;T38,S37,IF(T38&gt;T37,S38,IF(NOT(AND(ISNUMBER(U37),ISNUMBER(U38))),"",IF(U37&gt;U38,S37,IF(U38&gt;U37,S38,IF(NOT(AND(ISNUMBER(V37),ISNUMBER(V38))),"",IF(V37&gt;V38,S37,IF(V38&gt;V37,S38,"")))))))),"W81")</f>
        <v>W81</v>
      </c>
      <c r="X47" s="10"/>
      <c r="Y47" s="10"/>
      <c r="Z47" s="10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67" ht="12.75" customHeight="1" x14ac:dyDescent="0.3">
      <c r="A48" s="11">
        <v>44</v>
      </c>
      <c r="B48" s="11" t="str">
        <f>TEXT((46188)+(18+4+GmtOffset)/24,"ddd")</f>
        <v>Tue</v>
      </c>
      <c r="C48" s="11" t="str">
        <f>TEXT((46188)+(18+4+GmtOffset)/24,"mmm d, yyyy")</f>
        <v>Jun 16, 2026</v>
      </c>
      <c r="D48" s="11" t="str">
        <f>TEXT((46188)+(18+4+GmtOffset)/24,"h:mm")</f>
        <v>0:00</v>
      </c>
      <c r="E48" s="12" t="s">
        <v>64</v>
      </c>
      <c r="F48" s="7"/>
      <c r="G48" s="7"/>
      <c r="H48" s="13" t="s">
        <v>65</v>
      </c>
      <c r="I48" s="11" t="s">
        <v>62</v>
      </c>
      <c r="J48" s="3"/>
      <c r="K48" s="14"/>
      <c r="L48" s="14" t="s">
        <v>17</v>
      </c>
      <c r="M48" s="14" t="s">
        <v>18</v>
      </c>
      <c r="N48" s="14" t="s">
        <v>19</v>
      </c>
      <c r="O48" s="14" t="s">
        <v>20</v>
      </c>
      <c r="P48" s="14" t="s">
        <v>21</v>
      </c>
      <c r="Q48" s="14" t="s">
        <v>22</v>
      </c>
      <c r="S48" s="3"/>
      <c r="T48" s="3"/>
      <c r="U48" s="3"/>
      <c r="V48" s="3"/>
      <c r="W48" s="15" t="str">
        <f>IF(AND(ISNUMBER(T41),ISNUMBER(T42)),IF(T41&gt;T42,S41,IF(T42&gt;T41,S42,IF(NOT(AND(ISNUMBER(U41),ISNUMBER(U42))),"",IF(U41&gt;U42,S41,IF(U42&gt;U41,S42,IF(NOT(AND(ISNUMBER(V41),ISNUMBER(V42))),"",IF(V41&gt;V42,S41,IF(V42&gt;V41,S42,"")))))))),"W82")</f>
        <v>W82</v>
      </c>
      <c r="X48" s="16"/>
      <c r="Y48" s="16"/>
      <c r="Z48" s="16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BD48" t="s">
        <v>60</v>
      </c>
      <c r="BE48">
        <f t="array" ref="BE48">SUMPRODUCT((((E47:E52=BD48)+(H47:H52=BD48))&gt;0)*ISNUMBER(F47:F52)*ISNUMBER(G47:G52))</f>
        <v>0</v>
      </c>
      <c r="BF48">
        <f t="array" ref="BF48">SUMPRODUCT((E47:E52=BD48)*ISNUMBER(F47:F52)*ISNUMBER(G47:G52)*(F47:F52&gt;G47:G52))+SUMPRODUCT((H47:H52=BD48)*ISNUMBER(F47:F52)*ISNUMBER(G47:G52)*(G47:G52&gt;F47:F52))</f>
        <v>0</v>
      </c>
      <c r="BG48">
        <f t="array" ref="BG48">SUMPRODUCT((((E47:E52=BD48)+(H47:H52=BD48))&gt;0)*ISNUMBER(F47:F52)*ISNUMBER(G47:G52)*(F47:F52=G47:G52))</f>
        <v>0</v>
      </c>
      <c r="BH48">
        <f>BE48-BF48-BG48</f>
        <v>0</v>
      </c>
      <c r="BI48">
        <f t="array" ref="BI48">SUMPRODUCT((E47:E52=BD48)*IFERROR(F47:F52,0))+SUMPRODUCT((H47:H52=BD48)*IFERROR(G47:G52,0))</f>
        <v>0</v>
      </c>
      <c r="BJ48">
        <f t="array" ref="BJ48">SUMPRODUCT((E47:E52=BD48)*IFERROR(G47:G52,0))+SUMPRODUCT((H47:H52=BD48)*IFERROR(F47:F52,0))</f>
        <v>0</v>
      </c>
      <c r="BK48">
        <f>BF48*3+BG48</f>
        <v>0</v>
      </c>
      <c r="BL48">
        <f>1+SUMPRODUCT(((BK$48:BK$51&gt;BK48)+(BK$48:BK$51=BK48)*(BM$48:BM$51&gt;BM48)+(BK$48:BK$51=BK48)*(BM$48:BM$51=BM48)*(BN$48:BN$51&gt;BN48)+(BK$48:BK$51=BK48)*(BM$48:BM$51=BM48)*(BN$48:BN$51=BN48)*(BO$48:BO$51&gt;BO48)+(BK$48:BK$51=BK48)*(BM$48:BM$51=BM48)*(BN$48:BN$51=BN48)*(BO$48:BO$51=BO48)*((BI$48:BI$51-BJ$48:BJ$51)&gt;(BI48-BJ48))+(BK$48:BK$51=BK48)*(BM$48:BM$51=BM48)*(BN$48:BN$51=BN48)*(BO$48:BO$51=BO48)*((BI$48:BI$51-BJ$48:BJ$51)=(BI48-BJ48))*(BI$48:BI$51&gt;BI48)+(BK$48:BK$51=BK48)*(BM$48:BM$51=BM48)*(BN$48:BN$51=BN48)*(BO$48:BO$51=BO48)*((BI$48:BI$51-BJ$48:BJ$51)=(BI48-BJ48))*(BI$48:BI$51=BI48)*(ROW(BK$48:BK$51)&lt;ROW(BK48)))*1)</f>
        <v>1</v>
      </c>
      <c r="BM48">
        <f t="array" ref="BM48">SUMPRODUCT((E$47:E$52=BD48)*ISNUMBER(F$47:F$52)*ISNUMBER(G$47:G$52)*COUNTIFS(BD$48:BD$51,H$47:H$52,BK$48:BK$51,BK48)*((F$47:F$52&gt;G$47:G$52)*3+(F$47:F$52=G$47:G$52)))+SUMPRODUCT((H$47:H$52=BD48)*ISNUMBER(F$47:F$52)*ISNUMBER(G$47:G$52)*COUNTIFS(BD$48:BD$51,E$47:E$52,BK$48:BK$51,BK48)*((G$47:G$52&gt;F$47:F$52)*3+(F$47:F$52=G$47:G$52)))</f>
        <v>0</v>
      </c>
      <c r="BN48">
        <f t="array" ref="BN48">SUMPRODUCT((E$47:E$52=BD48)*ISNUMBER(F$47:F$52)*ISNUMBER(G$47:G$52)*COUNTIFS(BD$48:BD$51,H$47:H$52,BK$48:BK$51,BK48)*(F$47:F$52-G$47:G$52))+SUMPRODUCT((H$47:H$52=BD48)*ISNUMBER(F$47:F$52)*ISNUMBER(G$47:G$52)*COUNTIFS(BD$48:BD$51,E$47:E$52,BK$48:BK$51,BK48)*(G$47:G$52-F$47:F$52))</f>
        <v>0</v>
      </c>
      <c r="BO48">
        <f t="array" ref="BO48">SUMPRODUCT((E$47:E$52=BD48)*ISNUMBER(F$47:F$52)*ISNUMBER(G$47:G$52)*COUNTIFS(BD$48:BD$51,H$47:H$52,BK$48:BK$51,BK48)*F$47:F$52)+SUMPRODUCT((H$47:H$52=BD48)*ISNUMBER(F$47:F$52)*ISNUMBER(G$47:G$52)*COUNTIFS(BD$48:BD$51,E$47:E$52,BK$48:BK$51,BK48)*G$47:G$52)</f>
        <v>0</v>
      </c>
    </row>
    <row r="49" spans="1:67" ht="12.75" customHeight="1" x14ac:dyDescent="0.3">
      <c r="A49" s="11">
        <v>45</v>
      </c>
      <c r="B49" s="11" t="str">
        <f>TEXT((46194)+(12+4+GmtOffset)/24,"ddd")</f>
        <v>Sun</v>
      </c>
      <c r="C49" s="11" t="str">
        <f>TEXT((46194)+(12+4+GmtOffset)/24,"mmm d, yyyy")</f>
        <v>Jun 21, 2026</v>
      </c>
      <c r="D49" s="11" t="str">
        <f>TEXT((46194)+(12+4+GmtOffset)/24,"h:mm")</f>
        <v>18:00</v>
      </c>
      <c r="E49" s="12" t="s">
        <v>60</v>
      </c>
      <c r="F49" s="7"/>
      <c r="G49" s="7"/>
      <c r="H49" s="13" t="s">
        <v>64</v>
      </c>
      <c r="I49" s="11" t="s">
        <v>62</v>
      </c>
      <c r="J49" s="3"/>
      <c r="K49" s="13" t="str">
        <f>INDEX(BD48:BD51,MATCH(1,BL48:BL51,0))</f>
        <v>Spain</v>
      </c>
      <c r="L49" s="11">
        <f>INDEX(BE48:BE51,MATCH(1,BL48:BL51,0))</f>
        <v>0</v>
      </c>
      <c r="M49" s="11">
        <f>INDEX(BF48:BF51,MATCH(1,BL48:BL51,0))</f>
        <v>0</v>
      </c>
      <c r="N49" s="11">
        <f>INDEX(BG48:BG51,MATCH(1,BL48:BL51,0))</f>
        <v>0</v>
      </c>
      <c r="O49" s="11">
        <f>INDEX(BH48:BH51,MATCH(1,BL48:BL51,0))</f>
        <v>0</v>
      </c>
      <c r="P49" s="11" t="str">
        <f>INDEX(BI48:BI51,MATCH(1,BL48:BL51,0))&amp;" - "&amp;INDEX(BJ48:BJ51,MATCH(1,BL48:BL51,0))</f>
        <v>0 - 0</v>
      </c>
      <c r="Q49" s="14">
        <f>INDEX(BK48:BK51,MATCH(1,BL48:BL51,0))</f>
        <v>0</v>
      </c>
      <c r="S49" s="9" t="str">
        <f>IF((COUNTIF($F$5:$G$76,"&gt;=0")=144),IFERROR(INDEX($AO$81:$AO$92,8),"Winner H"),"Winner H")</f>
        <v>Winner H</v>
      </c>
      <c r="T49" s="10"/>
      <c r="U49" s="10"/>
      <c r="V49" s="10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BD49" t="s">
        <v>61</v>
      </c>
      <c r="BE49">
        <f t="array" ref="BE49">SUMPRODUCT((((E47:E52=BD49)+(H47:H52=BD49))&gt;0)*ISNUMBER(F47:F52)*ISNUMBER(G47:G52))</f>
        <v>0</v>
      </c>
      <c r="BF49">
        <f t="array" ref="BF49">SUMPRODUCT((E47:E52=BD49)*ISNUMBER(F47:F52)*ISNUMBER(G47:G52)*(F47:F52&gt;G47:G52))+SUMPRODUCT((H47:H52=BD49)*ISNUMBER(F47:F52)*ISNUMBER(G47:G52)*(G47:G52&gt;F47:F52))</f>
        <v>0</v>
      </c>
      <c r="BG49">
        <f t="array" ref="BG49">SUMPRODUCT((((E47:E52=BD49)+(H47:H52=BD49))&gt;0)*ISNUMBER(F47:F52)*ISNUMBER(G47:G52)*(F47:F52=G47:G52))</f>
        <v>0</v>
      </c>
      <c r="BH49">
        <f>BE49-BF49-BG49</f>
        <v>0</v>
      </c>
      <c r="BI49">
        <f t="array" ref="BI49">SUMPRODUCT((E47:E52=BD49)*IFERROR(F47:F52,0))+SUMPRODUCT((H47:H52=BD49)*IFERROR(G47:G52,0))</f>
        <v>0</v>
      </c>
      <c r="BJ49">
        <f t="array" ref="BJ49">SUMPRODUCT((E47:E52=BD49)*IFERROR(G47:G52,0))+SUMPRODUCT((H47:H52=BD49)*IFERROR(F47:F52,0))</f>
        <v>0</v>
      </c>
      <c r="BK49">
        <f>BF49*3+BG49</f>
        <v>0</v>
      </c>
      <c r="BL49">
        <f>1+SUMPRODUCT(((BK$48:BK$51&gt;BK49)+(BK$48:BK$51=BK49)*(BM$48:BM$51&gt;BM49)+(BK$48:BK$51=BK49)*(BM$48:BM$51=BM49)*(BN$48:BN$51&gt;BN49)+(BK$48:BK$51=BK49)*(BM$48:BM$51=BM49)*(BN$48:BN$51=BN49)*(BO$48:BO$51&gt;BO49)+(BK$48:BK$51=BK49)*(BM$48:BM$51=BM49)*(BN$48:BN$51=BN49)*(BO$48:BO$51=BO49)*((BI$48:BI$51-BJ$48:BJ$51)&gt;(BI49-BJ49))+(BK$48:BK$51=BK49)*(BM$48:BM$51=BM49)*(BN$48:BN$51=BN49)*(BO$48:BO$51=BO49)*((BI$48:BI$51-BJ$48:BJ$51)=(BI49-BJ49))*(BI$48:BI$51&gt;BI49)+(BK$48:BK$51=BK49)*(BM$48:BM$51=BM49)*(BN$48:BN$51=BN49)*(BO$48:BO$51=BO49)*((BI$48:BI$51-BJ$48:BJ$51)=(BI49-BJ49))*(BI$48:BI$51=BI49)*(ROW(BK$48:BK$51)&lt;ROW(BK49)))*1)</f>
        <v>2</v>
      </c>
      <c r="BM49">
        <f t="array" ref="BM49">SUMPRODUCT((E$47:E$52=BD49)*ISNUMBER(F$47:F$52)*ISNUMBER(G$47:G$52)*COUNTIFS(BD$48:BD$51,H$47:H$52,BK$48:BK$51,BK49)*((F$47:F$52&gt;G$47:G$52)*3+(F$47:F$52=G$47:G$52)))+SUMPRODUCT((H$47:H$52=BD49)*ISNUMBER(F$47:F$52)*ISNUMBER(G$47:G$52)*COUNTIFS(BD$48:BD$51,E$47:E$52,BK$48:BK$51,BK49)*((G$47:G$52&gt;F$47:F$52)*3+(F$47:F$52=G$47:G$52)))</f>
        <v>0</v>
      </c>
      <c r="BN49">
        <f t="array" ref="BN49">SUMPRODUCT((E$47:E$52=BD49)*ISNUMBER(F$47:F$52)*ISNUMBER(G$47:G$52)*COUNTIFS(BD$48:BD$51,H$47:H$52,BK$48:BK$51,BK49)*(F$47:F$52-G$47:G$52))+SUMPRODUCT((H$47:H$52=BD49)*ISNUMBER(F$47:F$52)*ISNUMBER(G$47:G$52)*COUNTIFS(BD$48:BD$51,E$47:E$52,BK$48:BK$51,BK49)*(G$47:G$52-F$47:F$52))</f>
        <v>0</v>
      </c>
      <c r="BO49">
        <f t="array" ref="BO49">SUMPRODUCT((E$47:E$52=BD49)*ISNUMBER(F$47:F$52)*ISNUMBER(G$47:G$52)*COUNTIFS(BD$48:BD$51,H$47:H$52,BK$48:BK$51,BK49)*F$47:F$52)+SUMPRODUCT((H$47:H$52=BD49)*ISNUMBER(F$47:F$52)*ISNUMBER(G$47:G$52)*COUNTIFS(BD$48:BD$51,E$47:E$52,BK$48:BK$51,BK49)*G$47:G$52)</f>
        <v>0</v>
      </c>
    </row>
    <row r="50" spans="1:67" ht="12.75" customHeight="1" x14ac:dyDescent="0.3">
      <c r="A50" s="11">
        <v>46</v>
      </c>
      <c r="B50" s="11" t="str">
        <f>TEXT((46194)+(18+4+GmtOffset)/24,"ddd")</f>
        <v>Mon</v>
      </c>
      <c r="C50" s="11" t="str">
        <f>TEXT((46194)+(18+4+GmtOffset)/24,"mmm d, yyyy")</f>
        <v>Jun 22, 2026</v>
      </c>
      <c r="D50" s="11" t="str">
        <f>TEXT((46194)+(18+4+GmtOffset)/24,"h:mm")</f>
        <v>0:00</v>
      </c>
      <c r="E50" s="12" t="s">
        <v>65</v>
      </c>
      <c r="F50" s="7"/>
      <c r="G50" s="7"/>
      <c r="H50" s="13" t="s">
        <v>61</v>
      </c>
      <c r="I50" s="11" t="s">
        <v>62</v>
      </c>
      <c r="J50" s="3"/>
      <c r="K50" s="13" t="str">
        <f>INDEX(BD48:BD51,MATCH(2,BL48:BL51,0))</f>
        <v>Cape Verde</v>
      </c>
      <c r="L50" s="11">
        <f>INDEX(BE48:BE51,MATCH(2,BL48:BL51,0))</f>
        <v>0</v>
      </c>
      <c r="M50" s="11">
        <f>INDEX(BF48:BF51,MATCH(2,BL48:BL51,0))</f>
        <v>0</v>
      </c>
      <c r="N50" s="11">
        <f>INDEX(BG48:BG51,MATCH(2,BL48:BL51,0))</f>
        <v>0</v>
      </c>
      <c r="O50" s="11">
        <f>INDEX(BH48:BH51,MATCH(2,BL48:BL51,0))</f>
        <v>0</v>
      </c>
      <c r="P50" s="11" t="str">
        <f>INDEX(BI48:BI51,MATCH(2,BL48:BL51,0))&amp;" - "&amp;INDEX(BJ48:BJ51,MATCH(2,BL48:BL51,0))</f>
        <v>0 - 0</v>
      </c>
      <c r="Q50" s="14">
        <f>INDEX(BK48:BK51,MATCH(2,BL48:BL51,0))</f>
        <v>0</v>
      </c>
      <c r="S50" s="15" t="str">
        <f>IF((COUNTIF($F$5:$G$76,"&gt;=0")=144),IFERROR(INDEX($AP$81:$AP$92,10),"Runner-up J"),"Runner-up J")</f>
        <v>Runner-up J</v>
      </c>
      <c r="T50" s="16"/>
      <c r="U50" s="16"/>
      <c r="V50" s="16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BD50" t="s">
        <v>64</v>
      </c>
      <c r="BE50">
        <f t="array" ref="BE50">SUMPRODUCT((((E47:E52=BD50)+(H47:H52=BD50))&gt;0)*ISNUMBER(F47:F52)*ISNUMBER(G47:G52))</f>
        <v>0</v>
      </c>
      <c r="BF50">
        <f t="array" ref="BF50">SUMPRODUCT((E47:E52=BD50)*ISNUMBER(F47:F52)*ISNUMBER(G47:G52)*(F47:F52&gt;G47:G52))+SUMPRODUCT((H47:H52=BD50)*ISNUMBER(F47:F52)*ISNUMBER(G47:G52)*(G47:G52&gt;F47:F52))</f>
        <v>0</v>
      </c>
      <c r="BG50">
        <f t="array" ref="BG50">SUMPRODUCT((((E47:E52=BD50)+(H47:H52=BD50))&gt;0)*ISNUMBER(F47:F52)*ISNUMBER(G47:G52)*(F47:F52=G47:G52))</f>
        <v>0</v>
      </c>
      <c r="BH50">
        <f>BE50-BF50-BG50</f>
        <v>0</v>
      </c>
      <c r="BI50">
        <f t="array" ref="BI50">SUMPRODUCT((E47:E52=BD50)*IFERROR(F47:F52,0))+SUMPRODUCT((H47:H52=BD50)*IFERROR(G47:G52,0))</f>
        <v>0</v>
      </c>
      <c r="BJ50">
        <f t="array" ref="BJ50">SUMPRODUCT((E47:E52=BD50)*IFERROR(G47:G52,0))+SUMPRODUCT((H47:H52=BD50)*IFERROR(F47:F52,0))</f>
        <v>0</v>
      </c>
      <c r="BK50">
        <f>BF50*3+BG50</f>
        <v>0</v>
      </c>
      <c r="BL50">
        <f>1+SUMPRODUCT(((BK$48:BK$51&gt;BK50)+(BK$48:BK$51=BK50)*(BM$48:BM$51&gt;BM50)+(BK$48:BK$51=BK50)*(BM$48:BM$51=BM50)*(BN$48:BN$51&gt;BN50)+(BK$48:BK$51=BK50)*(BM$48:BM$51=BM50)*(BN$48:BN$51=BN50)*(BO$48:BO$51&gt;BO50)+(BK$48:BK$51=BK50)*(BM$48:BM$51=BM50)*(BN$48:BN$51=BN50)*(BO$48:BO$51=BO50)*((BI$48:BI$51-BJ$48:BJ$51)&gt;(BI50-BJ50))+(BK$48:BK$51=BK50)*(BM$48:BM$51=BM50)*(BN$48:BN$51=BN50)*(BO$48:BO$51=BO50)*((BI$48:BI$51-BJ$48:BJ$51)=(BI50-BJ50))*(BI$48:BI$51&gt;BI50)+(BK$48:BK$51=BK50)*(BM$48:BM$51=BM50)*(BN$48:BN$51=BN50)*(BO$48:BO$51=BO50)*((BI$48:BI$51-BJ$48:BJ$51)=(BI50-BJ50))*(BI$48:BI$51=BI50)*(ROW(BK$48:BK$51)&lt;ROW(BK50)))*1)</f>
        <v>3</v>
      </c>
      <c r="BM50">
        <f t="array" ref="BM50">SUMPRODUCT((E$47:E$52=BD50)*ISNUMBER(F$47:F$52)*ISNUMBER(G$47:G$52)*COUNTIFS(BD$48:BD$51,H$47:H$52,BK$48:BK$51,BK50)*((F$47:F$52&gt;G$47:G$52)*3+(F$47:F$52=G$47:G$52)))+SUMPRODUCT((H$47:H$52=BD50)*ISNUMBER(F$47:F$52)*ISNUMBER(G$47:G$52)*COUNTIFS(BD$48:BD$51,E$47:E$52,BK$48:BK$51,BK50)*((G$47:G$52&gt;F$47:F$52)*3+(F$47:F$52=G$47:G$52)))</f>
        <v>0</v>
      </c>
      <c r="BN50">
        <f t="array" ref="BN50">SUMPRODUCT((E$47:E$52=BD50)*ISNUMBER(F$47:F$52)*ISNUMBER(G$47:G$52)*COUNTIFS(BD$48:BD$51,H$47:H$52,BK$48:BK$51,BK50)*(F$47:F$52-G$47:G$52))+SUMPRODUCT((H$47:H$52=BD50)*ISNUMBER(F$47:F$52)*ISNUMBER(G$47:G$52)*COUNTIFS(BD$48:BD$51,E$47:E$52,BK$48:BK$51,BK50)*(G$47:G$52-F$47:F$52))</f>
        <v>0</v>
      </c>
      <c r="BO50">
        <f t="array" ref="BO50">SUMPRODUCT((E$47:E$52=BD50)*ISNUMBER(F$47:F$52)*ISNUMBER(G$47:G$52)*COUNTIFS(BD$48:BD$51,H$47:H$52,BK$48:BK$51,BK50)*F$47:F$52)+SUMPRODUCT((H$47:H$52=BD50)*ISNUMBER(F$47:F$52)*ISNUMBER(G$47:G$52)*COUNTIFS(BD$48:BD$51,E$47:E$52,BK$48:BK$51,BK50)*G$47:G$52)</f>
        <v>0</v>
      </c>
    </row>
    <row r="51" spans="1:67" ht="12.75" customHeight="1" x14ac:dyDescent="0.3">
      <c r="A51" s="11">
        <v>47</v>
      </c>
      <c r="B51" s="11" t="str">
        <f>TEXT((46199)+(20+4+GmtOffset)/24,"ddd")</f>
        <v>Sat</v>
      </c>
      <c r="C51" s="11" t="str">
        <f>TEXT((46199)+(20+4+GmtOffset)/24,"mmm d, yyyy")</f>
        <v>Jun 27, 2026</v>
      </c>
      <c r="D51" s="11" t="str">
        <f>TEXT((46199)+(20+4+GmtOffset)/24,"h:mm")</f>
        <v>2:00</v>
      </c>
      <c r="E51" s="12" t="s">
        <v>65</v>
      </c>
      <c r="F51" s="7"/>
      <c r="G51" s="7"/>
      <c r="H51" s="13" t="s">
        <v>60</v>
      </c>
      <c r="I51" s="11" t="s">
        <v>62</v>
      </c>
      <c r="J51" s="3"/>
      <c r="K51" s="13" t="str">
        <f>INDEX(BD48:BD51,MATCH(3,BL48:BL51,0))</f>
        <v>Saudi Arabia</v>
      </c>
      <c r="L51" s="11">
        <f>INDEX(BE48:BE51,MATCH(3,BL48:BL51,0))</f>
        <v>0</v>
      </c>
      <c r="M51" s="11">
        <f>INDEX(BF48:BF51,MATCH(3,BL48:BL51,0))</f>
        <v>0</v>
      </c>
      <c r="N51" s="11">
        <f>INDEX(BG48:BG51,MATCH(3,BL48:BL51,0))</f>
        <v>0</v>
      </c>
      <c r="O51" s="11">
        <f>INDEX(BH48:BH51,MATCH(3,BL48:BL51,0))</f>
        <v>0</v>
      </c>
      <c r="P51" s="11" t="str">
        <f>INDEX(BI48:BI51,MATCH(3,BL48:BL51,0))&amp;" - "&amp;INDEX(BJ48:BJ51,MATCH(3,BL48:BL51,0))</f>
        <v>0 - 0</v>
      </c>
      <c r="Q51" s="14">
        <f>INDEX(BK48:BK51,MATCH(3,BL48:BL51,0))</f>
        <v>0</v>
      </c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9" t="str">
        <f>IF(AND(ISNUMBER(AB43),ISNUMBER(AB44)),IF(AB43&gt;AB44,AA43,IF(AB44&gt;AB43,AA44,IF(NOT(AND(ISNUMBER(AC43),ISNUMBER(AC44))),"",IF(AC43&gt;AC44,AA43,IF(AC44&gt;AC43,AA44,IF(NOT(AND(ISNUMBER(AD43),ISNUMBER(AD44))),"",IF(AD43&gt;AD44,AA43,IF(AD44&gt;AD43,AA44,"")))))))),"W99")</f>
        <v>W99</v>
      </c>
      <c r="AF51" s="10"/>
      <c r="AG51" s="10"/>
      <c r="AH51" s="10"/>
      <c r="AI51" s="3"/>
      <c r="AJ51" s="3"/>
      <c r="AK51" s="3"/>
      <c r="AL51" s="3"/>
      <c r="AM51" s="3"/>
      <c r="AN51" s="3"/>
      <c r="BD51" t="s">
        <v>65</v>
      </c>
      <c r="BE51">
        <f t="array" ref="BE51">SUMPRODUCT((((E47:E52=BD51)+(H47:H52=BD51))&gt;0)*ISNUMBER(F47:F52)*ISNUMBER(G47:G52))</f>
        <v>0</v>
      </c>
      <c r="BF51">
        <f t="array" ref="BF51">SUMPRODUCT((E47:E52=BD51)*ISNUMBER(F47:F52)*ISNUMBER(G47:G52)*(F47:F52&gt;G47:G52))+SUMPRODUCT((H47:H52=BD51)*ISNUMBER(F47:F52)*ISNUMBER(G47:G52)*(G47:G52&gt;F47:F52))</f>
        <v>0</v>
      </c>
      <c r="BG51">
        <f t="array" ref="BG51">SUMPRODUCT((((E47:E52=BD51)+(H47:H52=BD51))&gt;0)*ISNUMBER(F47:F52)*ISNUMBER(G47:G52)*(F47:F52=G47:G52))</f>
        <v>0</v>
      </c>
      <c r="BH51">
        <f>BE51-BF51-BG51</f>
        <v>0</v>
      </c>
      <c r="BI51">
        <f t="array" ref="BI51">SUMPRODUCT((E47:E52=BD51)*IFERROR(F47:F52,0))+SUMPRODUCT((H47:H52=BD51)*IFERROR(G47:G52,0))</f>
        <v>0</v>
      </c>
      <c r="BJ51">
        <f t="array" ref="BJ51">SUMPRODUCT((E47:E52=BD51)*IFERROR(G47:G52,0))+SUMPRODUCT((H47:H52=BD51)*IFERROR(F47:F52,0))</f>
        <v>0</v>
      </c>
      <c r="BK51">
        <f>BF51*3+BG51</f>
        <v>0</v>
      </c>
      <c r="BL51">
        <f>1+SUMPRODUCT(((BK$48:BK$51&gt;BK51)+(BK$48:BK$51=BK51)*(BM$48:BM$51&gt;BM51)+(BK$48:BK$51=BK51)*(BM$48:BM$51=BM51)*(BN$48:BN$51&gt;BN51)+(BK$48:BK$51=BK51)*(BM$48:BM$51=BM51)*(BN$48:BN$51=BN51)*(BO$48:BO$51&gt;BO51)+(BK$48:BK$51=BK51)*(BM$48:BM$51=BM51)*(BN$48:BN$51=BN51)*(BO$48:BO$51=BO51)*((BI$48:BI$51-BJ$48:BJ$51)&gt;(BI51-BJ51))+(BK$48:BK$51=BK51)*(BM$48:BM$51=BM51)*(BN$48:BN$51=BN51)*(BO$48:BO$51=BO51)*((BI$48:BI$51-BJ$48:BJ$51)=(BI51-BJ51))*(BI$48:BI$51&gt;BI51)+(BK$48:BK$51=BK51)*(BM$48:BM$51=BM51)*(BN$48:BN$51=BN51)*(BO$48:BO$51=BO51)*((BI$48:BI$51-BJ$48:BJ$51)=(BI51-BJ51))*(BI$48:BI$51=BI51)*(ROW(BK$48:BK$51)&lt;ROW(BK51)))*1)</f>
        <v>4</v>
      </c>
      <c r="BM51">
        <f t="array" ref="BM51">SUMPRODUCT((E$47:E$52=BD51)*ISNUMBER(F$47:F$52)*ISNUMBER(G$47:G$52)*COUNTIFS(BD$48:BD$51,H$47:H$52,BK$48:BK$51,BK51)*((F$47:F$52&gt;G$47:G$52)*3+(F$47:F$52=G$47:G$52)))+SUMPRODUCT((H$47:H$52=BD51)*ISNUMBER(F$47:F$52)*ISNUMBER(G$47:G$52)*COUNTIFS(BD$48:BD$51,E$47:E$52,BK$48:BK$51,BK51)*((G$47:G$52&gt;F$47:F$52)*3+(F$47:F$52=G$47:G$52)))</f>
        <v>0</v>
      </c>
      <c r="BN51">
        <f t="array" ref="BN51">SUMPRODUCT((E$47:E$52=BD51)*ISNUMBER(F$47:F$52)*ISNUMBER(G$47:G$52)*COUNTIFS(BD$48:BD$51,H$47:H$52,BK$48:BK$51,BK51)*(F$47:F$52-G$47:G$52))+SUMPRODUCT((H$47:H$52=BD51)*ISNUMBER(F$47:F$52)*ISNUMBER(G$47:G$52)*COUNTIFS(BD$48:BD$51,E$47:E$52,BK$48:BK$51,BK51)*(G$47:G$52-F$47:F$52))</f>
        <v>0</v>
      </c>
      <c r="BO51">
        <f t="array" ref="BO51">SUMPRODUCT((E$47:E$52=BD51)*ISNUMBER(F$47:F$52)*ISNUMBER(G$47:G$52)*COUNTIFS(BD$48:BD$51,H$47:H$52,BK$48:BK$51,BK51)*F$47:F$52)+SUMPRODUCT((H$47:H$52=BD51)*ISNUMBER(F$47:F$52)*ISNUMBER(G$47:G$52)*COUNTIFS(BD$48:BD$51,E$47:E$52,BK$48:BK$51,BK51)*G$47:G$52)</f>
        <v>0</v>
      </c>
    </row>
    <row r="52" spans="1:67" ht="12.75" customHeight="1" x14ac:dyDescent="0.3">
      <c r="A52" s="11">
        <v>48</v>
      </c>
      <c r="B52" s="11" t="str">
        <f>TEXT((46199)+(20+4+GmtOffset)/24,"ddd")</f>
        <v>Sat</v>
      </c>
      <c r="C52" s="11" t="str">
        <f>TEXT((46199)+(20+4+GmtOffset)/24,"mmm d, yyyy")</f>
        <v>Jun 27, 2026</v>
      </c>
      <c r="D52" s="11" t="str">
        <f>TEXT((46199)+(20+4+GmtOffset)/24,"h:mm")</f>
        <v>2:00</v>
      </c>
      <c r="E52" s="12" t="s">
        <v>61</v>
      </c>
      <c r="F52" s="7"/>
      <c r="G52" s="7"/>
      <c r="H52" s="13" t="s">
        <v>64</v>
      </c>
      <c r="I52" s="11" t="s">
        <v>62</v>
      </c>
      <c r="J52" s="3"/>
      <c r="K52" s="17" t="str">
        <f>INDEX(BD48:BD51,MATCH(4,BL48:BL51,0))</f>
        <v>Uruguay</v>
      </c>
      <c r="L52" s="18">
        <f>INDEX(BE48:BE51,MATCH(4,BL48:BL51,0))</f>
        <v>0</v>
      </c>
      <c r="M52" s="18">
        <f>INDEX(BF48:BF51,MATCH(4,BL48:BL51,0))</f>
        <v>0</v>
      </c>
      <c r="N52" s="18">
        <f>INDEX(BG48:BG51,MATCH(4,BL48:BL51,0))</f>
        <v>0</v>
      </c>
      <c r="O52" s="18">
        <f>INDEX(BH48:BH51,MATCH(4,BL48:BL51,0))</f>
        <v>0</v>
      </c>
      <c r="P52" s="18" t="str">
        <f>INDEX(BI48:BI51,MATCH(4,BL48:BL51,0))&amp;" - "&amp;INDEX(BJ48:BJ51,MATCH(4,BL48:BL51,0))</f>
        <v>0 - 0</v>
      </c>
      <c r="Q52" s="19">
        <f>INDEX(BK48:BK51,MATCH(4,BL48:BL51,0))</f>
        <v>0</v>
      </c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15" t="str">
        <f>IF(AND(ISNUMBER(AB59),ISNUMBER(AB60)),IF(AB59&gt;AB60,AA59,IF(AB60&gt;AB59,AA60,IF(NOT(AND(ISNUMBER(AC59),ISNUMBER(AC60))),"",IF(AC59&gt;AC60,AA59,IF(AC60&gt;AC59,AA60,IF(NOT(AND(ISNUMBER(AD59),ISNUMBER(AD60))),"",IF(AD59&gt;AD60,AA59,IF(AD60&gt;AD59,AA60,"")))))))),"W100")</f>
        <v>W100</v>
      </c>
      <c r="AF52" s="16"/>
      <c r="AG52" s="16"/>
      <c r="AH52" s="16"/>
      <c r="AI52" s="3"/>
      <c r="AJ52" s="3"/>
      <c r="AK52" s="3"/>
      <c r="AL52" s="3"/>
      <c r="AM52" s="3"/>
      <c r="AN52" s="3"/>
    </row>
    <row r="53" spans="1:67" ht="12.75" customHeight="1" x14ac:dyDescent="0.3">
      <c r="A53" s="11">
        <v>49</v>
      </c>
      <c r="B53" s="11" t="str">
        <f>TEXT((46189)+(15+4+GmtOffset)/24,"ddd")</f>
        <v>Tue</v>
      </c>
      <c r="C53" s="11" t="str">
        <f>TEXT((46189)+(15+4+GmtOffset)/24,"mmm d, yyyy")</f>
        <v>Jun 16, 2026</v>
      </c>
      <c r="D53" s="11" t="str">
        <f>TEXT((46189)+(15+4+GmtOffset)/24,"h:mm")</f>
        <v>21:00</v>
      </c>
      <c r="E53" s="12" t="s">
        <v>66</v>
      </c>
      <c r="F53" s="7"/>
      <c r="G53" s="7"/>
      <c r="H53" s="13" t="s">
        <v>67</v>
      </c>
      <c r="I53" s="11" t="s">
        <v>68</v>
      </c>
      <c r="J53" s="3"/>
      <c r="K53" s="1" t="s">
        <v>69</v>
      </c>
      <c r="L53" s="20"/>
      <c r="M53" s="20"/>
      <c r="N53" s="20"/>
      <c r="O53" s="20"/>
      <c r="P53" s="20"/>
      <c r="Q53" s="20"/>
      <c r="S53" s="9" t="str">
        <f>IF((COUNTIF($F$5:$G$76,"&gt;=0")=144),IFERROR(INDEX($AO$81:$AO$92,2),"Winner B"),"Winner B")</f>
        <v>Winner B</v>
      </c>
      <c r="T53" s="10"/>
      <c r="U53" s="10"/>
      <c r="V53" s="10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spans="1:67" ht="12.75" customHeight="1" x14ac:dyDescent="0.3">
      <c r="A54" s="11">
        <v>50</v>
      </c>
      <c r="B54" s="11" t="str">
        <f>TEXT((46189)+(18+4+GmtOffset)/24,"ddd")</f>
        <v>Wed</v>
      </c>
      <c r="C54" s="11" t="str">
        <f>TEXT((46189)+(18+4+GmtOffset)/24,"mmm d, yyyy")</f>
        <v>Jun 17, 2026</v>
      </c>
      <c r="D54" s="11" t="str">
        <f>TEXT((46189)+(18+4+GmtOffset)/24,"h:mm")</f>
        <v>0:00</v>
      </c>
      <c r="E54" s="12" t="s">
        <v>70</v>
      </c>
      <c r="F54" s="7"/>
      <c r="G54" s="7"/>
      <c r="H54" s="13" t="s">
        <v>71</v>
      </c>
      <c r="I54" s="11" t="s">
        <v>68</v>
      </c>
      <c r="J54" s="3"/>
      <c r="K54" s="14"/>
      <c r="L54" s="14" t="s">
        <v>17</v>
      </c>
      <c r="M54" s="14" t="s">
        <v>18</v>
      </c>
      <c r="N54" s="14" t="s">
        <v>19</v>
      </c>
      <c r="O54" s="14" t="s">
        <v>20</v>
      </c>
      <c r="P54" s="14" t="s">
        <v>21</v>
      </c>
      <c r="Q54" s="14" t="s">
        <v>22</v>
      </c>
      <c r="S54" s="15" t="str">
        <f>IF((COUNTIF($F$5:$G$76,"&gt;=0")=144),IFERROR(INDEX($AQ$81:$AQ$92,MATCH($BS$81,$AN$81:$AN$92,0)),"Best 3rd E/F/G/I/J"),"Best 3rd E/F/G/I/J")</f>
        <v>Best 3rd E/F/G/I/J</v>
      </c>
      <c r="T54" s="16"/>
      <c r="U54" s="16"/>
      <c r="V54" s="16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BD54" t="s">
        <v>66</v>
      </c>
      <c r="BE54">
        <f t="array" ref="BE54">SUMPRODUCT((((E53:E58=BD54)+(H53:H58=BD54))&gt;0)*ISNUMBER(F53:F58)*ISNUMBER(G53:G58))</f>
        <v>0</v>
      </c>
      <c r="BF54">
        <f t="array" ref="BF54">SUMPRODUCT((E53:E58=BD54)*ISNUMBER(F53:F58)*ISNUMBER(G53:G58)*(F53:F58&gt;G53:G58))+SUMPRODUCT((H53:H58=BD54)*ISNUMBER(F53:F58)*ISNUMBER(G53:G58)*(G53:G58&gt;F53:F58))</f>
        <v>0</v>
      </c>
      <c r="BG54">
        <f t="array" ref="BG54">SUMPRODUCT((((E53:E58=BD54)+(H53:H58=BD54))&gt;0)*ISNUMBER(F53:F58)*ISNUMBER(G53:G58)*(F53:F58=G53:G58))</f>
        <v>0</v>
      </c>
      <c r="BH54">
        <f>BE54-BF54-BG54</f>
        <v>0</v>
      </c>
      <c r="BI54">
        <f t="array" ref="BI54">SUMPRODUCT((E53:E58=BD54)*IFERROR(F53:F58,0))+SUMPRODUCT((H53:H58=BD54)*IFERROR(G53:G58,0))</f>
        <v>0</v>
      </c>
      <c r="BJ54">
        <f t="array" ref="BJ54">SUMPRODUCT((E53:E58=BD54)*IFERROR(G53:G58,0))+SUMPRODUCT((H53:H58=BD54)*IFERROR(F53:F58,0))</f>
        <v>0</v>
      </c>
      <c r="BK54">
        <f>BF54*3+BG54</f>
        <v>0</v>
      </c>
      <c r="BL54">
        <f>1+SUMPRODUCT(((BK$54:BK$57&gt;BK54)+(BK$54:BK$57=BK54)*(BM$54:BM$57&gt;BM54)+(BK$54:BK$57=BK54)*(BM$54:BM$57=BM54)*(BN$54:BN$57&gt;BN54)+(BK$54:BK$57=BK54)*(BM$54:BM$57=BM54)*(BN$54:BN$57=BN54)*(BO$54:BO$57&gt;BO54)+(BK$54:BK$57=BK54)*(BM$54:BM$57=BM54)*(BN$54:BN$57=BN54)*(BO$54:BO$57=BO54)*((BI$54:BI$57-BJ$54:BJ$57)&gt;(BI54-BJ54))+(BK$54:BK$57=BK54)*(BM$54:BM$57=BM54)*(BN$54:BN$57=BN54)*(BO$54:BO$57=BO54)*((BI$54:BI$57-BJ$54:BJ$57)=(BI54-BJ54))*(BI$54:BI$57&gt;BI54)+(BK$54:BK$57=BK54)*(BM$54:BM$57=BM54)*(BN$54:BN$57=BN54)*(BO$54:BO$57=BO54)*((BI$54:BI$57-BJ$54:BJ$57)=(BI54-BJ54))*(BI$54:BI$57=BI54)*(ROW(BK$54:BK$57)&lt;ROW(BK54)))*1)</f>
        <v>1</v>
      </c>
      <c r="BM54">
        <f t="array" ref="BM54">SUMPRODUCT((E$53:E$58=BD54)*ISNUMBER(F$53:F$58)*ISNUMBER(G$53:G$58)*COUNTIFS(BD$54:BD$57,H$53:H$58,BK$54:BK$57,BK54)*((F$53:F$58&gt;G$53:G$58)*3+(F$53:F$58=G$53:G$58)))+SUMPRODUCT((H$53:H$58=BD54)*ISNUMBER(F$53:F$58)*ISNUMBER(G$53:G$58)*COUNTIFS(BD$54:BD$57,E$53:E$58,BK$54:BK$57,BK54)*((G$53:G$58&gt;F$53:F$58)*3+(F$53:F$58=G$53:G$58)))</f>
        <v>0</v>
      </c>
      <c r="BN54">
        <f t="array" ref="BN54">SUMPRODUCT((E$53:E$58=BD54)*ISNUMBER(F$53:F$58)*ISNUMBER(G$53:G$58)*COUNTIFS(BD$54:BD$57,H$53:H$58,BK$54:BK$57,BK54)*(F$53:F$58-G$53:G$58))+SUMPRODUCT((H$53:H$58=BD54)*ISNUMBER(F$53:F$58)*ISNUMBER(G$53:G$58)*COUNTIFS(BD$54:BD$57,E$53:E$58,BK$54:BK$57,BK54)*(G$53:G$58-F$53:F$58))</f>
        <v>0</v>
      </c>
      <c r="BO54">
        <f t="array" ref="BO54">SUMPRODUCT((E$53:E$58=BD54)*ISNUMBER(F$53:F$58)*ISNUMBER(G$53:G$58)*COUNTIFS(BD$54:BD$57,H$53:H$58,BK$54:BK$57,BK54)*F$53:F$58)+SUMPRODUCT((H$53:H$58=BD54)*ISNUMBER(F$53:F$58)*ISNUMBER(G$53:G$58)*COUNTIFS(BD$54:BD$57,E$53:E$58,BK$54:BK$57,BK54)*G$53:G$58)</f>
        <v>0</v>
      </c>
    </row>
    <row r="55" spans="1:67" ht="12.75" customHeight="1" x14ac:dyDescent="0.3">
      <c r="A55" s="11">
        <v>51</v>
      </c>
      <c r="B55" s="11" t="str">
        <f>TEXT((46195)+(17+4+GmtOffset)/24,"ddd")</f>
        <v>Mon</v>
      </c>
      <c r="C55" s="11" t="str">
        <f>TEXT((46195)+(17+4+GmtOffset)/24,"mmm d, yyyy")</f>
        <v>Jun 22, 2026</v>
      </c>
      <c r="D55" s="11" t="str">
        <f>TEXT((46195)+(17+4+GmtOffset)/24,"h:mm")</f>
        <v>23:00</v>
      </c>
      <c r="E55" s="12" t="s">
        <v>66</v>
      </c>
      <c r="F55" s="7"/>
      <c r="G55" s="7"/>
      <c r="H55" s="13" t="s">
        <v>70</v>
      </c>
      <c r="I55" s="11" t="s">
        <v>68</v>
      </c>
      <c r="J55" s="3"/>
      <c r="K55" s="13" t="str">
        <f>INDEX(BD54:BD57,MATCH(1,BL54:BL57,0))</f>
        <v>France</v>
      </c>
      <c r="L55" s="11">
        <f>INDEX(BE54:BE57,MATCH(1,BL54:BL57,0))</f>
        <v>0</v>
      </c>
      <c r="M55" s="11">
        <f>INDEX(BF54:BF57,MATCH(1,BL54:BL57,0))</f>
        <v>0</v>
      </c>
      <c r="N55" s="11">
        <f>INDEX(BG54:BG57,MATCH(1,BL54:BL57,0))</f>
        <v>0</v>
      </c>
      <c r="O55" s="11">
        <f>INDEX(BH54:BH57,MATCH(1,BL54:BL57,0))</f>
        <v>0</v>
      </c>
      <c r="P55" s="11" t="str">
        <f>INDEX(BI54:BI57,MATCH(1,BL54:BL57,0))&amp;" - "&amp;INDEX(BJ54:BJ57,MATCH(1,BL54:BL57,0))</f>
        <v>0 - 0</v>
      </c>
      <c r="Q55" s="14">
        <f>INDEX(BK54:BK57,MATCH(1,BL54:BL57,0))</f>
        <v>0</v>
      </c>
      <c r="S55" s="3"/>
      <c r="T55" s="3"/>
      <c r="U55" s="3"/>
      <c r="V55" s="3"/>
      <c r="W55" s="9" t="str">
        <f>IF(AND(ISNUMBER(T57),ISNUMBER(T58)),IF(T57&gt;T58,S57,IF(T58&gt;T57,S58,IF(NOT(AND(ISNUMBER(U57),ISNUMBER(U58))),"",IF(U57&gt;U58,S57,IF(U58&gt;U57,S58,IF(NOT(AND(ISNUMBER(V57),ISNUMBER(V58))),"",IF(V57&gt;V58,S57,IF(V58&gt;V57,S58,"")))))))),"W86")</f>
        <v>W86</v>
      </c>
      <c r="X55" s="10"/>
      <c r="Y55" s="10"/>
      <c r="Z55" s="10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BD55" t="s">
        <v>67</v>
      </c>
      <c r="BE55">
        <f t="array" ref="BE55">SUMPRODUCT((((E53:E58=BD55)+(H53:H58=BD55))&gt;0)*ISNUMBER(F53:F58)*ISNUMBER(G53:G58))</f>
        <v>0</v>
      </c>
      <c r="BF55">
        <f t="array" ref="BF55">SUMPRODUCT((E53:E58=BD55)*ISNUMBER(F53:F58)*ISNUMBER(G53:G58)*(F53:F58&gt;G53:G58))+SUMPRODUCT((H53:H58=BD55)*ISNUMBER(F53:F58)*ISNUMBER(G53:G58)*(G53:G58&gt;F53:F58))</f>
        <v>0</v>
      </c>
      <c r="BG55">
        <f t="array" ref="BG55">SUMPRODUCT((((E53:E58=BD55)+(H53:H58=BD55))&gt;0)*ISNUMBER(F53:F58)*ISNUMBER(G53:G58)*(F53:F58=G53:G58))</f>
        <v>0</v>
      </c>
      <c r="BH55">
        <f>BE55-BF55-BG55</f>
        <v>0</v>
      </c>
      <c r="BI55">
        <f t="array" ref="BI55">SUMPRODUCT((E53:E58=BD55)*IFERROR(F53:F58,0))+SUMPRODUCT((H53:H58=BD55)*IFERROR(G53:G58,0))</f>
        <v>0</v>
      </c>
      <c r="BJ55">
        <f t="array" ref="BJ55">SUMPRODUCT((E53:E58=BD55)*IFERROR(G53:G58,0))+SUMPRODUCT((H53:H58=BD55)*IFERROR(F53:F58,0))</f>
        <v>0</v>
      </c>
      <c r="BK55">
        <f>BF55*3+BG55</f>
        <v>0</v>
      </c>
      <c r="BL55">
        <f>1+SUMPRODUCT(((BK$54:BK$57&gt;BK55)+(BK$54:BK$57=BK55)*(BM$54:BM$57&gt;BM55)+(BK$54:BK$57=BK55)*(BM$54:BM$57=BM55)*(BN$54:BN$57&gt;BN55)+(BK$54:BK$57=BK55)*(BM$54:BM$57=BM55)*(BN$54:BN$57=BN55)*(BO$54:BO$57&gt;BO55)+(BK$54:BK$57=BK55)*(BM$54:BM$57=BM55)*(BN$54:BN$57=BN55)*(BO$54:BO$57=BO55)*((BI$54:BI$57-BJ$54:BJ$57)&gt;(BI55-BJ55))+(BK$54:BK$57=BK55)*(BM$54:BM$57=BM55)*(BN$54:BN$57=BN55)*(BO$54:BO$57=BO55)*((BI$54:BI$57-BJ$54:BJ$57)=(BI55-BJ55))*(BI$54:BI$57&gt;BI55)+(BK$54:BK$57=BK55)*(BM$54:BM$57=BM55)*(BN$54:BN$57=BN55)*(BO$54:BO$57=BO55)*((BI$54:BI$57-BJ$54:BJ$57)=(BI55-BJ55))*(BI$54:BI$57=BI55)*(ROW(BK$54:BK$57)&lt;ROW(BK55)))*1)</f>
        <v>2</v>
      </c>
      <c r="BM55">
        <f t="array" ref="BM55">SUMPRODUCT((E$53:E$58=BD55)*ISNUMBER(F$53:F$58)*ISNUMBER(G$53:G$58)*COUNTIFS(BD$54:BD$57,H$53:H$58,BK$54:BK$57,BK55)*((F$53:F$58&gt;G$53:G$58)*3+(F$53:F$58=G$53:G$58)))+SUMPRODUCT((H$53:H$58=BD55)*ISNUMBER(F$53:F$58)*ISNUMBER(G$53:G$58)*COUNTIFS(BD$54:BD$57,E$53:E$58,BK$54:BK$57,BK55)*((G$53:G$58&gt;F$53:F$58)*3+(F$53:F$58=G$53:G$58)))</f>
        <v>0</v>
      </c>
      <c r="BN55">
        <f t="array" ref="BN55">SUMPRODUCT((E$53:E$58=BD55)*ISNUMBER(F$53:F$58)*ISNUMBER(G$53:G$58)*COUNTIFS(BD$54:BD$57,H$53:H$58,BK$54:BK$57,BK55)*(F$53:F$58-G$53:G$58))+SUMPRODUCT((H$53:H$58=BD55)*ISNUMBER(F$53:F$58)*ISNUMBER(G$53:G$58)*COUNTIFS(BD$54:BD$57,E$53:E$58,BK$54:BK$57,BK55)*(G$53:G$58-F$53:F$58))</f>
        <v>0</v>
      </c>
      <c r="BO55">
        <f t="array" ref="BO55">SUMPRODUCT((E$53:E$58=BD55)*ISNUMBER(F$53:F$58)*ISNUMBER(G$53:G$58)*COUNTIFS(BD$54:BD$57,H$53:H$58,BK$54:BK$57,BK55)*F$53:F$58)+SUMPRODUCT((H$53:H$58=BD55)*ISNUMBER(F$53:F$58)*ISNUMBER(G$53:G$58)*COUNTIFS(BD$54:BD$57,E$53:E$58,BK$54:BK$57,BK55)*G$53:G$58)</f>
        <v>0</v>
      </c>
    </row>
    <row r="56" spans="1:67" ht="12.75" customHeight="1" x14ac:dyDescent="0.3">
      <c r="A56" s="11">
        <v>52</v>
      </c>
      <c r="B56" s="11" t="str">
        <f>TEXT((46195)+(20+4+GmtOffset)/24,"ddd")</f>
        <v>Tue</v>
      </c>
      <c r="C56" s="11" t="str">
        <f>TEXT((46195)+(20+4+GmtOffset)/24,"mmm d, yyyy")</f>
        <v>Jun 23, 2026</v>
      </c>
      <c r="D56" s="11" t="str">
        <f>TEXT((46195)+(20+4+GmtOffset)/24,"h:mm")</f>
        <v>2:00</v>
      </c>
      <c r="E56" s="12" t="s">
        <v>71</v>
      </c>
      <c r="F56" s="7"/>
      <c r="G56" s="7"/>
      <c r="H56" s="13" t="s">
        <v>67</v>
      </c>
      <c r="I56" s="11" t="s">
        <v>68</v>
      </c>
      <c r="J56" s="3"/>
      <c r="K56" s="13" t="str">
        <f>INDEX(BD54:BD57,MATCH(2,BL54:BL57,0))</f>
        <v>Senegal</v>
      </c>
      <c r="L56" s="11">
        <f>INDEX(BE54:BE57,MATCH(2,BL54:BL57,0))</f>
        <v>0</v>
      </c>
      <c r="M56" s="11">
        <f>INDEX(BF54:BF57,MATCH(2,BL54:BL57,0))</f>
        <v>0</v>
      </c>
      <c r="N56" s="11">
        <f>INDEX(BG54:BG57,MATCH(2,BL54:BL57,0))</f>
        <v>0</v>
      </c>
      <c r="O56" s="11">
        <f>INDEX(BH54:BH57,MATCH(2,BL54:BL57,0))</f>
        <v>0</v>
      </c>
      <c r="P56" s="11" t="str">
        <f>INDEX(BI54:BI57,MATCH(2,BL54:BL57,0))&amp;" - "&amp;INDEX(BJ54:BJ57,MATCH(2,BL54:BL57,0))</f>
        <v>0 - 0</v>
      </c>
      <c r="Q56" s="14">
        <f>INDEX(BK54:BK57,MATCH(2,BL54:BL57,0))</f>
        <v>0</v>
      </c>
      <c r="S56" s="3"/>
      <c r="T56" s="3"/>
      <c r="U56" s="3"/>
      <c r="V56" s="3"/>
      <c r="W56" s="15" t="str">
        <f>IF(AND(ISNUMBER(T65),ISNUMBER(T66)),IF(T65&gt;T66,S65,IF(T66&gt;T65,S66,IF(NOT(AND(ISNUMBER(U65),ISNUMBER(U66))),"",IF(U65&gt;U66,S65,IF(U66&gt;U65,S66,IF(NOT(AND(ISNUMBER(V65),ISNUMBER(V66))),"",IF(V65&gt;V66,S65,IF(V66&gt;V65,S66,"")))))))),"W88")</f>
        <v>W88</v>
      </c>
      <c r="X56" s="16"/>
      <c r="Y56" s="16"/>
      <c r="Z56" s="16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BD56" t="s">
        <v>70</v>
      </c>
      <c r="BE56">
        <f t="array" ref="BE56">SUMPRODUCT((((E53:E58=BD56)+(H53:H58=BD56))&gt;0)*ISNUMBER(F53:F58)*ISNUMBER(G53:G58))</f>
        <v>0</v>
      </c>
      <c r="BF56">
        <f t="array" ref="BF56">SUMPRODUCT((E53:E58=BD56)*ISNUMBER(F53:F58)*ISNUMBER(G53:G58)*(F53:F58&gt;G53:G58))+SUMPRODUCT((H53:H58=BD56)*ISNUMBER(F53:F58)*ISNUMBER(G53:G58)*(G53:G58&gt;F53:F58))</f>
        <v>0</v>
      </c>
      <c r="BG56">
        <f t="array" ref="BG56">SUMPRODUCT((((E53:E58=BD56)+(H53:H58=BD56))&gt;0)*ISNUMBER(F53:F58)*ISNUMBER(G53:G58)*(F53:F58=G53:G58))</f>
        <v>0</v>
      </c>
      <c r="BH56">
        <f>BE56-BF56-BG56</f>
        <v>0</v>
      </c>
      <c r="BI56">
        <f t="array" ref="BI56">SUMPRODUCT((E53:E58=BD56)*IFERROR(F53:F58,0))+SUMPRODUCT((H53:H58=BD56)*IFERROR(G53:G58,0))</f>
        <v>0</v>
      </c>
      <c r="BJ56">
        <f t="array" ref="BJ56">SUMPRODUCT((E53:E58=BD56)*IFERROR(G53:G58,0))+SUMPRODUCT((H53:H58=BD56)*IFERROR(F53:F58,0))</f>
        <v>0</v>
      </c>
      <c r="BK56">
        <f>BF56*3+BG56</f>
        <v>0</v>
      </c>
      <c r="BL56">
        <f>1+SUMPRODUCT(((BK$54:BK$57&gt;BK56)+(BK$54:BK$57=BK56)*(BM$54:BM$57&gt;BM56)+(BK$54:BK$57=BK56)*(BM$54:BM$57=BM56)*(BN$54:BN$57&gt;BN56)+(BK$54:BK$57=BK56)*(BM$54:BM$57=BM56)*(BN$54:BN$57=BN56)*(BO$54:BO$57&gt;BO56)+(BK$54:BK$57=BK56)*(BM$54:BM$57=BM56)*(BN$54:BN$57=BN56)*(BO$54:BO$57=BO56)*((BI$54:BI$57-BJ$54:BJ$57)&gt;(BI56-BJ56))+(BK$54:BK$57=BK56)*(BM$54:BM$57=BM56)*(BN$54:BN$57=BN56)*(BO$54:BO$57=BO56)*((BI$54:BI$57-BJ$54:BJ$57)=(BI56-BJ56))*(BI$54:BI$57&gt;BI56)+(BK$54:BK$57=BK56)*(BM$54:BM$57=BM56)*(BN$54:BN$57=BN56)*(BO$54:BO$57=BO56)*((BI$54:BI$57-BJ$54:BJ$57)=(BI56-BJ56))*(BI$54:BI$57=BI56)*(ROW(BK$54:BK$57)&lt;ROW(BK56)))*1)</f>
        <v>3</v>
      </c>
      <c r="BM56">
        <f t="array" ref="BM56">SUMPRODUCT((E$53:E$58=BD56)*ISNUMBER(F$53:F$58)*ISNUMBER(G$53:G$58)*COUNTIFS(BD$54:BD$57,H$53:H$58,BK$54:BK$57,BK56)*((F$53:F$58&gt;G$53:G$58)*3+(F$53:F$58=G$53:G$58)))+SUMPRODUCT((H$53:H$58=BD56)*ISNUMBER(F$53:F$58)*ISNUMBER(G$53:G$58)*COUNTIFS(BD$54:BD$57,E$53:E$58,BK$54:BK$57,BK56)*((G$53:G$58&gt;F$53:F$58)*3+(F$53:F$58=G$53:G$58)))</f>
        <v>0</v>
      </c>
      <c r="BN56">
        <f t="array" ref="BN56">SUMPRODUCT((E$53:E$58=BD56)*ISNUMBER(F$53:F$58)*ISNUMBER(G$53:G$58)*COUNTIFS(BD$54:BD$57,H$53:H$58,BK$54:BK$57,BK56)*(F$53:F$58-G$53:G$58))+SUMPRODUCT((H$53:H$58=BD56)*ISNUMBER(F$53:F$58)*ISNUMBER(G$53:G$58)*COUNTIFS(BD$54:BD$57,E$53:E$58,BK$54:BK$57,BK56)*(G$53:G$58-F$53:F$58))</f>
        <v>0</v>
      </c>
      <c r="BO56">
        <f t="array" ref="BO56">SUMPRODUCT((E$53:E$58=BD56)*ISNUMBER(F$53:F$58)*ISNUMBER(G$53:G$58)*COUNTIFS(BD$54:BD$57,H$53:H$58,BK$54:BK$57,BK56)*F$53:F$58)+SUMPRODUCT((H$53:H$58=BD56)*ISNUMBER(F$53:F$58)*ISNUMBER(G$53:G$58)*COUNTIFS(BD$54:BD$57,E$53:E$58,BK$54:BK$57,BK56)*G$53:G$58)</f>
        <v>0</v>
      </c>
    </row>
    <row r="57" spans="1:67" ht="12.75" customHeight="1" x14ac:dyDescent="0.3">
      <c r="A57" s="11">
        <v>53</v>
      </c>
      <c r="B57" s="11" t="str">
        <f>TEXT((46199)+(15+4+GmtOffset)/24,"ddd")</f>
        <v>Fri</v>
      </c>
      <c r="C57" s="11" t="str">
        <f>TEXT((46199)+(15+4+GmtOffset)/24,"mmm d, yyyy")</f>
        <v>Jun 26, 2026</v>
      </c>
      <c r="D57" s="11" t="str">
        <f>TEXT((46199)+(15+4+GmtOffset)/24,"h:mm")</f>
        <v>21:00</v>
      </c>
      <c r="E57" s="12" t="s">
        <v>71</v>
      </c>
      <c r="F57" s="7"/>
      <c r="G57" s="7"/>
      <c r="H57" s="13" t="s">
        <v>66</v>
      </c>
      <c r="I57" s="11" t="s">
        <v>68</v>
      </c>
      <c r="J57" s="3"/>
      <c r="K57" s="13" t="str">
        <f>INDEX(BD54:BD57,MATCH(3,BL54:BL57,0))</f>
        <v>Iraq</v>
      </c>
      <c r="L57" s="11">
        <f>INDEX(BE54:BE57,MATCH(3,BL54:BL57,0))</f>
        <v>0</v>
      </c>
      <c r="M57" s="11">
        <f>INDEX(BF54:BF57,MATCH(3,BL54:BL57,0))</f>
        <v>0</v>
      </c>
      <c r="N57" s="11">
        <f>INDEX(BG54:BG57,MATCH(3,BL54:BL57,0))</f>
        <v>0</v>
      </c>
      <c r="O57" s="11">
        <f>INDEX(BH54:BH57,MATCH(3,BL54:BL57,0))</f>
        <v>0</v>
      </c>
      <c r="P57" s="11" t="str">
        <f>INDEX(BI54:BI57,MATCH(3,BL54:BL57,0))&amp;" - "&amp;INDEX(BJ54:BJ57,MATCH(3,BL54:BL57,0))</f>
        <v>0 - 0</v>
      </c>
      <c r="Q57" s="14">
        <f>INDEX(BK54:BK57,MATCH(3,BL54:BL57,0))</f>
        <v>0</v>
      </c>
      <c r="S57" s="9" t="str">
        <f>IF((COUNTIF($F$5:$G$76,"&gt;=0")=144),IFERROR(INDEX($AO$81:$AO$92,10),"Winner J"),"Winner J")</f>
        <v>Winner J</v>
      </c>
      <c r="T57" s="10"/>
      <c r="U57" s="10"/>
      <c r="V57" s="10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BD57" t="s">
        <v>71</v>
      </c>
      <c r="BE57">
        <f t="array" ref="BE57">SUMPRODUCT((((E53:E58=BD57)+(H53:H58=BD57))&gt;0)*ISNUMBER(F53:F58)*ISNUMBER(G53:G58))</f>
        <v>0</v>
      </c>
      <c r="BF57">
        <f t="array" ref="BF57">SUMPRODUCT((E53:E58=BD57)*ISNUMBER(F53:F58)*ISNUMBER(G53:G58)*(F53:F58&gt;G53:G58))+SUMPRODUCT((H53:H58=BD57)*ISNUMBER(F53:F58)*ISNUMBER(G53:G58)*(G53:G58&gt;F53:F58))</f>
        <v>0</v>
      </c>
      <c r="BG57">
        <f t="array" ref="BG57">SUMPRODUCT((((E53:E58=BD57)+(H53:H58=BD57))&gt;0)*ISNUMBER(F53:F58)*ISNUMBER(G53:G58)*(F53:F58=G53:G58))</f>
        <v>0</v>
      </c>
      <c r="BH57">
        <f>BE57-BF57-BG57</f>
        <v>0</v>
      </c>
      <c r="BI57">
        <f t="array" ref="BI57">SUMPRODUCT((E53:E58=BD57)*IFERROR(F53:F58,0))+SUMPRODUCT((H53:H58=BD57)*IFERROR(G53:G58,0))</f>
        <v>0</v>
      </c>
      <c r="BJ57">
        <f t="array" ref="BJ57">SUMPRODUCT((E53:E58=BD57)*IFERROR(G53:G58,0))+SUMPRODUCT((H53:H58=BD57)*IFERROR(F53:F58,0))</f>
        <v>0</v>
      </c>
      <c r="BK57">
        <f>BF57*3+BG57</f>
        <v>0</v>
      </c>
      <c r="BL57">
        <f>1+SUMPRODUCT(((BK$54:BK$57&gt;BK57)+(BK$54:BK$57=BK57)*(BM$54:BM$57&gt;BM57)+(BK$54:BK$57=BK57)*(BM$54:BM$57=BM57)*(BN$54:BN$57&gt;BN57)+(BK$54:BK$57=BK57)*(BM$54:BM$57=BM57)*(BN$54:BN$57=BN57)*(BO$54:BO$57&gt;BO57)+(BK$54:BK$57=BK57)*(BM$54:BM$57=BM57)*(BN$54:BN$57=BN57)*(BO$54:BO$57=BO57)*((BI$54:BI$57-BJ$54:BJ$57)&gt;(BI57-BJ57))+(BK$54:BK$57=BK57)*(BM$54:BM$57=BM57)*(BN$54:BN$57=BN57)*(BO$54:BO$57=BO57)*((BI$54:BI$57-BJ$54:BJ$57)=(BI57-BJ57))*(BI$54:BI$57&gt;BI57)+(BK$54:BK$57=BK57)*(BM$54:BM$57=BM57)*(BN$54:BN$57=BN57)*(BO$54:BO$57=BO57)*((BI$54:BI$57-BJ$54:BJ$57)=(BI57-BJ57))*(BI$54:BI$57=BI57)*(ROW(BK$54:BK$57)&lt;ROW(BK57)))*1)</f>
        <v>4</v>
      </c>
      <c r="BM57">
        <f t="array" ref="BM57">SUMPRODUCT((E$53:E$58=BD57)*ISNUMBER(F$53:F$58)*ISNUMBER(G$53:G$58)*COUNTIFS(BD$54:BD$57,H$53:H$58,BK$54:BK$57,BK57)*((F$53:F$58&gt;G$53:G$58)*3+(F$53:F$58=G$53:G$58)))+SUMPRODUCT((H$53:H$58=BD57)*ISNUMBER(F$53:F$58)*ISNUMBER(G$53:G$58)*COUNTIFS(BD$54:BD$57,E$53:E$58,BK$54:BK$57,BK57)*((G$53:G$58&gt;F$53:F$58)*3+(F$53:F$58=G$53:G$58)))</f>
        <v>0</v>
      </c>
      <c r="BN57">
        <f t="array" ref="BN57">SUMPRODUCT((E$53:E$58=BD57)*ISNUMBER(F$53:F$58)*ISNUMBER(G$53:G$58)*COUNTIFS(BD$54:BD$57,H$53:H$58,BK$54:BK$57,BK57)*(F$53:F$58-G$53:G$58))+SUMPRODUCT((H$53:H$58=BD57)*ISNUMBER(F$53:F$58)*ISNUMBER(G$53:G$58)*COUNTIFS(BD$54:BD$57,E$53:E$58,BK$54:BK$57,BK57)*(G$53:G$58-F$53:F$58))</f>
        <v>0</v>
      </c>
      <c r="BO57">
        <f t="array" ref="BO57">SUMPRODUCT((E$53:E$58=BD57)*ISNUMBER(F$53:F$58)*ISNUMBER(G$53:G$58)*COUNTIFS(BD$54:BD$57,H$53:H$58,BK$54:BK$57,BK57)*F$53:F$58)+SUMPRODUCT((H$53:H$58=BD57)*ISNUMBER(F$53:F$58)*ISNUMBER(G$53:G$58)*COUNTIFS(BD$54:BD$57,E$53:E$58,BK$54:BK$57,BK57)*G$53:G$58)</f>
        <v>0</v>
      </c>
    </row>
    <row r="58" spans="1:67" ht="12.75" customHeight="1" x14ac:dyDescent="0.3">
      <c r="A58" s="11">
        <v>54</v>
      </c>
      <c r="B58" s="11" t="str">
        <f>TEXT((46199)+(15+4+GmtOffset)/24,"ddd")</f>
        <v>Fri</v>
      </c>
      <c r="C58" s="11" t="str">
        <f>TEXT((46199)+(15+4+GmtOffset)/24,"mmm d, yyyy")</f>
        <v>Jun 26, 2026</v>
      </c>
      <c r="D58" s="11" t="str">
        <f>TEXT((46199)+(15+4+GmtOffset)/24,"h:mm")</f>
        <v>21:00</v>
      </c>
      <c r="E58" s="12" t="s">
        <v>67</v>
      </c>
      <c r="F58" s="7"/>
      <c r="G58" s="7"/>
      <c r="H58" s="13" t="s">
        <v>70</v>
      </c>
      <c r="I58" s="11" t="s">
        <v>68</v>
      </c>
      <c r="J58" s="3"/>
      <c r="K58" s="17" t="str">
        <f>INDEX(BD54:BD57,MATCH(4,BL54:BL57,0))</f>
        <v>Norway</v>
      </c>
      <c r="L58" s="18">
        <f>INDEX(BE54:BE57,MATCH(4,BL54:BL57,0))</f>
        <v>0</v>
      </c>
      <c r="M58" s="18">
        <f>INDEX(BF54:BF57,MATCH(4,BL54:BL57,0))</f>
        <v>0</v>
      </c>
      <c r="N58" s="18">
        <f>INDEX(BG54:BG57,MATCH(4,BL54:BL57,0))</f>
        <v>0</v>
      </c>
      <c r="O58" s="18">
        <f>INDEX(BH54:BH57,MATCH(4,BL54:BL57,0))</f>
        <v>0</v>
      </c>
      <c r="P58" s="18" t="str">
        <f>INDEX(BI54:BI57,MATCH(4,BL54:BL57,0))&amp;" - "&amp;INDEX(BJ54:BJ57,MATCH(4,BL54:BL57,0))</f>
        <v>0 - 0</v>
      </c>
      <c r="Q58" s="19">
        <f>INDEX(BK54:BK57,MATCH(4,BL54:BL57,0))</f>
        <v>0</v>
      </c>
      <c r="S58" s="15" t="str">
        <f>IF((COUNTIF($F$5:$G$76,"&gt;=0")=144),IFERROR(INDEX($AP$81:$AP$92,8),"Runner-up H"),"Runner-up H")</f>
        <v>Runner-up H</v>
      </c>
      <c r="T58" s="16"/>
      <c r="U58" s="16"/>
      <c r="V58" s="16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spans="1:67" ht="12.75" customHeight="1" x14ac:dyDescent="0.3">
      <c r="A59" s="11">
        <v>55</v>
      </c>
      <c r="B59" s="11" t="str">
        <f>TEXT((46189)+(21+4+GmtOffset)/24,"ddd")</f>
        <v>Wed</v>
      </c>
      <c r="C59" s="11" t="str">
        <f>TEXT((46189)+(21+4+GmtOffset)/24,"mmm d, yyyy")</f>
        <v>Jun 17, 2026</v>
      </c>
      <c r="D59" s="11" t="str">
        <f>TEXT((46189)+(21+4+GmtOffset)/24,"h:mm")</f>
        <v>3:00</v>
      </c>
      <c r="E59" s="12" t="s">
        <v>72</v>
      </c>
      <c r="F59" s="7"/>
      <c r="G59" s="7"/>
      <c r="H59" s="13" t="s">
        <v>73</v>
      </c>
      <c r="I59" s="11" t="s">
        <v>74</v>
      </c>
      <c r="J59" s="3"/>
      <c r="K59" s="1" t="s">
        <v>75</v>
      </c>
      <c r="L59" s="20"/>
      <c r="M59" s="20"/>
      <c r="N59" s="20"/>
      <c r="O59" s="20"/>
      <c r="P59" s="20"/>
      <c r="Q59" s="20"/>
      <c r="S59" s="3"/>
      <c r="T59" s="3"/>
      <c r="U59" s="3"/>
      <c r="V59" s="3"/>
      <c r="W59" s="3"/>
      <c r="X59" s="3"/>
      <c r="Y59" s="3"/>
      <c r="Z59" s="3"/>
      <c r="AA59" s="9" t="str">
        <f>IF(AND(ISNUMBER(X55),ISNUMBER(X56)),IF(X55&gt;X56,W55,IF(X56&gt;X55,W56,IF(NOT(AND(ISNUMBER(Y55),ISNUMBER(Y56))),"",IF(Y55&gt;Y56,W55,IF(Y56&gt;Y55,W56,IF(NOT(AND(ISNUMBER(Z55),ISNUMBER(Z56))),"",IF(Z55&gt;Z56,W55,IF(Z56&gt;Z55,W56,"")))))))),"W95")</f>
        <v>W95</v>
      </c>
      <c r="AB59" s="10"/>
      <c r="AC59" s="10"/>
      <c r="AD59" s="10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spans="1:67" ht="12.75" customHeight="1" x14ac:dyDescent="0.3">
      <c r="A60" s="11">
        <v>56</v>
      </c>
      <c r="B60" s="11" t="str">
        <f>TEXT((46190)+(0+4+GmtOffset)/24,"ddd")</f>
        <v>Wed</v>
      </c>
      <c r="C60" s="11" t="str">
        <f>TEXT((46190)+(0+4+GmtOffset)/24,"mmm d, yyyy")</f>
        <v>Jun 17, 2026</v>
      </c>
      <c r="D60" s="11" t="str">
        <f>TEXT((46190)+(0+4+GmtOffset)/24,"h:mm")</f>
        <v>6:00</v>
      </c>
      <c r="E60" s="12" t="s">
        <v>76</v>
      </c>
      <c r="F60" s="7"/>
      <c r="G60" s="7"/>
      <c r="H60" s="13" t="s">
        <v>77</v>
      </c>
      <c r="I60" s="11" t="s">
        <v>74</v>
      </c>
      <c r="J60" s="3"/>
      <c r="K60" s="14"/>
      <c r="L60" s="14" t="s">
        <v>17</v>
      </c>
      <c r="M60" s="14" t="s">
        <v>18</v>
      </c>
      <c r="N60" s="14" t="s">
        <v>19</v>
      </c>
      <c r="O60" s="14" t="s">
        <v>20</v>
      </c>
      <c r="P60" s="14" t="s">
        <v>21</v>
      </c>
      <c r="Q60" s="14" t="s">
        <v>22</v>
      </c>
      <c r="S60" s="3"/>
      <c r="T60" s="3"/>
      <c r="U60" s="3"/>
      <c r="V60" s="3"/>
      <c r="W60" s="3"/>
      <c r="X60" s="3"/>
      <c r="Y60" s="3"/>
      <c r="Z60" s="3"/>
      <c r="AA60" s="15" t="str">
        <f>IF(AND(ISNUMBER(X63),ISNUMBER(X64)),IF(X63&gt;X64,W63,IF(X64&gt;X63,W64,IF(NOT(AND(ISNUMBER(Y63),ISNUMBER(Y64))),"",IF(Y63&gt;Y64,W63,IF(Y64&gt;Y63,W64,IF(NOT(AND(ISNUMBER(Z63),ISNUMBER(Z64))),"",IF(Z63&gt;Z64,W63,IF(Z64&gt;Z63,W64,"")))))))),"W96")</f>
        <v>W96</v>
      </c>
      <c r="AB60" s="16"/>
      <c r="AC60" s="16"/>
      <c r="AD60" s="16"/>
      <c r="AE60" s="3"/>
      <c r="AF60" s="3"/>
      <c r="AG60" s="3"/>
      <c r="AH60" s="3"/>
      <c r="AI60" s="3"/>
      <c r="AJ60" s="3"/>
      <c r="AK60" s="3"/>
      <c r="AL60" s="3"/>
      <c r="AM60" s="3"/>
      <c r="AN60" s="3"/>
      <c r="BD60" t="s">
        <v>72</v>
      </c>
      <c r="BE60">
        <f t="array" ref="BE60">SUMPRODUCT((((E59:E64=BD60)+(H59:H64=BD60))&gt;0)*ISNUMBER(F59:F64)*ISNUMBER(G59:G64))</f>
        <v>0</v>
      </c>
      <c r="BF60">
        <f t="array" ref="BF60">SUMPRODUCT((E59:E64=BD60)*ISNUMBER(F59:F64)*ISNUMBER(G59:G64)*(F59:F64&gt;G59:G64))+SUMPRODUCT((H59:H64=BD60)*ISNUMBER(F59:F64)*ISNUMBER(G59:G64)*(G59:G64&gt;F59:F64))</f>
        <v>0</v>
      </c>
      <c r="BG60">
        <f t="array" ref="BG60">SUMPRODUCT((((E59:E64=BD60)+(H59:H64=BD60))&gt;0)*ISNUMBER(F59:F64)*ISNUMBER(G59:G64)*(F59:F64=G59:G64))</f>
        <v>0</v>
      </c>
      <c r="BH60">
        <f>BE60-BF60-BG60</f>
        <v>0</v>
      </c>
      <c r="BI60">
        <f t="array" ref="BI60">SUMPRODUCT((E59:E64=BD60)*IFERROR(F59:F64,0))+SUMPRODUCT((H59:H64=BD60)*IFERROR(G59:G64,0))</f>
        <v>0</v>
      </c>
      <c r="BJ60">
        <f t="array" ref="BJ60">SUMPRODUCT((E59:E64=BD60)*IFERROR(G59:G64,0))+SUMPRODUCT((H59:H64=BD60)*IFERROR(F59:F64,0))</f>
        <v>0</v>
      </c>
      <c r="BK60">
        <f>BF60*3+BG60</f>
        <v>0</v>
      </c>
      <c r="BL60">
        <f>1+SUMPRODUCT(((BK$60:BK$63&gt;BK60)+(BK$60:BK$63=BK60)*(BM$60:BM$63&gt;BM60)+(BK$60:BK$63=BK60)*(BM$60:BM$63=BM60)*(BN$60:BN$63&gt;BN60)+(BK$60:BK$63=BK60)*(BM$60:BM$63=BM60)*(BN$60:BN$63=BN60)*(BO$60:BO$63&gt;BO60)+(BK$60:BK$63=BK60)*(BM$60:BM$63=BM60)*(BN$60:BN$63=BN60)*(BO$60:BO$63=BO60)*((BI$60:BI$63-BJ$60:BJ$63)&gt;(BI60-BJ60))+(BK$60:BK$63=BK60)*(BM$60:BM$63=BM60)*(BN$60:BN$63=BN60)*(BO$60:BO$63=BO60)*((BI$60:BI$63-BJ$60:BJ$63)=(BI60-BJ60))*(BI$60:BI$63&gt;BI60)+(BK$60:BK$63=BK60)*(BM$60:BM$63=BM60)*(BN$60:BN$63=BN60)*(BO$60:BO$63=BO60)*((BI$60:BI$63-BJ$60:BJ$63)=(BI60-BJ60))*(BI$60:BI$63=BI60)*(ROW(BK$60:BK$63)&lt;ROW(BK60)))*1)</f>
        <v>1</v>
      </c>
      <c r="BM60">
        <f t="array" ref="BM60">SUMPRODUCT((E$59:E$64=BD60)*ISNUMBER(F$59:F$64)*ISNUMBER(G$59:G$64)*COUNTIFS(BD$60:BD$63,H$59:H$64,BK$60:BK$63,BK60)*((F$59:F$64&gt;G$59:G$64)*3+(F$59:F$64=G$59:G$64)))+SUMPRODUCT((H$59:H$64=BD60)*ISNUMBER(F$59:F$64)*ISNUMBER(G$59:G$64)*COUNTIFS(BD$60:BD$63,E$59:E$64,BK$60:BK$63,BK60)*((G$59:G$64&gt;F$59:F$64)*3+(F$59:F$64=G$59:G$64)))</f>
        <v>0</v>
      </c>
      <c r="BN60">
        <f t="array" ref="BN60">SUMPRODUCT((E$59:E$64=BD60)*ISNUMBER(F$59:F$64)*ISNUMBER(G$59:G$64)*COUNTIFS(BD$60:BD$63,H$59:H$64,BK$60:BK$63,BK60)*(F$59:F$64-G$59:G$64))+SUMPRODUCT((H$59:H$64=BD60)*ISNUMBER(F$59:F$64)*ISNUMBER(G$59:G$64)*COUNTIFS(BD$60:BD$63,E$59:E$64,BK$60:BK$63,BK60)*(G$59:G$64-F$59:F$64))</f>
        <v>0</v>
      </c>
      <c r="BO60">
        <f t="array" ref="BO60">SUMPRODUCT((E$59:E$64=BD60)*ISNUMBER(F$59:F$64)*ISNUMBER(G$59:G$64)*COUNTIFS(BD$60:BD$63,H$59:H$64,BK$60:BK$63,BK60)*F$59:F$64)+SUMPRODUCT((H$59:H$64=BD60)*ISNUMBER(F$59:F$64)*ISNUMBER(G$59:G$64)*COUNTIFS(BD$60:BD$63,E$59:E$64,BK$60:BK$63,BK60)*G$59:G$64)</f>
        <v>0</v>
      </c>
    </row>
    <row r="61" spans="1:67" ht="12.75" customHeight="1" x14ac:dyDescent="0.3">
      <c r="A61" s="11">
        <v>57</v>
      </c>
      <c r="B61" s="11" t="str">
        <f>TEXT((46195)+(13+4+GmtOffset)/24,"ddd")</f>
        <v>Mon</v>
      </c>
      <c r="C61" s="11" t="str">
        <f>TEXT((46195)+(13+4+GmtOffset)/24,"mmm d, yyyy")</f>
        <v>Jun 22, 2026</v>
      </c>
      <c r="D61" s="11" t="str">
        <f>TEXT((46195)+(13+4+GmtOffset)/24,"h:mm")</f>
        <v>19:00</v>
      </c>
      <c r="E61" s="12" t="s">
        <v>72</v>
      </c>
      <c r="F61" s="7"/>
      <c r="G61" s="7"/>
      <c r="H61" s="13" t="s">
        <v>76</v>
      </c>
      <c r="I61" s="11" t="s">
        <v>74</v>
      </c>
      <c r="J61" s="3"/>
      <c r="K61" s="13" t="str">
        <f>INDEX(BD60:BD63,MATCH(1,BL60:BL63,0))</f>
        <v>Argentina</v>
      </c>
      <c r="L61" s="11">
        <f>INDEX(BE60:BE63,MATCH(1,BL60:BL63,0))</f>
        <v>0</v>
      </c>
      <c r="M61" s="11">
        <f>INDEX(BF60:BF63,MATCH(1,BL60:BL63,0))</f>
        <v>0</v>
      </c>
      <c r="N61" s="11">
        <f>INDEX(BG60:BG63,MATCH(1,BL60:BL63,0))</f>
        <v>0</v>
      </c>
      <c r="O61" s="11">
        <f>INDEX(BH60:BH63,MATCH(1,BL60:BL63,0))</f>
        <v>0</v>
      </c>
      <c r="P61" s="11" t="str">
        <f>INDEX(BI60:BI63,MATCH(1,BL60:BL63,0))&amp;" - "&amp;INDEX(BJ60:BJ63,MATCH(1,BL60:BL63,0))</f>
        <v>0 - 0</v>
      </c>
      <c r="Q61" s="14">
        <f>INDEX(BK60:BK63,MATCH(1,BL60:BL63,0))</f>
        <v>0</v>
      </c>
      <c r="S61" s="9" t="str">
        <f>IF((COUNTIF($F$5:$G$76,"&gt;=0")=144),IFERROR(INDEX($AO$81:$AO$92,11),"Winner K"),"Winner K")</f>
        <v>Winner K</v>
      </c>
      <c r="T61" s="10"/>
      <c r="U61" s="10"/>
      <c r="V61" s="10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BD61" t="s">
        <v>73</v>
      </c>
      <c r="BE61">
        <f t="array" ref="BE61">SUMPRODUCT((((E59:E64=BD61)+(H59:H64=BD61))&gt;0)*ISNUMBER(F59:F64)*ISNUMBER(G59:G64))</f>
        <v>0</v>
      </c>
      <c r="BF61">
        <f t="array" ref="BF61">SUMPRODUCT((E59:E64=BD61)*ISNUMBER(F59:F64)*ISNUMBER(G59:G64)*(F59:F64&gt;G59:G64))+SUMPRODUCT((H59:H64=BD61)*ISNUMBER(F59:F64)*ISNUMBER(G59:G64)*(G59:G64&gt;F59:F64))</f>
        <v>0</v>
      </c>
      <c r="BG61">
        <f t="array" ref="BG61">SUMPRODUCT((((E59:E64=BD61)+(H59:H64=BD61))&gt;0)*ISNUMBER(F59:F64)*ISNUMBER(G59:G64)*(F59:F64=G59:G64))</f>
        <v>0</v>
      </c>
      <c r="BH61">
        <f>BE61-BF61-BG61</f>
        <v>0</v>
      </c>
      <c r="BI61">
        <f t="array" ref="BI61">SUMPRODUCT((E59:E64=BD61)*IFERROR(F59:F64,0))+SUMPRODUCT((H59:H64=BD61)*IFERROR(G59:G64,0))</f>
        <v>0</v>
      </c>
      <c r="BJ61">
        <f t="array" ref="BJ61">SUMPRODUCT((E59:E64=BD61)*IFERROR(G59:G64,0))+SUMPRODUCT((H59:H64=BD61)*IFERROR(F59:F64,0))</f>
        <v>0</v>
      </c>
      <c r="BK61">
        <f>BF61*3+BG61</f>
        <v>0</v>
      </c>
      <c r="BL61">
        <f>1+SUMPRODUCT(((BK$60:BK$63&gt;BK61)+(BK$60:BK$63=BK61)*(BM$60:BM$63&gt;BM61)+(BK$60:BK$63=BK61)*(BM$60:BM$63=BM61)*(BN$60:BN$63&gt;BN61)+(BK$60:BK$63=BK61)*(BM$60:BM$63=BM61)*(BN$60:BN$63=BN61)*(BO$60:BO$63&gt;BO61)+(BK$60:BK$63=BK61)*(BM$60:BM$63=BM61)*(BN$60:BN$63=BN61)*(BO$60:BO$63=BO61)*((BI$60:BI$63-BJ$60:BJ$63)&gt;(BI61-BJ61))+(BK$60:BK$63=BK61)*(BM$60:BM$63=BM61)*(BN$60:BN$63=BN61)*(BO$60:BO$63=BO61)*((BI$60:BI$63-BJ$60:BJ$63)=(BI61-BJ61))*(BI$60:BI$63&gt;BI61)+(BK$60:BK$63=BK61)*(BM$60:BM$63=BM61)*(BN$60:BN$63=BN61)*(BO$60:BO$63=BO61)*((BI$60:BI$63-BJ$60:BJ$63)=(BI61-BJ61))*(BI$60:BI$63=BI61)*(ROW(BK$60:BK$63)&lt;ROW(BK61)))*1)</f>
        <v>2</v>
      </c>
      <c r="BM61">
        <f t="array" ref="BM61">SUMPRODUCT((E$59:E$64=BD61)*ISNUMBER(F$59:F$64)*ISNUMBER(G$59:G$64)*COUNTIFS(BD$60:BD$63,H$59:H$64,BK$60:BK$63,BK61)*((F$59:F$64&gt;G$59:G$64)*3+(F$59:F$64=G$59:G$64)))+SUMPRODUCT((H$59:H$64=BD61)*ISNUMBER(F$59:F$64)*ISNUMBER(G$59:G$64)*COUNTIFS(BD$60:BD$63,E$59:E$64,BK$60:BK$63,BK61)*((G$59:G$64&gt;F$59:F$64)*3+(F$59:F$64=G$59:G$64)))</f>
        <v>0</v>
      </c>
      <c r="BN61">
        <f t="array" ref="BN61">SUMPRODUCT((E$59:E$64=BD61)*ISNUMBER(F$59:F$64)*ISNUMBER(G$59:G$64)*COUNTIFS(BD$60:BD$63,H$59:H$64,BK$60:BK$63,BK61)*(F$59:F$64-G$59:G$64))+SUMPRODUCT((H$59:H$64=BD61)*ISNUMBER(F$59:F$64)*ISNUMBER(G$59:G$64)*COUNTIFS(BD$60:BD$63,E$59:E$64,BK$60:BK$63,BK61)*(G$59:G$64-F$59:F$64))</f>
        <v>0</v>
      </c>
      <c r="BO61">
        <f t="array" ref="BO61">SUMPRODUCT((E$59:E$64=BD61)*ISNUMBER(F$59:F$64)*ISNUMBER(G$59:G$64)*COUNTIFS(BD$60:BD$63,H$59:H$64,BK$60:BK$63,BK61)*F$59:F$64)+SUMPRODUCT((H$59:H$64=BD61)*ISNUMBER(F$59:F$64)*ISNUMBER(G$59:G$64)*COUNTIFS(BD$60:BD$63,E$59:E$64,BK$60:BK$63,BK61)*G$59:G$64)</f>
        <v>0</v>
      </c>
    </row>
    <row r="62" spans="1:67" ht="12.75" customHeight="1" x14ac:dyDescent="0.3">
      <c r="A62" s="11">
        <v>58</v>
      </c>
      <c r="B62" s="11" t="str">
        <f>TEXT((46195)+(23+4+GmtOffset)/24,"ddd")</f>
        <v>Tue</v>
      </c>
      <c r="C62" s="11" t="str">
        <f>TEXT((46195)+(23+4+GmtOffset)/24,"mmm d, yyyy")</f>
        <v>Jun 23, 2026</v>
      </c>
      <c r="D62" s="11" t="str">
        <f>TEXT((46195)+(23+4+GmtOffset)/24,"h:mm")</f>
        <v>5:00</v>
      </c>
      <c r="E62" s="12" t="s">
        <v>77</v>
      </c>
      <c r="F62" s="7"/>
      <c r="G62" s="7"/>
      <c r="H62" s="13" t="s">
        <v>73</v>
      </c>
      <c r="I62" s="11" t="s">
        <v>74</v>
      </c>
      <c r="J62" s="3"/>
      <c r="K62" s="13" t="str">
        <f>INDEX(BD60:BD63,MATCH(2,BL60:BL63,0))</f>
        <v>Algeria</v>
      </c>
      <c r="L62" s="11">
        <f>INDEX(BE60:BE63,MATCH(2,BL60:BL63,0))</f>
        <v>0</v>
      </c>
      <c r="M62" s="11">
        <f>INDEX(BF60:BF63,MATCH(2,BL60:BL63,0))</f>
        <v>0</v>
      </c>
      <c r="N62" s="11">
        <f>INDEX(BG60:BG63,MATCH(2,BL60:BL63,0))</f>
        <v>0</v>
      </c>
      <c r="O62" s="11">
        <f>INDEX(BH60:BH63,MATCH(2,BL60:BL63,0))</f>
        <v>0</v>
      </c>
      <c r="P62" s="11" t="str">
        <f>INDEX(BI60:BI63,MATCH(2,BL60:BL63,0))&amp;" - "&amp;INDEX(BJ60:BJ63,MATCH(2,BL60:BL63,0))</f>
        <v>0 - 0</v>
      </c>
      <c r="Q62" s="14">
        <f>INDEX(BK60:BK63,MATCH(2,BL60:BL63,0))</f>
        <v>0</v>
      </c>
      <c r="S62" s="15" t="str">
        <f>IF((COUNTIF($F$5:$G$76,"&gt;=0")=144),IFERROR(INDEX($AQ$81:$AQ$92,MATCH($BT$81,$AN$81:$AN$92,0)),"Best 3rd D/E/I/J/L"),"Best 3rd D/E/I/J/L")</f>
        <v>Best 3rd D/E/I/J/L</v>
      </c>
      <c r="T62" s="16"/>
      <c r="U62" s="16"/>
      <c r="V62" s="16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BD62" t="s">
        <v>76</v>
      </c>
      <c r="BE62">
        <f t="array" ref="BE62">SUMPRODUCT((((E59:E64=BD62)+(H59:H64=BD62))&gt;0)*ISNUMBER(F59:F64)*ISNUMBER(G59:G64))</f>
        <v>0</v>
      </c>
      <c r="BF62">
        <f t="array" ref="BF62">SUMPRODUCT((E59:E64=BD62)*ISNUMBER(F59:F64)*ISNUMBER(G59:G64)*(F59:F64&gt;G59:G64))+SUMPRODUCT((H59:H64=BD62)*ISNUMBER(F59:F64)*ISNUMBER(G59:G64)*(G59:G64&gt;F59:F64))</f>
        <v>0</v>
      </c>
      <c r="BG62">
        <f t="array" ref="BG62">SUMPRODUCT((((E59:E64=BD62)+(H59:H64=BD62))&gt;0)*ISNUMBER(F59:F64)*ISNUMBER(G59:G64)*(F59:F64=G59:G64))</f>
        <v>0</v>
      </c>
      <c r="BH62">
        <f>BE62-BF62-BG62</f>
        <v>0</v>
      </c>
      <c r="BI62">
        <f t="array" ref="BI62">SUMPRODUCT((E59:E64=BD62)*IFERROR(F59:F64,0))+SUMPRODUCT((H59:H64=BD62)*IFERROR(G59:G64,0))</f>
        <v>0</v>
      </c>
      <c r="BJ62">
        <f t="array" ref="BJ62">SUMPRODUCT((E59:E64=BD62)*IFERROR(G59:G64,0))+SUMPRODUCT((H59:H64=BD62)*IFERROR(F59:F64,0))</f>
        <v>0</v>
      </c>
      <c r="BK62">
        <f>BF62*3+BG62</f>
        <v>0</v>
      </c>
      <c r="BL62">
        <f>1+SUMPRODUCT(((BK$60:BK$63&gt;BK62)+(BK$60:BK$63=BK62)*(BM$60:BM$63&gt;BM62)+(BK$60:BK$63=BK62)*(BM$60:BM$63=BM62)*(BN$60:BN$63&gt;BN62)+(BK$60:BK$63=BK62)*(BM$60:BM$63=BM62)*(BN$60:BN$63=BN62)*(BO$60:BO$63&gt;BO62)+(BK$60:BK$63=BK62)*(BM$60:BM$63=BM62)*(BN$60:BN$63=BN62)*(BO$60:BO$63=BO62)*((BI$60:BI$63-BJ$60:BJ$63)&gt;(BI62-BJ62))+(BK$60:BK$63=BK62)*(BM$60:BM$63=BM62)*(BN$60:BN$63=BN62)*(BO$60:BO$63=BO62)*((BI$60:BI$63-BJ$60:BJ$63)=(BI62-BJ62))*(BI$60:BI$63&gt;BI62)+(BK$60:BK$63=BK62)*(BM$60:BM$63=BM62)*(BN$60:BN$63=BN62)*(BO$60:BO$63=BO62)*((BI$60:BI$63-BJ$60:BJ$63)=(BI62-BJ62))*(BI$60:BI$63=BI62)*(ROW(BK$60:BK$63)&lt;ROW(BK62)))*1)</f>
        <v>3</v>
      </c>
      <c r="BM62">
        <f t="array" ref="BM62">SUMPRODUCT((E$59:E$64=BD62)*ISNUMBER(F$59:F$64)*ISNUMBER(G$59:G$64)*COUNTIFS(BD$60:BD$63,H$59:H$64,BK$60:BK$63,BK62)*((F$59:F$64&gt;G$59:G$64)*3+(F$59:F$64=G$59:G$64)))+SUMPRODUCT((H$59:H$64=BD62)*ISNUMBER(F$59:F$64)*ISNUMBER(G$59:G$64)*COUNTIFS(BD$60:BD$63,E$59:E$64,BK$60:BK$63,BK62)*((G$59:G$64&gt;F$59:F$64)*3+(F$59:F$64=G$59:G$64)))</f>
        <v>0</v>
      </c>
      <c r="BN62">
        <f t="array" ref="BN62">SUMPRODUCT((E$59:E$64=BD62)*ISNUMBER(F$59:F$64)*ISNUMBER(G$59:G$64)*COUNTIFS(BD$60:BD$63,H$59:H$64,BK$60:BK$63,BK62)*(F$59:F$64-G$59:G$64))+SUMPRODUCT((H$59:H$64=BD62)*ISNUMBER(F$59:F$64)*ISNUMBER(G$59:G$64)*COUNTIFS(BD$60:BD$63,E$59:E$64,BK$60:BK$63,BK62)*(G$59:G$64-F$59:F$64))</f>
        <v>0</v>
      </c>
      <c r="BO62">
        <f t="array" ref="BO62">SUMPRODUCT((E$59:E$64=BD62)*ISNUMBER(F$59:F$64)*ISNUMBER(G$59:G$64)*COUNTIFS(BD$60:BD$63,H$59:H$64,BK$60:BK$63,BK62)*F$59:F$64)+SUMPRODUCT((H$59:H$64=BD62)*ISNUMBER(F$59:F$64)*ISNUMBER(G$59:G$64)*COUNTIFS(BD$60:BD$63,E$59:E$64,BK$60:BK$63,BK62)*G$59:G$64)</f>
        <v>0</v>
      </c>
    </row>
    <row r="63" spans="1:67" ht="12.75" customHeight="1" x14ac:dyDescent="0.3">
      <c r="A63" s="11">
        <v>59</v>
      </c>
      <c r="B63" s="11" t="str">
        <f>TEXT((46200)+(22+4+GmtOffset)/24,"ddd")</f>
        <v>Sun</v>
      </c>
      <c r="C63" s="11" t="str">
        <f>TEXT((46200)+(22+4+GmtOffset)/24,"mmm d, yyyy")</f>
        <v>Jun 28, 2026</v>
      </c>
      <c r="D63" s="11" t="str">
        <f>TEXT((46200)+(22+4+GmtOffset)/24,"h:mm")</f>
        <v>4:00</v>
      </c>
      <c r="E63" s="12" t="s">
        <v>77</v>
      </c>
      <c r="F63" s="7"/>
      <c r="G63" s="7"/>
      <c r="H63" s="13" t="s">
        <v>72</v>
      </c>
      <c r="I63" s="11" t="s">
        <v>74</v>
      </c>
      <c r="J63" s="3"/>
      <c r="K63" s="13" t="str">
        <f>INDEX(BD60:BD63,MATCH(3,BL60:BL63,0))</f>
        <v>Austria</v>
      </c>
      <c r="L63" s="11">
        <f>INDEX(BE60:BE63,MATCH(3,BL60:BL63,0))</f>
        <v>0</v>
      </c>
      <c r="M63" s="11">
        <f>INDEX(BF60:BF63,MATCH(3,BL60:BL63,0))</f>
        <v>0</v>
      </c>
      <c r="N63" s="11">
        <f>INDEX(BG60:BG63,MATCH(3,BL60:BL63,0))</f>
        <v>0</v>
      </c>
      <c r="O63" s="11">
        <f>INDEX(BH60:BH63,MATCH(3,BL60:BL63,0))</f>
        <v>0</v>
      </c>
      <c r="P63" s="11" t="str">
        <f>INDEX(BI60:BI63,MATCH(3,BL60:BL63,0))&amp;" - "&amp;INDEX(BJ60:BJ63,MATCH(3,BL60:BL63,0))</f>
        <v>0 - 0</v>
      </c>
      <c r="Q63" s="14">
        <f>INDEX(BK60:BK63,MATCH(3,BL60:BL63,0))</f>
        <v>0</v>
      </c>
      <c r="S63" s="3"/>
      <c r="T63" s="3"/>
      <c r="U63" s="3"/>
      <c r="V63" s="3"/>
      <c r="W63" s="9" t="str">
        <f>IF(AND(ISNUMBER(T53),ISNUMBER(T54)),IF(T53&gt;T54,S53,IF(T54&gt;T53,S54,IF(NOT(AND(ISNUMBER(U53),ISNUMBER(U54))),"",IF(U53&gt;U54,S53,IF(U54&gt;U53,S54,IF(NOT(AND(ISNUMBER(V53),ISNUMBER(V54))),"",IF(V53&gt;V54,S53,IF(V54&gt;V53,S54,"")))))))),"W85")</f>
        <v>W85</v>
      </c>
      <c r="X63" s="10"/>
      <c r="Y63" s="10"/>
      <c r="Z63" s="10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BD63" t="s">
        <v>77</v>
      </c>
      <c r="BE63">
        <f t="array" ref="BE63">SUMPRODUCT((((E59:E64=BD63)+(H59:H64=BD63))&gt;0)*ISNUMBER(F59:F64)*ISNUMBER(G59:G64))</f>
        <v>0</v>
      </c>
      <c r="BF63">
        <f t="array" ref="BF63">SUMPRODUCT((E59:E64=BD63)*ISNUMBER(F59:F64)*ISNUMBER(G59:G64)*(F59:F64&gt;G59:G64))+SUMPRODUCT((H59:H64=BD63)*ISNUMBER(F59:F64)*ISNUMBER(G59:G64)*(G59:G64&gt;F59:F64))</f>
        <v>0</v>
      </c>
      <c r="BG63">
        <f t="array" ref="BG63">SUMPRODUCT((((E59:E64=BD63)+(H59:H64=BD63))&gt;0)*ISNUMBER(F59:F64)*ISNUMBER(G59:G64)*(F59:F64=G59:G64))</f>
        <v>0</v>
      </c>
      <c r="BH63">
        <f>BE63-BF63-BG63</f>
        <v>0</v>
      </c>
      <c r="BI63">
        <f t="array" ref="BI63">SUMPRODUCT((E59:E64=BD63)*IFERROR(F59:F64,0))+SUMPRODUCT((H59:H64=BD63)*IFERROR(G59:G64,0))</f>
        <v>0</v>
      </c>
      <c r="BJ63">
        <f t="array" ref="BJ63">SUMPRODUCT((E59:E64=BD63)*IFERROR(G59:G64,0))+SUMPRODUCT((H59:H64=BD63)*IFERROR(F59:F64,0))</f>
        <v>0</v>
      </c>
      <c r="BK63">
        <f>BF63*3+BG63</f>
        <v>0</v>
      </c>
      <c r="BL63">
        <f>1+SUMPRODUCT(((BK$60:BK$63&gt;BK63)+(BK$60:BK$63=BK63)*(BM$60:BM$63&gt;BM63)+(BK$60:BK$63=BK63)*(BM$60:BM$63=BM63)*(BN$60:BN$63&gt;BN63)+(BK$60:BK$63=BK63)*(BM$60:BM$63=BM63)*(BN$60:BN$63=BN63)*(BO$60:BO$63&gt;BO63)+(BK$60:BK$63=BK63)*(BM$60:BM$63=BM63)*(BN$60:BN$63=BN63)*(BO$60:BO$63=BO63)*((BI$60:BI$63-BJ$60:BJ$63)&gt;(BI63-BJ63))+(BK$60:BK$63=BK63)*(BM$60:BM$63=BM63)*(BN$60:BN$63=BN63)*(BO$60:BO$63=BO63)*((BI$60:BI$63-BJ$60:BJ$63)=(BI63-BJ63))*(BI$60:BI$63&gt;BI63)+(BK$60:BK$63=BK63)*(BM$60:BM$63=BM63)*(BN$60:BN$63=BN63)*(BO$60:BO$63=BO63)*((BI$60:BI$63-BJ$60:BJ$63)=(BI63-BJ63))*(BI$60:BI$63=BI63)*(ROW(BK$60:BK$63)&lt;ROW(BK63)))*1)</f>
        <v>4</v>
      </c>
      <c r="BM63">
        <f t="array" ref="BM63">SUMPRODUCT((E$59:E$64=BD63)*ISNUMBER(F$59:F$64)*ISNUMBER(G$59:G$64)*COUNTIFS(BD$60:BD$63,H$59:H$64,BK$60:BK$63,BK63)*((F$59:F$64&gt;G$59:G$64)*3+(F$59:F$64=G$59:G$64)))+SUMPRODUCT((H$59:H$64=BD63)*ISNUMBER(F$59:F$64)*ISNUMBER(G$59:G$64)*COUNTIFS(BD$60:BD$63,E$59:E$64,BK$60:BK$63,BK63)*((G$59:G$64&gt;F$59:F$64)*3+(F$59:F$64=G$59:G$64)))</f>
        <v>0</v>
      </c>
      <c r="BN63">
        <f t="array" ref="BN63">SUMPRODUCT((E$59:E$64=BD63)*ISNUMBER(F$59:F$64)*ISNUMBER(G$59:G$64)*COUNTIFS(BD$60:BD$63,H$59:H$64,BK$60:BK$63,BK63)*(F$59:F$64-G$59:G$64))+SUMPRODUCT((H$59:H$64=BD63)*ISNUMBER(F$59:F$64)*ISNUMBER(G$59:G$64)*COUNTIFS(BD$60:BD$63,E$59:E$64,BK$60:BK$63,BK63)*(G$59:G$64-F$59:F$64))</f>
        <v>0</v>
      </c>
      <c r="BO63">
        <f t="array" ref="BO63">SUMPRODUCT((E$59:E$64=BD63)*ISNUMBER(F$59:F$64)*ISNUMBER(G$59:G$64)*COUNTIFS(BD$60:BD$63,H$59:H$64,BK$60:BK$63,BK63)*F$59:F$64)+SUMPRODUCT((H$59:H$64=BD63)*ISNUMBER(F$59:F$64)*ISNUMBER(G$59:G$64)*COUNTIFS(BD$60:BD$63,E$59:E$64,BK$60:BK$63,BK63)*G$59:G$64)</f>
        <v>0</v>
      </c>
    </row>
    <row r="64" spans="1:67" ht="12.75" customHeight="1" x14ac:dyDescent="0.3">
      <c r="A64" s="11">
        <v>60</v>
      </c>
      <c r="B64" s="11" t="str">
        <f>TEXT((46200)+(22+4+GmtOffset)/24,"ddd")</f>
        <v>Sun</v>
      </c>
      <c r="C64" s="11" t="str">
        <f>TEXT((46200)+(22+4+GmtOffset)/24,"mmm d, yyyy")</f>
        <v>Jun 28, 2026</v>
      </c>
      <c r="D64" s="11" t="str">
        <f>TEXT((46200)+(22+4+GmtOffset)/24,"h:mm")</f>
        <v>4:00</v>
      </c>
      <c r="E64" s="12" t="s">
        <v>73</v>
      </c>
      <c r="F64" s="7"/>
      <c r="G64" s="7"/>
      <c r="H64" s="13" t="s">
        <v>76</v>
      </c>
      <c r="I64" s="11" t="s">
        <v>74</v>
      </c>
      <c r="J64" s="3"/>
      <c r="K64" s="17" t="str">
        <f>INDEX(BD60:BD63,MATCH(4,BL60:BL63,0))</f>
        <v>Jordan</v>
      </c>
      <c r="L64" s="18">
        <f>INDEX(BE60:BE63,MATCH(4,BL60:BL63,0))</f>
        <v>0</v>
      </c>
      <c r="M64" s="18">
        <f>INDEX(BF60:BF63,MATCH(4,BL60:BL63,0))</f>
        <v>0</v>
      </c>
      <c r="N64" s="18">
        <f>INDEX(BG60:BG63,MATCH(4,BL60:BL63,0))</f>
        <v>0</v>
      </c>
      <c r="O64" s="18">
        <f>INDEX(BH60:BH63,MATCH(4,BL60:BL63,0))</f>
        <v>0</v>
      </c>
      <c r="P64" s="18" t="str">
        <f>INDEX(BI60:BI63,MATCH(4,BL60:BL63,0))&amp;" - "&amp;INDEX(BJ60:BJ63,MATCH(4,BL60:BL63,0))</f>
        <v>0 - 0</v>
      </c>
      <c r="Q64" s="19">
        <f>INDEX(BK60:BK63,MATCH(4,BL60:BL63,0))</f>
        <v>0</v>
      </c>
      <c r="S64" s="3"/>
      <c r="T64" s="3"/>
      <c r="U64" s="3"/>
      <c r="V64" s="3"/>
      <c r="W64" s="15" t="str">
        <f>IF(AND(ISNUMBER(T61),ISNUMBER(T62)),IF(T61&gt;T62,S61,IF(T62&gt;T61,S62,IF(NOT(AND(ISNUMBER(U61),ISNUMBER(U62))),"",IF(U61&gt;U62,S61,IF(U62&gt;U61,S62,IF(NOT(AND(ISNUMBER(V61),ISNUMBER(V62))),"",IF(V61&gt;V62,S61,IF(V62&gt;V61,S62,"")))))))),"W87")</f>
        <v>W87</v>
      </c>
      <c r="X64" s="16"/>
      <c r="Y64" s="16"/>
      <c r="Z64" s="16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spans="1:67" ht="12.75" customHeight="1" x14ac:dyDescent="0.3">
      <c r="A65" s="11">
        <v>61</v>
      </c>
      <c r="B65" s="11" t="str">
        <f>TEXT((46190)+(13+4+GmtOffset)/24,"ddd")</f>
        <v>Wed</v>
      </c>
      <c r="C65" s="11" t="str">
        <f>TEXT((46190)+(13+4+GmtOffset)/24,"mmm d, yyyy")</f>
        <v>Jun 17, 2026</v>
      </c>
      <c r="D65" s="11" t="str">
        <f>TEXT((46190)+(13+4+GmtOffset)/24,"h:mm")</f>
        <v>19:00</v>
      </c>
      <c r="E65" s="12" t="s">
        <v>78</v>
      </c>
      <c r="F65" s="7"/>
      <c r="G65" s="7"/>
      <c r="H65" s="13" t="s">
        <v>79</v>
      </c>
      <c r="I65" s="11" t="s">
        <v>80</v>
      </c>
      <c r="J65" s="3"/>
      <c r="K65" s="1" t="s">
        <v>81</v>
      </c>
      <c r="L65" s="20"/>
      <c r="M65" s="20"/>
      <c r="N65" s="20"/>
      <c r="O65" s="20"/>
      <c r="P65" s="20"/>
      <c r="Q65" s="20"/>
      <c r="S65" s="9" t="str">
        <f>IF((COUNTIF($F$5:$G$76,"&gt;=0")=144),IFERROR(INDEX($AP$81:$AP$92,4),"Runner-up D"),"Runner-up D")</f>
        <v>Runner-up D</v>
      </c>
      <c r="T65" s="10"/>
      <c r="U65" s="10"/>
      <c r="V65" s="10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spans="1:67" ht="12.75" customHeight="1" x14ac:dyDescent="0.3">
      <c r="A66" s="11">
        <v>62</v>
      </c>
      <c r="B66" s="11" t="str">
        <f>TEXT((46190)+(22+4+GmtOffset)/24,"ddd")</f>
        <v>Thu</v>
      </c>
      <c r="C66" s="11" t="str">
        <f>TEXT((46190)+(22+4+GmtOffset)/24,"mmm d, yyyy")</f>
        <v>Jun 18, 2026</v>
      </c>
      <c r="D66" s="11" t="str">
        <f>TEXT((46190)+(22+4+GmtOffset)/24,"h:mm")</f>
        <v>4:00</v>
      </c>
      <c r="E66" s="12" t="s">
        <v>82</v>
      </c>
      <c r="F66" s="7"/>
      <c r="G66" s="7"/>
      <c r="H66" s="13" t="s">
        <v>83</v>
      </c>
      <c r="I66" s="11" t="s">
        <v>80</v>
      </c>
      <c r="J66" s="3"/>
      <c r="K66" s="14"/>
      <c r="L66" s="14" t="s">
        <v>17</v>
      </c>
      <c r="M66" s="14" t="s">
        <v>18</v>
      </c>
      <c r="N66" s="14" t="s">
        <v>19</v>
      </c>
      <c r="O66" s="14" t="s">
        <v>20</v>
      </c>
      <c r="P66" s="14" t="s">
        <v>21</v>
      </c>
      <c r="Q66" s="14" t="s">
        <v>22</v>
      </c>
      <c r="S66" s="15" t="str">
        <f>IF((COUNTIF($F$5:$G$76,"&gt;=0")=144),IFERROR(INDEX($AP$81:$AP$92,7),"Runner-up G"),"Runner-up G")</f>
        <v>Runner-up G</v>
      </c>
      <c r="T66" s="16"/>
      <c r="U66" s="16"/>
      <c r="V66" s="16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BD66" t="s">
        <v>78</v>
      </c>
      <c r="BE66">
        <f t="array" ref="BE66">SUMPRODUCT((((E65:E70=BD66)+(H65:H70=BD66))&gt;0)*ISNUMBER(F65:F70)*ISNUMBER(G65:G70))</f>
        <v>0</v>
      </c>
      <c r="BF66">
        <f t="array" ref="BF66">SUMPRODUCT((E65:E70=BD66)*ISNUMBER(F65:F70)*ISNUMBER(G65:G70)*(F65:F70&gt;G65:G70))+SUMPRODUCT((H65:H70=BD66)*ISNUMBER(F65:F70)*ISNUMBER(G65:G70)*(G65:G70&gt;F65:F70))</f>
        <v>0</v>
      </c>
      <c r="BG66">
        <f t="array" ref="BG66">SUMPRODUCT((((E65:E70=BD66)+(H65:H70=BD66))&gt;0)*ISNUMBER(F65:F70)*ISNUMBER(G65:G70)*(F65:F70=G65:G70))</f>
        <v>0</v>
      </c>
      <c r="BH66">
        <f>BE66-BF66-BG66</f>
        <v>0</v>
      </c>
      <c r="BI66">
        <f t="array" ref="BI66">SUMPRODUCT((E65:E70=BD66)*IFERROR(F65:F70,0))+SUMPRODUCT((H65:H70=BD66)*IFERROR(G65:G70,0))</f>
        <v>0</v>
      </c>
      <c r="BJ66">
        <f t="array" ref="BJ66">SUMPRODUCT((E65:E70=BD66)*IFERROR(G65:G70,0))+SUMPRODUCT((H65:H70=BD66)*IFERROR(F65:F70,0))</f>
        <v>0</v>
      </c>
      <c r="BK66">
        <f>BF66*3+BG66</f>
        <v>0</v>
      </c>
      <c r="BL66">
        <f>1+SUMPRODUCT(((BK$66:BK$69&gt;BK66)+(BK$66:BK$69=BK66)*(BM$66:BM$69&gt;BM66)+(BK$66:BK$69=BK66)*(BM$66:BM$69=BM66)*(BN$66:BN$69&gt;BN66)+(BK$66:BK$69=BK66)*(BM$66:BM$69=BM66)*(BN$66:BN$69=BN66)*(BO$66:BO$69&gt;BO66)+(BK$66:BK$69=BK66)*(BM$66:BM$69=BM66)*(BN$66:BN$69=BN66)*(BO$66:BO$69=BO66)*((BI$66:BI$69-BJ$66:BJ$69)&gt;(BI66-BJ66))+(BK$66:BK$69=BK66)*(BM$66:BM$69=BM66)*(BN$66:BN$69=BN66)*(BO$66:BO$69=BO66)*((BI$66:BI$69-BJ$66:BJ$69)=(BI66-BJ66))*(BI$66:BI$69&gt;BI66)+(BK$66:BK$69=BK66)*(BM$66:BM$69=BM66)*(BN$66:BN$69=BN66)*(BO$66:BO$69=BO66)*((BI$66:BI$69-BJ$66:BJ$69)=(BI66-BJ66))*(BI$66:BI$69=BI66)*(ROW(BK$66:BK$69)&lt;ROW(BK66)))*1)</f>
        <v>1</v>
      </c>
      <c r="BM66">
        <f t="array" ref="BM66">SUMPRODUCT((E$65:E$70=BD66)*ISNUMBER(F$65:F$70)*ISNUMBER(G$65:G$70)*COUNTIFS(BD$66:BD$69,H$65:H$70,BK$66:BK$69,BK66)*((F$65:F$70&gt;G$65:G$70)*3+(F$65:F$70=G$65:G$70)))+SUMPRODUCT((H$65:H$70=BD66)*ISNUMBER(F$65:F$70)*ISNUMBER(G$65:G$70)*COUNTIFS(BD$66:BD$69,E$65:E$70,BK$66:BK$69,BK66)*((G$65:G$70&gt;F$65:F$70)*3+(F$65:F$70=G$65:G$70)))</f>
        <v>0</v>
      </c>
      <c r="BN66">
        <f t="array" ref="BN66">SUMPRODUCT((E$65:E$70=BD66)*ISNUMBER(F$65:F$70)*ISNUMBER(G$65:G$70)*COUNTIFS(BD$66:BD$69,H$65:H$70,BK$66:BK$69,BK66)*(F$65:F$70-G$65:G$70))+SUMPRODUCT((H$65:H$70=BD66)*ISNUMBER(F$65:F$70)*ISNUMBER(G$65:G$70)*COUNTIFS(BD$66:BD$69,E$65:E$70,BK$66:BK$69,BK66)*(G$65:G$70-F$65:F$70))</f>
        <v>0</v>
      </c>
      <c r="BO66">
        <f t="array" ref="BO66">SUMPRODUCT((E$65:E$70=BD66)*ISNUMBER(F$65:F$70)*ISNUMBER(G$65:G$70)*COUNTIFS(BD$66:BD$69,H$65:H$70,BK$66:BK$69,BK66)*F$65:F$70)+SUMPRODUCT((H$65:H$70=BD66)*ISNUMBER(F$65:F$70)*ISNUMBER(G$65:G$70)*COUNTIFS(BD$66:BD$69,E$65:E$70,BK$66:BK$69,BK66)*G$65:G$70)</f>
        <v>0</v>
      </c>
    </row>
    <row r="67" spans="1:67" ht="12.75" customHeight="1" x14ac:dyDescent="0.3">
      <c r="A67" s="11">
        <v>63</v>
      </c>
      <c r="B67" s="11" t="str">
        <f>TEXT((46196)+(13+4+GmtOffset)/24,"ddd")</f>
        <v>Tue</v>
      </c>
      <c r="C67" s="11" t="str">
        <f>TEXT((46196)+(13+4+GmtOffset)/24,"mmm d, yyyy")</f>
        <v>Jun 23, 2026</v>
      </c>
      <c r="D67" s="11" t="str">
        <f>TEXT((46196)+(13+4+GmtOffset)/24,"h:mm")</f>
        <v>19:00</v>
      </c>
      <c r="E67" s="12" t="s">
        <v>78</v>
      </c>
      <c r="F67" s="7"/>
      <c r="G67" s="7"/>
      <c r="H67" s="13" t="s">
        <v>82</v>
      </c>
      <c r="I67" s="11" t="s">
        <v>80</v>
      </c>
      <c r="J67" s="3"/>
      <c r="K67" s="13" t="str">
        <f>INDEX(BD66:BD69,MATCH(1,BL66:BL69,0))</f>
        <v>Portugal</v>
      </c>
      <c r="L67" s="11">
        <f>INDEX(BE66:BE69,MATCH(1,BL66:BL69,0))</f>
        <v>0</v>
      </c>
      <c r="M67" s="11">
        <f>INDEX(BF66:BF69,MATCH(1,BL66:BL69,0))</f>
        <v>0</v>
      </c>
      <c r="N67" s="11">
        <f>INDEX(BG66:BG69,MATCH(1,BL66:BL69,0))</f>
        <v>0</v>
      </c>
      <c r="O67" s="11">
        <f>INDEX(BH66:BH69,MATCH(1,BL66:BL69,0))</f>
        <v>0</v>
      </c>
      <c r="P67" s="11" t="str">
        <f>INDEX(BI66:BI69,MATCH(1,BL66:BL69,0))&amp;" - "&amp;INDEX(BJ66:BJ69,MATCH(1,BL66:BL69,0))</f>
        <v>0 - 0</v>
      </c>
      <c r="Q67" s="14">
        <f>INDEX(BK66:BK69,MATCH(1,BL66:BL69,0))</f>
        <v>0</v>
      </c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BD67" t="s">
        <v>79</v>
      </c>
      <c r="BE67">
        <f t="array" ref="BE67">SUMPRODUCT((((E65:E70=BD67)+(H65:H70=BD67))&gt;0)*ISNUMBER(F65:F70)*ISNUMBER(G65:G70))</f>
        <v>0</v>
      </c>
      <c r="BF67">
        <f t="array" ref="BF67">SUMPRODUCT((E65:E70=BD67)*ISNUMBER(F65:F70)*ISNUMBER(G65:G70)*(F65:F70&gt;G65:G70))+SUMPRODUCT((H65:H70=BD67)*ISNUMBER(F65:F70)*ISNUMBER(G65:G70)*(G65:G70&gt;F65:F70))</f>
        <v>0</v>
      </c>
      <c r="BG67">
        <f t="array" ref="BG67">SUMPRODUCT((((E65:E70=BD67)+(H65:H70=BD67))&gt;0)*ISNUMBER(F65:F70)*ISNUMBER(G65:G70)*(F65:F70=G65:G70))</f>
        <v>0</v>
      </c>
      <c r="BH67">
        <f>BE67-BF67-BG67</f>
        <v>0</v>
      </c>
      <c r="BI67">
        <f t="array" ref="BI67">SUMPRODUCT((E65:E70=BD67)*IFERROR(F65:F70,0))+SUMPRODUCT((H65:H70=BD67)*IFERROR(G65:G70,0))</f>
        <v>0</v>
      </c>
      <c r="BJ67">
        <f t="array" ref="BJ67">SUMPRODUCT((E65:E70=BD67)*IFERROR(G65:G70,0))+SUMPRODUCT((H65:H70=BD67)*IFERROR(F65:F70,0))</f>
        <v>0</v>
      </c>
      <c r="BK67">
        <f>BF67*3+BG67</f>
        <v>0</v>
      </c>
      <c r="BL67">
        <f>1+SUMPRODUCT(((BK$66:BK$69&gt;BK67)+(BK$66:BK$69=BK67)*(BM$66:BM$69&gt;BM67)+(BK$66:BK$69=BK67)*(BM$66:BM$69=BM67)*(BN$66:BN$69&gt;BN67)+(BK$66:BK$69=BK67)*(BM$66:BM$69=BM67)*(BN$66:BN$69=BN67)*(BO$66:BO$69&gt;BO67)+(BK$66:BK$69=BK67)*(BM$66:BM$69=BM67)*(BN$66:BN$69=BN67)*(BO$66:BO$69=BO67)*((BI$66:BI$69-BJ$66:BJ$69)&gt;(BI67-BJ67))+(BK$66:BK$69=BK67)*(BM$66:BM$69=BM67)*(BN$66:BN$69=BN67)*(BO$66:BO$69=BO67)*((BI$66:BI$69-BJ$66:BJ$69)=(BI67-BJ67))*(BI$66:BI$69&gt;BI67)+(BK$66:BK$69=BK67)*(BM$66:BM$69=BM67)*(BN$66:BN$69=BN67)*(BO$66:BO$69=BO67)*((BI$66:BI$69-BJ$66:BJ$69)=(BI67-BJ67))*(BI$66:BI$69=BI67)*(ROW(BK$66:BK$69)&lt;ROW(BK67)))*1)</f>
        <v>2</v>
      </c>
      <c r="BM67">
        <f t="array" ref="BM67">SUMPRODUCT((E$65:E$70=BD67)*ISNUMBER(F$65:F$70)*ISNUMBER(G$65:G$70)*COUNTIFS(BD$66:BD$69,H$65:H$70,BK$66:BK$69,BK67)*((F$65:F$70&gt;G$65:G$70)*3+(F$65:F$70=G$65:G$70)))+SUMPRODUCT((H$65:H$70=BD67)*ISNUMBER(F$65:F$70)*ISNUMBER(G$65:G$70)*COUNTIFS(BD$66:BD$69,E$65:E$70,BK$66:BK$69,BK67)*((G$65:G$70&gt;F$65:F$70)*3+(F$65:F$70=G$65:G$70)))</f>
        <v>0</v>
      </c>
      <c r="BN67">
        <f t="array" ref="BN67">SUMPRODUCT((E$65:E$70=BD67)*ISNUMBER(F$65:F$70)*ISNUMBER(G$65:G$70)*COUNTIFS(BD$66:BD$69,H$65:H$70,BK$66:BK$69,BK67)*(F$65:F$70-G$65:G$70))+SUMPRODUCT((H$65:H$70=BD67)*ISNUMBER(F$65:F$70)*ISNUMBER(G$65:G$70)*COUNTIFS(BD$66:BD$69,E$65:E$70,BK$66:BK$69,BK67)*(G$65:G$70-F$65:F$70))</f>
        <v>0</v>
      </c>
      <c r="BO67">
        <f t="array" ref="BO67">SUMPRODUCT((E$65:E$70=BD67)*ISNUMBER(F$65:F$70)*ISNUMBER(G$65:G$70)*COUNTIFS(BD$66:BD$69,H$65:H$70,BK$66:BK$69,BK67)*F$65:F$70)+SUMPRODUCT((H$65:H$70=BD67)*ISNUMBER(F$65:F$70)*ISNUMBER(G$65:G$70)*COUNTIFS(BD$66:BD$69,E$65:E$70,BK$66:BK$69,BK67)*G$65:G$70)</f>
        <v>0</v>
      </c>
    </row>
    <row r="68" spans="1:67" ht="12.75" customHeight="1" x14ac:dyDescent="0.3">
      <c r="A68" s="11">
        <v>64</v>
      </c>
      <c r="B68" s="11" t="str">
        <f>TEXT((46196)+(22+4+GmtOffset)/24,"ddd")</f>
        <v>Wed</v>
      </c>
      <c r="C68" s="11" t="str">
        <f>TEXT((46196)+(22+4+GmtOffset)/24,"mmm d, yyyy")</f>
        <v>Jun 24, 2026</v>
      </c>
      <c r="D68" s="11" t="str">
        <f>TEXT((46196)+(22+4+GmtOffset)/24,"h:mm")</f>
        <v>4:00</v>
      </c>
      <c r="E68" s="12" t="s">
        <v>83</v>
      </c>
      <c r="F68" s="7"/>
      <c r="G68" s="7"/>
      <c r="H68" s="13" t="s">
        <v>79</v>
      </c>
      <c r="I68" s="11" t="s">
        <v>80</v>
      </c>
      <c r="J68" s="3"/>
      <c r="K68" s="13" t="str">
        <f>INDEX(BD66:BD69,MATCH(2,BL66:BL69,0))</f>
        <v>DR Congo</v>
      </c>
      <c r="L68" s="11">
        <f>INDEX(BE66:BE69,MATCH(2,BL66:BL69,0))</f>
        <v>0</v>
      </c>
      <c r="M68" s="11">
        <f>INDEX(BF66:BF69,MATCH(2,BL66:BL69,0))</f>
        <v>0</v>
      </c>
      <c r="N68" s="11">
        <f>INDEX(BG66:BG69,MATCH(2,BL66:BL69,0))</f>
        <v>0</v>
      </c>
      <c r="O68" s="11">
        <f>INDEX(BH66:BH69,MATCH(2,BL66:BL69,0))</f>
        <v>0</v>
      </c>
      <c r="P68" s="11" t="str">
        <f>INDEX(BI66:BI69,MATCH(2,BL66:BL69,0))&amp;" - "&amp;INDEX(BJ66:BJ69,MATCH(2,BL66:BL69,0))</f>
        <v>0 - 0</v>
      </c>
      <c r="Q68" s="14">
        <f>INDEX(BK66:BK69,MATCH(2,BL66:BL69,0))</f>
        <v>0</v>
      </c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BD68" t="s">
        <v>82</v>
      </c>
      <c r="BE68">
        <f t="array" ref="BE68">SUMPRODUCT((((E65:E70=BD68)+(H65:H70=BD68))&gt;0)*ISNUMBER(F65:F70)*ISNUMBER(G65:G70))</f>
        <v>0</v>
      </c>
      <c r="BF68">
        <f t="array" ref="BF68">SUMPRODUCT((E65:E70=BD68)*ISNUMBER(F65:F70)*ISNUMBER(G65:G70)*(F65:F70&gt;G65:G70))+SUMPRODUCT((H65:H70=BD68)*ISNUMBER(F65:F70)*ISNUMBER(G65:G70)*(G65:G70&gt;F65:F70))</f>
        <v>0</v>
      </c>
      <c r="BG68">
        <f t="array" ref="BG68">SUMPRODUCT((((E65:E70=BD68)+(H65:H70=BD68))&gt;0)*ISNUMBER(F65:F70)*ISNUMBER(G65:G70)*(F65:F70=G65:G70))</f>
        <v>0</v>
      </c>
      <c r="BH68">
        <f>BE68-BF68-BG68</f>
        <v>0</v>
      </c>
      <c r="BI68">
        <f t="array" ref="BI68">SUMPRODUCT((E65:E70=BD68)*IFERROR(F65:F70,0))+SUMPRODUCT((H65:H70=BD68)*IFERROR(G65:G70,0))</f>
        <v>0</v>
      </c>
      <c r="BJ68">
        <f t="array" ref="BJ68">SUMPRODUCT((E65:E70=BD68)*IFERROR(G65:G70,0))+SUMPRODUCT((H65:H70=BD68)*IFERROR(F65:F70,0))</f>
        <v>0</v>
      </c>
      <c r="BK68">
        <f>BF68*3+BG68</f>
        <v>0</v>
      </c>
      <c r="BL68">
        <f>1+SUMPRODUCT(((BK$66:BK$69&gt;BK68)+(BK$66:BK$69=BK68)*(BM$66:BM$69&gt;BM68)+(BK$66:BK$69=BK68)*(BM$66:BM$69=BM68)*(BN$66:BN$69&gt;BN68)+(BK$66:BK$69=BK68)*(BM$66:BM$69=BM68)*(BN$66:BN$69=BN68)*(BO$66:BO$69&gt;BO68)+(BK$66:BK$69=BK68)*(BM$66:BM$69=BM68)*(BN$66:BN$69=BN68)*(BO$66:BO$69=BO68)*((BI$66:BI$69-BJ$66:BJ$69)&gt;(BI68-BJ68))+(BK$66:BK$69=BK68)*(BM$66:BM$69=BM68)*(BN$66:BN$69=BN68)*(BO$66:BO$69=BO68)*((BI$66:BI$69-BJ$66:BJ$69)=(BI68-BJ68))*(BI$66:BI$69&gt;BI68)+(BK$66:BK$69=BK68)*(BM$66:BM$69=BM68)*(BN$66:BN$69=BN68)*(BO$66:BO$69=BO68)*((BI$66:BI$69-BJ$66:BJ$69)=(BI68-BJ68))*(BI$66:BI$69=BI68)*(ROW(BK$66:BK$69)&lt;ROW(BK68)))*1)</f>
        <v>3</v>
      </c>
      <c r="BM68">
        <f t="array" ref="BM68">SUMPRODUCT((E$65:E$70=BD68)*ISNUMBER(F$65:F$70)*ISNUMBER(G$65:G$70)*COUNTIFS(BD$66:BD$69,H$65:H$70,BK$66:BK$69,BK68)*((F$65:F$70&gt;G$65:G$70)*3+(F$65:F$70=G$65:G$70)))+SUMPRODUCT((H$65:H$70=BD68)*ISNUMBER(F$65:F$70)*ISNUMBER(G$65:G$70)*COUNTIFS(BD$66:BD$69,E$65:E$70,BK$66:BK$69,BK68)*((G$65:G$70&gt;F$65:F$70)*3+(F$65:F$70=G$65:G$70)))</f>
        <v>0</v>
      </c>
      <c r="BN68">
        <f t="array" ref="BN68">SUMPRODUCT((E$65:E$70=BD68)*ISNUMBER(F$65:F$70)*ISNUMBER(G$65:G$70)*COUNTIFS(BD$66:BD$69,H$65:H$70,BK$66:BK$69,BK68)*(F$65:F$70-G$65:G$70))+SUMPRODUCT((H$65:H$70=BD68)*ISNUMBER(F$65:F$70)*ISNUMBER(G$65:G$70)*COUNTIFS(BD$66:BD$69,E$65:E$70,BK$66:BK$69,BK68)*(G$65:G$70-F$65:F$70))</f>
        <v>0</v>
      </c>
      <c r="BO68">
        <f t="array" ref="BO68">SUMPRODUCT((E$65:E$70=BD68)*ISNUMBER(F$65:F$70)*ISNUMBER(G$65:G$70)*COUNTIFS(BD$66:BD$69,H$65:H$70,BK$66:BK$69,BK68)*F$65:F$70)+SUMPRODUCT((H$65:H$70=BD68)*ISNUMBER(F$65:F$70)*ISNUMBER(G$65:G$70)*COUNTIFS(BD$66:BD$69,E$65:E$70,BK$66:BK$69,BK68)*G$65:G$70)</f>
        <v>0</v>
      </c>
    </row>
    <row r="69" spans="1:67" ht="12.75" customHeight="1" x14ac:dyDescent="0.3">
      <c r="A69" s="11">
        <v>65</v>
      </c>
      <c r="B69" s="11" t="str">
        <f>TEXT((46200)+(19.5+4+GmtOffset)/24,"ddd")</f>
        <v>Sun</v>
      </c>
      <c r="C69" s="11" t="str">
        <f>TEXT((46200)+(19.5+4+GmtOffset)/24,"mmm d, yyyy")</f>
        <v>Jun 28, 2026</v>
      </c>
      <c r="D69" s="11" t="str">
        <f>TEXT((46200)+(19.5+4+GmtOffset)/24,"h:mm")</f>
        <v>1:30</v>
      </c>
      <c r="E69" s="12" t="s">
        <v>83</v>
      </c>
      <c r="F69" s="7"/>
      <c r="G69" s="7"/>
      <c r="H69" s="13" t="s">
        <v>78</v>
      </c>
      <c r="I69" s="11" t="s">
        <v>80</v>
      </c>
      <c r="J69" s="3"/>
      <c r="K69" s="13" t="str">
        <f>INDEX(BD66:BD69,MATCH(3,BL66:BL69,0))</f>
        <v>Uzbekistan</v>
      </c>
      <c r="L69" s="11">
        <f>INDEX(BE66:BE69,MATCH(3,BL66:BL69,0))</f>
        <v>0</v>
      </c>
      <c r="M69" s="11">
        <f>INDEX(BF66:BF69,MATCH(3,BL66:BL69,0))</f>
        <v>0</v>
      </c>
      <c r="N69" s="11">
        <f>INDEX(BG66:BG69,MATCH(3,BL66:BL69,0))</f>
        <v>0</v>
      </c>
      <c r="O69" s="11">
        <f>INDEX(BH66:BH69,MATCH(3,BL66:BL69,0))</f>
        <v>0</v>
      </c>
      <c r="P69" s="11" t="str">
        <f>INDEX(BI66:BI69,MATCH(3,BL66:BL69,0))&amp;" - "&amp;INDEX(BJ66:BJ69,MATCH(3,BL66:BL69,0))</f>
        <v>0 - 0</v>
      </c>
      <c r="Q69" s="14">
        <f>INDEX(BK66:BK69,MATCH(3,BL66:BL69,0))</f>
        <v>0</v>
      </c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BD69" t="s">
        <v>83</v>
      </c>
      <c r="BE69">
        <f t="array" ref="BE69">SUMPRODUCT((((E65:E70=BD69)+(H65:H70=BD69))&gt;0)*ISNUMBER(F65:F70)*ISNUMBER(G65:G70))</f>
        <v>0</v>
      </c>
      <c r="BF69">
        <f t="array" ref="BF69">SUMPRODUCT((E65:E70=BD69)*ISNUMBER(F65:F70)*ISNUMBER(G65:G70)*(F65:F70&gt;G65:G70))+SUMPRODUCT((H65:H70=BD69)*ISNUMBER(F65:F70)*ISNUMBER(G65:G70)*(G65:G70&gt;F65:F70))</f>
        <v>0</v>
      </c>
      <c r="BG69">
        <f t="array" ref="BG69">SUMPRODUCT((((E65:E70=BD69)+(H65:H70=BD69))&gt;0)*ISNUMBER(F65:F70)*ISNUMBER(G65:G70)*(F65:F70=G65:G70))</f>
        <v>0</v>
      </c>
      <c r="BH69">
        <f>BE69-BF69-BG69</f>
        <v>0</v>
      </c>
      <c r="BI69">
        <f t="array" ref="BI69">SUMPRODUCT((E65:E70=BD69)*IFERROR(F65:F70,0))+SUMPRODUCT((H65:H70=BD69)*IFERROR(G65:G70,0))</f>
        <v>0</v>
      </c>
      <c r="BJ69">
        <f t="array" ref="BJ69">SUMPRODUCT((E65:E70=BD69)*IFERROR(G65:G70,0))+SUMPRODUCT((H65:H70=BD69)*IFERROR(F65:F70,0))</f>
        <v>0</v>
      </c>
      <c r="BK69">
        <f>BF69*3+BG69</f>
        <v>0</v>
      </c>
      <c r="BL69">
        <f>1+SUMPRODUCT(((BK$66:BK$69&gt;BK69)+(BK$66:BK$69=BK69)*(BM$66:BM$69&gt;BM69)+(BK$66:BK$69=BK69)*(BM$66:BM$69=BM69)*(BN$66:BN$69&gt;BN69)+(BK$66:BK$69=BK69)*(BM$66:BM$69=BM69)*(BN$66:BN$69=BN69)*(BO$66:BO$69&gt;BO69)+(BK$66:BK$69=BK69)*(BM$66:BM$69=BM69)*(BN$66:BN$69=BN69)*(BO$66:BO$69=BO69)*((BI$66:BI$69-BJ$66:BJ$69)&gt;(BI69-BJ69))+(BK$66:BK$69=BK69)*(BM$66:BM$69=BM69)*(BN$66:BN$69=BN69)*(BO$66:BO$69=BO69)*((BI$66:BI$69-BJ$66:BJ$69)=(BI69-BJ69))*(BI$66:BI$69&gt;BI69)+(BK$66:BK$69=BK69)*(BM$66:BM$69=BM69)*(BN$66:BN$69=BN69)*(BO$66:BO$69=BO69)*((BI$66:BI$69-BJ$66:BJ$69)=(BI69-BJ69))*(BI$66:BI$69=BI69)*(ROW(BK$66:BK$69)&lt;ROW(BK69)))*1)</f>
        <v>4</v>
      </c>
      <c r="BM69">
        <f t="array" ref="BM69">SUMPRODUCT((E$65:E$70=BD69)*ISNUMBER(F$65:F$70)*ISNUMBER(G$65:G$70)*COUNTIFS(BD$66:BD$69,H$65:H$70,BK$66:BK$69,BK69)*((F$65:F$70&gt;G$65:G$70)*3+(F$65:F$70=G$65:G$70)))+SUMPRODUCT((H$65:H$70=BD69)*ISNUMBER(F$65:F$70)*ISNUMBER(G$65:G$70)*COUNTIFS(BD$66:BD$69,E$65:E$70,BK$66:BK$69,BK69)*((G$65:G$70&gt;F$65:F$70)*3+(F$65:F$70=G$65:G$70)))</f>
        <v>0</v>
      </c>
      <c r="BN69">
        <f t="array" ref="BN69">SUMPRODUCT((E$65:E$70=BD69)*ISNUMBER(F$65:F$70)*ISNUMBER(G$65:G$70)*COUNTIFS(BD$66:BD$69,H$65:H$70,BK$66:BK$69,BK69)*(F$65:F$70-G$65:G$70))+SUMPRODUCT((H$65:H$70=BD69)*ISNUMBER(F$65:F$70)*ISNUMBER(G$65:G$70)*COUNTIFS(BD$66:BD$69,E$65:E$70,BK$66:BK$69,BK69)*(G$65:G$70-F$65:F$70))</f>
        <v>0</v>
      </c>
      <c r="BO69">
        <f t="array" ref="BO69">SUMPRODUCT((E$65:E$70=BD69)*ISNUMBER(F$65:F$70)*ISNUMBER(G$65:G$70)*COUNTIFS(BD$66:BD$69,H$65:H$70,BK$66:BK$69,BK69)*F$65:F$70)+SUMPRODUCT((H$65:H$70=BD69)*ISNUMBER(F$65:F$70)*ISNUMBER(G$65:G$70)*COUNTIFS(BD$66:BD$69,E$65:E$70,BK$66:BK$69,BK69)*G$65:G$70)</f>
        <v>0</v>
      </c>
    </row>
    <row r="70" spans="1:67" ht="12.75" customHeight="1" x14ac:dyDescent="0.3">
      <c r="A70" s="11">
        <v>66</v>
      </c>
      <c r="B70" s="11" t="str">
        <f>TEXT((46200)+(19.5+4+GmtOffset)/24,"ddd")</f>
        <v>Sun</v>
      </c>
      <c r="C70" s="11" t="str">
        <f>TEXT((46200)+(19.5+4+GmtOffset)/24,"mmm d, yyyy")</f>
        <v>Jun 28, 2026</v>
      </c>
      <c r="D70" s="11" t="str">
        <f>TEXT((46200)+(19.5+4+GmtOffset)/24,"h:mm")</f>
        <v>1:30</v>
      </c>
      <c r="E70" s="12" t="s">
        <v>79</v>
      </c>
      <c r="F70" s="7"/>
      <c r="G70" s="7"/>
      <c r="H70" s="13" t="s">
        <v>82</v>
      </c>
      <c r="I70" s="11" t="s">
        <v>80</v>
      </c>
      <c r="J70" s="3"/>
      <c r="K70" s="17" t="str">
        <f>INDEX(BD66:BD69,MATCH(4,BL66:BL69,0))</f>
        <v>Colombia</v>
      </c>
      <c r="L70" s="18">
        <f>INDEX(BE66:BE69,MATCH(4,BL66:BL69,0))</f>
        <v>0</v>
      </c>
      <c r="M70" s="18">
        <f>INDEX(BF66:BF69,MATCH(4,BL66:BL69,0))</f>
        <v>0</v>
      </c>
      <c r="N70" s="18">
        <f>INDEX(BG66:BG69,MATCH(4,BL66:BL69,0))</f>
        <v>0</v>
      </c>
      <c r="O70" s="18">
        <f>INDEX(BH66:BH69,MATCH(4,BL66:BL69,0))</f>
        <v>0</v>
      </c>
      <c r="P70" s="18" t="str">
        <f>INDEX(BI66:BI69,MATCH(4,BL66:BL69,0))&amp;" - "&amp;INDEX(BJ66:BJ69,MATCH(4,BL66:BL69,0))</f>
        <v>0 - 0</v>
      </c>
      <c r="Q70" s="19">
        <f>INDEX(BK66:BK69,MATCH(4,BL66:BL69,0))</f>
        <v>0</v>
      </c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spans="1:67" ht="12.75" customHeight="1" x14ac:dyDescent="0.3">
      <c r="A71" s="11">
        <v>67</v>
      </c>
      <c r="B71" s="11" t="str">
        <f>TEXT((46190)+(16+4+GmtOffset)/24,"ddd")</f>
        <v>Wed</v>
      </c>
      <c r="C71" s="11" t="str">
        <f>TEXT((46190)+(16+4+GmtOffset)/24,"mmm d, yyyy")</f>
        <v>Jun 17, 2026</v>
      </c>
      <c r="D71" s="11" t="str">
        <f>TEXT((46190)+(16+4+GmtOffset)/24,"h:mm")</f>
        <v>22:00</v>
      </c>
      <c r="E71" s="12" t="s">
        <v>84</v>
      </c>
      <c r="F71" s="7"/>
      <c r="G71" s="7"/>
      <c r="H71" s="13" t="s">
        <v>85</v>
      </c>
      <c r="I71" s="11" t="s">
        <v>20</v>
      </c>
      <c r="J71" s="3"/>
      <c r="K71" s="1" t="s">
        <v>86</v>
      </c>
      <c r="L71" s="20"/>
      <c r="M71" s="20"/>
      <c r="N71" s="20"/>
      <c r="O71" s="20"/>
      <c r="P71" s="20"/>
      <c r="Q71" s="20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spans="1:67" ht="12.75" customHeight="1" x14ac:dyDescent="0.3">
      <c r="A72" s="11">
        <v>68</v>
      </c>
      <c r="B72" s="11" t="str">
        <f>TEXT((46190)+(19+4+GmtOffset)/24,"ddd")</f>
        <v>Thu</v>
      </c>
      <c r="C72" s="11" t="str">
        <f>TEXT((46190)+(19+4+GmtOffset)/24,"mmm d, yyyy")</f>
        <v>Jun 18, 2026</v>
      </c>
      <c r="D72" s="11" t="str">
        <f>TEXT((46190)+(19+4+GmtOffset)/24,"h:mm")</f>
        <v>1:00</v>
      </c>
      <c r="E72" s="12" t="s">
        <v>87</v>
      </c>
      <c r="F72" s="7"/>
      <c r="G72" s="7"/>
      <c r="H72" s="13" t="s">
        <v>88</v>
      </c>
      <c r="I72" s="11" t="s">
        <v>20</v>
      </c>
      <c r="J72" s="3"/>
      <c r="K72" s="14"/>
      <c r="L72" s="14" t="s">
        <v>17</v>
      </c>
      <c r="M72" s="14" t="s">
        <v>18</v>
      </c>
      <c r="N72" s="14" t="s">
        <v>19</v>
      </c>
      <c r="O72" s="14" t="s">
        <v>20</v>
      </c>
      <c r="P72" s="14" t="s">
        <v>21</v>
      </c>
      <c r="Q72" s="14" t="s">
        <v>22</v>
      </c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BD72" t="s">
        <v>84</v>
      </c>
      <c r="BE72">
        <f t="array" ref="BE72">SUMPRODUCT((((E71:E76=BD72)+(H71:H76=BD72))&gt;0)*ISNUMBER(F71:F76)*ISNUMBER(G71:G76))</f>
        <v>0</v>
      </c>
      <c r="BF72">
        <f t="array" ref="BF72">SUMPRODUCT((E71:E76=BD72)*ISNUMBER(F71:F76)*ISNUMBER(G71:G76)*(F71:F76&gt;G71:G76))+SUMPRODUCT((H71:H76=BD72)*ISNUMBER(F71:F76)*ISNUMBER(G71:G76)*(G71:G76&gt;F71:F76))</f>
        <v>0</v>
      </c>
      <c r="BG72">
        <f t="array" ref="BG72">SUMPRODUCT((((E71:E76=BD72)+(H71:H76=BD72))&gt;0)*ISNUMBER(F71:F76)*ISNUMBER(G71:G76)*(F71:F76=G71:G76))</f>
        <v>0</v>
      </c>
      <c r="BH72">
        <f>BE72-BF72-BG72</f>
        <v>0</v>
      </c>
      <c r="BI72">
        <f t="array" ref="BI72">SUMPRODUCT((E71:E76=BD72)*IFERROR(F71:F76,0))+SUMPRODUCT((H71:H76=BD72)*IFERROR(G71:G76,0))</f>
        <v>0</v>
      </c>
      <c r="BJ72">
        <f t="array" ref="BJ72">SUMPRODUCT((E71:E76=BD72)*IFERROR(G71:G76,0))+SUMPRODUCT((H71:H76=BD72)*IFERROR(F71:F76,0))</f>
        <v>0</v>
      </c>
      <c r="BK72">
        <f>BF72*3+BG72</f>
        <v>0</v>
      </c>
      <c r="BL72">
        <f>1+SUMPRODUCT(((BK$72:BK$75&gt;BK72)+(BK$72:BK$75=BK72)*(BM$72:BM$75&gt;BM72)+(BK$72:BK$75=BK72)*(BM$72:BM$75=BM72)*(BN$72:BN$75&gt;BN72)+(BK$72:BK$75=BK72)*(BM$72:BM$75=BM72)*(BN$72:BN$75=BN72)*(BO$72:BO$75&gt;BO72)+(BK$72:BK$75=BK72)*(BM$72:BM$75=BM72)*(BN$72:BN$75=BN72)*(BO$72:BO$75=BO72)*((BI$72:BI$75-BJ$72:BJ$75)&gt;(BI72-BJ72))+(BK$72:BK$75=BK72)*(BM$72:BM$75=BM72)*(BN$72:BN$75=BN72)*(BO$72:BO$75=BO72)*((BI$72:BI$75-BJ$72:BJ$75)=(BI72-BJ72))*(BI$72:BI$75&gt;BI72)+(BK$72:BK$75=BK72)*(BM$72:BM$75=BM72)*(BN$72:BN$75=BN72)*(BO$72:BO$75=BO72)*((BI$72:BI$75-BJ$72:BJ$75)=(BI72-BJ72))*(BI$72:BI$75=BI72)*(ROW(BK$72:BK$75)&lt;ROW(BK72)))*1)</f>
        <v>1</v>
      </c>
      <c r="BM72">
        <f t="array" ref="BM72">SUMPRODUCT((E$71:E$76=BD72)*ISNUMBER(F$71:F$76)*ISNUMBER(G$71:G$76)*COUNTIFS(BD$72:BD$75,H$71:H$76,BK$72:BK$75,BK72)*((F$71:F$76&gt;G$71:G$76)*3+(F$71:F$76=G$71:G$76)))+SUMPRODUCT((H$71:H$76=BD72)*ISNUMBER(F$71:F$76)*ISNUMBER(G$71:G$76)*COUNTIFS(BD$72:BD$75,E$71:E$76,BK$72:BK$75,BK72)*((G$71:G$76&gt;F$71:F$76)*3+(F$71:F$76=G$71:G$76)))</f>
        <v>0</v>
      </c>
      <c r="BN72">
        <f t="array" ref="BN72">SUMPRODUCT((E$71:E$76=BD72)*ISNUMBER(F$71:F$76)*ISNUMBER(G$71:G$76)*COUNTIFS(BD$72:BD$75,H$71:H$76,BK$72:BK$75,BK72)*(F$71:F$76-G$71:G$76))+SUMPRODUCT((H$71:H$76=BD72)*ISNUMBER(F$71:F$76)*ISNUMBER(G$71:G$76)*COUNTIFS(BD$72:BD$75,E$71:E$76,BK$72:BK$75,BK72)*(G$71:G$76-F$71:F$76))</f>
        <v>0</v>
      </c>
      <c r="BO72">
        <f t="array" ref="BO72">SUMPRODUCT((E$71:E$76=BD72)*ISNUMBER(F$71:F$76)*ISNUMBER(G$71:G$76)*COUNTIFS(BD$72:BD$75,H$71:H$76,BK$72:BK$75,BK72)*F$71:F$76)+SUMPRODUCT((H$71:H$76=BD72)*ISNUMBER(F$71:F$76)*ISNUMBER(G$71:G$76)*COUNTIFS(BD$72:BD$75,E$71:E$76,BK$72:BK$75,BK72)*G$71:G$76)</f>
        <v>0</v>
      </c>
    </row>
    <row r="73" spans="1:67" ht="12.75" customHeight="1" x14ac:dyDescent="0.3">
      <c r="A73" s="11">
        <v>69</v>
      </c>
      <c r="B73" s="11" t="str">
        <f>TEXT((46196)+(16+4+GmtOffset)/24,"ddd")</f>
        <v>Tue</v>
      </c>
      <c r="C73" s="11" t="str">
        <f>TEXT((46196)+(16+4+GmtOffset)/24,"mmm d, yyyy")</f>
        <v>Jun 23, 2026</v>
      </c>
      <c r="D73" s="11" t="str">
        <f>TEXT((46196)+(16+4+GmtOffset)/24,"h:mm")</f>
        <v>22:00</v>
      </c>
      <c r="E73" s="12" t="s">
        <v>84</v>
      </c>
      <c r="F73" s="7"/>
      <c r="G73" s="7"/>
      <c r="H73" s="13" t="s">
        <v>87</v>
      </c>
      <c r="I73" s="11" t="s">
        <v>20</v>
      </c>
      <c r="J73" s="3"/>
      <c r="K73" s="13" t="str">
        <f>INDEX(BD72:BD75,MATCH(1,BL72:BL75,0))</f>
        <v>England</v>
      </c>
      <c r="L73" s="11">
        <f>INDEX(BE72:BE75,MATCH(1,BL72:BL75,0))</f>
        <v>0</v>
      </c>
      <c r="M73" s="11">
        <f>INDEX(BF72:BF75,MATCH(1,BL72:BL75,0))</f>
        <v>0</v>
      </c>
      <c r="N73" s="11">
        <f>INDEX(BG72:BG75,MATCH(1,BL72:BL75,0))</f>
        <v>0</v>
      </c>
      <c r="O73" s="11">
        <f>INDEX(BH72:BH75,MATCH(1,BL72:BL75,0))</f>
        <v>0</v>
      </c>
      <c r="P73" s="11" t="str">
        <f>INDEX(BI72:BI75,MATCH(1,BL72:BL75,0))&amp;" - "&amp;INDEX(BJ72:BJ75,MATCH(1,BL72:BL75,0))</f>
        <v>0 - 0</v>
      </c>
      <c r="Q73" s="14">
        <f>INDEX(BK72:BK75,MATCH(1,BL72:BL75,0))</f>
        <v>0</v>
      </c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BD73" t="s">
        <v>85</v>
      </c>
      <c r="BE73">
        <f t="array" ref="BE73">SUMPRODUCT((((E71:E76=BD73)+(H71:H76=BD73))&gt;0)*ISNUMBER(F71:F76)*ISNUMBER(G71:G76))</f>
        <v>0</v>
      </c>
      <c r="BF73">
        <f t="array" ref="BF73">SUMPRODUCT((E71:E76=BD73)*ISNUMBER(F71:F76)*ISNUMBER(G71:G76)*(F71:F76&gt;G71:G76))+SUMPRODUCT((H71:H76=BD73)*ISNUMBER(F71:F76)*ISNUMBER(G71:G76)*(G71:G76&gt;F71:F76))</f>
        <v>0</v>
      </c>
      <c r="BG73">
        <f t="array" ref="BG73">SUMPRODUCT((((E71:E76=BD73)+(H71:H76=BD73))&gt;0)*ISNUMBER(F71:F76)*ISNUMBER(G71:G76)*(F71:F76=G71:G76))</f>
        <v>0</v>
      </c>
      <c r="BH73">
        <f>BE73-BF73-BG73</f>
        <v>0</v>
      </c>
      <c r="BI73">
        <f t="array" ref="BI73">SUMPRODUCT((E71:E76=BD73)*IFERROR(F71:F76,0))+SUMPRODUCT((H71:H76=BD73)*IFERROR(G71:G76,0))</f>
        <v>0</v>
      </c>
      <c r="BJ73">
        <f t="array" ref="BJ73">SUMPRODUCT((E71:E76=BD73)*IFERROR(G71:G76,0))+SUMPRODUCT((H71:H76=BD73)*IFERROR(F71:F76,0))</f>
        <v>0</v>
      </c>
      <c r="BK73">
        <f>BF73*3+BG73</f>
        <v>0</v>
      </c>
      <c r="BL73">
        <f>1+SUMPRODUCT(((BK$72:BK$75&gt;BK73)+(BK$72:BK$75=BK73)*(BM$72:BM$75&gt;BM73)+(BK$72:BK$75=BK73)*(BM$72:BM$75=BM73)*(BN$72:BN$75&gt;BN73)+(BK$72:BK$75=BK73)*(BM$72:BM$75=BM73)*(BN$72:BN$75=BN73)*(BO$72:BO$75&gt;BO73)+(BK$72:BK$75=BK73)*(BM$72:BM$75=BM73)*(BN$72:BN$75=BN73)*(BO$72:BO$75=BO73)*((BI$72:BI$75-BJ$72:BJ$75)&gt;(BI73-BJ73))+(BK$72:BK$75=BK73)*(BM$72:BM$75=BM73)*(BN$72:BN$75=BN73)*(BO$72:BO$75=BO73)*((BI$72:BI$75-BJ$72:BJ$75)=(BI73-BJ73))*(BI$72:BI$75&gt;BI73)+(BK$72:BK$75=BK73)*(BM$72:BM$75=BM73)*(BN$72:BN$75=BN73)*(BO$72:BO$75=BO73)*((BI$72:BI$75-BJ$72:BJ$75)=(BI73-BJ73))*(BI$72:BI$75=BI73)*(ROW(BK$72:BK$75)&lt;ROW(BK73)))*1)</f>
        <v>2</v>
      </c>
      <c r="BM73">
        <f t="array" ref="BM73">SUMPRODUCT((E$71:E$76=BD73)*ISNUMBER(F$71:F$76)*ISNUMBER(G$71:G$76)*COUNTIFS(BD$72:BD$75,H$71:H$76,BK$72:BK$75,BK73)*((F$71:F$76&gt;G$71:G$76)*3+(F$71:F$76=G$71:G$76)))+SUMPRODUCT((H$71:H$76=BD73)*ISNUMBER(F$71:F$76)*ISNUMBER(G$71:G$76)*COUNTIFS(BD$72:BD$75,E$71:E$76,BK$72:BK$75,BK73)*((G$71:G$76&gt;F$71:F$76)*3+(F$71:F$76=G$71:G$76)))</f>
        <v>0</v>
      </c>
      <c r="BN73">
        <f t="array" ref="BN73">SUMPRODUCT((E$71:E$76=BD73)*ISNUMBER(F$71:F$76)*ISNUMBER(G$71:G$76)*COUNTIFS(BD$72:BD$75,H$71:H$76,BK$72:BK$75,BK73)*(F$71:F$76-G$71:G$76))+SUMPRODUCT((H$71:H$76=BD73)*ISNUMBER(F$71:F$76)*ISNUMBER(G$71:G$76)*COUNTIFS(BD$72:BD$75,E$71:E$76,BK$72:BK$75,BK73)*(G$71:G$76-F$71:F$76))</f>
        <v>0</v>
      </c>
      <c r="BO73">
        <f t="array" ref="BO73">SUMPRODUCT((E$71:E$76=BD73)*ISNUMBER(F$71:F$76)*ISNUMBER(G$71:G$76)*COUNTIFS(BD$72:BD$75,H$71:H$76,BK$72:BK$75,BK73)*F$71:F$76)+SUMPRODUCT((H$71:H$76=BD73)*ISNUMBER(F$71:F$76)*ISNUMBER(G$71:G$76)*COUNTIFS(BD$72:BD$75,E$71:E$76,BK$72:BK$75,BK73)*G$71:G$76)</f>
        <v>0</v>
      </c>
    </row>
    <row r="74" spans="1:67" ht="12.75" customHeight="1" x14ac:dyDescent="0.3">
      <c r="A74" s="11">
        <v>70</v>
      </c>
      <c r="B74" s="11" t="str">
        <f>TEXT((46196)+(19+4+GmtOffset)/24,"ddd")</f>
        <v>Wed</v>
      </c>
      <c r="C74" s="11" t="str">
        <f>TEXT((46196)+(19+4+GmtOffset)/24,"mmm d, yyyy")</f>
        <v>Jun 24, 2026</v>
      </c>
      <c r="D74" s="11" t="str">
        <f>TEXT((46196)+(19+4+GmtOffset)/24,"h:mm")</f>
        <v>1:00</v>
      </c>
      <c r="E74" s="12" t="s">
        <v>88</v>
      </c>
      <c r="F74" s="7"/>
      <c r="G74" s="7"/>
      <c r="H74" s="13" t="s">
        <v>85</v>
      </c>
      <c r="I74" s="11" t="s">
        <v>20</v>
      </c>
      <c r="J74" s="3"/>
      <c r="K74" s="13" t="str">
        <f>INDEX(BD72:BD75,MATCH(2,BL72:BL75,0))</f>
        <v>Croatia</v>
      </c>
      <c r="L74" s="11">
        <f>INDEX(BE72:BE75,MATCH(2,BL72:BL75,0))</f>
        <v>0</v>
      </c>
      <c r="M74" s="11">
        <f>INDEX(BF72:BF75,MATCH(2,BL72:BL75,0))</f>
        <v>0</v>
      </c>
      <c r="N74" s="11">
        <f>INDEX(BG72:BG75,MATCH(2,BL72:BL75,0))</f>
        <v>0</v>
      </c>
      <c r="O74" s="11">
        <f>INDEX(BH72:BH75,MATCH(2,BL72:BL75,0))</f>
        <v>0</v>
      </c>
      <c r="P74" s="11" t="str">
        <f>INDEX(BI72:BI75,MATCH(2,BL72:BL75,0))&amp;" - "&amp;INDEX(BJ72:BJ75,MATCH(2,BL72:BL75,0))</f>
        <v>0 - 0</v>
      </c>
      <c r="Q74" s="14">
        <f>INDEX(BK72:BK75,MATCH(2,BL72:BL75,0))</f>
        <v>0</v>
      </c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BD74" t="s">
        <v>87</v>
      </c>
      <c r="BE74">
        <f t="array" ref="BE74">SUMPRODUCT((((E71:E76=BD74)+(H71:H76=BD74))&gt;0)*ISNUMBER(F71:F76)*ISNUMBER(G71:G76))</f>
        <v>0</v>
      </c>
      <c r="BF74">
        <f t="array" ref="BF74">SUMPRODUCT((E71:E76=BD74)*ISNUMBER(F71:F76)*ISNUMBER(G71:G76)*(F71:F76&gt;G71:G76))+SUMPRODUCT((H71:H76=BD74)*ISNUMBER(F71:F76)*ISNUMBER(G71:G76)*(G71:G76&gt;F71:F76))</f>
        <v>0</v>
      </c>
      <c r="BG74">
        <f t="array" ref="BG74">SUMPRODUCT((((E71:E76=BD74)+(H71:H76=BD74))&gt;0)*ISNUMBER(F71:F76)*ISNUMBER(G71:G76)*(F71:F76=G71:G76))</f>
        <v>0</v>
      </c>
      <c r="BH74">
        <f>BE74-BF74-BG74</f>
        <v>0</v>
      </c>
      <c r="BI74">
        <f t="array" ref="BI74">SUMPRODUCT((E71:E76=BD74)*IFERROR(F71:F76,0))+SUMPRODUCT((H71:H76=BD74)*IFERROR(G71:G76,0))</f>
        <v>0</v>
      </c>
      <c r="BJ74">
        <f t="array" ref="BJ74">SUMPRODUCT((E71:E76=BD74)*IFERROR(G71:G76,0))+SUMPRODUCT((H71:H76=BD74)*IFERROR(F71:F76,0))</f>
        <v>0</v>
      </c>
      <c r="BK74">
        <f>BF74*3+BG74</f>
        <v>0</v>
      </c>
      <c r="BL74">
        <f>1+SUMPRODUCT(((BK$72:BK$75&gt;BK74)+(BK$72:BK$75=BK74)*(BM$72:BM$75&gt;BM74)+(BK$72:BK$75=BK74)*(BM$72:BM$75=BM74)*(BN$72:BN$75&gt;BN74)+(BK$72:BK$75=BK74)*(BM$72:BM$75=BM74)*(BN$72:BN$75=BN74)*(BO$72:BO$75&gt;BO74)+(BK$72:BK$75=BK74)*(BM$72:BM$75=BM74)*(BN$72:BN$75=BN74)*(BO$72:BO$75=BO74)*((BI$72:BI$75-BJ$72:BJ$75)&gt;(BI74-BJ74))+(BK$72:BK$75=BK74)*(BM$72:BM$75=BM74)*(BN$72:BN$75=BN74)*(BO$72:BO$75=BO74)*((BI$72:BI$75-BJ$72:BJ$75)=(BI74-BJ74))*(BI$72:BI$75&gt;BI74)+(BK$72:BK$75=BK74)*(BM$72:BM$75=BM74)*(BN$72:BN$75=BN74)*(BO$72:BO$75=BO74)*((BI$72:BI$75-BJ$72:BJ$75)=(BI74-BJ74))*(BI$72:BI$75=BI74)*(ROW(BK$72:BK$75)&lt;ROW(BK74)))*1)</f>
        <v>3</v>
      </c>
      <c r="BM74">
        <f t="array" ref="BM74">SUMPRODUCT((E$71:E$76=BD74)*ISNUMBER(F$71:F$76)*ISNUMBER(G$71:G$76)*COUNTIFS(BD$72:BD$75,H$71:H$76,BK$72:BK$75,BK74)*((F$71:F$76&gt;G$71:G$76)*3+(F$71:F$76=G$71:G$76)))+SUMPRODUCT((H$71:H$76=BD74)*ISNUMBER(F$71:F$76)*ISNUMBER(G$71:G$76)*COUNTIFS(BD$72:BD$75,E$71:E$76,BK$72:BK$75,BK74)*((G$71:G$76&gt;F$71:F$76)*3+(F$71:F$76=G$71:G$76)))</f>
        <v>0</v>
      </c>
      <c r="BN74">
        <f t="array" ref="BN74">SUMPRODUCT((E$71:E$76=BD74)*ISNUMBER(F$71:F$76)*ISNUMBER(G$71:G$76)*COUNTIFS(BD$72:BD$75,H$71:H$76,BK$72:BK$75,BK74)*(F$71:F$76-G$71:G$76))+SUMPRODUCT((H$71:H$76=BD74)*ISNUMBER(F$71:F$76)*ISNUMBER(G$71:G$76)*COUNTIFS(BD$72:BD$75,E$71:E$76,BK$72:BK$75,BK74)*(G$71:G$76-F$71:F$76))</f>
        <v>0</v>
      </c>
      <c r="BO74">
        <f t="array" ref="BO74">SUMPRODUCT((E$71:E$76=BD74)*ISNUMBER(F$71:F$76)*ISNUMBER(G$71:G$76)*COUNTIFS(BD$72:BD$75,H$71:H$76,BK$72:BK$75,BK74)*F$71:F$76)+SUMPRODUCT((H$71:H$76=BD74)*ISNUMBER(F$71:F$76)*ISNUMBER(G$71:G$76)*COUNTIFS(BD$72:BD$75,E$71:E$76,BK$72:BK$75,BK74)*G$71:G$76)</f>
        <v>0</v>
      </c>
    </row>
    <row r="75" spans="1:67" ht="12.75" customHeight="1" x14ac:dyDescent="0.3">
      <c r="A75" s="11">
        <v>71</v>
      </c>
      <c r="B75" s="11" t="str">
        <f>TEXT((46200)+(17+4+GmtOffset)/24,"ddd")</f>
        <v>Sat</v>
      </c>
      <c r="C75" s="11" t="str">
        <f>TEXT((46200)+(17+4+GmtOffset)/24,"mmm d, yyyy")</f>
        <v>Jun 27, 2026</v>
      </c>
      <c r="D75" s="11" t="str">
        <f>TEXT((46200)+(17+4+GmtOffset)/24,"h:mm")</f>
        <v>23:00</v>
      </c>
      <c r="E75" s="12" t="s">
        <v>88</v>
      </c>
      <c r="F75" s="7"/>
      <c r="G75" s="7"/>
      <c r="H75" s="13" t="s">
        <v>84</v>
      </c>
      <c r="I75" s="11" t="s">
        <v>20</v>
      </c>
      <c r="J75" s="3"/>
      <c r="K75" s="13" t="str">
        <f>INDEX(BD72:BD75,MATCH(3,BL72:BL75,0))</f>
        <v>Ghana</v>
      </c>
      <c r="L75" s="11">
        <f>INDEX(BE72:BE75,MATCH(3,BL72:BL75,0))</f>
        <v>0</v>
      </c>
      <c r="M75" s="11">
        <f>INDEX(BF72:BF75,MATCH(3,BL72:BL75,0))</f>
        <v>0</v>
      </c>
      <c r="N75" s="11">
        <f>INDEX(BG72:BG75,MATCH(3,BL72:BL75,0))</f>
        <v>0</v>
      </c>
      <c r="O75" s="11">
        <f>INDEX(BH72:BH75,MATCH(3,BL72:BL75,0))</f>
        <v>0</v>
      </c>
      <c r="P75" s="11" t="str">
        <f>INDEX(BI72:BI75,MATCH(3,BL72:BL75,0))&amp;" - "&amp;INDEX(BJ72:BJ75,MATCH(3,BL72:BL75,0))</f>
        <v>0 - 0</v>
      </c>
      <c r="Q75" s="14">
        <f>INDEX(BK72:BK75,MATCH(3,BL72:BL75,0))</f>
        <v>0</v>
      </c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BD75" t="s">
        <v>88</v>
      </c>
      <c r="BE75">
        <f t="array" ref="BE75">SUMPRODUCT((((E71:E76=BD75)+(H71:H76=BD75))&gt;0)*ISNUMBER(F71:F76)*ISNUMBER(G71:G76))</f>
        <v>0</v>
      </c>
      <c r="BF75">
        <f t="array" ref="BF75">SUMPRODUCT((E71:E76=BD75)*ISNUMBER(F71:F76)*ISNUMBER(G71:G76)*(F71:F76&gt;G71:G76))+SUMPRODUCT((H71:H76=BD75)*ISNUMBER(F71:F76)*ISNUMBER(G71:G76)*(G71:G76&gt;F71:F76))</f>
        <v>0</v>
      </c>
      <c r="BG75">
        <f t="array" ref="BG75">SUMPRODUCT((((E71:E76=BD75)+(H71:H76=BD75))&gt;0)*ISNUMBER(F71:F76)*ISNUMBER(G71:G76)*(F71:F76=G71:G76))</f>
        <v>0</v>
      </c>
      <c r="BH75">
        <f>BE75-BF75-BG75</f>
        <v>0</v>
      </c>
      <c r="BI75">
        <f t="array" ref="BI75">SUMPRODUCT((E71:E76=BD75)*IFERROR(F71:F76,0))+SUMPRODUCT((H71:H76=BD75)*IFERROR(G71:G76,0))</f>
        <v>0</v>
      </c>
      <c r="BJ75">
        <f t="array" ref="BJ75">SUMPRODUCT((E71:E76=BD75)*IFERROR(G71:G76,0))+SUMPRODUCT((H71:H76=BD75)*IFERROR(F71:F76,0))</f>
        <v>0</v>
      </c>
      <c r="BK75">
        <f>BF75*3+BG75</f>
        <v>0</v>
      </c>
      <c r="BL75">
        <f>1+SUMPRODUCT(((BK$72:BK$75&gt;BK75)+(BK$72:BK$75=BK75)*(BM$72:BM$75&gt;BM75)+(BK$72:BK$75=BK75)*(BM$72:BM$75=BM75)*(BN$72:BN$75&gt;BN75)+(BK$72:BK$75=BK75)*(BM$72:BM$75=BM75)*(BN$72:BN$75=BN75)*(BO$72:BO$75&gt;BO75)+(BK$72:BK$75=BK75)*(BM$72:BM$75=BM75)*(BN$72:BN$75=BN75)*(BO$72:BO$75=BO75)*((BI$72:BI$75-BJ$72:BJ$75)&gt;(BI75-BJ75))+(BK$72:BK$75=BK75)*(BM$72:BM$75=BM75)*(BN$72:BN$75=BN75)*(BO$72:BO$75=BO75)*((BI$72:BI$75-BJ$72:BJ$75)=(BI75-BJ75))*(BI$72:BI$75&gt;BI75)+(BK$72:BK$75=BK75)*(BM$72:BM$75=BM75)*(BN$72:BN$75=BN75)*(BO$72:BO$75=BO75)*((BI$72:BI$75-BJ$72:BJ$75)=(BI75-BJ75))*(BI$72:BI$75=BI75)*(ROW(BK$72:BK$75)&lt;ROW(BK75)))*1)</f>
        <v>4</v>
      </c>
      <c r="BM75">
        <f t="array" ref="BM75">SUMPRODUCT((E$71:E$76=BD75)*ISNUMBER(F$71:F$76)*ISNUMBER(G$71:G$76)*COUNTIFS(BD$72:BD$75,H$71:H$76,BK$72:BK$75,BK75)*((F$71:F$76&gt;G$71:G$76)*3+(F$71:F$76=G$71:G$76)))+SUMPRODUCT((H$71:H$76=BD75)*ISNUMBER(F$71:F$76)*ISNUMBER(G$71:G$76)*COUNTIFS(BD$72:BD$75,E$71:E$76,BK$72:BK$75,BK75)*((G$71:G$76&gt;F$71:F$76)*3+(F$71:F$76=G$71:G$76)))</f>
        <v>0</v>
      </c>
      <c r="BN75">
        <f t="array" ref="BN75">SUMPRODUCT((E$71:E$76=BD75)*ISNUMBER(F$71:F$76)*ISNUMBER(G$71:G$76)*COUNTIFS(BD$72:BD$75,H$71:H$76,BK$72:BK$75,BK75)*(F$71:F$76-G$71:G$76))+SUMPRODUCT((H$71:H$76=BD75)*ISNUMBER(F$71:F$76)*ISNUMBER(G$71:G$76)*COUNTIFS(BD$72:BD$75,E$71:E$76,BK$72:BK$75,BK75)*(G$71:G$76-F$71:F$76))</f>
        <v>0</v>
      </c>
      <c r="BO75">
        <f t="array" ref="BO75">SUMPRODUCT((E$71:E$76=BD75)*ISNUMBER(F$71:F$76)*ISNUMBER(G$71:G$76)*COUNTIFS(BD$72:BD$75,H$71:H$76,BK$72:BK$75,BK75)*F$71:F$76)+SUMPRODUCT((H$71:H$76=BD75)*ISNUMBER(F$71:F$76)*ISNUMBER(G$71:G$76)*COUNTIFS(BD$72:BD$75,E$71:E$76,BK$72:BK$75,BK75)*G$71:G$76)</f>
        <v>0</v>
      </c>
    </row>
    <row r="76" spans="1:67" ht="12.75" customHeight="1" x14ac:dyDescent="0.3">
      <c r="A76" s="18">
        <v>72</v>
      </c>
      <c r="B76" s="18" t="str">
        <f>TEXT((46200)+(17+4+GmtOffset)/24,"ddd")</f>
        <v>Sat</v>
      </c>
      <c r="C76" s="18" t="str">
        <f>TEXT((46200)+(17+4+GmtOffset)/24,"mmm d, yyyy")</f>
        <v>Jun 27, 2026</v>
      </c>
      <c r="D76" s="18" t="str">
        <f>TEXT((46200)+(17+4+GmtOffset)/24,"h:mm")</f>
        <v>23:00</v>
      </c>
      <c r="E76" s="22" t="s">
        <v>85</v>
      </c>
      <c r="F76" s="7"/>
      <c r="G76" s="7"/>
      <c r="H76" s="17" t="s">
        <v>87</v>
      </c>
      <c r="I76" s="18" t="s">
        <v>20</v>
      </c>
      <c r="J76" s="3"/>
      <c r="K76" s="17" t="str">
        <f>INDEX(BD72:BD75,MATCH(4,BL72:BL75,0))</f>
        <v>Panama</v>
      </c>
      <c r="L76" s="18">
        <f>INDEX(BE72:BE75,MATCH(4,BL72:BL75,0))</f>
        <v>0</v>
      </c>
      <c r="M76" s="18">
        <f>INDEX(BF72:BF75,MATCH(4,BL72:BL75,0))</f>
        <v>0</v>
      </c>
      <c r="N76" s="18">
        <f>INDEX(BG72:BG75,MATCH(4,BL72:BL75,0))</f>
        <v>0</v>
      </c>
      <c r="O76" s="18">
        <f>INDEX(BH72:BH75,MATCH(4,BL72:BL75,0))</f>
        <v>0</v>
      </c>
      <c r="P76" s="18" t="str">
        <f>INDEX(BI72:BI75,MATCH(4,BL72:BL75,0))&amp;" - "&amp;INDEX(BJ72:BJ75,MATCH(4,BL72:BL75,0))</f>
        <v>0 - 0</v>
      </c>
      <c r="Q76" s="19">
        <f>INDEX(BK72:BK75,MATCH(4,BL72:BL75,0))</f>
        <v>0</v>
      </c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spans="1:67" ht="12.7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spans="1:67" ht="12.7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spans="1:67" ht="12.75" customHeight="1" x14ac:dyDescent="0.3">
      <c r="A79" s="2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spans="1:67" ht="12.7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BM80" s="24" t="s">
        <v>89</v>
      </c>
      <c r="BN80" s="24" t="s">
        <v>90</v>
      </c>
      <c r="BO80" s="24" t="s">
        <v>91</v>
      </c>
    </row>
    <row r="81" spans="1:73" ht="12.7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 t="s">
        <v>13</v>
      </c>
      <c r="AO81" t="str">
        <f>IFERROR(INDEX(BD6:BD9,MATCH(1,BL6:BL9,0)),"")</f>
        <v>Mexico</v>
      </c>
      <c r="AP81" t="str">
        <f>IFERROR(INDEX(BD6:BD9,MATCH(2,BL6:BL9,0)),"")</f>
        <v>South Korea</v>
      </c>
      <c r="AQ81" t="str">
        <f>IFERROR(INDEX(BD6:BD9,MATCH(3,BL6:BL9,0)),"")</f>
        <v>Czechia</v>
      </c>
      <c r="AR81">
        <f>IFERROR(INDEX(BK6:BK9,MATCH(3,BL6:BL9,0)),0)</f>
        <v>0</v>
      </c>
      <c r="AS81">
        <f>IFERROR(INDEX(BI6:BI9,MATCH(3,BL6:BL9,0))-INDEX(BJ6:BJ9,MATCH(3,BL6:BL9,0)),0)</f>
        <v>-1</v>
      </c>
      <c r="AT81">
        <f t="array" ref="AT81">SUMPRODUCT((($AR$81:$AR$92*1000000000000+($AS$81:$AS$92+20)*100000000+$BU$81:$BU$92*10000-ROW($AR$81:$AR$92))&gt;(AR81*1000000000000+(AS81+20)*100000000+BU81*10000-ROW(AR81)))*1)+1</f>
        <v>12</v>
      </c>
      <c r="AV81" t="str">
        <f>IFERROR(INDEX($AQ$81:$AQ$92,MATCH(1,$AT$81:$AT$92,0)),"")</f>
        <v>Qatar</v>
      </c>
      <c r="AW81" t="str">
        <f>IFERROR(INDEX($AN$81:$AN$92,MATCH(1,$AT$81:$AT$92,0)),"")</f>
        <v>B</v>
      </c>
      <c r="AX81" t="str">
        <f>IF(COUNTIF($AW$81:$AW$88,"A")&gt;0,"A","")&amp;IF(COUNTIF($AW$81:$AW$88,"B")&gt;0,"B","")&amp;IF(COUNTIF($AW$81:$AW$88,"C")&gt;0,"C","")&amp;IF(COUNTIF($AW$81:$AW$88,"D")&gt;0,"D","")&amp;IF(COUNTIF($AW$81:$AW$88,"E")&gt;0,"E","")&amp;IF(COUNTIF($AW$81:$AW$88,"F")&gt;0,"F","")&amp;IF(COUNTIF($AW$81:$AW$88,"G")&gt;0,"G","")&amp;IF(COUNTIF($AW$81:$AW$88,"H")&gt;0,"H","")&amp;IF(COUNTIF($AW$81:$AW$88,"I")&gt;0,"I","")&amp;IF(COUNTIF($AW$81:$AW$88,"J")&gt;0,"J","")&amp;IF(COUNTIF($AW$81:$AW$88,"K")&gt;0,"K","")&amp;IF(COUNTIF($AW$81:$AW$88,"L")&gt;0,"L","")</f>
        <v>BCDEFGHI</v>
      </c>
      <c r="BM81" t="str">
        <f>IFERROR(INDEX('Annex C (generated)'!$D$2:$D$496,MATCH($AX$81,'Annex C (generated)'!$B$2:$B$496,0)),"")</f>
        <v>D</v>
      </c>
      <c r="BN81" t="str">
        <f>IFERROR(INDEX('Annex C (generated)'!$E$2:$E$496,MATCH($AX$81,'Annex C (generated)'!$B$2:$B$496,0)),"")</f>
        <v>F</v>
      </c>
      <c r="BO81" t="str">
        <f>IFERROR(INDEX('Annex C (generated)'!$F$2:$F$496,MATCH($AX$81,'Annex C (generated)'!$B$2:$B$496,0)),"")</f>
        <v>C</v>
      </c>
      <c r="BP81" t="str">
        <f>IFERROR(INDEX('Annex C (generated)'!$G$2:$G$496,MATCH($AX$81,'Annex C (generated)'!$B$2:$B$496,0)),"")</f>
        <v>I</v>
      </c>
      <c r="BQ81" t="str">
        <f>IFERROR(INDEX('Annex C (generated)'!$H$2:$H$496,MATCH($AX$81,'Annex C (generated)'!$B$2:$B$496,0)),"")</f>
        <v>B</v>
      </c>
      <c r="BR81" t="str">
        <f>IFERROR(INDEX('Annex C (generated)'!$I$2:$I$496,MATCH($AX$81,'Annex C (generated)'!$B$2:$B$496,0)),"")</f>
        <v>H</v>
      </c>
      <c r="BS81" t="str">
        <f>IFERROR(INDEX('Annex C (generated)'!$J$2:$J$496,MATCH($AX$81,'Annex C (generated)'!$B$2:$B$496,0)),"")</f>
        <v>G</v>
      </c>
      <c r="BT81" t="str">
        <f>IFERROR(INDEX('Annex C (generated)'!$K$2:$K$496,MATCH($AX$81,'Annex C (generated)'!$B$2:$B$496,0)),"")</f>
        <v>E</v>
      </c>
      <c r="BU81">
        <f>IFERROR(INDEX(BI6:BI9,MATCH(3,BL6:BL9,0)),0)</f>
        <v>1</v>
      </c>
    </row>
    <row r="82" spans="1:73" ht="12.7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 t="s">
        <v>25</v>
      </c>
      <c r="AO82" t="str">
        <f>IFERROR(INDEX(BD12:BD15,MATCH(1,BL12:BL15,0)),"")</f>
        <v>Canada</v>
      </c>
      <c r="AP82" t="str">
        <f>IFERROR(INDEX(BD12:BD15,MATCH(2,BL12:BL15,0)),"")</f>
        <v>Bosnia &amp; Herzegovina</v>
      </c>
      <c r="AQ82" t="str">
        <f>IFERROR(INDEX(BD12:BD15,MATCH(3,BL12:BL15,0)),"")</f>
        <v>Qatar</v>
      </c>
      <c r="AR82">
        <f>IFERROR(INDEX(BK12:BK15,MATCH(3,BL12:BL15,0)),0)</f>
        <v>0</v>
      </c>
      <c r="AS82">
        <f>IFERROR(INDEX(BI12:BI15,MATCH(3,BL12:BL15,0))-INDEX(BJ12:BJ15,MATCH(3,BL12:BL15,0)),0)</f>
        <v>0</v>
      </c>
      <c r="AT82">
        <f t="array" ref="AT82">SUMPRODUCT((($AR$81:$AR$92*1000000000000+($AS$81:$AS$92+20)*100000000+$BU$81:$BU$92*10000-ROW($AR$81:$AR$92))&gt;(AR82*1000000000000+(AS82+20)*100000000+BU82*10000-ROW(AR82)))*1)+1</f>
        <v>1</v>
      </c>
      <c r="AV82" t="str">
        <f>IFERROR(INDEX($AQ$81:$AQ$92,MATCH(2,$AT$81:$AT$92,0)),"")</f>
        <v>Haiti</v>
      </c>
      <c r="AW82" t="str">
        <f>IFERROR(INDEX($AN$81:$AN$92,MATCH(2,$AT$81:$AT$92,0)),"")</f>
        <v>C</v>
      </c>
      <c r="BU82">
        <f>IFERROR(INDEX(BI12:BI15,MATCH(3,BL12:BL15,0)),0)</f>
        <v>0</v>
      </c>
    </row>
    <row r="83" spans="1:73" ht="12.7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 t="s">
        <v>31</v>
      </c>
      <c r="AO83" t="str">
        <f>IFERROR(INDEX(BD18:BD21,MATCH(1,BL18:BL21,0)),"")</f>
        <v>Brazil</v>
      </c>
      <c r="AP83" t="str">
        <f>IFERROR(INDEX(BD18:BD21,MATCH(2,BL18:BL21,0)),"")</f>
        <v>Morocco</v>
      </c>
      <c r="AQ83" t="str">
        <f>IFERROR(INDEX(BD18:BD21,MATCH(3,BL18:BL21,0)),"")</f>
        <v>Haiti</v>
      </c>
      <c r="AR83">
        <f>IFERROR(INDEX(BK18:BK21,MATCH(3,BL18:BL21,0)),0)</f>
        <v>0</v>
      </c>
      <c r="AS83">
        <f>IFERROR(INDEX(BI18:BI21,MATCH(3,BL18:BL21,0))-INDEX(BJ18:BJ21,MATCH(3,BL18:BL21,0)),0)</f>
        <v>0</v>
      </c>
      <c r="AT83">
        <f t="array" ref="AT83">SUMPRODUCT((($AR$81:$AR$92*1000000000000+($AS$81:$AS$92+20)*100000000+$BU$81:$BU$92*10000-ROW($AR$81:$AR$92))&gt;(AR83*1000000000000+(AS83+20)*100000000+BU83*10000-ROW(AR83)))*1)+1</f>
        <v>2</v>
      </c>
      <c r="AV83" t="str">
        <f>IFERROR(INDEX($AQ$81:$AQ$92,MATCH(3,$AT$81:$AT$92,0)),"")</f>
        <v>Türkiye</v>
      </c>
      <c r="AW83" t="str">
        <f>IFERROR(INDEX($AN$81:$AN$92,MATCH(3,$AT$81:$AT$92,0)),"")</f>
        <v>D</v>
      </c>
      <c r="BU83">
        <f>IFERROR(INDEX(BI18:BI21,MATCH(3,BL18:BL21,0)),0)</f>
        <v>0</v>
      </c>
    </row>
    <row r="84" spans="1:73" ht="12.7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 t="s">
        <v>19</v>
      </c>
      <c r="AO84" t="str">
        <f>IFERROR(INDEX(BD24:BD27,MATCH(1,BL24:BL27,0)),"")</f>
        <v>United States</v>
      </c>
      <c r="AP84" t="str">
        <f>IFERROR(INDEX(BD24:BD27,MATCH(2,BL24:BL27,0)),"")</f>
        <v>Australia</v>
      </c>
      <c r="AQ84" t="str">
        <f>IFERROR(INDEX(BD24:BD27,MATCH(3,BL24:BL27,0)),"")</f>
        <v>Türkiye</v>
      </c>
      <c r="AR84">
        <f>IFERROR(INDEX(BK24:BK27,MATCH(3,BL24:BL27,0)),0)</f>
        <v>0</v>
      </c>
      <c r="AS84">
        <f>IFERROR(INDEX(BI24:BI27,MATCH(3,BL24:BL27,0))-INDEX(BJ24:BJ27,MATCH(3,BL24:BL27,0)),0)</f>
        <v>0</v>
      </c>
      <c r="AT84">
        <f t="array" ref="AT84">SUMPRODUCT((($AR$81:$AR$92*1000000000000+($AS$81:$AS$92+20)*100000000+$BU$81:$BU$92*10000-ROW($AR$81:$AR$92))&gt;(AR84*1000000000000+(AS84+20)*100000000+BU84*10000-ROW(AR84)))*1)+1</f>
        <v>3</v>
      </c>
      <c r="AV84" t="str">
        <f>IFERROR(INDEX($AQ$81:$AQ$92,MATCH(4,$AT$81:$AT$92,0)),"")</f>
        <v>Ivory Coast</v>
      </c>
      <c r="AW84" t="str">
        <f>IFERROR(INDEX($AN$81:$AN$92,MATCH(4,$AT$81:$AT$92,0)),"")</f>
        <v>E</v>
      </c>
      <c r="BU84">
        <f>IFERROR(INDEX(BI24:BI27,MATCH(3,BL24:BL27,0)),0)</f>
        <v>0</v>
      </c>
    </row>
    <row r="85" spans="1:73" ht="12.7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 t="s">
        <v>42</v>
      </c>
      <c r="AO85" t="str">
        <f>IFERROR(INDEX(BD30:BD33,MATCH(1,BL30:BL33,0)),"")</f>
        <v>Germany</v>
      </c>
      <c r="AP85" t="str">
        <f>IFERROR(INDEX(BD30:BD33,MATCH(2,BL30:BL33,0)),"")</f>
        <v>Curaçao</v>
      </c>
      <c r="AQ85" t="str">
        <f>IFERROR(INDEX(BD30:BD33,MATCH(3,BL30:BL33,0)),"")</f>
        <v>Ivory Coast</v>
      </c>
      <c r="AR85">
        <f>IFERROR(INDEX(BK30:BK33,MATCH(3,BL30:BL33,0)),0)</f>
        <v>0</v>
      </c>
      <c r="AS85">
        <f>IFERROR(INDEX(BI30:BI33,MATCH(3,BL30:BL33,0))-INDEX(BJ30:BJ33,MATCH(3,BL30:BL33,0)),0)</f>
        <v>0</v>
      </c>
      <c r="AT85">
        <f t="array" ref="AT85">SUMPRODUCT((($AR$81:$AR$92*1000000000000+($AS$81:$AS$92+20)*100000000+$BU$81:$BU$92*10000-ROW($AR$81:$AR$92))&gt;(AR85*1000000000000+(AS85+20)*100000000+BU85*10000-ROW(AR85)))*1)+1</f>
        <v>4</v>
      </c>
      <c r="AV85" t="str">
        <f>IFERROR(INDEX($AQ$81:$AQ$92,MATCH(5,$AT$81:$AT$92,0)),"")</f>
        <v>Sweden</v>
      </c>
      <c r="AW85" t="str">
        <f>IFERROR(INDEX($AN$81:$AN$92,MATCH(5,$AT$81:$AT$92,0)),"")</f>
        <v>F</v>
      </c>
      <c r="BU85">
        <f>IFERROR(INDEX(BI30:BI33,MATCH(3,BL30:BL33,0)),0)</f>
        <v>0</v>
      </c>
    </row>
    <row r="86" spans="1:73" ht="12.7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 t="s">
        <v>48</v>
      </c>
      <c r="AO86" t="str">
        <f>IFERROR(INDEX(BD36:BD39,MATCH(1,BL36:BL39,0)),"")</f>
        <v>Netherlands</v>
      </c>
      <c r="AP86" t="str">
        <f>IFERROR(INDEX(BD36:BD39,MATCH(2,BL36:BL39,0)),"")</f>
        <v>Japan</v>
      </c>
      <c r="AQ86" t="str">
        <f>IFERROR(INDEX(BD36:BD39,MATCH(3,BL36:BL39,0)),"")</f>
        <v>Sweden</v>
      </c>
      <c r="AR86">
        <f>IFERROR(INDEX(BK36:BK39,MATCH(3,BL36:BL39,0)),0)</f>
        <v>0</v>
      </c>
      <c r="AS86">
        <f>IFERROR(INDEX(BI36:BI39,MATCH(3,BL36:BL39,0))-INDEX(BJ36:BJ39,MATCH(3,BL36:BL39,0)),0)</f>
        <v>0</v>
      </c>
      <c r="AT86">
        <f t="array" ref="AT86">SUMPRODUCT((($AR$81:$AR$92*1000000000000+($AS$81:$AS$92+20)*100000000+$BU$81:$BU$92*10000-ROW($AR$81:$AR$92))&gt;(AR86*1000000000000+(AS86+20)*100000000+BU86*10000-ROW(AR86)))*1)+1</f>
        <v>5</v>
      </c>
      <c r="AV86" t="str">
        <f>IFERROR(INDEX($AQ$81:$AQ$92,MATCH(6,$AT$81:$AT$92,0)),"")</f>
        <v>Iran</v>
      </c>
      <c r="AW86" t="str">
        <f>IFERROR(INDEX($AN$81:$AN$92,MATCH(6,$AT$81:$AT$92,0)),"")</f>
        <v>G</v>
      </c>
      <c r="BU86">
        <f>IFERROR(INDEX(BI36:BI39,MATCH(3,BL36:BL39,0)),0)</f>
        <v>0</v>
      </c>
    </row>
    <row r="87" spans="1:73" ht="12.7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 t="s">
        <v>55</v>
      </c>
      <c r="AO87" t="str">
        <f>IFERROR(INDEX(BD42:BD45,MATCH(1,BL42:BL45,0)),"")</f>
        <v>Belgium</v>
      </c>
      <c r="AP87" t="str">
        <f>IFERROR(INDEX(BD42:BD45,MATCH(2,BL42:BL45,0)),"")</f>
        <v>Egypt</v>
      </c>
      <c r="AQ87" t="str">
        <f>IFERROR(INDEX(BD42:BD45,MATCH(3,BL42:BL45,0)),"")</f>
        <v>Iran</v>
      </c>
      <c r="AR87">
        <f>IFERROR(INDEX(BK42:BK45,MATCH(3,BL42:BL45,0)),0)</f>
        <v>0</v>
      </c>
      <c r="AS87">
        <f>IFERROR(INDEX(BI42:BI45,MATCH(3,BL42:BL45,0))-INDEX(BJ42:BJ45,MATCH(3,BL42:BL45,0)),0)</f>
        <v>0</v>
      </c>
      <c r="AT87">
        <f t="array" ref="AT87">SUMPRODUCT((($AR$81:$AR$92*1000000000000+($AS$81:$AS$92+20)*100000000+$BU$81:$BU$92*10000-ROW($AR$81:$AR$92))&gt;(AR87*1000000000000+(AS87+20)*100000000+BU87*10000-ROW(AR87)))*1)+1</f>
        <v>6</v>
      </c>
      <c r="AV87" t="str">
        <f>IFERROR(INDEX($AQ$81:$AQ$92,MATCH(7,$AT$81:$AT$92,0)),"")</f>
        <v>Saudi Arabia</v>
      </c>
      <c r="AW87" t="str">
        <f>IFERROR(INDEX($AN$81:$AN$92,MATCH(7,$AT$81:$AT$92,0)),"")</f>
        <v>H</v>
      </c>
      <c r="BU87">
        <f>IFERROR(INDEX(BI42:BI45,MATCH(3,BL42:BL45,0)),0)</f>
        <v>0</v>
      </c>
    </row>
    <row r="88" spans="1:73" ht="12.7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 t="s">
        <v>62</v>
      </c>
      <c r="AO88" t="str">
        <f>IFERROR(INDEX(BD48:BD51,MATCH(1,BL48:BL51,0)),"")</f>
        <v>Spain</v>
      </c>
      <c r="AP88" t="str">
        <f>IFERROR(INDEX(BD48:BD51,MATCH(2,BL48:BL51,0)),"")</f>
        <v>Cape Verde</v>
      </c>
      <c r="AQ88" t="str">
        <f>IFERROR(INDEX(BD48:BD51,MATCH(3,BL48:BL51,0)),"")</f>
        <v>Saudi Arabia</v>
      </c>
      <c r="AR88">
        <f>IFERROR(INDEX(BK48:BK51,MATCH(3,BL48:BL51,0)),0)</f>
        <v>0</v>
      </c>
      <c r="AS88">
        <f>IFERROR(INDEX(BI48:BI51,MATCH(3,BL48:BL51,0))-INDEX(BJ48:BJ51,MATCH(3,BL48:BL51,0)),0)</f>
        <v>0</v>
      </c>
      <c r="AT88">
        <f t="array" ref="AT88">SUMPRODUCT((($AR$81:$AR$92*1000000000000+($AS$81:$AS$92+20)*100000000+$BU$81:$BU$92*10000-ROW($AR$81:$AR$92))&gt;(AR88*1000000000000+(AS88+20)*100000000+BU88*10000-ROW(AR88)))*1)+1</f>
        <v>7</v>
      </c>
      <c r="AV88" t="str">
        <f>IFERROR(INDEX($AQ$81:$AQ$92,MATCH(8,$AT$81:$AT$92,0)),"")</f>
        <v>Iraq</v>
      </c>
      <c r="AW88" t="str">
        <f>IFERROR(INDEX($AN$81:$AN$92,MATCH(8,$AT$81:$AT$92,0)),"")</f>
        <v>I</v>
      </c>
      <c r="BU88">
        <f>IFERROR(INDEX(BI48:BI51,MATCH(3,BL48:BL51,0)),0)</f>
        <v>0</v>
      </c>
    </row>
    <row r="89" spans="1:73" ht="12.7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 t="s">
        <v>68</v>
      </c>
      <c r="AO89" t="str">
        <f>IFERROR(INDEX(BD54:BD57,MATCH(1,BL54:BL57,0)),"")</f>
        <v>France</v>
      </c>
      <c r="AP89" t="str">
        <f>IFERROR(INDEX(BD54:BD57,MATCH(2,BL54:BL57,0)),"")</f>
        <v>Senegal</v>
      </c>
      <c r="AQ89" t="str">
        <f>IFERROR(INDEX(BD54:BD57,MATCH(3,BL54:BL57,0)),"")</f>
        <v>Iraq</v>
      </c>
      <c r="AR89">
        <f>IFERROR(INDEX(BK54:BK57,MATCH(3,BL54:BL57,0)),0)</f>
        <v>0</v>
      </c>
      <c r="AS89">
        <f>IFERROR(INDEX(BI54:BI57,MATCH(3,BL54:BL57,0))-INDEX(BJ54:BJ57,MATCH(3,BL54:BL57,0)),0)</f>
        <v>0</v>
      </c>
      <c r="AT89">
        <f t="array" ref="AT89">SUMPRODUCT((($AR$81:$AR$92*1000000000000+($AS$81:$AS$92+20)*100000000+$BU$81:$BU$92*10000-ROW($AR$81:$AR$92))&gt;(AR89*1000000000000+(AS89+20)*100000000+BU89*10000-ROW(AR89)))*1)+1</f>
        <v>8</v>
      </c>
      <c r="BU89">
        <f>IFERROR(INDEX(BI54:BI57,MATCH(3,BL54:BL57,0)),0)</f>
        <v>0</v>
      </c>
    </row>
    <row r="90" spans="1:73" ht="12.7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 t="s">
        <v>74</v>
      </c>
      <c r="AO90" t="str">
        <f>IFERROR(INDEX(BD60:BD63,MATCH(1,BL60:BL63,0)),"")</f>
        <v>Argentina</v>
      </c>
      <c r="AP90" t="str">
        <f>IFERROR(INDEX(BD60:BD63,MATCH(2,BL60:BL63,0)),"")</f>
        <v>Algeria</v>
      </c>
      <c r="AQ90" t="str">
        <f>IFERROR(INDEX(BD60:BD63,MATCH(3,BL60:BL63,0)),"")</f>
        <v>Austria</v>
      </c>
      <c r="AR90">
        <f>IFERROR(INDEX(BK60:BK63,MATCH(3,BL60:BL63,0)),0)</f>
        <v>0</v>
      </c>
      <c r="AS90">
        <f>IFERROR(INDEX(BI60:BI63,MATCH(3,BL60:BL63,0))-INDEX(BJ60:BJ63,MATCH(3,BL60:BL63,0)),0)</f>
        <v>0</v>
      </c>
      <c r="AT90">
        <f t="array" ref="AT90">SUMPRODUCT((($AR$81:$AR$92*1000000000000+($AS$81:$AS$92+20)*100000000+$BU$81:$BU$92*10000-ROW($AR$81:$AR$92))&gt;(AR90*1000000000000+(AS90+20)*100000000+BU90*10000-ROW(AR90)))*1)+1</f>
        <v>9</v>
      </c>
      <c r="BU90">
        <f>IFERROR(INDEX(BI60:BI63,MATCH(3,BL60:BL63,0)),0)</f>
        <v>0</v>
      </c>
    </row>
    <row r="91" spans="1:73" ht="12.7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 t="s">
        <v>80</v>
      </c>
      <c r="AO91" t="str">
        <f>IFERROR(INDEX(BD66:BD69,MATCH(1,BL66:BL69,0)),"")</f>
        <v>Portugal</v>
      </c>
      <c r="AP91" t="str">
        <f>IFERROR(INDEX(BD66:BD69,MATCH(2,BL66:BL69,0)),"")</f>
        <v>DR Congo</v>
      </c>
      <c r="AQ91" t="str">
        <f>IFERROR(INDEX(BD66:BD69,MATCH(3,BL66:BL69,0)),"")</f>
        <v>Uzbekistan</v>
      </c>
      <c r="AR91">
        <f>IFERROR(INDEX(BK66:BK69,MATCH(3,BL66:BL69,0)),0)</f>
        <v>0</v>
      </c>
      <c r="AS91">
        <f>IFERROR(INDEX(BI66:BI69,MATCH(3,BL66:BL69,0))-INDEX(BJ66:BJ69,MATCH(3,BL66:BL69,0)),0)</f>
        <v>0</v>
      </c>
      <c r="AT91">
        <f t="array" ref="AT91">SUMPRODUCT((($AR$81:$AR$92*1000000000000+($AS$81:$AS$92+20)*100000000+$BU$81:$BU$92*10000-ROW($AR$81:$AR$92))&gt;(AR91*1000000000000+(AS91+20)*100000000+BU91*10000-ROW(AR91)))*1)+1</f>
        <v>10</v>
      </c>
      <c r="BU91">
        <f>IFERROR(INDEX(BI66:BI69,MATCH(3,BL66:BL69,0)),0)</f>
        <v>0</v>
      </c>
    </row>
    <row r="92" spans="1:73" ht="12.7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 t="s">
        <v>20</v>
      </c>
      <c r="AO92" t="str">
        <f>IFERROR(INDEX(BD72:BD75,MATCH(1,BL72:BL75,0)),"")</f>
        <v>England</v>
      </c>
      <c r="AP92" t="str">
        <f>IFERROR(INDEX(BD72:BD75,MATCH(2,BL72:BL75,0)),"")</f>
        <v>Croatia</v>
      </c>
      <c r="AQ92" t="str">
        <f>IFERROR(INDEX(BD72:BD75,MATCH(3,BL72:BL75,0)),"")</f>
        <v>Ghana</v>
      </c>
      <c r="AR92">
        <f>IFERROR(INDEX(BK72:BK75,MATCH(3,BL72:BL75,0)),0)</f>
        <v>0</v>
      </c>
      <c r="AS92">
        <f>IFERROR(INDEX(BI72:BI75,MATCH(3,BL72:BL75,0))-INDEX(BJ72:BJ75,MATCH(3,BL72:BL75,0)),0)</f>
        <v>0</v>
      </c>
      <c r="AT92">
        <f t="array" ref="AT92">SUMPRODUCT((($AR$81:$AR$92*1000000000000+($AS$81:$AS$92+20)*100000000+$BU$81:$BU$92*10000-ROW($AR$81:$AR$92))&gt;(AR92*1000000000000+(AS92+20)*100000000+BU92*10000-ROW(AR92)))*1)+1</f>
        <v>11</v>
      </c>
      <c r="BU92">
        <f>IFERROR(INDEX(BI72:BI75,MATCH(3,BL72:BL75,0)),0)</f>
        <v>0</v>
      </c>
    </row>
    <row r="93" spans="1:73" ht="12.7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spans="1:73" ht="12.7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spans="1:73" ht="12.7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spans="1:73" ht="12.7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</row>
    <row r="97" spans="1:40" ht="12.7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  <row r="98" spans="1:40" ht="12.7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</row>
    <row r="99" spans="1:40" ht="12.7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</row>
    <row r="100" spans="1:40" ht="12.7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</row>
    <row r="101" spans="1:40" ht="12.7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</row>
    <row r="102" spans="1:40" ht="12.7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</row>
    <row r="103" spans="1:40" ht="12.7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</row>
    <row r="104" spans="1:40" ht="12.7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</row>
    <row r="105" spans="1:40" ht="12.7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</row>
    <row r="106" spans="1:40" ht="12.7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</row>
    <row r="107" spans="1:40" ht="12.7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</row>
    <row r="108" spans="1:40" ht="12.7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</row>
    <row r="109" spans="1:40" ht="12.7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</row>
    <row r="110" spans="1:40" ht="12.7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</row>
    <row r="111" spans="1:40" ht="12.7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</row>
    <row r="112" spans="1:40" ht="12.7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</row>
    <row r="113" spans="1:40" ht="12.7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</row>
    <row r="114" spans="1:40" ht="12.7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</row>
    <row r="115" spans="1:40" ht="12.7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</row>
    <row r="116" spans="1:40" ht="12.7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</row>
    <row r="117" spans="1:40" ht="12.7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</row>
    <row r="118" spans="1:40" ht="12.7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</row>
    <row r="119" spans="1:40" ht="12.7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</row>
    <row r="120" spans="1:40" ht="12.7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</row>
    <row r="121" spans="1:40" ht="12.7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</row>
    <row r="122" spans="1:40" ht="12.7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</row>
    <row r="123" spans="1:40" ht="12.7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spans="1:40" ht="12.7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spans="1:40" ht="12.7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spans="1:40" ht="12.7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spans="1:40" ht="12.7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spans="1:40" ht="12.7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spans="1:40" ht="12.7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spans="1:40" ht="12.7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spans="1:40" ht="12.7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spans="1:40" ht="12.7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spans="1:40" ht="12.7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spans="1:40" ht="12.7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spans="1:40" ht="12.7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spans="1:40" ht="12.7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spans="1:40" ht="12.7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spans="1:40" ht="12.7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spans="1:40" ht="12.7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spans="1:40" ht="12.7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spans="1:40" ht="12.7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spans="1:40" ht="12.7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spans="1:40" ht="12.7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spans="1:40" ht="12.7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spans="1:40" ht="12.7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spans="1:40" ht="12.7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spans="1:40" ht="12.7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spans="1:40" ht="12.7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spans="1:40" ht="12.7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spans="1:40" ht="12.7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spans="1:40" ht="12.7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spans="1:40" ht="12.7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spans="1:40" ht="12.7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spans="1:40" ht="12.7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spans="1:40" ht="12.7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spans="1:40" ht="12.7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spans="1:40" ht="12.7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spans="1:40" ht="12.7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spans="1:40" ht="12.7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spans="1:40" ht="12.7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spans="1:40" ht="12.7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spans="1:40" ht="12.7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spans="1:40" ht="12.7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spans="1:40" ht="12.7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spans="1:40" ht="12.7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spans="1:40" ht="12.7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spans="1:40" ht="12.7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spans="1:40" ht="12.7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spans="1:40" ht="12.7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spans="1:40" ht="12.7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spans="1:40" ht="12.7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spans="1:40" ht="12.7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spans="1:40" ht="12.7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spans="1:40" ht="12.7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spans="1:40" ht="12.7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spans="1:40" ht="12.7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spans="1:40" ht="12.7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spans="1:40" ht="12.7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spans="1:40" ht="12.7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spans="1:40" ht="12.7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spans="1:40" ht="12.7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spans="1:40" ht="12.7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spans="1:40" ht="12.7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spans="1:40" ht="12.7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spans="1:40" ht="12.7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spans="1:40" ht="12.7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spans="1:40" ht="12.7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spans="1:40" ht="12.7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spans="1:40" ht="12.7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spans="1:40" ht="12.7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spans="1:40" ht="12.7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spans="1:40" ht="12.7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spans="1:40" ht="12.7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spans="1:40" ht="12.7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spans="1:40" ht="12.7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spans="1:40" ht="12.7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spans="1:40" ht="12.7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spans="1:40" ht="12.7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spans="1:40" ht="12.7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spans="1:40" ht="12.7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spans="1:40" ht="12.7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</sheetData>
  <mergeCells count="12">
    <mergeCell ref="K5:Q5"/>
    <mergeCell ref="AI38:AL38"/>
    <mergeCell ref="AI40:AJ40"/>
    <mergeCell ref="AI42:AL42"/>
    <mergeCell ref="A1:AN1"/>
    <mergeCell ref="A2:I2"/>
    <mergeCell ref="A3:Q4"/>
    <mergeCell ref="S3:V3"/>
    <mergeCell ref="W3:Z3"/>
    <mergeCell ref="AA3:AD3"/>
    <mergeCell ref="AE3:AH3"/>
    <mergeCell ref="AI3:AL3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9"/>
  <sheetViews>
    <sheetView zoomScale="150" zoomScaleNormal="97" workbookViewId="0">
      <pane ySplit="3" topLeftCell="A4" activePane="bottomLeft" state="frozen"/>
      <selection pane="bottomLeft" activeCell="B4" sqref="B4"/>
    </sheetView>
  </sheetViews>
  <sheetFormatPr defaultColWidth="11.3984375" defaultRowHeight="13" x14ac:dyDescent="0.3"/>
  <cols>
    <col min="1" max="1" width="15.3984375" customWidth="1"/>
    <col min="2" max="2" width="46.796875" customWidth="1"/>
    <col min="3" max="11" width="10.59765625" customWidth="1"/>
    <col min="12" max="12" width="15.3984375" customWidth="1"/>
    <col min="13" max="13" width="6.796875" customWidth="1"/>
    <col min="15" max="15" width="12" customWidth="1"/>
    <col min="16" max="16" width="15" customWidth="1"/>
    <col min="17" max="17" width="11" customWidth="1"/>
    <col min="18" max="18" width="18" customWidth="1"/>
    <col min="20" max="20" width="18" customWidth="1"/>
  </cols>
  <sheetData>
    <row r="1" spans="1:18" ht="18.75" customHeight="1" x14ac:dyDescent="0.3">
      <c r="A1" s="153" t="s">
        <v>92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N1" s="154" t="s">
        <v>93</v>
      </c>
      <c r="O1" s="154"/>
      <c r="P1" s="154"/>
      <c r="Q1" s="154"/>
      <c r="R1" s="154"/>
    </row>
    <row r="3" spans="1:18" ht="27.75" customHeight="1" x14ac:dyDescent="0.3">
      <c r="A3" s="25" t="s">
        <v>94</v>
      </c>
      <c r="B3" s="25" t="s">
        <v>95</v>
      </c>
      <c r="C3" s="25" t="s">
        <v>96</v>
      </c>
      <c r="D3" s="25" t="s">
        <v>97</v>
      </c>
      <c r="E3" s="25" t="s">
        <v>98</v>
      </c>
      <c r="F3" s="25" t="s">
        <v>99</v>
      </c>
      <c r="G3" s="25" t="s">
        <v>100</v>
      </c>
      <c r="H3" s="25" t="s">
        <v>6</v>
      </c>
      <c r="I3" s="25" t="s">
        <v>101</v>
      </c>
      <c r="J3" s="25" t="s">
        <v>102</v>
      </c>
      <c r="K3" s="25" t="s">
        <v>103</v>
      </c>
      <c r="L3" s="25" t="s">
        <v>104</v>
      </c>
      <c r="N3" s="25" t="s">
        <v>105</v>
      </c>
      <c r="O3" s="25" t="s">
        <v>106</v>
      </c>
      <c r="P3" s="25" t="s">
        <v>107</v>
      </c>
      <c r="Q3" s="25" t="s">
        <v>108</v>
      </c>
      <c r="R3" s="25" t="s">
        <v>109</v>
      </c>
    </row>
    <row r="4" spans="1:18" ht="12.75" customHeight="1" x14ac:dyDescent="0.3">
      <c r="A4" s="26">
        <f>IF(1&gt;COUNTIF(' Toto teams'!$A$4:$A$119,"&lt;&gt;"),"",INDEX(' Toto teams'!$S$4:$S$119,MATCH(LARGE(' Toto teams'!$T$4:$T$119,1),' Toto teams'!$T$4:$T$119,0)))</f>
        <v>1</v>
      </c>
      <c r="B4" s="27" t="str">
        <f>IF(1&gt;COUNTIF(' Toto teams'!$A$4:$A$119,"&lt;&gt;"),"",INDEX(' Toto teams'!$A$4:$A$119,MATCH(LARGE(' Toto teams'!$T$4:$T$119,1),' Toto teams'!$T$4:$T$119,0)))</f>
        <v>Donatas Celesius</v>
      </c>
      <c r="C4" s="28">
        <f>IF($B4="","",6*(IFERROR(VLOOKUP(INDEX(' Toto teams'!$B$4:$B$119,MATCH($B4,' Toto teams'!$A$4:$A$119,0)),Scoring!$A$4:$N$51,3,FALSE()),0)+IFERROR(VLOOKUP(INDEX(' Toto teams'!$B$4:$B$119,MATCH($B4,' Toto teams'!$A$4:$A$119,0)),Scoring!$A$4:$N$51,4,FALSE()),0)+IFERROR(VLOOKUP(INDEX(' Toto teams'!$B$4:$B$119,MATCH($B4,' Toto teams'!$A$4:$A$119,0)),Scoring!$A$4:$N$51,5,FALSE()),0))+4*(IFERROR(VLOOKUP(INDEX(' Toto teams'!$C$4:$C$119,MATCH($B4,' Toto teams'!$A$4:$A$119,0)),Scoring!$A$4:$N$51,3,FALSE()),0)+IFERROR(VLOOKUP(INDEX(' Toto teams'!$C$4:$C$119,MATCH($B4,' Toto teams'!$A$4:$A$119,0)),Scoring!$A$4:$N$51,4,FALSE()),0)+IFERROR(VLOOKUP(INDEX(' Toto teams'!$C$4:$C$119,MATCH($B4,' Toto teams'!$A$4:$A$119,0)),Scoring!$A$4:$N$51,5,FALSE()),0))+3*(IFERROR(VLOOKUP(INDEX(' Toto teams'!$D$4:$D$119,MATCH($B4,' Toto teams'!$A$4:$A$119,0)),Scoring!$A$4:$N$51,3,FALSE()),0)+IFERROR(VLOOKUP(INDEX(' Toto teams'!$D$4:$D$119,MATCH($B4,' Toto teams'!$A$4:$A$119,0)),Scoring!$A$4:$N$51,4,FALSE()),0)+IFERROR(VLOOKUP(INDEX(' Toto teams'!$D$4:$D$119,MATCH($B4,' Toto teams'!$A$4:$A$119,0)),Scoring!$A$4:$N$51,5,FALSE()),0))+2*(IFERROR(VLOOKUP(INDEX(' Toto teams'!$E$4:$E$119,MATCH($B4,' Toto teams'!$A$4:$A$119,0)),Scoring!$A$4:$N$51,3,FALSE()),0)+IFERROR(VLOOKUP(INDEX(' Toto teams'!$E$4:$E$119,MATCH($B4,' Toto teams'!$A$4:$A$119,0)),Scoring!$A$4:$N$51,4,FALSE()),0)+IFERROR(VLOOKUP(INDEX(' Toto teams'!$E$4:$E$119,MATCH($B4,' Toto teams'!$A$4:$A$119,0)),Scoring!$A$4:$N$51,5,FALSE()),0))+1*(IFERROR(VLOOKUP(INDEX(' Toto teams'!$F$4:$F$119,MATCH($B4,' Toto teams'!$A$4:$A$119,0)),Scoring!$A$4:$N$51,3,FALSE()),0)+IFERROR(VLOOKUP(INDEX(' Toto teams'!$F$4:$F$119,MATCH($B4,' Toto teams'!$A$4:$A$119,0)),Scoring!$A$4:$N$51,4,FALSE()),0)+IFERROR(VLOOKUP(INDEX(' Toto teams'!$F$4:$F$119,MATCH($B4,' Toto teams'!$A$4:$A$119,0)),Scoring!$A$4:$N$51,5,FALSE()),0))+1*(IFERROR(VLOOKUP(INDEX(' Toto teams'!$G$4:$G$119,MATCH($B4,' Toto teams'!$A$4:$A$119,0)),Scoring!$A$4:$N$51,3,FALSE()),0)+IFERROR(VLOOKUP(INDEX(' Toto teams'!$G$4:$G$119,MATCH($B4,' Toto teams'!$A$4:$A$119,0)),Scoring!$A$4:$N$51,4,FALSE()),0)+IFERROR(VLOOKUP(INDEX(' Toto teams'!$G$4:$G$119,MATCH($B4,' Toto teams'!$A$4:$A$119,0)),Scoring!$A$4:$N$51,5,FALSE()),0))+1*(IFERROR(VLOOKUP(INDEX(' Toto teams'!$H$4:$H$119,MATCH($B4,' Toto teams'!$A$4:$A$119,0)),Scoring!$A$4:$N$51,3,FALSE()),0)+IFERROR(VLOOKUP(INDEX(' Toto teams'!$H$4:$H$119,MATCH($B4,' Toto teams'!$A$4:$A$119,0)),Scoring!$A$4:$N$51,4,FALSE()),0)+IFERROR(VLOOKUP(INDEX(' Toto teams'!$H$4:$H$119,MATCH($B4,' Toto teams'!$A$4:$A$119,0)),Scoring!$A$4:$N$51,5,FALSE()),0))+IFERROR(INDEX(' Toto teams'!$Q$4:$Q$119,MATCH($B4,' Toto teams'!$A$4:$A$119,0))*1,0))</f>
        <v>11</v>
      </c>
      <c r="D4" s="28">
        <f>IF($B4="","",6*IFERROR(VLOOKUP(INDEX(' Toto teams'!$B$4:$B$119,MATCH($B4,' Toto teams'!$A$4:$A$119,0)),Scoring!$A$4:$N$51,7,FALSE()),0)+4*IFERROR(VLOOKUP(INDEX(' Toto teams'!$C$4:$C$119,MATCH($B4,' Toto teams'!$A$4:$A$119,0)),Scoring!$A$4:$N$51,7,FALSE()),0)+3*IFERROR(VLOOKUP(INDEX(' Toto teams'!$D$4:$D$119,MATCH($B4,' Toto teams'!$A$4:$A$119,0)),Scoring!$A$4:$N$51,7,FALSE()),0)+2*IFERROR(VLOOKUP(INDEX(' Toto teams'!$E$4:$E$119,MATCH($B4,' Toto teams'!$A$4:$A$119,0)),Scoring!$A$4:$N$51,7,FALSE()),0)+1*IFERROR(VLOOKUP(INDEX(' Toto teams'!$F$4:$F$119,MATCH($B4,' Toto teams'!$A$4:$A$119,0)),Scoring!$A$4:$N$51,7,FALSE()),0)+1*IFERROR(VLOOKUP(INDEX(' Toto teams'!$G$4:$G$119,MATCH($B4,' Toto teams'!$A$4:$A$119,0)),Scoring!$A$4:$N$51,7,FALSE()),0)+1*IFERROR(VLOOKUP(INDEX(' Toto teams'!$H$4:$H$119,MATCH($B4,' Toto teams'!$A$4:$A$119,0)),Scoring!$A$4:$N$51,7,FALSE()),0))</f>
        <v>0</v>
      </c>
      <c r="E4" s="28">
        <f>IF($B4="","",6*IFERROR(VLOOKUP(INDEX(' Toto teams'!$B$4:$B$119,MATCH($B4,' Toto teams'!$A$4:$A$119,0)),Scoring!$A$4:$N$51,8,FALSE()),0)+4*IFERROR(VLOOKUP(INDEX(' Toto teams'!$C$4:$C$119,MATCH($B4,' Toto teams'!$A$4:$A$119,0)),Scoring!$A$4:$N$51,8,FALSE()),0)+3*IFERROR(VLOOKUP(INDEX(' Toto teams'!$D$4:$D$119,MATCH($B4,' Toto teams'!$A$4:$A$119,0)),Scoring!$A$4:$N$51,8,FALSE()),0)+2*IFERROR(VLOOKUP(INDEX(' Toto teams'!$E$4:$E$119,MATCH($B4,' Toto teams'!$A$4:$A$119,0)),Scoring!$A$4:$N$51,8,FALSE()),0)+1*IFERROR(VLOOKUP(INDEX(' Toto teams'!$F$4:$F$119,MATCH($B4,' Toto teams'!$A$4:$A$119,0)),Scoring!$A$4:$N$51,8,FALSE()),0)+1*IFERROR(VLOOKUP(INDEX(' Toto teams'!$G$4:$G$119,MATCH($B4,' Toto teams'!$A$4:$A$119,0)),Scoring!$A$4:$N$51,8,FALSE()),0)+1*IFERROR(VLOOKUP(INDEX(' Toto teams'!$H$4:$H$119,MATCH($B4,' Toto teams'!$A$4:$A$119,0)),Scoring!$A$4:$N$51,8,FALSE()),0))</f>
        <v>0</v>
      </c>
      <c r="F4" s="28">
        <f>IF($B4="","",6*IFERROR(VLOOKUP(INDEX(' Toto teams'!$B$4:$B$119,MATCH($B4,' Toto teams'!$A$4:$A$119,0)),Scoring!$A$4:$N$51,9,FALSE()),0)+4*IFERROR(VLOOKUP(INDEX(' Toto teams'!$C$4:$C$119,MATCH($B4,' Toto teams'!$A$4:$A$119,0)),Scoring!$A$4:$N$51,9,FALSE()),0)+3*IFERROR(VLOOKUP(INDEX(' Toto teams'!$D$4:$D$119,MATCH($B4,' Toto teams'!$A$4:$A$119,0)),Scoring!$A$4:$N$51,9,FALSE()),0)+2*IFERROR(VLOOKUP(INDEX(' Toto teams'!$E$4:$E$119,MATCH($B4,' Toto teams'!$A$4:$A$119,0)),Scoring!$A$4:$N$51,9,FALSE()),0)+1*IFERROR(VLOOKUP(INDEX(' Toto teams'!$F$4:$F$119,MATCH($B4,' Toto teams'!$A$4:$A$119,0)),Scoring!$A$4:$N$51,9,FALSE()),0)+1*IFERROR(VLOOKUP(INDEX(' Toto teams'!$G$4:$G$119,MATCH($B4,' Toto teams'!$A$4:$A$119,0)),Scoring!$A$4:$N$51,9,FALSE()),0)+1*IFERROR(VLOOKUP(INDEX(' Toto teams'!$H$4:$H$119,MATCH($B4,' Toto teams'!$A$4:$A$119,0)),Scoring!$A$4:$N$51,9,FALSE()),0))</f>
        <v>0</v>
      </c>
      <c r="G4" s="28">
        <f>IF($B4="","",6*IFERROR(VLOOKUP(INDEX(' Toto teams'!$B$4:$B$119,MATCH($B4,' Toto teams'!$A$4:$A$119,0)),Scoring!$A$4:$N$51,10,FALSE()),0)+4*IFERROR(VLOOKUP(INDEX(' Toto teams'!$C$4:$C$119,MATCH($B4,' Toto teams'!$A$4:$A$119,0)),Scoring!$A$4:$N$51,10,FALSE()),0)+3*IFERROR(VLOOKUP(INDEX(' Toto teams'!$D$4:$D$119,MATCH($B4,' Toto teams'!$A$4:$A$119,0)),Scoring!$A$4:$N$51,10,FALSE()),0)+2*IFERROR(VLOOKUP(INDEX(' Toto teams'!$E$4:$E$119,MATCH($B4,' Toto teams'!$A$4:$A$119,0)),Scoring!$A$4:$N$51,10,FALSE()),0)+1*IFERROR(VLOOKUP(INDEX(' Toto teams'!$F$4:$F$119,MATCH($B4,' Toto teams'!$A$4:$A$119,0)),Scoring!$A$4:$N$51,10,FALSE()),0)+1*IFERROR(VLOOKUP(INDEX(' Toto teams'!$G$4:$G$119,MATCH($B4,' Toto teams'!$A$4:$A$119,0)),Scoring!$A$4:$N$51,10,FALSE()),0)+1*IFERROR(VLOOKUP(INDEX(' Toto teams'!$H$4:$H$119,MATCH($B4,' Toto teams'!$A$4:$A$119,0)),Scoring!$A$4:$N$51,10,FALSE()),0))</f>
        <v>0</v>
      </c>
      <c r="H4" s="28">
        <f>IF($B4="","",6*IFERROR(VLOOKUP(INDEX(' Toto teams'!$B$4:$B$119,MATCH($B4,' Toto teams'!$A$4:$A$119,0)),Scoring!$A$4:$N$51,11,FALSE()),0)+4*IFERROR(VLOOKUP(INDEX(' Toto teams'!$C$4:$C$119,MATCH($B4,' Toto teams'!$A$4:$A$119,0)),Scoring!$A$4:$N$51,11,FALSE()),0)+3*IFERROR(VLOOKUP(INDEX(' Toto teams'!$D$4:$D$119,MATCH($B4,' Toto teams'!$A$4:$A$119,0)),Scoring!$A$4:$N$51,11,FALSE()),0)+2*IFERROR(VLOOKUP(INDEX(' Toto teams'!$E$4:$E$119,MATCH($B4,' Toto teams'!$A$4:$A$119,0)),Scoring!$A$4:$N$51,11,FALSE()),0)+1*IFERROR(VLOOKUP(INDEX(' Toto teams'!$F$4:$F$119,MATCH($B4,' Toto teams'!$A$4:$A$119,0)),Scoring!$A$4:$N$51,11,FALSE()),0)+1*IFERROR(VLOOKUP(INDEX(' Toto teams'!$G$4:$G$119,MATCH($B4,' Toto teams'!$A$4:$A$119,0)),Scoring!$A$4:$N$51,11,FALSE()),0)+1*IFERROR(VLOOKUP(INDEX(' Toto teams'!$H$4:$H$119,MATCH($B4,' Toto teams'!$A$4:$A$119,0)),Scoring!$A$4:$N$51,11,FALSE()),0))</f>
        <v>0</v>
      </c>
      <c r="I4" s="28">
        <f>IF($B4="","",6*IFERROR(VLOOKUP(INDEX(' Toto teams'!$B$4:$B$119,MATCH($B4,' Toto teams'!$A$4:$A$119,0)),Scoring!$A$4:$O$51,15,FALSE()),0)+4*IFERROR(VLOOKUP(INDEX(' Toto teams'!$C$4:$C$119,MATCH($B4,' Toto teams'!$A$4:$A$119,0)),Scoring!$A$4:$O$51,15,FALSE()),0)+3*IFERROR(VLOOKUP(INDEX(' Toto teams'!$D$4:$D$119,MATCH($B4,' Toto teams'!$A$4:$A$119,0)),Scoring!$A$4:$O$51,15,FALSE()),0)+2*IFERROR(VLOOKUP(INDEX(' Toto teams'!$E$4:$E$119,MATCH($B4,' Toto teams'!$A$4:$A$119,0)),Scoring!$A$4:$O$51,15,FALSE()),0)+1*IFERROR(VLOOKUP(INDEX(' Toto teams'!$F$4:$F$119,MATCH($B4,' Toto teams'!$A$4:$A$119,0)),Scoring!$A$4:$O$51,15,FALSE()),0)+1*IFERROR(VLOOKUP(INDEX(' Toto teams'!$G$4:$G$119,MATCH($B4,' Toto teams'!$A$4:$A$119,0)),Scoring!$A$4:$O$51,15,FALSE()),0)+1*IFERROR(VLOOKUP(INDEX(' Toto teams'!$H$4:$H$119,MATCH($B4,' Toto teams'!$A$4:$A$119,0)),Scoring!$A$4:$O$51,15,FALSE()),0))</f>
        <v>0</v>
      </c>
      <c r="J4" s="28">
        <f>IF($B4="","",6*IFERROR(VLOOKUP(INDEX(' Toto teams'!$B$4:$B$119,MATCH($B4,' Toto teams'!$A$4:$A$119,0)),Scoring!$A$4:$N$51,12,FALSE()),0)+4*IFERROR(VLOOKUP(INDEX(' Toto teams'!$C$4:$C$119,MATCH($B4,' Toto teams'!$A$4:$A$119,0)),Scoring!$A$4:$N$51,12,FALSE()),0)+3*IFERROR(VLOOKUP(INDEX(' Toto teams'!$D$4:$D$119,MATCH($B4,' Toto teams'!$A$4:$A$119,0)),Scoring!$A$4:$N$51,12,FALSE()),0)+2*IFERROR(VLOOKUP(INDEX(' Toto teams'!$E$4:$E$119,MATCH($B4,' Toto teams'!$A$4:$A$119,0)),Scoring!$A$4:$N$51,12,FALSE()),0)+1*IFERROR(VLOOKUP(INDEX(' Toto teams'!$F$4:$F$119,MATCH($B4,' Toto teams'!$A$4:$A$119,0)),Scoring!$A$4:$N$51,12,FALSE()),0)+1*IFERROR(VLOOKUP(INDEX(' Toto teams'!$G$4:$G$119,MATCH($B4,' Toto teams'!$A$4:$A$119,0)),Scoring!$A$4:$N$51,12,FALSE()),0)+1*IFERROR(VLOOKUP(INDEX(' Toto teams'!$H$4:$H$119,MATCH($B4,' Toto teams'!$A$4:$A$119,0)),Scoring!$A$4:$N$51,12,FALSE()),0))</f>
        <v>0</v>
      </c>
      <c r="K4" s="29">
        <f>IF($B4="","",IFERROR(INDEX(' Toto teams'!$R$4:$R$119,MATCH($B4,' Toto teams'!$A$4:$A$119,0)),""))</f>
        <v>11</v>
      </c>
      <c r="L4" s="30">
        <f t="shared" ref="L4:L35" si="0">IFERROR(IF(B4="","",VLOOKUP(A4,$N$4:$R$12,5,FALSE())),0)</f>
        <v>1575</v>
      </c>
      <c r="N4" s="31">
        <v>1</v>
      </c>
      <c r="O4" s="32">
        <v>0.5</v>
      </c>
      <c r="P4" s="33">
        <f t="shared" ref="P4:P12" si="1">$O$15*O4</f>
        <v>1575</v>
      </c>
      <c r="Q4" s="31">
        <f t="shared" ref="Q4:Q12" si="2">COUNTIF($A$4:$A$119,N4)</f>
        <v>1</v>
      </c>
      <c r="R4" s="34">
        <f t="shared" ref="R4:R12" si="3">IF(Q4=0,0,SUMPRODUCT(($N$4:$N$12&gt;=N4)*($N$4:$N$12&lt;=N4+Q4-1)*$P$4:$P$12)/Q4)</f>
        <v>1575</v>
      </c>
    </row>
    <row r="5" spans="1:18" ht="12.75" customHeight="1" x14ac:dyDescent="0.3">
      <c r="A5" s="26">
        <f>IF(2&gt;COUNTIF(' Toto teams'!$A$4:$A$119,"&lt;&gt;"),"",INDEX(' Toto teams'!$S$4:$S$119,MATCH(LARGE(' Toto teams'!$T$4:$T$119,2),' Toto teams'!$T$4:$T$119,0)))</f>
        <v>2</v>
      </c>
      <c r="B5" s="27" t="str">
        <f>IF(2&gt;COUNTIF(' Toto teams'!$A$4:$A$119,"&lt;&gt;"),"",INDEX(' Toto teams'!$A$4:$A$119,MATCH(LARGE(' Toto teams'!$T$4:$T$119,2),' Toto teams'!$T$4:$T$119,0)))</f>
        <v>Todor Velikov</v>
      </c>
      <c r="C5" s="28">
        <f>IF($B5="","",6*(IFERROR(VLOOKUP(INDEX(' Toto teams'!$B$4:$B$119,MATCH($B5,' Toto teams'!$A$4:$A$119,0)),Scoring!$A$4:$N$51,3,FALSE()),0)+IFERROR(VLOOKUP(INDEX(' Toto teams'!$B$4:$B$119,MATCH($B5,' Toto teams'!$A$4:$A$119,0)),Scoring!$A$4:$N$51,4,FALSE()),0)+IFERROR(VLOOKUP(INDEX(' Toto teams'!$B$4:$B$119,MATCH($B5,' Toto teams'!$A$4:$A$119,0)),Scoring!$A$4:$N$51,5,FALSE()),0))+4*(IFERROR(VLOOKUP(INDEX(' Toto teams'!$C$4:$C$119,MATCH($B5,' Toto teams'!$A$4:$A$119,0)),Scoring!$A$4:$N$51,3,FALSE()),0)+IFERROR(VLOOKUP(INDEX(' Toto teams'!$C$4:$C$119,MATCH($B5,' Toto teams'!$A$4:$A$119,0)),Scoring!$A$4:$N$51,4,FALSE()),0)+IFERROR(VLOOKUP(INDEX(' Toto teams'!$C$4:$C$119,MATCH($B5,' Toto teams'!$A$4:$A$119,0)),Scoring!$A$4:$N$51,5,FALSE()),0))+3*(IFERROR(VLOOKUP(INDEX(' Toto teams'!$D$4:$D$119,MATCH($B5,' Toto teams'!$A$4:$A$119,0)),Scoring!$A$4:$N$51,3,FALSE()),0)+IFERROR(VLOOKUP(INDEX(' Toto teams'!$D$4:$D$119,MATCH($B5,' Toto teams'!$A$4:$A$119,0)),Scoring!$A$4:$N$51,4,FALSE()),0)+IFERROR(VLOOKUP(INDEX(' Toto teams'!$D$4:$D$119,MATCH($B5,' Toto teams'!$A$4:$A$119,0)),Scoring!$A$4:$N$51,5,FALSE()),0))+2*(IFERROR(VLOOKUP(INDEX(' Toto teams'!$E$4:$E$119,MATCH($B5,' Toto teams'!$A$4:$A$119,0)),Scoring!$A$4:$N$51,3,FALSE()),0)+IFERROR(VLOOKUP(INDEX(' Toto teams'!$E$4:$E$119,MATCH($B5,' Toto teams'!$A$4:$A$119,0)),Scoring!$A$4:$N$51,4,FALSE()),0)+IFERROR(VLOOKUP(INDEX(' Toto teams'!$E$4:$E$119,MATCH($B5,' Toto teams'!$A$4:$A$119,0)),Scoring!$A$4:$N$51,5,FALSE()),0))+1*(IFERROR(VLOOKUP(INDEX(' Toto teams'!$F$4:$F$119,MATCH($B5,' Toto teams'!$A$4:$A$119,0)),Scoring!$A$4:$N$51,3,FALSE()),0)+IFERROR(VLOOKUP(INDEX(' Toto teams'!$F$4:$F$119,MATCH($B5,' Toto teams'!$A$4:$A$119,0)),Scoring!$A$4:$N$51,4,FALSE()),0)+IFERROR(VLOOKUP(INDEX(' Toto teams'!$F$4:$F$119,MATCH($B5,' Toto teams'!$A$4:$A$119,0)),Scoring!$A$4:$N$51,5,FALSE()),0))+1*(IFERROR(VLOOKUP(INDEX(' Toto teams'!$G$4:$G$119,MATCH($B5,' Toto teams'!$A$4:$A$119,0)),Scoring!$A$4:$N$51,3,FALSE()),0)+IFERROR(VLOOKUP(INDEX(' Toto teams'!$G$4:$G$119,MATCH($B5,' Toto teams'!$A$4:$A$119,0)),Scoring!$A$4:$N$51,4,FALSE()),0)+IFERROR(VLOOKUP(INDEX(' Toto teams'!$G$4:$G$119,MATCH($B5,' Toto teams'!$A$4:$A$119,0)),Scoring!$A$4:$N$51,5,FALSE()),0))+1*(IFERROR(VLOOKUP(INDEX(' Toto teams'!$H$4:$H$119,MATCH($B5,' Toto teams'!$A$4:$A$119,0)),Scoring!$A$4:$N$51,3,FALSE()),0)+IFERROR(VLOOKUP(INDEX(' Toto teams'!$H$4:$H$119,MATCH($B5,' Toto teams'!$A$4:$A$119,0)),Scoring!$A$4:$N$51,4,FALSE()),0)+IFERROR(VLOOKUP(INDEX(' Toto teams'!$H$4:$H$119,MATCH($B5,' Toto teams'!$A$4:$A$119,0)),Scoring!$A$4:$N$51,5,FALSE()),0))+IFERROR(INDEX(' Toto teams'!$Q$4:$Q$119,MATCH($B5,' Toto teams'!$A$4:$A$119,0))*1,0))</f>
        <v>5</v>
      </c>
      <c r="D5" s="28">
        <f>IF($B5="","",6*IFERROR(VLOOKUP(INDEX(' Toto teams'!$B$4:$B$119,MATCH($B5,' Toto teams'!$A$4:$A$119,0)),Scoring!$A$4:$N$51,7,FALSE()),0)+4*IFERROR(VLOOKUP(INDEX(' Toto teams'!$C$4:$C$119,MATCH($B5,' Toto teams'!$A$4:$A$119,0)),Scoring!$A$4:$N$51,7,FALSE()),0)+3*IFERROR(VLOOKUP(INDEX(' Toto teams'!$D$4:$D$119,MATCH($B5,' Toto teams'!$A$4:$A$119,0)),Scoring!$A$4:$N$51,7,FALSE()),0)+2*IFERROR(VLOOKUP(INDEX(' Toto teams'!$E$4:$E$119,MATCH($B5,' Toto teams'!$A$4:$A$119,0)),Scoring!$A$4:$N$51,7,FALSE()),0)+1*IFERROR(VLOOKUP(INDEX(' Toto teams'!$F$4:$F$119,MATCH($B5,' Toto teams'!$A$4:$A$119,0)),Scoring!$A$4:$N$51,7,FALSE()),0)+1*IFERROR(VLOOKUP(INDEX(' Toto teams'!$G$4:$G$119,MATCH($B5,' Toto teams'!$A$4:$A$119,0)),Scoring!$A$4:$N$51,7,FALSE()),0)+1*IFERROR(VLOOKUP(INDEX(' Toto teams'!$H$4:$H$119,MATCH($B5,' Toto teams'!$A$4:$A$119,0)),Scoring!$A$4:$N$51,7,FALSE()),0))</f>
        <v>0</v>
      </c>
      <c r="E5" s="28">
        <f>IF($B5="","",6*IFERROR(VLOOKUP(INDEX(' Toto teams'!$B$4:$B$119,MATCH($B5,' Toto teams'!$A$4:$A$119,0)),Scoring!$A$4:$N$51,8,FALSE()),0)+4*IFERROR(VLOOKUP(INDEX(' Toto teams'!$C$4:$C$119,MATCH($B5,' Toto teams'!$A$4:$A$119,0)),Scoring!$A$4:$N$51,8,FALSE()),0)+3*IFERROR(VLOOKUP(INDEX(' Toto teams'!$D$4:$D$119,MATCH($B5,' Toto teams'!$A$4:$A$119,0)),Scoring!$A$4:$N$51,8,FALSE()),0)+2*IFERROR(VLOOKUP(INDEX(' Toto teams'!$E$4:$E$119,MATCH($B5,' Toto teams'!$A$4:$A$119,0)),Scoring!$A$4:$N$51,8,FALSE()),0)+1*IFERROR(VLOOKUP(INDEX(' Toto teams'!$F$4:$F$119,MATCH($B5,' Toto teams'!$A$4:$A$119,0)),Scoring!$A$4:$N$51,8,FALSE()),0)+1*IFERROR(VLOOKUP(INDEX(' Toto teams'!$G$4:$G$119,MATCH($B5,' Toto teams'!$A$4:$A$119,0)),Scoring!$A$4:$N$51,8,FALSE()),0)+1*IFERROR(VLOOKUP(INDEX(' Toto teams'!$H$4:$H$119,MATCH($B5,' Toto teams'!$A$4:$A$119,0)),Scoring!$A$4:$N$51,8,FALSE()),0))</f>
        <v>0</v>
      </c>
      <c r="F5" s="28">
        <f>IF($B5="","",6*IFERROR(VLOOKUP(INDEX(' Toto teams'!$B$4:$B$119,MATCH($B5,' Toto teams'!$A$4:$A$119,0)),Scoring!$A$4:$N$51,9,FALSE()),0)+4*IFERROR(VLOOKUP(INDEX(' Toto teams'!$C$4:$C$119,MATCH($B5,' Toto teams'!$A$4:$A$119,0)),Scoring!$A$4:$N$51,9,FALSE()),0)+3*IFERROR(VLOOKUP(INDEX(' Toto teams'!$D$4:$D$119,MATCH($B5,' Toto teams'!$A$4:$A$119,0)),Scoring!$A$4:$N$51,9,FALSE()),0)+2*IFERROR(VLOOKUP(INDEX(' Toto teams'!$E$4:$E$119,MATCH($B5,' Toto teams'!$A$4:$A$119,0)),Scoring!$A$4:$N$51,9,FALSE()),0)+1*IFERROR(VLOOKUP(INDEX(' Toto teams'!$F$4:$F$119,MATCH($B5,' Toto teams'!$A$4:$A$119,0)),Scoring!$A$4:$N$51,9,FALSE()),0)+1*IFERROR(VLOOKUP(INDEX(' Toto teams'!$G$4:$G$119,MATCH($B5,' Toto teams'!$A$4:$A$119,0)),Scoring!$A$4:$N$51,9,FALSE()),0)+1*IFERROR(VLOOKUP(INDEX(' Toto teams'!$H$4:$H$119,MATCH($B5,' Toto teams'!$A$4:$A$119,0)),Scoring!$A$4:$N$51,9,FALSE()),0))</f>
        <v>0</v>
      </c>
      <c r="G5" s="28">
        <f>IF($B5="","",6*IFERROR(VLOOKUP(INDEX(' Toto teams'!$B$4:$B$119,MATCH($B5,' Toto teams'!$A$4:$A$119,0)),Scoring!$A$4:$N$51,10,FALSE()),0)+4*IFERROR(VLOOKUP(INDEX(' Toto teams'!$C$4:$C$119,MATCH($B5,' Toto teams'!$A$4:$A$119,0)),Scoring!$A$4:$N$51,10,FALSE()),0)+3*IFERROR(VLOOKUP(INDEX(' Toto teams'!$D$4:$D$119,MATCH($B5,' Toto teams'!$A$4:$A$119,0)),Scoring!$A$4:$N$51,10,FALSE()),0)+2*IFERROR(VLOOKUP(INDEX(' Toto teams'!$E$4:$E$119,MATCH($B5,' Toto teams'!$A$4:$A$119,0)),Scoring!$A$4:$N$51,10,FALSE()),0)+1*IFERROR(VLOOKUP(INDEX(' Toto teams'!$F$4:$F$119,MATCH($B5,' Toto teams'!$A$4:$A$119,0)),Scoring!$A$4:$N$51,10,FALSE()),0)+1*IFERROR(VLOOKUP(INDEX(' Toto teams'!$G$4:$G$119,MATCH($B5,' Toto teams'!$A$4:$A$119,0)),Scoring!$A$4:$N$51,10,FALSE()),0)+1*IFERROR(VLOOKUP(INDEX(' Toto teams'!$H$4:$H$119,MATCH($B5,' Toto teams'!$A$4:$A$119,0)),Scoring!$A$4:$N$51,10,FALSE()),0))</f>
        <v>0</v>
      </c>
      <c r="H5" s="28">
        <f>IF($B5="","",6*IFERROR(VLOOKUP(INDEX(' Toto teams'!$B$4:$B$119,MATCH($B5,' Toto teams'!$A$4:$A$119,0)),Scoring!$A$4:$N$51,11,FALSE()),0)+4*IFERROR(VLOOKUP(INDEX(' Toto teams'!$C$4:$C$119,MATCH($B5,' Toto teams'!$A$4:$A$119,0)),Scoring!$A$4:$N$51,11,FALSE()),0)+3*IFERROR(VLOOKUP(INDEX(' Toto teams'!$D$4:$D$119,MATCH($B5,' Toto teams'!$A$4:$A$119,0)),Scoring!$A$4:$N$51,11,FALSE()),0)+2*IFERROR(VLOOKUP(INDEX(' Toto teams'!$E$4:$E$119,MATCH($B5,' Toto teams'!$A$4:$A$119,0)),Scoring!$A$4:$N$51,11,FALSE()),0)+1*IFERROR(VLOOKUP(INDEX(' Toto teams'!$F$4:$F$119,MATCH($B5,' Toto teams'!$A$4:$A$119,0)),Scoring!$A$4:$N$51,11,FALSE()),0)+1*IFERROR(VLOOKUP(INDEX(' Toto teams'!$G$4:$G$119,MATCH($B5,' Toto teams'!$A$4:$A$119,0)),Scoring!$A$4:$N$51,11,FALSE()),0)+1*IFERROR(VLOOKUP(INDEX(' Toto teams'!$H$4:$H$119,MATCH($B5,' Toto teams'!$A$4:$A$119,0)),Scoring!$A$4:$N$51,11,FALSE()),0))</f>
        <v>0</v>
      </c>
      <c r="I5" s="28">
        <f>IF($B5="","",6*IFERROR(VLOOKUP(INDEX(' Toto teams'!$B$4:$B$119,MATCH($B5,' Toto teams'!$A$4:$A$119,0)),Scoring!$A$4:$O$51,15,FALSE()),0)+4*IFERROR(VLOOKUP(INDEX(' Toto teams'!$C$4:$C$119,MATCH($B5,' Toto teams'!$A$4:$A$119,0)),Scoring!$A$4:$O$51,15,FALSE()),0)+3*IFERROR(VLOOKUP(INDEX(' Toto teams'!$D$4:$D$119,MATCH($B5,' Toto teams'!$A$4:$A$119,0)),Scoring!$A$4:$O$51,15,FALSE()),0)+2*IFERROR(VLOOKUP(INDEX(' Toto teams'!$E$4:$E$119,MATCH($B5,' Toto teams'!$A$4:$A$119,0)),Scoring!$A$4:$O$51,15,FALSE()),0)+1*IFERROR(VLOOKUP(INDEX(' Toto teams'!$F$4:$F$119,MATCH($B5,' Toto teams'!$A$4:$A$119,0)),Scoring!$A$4:$O$51,15,FALSE()),0)+1*IFERROR(VLOOKUP(INDEX(' Toto teams'!$G$4:$G$119,MATCH($B5,' Toto teams'!$A$4:$A$119,0)),Scoring!$A$4:$O$51,15,FALSE()),0)+1*IFERROR(VLOOKUP(INDEX(' Toto teams'!$H$4:$H$119,MATCH($B5,' Toto teams'!$A$4:$A$119,0)),Scoring!$A$4:$O$51,15,FALSE()),0))</f>
        <v>0</v>
      </c>
      <c r="J5" s="28">
        <f>IF($B5="","",6*IFERROR(VLOOKUP(INDEX(' Toto teams'!$B$4:$B$119,MATCH($B5,' Toto teams'!$A$4:$A$119,0)),Scoring!$A$4:$N$51,12,FALSE()),0)+4*IFERROR(VLOOKUP(INDEX(' Toto teams'!$C$4:$C$119,MATCH($B5,' Toto teams'!$A$4:$A$119,0)),Scoring!$A$4:$N$51,12,FALSE()),0)+3*IFERROR(VLOOKUP(INDEX(' Toto teams'!$D$4:$D$119,MATCH($B5,' Toto teams'!$A$4:$A$119,0)),Scoring!$A$4:$N$51,12,FALSE()),0)+2*IFERROR(VLOOKUP(INDEX(' Toto teams'!$E$4:$E$119,MATCH($B5,' Toto teams'!$A$4:$A$119,0)),Scoring!$A$4:$N$51,12,FALSE()),0)+1*IFERROR(VLOOKUP(INDEX(' Toto teams'!$F$4:$F$119,MATCH($B5,' Toto teams'!$A$4:$A$119,0)),Scoring!$A$4:$N$51,12,FALSE()),0)+1*IFERROR(VLOOKUP(INDEX(' Toto teams'!$G$4:$G$119,MATCH($B5,' Toto teams'!$A$4:$A$119,0)),Scoring!$A$4:$N$51,12,FALSE()),0)+1*IFERROR(VLOOKUP(INDEX(' Toto teams'!$H$4:$H$119,MATCH($B5,' Toto teams'!$A$4:$A$119,0)),Scoring!$A$4:$N$51,12,FALSE()),0))</f>
        <v>0</v>
      </c>
      <c r="K5" s="29">
        <f>IF($B5="","",IFERROR(INDEX(' Toto teams'!$R$4:$R$119,MATCH($B5,' Toto teams'!$A$4:$A$119,0)),""))</f>
        <v>5</v>
      </c>
      <c r="L5" s="30">
        <f t="shared" si="0"/>
        <v>367.5</v>
      </c>
      <c r="N5" s="31">
        <v>2</v>
      </c>
      <c r="O5" s="32">
        <v>0.2</v>
      </c>
      <c r="P5" s="33">
        <f t="shared" si="1"/>
        <v>630</v>
      </c>
      <c r="Q5" s="31">
        <f t="shared" si="2"/>
        <v>3</v>
      </c>
      <c r="R5" s="34">
        <f t="shared" si="3"/>
        <v>367.5</v>
      </c>
    </row>
    <row r="6" spans="1:18" ht="12.75" customHeight="1" x14ac:dyDescent="0.3">
      <c r="A6" s="26">
        <f>IF(3&gt;COUNTIF(' Toto teams'!$A$4:$A$119,"&lt;&gt;"),"",INDEX(' Toto teams'!$S$4:$S$119,MATCH(LARGE(' Toto teams'!$T$4:$T$119,3),' Toto teams'!$T$4:$T$119,0)))</f>
        <v>2</v>
      </c>
      <c r="B6" s="27" t="str">
        <f>IF(3&gt;COUNTIF(' Toto teams'!$A$4:$A$119,"&lt;&gt;"),"",INDEX(' Toto teams'!$A$4:$A$119,MATCH(LARGE(' Toto teams'!$T$4:$T$119,3),' Toto teams'!$T$4:$T$119,0)))</f>
        <v>Tomas Bruzga</v>
      </c>
      <c r="C6" s="28">
        <f>IF($B6="","",6*(IFERROR(VLOOKUP(INDEX(' Toto teams'!$B$4:$B$119,MATCH($B6,' Toto teams'!$A$4:$A$119,0)),Scoring!$A$4:$N$51,3,FALSE()),0)+IFERROR(VLOOKUP(INDEX(' Toto teams'!$B$4:$B$119,MATCH($B6,' Toto teams'!$A$4:$A$119,0)),Scoring!$A$4:$N$51,4,FALSE()),0)+IFERROR(VLOOKUP(INDEX(' Toto teams'!$B$4:$B$119,MATCH($B6,' Toto teams'!$A$4:$A$119,0)),Scoring!$A$4:$N$51,5,FALSE()),0))+4*(IFERROR(VLOOKUP(INDEX(' Toto teams'!$C$4:$C$119,MATCH($B6,' Toto teams'!$A$4:$A$119,0)),Scoring!$A$4:$N$51,3,FALSE()),0)+IFERROR(VLOOKUP(INDEX(' Toto teams'!$C$4:$C$119,MATCH($B6,' Toto teams'!$A$4:$A$119,0)),Scoring!$A$4:$N$51,4,FALSE()),0)+IFERROR(VLOOKUP(INDEX(' Toto teams'!$C$4:$C$119,MATCH($B6,' Toto teams'!$A$4:$A$119,0)),Scoring!$A$4:$N$51,5,FALSE()),0))+3*(IFERROR(VLOOKUP(INDEX(' Toto teams'!$D$4:$D$119,MATCH($B6,' Toto teams'!$A$4:$A$119,0)),Scoring!$A$4:$N$51,3,FALSE()),0)+IFERROR(VLOOKUP(INDEX(' Toto teams'!$D$4:$D$119,MATCH($B6,' Toto teams'!$A$4:$A$119,0)),Scoring!$A$4:$N$51,4,FALSE()),0)+IFERROR(VLOOKUP(INDEX(' Toto teams'!$D$4:$D$119,MATCH($B6,' Toto teams'!$A$4:$A$119,0)),Scoring!$A$4:$N$51,5,FALSE()),0))+2*(IFERROR(VLOOKUP(INDEX(' Toto teams'!$E$4:$E$119,MATCH($B6,' Toto teams'!$A$4:$A$119,0)),Scoring!$A$4:$N$51,3,FALSE()),0)+IFERROR(VLOOKUP(INDEX(' Toto teams'!$E$4:$E$119,MATCH($B6,' Toto teams'!$A$4:$A$119,0)),Scoring!$A$4:$N$51,4,FALSE()),0)+IFERROR(VLOOKUP(INDEX(' Toto teams'!$E$4:$E$119,MATCH($B6,' Toto teams'!$A$4:$A$119,0)),Scoring!$A$4:$N$51,5,FALSE()),0))+1*(IFERROR(VLOOKUP(INDEX(' Toto teams'!$F$4:$F$119,MATCH($B6,' Toto teams'!$A$4:$A$119,0)),Scoring!$A$4:$N$51,3,FALSE()),0)+IFERROR(VLOOKUP(INDEX(' Toto teams'!$F$4:$F$119,MATCH($B6,' Toto teams'!$A$4:$A$119,0)),Scoring!$A$4:$N$51,4,FALSE()),0)+IFERROR(VLOOKUP(INDEX(' Toto teams'!$F$4:$F$119,MATCH($B6,' Toto teams'!$A$4:$A$119,0)),Scoring!$A$4:$N$51,5,FALSE()),0))+1*(IFERROR(VLOOKUP(INDEX(' Toto teams'!$G$4:$G$119,MATCH($B6,' Toto teams'!$A$4:$A$119,0)),Scoring!$A$4:$N$51,3,FALSE()),0)+IFERROR(VLOOKUP(INDEX(' Toto teams'!$G$4:$G$119,MATCH($B6,' Toto teams'!$A$4:$A$119,0)),Scoring!$A$4:$N$51,4,FALSE()),0)+IFERROR(VLOOKUP(INDEX(' Toto teams'!$G$4:$G$119,MATCH($B6,' Toto teams'!$A$4:$A$119,0)),Scoring!$A$4:$N$51,5,FALSE()),0))+1*(IFERROR(VLOOKUP(INDEX(' Toto teams'!$H$4:$H$119,MATCH($B6,' Toto teams'!$A$4:$A$119,0)),Scoring!$A$4:$N$51,3,FALSE()),0)+IFERROR(VLOOKUP(INDEX(' Toto teams'!$H$4:$H$119,MATCH($B6,' Toto teams'!$A$4:$A$119,0)),Scoring!$A$4:$N$51,4,FALSE()),0)+IFERROR(VLOOKUP(INDEX(' Toto teams'!$H$4:$H$119,MATCH($B6,' Toto teams'!$A$4:$A$119,0)),Scoring!$A$4:$N$51,5,FALSE()),0))+IFERROR(INDEX(' Toto teams'!$Q$4:$Q$119,MATCH($B6,' Toto teams'!$A$4:$A$119,0))*1,0))</f>
        <v>5</v>
      </c>
      <c r="D6" s="28">
        <f>IF($B6="","",6*IFERROR(VLOOKUP(INDEX(' Toto teams'!$B$4:$B$119,MATCH($B6,' Toto teams'!$A$4:$A$119,0)),Scoring!$A$4:$N$51,7,FALSE()),0)+4*IFERROR(VLOOKUP(INDEX(' Toto teams'!$C$4:$C$119,MATCH($B6,' Toto teams'!$A$4:$A$119,0)),Scoring!$A$4:$N$51,7,FALSE()),0)+3*IFERROR(VLOOKUP(INDEX(' Toto teams'!$D$4:$D$119,MATCH($B6,' Toto teams'!$A$4:$A$119,0)),Scoring!$A$4:$N$51,7,FALSE()),0)+2*IFERROR(VLOOKUP(INDEX(' Toto teams'!$E$4:$E$119,MATCH($B6,' Toto teams'!$A$4:$A$119,0)),Scoring!$A$4:$N$51,7,FALSE()),0)+1*IFERROR(VLOOKUP(INDEX(' Toto teams'!$F$4:$F$119,MATCH($B6,' Toto teams'!$A$4:$A$119,0)),Scoring!$A$4:$N$51,7,FALSE()),0)+1*IFERROR(VLOOKUP(INDEX(' Toto teams'!$G$4:$G$119,MATCH($B6,' Toto teams'!$A$4:$A$119,0)),Scoring!$A$4:$N$51,7,FALSE()),0)+1*IFERROR(VLOOKUP(INDEX(' Toto teams'!$H$4:$H$119,MATCH($B6,' Toto teams'!$A$4:$A$119,0)),Scoring!$A$4:$N$51,7,FALSE()),0))</f>
        <v>0</v>
      </c>
      <c r="E6" s="28">
        <f>IF($B6="","",6*IFERROR(VLOOKUP(INDEX(' Toto teams'!$B$4:$B$119,MATCH($B6,' Toto teams'!$A$4:$A$119,0)),Scoring!$A$4:$N$51,8,FALSE()),0)+4*IFERROR(VLOOKUP(INDEX(' Toto teams'!$C$4:$C$119,MATCH($B6,' Toto teams'!$A$4:$A$119,0)),Scoring!$A$4:$N$51,8,FALSE()),0)+3*IFERROR(VLOOKUP(INDEX(' Toto teams'!$D$4:$D$119,MATCH($B6,' Toto teams'!$A$4:$A$119,0)),Scoring!$A$4:$N$51,8,FALSE()),0)+2*IFERROR(VLOOKUP(INDEX(' Toto teams'!$E$4:$E$119,MATCH($B6,' Toto teams'!$A$4:$A$119,0)),Scoring!$A$4:$N$51,8,FALSE()),0)+1*IFERROR(VLOOKUP(INDEX(' Toto teams'!$F$4:$F$119,MATCH($B6,' Toto teams'!$A$4:$A$119,0)),Scoring!$A$4:$N$51,8,FALSE()),0)+1*IFERROR(VLOOKUP(INDEX(' Toto teams'!$G$4:$G$119,MATCH($B6,' Toto teams'!$A$4:$A$119,0)),Scoring!$A$4:$N$51,8,FALSE()),0)+1*IFERROR(VLOOKUP(INDEX(' Toto teams'!$H$4:$H$119,MATCH($B6,' Toto teams'!$A$4:$A$119,0)),Scoring!$A$4:$N$51,8,FALSE()),0))</f>
        <v>0</v>
      </c>
      <c r="F6" s="28">
        <f>IF($B6="","",6*IFERROR(VLOOKUP(INDEX(' Toto teams'!$B$4:$B$119,MATCH($B6,' Toto teams'!$A$4:$A$119,0)),Scoring!$A$4:$N$51,9,FALSE()),0)+4*IFERROR(VLOOKUP(INDEX(' Toto teams'!$C$4:$C$119,MATCH($B6,' Toto teams'!$A$4:$A$119,0)),Scoring!$A$4:$N$51,9,FALSE()),0)+3*IFERROR(VLOOKUP(INDEX(' Toto teams'!$D$4:$D$119,MATCH($B6,' Toto teams'!$A$4:$A$119,0)),Scoring!$A$4:$N$51,9,FALSE()),0)+2*IFERROR(VLOOKUP(INDEX(' Toto teams'!$E$4:$E$119,MATCH($B6,' Toto teams'!$A$4:$A$119,0)),Scoring!$A$4:$N$51,9,FALSE()),0)+1*IFERROR(VLOOKUP(INDEX(' Toto teams'!$F$4:$F$119,MATCH($B6,' Toto teams'!$A$4:$A$119,0)),Scoring!$A$4:$N$51,9,FALSE()),0)+1*IFERROR(VLOOKUP(INDEX(' Toto teams'!$G$4:$G$119,MATCH($B6,' Toto teams'!$A$4:$A$119,0)),Scoring!$A$4:$N$51,9,FALSE()),0)+1*IFERROR(VLOOKUP(INDEX(' Toto teams'!$H$4:$H$119,MATCH($B6,' Toto teams'!$A$4:$A$119,0)),Scoring!$A$4:$N$51,9,FALSE()),0))</f>
        <v>0</v>
      </c>
      <c r="G6" s="28">
        <f>IF($B6="","",6*IFERROR(VLOOKUP(INDEX(' Toto teams'!$B$4:$B$119,MATCH($B6,' Toto teams'!$A$4:$A$119,0)),Scoring!$A$4:$N$51,10,FALSE()),0)+4*IFERROR(VLOOKUP(INDEX(' Toto teams'!$C$4:$C$119,MATCH($B6,' Toto teams'!$A$4:$A$119,0)),Scoring!$A$4:$N$51,10,FALSE()),0)+3*IFERROR(VLOOKUP(INDEX(' Toto teams'!$D$4:$D$119,MATCH($B6,' Toto teams'!$A$4:$A$119,0)),Scoring!$A$4:$N$51,10,FALSE()),0)+2*IFERROR(VLOOKUP(INDEX(' Toto teams'!$E$4:$E$119,MATCH($B6,' Toto teams'!$A$4:$A$119,0)),Scoring!$A$4:$N$51,10,FALSE()),0)+1*IFERROR(VLOOKUP(INDEX(' Toto teams'!$F$4:$F$119,MATCH($B6,' Toto teams'!$A$4:$A$119,0)),Scoring!$A$4:$N$51,10,FALSE()),0)+1*IFERROR(VLOOKUP(INDEX(' Toto teams'!$G$4:$G$119,MATCH($B6,' Toto teams'!$A$4:$A$119,0)),Scoring!$A$4:$N$51,10,FALSE()),0)+1*IFERROR(VLOOKUP(INDEX(' Toto teams'!$H$4:$H$119,MATCH($B6,' Toto teams'!$A$4:$A$119,0)),Scoring!$A$4:$N$51,10,FALSE()),0))</f>
        <v>0</v>
      </c>
      <c r="H6" s="28">
        <f>IF($B6="","",6*IFERROR(VLOOKUP(INDEX(' Toto teams'!$B$4:$B$119,MATCH($B6,' Toto teams'!$A$4:$A$119,0)),Scoring!$A$4:$N$51,11,FALSE()),0)+4*IFERROR(VLOOKUP(INDEX(' Toto teams'!$C$4:$C$119,MATCH($B6,' Toto teams'!$A$4:$A$119,0)),Scoring!$A$4:$N$51,11,FALSE()),0)+3*IFERROR(VLOOKUP(INDEX(' Toto teams'!$D$4:$D$119,MATCH($B6,' Toto teams'!$A$4:$A$119,0)),Scoring!$A$4:$N$51,11,FALSE()),0)+2*IFERROR(VLOOKUP(INDEX(' Toto teams'!$E$4:$E$119,MATCH($B6,' Toto teams'!$A$4:$A$119,0)),Scoring!$A$4:$N$51,11,FALSE()),0)+1*IFERROR(VLOOKUP(INDEX(' Toto teams'!$F$4:$F$119,MATCH($B6,' Toto teams'!$A$4:$A$119,0)),Scoring!$A$4:$N$51,11,FALSE()),0)+1*IFERROR(VLOOKUP(INDEX(' Toto teams'!$G$4:$G$119,MATCH($B6,' Toto teams'!$A$4:$A$119,0)),Scoring!$A$4:$N$51,11,FALSE()),0)+1*IFERROR(VLOOKUP(INDEX(' Toto teams'!$H$4:$H$119,MATCH($B6,' Toto teams'!$A$4:$A$119,0)),Scoring!$A$4:$N$51,11,FALSE()),0))</f>
        <v>0</v>
      </c>
      <c r="I6" s="28">
        <f>IF($B6="","",6*IFERROR(VLOOKUP(INDEX(' Toto teams'!$B$4:$B$119,MATCH($B6,' Toto teams'!$A$4:$A$119,0)),Scoring!$A$4:$O$51,15,FALSE()),0)+4*IFERROR(VLOOKUP(INDEX(' Toto teams'!$C$4:$C$119,MATCH($B6,' Toto teams'!$A$4:$A$119,0)),Scoring!$A$4:$O$51,15,FALSE()),0)+3*IFERROR(VLOOKUP(INDEX(' Toto teams'!$D$4:$D$119,MATCH($B6,' Toto teams'!$A$4:$A$119,0)),Scoring!$A$4:$O$51,15,FALSE()),0)+2*IFERROR(VLOOKUP(INDEX(' Toto teams'!$E$4:$E$119,MATCH($B6,' Toto teams'!$A$4:$A$119,0)),Scoring!$A$4:$O$51,15,FALSE()),0)+1*IFERROR(VLOOKUP(INDEX(' Toto teams'!$F$4:$F$119,MATCH($B6,' Toto teams'!$A$4:$A$119,0)),Scoring!$A$4:$O$51,15,FALSE()),0)+1*IFERROR(VLOOKUP(INDEX(' Toto teams'!$G$4:$G$119,MATCH($B6,' Toto teams'!$A$4:$A$119,0)),Scoring!$A$4:$O$51,15,FALSE()),0)+1*IFERROR(VLOOKUP(INDEX(' Toto teams'!$H$4:$H$119,MATCH($B6,' Toto teams'!$A$4:$A$119,0)),Scoring!$A$4:$O$51,15,FALSE()),0))</f>
        <v>0</v>
      </c>
      <c r="J6" s="28">
        <f>IF($B6="","",6*IFERROR(VLOOKUP(INDEX(' Toto teams'!$B$4:$B$119,MATCH($B6,' Toto teams'!$A$4:$A$119,0)),Scoring!$A$4:$N$51,12,FALSE()),0)+4*IFERROR(VLOOKUP(INDEX(' Toto teams'!$C$4:$C$119,MATCH($B6,' Toto teams'!$A$4:$A$119,0)),Scoring!$A$4:$N$51,12,FALSE()),0)+3*IFERROR(VLOOKUP(INDEX(' Toto teams'!$D$4:$D$119,MATCH($B6,' Toto teams'!$A$4:$A$119,0)),Scoring!$A$4:$N$51,12,FALSE()),0)+2*IFERROR(VLOOKUP(INDEX(' Toto teams'!$E$4:$E$119,MATCH($B6,' Toto teams'!$A$4:$A$119,0)),Scoring!$A$4:$N$51,12,FALSE()),0)+1*IFERROR(VLOOKUP(INDEX(' Toto teams'!$F$4:$F$119,MATCH($B6,' Toto teams'!$A$4:$A$119,0)),Scoring!$A$4:$N$51,12,FALSE()),0)+1*IFERROR(VLOOKUP(INDEX(' Toto teams'!$G$4:$G$119,MATCH($B6,' Toto teams'!$A$4:$A$119,0)),Scoring!$A$4:$N$51,12,FALSE()),0)+1*IFERROR(VLOOKUP(INDEX(' Toto teams'!$H$4:$H$119,MATCH($B6,' Toto teams'!$A$4:$A$119,0)),Scoring!$A$4:$N$51,12,FALSE()),0))</f>
        <v>0</v>
      </c>
      <c r="K6" s="29">
        <f>IF($B6="","",IFERROR(INDEX(' Toto teams'!$R$4:$R$119,MATCH($B6,' Toto teams'!$A$4:$A$119,0)),""))</f>
        <v>5</v>
      </c>
      <c r="L6" s="30">
        <f t="shared" si="0"/>
        <v>367.5</v>
      </c>
      <c r="N6" s="31">
        <v>3</v>
      </c>
      <c r="O6" s="32">
        <v>0.1</v>
      </c>
      <c r="P6" s="33">
        <f t="shared" si="1"/>
        <v>315</v>
      </c>
      <c r="Q6" s="31">
        <f t="shared" si="2"/>
        <v>0</v>
      </c>
      <c r="R6" s="34">
        <f t="shared" si="3"/>
        <v>0</v>
      </c>
    </row>
    <row r="7" spans="1:18" ht="12.75" customHeight="1" x14ac:dyDescent="0.3">
      <c r="A7" s="26">
        <f>IF(4&gt;COUNTIF(' Toto teams'!$A$4:$A$119,"&lt;&gt;"),"",INDEX(' Toto teams'!$S$4:$S$119,MATCH(LARGE(' Toto teams'!$T$4:$T$119,4),' Toto teams'!$T$4:$T$119,0)))</f>
        <v>2</v>
      </c>
      <c r="B7" s="27" t="str">
        <f>IF(4&gt;COUNTIF(' Toto teams'!$A$4:$A$119,"&lt;&gt;"),"",INDEX(' Toto teams'!$A$4:$A$119,MATCH(LARGE(' Toto teams'!$T$4:$T$119,4),' Toto teams'!$T$4:$T$119,0)))</f>
        <v>Arnoldas Molis</v>
      </c>
      <c r="C7" s="28">
        <f>IF($B7="","",6*(IFERROR(VLOOKUP(INDEX(' Toto teams'!$B$4:$B$119,MATCH($B7,' Toto teams'!$A$4:$A$119,0)),Scoring!$A$4:$N$51,3,FALSE()),0)+IFERROR(VLOOKUP(INDEX(' Toto teams'!$B$4:$B$119,MATCH($B7,' Toto teams'!$A$4:$A$119,0)),Scoring!$A$4:$N$51,4,FALSE()),0)+IFERROR(VLOOKUP(INDEX(' Toto teams'!$B$4:$B$119,MATCH($B7,' Toto teams'!$A$4:$A$119,0)),Scoring!$A$4:$N$51,5,FALSE()),0))+4*(IFERROR(VLOOKUP(INDEX(' Toto teams'!$C$4:$C$119,MATCH($B7,' Toto teams'!$A$4:$A$119,0)),Scoring!$A$4:$N$51,3,FALSE()),0)+IFERROR(VLOOKUP(INDEX(' Toto teams'!$C$4:$C$119,MATCH($B7,' Toto teams'!$A$4:$A$119,0)),Scoring!$A$4:$N$51,4,FALSE()),0)+IFERROR(VLOOKUP(INDEX(' Toto teams'!$C$4:$C$119,MATCH($B7,' Toto teams'!$A$4:$A$119,0)),Scoring!$A$4:$N$51,5,FALSE()),0))+3*(IFERROR(VLOOKUP(INDEX(' Toto teams'!$D$4:$D$119,MATCH($B7,' Toto teams'!$A$4:$A$119,0)),Scoring!$A$4:$N$51,3,FALSE()),0)+IFERROR(VLOOKUP(INDEX(' Toto teams'!$D$4:$D$119,MATCH($B7,' Toto teams'!$A$4:$A$119,0)),Scoring!$A$4:$N$51,4,FALSE()),0)+IFERROR(VLOOKUP(INDEX(' Toto teams'!$D$4:$D$119,MATCH($B7,' Toto teams'!$A$4:$A$119,0)),Scoring!$A$4:$N$51,5,FALSE()),0))+2*(IFERROR(VLOOKUP(INDEX(' Toto teams'!$E$4:$E$119,MATCH($B7,' Toto teams'!$A$4:$A$119,0)),Scoring!$A$4:$N$51,3,FALSE()),0)+IFERROR(VLOOKUP(INDEX(' Toto teams'!$E$4:$E$119,MATCH($B7,' Toto teams'!$A$4:$A$119,0)),Scoring!$A$4:$N$51,4,FALSE()),0)+IFERROR(VLOOKUP(INDEX(' Toto teams'!$E$4:$E$119,MATCH($B7,' Toto teams'!$A$4:$A$119,0)),Scoring!$A$4:$N$51,5,FALSE()),0))+1*(IFERROR(VLOOKUP(INDEX(' Toto teams'!$F$4:$F$119,MATCH($B7,' Toto teams'!$A$4:$A$119,0)),Scoring!$A$4:$N$51,3,FALSE()),0)+IFERROR(VLOOKUP(INDEX(' Toto teams'!$F$4:$F$119,MATCH($B7,' Toto teams'!$A$4:$A$119,0)),Scoring!$A$4:$N$51,4,FALSE()),0)+IFERROR(VLOOKUP(INDEX(' Toto teams'!$F$4:$F$119,MATCH($B7,' Toto teams'!$A$4:$A$119,0)),Scoring!$A$4:$N$51,5,FALSE()),0))+1*(IFERROR(VLOOKUP(INDEX(' Toto teams'!$G$4:$G$119,MATCH($B7,' Toto teams'!$A$4:$A$119,0)),Scoring!$A$4:$N$51,3,FALSE()),0)+IFERROR(VLOOKUP(INDEX(' Toto teams'!$G$4:$G$119,MATCH($B7,' Toto teams'!$A$4:$A$119,0)),Scoring!$A$4:$N$51,4,FALSE()),0)+IFERROR(VLOOKUP(INDEX(' Toto teams'!$G$4:$G$119,MATCH($B7,' Toto teams'!$A$4:$A$119,0)),Scoring!$A$4:$N$51,5,FALSE()),0))+1*(IFERROR(VLOOKUP(INDEX(' Toto teams'!$H$4:$H$119,MATCH($B7,' Toto teams'!$A$4:$A$119,0)),Scoring!$A$4:$N$51,3,FALSE()),0)+IFERROR(VLOOKUP(INDEX(' Toto teams'!$H$4:$H$119,MATCH($B7,' Toto teams'!$A$4:$A$119,0)),Scoring!$A$4:$N$51,4,FALSE()),0)+IFERROR(VLOOKUP(INDEX(' Toto teams'!$H$4:$H$119,MATCH($B7,' Toto teams'!$A$4:$A$119,0)),Scoring!$A$4:$N$51,5,FALSE()),0))+IFERROR(INDEX(' Toto teams'!$Q$4:$Q$119,MATCH($B7,' Toto teams'!$A$4:$A$119,0))*1,0))</f>
        <v>5</v>
      </c>
      <c r="D7" s="28">
        <f>IF($B7="","",6*IFERROR(VLOOKUP(INDEX(' Toto teams'!$B$4:$B$119,MATCH($B7,' Toto teams'!$A$4:$A$119,0)),Scoring!$A$4:$N$51,7,FALSE()),0)+4*IFERROR(VLOOKUP(INDEX(' Toto teams'!$C$4:$C$119,MATCH($B7,' Toto teams'!$A$4:$A$119,0)),Scoring!$A$4:$N$51,7,FALSE()),0)+3*IFERROR(VLOOKUP(INDEX(' Toto teams'!$D$4:$D$119,MATCH($B7,' Toto teams'!$A$4:$A$119,0)),Scoring!$A$4:$N$51,7,FALSE()),0)+2*IFERROR(VLOOKUP(INDEX(' Toto teams'!$E$4:$E$119,MATCH($B7,' Toto teams'!$A$4:$A$119,0)),Scoring!$A$4:$N$51,7,FALSE()),0)+1*IFERROR(VLOOKUP(INDEX(' Toto teams'!$F$4:$F$119,MATCH($B7,' Toto teams'!$A$4:$A$119,0)),Scoring!$A$4:$N$51,7,FALSE()),0)+1*IFERROR(VLOOKUP(INDEX(' Toto teams'!$G$4:$G$119,MATCH($B7,' Toto teams'!$A$4:$A$119,0)),Scoring!$A$4:$N$51,7,FALSE()),0)+1*IFERROR(VLOOKUP(INDEX(' Toto teams'!$H$4:$H$119,MATCH($B7,' Toto teams'!$A$4:$A$119,0)),Scoring!$A$4:$N$51,7,FALSE()),0))</f>
        <v>0</v>
      </c>
      <c r="E7" s="28">
        <f>IF($B7="","",6*IFERROR(VLOOKUP(INDEX(' Toto teams'!$B$4:$B$119,MATCH($B7,' Toto teams'!$A$4:$A$119,0)),Scoring!$A$4:$N$51,8,FALSE()),0)+4*IFERROR(VLOOKUP(INDEX(' Toto teams'!$C$4:$C$119,MATCH($B7,' Toto teams'!$A$4:$A$119,0)),Scoring!$A$4:$N$51,8,FALSE()),0)+3*IFERROR(VLOOKUP(INDEX(' Toto teams'!$D$4:$D$119,MATCH($B7,' Toto teams'!$A$4:$A$119,0)),Scoring!$A$4:$N$51,8,FALSE()),0)+2*IFERROR(VLOOKUP(INDEX(' Toto teams'!$E$4:$E$119,MATCH($B7,' Toto teams'!$A$4:$A$119,0)),Scoring!$A$4:$N$51,8,FALSE()),0)+1*IFERROR(VLOOKUP(INDEX(' Toto teams'!$F$4:$F$119,MATCH($B7,' Toto teams'!$A$4:$A$119,0)),Scoring!$A$4:$N$51,8,FALSE()),0)+1*IFERROR(VLOOKUP(INDEX(' Toto teams'!$G$4:$G$119,MATCH($B7,' Toto teams'!$A$4:$A$119,0)),Scoring!$A$4:$N$51,8,FALSE()),0)+1*IFERROR(VLOOKUP(INDEX(' Toto teams'!$H$4:$H$119,MATCH($B7,' Toto teams'!$A$4:$A$119,0)),Scoring!$A$4:$N$51,8,FALSE()),0))</f>
        <v>0</v>
      </c>
      <c r="F7" s="28">
        <f>IF($B7="","",6*IFERROR(VLOOKUP(INDEX(' Toto teams'!$B$4:$B$119,MATCH($B7,' Toto teams'!$A$4:$A$119,0)),Scoring!$A$4:$N$51,9,FALSE()),0)+4*IFERROR(VLOOKUP(INDEX(' Toto teams'!$C$4:$C$119,MATCH($B7,' Toto teams'!$A$4:$A$119,0)),Scoring!$A$4:$N$51,9,FALSE()),0)+3*IFERROR(VLOOKUP(INDEX(' Toto teams'!$D$4:$D$119,MATCH($B7,' Toto teams'!$A$4:$A$119,0)),Scoring!$A$4:$N$51,9,FALSE()),0)+2*IFERROR(VLOOKUP(INDEX(' Toto teams'!$E$4:$E$119,MATCH($B7,' Toto teams'!$A$4:$A$119,0)),Scoring!$A$4:$N$51,9,FALSE()),0)+1*IFERROR(VLOOKUP(INDEX(' Toto teams'!$F$4:$F$119,MATCH($B7,' Toto teams'!$A$4:$A$119,0)),Scoring!$A$4:$N$51,9,FALSE()),0)+1*IFERROR(VLOOKUP(INDEX(' Toto teams'!$G$4:$G$119,MATCH($B7,' Toto teams'!$A$4:$A$119,0)),Scoring!$A$4:$N$51,9,FALSE()),0)+1*IFERROR(VLOOKUP(INDEX(' Toto teams'!$H$4:$H$119,MATCH($B7,' Toto teams'!$A$4:$A$119,0)),Scoring!$A$4:$N$51,9,FALSE()),0))</f>
        <v>0</v>
      </c>
      <c r="G7" s="28">
        <f>IF($B7="","",6*IFERROR(VLOOKUP(INDEX(' Toto teams'!$B$4:$B$119,MATCH($B7,' Toto teams'!$A$4:$A$119,0)),Scoring!$A$4:$N$51,10,FALSE()),0)+4*IFERROR(VLOOKUP(INDEX(' Toto teams'!$C$4:$C$119,MATCH($B7,' Toto teams'!$A$4:$A$119,0)),Scoring!$A$4:$N$51,10,FALSE()),0)+3*IFERROR(VLOOKUP(INDEX(' Toto teams'!$D$4:$D$119,MATCH($B7,' Toto teams'!$A$4:$A$119,0)),Scoring!$A$4:$N$51,10,FALSE()),0)+2*IFERROR(VLOOKUP(INDEX(' Toto teams'!$E$4:$E$119,MATCH($B7,' Toto teams'!$A$4:$A$119,0)),Scoring!$A$4:$N$51,10,FALSE()),0)+1*IFERROR(VLOOKUP(INDEX(' Toto teams'!$F$4:$F$119,MATCH($B7,' Toto teams'!$A$4:$A$119,0)),Scoring!$A$4:$N$51,10,FALSE()),0)+1*IFERROR(VLOOKUP(INDEX(' Toto teams'!$G$4:$G$119,MATCH($B7,' Toto teams'!$A$4:$A$119,0)),Scoring!$A$4:$N$51,10,FALSE()),0)+1*IFERROR(VLOOKUP(INDEX(' Toto teams'!$H$4:$H$119,MATCH($B7,' Toto teams'!$A$4:$A$119,0)),Scoring!$A$4:$N$51,10,FALSE()),0))</f>
        <v>0</v>
      </c>
      <c r="H7" s="28">
        <f>IF($B7="","",6*IFERROR(VLOOKUP(INDEX(' Toto teams'!$B$4:$B$119,MATCH($B7,' Toto teams'!$A$4:$A$119,0)),Scoring!$A$4:$N$51,11,FALSE()),0)+4*IFERROR(VLOOKUP(INDEX(' Toto teams'!$C$4:$C$119,MATCH($B7,' Toto teams'!$A$4:$A$119,0)),Scoring!$A$4:$N$51,11,FALSE()),0)+3*IFERROR(VLOOKUP(INDEX(' Toto teams'!$D$4:$D$119,MATCH($B7,' Toto teams'!$A$4:$A$119,0)),Scoring!$A$4:$N$51,11,FALSE()),0)+2*IFERROR(VLOOKUP(INDEX(' Toto teams'!$E$4:$E$119,MATCH($B7,' Toto teams'!$A$4:$A$119,0)),Scoring!$A$4:$N$51,11,FALSE()),0)+1*IFERROR(VLOOKUP(INDEX(' Toto teams'!$F$4:$F$119,MATCH($B7,' Toto teams'!$A$4:$A$119,0)),Scoring!$A$4:$N$51,11,FALSE()),0)+1*IFERROR(VLOOKUP(INDEX(' Toto teams'!$G$4:$G$119,MATCH($B7,' Toto teams'!$A$4:$A$119,0)),Scoring!$A$4:$N$51,11,FALSE()),0)+1*IFERROR(VLOOKUP(INDEX(' Toto teams'!$H$4:$H$119,MATCH($B7,' Toto teams'!$A$4:$A$119,0)),Scoring!$A$4:$N$51,11,FALSE()),0))</f>
        <v>0</v>
      </c>
      <c r="I7" s="28">
        <f>IF($B7="","",6*IFERROR(VLOOKUP(INDEX(' Toto teams'!$B$4:$B$119,MATCH($B7,' Toto teams'!$A$4:$A$119,0)),Scoring!$A$4:$O$51,15,FALSE()),0)+4*IFERROR(VLOOKUP(INDEX(' Toto teams'!$C$4:$C$119,MATCH($B7,' Toto teams'!$A$4:$A$119,0)),Scoring!$A$4:$O$51,15,FALSE()),0)+3*IFERROR(VLOOKUP(INDEX(' Toto teams'!$D$4:$D$119,MATCH($B7,' Toto teams'!$A$4:$A$119,0)),Scoring!$A$4:$O$51,15,FALSE()),0)+2*IFERROR(VLOOKUP(INDEX(' Toto teams'!$E$4:$E$119,MATCH($B7,' Toto teams'!$A$4:$A$119,0)),Scoring!$A$4:$O$51,15,FALSE()),0)+1*IFERROR(VLOOKUP(INDEX(' Toto teams'!$F$4:$F$119,MATCH($B7,' Toto teams'!$A$4:$A$119,0)),Scoring!$A$4:$O$51,15,FALSE()),0)+1*IFERROR(VLOOKUP(INDEX(' Toto teams'!$G$4:$G$119,MATCH($B7,' Toto teams'!$A$4:$A$119,0)),Scoring!$A$4:$O$51,15,FALSE()),0)+1*IFERROR(VLOOKUP(INDEX(' Toto teams'!$H$4:$H$119,MATCH($B7,' Toto teams'!$A$4:$A$119,0)),Scoring!$A$4:$O$51,15,FALSE()),0))</f>
        <v>0</v>
      </c>
      <c r="J7" s="28">
        <f>IF($B7="","",6*IFERROR(VLOOKUP(INDEX(' Toto teams'!$B$4:$B$119,MATCH($B7,' Toto teams'!$A$4:$A$119,0)),Scoring!$A$4:$N$51,12,FALSE()),0)+4*IFERROR(VLOOKUP(INDEX(' Toto teams'!$C$4:$C$119,MATCH($B7,' Toto teams'!$A$4:$A$119,0)),Scoring!$A$4:$N$51,12,FALSE()),0)+3*IFERROR(VLOOKUP(INDEX(' Toto teams'!$D$4:$D$119,MATCH($B7,' Toto teams'!$A$4:$A$119,0)),Scoring!$A$4:$N$51,12,FALSE()),0)+2*IFERROR(VLOOKUP(INDEX(' Toto teams'!$E$4:$E$119,MATCH($B7,' Toto teams'!$A$4:$A$119,0)),Scoring!$A$4:$N$51,12,FALSE()),0)+1*IFERROR(VLOOKUP(INDEX(' Toto teams'!$F$4:$F$119,MATCH($B7,' Toto teams'!$A$4:$A$119,0)),Scoring!$A$4:$N$51,12,FALSE()),0)+1*IFERROR(VLOOKUP(INDEX(' Toto teams'!$G$4:$G$119,MATCH($B7,' Toto teams'!$A$4:$A$119,0)),Scoring!$A$4:$N$51,12,FALSE()),0)+1*IFERROR(VLOOKUP(INDEX(' Toto teams'!$H$4:$H$119,MATCH($B7,' Toto teams'!$A$4:$A$119,0)),Scoring!$A$4:$N$51,12,FALSE()),0))</f>
        <v>0</v>
      </c>
      <c r="K7" s="29">
        <f>IF($B7="","",IFERROR(INDEX(' Toto teams'!$R$4:$R$119,MATCH($B7,' Toto teams'!$A$4:$A$119,0)),""))</f>
        <v>5</v>
      </c>
      <c r="L7" s="30">
        <f t="shared" si="0"/>
        <v>367.5</v>
      </c>
      <c r="N7" s="31">
        <v>4</v>
      </c>
      <c r="O7" s="32">
        <v>0.05</v>
      </c>
      <c r="P7" s="33">
        <f t="shared" si="1"/>
        <v>157.5</v>
      </c>
      <c r="Q7" s="31">
        <f t="shared" si="2"/>
        <v>0</v>
      </c>
      <c r="R7" s="34">
        <f t="shared" si="3"/>
        <v>0</v>
      </c>
    </row>
    <row r="8" spans="1:18" ht="12.75" customHeight="1" x14ac:dyDescent="0.3">
      <c r="A8" s="26">
        <f>IF(5&gt;COUNTIF(' Toto teams'!$A$4:$A$119,"&lt;&gt;"),"",INDEX(' Toto teams'!$S$4:$S$119,MATCH(LARGE(' Toto teams'!$T$4:$T$119,5),' Toto teams'!$T$4:$T$119,0)))</f>
        <v>5</v>
      </c>
      <c r="B8" s="27" t="str">
        <f>IF(5&gt;COUNTIF(' Toto teams'!$A$4:$A$119,"&lt;&gt;"),"",INDEX(' Toto teams'!$A$4:$A$119,MATCH(LARGE(' Toto teams'!$T$4:$T$119,5),' Toto teams'!$T$4:$T$119,0)))</f>
        <v>Sigitas Petraitis</v>
      </c>
      <c r="C8" s="28">
        <f>IF($B8="","",6*(IFERROR(VLOOKUP(INDEX(' Toto teams'!$B$4:$B$119,MATCH($B8,' Toto teams'!$A$4:$A$119,0)),Scoring!$A$4:$N$51,3,FALSE()),0)+IFERROR(VLOOKUP(INDEX(' Toto teams'!$B$4:$B$119,MATCH($B8,' Toto teams'!$A$4:$A$119,0)),Scoring!$A$4:$N$51,4,FALSE()),0)+IFERROR(VLOOKUP(INDEX(' Toto teams'!$B$4:$B$119,MATCH($B8,' Toto teams'!$A$4:$A$119,0)),Scoring!$A$4:$N$51,5,FALSE()),0))+4*(IFERROR(VLOOKUP(INDEX(' Toto teams'!$C$4:$C$119,MATCH($B8,' Toto teams'!$A$4:$A$119,0)),Scoring!$A$4:$N$51,3,FALSE()),0)+IFERROR(VLOOKUP(INDEX(' Toto teams'!$C$4:$C$119,MATCH($B8,' Toto teams'!$A$4:$A$119,0)),Scoring!$A$4:$N$51,4,FALSE()),0)+IFERROR(VLOOKUP(INDEX(' Toto teams'!$C$4:$C$119,MATCH($B8,' Toto teams'!$A$4:$A$119,0)),Scoring!$A$4:$N$51,5,FALSE()),0))+3*(IFERROR(VLOOKUP(INDEX(' Toto teams'!$D$4:$D$119,MATCH($B8,' Toto teams'!$A$4:$A$119,0)),Scoring!$A$4:$N$51,3,FALSE()),0)+IFERROR(VLOOKUP(INDEX(' Toto teams'!$D$4:$D$119,MATCH($B8,' Toto teams'!$A$4:$A$119,0)),Scoring!$A$4:$N$51,4,FALSE()),0)+IFERROR(VLOOKUP(INDEX(' Toto teams'!$D$4:$D$119,MATCH($B8,' Toto teams'!$A$4:$A$119,0)),Scoring!$A$4:$N$51,5,FALSE()),0))+2*(IFERROR(VLOOKUP(INDEX(' Toto teams'!$E$4:$E$119,MATCH($B8,' Toto teams'!$A$4:$A$119,0)),Scoring!$A$4:$N$51,3,FALSE()),0)+IFERROR(VLOOKUP(INDEX(' Toto teams'!$E$4:$E$119,MATCH($B8,' Toto teams'!$A$4:$A$119,0)),Scoring!$A$4:$N$51,4,FALSE()),0)+IFERROR(VLOOKUP(INDEX(' Toto teams'!$E$4:$E$119,MATCH($B8,' Toto teams'!$A$4:$A$119,0)),Scoring!$A$4:$N$51,5,FALSE()),0))+1*(IFERROR(VLOOKUP(INDEX(' Toto teams'!$F$4:$F$119,MATCH($B8,' Toto teams'!$A$4:$A$119,0)),Scoring!$A$4:$N$51,3,FALSE()),0)+IFERROR(VLOOKUP(INDEX(' Toto teams'!$F$4:$F$119,MATCH($B8,' Toto teams'!$A$4:$A$119,0)),Scoring!$A$4:$N$51,4,FALSE()),0)+IFERROR(VLOOKUP(INDEX(' Toto teams'!$F$4:$F$119,MATCH($B8,' Toto teams'!$A$4:$A$119,0)),Scoring!$A$4:$N$51,5,FALSE()),0))+1*(IFERROR(VLOOKUP(INDEX(' Toto teams'!$G$4:$G$119,MATCH($B8,' Toto teams'!$A$4:$A$119,0)),Scoring!$A$4:$N$51,3,FALSE()),0)+IFERROR(VLOOKUP(INDEX(' Toto teams'!$G$4:$G$119,MATCH($B8,' Toto teams'!$A$4:$A$119,0)),Scoring!$A$4:$N$51,4,FALSE()),0)+IFERROR(VLOOKUP(INDEX(' Toto teams'!$G$4:$G$119,MATCH($B8,' Toto teams'!$A$4:$A$119,0)),Scoring!$A$4:$N$51,5,FALSE()),0))+1*(IFERROR(VLOOKUP(INDEX(' Toto teams'!$H$4:$H$119,MATCH($B8,' Toto teams'!$A$4:$A$119,0)),Scoring!$A$4:$N$51,3,FALSE()),0)+IFERROR(VLOOKUP(INDEX(' Toto teams'!$H$4:$H$119,MATCH($B8,' Toto teams'!$A$4:$A$119,0)),Scoring!$A$4:$N$51,4,FALSE()),0)+IFERROR(VLOOKUP(INDEX(' Toto teams'!$H$4:$H$119,MATCH($B8,' Toto teams'!$A$4:$A$119,0)),Scoring!$A$4:$N$51,5,FALSE()),0))+IFERROR(INDEX(' Toto teams'!$Q$4:$Q$119,MATCH($B8,' Toto teams'!$A$4:$A$119,0))*1,0))</f>
        <v>4</v>
      </c>
      <c r="D8" s="28">
        <f>IF($B8="","",6*IFERROR(VLOOKUP(INDEX(' Toto teams'!$B$4:$B$119,MATCH($B8,' Toto teams'!$A$4:$A$119,0)),Scoring!$A$4:$N$51,7,FALSE()),0)+4*IFERROR(VLOOKUP(INDEX(' Toto teams'!$C$4:$C$119,MATCH($B8,' Toto teams'!$A$4:$A$119,0)),Scoring!$A$4:$N$51,7,FALSE()),0)+3*IFERROR(VLOOKUP(INDEX(' Toto teams'!$D$4:$D$119,MATCH($B8,' Toto teams'!$A$4:$A$119,0)),Scoring!$A$4:$N$51,7,FALSE()),0)+2*IFERROR(VLOOKUP(INDEX(' Toto teams'!$E$4:$E$119,MATCH($B8,' Toto teams'!$A$4:$A$119,0)),Scoring!$A$4:$N$51,7,FALSE()),0)+1*IFERROR(VLOOKUP(INDEX(' Toto teams'!$F$4:$F$119,MATCH($B8,' Toto teams'!$A$4:$A$119,0)),Scoring!$A$4:$N$51,7,FALSE()),0)+1*IFERROR(VLOOKUP(INDEX(' Toto teams'!$G$4:$G$119,MATCH($B8,' Toto teams'!$A$4:$A$119,0)),Scoring!$A$4:$N$51,7,FALSE()),0)+1*IFERROR(VLOOKUP(INDEX(' Toto teams'!$H$4:$H$119,MATCH($B8,' Toto teams'!$A$4:$A$119,0)),Scoring!$A$4:$N$51,7,FALSE()),0))</f>
        <v>0</v>
      </c>
      <c r="E8" s="28">
        <f>IF($B8="","",6*IFERROR(VLOOKUP(INDEX(' Toto teams'!$B$4:$B$119,MATCH($B8,' Toto teams'!$A$4:$A$119,0)),Scoring!$A$4:$N$51,8,FALSE()),0)+4*IFERROR(VLOOKUP(INDEX(' Toto teams'!$C$4:$C$119,MATCH($B8,' Toto teams'!$A$4:$A$119,0)),Scoring!$A$4:$N$51,8,FALSE()),0)+3*IFERROR(VLOOKUP(INDEX(' Toto teams'!$D$4:$D$119,MATCH($B8,' Toto teams'!$A$4:$A$119,0)),Scoring!$A$4:$N$51,8,FALSE()),0)+2*IFERROR(VLOOKUP(INDEX(' Toto teams'!$E$4:$E$119,MATCH($B8,' Toto teams'!$A$4:$A$119,0)),Scoring!$A$4:$N$51,8,FALSE()),0)+1*IFERROR(VLOOKUP(INDEX(' Toto teams'!$F$4:$F$119,MATCH($B8,' Toto teams'!$A$4:$A$119,0)),Scoring!$A$4:$N$51,8,FALSE()),0)+1*IFERROR(VLOOKUP(INDEX(' Toto teams'!$G$4:$G$119,MATCH($B8,' Toto teams'!$A$4:$A$119,0)),Scoring!$A$4:$N$51,8,FALSE()),0)+1*IFERROR(VLOOKUP(INDEX(' Toto teams'!$H$4:$H$119,MATCH($B8,' Toto teams'!$A$4:$A$119,0)),Scoring!$A$4:$N$51,8,FALSE()),0))</f>
        <v>0</v>
      </c>
      <c r="F8" s="28">
        <f>IF($B8="","",6*IFERROR(VLOOKUP(INDEX(' Toto teams'!$B$4:$B$119,MATCH($B8,' Toto teams'!$A$4:$A$119,0)),Scoring!$A$4:$N$51,9,FALSE()),0)+4*IFERROR(VLOOKUP(INDEX(' Toto teams'!$C$4:$C$119,MATCH($B8,' Toto teams'!$A$4:$A$119,0)),Scoring!$A$4:$N$51,9,FALSE()),0)+3*IFERROR(VLOOKUP(INDEX(' Toto teams'!$D$4:$D$119,MATCH($B8,' Toto teams'!$A$4:$A$119,0)),Scoring!$A$4:$N$51,9,FALSE()),0)+2*IFERROR(VLOOKUP(INDEX(' Toto teams'!$E$4:$E$119,MATCH($B8,' Toto teams'!$A$4:$A$119,0)),Scoring!$A$4:$N$51,9,FALSE()),0)+1*IFERROR(VLOOKUP(INDEX(' Toto teams'!$F$4:$F$119,MATCH($B8,' Toto teams'!$A$4:$A$119,0)),Scoring!$A$4:$N$51,9,FALSE()),0)+1*IFERROR(VLOOKUP(INDEX(' Toto teams'!$G$4:$G$119,MATCH($B8,' Toto teams'!$A$4:$A$119,0)),Scoring!$A$4:$N$51,9,FALSE()),0)+1*IFERROR(VLOOKUP(INDEX(' Toto teams'!$H$4:$H$119,MATCH($B8,' Toto teams'!$A$4:$A$119,0)),Scoring!$A$4:$N$51,9,FALSE()),0))</f>
        <v>0</v>
      </c>
      <c r="G8" s="28">
        <f>IF($B8="","",6*IFERROR(VLOOKUP(INDEX(' Toto teams'!$B$4:$B$119,MATCH($B8,' Toto teams'!$A$4:$A$119,0)),Scoring!$A$4:$N$51,10,FALSE()),0)+4*IFERROR(VLOOKUP(INDEX(' Toto teams'!$C$4:$C$119,MATCH($B8,' Toto teams'!$A$4:$A$119,0)),Scoring!$A$4:$N$51,10,FALSE()),0)+3*IFERROR(VLOOKUP(INDEX(' Toto teams'!$D$4:$D$119,MATCH($B8,' Toto teams'!$A$4:$A$119,0)),Scoring!$A$4:$N$51,10,FALSE()),0)+2*IFERROR(VLOOKUP(INDEX(' Toto teams'!$E$4:$E$119,MATCH($B8,' Toto teams'!$A$4:$A$119,0)),Scoring!$A$4:$N$51,10,FALSE()),0)+1*IFERROR(VLOOKUP(INDEX(' Toto teams'!$F$4:$F$119,MATCH($B8,' Toto teams'!$A$4:$A$119,0)),Scoring!$A$4:$N$51,10,FALSE()),0)+1*IFERROR(VLOOKUP(INDEX(' Toto teams'!$G$4:$G$119,MATCH($B8,' Toto teams'!$A$4:$A$119,0)),Scoring!$A$4:$N$51,10,FALSE()),0)+1*IFERROR(VLOOKUP(INDEX(' Toto teams'!$H$4:$H$119,MATCH($B8,' Toto teams'!$A$4:$A$119,0)),Scoring!$A$4:$N$51,10,FALSE()),0))</f>
        <v>0</v>
      </c>
      <c r="H8" s="28">
        <f>IF($B8="","",6*IFERROR(VLOOKUP(INDEX(' Toto teams'!$B$4:$B$119,MATCH($B8,' Toto teams'!$A$4:$A$119,0)),Scoring!$A$4:$N$51,11,FALSE()),0)+4*IFERROR(VLOOKUP(INDEX(' Toto teams'!$C$4:$C$119,MATCH($B8,' Toto teams'!$A$4:$A$119,0)),Scoring!$A$4:$N$51,11,FALSE()),0)+3*IFERROR(VLOOKUP(INDEX(' Toto teams'!$D$4:$D$119,MATCH($B8,' Toto teams'!$A$4:$A$119,0)),Scoring!$A$4:$N$51,11,FALSE()),0)+2*IFERROR(VLOOKUP(INDEX(' Toto teams'!$E$4:$E$119,MATCH($B8,' Toto teams'!$A$4:$A$119,0)),Scoring!$A$4:$N$51,11,FALSE()),0)+1*IFERROR(VLOOKUP(INDEX(' Toto teams'!$F$4:$F$119,MATCH($B8,' Toto teams'!$A$4:$A$119,0)),Scoring!$A$4:$N$51,11,FALSE()),0)+1*IFERROR(VLOOKUP(INDEX(' Toto teams'!$G$4:$G$119,MATCH($B8,' Toto teams'!$A$4:$A$119,0)),Scoring!$A$4:$N$51,11,FALSE()),0)+1*IFERROR(VLOOKUP(INDEX(' Toto teams'!$H$4:$H$119,MATCH($B8,' Toto teams'!$A$4:$A$119,0)),Scoring!$A$4:$N$51,11,FALSE()),0))</f>
        <v>0</v>
      </c>
      <c r="I8" s="28">
        <f>IF($B8="","",6*IFERROR(VLOOKUP(INDEX(' Toto teams'!$B$4:$B$119,MATCH($B8,' Toto teams'!$A$4:$A$119,0)),Scoring!$A$4:$O$51,15,FALSE()),0)+4*IFERROR(VLOOKUP(INDEX(' Toto teams'!$C$4:$C$119,MATCH($B8,' Toto teams'!$A$4:$A$119,0)),Scoring!$A$4:$O$51,15,FALSE()),0)+3*IFERROR(VLOOKUP(INDEX(' Toto teams'!$D$4:$D$119,MATCH($B8,' Toto teams'!$A$4:$A$119,0)),Scoring!$A$4:$O$51,15,FALSE()),0)+2*IFERROR(VLOOKUP(INDEX(' Toto teams'!$E$4:$E$119,MATCH($B8,' Toto teams'!$A$4:$A$119,0)),Scoring!$A$4:$O$51,15,FALSE()),0)+1*IFERROR(VLOOKUP(INDEX(' Toto teams'!$F$4:$F$119,MATCH($B8,' Toto teams'!$A$4:$A$119,0)),Scoring!$A$4:$O$51,15,FALSE()),0)+1*IFERROR(VLOOKUP(INDEX(' Toto teams'!$G$4:$G$119,MATCH($B8,' Toto teams'!$A$4:$A$119,0)),Scoring!$A$4:$O$51,15,FALSE()),0)+1*IFERROR(VLOOKUP(INDEX(' Toto teams'!$H$4:$H$119,MATCH($B8,' Toto teams'!$A$4:$A$119,0)),Scoring!$A$4:$O$51,15,FALSE()),0))</f>
        <v>0</v>
      </c>
      <c r="J8" s="28">
        <f>IF($B8="","",6*IFERROR(VLOOKUP(INDEX(' Toto teams'!$B$4:$B$119,MATCH($B8,' Toto teams'!$A$4:$A$119,0)),Scoring!$A$4:$N$51,12,FALSE()),0)+4*IFERROR(VLOOKUP(INDEX(' Toto teams'!$C$4:$C$119,MATCH($B8,' Toto teams'!$A$4:$A$119,0)),Scoring!$A$4:$N$51,12,FALSE()),0)+3*IFERROR(VLOOKUP(INDEX(' Toto teams'!$D$4:$D$119,MATCH($B8,' Toto teams'!$A$4:$A$119,0)),Scoring!$A$4:$N$51,12,FALSE()),0)+2*IFERROR(VLOOKUP(INDEX(' Toto teams'!$E$4:$E$119,MATCH($B8,' Toto teams'!$A$4:$A$119,0)),Scoring!$A$4:$N$51,12,FALSE()),0)+1*IFERROR(VLOOKUP(INDEX(' Toto teams'!$F$4:$F$119,MATCH($B8,' Toto teams'!$A$4:$A$119,0)),Scoring!$A$4:$N$51,12,FALSE()),0)+1*IFERROR(VLOOKUP(INDEX(' Toto teams'!$G$4:$G$119,MATCH($B8,' Toto teams'!$A$4:$A$119,0)),Scoring!$A$4:$N$51,12,FALSE()),0)+1*IFERROR(VLOOKUP(INDEX(' Toto teams'!$H$4:$H$119,MATCH($B8,' Toto teams'!$A$4:$A$119,0)),Scoring!$A$4:$N$51,12,FALSE()),0))</f>
        <v>0</v>
      </c>
      <c r="K8" s="29">
        <f>IF($B8="","",IFERROR(INDEX(' Toto teams'!$R$4:$R$119,MATCH($B8,' Toto teams'!$A$4:$A$119,0)),""))</f>
        <v>4</v>
      </c>
      <c r="L8" s="30">
        <f t="shared" si="0"/>
        <v>27.794117647058822</v>
      </c>
      <c r="N8" s="31">
        <v>5</v>
      </c>
      <c r="O8" s="32">
        <v>0.05</v>
      </c>
      <c r="P8" s="33">
        <f t="shared" si="1"/>
        <v>157.5</v>
      </c>
      <c r="Q8" s="31">
        <f t="shared" si="2"/>
        <v>17</v>
      </c>
      <c r="R8" s="34">
        <f t="shared" si="3"/>
        <v>27.794117647058822</v>
      </c>
    </row>
    <row r="9" spans="1:18" ht="12.75" customHeight="1" x14ac:dyDescent="0.3">
      <c r="A9" s="26">
        <f>IF(6&gt;COUNTIF(' Toto teams'!$A$4:$A$119,"&lt;&gt;"),"",INDEX(' Toto teams'!$S$4:$S$119,MATCH(LARGE(' Toto teams'!$T$4:$T$119,6),' Toto teams'!$T$4:$T$119,0)))</f>
        <v>5</v>
      </c>
      <c r="B9" s="27" t="str">
        <f>IF(6&gt;COUNTIF(' Toto teams'!$A$4:$A$119,"&lt;&gt;"),"",INDEX(' Toto teams'!$A$4:$A$119,MATCH(LARGE(' Toto teams'!$T$4:$T$119,6),' Toto teams'!$T$4:$T$119,0)))</f>
        <v>Donatas Pocius</v>
      </c>
      <c r="C9" s="28">
        <f>IF($B9="","",6*(IFERROR(VLOOKUP(INDEX(' Toto teams'!$B$4:$B$119,MATCH($B9,' Toto teams'!$A$4:$A$119,0)),Scoring!$A$4:$N$51,3,FALSE()),0)+IFERROR(VLOOKUP(INDEX(' Toto teams'!$B$4:$B$119,MATCH($B9,' Toto teams'!$A$4:$A$119,0)),Scoring!$A$4:$N$51,4,FALSE()),0)+IFERROR(VLOOKUP(INDEX(' Toto teams'!$B$4:$B$119,MATCH($B9,' Toto teams'!$A$4:$A$119,0)),Scoring!$A$4:$N$51,5,FALSE()),0))+4*(IFERROR(VLOOKUP(INDEX(' Toto teams'!$C$4:$C$119,MATCH($B9,' Toto teams'!$A$4:$A$119,0)),Scoring!$A$4:$N$51,3,FALSE()),0)+IFERROR(VLOOKUP(INDEX(' Toto teams'!$C$4:$C$119,MATCH($B9,' Toto teams'!$A$4:$A$119,0)),Scoring!$A$4:$N$51,4,FALSE()),0)+IFERROR(VLOOKUP(INDEX(' Toto teams'!$C$4:$C$119,MATCH($B9,' Toto teams'!$A$4:$A$119,0)),Scoring!$A$4:$N$51,5,FALSE()),0))+3*(IFERROR(VLOOKUP(INDEX(' Toto teams'!$D$4:$D$119,MATCH($B9,' Toto teams'!$A$4:$A$119,0)),Scoring!$A$4:$N$51,3,FALSE()),0)+IFERROR(VLOOKUP(INDEX(' Toto teams'!$D$4:$D$119,MATCH($B9,' Toto teams'!$A$4:$A$119,0)),Scoring!$A$4:$N$51,4,FALSE()),0)+IFERROR(VLOOKUP(INDEX(' Toto teams'!$D$4:$D$119,MATCH($B9,' Toto teams'!$A$4:$A$119,0)),Scoring!$A$4:$N$51,5,FALSE()),0))+2*(IFERROR(VLOOKUP(INDEX(' Toto teams'!$E$4:$E$119,MATCH($B9,' Toto teams'!$A$4:$A$119,0)),Scoring!$A$4:$N$51,3,FALSE()),0)+IFERROR(VLOOKUP(INDEX(' Toto teams'!$E$4:$E$119,MATCH($B9,' Toto teams'!$A$4:$A$119,0)),Scoring!$A$4:$N$51,4,FALSE()),0)+IFERROR(VLOOKUP(INDEX(' Toto teams'!$E$4:$E$119,MATCH($B9,' Toto teams'!$A$4:$A$119,0)),Scoring!$A$4:$N$51,5,FALSE()),0))+1*(IFERROR(VLOOKUP(INDEX(' Toto teams'!$F$4:$F$119,MATCH($B9,' Toto teams'!$A$4:$A$119,0)),Scoring!$A$4:$N$51,3,FALSE()),0)+IFERROR(VLOOKUP(INDEX(' Toto teams'!$F$4:$F$119,MATCH($B9,' Toto teams'!$A$4:$A$119,0)),Scoring!$A$4:$N$51,4,FALSE()),0)+IFERROR(VLOOKUP(INDEX(' Toto teams'!$F$4:$F$119,MATCH($B9,' Toto teams'!$A$4:$A$119,0)),Scoring!$A$4:$N$51,5,FALSE()),0))+1*(IFERROR(VLOOKUP(INDEX(' Toto teams'!$G$4:$G$119,MATCH($B9,' Toto teams'!$A$4:$A$119,0)),Scoring!$A$4:$N$51,3,FALSE()),0)+IFERROR(VLOOKUP(INDEX(' Toto teams'!$G$4:$G$119,MATCH($B9,' Toto teams'!$A$4:$A$119,0)),Scoring!$A$4:$N$51,4,FALSE()),0)+IFERROR(VLOOKUP(INDEX(' Toto teams'!$G$4:$G$119,MATCH($B9,' Toto teams'!$A$4:$A$119,0)),Scoring!$A$4:$N$51,5,FALSE()),0))+1*(IFERROR(VLOOKUP(INDEX(' Toto teams'!$H$4:$H$119,MATCH($B9,' Toto teams'!$A$4:$A$119,0)),Scoring!$A$4:$N$51,3,FALSE()),0)+IFERROR(VLOOKUP(INDEX(' Toto teams'!$H$4:$H$119,MATCH($B9,' Toto teams'!$A$4:$A$119,0)),Scoring!$A$4:$N$51,4,FALSE()),0)+IFERROR(VLOOKUP(INDEX(' Toto teams'!$H$4:$H$119,MATCH($B9,' Toto teams'!$A$4:$A$119,0)),Scoring!$A$4:$N$51,5,FALSE()),0))+IFERROR(INDEX(' Toto teams'!$Q$4:$Q$119,MATCH($B9,' Toto teams'!$A$4:$A$119,0))*1,0))</f>
        <v>4</v>
      </c>
      <c r="D9" s="28">
        <f>IF($B9="","",6*IFERROR(VLOOKUP(INDEX(' Toto teams'!$B$4:$B$119,MATCH($B9,' Toto teams'!$A$4:$A$119,0)),Scoring!$A$4:$N$51,7,FALSE()),0)+4*IFERROR(VLOOKUP(INDEX(' Toto teams'!$C$4:$C$119,MATCH($B9,' Toto teams'!$A$4:$A$119,0)),Scoring!$A$4:$N$51,7,FALSE()),0)+3*IFERROR(VLOOKUP(INDEX(' Toto teams'!$D$4:$D$119,MATCH($B9,' Toto teams'!$A$4:$A$119,0)),Scoring!$A$4:$N$51,7,FALSE()),0)+2*IFERROR(VLOOKUP(INDEX(' Toto teams'!$E$4:$E$119,MATCH($B9,' Toto teams'!$A$4:$A$119,0)),Scoring!$A$4:$N$51,7,FALSE()),0)+1*IFERROR(VLOOKUP(INDEX(' Toto teams'!$F$4:$F$119,MATCH($B9,' Toto teams'!$A$4:$A$119,0)),Scoring!$A$4:$N$51,7,FALSE()),0)+1*IFERROR(VLOOKUP(INDEX(' Toto teams'!$G$4:$G$119,MATCH($B9,' Toto teams'!$A$4:$A$119,0)),Scoring!$A$4:$N$51,7,FALSE()),0)+1*IFERROR(VLOOKUP(INDEX(' Toto teams'!$H$4:$H$119,MATCH($B9,' Toto teams'!$A$4:$A$119,0)),Scoring!$A$4:$N$51,7,FALSE()),0))</f>
        <v>0</v>
      </c>
      <c r="E9" s="28">
        <f>IF($B9="","",6*IFERROR(VLOOKUP(INDEX(' Toto teams'!$B$4:$B$119,MATCH($B9,' Toto teams'!$A$4:$A$119,0)),Scoring!$A$4:$N$51,8,FALSE()),0)+4*IFERROR(VLOOKUP(INDEX(' Toto teams'!$C$4:$C$119,MATCH($B9,' Toto teams'!$A$4:$A$119,0)),Scoring!$A$4:$N$51,8,FALSE()),0)+3*IFERROR(VLOOKUP(INDEX(' Toto teams'!$D$4:$D$119,MATCH($B9,' Toto teams'!$A$4:$A$119,0)),Scoring!$A$4:$N$51,8,FALSE()),0)+2*IFERROR(VLOOKUP(INDEX(' Toto teams'!$E$4:$E$119,MATCH($B9,' Toto teams'!$A$4:$A$119,0)),Scoring!$A$4:$N$51,8,FALSE()),0)+1*IFERROR(VLOOKUP(INDEX(' Toto teams'!$F$4:$F$119,MATCH($B9,' Toto teams'!$A$4:$A$119,0)),Scoring!$A$4:$N$51,8,FALSE()),0)+1*IFERROR(VLOOKUP(INDEX(' Toto teams'!$G$4:$G$119,MATCH($B9,' Toto teams'!$A$4:$A$119,0)),Scoring!$A$4:$N$51,8,FALSE()),0)+1*IFERROR(VLOOKUP(INDEX(' Toto teams'!$H$4:$H$119,MATCH($B9,' Toto teams'!$A$4:$A$119,0)),Scoring!$A$4:$N$51,8,FALSE()),0))</f>
        <v>0</v>
      </c>
      <c r="F9" s="28">
        <f>IF($B9="","",6*IFERROR(VLOOKUP(INDEX(' Toto teams'!$B$4:$B$119,MATCH($B9,' Toto teams'!$A$4:$A$119,0)),Scoring!$A$4:$N$51,9,FALSE()),0)+4*IFERROR(VLOOKUP(INDEX(' Toto teams'!$C$4:$C$119,MATCH($B9,' Toto teams'!$A$4:$A$119,0)),Scoring!$A$4:$N$51,9,FALSE()),0)+3*IFERROR(VLOOKUP(INDEX(' Toto teams'!$D$4:$D$119,MATCH($B9,' Toto teams'!$A$4:$A$119,0)),Scoring!$A$4:$N$51,9,FALSE()),0)+2*IFERROR(VLOOKUP(INDEX(' Toto teams'!$E$4:$E$119,MATCH($B9,' Toto teams'!$A$4:$A$119,0)),Scoring!$A$4:$N$51,9,FALSE()),0)+1*IFERROR(VLOOKUP(INDEX(' Toto teams'!$F$4:$F$119,MATCH($B9,' Toto teams'!$A$4:$A$119,0)),Scoring!$A$4:$N$51,9,FALSE()),0)+1*IFERROR(VLOOKUP(INDEX(' Toto teams'!$G$4:$G$119,MATCH($B9,' Toto teams'!$A$4:$A$119,0)),Scoring!$A$4:$N$51,9,FALSE()),0)+1*IFERROR(VLOOKUP(INDEX(' Toto teams'!$H$4:$H$119,MATCH($B9,' Toto teams'!$A$4:$A$119,0)),Scoring!$A$4:$N$51,9,FALSE()),0))</f>
        <v>0</v>
      </c>
      <c r="G9" s="28">
        <f>IF($B9="","",6*IFERROR(VLOOKUP(INDEX(' Toto teams'!$B$4:$B$119,MATCH($B9,' Toto teams'!$A$4:$A$119,0)),Scoring!$A$4:$N$51,10,FALSE()),0)+4*IFERROR(VLOOKUP(INDEX(' Toto teams'!$C$4:$C$119,MATCH($B9,' Toto teams'!$A$4:$A$119,0)),Scoring!$A$4:$N$51,10,FALSE()),0)+3*IFERROR(VLOOKUP(INDEX(' Toto teams'!$D$4:$D$119,MATCH($B9,' Toto teams'!$A$4:$A$119,0)),Scoring!$A$4:$N$51,10,FALSE()),0)+2*IFERROR(VLOOKUP(INDEX(' Toto teams'!$E$4:$E$119,MATCH($B9,' Toto teams'!$A$4:$A$119,0)),Scoring!$A$4:$N$51,10,FALSE()),0)+1*IFERROR(VLOOKUP(INDEX(' Toto teams'!$F$4:$F$119,MATCH($B9,' Toto teams'!$A$4:$A$119,0)),Scoring!$A$4:$N$51,10,FALSE()),0)+1*IFERROR(VLOOKUP(INDEX(' Toto teams'!$G$4:$G$119,MATCH($B9,' Toto teams'!$A$4:$A$119,0)),Scoring!$A$4:$N$51,10,FALSE()),0)+1*IFERROR(VLOOKUP(INDEX(' Toto teams'!$H$4:$H$119,MATCH($B9,' Toto teams'!$A$4:$A$119,0)),Scoring!$A$4:$N$51,10,FALSE()),0))</f>
        <v>0</v>
      </c>
      <c r="H9" s="28">
        <f>IF($B9="","",6*IFERROR(VLOOKUP(INDEX(' Toto teams'!$B$4:$B$119,MATCH($B9,' Toto teams'!$A$4:$A$119,0)),Scoring!$A$4:$N$51,11,FALSE()),0)+4*IFERROR(VLOOKUP(INDEX(' Toto teams'!$C$4:$C$119,MATCH($B9,' Toto teams'!$A$4:$A$119,0)),Scoring!$A$4:$N$51,11,FALSE()),0)+3*IFERROR(VLOOKUP(INDEX(' Toto teams'!$D$4:$D$119,MATCH($B9,' Toto teams'!$A$4:$A$119,0)),Scoring!$A$4:$N$51,11,FALSE()),0)+2*IFERROR(VLOOKUP(INDEX(' Toto teams'!$E$4:$E$119,MATCH($B9,' Toto teams'!$A$4:$A$119,0)),Scoring!$A$4:$N$51,11,FALSE()),0)+1*IFERROR(VLOOKUP(INDEX(' Toto teams'!$F$4:$F$119,MATCH($B9,' Toto teams'!$A$4:$A$119,0)),Scoring!$A$4:$N$51,11,FALSE()),0)+1*IFERROR(VLOOKUP(INDEX(' Toto teams'!$G$4:$G$119,MATCH($B9,' Toto teams'!$A$4:$A$119,0)),Scoring!$A$4:$N$51,11,FALSE()),0)+1*IFERROR(VLOOKUP(INDEX(' Toto teams'!$H$4:$H$119,MATCH($B9,' Toto teams'!$A$4:$A$119,0)),Scoring!$A$4:$N$51,11,FALSE()),0))</f>
        <v>0</v>
      </c>
      <c r="I9" s="28">
        <f>IF($B9="","",6*IFERROR(VLOOKUP(INDEX(' Toto teams'!$B$4:$B$119,MATCH($B9,' Toto teams'!$A$4:$A$119,0)),Scoring!$A$4:$O$51,15,FALSE()),0)+4*IFERROR(VLOOKUP(INDEX(' Toto teams'!$C$4:$C$119,MATCH($B9,' Toto teams'!$A$4:$A$119,0)),Scoring!$A$4:$O$51,15,FALSE()),0)+3*IFERROR(VLOOKUP(INDEX(' Toto teams'!$D$4:$D$119,MATCH($B9,' Toto teams'!$A$4:$A$119,0)),Scoring!$A$4:$O$51,15,FALSE()),0)+2*IFERROR(VLOOKUP(INDEX(' Toto teams'!$E$4:$E$119,MATCH($B9,' Toto teams'!$A$4:$A$119,0)),Scoring!$A$4:$O$51,15,FALSE()),0)+1*IFERROR(VLOOKUP(INDEX(' Toto teams'!$F$4:$F$119,MATCH($B9,' Toto teams'!$A$4:$A$119,0)),Scoring!$A$4:$O$51,15,FALSE()),0)+1*IFERROR(VLOOKUP(INDEX(' Toto teams'!$G$4:$G$119,MATCH($B9,' Toto teams'!$A$4:$A$119,0)),Scoring!$A$4:$O$51,15,FALSE()),0)+1*IFERROR(VLOOKUP(INDEX(' Toto teams'!$H$4:$H$119,MATCH($B9,' Toto teams'!$A$4:$A$119,0)),Scoring!$A$4:$O$51,15,FALSE()),0))</f>
        <v>0</v>
      </c>
      <c r="J9" s="28">
        <f>IF($B9="","",6*IFERROR(VLOOKUP(INDEX(' Toto teams'!$B$4:$B$119,MATCH($B9,' Toto teams'!$A$4:$A$119,0)),Scoring!$A$4:$N$51,12,FALSE()),0)+4*IFERROR(VLOOKUP(INDEX(' Toto teams'!$C$4:$C$119,MATCH($B9,' Toto teams'!$A$4:$A$119,0)),Scoring!$A$4:$N$51,12,FALSE()),0)+3*IFERROR(VLOOKUP(INDEX(' Toto teams'!$D$4:$D$119,MATCH($B9,' Toto teams'!$A$4:$A$119,0)),Scoring!$A$4:$N$51,12,FALSE()),0)+2*IFERROR(VLOOKUP(INDEX(' Toto teams'!$E$4:$E$119,MATCH($B9,' Toto teams'!$A$4:$A$119,0)),Scoring!$A$4:$N$51,12,FALSE()),0)+1*IFERROR(VLOOKUP(INDEX(' Toto teams'!$F$4:$F$119,MATCH($B9,' Toto teams'!$A$4:$A$119,0)),Scoring!$A$4:$N$51,12,FALSE()),0)+1*IFERROR(VLOOKUP(INDEX(' Toto teams'!$G$4:$G$119,MATCH($B9,' Toto teams'!$A$4:$A$119,0)),Scoring!$A$4:$N$51,12,FALSE()),0)+1*IFERROR(VLOOKUP(INDEX(' Toto teams'!$H$4:$H$119,MATCH($B9,' Toto teams'!$A$4:$A$119,0)),Scoring!$A$4:$N$51,12,FALSE()),0))</f>
        <v>0</v>
      </c>
      <c r="K9" s="29">
        <f>IF($B9="","",IFERROR(INDEX(' Toto teams'!$R$4:$R$119,MATCH($B9,' Toto teams'!$A$4:$A$119,0)),""))</f>
        <v>4</v>
      </c>
      <c r="L9" s="30">
        <f t="shared" si="0"/>
        <v>27.794117647058822</v>
      </c>
      <c r="N9" s="31">
        <v>6</v>
      </c>
      <c r="O9" s="32">
        <v>2.5000000000000001E-2</v>
      </c>
      <c r="P9" s="33">
        <f t="shared" si="1"/>
        <v>78.75</v>
      </c>
      <c r="Q9" s="31">
        <f t="shared" si="2"/>
        <v>0</v>
      </c>
      <c r="R9" s="34">
        <f t="shared" si="3"/>
        <v>0</v>
      </c>
    </row>
    <row r="10" spans="1:18" ht="12.75" customHeight="1" x14ac:dyDescent="0.3">
      <c r="A10" s="26">
        <f>IF(7&gt;COUNTIF(' Toto teams'!$A$4:$A$119,"&lt;&gt;"),"",INDEX(' Toto teams'!$S$4:$S$119,MATCH(LARGE(' Toto teams'!$T$4:$T$119,7),' Toto teams'!$T$4:$T$119,0)))</f>
        <v>5</v>
      </c>
      <c r="B10" s="27" t="str">
        <f>IF(7&gt;COUNTIF(' Toto teams'!$A$4:$A$119,"&lt;&gt;"),"",INDEX(' Toto teams'!$A$4:$A$119,MATCH(LARGE(' Toto teams'!$T$4:$T$119,7),' Toto teams'!$T$4:$T$119,0)))</f>
        <v>Martynas Bruzga</v>
      </c>
      <c r="C10" s="28">
        <f>IF($B10="","",6*(IFERROR(VLOOKUP(INDEX(' Toto teams'!$B$4:$B$119,MATCH($B10,' Toto teams'!$A$4:$A$119,0)),Scoring!$A$4:$N$51,3,FALSE()),0)+IFERROR(VLOOKUP(INDEX(' Toto teams'!$B$4:$B$119,MATCH($B10,' Toto teams'!$A$4:$A$119,0)),Scoring!$A$4:$N$51,4,FALSE()),0)+IFERROR(VLOOKUP(INDEX(' Toto teams'!$B$4:$B$119,MATCH($B10,' Toto teams'!$A$4:$A$119,0)),Scoring!$A$4:$N$51,5,FALSE()),0))+4*(IFERROR(VLOOKUP(INDEX(' Toto teams'!$C$4:$C$119,MATCH($B10,' Toto teams'!$A$4:$A$119,0)),Scoring!$A$4:$N$51,3,FALSE()),0)+IFERROR(VLOOKUP(INDEX(' Toto teams'!$C$4:$C$119,MATCH($B10,' Toto teams'!$A$4:$A$119,0)),Scoring!$A$4:$N$51,4,FALSE()),0)+IFERROR(VLOOKUP(INDEX(' Toto teams'!$C$4:$C$119,MATCH($B10,' Toto teams'!$A$4:$A$119,0)),Scoring!$A$4:$N$51,5,FALSE()),0))+3*(IFERROR(VLOOKUP(INDEX(' Toto teams'!$D$4:$D$119,MATCH($B10,' Toto teams'!$A$4:$A$119,0)),Scoring!$A$4:$N$51,3,FALSE()),0)+IFERROR(VLOOKUP(INDEX(' Toto teams'!$D$4:$D$119,MATCH($B10,' Toto teams'!$A$4:$A$119,0)),Scoring!$A$4:$N$51,4,FALSE()),0)+IFERROR(VLOOKUP(INDEX(' Toto teams'!$D$4:$D$119,MATCH($B10,' Toto teams'!$A$4:$A$119,0)),Scoring!$A$4:$N$51,5,FALSE()),0))+2*(IFERROR(VLOOKUP(INDEX(' Toto teams'!$E$4:$E$119,MATCH($B10,' Toto teams'!$A$4:$A$119,0)),Scoring!$A$4:$N$51,3,FALSE()),0)+IFERROR(VLOOKUP(INDEX(' Toto teams'!$E$4:$E$119,MATCH($B10,' Toto teams'!$A$4:$A$119,0)),Scoring!$A$4:$N$51,4,FALSE()),0)+IFERROR(VLOOKUP(INDEX(' Toto teams'!$E$4:$E$119,MATCH($B10,' Toto teams'!$A$4:$A$119,0)),Scoring!$A$4:$N$51,5,FALSE()),0))+1*(IFERROR(VLOOKUP(INDEX(' Toto teams'!$F$4:$F$119,MATCH($B10,' Toto teams'!$A$4:$A$119,0)),Scoring!$A$4:$N$51,3,FALSE()),0)+IFERROR(VLOOKUP(INDEX(' Toto teams'!$F$4:$F$119,MATCH($B10,' Toto teams'!$A$4:$A$119,0)),Scoring!$A$4:$N$51,4,FALSE()),0)+IFERROR(VLOOKUP(INDEX(' Toto teams'!$F$4:$F$119,MATCH($B10,' Toto teams'!$A$4:$A$119,0)),Scoring!$A$4:$N$51,5,FALSE()),0))+1*(IFERROR(VLOOKUP(INDEX(' Toto teams'!$G$4:$G$119,MATCH($B10,' Toto teams'!$A$4:$A$119,0)),Scoring!$A$4:$N$51,3,FALSE()),0)+IFERROR(VLOOKUP(INDEX(' Toto teams'!$G$4:$G$119,MATCH($B10,' Toto teams'!$A$4:$A$119,0)),Scoring!$A$4:$N$51,4,FALSE()),0)+IFERROR(VLOOKUP(INDEX(' Toto teams'!$G$4:$G$119,MATCH($B10,' Toto teams'!$A$4:$A$119,0)),Scoring!$A$4:$N$51,5,FALSE()),0))+1*(IFERROR(VLOOKUP(INDEX(' Toto teams'!$H$4:$H$119,MATCH($B10,' Toto teams'!$A$4:$A$119,0)),Scoring!$A$4:$N$51,3,FALSE()),0)+IFERROR(VLOOKUP(INDEX(' Toto teams'!$H$4:$H$119,MATCH($B10,' Toto teams'!$A$4:$A$119,0)),Scoring!$A$4:$N$51,4,FALSE()),0)+IFERROR(VLOOKUP(INDEX(' Toto teams'!$H$4:$H$119,MATCH($B10,' Toto teams'!$A$4:$A$119,0)),Scoring!$A$4:$N$51,5,FALSE()),0))+IFERROR(INDEX(' Toto teams'!$Q$4:$Q$119,MATCH($B10,' Toto teams'!$A$4:$A$119,0))*1,0))</f>
        <v>4</v>
      </c>
      <c r="D10" s="28">
        <f>IF($B10="","",6*IFERROR(VLOOKUP(INDEX(' Toto teams'!$B$4:$B$119,MATCH($B10,' Toto teams'!$A$4:$A$119,0)),Scoring!$A$4:$N$51,7,FALSE()),0)+4*IFERROR(VLOOKUP(INDEX(' Toto teams'!$C$4:$C$119,MATCH($B10,' Toto teams'!$A$4:$A$119,0)),Scoring!$A$4:$N$51,7,FALSE()),0)+3*IFERROR(VLOOKUP(INDEX(' Toto teams'!$D$4:$D$119,MATCH($B10,' Toto teams'!$A$4:$A$119,0)),Scoring!$A$4:$N$51,7,FALSE()),0)+2*IFERROR(VLOOKUP(INDEX(' Toto teams'!$E$4:$E$119,MATCH($B10,' Toto teams'!$A$4:$A$119,0)),Scoring!$A$4:$N$51,7,FALSE()),0)+1*IFERROR(VLOOKUP(INDEX(' Toto teams'!$F$4:$F$119,MATCH($B10,' Toto teams'!$A$4:$A$119,0)),Scoring!$A$4:$N$51,7,FALSE()),0)+1*IFERROR(VLOOKUP(INDEX(' Toto teams'!$G$4:$G$119,MATCH($B10,' Toto teams'!$A$4:$A$119,0)),Scoring!$A$4:$N$51,7,FALSE()),0)+1*IFERROR(VLOOKUP(INDEX(' Toto teams'!$H$4:$H$119,MATCH($B10,' Toto teams'!$A$4:$A$119,0)),Scoring!$A$4:$N$51,7,FALSE()),0))</f>
        <v>0</v>
      </c>
      <c r="E10" s="28">
        <f>IF($B10="","",6*IFERROR(VLOOKUP(INDEX(' Toto teams'!$B$4:$B$119,MATCH($B10,' Toto teams'!$A$4:$A$119,0)),Scoring!$A$4:$N$51,8,FALSE()),0)+4*IFERROR(VLOOKUP(INDEX(' Toto teams'!$C$4:$C$119,MATCH($B10,' Toto teams'!$A$4:$A$119,0)),Scoring!$A$4:$N$51,8,FALSE()),0)+3*IFERROR(VLOOKUP(INDEX(' Toto teams'!$D$4:$D$119,MATCH($B10,' Toto teams'!$A$4:$A$119,0)),Scoring!$A$4:$N$51,8,FALSE()),0)+2*IFERROR(VLOOKUP(INDEX(' Toto teams'!$E$4:$E$119,MATCH($B10,' Toto teams'!$A$4:$A$119,0)),Scoring!$A$4:$N$51,8,FALSE()),0)+1*IFERROR(VLOOKUP(INDEX(' Toto teams'!$F$4:$F$119,MATCH($B10,' Toto teams'!$A$4:$A$119,0)),Scoring!$A$4:$N$51,8,FALSE()),0)+1*IFERROR(VLOOKUP(INDEX(' Toto teams'!$G$4:$G$119,MATCH($B10,' Toto teams'!$A$4:$A$119,0)),Scoring!$A$4:$N$51,8,FALSE()),0)+1*IFERROR(VLOOKUP(INDEX(' Toto teams'!$H$4:$H$119,MATCH($B10,' Toto teams'!$A$4:$A$119,0)),Scoring!$A$4:$N$51,8,FALSE()),0))</f>
        <v>0</v>
      </c>
      <c r="F10" s="28">
        <f>IF($B10="","",6*IFERROR(VLOOKUP(INDEX(' Toto teams'!$B$4:$B$119,MATCH($B10,' Toto teams'!$A$4:$A$119,0)),Scoring!$A$4:$N$51,9,FALSE()),0)+4*IFERROR(VLOOKUP(INDEX(' Toto teams'!$C$4:$C$119,MATCH($B10,' Toto teams'!$A$4:$A$119,0)),Scoring!$A$4:$N$51,9,FALSE()),0)+3*IFERROR(VLOOKUP(INDEX(' Toto teams'!$D$4:$D$119,MATCH($B10,' Toto teams'!$A$4:$A$119,0)),Scoring!$A$4:$N$51,9,FALSE()),0)+2*IFERROR(VLOOKUP(INDEX(' Toto teams'!$E$4:$E$119,MATCH($B10,' Toto teams'!$A$4:$A$119,0)),Scoring!$A$4:$N$51,9,FALSE()),0)+1*IFERROR(VLOOKUP(INDEX(' Toto teams'!$F$4:$F$119,MATCH($B10,' Toto teams'!$A$4:$A$119,0)),Scoring!$A$4:$N$51,9,FALSE()),0)+1*IFERROR(VLOOKUP(INDEX(' Toto teams'!$G$4:$G$119,MATCH($B10,' Toto teams'!$A$4:$A$119,0)),Scoring!$A$4:$N$51,9,FALSE()),0)+1*IFERROR(VLOOKUP(INDEX(' Toto teams'!$H$4:$H$119,MATCH($B10,' Toto teams'!$A$4:$A$119,0)),Scoring!$A$4:$N$51,9,FALSE()),0))</f>
        <v>0</v>
      </c>
      <c r="G10" s="28">
        <f>IF($B10="","",6*IFERROR(VLOOKUP(INDEX(' Toto teams'!$B$4:$B$119,MATCH($B10,' Toto teams'!$A$4:$A$119,0)),Scoring!$A$4:$N$51,10,FALSE()),0)+4*IFERROR(VLOOKUP(INDEX(' Toto teams'!$C$4:$C$119,MATCH($B10,' Toto teams'!$A$4:$A$119,0)),Scoring!$A$4:$N$51,10,FALSE()),0)+3*IFERROR(VLOOKUP(INDEX(' Toto teams'!$D$4:$D$119,MATCH($B10,' Toto teams'!$A$4:$A$119,0)),Scoring!$A$4:$N$51,10,FALSE()),0)+2*IFERROR(VLOOKUP(INDEX(' Toto teams'!$E$4:$E$119,MATCH($B10,' Toto teams'!$A$4:$A$119,0)),Scoring!$A$4:$N$51,10,FALSE()),0)+1*IFERROR(VLOOKUP(INDEX(' Toto teams'!$F$4:$F$119,MATCH($B10,' Toto teams'!$A$4:$A$119,0)),Scoring!$A$4:$N$51,10,FALSE()),0)+1*IFERROR(VLOOKUP(INDEX(' Toto teams'!$G$4:$G$119,MATCH($B10,' Toto teams'!$A$4:$A$119,0)),Scoring!$A$4:$N$51,10,FALSE()),0)+1*IFERROR(VLOOKUP(INDEX(' Toto teams'!$H$4:$H$119,MATCH($B10,' Toto teams'!$A$4:$A$119,0)),Scoring!$A$4:$N$51,10,FALSE()),0))</f>
        <v>0</v>
      </c>
      <c r="H10" s="28">
        <f>IF($B10="","",6*IFERROR(VLOOKUP(INDEX(' Toto teams'!$B$4:$B$119,MATCH($B10,' Toto teams'!$A$4:$A$119,0)),Scoring!$A$4:$N$51,11,FALSE()),0)+4*IFERROR(VLOOKUP(INDEX(' Toto teams'!$C$4:$C$119,MATCH($B10,' Toto teams'!$A$4:$A$119,0)),Scoring!$A$4:$N$51,11,FALSE()),0)+3*IFERROR(VLOOKUP(INDEX(' Toto teams'!$D$4:$D$119,MATCH($B10,' Toto teams'!$A$4:$A$119,0)),Scoring!$A$4:$N$51,11,FALSE()),0)+2*IFERROR(VLOOKUP(INDEX(' Toto teams'!$E$4:$E$119,MATCH($B10,' Toto teams'!$A$4:$A$119,0)),Scoring!$A$4:$N$51,11,FALSE()),0)+1*IFERROR(VLOOKUP(INDEX(' Toto teams'!$F$4:$F$119,MATCH($B10,' Toto teams'!$A$4:$A$119,0)),Scoring!$A$4:$N$51,11,FALSE()),0)+1*IFERROR(VLOOKUP(INDEX(' Toto teams'!$G$4:$G$119,MATCH($B10,' Toto teams'!$A$4:$A$119,0)),Scoring!$A$4:$N$51,11,FALSE()),0)+1*IFERROR(VLOOKUP(INDEX(' Toto teams'!$H$4:$H$119,MATCH($B10,' Toto teams'!$A$4:$A$119,0)),Scoring!$A$4:$N$51,11,FALSE()),0))</f>
        <v>0</v>
      </c>
      <c r="I10" s="28">
        <f>IF($B10="","",6*IFERROR(VLOOKUP(INDEX(' Toto teams'!$B$4:$B$119,MATCH($B10,' Toto teams'!$A$4:$A$119,0)),Scoring!$A$4:$O$51,15,FALSE()),0)+4*IFERROR(VLOOKUP(INDEX(' Toto teams'!$C$4:$C$119,MATCH($B10,' Toto teams'!$A$4:$A$119,0)),Scoring!$A$4:$O$51,15,FALSE()),0)+3*IFERROR(VLOOKUP(INDEX(' Toto teams'!$D$4:$D$119,MATCH($B10,' Toto teams'!$A$4:$A$119,0)),Scoring!$A$4:$O$51,15,FALSE()),0)+2*IFERROR(VLOOKUP(INDEX(' Toto teams'!$E$4:$E$119,MATCH($B10,' Toto teams'!$A$4:$A$119,0)),Scoring!$A$4:$O$51,15,FALSE()),0)+1*IFERROR(VLOOKUP(INDEX(' Toto teams'!$F$4:$F$119,MATCH($B10,' Toto teams'!$A$4:$A$119,0)),Scoring!$A$4:$O$51,15,FALSE()),0)+1*IFERROR(VLOOKUP(INDEX(' Toto teams'!$G$4:$G$119,MATCH($B10,' Toto teams'!$A$4:$A$119,0)),Scoring!$A$4:$O$51,15,FALSE()),0)+1*IFERROR(VLOOKUP(INDEX(' Toto teams'!$H$4:$H$119,MATCH($B10,' Toto teams'!$A$4:$A$119,0)),Scoring!$A$4:$O$51,15,FALSE()),0))</f>
        <v>0</v>
      </c>
      <c r="J10" s="28">
        <f>IF($B10="","",6*IFERROR(VLOOKUP(INDEX(' Toto teams'!$B$4:$B$119,MATCH($B10,' Toto teams'!$A$4:$A$119,0)),Scoring!$A$4:$N$51,12,FALSE()),0)+4*IFERROR(VLOOKUP(INDEX(' Toto teams'!$C$4:$C$119,MATCH($B10,' Toto teams'!$A$4:$A$119,0)),Scoring!$A$4:$N$51,12,FALSE()),0)+3*IFERROR(VLOOKUP(INDEX(' Toto teams'!$D$4:$D$119,MATCH($B10,' Toto teams'!$A$4:$A$119,0)),Scoring!$A$4:$N$51,12,FALSE()),0)+2*IFERROR(VLOOKUP(INDEX(' Toto teams'!$E$4:$E$119,MATCH($B10,' Toto teams'!$A$4:$A$119,0)),Scoring!$A$4:$N$51,12,FALSE()),0)+1*IFERROR(VLOOKUP(INDEX(' Toto teams'!$F$4:$F$119,MATCH($B10,' Toto teams'!$A$4:$A$119,0)),Scoring!$A$4:$N$51,12,FALSE()),0)+1*IFERROR(VLOOKUP(INDEX(' Toto teams'!$G$4:$G$119,MATCH($B10,' Toto teams'!$A$4:$A$119,0)),Scoring!$A$4:$N$51,12,FALSE()),0)+1*IFERROR(VLOOKUP(INDEX(' Toto teams'!$H$4:$H$119,MATCH($B10,' Toto teams'!$A$4:$A$119,0)),Scoring!$A$4:$N$51,12,FALSE()),0))</f>
        <v>0</v>
      </c>
      <c r="K10" s="29">
        <f>IF($B10="","",IFERROR(INDEX(' Toto teams'!$R$4:$R$119,MATCH($B10,' Toto teams'!$A$4:$A$119,0)),""))</f>
        <v>4</v>
      </c>
      <c r="L10" s="30">
        <f t="shared" si="0"/>
        <v>27.794117647058822</v>
      </c>
      <c r="N10" s="31">
        <v>7</v>
      </c>
      <c r="O10" s="32">
        <v>2.5000000000000001E-2</v>
      </c>
      <c r="P10" s="33">
        <f t="shared" si="1"/>
        <v>78.75</v>
      </c>
      <c r="Q10" s="31">
        <f t="shared" si="2"/>
        <v>0</v>
      </c>
      <c r="R10" s="34">
        <f t="shared" si="3"/>
        <v>0</v>
      </c>
    </row>
    <row r="11" spans="1:18" ht="12.75" customHeight="1" x14ac:dyDescent="0.3">
      <c r="A11" s="26">
        <f>IF(8&gt;COUNTIF(' Toto teams'!$A$4:$A$119,"&lt;&gt;"),"",INDEX(' Toto teams'!$S$4:$S$119,MATCH(LARGE(' Toto teams'!$T$4:$T$119,8),' Toto teams'!$T$4:$T$119,0)))</f>
        <v>5</v>
      </c>
      <c r="B11" s="27" t="str">
        <f>IF(8&gt;COUNTIF(' Toto teams'!$A$4:$A$119,"&lt;&gt;"),"",INDEX(' Toto teams'!$A$4:$A$119,MATCH(LARGE(' Toto teams'!$T$4:$T$119,8),' Toto teams'!$T$4:$T$119,0)))</f>
        <v>Virginija Čižauskienė</v>
      </c>
      <c r="C11" s="28">
        <f>IF($B11="","",6*(IFERROR(VLOOKUP(INDEX(' Toto teams'!$B$4:$B$119,MATCH($B11,' Toto teams'!$A$4:$A$119,0)),Scoring!$A$4:$N$51,3,FALSE()),0)+IFERROR(VLOOKUP(INDEX(' Toto teams'!$B$4:$B$119,MATCH($B11,' Toto teams'!$A$4:$A$119,0)),Scoring!$A$4:$N$51,4,FALSE()),0)+IFERROR(VLOOKUP(INDEX(' Toto teams'!$B$4:$B$119,MATCH($B11,' Toto teams'!$A$4:$A$119,0)),Scoring!$A$4:$N$51,5,FALSE()),0))+4*(IFERROR(VLOOKUP(INDEX(' Toto teams'!$C$4:$C$119,MATCH($B11,' Toto teams'!$A$4:$A$119,0)),Scoring!$A$4:$N$51,3,FALSE()),0)+IFERROR(VLOOKUP(INDEX(' Toto teams'!$C$4:$C$119,MATCH($B11,' Toto teams'!$A$4:$A$119,0)),Scoring!$A$4:$N$51,4,FALSE()),0)+IFERROR(VLOOKUP(INDEX(' Toto teams'!$C$4:$C$119,MATCH($B11,' Toto teams'!$A$4:$A$119,0)),Scoring!$A$4:$N$51,5,FALSE()),0))+3*(IFERROR(VLOOKUP(INDEX(' Toto teams'!$D$4:$D$119,MATCH($B11,' Toto teams'!$A$4:$A$119,0)),Scoring!$A$4:$N$51,3,FALSE()),0)+IFERROR(VLOOKUP(INDEX(' Toto teams'!$D$4:$D$119,MATCH($B11,' Toto teams'!$A$4:$A$119,0)),Scoring!$A$4:$N$51,4,FALSE()),0)+IFERROR(VLOOKUP(INDEX(' Toto teams'!$D$4:$D$119,MATCH($B11,' Toto teams'!$A$4:$A$119,0)),Scoring!$A$4:$N$51,5,FALSE()),0))+2*(IFERROR(VLOOKUP(INDEX(' Toto teams'!$E$4:$E$119,MATCH($B11,' Toto teams'!$A$4:$A$119,0)),Scoring!$A$4:$N$51,3,FALSE()),0)+IFERROR(VLOOKUP(INDEX(' Toto teams'!$E$4:$E$119,MATCH($B11,' Toto teams'!$A$4:$A$119,0)),Scoring!$A$4:$N$51,4,FALSE()),0)+IFERROR(VLOOKUP(INDEX(' Toto teams'!$E$4:$E$119,MATCH($B11,' Toto teams'!$A$4:$A$119,0)),Scoring!$A$4:$N$51,5,FALSE()),0))+1*(IFERROR(VLOOKUP(INDEX(' Toto teams'!$F$4:$F$119,MATCH($B11,' Toto teams'!$A$4:$A$119,0)),Scoring!$A$4:$N$51,3,FALSE()),0)+IFERROR(VLOOKUP(INDEX(' Toto teams'!$F$4:$F$119,MATCH($B11,' Toto teams'!$A$4:$A$119,0)),Scoring!$A$4:$N$51,4,FALSE()),0)+IFERROR(VLOOKUP(INDEX(' Toto teams'!$F$4:$F$119,MATCH($B11,' Toto teams'!$A$4:$A$119,0)),Scoring!$A$4:$N$51,5,FALSE()),0))+1*(IFERROR(VLOOKUP(INDEX(' Toto teams'!$G$4:$G$119,MATCH($B11,' Toto teams'!$A$4:$A$119,0)),Scoring!$A$4:$N$51,3,FALSE()),0)+IFERROR(VLOOKUP(INDEX(' Toto teams'!$G$4:$G$119,MATCH($B11,' Toto teams'!$A$4:$A$119,0)),Scoring!$A$4:$N$51,4,FALSE()),0)+IFERROR(VLOOKUP(INDEX(' Toto teams'!$G$4:$G$119,MATCH($B11,' Toto teams'!$A$4:$A$119,0)),Scoring!$A$4:$N$51,5,FALSE()),0))+1*(IFERROR(VLOOKUP(INDEX(' Toto teams'!$H$4:$H$119,MATCH($B11,' Toto teams'!$A$4:$A$119,0)),Scoring!$A$4:$N$51,3,FALSE()),0)+IFERROR(VLOOKUP(INDEX(' Toto teams'!$H$4:$H$119,MATCH($B11,' Toto teams'!$A$4:$A$119,0)),Scoring!$A$4:$N$51,4,FALSE()),0)+IFERROR(VLOOKUP(INDEX(' Toto teams'!$H$4:$H$119,MATCH($B11,' Toto teams'!$A$4:$A$119,0)),Scoring!$A$4:$N$51,5,FALSE()),0))+IFERROR(INDEX(' Toto teams'!$Q$4:$Q$119,MATCH($B11,' Toto teams'!$A$4:$A$119,0))*1,0))</f>
        <v>4</v>
      </c>
      <c r="D11" s="28">
        <f>IF($B11="","",6*IFERROR(VLOOKUP(INDEX(' Toto teams'!$B$4:$B$119,MATCH($B11,' Toto teams'!$A$4:$A$119,0)),Scoring!$A$4:$N$51,7,FALSE()),0)+4*IFERROR(VLOOKUP(INDEX(' Toto teams'!$C$4:$C$119,MATCH($B11,' Toto teams'!$A$4:$A$119,0)),Scoring!$A$4:$N$51,7,FALSE()),0)+3*IFERROR(VLOOKUP(INDEX(' Toto teams'!$D$4:$D$119,MATCH($B11,' Toto teams'!$A$4:$A$119,0)),Scoring!$A$4:$N$51,7,FALSE()),0)+2*IFERROR(VLOOKUP(INDEX(' Toto teams'!$E$4:$E$119,MATCH($B11,' Toto teams'!$A$4:$A$119,0)),Scoring!$A$4:$N$51,7,FALSE()),0)+1*IFERROR(VLOOKUP(INDEX(' Toto teams'!$F$4:$F$119,MATCH($B11,' Toto teams'!$A$4:$A$119,0)),Scoring!$A$4:$N$51,7,FALSE()),0)+1*IFERROR(VLOOKUP(INDEX(' Toto teams'!$G$4:$G$119,MATCH($B11,' Toto teams'!$A$4:$A$119,0)),Scoring!$A$4:$N$51,7,FALSE()),0)+1*IFERROR(VLOOKUP(INDEX(' Toto teams'!$H$4:$H$119,MATCH($B11,' Toto teams'!$A$4:$A$119,0)),Scoring!$A$4:$N$51,7,FALSE()),0))</f>
        <v>0</v>
      </c>
      <c r="E11" s="28">
        <f>IF($B11="","",6*IFERROR(VLOOKUP(INDEX(' Toto teams'!$B$4:$B$119,MATCH($B11,' Toto teams'!$A$4:$A$119,0)),Scoring!$A$4:$N$51,8,FALSE()),0)+4*IFERROR(VLOOKUP(INDEX(' Toto teams'!$C$4:$C$119,MATCH($B11,' Toto teams'!$A$4:$A$119,0)),Scoring!$A$4:$N$51,8,FALSE()),0)+3*IFERROR(VLOOKUP(INDEX(' Toto teams'!$D$4:$D$119,MATCH($B11,' Toto teams'!$A$4:$A$119,0)),Scoring!$A$4:$N$51,8,FALSE()),0)+2*IFERROR(VLOOKUP(INDEX(' Toto teams'!$E$4:$E$119,MATCH($B11,' Toto teams'!$A$4:$A$119,0)),Scoring!$A$4:$N$51,8,FALSE()),0)+1*IFERROR(VLOOKUP(INDEX(' Toto teams'!$F$4:$F$119,MATCH($B11,' Toto teams'!$A$4:$A$119,0)),Scoring!$A$4:$N$51,8,FALSE()),0)+1*IFERROR(VLOOKUP(INDEX(' Toto teams'!$G$4:$G$119,MATCH($B11,' Toto teams'!$A$4:$A$119,0)),Scoring!$A$4:$N$51,8,FALSE()),0)+1*IFERROR(VLOOKUP(INDEX(' Toto teams'!$H$4:$H$119,MATCH($B11,' Toto teams'!$A$4:$A$119,0)),Scoring!$A$4:$N$51,8,FALSE()),0))</f>
        <v>0</v>
      </c>
      <c r="F11" s="28">
        <f>IF($B11="","",6*IFERROR(VLOOKUP(INDEX(' Toto teams'!$B$4:$B$119,MATCH($B11,' Toto teams'!$A$4:$A$119,0)),Scoring!$A$4:$N$51,9,FALSE()),0)+4*IFERROR(VLOOKUP(INDEX(' Toto teams'!$C$4:$C$119,MATCH($B11,' Toto teams'!$A$4:$A$119,0)),Scoring!$A$4:$N$51,9,FALSE()),0)+3*IFERROR(VLOOKUP(INDEX(' Toto teams'!$D$4:$D$119,MATCH($B11,' Toto teams'!$A$4:$A$119,0)),Scoring!$A$4:$N$51,9,FALSE()),0)+2*IFERROR(VLOOKUP(INDEX(' Toto teams'!$E$4:$E$119,MATCH($B11,' Toto teams'!$A$4:$A$119,0)),Scoring!$A$4:$N$51,9,FALSE()),0)+1*IFERROR(VLOOKUP(INDEX(' Toto teams'!$F$4:$F$119,MATCH($B11,' Toto teams'!$A$4:$A$119,0)),Scoring!$A$4:$N$51,9,FALSE()),0)+1*IFERROR(VLOOKUP(INDEX(' Toto teams'!$G$4:$G$119,MATCH($B11,' Toto teams'!$A$4:$A$119,0)),Scoring!$A$4:$N$51,9,FALSE()),0)+1*IFERROR(VLOOKUP(INDEX(' Toto teams'!$H$4:$H$119,MATCH($B11,' Toto teams'!$A$4:$A$119,0)),Scoring!$A$4:$N$51,9,FALSE()),0))</f>
        <v>0</v>
      </c>
      <c r="G11" s="28">
        <f>IF($B11="","",6*IFERROR(VLOOKUP(INDEX(' Toto teams'!$B$4:$B$119,MATCH($B11,' Toto teams'!$A$4:$A$119,0)),Scoring!$A$4:$N$51,10,FALSE()),0)+4*IFERROR(VLOOKUP(INDEX(' Toto teams'!$C$4:$C$119,MATCH($B11,' Toto teams'!$A$4:$A$119,0)),Scoring!$A$4:$N$51,10,FALSE()),0)+3*IFERROR(VLOOKUP(INDEX(' Toto teams'!$D$4:$D$119,MATCH($B11,' Toto teams'!$A$4:$A$119,0)),Scoring!$A$4:$N$51,10,FALSE()),0)+2*IFERROR(VLOOKUP(INDEX(' Toto teams'!$E$4:$E$119,MATCH($B11,' Toto teams'!$A$4:$A$119,0)),Scoring!$A$4:$N$51,10,FALSE()),0)+1*IFERROR(VLOOKUP(INDEX(' Toto teams'!$F$4:$F$119,MATCH($B11,' Toto teams'!$A$4:$A$119,0)),Scoring!$A$4:$N$51,10,FALSE()),0)+1*IFERROR(VLOOKUP(INDEX(' Toto teams'!$G$4:$G$119,MATCH($B11,' Toto teams'!$A$4:$A$119,0)),Scoring!$A$4:$N$51,10,FALSE()),0)+1*IFERROR(VLOOKUP(INDEX(' Toto teams'!$H$4:$H$119,MATCH($B11,' Toto teams'!$A$4:$A$119,0)),Scoring!$A$4:$N$51,10,FALSE()),0))</f>
        <v>0</v>
      </c>
      <c r="H11" s="28">
        <f>IF($B11="","",6*IFERROR(VLOOKUP(INDEX(' Toto teams'!$B$4:$B$119,MATCH($B11,' Toto teams'!$A$4:$A$119,0)),Scoring!$A$4:$N$51,11,FALSE()),0)+4*IFERROR(VLOOKUP(INDEX(' Toto teams'!$C$4:$C$119,MATCH($B11,' Toto teams'!$A$4:$A$119,0)),Scoring!$A$4:$N$51,11,FALSE()),0)+3*IFERROR(VLOOKUP(INDEX(' Toto teams'!$D$4:$D$119,MATCH($B11,' Toto teams'!$A$4:$A$119,0)),Scoring!$A$4:$N$51,11,FALSE()),0)+2*IFERROR(VLOOKUP(INDEX(' Toto teams'!$E$4:$E$119,MATCH($B11,' Toto teams'!$A$4:$A$119,0)),Scoring!$A$4:$N$51,11,FALSE()),0)+1*IFERROR(VLOOKUP(INDEX(' Toto teams'!$F$4:$F$119,MATCH($B11,' Toto teams'!$A$4:$A$119,0)),Scoring!$A$4:$N$51,11,FALSE()),0)+1*IFERROR(VLOOKUP(INDEX(' Toto teams'!$G$4:$G$119,MATCH($B11,' Toto teams'!$A$4:$A$119,0)),Scoring!$A$4:$N$51,11,FALSE()),0)+1*IFERROR(VLOOKUP(INDEX(' Toto teams'!$H$4:$H$119,MATCH($B11,' Toto teams'!$A$4:$A$119,0)),Scoring!$A$4:$N$51,11,FALSE()),0))</f>
        <v>0</v>
      </c>
      <c r="I11" s="28">
        <f>IF($B11="","",6*IFERROR(VLOOKUP(INDEX(' Toto teams'!$B$4:$B$119,MATCH($B11,' Toto teams'!$A$4:$A$119,0)),Scoring!$A$4:$O$51,15,FALSE()),0)+4*IFERROR(VLOOKUP(INDEX(' Toto teams'!$C$4:$C$119,MATCH($B11,' Toto teams'!$A$4:$A$119,0)),Scoring!$A$4:$O$51,15,FALSE()),0)+3*IFERROR(VLOOKUP(INDEX(' Toto teams'!$D$4:$D$119,MATCH($B11,' Toto teams'!$A$4:$A$119,0)),Scoring!$A$4:$O$51,15,FALSE()),0)+2*IFERROR(VLOOKUP(INDEX(' Toto teams'!$E$4:$E$119,MATCH($B11,' Toto teams'!$A$4:$A$119,0)),Scoring!$A$4:$O$51,15,FALSE()),0)+1*IFERROR(VLOOKUP(INDEX(' Toto teams'!$F$4:$F$119,MATCH($B11,' Toto teams'!$A$4:$A$119,0)),Scoring!$A$4:$O$51,15,FALSE()),0)+1*IFERROR(VLOOKUP(INDEX(' Toto teams'!$G$4:$G$119,MATCH($B11,' Toto teams'!$A$4:$A$119,0)),Scoring!$A$4:$O$51,15,FALSE()),0)+1*IFERROR(VLOOKUP(INDEX(' Toto teams'!$H$4:$H$119,MATCH($B11,' Toto teams'!$A$4:$A$119,0)),Scoring!$A$4:$O$51,15,FALSE()),0))</f>
        <v>0</v>
      </c>
      <c r="J11" s="28">
        <f>IF($B11="","",6*IFERROR(VLOOKUP(INDEX(' Toto teams'!$B$4:$B$119,MATCH($B11,' Toto teams'!$A$4:$A$119,0)),Scoring!$A$4:$N$51,12,FALSE()),0)+4*IFERROR(VLOOKUP(INDEX(' Toto teams'!$C$4:$C$119,MATCH($B11,' Toto teams'!$A$4:$A$119,0)),Scoring!$A$4:$N$51,12,FALSE()),0)+3*IFERROR(VLOOKUP(INDEX(' Toto teams'!$D$4:$D$119,MATCH($B11,' Toto teams'!$A$4:$A$119,0)),Scoring!$A$4:$N$51,12,FALSE()),0)+2*IFERROR(VLOOKUP(INDEX(' Toto teams'!$E$4:$E$119,MATCH($B11,' Toto teams'!$A$4:$A$119,0)),Scoring!$A$4:$N$51,12,FALSE()),0)+1*IFERROR(VLOOKUP(INDEX(' Toto teams'!$F$4:$F$119,MATCH($B11,' Toto teams'!$A$4:$A$119,0)),Scoring!$A$4:$N$51,12,FALSE()),0)+1*IFERROR(VLOOKUP(INDEX(' Toto teams'!$G$4:$G$119,MATCH($B11,' Toto teams'!$A$4:$A$119,0)),Scoring!$A$4:$N$51,12,FALSE()),0)+1*IFERROR(VLOOKUP(INDEX(' Toto teams'!$H$4:$H$119,MATCH($B11,' Toto teams'!$A$4:$A$119,0)),Scoring!$A$4:$N$51,12,FALSE()),0))</f>
        <v>0</v>
      </c>
      <c r="K11" s="29">
        <f>IF($B11="","",IFERROR(INDEX(' Toto teams'!$R$4:$R$119,MATCH($B11,' Toto teams'!$A$4:$A$119,0)),""))</f>
        <v>4</v>
      </c>
      <c r="L11" s="30">
        <f t="shared" si="0"/>
        <v>27.794117647058822</v>
      </c>
      <c r="N11" s="31">
        <v>8</v>
      </c>
      <c r="O11" s="32">
        <v>2.5000000000000001E-2</v>
      </c>
      <c r="P11" s="33">
        <f t="shared" si="1"/>
        <v>78.75</v>
      </c>
      <c r="Q11" s="31">
        <f t="shared" si="2"/>
        <v>0</v>
      </c>
      <c r="R11" s="34">
        <f t="shared" si="3"/>
        <v>0</v>
      </c>
    </row>
    <row r="12" spans="1:18" ht="12.75" customHeight="1" x14ac:dyDescent="0.3">
      <c r="A12" s="26">
        <f>IF(9&gt;COUNTIF(' Toto teams'!$A$4:$A$119,"&lt;&gt;"),"",INDEX(' Toto teams'!$S$4:$S$119,MATCH(LARGE(' Toto teams'!$T$4:$T$119,9),' Toto teams'!$T$4:$T$119,0)))</f>
        <v>5</v>
      </c>
      <c r="B12" s="27" t="str">
        <f>IF(9&gt;COUNTIF(' Toto teams'!$A$4:$A$119,"&lt;&gt;"),"",INDEX(' Toto teams'!$A$4:$A$119,MATCH(LARGE(' Toto teams'!$T$4:$T$119,9),' Toto teams'!$T$4:$T$119,0)))</f>
        <v>Titas Jodenis</v>
      </c>
      <c r="C12" s="28">
        <f>IF($B12="","",6*(IFERROR(VLOOKUP(INDEX(' Toto teams'!$B$4:$B$119,MATCH($B12,' Toto teams'!$A$4:$A$119,0)),Scoring!$A$4:$N$51,3,FALSE()),0)+IFERROR(VLOOKUP(INDEX(' Toto teams'!$B$4:$B$119,MATCH($B12,' Toto teams'!$A$4:$A$119,0)),Scoring!$A$4:$N$51,4,FALSE()),0)+IFERROR(VLOOKUP(INDEX(' Toto teams'!$B$4:$B$119,MATCH($B12,' Toto teams'!$A$4:$A$119,0)),Scoring!$A$4:$N$51,5,FALSE()),0))+4*(IFERROR(VLOOKUP(INDEX(' Toto teams'!$C$4:$C$119,MATCH($B12,' Toto teams'!$A$4:$A$119,0)),Scoring!$A$4:$N$51,3,FALSE()),0)+IFERROR(VLOOKUP(INDEX(' Toto teams'!$C$4:$C$119,MATCH($B12,' Toto teams'!$A$4:$A$119,0)),Scoring!$A$4:$N$51,4,FALSE()),0)+IFERROR(VLOOKUP(INDEX(' Toto teams'!$C$4:$C$119,MATCH($B12,' Toto teams'!$A$4:$A$119,0)),Scoring!$A$4:$N$51,5,FALSE()),0))+3*(IFERROR(VLOOKUP(INDEX(' Toto teams'!$D$4:$D$119,MATCH($B12,' Toto teams'!$A$4:$A$119,0)),Scoring!$A$4:$N$51,3,FALSE()),0)+IFERROR(VLOOKUP(INDEX(' Toto teams'!$D$4:$D$119,MATCH($B12,' Toto teams'!$A$4:$A$119,0)),Scoring!$A$4:$N$51,4,FALSE()),0)+IFERROR(VLOOKUP(INDEX(' Toto teams'!$D$4:$D$119,MATCH($B12,' Toto teams'!$A$4:$A$119,0)),Scoring!$A$4:$N$51,5,FALSE()),0))+2*(IFERROR(VLOOKUP(INDEX(' Toto teams'!$E$4:$E$119,MATCH($B12,' Toto teams'!$A$4:$A$119,0)),Scoring!$A$4:$N$51,3,FALSE()),0)+IFERROR(VLOOKUP(INDEX(' Toto teams'!$E$4:$E$119,MATCH($B12,' Toto teams'!$A$4:$A$119,0)),Scoring!$A$4:$N$51,4,FALSE()),0)+IFERROR(VLOOKUP(INDEX(' Toto teams'!$E$4:$E$119,MATCH($B12,' Toto teams'!$A$4:$A$119,0)),Scoring!$A$4:$N$51,5,FALSE()),0))+1*(IFERROR(VLOOKUP(INDEX(' Toto teams'!$F$4:$F$119,MATCH($B12,' Toto teams'!$A$4:$A$119,0)),Scoring!$A$4:$N$51,3,FALSE()),0)+IFERROR(VLOOKUP(INDEX(' Toto teams'!$F$4:$F$119,MATCH($B12,' Toto teams'!$A$4:$A$119,0)),Scoring!$A$4:$N$51,4,FALSE()),0)+IFERROR(VLOOKUP(INDEX(' Toto teams'!$F$4:$F$119,MATCH($B12,' Toto teams'!$A$4:$A$119,0)),Scoring!$A$4:$N$51,5,FALSE()),0))+1*(IFERROR(VLOOKUP(INDEX(' Toto teams'!$G$4:$G$119,MATCH($B12,' Toto teams'!$A$4:$A$119,0)),Scoring!$A$4:$N$51,3,FALSE()),0)+IFERROR(VLOOKUP(INDEX(' Toto teams'!$G$4:$G$119,MATCH($B12,' Toto teams'!$A$4:$A$119,0)),Scoring!$A$4:$N$51,4,FALSE()),0)+IFERROR(VLOOKUP(INDEX(' Toto teams'!$G$4:$G$119,MATCH($B12,' Toto teams'!$A$4:$A$119,0)),Scoring!$A$4:$N$51,5,FALSE()),0))+1*(IFERROR(VLOOKUP(INDEX(' Toto teams'!$H$4:$H$119,MATCH($B12,' Toto teams'!$A$4:$A$119,0)),Scoring!$A$4:$N$51,3,FALSE()),0)+IFERROR(VLOOKUP(INDEX(' Toto teams'!$H$4:$H$119,MATCH($B12,' Toto teams'!$A$4:$A$119,0)),Scoring!$A$4:$N$51,4,FALSE()),0)+IFERROR(VLOOKUP(INDEX(' Toto teams'!$H$4:$H$119,MATCH($B12,' Toto teams'!$A$4:$A$119,0)),Scoring!$A$4:$N$51,5,FALSE()),0))+IFERROR(INDEX(' Toto teams'!$Q$4:$Q$119,MATCH($B12,' Toto teams'!$A$4:$A$119,0))*1,0))</f>
        <v>4</v>
      </c>
      <c r="D12" s="28">
        <f>IF($B12="","",6*IFERROR(VLOOKUP(INDEX(' Toto teams'!$B$4:$B$119,MATCH($B12,' Toto teams'!$A$4:$A$119,0)),Scoring!$A$4:$N$51,7,FALSE()),0)+4*IFERROR(VLOOKUP(INDEX(' Toto teams'!$C$4:$C$119,MATCH($B12,' Toto teams'!$A$4:$A$119,0)),Scoring!$A$4:$N$51,7,FALSE()),0)+3*IFERROR(VLOOKUP(INDEX(' Toto teams'!$D$4:$D$119,MATCH($B12,' Toto teams'!$A$4:$A$119,0)),Scoring!$A$4:$N$51,7,FALSE()),0)+2*IFERROR(VLOOKUP(INDEX(' Toto teams'!$E$4:$E$119,MATCH($B12,' Toto teams'!$A$4:$A$119,0)),Scoring!$A$4:$N$51,7,FALSE()),0)+1*IFERROR(VLOOKUP(INDEX(' Toto teams'!$F$4:$F$119,MATCH($B12,' Toto teams'!$A$4:$A$119,0)),Scoring!$A$4:$N$51,7,FALSE()),0)+1*IFERROR(VLOOKUP(INDEX(' Toto teams'!$G$4:$G$119,MATCH($B12,' Toto teams'!$A$4:$A$119,0)),Scoring!$A$4:$N$51,7,FALSE()),0)+1*IFERROR(VLOOKUP(INDEX(' Toto teams'!$H$4:$H$119,MATCH($B12,' Toto teams'!$A$4:$A$119,0)),Scoring!$A$4:$N$51,7,FALSE()),0))</f>
        <v>0</v>
      </c>
      <c r="E12" s="28">
        <f>IF($B12="","",6*IFERROR(VLOOKUP(INDEX(' Toto teams'!$B$4:$B$119,MATCH($B12,' Toto teams'!$A$4:$A$119,0)),Scoring!$A$4:$N$51,8,FALSE()),0)+4*IFERROR(VLOOKUP(INDEX(' Toto teams'!$C$4:$C$119,MATCH($B12,' Toto teams'!$A$4:$A$119,0)),Scoring!$A$4:$N$51,8,FALSE()),0)+3*IFERROR(VLOOKUP(INDEX(' Toto teams'!$D$4:$D$119,MATCH($B12,' Toto teams'!$A$4:$A$119,0)),Scoring!$A$4:$N$51,8,FALSE()),0)+2*IFERROR(VLOOKUP(INDEX(' Toto teams'!$E$4:$E$119,MATCH($B12,' Toto teams'!$A$4:$A$119,0)),Scoring!$A$4:$N$51,8,FALSE()),0)+1*IFERROR(VLOOKUP(INDEX(' Toto teams'!$F$4:$F$119,MATCH($B12,' Toto teams'!$A$4:$A$119,0)),Scoring!$A$4:$N$51,8,FALSE()),0)+1*IFERROR(VLOOKUP(INDEX(' Toto teams'!$G$4:$G$119,MATCH($B12,' Toto teams'!$A$4:$A$119,0)),Scoring!$A$4:$N$51,8,FALSE()),0)+1*IFERROR(VLOOKUP(INDEX(' Toto teams'!$H$4:$H$119,MATCH($B12,' Toto teams'!$A$4:$A$119,0)),Scoring!$A$4:$N$51,8,FALSE()),0))</f>
        <v>0</v>
      </c>
      <c r="F12" s="28">
        <f>IF($B12="","",6*IFERROR(VLOOKUP(INDEX(' Toto teams'!$B$4:$B$119,MATCH($B12,' Toto teams'!$A$4:$A$119,0)),Scoring!$A$4:$N$51,9,FALSE()),0)+4*IFERROR(VLOOKUP(INDEX(' Toto teams'!$C$4:$C$119,MATCH($B12,' Toto teams'!$A$4:$A$119,0)),Scoring!$A$4:$N$51,9,FALSE()),0)+3*IFERROR(VLOOKUP(INDEX(' Toto teams'!$D$4:$D$119,MATCH($B12,' Toto teams'!$A$4:$A$119,0)),Scoring!$A$4:$N$51,9,FALSE()),0)+2*IFERROR(VLOOKUP(INDEX(' Toto teams'!$E$4:$E$119,MATCH($B12,' Toto teams'!$A$4:$A$119,0)),Scoring!$A$4:$N$51,9,FALSE()),0)+1*IFERROR(VLOOKUP(INDEX(' Toto teams'!$F$4:$F$119,MATCH($B12,' Toto teams'!$A$4:$A$119,0)),Scoring!$A$4:$N$51,9,FALSE()),0)+1*IFERROR(VLOOKUP(INDEX(' Toto teams'!$G$4:$G$119,MATCH($B12,' Toto teams'!$A$4:$A$119,0)),Scoring!$A$4:$N$51,9,FALSE()),0)+1*IFERROR(VLOOKUP(INDEX(' Toto teams'!$H$4:$H$119,MATCH($B12,' Toto teams'!$A$4:$A$119,0)),Scoring!$A$4:$N$51,9,FALSE()),0))</f>
        <v>0</v>
      </c>
      <c r="G12" s="28">
        <f>IF($B12="","",6*IFERROR(VLOOKUP(INDEX(' Toto teams'!$B$4:$B$119,MATCH($B12,' Toto teams'!$A$4:$A$119,0)),Scoring!$A$4:$N$51,10,FALSE()),0)+4*IFERROR(VLOOKUP(INDEX(' Toto teams'!$C$4:$C$119,MATCH($B12,' Toto teams'!$A$4:$A$119,0)),Scoring!$A$4:$N$51,10,FALSE()),0)+3*IFERROR(VLOOKUP(INDEX(' Toto teams'!$D$4:$D$119,MATCH($B12,' Toto teams'!$A$4:$A$119,0)),Scoring!$A$4:$N$51,10,FALSE()),0)+2*IFERROR(VLOOKUP(INDEX(' Toto teams'!$E$4:$E$119,MATCH($B12,' Toto teams'!$A$4:$A$119,0)),Scoring!$A$4:$N$51,10,FALSE()),0)+1*IFERROR(VLOOKUP(INDEX(' Toto teams'!$F$4:$F$119,MATCH($B12,' Toto teams'!$A$4:$A$119,0)),Scoring!$A$4:$N$51,10,FALSE()),0)+1*IFERROR(VLOOKUP(INDEX(' Toto teams'!$G$4:$G$119,MATCH($B12,' Toto teams'!$A$4:$A$119,0)),Scoring!$A$4:$N$51,10,FALSE()),0)+1*IFERROR(VLOOKUP(INDEX(' Toto teams'!$H$4:$H$119,MATCH($B12,' Toto teams'!$A$4:$A$119,0)),Scoring!$A$4:$N$51,10,FALSE()),0))</f>
        <v>0</v>
      </c>
      <c r="H12" s="28">
        <f>IF($B12="","",6*IFERROR(VLOOKUP(INDEX(' Toto teams'!$B$4:$B$119,MATCH($B12,' Toto teams'!$A$4:$A$119,0)),Scoring!$A$4:$N$51,11,FALSE()),0)+4*IFERROR(VLOOKUP(INDEX(' Toto teams'!$C$4:$C$119,MATCH($B12,' Toto teams'!$A$4:$A$119,0)),Scoring!$A$4:$N$51,11,FALSE()),0)+3*IFERROR(VLOOKUP(INDEX(' Toto teams'!$D$4:$D$119,MATCH($B12,' Toto teams'!$A$4:$A$119,0)),Scoring!$A$4:$N$51,11,FALSE()),0)+2*IFERROR(VLOOKUP(INDEX(' Toto teams'!$E$4:$E$119,MATCH($B12,' Toto teams'!$A$4:$A$119,0)),Scoring!$A$4:$N$51,11,FALSE()),0)+1*IFERROR(VLOOKUP(INDEX(' Toto teams'!$F$4:$F$119,MATCH($B12,' Toto teams'!$A$4:$A$119,0)),Scoring!$A$4:$N$51,11,FALSE()),0)+1*IFERROR(VLOOKUP(INDEX(' Toto teams'!$G$4:$G$119,MATCH($B12,' Toto teams'!$A$4:$A$119,0)),Scoring!$A$4:$N$51,11,FALSE()),0)+1*IFERROR(VLOOKUP(INDEX(' Toto teams'!$H$4:$H$119,MATCH($B12,' Toto teams'!$A$4:$A$119,0)),Scoring!$A$4:$N$51,11,FALSE()),0))</f>
        <v>0</v>
      </c>
      <c r="I12" s="28">
        <f>IF($B12="","",6*IFERROR(VLOOKUP(INDEX(' Toto teams'!$B$4:$B$119,MATCH($B12,' Toto teams'!$A$4:$A$119,0)),Scoring!$A$4:$O$51,15,FALSE()),0)+4*IFERROR(VLOOKUP(INDEX(' Toto teams'!$C$4:$C$119,MATCH($B12,' Toto teams'!$A$4:$A$119,0)),Scoring!$A$4:$O$51,15,FALSE()),0)+3*IFERROR(VLOOKUP(INDEX(' Toto teams'!$D$4:$D$119,MATCH($B12,' Toto teams'!$A$4:$A$119,0)),Scoring!$A$4:$O$51,15,FALSE()),0)+2*IFERROR(VLOOKUP(INDEX(' Toto teams'!$E$4:$E$119,MATCH($B12,' Toto teams'!$A$4:$A$119,0)),Scoring!$A$4:$O$51,15,FALSE()),0)+1*IFERROR(VLOOKUP(INDEX(' Toto teams'!$F$4:$F$119,MATCH($B12,' Toto teams'!$A$4:$A$119,0)),Scoring!$A$4:$O$51,15,FALSE()),0)+1*IFERROR(VLOOKUP(INDEX(' Toto teams'!$G$4:$G$119,MATCH($B12,' Toto teams'!$A$4:$A$119,0)),Scoring!$A$4:$O$51,15,FALSE()),0)+1*IFERROR(VLOOKUP(INDEX(' Toto teams'!$H$4:$H$119,MATCH($B12,' Toto teams'!$A$4:$A$119,0)),Scoring!$A$4:$O$51,15,FALSE()),0))</f>
        <v>0</v>
      </c>
      <c r="J12" s="28">
        <f>IF($B12="","",6*IFERROR(VLOOKUP(INDEX(' Toto teams'!$B$4:$B$119,MATCH($B12,' Toto teams'!$A$4:$A$119,0)),Scoring!$A$4:$N$51,12,FALSE()),0)+4*IFERROR(VLOOKUP(INDEX(' Toto teams'!$C$4:$C$119,MATCH($B12,' Toto teams'!$A$4:$A$119,0)),Scoring!$A$4:$N$51,12,FALSE()),0)+3*IFERROR(VLOOKUP(INDEX(' Toto teams'!$D$4:$D$119,MATCH($B12,' Toto teams'!$A$4:$A$119,0)),Scoring!$A$4:$N$51,12,FALSE()),0)+2*IFERROR(VLOOKUP(INDEX(' Toto teams'!$E$4:$E$119,MATCH($B12,' Toto teams'!$A$4:$A$119,0)),Scoring!$A$4:$N$51,12,FALSE()),0)+1*IFERROR(VLOOKUP(INDEX(' Toto teams'!$F$4:$F$119,MATCH($B12,' Toto teams'!$A$4:$A$119,0)),Scoring!$A$4:$N$51,12,FALSE()),0)+1*IFERROR(VLOOKUP(INDEX(' Toto teams'!$G$4:$G$119,MATCH($B12,' Toto teams'!$A$4:$A$119,0)),Scoring!$A$4:$N$51,12,FALSE()),0)+1*IFERROR(VLOOKUP(INDEX(' Toto teams'!$H$4:$H$119,MATCH($B12,' Toto teams'!$A$4:$A$119,0)),Scoring!$A$4:$N$51,12,FALSE()),0))</f>
        <v>0</v>
      </c>
      <c r="K12" s="29">
        <f>IF($B12="","",IFERROR(INDEX(' Toto teams'!$R$4:$R$119,MATCH($B12,' Toto teams'!$A$4:$A$119,0)),""))</f>
        <v>4</v>
      </c>
      <c r="L12" s="30">
        <f t="shared" si="0"/>
        <v>27.794117647058822</v>
      </c>
      <c r="N12" s="31">
        <v>9</v>
      </c>
      <c r="O12" s="32">
        <v>2.5000000000000001E-2</v>
      </c>
      <c r="P12" s="33">
        <f t="shared" si="1"/>
        <v>78.75</v>
      </c>
      <c r="Q12" s="31">
        <f t="shared" si="2"/>
        <v>0</v>
      </c>
      <c r="R12" s="34">
        <f t="shared" si="3"/>
        <v>0</v>
      </c>
    </row>
    <row r="13" spans="1:18" ht="12.75" customHeight="1" x14ac:dyDescent="0.3">
      <c r="A13" s="26">
        <f>IF(10&gt;COUNTIF(' Toto teams'!$A$4:$A$119,"&lt;&gt;"),"",INDEX(' Toto teams'!$S$4:$S$119,MATCH(LARGE(' Toto teams'!$T$4:$T$119,10),' Toto teams'!$T$4:$T$119,0)))</f>
        <v>5</v>
      </c>
      <c r="B13" s="27" t="str">
        <f>IF(10&gt;COUNTIF(' Toto teams'!$A$4:$A$119,"&lt;&gt;"),"",INDEX(' Toto teams'!$A$4:$A$119,MATCH(LARGE(' Toto teams'!$T$4:$T$119,10),' Toto teams'!$T$4:$T$119,0)))</f>
        <v>Edgar Moroz</v>
      </c>
      <c r="C13" s="28">
        <f>IF($B13="","",6*(IFERROR(VLOOKUP(INDEX(' Toto teams'!$B$4:$B$119,MATCH($B13,' Toto teams'!$A$4:$A$119,0)),Scoring!$A$4:$N$51,3,FALSE()),0)+IFERROR(VLOOKUP(INDEX(' Toto teams'!$B$4:$B$119,MATCH($B13,' Toto teams'!$A$4:$A$119,0)),Scoring!$A$4:$N$51,4,FALSE()),0)+IFERROR(VLOOKUP(INDEX(' Toto teams'!$B$4:$B$119,MATCH($B13,' Toto teams'!$A$4:$A$119,0)),Scoring!$A$4:$N$51,5,FALSE()),0))+4*(IFERROR(VLOOKUP(INDEX(' Toto teams'!$C$4:$C$119,MATCH($B13,' Toto teams'!$A$4:$A$119,0)),Scoring!$A$4:$N$51,3,FALSE()),0)+IFERROR(VLOOKUP(INDEX(' Toto teams'!$C$4:$C$119,MATCH($B13,' Toto teams'!$A$4:$A$119,0)),Scoring!$A$4:$N$51,4,FALSE()),0)+IFERROR(VLOOKUP(INDEX(' Toto teams'!$C$4:$C$119,MATCH($B13,' Toto teams'!$A$4:$A$119,0)),Scoring!$A$4:$N$51,5,FALSE()),0))+3*(IFERROR(VLOOKUP(INDEX(' Toto teams'!$D$4:$D$119,MATCH($B13,' Toto teams'!$A$4:$A$119,0)),Scoring!$A$4:$N$51,3,FALSE()),0)+IFERROR(VLOOKUP(INDEX(' Toto teams'!$D$4:$D$119,MATCH($B13,' Toto teams'!$A$4:$A$119,0)),Scoring!$A$4:$N$51,4,FALSE()),0)+IFERROR(VLOOKUP(INDEX(' Toto teams'!$D$4:$D$119,MATCH($B13,' Toto teams'!$A$4:$A$119,0)),Scoring!$A$4:$N$51,5,FALSE()),0))+2*(IFERROR(VLOOKUP(INDEX(' Toto teams'!$E$4:$E$119,MATCH($B13,' Toto teams'!$A$4:$A$119,0)),Scoring!$A$4:$N$51,3,FALSE()),0)+IFERROR(VLOOKUP(INDEX(' Toto teams'!$E$4:$E$119,MATCH($B13,' Toto teams'!$A$4:$A$119,0)),Scoring!$A$4:$N$51,4,FALSE()),0)+IFERROR(VLOOKUP(INDEX(' Toto teams'!$E$4:$E$119,MATCH($B13,' Toto teams'!$A$4:$A$119,0)),Scoring!$A$4:$N$51,5,FALSE()),0))+1*(IFERROR(VLOOKUP(INDEX(' Toto teams'!$F$4:$F$119,MATCH($B13,' Toto teams'!$A$4:$A$119,0)),Scoring!$A$4:$N$51,3,FALSE()),0)+IFERROR(VLOOKUP(INDEX(' Toto teams'!$F$4:$F$119,MATCH($B13,' Toto teams'!$A$4:$A$119,0)),Scoring!$A$4:$N$51,4,FALSE()),0)+IFERROR(VLOOKUP(INDEX(' Toto teams'!$F$4:$F$119,MATCH($B13,' Toto teams'!$A$4:$A$119,0)),Scoring!$A$4:$N$51,5,FALSE()),0))+1*(IFERROR(VLOOKUP(INDEX(' Toto teams'!$G$4:$G$119,MATCH($B13,' Toto teams'!$A$4:$A$119,0)),Scoring!$A$4:$N$51,3,FALSE()),0)+IFERROR(VLOOKUP(INDEX(' Toto teams'!$G$4:$G$119,MATCH($B13,' Toto teams'!$A$4:$A$119,0)),Scoring!$A$4:$N$51,4,FALSE()),0)+IFERROR(VLOOKUP(INDEX(' Toto teams'!$G$4:$G$119,MATCH($B13,' Toto teams'!$A$4:$A$119,0)),Scoring!$A$4:$N$51,5,FALSE()),0))+1*(IFERROR(VLOOKUP(INDEX(' Toto teams'!$H$4:$H$119,MATCH($B13,' Toto teams'!$A$4:$A$119,0)),Scoring!$A$4:$N$51,3,FALSE()),0)+IFERROR(VLOOKUP(INDEX(' Toto teams'!$H$4:$H$119,MATCH($B13,' Toto teams'!$A$4:$A$119,0)),Scoring!$A$4:$N$51,4,FALSE()),0)+IFERROR(VLOOKUP(INDEX(' Toto teams'!$H$4:$H$119,MATCH($B13,' Toto teams'!$A$4:$A$119,0)),Scoring!$A$4:$N$51,5,FALSE()),0))+IFERROR(INDEX(' Toto teams'!$Q$4:$Q$119,MATCH($B13,' Toto teams'!$A$4:$A$119,0))*1,0))</f>
        <v>4</v>
      </c>
      <c r="D13" s="28">
        <f>IF($B13="","",6*IFERROR(VLOOKUP(INDEX(' Toto teams'!$B$4:$B$119,MATCH($B13,' Toto teams'!$A$4:$A$119,0)),Scoring!$A$4:$N$51,7,FALSE()),0)+4*IFERROR(VLOOKUP(INDEX(' Toto teams'!$C$4:$C$119,MATCH($B13,' Toto teams'!$A$4:$A$119,0)),Scoring!$A$4:$N$51,7,FALSE()),0)+3*IFERROR(VLOOKUP(INDEX(' Toto teams'!$D$4:$D$119,MATCH($B13,' Toto teams'!$A$4:$A$119,0)),Scoring!$A$4:$N$51,7,FALSE()),0)+2*IFERROR(VLOOKUP(INDEX(' Toto teams'!$E$4:$E$119,MATCH($B13,' Toto teams'!$A$4:$A$119,0)),Scoring!$A$4:$N$51,7,FALSE()),0)+1*IFERROR(VLOOKUP(INDEX(' Toto teams'!$F$4:$F$119,MATCH($B13,' Toto teams'!$A$4:$A$119,0)),Scoring!$A$4:$N$51,7,FALSE()),0)+1*IFERROR(VLOOKUP(INDEX(' Toto teams'!$G$4:$G$119,MATCH($B13,' Toto teams'!$A$4:$A$119,0)),Scoring!$A$4:$N$51,7,FALSE()),0)+1*IFERROR(VLOOKUP(INDEX(' Toto teams'!$H$4:$H$119,MATCH($B13,' Toto teams'!$A$4:$A$119,0)),Scoring!$A$4:$N$51,7,FALSE()),0))</f>
        <v>0</v>
      </c>
      <c r="E13" s="28">
        <f>IF($B13="","",6*IFERROR(VLOOKUP(INDEX(' Toto teams'!$B$4:$B$119,MATCH($B13,' Toto teams'!$A$4:$A$119,0)),Scoring!$A$4:$N$51,8,FALSE()),0)+4*IFERROR(VLOOKUP(INDEX(' Toto teams'!$C$4:$C$119,MATCH($B13,' Toto teams'!$A$4:$A$119,0)),Scoring!$A$4:$N$51,8,FALSE()),0)+3*IFERROR(VLOOKUP(INDEX(' Toto teams'!$D$4:$D$119,MATCH($B13,' Toto teams'!$A$4:$A$119,0)),Scoring!$A$4:$N$51,8,FALSE()),0)+2*IFERROR(VLOOKUP(INDEX(' Toto teams'!$E$4:$E$119,MATCH($B13,' Toto teams'!$A$4:$A$119,0)),Scoring!$A$4:$N$51,8,FALSE()),0)+1*IFERROR(VLOOKUP(INDEX(' Toto teams'!$F$4:$F$119,MATCH($B13,' Toto teams'!$A$4:$A$119,0)),Scoring!$A$4:$N$51,8,FALSE()),0)+1*IFERROR(VLOOKUP(INDEX(' Toto teams'!$G$4:$G$119,MATCH($B13,' Toto teams'!$A$4:$A$119,0)),Scoring!$A$4:$N$51,8,FALSE()),0)+1*IFERROR(VLOOKUP(INDEX(' Toto teams'!$H$4:$H$119,MATCH($B13,' Toto teams'!$A$4:$A$119,0)),Scoring!$A$4:$N$51,8,FALSE()),0))</f>
        <v>0</v>
      </c>
      <c r="F13" s="28">
        <f>IF($B13="","",6*IFERROR(VLOOKUP(INDEX(' Toto teams'!$B$4:$B$119,MATCH($B13,' Toto teams'!$A$4:$A$119,0)),Scoring!$A$4:$N$51,9,FALSE()),0)+4*IFERROR(VLOOKUP(INDEX(' Toto teams'!$C$4:$C$119,MATCH($B13,' Toto teams'!$A$4:$A$119,0)),Scoring!$A$4:$N$51,9,FALSE()),0)+3*IFERROR(VLOOKUP(INDEX(' Toto teams'!$D$4:$D$119,MATCH($B13,' Toto teams'!$A$4:$A$119,0)),Scoring!$A$4:$N$51,9,FALSE()),0)+2*IFERROR(VLOOKUP(INDEX(' Toto teams'!$E$4:$E$119,MATCH($B13,' Toto teams'!$A$4:$A$119,0)),Scoring!$A$4:$N$51,9,FALSE()),0)+1*IFERROR(VLOOKUP(INDEX(' Toto teams'!$F$4:$F$119,MATCH($B13,' Toto teams'!$A$4:$A$119,0)),Scoring!$A$4:$N$51,9,FALSE()),0)+1*IFERROR(VLOOKUP(INDEX(' Toto teams'!$G$4:$G$119,MATCH($B13,' Toto teams'!$A$4:$A$119,0)),Scoring!$A$4:$N$51,9,FALSE()),0)+1*IFERROR(VLOOKUP(INDEX(' Toto teams'!$H$4:$H$119,MATCH($B13,' Toto teams'!$A$4:$A$119,0)),Scoring!$A$4:$N$51,9,FALSE()),0))</f>
        <v>0</v>
      </c>
      <c r="G13" s="28">
        <f>IF($B13="","",6*IFERROR(VLOOKUP(INDEX(' Toto teams'!$B$4:$B$119,MATCH($B13,' Toto teams'!$A$4:$A$119,0)),Scoring!$A$4:$N$51,10,FALSE()),0)+4*IFERROR(VLOOKUP(INDEX(' Toto teams'!$C$4:$C$119,MATCH($B13,' Toto teams'!$A$4:$A$119,0)),Scoring!$A$4:$N$51,10,FALSE()),0)+3*IFERROR(VLOOKUP(INDEX(' Toto teams'!$D$4:$D$119,MATCH($B13,' Toto teams'!$A$4:$A$119,0)),Scoring!$A$4:$N$51,10,FALSE()),0)+2*IFERROR(VLOOKUP(INDEX(' Toto teams'!$E$4:$E$119,MATCH($B13,' Toto teams'!$A$4:$A$119,0)),Scoring!$A$4:$N$51,10,FALSE()),0)+1*IFERROR(VLOOKUP(INDEX(' Toto teams'!$F$4:$F$119,MATCH($B13,' Toto teams'!$A$4:$A$119,0)),Scoring!$A$4:$N$51,10,FALSE()),0)+1*IFERROR(VLOOKUP(INDEX(' Toto teams'!$G$4:$G$119,MATCH($B13,' Toto teams'!$A$4:$A$119,0)),Scoring!$A$4:$N$51,10,FALSE()),0)+1*IFERROR(VLOOKUP(INDEX(' Toto teams'!$H$4:$H$119,MATCH($B13,' Toto teams'!$A$4:$A$119,0)),Scoring!$A$4:$N$51,10,FALSE()),0))</f>
        <v>0</v>
      </c>
      <c r="H13" s="28">
        <f>IF($B13="","",6*IFERROR(VLOOKUP(INDEX(' Toto teams'!$B$4:$B$119,MATCH($B13,' Toto teams'!$A$4:$A$119,0)),Scoring!$A$4:$N$51,11,FALSE()),0)+4*IFERROR(VLOOKUP(INDEX(' Toto teams'!$C$4:$C$119,MATCH($B13,' Toto teams'!$A$4:$A$119,0)),Scoring!$A$4:$N$51,11,FALSE()),0)+3*IFERROR(VLOOKUP(INDEX(' Toto teams'!$D$4:$D$119,MATCH($B13,' Toto teams'!$A$4:$A$119,0)),Scoring!$A$4:$N$51,11,FALSE()),0)+2*IFERROR(VLOOKUP(INDEX(' Toto teams'!$E$4:$E$119,MATCH($B13,' Toto teams'!$A$4:$A$119,0)),Scoring!$A$4:$N$51,11,FALSE()),0)+1*IFERROR(VLOOKUP(INDEX(' Toto teams'!$F$4:$F$119,MATCH($B13,' Toto teams'!$A$4:$A$119,0)),Scoring!$A$4:$N$51,11,FALSE()),0)+1*IFERROR(VLOOKUP(INDEX(' Toto teams'!$G$4:$G$119,MATCH($B13,' Toto teams'!$A$4:$A$119,0)),Scoring!$A$4:$N$51,11,FALSE()),0)+1*IFERROR(VLOOKUP(INDEX(' Toto teams'!$H$4:$H$119,MATCH($B13,' Toto teams'!$A$4:$A$119,0)),Scoring!$A$4:$N$51,11,FALSE()),0))</f>
        <v>0</v>
      </c>
      <c r="I13" s="28">
        <f>IF($B13="","",6*IFERROR(VLOOKUP(INDEX(' Toto teams'!$B$4:$B$119,MATCH($B13,' Toto teams'!$A$4:$A$119,0)),Scoring!$A$4:$O$51,15,FALSE()),0)+4*IFERROR(VLOOKUP(INDEX(' Toto teams'!$C$4:$C$119,MATCH($B13,' Toto teams'!$A$4:$A$119,0)),Scoring!$A$4:$O$51,15,FALSE()),0)+3*IFERROR(VLOOKUP(INDEX(' Toto teams'!$D$4:$D$119,MATCH($B13,' Toto teams'!$A$4:$A$119,0)),Scoring!$A$4:$O$51,15,FALSE()),0)+2*IFERROR(VLOOKUP(INDEX(' Toto teams'!$E$4:$E$119,MATCH($B13,' Toto teams'!$A$4:$A$119,0)),Scoring!$A$4:$O$51,15,FALSE()),0)+1*IFERROR(VLOOKUP(INDEX(' Toto teams'!$F$4:$F$119,MATCH($B13,' Toto teams'!$A$4:$A$119,0)),Scoring!$A$4:$O$51,15,FALSE()),0)+1*IFERROR(VLOOKUP(INDEX(' Toto teams'!$G$4:$G$119,MATCH($B13,' Toto teams'!$A$4:$A$119,0)),Scoring!$A$4:$O$51,15,FALSE()),0)+1*IFERROR(VLOOKUP(INDEX(' Toto teams'!$H$4:$H$119,MATCH($B13,' Toto teams'!$A$4:$A$119,0)),Scoring!$A$4:$O$51,15,FALSE()),0))</f>
        <v>0</v>
      </c>
      <c r="J13" s="28">
        <f>IF($B13="","",6*IFERROR(VLOOKUP(INDEX(' Toto teams'!$B$4:$B$119,MATCH($B13,' Toto teams'!$A$4:$A$119,0)),Scoring!$A$4:$N$51,12,FALSE()),0)+4*IFERROR(VLOOKUP(INDEX(' Toto teams'!$C$4:$C$119,MATCH($B13,' Toto teams'!$A$4:$A$119,0)),Scoring!$A$4:$N$51,12,FALSE()),0)+3*IFERROR(VLOOKUP(INDEX(' Toto teams'!$D$4:$D$119,MATCH($B13,' Toto teams'!$A$4:$A$119,0)),Scoring!$A$4:$N$51,12,FALSE()),0)+2*IFERROR(VLOOKUP(INDEX(' Toto teams'!$E$4:$E$119,MATCH($B13,' Toto teams'!$A$4:$A$119,0)),Scoring!$A$4:$N$51,12,FALSE()),0)+1*IFERROR(VLOOKUP(INDEX(' Toto teams'!$F$4:$F$119,MATCH($B13,' Toto teams'!$A$4:$A$119,0)),Scoring!$A$4:$N$51,12,FALSE()),0)+1*IFERROR(VLOOKUP(INDEX(' Toto teams'!$G$4:$G$119,MATCH($B13,' Toto teams'!$A$4:$A$119,0)),Scoring!$A$4:$N$51,12,FALSE()),0)+1*IFERROR(VLOOKUP(INDEX(' Toto teams'!$H$4:$H$119,MATCH($B13,' Toto teams'!$A$4:$A$119,0)),Scoring!$A$4:$N$51,12,FALSE()),0))</f>
        <v>0</v>
      </c>
      <c r="K13" s="29">
        <f>IF($B13="","",IFERROR(INDEX(' Toto teams'!$R$4:$R$119,MATCH($B13,' Toto teams'!$A$4:$A$119,0)),""))</f>
        <v>4</v>
      </c>
      <c r="L13" s="30">
        <f t="shared" si="0"/>
        <v>27.794117647058822</v>
      </c>
      <c r="N13" t="s">
        <v>110</v>
      </c>
      <c r="O13" s="35">
        <f>SUM(O4:O12)</f>
        <v>1</v>
      </c>
      <c r="P13">
        <f>SUM(P4:P12)</f>
        <v>3150</v>
      </c>
    </row>
    <row r="14" spans="1:18" ht="12.75" customHeight="1" x14ac:dyDescent="0.3">
      <c r="A14" s="26">
        <f>IF(11&gt;COUNTIF(' Toto teams'!$A$4:$A$119,"&lt;&gt;"),"",INDEX(' Toto teams'!$S$4:$S$119,MATCH(LARGE(' Toto teams'!$T$4:$T$119,11),' Toto teams'!$T$4:$T$119,0)))</f>
        <v>5</v>
      </c>
      <c r="B14" s="27" t="str">
        <f>IF(11&gt;COUNTIF(' Toto teams'!$A$4:$A$119,"&lt;&gt;"),"",INDEX(' Toto teams'!$A$4:$A$119,MATCH(LARGE(' Toto teams'!$T$4:$T$119,11),' Toto teams'!$T$4:$T$119,0)))</f>
        <v>Aurimas Šumbrauskis</v>
      </c>
      <c r="C14" s="28">
        <f>IF($B14="","",6*(IFERROR(VLOOKUP(INDEX(' Toto teams'!$B$4:$B$119,MATCH($B14,' Toto teams'!$A$4:$A$119,0)),Scoring!$A$4:$N$51,3,FALSE()),0)+IFERROR(VLOOKUP(INDEX(' Toto teams'!$B$4:$B$119,MATCH($B14,' Toto teams'!$A$4:$A$119,0)),Scoring!$A$4:$N$51,4,FALSE()),0)+IFERROR(VLOOKUP(INDEX(' Toto teams'!$B$4:$B$119,MATCH($B14,' Toto teams'!$A$4:$A$119,0)),Scoring!$A$4:$N$51,5,FALSE()),0))+4*(IFERROR(VLOOKUP(INDEX(' Toto teams'!$C$4:$C$119,MATCH($B14,' Toto teams'!$A$4:$A$119,0)),Scoring!$A$4:$N$51,3,FALSE()),0)+IFERROR(VLOOKUP(INDEX(' Toto teams'!$C$4:$C$119,MATCH($B14,' Toto teams'!$A$4:$A$119,0)),Scoring!$A$4:$N$51,4,FALSE()),0)+IFERROR(VLOOKUP(INDEX(' Toto teams'!$C$4:$C$119,MATCH($B14,' Toto teams'!$A$4:$A$119,0)),Scoring!$A$4:$N$51,5,FALSE()),0))+3*(IFERROR(VLOOKUP(INDEX(' Toto teams'!$D$4:$D$119,MATCH($B14,' Toto teams'!$A$4:$A$119,0)),Scoring!$A$4:$N$51,3,FALSE()),0)+IFERROR(VLOOKUP(INDEX(' Toto teams'!$D$4:$D$119,MATCH($B14,' Toto teams'!$A$4:$A$119,0)),Scoring!$A$4:$N$51,4,FALSE()),0)+IFERROR(VLOOKUP(INDEX(' Toto teams'!$D$4:$D$119,MATCH($B14,' Toto teams'!$A$4:$A$119,0)),Scoring!$A$4:$N$51,5,FALSE()),0))+2*(IFERROR(VLOOKUP(INDEX(' Toto teams'!$E$4:$E$119,MATCH($B14,' Toto teams'!$A$4:$A$119,0)),Scoring!$A$4:$N$51,3,FALSE()),0)+IFERROR(VLOOKUP(INDEX(' Toto teams'!$E$4:$E$119,MATCH($B14,' Toto teams'!$A$4:$A$119,0)),Scoring!$A$4:$N$51,4,FALSE()),0)+IFERROR(VLOOKUP(INDEX(' Toto teams'!$E$4:$E$119,MATCH($B14,' Toto teams'!$A$4:$A$119,0)),Scoring!$A$4:$N$51,5,FALSE()),0))+1*(IFERROR(VLOOKUP(INDEX(' Toto teams'!$F$4:$F$119,MATCH($B14,' Toto teams'!$A$4:$A$119,0)),Scoring!$A$4:$N$51,3,FALSE()),0)+IFERROR(VLOOKUP(INDEX(' Toto teams'!$F$4:$F$119,MATCH($B14,' Toto teams'!$A$4:$A$119,0)),Scoring!$A$4:$N$51,4,FALSE()),0)+IFERROR(VLOOKUP(INDEX(' Toto teams'!$F$4:$F$119,MATCH($B14,' Toto teams'!$A$4:$A$119,0)),Scoring!$A$4:$N$51,5,FALSE()),0))+1*(IFERROR(VLOOKUP(INDEX(' Toto teams'!$G$4:$G$119,MATCH($B14,' Toto teams'!$A$4:$A$119,0)),Scoring!$A$4:$N$51,3,FALSE()),0)+IFERROR(VLOOKUP(INDEX(' Toto teams'!$G$4:$G$119,MATCH($B14,' Toto teams'!$A$4:$A$119,0)),Scoring!$A$4:$N$51,4,FALSE()),0)+IFERROR(VLOOKUP(INDEX(' Toto teams'!$G$4:$G$119,MATCH($B14,' Toto teams'!$A$4:$A$119,0)),Scoring!$A$4:$N$51,5,FALSE()),0))+1*(IFERROR(VLOOKUP(INDEX(' Toto teams'!$H$4:$H$119,MATCH($B14,' Toto teams'!$A$4:$A$119,0)),Scoring!$A$4:$N$51,3,FALSE()),0)+IFERROR(VLOOKUP(INDEX(' Toto teams'!$H$4:$H$119,MATCH($B14,' Toto teams'!$A$4:$A$119,0)),Scoring!$A$4:$N$51,4,FALSE()),0)+IFERROR(VLOOKUP(INDEX(' Toto teams'!$H$4:$H$119,MATCH($B14,' Toto teams'!$A$4:$A$119,0)),Scoring!$A$4:$N$51,5,FALSE()),0))+IFERROR(INDEX(' Toto teams'!$Q$4:$Q$119,MATCH($B14,' Toto teams'!$A$4:$A$119,0))*1,0))</f>
        <v>4</v>
      </c>
      <c r="D14" s="28">
        <f>IF($B14="","",6*IFERROR(VLOOKUP(INDEX(' Toto teams'!$B$4:$B$119,MATCH($B14,' Toto teams'!$A$4:$A$119,0)),Scoring!$A$4:$N$51,7,FALSE()),0)+4*IFERROR(VLOOKUP(INDEX(' Toto teams'!$C$4:$C$119,MATCH($B14,' Toto teams'!$A$4:$A$119,0)),Scoring!$A$4:$N$51,7,FALSE()),0)+3*IFERROR(VLOOKUP(INDEX(' Toto teams'!$D$4:$D$119,MATCH($B14,' Toto teams'!$A$4:$A$119,0)),Scoring!$A$4:$N$51,7,FALSE()),0)+2*IFERROR(VLOOKUP(INDEX(' Toto teams'!$E$4:$E$119,MATCH($B14,' Toto teams'!$A$4:$A$119,0)),Scoring!$A$4:$N$51,7,FALSE()),0)+1*IFERROR(VLOOKUP(INDEX(' Toto teams'!$F$4:$F$119,MATCH($B14,' Toto teams'!$A$4:$A$119,0)),Scoring!$A$4:$N$51,7,FALSE()),0)+1*IFERROR(VLOOKUP(INDEX(' Toto teams'!$G$4:$G$119,MATCH($B14,' Toto teams'!$A$4:$A$119,0)),Scoring!$A$4:$N$51,7,FALSE()),0)+1*IFERROR(VLOOKUP(INDEX(' Toto teams'!$H$4:$H$119,MATCH($B14,' Toto teams'!$A$4:$A$119,0)),Scoring!$A$4:$N$51,7,FALSE()),0))</f>
        <v>0</v>
      </c>
      <c r="E14" s="28">
        <f>IF($B14="","",6*IFERROR(VLOOKUP(INDEX(' Toto teams'!$B$4:$B$119,MATCH($B14,' Toto teams'!$A$4:$A$119,0)),Scoring!$A$4:$N$51,8,FALSE()),0)+4*IFERROR(VLOOKUP(INDEX(' Toto teams'!$C$4:$C$119,MATCH($B14,' Toto teams'!$A$4:$A$119,0)),Scoring!$A$4:$N$51,8,FALSE()),0)+3*IFERROR(VLOOKUP(INDEX(' Toto teams'!$D$4:$D$119,MATCH($B14,' Toto teams'!$A$4:$A$119,0)),Scoring!$A$4:$N$51,8,FALSE()),0)+2*IFERROR(VLOOKUP(INDEX(' Toto teams'!$E$4:$E$119,MATCH($B14,' Toto teams'!$A$4:$A$119,0)),Scoring!$A$4:$N$51,8,FALSE()),0)+1*IFERROR(VLOOKUP(INDEX(' Toto teams'!$F$4:$F$119,MATCH($B14,' Toto teams'!$A$4:$A$119,0)),Scoring!$A$4:$N$51,8,FALSE()),0)+1*IFERROR(VLOOKUP(INDEX(' Toto teams'!$G$4:$G$119,MATCH($B14,' Toto teams'!$A$4:$A$119,0)),Scoring!$A$4:$N$51,8,FALSE()),0)+1*IFERROR(VLOOKUP(INDEX(' Toto teams'!$H$4:$H$119,MATCH($B14,' Toto teams'!$A$4:$A$119,0)),Scoring!$A$4:$N$51,8,FALSE()),0))</f>
        <v>0</v>
      </c>
      <c r="F14" s="28">
        <f>IF($B14="","",6*IFERROR(VLOOKUP(INDEX(' Toto teams'!$B$4:$B$119,MATCH($B14,' Toto teams'!$A$4:$A$119,0)),Scoring!$A$4:$N$51,9,FALSE()),0)+4*IFERROR(VLOOKUP(INDEX(' Toto teams'!$C$4:$C$119,MATCH($B14,' Toto teams'!$A$4:$A$119,0)),Scoring!$A$4:$N$51,9,FALSE()),0)+3*IFERROR(VLOOKUP(INDEX(' Toto teams'!$D$4:$D$119,MATCH($B14,' Toto teams'!$A$4:$A$119,0)),Scoring!$A$4:$N$51,9,FALSE()),0)+2*IFERROR(VLOOKUP(INDEX(' Toto teams'!$E$4:$E$119,MATCH($B14,' Toto teams'!$A$4:$A$119,0)),Scoring!$A$4:$N$51,9,FALSE()),0)+1*IFERROR(VLOOKUP(INDEX(' Toto teams'!$F$4:$F$119,MATCH($B14,' Toto teams'!$A$4:$A$119,0)),Scoring!$A$4:$N$51,9,FALSE()),0)+1*IFERROR(VLOOKUP(INDEX(' Toto teams'!$G$4:$G$119,MATCH($B14,' Toto teams'!$A$4:$A$119,0)),Scoring!$A$4:$N$51,9,FALSE()),0)+1*IFERROR(VLOOKUP(INDEX(' Toto teams'!$H$4:$H$119,MATCH($B14,' Toto teams'!$A$4:$A$119,0)),Scoring!$A$4:$N$51,9,FALSE()),0))</f>
        <v>0</v>
      </c>
      <c r="G14" s="28">
        <f>IF($B14="","",6*IFERROR(VLOOKUP(INDEX(' Toto teams'!$B$4:$B$119,MATCH($B14,' Toto teams'!$A$4:$A$119,0)),Scoring!$A$4:$N$51,10,FALSE()),0)+4*IFERROR(VLOOKUP(INDEX(' Toto teams'!$C$4:$C$119,MATCH($B14,' Toto teams'!$A$4:$A$119,0)),Scoring!$A$4:$N$51,10,FALSE()),0)+3*IFERROR(VLOOKUP(INDEX(' Toto teams'!$D$4:$D$119,MATCH($B14,' Toto teams'!$A$4:$A$119,0)),Scoring!$A$4:$N$51,10,FALSE()),0)+2*IFERROR(VLOOKUP(INDEX(' Toto teams'!$E$4:$E$119,MATCH($B14,' Toto teams'!$A$4:$A$119,0)),Scoring!$A$4:$N$51,10,FALSE()),0)+1*IFERROR(VLOOKUP(INDEX(' Toto teams'!$F$4:$F$119,MATCH($B14,' Toto teams'!$A$4:$A$119,0)),Scoring!$A$4:$N$51,10,FALSE()),0)+1*IFERROR(VLOOKUP(INDEX(' Toto teams'!$G$4:$G$119,MATCH($B14,' Toto teams'!$A$4:$A$119,0)),Scoring!$A$4:$N$51,10,FALSE()),0)+1*IFERROR(VLOOKUP(INDEX(' Toto teams'!$H$4:$H$119,MATCH($B14,' Toto teams'!$A$4:$A$119,0)),Scoring!$A$4:$N$51,10,FALSE()),0))</f>
        <v>0</v>
      </c>
      <c r="H14" s="28">
        <f>IF($B14="","",6*IFERROR(VLOOKUP(INDEX(' Toto teams'!$B$4:$B$119,MATCH($B14,' Toto teams'!$A$4:$A$119,0)),Scoring!$A$4:$N$51,11,FALSE()),0)+4*IFERROR(VLOOKUP(INDEX(' Toto teams'!$C$4:$C$119,MATCH($B14,' Toto teams'!$A$4:$A$119,0)),Scoring!$A$4:$N$51,11,FALSE()),0)+3*IFERROR(VLOOKUP(INDEX(' Toto teams'!$D$4:$D$119,MATCH($B14,' Toto teams'!$A$4:$A$119,0)),Scoring!$A$4:$N$51,11,FALSE()),0)+2*IFERROR(VLOOKUP(INDEX(' Toto teams'!$E$4:$E$119,MATCH($B14,' Toto teams'!$A$4:$A$119,0)),Scoring!$A$4:$N$51,11,FALSE()),0)+1*IFERROR(VLOOKUP(INDEX(' Toto teams'!$F$4:$F$119,MATCH($B14,' Toto teams'!$A$4:$A$119,0)),Scoring!$A$4:$N$51,11,FALSE()),0)+1*IFERROR(VLOOKUP(INDEX(' Toto teams'!$G$4:$G$119,MATCH($B14,' Toto teams'!$A$4:$A$119,0)),Scoring!$A$4:$N$51,11,FALSE()),0)+1*IFERROR(VLOOKUP(INDEX(' Toto teams'!$H$4:$H$119,MATCH($B14,' Toto teams'!$A$4:$A$119,0)),Scoring!$A$4:$N$51,11,FALSE()),0))</f>
        <v>0</v>
      </c>
      <c r="I14" s="28">
        <f>IF($B14="","",6*IFERROR(VLOOKUP(INDEX(' Toto teams'!$B$4:$B$119,MATCH($B14,' Toto teams'!$A$4:$A$119,0)),Scoring!$A$4:$O$51,15,FALSE()),0)+4*IFERROR(VLOOKUP(INDEX(' Toto teams'!$C$4:$C$119,MATCH($B14,' Toto teams'!$A$4:$A$119,0)),Scoring!$A$4:$O$51,15,FALSE()),0)+3*IFERROR(VLOOKUP(INDEX(' Toto teams'!$D$4:$D$119,MATCH($B14,' Toto teams'!$A$4:$A$119,0)),Scoring!$A$4:$O$51,15,FALSE()),0)+2*IFERROR(VLOOKUP(INDEX(' Toto teams'!$E$4:$E$119,MATCH($B14,' Toto teams'!$A$4:$A$119,0)),Scoring!$A$4:$O$51,15,FALSE()),0)+1*IFERROR(VLOOKUP(INDEX(' Toto teams'!$F$4:$F$119,MATCH($B14,' Toto teams'!$A$4:$A$119,0)),Scoring!$A$4:$O$51,15,FALSE()),0)+1*IFERROR(VLOOKUP(INDEX(' Toto teams'!$G$4:$G$119,MATCH($B14,' Toto teams'!$A$4:$A$119,0)),Scoring!$A$4:$O$51,15,FALSE()),0)+1*IFERROR(VLOOKUP(INDEX(' Toto teams'!$H$4:$H$119,MATCH($B14,' Toto teams'!$A$4:$A$119,0)),Scoring!$A$4:$O$51,15,FALSE()),0))</f>
        <v>0</v>
      </c>
      <c r="J14" s="28">
        <f>IF($B14="","",6*IFERROR(VLOOKUP(INDEX(' Toto teams'!$B$4:$B$119,MATCH($B14,' Toto teams'!$A$4:$A$119,0)),Scoring!$A$4:$N$51,12,FALSE()),0)+4*IFERROR(VLOOKUP(INDEX(' Toto teams'!$C$4:$C$119,MATCH($B14,' Toto teams'!$A$4:$A$119,0)),Scoring!$A$4:$N$51,12,FALSE()),0)+3*IFERROR(VLOOKUP(INDEX(' Toto teams'!$D$4:$D$119,MATCH($B14,' Toto teams'!$A$4:$A$119,0)),Scoring!$A$4:$N$51,12,FALSE()),0)+2*IFERROR(VLOOKUP(INDEX(' Toto teams'!$E$4:$E$119,MATCH($B14,' Toto teams'!$A$4:$A$119,0)),Scoring!$A$4:$N$51,12,FALSE()),0)+1*IFERROR(VLOOKUP(INDEX(' Toto teams'!$F$4:$F$119,MATCH($B14,' Toto teams'!$A$4:$A$119,0)),Scoring!$A$4:$N$51,12,FALSE()),0)+1*IFERROR(VLOOKUP(INDEX(' Toto teams'!$G$4:$G$119,MATCH($B14,' Toto teams'!$A$4:$A$119,0)),Scoring!$A$4:$N$51,12,FALSE()),0)+1*IFERROR(VLOOKUP(INDEX(' Toto teams'!$H$4:$H$119,MATCH($B14,' Toto teams'!$A$4:$A$119,0)),Scoring!$A$4:$N$51,12,FALSE()),0))</f>
        <v>0</v>
      </c>
      <c r="K14" s="29">
        <f>IF($B14="","",IFERROR(INDEX(' Toto teams'!$R$4:$R$119,MATCH($B14,' Toto teams'!$A$4:$A$119,0)),""))</f>
        <v>4</v>
      </c>
      <c r="L14" s="30">
        <f t="shared" si="0"/>
        <v>27.794117647058822</v>
      </c>
    </row>
    <row r="15" spans="1:18" ht="12.75" customHeight="1" x14ac:dyDescent="0.3">
      <c r="A15" s="26">
        <f>IF(12&gt;COUNTIF(' Toto teams'!$A$4:$A$119,"&lt;&gt;"),"",INDEX(' Toto teams'!$S$4:$S$119,MATCH(LARGE(' Toto teams'!$T$4:$T$119,12),' Toto teams'!$T$4:$T$119,0)))</f>
        <v>5</v>
      </c>
      <c r="B15" s="27" t="str">
        <f>IF(12&gt;COUNTIF(' Toto teams'!$A$4:$A$119,"&lt;&gt;"),"",INDEX(' Toto teams'!$A$4:$A$119,MATCH(LARGE(' Toto teams'!$T$4:$T$119,12),' Toto teams'!$T$4:$T$119,0)))</f>
        <v>Arūnas Čižauskas</v>
      </c>
      <c r="C15" s="28">
        <f>IF($B15="","",6*(IFERROR(VLOOKUP(INDEX(' Toto teams'!$B$4:$B$119,MATCH($B15,' Toto teams'!$A$4:$A$119,0)),Scoring!$A$4:$N$51,3,FALSE()),0)+IFERROR(VLOOKUP(INDEX(' Toto teams'!$B$4:$B$119,MATCH($B15,' Toto teams'!$A$4:$A$119,0)),Scoring!$A$4:$N$51,4,FALSE()),0)+IFERROR(VLOOKUP(INDEX(' Toto teams'!$B$4:$B$119,MATCH($B15,' Toto teams'!$A$4:$A$119,0)),Scoring!$A$4:$N$51,5,FALSE()),0))+4*(IFERROR(VLOOKUP(INDEX(' Toto teams'!$C$4:$C$119,MATCH($B15,' Toto teams'!$A$4:$A$119,0)),Scoring!$A$4:$N$51,3,FALSE()),0)+IFERROR(VLOOKUP(INDEX(' Toto teams'!$C$4:$C$119,MATCH($B15,' Toto teams'!$A$4:$A$119,0)),Scoring!$A$4:$N$51,4,FALSE()),0)+IFERROR(VLOOKUP(INDEX(' Toto teams'!$C$4:$C$119,MATCH($B15,' Toto teams'!$A$4:$A$119,0)),Scoring!$A$4:$N$51,5,FALSE()),0))+3*(IFERROR(VLOOKUP(INDEX(' Toto teams'!$D$4:$D$119,MATCH($B15,' Toto teams'!$A$4:$A$119,0)),Scoring!$A$4:$N$51,3,FALSE()),0)+IFERROR(VLOOKUP(INDEX(' Toto teams'!$D$4:$D$119,MATCH($B15,' Toto teams'!$A$4:$A$119,0)),Scoring!$A$4:$N$51,4,FALSE()),0)+IFERROR(VLOOKUP(INDEX(' Toto teams'!$D$4:$D$119,MATCH($B15,' Toto teams'!$A$4:$A$119,0)),Scoring!$A$4:$N$51,5,FALSE()),0))+2*(IFERROR(VLOOKUP(INDEX(' Toto teams'!$E$4:$E$119,MATCH($B15,' Toto teams'!$A$4:$A$119,0)),Scoring!$A$4:$N$51,3,FALSE()),0)+IFERROR(VLOOKUP(INDEX(' Toto teams'!$E$4:$E$119,MATCH($B15,' Toto teams'!$A$4:$A$119,0)),Scoring!$A$4:$N$51,4,FALSE()),0)+IFERROR(VLOOKUP(INDEX(' Toto teams'!$E$4:$E$119,MATCH($B15,' Toto teams'!$A$4:$A$119,0)),Scoring!$A$4:$N$51,5,FALSE()),0))+1*(IFERROR(VLOOKUP(INDEX(' Toto teams'!$F$4:$F$119,MATCH($B15,' Toto teams'!$A$4:$A$119,0)),Scoring!$A$4:$N$51,3,FALSE()),0)+IFERROR(VLOOKUP(INDEX(' Toto teams'!$F$4:$F$119,MATCH($B15,' Toto teams'!$A$4:$A$119,0)),Scoring!$A$4:$N$51,4,FALSE()),0)+IFERROR(VLOOKUP(INDEX(' Toto teams'!$F$4:$F$119,MATCH($B15,' Toto teams'!$A$4:$A$119,0)),Scoring!$A$4:$N$51,5,FALSE()),0))+1*(IFERROR(VLOOKUP(INDEX(' Toto teams'!$G$4:$G$119,MATCH($B15,' Toto teams'!$A$4:$A$119,0)),Scoring!$A$4:$N$51,3,FALSE()),0)+IFERROR(VLOOKUP(INDEX(' Toto teams'!$G$4:$G$119,MATCH($B15,' Toto teams'!$A$4:$A$119,0)),Scoring!$A$4:$N$51,4,FALSE()),0)+IFERROR(VLOOKUP(INDEX(' Toto teams'!$G$4:$G$119,MATCH($B15,' Toto teams'!$A$4:$A$119,0)),Scoring!$A$4:$N$51,5,FALSE()),0))+1*(IFERROR(VLOOKUP(INDEX(' Toto teams'!$H$4:$H$119,MATCH($B15,' Toto teams'!$A$4:$A$119,0)),Scoring!$A$4:$N$51,3,FALSE()),0)+IFERROR(VLOOKUP(INDEX(' Toto teams'!$H$4:$H$119,MATCH($B15,' Toto teams'!$A$4:$A$119,0)),Scoring!$A$4:$N$51,4,FALSE()),0)+IFERROR(VLOOKUP(INDEX(' Toto teams'!$H$4:$H$119,MATCH($B15,' Toto teams'!$A$4:$A$119,0)),Scoring!$A$4:$N$51,5,FALSE()),0))+IFERROR(INDEX(' Toto teams'!$Q$4:$Q$119,MATCH($B15,' Toto teams'!$A$4:$A$119,0))*1,0))</f>
        <v>4</v>
      </c>
      <c r="D15" s="28">
        <f>IF($B15="","",6*IFERROR(VLOOKUP(INDEX(' Toto teams'!$B$4:$B$119,MATCH($B15,' Toto teams'!$A$4:$A$119,0)),Scoring!$A$4:$N$51,7,FALSE()),0)+4*IFERROR(VLOOKUP(INDEX(' Toto teams'!$C$4:$C$119,MATCH($B15,' Toto teams'!$A$4:$A$119,0)),Scoring!$A$4:$N$51,7,FALSE()),0)+3*IFERROR(VLOOKUP(INDEX(' Toto teams'!$D$4:$D$119,MATCH($B15,' Toto teams'!$A$4:$A$119,0)),Scoring!$A$4:$N$51,7,FALSE()),0)+2*IFERROR(VLOOKUP(INDEX(' Toto teams'!$E$4:$E$119,MATCH($B15,' Toto teams'!$A$4:$A$119,0)),Scoring!$A$4:$N$51,7,FALSE()),0)+1*IFERROR(VLOOKUP(INDEX(' Toto teams'!$F$4:$F$119,MATCH($B15,' Toto teams'!$A$4:$A$119,0)),Scoring!$A$4:$N$51,7,FALSE()),0)+1*IFERROR(VLOOKUP(INDEX(' Toto teams'!$G$4:$G$119,MATCH($B15,' Toto teams'!$A$4:$A$119,0)),Scoring!$A$4:$N$51,7,FALSE()),0)+1*IFERROR(VLOOKUP(INDEX(' Toto teams'!$H$4:$H$119,MATCH($B15,' Toto teams'!$A$4:$A$119,0)),Scoring!$A$4:$N$51,7,FALSE()),0))</f>
        <v>0</v>
      </c>
      <c r="E15" s="28">
        <f>IF($B15="","",6*IFERROR(VLOOKUP(INDEX(' Toto teams'!$B$4:$B$119,MATCH($B15,' Toto teams'!$A$4:$A$119,0)),Scoring!$A$4:$N$51,8,FALSE()),0)+4*IFERROR(VLOOKUP(INDEX(' Toto teams'!$C$4:$C$119,MATCH($B15,' Toto teams'!$A$4:$A$119,0)),Scoring!$A$4:$N$51,8,FALSE()),0)+3*IFERROR(VLOOKUP(INDEX(' Toto teams'!$D$4:$D$119,MATCH($B15,' Toto teams'!$A$4:$A$119,0)),Scoring!$A$4:$N$51,8,FALSE()),0)+2*IFERROR(VLOOKUP(INDEX(' Toto teams'!$E$4:$E$119,MATCH($B15,' Toto teams'!$A$4:$A$119,0)),Scoring!$A$4:$N$51,8,FALSE()),0)+1*IFERROR(VLOOKUP(INDEX(' Toto teams'!$F$4:$F$119,MATCH($B15,' Toto teams'!$A$4:$A$119,0)),Scoring!$A$4:$N$51,8,FALSE()),0)+1*IFERROR(VLOOKUP(INDEX(' Toto teams'!$G$4:$G$119,MATCH($B15,' Toto teams'!$A$4:$A$119,0)),Scoring!$A$4:$N$51,8,FALSE()),0)+1*IFERROR(VLOOKUP(INDEX(' Toto teams'!$H$4:$H$119,MATCH($B15,' Toto teams'!$A$4:$A$119,0)),Scoring!$A$4:$N$51,8,FALSE()),0))</f>
        <v>0</v>
      </c>
      <c r="F15" s="28">
        <f>IF($B15="","",6*IFERROR(VLOOKUP(INDEX(' Toto teams'!$B$4:$B$119,MATCH($B15,' Toto teams'!$A$4:$A$119,0)),Scoring!$A$4:$N$51,9,FALSE()),0)+4*IFERROR(VLOOKUP(INDEX(' Toto teams'!$C$4:$C$119,MATCH($B15,' Toto teams'!$A$4:$A$119,0)),Scoring!$A$4:$N$51,9,FALSE()),0)+3*IFERROR(VLOOKUP(INDEX(' Toto teams'!$D$4:$D$119,MATCH($B15,' Toto teams'!$A$4:$A$119,0)),Scoring!$A$4:$N$51,9,FALSE()),0)+2*IFERROR(VLOOKUP(INDEX(' Toto teams'!$E$4:$E$119,MATCH($B15,' Toto teams'!$A$4:$A$119,0)),Scoring!$A$4:$N$51,9,FALSE()),0)+1*IFERROR(VLOOKUP(INDEX(' Toto teams'!$F$4:$F$119,MATCH($B15,' Toto teams'!$A$4:$A$119,0)),Scoring!$A$4:$N$51,9,FALSE()),0)+1*IFERROR(VLOOKUP(INDEX(' Toto teams'!$G$4:$G$119,MATCH($B15,' Toto teams'!$A$4:$A$119,0)),Scoring!$A$4:$N$51,9,FALSE()),0)+1*IFERROR(VLOOKUP(INDEX(' Toto teams'!$H$4:$H$119,MATCH($B15,' Toto teams'!$A$4:$A$119,0)),Scoring!$A$4:$N$51,9,FALSE()),0))</f>
        <v>0</v>
      </c>
      <c r="G15" s="28">
        <f>IF($B15="","",6*IFERROR(VLOOKUP(INDEX(' Toto teams'!$B$4:$B$119,MATCH($B15,' Toto teams'!$A$4:$A$119,0)),Scoring!$A$4:$N$51,10,FALSE()),0)+4*IFERROR(VLOOKUP(INDEX(' Toto teams'!$C$4:$C$119,MATCH($B15,' Toto teams'!$A$4:$A$119,0)),Scoring!$A$4:$N$51,10,FALSE()),0)+3*IFERROR(VLOOKUP(INDEX(' Toto teams'!$D$4:$D$119,MATCH($B15,' Toto teams'!$A$4:$A$119,0)),Scoring!$A$4:$N$51,10,FALSE()),0)+2*IFERROR(VLOOKUP(INDEX(' Toto teams'!$E$4:$E$119,MATCH($B15,' Toto teams'!$A$4:$A$119,0)),Scoring!$A$4:$N$51,10,FALSE()),0)+1*IFERROR(VLOOKUP(INDEX(' Toto teams'!$F$4:$F$119,MATCH($B15,' Toto teams'!$A$4:$A$119,0)),Scoring!$A$4:$N$51,10,FALSE()),0)+1*IFERROR(VLOOKUP(INDEX(' Toto teams'!$G$4:$G$119,MATCH($B15,' Toto teams'!$A$4:$A$119,0)),Scoring!$A$4:$N$51,10,FALSE()),0)+1*IFERROR(VLOOKUP(INDEX(' Toto teams'!$H$4:$H$119,MATCH($B15,' Toto teams'!$A$4:$A$119,0)),Scoring!$A$4:$N$51,10,FALSE()),0))</f>
        <v>0</v>
      </c>
      <c r="H15" s="28">
        <f>IF($B15="","",6*IFERROR(VLOOKUP(INDEX(' Toto teams'!$B$4:$B$119,MATCH($B15,' Toto teams'!$A$4:$A$119,0)),Scoring!$A$4:$N$51,11,FALSE()),0)+4*IFERROR(VLOOKUP(INDEX(' Toto teams'!$C$4:$C$119,MATCH($B15,' Toto teams'!$A$4:$A$119,0)),Scoring!$A$4:$N$51,11,FALSE()),0)+3*IFERROR(VLOOKUP(INDEX(' Toto teams'!$D$4:$D$119,MATCH($B15,' Toto teams'!$A$4:$A$119,0)),Scoring!$A$4:$N$51,11,FALSE()),0)+2*IFERROR(VLOOKUP(INDEX(' Toto teams'!$E$4:$E$119,MATCH($B15,' Toto teams'!$A$4:$A$119,0)),Scoring!$A$4:$N$51,11,FALSE()),0)+1*IFERROR(VLOOKUP(INDEX(' Toto teams'!$F$4:$F$119,MATCH($B15,' Toto teams'!$A$4:$A$119,0)),Scoring!$A$4:$N$51,11,FALSE()),0)+1*IFERROR(VLOOKUP(INDEX(' Toto teams'!$G$4:$G$119,MATCH($B15,' Toto teams'!$A$4:$A$119,0)),Scoring!$A$4:$N$51,11,FALSE()),0)+1*IFERROR(VLOOKUP(INDEX(' Toto teams'!$H$4:$H$119,MATCH($B15,' Toto teams'!$A$4:$A$119,0)),Scoring!$A$4:$N$51,11,FALSE()),0))</f>
        <v>0</v>
      </c>
      <c r="I15" s="28">
        <f>IF($B15="","",6*IFERROR(VLOOKUP(INDEX(' Toto teams'!$B$4:$B$119,MATCH($B15,' Toto teams'!$A$4:$A$119,0)),Scoring!$A$4:$O$51,15,FALSE()),0)+4*IFERROR(VLOOKUP(INDEX(' Toto teams'!$C$4:$C$119,MATCH($B15,' Toto teams'!$A$4:$A$119,0)),Scoring!$A$4:$O$51,15,FALSE()),0)+3*IFERROR(VLOOKUP(INDEX(' Toto teams'!$D$4:$D$119,MATCH($B15,' Toto teams'!$A$4:$A$119,0)),Scoring!$A$4:$O$51,15,FALSE()),0)+2*IFERROR(VLOOKUP(INDEX(' Toto teams'!$E$4:$E$119,MATCH($B15,' Toto teams'!$A$4:$A$119,0)),Scoring!$A$4:$O$51,15,FALSE()),0)+1*IFERROR(VLOOKUP(INDEX(' Toto teams'!$F$4:$F$119,MATCH($B15,' Toto teams'!$A$4:$A$119,0)),Scoring!$A$4:$O$51,15,FALSE()),0)+1*IFERROR(VLOOKUP(INDEX(' Toto teams'!$G$4:$G$119,MATCH($B15,' Toto teams'!$A$4:$A$119,0)),Scoring!$A$4:$O$51,15,FALSE()),0)+1*IFERROR(VLOOKUP(INDEX(' Toto teams'!$H$4:$H$119,MATCH($B15,' Toto teams'!$A$4:$A$119,0)),Scoring!$A$4:$O$51,15,FALSE()),0))</f>
        <v>0</v>
      </c>
      <c r="J15" s="28">
        <f>IF($B15="","",6*IFERROR(VLOOKUP(INDEX(' Toto teams'!$B$4:$B$119,MATCH($B15,' Toto teams'!$A$4:$A$119,0)),Scoring!$A$4:$N$51,12,FALSE()),0)+4*IFERROR(VLOOKUP(INDEX(' Toto teams'!$C$4:$C$119,MATCH($B15,' Toto teams'!$A$4:$A$119,0)),Scoring!$A$4:$N$51,12,FALSE()),0)+3*IFERROR(VLOOKUP(INDEX(' Toto teams'!$D$4:$D$119,MATCH($B15,' Toto teams'!$A$4:$A$119,0)),Scoring!$A$4:$N$51,12,FALSE()),0)+2*IFERROR(VLOOKUP(INDEX(' Toto teams'!$E$4:$E$119,MATCH($B15,' Toto teams'!$A$4:$A$119,0)),Scoring!$A$4:$N$51,12,FALSE()),0)+1*IFERROR(VLOOKUP(INDEX(' Toto teams'!$F$4:$F$119,MATCH($B15,' Toto teams'!$A$4:$A$119,0)),Scoring!$A$4:$N$51,12,FALSE()),0)+1*IFERROR(VLOOKUP(INDEX(' Toto teams'!$G$4:$G$119,MATCH($B15,' Toto teams'!$A$4:$A$119,0)),Scoring!$A$4:$N$51,12,FALSE()),0)+1*IFERROR(VLOOKUP(INDEX(' Toto teams'!$H$4:$H$119,MATCH($B15,' Toto teams'!$A$4:$A$119,0)),Scoring!$A$4:$N$51,12,FALSE()),0))</f>
        <v>0</v>
      </c>
      <c r="K15" s="29">
        <f>IF($B15="","",IFERROR(INDEX(' Toto teams'!$R$4:$R$119,MATCH($B15,' Toto teams'!$A$4:$A$119,0)),""))</f>
        <v>4</v>
      </c>
      <c r="L15" s="30">
        <f t="shared" si="0"/>
        <v>27.794117647058822</v>
      </c>
      <c r="N15" t="s">
        <v>111</v>
      </c>
      <c r="O15">
        <v>3150</v>
      </c>
    </row>
    <row r="16" spans="1:18" ht="12.75" customHeight="1" x14ac:dyDescent="0.3">
      <c r="A16" s="26">
        <f>IF(13&gt;COUNTIF(' Toto teams'!$A$4:$A$119,"&lt;&gt;"),"",INDEX(' Toto teams'!$S$4:$S$119,MATCH(LARGE(' Toto teams'!$T$4:$T$119,13),' Toto teams'!$T$4:$T$119,0)))</f>
        <v>5</v>
      </c>
      <c r="B16" s="27" t="str">
        <f>IF(13&gt;COUNTIF(' Toto teams'!$A$4:$A$119,"&lt;&gt;"),"",INDEX(' Toto teams'!$A$4:$A$119,MATCH(LARGE(' Toto teams'!$T$4:$T$119,13),' Toto teams'!$T$4:$T$119,0)))</f>
        <v>Simonas Anikinas</v>
      </c>
      <c r="C16" s="28">
        <f>IF($B16="","",6*(IFERROR(VLOOKUP(INDEX(' Toto teams'!$B$4:$B$119,MATCH($B16,' Toto teams'!$A$4:$A$119,0)),Scoring!$A$4:$N$51,3,FALSE()),0)+IFERROR(VLOOKUP(INDEX(' Toto teams'!$B$4:$B$119,MATCH($B16,' Toto teams'!$A$4:$A$119,0)),Scoring!$A$4:$N$51,4,FALSE()),0)+IFERROR(VLOOKUP(INDEX(' Toto teams'!$B$4:$B$119,MATCH($B16,' Toto teams'!$A$4:$A$119,0)),Scoring!$A$4:$N$51,5,FALSE()),0))+4*(IFERROR(VLOOKUP(INDEX(' Toto teams'!$C$4:$C$119,MATCH($B16,' Toto teams'!$A$4:$A$119,0)),Scoring!$A$4:$N$51,3,FALSE()),0)+IFERROR(VLOOKUP(INDEX(' Toto teams'!$C$4:$C$119,MATCH($B16,' Toto teams'!$A$4:$A$119,0)),Scoring!$A$4:$N$51,4,FALSE()),0)+IFERROR(VLOOKUP(INDEX(' Toto teams'!$C$4:$C$119,MATCH($B16,' Toto teams'!$A$4:$A$119,0)),Scoring!$A$4:$N$51,5,FALSE()),0))+3*(IFERROR(VLOOKUP(INDEX(' Toto teams'!$D$4:$D$119,MATCH($B16,' Toto teams'!$A$4:$A$119,0)),Scoring!$A$4:$N$51,3,FALSE()),0)+IFERROR(VLOOKUP(INDEX(' Toto teams'!$D$4:$D$119,MATCH($B16,' Toto teams'!$A$4:$A$119,0)),Scoring!$A$4:$N$51,4,FALSE()),0)+IFERROR(VLOOKUP(INDEX(' Toto teams'!$D$4:$D$119,MATCH($B16,' Toto teams'!$A$4:$A$119,0)),Scoring!$A$4:$N$51,5,FALSE()),0))+2*(IFERROR(VLOOKUP(INDEX(' Toto teams'!$E$4:$E$119,MATCH($B16,' Toto teams'!$A$4:$A$119,0)),Scoring!$A$4:$N$51,3,FALSE()),0)+IFERROR(VLOOKUP(INDEX(' Toto teams'!$E$4:$E$119,MATCH($B16,' Toto teams'!$A$4:$A$119,0)),Scoring!$A$4:$N$51,4,FALSE()),0)+IFERROR(VLOOKUP(INDEX(' Toto teams'!$E$4:$E$119,MATCH($B16,' Toto teams'!$A$4:$A$119,0)),Scoring!$A$4:$N$51,5,FALSE()),0))+1*(IFERROR(VLOOKUP(INDEX(' Toto teams'!$F$4:$F$119,MATCH($B16,' Toto teams'!$A$4:$A$119,0)),Scoring!$A$4:$N$51,3,FALSE()),0)+IFERROR(VLOOKUP(INDEX(' Toto teams'!$F$4:$F$119,MATCH($B16,' Toto teams'!$A$4:$A$119,0)),Scoring!$A$4:$N$51,4,FALSE()),0)+IFERROR(VLOOKUP(INDEX(' Toto teams'!$F$4:$F$119,MATCH($B16,' Toto teams'!$A$4:$A$119,0)),Scoring!$A$4:$N$51,5,FALSE()),0))+1*(IFERROR(VLOOKUP(INDEX(' Toto teams'!$G$4:$G$119,MATCH($B16,' Toto teams'!$A$4:$A$119,0)),Scoring!$A$4:$N$51,3,FALSE()),0)+IFERROR(VLOOKUP(INDEX(' Toto teams'!$G$4:$G$119,MATCH($B16,' Toto teams'!$A$4:$A$119,0)),Scoring!$A$4:$N$51,4,FALSE()),0)+IFERROR(VLOOKUP(INDEX(' Toto teams'!$G$4:$G$119,MATCH($B16,' Toto teams'!$A$4:$A$119,0)),Scoring!$A$4:$N$51,5,FALSE()),0))+1*(IFERROR(VLOOKUP(INDEX(' Toto teams'!$H$4:$H$119,MATCH($B16,' Toto teams'!$A$4:$A$119,0)),Scoring!$A$4:$N$51,3,FALSE()),0)+IFERROR(VLOOKUP(INDEX(' Toto teams'!$H$4:$H$119,MATCH($B16,' Toto teams'!$A$4:$A$119,0)),Scoring!$A$4:$N$51,4,FALSE()),0)+IFERROR(VLOOKUP(INDEX(' Toto teams'!$H$4:$H$119,MATCH($B16,' Toto teams'!$A$4:$A$119,0)),Scoring!$A$4:$N$51,5,FALSE()),0))+IFERROR(INDEX(' Toto teams'!$Q$4:$Q$119,MATCH($B16,' Toto teams'!$A$4:$A$119,0))*1,0))</f>
        <v>4</v>
      </c>
      <c r="D16" s="28">
        <f>IF($B16="","",6*IFERROR(VLOOKUP(INDEX(' Toto teams'!$B$4:$B$119,MATCH($B16,' Toto teams'!$A$4:$A$119,0)),Scoring!$A$4:$N$51,7,FALSE()),0)+4*IFERROR(VLOOKUP(INDEX(' Toto teams'!$C$4:$C$119,MATCH($B16,' Toto teams'!$A$4:$A$119,0)),Scoring!$A$4:$N$51,7,FALSE()),0)+3*IFERROR(VLOOKUP(INDEX(' Toto teams'!$D$4:$D$119,MATCH($B16,' Toto teams'!$A$4:$A$119,0)),Scoring!$A$4:$N$51,7,FALSE()),0)+2*IFERROR(VLOOKUP(INDEX(' Toto teams'!$E$4:$E$119,MATCH($B16,' Toto teams'!$A$4:$A$119,0)),Scoring!$A$4:$N$51,7,FALSE()),0)+1*IFERROR(VLOOKUP(INDEX(' Toto teams'!$F$4:$F$119,MATCH($B16,' Toto teams'!$A$4:$A$119,0)),Scoring!$A$4:$N$51,7,FALSE()),0)+1*IFERROR(VLOOKUP(INDEX(' Toto teams'!$G$4:$G$119,MATCH($B16,' Toto teams'!$A$4:$A$119,0)),Scoring!$A$4:$N$51,7,FALSE()),0)+1*IFERROR(VLOOKUP(INDEX(' Toto teams'!$H$4:$H$119,MATCH($B16,' Toto teams'!$A$4:$A$119,0)),Scoring!$A$4:$N$51,7,FALSE()),0))</f>
        <v>0</v>
      </c>
      <c r="E16" s="28">
        <f>IF($B16="","",6*IFERROR(VLOOKUP(INDEX(' Toto teams'!$B$4:$B$119,MATCH($B16,' Toto teams'!$A$4:$A$119,0)),Scoring!$A$4:$N$51,8,FALSE()),0)+4*IFERROR(VLOOKUP(INDEX(' Toto teams'!$C$4:$C$119,MATCH($B16,' Toto teams'!$A$4:$A$119,0)),Scoring!$A$4:$N$51,8,FALSE()),0)+3*IFERROR(VLOOKUP(INDEX(' Toto teams'!$D$4:$D$119,MATCH($B16,' Toto teams'!$A$4:$A$119,0)),Scoring!$A$4:$N$51,8,FALSE()),0)+2*IFERROR(VLOOKUP(INDEX(' Toto teams'!$E$4:$E$119,MATCH($B16,' Toto teams'!$A$4:$A$119,0)),Scoring!$A$4:$N$51,8,FALSE()),0)+1*IFERROR(VLOOKUP(INDEX(' Toto teams'!$F$4:$F$119,MATCH($B16,' Toto teams'!$A$4:$A$119,0)),Scoring!$A$4:$N$51,8,FALSE()),0)+1*IFERROR(VLOOKUP(INDEX(' Toto teams'!$G$4:$G$119,MATCH($B16,' Toto teams'!$A$4:$A$119,0)),Scoring!$A$4:$N$51,8,FALSE()),0)+1*IFERROR(VLOOKUP(INDEX(' Toto teams'!$H$4:$H$119,MATCH($B16,' Toto teams'!$A$4:$A$119,0)),Scoring!$A$4:$N$51,8,FALSE()),0))</f>
        <v>0</v>
      </c>
      <c r="F16" s="28">
        <f>IF($B16="","",6*IFERROR(VLOOKUP(INDEX(' Toto teams'!$B$4:$B$119,MATCH($B16,' Toto teams'!$A$4:$A$119,0)),Scoring!$A$4:$N$51,9,FALSE()),0)+4*IFERROR(VLOOKUP(INDEX(' Toto teams'!$C$4:$C$119,MATCH($B16,' Toto teams'!$A$4:$A$119,0)),Scoring!$A$4:$N$51,9,FALSE()),0)+3*IFERROR(VLOOKUP(INDEX(' Toto teams'!$D$4:$D$119,MATCH($B16,' Toto teams'!$A$4:$A$119,0)),Scoring!$A$4:$N$51,9,FALSE()),0)+2*IFERROR(VLOOKUP(INDEX(' Toto teams'!$E$4:$E$119,MATCH($B16,' Toto teams'!$A$4:$A$119,0)),Scoring!$A$4:$N$51,9,FALSE()),0)+1*IFERROR(VLOOKUP(INDEX(' Toto teams'!$F$4:$F$119,MATCH($B16,' Toto teams'!$A$4:$A$119,0)),Scoring!$A$4:$N$51,9,FALSE()),0)+1*IFERROR(VLOOKUP(INDEX(' Toto teams'!$G$4:$G$119,MATCH($B16,' Toto teams'!$A$4:$A$119,0)),Scoring!$A$4:$N$51,9,FALSE()),0)+1*IFERROR(VLOOKUP(INDEX(' Toto teams'!$H$4:$H$119,MATCH($B16,' Toto teams'!$A$4:$A$119,0)),Scoring!$A$4:$N$51,9,FALSE()),0))</f>
        <v>0</v>
      </c>
      <c r="G16" s="28">
        <f>IF($B16="","",6*IFERROR(VLOOKUP(INDEX(' Toto teams'!$B$4:$B$119,MATCH($B16,' Toto teams'!$A$4:$A$119,0)),Scoring!$A$4:$N$51,10,FALSE()),0)+4*IFERROR(VLOOKUP(INDEX(' Toto teams'!$C$4:$C$119,MATCH($B16,' Toto teams'!$A$4:$A$119,0)),Scoring!$A$4:$N$51,10,FALSE()),0)+3*IFERROR(VLOOKUP(INDEX(' Toto teams'!$D$4:$D$119,MATCH($B16,' Toto teams'!$A$4:$A$119,0)),Scoring!$A$4:$N$51,10,FALSE()),0)+2*IFERROR(VLOOKUP(INDEX(' Toto teams'!$E$4:$E$119,MATCH($B16,' Toto teams'!$A$4:$A$119,0)),Scoring!$A$4:$N$51,10,FALSE()),0)+1*IFERROR(VLOOKUP(INDEX(' Toto teams'!$F$4:$F$119,MATCH($B16,' Toto teams'!$A$4:$A$119,0)),Scoring!$A$4:$N$51,10,FALSE()),0)+1*IFERROR(VLOOKUP(INDEX(' Toto teams'!$G$4:$G$119,MATCH($B16,' Toto teams'!$A$4:$A$119,0)),Scoring!$A$4:$N$51,10,FALSE()),0)+1*IFERROR(VLOOKUP(INDEX(' Toto teams'!$H$4:$H$119,MATCH($B16,' Toto teams'!$A$4:$A$119,0)),Scoring!$A$4:$N$51,10,FALSE()),0))</f>
        <v>0</v>
      </c>
      <c r="H16" s="28">
        <f>IF($B16="","",6*IFERROR(VLOOKUP(INDEX(' Toto teams'!$B$4:$B$119,MATCH($B16,' Toto teams'!$A$4:$A$119,0)),Scoring!$A$4:$N$51,11,FALSE()),0)+4*IFERROR(VLOOKUP(INDEX(' Toto teams'!$C$4:$C$119,MATCH($B16,' Toto teams'!$A$4:$A$119,0)),Scoring!$A$4:$N$51,11,FALSE()),0)+3*IFERROR(VLOOKUP(INDEX(' Toto teams'!$D$4:$D$119,MATCH($B16,' Toto teams'!$A$4:$A$119,0)),Scoring!$A$4:$N$51,11,FALSE()),0)+2*IFERROR(VLOOKUP(INDEX(' Toto teams'!$E$4:$E$119,MATCH($B16,' Toto teams'!$A$4:$A$119,0)),Scoring!$A$4:$N$51,11,FALSE()),0)+1*IFERROR(VLOOKUP(INDEX(' Toto teams'!$F$4:$F$119,MATCH($B16,' Toto teams'!$A$4:$A$119,0)),Scoring!$A$4:$N$51,11,FALSE()),0)+1*IFERROR(VLOOKUP(INDEX(' Toto teams'!$G$4:$G$119,MATCH($B16,' Toto teams'!$A$4:$A$119,0)),Scoring!$A$4:$N$51,11,FALSE()),0)+1*IFERROR(VLOOKUP(INDEX(' Toto teams'!$H$4:$H$119,MATCH($B16,' Toto teams'!$A$4:$A$119,0)),Scoring!$A$4:$N$51,11,FALSE()),0))</f>
        <v>0</v>
      </c>
      <c r="I16" s="28">
        <f>IF($B16="","",6*IFERROR(VLOOKUP(INDEX(' Toto teams'!$B$4:$B$119,MATCH($B16,' Toto teams'!$A$4:$A$119,0)),Scoring!$A$4:$O$51,15,FALSE()),0)+4*IFERROR(VLOOKUP(INDEX(' Toto teams'!$C$4:$C$119,MATCH($B16,' Toto teams'!$A$4:$A$119,0)),Scoring!$A$4:$O$51,15,FALSE()),0)+3*IFERROR(VLOOKUP(INDEX(' Toto teams'!$D$4:$D$119,MATCH($B16,' Toto teams'!$A$4:$A$119,0)),Scoring!$A$4:$O$51,15,FALSE()),0)+2*IFERROR(VLOOKUP(INDEX(' Toto teams'!$E$4:$E$119,MATCH($B16,' Toto teams'!$A$4:$A$119,0)),Scoring!$A$4:$O$51,15,FALSE()),0)+1*IFERROR(VLOOKUP(INDEX(' Toto teams'!$F$4:$F$119,MATCH($B16,' Toto teams'!$A$4:$A$119,0)),Scoring!$A$4:$O$51,15,FALSE()),0)+1*IFERROR(VLOOKUP(INDEX(' Toto teams'!$G$4:$G$119,MATCH($B16,' Toto teams'!$A$4:$A$119,0)),Scoring!$A$4:$O$51,15,FALSE()),0)+1*IFERROR(VLOOKUP(INDEX(' Toto teams'!$H$4:$H$119,MATCH($B16,' Toto teams'!$A$4:$A$119,0)),Scoring!$A$4:$O$51,15,FALSE()),0))</f>
        <v>0</v>
      </c>
      <c r="J16" s="28">
        <f>IF($B16="","",6*IFERROR(VLOOKUP(INDEX(' Toto teams'!$B$4:$B$119,MATCH($B16,' Toto teams'!$A$4:$A$119,0)),Scoring!$A$4:$N$51,12,FALSE()),0)+4*IFERROR(VLOOKUP(INDEX(' Toto teams'!$C$4:$C$119,MATCH($B16,' Toto teams'!$A$4:$A$119,0)),Scoring!$A$4:$N$51,12,FALSE()),0)+3*IFERROR(VLOOKUP(INDEX(' Toto teams'!$D$4:$D$119,MATCH($B16,' Toto teams'!$A$4:$A$119,0)),Scoring!$A$4:$N$51,12,FALSE()),0)+2*IFERROR(VLOOKUP(INDEX(' Toto teams'!$E$4:$E$119,MATCH($B16,' Toto teams'!$A$4:$A$119,0)),Scoring!$A$4:$N$51,12,FALSE()),0)+1*IFERROR(VLOOKUP(INDEX(' Toto teams'!$F$4:$F$119,MATCH($B16,' Toto teams'!$A$4:$A$119,0)),Scoring!$A$4:$N$51,12,FALSE()),0)+1*IFERROR(VLOOKUP(INDEX(' Toto teams'!$G$4:$G$119,MATCH($B16,' Toto teams'!$A$4:$A$119,0)),Scoring!$A$4:$N$51,12,FALSE()),0)+1*IFERROR(VLOOKUP(INDEX(' Toto teams'!$H$4:$H$119,MATCH($B16,' Toto teams'!$A$4:$A$119,0)),Scoring!$A$4:$N$51,12,FALSE()),0))</f>
        <v>0</v>
      </c>
      <c r="K16" s="29">
        <f>IF($B16="","",IFERROR(INDEX(' Toto teams'!$R$4:$R$119,MATCH($B16,' Toto teams'!$A$4:$A$119,0)),""))</f>
        <v>4</v>
      </c>
      <c r="L16" s="30">
        <f t="shared" si="0"/>
        <v>27.794117647058822</v>
      </c>
    </row>
    <row r="17" spans="1:12" ht="12.75" customHeight="1" x14ac:dyDescent="0.3">
      <c r="A17" s="26">
        <f>IF(14&gt;COUNTIF(' Toto teams'!$A$4:$A$119,"&lt;&gt;"),"",INDEX(' Toto teams'!$S$4:$S$119,MATCH(LARGE(' Toto teams'!$T$4:$T$119,14),' Toto teams'!$T$4:$T$119,0)))</f>
        <v>5</v>
      </c>
      <c r="B17" s="27" t="str">
        <f>IF(14&gt;COUNTIF(' Toto teams'!$A$4:$A$119,"&lt;&gt;"),"",INDEX(' Toto teams'!$A$4:$A$119,MATCH(LARGE(' Toto teams'!$T$4:$T$119,14),' Toto teams'!$T$4:$T$119,0)))</f>
        <v>Miglė Juškaitė</v>
      </c>
      <c r="C17" s="28">
        <f>IF($B17="","",6*(IFERROR(VLOOKUP(INDEX(' Toto teams'!$B$4:$B$119,MATCH($B17,' Toto teams'!$A$4:$A$119,0)),Scoring!$A$4:$N$51,3,FALSE()),0)+IFERROR(VLOOKUP(INDEX(' Toto teams'!$B$4:$B$119,MATCH($B17,' Toto teams'!$A$4:$A$119,0)),Scoring!$A$4:$N$51,4,FALSE()),0)+IFERROR(VLOOKUP(INDEX(' Toto teams'!$B$4:$B$119,MATCH($B17,' Toto teams'!$A$4:$A$119,0)),Scoring!$A$4:$N$51,5,FALSE()),0))+4*(IFERROR(VLOOKUP(INDEX(' Toto teams'!$C$4:$C$119,MATCH($B17,' Toto teams'!$A$4:$A$119,0)),Scoring!$A$4:$N$51,3,FALSE()),0)+IFERROR(VLOOKUP(INDEX(' Toto teams'!$C$4:$C$119,MATCH($B17,' Toto teams'!$A$4:$A$119,0)),Scoring!$A$4:$N$51,4,FALSE()),0)+IFERROR(VLOOKUP(INDEX(' Toto teams'!$C$4:$C$119,MATCH($B17,' Toto teams'!$A$4:$A$119,0)),Scoring!$A$4:$N$51,5,FALSE()),0))+3*(IFERROR(VLOOKUP(INDEX(' Toto teams'!$D$4:$D$119,MATCH($B17,' Toto teams'!$A$4:$A$119,0)),Scoring!$A$4:$N$51,3,FALSE()),0)+IFERROR(VLOOKUP(INDEX(' Toto teams'!$D$4:$D$119,MATCH($B17,' Toto teams'!$A$4:$A$119,0)),Scoring!$A$4:$N$51,4,FALSE()),0)+IFERROR(VLOOKUP(INDEX(' Toto teams'!$D$4:$D$119,MATCH($B17,' Toto teams'!$A$4:$A$119,0)),Scoring!$A$4:$N$51,5,FALSE()),0))+2*(IFERROR(VLOOKUP(INDEX(' Toto teams'!$E$4:$E$119,MATCH($B17,' Toto teams'!$A$4:$A$119,0)),Scoring!$A$4:$N$51,3,FALSE()),0)+IFERROR(VLOOKUP(INDEX(' Toto teams'!$E$4:$E$119,MATCH($B17,' Toto teams'!$A$4:$A$119,0)),Scoring!$A$4:$N$51,4,FALSE()),0)+IFERROR(VLOOKUP(INDEX(' Toto teams'!$E$4:$E$119,MATCH($B17,' Toto teams'!$A$4:$A$119,0)),Scoring!$A$4:$N$51,5,FALSE()),0))+1*(IFERROR(VLOOKUP(INDEX(' Toto teams'!$F$4:$F$119,MATCH($B17,' Toto teams'!$A$4:$A$119,0)),Scoring!$A$4:$N$51,3,FALSE()),0)+IFERROR(VLOOKUP(INDEX(' Toto teams'!$F$4:$F$119,MATCH($B17,' Toto teams'!$A$4:$A$119,0)),Scoring!$A$4:$N$51,4,FALSE()),0)+IFERROR(VLOOKUP(INDEX(' Toto teams'!$F$4:$F$119,MATCH($B17,' Toto teams'!$A$4:$A$119,0)),Scoring!$A$4:$N$51,5,FALSE()),0))+1*(IFERROR(VLOOKUP(INDEX(' Toto teams'!$G$4:$G$119,MATCH($B17,' Toto teams'!$A$4:$A$119,0)),Scoring!$A$4:$N$51,3,FALSE()),0)+IFERROR(VLOOKUP(INDEX(' Toto teams'!$G$4:$G$119,MATCH($B17,' Toto teams'!$A$4:$A$119,0)),Scoring!$A$4:$N$51,4,FALSE()),0)+IFERROR(VLOOKUP(INDEX(' Toto teams'!$G$4:$G$119,MATCH($B17,' Toto teams'!$A$4:$A$119,0)),Scoring!$A$4:$N$51,5,FALSE()),0))+1*(IFERROR(VLOOKUP(INDEX(' Toto teams'!$H$4:$H$119,MATCH($B17,' Toto teams'!$A$4:$A$119,0)),Scoring!$A$4:$N$51,3,FALSE()),0)+IFERROR(VLOOKUP(INDEX(' Toto teams'!$H$4:$H$119,MATCH($B17,' Toto teams'!$A$4:$A$119,0)),Scoring!$A$4:$N$51,4,FALSE()),0)+IFERROR(VLOOKUP(INDEX(' Toto teams'!$H$4:$H$119,MATCH($B17,' Toto teams'!$A$4:$A$119,0)),Scoring!$A$4:$N$51,5,FALSE()),0))+IFERROR(INDEX(' Toto teams'!$Q$4:$Q$119,MATCH($B17,' Toto teams'!$A$4:$A$119,0))*1,0))</f>
        <v>4</v>
      </c>
      <c r="D17" s="28">
        <f>IF($B17="","",6*IFERROR(VLOOKUP(INDEX(' Toto teams'!$B$4:$B$119,MATCH($B17,' Toto teams'!$A$4:$A$119,0)),Scoring!$A$4:$N$51,7,FALSE()),0)+4*IFERROR(VLOOKUP(INDEX(' Toto teams'!$C$4:$C$119,MATCH($B17,' Toto teams'!$A$4:$A$119,0)),Scoring!$A$4:$N$51,7,FALSE()),0)+3*IFERROR(VLOOKUP(INDEX(' Toto teams'!$D$4:$D$119,MATCH($B17,' Toto teams'!$A$4:$A$119,0)),Scoring!$A$4:$N$51,7,FALSE()),0)+2*IFERROR(VLOOKUP(INDEX(' Toto teams'!$E$4:$E$119,MATCH($B17,' Toto teams'!$A$4:$A$119,0)),Scoring!$A$4:$N$51,7,FALSE()),0)+1*IFERROR(VLOOKUP(INDEX(' Toto teams'!$F$4:$F$119,MATCH($B17,' Toto teams'!$A$4:$A$119,0)),Scoring!$A$4:$N$51,7,FALSE()),0)+1*IFERROR(VLOOKUP(INDEX(' Toto teams'!$G$4:$G$119,MATCH($B17,' Toto teams'!$A$4:$A$119,0)),Scoring!$A$4:$N$51,7,FALSE()),0)+1*IFERROR(VLOOKUP(INDEX(' Toto teams'!$H$4:$H$119,MATCH($B17,' Toto teams'!$A$4:$A$119,0)),Scoring!$A$4:$N$51,7,FALSE()),0))</f>
        <v>0</v>
      </c>
      <c r="E17" s="28">
        <f>IF($B17="","",6*IFERROR(VLOOKUP(INDEX(' Toto teams'!$B$4:$B$119,MATCH($B17,' Toto teams'!$A$4:$A$119,0)),Scoring!$A$4:$N$51,8,FALSE()),0)+4*IFERROR(VLOOKUP(INDEX(' Toto teams'!$C$4:$C$119,MATCH($B17,' Toto teams'!$A$4:$A$119,0)),Scoring!$A$4:$N$51,8,FALSE()),0)+3*IFERROR(VLOOKUP(INDEX(' Toto teams'!$D$4:$D$119,MATCH($B17,' Toto teams'!$A$4:$A$119,0)),Scoring!$A$4:$N$51,8,FALSE()),0)+2*IFERROR(VLOOKUP(INDEX(' Toto teams'!$E$4:$E$119,MATCH($B17,' Toto teams'!$A$4:$A$119,0)),Scoring!$A$4:$N$51,8,FALSE()),0)+1*IFERROR(VLOOKUP(INDEX(' Toto teams'!$F$4:$F$119,MATCH($B17,' Toto teams'!$A$4:$A$119,0)),Scoring!$A$4:$N$51,8,FALSE()),0)+1*IFERROR(VLOOKUP(INDEX(' Toto teams'!$G$4:$G$119,MATCH($B17,' Toto teams'!$A$4:$A$119,0)),Scoring!$A$4:$N$51,8,FALSE()),0)+1*IFERROR(VLOOKUP(INDEX(' Toto teams'!$H$4:$H$119,MATCH($B17,' Toto teams'!$A$4:$A$119,0)),Scoring!$A$4:$N$51,8,FALSE()),0))</f>
        <v>0</v>
      </c>
      <c r="F17" s="28">
        <f>IF($B17="","",6*IFERROR(VLOOKUP(INDEX(' Toto teams'!$B$4:$B$119,MATCH($B17,' Toto teams'!$A$4:$A$119,0)),Scoring!$A$4:$N$51,9,FALSE()),0)+4*IFERROR(VLOOKUP(INDEX(' Toto teams'!$C$4:$C$119,MATCH($B17,' Toto teams'!$A$4:$A$119,0)),Scoring!$A$4:$N$51,9,FALSE()),0)+3*IFERROR(VLOOKUP(INDEX(' Toto teams'!$D$4:$D$119,MATCH($B17,' Toto teams'!$A$4:$A$119,0)),Scoring!$A$4:$N$51,9,FALSE()),0)+2*IFERROR(VLOOKUP(INDEX(' Toto teams'!$E$4:$E$119,MATCH($B17,' Toto teams'!$A$4:$A$119,0)),Scoring!$A$4:$N$51,9,FALSE()),0)+1*IFERROR(VLOOKUP(INDEX(' Toto teams'!$F$4:$F$119,MATCH($B17,' Toto teams'!$A$4:$A$119,0)),Scoring!$A$4:$N$51,9,FALSE()),0)+1*IFERROR(VLOOKUP(INDEX(' Toto teams'!$G$4:$G$119,MATCH($B17,' Toto teams'!$A$4:$A$119,0)),Scoring!$A$4:$N$51,9,FALSE()),0)+1*IFERROR(VLOOKUP(INDEX(' Toto teams'!$H$4:$H$119,MATCH($B17,' Toto teams'!$A$4:$A$119,0)),Scoring!$A$4:$N$51,9,FALSE()),0))</f>
        <v>0</v>
      </c>
      <c r="G17" s="28">
        <f>IF($B17="","",6*IFERROR(VLOOKUP(INDEX(' Toto teams'!$B$4:$B$119,MATCH($B17,' Toto teams'!$A$4:$A$119,0)),Scoring!$A$4:$N$51,10,FALSE()),0)+4*IFERROR(VLOOKUP(INDEX(' Toto teams'!$C$4:$C$119,MATCH($B17,' Toto teams'!$A$4:$A$119,0)),Scoring!$A$4:$N$51,10,FALSE()),0)+3*IFERROR(VLOOKUP(INDEX(' Toto teams'!$D$4:$D$119,MATCH($B17,' Toto teams'!$A$4:$A$119,0)),Scoring!$A$4:$N$51,10,FALSE()),0)+2*IFERROR(VLOOKUP(INDEX(' Toto teams'!$E$4:$E$119,MATCH($B17,' Toto teams'!$A$4:$A$119,0)),Scoring!$A$4:$N$51,10,FALSE()),0)+1*IFERROR(VLOOKUP(INDEX(' Toto teams'!$F$4:$F$119,MATCH($B17,' Toto teams'!$A$4:$A$119,0)),Scoring!$A$4:$N$51,10,FALSE()),0)+1*IFERROR(VLOOKUP(INDEX(' Toto teams'!$G$4:$G$119,MATCH($B17,' Toto teams'!$A$4:$A$119,0)),Scoring!$A$4:$N$51,10,FALSE()),0)+1*IFERROR(VLOOKUP(INDEX(' Toto teams'!$H$4:$H$119,MATCH($B17,' Toto teams'!$A$4:$A$119,0)),Scoring!$A$4:$N$51,10,FALSE()),0))</f>
        <v>0</v>
      </c>
      <c r="H17" s="28">
        <f>IF($B17="","",6*IFERROR(VLOOKUP(INDEX(' Toto teams'!$B$4:$B$119,MATCH($B17,' Toto teams'!$A$4:$A$119,0)),Scoring!$A$4:$N$51,11,FALSE()),0)+4*IFERROR(VLOOKUP(INDEX(' Toto teams'!$C$4:$C$119,MATCH($B17,' Toto teams'!$A$4:$A$119,0)),Scoring!$A$4:$N$51,11,FALSE()),0)+3*IFERROR(VLOOKUP(INDEX(' Toto teams'!$D$4:$D$119,MATCH($B17,' Toto teams'!$A$4:$A$119,0)),Scoring!$A$4:$N$51,11,FALSE()),0)+2*IFERROR(VLOOKUP(INDEX(' Toto teams'!$E$4:$E$119,MATCH($B17,' Toto teams'!$A$4:$A$119,0)),Scoring!$A$4:$N$51,11,FALSE()),0)+1*IFERROR(VLOOKUP(INDEX(' Toto teams'!$F$4:$F$119,MATCH($B17,' Toto teams'!$A$4:$A$119,0)),Scoring!$A$4:$N$51,11,FALSE()),0)+1*IFERROR(VLOOKUP(INDEX(' Toto teams'!$G$4:$G$119,MATCH($B17,' Toto teams'!$A$4:$A$119,0)),Scoring!$A$4:$N$51,11,FALSE()),0)+1*IFERROR(VLOOKUP(INDEX(' Toto teams'!$H$4:$H$119,MATCH($B17,' Toto teams'!$A$4:$A$119,0)),Scoring!$A$4:$N$51,11,FALSE()),0))</f>
        <v>0</v>
      </c>
      <c r="I17" s="28">
        <f>IF($B17="","",6*IFERROR(VLOOKUP(INDEX(' Toto teams'!$B$4:$B$119,MATCH($B17,' Toto teams'!$A$4:$A$119,0)),Scoring!$A$4:$O$51,15,FALSE()),0)+4*IFERROR(VLOOKUP(INDEX(' Toto teams'!$C$4:$C$119,MATCH($B17,' Toto teams'!$A$4:$A$119,0)),Scoring!$A$4:$O$51,15,FALSE()),0)+3*IFERROR(VLOOKUP(INDEX(' Toto teams'!$D$4:$D$119,MATCH($B17,' Toto teams'!$A$4:$A$119,0)),Scoring!$A$4:$O$51,15,FALSE()),0)+2*IFERROR(VLOOKUP(INDEX(' Toto teams'!$E$4:$E$119,MATCH($B17,' Toto teams'!$A$4:$A$119,0)),Scoring!$A$4:$O$51,15,FALSE()),0)+1*IFERROR(VLOOKUP(INDEX(' Toto teams'!$F$4:$F$119,MATCH($B17,' Toto teams'!$A$4:$A$119,0)),Scoring!$A$4:$O$51,15,FALSE()),0)+1*IFERROR(VLOOKUP(INDEX(' Toto teams'!$G$4:$G$119,MATCH($B17,' Toto teams'!$A$4:$A$119,0)),Scoring!$A$4:$O$51,15,FALSE()),0)+1*IFERROR(VLOOKUP(INDEX(' Toto teams'!$H$4:$H$119,MATCH($B17,' Toto teams'!$A$4:$A$119,0)),Scoring!$A$4:$O$51,15,FALSE()),0))</f>
        <v>0</v>
      </c>
      <c r="J17" s="28">
        <f>IF($B17="","",6*IFERROR(VLOOKUP(INDEX(' Toto teams'!$B$4:$B$119,MATCH($B17,' Toto teams'!$A$4:$A$119,0)),Scoring!$A$4:$N$51,12,FALSE()),0)+4*IFERROR(VLOOKUP(INDEX(' Toto teams'!$C$4:$C$119,MATCH($B17,' Toto teams'!$A$4:$A$119,0)),Scoring!$A$4:$N$51,12,FALSE()),0)+3*IFERROR(VLOOKUP(INDEX(' Toto teams'!$D$4:$D$119,MATCH($B17,' Toto teams'!$A$4:$A$119,0)),Scoring!$A$4:$N$51,12,FALSE()),0)+2*IFERROR(VLOOKUP(INDEX(' Toto teams'!$E$4:$E$119,MATCH($B17,' Toto teams'!$A$4:$A$119,0)),Scoring!$A$4:$N$51,12,FALSE()),0)+1*IFERROR(VLOOKUP(INDEX(' Toto teams'!$F$4:$F$119,MATCH($B17,' Toto teams'!$A$4:$A$119,0)),Scoring!$A$4:$N$51,12,FALSE()),0)+1*IFERROR(VLOOKUP(INDEX(' Toto teams'!$G$4:$G$119,MATCH($B17,' Toto teams'!$A$4:$A$119,0)),Scoring!$A$4:$N$51,12,FALSE()),0)+1*IFERROR(VLOOKUP(INDEX(' Toto teams'!$H$4:$H$119,MATCH($B17,' Toto teams'!$A$4:$A$119,0)),Scoring!$A$4:$N$51,12,FALSE()),0))</f>
        <v>0</v>
      </c>
      <c r="K17" s="29">
        <f>IF($B17="","",IFERROR(INDEX(' Toto teams'!$R$4:$R$119,MATCH($B17,' Toto teams'!$A$4:$A$119,0)),""))</f>
        <v>4</v>
      </c>
      <c r="L17" s="30">
        <f t="shared" si="0"/>
        <v>27.794117647058822</v>
      </c>
    </row>
    <row r="18" spans="1:12" ht="12.75" customHeight="1" x14ac:dyDescent="0.3">
      <c r="A18" s="26">
        <f>IF(15&gt;COUNTIF(' Toto teams'!$A$4:$A$119,"&lt;&gt;"),"",INDEX(' Toto teams'!$S$4:$S$119,MATCH(LARGE(' Toto teams'!$T$4:$T$119,15),' Toto teams'!$T$4:$T$119,0)))</f>
        <v>5</v>
      </c>
      <c r="B18" s="27" t="str">
        <f>IF(15&gt;COUNTIF(' Toto teams'!$A$4:$A$119,"&lt;&gt;"),"",INDEX(' Toto teams'!$A$4:$A$119,MATCH(LARGE(' Toto teams'!$T$4:$T$119,15),' Toto teams'!$T$4:$T$119,0)))</f>
        <v>Tihomir Chakarov</v>
      </c>
      <c r="C18" s="28">
        <f>IF($B18="","",6*(IFERROR(VLOOKUP(INDEX(' Toto teams'!$B$4:$B$119,MATCH($B18,' Toto teams'!$A$4:$A$119,0)),Scoring!$A$4:$N$51,3,FALSE()),0)+IFERROR(VLOOKUP(INDEX(' Toto teams'!$B$4:$B$119,MATCH($B18,' Toto teams'!$A$4:$A$119,0)),Scoring!$A$4:$N$51,4,FALSE()),0)+IFERROR(VLOOKUP(INDEX(' Toto teams'!$B$4:$B$119,MATCH($B18,' Toto teams'!$A$4:$A$119,0)),Scoring!$A$4:$N$51,5,FALSE()),0))+4*(IFERROR(VLOOKUP(INDEX(' Toto teams'!$C$4:$C$119,MATCH($B18,' Toto teams'!$A$4:$A$119,0)),Scoring!$A$4:$N$51,3,FALSE()),0)+IFERROR(VLOOKUP(INDEX(' Toto teams'!$C$4:$C$119,MATCH($B18,' Toto teams'!$A$4:$A$119,0)),Scoring!$A$4:$N$51,4,FALSE()),0)+IFERROR(VLOOKUP(INDEX(' Toto teams'!$C$4:$C$119,MATCH($B18,' Toto teams'!$A$4:$A$119,0)),Scoring!$A$4:$N$51,5,FALSE()),0))+3*(IFERROR(VLOOKUP(INDEX(' Toto teams'!$D$4:$D$119,MATCH($B18,' Toto teams'!$A$4:$A$119,0)),Scoring!$A$4:$N$51,3,FALSE()),0)+IFERROR(VLOOKUP(INDEX(' Toto teams'!$D$4:$D$119,MATCH($B18,' Toto teams'!$A$4:$A$119,0)),Scoring!$A$4:$N$51,4,FALSE()),0)+IFERROR(VLOOKUP(INDEX(' Toto teams'!$D$4:$D$119,MATCH($B18,' Toto teams'!$A$4:$A$119,0)),Scoring!$A$4:$N$51,5,FALSE()),0))+2*(IFERROR(VLOOKUP(INDEX(' Toto teams'!$E$4:$E$119,MATCH($B18,' Toto teams'!$A$4:$A$119,0)),Scoring!$A$4:$N$51,3,FALSE()),0)+IFERROR(VLOOKUP(INDEX(' Toto teams'!$E$4:$E$119,MATCH($B18,' Toto teams'!$A$4:$A$119,0)),Scoring!$A$4:$N$51,4,FALSE()),0)+IFERROR(VLOOKUP(INDEX(' Toto teams'!$E$4:$E$119,MATCH($B18,' Toto teams'!$A$4:$A$119,0)),Scoring!$A$4:$N$51,5,FALSE()),0))+1*(IFERROR(VLOOKUP(INDEX(' Toto teams'!$F$4:$F$119,MATCH($B18,' Toto teams'!$A$4:$A$119,0)),Scoring!$A$4:$N$51,3,FALSE()),0)+IFERROR(VLOOKUP(INDEX(' Toto teams'!$F$4:$F$119,MATCH($B18,' Toto teams'!$A$4:$A$119,0)),Scoring!$A$4:$N$51,4,FALSE()),0)+IFERROR(VLOOKUP(INDEX(' Toto teams'!$F$4:$F$119,MATCH($B18,' Toto teams'!$A$4:$A$119,0)),Scoring!$A$4:$N$51,5,FALSE()),0))+1*(IFERROR(VLOOKUP(INDEX(' Toto teams'!$G$4:$G$119,MATCH($B18,' Toto teams'!$A$4:$A$119,0)),Scoring!$A$4:$N$51,3,FALSE()),0)+IFERROR(VLOOKUP(INDEX(' Toto teams'!$G$4:$G$119,MATCH($B18,' Toto teams'!$A$4:$A$119,0)),Scoring!$A$4:$N$51,4,FALSE()),0)+IFERROR(VLOOKUP(INDEX(' Toto teams'!$G$4:$G$119,MATCH($B18,' Toto teams'!$A$4:$A$119,0)),Scoring!$A$4:$N$51,5,FALSE()),0))+1*(IFERROR(VLOOKUP(INDEX(' Toto teams'!$H$4:$H$119,MATCH($B18,' Toto teams'!$A$4:$A$119,0)),Scoring!$A$4:$N$51,3,FALSE()),0)+IFERROR(VLOOKUP(INDEX(' Toto teams'!$H$4:$H$119,MATCH($B18,' Toto teams'!$A$4:$A$119,0)),Scoring!$A$4:$N$51,4,FALSE()),0)+IFERROR(VLOOKUP(INDEX(' Toto teams'!$H$4:$H$119,MATCH($B18,' Toto teams'!$A$4:$A$119,0)),Scoring!$A$4:$N$51,5,FALSE()),0))+IFERROR(INDEX(' Toto teams'!$Q$4:$Q$119,MATCH($B18,' Toto teams'!$A$4:$A$119,0))*1,0))</f>
        <v>4</v>
      </c>
      <c r="D18" s="28">
        <f>IF($B18="","",6*IFERROR(VLOOKUP(INDEX(' Toto teams'!$B$4:$B$119,MATCH($B18,' Toto teams'!$A$4:$A$119,0)),Scoring!$A$4:$N$51,7,FALSE()),0)+4*IFERROR(VLOOKUP(INDEX(' Toto teams'!$C$4:$C$119,MATCH($B18,' Toto teams'!$A$4:$A$119,0)),Scoring!$A$4:$N$51,7,FALSE()),0)+3*IFERROR(VLOOKUP(INDEX(' Toto teams'!$D$4:$D$119,MATCH($B18,' Toto teams'!$A$4:$A$119,0)),Scoring!$A$4:$N$51,7,FALSE()),0)+2*IFERROR(VLOOKUP(INDEX(' Toto teams'!$E$4:$E$119,MATCH($B18,' Toto teams'!$A$4:$A$119,0)),Scoring!$A$4:$N$51,7,FALSE()),0)+1*IFERROR(VLOOKUP(INDEX(' Toto teams'!$F$4:$F$119,MATCH($B18,' Toto teams'!$A$4:$A$119,0)),Scoring!$A$4:$N$51,7,FALSE()),0)+1*IFERROR(VLOOKUP(INDEX(' Toto teams'!$G$4:$G$119,MATCH($B18,' Toto teams'!$A$4:$A$119,0)),Scoring!$A$4:$N$51,7,FALSE()),0)+1*IFERROR(VLOOKUP(INDEX(' Toto teams'!$H$4:$H$119,MATCH($B18,' Toto teams'!$A$4:$A$119,0)),Scoring!$A$4:$N$51,7,FALSE()),0))</f>
        <v>0</v>
      </c>
      <c r="E18" s="28">
        <f>IF($B18="","",6*IFERROR(VLOOKUP(INDEX(' Toto teams'!$B$4:$B$119,MATCH($B18,' Toto teams'!$A$4:$A$119,0)),Scoring!$A$4:$N$51,8,FALSE()),0)+4*IFERROR(VLOOKUP(INDEX(' Toto teams'!$C$4:$C$119,MATCH($B18,' Toto teams'!$A$4:$A$119,0)),Scoring!$A$4:$N$51,8,FALSE()),0)+3*IFERROR(VLOOKUP(INDEX(' Toto teams'!$D$4:$D$119,MATCH($B18,' Toto teams'!$A$4:$A$119,0)),Scoring!$A$4:$N$51,8,FALSE()),0)+2*IFERROR(VLOOKUP(INDEX(' Toto teams'!$E$4:$E$119,MATCH($B18,' Toto teams'!$A$4:$A$119,0)),Scoring!$A$4:$N$51,8,FALSE()),0)+1*IFERROR(VLOOKUP(INDEX(' Toto teams'!$F$4:$F$119,MATCH($B18,' Toto teams'!$A$4:$A$119,0)),Scoring!$A$4:$N$51,8,FALSE()),0)+1*IFERROR(VLOOKUP(INDEX(' Toto teams'!$G$4:$G$119,MATCH($B18,' Toto teams'!$A$4:$A$119,0)),Scoring!$A$4:$N$51,8,FALSE()),0)+1*IFERROR(VLOOKUP(INDEX(' Toto teams'!$H$4:$H$119,MATCH($B18,' Toto teams'!$A$4:$A$119,0)),Scoring!$A$4:$N$51,8,FALSE()),0))</f>
        <v>0</v>
      </c>
      <c r="F18" s="28">
        <f>IF($B18="","",6*IFERROR(VLOOKUP(INDEX(' Toto teams'!$B$4:$B$119,MATCH($B18,' Toto teams'!$A$4:$A$119,0)),Scoring!$A$4:$N$51,9,FALSE()),0)+4*IFERROR(VLOOKUP(INDEX(' Toto teams'!$C$4:$C$119,MATCH($B18,' Toto teams'!$A$4:$A$119,0)),Scoring!$A$4:$N$51,9,FALSE()),0)+3*IFERROR(VLOOKUP(INDEX(' Toto teams'!$D$4:$D$119,MATCH($B18,' Toto teams'!$A$4:$A$119,0)),Scoring!$A$4:$N$51,9,FALSE()),0)+2*IFERROR(VLOOKUP(INDEX(' Toto teams'!$E$4:$E$119,MATCH($B18,' Toto teams'!$A$4:$A$119,0)),Scoring!$A$4:$N$51,9,FALSE()),0)+1*IFERROR(VLOOKUP(INDEX(' Toto teams'!$F$4:$F$119,MATCH($B18,' Toto teams'!$A$4:$A$119,0)),Scoring!$A$4:$N$51,9,FALSE()),0)+1*IFERROR(VLOOKUP(INDEX(' Toto teams'!$G$4:$G$119,MATCH($B18,' Toto teams'!$A$4:$A$119,0)),Scoring!$A$4:$N$51,9,FALSE()),0)+1*IFERROR(VLOOKUP(INDEX(' Toto teams'!$H$4:$H$119,MATCH($B18,' Toto teams'!$A$4:$A$119,0)),Scoring!$A$4:$N$51,9,FALSE()),0))</f>
        <v>0</v>
      </c>
      <c r="G18" s="28">
        <f>IF($B18="","",6*IFERROR(VLOOKUP(INDEX(' Toto teams'!$B$4:$B$119,MATCH($B18,' Toto teams'!$A$4:$A$119,0)),Scoring!$A$4:$N$51,10,FALSE()),0)+4*IFERROR(VLOOKUP(INDEX(' Toto teams'!$C$4:$C$119,MATCH($B18,' Toto teams'!$A$4:$A$119,0)),Scoring!$A$4:$N$51,10,FALSE()),0)+3*IFERROR(VLOOKUP(INDEX(' Toto teams'!$D$4:$D$119,MATCH($B18,' Toto teams'!$A$4:$A$119,0)),Scoring!$A$4:$N$51,10,FALSE()),0)+2*IFERROR(VLOOKUP(INDEX(' Toto teams'!$E$4:$E$119,MATCH($B18,' Toto teams'!$A$4:$A$119,0)),Scoring!$A$4:$N$51,10,FALSE()),0)+1*IFERROR(VLOOKUP(INDEX(' Toto teams'!$F$4:$F$119,MATCH($B18,' Toto teams'!$A$4:$A$119,0)),Scoring!$A$4:$N$51,10,FALSE()),0)+1*IFERROR(VLOOKUP(INDEX(' Toto teams'!$G$4:$G$119,MATCH($B18,' Toto teams'!$A$4:$A$119,0)),Scoring!$A$4:$N$51,10,FALSE()),0)+1*IFERROR(VLOOKUP(INDEX(' Toto teams'!$H$4:$H$119,MATCH($B18,' Toto teams'!$A$4:$A$119,0)),Scoring!$A$4:$N$51,10,FALSE()),0))</f>
        <v>0</v>
      </c>
      <c r="H18" s="28">
        <f>IF($B18="","",6*IFERROR(VLOOKUP(INDEX(' Toto teams'!$B$4:$B$119,MATCH($B18,' Toto teams'!$A$4:$A$119,0)),Scoring!$A$4:$N$51,11,FALSE()),0)+4*IFERROR(VLOOKUP(INDEX(' Toto teams'!$C$4:$C$119,MATCH($B18,' Toto teams'!$A$4:$A$119,0)),Scoring!$A$4:$N$51,11,FALSE()),0)+3*IFERROR(VLOOKUP(INDEX(' Toto teams'!$D$4:$D$119,MATCH($B18,' Toto teams'!$A$4:$A$119,0)),Scoring!$A$4:$N$51,11,FALSE()),0)+2*IFERROR(VLOOKUP(INDEX(' Toto teams'!$E$4:$E$119,MATCH($B18,' Toto teams'!$A$4:$A$119,0)),Scoring!$A$4:$N$51,11,FALSE()),0)+1*IFERROR(VLOOKUP(INDEX(' Toto teams'!$F$4:$F$119,MATCH($B18,' Toto teams'!$A$4:$A$119,0)),Scoring!$A$4:$N$51,11,FALSE()),0)+1*IFERROR(VLOOKUP(INDEX(' Toto teams'!$G$4:$G$119,MATCH($B18,' Toto teams'!$A$4:$A$119,0)),Scoring!$A$4:$N$51,11,FALSE()),0)+1*IFERROR(VLOOKUP(INDEX(' Toto teams'!$H$4:$H$119,MATCH($B18,' Toto teams'!$A$4:$A$119,0)),Scoring!$A$4:$N$51,11,FALSE()),0))</f>
        <v>0</v>
      </c>
      <c r="I18" s="28">
        <f>IF($B18="","",6*IFERROR(VLOOKUP(INDEX(' Toto teams'!$B$4:$B$119,MATCH($B18,' Toto teams'!$A$4:$A$119,0)),Scoring!$A$4:$O$51,15,FALSE()),0)+4*IFERROR(VLOOKUP(INDEX(' Toto teams'!$C$4:$C$119,MATCH($B18,' Toto teams'!$A$4:$A$119,0)),Scoring!$A$4:$O$51,15,FALSE()),0)+3*IFERROR(VLOOKUP(INDEX(' Toto teams'!$D$4:$D$119,MATCH($B18,' Toto teams'!$A$4:$A$119,0)),Scoring!$A$4:$O$51,15,FALSE()),0)+2*IFERROR(VLOOKUP(INDEX(' Toto teams'!$E$4:$E$119,MATCH($B18,' Toto teams'!$A$4:$A$119,0)),Scoring!$A$4:$O$51,15,FALSE()),0)+1*IFERROR(VLOOKUP(INDEX(' Toto teams'!$F$4:$F$119,MATCH($B18,' Toto teams'!$A$4:$A$119,0)),Scoring!$A$4:$O$51,15,FALSE()),0)+1*IFERROR(VLOOKUP(INDEX(' Toto teams'!$G$4:$G$119,MATCH($B18,' Toto teams'!$A$4:$A$119,0)),Scoring!$A$4:$O$51,15,FALSE()),0)+1*IFERROR(VLOOKUP(INDEX(' Toto teams'!$H$4:$H$119,MATCH($B18,' Toto teams'!$A$4:$A$119,0)),Scoring!$A$4:$O$51,15,FALSE()),0))</f>
        <v>0</v>
      </c>
      <c r="J18" s="28">
        <f>IF($B18="","",6*IFERROR(VLOOKUP(INDEX(' Toto teams'!$B$4:$B$119,MATCH($B18,' Toto teams'!$A$4:$A$119,0)),Scoring!$A$4:$N$51,12,FALSE()),0)+4*IFERROR(VLOOKUP(INDEX(' Toto teams'!$C$4:$C$119,MATCH($B18,' Toto teams'!$A$4:$A$119,0)),Scoring!$A$4:$N$51,12,FALSE()),0)+3*IFERROR(VLOOKUP(INDEX(' Toto teams'!$D$4:$D$119,MATCH($B18,' Toto teams'!$A$4:$A$119,0)),Scoring!$A$4:$N$51,12,FALSE()),0)+2*IFERROR(VLOOKUP(INDEX(' Toto teams'!$E$4:$E$119,MATCH($B18,' Toto teams'!$A$4:$A$119,0)),Scoring!$A$4:$N$51,12,FALSE()),0)+1*IFERROR(VLOOKUP(INDEX(' Toto teams'!$F$4:$F$119,MATCH($B18,' Toto teams'!$A$4:$A$119,0)),Scoring!$A$4:$N$51,12,FALSE()),0)+1*IFERROR(VLOOKUP(INDEX(' Toto teams'!$G$4:$G$119,MATCH($B18,' Toto teams'!$A$4:$A$119,0)),Scoring!$A$4:$N$51,12,FALSE()),0)+1*IFERROR(VLOOKUP(INDEX(' Toto teams'!$H$4:$H$119,MATCH($B18,' Toto teams'!$A$4:$A$119,0)),Scoring!$A$4:$N$51,12,FALSE()),0))</f>
        <v>0</v>
      </c>
      <c r="K18" s="29">
        <f>IF($B18="","",IFERROR(INDEX(' Toto teams'!$R$4:$R$119,MATCH($B18,' Toto teams'!$A$4:$A$119,0)),""))</f>
        <v>4</v>
      </c>
      <c r="L18" s="30">
        <f t="shared" si="0"/>
        <v>27.794117647058822</v>
      </c>
    </row>
    <row r="19" spans="1:12" ht="12.75" customHeight="1" x14ac:dyDescent="0.3">
      <c r="A19" s="26">
        <f>IF(16&gt;COUNTIF(' Toto teams'!$A$4:$A$119,"&lt;&gt;"),"",INDEX(' Toto teams'!$S$4:$S$119,MATCH(LARGE(' Toto teams'!$T$4:$T$119,16),' Toto teams'!$T$4:$T$119,0)))</f>
        <v>5</v>
      </c>
      <c r="B19" s="27" t="str">
        <f>IF(16&gt;COUNTIF(' Toto teams'!$A$4:$A$119,"&lt;&gt;"),"",INDEX(' Toto teams'!$A$4:$A$119,MATCH(LARGE(' Toto teams'!$T$4:$T$119,16),' Toto teams'!$T$4:$T$119,0)))</f>
        <v>Mario Calvi</v>
      </c>
      <c r="C19" s="28">
        <f>IF($B19="","",6*(IFERROR(VLOOKUP(INDEX(' Toto teams'!$B$4:$B$119,MATCH($B19,' Toto teams'!$A$4:$A$119,0)),Scoring!$A$4:$N$51,3,FALSE()),0)+IFERROR(VLOOKUP(INDEX(' Toto teams'!$B$4:$B$119,MATCH($B19,' Toto teams'!$A$4:$A$119,0)),Scoring!$A$4:$N$51,4,FALSE()),0)+IFERROR(VLOOKUP(INDEX(' Toto teams'!$B$4:$B$119,MATCH($B19,' Toto teams'!$A$4:$A$119,0)),Scoring!$A$4:$N$51,5,FALSE()),0))+4*(IFERROR(VLOOKUP(INDEX(' Toto teams'!$C$4:$C$119,MATCH($B19,' Toto teams'!$A$4:$A$119,0)),Scoring!$A$4:$N$51,3,FALSE()),0)+IFERROR(VLOOKUP(INDEX(' Toto teams'!$C$4:$C$119,MATCH($B19,' Toto teams'!$A$4:$A$119,0)),Scoring!$A$4:$N$51,4,FALSE()),0)+IFERROR(VLOOKUP(INDEX(' Toto teams'!$C$4:$C$119,MATCH($B19,' Toto teams'!$A$4:$A$119,0)),Scoring!$A$4:$N$51,5,FALSE()),0))+3*(IFERROR(VLOOKUP(INDEX(' Toto teams'!$D$4:$D$119,MATCH($B19,' Toto teams'!$A$4:$A$119,0)),Scoring!$A$4:$N$51,3,FALSE()),0)+IFERROR(VLOOKUP(INDEX(' Toto teams'!$D$4:$D$119,MATCH($B19,' Toto teams'!$A$4:$A$119,0)),Scoring!$A$4:$N$51,4,FALSE()),0)+IFERROR(VLOOKUP(INDEX(' Toto teams'!$D$4:$D$119,MATCH($B19,' Toto teams'!$A$4:$A$119,0)),Scoring!$A$4:$N$51,5,FALSE()),0))+2*(IFERROR(VLOOKUP(INDEX(' Toto teams'!$E$4:$E$119,MATCH($B19,' Toto teams'!$A$4:$A$119,0)),Scoring!$A$4:$N$51,3,FALSE()),0)+IFERROR(VLOOKUP(INDEX(' Toto teams'!$E$4:$E$119,MATCH($B19,' Toto teams'!$A$4:$A$119,0)),Scoring!$A$4:$N$51,4,FALSE()),0)+IFERROR(VLOOKUP(INDEX(' Toto teams'!$E$4:$E$119,MATCH($B19,' Toto teams'!$A$4:$A$119,0)),Scoring!$A$4:$N$51,5,FALSE()),0))+1*(IFERROR(VLOOKUP(INDEX(' Toto teams'!$F$4:$F$119,MATCH($B19,' Toto teams'!$A$4:$A$119,0)),Scoring!$A$4:$N$51,3,FALSE()),0)+IFERROR(VLOOKUP(INDEX(' Toto teams'!$F$4:$F$119,MATCH($B19,' Toto teams'!$A$4:$A$119,0)),Scoring!$A$4:$N$51,4,FALSE()),0)+IFERROR(VLOOKUP(INDEX(' Toto teams'!$F$4:$F$119,MATCH($B19,' Toto teams'!$A$4:$A$119,0)),Scoring!$A$4:$N$51,5,FALSE()),0))+1*(IFERROR(VLOOKUP(INDEX(' Toto teams'!$G$4:$G$119,MATCH($B19,' Toto teams'!$A$4:$A$119,0)),Scoring!$A$4:$N$51,3,FALSE()),0)+IFERROR(VLOOKUP(INDEX(' Toto teams'!$G$4:$G$119,MATCH($B19,' Toto teams'!$A$4:$A$119,0)),Scoring!$A$4:$N$51,4,FALSE()),0)+IFERROR(VLOOKUP(INDEX(' Toto teams'!$G$4:$G$119,MATCH($B19,' Toto teams'!$A$4:$A$119,0)),Scoring!$A$4:$N$51,5,FALSE()),0))+1*(IFERROR(VLOOKUP(INDEX(' Toto teams'!$H$4:$H$119,MATCH($B19,' Toto teams'!$A$4:$A$119,0)),Scoring!$A$4:$N$51,3,FALSE()),0)+IFERROR(VLOOKUP(INDEX(' Toto teams'!$H$4:$H$119,MATCH($B19,' Toto teams'!$A$4:$A$119,0)),Scoring!$A$4:$N$51,4,FALSE()),0)+IFERROR(VLOOKUP(INDEX(' Toto teams'!$H$4:$H$119,MATCH($B19,' Toto teams'!$A$4:$A$119,0)),Scoring!$A$4:$N$51,5,FALSE()),0))+IFERROR(INDEX(' Toto teams'!$Q$4:$Q$119,MATCH($B19,' Toto teams'!$A$4:$A$119,0))*1,0))</f>
        <v>4</v>
      </c>
      <c r="D19" s="28">
        <f>IF($B19="","",6*IFERROR(VLOOKUP(INDEX(' Toto teams'!$B$4:$B$119,MATCH($B19,' Toto teams'!$A$4:$A$119,0)),Scoring!$A$4:$N$51,7,FALSE()),0)+4*IFERROR(VLOOKUP(INDEX(' Toto teams'!$C$4:$C$119,MATCH($B19,' Toto teams'!$A$4:$A$119,0)),Scoring!$A$4:$N$51,7,FALSE()),0)+3*IFERROR(VLOOKUP(INDEX(' Toto teams'!$D$4:$D$119,MATCH($B19,' Toto teams'!$A$4:$A$119,0)),Scoring!$A$4:$N$51,7,FALSE()),0)+2*IFERROR(VLOOKUP(INDEX(' Toto teams'!$E$4:$E$119,MATCH($B19,' Toto teams'!$A$4:$A$119,0)),Scoring!$A$4:$N$51,7,FALSE()),0)+1*IFERROR(VLOOKUP(INDEX(' Toto teams'!$F$4:$F$119,MATCH($B19,' Toto teams'!$A$4:$A$119,0)),Scoring!$A$4:$N$51,7,FALSE()),0)+1*IFERROR(VLOOKUP(INDEX(' Toto teams'!$G$4:$G$119,MATCH($B19,' Toto teams'!$A$4:$A$119,0)),Scoring!$A$4:$N$51,7,FALSE()),0)+1*IFERROR(VLOOKUP(INDEX(' Toto teams'!$H$4:$H$119,MATCH($B19,' Toto teams'!$A$4:$A$119,0)),Scoring!$A$4:$N$51,7,FALSE()),0))</f>
        <v>0</v>
      </c>
      <c r="E19" s="28">
        <f>IF($B19="","",6*IFERROR(VLOOKUP(INDEX(' Toto teams'!$B$4:$B$119,MATCH($B19,' Toto teams'!$A$4:$A$119,0)),Scoring!$A$4:$N$51,8,FALSE()),0)+4*IFERROR(VLOOKUP(INDEX(' Toto teams'!$C$4:$C$119,MATCH($B19,' Toto teams'!$A$4:$A$119,0)),Scoring!$A$4:$N$51,8,FALSE()),0)+3*IFERROR(VLOOKUP(INDEX(' Toto teams'!$D$4:$D$119,MATCH($B19,' Toto teams'!$A$4:$A$119,0)),Scoring!$A$4:$N$51,8,FALSE()),0)+2*IFERROR(VLOOKUP(INDEX(' Toto teams'!$E$4:$E$119,MATCH($B19,' Toto teams'!$A$4:$A$119,0)),Scoring!$A$4:$N$51,8,FALSE()),0)+1*IFERROR(VLOOKUP(INDEX(' Toto teams'!$F$4:$F$119,MATCH($B19,' Toto teams'!$A$4:$A$119,0)),Scoring!$A$4:$N$51,8,FALSE()),0)+1*IFERROR(VLOOKUP(INDEX(' Toto teams'!$G$4:$G$119,MATCH($B19,' Toto teams'!$A$4:$A$119,0)),Scoring!$A$4:$N$51,8,FALSE()),0)+1*IFERROR(VLOOKUP(INDEX(' Toto teams'!$H$4:$H$119,MATCH($B19,' Toto teams'!$A$4:$A$119,0)),Scoring!$A$4:$N$51,8,FALSE()),0))</f>
        <v>0</v>
      </c>
      <c r="F19" s="28">
        <f>IF($B19="","",6*IFERROR(VLOOKUP(INDEX(' Toto teams'!$B$4:$B$119,MATCH($B19,' Toto teams'!$A$4:$A$119,0)),Scoring!$A$4:$N$51,9,FALSE()),0)+4*IFERROR(VLOOKUP(INDEX(' Toto teams'!$C$4:$C$119,MATCH($B19,' Toto teams'!$A$4:$A$119,0)),Scoring!$A$4:$N$51,9,FALSE()),0)+3*IFERROR(VLOOKUP(INDEX(' Toto teams'!$D$4:$D$119,MATCH($B19,' Toto teams'!$A$4:$A$119,0)),Scoring!$A$4:$N$51,9,FALSE()),0)+2*IFERROR(VLOOKUP(INDEX(' Toto teams'!$E$4:$E$119,MATCH($B19,' Toto teams'!$A$4:$A$119,0)),Scoring!$A$4:$N$51,9,FALSE()),0)+1*IFERROR(VLOOKUP(INDEX(' Toto teams'!$F$4:$F$119,MATCH($B19,' Toto teams'!$A$4:$A$119,0)),Scoring!$A$4:$N$51,9,FALSE()),0)+1*IFERROR(VLOOKUP(INDEX(' Toto teams'!$G$4:$G$119,MATCH($B19,' Toto teams'!$A$4:$A$119,0)),Scoring!$A$4:$N$51,9,FALSE()),0)+1*IFERROR(VLOOKUP(INDEX(' Toto teams'!$H$4:$H$119,MATCH($B19,' Toto teams'!$A$4:$A$119,0)),Scoring!$A$4:$N$51,9,FALSE()),0))</f>
        <v>0</v>
      </c>
      <c r="G19" s="28">
        <f>IF($B19="","",6*IFERROR(VLOOKUP(INDEX(' Toto teams'!$B$4:$B$119,MATCH($B19,' Toto teams'!$A$4:$A$119,0)),Scoring!$A$4:$N$51,10,FALSE()),0)+4*IFERROR(VLOOKUP(INDEX(' Toto teams'!$C$4:$C$119,MATCH($B19,' Toto teams'!$A$4:$A$119,0)),Scoring!$A$4:$N$51,10,FALSE()),0)+3*IFERROR(VLOOKUP(INDEX(' Toto teams'!$D$4:$D$119,MATCH($B19,' Toto teams'!$A$4:$A$119,0)),Scoring!$A$4:$N$51,10,FALSE()),0)+2*IFERROR(VLOOKUP(INDEX(' Toto teams'!$E$4:$E$119,MATCH($B19,' Toto teams'!$A$4:$A$119,0)),Scoring!$A$4:$N$51,10,FALSE()),0)+1*IFERROR(VLOOKUP(INDEX(' Toto teams'!$F$4:$F$119,MATCH($B19,' Toto teams'!$A$4:$A$119,0)),Scoring!$A$4:$N$51,10,FALSE()),0)+1*IFERROR(VLOOKUP(INDEX(' Toto teams'!$G$4:$G$119,MATCH($B19,' Toto teams'!$A$4:$A$119,0)),Scoring!$A$4:$N$51,10,FALSE()),0)+1*IFERROR(VLOOKUP(INDEX(' Toto teams'!$H$4:$H$119,MATCH($B19,' Toto teams'!$A$4:$A$119,0)),Scoring!$A$4:$N$51,10,FALSE()),0))</f>
        <v>0</v>
      </c>
      <c r="H19" s="28">
        <f>IF($B19="","",6*IFERROR(VLOOKUP(INDEX(' Toto teams'!$B$4:$B$119,MATCH($B19,' Toto teams'!$A$4:$A$119,0)),Scoring!$A$4:$N$51,11,FALSE()),0)+4*IFERROR(VLOOKUP(INDEX(' Toto teams'!$C$4:$C$119,MATCH($B19,' Toto teams'!$A$4:$A$119,0)),Scoring!$A$4:$N$51,11,FALSE()),0)+3*IFERROR(VLOOKUP(INDEX(' Toto teams'!$D$4:$D$119,MATCH($B19,' Toto teams'!$A$4:$A$119,0)),Scoring!$A$4:$N$51,11,FALSE()),0)+2*IFERROR(VLOOKUP(INDEX(' Toto teams'!$E$4:$E$119,MATCH($B19,' Toto teams'!$A$4:$A$119,0)),Scoring!$A$4:$N$51,11,FALSE()),0)+1*IFERROR(VLOOKUP(INDEX(' Toto teams'!$F$4:$F$119,MATCH($B19,' Toto teams'!$A$4:$A$119,0)),Scoring!$A$4:$N$51,11,FALSE()),0)+1*IFERROR(VLOOKUP(INDEX(' Toto teams'!$G$4:$G$119,MATCH($B19,' Toto teams'!$A$4:$A$119,0)),Scoring!$A$4:$N$51,11,FALSE()),0)+1*IFERROR(VLOOKUP(INDEX(' Toto teams'!$H$4:$H$119,MATCH($B19,' Toto teams'!$A$4:$A$119,0)),Scoring!$A$4:$N$51,11,FALSE()),0))</f>
        <v>0</v>
      </c>
      <c r="I19" s="28">
        <f>IF($B19="","",6*IFERROR(VLOOKUP(INDEX(' Toto teams'!$B$4:$B$119,MATCH($B19,' Toto teams'!$A$4:$A$119,0)),Scoring!$A$4:$O$51,15,FALSE()),0)+4*IFERROR(VLOOKUP(INDEX(' Toto teams'!$C$4:$C$119,MATCH($B19,' Toto teams'!$A$4:$A$119,0)),Scoring!$A$4:$O$51,15,FALSE()),0)+3*IFERROR(VLOOKUP(INDEX(' Toto teams'!$D$4:$D$119,MATCH($B19,' Toto teams'!$A$4:$A$119,0)),Scoring!$A$4:$O$51,15,FALSE()),0)+2*IFERROR(VLOOKUP(INDEX(' Toto teams'!$E$4:$E$119,MATCH($B19,' Toto teams'!$A$4:$A$119,0)),Scoring!$A$4:$O$51,15,FALSE()),0)+1*IFERROR(VLOOKUP(INDEX(' Toto teams'!$F$4:$F$119,MATCH($B19,' Toto teams'!$A$4:$A$119,0)),Scoring!$A$4:$O$51,15,FALSE()),0)+1*IFERROR(VLOOKUP(INDEX(' Toto teams'!$G$4:$G$119,MATCH($B19,' Toto teams'!$A$4:$A$119,0)),Scoring!$A$4:$O$51,15,FALSE()),0)+1*IFERROR(VLOOKUP(INDEX(' Toto teams'!$H$4:$H$119,MATCH($B19,' Toto teams'!$A$4:$A$119,0)),Scoring!$A$4:$O$51,15,FALSE()),0))</f>
        <v>0</v>
      </c>
      <c r="J19" s="28">
        <f>IF($B19="","",6*IFERROR(VLOOKUP(INDEX(' Toto teams'!$B$4:$B$119,MATCH($B19,' Toto teams'!$A$4:$A$119,0)),Scoring!$A$4:$N$51,12,FALSE()),0)+4*IFERROR(VLOOKUP(INDEX(' Toto teams'!$C$4:$C$119,MATCH($B19,' Toto teams'!$A$4:$A$119,0)),Scoring!$A$4:$N$51,12,FALSE()),0)+3*IFERROR(VLOOKUP(INDEX(' Toto teams'!$D$4:$D$119,MATCH($B19,' Toto teams'!$A$4:$A$119,0)),Scoring!$A$4:$N$51,12,FALSE()),0)+2*IFERROR(VLOOKUP(INDEX(' Toto teams'!$E$4:$E$119,MATCH($B19,' Toto teams'!$A$4:$A$119,0)),Scoring!$A$4:$N$51,12,FALSE()),0)+1*IFERROR(VLOOKUP(INDEX(' Toto teams'!$F$4:$F$119,MATCH($B19,' Toto teams'!$A$4:$A$119,0)),Scoring!$A$4:$N$51,12,FALSE()),0)+1*IFERROR(VLOOKUP(INDEX(' Toto teams'!$G$4:$G$119,MATCH($B19,' Toto teams'!$A$4:$A$119,0)),Scoring!$A$4:$N$51,12,FALSE()),0)+1*IFERROR(VLOOKUP(INDEX(' Toto teams'!$H$4:$H$119,MATCH($B19,' Toto teams'!$A$4:$A$119,0)),Scoring!$A$4:$N$51,12,FALSE()),0))</f>
        <v>0</v>
      </c>
      <c r="K19" s="29">
        <f>IF($B19="","",IFERROR(INDEX(' Toto teams'!$R$4:$R$119,MATCH($B19,' Toto teams'!$A$4:$A$119,0)),""))</f>
        <v>4</v>
      </c>
      <c r="L19" s="30">
        <f t="shared" si="0"/>
        <v>27.794117647058822</v>
      </c>
    </row>
    <row r="20" spans="1:12" ht="12.75" customHeight="1" x14ac:dyDescent="0.3">
      <c r="A20" s="26">
        <f>IF(17&gt;COUNTIF(' Toto teams'!$A$4:$A$119,"&lt;&gt;"),"",INDEX(' Toto teams'!$S$4:$S$119,MATCH(LARGE(' Toto teams'!$T$4:$T$119,17),' Toto teams'!$T$4:$T$119,0)))</f>
        <v>5</v>
      </c>
      <c r="B20" s="27" t="str">
        <f>IF(17&gt;COUNTIF(' Toto teams'!$A$4:$A$119,"&lt;&gt;"),"",INDEX(' Toto teams'!$A$4:$A$119,MATCH(LARGE(' Toto teams'!$T$4:$T$119,17),' Toto teams'!$T$4:$T$119,0)))</f>
        <v>Davide Speranza</v>
      </c>
      <c r="C20" s="28">
        <f>IF($B20="","",6*(IFERROR(VLOOKUP(INDEX(' Toto teams'!$B$4:$B$119,MATCH($B20,' Toto teams'!$A$4:$A$119,0)),Scoring!$A$4:$N$51,3,FALSE()),0)+IFERROR(VLOOKUP(INDEX(' Toto teams'!$B$4:$B$119,MATCH($B20,' Toto teams'!$A$4:$A$119,0)),Scoring!$A$4:$N$51,4,FALSE()),0)+IFERROR(VLOOKUP(INDEX(' Toto teams'!$B$4:$B$119,MATCH($B20,' Toto teams'!$A$4:$A$119,0)),Scoring!$A$4:$N$51,5,FALSE()),0))+4*(IFERROR(VLOOKUP(INDEX(' Toto teams'!$C$4:$C$119,MATCH($B20,' Toto teams'!$A$4:$A$119,0)),Scoring!$A$4:$N$51,3,FALSE()),0)+IFERROR(VLOOKUP(INDEX(' Toto teams'!$C$4:$C$119,MATCH($B20,' Toto teams'!$A$4:$A$119,0)),Scoring!$A$4:$N$51,4,FALSE()),0)+IFERROR(VLOOKUP(INDEX(' Toto teams'!$C$4:$C$119,MATCH($B20,' Toto teams'!$A$4:$A$119,0)),Scoring!$A$4:$N$51,5,FALSE()),0))+3*(IFERROR(VLOOKUP(INDEX(' Toto teams'!$D$4:$D$119,MATCH($B20,' Toto teams'!$A$4:$A$119,0)),Scoring!$A$4:$N$51,3,FALSE()),0)+IFERROR(VLOOKUP(INDEX(' Toto teams'!$D$4:$D$119,MATCH($B20,' Toto teams'!$A$4:$A$119,0)),Scoring!$A$4:$N$51,4,FALSE()),0)+IFERROR(VLOOKUP(INDEX(' Toto teams'!$D$4:$D$119,MATCH($B20,' Toto teams'!$A$4:$A$119,0)),Scoring!$A$4:$N$51,5,FALSE()),0))+2*(IFERROR(VLOOKUP(INDEX(' Toto teams'!$E$4:$E$119,MATCH($B20,' Toto teams'!$A$4:$A$119,0)),Scoring!$A$4:$N$51,3,FALSE()),0)+IFERROR(VLOOKUP(INDEX(' Toto teams'!$E$4:$E$119,MATCH($B20,' Toto teams'!$A$4:$A$119,0)),Scoring!$A$4:$N$51,4,FALSE()),0)+IFERROR(VLOOKUP(INDEX(' Toto teams'!$E$4:$E$119,MATCH($B20,' Toto teams'!$A$4:$A$119,0)),Scoring!$A$4:$N$51,5,FALSE()),0))+1*(IFERROR(VLOOKUP(INDEX(' Toto teams'!$F$4:$F$119,MATCH($B20,' Toto teams'!$A$4:$A$119,0)),Scoring!$A$4:$N$51,3,FALSE()),0)+IFERROR(VLOOKUP(INDEX(' Toto teams'!$F$4:$F$119,MATCH($B20,' Toto teams'!$A$4:$A$119,0)),Scoring!$A$4:$N$51,4,FALSE()),0)+IFERROR(VLOOKUP(INDEX(' Toto teams'!$F$4:$F$119,MATCH($B20,' Toto teams'!$A$4:$A$119,0)),Scoring!$A$4:$N$51,5,FALSE()),0))+1*(IFERROR(VLOOKUP(INDEX(' Toto teams'!$G$4:$G$119,MATCH($B20,' Toto teams'!$A$4:$A$119,0)),Scoring!$A$4:$N$51,3,FALSE()),0)+IFERROR(VLOOKUP(INDEX(' Toto teams'!$G$4:$G$119,MATCH($B20,' Toto teams'!$A$4:$A$119,0)),Scoring!$A$4:$N$51,4,FALSE()),0)+IFERROR(VLOOKUP(INDEX(' Toto teams'!$G$4:$G$119,MATCH($B20,' Toto teams'!$A$4:$A$119,0)),Scoring!$A$4:$N$51,5,FALSE()),0))+1*(IFERROR(VLOOKUP(INDEX(' Toto teams'!$H$4:$H$119,MATCH($B20,' Toto teams'!$A$4:$A$119,0)),Scoring!$A$4:$N$51,3,FALSE()),0)+IFERROR(VLOOKUP(INDEX(' Toto teams'!$H$4:$H$119,MATCH($B20,' Toto teams'!$A$4:$A$119,0)),Scoring!$A$4:$N$51,4,FALSE()),0)+IFERROR(VLOOKUP(INDEX(' Toto teams'!$H$4:$H$119,MATCH($B20,' Toto teams'!$A$4:$A$119,0)),Scoring!$A$4:$N$51,5,FALSE()),0))+IFERROR(INDEX(' Toto teams'!$Q$4:$Q$119,MATCH($B20,' Toto teams'!$A$4:$A$119,0))*1,0))</f>
        <v>4</v>
      </c>
      <c r="D20" s="28">
        <f>IF($B20="","",6*IFERROR(VLOOKUP(INDEX(' Toto teams'!$B$4:$B$119,MATCH($B20,' Toto teams'!$A$4:$A$119,0)),Scoring!$A$4:$N$51,7,FALSE()),0)+4*IFERROR(VLOOKUP(INDEX(' Toto teams'!$C$4:$C$119,MATCH($B20,' Toto teams'!$A$4:$A$119,0)),Scoring!$A$4:$N$51,7,FALSE()),0)+3*IFERROR(VLOOKUP(INDEX(' Toto teams'!$D$4:$D$119,MATCH($B20,' Toto teams'!$A$4:$A$119,0)),Scoring!$A$4:$N$51,7,FALSE()),0)+2*IFERROR(VLOOKUP(INDEX(' Toto teams'!$E$4:$E$119,MATCH($B20,' Toto teams'!$A$4:$A$119,0)),Scoring!$A$4:$N$51,7,FALSE()),0)+1*IFERROR(VLOOKUP(INDEX(' Toto teams'!$F$4:$F$119,MATCH($B20,' Toto teams'!$A$4:$A$119,0)),Scoring!$A$4:$N$51,7,FALSE()),0)+1*IFERROR(VLOOKUP(INDEX(' Toto teams'!$G$4:$G$119,MATCH($B20,' Toto teams'!$A$4:$A$119,0)),Scoring!$A$4:$N$51,7,FALSE()),0)+1*IFERROR(VLOOKUP(INDEX(' Toto teams'!$H$4:$H$119,MATCH($B20,' Toto teams'!$A$4:$A$119,0)),Scoring!$A$4:$N$51,7,FALSE()),0))</f>
        <v>0</v>
      </c>
      <c r="E20" s="28">
        <f>IF($B20="","",6*IFERROR(VLOOKUP(INDEX(' Toto teams'!$B$4:$B$119,MATCH($B20,' Toto teams'!$A$4:$A$119,0)),Scoring!$A$4:$N$51,8,FALSE()),0)+4*IFERROR(VLOOKUP(INDEX(' Toto teams'!$C$4:$C$119,MATCH($B20,' Toto teams'!$A$4:$A$119,0)),Scoring!$A$4:$N$51,8,FALSE()),0)+3*IFERROR(VLOOKUP(INDEX(' Toto teams'!$D$4:$D$119,MATCH($B20,' Toto teams'!$A$4:$A$119,0)),Scoring!$A$4:$N$51,8,FALSE()),0)+2*IFERROR(VLOOKUP(INDEX(' Toto teams'!$E$4:$E$119,MATCH($B20,' Toto teams'!$A$4:$A$119,0)),Scoring!$A$4:$N$51,8,FALSE()),0)+1*IFERROR(VLOOKUP(INDEX(' Toto teams'!$F$4:$F$119,MATCH($B20,' Toto teams'!$A$4:$A$119,0)),Scoring!$A$4:$N$51,8,FALSE()),0)+1*IFERROR(VLOOKUP(INDEX(' Toto teams'!$G$4:$G$119,MATCH($B20,' Toto teams'!$A$4:$A$119,0)),Scoring!$A$4:$N$51,8,FALSE()),0)+1*IFERROR(VLOOKUP(INDEX(' Toto teams'!$H$4:$H$119,MATCH($B20,' Toto teams'!$A$4:$A$119,0)),Scoring!$A$4:$N$51,8,FALSE()),0))</f>
        <v>0</v>
      </c>
      <c r="F20" s="28">
        <f>IF($B20="","",6*IFERROR(VLOOKUP(INDEX(' Toto teams'!$B$4:$B$119,MATCH($B20,' Toto teams'!$A$4:$A$119,0)),Scoring!$A$4:$N$51,9,FALSE()),0)+4*IFERROR(VLOOKUP(INDEX(' Toto teams'!$C$4:$C$119,MATCH($B20,' Toto teams'!$A$4:$A$119,0)),Scoring!$A$4:$N$51,9,FALSE()),0)+3*IFERROR(VLOOKUP(INDEX(' Toto teams'!$D$4:$D$119,MATCH($B20,' Toto teams'!$A$4:$A$119,0)),Scoring!$A$4:$N$51,9,FALSE()),0)+2*IFERROR(VLOOKUP(INDEX(' Toto teams'!$E$4:$E$119,MATCH($B20,' Toto teams'!$A$4:$A$119,0)),Scoring!$A$4:$N$51,9,FALSE()),0)+1*IFERROR(VLOOKUP(INDEX(' Toto teams'!$F$4:$F$119,MATCH($B20,' Toto teams'!$A$4:$A$119,0)),Scoring!$A$4:$N$51,9,FALSE()),0)+1*IFERROR(VLOOKUP(INDEX(' Toto teams'!$G$4:$G$119,MATCH($B20,' Toto teams'!$A$4:$A$119,0)),Scoring!$A$4:$N$51,9,FALSE()),0)+1*IFERROR(VLOOKUP(INDEX(' Toto teams'!$H$4:$H$119,MATCH($B20,' Toto teams'!$A$4:$A$119,0)),Scoring!$A$4:$N$51,9,FALSE()),0))</f>
        <v>0</v>
      </c>
      <c r="G20" s="28">
        <f>IF($B20="","",6*IFERROR(VLOOKUP(INDEX(' Toto teams'!$B$4:$B$119,MATCH($B20,' Toto teams'!$A$4:$A$119,0)),Scoring!$A$4:$N$51,10,FALSE()),0)+4*IFERROR(VLOOKUP(INDEX(' Toto teams'!$C$4:$C$119,MATCH($B20,' Toto teams'!$A$4:$A$119,0)),Scoring!$A$4:$N$51,10,FALSE()),0)+3*IFERROR(VLOOKUP(INDEX(' Toto teams'!$D$4:$D$119,MATCH($B20,' Toto teams'!$A$4:$A$119,0)),Scoring!$A$4:$N$51,10,FALSE()),0)+2*IFERROR(VLOOKUP(INDEX(' Toto teams'!$E$4:$E$119,MATCH($B20,' Toto teams'!$A$4:$A$119,0)),Scoring!$A$4:$N$51,10,FALSE()),0)+1*IFERROR(VLOOKUP(INDEX(' Toto teams'!$F$4:$F$119,MATCH($B20,' Toto teams'!$A$4:$A$119,0)),Scoring!$A$4:$N$51,10,FALSE()),0)+1*IFERROR(VLOOKUP(INDEX(' Toto teams'!$G$4:$G$119,MATCH($B20,' Toto teams'!$A$4:$A$119,0)),Scoring!$A$4:$N$51,10,FALSE()),0)+1*IFERROR(VLOOKUP(INDEX(' Toto teams'!$H$4:$H$119,MATCH($B20,' Toto teams'!$A$4:$A$119,0)),Scoring!$A$4:$N$51,10,FALSE()),0))</f>
        <v>0</v>
      </c>
      <c r="H20" s="28">
        <f>IF($B20="","",6*IFERROR(VLOOKUP(INDEX(' Toto teams'!$B$4:$B$119,MATCH($B20,' Toto teams'!$A$4:$A$119,0)),Scoring!$A$4:$N$51,11,FALSE()),0)+4*IFERROR(VLOOKUP(INDEX(' Toto teams'!$C$4:$C$119,MATCH($B20,' Toto teams'!$A$4:$A$119,0)),Scoring!$A$4:$N$51,11,FALSE()),0)+3*IFERROR(VLOOKUP(INDEX(' Toto teams'!$D$4:$D$119,MATCH($B20,' Toto teams'!$A$4:$A$119,0)),Scoring!$A$4:$N$51,11,FALSE()),0)+2*IFERROR(VLOOKUP(INDEX(' Toto teams'!$E$4:$E$119,MATCH($B20,' Toto teams'!$A$4:$A$119,0)),Scoring!$A$4:$N$51,11,FALSE()),0)+1*IFERROR(VLOOKUP(INDEX(' Toto teams'!$F$4:$F$119,MATCH($B20,' Toto teams'!$A$4:$A$119,0)),Scoring!$A$4:$N$51,11,FALSE()),0)+1*IFERROR(VLOOKUP(INDEX(' Toto teams'!$G$4:$G$119,MATCH($B20,' Toto teams'!$A$4:$A$119,0)),Scoring!$A$4:$N$51,11,FALSE()),0)+1*IFERROR(VLOOKUP(INDEX(' Toto teams'!$H$4:$H$119,MATCH($B20,' Toto teams'!$A$4:$A$119,0)),Scoring!$A$4:$N$51,11,FALSE()),0))</f>
        <v>0</v>
      </c>
      <c r="I20" s="28">
        <f>IF($B20="","",6*IFERROR(VLOOKUP(INDEX(' Toto teams'!$B$4:$B$119,MATCH($B20,' Toto teams'!$A$4:$A$119,0)),Scoring!$A$4:$O$51,15,FALSE()),0)+4*IFERROR(VLOOKUP(INDEX(' Toto teams'!$C$4:$C$119,MATCH($B20,' Toto teams'!$A$4:$A$119,0)),Scoring!$A$4:$O$51,15,FALSE()),0)+3*IFERROR(VLOOKUP(INDEX(' Toto teams'!$D$4:$D$119,MATCH($B20,' Toto teams'!$A$4:$A$119,0)),Scoring!$A$4:$O$51,15,FALSE()),0)+2*IFERROR(VLOOKUP(INDEX(' Toto teams'!$E$4:$E$119,MATCH($B20,' Toto teams'!$A$4:$A$119,0)),Scoring!$A$4:$O$51,15,FALSE()),0)+1*IFERROR(VLOOKUP(INDEX(' Toto teams'!$F$4:$F$119,MATCH($B20,' Toto teams'!$A$4:$A$119,0)),Scoring!$A$4:$O$51,15,FALSE()),0)+1*IFERROR(VLOOKUP(INDEX(' Toto teams'!$G$4:$G$119,MATCH($B20,' Toto teams'!$A$4:$A$119,0)),Scoring!$A$4:$O$51,15,FALSE()),0)+1*IFERROR(VLOOKUP(INDEX(' Toto teams'!$H$4:$H$119,MATCH($B20,' Toto teams'!$A$4:$A$119,0)),Scoring!$A$4:$O$51,15,FALSE()),0))</f>
        <v>0</v>
      </c>
      <c r="J20" s="28">
        <f>IF($B20="","",6*IFERROR(VLOOKUP(INDEX(' Toto teams'!$B$4:$B$119,MATCH($B20,' Toto teams'!$A$4:$A$119,0)),Scoring!$A$4:$N$51,12,FALSE()),0)+4*IFERROR(VLOOKUP(INDEX(' Toto teams'!$C$4:$C$119,MATCH($B20,' Toto teams'!$A$4:$A$119,0)),Scoring!$A$4:$N$51,12,FALSE()),0)+3*IFERROR(VLOOKUP(INDEX(' Toto teams'!$D$4:$D$119,MATCH($B20,' Toto teams'!$A$4:$A$119,0)),Scoring!$A$4:$N$51,12,FALSE()),0)+2*IFERROR(VLOOKUP(INDEX(' Toto teams'!$E$4:$E$119,MATCH($B20,' Toto teams'!$A$4:$A$119,0)),Scoring!$A$4:$N$51,12,FALSE()),0)+1*IFERROR(VLOOKUP(INDEX(' Toto teams'!$F$4:$F$119,MATCH($B20,' Toto teams'!$A$4:$A$119,0)),Scoring!$A$4:$N$51,12,FALSE()),0)+1*IFERROR(VLOOKUP(INDEX(' Toto teams'!$G$4:$G$119,MATCH($B20,' Toto teams'!$A$4:$A$119,0)),Scoring!$A$4:$N$51,12,FALSE()),0)+1*IFERROR(VLOOKUP(INDEX(' Toto teams'!$H$4:$H$119,MATCH($B20,' Toto teams'!$A$4:$A$119,0)),Scoring!$A$4:$N$51,12,FALSE()),0))</f>
        <v>0</v>
      </c>
      <c r="K20" s="29">
        <f>IF($B20="","",IFERROR(INDEX(' Toto teams'!$R$4:$R$119,MATCH($B20,' Toto teams'!$A$4:$A$119,0)),""))</f>
        <v>4</v>
      </c>
      <c r="L20" s="30">
        <f t="shared" si="0"/>
        <v>27.794117647058822</v>
      </c>
    </row>
    <row r="21" spans="1:12" ht="12.75" customHeight="1" x14ac:dyDescent="0.3">
      <c r="A21" s="26">
        <f>IF(18&gt;COUNTIF(' Toto teams'!$A$4:$A$119,"&lt;&gt;"),"",INDEX(' Toto teams'!$S$4:$S$119,MATCH(LARGE(' Toto teams'!$T$4:$T$119,18),' Toto teams'!$T$4:$T$119,0)))</f>
        <v>5</v>
      </c>
      <c r="B21" s="27" t="str">
        <f>IF(18&gt;COUNTIF(' Toto teams'!$A$4:$A$119,"&lt;&gt;"),"",INDEX(' Toto teams'!$A$4:$A$119,MATCH(LARGE(' Toto teams'!$T$4:$T$119,18),' Toto teams'!$T$4:$T$119,0)))</f>
        <v>Gintas Bungarda 2</v>
      </c>
      <c r="C21" s="28">
        <f>IF($B21="","",6*(IFERROR(VLOOKUP(INDEX(' Toto teams'!$B$4:$B$119,MATCH($B21,' Toto teams'!$A$4:$A$119,0)),Scoring!$A$4:$N$51,3,FALSE()),0)+IFERROR(VLOOKUP(INDEX(' Toto teams'!$B$4:$B$119,MATCH($B21,' Toto teams'!$A$4:$A$119,0)),Scoring!$A$4:$N$51,4,FALSE()),0)+IFERROR(VLOOKUP(INDEX(' Toto teams'!$B$4:$B$119,MATCH($B21,' Toto teams'!$A$4:$A$119,0)),Scoring!$A$4:$N$51,5,FALSE()),0))+4*(IFERROR(VLOOKUP(INDEX(' Toto teams'!$C$4:$C$119,MATCH($B21,' Toto teams'!$A$4:$A$119,0)),Scoring!$A$4:$N$51,3,FALSE()),0)+IFERROR(VLOOKUP(INDEX(' Toto teams'!$C$4:$C$119,MATCH($B21,' Toto teams'!$A$4:$A$119,0)),Scoring!$A$4:$N$51,4,FALSE()),0)+IFERROR(VLOOKUP(INDEX(' Toto teams'!$C$4:$C$119,MATCH($B21,' Toto teams'!$A$4:$A$119,0)),Scoring!$A$4:$N$51,5,FALSE()),0))+3*(IFERROR(VLOOKUP(INDEX(' Toto teams'!$D$4:$D$119,MATCH($B21,' Toto teams'!$A$4:$A$119,0)),Scoring!$A$4:$N$51,3,FALSE()),0)+IFERROR(VLOOKUP(INDEX(' Toto teams'!$D$4:$D$119,MATCH($B21,' Toto teams'!$A$4:$A$119,0)),Scoring!$A$4:$N$51,4,FALSE()),0)+IFERROR(VLOOKUP(INDEX(' Toto teams'!$D$4:$D$119,MATCH($B21,' Toto teams'!$A$4:$A$119,0)),Scoring!$A$4:$N$51,5,FALSE()),0))+2*(IFERROR(VLOOKUP(INDEX(' Toto teams'!$E$4:$E$119,MATCH($B21,' Toto teams'!$A$4:$A$119,0)),Scoring!$A$4:$N$51,3,FALSE()),0)+IFERROR(VLOOKUP(INDEX(' Toto teams'!$E$4:$E$119,MATCH($B21,' Toto teams'!$A$4:$A$119,0)),Scoring!$A$4:$N$51,4,FALSE()),0)+IFERROR(VLOOKUP(INDEX(' Toto teams'!$E$4:$E$119,MATCH($B21,' Toto teams'!$A$4:$A$119,0)),Scoring!$A$4:$N$51,5,FALSE()),0))+1*(IFERROR(VLOOKUP(INDEX(' Toto teams'!$F$4:$F$119,MATCH($B21,' Toto teams'!$A$4:$A$119,0)),Scoring!$A$4:$N$51,3,FALSE()),0)+IFERROR(VLOOKUP(INDEX(' Toto teams'!$F$4:$F$119,MATCH($B21,' Toto teams'!$A$4:$A$119,0)),Scoring!$A$4:$N$51,4,FALSE()),0)+IFERROR(VLOOKUP(INDEX(' Toto teams'!$F$4:$F$119,MATCH($B21,' Toto teams'!$A$4:$A$119,0)),Scoring!$A$4:$N$51,5,FALSE()),0))+1*(IFERROR(VLOOKUP(INDEX(' Toto teams'!$G$4:$G$119,MATCH($B21,' Toto teams'!$A$4:$A$119,0)),Scoring!$A$4:$N$51,3,FALSE()),0)+IFERROR(VLOOKUP(INDEX(' Toto teams'!$G$4:$G$119,MATCH($B21,' Toto teams'!$A$4:$A$119,0)),Scoring!$A$4:$N$51,4,FALSE()),0)+IFERROR(VLOOKUP(INDEX(' Toto teams'!$G$4:$G$119,MATCH($B21,' Toto teams'!$A$4:$A$119,0)),Scoring!$A$4:$N$51,5,FALSE()),0))+1*(IFERROR(VLOOKUP(INDEX(' Toto teams'!$H$4:$H$119,MATCH($B21,' Toto teams'!$A$4:$A$119,0)),Scoring!$A$4:$N$51,3,FALSE()),0)+IFERROR(VLOOKUP(INDEX(' Toto teams'!$H$4:$H$119,MATCH($B21,' Toto teams'!$A$4:$A$119,0)),Scoring!$A$4:$N$51,4,FALSE()),0)+IFERROR(VLOOKUP(INDEX(' Toto teams'!$H$4:$H$119,MATCH($B21,' Toto teams'!$A$4:$A$119,0)),Scoring!$A$4:$N$51,5,FALSE()),0))+IFERROR(INDEX(' Toto teams'!$Q$4:$Q$119,MATCH($B21,' Toto teams'!$A$4:$A$119,0))*1,0))</f>
        <v>4</v>
      </c>
      <c r="D21" s="28">
        <f>IF($B21="","",6*IFERROR(VLOOKUP(INDEX(' Toto teams'!$B$4:$B$119,MATCH($B21,' Toto teams'!$A$4:$A$119,0)),Scoring!$A$4:$N$51,7,FALSE()),0)+4*IFERROR(VLOOKUP(INDEX(' Toto teams'!$C$4:$C$119,MATCH($B21,' Toto teams'!$A$4:$A$119,0)),Scoring!$A$4:$N$51,7,FALSE()),0)+3*IFERROR(VLOOKUP(INDEX(' Toto teams'!$D$4:$D$119,MATCH($B21,' Toto teams'!$A$4:$A$119,0)),Scoring!$A$4:$N$51,7,FALSE()),0)+2*IFERROR(VLOOKUP(INDEX(' Toto teams'!$E$4:$E$119,MATCH($B21,' Toto teams'!$A$4:$A$119,0)),Scoring!$A$4:$N$51,7,FALSE()),0)+1*IFERROR(VLOOKUP(INDEX(' Toto teams'!$F$4:$F$119,MATCH($B21,' Toto teams'!$A$4:$A$119,0)),Scoring!$A$4:$N$51,7,FALSE()),0)+1*IFERROR(VLOOKUP(INDEX(' Toto teams'!$G$4:$G$119,MATCH($B21,' Toto teams'!$A$4:$A$119,0)),Scoring!$A$4:$N$51,7,FALSE()),0)+1*IFERROR(VLOOKUP(INDEX(' Toto teams'!$H$4:$H$119,MATCH($B21,' Toto teams'!$A$4:$A$119,0)),Scoring!$A$4:$N$51,7,FALSE()),0))</f>
        <v>0</v>
      </c>
      <c r="E21" s="28">
        <f>IF($B21="","",6*IFERROR(VLOOKUP(INDEX(' Toto teams'!$B$4:$B$119,MATCH($B21,' Toto teams'!$A$4:$A$119,0)),Scoring!$A$4:$N$51,8,FALSE()),0)+4*IFERROR(VLOOKUP(INDEX(' Toto teams'!$C$4:$C$119,MATCH($B21,' Toto teams'!$A$4:$A$119,0)),Scoring!$A$4:$N$51,8,FALSE()),0)+3*IFERROR(VLOOKUP(INDEX(' Toto teams'!$D$4:$D$119,MATCH($B21,' Toto teams'!$A$4:$A$119,0)),Scoring!$A$4:$N$51,8,FALSE()),0)+2*IFERROR(VLOOKUP(INDEX(' Toto teams'!$E$4:$E$119,MATCH($B21,' Toto teams'!$A$4:$A$119,0)),Scoring!$A$4:$N$51,8,FALSE()),0)+1*IFERROR(VLOOKUP(INDEX(' Toto teams'!$F$4:$F$119,MATCH($B21,' Toto teams'!$A$4:$A$119,0)),Scoring!$A$4:$N$51,8,FALSE()),0)+1*IFERROR(VLOOKUP(INDEX(' Toto teams'!$G$4:$G$119,MATCH($B21,' Toto teams'!$A$4:$A$119,0)),Scoring!$A$4:$N$51,8,FALSE()),0)+1*IFERROR(VLOOKUP(INDEX(' Toto teams'!$H$4:$H$119,MATCH($B21,' Toto teams'!$A$4:$A$119,0)),Scoring!$A$4:$N$51,8,FALSE()),0))</f>
        <v>0</v>
      </c>
      <c r="F21" s="28">
        <f>IF($B21="","",6*IFERROR(VLOOKUP(INDEX(' Toto teams'!$B$4:$B$119,MATCH($B21,' Toto teams'!$A$4:$A$119,0)),Scoring!$A$4:$N$51,9,FALSE()),0)+4*IFERROR(VLOOKUP(INDEX(' Toto teams'!$C$4:$C$119,MATCH($B21,' Toto teams'!$A$4:$A$119,0)),Scoring!$A$4:$N$51,9,FALSE()),0)+3*IFERROR(VLOOKUP(INDEX(' Toto teams'!$D$4:$D$119,MATCH($B21,' Toto teams'!$A$4:$A$119,0)),Scoring!$A$4:$N$51,9,FALSE()),0)+2*IFERROR(VLOOKUP(INDEX(' Toto teams'!$E$4:$E$119,MATCH($B21,' Toto teams'!$A$4:$A$119,0)),Scoring!$A$4:$N$51,9,FALSE()),0)+1*IFERROR(VLOOKUP(INDEX(' Toto teams'!$F$4:$F$119,MATCH($B21,' Toto teams'!$A$4:$A$119,0)),Scoring!$A$4:$N$51,9,FALSE()),0)+1*IFERROR(VLOOKUP(INDEX(' Toto teams'!$G$4:$G$119,MATCH($B21,' Toto teams'!$A$4:$A$119,0)),Scoring!$A$4:$N$51,9,FALSE()),0)+1*IFERROR(VLOOKUP(INDEX(' Toto teams'!$H$4:$H$119,MATCH($B21,' Toto teams'!$A$4:$A$119,0)),Scoring!$A$4:$N$51,9,FALSE()),0))</f>
        <v>0</v>
      </c>
      <c r="G21" s="28">
        <f>IF($B21="","",6*IFERROR(VLOOKUP(INDEX(' Toto teams'!$B$4:$B$119,MATCH($B21,' Toto teams'!$A$4:$A$119,0)),Scoring!$A$4:$N$51,10,FALSE()),0)+4*IFERROR(VLOOKUP(INDEX(' Toto teams'!$C$4:$C$119,MATCH($B21,' Toto teams'!$A$4:$A$119,0)),Scoring!$A$4:$N$51,10,FALSE()),0)+3*IFERROR(VLOOKUP(INDEX(' Toto teams'!$D$4:$D$119,MATCH($B21,' Toto teams'!$A$4:$A$119,0)),Scoring!$A$4:$N$51,10,FALSE()),0)+2*IFERROR(VLOOKUP(INDEX(' Toto teams'!$E$4:$E$119,MATCH($B21,' Toto teams'!$A$4:$A$119,0)),Scoring!$A$4:$N$51,10,FALSE()),0)+1*IFERROR(VLOOKUP(INDEX(' Toto teams'!$F$4:$F$119,MATCH($B21,' Toto teams'!$A$4:$A$119,0)),Scoring!$A$4:$N$51,10,FALSE()),0)+1*IFERROR(VLOOKUP(INDEX(' Toto teams'!$G$4:$G$119,MATCH($B21,' Toto teams'!$A$4:$A$119,0)),Scoring!$A$4:$N$51,10,FALSE()),0)+1*IFERROR(VLOOKUP(INDEX(' Toto teams'!$H$4:$H$119,MATCH($B21,' Toto teams'!$A$4:$A$119,0)),Scoring!$A$4:$N$51,10,FALSE()),0))</f>
        <v>0</v>
      </c>
      <c r="H21" s="28">
        <f>IF($B21="","",6*IFERROR(VLOOKUP(INDEX(' Toto teams'!$B$4:$B$119,MATCH($B21,' Toto teams'!$A$4:$A$119,0)),Scoring!$A$4:$N$51,11,FALSE()),0)+4*IFERROR(VLOOKUP(INDEX(' Toto teams'!$C$4:$C$119,MATCH($B21,' Toto teams'!$A$4:$A$119,0)),Scoring!$A$4:$N$51,11,FALSE()),0)+3*IFERROR(VLOOKUP(INDEX(' Toto teams'!$D$4:$D$119,MATCH($B21,' Toto teams'!$A$4:$A$119,0)),Scoring!$A$4:$N$51,11,FALSE()),0)+2*IFERROR(VLOOKUP(INDEX(' Toto teams'!$E$4:$E$119,MATCH($B21,' Toto teams'!$A$4:$A$119,0)),Scoring!$A$4:$N$51,11,FALSE()),0)+1*IFERROR(VLOOKUP(INDEX(' Toto teams'!$F$4:$F$119,MATCH($B21,' Toto teams'!$A$4:$A$119,0)),Scoring!$A$4:$N$51,11,FALSE()),0)+1*IFERROR(VLOOKUP(INDEX(' Toto teams'!$G$4:$G$119,MATCH($B21,' Toto teams'!$A$4:$A$119,0)),Scoring!$A$4:$N$51,11,FALSE()),0)+1*IFERROR(VLOOKUP(INDEX(' Toto teams'!$H$4:$H$119,MATCH($B21,' Toto teams'!$A$4:$A$119,0)),Scoring!$A$4:$N$51,11,FALSE()),0))</f>
        <v>0</v>
      </c>
      <c r="I21" s="28">
        <f>IF($B21="","",6*IFERROR(VLOOKUP(INDEX(' Toto teams'!$B$4:$B$119,MATCH($B21,' Toto teams'!$A$4:$A$119,0)),Scoring!$A$4:$O$51,15,FALSE()),0)+4*IFERROR(VLOOKUP(INDEX(' Toto teams'!$C$4:$C$119,MATCH($B21,' Toto teams'!$A$4:$A$119,0)),Scoring!$A$4:$O$51,15,FALSE()),0)+3*IFERROR(VLOOKUP(INDEX(' Toto teams'!$D$4:$D$119,MATCH($B21,' Toto teams'!$A$4:$A$119,0)),Scoring!$A$4:$O$51,15,FALSE()),0)+2*IFERROR(VLOOKUP(INDEX(' Toto teams'!$E$4:$E$119,MATCH($B21,' Toto teams'!$A$4:$A$119,0)),Scoring!$A$4:$O$51,15,FALSE()),0)+1*IFERROR(VLOOKUP(INDEX(' Toto teams'!$F$4:$F$119,MATCH($B21,' Toto teams'!$A$4:$A$119,0)),Scoring!$A$4:$O$51,15,FALSE()),0)+1*IFERROR(VLOOKUP(INDEX(' Toto teams'!$G$4:$G$119,MATCH($B21,' Toto teams'!$A$4:$A$119,0)),Scoring!$A$4:$O$51,15,FALSE()),0)+1*IFERROR(VLOOKUP(INDEX(' Toto teams'!$H$4:$H$119,MATCH($B21,' Toto teams'!$A$4:$A$119,0)),Scoring!$A$4:$O$51,15,FALSE()),0))</f>
        <v>0</v>
      </c>
      <c r="J21" s="28">
        <f>IF($B21="","",6*IFERROR(VLOOKUP(INDEX(' Toto teams'!$B$4:$B$119,MATCH($B21,' Toto teams'!$A$4:$A$119,0)),Scoring!$A$4:$N$51,12,FALSE()),0)+4*IFERROR(VLOOKUP(INDEX(' Toto teams'!$C$4:$C$119,MATCH($B21,' Toto teams'!$A$4:$A$119,0)),Scoring!$A$4:$N$51,12,FALSE()),0)+3*IFERROR(VLOOKUP(INDEX(' Toto teams'!$D$4:$D$119,MATCH($B21,' Toto teams'!$A$4:$A$119,0)),Scoring!$A$4:$N$51,12,FALSE()),0)+2*IFERROR(VLOOKUP(INDEX(' Toto teams'!$E$4:$E$119,MATCH($B21,' Toto teams'!$A$4:$A$119,0)),Scoring!$A$4:$N$51,12,FALSE()),0)+1*IFERROR(VLOOKUP(INDEX(' Toto teams'!$F$4:$F$119,MATCH($B21,' Toto teams'!$A$4:$A$119,0)),Scoring!$A$4:$N$51,12,FALSE()),0)+1*IFERROR(VLOOKUP(INDEX(' Toto teams'!$G$4:$G$119,MATCH($B21,' Toto teams'!$A$4:$A$119,0)),Scoring!$A$4:$N$51,12,FALSE()),0)+1*IFERROR(VLOOKUP(INDEX(' Toto teams'!$H$4:$H$119,MATCH($B21,' Toto teams'!$A$4:$A$119,0)),Scoring!$A$4:$N$51,12,FALSE()),0))</f>
        <v>0</v>
      </c>
      <c r="K21" s="29">
        <f>IF($B21="","",IFERROR(INDEX(' Toto teams'!$R$4:$R$119,MATCH($B21,' Toto teams'!$A$4:$A$119,0)),""))</f>
        <v>4</v>
      </c>
      <c r="L21" s="30">
        <f t="shared" si="0"/>
        <v>27.794117647058822</v>
      </c>
    </row>
    <row r="22" spans="1:12" ht="12.75" customHeight="1" x14ac:dyDescent="0.3">
      <c r="A22" s="26">
        <f>IF(19&gt;COUNTIF(' Toto teams'!$A$4:$A$119,"&lt;&gt;"),"",INDEX(' Toto teams'!$S$4:$S$119,MATCH(LARGE(' Toto teams'!$T$4:$T$119,19),' Toto teams'!$T$4:$T$119,0)))</f>
        <v>5</v>
      </c>
      <c r="B22" s="27" t="str">
        <f>IF(19&gt;COUNTIF(' Toto teams'!$A$4:$A$119,"&lt;&gt;"),"",INDEX(' Toto teams'!$A$4:$A$119,MATCH(LARGE(' Toto teams'!$T$4:$T$119,19),' Toto teams'!$T$4:$T$119,0)))</f>
        <v>Gintautas Beržanskis</v>
      </c>
      <c r="C22" s="28">
        <f>IF($B22="","",6*(IFERROR(VLOOKUP(INDEX(' Toto teams'!$B$4:$B$119,MATCH($B22,' Toto teams'!$A$4:$A$119,0)),Scoring!$A$4:$N$51,3,FALSE()),0)+IFERROR(VLOOKUP(INDEX(' Toto teams'!$B$4:$B$119,MATCH($B22,' Toto teams'!$A$4:$A$119,0)),Scoring!$A$4:$N$51,4,FALSE()),0)+IFERROR(VLOOKUP(INDEX(' Toto teams'!$B$4:$B$119,MATCH($B22,' Toto teams'!$A$4:$A$119,0)),Scoring!$A$4:$N$51,5,FALSE()),0))+4*(IFERROR(VLOOKUP(INDEX(' Toto teams'!$C$4:$C$119,MATCH($B22,' Toto teams'!$A$4:$A$119,0)),Scoring!$A$4:$N$51,3,FALSE()),0)+IFERROR(VLOOKUP(INDEX(' Toto teams'!$C$4:$C$119,MATCH($B22,' Toto teams'!$A$4:$A$119,0)),Scoring!$A$4:$N$51,4,FALSE()),0)+IFERROR(VLOOKUP(INDEX(' Toto teams'!$C$4:$C$119,MATCH($B22,' Toto teams'!$A$4:$A$119,0)),Scoring!$A$4:$N$51,5,FALSE()),0))+3*(IFERROR(VLOOKUP(INDEX(' Toto teams'!$D$4:$D$119,MATCH($B22,' Toto teams'!$A$4:$A$119,0)),Scoring!$A$4:$N$51,3,FALSE()),0)+IFERROR(VLOOKUP(INDEX(' Toto teams'!$D$4:$D$119,MATCH($B22,' Toto teams'!$A$4:$A$119,0)),Scoring!$A$4:$N$51,4,FALSE()),0)+IFERROR(VLOOKUP(INDEX(' Toto teams'!$D$4:$D$119,MATCH($B22,' Toto teams'!$A$4:$A$119,0)),Scoring!$A$4:$N$51,5,FALSE()),0))+2*(IFERROR(VLOOKUP(INDEX(' Toto teams'!$E$4:$E$119,MATCH($B22,' Toto teams'!$A$4:$A$119,0)),Scoring!$A$4:$N$51,3,FALSE()),0)+IFERROR(VLOOKUP(INDEX(' Toto teams'!$E$4:$E$119,MATCH($B22,' Toto teams'!$A$4:$A$119,0)),Scoring!$A$4:$N$51,4,FALSE()),0)+IFERROR(VLOOKUP(INDEX(' Toto teams'!$E$4:$E$119,MATCH($B22,' Toto teams'!$A$4:$A$119,0)),Scoring!$A$4:$N$51,5,FALSE()),0))+1*(IFERROR(VLOOKUP(INDEX(' Toto teams'!$F$4:$F$119,MATCH($B22,' Toto teams'!$A$4:$A$119,0)),Scoring!$A$4:$N$51,3,FALSE()),0)+IFERROR(VLOOKUP(INDEX(' Toto teams'!$F$4:$F$119,MATCH($B22,' Toto teams'!$A$4:$A$119,0)),Scoring!$A$4:$N$51,4,FALSE()),0)+IFERROR(VLOOKUP(INDEX(' Toto teams'!$F$4:$F$119,MATCH($B22,' Toto teams'!$A$4:$A$119,0)),Scoring!$A$4:$N$51,5,FALSE()),0))+1*(IFERROR(VLOOKUP(INDEX(' Toto teams'!$G$4:$G$119,MATCH($B22,' Toto teams'!$A$4:$A$119,0)),Scoring!$A$4:$N$51,3,FALSE()),0)+IFERROR(VLOOKUP(INDEX(' Toto teams'!$G$4:$G$119,MATCH($B22,' Toto teams'!$A$4:$A$119,0)),Scoring!$A$4:$N$51,4,FALSE()),0)+IFERROR(VLOOKUP(INDEX(' Toto teams'!$G$4:$G$119,MATCH($B22,' Toto teams'!$A$4:$A$119,0)),Scoring!$A$4:$N$51,5,FALSE()),0))+1*(IFERROR(VLOOKUP(INDEX(' Toto teams'!$H$4:$H$119,MATCH($B22,' Toto teams'!$A$4:$A$119,0)),Scoring!$A$4:$N$51,3,FALSE()),0)+IFERROR(VLOOKUP(INDEX(' Toto teams'!$H$4:$H$119,MATCH($B22,' Toto teams'!$A$4:$A$119,0)),Scoring!$A$4:$N$51,4,FALSE()),0)+IFERROR(VLOOKUP(INDEX(' Toto teams'!$H$4:$H$119,MATCH($B22,' Toto teams'!$A$4:$A$119,0)),Scoring!$A$4:$N$51,5,FALSE()),0))+IFERROR(INDEX(' Toto teams'!$Q$4:$Q$119,MATCH($B22,' Toto teams'!$A$4:$A$119,0))*1,0))</f>
        <v>4</v>
      </c>
      <c r="D22" s="28">
        <f>IF($B22="","",6*IFERROR(VLOOKUP(INDEX(' Toto teams'!$B$4:$B$119,MATCH($B22,' Toto teams'!$A$4:$A$119,0)),Scoring!$A$4:$N$51,7,FALSE()),0)+4*IFERROR(VLOOKUP(INDEX(' Toto teams'!$C$4:$C$119,MATCH($B22,' Toto teams'!$A$4:$A$119,0)),Scoring!$A$4:$N$51,7,FALSE()),0)+3*IFERROR(VLOOKUP(INDEX(' Toto teams'!$D$4:$D$119,MATCH($B22,' Toto teams'!$A$4:$A$119,0)),Scoring!$A$4:$N$51,7,FALSE()),0)+2*IFERROR(VLOOKUP(INDEX(' Toto teams'!$E$4:$E$119,MATCH($B22,' Toto teams'!$A$4:$A$119,0)),Scoring!$A$4:$N$51,7,FALSE()),0)+1*IFERROR(VLOOKUP(INDEX(' Toto teams'!$F$4:$F$119,MATCH($B22,' Toto teams'!$A$4:$A$119,0)),Scoring!$A$4:$N$51,7,FALSE()),0)+1*IFERROR(VLOOKUP(INDEX(' Toto teams'!$G$4:$G$119,MATCH($B22,' Toto teams'!$A$4:$A$119,0)),Scoring!$A$4:$N$51,7,FALSE()),0)+1*IFERROR(VLOOKUP(INDEX(' Toto teams'!$H$4:$H$119,MATCH($B22,' Toto teams'!$A$4:$A$119,0)),Scoring!$A$4:$N$51,7,FALSE()),0))</f>
        <v>0</v>
      </c>
      <c r="E22" s="28">
        <f>IF($B22="","",6*IFERROR(VLOOKUP(INDEX(' Toto teams'!$B$4:$B$119,MATCH($B22,' Toto teams'!$A$4:$A$119,0)),Scoring!$A$4:$N$51,8,FALSE()),0)+4*IFERROR(VLOOKUP(INDEX(' Toto teams'!$C$4:$C$119,MATCH($B22,' Toto teams'!$A$4:$A$119,0)),Scoring!$A$4:$N$51,8,FALSE()),0)+3*IFERROR(VLOOKUP(INDEX(' Toto teams'!$D$4:$D$119,MATCH($B22,' Toto teams'!$A$4:$A$119,0)),Scoring!$A$4:$N$51,8,FALSE()),0)+2*IFERROR(VLOOKUP(INDEX(' Toto teams'!$E$4:$E$119,MATCH($B22,' Toto teams'!$A$4:$A$119,0)),Scoring!$A$4:$N$51,8,FALSE()),0)+1*IFERROR(VLOOKUP(INDEX(' Toto teams'!$F$4:$F$119,MATCH($B22,' Toto teams'!$A$4:$A$119,0)),Scoring!$A$4:$N$51,8,FALSE()),0)+1*IFERROR(VLOOKUP(INDEX(' Toto teams'!$G$4:$G$119,MATCH($B22,' Toto teams'!$A$4:$A$119,0)),Scoring!$A$4:$N$51,8,FALSE()),0)+1*IFERROR(VLOOKUP(INDEX(' Toto teams'!$H$4:$H$119,MATCH($B22,' Toto teams'!$A$4:$A$119,0)),Scoring!$A$4:$N$51,8,FALSE()),0))</f>
        <v>0</v>
      </c>
      <c r="F22" s="28">
        <f>IF($B22="","",6*IFERROR(VLOOKUP(INDEX(' Toto teams'!$B$4:$B$119,MATCH($B22,' Toto teams'!$A$4:$A$119,0)),Scoring!$A$4:$N$51,9,FALSE()),0)+4*IFERROR(VLOOKUP(INDEX(' Toto teams'!$C$4:$C$119,MATCH($B22,' Toto teams'!$A$4:$A$119,0)),Scoring!$A$4:$N$51,9,FALSE()),0)+3*IFERROR(VLOOKUP(INDEX(' Toto teams'!$D$4:$D$119,MATCH($B22,' Toto teams'!$A$4:$A$119,0)),Scoring!$A$4:$N$51,9,FALSE()),0)+2*IFERROR(VLOOKUP(INDEX(' Toto teams'!$E$4:$E$119,MATCH($B22,' Toto teams'!$A$4:$A$119,0)),Scoring!$A$4:$N$51,9,FALSE()),0)+1*IFERROR(VLOOKUP(INDEX(' Toto teams'!$F$4:$F$119,MATCH($B22,' Toto teams'!$A$4:$A$119,0)),Scoring!$A$4:$N$51,9,FALSE()),0)+1*IFERROR(VLOOKUP(INDEX(' Toto teams'!$G$4:$G$119,MATCH($B22,' Toto teams'!$A$4:$A$119,0)),Scoring!$A$4:$N$51,9,FALSE()),0)+1*IFERROR(VLOOKUP(INDEX(' Toto teams'!$H$4:$H$119,MATCH($B22,' Toto teams'!$A$4:$A$119,0)),Scoring!$A$4:$N$51,9,FALSE()),0))</f>
        <v>0</v>
      </c>
      <c r="G22" s="28">
        <f>IF($B22="","",6*IFERROR(VLOOKUP(INDEX(' Toto teams'!$B$4:$B$119,MATCH($B22,' Toto teams'!$A$4:$A$119,0)),Scoring!$A$4:$N$51,10,FALSE()),0)+4*IFERROR(VLOOKUP(INDEX(' Toto teams'!$C$4:$C$119,MATCH($B22,' Toto teams'!$A$4:$A$119,0)),Scoring!$A$4:$N$51,10,FALSE()),0)+3*IFERROR(VLOOKUP(INDEX(' Toto teams'!$D$4:$D$119,MATCH($B22,' Toto teams'!$A$4:$A$119,0)),Scoring!$A$4:$N$51,10,FALSE()),0)+2*IFERROR(VLOOKUP(INDEX(' Toto teams'!$E$4:$E$119,MATCH($B22,' Toto teams'!$A$4:$A$119,0)),Scoring!$A$4:$N$51,10,FALSE()),0)+1*IFERROR(VLOOKUP(INDEX(' Toto teams'!$F$4:$F$119,MATCH($B22,' Toto teams'!$A$4:$A$119,0)),Scoring!$A$4:$N$51,10,FALSE()),0)+1*IFERROR(VLOOKUP(INDEX(' Toto teams'!$G$4:$G$119,MATCH($B22,' Toto teams'!$A$4:$A$119,0)),Scoring!$A$4:$N$51,10,FALSE()),0)+1*IFERROR(VLOOKUP(INDEX(' Toto teams'!$H$4:$H$119,MATCH($B22,' Toto teams'!$A$4:$A$119,0)),Scoring!$A$4:$N$51,10,FALSE()),0))</f>
        <v>0</v>
      </c>
      <c r="H22" s="28">
        <f>IF($B22="","",6*IFERROR(VLOOKUP(INDEX(' Toto teams'!$B$4:$B$119,MATCH($B22,' Toto teams'!$A$4:$A$119,0)),Scoring!$A$4:$N$51,11,FALSE()),0)+4*IFERROR(VLOOKUP(INDEX(' Toto teams'!$C$4:$C$119,MATCH($B22,' Toto teams'!$A$4:$A$119,0)),Scoring!$A$4:$N$51,11,FALSE()),0)+3*IFERROR(VLOOKUP(INDEX(' Toto teams'!$D$4:$D$119,MATCH($B22,' Toto teams'!$A$4:$A$119,0)),Scoring!$A$4:$N$51,11,FALSE()),0)+2*IFERROR(VLOOKUP(INDEX(' Toto teams'!$E$4:$E$119,MATCH($B22,' Toto teams'!$A$4:$A$119,0)),Scoring!$A$4:$N$51,11,FALSE()),0)+1*IFERROR(VLOOKUP(INDEX(' Toto teams'!$F$4:$F$119,MATCH($B22,' Toto teams'!$A$4:$A$119,0)),Scoring!$A$4:$N$51,11,FALSE()),0)+1*IFERROR(VLOOKUP(INDEX(' Toto teams'!$G$4:$G$119,MATCH($B22,' Toto teams'!$A$4:$A$119,0)),Scoring!$A$4:$N$51,11,FALSE()),0)+1*IFERROR(VLOOKUP(INDEX(' Toto teams'!$H$4:$H$119,MATCH($B22,' Toto teams'!$A$4:$A$119,0)),Scoring!$A$4:$N$51,11,FALSE()),0))</f>
        <v>0</v>
      </c>
      <c r="I22" s="28">
        <f>IF($B22="","",6*IFERROR(VLOOKUP(INDEX(' Toto teams'!$B$4:$B$119,MATCH($B22,' Toto teams'!$A$4:$A$119,0)),Scoring!$A$4:$O$51,15,FALSE()),0)+4*IFERROR(VLOOKUP(INDEX(' Toto teams'!$C$4:$C$119,MATCH($B22,' Toto teams'!$A$4:$A$119,0)),Scoring!$A$4:$O$51,15,FALSE()),0)+3*IFERROR(VLOOKUP(INDEX(' Toto teams'!$D$4:$D$119,MATCH($B22,' Toto teams'!$A$4:$A$119,0)),Scoring!$A$4:$O$51,15,FALSE()),0)+2*IFERROR(VLOOKUP(INDEX(' Toto teams'!$E$4:$E$119,MATCH($B22,' Toto teams'!$A$4:$A$119,0)),Scoring!$A$4:$O$51,15,FALSE()),0)+1*IFERROR(VLOOKUP(INDEX(' Toto teams'!$F$4:$F$119,MATCH($B22,' Toto teams'!$A$4:$A$119,0)),Scoring!$A$4:$O$51,15,FALSE()),0)+1*IFERROR(VLOOKUP(INDEX(' Toto teams'!$G$4:$G$119,MATCH($B22,' Toto teams'!$A$4:$A$119,0)),Scoring!$A$4:$O$51,15,FALSE()),0)+1*IFERROR(VLOOKUP(INDEX(' Toto teams'!$H$4:$H$119,MATCH($B22,' Toto teams'!$A$4:$A$119,0)),Scoring!$A$4:$O$51,15,FALSE()),0))</f>
        <v>0</v>
      </c>
      <c r="J22" s="28">
        <f>IF($B22="","",6*IFERROR(VLOOKUP(INDEX(' Toto teams'!$B$4:$B$119,MATCH($B22,' Toto teams'!$A$4:$A$119,0)),Scoring!$A$4:$N$51,12,FALSE()),0)+4*IFERROR(VLOOKUP(INDEX(' Toto teams'!$C$4:$C$119,MATCH($B22,' Toto teams'!$A$4:$A$119,0)),Scoring!$A$4:$N$51,12,FALSE()),0)+3*IFERROR(VLOOKUP(INDEX(' Toto teams'!$D$4:$D$119,MATCH($B22,' Toto teams'!$A$4:$A$119,0)),Scoring!$A$4:$N$51,12,FALSE()),0)+2*IFERROR(VLOOKUP(INDEX(' Toto teams'!$E$4:$E$119,MATCH($B22,' Toto teams'!$A$4:$A$119,0)),Scoring!$A$4:$N$51,12,FALSE()),0)+1*IFERROR(VLOOKUP(INDEX(' Toto teams'!$F$4:$F$119,MATCH($B22,' Toto teams'!$A$4:$A$119,0)),Scoring!$A$4:$N$51,12,FALSE()),0)+1*IFERROR(VLOOKUP(INDEX(' Toto teams'!$G$4:$G$119,MATCH($B22,' Toto teams'!$A$4:$A$119,0)),Scoring!$A$4:$N$51,12,FALSE()),0)+1*IFERROR(VLOOKUP(INDEX(' Toto teams'!$H$4:$H$119,MATCH($B22,' Toto teams'!$A$4:$A$119,0)),Scoring!$A$4:$N$51,12,FALSE()),0))</f>
        <v>0</v>
      </c>
      <c r="K22" s="29">
        <f>IF($B22="","",IFERROR(INDEX(' Toto teams'!$R$4:$R$119,MATCH($B22,' Toto teams'!$A$4:$A$119,0)),""))</f>
        <v>4</v>
      </c>
      <c r="L22" s="30">
        <f t="shared" si="0"/>
        <v>27.794117647058822</v>
      </c>
    </row>
    <row r="23" spans="1:12" ht="12.75" customHeight="1" x14ac:dyDescent="0.3">
      <c r="A23" s="26">
        <f>IF(20&gt;COUNTIF(' Toto teams'!$A$4:$A$119,"&lt;&gt;"),"",INDEX(' Toto teams'!$S$4:$S$119,MATCH(LARGE(' Toto teams'!$T$4:$T$119,20),' Toto teams'!$T$4:$T$119,0)))</f>
        <v>5</v>
      </c>
      <c r="B23" s="27" t="str">
        <f>IF(20&gt;COUNTIF(' Toto teams'!$A$4:$A$119,"&lt;&gt;"),"",INDEX(' Toto teams'!$A$4:$A$119,MATCH(LARGE(' Toto teams'!$T$4:$T$119,20),' Toto teams'!$T$4:$T$119,0)))</f>
        <v>Benediktas Babraitis</v>
      </c>
      <c r="C23" s="28">
        <f>IF($B23="","",6*(IFERROR(VLOOKUP(INDEX(' Toto teams'!$B$4:$B$119,MATCH($B23,' Toto teams'!$A$4:$A$119,0)),Scoring!$A$4:$N$51,3,FALSE()),0)+IFERROR(VLOOKUP(INDEX(' Toto teams'!$B$4:$B$119,MATCH($B23,' Toto teams'!$A$4:$A$119,0)),Scoring!$A$4:$N$51,4,FALSE()),0)+IFERROR(VLOOKUP(INDEX(' Toto teams'!$B$4:$B$119,MATCH($B23,' Toto teams'!$A$4:$A$119,0)),Scoring!$A$4:$N$51,5,FALSE()),0))+4*(IFERROR(VLOOKUP(INDEX(' Toto teams'!$C$4:$C$119,MATCH($B23,' Toto teams'!$A$4:$A$119,0)),Scoring!$A$4:$N$51,3,FALSE()),0)+IFERROR(VLOOKUP(INDEX(' Toto teams'!$C$4:$C$119,MATCH($B23,' Toto teams'!$A$4:$A$119,0)),Scoring!$A$4:$N$51,4,FALSE()),0)+IFERROR(VLOOKUP(INDEX(' Toto teams'!$C$4:$C$119,MATCH($B23,' Toto teams'!$A$4:$A$119,0)),Scoring!$A$4:$N$51,5,FALSE()),0))+3*(IFERROR(VLOOKUP(INDEX(' Toto teams'!$D$4:$D$119,MATCH($B23,' Toto teams'!$A$4:$A$119,0)),Scoring!$A$4:$N$51,3,FALSE()),0)+IFERROR(VLOOKUP(INDEX(' Toto teams'!$D$4:$D$119,MATCH($B23,' Toto teams'!$A$4:$A$119,0)),Scoring!$A$4:$N$51,4,FALSE()),0)+IFERROR(VLOOKUP(INDEX(' Toto teams'!$D$4:$D$119,MATCH($B23,' Toto teams'!$A$4:$A$119,0)),Scoring!$A$4:$N$51,5,FALSE()),0))+2*(IFERROR(VLOOKUP(INDEX(' Toto teams'!$E$4:$E$119,MATCH($B23,' Toto teams'!$A$4:$A$119,0)),Scoring!$A$4:$N$51,3,FALSE()),0)+IFERROR(VLOOKUP(INDEX(' Toto teams'!$E$4:$E$119,MATCH($B23,' Toto teams'!$A$4:$A$119,0)),Scoring!$A$4:$N$51,4,FALSE()),0)+IFERROR(VLOOKUP(INDEX(' Toto teams'!$E$4:$E$119,MATCH($B23,' Toto teams'!$A$4:$A$119,0)),Scoring!$A$4:$N$51,5,FALSE()),0))+1*(IFERROR(VLOOKUP(INDEX(' Toto teams'!$F$4:$F$119,MATCH($B23,' Toto teams'!$A$4:$A$119,0)),Scoring!$A$4:$N$51,3,FALSE()),0)+IFERROR(VLOOKUP(INDEX(' Toto teams'!$F$4:$F$119,MATCH($B23,' Toto teams'!$A$4:$A$119,0)),Scoring!$A$4:$N$51,4,FALSE()),0)+IFERROR(VLOOKUP(INDEX(' Toto teams'!$F$4:$F$119,MATCH($B23,' Toto teams'!$A$4:$A$119,0)),Scoring!$A$4:$N$51,5,FALSE()),0))+1*(IFERROR(VLOOKUP(INDEX(' Toto teams'!$G$4:$G$119,MATCH($B23,' Toto teams'!$A$4:$A$119,0)),Scoring!$A$4:$N$51,3,FALSE()),0)+IFERROR(VLOOKUP(INDEX(' Toto teams'!$G$4:$G$119,MATCH($B23,' Toto teams'!$A$4:$A$119,0)),Scoring!$A$4:$N$51,4,FALSE()),0)+IFERROR(VLOOKUP(INDEX(' Toto teams'!$G$4:$G$119,MATCH($B23,' Toto teams'!$A$4:$A$119,0)),Scoring!$A$4:$N$51,5,FALSE()),0))+1*(IFERROR(VLOOKUP(INDEX(' Toto teams'!$H$4:$H$119,MATCH($B23,' Toto teams'!$A$4:$A$119,0)),Scoring!$A$4:$N$51,3,FALSE()),0)+IFERROR(VLOOKUP(INDEX(' Toto teams'!$H$4:$H$119,MATCH($B23,' Toto teams'!$A$4:$A$119,0)),Scoring!$A$4:$N$51,4,FALSE()),0)+IFERROR(VLOOKUP(INDEX(' Toto teams'!$H$4:$H$119,MATCH($B23,' Toto teams'!$A$4:$A$119,0)),Scoring!$A$4:$N$51,5,FALSE()),0))+IFERROR(INDEX(' Toto teams'!$Q$4:$Q$119,MATCH($B23,' Toto teams'!$A$4:$A$119,0))*1,0))</f>
        <v>4</v>
      </c>
      <c r="D23" s="28">
        <f>IF($B23="","",6*IFERROR(VLOOKUP(INDEX(' Toto teams'!$B$4:$B$119,MATCH($B23,' Toto teams'!$A$4:$A$119,0)),Scoring!$A$4:$N$51,7,FALSE()),0)+4*IFERROR(VLOOKUP(INDEX(' Toto teams'!$C$4:$C$119,MATCH($B23,' Toto teams'!$A$4:$A$119,0)),Scoring!$A$4:$N$51,7,FALSE()),0)+3*IFERROR(VLOOKUP(INDEX(' Toto teams'!$D$4:$D$119,MATCH($B23,' Toto teams'!$A$4:$A$119,0)),Scoring!$A$4:$N$51,7,FALSE()),0)+2*IFERROR(VLOOKUP(INDEX(' Toto teams'!$E$4:$E$119,MATCH($B23,' Toto teams'!$A$4:$A$119,0)),Scoring!$A$4:$N$51,7,FALSE()),0)+1*IFERROR(VLOOKUP(INDEX(' Toto teams'!$F$4:$F$119,MATCH($B23,' Toto teams'!$A$4:$A$119,0)),Scoring!$A$4:$N$51,7,FALSE()),0)+1*IFERROR(VLOOKUP(INDEX(' Toto teams'!$G$4:$G$119,MATCH($B23,' Toto teams'!$A$4:$A$119,0)),Scoring!$A$4:$N$51,7,FALSE()),0)+1*IFERROR(VLOOKUP(INDEX(' Toto teams'!$H$4:$H$119,MATCH($B23,' Toto teams'!$A$4:$A$119,0)),Scoring!$A$4:$N$51,7,FALSE()),0))</f>
        <v>0</v>
      </c>
      <c r="E23" s="28">
        <f>IF($B23="","",6*IFERROR(VLOOKUP(INDEX(' Toto teams'!$B$4:$B$119,MATCH($B23,' Toto teams'!$A$4:$A$119,0)),Scoring!$A$4:$N$51,8,FALSE()),0)+4*IFERROR(VLOOKUP(INDEX(' Toto teams'!$C$4:$C$119,MATCH($B23,' Toto teams'!$A$4:$A$119,0)),Scoring!$A$4:$N$51,8,FALSE()),0)+3*IFERROR(VLOOKUP(INDEX(' Toto teams'!$D$4:$D$119,MATCH($B23,' Toto teams'!$A$4:$A$119,0)),Scoring!$A$4:$N$51,8,FALSE()),0)+2*IFERROR(VLOOKUP(INDEX(' Toto teams'!$E$4:$E$119,MATCH($B23,' Toto teams'!$A$4:$A$119,0)),Scoring!$A$4:$N$51,8,FALSE()),0)+1*IFERROR(VLOOKUP(INDEX(' Toto teams'!$F$4:$F$119,MATCH($B23,' Toto teams'!$A$4:$A$119,0)),Scoring!$A$4:$N$51,8,FALSE()),0)+1*IFERROR(VLOOKUP(INDEX(' Toto teams'!$G$4:$G$119,MATCH($B23,' Toto teams'!$A$4:$A$119,0)),Scoring!$A$4:$N$51,8,FALSE()),0)+1*IFERROR(VLOOKUP(INDEX(' Toto teams'!$H$4:$H$119,MATCH($B23,' Toto teams'!$A$4:$A$119,0)),Scoring!$A$4:$N$51,8,FALSE()),0))</f>
        <v>0</v>
      </c>
      <c r="F23" s="28">
        <f>IF($B23="","",6*IFERROR(VLOOKUP(INDEX(' Toto teams'!$B$4:$B$119,MATCH($B23,' Toto teams'!$A$4:$A$119,0)),Scoring!$A$4:$N$51,9,FALSE()),0)+4*IFERROR(VLOOKUP(INDEX(' Toto teams'!$C$4:$C$119,MATCH($B23,' Toto teams'!$A$4:$A$119,0)),Scoring!$A$4:$N$51,9,FALSE()),0)+3*IFERROR(VLOOKUP(INDEX(' Toto teams'!$D$4:$D$119,MATCH($B23,' Toto teams'!$A$4:$A$119,0)),Scoring!$A$4:$N$51,9,FALSE()),0)+2*IFERROR(VLOOKUP(INDEX(' Toto teams'!$E$4:$E$119,MATCH($B23,' Toto teams'!$A$4:$A$119,0)),Scoring!$A$4:$N$51,9,FALSE()),0)+1*IFERROR(VLOOKUP(INDEX(' Toto teams'!$F$4:$F$119,MATCH($B23,' Toto teams'!$A$4:$A$119,0)),Scoring!$A$4:$N$51,9,FALSE()),0)+1*IFERROR(VLOOKUP(INDEX(' Toto teams'!$G$4:$G$119,MATCH($B23,' Toto teams'!$A$4:$A$119,0)),Scoring!$A$4:$N$51,9,FALSE()),0)+1*IFERROR(VLOOKUP(INDEX(' Toto teams'!$H$4:$H$119,MATCH($B23,' Toto teams'!$A$4:$A$119,0)),Scoring!$A$4:$N$51,9,FALSE()),0))</f>
        <v>0</v>
      </c>
      <c r="G23" s="28">
        <f>IF($B23="","",6*IFERROR(VLOOKUP(INDEX(' Toto teams'!$B$4:$B$119,MATCH($B23,' Toto teams'!$A$4:$A$119,0)),Scoring!$A$4:$N$51,10,FALSE()),0)+4*IFERROR(VLOOKUP(INDEX(' Toto teams'!$C$4:$C$119,MATCH($B23,' Toto teams'!$A$4:$A$119,0)),Scoring!$A$4:$N$51,10,FALSE()),0)+3*IFERROR(VLOOKUP(INDEX(' Toto teams'!$D$4:$D$119,MATCH($B23,' Toto teams'!$A$4:$A$119,0)),Scoring!$A$4:$N$51,10,FALSE()),0)+2*IFERROR(VLOOKUP(INDEX(' Toto teams'!$E$4:$E$119,MATCH($B23,' Toto teams'!$A$4:$A$119,0)),Scoring!$A$4:$N$51,10,FALSE()),0)+1*IFERROR(VLOOKUP(INDEX(' Toto teams'!$F$4:$F$119,MATCH($B23,' Toto teams'!$A$4:$A$119,0)),Scoring!$A$4:$N$51,10,FALSE()),0)+1*IFERROR(VLOOKUP(INDEX(' Toto teams'!$G$4:$G$119,MATCH($B23,' Toto teams'!$A$4:$A$119,0)),Scoring!$A$4:$N$51,10,FALSE()),0)+1*IFERROR(VLOOKUP(INDEX(' Toto teams'!$H$4:$H$119,MATCH($B23,' Toto teams'!$A$4:$A$119,0)),Scoring!$A$4:$N$51,10,FALSE()),0))</f>
        <v>0</v>
      </c>
      <c r="H23" s="28">
        <f>IF($B23="","",6*IFERROR(VLOOKUP(INDEX(' Toto teams'!$B$4:$B$119,MATCH($B23,' Toto teams'!$A$4:$A$119,0)),Scoring!$A$4:$N$51,11,FALSE()),0)+4*IFERROR(VLOOKUP(INDEX(' Toto teams'!$C$4:$C$119,MATCH($B23,' Toto teams'!$A$4:$A$119,0)),Scoring!$A$4:$N$51,11,FALSE()),0)+3*IFERROR(VLOOKUP(INDEX(' Toto teams'!$D$4:$D$119,MATCH($B23,' Toto teams'!$A$4:$A$119,0)),Scoring!$A$4:$N$51,11,FALSE()),0)+2*IFERROR(VLOOKUP(INDEX(' Toto teams'!$E$4:$E$119,MATCH($B23,' Toto teams'!$A$4:$A$119,0)),Scoring!$A$4:$N$51,11,FALSE()),0)+1*IFERROR(VLOOKUP(INDEX(' Toto teams'!$F$4:$F$119,MATCH($B23,' Toto teams'!$A$4:$A$119,0)),Scoring!$A$4:$N$51,11,FALSE()),0)+1*IFERROR(VLOOKUP(INDEX(' Toto teams'!$G$4:$G$119,MATCH($B23,' Toto teams'!$A$4:$A$119,0)),Scoring!$A$4:$N$51,11,FALSE()),0)+1*IFERROR(VLOOKUP(INDEX(' Toto teams'!$H$4:$H$119,MATCH($B23,' Toto teams'!$A$4:$A$119,0)),Scoring!$A$4:$N$51,11,FALSE()),0))</f>
        <v>0</v>
      </c>
      <c r="I23" s="28">
        <f>IF($B23="","",6*IFERROR(VLOOKUP(INDEX(' Toto teams'!$B$4:$B$119,MATCH($B23,' Toto teams'!$A$4:$A$119,0)),Scoring!$A$4:$O$51,15,FALSE()),0)+4*IFERROR(VLOOKUP(INDEX(' Toto teams'!$C$4:$C$119,MATCH($B23,' Toto teams'!$A$4:$A$119,0)),Scoring!$A$4:$O$51,15,FALSE()),0)+3*IFERROR(VLOOKUP(INDEX(' Toto teams'!$D$4:$D$119,MATCH($B23,' Toto teams'!$A$4:$A$119,0)),Scoring!$A$4:$O$51,15,FALSE()),0)+2*IFERROR(VLOOKUP(INDEX(' Toto teams'!$E$4:$E$119,MATCH($B23,' Toto teams'!$A$4:$A$119,0)),Scoring!$A$4:$O$51,15,FALSE()),0)+1*IFERROR(VLOOKUP(INDEX(' Toto teams'!$F$4:$F$119,MATCH($B23,' Toto teams'!$A$4:$A$119,0)),Scoring!$A$4:$O$51,15,FALSE()),0)+1*IFERROR(VLOOKUP(INDEX(' Toto teams'!$G$4:$G$119,MATCH($B23,' Toto teams'!$A$4:$A$119,0)),Scoring!$A$4:$O$51,15,FALSE()),0)+1*IFERROR(VLOOKUP(INDEX(' Toto teams'!$H$4:$H$119,MATCH($B23,' Toto teams'!$A$4:$A$119,0)),Scoring!$A$4:$O$51,15,FALSE()),0))</f>
        <v>0</v>
      </c>
      <c r="J23" s="28">
        <f>IF($B23="","",6*IFERROR(VLOOKUP(INDEX(' Toto teams'!$B$4:$B$119,MATCH($B23,' Toto teams'!$A$4:$A$119,0)),Scoring!$A$4:$N$51,12,FALSE()),0)+4*IFERROR(VLOOKUP(INDEX(' Toto teams'!$C$4:$C$119,MATCH($B23,' Toto teams'!$A$4:$A$119,0)),Scoring!$A$4:$N$51,12,FALSE()),0)+3*IFERROR(VLOOKUP(INDEX(' Toto teams'!$D$4:$D$119,MATCH($B23,' Toto teams'!$A$4:$A$119,0)),Scoring!$A$4:$N$51,12,FALSE()),0)+2*IFERROR(VLOOKUP(INDEX(' Toto teams'!$E$4:$E$119,MATCH($B23,' Toto teams'!$A$4:$A$119,0)),Scoring!$A$4:$N$51,12,FALSE()),0)+1*IFERROR(VLOOKUP(INDEX(' Toto teams'!$F$4:$F$119,MATCH($B23,' Toto teams'!$A$4:$A$119,0)),Scoring!$A$4:$N$51,12,FALSE()),0)+1*IFERROR(VLOOKUP(INDEX(' Toto teams'!$G$4:$G$119,MATCH($B23,' Toto teams'!$A$4:$A$119,0)),Scoring!$A$4:$N$51,12,FALSE()),0)+1*IFERROR(VLOOKUP(INDEX(' Toto teams'!$H$4:$H$119,MATCH($B23,' Toto teams'!$A$4:$A$119,0)),Scoring!$A$4:$N$51,12,FALSE()),0))</f>
        <v>0</v>
      </c>
      <c r="K23" s="29">
        <f>IF($B23="","",IFERROR(INDEX(' Toto teams'!$R$4:$R$119,MATCH($B23,' Toto teams'!$A$4:$A$119,0)),""))</f>
        <v>4</v>
      </c>
      <c r="L23" s="30">
        <f t="shared" si="0"/>
        <v>27.794117647058822</v>
      </c>
    </row>
    <row r="24" spans="1:12" ht="12.75" customHeight="1" x14ac:dyDescent="0.3">
      <c r="A24" s="26">
        <f>IF(21&gt;COUNTIF(' Toto teams'!$A$4:$A$119,"&lt;&gt;"),"",INDEX(' Toto teams'!$S$4:$S$119,MATCH(LARGE(' Toto teams'!$T$4:$T$119,21),' Toto teams'!$T$4:$T$119,0)))</f>
        <v>5</v>
      </c>
      <c r="B24" s="27" t="str">
        <f>IF(21&gt;COUNTIF(' Toto teams'!$A$4:$A$119,"&lt;&gt;"),"",INDEX(' Toto teams'!$A$4:$A$119,MATCH(LARGE(' Toto teams'!$T$4:$T$119,21),' Toto teams'!$T$4:$T$119,0)))</f>
        <v>Benas&amp;Šaras Oleknavičius</v>
      </c>
      <c r="C24" s="28">
        <f>IF($B24="","",6*(IFERROR(VLOOKUP(INDEX(' Toto teams'!$B$4:$B$119,MATCH($B24,' Toto teams'!$A$4:$A$119,0)),Scoring!$A$4:$N$51,3,FALSE()),0)+IFERROR(VLOOKUP(INDEX(' Toto teams'!$B$4:$B$119,MATCH($B24,' Toto teams'!$A$4:$A$119,0)),Scoring!$A$4:$N$51,4,FALSE()),0)+IFERROR(VLOOKUP(INDEX(' Toto teams'!$B$4:$B$119,MATCH($B24,' Toto teams'!$A$4:$A$119,0)),Scoring!$A$4:$N$51,5,FALSE()),0))+4*(IFERROR(VLOOKUP(INDEX(' Toto teams'!$C$4:$C$119,MATCH($B24,' Toto teams'!$A$4:$A$119,0)),Scoring!$A$4:$N$51,3,FALSE()),0)+IFERROR(VLOOKUP(INDEX(' Toto teams'!$C$4:$C$119,MATCH($B24,' Toto teams'!$A$4:$A$119,0)),Scoring!$A$4:$N$51,4,FALSE()),0)+IFERROR(VLOOKUP(INDEX(' Toto teams'!$C$4:$C$119,MATCH($B24,' Toto teams'!$A$4:$A$119,0)),Scoring!$A$4:$N$51,5,FALSE()),0))+3*(IFERROR(VLOOKUP(INDEX(' Toto teams'!$D$4:$D$119,MATCH($B24,' Toto teams'!$A$4:$A$119,0)),Scoring!$A$4:$N$51,3,FALSE()),0)+IFERROR(VLOOKUP(INDEX(' Toto teams'!$D$4:$D$119,MATCH($B24,' Toto teams'!$A$4:$A$119,0)),Scoring!$A$4:$N$51,4,FALSE()),0)+IFERROR(VLOOKUP(INDEX(' Toto teams'!$D$4:$D$119,MATCH($B24,' Toto teams'!$A$4:$A$119,0)),Scoring!$A$4:$N$51,5,FALSE()),0))+2*(IFERROR(VLOOKUP(INDEX(' Toto teams'!$E$4:$E$119,MATCH($B24,' Toto teams'!$A$4:$A$119,0)),Scoring!$A$4:$N$51,3,FALSE()),0)+IFERROR(VLOOKUP(INDEX(' Toto teams'!$E$4:$E$119,MATCH($B24,' Toto teams'!$A$4:$A$119,0)),Scoring!$A$4:$N$51,4,FALSE()),0)+IFERROR(VLOOKUP(INDEX(' Toto teams'!$E$4:$E$119,MATCH($B24,' Toto teams'!$A$4:$A$119,0)),Scoring!$A$4:$N$51,5,FALSE()),0))+1*(IFERROR(VLOOKUP(INDEX(' Toto teams'!$F$4:$F$119,MATCH($B24,' Toto teams'!$A$4:$A$119,0)),Scoring!$A$4:$N$51,3,FALSE()),0)+IFERROR(VLOOKUP(INDEX(' Toto teams'!$F$4:$F$119,MATCH($B24,' Toto teams'!$A$4:$A$119,0)),Scoring!$A$4:$N$51,4,FALSE()),0)+IFERROR(VLOOKUP(INDEX(' Toto teams'!$F$4:$F$119,MATCH($B24,' Toto teams'!$A$4:$A$119,0)),Scoring!$A$4:$N$51,5,FALSE()),0))+1*(IFERROR(VLOOKUP(INDEX(' Toto teams'!$G$4:$G$119,MATCH($B24,' Toto teams'!$A$4:$A$119,0)),Scoring!$A$4:$N$51,3,FALSE()),0)+IFERROR(VLOOKUP(INDEX(' Toto teams'!$G$4:$G$119,MATCH($B24,' Toto teams'!$A$4:$A$119,0)),Scoring!$A$4:$N$51,4,FALSE()),0)+IFERROR(VLOOKUP(INDEX(' Toto teams'!$G$4:$G$119,MATCH($B24,' Toto teams'!$A$4:$A$119,0)),Scoring!$A$4:$N$51,5,FALSE()),0))+1*(IFERROR(VLOOKUP(INDEX(' Toto teams'!$H$4:$H$119,MATCH($B24,' Toto teams'!$A$4:$A$119,0)),Scoring!$A$4:$N$51,3,FALSE()),0)+IFERROR(VLOOKUP(INDEX(' Toto teams'!$H$4:$H$119,MATCH($B24,' Toto teams'!$A$4:$A$119,0)),Scoring!$A$4:$N$51,4,FALSE()),0)+IFERROR(VLOOKUP(INDEX(' Toto teams'!$H$4:$H$119,MATCH($B24,' Toto teams'!$A$4:$A$119,0)),Scoring!$A$4:$N$51,5,FALSE()),0))+IFERROR(INDEX(' Toto teams'!$Q$4:$Q$119,MATCH($B24,' Toto teams'!$A$4:$A$119,0))*1,0))</f>
        <v>4</v>
      </c>
      <c r="D24" s="28">
        <f>IF($B24="","",6*IFERROR(VLOOKUP(INDEX(' Toto teams'!$B$4:$B$119,MATCH($B24,' Toto teams'!$A$4:$A$119,0)),Scoring!$A$4:$N$51,7,FALSE()),0)+4*IFERROR(VLOOKUP(INDEX(' Toto teams'!$C$4:$C$119,MATCH($B24,' Toto teams'!$A$4:$A$119,0)),Scoring!$A$4:$N$51,7,FALSE()),0)+3*IFERROR(VLOOKUP(INDEX(' Toto teams'!$D$4:$D$119,MATCH($B24,' Toto teams'!$A$4:$A$119,0)),Scoring!$A$4:$N$51,7,FALSE()),0)+2*IFERROR(VLOOKUP(INDEX(' Toto teams'!$E$4:$E$119,MATCH($B24,' Toto teams'!$A$4:$A$119,0)),Scoring!$A$4:$N$51,7,FALSE()),0)+1*IFERROR(VLOOKUP(INDEX(' Toto teams'!$F$4:$F$119,MATCH($B24,' Toto teams'!$A$4:$A$119,0)),Scoring!$A$4:$N$51,7,FALSE()),0)+1*IFERROR(VLOOKUP(INDEX(' Toto teams'!$G$4:$G$119,MATCH($B24,' Toto teams'!$A$4:$A$119,0)),Scoring!$A$4:$N$51,7,FALSE()),0)+1*IFERROR(VLOOKUP(INDEX(' Toto teams'!$H$4:$H$119,MATCH($B24,' Toto teams'!$A$4:$A$119,0)),Scoring!$A$4:$N$51,7,FALSE()),0))</f>
        <v>0</v>
      </c>
      <c r="E24" s="28">
        <f>IF($B24="","",6*IFERROR(VLOOKUP(INDEX(' Toto teams'!$B$4:$B$119,MATCH($B24,' Toto teams'!$A$4:$A$119,0)),Scoring!$A$4:$N$51,8,FALSE()),0)+4*IFERROR(VLOOKUP(INDEX(' Toto teams'!$C$4:$C$119,MATCH($B24,' Toto teams'!$A$4:$A$119,0)),Scoring!$A$4:$N$51,8,FALSE()),0)+3*IFERROR(VLOOKUP(INDEX(' Toto teams'!$D$4:$D$119,MATCH($B24,' Toto teams'!$A$4:$A$119,0)),Scoring!$A$4:$N$51,8,FALSE()),0)+2*IFERROR(VLOOKUP(INDEX(' Toto teams'!$E$4:$E$119,MATCH($B24,' Toto teams'!$A$4:$A$119,0)),Scoring!$A$4:$N$51,8,FALSE()),0)+1*IFERROR(VLOOKUP(INDEX(' Toto teams'!$F$4:$F$119,MATCH($B24,' Toto teams'!$A$4:$A$119,0)),Scoring!$A$4:$N$51,8,FALSE()),0)+1*IFERROR(VLOOKUP(INDEX(' Toto teams'!$G$4:$G$119,MATCH($B24,' Toto teams'!$A$4:$A$119,0)),Scoring!$A$4:$N$51,8,FALSE()),0)+1*IFERROR(VLOOKUP(INDEX(' Toto teams'!$H$4:$H$119,MATCH($B24,' Toto teams'!$A$4:$A$119,0)),Scoring!$A$4:$N$51,8,FALSE()),0))</f>
        <v>0</v>
      </c>
      <c r="F24" s="28">
        <f>IF($B24="","",6*IFERROR(VLOOKUP(INDEX(' Toto teams'!$B$4:$B$119,MATCH($B24,' Toto teams'!$A$4:$A$119,0)),Scoring!$A$4:$N$51,9,FALSE()),0)+4*IFERROR(VLOOKUP(INDEX(' Toto teams'!$C$4:$C$119,MATCH($B24,' Toto teams'!$A$4:$A$119,0)),Scoring!$A$4:$N$51,9,FALSE()),0)+3*IFERROR(VLOOKUP(INDEX(' Toto teams'!$D$4:$D$119,MATCH($B24,' Toto teams'!$A$4:$A$119,0)),Scoring!$A$4:$N$51,9,FALSE()),0)+2*IFERROR(VLOOKUP(INDEX(' Toto teams'!$E$4:$E$119,MATCH($B24,' Toto teams'!$A$4:$A$119,0)),Scoring!$A$4:$N$51,9,FALSE()),0)+1*IFERROR(VLOOKUP(INDEX(' Toto teams'!$F$4:$F$119,MATCH($B24,' Toto teams'!$A$4:$A$119,0)),Scoring!$A$4:$N$51,9,FALSE()),0)+1*IFERROR(VLOOKUP(INDEX(' Toto teams'!$G$4:$G$119,MATCH($B24,' Toto teams'!$A$4:$A$119,0)),Scoring!$A$4:$N$51,9,FALSE()),0)+1*IFERROR(VLOOKUP(INDEX(' Toto teams'!$H$4:$H$119,MATCH($B24,' Toto teams'!$A$4:$A$119,0)),Scoring!$A$4:$N$51,9,FALSE()),0))</f>
        <v>0</v>
      </c>
      <c r="G24" s="28">
        <f>IF($B24="","",6*IFERROR(VLOOKUP(INDEX(' Toto teams'!$B$4:$B$119,MATCH($B24,' Toto teams'!$A$4:$A$119,0)),Scoring!$A$4:$N$51,10,FALSE()),0)+4*IFERROR(VLOOKUP(INDEX(' Toto teams'!$C$4:$C$119,MATCH($B24,' Toto teams'!$A$4:$A$119,0)),Scoring!$A$4:$N$51,10,FALSE()),0)+3*IFERROR(VLOOKUP(INDEX(' Toto teams'!$D$4:$D$119,MATCH($B24,' Toto teams'!$A$4:$A$119,0)),Scoring!$A$4:$N$51,10,FALSE()),0)+2*IFERROR(VLOOKUP(INDEX(' Toto teams'!$E$4:$E$119,MATCH($B24,' Toto teams'!$A$4:$A$119,0)),Scoring!$A$4:$N$51,10,FALSE()),0)+1*IFERROR(VLOOKUP(INDEX(' Toto teams'!$F$4:$F$119,MATCH($B24,' Toto teams'!$A$4:$A$119,0)),Scoring!$A$4:$N$51,10,FALSE()),0)+1*IFERROR(VLOOKUP(INDEX(' Toto teams'!$G$4:$G$119,MATCH($B24,' Toto teams'!$A$4:$A$119,0)),Scoring!$A$4:$N$51,10,FALSE()),0)+1*IFERROR(VLOOKUP(INDEX(' Toto teams'!$H$4:$H$119,MATCH($B24,' Toto teams'!$A$4:$A$119,0)),Scoring!$A$4:$N$51,10,FALSE()),0))</f>
        <v>0</v>
      </c>
      <c r="H24" s="28">
        <f>IF($B24="","",6*IFERROR(VLOOKUP(INDEX(' Toto teams'!$B$4:$B$119,MATCH($B24,' Toto teams'!$A$4:$A$119,0)),Scoring!$A$4:$N$51,11,FALSE()),0)+4*IFERROR(VLOOKUP(INDEX(' Toto teams'!$C$4:$C$119,MATCH($B24,' Toto teams'!$A$4:$A$119,0)),Scoring!$A$4:$N$51,11,FALSE()),0)+3*IFERROR(VLOOKUP(INDEX(' Toto teams'!$D$4:$D$119,MATCH($B24,' Toto teams'!$A$4:$A$119,0)),Scoring!$A$4:$N$51,11,FALSE()),0)+2*IFERROR(VLOOKUP(INDEX(' Toto teams'!$E$4:$E$119,MATCH($B24,' Toto teams'!$A$4:$A$119,0)),Scoring!$A$4:$N$51,11,FALSE()),0)+1*IFERROR(VLOOKUP(INDEX(' Toto teams'!$F$4:$F$119,MATCH($B24,' Toto teams'!$A$4:$A$119,0)),Scoring!$A$4:$N$51,11,FALSE()),0)+1*IFERROR(VLOOKUP(INDEX(' Toto teams'!$G$4:$G$119,MATCH($B24,' Toto teams'!$A$4:$A$119,0)),Scoring!$A$4:$N$51,11,FALSE()),0)+1*IFERROR(VLOOKUP(INDEX(' Toto teams'!$H$4:$H$119,MATCH($B24,' Toto teams'!$A$4:$A$119,0)),Scoring!$A$4:$N$51,11,FALSE()),0))</f>
        <v>0</v>
      </c>
      <c r="I24" s="28">
        <f>IF($B24="","",6*IFERROR(VLOOKUP(INDEX(' Toto teams'!$B$4:$B$119,MATCH($B24,' Toto teams'!$A$4:$A$119,0)),Scoring!$A$4:$O$51,15,FALSE()),0)+4*IFERROR(VLOOKUP(INDEX(' Toto teams'!$C$4:$C$119,MATCH($B24,' Toto teams'!$A$4:$A$119,0)),Scoring!$A$4:$O$51,15,FALSE()),0)+3*IFERROR(VLOOKUP(INDEX(' Toto teams'!$D$4:$D$119,MATCH($B24,' Toto teams'!$A$4:$A$119,0)),Scoring!$A$4:$O$51,15,FALSE()),0)+2*IFERROR(VLOOKUP(INDEX(' Toto teams'!$E$4:$E$119,MATCH($B24,' Toto teams'!$A$4:$A$119,0)),Scoring!$A$4:$O$51,15,FALSE()),0)+1*IFERROR(VLOOKUP(INDEX(' Toto teams'!$F$4:$F$119,MATCH($B24,' Toto teams'!$A$4:$A$119,0)),Scoring!$A$4:$O$51,15,FALSE()),0)+1*IFERROR(VLOOKUP(INDEX(' Toto teams'!$G$4:$G$119,MATCH($B24,' Toto teams'!$A$4:$A$119,0)),Scoring!$A$4:$O$51,15,FALSE()),0)+1*IFERROR(VLOOKUP(INDEX(' Toto teams'!$H$4:$H$119,MATCH($B24,' Toto teams'!$A$4:$A$119,0)),Scoring!$A$4:$O$51,15,FALSE()),0))</f>
        <v>0</v>
      </c>
      <c r="J24" s="28">
        <f>IF($B24="","",6*IFERROR(VLOOKUP(INDEX(' Toto teams'!$B$4:$B$119,MATCH($B24,' Toto teams'!$A$4:$A$119,0)),Scoring!$A$4:$N$51,12,FALSE()),0)+4*IFERROR(VLOOKUP(INDEX(' Toto teams'!$C$4:$C$119,MATCH($B24,' Toto teams'!$A$4:$A$119,0)),Scoring!$A$4:$N$51,12,FALSE()),0)+3*IFERROR(VLOOKUP(INDEX(' Toto teams'!$D$4:$D$119,MATCH($B24,' Toto teams'!$A$4:$A$119,0)),Scoring!$A$4:$N$51,12,FALSE()),0)+2*IFERROR(VLOOKUP(INDEX(' Toto teams'!$E$4:$E$119,MATCH($B24,' Toto teams'!$A$4:$A$119,0)),Scoring!$A$4:$N$51,12,FALSE()),0)+1*IFERROR(VLOOKUP(INDEX(' Toto teams'!$F$4:$F$119,MATCH($B24,' Toto teams'!$A$4:$A$119,0)),Scoring!$A$4:$N$51,12,FALSE()),0)+1*IFERROR(VLOOKUP(INDEX(' Toto teams'!$G$4:$G$119,MATCH($B24,' Toto teams'!$A$4:$A$119,0)),Scoring!$A$4:$N$51,12,FALSE()),0)+1*IFERROR(VLOOKUP(INDEX(' Toto teams'!$H$4:$H$119,MATCH($B24,' Toto teams'!$A$4:$A$119,0)),Scoring!$A$4:$N$51,12,FALSE()),0))</f>
        <v>0</v>
      </c>
      <c r="K24" s="29">
        <f>IF($B24="","",IFERROR(INDEX(' Toto teams'!$R$4:$R$119,MATCH($B24,' Toto teams'!$A$4:$A$119,0)),""))</f>
        <v>4</v>
      </c>
      <c r="L24" s="30">
        <f t="shared" si="0"/>
        <v>27.794117647058822</v>
      </c>
    </row>
    <row r="25" spans="1:12" ht="12.75" customHeight="1" x14ac:dyDescent="0.3">
      <c r="A25" s="26">
        <f>IF(22&gt;COUNTIF(' Toto teams'!$A$4:$A$119,"&lt;&gt;"),"",INDEX(' Toto teams'!$S$4:$S$119,MATCH(LARGE(' Toto teams'!$T$4:$T$119,22),' Toto teams'!$T$4:$T$119,0)))</f>
        <v>22</v>
      </c>
      <c r="B25" s="27" t="str">
        <f>IF(22&gt;COUNTIF(' Toto teams'!$A$4:$A$119,"&lt;&gt;"),"",INDEX(' Toto teams'!$A$4:$A$119,MATCH(LARGE(' Toto teams'!$T$4:$T$119,22),' Toto teams'!$T$4:$T$119,0)))</f>
        <v>Karolis Marcinkevičius</v>
      </c>
      <c r="C25" s="28">
        <f>IF($B25="","",6*(IFERROR(VLOOKUP(INDEX(' Toto teams'!$B$4:$B$119,MATCH($B25,' Toto teams'!$A$4:$A$119,0)),Scoring!$A$4:$N$51,3,FALSE()),0)+IFERROR(VLOOKUP(INDEX(' Toto teams'!$B$4:$B$119,MATCH($B25,' Toto teams'!$A$4:$A$119,0)),Scoring!$A$4:$N$51,4,FALSE()),0)+IFERROR(VLOOKUP(INDEX(' Toto teams'!$B$4:$B$119,MATCH($B25,' Toto teams'!$A$4:$A$119,0)),Scoring!$A$4:$N$51,5,FALSE()),0))+4*(IFERROR(VLOOKUP(INDEX(' Toto teams'!$C$4:$C$119,MATCH($B25,' Toto teams'!$A$4:$A$119,0)),Scoring!$A$4:$N$51,3,FALSE()),0)+IFERROR(VLOOKUP(INDEX(' Toto teams'!$C$4:$C$119,MATCH($B25,' Toto teams'!$A$4:$A$119,0)),Scoring!$A$4:$N$51,4,FALSE()),0)+IFERROR(VLOOKUP(INDEX(' Toto teams'!$C$4:$C$119,MATCH($B25,' Toto teams'!$A$4:$A$119,0)),Scoring!$A$4:$N$51,5,FALSE()),0))+3*(IFERROR(VLOOKUP(INDEX(' Toto teams'!$D$4:$D$119,MATCH($B25,' Toto teams'!$A$4:$A$119,0)),Scoring!$A$4:$N$51,3,FALSE()),0)+IFERROR(VLOOKUP(INDEX(' Toto teams'!$D$4:$D$119,MATCH($B25,' Toto teams'!$A$4:$A$119,0)),Scoring!$A$4:$N$51,4,FALSE()),0)+IFERROR(VLOOKUP(INDEX(' Toto teams'!$D$4:$D$119,MATCH($B25,' Toto teams'!$A$4:$A$119,0)),Scoring!$A$4:$N$51,5,FALSE()),0))+2*(IFERROR(VLOOKUP(INDEX(' Toto teams'!$E$4:$E$119,MATCH($B25,' Toto teams'!$A$4:$A$119,0)),Scoring!$A$4:$N$51,3,FALSE()),0)+IFERROR(VLOOKUP(INDEX(' Toto teams'!$E$4:$E$119,MATCH($B25,' Toto teams'!$A$4:$A$119,0)),Scoring!$A$4:$N$51,4,FALSE()),0)+IFERROR(VLOOKUP(INDEX(' Toto teams'!$E$4:$E$119,MATCH($B25,' Toto teams'!$A$4:$A$119,0)),Scoring!$A$4:$N$51,5,FALSE()),0))+1*(IFERROR(VLOOKUP(INDEX(' Toto teams'!$F$4:$F$119,MATCH($B25,' Toto teams'!$A$4:$A$119,0)),Scoring!$A$4:$N$51,3,FALSE()),0)+IFERROR(VLOOKUP(INDEX(' Toto teams'!$F$4:$F$119,MATCH($B25,' Toto teams'!$A$4:$A$119,0)),Scoring!$A$4:$N$51,4,FALSE()),0)+IFERROR(VLOOKUP(INDEX(' Toto teams'!$F$4:$F$119,MATCH($B25,' Toto teams'!$A$4:$A$119,0)),Scoring!$A$4:$N$51,5,FALSE()),0))+1*(IFERROR(VLOOKUP(INDEX(' Toto teams'!$G$4:$G$119,MATCH($B25,' Toto teams'!$A$4:$A$119,0)),Scoring!$A$4:$N$51,3,FALSE()),0)+IFERROR(VLOOKUP(INDEX(' Toto teams'!$G$4:$G$119,MATCH($B25,' Toto teams'!$A$4:$A$119,0)),Scoring!$A$4:$N$51,4,FALSE()),0)+IFERROR(VLOOKUP(INDEX(' Toto teams'!$G$4:$G$119,MATCH($B25,' Toto teams'!$A$4:$A$119,0)),Scoring!$A$4:$N$51,5,FALSE()),0))+1*(IFERROR(VLOOKUP(INDEX(' Toto teams'!$H$4:$H$119,MATCH($B25,' Toto teams'!$A$4:$A$119,0)),Scoring!$A$4:$N$51,3,FALSE()),0)+IFERROR(VLOOKUP(INDEX(' Toto teams'!$H$4:$H$119,MATCH($B25,' Toto teams'!$A$4:$A$119,0)),Scoring!$A$4:$N$51,4,FALSE()),0)+IFERROR(VLOOKUP(INDEX(' Toto teams'!$H$4:$H$119,MATCH($B25,' Toto teams'!$A$4:$A$119,0)),Scoring!$A$4:$N$51,5,FALSE()),0))+IFERROR(INDEX(' Toto teams'!$Q$4:$Q$119,MATCH($B25,' Toto teams'!$A$4:$A$119,0))*1,0))</f>
        <v>3</v>
      </c>
      <c r="D25" s="28">
        <f>IF($B25="","",6*IFERROR(VLOOKUP(INDEX(' Toto teams'!$B$4:$B$119,MATCH($B25,' Toto teams'!$A$4:$A$119,0)),Scoring!$A$4:$N$51,7,FALSE()),0)+4*IFERROR(VLOOKUP(INDEX(' Toto teams'!$C$4:$C$119,MATCH($B25,' Toto teams'!$A$4:$A$119,0)),Scoring!$A$4:$N$51,7,FALSE()),0)+3*IFERROR(VLOOKUP(INDEX(' Toto teams'!$D$4:$D$119,MATCH($B25,' Toto teams'!$A$4:$A$119,0)),Scoring!$A$4:$N$51,7,FALSE()),0)+2*IFERROR(VLOOKUP(INDEX(' Toto teams'!$E$4:$E$119,MATCH($B25,' Toto teams'!$A$4:$A$119,0)),Scoring!$A$4:$N$51,7,FALSE()),0)+1*IFERROR(VLOOKUP(INDEX(' Toto teams'!$F$4:$F$119,MATCH($B25,' Toto teams'!$A$4:$A$119,0)),Scoring!$A$4:$N$51,7,FALSE()),0)+1*IFERROR(VLOOKUP(INDEX(' Toto teams'!$G$4:$G$119,MATCH($B25,' Toto teams'!$A$4:$A$119,0)),Scoring!$A$4:$N$51,7,FALSE()),0)+1*IFERROR(VLOOKUP(INDEX(' Toto teams'!$H$4:$H$119,MATCH($B25,' Toto teams'!$A$4:$A$119,0)),Scoring!$A$4:$N$51,7,FALSE()),0))</f>
        <v>0</v>
      </c>
      <c r="E25" s="28">
        <f>IF($B25="","",6*IFERROR(VLOOKUP(INDEX(' Toto teams'!$B$4:$B$119,MATCH($B25,' Toto teams'!$A$4:$A$119,0)),Scoring!$A$4:$N$51,8,FALSE()),0)+4*IFERROR(VLOOKUP(INDEX(' Toto teams'!$C$4:$C$119,MATCH($B25,' Toto teams'!$A$4:$A$119,0)),Scoring!$A$4:$N$51,8,FALSE()),0)+3*IFERROR(VLOOKUP(INDEX(' Toto teams'!$D$4:$D$119,MATCH($B25,' Toto teams'!$A$4:$A$119,0)),Scoring!$A$4:$N$51,8,FALSE()),0)+2*IFERROR(VLOOKUP(INDEX(' Toto teams'!$E$4:$E$119,MATCH($B25,' Toto teams'!$A$4:$A$119,0)),Scoring!$A$4:$N$51,8,FALSE()),0)+1*IFERROR(VLOOKUP(INDEX(' Toto teams'!$F$4:$F$119,MATCH($B25,' Toto teams'!$A$4:$A$119,0)),Scoring!$A$4:$N$51,8,FALSE()),0)+1*IFERROR(VLOOKUP(INDEX(' Toto teams'!$G$4:$G$119,MATCH($B25,' Toto teams'!$A$4:$A$119,0)),Scoring!$A$4:$N$51,8,FALSE()),0)+1*IFERROR(VLOOKUP(INDEX(' Toto teams'!$H$4:$H$119,MATCH($B25,' Toto teams'!$A$4:$A$119,0)),Scoring!$A$4:$N$51,8,FALSE()),0))</f>
        <v>0</v>
      </c>
      <c r="F25" s="28">
        <f>IF($B25="","",6*IFERROR(VLOOKUP(INDEX(' Toto teams'!$B$4:$B$119,MATCH($B25,' Toto teams'!$A$4:$A$119,0)),Scoring!$A$4:$N$51,9,FALSE()),0)+4*IFERROR(VLOOKUP(INDEX(' Toto teams'!$C$4:$C$119,MATCH($B25,' Toto teams'!$A$4:$A$119,0)),Scoring!$A$4:$N$51,9,FALSE()),0)+3*IFERROR(VLOOKUP(INDEX(' Toto teams'!$D$4:$D$119,MATCH($B25,' Toto teams'!$A$4:$A$119,0)),Scoring!$A$4:$N$51,9,FALSE()),0)+2*IFERROR(VLOOKUP(INDEX(' Toto teams'!$E$4:$E$119,MATCH($B25,' Toto teams'!$A$4:$A$119,0)),Scoring!$A$4:$N$51,9,FALSE()),0)+1*IFERROR(VLOOKUP(INDEX(' Toto teams'!$F$4:$F$119,MATCH($B25,' Toto teams'!$A$4:$A$119,0)),Scoring!$A$4:$N$51,9,FALSE()),0)+1*IFERROR(VLOOKUP(INDEX(' Toto teams'!$G$4:$G$119,MATCH($B25,' Toto teams'!$A$4:$A$119,0)),Scoring!$A$4:$N$51,9,FALSE()),0)+1*IFERROR(VLOOKUP(INDEX(' Toto teams'!$H$4:$H$119,MATCH($B25,' Toto teams'!$A$4:$A$119,0)),Scoring!$A$4:$N$51,9,FALSE()),0))</f>
        <v>0</v>
      </c>
      <c r="G25" s="28">
        <f>IF($B25="","",6*IFERROR(VLOOKUP(INDEX(' Toto teams'!$B$4:$B$119,MATCH($B25,' Toto teams'!$A$4:$A$119,0)),Scoring!$A$4:$N$51,10,FALSE()),0)+4*IFERROR(VLOOKUP(INDEX(' Toto teams'!$C$4:$C$119,MATCH($B25,' Toto teams'!$A$4:$A$119,0)),Scoring!$A$4:$N$51,10,FALSE()),0)+3*IFERROR(VLOOKUP(INDEX(' Toto teams'!$D$4:$D$119,MATCH($B25,' Toto teams'!$A$4:$A$119,0)),Scoring!$A$4:$N$51,10,FALSE()),0)+2*IFERROR(VLOOKUP(INDEX(' Toto teams'!$E$4:$E$119,MATCH($B25,' Toto teams'!$A$4:$A$119,0)),Scoring!$A$4:$N$51,10,FALSE()),0)+1*IFERROR(VLOOKUP(INDEX(' Toto teams'!$F$4:$F$119,MATCH($B25,' Toto teams'!$A$4:$A$119,0)),Scoring!$A$4:$N$51,10,FALSE()),0)+1*IFERROR(VLOOKUP(INDEX(' Toto teams'!$G$4:$G$119,MATCH($B25,' Toto teams'!$A$4:$A$119,0)),Scoring!$A$4:$N$51,10,FALSE()),0)+1*IFERROR(VLOOKUP(INDEX(' Toto teams'!$H$4:$H$119,MATCH($B25,' Toto teams'!$A$4:$A$119,0)),Scoring!$A$4:$N$51,10,FALSE()),0))</f>
        <v>0</v>
      </c>
      <c r="H25" s="28">
        <f>IF($B25="","",6*IFERROR(VLOOKUP(INDEX(' Toto teams'!$B$4:$B$119,MATCH($B25,' Toto teams'!$A$4:$A$119,0)),Scoring!$A$4:$N$51,11,FALSE()),0)+4*IFERROR(VLOOKUP(INDEX(' Toto teams'!$C$4:$C$119,MATCH($B25,' Toto teams'!$A$4:$A$119,0)),Scoring!$A$4:$N$51,11,FALSE()),0)+3*IFERROR(VLOOKUP(INDEX(' Toto teams'!$D$4:$D$119,MATCH($B25,' Toto teams'!$A$4:$A$119,0)),Scoring!$A$4:$N$51,11,FALSE()),0)+2*IFERROR(VLOOKUP(INDEX(' Toto teams'!$E$4:$E$119,MATCH($B25,' Toto teams'!$A$4:$A$119,0)),Scoring!$A$4:$N$51,11,FALSE()),0)+1*IFERROR(VLOOKUP(INDEX(' Toto teams'!$F$4:$F$119,MATCH($B25,' Toto teams'!$A$4:$A$119,0)),Scoring!$A$4:$N$51,11,FALSE()),0)+1*IFERROR(VLOOKUP(INDEX(' Toto teams'!$G$4:$G$119,MATCH($B25,' Toto teams'!$A$4:$A$119,0)),Scoring!$A$4:$N$51,11,FALSE()),0)+1*IFERROR(VLOOKUP(INDEX(' Toto teams'!$H$4:$H$119,MATCH($B25,' Toto teams'!$A$4:$A$119,0)),Scoring!$A$4:$N$51,11,FALSE()),0))</f>
        <v>0</v>
      </c>
      <c r="I25" s="28">
        <f>IF($B25="","",6*IFERROR(VLOOKUP(INDEX(' Toto teams'!$B$4:$B$119,MATCH($B25,' Toto teams'!$A$4:$A$119,0)),Scoring!$A$4:$O$51,15,FALSE()),0)+4*IFERROR(VLOOKUP(INDEX(' Toto teams'!$C$4:$C$119,MATCH($B25,' Toto teams'!$A$4:$A$119,0)),Scoring!$A$4:$O$51,15,FALSE()),0)+3*IFERROR(VLOOKUP(INDEX(' Toto teams'!$D$4:$D$119,MATCH($B25,' Toto teams'!$A$4:$A$119,0)),Scoring!$A$4:$O$51,15,FALSE()),0)+2*IFERROR(VLOOKUP(INDEX(' Toto teams'!$E$4:$E$119,MATCH($B25,' Toto teams'!$A$4:$A$119,0)),Scoring!$A$4:$O$51,15,FALSE()),0)+1*IFERROR(VLOOKUP(INDEX(' Toto teams'!$F$4:$F$119,MATCH($B25,' Toto teams'!$A$4:$A$119,0)),Scoring!$A$4:$O$51,15,FALSE()),0)+1*IFERROR(VLOOKUP(INDEX(' Toto teams'!$G$4:$G$119,MATCH($B25,' Toto teams'!$A$4:$A$119,0)),Scoring!$A$4:$O$51,15,FALSE()),0)+1*IFERROR(VLOOKUP(INDEX(' Toto teams'!$H$4:$H$119,MATCH($B25,' Toto teams'!$A$4:$A$119,0)),Scoring!$A$4:$O$51,15,FALSE()),0))</f>
        <v>0</v>
      </c>
      <c r="J25" s="28">
        <f>IF($B25="","",6*IFERROR(VLOOKUP(INDEX(' Toto teams'!$B$4:$B$119,MATCH($B25,' Toto teams'!$A$4:$A$119,0)),Scoring!$A$4:$N$51,12,FALSE()),0)+4*IFERROR(VLOOKUP(INDEX(' Toto teams'!$C$4:$C$119,MATCH($B25,' Toto teams'!$A$4:$A$119,0)),Scoring!$A$4:$N$51,12,FALSE()),0)+3*IFERROR(VLOOKUP(INDEX(' Toto teams'!$D$4:$D$119,MATCH($B25,' Toto teams'!$A$4:$A$119,0)),Scoring!$A$4:$N$51,12,FALSE()),0)+2*IFERROR(VLOOKUP(INDEX(' Toto teams'!$E$4:$E$119,MATCH($B25,' Toto teams'!$A$4:$A$119,0)),Scoring!$A$4:$N$51,12,FALSE()),0)+1*IFERROR(VLOOKUP(INDEX(' Toto teams'!$F$4:$F$119,MATCH($B25,' Toto teams'!$A$4:$A$119,0)),Scoring!$A$4:$N$51,12,FALSE()),0)+1*IFERROR(VLOOKUP(INDEX(' Toto teams'!$G$4:$G$119,MATCH($B25,' Toto teams'!$A$4:$A$119,0)),Scoring!$A$4:$N$51,12,FALSE()),0)+1*IFERROR(VLOOKUP(INDEX(' Toto teams'!$H$4:$H$119,MATCH($B25,' Toto teams'!$A$4:$A$119,0)),Scoring!$A$4:$N$51,12,FALSE()),0))</f>
        <v>0</v>
      </c>
      <c r="K25" s="29">
        <f>IF($B25="","",IFERROR(INDEX(' Toto teams'!$R$4:$R$119,MATCH($B25,' Toto teams'!$A$4:$A$119,0)),""))</f>
        <v>3</v>
      </c>
      <c r="L25" s="30">
        <f t="shared" si="0"/>
        <v>0</v>
      </c>
    </row>
    <row r="26" spans="1:12" ht="12.75" customHeight="1" x14ac:dyDescent="0.3">
      <c r="A26" s="26">
        <f>IF(23&gt;COUNTIF(' Toto teams'!$A$4:$A$119,"&lt;&gt;"),"",INDEX(' Toto teams'!$S$4:$S$119,MATCH(LARGE(' Toto teams'!$T$4:$T$119,23),' Toto teams'!$T$4:$T$119,0)))</f>
        <v>22</v>
      </c>
      <c r="B26" s="27" t="str">
        <f>IF(23&gt;COUNTIF(' Toto teams'!$A$4:$A$119,"&lt;&gt;"),"",INDEX(' Toto teams'!$A$4:$A$119,MATCH(LARGE(' Toto teams'!$T$4:$T$119,23),' Toto teams'!$T$4:$T$119,0)))</f>
        <v>Kamran Mikayilov</v>
      </c>
      <c r="C26" s="28">
        <f>IF($B26="","",6*(IFERROR(VLOOKUP(INDEX(' Toto teams'!$B$4:$B$119,MATCH($B26,' Toto teams'!$A$4:$A$119,0)),Scoring!$A$4:$N$51,3,FALSE()),0)+IFERROR(VLOOKUP(INDEX(' Toto teams'!$B$4:$B$119,MATCH($B26,' Toto teams'!$A$4:$A$119,0)),Scoring!$A$4:$N$51,4,FALSE()),0)+IFERROR(VLOOKUP(INDEX(' Toto teams'!$B$4:$B$119,MATCH($B26,' Toto teams'!$A$4:$A$119,0)),Scoring!$A$4:$N$51,5,FALSE()),0))+4*(IFERROR(VLOOKUP(INDEX(' Toto teams'!$C$4:$C$119,MATCH($B26,' Toto teams'!$A$4:$A$119,0)),Scoring!$A$4:$N$51,3,FALSE()),0)+IFERROR(VLOOKUP(INDEX(' Toto teams'!$C$4:$C$119,MATCH($B26,' Toto teams'!$A$4:$A$119,0)),Scoring!$A$4:$N$51,4,FALSE()),0)+IFERROR(VLOOKUP(INDEX(' Toto teams'!$C$4:$C$119,MATCH($B26,' Toto teams'!$A$4:$A$119,0)),Scoring!$A$4:$N$51,5,FALSE()),0))+3*(IFERROR(VLOOKUP(INDEX(' Toto teams'!$D$4:$D$119,MATCH($B26,' Toto teams'!$A$4:$A$119,0)),Scoring!$A$4:$N$51,3,FALSE()),0)+IFERROR(VLOOKUP(INDEX(' Toto teams'!$D$4:$D$119,MATCH($B26,' Toto teams'!$A$4:$A$119,0)),Scoring!$A$4:$N$51,4,FALSE()),0)+IFERROR(VLOOKUP(INDEX(' Toto teams'!$D$4:$D$119,MATCH($B26,' Toto teams'!$A$4:$A$119,0)),Scoring!$A$4:$N$51,5,FALSE()),0))+2*(IFERROR(VLOOKUP(INDEX(' Toto teams'!$E$4:$E$119,MATCH($B26,' Toto teams'!$A$4:$A$119,0)),Scoring!$A$4:$N$51,3,FALSE()),0)+IFERROR(VLOOKUP(INDEX(' Toto teams'!$E$4:$E$119,MATCH($B26,' Toto teams'!$A$4:$A$119,0)),Scoring!$A$4:$N$51,4,FALSE()),0)+IFERROR(VLOOKUP(INDEX(' Toto teams'!$E$4:$E$119,MATCH($B26,' Toto teams'!$A$4:$A$119,0)),Scoring!$A$4:$N$51,5,FALSE()),0))+1*(IFERROR(VLOOKUP(INDEX(' Toto teams'!$F$4:$F$119,MATCH($B26,' Toto teams'!$A$4:$A$119,0)),Scoring!$A$4:$N$51,3,FALSE()),0)+IFERROR(VLOOKUP(INDEX(' Toto teams'!$F$4:$F$119,MATCH($B26,' Toto teams'!$A$4:$A$119,0)),Scoring!$A$4:$N$51,4,FALSE()),0)+IFERROR(VLOOKUP(INDEX(' Toto teams'!$F$4:$F$119,MATCH($B26,' Toto teams'!$A$4:$A$119,0)),Scoring!$A$4:$N$51,5,FALSE()),0))+1*(IFERROR(VLOOKUP(INDEX(' Toto teams'!$G$4:$G$119,MATCH($B26,' Toto teams'!$A$4:$A$119,0)),Scoring!$A$4:$N$51,3,FALSE()),0)+IFERROR(VLOOKUP(INDEX(' Toto teams'!$G$4:$G$119,MATCH($B26,' Toto teams'!$A$4:$A$119,0)),Scoring!$A$4:$N$51,4,FALSE()),0)+IFERROR(VLOOKUP(INDEX(' Toto teams'!$G$4:$G$119,MATCH($B26,' Toto teams'!$A$4:$A$119,0)),Scoring!$A$4:$N$51,5,FALSE()),0))+1*(IFERROR(VLOOKUP(INDEX(' Toto teams'!$H$4:$H$119,MATCH($B26,' Toto teams'!$A$4:$A$119,0)),Scoring!$A$4:$N$51,3,FALSE()),0)+IFERROR(VLOOKUP(INDEX(' Toto teams'!$H$4:$H$119,MATCH($B26,' Toto teams'!$A$4:$A$119,0)),Scoring!$A$4:$N$51,4,FALSE()),0)+IFERROR(VLOOKUP(INDEX(' Toto teams'!$H$4:$H$119,MATCH($B26,' Toto teams'!$A$4:$A$119,0)),Scoring!$A$4:$N$51,5,FALSE()),0))+IFERROR(INDEX(' Toto teams'!$Q$4:$Q$119,MATCH($B26,' Toto teams'!$A$4:$A$119,0))*1,0))</f>
        <v>3</v>
      </c>
      <c r="D26" s="28">
        <f>IF($B26="","",6*IFERROR(VLOOKUP(INDEX(' Toto teams'!$B$4:$B$119,MATCH($B26,' Toto teams'!$A$4:$A$119,0)),Scoring!$A$4:$N$51,7,FALSE()),0)+4*IFERROR(VLOOKUP(INDEX(' Toto teams'!$C$4:$C$119,MATCH($B26,' Toto teams'!$A$4:$A$119,0)),Scoring!$A$4:$N$51,7,FALSE()),0)+3*IFERROR(VLOOKUP(INDEX(' Toto teams'!$D$4:$D$119,MATCH($B26,' Toto teams'!$A$4:$A$119,0)),Scoring!$A$4:$N$51,7,FALSE()),0)+2*IFERROR(VLOOKUP(INDEX(' Toto teams'!$E$4:$E$119,MATCH($B26,' Toto teams'!$A$4:$A$119,0)),Scoring!$A$4:$N$51,7,FALSE()),0)+1*IFERROR(VLOOKUP(INDEX(' Toto teams'!$F$4:$F$119,MATCH($B26,' Toto teams'!$A$4:$A$119,0)),Scoring!$A$4:$N$51,7,FALSE()),0)+1*IFERROR(VLOOKUP(INDEX(' Toto teams'!$G$4:$G$119,MATCH($B26,' Toto teams'!$A$4:$A$119,0)),Scoring!$A$4:$N$51,7,FALSE()),0)+1*IFERROR(VLOOKUP(INDEX(' Toto teams'!$H$4:$H$119,MATCH($B26,' Toto teams'!$A$4:$A$119,0)),Scoring!$A$4:$N$51,7,FALSE()),0))</f>
        <v>0</v>
      </c>
      <c r="E26" s="28">
        <f>IF($B26="","",6*IFERROR(VLOOKUP(INDEX(' Toto teams'!$B$4:$B$119,MATCH($B26,' Toto teams'!$A$4:$A$119,0)),Scoring!$A$4:$N$51,8,FALSE()),0)+4*IFERROR(VLOOKUP(INDEX(' Toto teams'!$C$4:$C$119,MATCH($B26,' Toto teams'!$A$4:$A$119,0)),Scoring!$A$4:$N$51,8,FALSE()),0)+3*IFERROR(VLOOKUP(INDEX(' Toto teams'!$D$4:$D$119,MATCH($B26,' Toto teams'!$A$4:$A$119,0)),Scoring!$A$4:$N$51,8,FALSE()),0)+2*IFERROR(VLOOKUP(INDEX(' Toto teams'!$E$4:$E$119,MATCH($B26,' Toto teams'!$A$4:$A$119,0)),Scoring!$A$4:$N$51,8,FALSE()),0)+1*IFERROR(VLOOKUP(INDEX(' Toto teams'!$F$4:$F$119,MATCH($B26,' Toto teams'!$A$4:$A$119,0)),Scoring!$A$4:$N$51,8,FALSE()),0)+1*IFERROR(VLOOKUP(INDEX(' Toto teams'!$G$4:$G$119,MATCH($B26,' Toto teams'!$A$4:$A$119,0)),Scoring!$A$4:$N$51,8,FALSE()),0)+1*IFERROR(VLOOKUP(INDEX(' Toto teams'!$H$4:$H$119,MATCH($B26,' Toto teams'!$A$4:$A$119,0)),Scoring!$A$4:$N$51,8,FALSE()),0))</f>
        <v>0</v>
      </c>
      <c r="F26" s="28">
        <f>IF($B26="","",6*IFERROR(VLOOKUP(INDEX(' Toto teams'!$B$4:$B$119,MATCH($B26,' Toto teams'!$A$4:$A$119,0)),Scoring!$A$4:$N$51,9,FALSE()),0)+4*IFERROR(VLOOKUP(INDEX(' Toto teams'!$C$4:$C$119,MATCH($B26,' Toto teams'!$A$4:$A$119,0)),Scoring!$A$4:$N$51,9,FALSE()),0)+3*IFERROR(VLOOKUP(INDEX(' Toto teams'!$D$4:$D$119,MATCH($B26,' Toto teams'!$A$4:$A$119,0)),Scoring!$A$4:$N$51,9,FALSE()),0)+2*IFERROR(VLOOKUP(INDEX(' Toto teams'!$E$4:$E$119,MATCH($B26,' Toto teams'!$A$4:$A$119,0)),Scoring!$A$4:$N$51,9,FALSE()),0)+1*IFERROR(VLOOKUP(INDEX(' Toto teams'!$F$4:$F$119,MATCH($B26,' Toto teams'!$A$4:$A$119,0)),Scoring!$A$4:$N$51,9,FALSE()),0)+1*IFERROR(VLOOKUP(INDEX(' Toto teams'!$G$4:$G$119,MATCH($B26,' Toto teams'!$A$4:$A$119,0)),Scoring!$A$4:$N$51,9,FALSE()),0)+1*IFERROR(VLOOKUP(INDEX(' Toto teams'!$H$4:$H$119,MATCH($B26,' Toto teams'!$A$4:$A$119,0)),Scoring!$A$4:$N$51,9,FALSE()),0))</f>
        <v>0</v>
      </c>
      <c r="G26" s="28">
        <f>IF($B26="","",6*IFERROR(VLOOKUP(INDEX(' Toto teams'!$B$4:$B$119,MATCH($B26,' Toto teams'!$A$4:$A$119,0)),Scoring!$A$4:$N$51,10,FALSE()),0)+4*IFERROR(VLOOKUP(INDEX(' Toto teams'!$C$4:$C$119,MATCH($B26,' Toto teams'!$A$4:$A$119,0)),Scoring!$A$4:$N$51,10,FALSE()),0)+3*IFERROR(VLOOKUP(INDEX(' Toto teams'!$D$4:$D$119,MATCH($B26,' Toto teams'!$A$4:$A$119,0)),Scoring!$A$4:$N$51,10,FALSE()),0)+2*IFERROR(VLOOKUP(INDEX(' Toto teams'!$E$4:$E$119,MATCH($B26,' Toto teams'!$A$4:$A$119,0)),Scoring!$A$4:$N$51,10,FALSE()),0)+1*IFERROR(VLOOKUP(INDEX(' Toto teams'!$F$4:$F$119,MATCH($B26,' Toto teams'!$A$4:$A$119,0)),Scoring!$A$4:$N$51,10,FALSE()),0)+1*IFERROR(VLOOKUP(INDEX(' Toto teams'!$G$4:$G$119,MATCH($B26,' Toto teams'!$A$4:$A$119,0)),Scoring!$A$4:$N$51,10,FALSE()),0)+1*IFERROR(VLOOKUP(INDEX(' Toto teams'!$H$4:$H$119,MATCH($B26,' Toto teams'!$A$4:$A$119,0)),Scoring!$A$4:$N$51,10,FALSE()),0))</f>
        <v>0</v>
      </c>
      <c r="H26" s="28">
        <f>IF($B26="","",6*IFERROR(VLOOKUP(INDEX(' Toto teams'!$B$4:$B$119,MATCH($B26,' Toto teams'!$A$4:$A$119,0)),Scoring!$A$4:$N$51,11,FALSE()),0)+4*IFERROR(VLOOKUP(INDEX(' Toto teams'!$C$4:$C$119,MATCH($B26,' Toto teams'!$A$4:$A$119,0)),Scoring!$A$4:$N$51,11,FALSE()),0)+3*IFERROR(VLOOKUP(INDEX(' Toto teams'!$D$4:$D$119,MATCH($B26,' Toto teams'!$A$4:$A$119,0)),Scoring!$A$4:$N$51,11,FALSE()),0)+2*IFERROR(VLOOKUP(INDEX(' Toto teams'!$E$4:$E$119,MATCH($B26,' Toto teams'!$A$4:$A$119,0)),Scoring!$A$4:$N$51,11,FALSE()),0)+1*IFERROR(VLOOKUP(INDEX(' Toto teams'!$F$4:$F$119,MATCH($B26,' Toto teams'!$A$4:$A$119,0)),Scoring!$A$4:$N$51,11,FALSE()),0)+1*IFERROR(VLOOKUP(INDEX(' Toto teams'!$G$4:$G$119,MATCH($B26,' Toto teams'!$A$4:$A$119,0)),Scoring!$A$4:$N$51,11,FALSE()),0)+1*IFERROR(VLOOKUP(INDEX(' Toto teams'!$H$4:$H$119,MATCH($B26,' Toto teams'!$A$4:$A$119,0)),Scoring!$A$4:$N$51,11,FALSE()),0))</f>
        <v>0</v>
      </c>
      <c r="I26" s="28">
        <f>IF($B26="","",6*IFERROR(VLOOKUP(INDEX(' Toto teams'!$B$4:$B$119,MATCH($B26,' Toto teams'!$A$4:$A$119,0)),Scoring!$A$4:$O$51,15,FALSE()),0)+4*IFERROR(VLOOKUP(INDEX(' Toto teams'!$C$4:$C$119,MATCH($B26,' Toto teams'!$A$4:$A$119,0)),Scoring!$A$4:$O$51,15,FALSE()),0)+3*IFERROR(VLOOKUP(INDEX(' Toto teams'!$D$4:$D$119,MATCH($B26,' Toto teams'!$A$4:$A$119,0)),Scoring!$A$4:$O$51,15,FALSE()),0)+2*IFERROR(VLOOKUP(INDEX(' Toto teams'!$E$4:$E$119,MATCH($B26,' Toto teams'!$A$4:$A$119,0)),Scoring!$A$4:$O$51,15,FALSE()),0)+1*IFERROR(VLOOKUP(INDEX(' Toto teams'!$F$4:$F$119,MATCH($B26,' Toto teams'!$A$4:$A$119,0)),Scoring!$A$4:$O$51,15,FALSE()),0)+1*IFERROR(VLOOKUP(INDEX(' Toto teams'!$G$4:$G$119,MATCH($B26,' Toto teams'!$A$4:$A$119,0)),Scoring!$A$4:$O$51,15,FALSE()),0)+1*IFERROR(VLOOKUP(INDEX(' Toto teams'!$H$4:$H$119,MATCH($B26,' Toto teams'!$A$4:$A$119,0)),Scoring!$A$4:$O$51,15,FALSE()),0))</f>
        <v>0</v>
      </c>
      <c r="J26" s="28">
        <f>IF($B26="","",6*IFERROR(VLOOKUP(INDEX(' Toto teams'!$B$4:$B$119,MATCH($B26,' Toto teams'!$A$4:$A$119,0)),Scoring!$A$4:$N$51,12,FALSE()),0)+4*IFERROR(VLOOKUP(INDEX(' Toto teams'!$C$4:$C$119,MATCH($B26,' Toto teams'!$A$4:$A$119,0)),Scoring!$A$4:$N$51,12,FALSE()),0)+3*IFERROR(VLOOKUP(INDEX(' Toto teams'!$D$4:$D$119,MATCH($B26,' Toto teams'!$A$4:$A$119,0)),Scoring!$A$4:$N$51,12,FALSE()),0)+2*IFERROR(VLOOKUP(INDEX(' Toto teams'!$E$4:$E$119,MATCH($B26,' Toto teams'!$A$4:$A$119,0)),Scoring!$A$4:$N$51,12,FALSE()),0)+1*IFERROR(VLOOKUP(INDEX(' Toto teams'!$F$4:$F$119,MATCH($B26,' Toto teams'!$A$4:$A$119,0)),Scoring!$A$4:$N$51,12,FALSE()),0)+1*IFERROR(VLOOKUP(INDEX(' Toto teams'!$G$4:$G$119,MATCH($B26,' Toto teams'!$A$4:$A$119,0)),Scoring!$A$4:$N$51,12,FALSE()),0)+1*IFERROR(VLOOKUP(INDEX(' Toto teams'!$H$4:$H$119,MATCH($B26,' Toto teams'!$A$4:$A$119,0)),Scoring!$A$4:$N$51,12,FALSE()),0))</f>
        <v>0</v>
      </c>
      <c r="K26" s="29">
        <f>IF($B26="","",IFERROR(INDEX(' Toto teams'!$R$4:$R$119,MATCH($B26,' Toto teams'!$A$4:$A$119,0)),""))</f>
        <v>3</v>
      </c>
      <c r="L26" s="30">
        <f t="shared" si="0"/>
        <v>0</v>
      </c>
    </row>
    <row r="27" spans="1:12" ht="12.75" customHeight="1" x14ac:dyDescent="0.3">
      <c r="A27" s="26">
        <f>IF(24&gt;COUNTIF(' Toto teams'!$A$4:$A$119,"&lt;&gt;"),"",INDEX(' Toto teams'!$S$4:$S$119,MATCH(LARGE(' Toto teams'!$T$4:$T$119,24),' Toto teams'!$T$4:$T$119,0)))</f>
        <v>22</v>
      </c>
      <c r="B27" s="27" t="str">
        <f>IF(24&gt;COUNTIF(' Toto teams'!$A$4:$A$119,"&lt;&gt;"),"",INDEX(' Toto teams'!$A$4:$A$119,MATCH(LARGE(' Toto teams'!$T$4:$T$119,24),' Toto teams'!$T$4:$T$119,0)))</f>
        <v>Saulius Pipiras</v>
      </c>
      <c r="C27" s="28">
        <f>IF($B27="","",6*(IFERROR(VLOOKUP(INDEX(' Toto teams'!$B$4:$B$119,MATCH($B27,' Toto teams'!$A$4:$A$119,0)),Scoring!$A$4:$N$51,3,FALSE()),0)+IFERROR(VLOOKUP(INDEX(' Toto teams'!$B$4:$B$119,MATCH($B27,' Toto teams'!$A$4:$A$119,0)),Scoring!$A$4:$N$51,4,FALSE()),0)+IFERROR(VLOOKUP(INDEX(' Toto teams'!$B$4:$B$119,MATCH($B27,' Toto teams'!$A$4:$A$119,0)),Scoring!$A$4:$N$51,5,FALSE()),0))+4*(IFERROR(VLOOKUP(INDEX(' Toto teams'!$C$4:$C$119,MATCH($B27,' Toto teams'!$A$4:$A$119,0)),Scoring!$A$4:$N$51,3,FALSE()),0)+IFERROR(VLOOKUP(INDEX(' Toto teams'!$C$4:$C$119,MATCH($B27,' Toto teams'!$A$4:$A$119,0)),Scoring!$A$4:$N$51,4,FALSE()),0)+IFERROR(VLOOKUP(INDEX(' Toto teams'!$C$4:$C$119,MATCH($B27,' Toto teams'!$A$4:$A$119,0)),Scoring!$A$4:$N$51,5,FALSE()),0))+3*(IFERROR(VLOOKUP(INDEX(' Toto teams'!$D$4:$D$119,MATCH($B27,' Toto teams'!$A$4:$A$119,0)),Scoring!$A$4:$N$51,3,FALSE()),0)+IFERROR(VLOOKUP(INDEX(' Toto teams'!$D$4:$D$119,MATCH($B27,' Toto teams'!$A$4:$A$119,0)),Scoring!$A$4:$N$51,4,FALSE()),0)+IFERROR(VLOOKUP(INDEX(' Toto teams'!$D$4:$D$119,MATCH($B27,' Toto teams'!$A$4:$A$119,0)),Scoring!$A$4:$N$51,5,FALSE()),0))+2*(IFERROR(VLOOKUP(INDEX(' Toto teams'!$E$4:$E$119,MATCH($B27,' Toto teams'!$A$4:$A$119,0)),Scoring!$A$4:$N$51,3,FALSE()),0)+IFERROR(VLOOKUP(INDEX(' Toto teams'!$E$4:$E$119,MATCH($B27,' Toto teams'!$A$4:$A$119,0)),Scoring!$A$4:$N$51,4,FALSE()),0)+IFERROR(VLOOKUP(INDEX(' Toto teams'!$E$4:$E$119,MATCH($B27,' Toto teams'!$A$4:$A$119,0)),Scoring!$A$4:$N$51,5,FALSE()),0))+1*(IFERROR(VLOOKUP(INDEX(' Toto teams'!$F$4:$F$119,MATCH($B27,' Toto teams'!$A$4:$A$119,0)),Scoring!$A$4:$N$51,3,FALSE()),0)+IFERROR(VLOOKUP(INDEX(' Toto teams'!$F$4:$F$119,MATCH($B27,' Toto teams'!$A$4:$A$119,0)),Scoring!$A$4:$N$51,4,FALSE()),0)+IFERROR(VLOOKUP(INDEX(' Toto teams'!$F$4:$F$119,MATCH($B27,' Toto teams'!$A$4:$A$119,0)),Scoring!$A$4:$N$51,5,FALSE()),0))+1*(IFERROR(VLOOKUP(INDEX(' Toto teams'!$G$4:$G$119,MATCH($B27,' Toto teams'!$A$4:$A$119,0)),Scoring!$A$4:$N$51,3,FALSE()),0)+IFERROR(VLOOKUP(INDEX(' Toto teams'!$G$4:$G$119,MATCH($B27,' Toto teams'!$A$4:$A$119,0)),Scoring!$A$4:$N$51,4,FALSE()),0)+IFERROR(VLOOKUP(INDEX(' Toto teams'!$G$4:$G$119,MATCH($B27,' Toto teams'!$A$4:$A$119,0)),Scoring!$A$4:$N$51,5,FALSE()),0))+1*(IFERROR(VLOOKUP(INDEX(' Toto teams'!$H$4:$H$119,MATCH($B27,' Toto teams'!$A$4:$A$119,0)),Scoring!$A$4:$N$51,3,FALSE()),0)+IFERROR(VLOOKUP(INDEX(' Toto teams'!$H$4:$H$119,MATCH($B27,' Toto teams'!$A$4:$A$119,0)),Scoring!$A$4:$N$51,4,FALSE()),0)+IFERROR(VLOOKUP(INDEX(' Toto teams'!$H$4:$H$119,MATCH($B27,' Toto teams'!$A$4:$A$119,0)),Scoring!$A$4:$N$51,5,FALSE()),0))+IFERROR(INDEX(' Toto teams'!$Q$4:$Q$119,MATCH($B27,' Toto teams'!$A$4:$A$119,0))*1,0))</f>
        <v>3</v>
      </c>
      <c r="D27" s="28">
        <f>IF($B27="","",6*IFERROR(VLOOKUP(INDEX(' Toto teams'!$B$4:$B$119,MATCH($B27,' Toto teams'!$A$4:$A$119,0)),Scoring!$A$4:$N$51,7,FALSE()),0)+4*IFERROR(VLOOKUP(INDEX(' Toto teams'!$C$4:$C$119,MATCH($B27,' Toto teams'!$A$4:$A$119,0)),Scoring!$A$4:$N$51,7,FALSE()),0)+3*IFERROR(VLOOKUP(INDEX(' Toto teams'!$D$4:$D$119,MATCH($B27,' Toto teams'!$A$4:$A$119,0)),Scoring!$A$4:$N$51,7,FALSE()),0)+2*IFERROR(VLOOKUP(INDEX(' Toto teams'!$E$4:$E$119,MATCH($B27,' Toto teams'!$A$4:$A$119,0)),Scoring!$A$4:$N$51,7,FALSE()),0)+1*IFERROR(VLOOKUP(INDEX(' Toto teams'!$F$4:$F$119,MATCH($B27,' Toto teams'!$A$4:$A$119,0)),Scoring!$A$4:$N$51,7,FALSE()),0)+1*IFERROR(VLOOKUP(INDEX(' Toto teams'!$G$4:$G$119,MATCH($B27,' Toto teams'!$A$4:$A$119,0)),Scoring!$A$4:$N$51,7,FALSE()),0)+1*IFERROR(VLOOKUP(INDEX(' Toto teams'!$H$4:$H$119,MATCH($B27,' Toto teams'!$A$4:$A$119,0)),Scoring!$A$4:$N$51,7,FALSE()),0))</f>
        <v>0</v>
      </c>
      <c r="E27" s="28">
        <f>IF($B27="","",6*IFERROR(VLOOKUP(INDEX(' Toto teams'!$B$4:$B$119,MATCH($B27,' Toto teams'!$A$4:$A$119,0)),Scoring!$A$4:$N$51,8,FALSE()),0)+4*IFERROR(VLOOKUP(INDEX(' Toto teams'!$C$4:$C$119,MATCH($B27,' Toto teams'!$A$4:$A$119,0)),Scoring!$A$4:$N$51,8,FALSE()),0)+3*IFERROR(VLOOKUP(INDEX(' Toto teams'!$D$4:$D$119,MATCH($B27,' Toto teams'!$A$4:$A$119,0)),Scoring!$A$4:$N$51,8,FALSE()),0)+2*IFERROR(VLOOKUP(INDEX(' Toto teams'!$E$4:$E$119,MATCH($B27,' Toto teams'!$A$4:$A$119,0)),Scoring!$A$4:$N$51,8,FALSE()),0)+1*IFERROR(VLOOKUP(INDEX(' Toto teams'!$F$4:$F$119,MATCH($B27,' Toto teams'!$A$4:$A$119,0)),Scoring!$A$4:$N$51,8,FALSE()),0)+1*IFERROR(VLOOKUP(INDEX(' Toto teams'!$G$4:$G$119,MATCH($B27,' Toto teams'!$A$4:$A$119,0)),Scoring!$A$4:$N$51,8,FALSE()),0)+1*IFERROR(VLOOKUP(INDEX(' Toto teams'!$H$4:$H$119,MATCH($B27,' Toto teams'!$A$4:$A$119,0)),Scoring!$A$4:$N$51,8,FALSE()),0))</f>
        <v>0</v>
      </c>
      <c r="F27" s="28">
        <f>IF($B27="","",6*IFERROR(VLOOKUP(INDEX(' Toto teams'!$B$4:$B$119,MATCH($B27,' Toto teams'!$A$4:$A$119,0)),Scoring!$A$4:$N$51,9,FALSE()),0)+4*IFERROR(VLOOKUP(INDEX(' Toto teams'!$C$4:$C$119,MATCH($B27,' Toto teams'!$A$4:$A$119,0)),Scoring!$A$4:$N$51,9,FALSE()),0)+3*IFERROR(VLOOKUP(INDEX(' Toto teams'!$D$4:$D$119,MATCH($B27,' Toto teams'!$A$4:$A$119,0)),Scoring!$A$4:$N$51,9,FALSE()),0)+2*IFERROR(VLOOKUP(INDEX(' Toto teams'!$E$4:$E$119,MATCH($B27,' Toto teams'!$A$4:$A$119,0)),Scoring!$A$4:$N$51,9,FALSE()),0)+1*IFERROR(VLOOKUP(INDEX(' Toto teams'!$F$4:$F$119,MATCH($B27,' Toto teams'!$A$4:$A$119,0)),Scoring!$A$4:$N$51,9,FALSE()),0)+1*IFERROR(VLOOKUP(INDEX(' Toto teams'!$G$4:$G$119,MATCH($B27,' Toto teams'!$A$4:$A$119,0)),Scoring!$A$4:$N$51,9,FALSE()),0)+1*IFERROR(VLOOKUP(INDEX(' Toto teams'!$H$4:$H$119,MATCH($B27,' Toto teams'!$A$4:$A$119,0)),Scoring!$A$4:$N$51,9,FALSE()),0))</f>
        <v>0</v>
      </c>
      <c r="G27" s="28">
        <f>IF($B27="","",6*IFERROR(VLOOKUP(INDEX(' Toto teams'!$B$4:$B$119,MATCH($B27,' Toto teams'!$A$4:$A$119,0)),Scoring!$A$4:$N$51,10,FALSE()),0)+4*IFERROR(VLOOKUP(INDEX(' Toto teams'!$C$4:$C$119,MATCH($B27,' Toto teams'!$A$4:$A$119,0)),Scoring!$A$4:$N$51,10,FALSE()),0)+3*IFERROR(VLOOKUP(INDEX(' Toto teams'!$D$4:$D$119,MATCH($B27,' Toto teams'!$A$4:$A$119,0)),Scoring!$A$4:$N$51,10,FALSE()),0)+2*IFERROR(VLOOKUP(INDEX(' Toto teams'!$E$4:$E$119,MATCH($B27,' Toto teams'!$A$4:$A$119,0)),Scoring!$A$4:$N$51,10,FALSE()),0)+1*IFERROR(VLOOKUP(INDEX(' Toto teams'!$F$4:$F$119,MATCH($B27,' Toto teams'!$A$4:$A$119,0)),Scoring!$A$4:$N$51,10,FALSE()),0)+1*IFERROR(VLOOKUP(INDEX(' Toto teams'!$G$4:$G$119,MATCH($B27,' Toto teams'!$A$4:$A$119,0)),Scoring!$A$4:$N$51,10,FALSE()),0)+1*IFERROR(VLOOKUP(INDEX(' Toto teams'!$H$4:$H$119,MATCH($B27,' Toto teams'!$A$4:$A$119,0)),Scoring!$A$4:$N$51,10,FALSE()),0))</f>
        <v>0</v>
      </c>
      <c r="H27" s="28">
        <f>IF($B27="","",6*IFERROR(VLOOKUP(INDEX(' Toto teams'!$B$4:$B$119,MATCH($B27,' Toto teams'!$A$4:$A$119,0)),Scoring!$A$4:$N$51,11,FALSE()),0)+4*IFERROR(VLOOKUP(INDEX(' Toto teams'!$C$4:$C$119,MATCH($B27,' Toto teams'!$A$4:$A$119,0)),Scoring!$A$4:$N$51,11,FALSE()),0)+3*IFERROR(VLOOKUP(INDEX(' Toto teams'!$D$4:$D$119,MATCH($B27,' Toto teams'!$A$4:$A$119,0)),Scoring!$A$4:$N$51,11,FALSE()),0)+2*IFERROR(VLOOKUP(INDEX(' Toto teams'!$E$4:$E$119,MATCH($B27,' Toto teams'!$A$4:$A$119,0)),Scoring!$A$4:$N$51,11,FALSE()),0)+1*IFERROR(VLOOKUP(INDEX(' Toto teams'!$F$4:$F$119,MATCH($B27,' Toto teams'!$A$4:$A$119,0)),Scoring!$A$4:$N$51,11,FALSE()),0)+1*IFERROR(VLOOKUP(INDEX(' Toto teams'!$G$4:$G$119,MATCH($B27,' Toto teams'!$A$4:$A$119,0)),Scoring!$A$4:$N$51,11,FALSE()),0)+1*IFERROR(VLOOKUP(INDEX(' Toto teams'!$H$4:$H$119,MATCH($B27,' Toto teams'!$A$4:$A$119,0)),Scoring!$A$4:$N$51,11,FALSE()),0))</f>
        <v>0</v>
      </c>
      <c r="I27" s="28">
        <f>IF($B27="","",6*IFERROR(VLOOKUP(INDEX(' Toto teams'!$B$4:$B$119,MATCH($B27,' Toto teams'!$A$4:$A$119,0)),Scoring!$A$4:$O$51,15,FALSE()),0)+4*IFERROR(VLOOKUP(INDEX(' Toto teams'!$C$4:$C$119,MATCH($B27,' Toto teams'!$A$4:$A$119,0)),Scoring!$A$4:$O$51,15,FALSE()),0)+3*IFERROR(VLOOKUP(INDEX(' Toto teams'!$D$4:$D$119,MATCH($B27,' Toto teams'!$A$4:$A$119,0)),Scoring!$A$4:$O$51,15,FALSE()),0)+2*IFERROR(VLOOKUP(INDEX(' Toto teams'!$E$4:$E$119,MATCH($B27,' Toto teams'!$A$4:$A$119,0)),Scoring!$A$4:$O$51,15,FALSE()),0)+1*IFERROR(VLOOKUP(INDEX(' Toto teams'!$F$4:$F$119,MATCH($B27,' Toto teams'!$A$4:$A$119,0)),Scoring!$A$4:$O$51,15,FALSE()),0)+1*IFERROR(VLOOKUP(INDEX(' Toto teams'!$G$4:$G$119,MATCH($B27,' Toto teams'!$A$4:$A$119,0)),Scoring!$A$4:$O$51,15,FALSE()),0)+1*IFERROR(VLOOKUP(INDEX(' Toto teams'!$H$4:$H$119,MATCH($B27,' Toto teams'!$A$4:$A$119,0)),Scoring!$A$4:$O$51,15,FALSE()),0))</f>
        <v>0</v>
      </c>
      <c r="J27" s="28">
        <f>IF($B27="","",6*IFERROR(VLOOKUP(INDEX(' Toto teams'!$B$4:$B$119,MATCH($B27,' Toto teams'!$A$4:$A$119,0)),Scoring!$A$4:$N$51,12,FALSE()),0)+4*IFERROR(VLOOKUP(INDEX(' Toto teams'!$C$4:$C$119,MATCH($B27,' Toto teams'!$A$4:$A$119,0)),Scoring!$A$4:$N$51,12,FALSE()),0)+3*IFERROR(VLOOKUP(INDEX(' Toto teams'!$D$4:$D$119,MATCH($B27,' Toto teams'!$A$4:$A$119,0)),Scoring!$A$4:$N$51,12,FALSE()),0)+2*IFERROR(VLOOKUP(INDEX(' Toto teams'!$E$4:$E$119,MATCH($B27,' Toto teams'!$A$4:$A$119,0)),Scoring!$A$4:$N$51,12,FALSE()),0)+1*IFERROR(VLOOKUP(INDEX(' Toto teams'!$F$4:$F$119,MATCH($B27,' Toto teams'!$A$4:$A$119,0)),Scoring!$A$4:$N$51,12,FALSE()),0)+1*IFERROR(VLOOKUP(INDEX(' Toto teams'!$G$4:$G$119,MATCH($B27,' Toto teams'!$A$4:$A$119,0)),Scoring!$A$4:$N$51,12,FALSE()),0)+1*IFERROR(VLOOKUP(INDEX(' Toto teams'!$H$4:$H$119,MATCH($B27,' Toto teams'!$A$4:$A$119,0)),Scoring!$A$4:$N$51,12,FALSE()),0))</f>
        <v>0</v>
      </c>
      <c r="K27" s="29">
        <f>IF($B27="","",IFERROR(INDEX(' Toto teams'!$R$4:$R$119,MATCH($B27,' Toto teams'!$A$4:$A$119,0)),""))</f>
        <v>3</v>
      </c>
      <c r="L27" s="30">
        <f t="shared" si="0"/>
        <v>0</v>
      </c>
    </row>
    <row r="28" spans="1:12" ht="12.75" customHeight="1" x14ac:dyDescent="0.3">
      <c r="A28" s="26">
        <f>IF(25&gt;COUNTIF(' Toto teams'!$A$4:$A$119,"&lt;&gt;"),"",INDEX(' Toto teams'!$S$4:$S$119,MATCH(LARGE(' Toto teams'!$T$4:$T$119,25),' Toto teams'!$T$4:$T$119,0)))</f>
        <v>22</v>
      </c>
      <c r="B28" s="27" t="str">
        <f>IF(25&gt;COUNTIF(' Toto teams'!$A$4:$A$119,"&lt;&gt;"),"",INDEX(' Toto teams'!$A$4:$A$119,MATCH(LARGE(' Toto teams'!$T$4:$T$119,25),' Toto teams'!$T$4:$T$119,0)))</f>
        <v xml:space="preserve">Paulius Bernotas </v>
      </c>
      <c r="C28" s="28">
        <f>IF($B28="","",6*(IFERROR(VLOOKUP(INDEX(' Toto teams'!$B$4:$B$119,MATCH($B28,' Toto teams'!$A$4:$A$119,0)),Scoring!$A$4:$N$51,3,FALSE()),0)+IFERROR(VLOOKUP(INDEX(' Toto teams'!$B$4:$B$119,MATCH($B28,' Toto teams'!$A$4:$A$119,0)),Scoring!$A$4:$N$51,4,FALSE()),0)+IFERROR(VLOOKUP(INDEX(' Toto teams'!$B$4:$B$119,MATCH($B28,' Toto teams'!$A$4:$A$119,0)),Scoring!$A$4:$N$51,5,FALSE()),0))+4*(IFERROR(VLOOKUP(INDEX(' Toto teams'!$C$4:$C$119,MATCH($B28,' Toto teams'!$A$4:$A$119,0)),Scoring!$A$4:$N$51,3,FALSE()),0)+IFERROR(VLOOKUP(INDEX(' Toto teams'!$C$4:$C$119,MATCH($B28,' Toto teams'!$A$4:$A$119,0)),Scoring!$A$4:$N$51,4,FALSE()),0)+IFERROR(VLOOKUP(INDEX(' Toto teams'!$C$4:$C$119,MATCH($B28,' Toto teams'!$A$4:$A$119,0)),Scoring!$A$4:$N$51,5,FALSE()),0))+3*(IFERROR(VLOOKUP(INDEX(' Toto teams'!$D$4:$D$119,MATCH($B28,' Toto teams'!$A$4:$A$119,0)),Scoring!$A$4:$N$51,3,FALSE()),0)+IFERROR(VLOOKUP(INDEX(' Toto teams'!$D$4:$D$119,MATCH($B28,' Toto teams'!$A$4:$A$119,0)),Scoring!$A$4:$N$51,4,FALSE()),0)+IFERROR(VLOOKUP(INDEX(' Toto teams'!$D$4:$D$119,MATCH($B28,' Toto teams'!$A$4:$A$119,0)),Scoring!$A$4:$N$51,5,FALSE()),0))+2*(IFERROR(VLOOKUP(INDEX(' Toto teams'!$E$4:$E$119,MATCH($B28,' Toto teams'!$A$4:$A$119,0)),Scoring!$A$4:$N$51,3,FALSE()),0)+IFERROR(VLOOKUP(INDEX(' Toto teams'!$E$4:$E$119,MATCH($B28,' Toto teams'!$A$4:$A$119,0)),Scoring!$A$4:$N$51,4,FALSE()),0)+IFERROR(VLOOKUP(INDEX(' Toto teams'!$E$4:$E$119,MATCH($B28,' Toto teams'!$A$4:$A$119,0)),Scoring!$A$4:$N$51,5,FALSE()),0))+1*(IFERROR(VLOOKUP(INDEX(' Toto teams'!$F$4:$F$119,MATCH($B28,' Toto teams'!$A$4:$A$119,0)),Scoring!$A$4:$N$51,3,FALSE()),0)+IFERROR(VLOOKUP(INDEX(' Toto teams'!$F$4:$F$119,MATCH($B28,' Toto teams'!$A$4:$A$119,0)),Scoring!$A$4:$N$51,4,FALSE()),0)+IFERROR(VLOOKUP(INDEX(' Toto teams'!$F$4:$F$119,MATCH($B28,' Toto teams'!$A$4:$A$119,0)),Scoring!$A$4:$N$51,5,FALSE()),0))+1*(IFERROR(VLOOKUP(INDEX(' Toto teams'!$G$4:$G$119,MATCH($B28,' Toto teams'!$A$4:$A$119,0)),Scoring!$A$4:$N$51,3,FALSE()),0)+IFERROR(VLOOKUP(INDEX(' Toto teams'!$G$4:$G$119,MATCH($B28,' Toto teams'!$A$4:$A$119,0)),Scoring!$A$4:$N$51,4,FALSE()),0)+IFERROR(VLOOKUP(INDEX(' Toto teams'!$G$4:$G$119,MATCH($B28,' Toto teams'!$A$4:$A$119,0)),Scoring!$A$4:$N$51,5,FALSE()),0))+1*(IFERROR(VLOOKUP(INDEX(' Toto teams'!$H$4:$H$119,MATCH($B28,' Toto teams'!$A$4:$A$119,0)),Scoring!$A$4:$N$51,3,FALSE()),0)+IFERROR(VLOOKUP(INDEX(' Toto teams'!$H$4:$H$119,MATCH($B28,' Toto teams'!$A$4:$A$119,0)),Scoring!$A$4:$N$51,4,FALSE()),0)+IFERROR(VLOOKUP(INDEX(' Toto teams'!$H$4:$H$119,MATCH($B28,' Toto teams'!$A$4:$A$119,0)),Scoring!$A$4:$N$51,5,FALSE()),0))+IFERROR(INDEX(' Toto teams'!$Q$4:$Q$119,MATCH($B28,' Toto teams'!$A$4:$A$119,0))*1,0))</f>
        <v>3</v>
      </c>
      <c r="D28" s="28">
        <f>IF($B28="","",6*IFERROR(VLOOKUP(INDEX(' Toto teams'!$B$4:$B$119,MATCH($B28,' Toto teams'!$A$4:$A$119,0)),Scoring!$A$4:$N$51,7,FALSE()),0)+4*IFERROR(VLOOKUP(INDEX(' Toto teams'!$C$4:$C$119,MATCH($B28,' Toto teams'!$A$4:$A$119,0)),Scoring!$A$4:$N$51,7,FALSE()),0)+3*IFERROR(VLOOKUP(INDEX(' Toto teams'!$D$4:$D$119,MATCH($B28,' Toto teams'!$A$4:$A$119,0)),Scoring!$A$4:$N$51,7,FALSE()),0)+2*IFERROR(VLOOKUP(INDEX(' Toto teams'!$E$4:$E$119,MATCH($B28,' Toto teams'!$A$4:$A$119,0)),Scoring!$A$4:$N$51,7,FALSE()),0)+1*IFERROR(VLOOKUP(INDEX(' Toto teams'!$F$4:$F$119,MATCH($B28,' Toto teams'!$A$4:$A$119,0)),Scoring!$A$4:$N$51,7,FALSE()),0)+1*IFERROR(VLOOKUP(INDEX(' Toto teams'!$G$4:$G$119,MATCH($B28,' Toto teams'!$A$4:$A$119,0)),Scoring!$A$4:$N$51,7,FALSE()),0)+1*IFERROR(VLOOKUP(INDEX(' Toto teams'!$H$4:$H$119,MATCH($B28,' Toto teams'!$A$4:$A$119,0)),Scoring!$A$4:$N$51,7,FALSE()),0))</f>
        <v>0</v>
      </c>
      <c r="E28" s="28">
        <f>IF($B28="","",6*IFERROR(VLOOKUP(INDEX(' Toto teams'!$B$4:$B$119,MATCH($B28,' Toto teams'!$A$4:$A$119,0)),Scoring!$A$4:$N$51,8,FALSE()),0)+4*IFERROR(VLOOKUP(INDEX(' Toto teams'!$C$4:$C$119,MATCH($B28,' Toto teams'!$A$4:$A$119,0)),Scoring!$A$4:$N$51,8,FALSE()),0)+3*IFERROR(VLOOKUP(INDEX(' Toto teams'!$D$4:$D$119,MATCH($B28,' Toto teams'!$A$4:$A$119,0)),Scoring!$A$4:$N$51,8,FALSE()),0)+2*IFERROR(VLOOKUP(INDEX(' Toto teams'!$E$4:$E$119,MATCH($B28,' Toto teams'!$A$4:$A$119,0)),Scoring!$A$4:$N$51,8,FALSE()),0)+1*IFERROR(VLOOKUP(INDEX(' Toto teams'!$F$4:$F$119,MATCH($B28,' Toto teams'!$A$4:$A$119,0)),Scoring!$A$4:$N$51,8,FALSE()),0)+1*IFERROR(VLOOKUP(INDEX(' Toto teams'!$G$4:$G$119,MATCH($B28,' Toto teams'!$A$4:$A$119,0)),Scoring!$A$4:$N$51,8,FALSE()),0)+1*IFERROR(VLOOKUP(INDEX(' Toto teams'!$H$4:$H$119,MATCH($B28,' Toto teams'!$A$4:$A$119,0)),Scoring!$A$4:$N$51,8,FALSE()),0))</f>
        <v>0</v>
      </c>
      <c r="F28" s="28">
        <f>IF($B28="","",6*IFERROR(VLOOKUP(INDEX(' Toto teams'!$B$4:$B$119,MATCH($B28,' Toto teams'!$A$4:$A$119,0)),Scoring!$A$4:$N$51,9,FALSE()),0)+4*IFERROR(VLOOKUP(INDEX(' Toto teams'!$C$4:$C$119,MATCH($B28,' Toto teams'!$A$4:$A$119,0)),Scoring!$A$4:$N$51,9,FALSE()),0)+3*IFERROR(VLOOKUP(INDEX(' Toto teams'!$D$4:$D$119,MATCH($B28,' Toto teams'!$A$4:$A$119,0)),Scoring!$A$4:$N$51,9,FALSE()),0)+2*IFERROR(VLOOKUP(INDEX(' Toto teams'!$E$4:$E$119,MATCH($B28,' Toto teams'!$A$4:$A$119,0)),Scoring!$A$4:$N$51,9,FALSE()),0)+1*IFERROR(VLOOKUP(INDEX(' Toto teams'!$F$4:$F$119,MATCH($B28,' Toto teams'!$A$4:$A$119,0)),Scoring!$A$4:$N$51,9,FALSE()),0)+1*IFERROR(VLOOKUP(INDEX(' Toto teams'!$G$4:$G$119,MATCH($B28,' Toto teams'!$A$4:$A$119,0)),Scoring!$A$4:$N$51,9,FALSE()),0)+1*IFERROR(VLOOKUP(INDEX(' Toto teams'!$H$4:$H$119,MATCH($B28,' Toto teams'!$A$4:$A$119,0)),Scoring!$A$4:$N$51,9,FALSE()),0))</f>
        <v>0</v>
      </c>
      <c r="G28" s="28">
        <f>IF($B28="","",6*IFERROR(VLOOKUP(INDEX(' Toto teams'!$B$4:$B$119,MATCH($B28,' Toto teams'!$A$4:$A$119,0)),Scoring!$A$4:$N$51,10,FALSE()),0)+4*IFERROR(VLOOKUP(INDEX(' Toto teams'!$C$4:$C$119,MATCH($B28,' Toto teams'!$A$4:$A$119,0)),Scoring!$A$4:$N$51,10,FALSE()),0)+3*IFERROR(VLOOKUP(INDEX(' Toto teams'!$D$4:$D$119,MATCH($B28,' Toto teams'!$A$4:$A$119,0)),Scoring!$A$4:$N$51,10,FALSE()),0)+2*IFERROR(VLOOKUP(INDEX(' Toto teams'!$E$4:$E$119,MATCH($B28,' Toto teams'!$A$4:$A$119,0)),Scoring!$A$4:$N$51,10,FALSE()),0)+1*IFERROR(VLOOKUP(INDEX(' Toto teams'!$F$4:$F$119,MATCH($B28,' Toto teams'!$A$4:$A$119,0)),Scoring!$A$4:$N$51,10,FALSE()),0)+1*IFERROR(VLOOKUP(INDEX(' Toto teams'!$G$4:$G$119,MATCH($B28,' Toto teams'!$A$4:$A$119,0)),Scoring!$A$4:$N$51,10,FALSE()),0)+1*IFERROR(VLOOKUP(INDEX(' Toto teams'!$H$4:$H$119,MATCH($B28,' Toto teams'!$A$4:$A$119,0)),Scoring!$A$4:$N$51,10,FALSE()),0))</f>
        <v>0</v>
      </c>
      <c r="H28" s="28">
        <f>IF($B28="","",6*IFERROR(VLOOKUP(INDEX(' Toto teams'!$B$4:$B$119,MATCH($B28,' Toto teams'!$A$4:$A$119,0)),Scoring!$A$4:$N$51,11,FALSE()),0)+4*IFERROR(VLOOKUP(INDEX(' Toto teams'!$C$4:$C$119,MATCH($B28,' Toto teams'!$A$4:$A$119,0)),Scoring!$A$4:$N$51,11,FALSE()),0)+3*IFERROR(VLOOKUP(INDEX(' Toto teams'!$D$4:$D$119,MATCH($B28,' Toto teams'!$A$4:$A$119,0)),Scoring!$A$4:$N$51,11,FALSE()),0)+2*IFERROR(VLOOKUP(INDEX(' Toto teams'!$E$4:$E$119,MATCH($B28,' Toto teams'!$A$4:$A$119,0)),Scoring!$A$4:$N$51,11,FALSE()),0)+1*IFERROR(VLOOKUP(INDEX(' Toto teams'!$F$4:$F$119,MATCH($B28,' Toto teams'!$A$4:$A$119,0)),Scoring!$A$4:$N$51,11,FALSE()),0)+1*IFERROR(VLOOKUP(INDEX(' Toto teams'!$G$4:$G$119,MATCH($B28,' Toto teams'!$A$4:$A$119,0)),Scoring!$A$4:$N$51,11,FALSE()),0)+1*IFERROR(VLOOKUP(INDEX(' Toto teams'!$H$4:$H$119,MATCH($B28,' Toto teams'!$A$4:$A$119,0)),Scoring!$A$4:$N$51,11,FALSE()),0))</f>
        <v>0</v>
      </c>
      <c r="I28" s="28">
        <f>IF($B28="","",6*IFERROR(VLOOKUP(INDEX(' Toto teams'!$B$4:$B$119,MATCH($B28,' Toto teams'!$A$4:$A$119,0)),Scoring!$A$4:$O$51,15,FALSE()),0)+4*IFERROR(VLOOKUP(INDEX(' Toto teams'!$C$4:$C$119,MATCH($B28,' Toto teams'!$A$4:$A$119,0)),Scoring!$A$4:$O$51,15,FALSE()),0)+3*IFERROR(VLOOKUP(INDEX(' Toto teams'!$D$4:$D$119,MATCH($B28,' Toto teams'!$A$4:$A$119,0)),Scoring!$A$4:$O$51,15,FALSE()),0)+2*IFERROR(VLOOKUP(INDEX(' Toto teams'!$E$4:$E$119,MATCH($B28,' Toto teams'!$A$4:$A$119,0)),Scoring!$A$4:$O$51,15,FALSE()),0)+1*IFERROR(VLOOKUP(INDEX(' Toto teams'!$F$4:$F$119,MATCH($B28,' Toto teams'!$A$4:$A$119,0)),Scoring!$A$4:$O$51,15,FALSE()),0)+1*IFERROR(VLOOKUP(INDEX(' Toto teams'!$G$4:$G$119,MATCH($B28,' Toto teams'!$A$4:$A$119,0)),Scoring!$A$4:$O$51,15,FALSE()),0)+1*IFERROR(VLOOKUP(INDEX(' Toto teams'!$H$4:$H$119,MATCH($B28,' Toto teams'!$A$4:$A$119,0)),Scoring!$A$4:$O$51,15,FALSE()),0))</f>
        <v>0</v>
      </c>
      <c r="J28" s="28">
        <f>IF($B28="","",6*IFERROR(VLOOKUP(INDEX(' Toto teams'!$B$4:$B$119,MATCH($B28,' Toto teams'!$A$4:$A$119,0)),Scoring!$A$4:$N$51,12,FALSE()),0)+4*IFERROR(VLOOKUP(INDEX(' Toto teams'!$C$4:$C$119,MATCH($B28,' Toto teams'!$A$4:$A$119,0)),Scoring!$A$4:$N$51,12,FALSE()),0)+3*IFERROR(VLOOKUP(INDEX(' Toto teams'!$D$4:$D$119,MATCH($B28,' Toto teams'!$A$4:$A$119,0)),Scoring!$A$4:$N$51,12,FALSE()),0)+2*IFERROR(VLOOKUP(INDEX(' Toto teams'!$E$4:$E$119,MATCH($B28,' Toto teams'!$A$4:$A$119,0)),Scoring!$A$4:$N$51,12,FALSE()),0)+1*IFERROR(VLOOKUP(INDEX(' Toto teams'!$F$4:$F$119,MATCH($B28,' Toto teams'!$A$4:$A$119,0)),Scoring!$A$4:$N$51,12,FALSE()),0)+1*IFERROR(VLOOKUP(INDEX(' Toto teams'!$G$4:$G$119,MATCH($B28,' Toto teams'!$A$4:$A$119,0)),Scoring!$A$4:$N$51,12,FALSE()),0)+1*IFERROR(VLOOKUP(INDEX(' Toto teams'!$H$4:$H$119,MATCH($B28,' Toto teams'!$A$4:$A$119,0)),Scoring!$A$4:$N$51,12,FALSE()),0))</f>
        <v>0</v>
      </c>
      <c r="K28" s="29">
        <f>IF($B28="","",IFERROR(INDEX(' Toto teams'!$R$4:$R$119,MATCH($B28,' Toto teams'!$A$4:$A$119,0)),""))</f>
        <v>3</v>
      </c>
      <c r="L28" s="30">
        <f t="shared" si="0"/>
        <v>0</v>
      </c>
    </row>
    <row r="29" spans="1:12" ht="12.75" customHeight="1" x14ac:dyDescent="0.3">
      <c r="A29" s="26">
        <f>IF(26&gt;COUNTIF(' Toto teams'!$A$4:$A$119,"&lt;&gt;"),"",INDEX(' Toto teams'!$S$4:$S$119,MATCH(LARGE(' Toto teams'!$T$4:$T$119,26),' Toto teams'!$T$4:$T$119,0)))</f>
        <v>22</v>
      </c>
      <c r="B29" s="27" t="str">
        <f>IF(26&gt;COUNTIF(' Toto teams'!$A$4:$A$119,"&lt;&gt;"),"",INDEX(' Toto teams'!$A$4:$A$119,MATCH(LARGE(' Toto teams'!$T$4:$T$119,26),' Toto teams'!$T$4:$T$119,0)))</f>
        <v>Eugenijus Petrošius</v>
      </c>
      <c r="C29" s="28">
        <f>IF($B29="","",6*(IFERROR(VLOOKUP(INDEX(' Toto teams'!$B$4:$B$119,MATCH($B29,' Toto teams'!$A$4:$A$119,0)),Scoring!$A$4:$N$51,3,FALSE()),0)+IFERROR(VLOOKUP(INDEX(' Toto teams'!$B$4:$B$119,MATCH($B29,' Toto teams'!$A$4:$A$119,0)),Scoring!$A$4:$N$51,4,FALSE()),0)+IFERROR(VLOOKUP(INDEX(' Toto teams'!$B$4:$B$119,MATCH($B29,' Toto teams'!$A$4:$A$119,0)),Scoring!$A$4:$N$51,5,FALSE()),0))+4*(IFERROR(VLOOKUP(INDEX(' Toto teams'!$C$4:$C$119,MATCH($B29,' Toto teams'!$A$4:$A$119,0)),Scoring!$A$4:$N$51,3,FALSE()),0)+IFERROR(VLOOKUP(INDEX(' Toto teams'!$C$4:$C$119,MATCH($B29,' Toto teams'!$A$4:$A$119,0)),Scoring!$A$4:$N$51,4,FALSE()),0)+IFERROR(VLOOKUP(INDEX(' Toto teams'!$C$4:$C$119,MATCH($B29,' Toto teams'!$A$4:$A$119,0)),Scoring!$A$4:$N$51,5,FALSE()),0))+3*(IFERROR(VLOOKUP(INDEX(' Toto teams'!$D$4:$D$119,MATCH($B29,' Toto teams'!$A$4:$A$119,0)),Scoring!$A$4:$N$51,3,FALSE()),0)+IFERROR(VLOOKUP(INDEX(' Toto teams'!$D$4:$D$119,MATCH($B29,' Toto teams'!$A$4:$A$119,0)),Scoring!$A$4:$N$51,4,FALSE()),0)+IFERROR(VLOOKUP(INDEX(' Toto teams'!$D$4:$D$119,MATCH($B29,' Toto teams'!$A$4:$A$119,0)),Scoring!$A$4:$N$51,5,FALSE()),0))+2*(IFERROR(VLOOKUP(INDEX(' Toto teams'!$E$4:$E$119,MATCH($B29,' Toto teams'!$A$4:$A$119,0)),Scoring!$A$4:$N$51,3,FALSE()),0)+IFERROR(VLOOKUP(INDEX(' Toto teams'!$E$4:$E$119,MATCH($B29,' Toto teams'!$A$4:$A$119,0)),Scoring!$A$4:$N$51,4,FALSE()),0)+IFERROR(VLOOKUP(INDEX(' Toto teams'!$E$4:$E$119,MATCH($B29,' Toto teams'!$A$4:$A$119,0)),Scoring!$A$4:$N$51,5,FALSE()),0))+1*(IFERROR(VLOOKUP(INDEX(' Toto teams'!$F$4:$F$119,MATCH($B29,' Toto teams'!$A$4:$A$119,0)),Scoring!$A$4:$N$51,3,FALSE()),0)+IFERROR(VLOOKUP(INDEX(' Toto teams'!$F$4:$F$119,MATCH($B29,' Toto teams'!$A$4:$A$119,0)),Scoring!$A$4:$N$51,4,FALSE()),0)+IFERROR(VLOOKUP(INDEX(' Toto teams'!$F$4:$F$119,MATCH($B29,' Toto teams'!$A$4:$A$119,0)),Scoring!$A$4:$N$51,5,FALSE()),0))+1*(IFERROR(VLOOKUP(INDEX(' Toto teams'!$G$4:$G$119,MATCH($B29,' Toto teams'!$A$4:$A$119,0)),Scoring!$A$4:$N$51,3,FALSE()),0)+IFERROR(VLOOKUP(INDEX(' Toto teams'!$G$4:$G$119,MATCH($B29,' Toto teams'!$A$4:$A$119,0)),Scoring!$A$4:$N$51,4,FALSE()),0)+IFERROR(VLOOKUP(INDEX(' Toto teams'!$G$4:$G$119,MATCH($B29,' Toto teams'!$A$4:$A$119,0)),Scoring!$A$4:$N$51,5,FALSE()),0))+1*(IFERROR(VLOOKUP(INDEX(' Toto teams'!$H$4:$H$119,MATCH($B29,' Toto teams'!$A$4:$A$119,0)),Scoring!$A$4:$N$51,3,FALSE()),0)+IFERROR(VLOOKUP(INDEX(' Toto teams'!$H$4:$H$119,MATCH($B29,' Toto teams'!$A$4:$A$119,0)),Scoring!$A$4:$N$51,4,FALSE()),0)+IFERROR(VLOOKUP(INDEX(' Toto teams'!$H$4:$H$119,MATCH($B29,' Toto teams'!$A$4:$A$119,0)),Scoring!$A$4:$N$51,5,FALSE()),0))+IFERROR(INDEX(' Toto teams'!$Q$4:$Q$119,MATCH($B29,' Toto teams'!$A$4:$A$119,0))*1,0))</f>
        <v>3</v>
      </c>
      <c r="D29" s="28">
        <f>IF($B29="","",6*IFERROR(VLOOKUP(INDEX(' Toto teams'!$B$4:$B$119,MATCH($B29,' Toto teams'!$A$4:$A$119,0)),Scoring!$A$4:$N$51,7,FALSE()),0)+4*IFERROR(VLOOKUP(INDEX(' Toto teams'!$C$4:$C$119,MATCH($B29,' Toto teams'!$A$4:$A$119,0)),Scoring!$A$4:$N$51,7,FALSE()),0)+3*IFERROR(VLOOKUP(INDEX(' Toto teams'!$D$4:$D$119,MATCH($B29,' Toto teams'!$A$4:$A$119,0)),Scoring!$A$4:$N$51,7,FALSE()),0)+2*IFERROR(VLOOKUP(INDEX(' Toto teams'!$E$4:$E$119,MATCH($B29,' Toto teams'!$A$4:$A$119,0)),Scoring!$A$4:$N$51,7,FALSE()),0)+1*IFERROR(VLOOKUP(INDEX(' Toto teams'!$F$4:$F$119,MATCH($B29,' Toto teams'!$A$4:$A$119,0)),Scoring!$A$4:$N$51,7,FALSE()),0)+1*IFERROR(VLOOKUP(INDEX(' Toto teams'!$G$4:$G$119,MATCH($B29,' Toto teams'!$A$4:$A$119,0)),Scoring!$A$4:$N$51,7,FALSE()),0)+1*IFERROR(VLOOKUP(INDEX(' Toto teams'!$H$4:$H$119,MATCH($B29,' Toto teams'!$A$4:$A$119,0)),Scoring!$A$4:$N$51,7,FALSE()),0))</f>
        <v>0</v>
      </c>
      <c r="E29" s="28">
        <f>IF($B29="","",6*IFERROR(VLOOKUP(INDEX(' Toto teams'!$B$4:$B$119,MATCH($B29,' Toto teams'!$A$4:$A$119,0)),Scoring!$A$4:$N$51,8,FALSE()),0)+4*IFERROR(VLOOKUP(INDEX(' Toto teams'!$C$4:$C$119,MATCH($B29,' Toto teams'!$A$4:$A$119,0)),Scoring!$A$4:$N$51,8,FALSE()),0)+3*IFERROR(VLOOKUP(INDEX(' Toto teams'!$D$4:$D$119,MATCH($B29,' Toto teams'!$A$4:$A$119,0)),Scoring!$A$4:$N$51,8,FALSE()),0)+2*IFERROR(VLOOKUP(INDEX(' Toto teams'!$E$4:$E$119,MATCH($B29,' Toto teams'!$A$4:$A$119,0)),Scoring!$A$4:$N$51,8,FALSE()),0)+1*IFERROR(VLOOKUP(INDEX(' Toto teams'!$F$4:$F$119,MATCH($B29,' Toto teams'!$A$4:$A$119,0)),Scoring!$A$4:$N$51,8,FALSE()),0)+1*IFERROR(VLOOKUP(INDEX(' Toto teams'!$G$4:$G$119,MATCH($B29,' Toto teams'!$A$4:$A$119,0)),Scoring!$A$4:$N$51,8,FALSE()),0)+1*IFERROR(VLOOKUP(INDEX(' Toto teams'!$H$4:$H$119,MATCH($B29,' Toto teams'!$A$4:$A$119,0)),Scoring!$A$4:$N$51,8,FALSE()),0))</f>
        <v>0</v>
      </c>
      <c r="F29" s="28">
        <f>IF($B29="","",6*IFERROR(VLOOKUP(INDEX(' Toto teams'!$B$4:$B$119,MATCH($B29,' Toto teams'!$A$4:$A$119,0)),Scoring!$A$4:$N$51,9,FALSE()),0)+4*IFERROR(VLOOKUP(INDEX(' Toto teams'!$C$4:$C$119,MATCH($B29,' Toto teams'!$A$4:$A$119,0)),Scoring!$A$4:$N$51,9,FALSE()),0)+3*IFERROR(VLOOKUP(INDEX(' Toto teams'!$D$4:$D$119,MATCH($B29,' Toto teams'!$A$4:$A$119,0)),Scoring!$A$4:$N$51,9,FALSE()),0)+2*IFERROR(VLOOKUP(INDEX(' Toto teams'!$E$4:$E$119,MATCH($B29,' Toto teams'!$A$4:$A$119,0)),Scoring!$A$4:$N$51,9,FALSE()),0)+1*IFERROR(VLOOKUP(INDEX(' Toto teams'!$F$4:$F$119,MATCH($B29,' Toto teams'!$A$4:$A$119,0)),Scoring!$A$4:$N$51,9,FALSE()),0)+1*IFERROR(VLOOKUP(INDEX(' Toto teams'!$G$4:$G$119,MATCH($B29,' Toto teams'!$A$4:$A$119,0)),Scoring!$A$4:$N$51,9,FALSE()),0)+1*IFERROR(VLOOKUP(INDEX(' Toto teams'!$H$4:$H$119,MATCH($B29,' Toto teams'!$A$4:$A$119,0)),Scoring!$A$4:$N$51,9,FALSE()),0))</f>
        <v>0</v>
      </c>
      <c r="G29" s="28">
        <f>IF($B29="","",6*IFERROR(VLOOKUP(INDEX(' Toto teams'!$B$4:$B$119,MATCH($B29,' Toto teams'!$A$4:$A$119,0)),Scoring!$A$4:$N$51,10,FALSE()),0)+4*IFERROR(VLOOKUP(INDEX(' Toto teams'!$C$4:$C$119,MATCH($B29,' Toto teams'!$A$4:$A$119,0)),Scoring!$A$4:$N$51,10,FALSE()),0)+3*IFERROR(VLOOKUP(INDEX(' Toto teams'!$D$4:$D$119,MATCH($B29,' Toto teams'!$A$4:$A$119,0)),Scoring!$A$4:$N$51,10,FALSE()),0)+2*IFERROR(VLOOKUP(INDEX(' Toto teams'!$E$4:$E$119,MATCH($B29,' Toto teams'!$A$4:$A$119,0)),Scoring!$A$4:$N$51,10,FALSE()),0)+1*IFERROR(VLOOKUP(INDEX(' Toto teams'!$F$4:$F$119,MATCH($B29,' Toto teams'!$A$4:$A$119,0)),Scoring!$A$4:$N$51,10,FALSE()),0)+1*IFERROR(VLOOKUP(INDEX(' Toto teams'!$G$4:$G$119,MATCH($B29,' Toto teams'!$A$4:$A$119,0)),Scoring!$A$4:$N$51,10,FALSE()),0)+1*IFERROR(VLOOKUP(INDEX(' Toto teams'!$H$4:$H$119,MATCH($B29,' Toto teams'!$A$4:$A$119,0)),Scoring!$A$4:$N$51,10,FALSE()),0))</f>
        <v>0</v>
      </c>
      <c r="H29" s="28">
        <f>IF($B29="","",6*IFERROR(VLOOKUP(INDEX(' Toto teams'!$B$4:$B$119,MATCH($B29,' Toto teams'!$A$4:$A$119,0)),Scoring!$A$4:$N$51,11,FALSE()),0)+4*IFERROR(VLOOKUP(INDEX(' Toto teams'!$C$4:$C$119,MATCH($B29,' Toto teams'!$A$4:$A$119,0)),Scoring!$A$4:$N$51,11,FALSE()),0)+3*IFERROR(VLOOKUP(INDEX(' Toto teams'!$D$4:$D$119,MATCH($B29,' Toto teams'!$A$4:$A$119,0)),Scoring!$A$4:$N$51,11,FALSE()),0)+2*IFERROR(VLOOKUP(INDEX(' Toto teams'!$E$4:$E$119,MATCH($B29,' Toto teams'!$A$4:$A$119,0)),Scoring!$A$4:$N$51,11,FALSE()),0)+1*IFERROR(VLOOKUP(INDEX(' Toto teams'!$F$4:$F$119,MATCH($B29,' Toto teams'!$A$4:$A$119,0)),Scoring!$A$4:$N$51,11,FALSE()),0)+1*IFERROR(VLOOKUP(INDEX(' Toto teams'!$G$4:$G$119,MATCH($B29,' Toto teams'!$A$4:$A$119,0)),Scoring!$A$4:$N$51,11,FALSE()),0)+1*IFERROR(VLOOKUP(INDEX(' Toto teams'!$H$4:$H$119,MATCH($B29,' Toto teams'!$A$4:$A$119,0)),Scoring!$A$4:$N$51,11,FALSE()),0))</f>
        <v>0</v>
      </c>
      <c r="I29" s="28">
        <f>IF($B29="","",6*IFERROR(VLOOKUP(INDEX(' Toto teams'!$B$4:$B$119,MATCH($B29,' Toto teams'!$A$4:$A$119,0)),Scoring!$A$4:$O$51,15,FALSE()),0)+4*IFERROR(VLOOKUP(INDEX(' Toto teams'!$C$4:$C$119,MATCH($B29,' Toto teams'!$A$4:$A$119,0)),Scoring!$A$4:$O$51,15,FALSE()),0)+3*IFERROR(VLOOKUP(INDEX(' Toto teams'!$D$4:$D$119,MATCH($B29,' Toto teams'!$A$4:$A$119,0)),Scoring!$A$4:$O$51,15,FALSE()),0)+2*IFERROR(VLOOKUP(INDEX(' Toto teams'!$E$4:$E$119,MATCH($B29,' Toto teams'!$A$4:$A$119,0)),Scoring!$A$4:$O$51,15,FALSE()),0)+1*IFERROR(VLOOKUP(INDEX(' Toto teams'!$F$4:$F$119,MATCH($B29,' Toto teams'!$A$4:$A$119,0)),Scoring!$A$4:$O$51,15,FALSE()),0)+1*IFERROR(VLOOKUP(INDEX(' Toto teams'!$G$4:$G$119,MATCH($B29,' Toto teams'!$A$4:$A$119,0)),Scoring!$A$4:$O$51,15,FALSE()),0)+1*IFERROR(VLOOKUP(INDEX(' Toto teams'!$H$4:$H$119,MATCH($B29,' Toto teams'!$A$4:$A$119,0)),Scoring!$A$4:$O$51,15,FALSE()),0))</f>
        <v>0</v>
      </c>
      <c r="J29" s="28">
        <f>IF($B29="","",6*IFERROR(VLOOKUP(INDEX(' Toto teams'!$B$4:$B$119,MATCH($B29,' Toto teams'!$A$4:$A$119,0)),Scoring!$A$4:$N$51,12,FALSE()),0)+4*IFERROR(VLOOKUP(INDEX(' Toto teams'!$C$4:$C$119,MATCH($B29,' Toto teams'!$A$4:$A$119,0)),Scoring!$A$4:$N$51,12,FALSE()),0)+3*IFERROR(VLOOKUP(INDEX(' Toto teams'!$D$4:$D$119,MATCH($B29,' Toto teams'!$A$4:$A$119,0)),Scoring!$A$4:$N$51,12,FALSE()),0)+2*IFERROR(VLOOKUP(INDEX(' Toto teams'!$E$4:$E$119,MATCH($B29,' Toto teams'!$A$4:$A$119,0)),Scoring!$A$4:$N$51,12,FALSE()),0)+1*IFERROR(VLOOKUP(INDEX(' Toto teams'!$F$4:$F$119,MATCH($B29,' Toto teams'!$A$4:$A$119,0)),Scoring!$A$4:$N$51,12,FALSE()),0)+1*IFERROR(VLOOKUP(INDEX(' Toto teams'!$G$4:$G$119,MATCH($B29,' Toto teams'!$A$4:$A$119,0)),Scoring!$A$4:$N$51,12,FALSE()),0)+1*IFERROR(VLOOKUP(INDEX(' Toto teams'!$H$4:$H$119,MATCH($B29,' Toto teams'!$A$4:$A$119,0)),Scoring!$A$4:$N$51,12,FALSE()),0))</f>
        <v>0</v>
      </c>
      <c r="K29" s="29">
        <f>IF($B29="","",IFERROR(INDEX(' Toto teams'!$R$4:$R$119,MATCH($B29,' Toto teams'!$A$4:$A$119,0)),""))</f>
        <v>3</v>
      </c>
      <c r="L29" s="30">
        <f t="shared" si="0"/>
        <v>0</v>
      </c>
    </row>
    <row r="30" spans="1:12" ht="12.75" customHeight="1" x14ac:dyDescent="0.3">
      <c r="A30" s="26">
        <f>IF(27&gt;COUNTIF(' Toto teams'!$A$4:$A$119,"&lt;&gt;"),"",INDEX(' Toto teams'!$S$4:$S$119,MATCH(LARGE(' Toto teams'!$T$4:$T$119,27),' Toto teams'!$T$4:$T$119,0)))</f>
        <v>22</v>
      </c>
      <c r="B30" s="27" t="str">
        <f>IF(27&gt;COUNTIF(' Toto teams'!$A$4:$A$119,"&lt;&gt;"),"",INDEX(' Toto teams'!$A$4:$A$119,MATCH(LARGE(' Toto teams'!$T$4:$T$119,27),' Toto teams'!$T$4:$T$119,0)))</f>
        <v>Simas Baubonis</v>
      </c>
      <c r="C30" s="28">
        <f>IF($B30="","",6*(IFERROR(VLOOKUP(INDEX(' Toto teams'!$B$4:$B$119,MATCH($B30,' Toto teams'!$A$4:$A$119,0)),Scoring!$A$4:$N$51,3,FALSE()),0)+IFERROR(VLOOKUP(INDEX(' Toto teams'!$B$4:$B$119,MATCH($B30,' Toto teams'!$A$4:$A$119,0)),Scoring!$A$4:$N$51,4,FALSE()),0)+IFERROR(VLOOKUP(INDEX(' Toto teams'!$B$4:$B$119,MATCH($B30,' Toto teams'!$A$4:$A$119,0)),Scoring!$A$4:$N$51,5,FALSE()),0))+4*(IFERROR(VLOOKUP(INDEX(' Toto teams'!$C$4:$C$119,MATCH($B30,' Toto teams'!$A$4:$A$119,0)),Scoring!$A$4:$N$51,3,FALSE()),0)+IFERROR(VLOOKUP(INDEX(' Toto teams'!$C$4:$C$119,MATCH($B30,' Toto teams'!$A$4:$A$119,0)),Scoring!$A$4:$N$51,4,FALSE()),0)+IFERROR(VLOOKUP(INDEX(' Toto teams'!$C$4:$C$119,MATCH($B30,' Toto teams'!$A$4:$A$119,0)),Scoring!$A$4:$N$51,5,FALSE()),0))+3*(IFERROR(VLOOKUP(INDEX(' Toto teams'!$D$4:$D$119,MATCH($B30,' Toto teams'!$A$4:$A$119,0)),Scoring!$A$4:$N$51,3,FALSE()),0)+IFERROR(VLOOKUP(INDEX(' Toto teams'!$D$4:$D$119,MATCH($B30,' Toto teams'!$A$4:$A$119,0)),Scoring!$A$4:$N$51,4,FALSE()),0)+IFERROR(VLOOKUP(INDEX(' Toto teams'!$D$4:$D$119,MATCH($B30,' Toto teams'!$A$4:$A$119,0)),Scoring!$A$4:$N$51,5,FALSE()),0))+2*(IFERROR(VLOOKUP(INDEX(' Toto teams'!$E$4:$E$119,MATCH($B30,' Toto teams'!$A$4:$A$119,0)),Scoring!$A$4:$N$51,3,FALSE()),0)+IFERROR(VLOOKUP(INDEX(' Toto teams'!$E$4:$E$119,MATCH($B30,' Toto teams'!$A$4:$A$119,0)),Scoring!$A$4:$N$51,4,FALSE()),0)+IFERROR(VLOOKUP(INDEX(' Toto teams'!$E$4:$E$119,MATCH($B30,' Toto teams'!$A$4:$A$119,0)),Scoring!$A$4:$N$51,5,FALSE()),0))+1*(IFERROR(VLOOKUP(INDEX(' Toto teams'!$F$4:$F$119,MATCH($B30,' Toto teams'!$A$4:$A$119,0)),Scoring!$A$4:$N$51,3,FALSE()),0)+IFERROR(VLOOKUP(INDEX(' Toto teams'!$F$4:$F$119,MATCH($B30,' Toto teams'!$A$4:$A$119,0)),Scoring!$A$4:$N$51,4,FALSE()),0)+IFERROR(VLOOKUP(INDEX(' Toto teams'!$F$4:$F$119,MATCH($B30,' Toto teams'!$A$4:$A$119,0)),Scoring!$A$4:$N$51,5,FALSE()),0))+1*(IFERROR(VLOOKUP(INDEX(' Toto teams'!$G$4:$G$119,MATCH($B30,' Toto teams'!$A$4:$A$119,0)),Scoring!$A$4:$N$51,3,FALSE()),0)+IFERROR(VLOOKUP(INDEX(' Toto teams'!$G$4:$G$119,MATCH($B30,' Toto teams'!$A$4:$A$119,0)),Scoring!$A$4:$N$51,4,FALSE()),0)+IFERROR(VLOOKUP(INDEX(' Toto teams'!$G$4:$G$119,MATCH($B30,' Toto teams'!$A$4:$A$119,0)),Scoring!$A$4:$N$51,5,FALSE()),0))+1*(IFERROR(VLOOKUP(INDEX(' Toto teams'!$H$4:$H$119,MATCH($B30,' Toto teams'!$A$4:$A$119,0)),Scoring!$A$4:$N$51,3,FALSE()),0)+IFERROR(VLOOKUP(INDEX(' Toto teams'!$H$4:$H$119,MATCH($B30,' Toto teams'!$A$4:$A$119,0)),Scoring!$A$4:$N$51,4,FALSE()),0)+IFERROR(VLOOKUP(INDEX(' Toto teams'!$H$4:$H$119,MATCH($B30,' Toto teams'!$A$4:$A$119,0)),Scoring!$A$4:$N$51,5,FALSE()),0))+IFERROR(INDEX(' Toto teams'!$Q$4:$Q$119,MATCH($B30,' Toto teams'!$A$4:$A$119,0))*1,0))</f>
        <v>3</v>
      </c>
      <c r="D30" s="28">
        <f>IF($B30="","",6*IFERROR(VLOOKUP(INDEX(' Toto teams'!$B$4:$B$119,MATCH($B30,' Toto teams'!$A$4:$A$119,0)),Scoring!$A$4:$N$51,7,FALSE()),0)+4*IFERROR(VLOOKUP(INDEX(' Toto teams'!$C$4:$C$119,MATCH($B30,' Toto teams'!$A$4:$A$119,0)),Scoring!$A$4:$N$51,7,FALSE()),0)+3*IFERROR(VLOOKUP(INDEX(' Toto teams'!$D$4:$D$119,MATCH($B30,' Toto teams'!$A$4:$A$119,0)),Scoring!$A$4:$N$51,7,FALSE()),0)+2*IFERROR(VLOOKUP(INDEX(' Toto teams'!$E$4:$E$119,MATCH($B30,' Toto teams'!$A$4:$A$119,0)),Scoring!$A$4:$N$51,7,FALSE()),0)+1*IFERROR(VLOOKUP(INDEX(' Toto teams'!$F$4:$F$119,MATCH($B30,' Toto teams'!$A$4:$A$119,0)),Scoring!$A$4:$N$51,7,FALSE()),0)+1*IFERROR(VLOOKUP(INDEX(' Toto teams'!$G$4:$G$119,MATCH($B30,' Toto teams'!$A$4:$A$119,0)),Scoring!$A$4:$N$51,7,FALSE()),0)+1*IFERROR(VLOOKUP(INDEX(' Toto teams'!$H$4:$H$119,MATCH($B30,' Toto teams'!$A$4:$A$119,0)),Scoring!$A$4:$N$51,7,FALSE()),0))</f>
        <v>0</v>
      </c>
      <c r="E30" s="28">
        <f>IF($B30="","",6*IFERROR(VLOOKUP(INDEX(' Toto teams'!$B$4:$B$119,MATCH($B30,' Toto teams'!$A$4:$A$119,0)),Scoring!$A$4:$N$51,8,FALSE()),0)+4*IFERROR(VLOOKUP(INDEX(' Toto teams'!$C$4:$C$119,MATCH($B30,' Toto teams'!$A$4:$A$119,0)),Scoring!$A$4:$N$51,8,FALSE()),0)+3*IFERROR(VLOOKUP(INDEX(' Toto teams'!$D$4:$D$119,MATCH($B30,' Toto teams'!$A$4:$A$119,0)),Scoring!$A$4:$N$51,8,FALSE()),0)+2*IFERROR(VLOOKUP(INDEX(' Toto teams'!$E$4:$E$119,MATCH($B30,' Toto teams'!$A$4:$A$119,0)),Scoring!$A$4:$N$51,8,FALSE()),0)+1*IFERROR(VLOOKUP(INDEX(' Toto teams'!$F$4:$F$119,MATCH($B30,' Toto teams'!$A$4:$A$119,0)),Scoring!$A$4:$N$51,8,FALSE()),0)+1*IFERROR(VLOOKUP(INDEX(' Toto teams'!$G$4:$G$119,MATCH($B30,' Toto teams'!$A$4:$A$119,0)),Scoring!$A$4:$N$51,8,FALSE()),0)+1*IFERROR(VLOOKUP(INDEX(' Toto teams'!$H$4:$H$119,MATCH($B30,' Toto teams'!$A$4:$A$119,0)),Scoring!$A$4:$N$51,8,FALSE()),0))</f>
        <v>0</v>
      </c>
      <c r="F30" s="28">
        <f>IF($B30="","",6*IFERROR(VLOOKUP(INDEX(' Toto teams'!$B$4:$B$119,MATCH($B30,' Toto teams'!$A$4:$A$119,0)),Scoring!$A$4:$N$51,9,FALSE()),0)+4*IFERROR(VLOOKUP(INDEX(' Toto teams'!$C$4:$C$119,MATCH($B30,' Toto teams'!$A$4:$A$119,0)),Scoring!$A$4:$N$51,9,FALSE()),0)+3*IFERROR(VLOOKUP(INDEX(' Toto teams'!$D$4:$D$119,MATCH($B30,' Toto teams'!$A$4:$A$119,0)),Scoring!$A$4:$N$51,9,FALSE()),0)+2*IFERROR(VLOOKUP(INDEX(' Toto teams'!$E$4:$E$119,MATCH($B30,' Toto teams'!$A$4:$A$119,0)),Scoring!$A$4:$N$51,9,FALSE()),0)+1*IFERROR(VLOOKUP(INDEX(' Toto teams'!$F$4:$F$119,MATCH($B30,' Toto teams'!$A$4:$A$119,0)),Scoring!$A$4:$N$51,9,FALSE()),0)+1*IFERROR(VLOOKUP(INDEX(' Toto teams'!$G$4:$G$119,MATCH($B30,' Toto teams'!$A$4:$A$119,0)),Scoring!$A$4:$N$51,9,FALSE()),0)+1*IFERROR(VLOOKUP(INDEX(' Toto teams'!$H$4:$H$119,MATCH($B30,' Toto teams'!$A$4:$A$119,0)),Scoring!$A$4:$N$51,9,FALSE()),0))</f>
        <v>0</v>
      </c>
      <c r="G30" s="28">
        <f>IF($B30="","",6*IFERROR(VLOOKUP(INDEX(' Toto teams'!$B$4:$B$119,MATCH($B30,' Toto teams'!$A$4:$A$119,0)),Scoring!$A$4:$N$51,10,FALSE()),0)+4*IFERROR(VLOOKUP(INDEX(' Toto teams'!$C$4:$C$119,MATCH($B30,' Toto teams'!$A$4:$A$119,0)),Scoring!$A$4:$N$51,10,FALSE()),0)+3*IFERROR(VLOOKUP(INDEX(' Toto teams'!$D$4:$D$119,MATCH($B30,' Toto teams'!$A$4:$A$119,0)),Scoring!$A$4:$N$51,10,FALSE()),0)+2*IFERROR(VLOOKUP(INDEX(' Toto teams'!$E$4:$E$119,MATCH($B30,' Toto teams'!$A$4:$A$119,0)),Scoring!$A$4:$N$51,10,FALSE()),0)+1*IFERROR(VLOOKUP(INDEX(' Toto teams'!$F$4:$F$119,MATCH($B30,' Toto teams'!$A$4:$A$119,0)),Scoring!$A$4:$N$51,10,FALSE()),0)+1*IFERROR(VLOOKUP(INDEX(' Toto teams'!$G$4:$G$119,MATCH($B30,' Toto teams'!$A$4:$A$119,0)),Scoring!$A$4:$N$51,10,FALSE()),0)+1*IFERROR(VLOOKUP(INDEX(' Toto teams'!$H$4:$H$119,MATCH($B30,' Toto teams'!$A$4:$A$119,0)),Scoring!$A$4:$N$51,10,FALSE()),0))</f>
        <v>0</v>
      </c>
      <c r="H30" s="28">
        <f>IF($B30="","",6*IFERROR(VLOOKUP(INDEX(' Toto teams'!$B$4:$B$119,MATCH($B30,' Toto teams'!$A$4:$A$119,0)),Scoring!$A$4:$N$51,11,FALSE()),0)+4*IFERROR(VLOOKUP(INDEX(' Toto teams'!$C$4:$C$119,MATCH($B30,' Toto teams'!$A$4:$A$119,0)),Scoring!$A$4:$N$51,11,FALSE()),0)+3*IFERROR(VLOOKUP(INDEX(' Toto teams'!$D$4:$D$119,MATCH($B30,' Toto teams'!$A$4:$A$119,0)),Scoring!$A$4:$N$51,11,FALSE()),0)+2*IFERROR(VLOOKUP(INDEX(' Toto teams'!$E$4:$E$119,MATCH($B30,' Toto teams'!$A$4:$A$119,0)),Scoring!$A$4:$N$51,11,FALSE()),0)+1*IFERROR(VLOOKUP(INDEX(' Toto teams'!$F$4:$F$119,MATCH($B30,' Toto teams'!$A$4:$A$119,0)),Scoring!$A$4:$N$51,11,FALSE()),0)+1*IFERROR(VLOOKUP(INDEX(' Toto teams'!$G$4:$G$119,MATCH($B30,' Toto teams'!$A$4:$A$119,0)),Scoring!$A$4:$N$51,11,FALSE()),0)+1*IFERROR(VLOOKUP(INDEX(' Toto teams'!$H$4:$H$119,MATCH($B30,' Toto teams'!$A$4:$A$119,0)),Scoring!$A$4:$N$51,11,FALSE()),0))</f>
        <v>0</v>
      </c>
      <c r="I30" s="28">
        <f>IF($B30="","",6*IFERROR(VLOOKUP(INDEX(' Toto teams'!$B$4:$B$119,MATCH($B30,' Toto teams'!$A$4:$A$119,0)),Scoring!$A$4:$O$51,15,FALSE()),0)+4*IFERROR(VLOOKUP(INDEX(' Toto teams'!$C$4:$C$119,MATCH($B30,' Toto teams'!$A$4:$A$119,0)),Scoring!$A$4:$O$51,15,FALSE()),0)+3*IFERROR(VLOOKUP(INDEX(' Toto teams'!$D$4:$D$119,MATCH($B30,' Toto teams'!$A$4:$A$119,0)),Scoring!$A$4:$O$51,15,FALSE()),0)+2*IFERROR(VLOOKUP(INDEX(' Toto teams'!$E$4:$E$119,MATCH($B30,' Toto teams'!$A$4:$A$119,0)),Scoring!$A$4:$O$51,15,FALSE()),0)+1*IFERROR(VLOOKUP(INDEX(' Toto teams'!$F$4:$F$119,MATCH($B30,' Toto teams'!$A$4:$A$119,0)),Scoring!$A$4:$O$51,15,FALSE()),0)+1*IFERROR(VLOOKUP(INDEX(' Toto teams'!$G$4:$G$119,MATCH($B30,' Toto teams'!$A$4:$A$119,0)),Scoring!$A$4:$O$51,15,FALSE()),0)+1*IFERROR(VLOOKUP(INDEX(' Toto teams'!$H$4:$H$119,MATCH($B30,' Toto teams'!$A$4:$A$119,0)),Scoring!$A$4:$O$51,15,FALSE()),0))</f>
        <v>0</v>
      </c>
      <c r="J30" s="28">
        <f>IF($B30="","",6*IFERROR(VLOOKUP(INDEX(' Toto teams'!$B$4:$B$119,MATCH($B30,' Toto teams'!$A$4:$A$119,0)),Scoring!$A$4:$N$51,12,FALSE()),0)+4*IFERROR(VLOOKUP(INDEX(' Toto teams'!$C$4:$C$119,MATCH($B30,' Toto teams'!$A$4:$A$119,0)),Scoring!$A$4:$N$51,12,FALSE()),0)+3*IFERROR(VLOOKUP(INDEX(' Toto teams'!$D$4:$D$119,MATCH($B30,' Toto teams'!$A$4:$A$119,0)),Scoring!$A$4:$N$51,12,FALSE()),0)+2*IFERROR(VLOOKUP(INDEX(' Toto teams'!$E$4:$E$119,MATCH($B30,' Toto teams'!$A$4:$A$119,0)),Scoring!$A$4:$N$51,12,FALSE()),0)+1*IFERROR(VLOOKUP(INDEX(' Toto teams'!$F$4:$F$119,MATCH($B30,' Toto teams'!$A$4:$A$119,0)),Scoring!$A$4:$N$51,12,FALSE()),0)+1*IFERROR(VLOOKUP(INDEX(' Toto teams'!$G$4:$G$119,MATCH($B30,' Toto teams'!$A$4:$A$119,0)),Scoring!$A$4:$N$51,12,FALSE()),0)+1*IFERROR(VLOOKUP(INDEX(' Toto teams'!$H$4:$H$119,MATCH($B30,' Toto teams'!$A$4:$A$119,0)),Scoring!$A$4:$N$51,12,FALSE()),0))</f>
        <v>0</v>
      </c>
      <c r="K30" s="29">
        <f>IF($B30="","",IFERROR(INDEX(' Toto teams'!$R$4:$R$119,MATCH($B30,' Toto teams'!$A$4:$A$119,0)),""))</f>
        <v>3</v>
      </c>
      <c r="L30" s="30">
        <f t="shared" si="0"/>
        <v>0</v>
      </c>
    </row>
    <row r="31" spans="1:12" ht="12.75" customHeight="1" x14ac:dyDescent="0.3">
      <c r="A31" s="26">
        <f>IF(28&gt;COUNTIF(' Toto teams'!$A$4:$A$119,"&lt;&gt;"),"",INDEX(' Toto teams'!$S$4:$S$119,MATCH(LARGE(' Toto teams'!$T$4:$T$119,28),' Toto teams'!$T$4:$T$119,0)))</f>
        <v>22</v>
      </c>
      <c r="B31" s="27" t="str">
        <f>IF(28&gt;COUNTIF(' Toto teams'!$A$4:$A$119,"&lt;&gt;"),"",INDEX(' Toto teams'!$A$4:$A$119,MATCH(LARGE(' Toto teams'!$T$4:$T$119,28),' Toto teams'!$T$4:$T$119,0)))</f>
        <v>Nikolay Lenkov</v>
      </c>
      <c r="C31" s="28">
        <f>IF($B31="","",6*(IFERROR(VLOOKUP(INDEX(' Toto teams'!$B$4:$B$119,MATCH($B31,' Toto teams'!$A$4:$A$119,0)),Scoring!$A$4:$N$51,3,FALSE()),0)+IFERROR(VLOOKUP(INDEX(' Toto teams'!$B$4:$B$119,MATCH($B31,' Toto teams'!$A$4:$A$119,0)),Scoring!$A$4:$N$51,4,FALSE()),0)+IFERROR(VLOOKUP(INDEX(' Toto teams'!$B$4:$B$119,MATCH($B31,' Toto teams'!$A$4:$A$119,0)),Scoring!$A$4:$N$51,5,FALSE()),0))+4*(IFERROR(VLOOKUP(INDEX(' Toto teams'!$C$4:$C$119,MATCH($B31,' Toto teams'!$A$4:$A$119,0)),Scoring!$A$4:$N$51,3,FALSE()),0)+IFERROR(VLOOKUP(INDEX(' Toto teams'!$C$4:$C$119,MATCH($B31,' Toto teams'!$A$4:$A$119,0)),Scoring!$A$4:$N$51,4,FALSE()),0)+IFERROR(VLOOKUP(INDEX(' Toto teams'!$C$4:$C$119,MATCH($B31,' Toto teams'!$A$4:$A$119,0)),Scoring!$A$4:$N$51,5,FALSE()),0))+3*(IFERROR(VLOOKUP(INDEX(' Toto teams'!$D$4:$D$119,MATCH($B31,' Toto teams'!$A$4:$A$119,0)),Scoring!$A$4:$N$51,3,FALSE()),0)+IFERROR(VLOOKUP(INDEX(' Toto teams'!$D$4:$D$119,MATCH($B31,' Toto teams'!$A$4:$A$119,0)),Scoring!$A$4:$N$51,4,FALSE()),0)+IFERROR(VLOOKUP(INDEX(' Toto teams'!$D$4:$D$119,MATCH($B31,' Toto teams'!$A$4:$A$119,0)),Scoring!$A$4:$N$51,5,FALSE()),0))+2*(IFERROR(VLOOKUP(INDEX(' Toto teams'!$E$4:$E$119,MATCH($B31,' Toto teams'!$A$4:$A$119,0)),Scoring!$A$4:$N$51,3,FALSE()),0)+IFERROR(VLOOKUP(INDEX(' Toto teams'!$E$4:$E$119,MATCH($B31,' Toto teams'!$A$4:$A$119,0)),Scoring!$A$4:$N$51,4,FALSE()),0)+IFERROR(VLOOKUP(INDEX(' Toto teams'!$E$4:$E$119,MATCH($B31,' Toto teams'!$A$4:$A$119,0)),Scoring!$A$4:$N$51,5,FALSE()),0))+1*(IFERROR(VLOOKUP(INDEX(' Toto teams'!$F$4:$F$119,MATCH($B31,' Toto teams'!$A$4:$A$119,0)),Scoring!$A$4:$N$51,3,FALSE()),0)+IFERROR(VLOOKUP(INDEX(' Toto teams'!$F$4:$F$119,MATCH($B31,' Toto teams'!$A$4:$A$119,0)),Scoring!$A$4:$N$51,4,FALSE()),0)+IFERROR(VLOOKUP(INDEX(' Toto teams'!$F$4:$F$119,MATCH($B31,' Toto teams'!$A$4:$A$119,0)),Scoring!$A$4:$N$51,5,FALSE()),0))+1*(IFERROR(VLOOKUP(INDEX(' Toto teams'!$G$4:$G$119,MATCH($B31,' Toto teams'!$A$4:$A$119,0)),Scoring!$A$4:$N$51,3,FALSE()),0)+IFERROR(VLOOKUP(INDEX(' Toto teams'!$G$4:$G$119,MATCH($B31,' Toto teams'!$A$4:$A$119,0)),Scoring!$A$4:$N$51,4,FALSE()),0)+IFERROR(VLOOKUP(INDEX(' Toto teams'!$G$4:$G$119,MATCH($B31,' Toto teams'!$A$4:$A$119,0)),Scoring!$A$4:$N$51,5,FALSE()),0))+1*(IFERROR(VLOOKUP(INDEX(' Toto teams'!$H$4:$H$119,MATCH($B31,' Toto teams'!$A$4:$A$119,0)),Scoring!$A$4:$N$51,3,FALSE()),0)+IFERROR(VLOOKUP(INDEX(' Toto teams'!$H$4:$H$119,MATCH($B31,' Toto teams'!$A$4:$A$119,0)),Scoring!$A$4:$N$51,4,FALSE()),0)+IFERROR(VLOOKUP(INDEX(' Toto teams'!$H$4:$H$119,MATCH($B31,' Toto teams'!$A$4:$A$119,0)),Scoring!$A$4:$N$51,5,FALSE()),0))+IFERROR(INDEX(' Toto teams'!$Q$4:$Q$119,MATCH($B31,' Toto teams'!$A$4:$A$119,0))*1,0))</f>
        <v>3</v>
      </c>
      <c r="D31" s="28">
        <f>IF($B31="","",6*IFERROR(VLOOKUP(INDEX(' Toto teams'!$B$4:$B$119,MATCH($B31,' Toto teams'!$A$4:$A$119,0)),Scoring!$A$4:$N$51,7,FALSE()),0)+4*IFERROR(VLOOKUP(INDEX(' Toto teams'!$C$4:$C$119,MATCH($B31,' Toto teams'!$A$4:$A$119,0)),Scoring!$A$4:$N$51,7,FALSE()),0)+3*IFERROR(VLOOKUP(INDEX(' Toto teams'!$D$4:$D$119,MATCH($B31,' Toto teams'!$A$4:$A$119,0)),Scoring!$A$4:$N$51,7,FALSE()),0)+2*IFERROR(VLOOKUP(INDEX(' Toto teams'!$E$4:$E$119,MATCH($B31,' Toto teams'!$A$4:$A$119,0)),Scoring!$A$4:$N$51,7,FALSE()),0)+1*IFERROR(VLOOKUP(INDEX(' Toto teams'!$F$4:$F$119,MATCH($B31,' Toto teams'!$A$4:$A$119,0)),Scoring!$A$4:$N$51,7,FALSE()),0)+1*IFERROR(VLOOKUP(INDEX(' Toto teams'!$G$4:$G$119,MATCH($B31,' Toto teams'!$A$4:$A$119,0)),Scoring!$A$4:$N$51,7,FALSE()),0)+1*IFERROR(VLOOKUP(INDEX(' Toto teams'!$H$4:$H$119,MATCH($B31,' Toto teams'!$A$4:$A$119,0)),Scoring!$A$4:$N$51,7,FALSE()),0))</f>
        <v>0</v>
      </c>
      <c r="E31" s="28">
        <f>IF($B31="","",6*IFERROR(VLOOKUP(INDEX(' Toto teams'!$B$4:$B$119,MATCH($B31,' Toto teams'!$A$4:$A$119,0)),Scoring!$A$4:$N$51,8,FALSE()),0)+4*IFERROR(VLOOKUP(INDEX(' Toto teams'!$C$4:$C$119,MATCH($B31,' Toto teams'!$A$4:$A$119,0)),Scoring!$A$4:$N$51,8,FALSE()),0)+3*IFERROR(VLOOKUP(INDEX(' Toto teams'!$D$4:$D$119,MATCH($B31,' Toto teams'!$A$4:$A$119,0)),Scoring!$A$4:$N$51,8,FALSE()),0)+2*IFERROR(VLOOKUP(INDEX(' Toto teams'!$E$4:$E$119,MATCH($B31,' Toto teams'!$A$4:$A$119,0)),Scoring!$A$4:$N$51,8,FALSE()),0)+1*IFERROR(VLOOKUP(INDEX(' Toto teams'!$F$4:$F$119,MATCH($B31,' Toto teams'!$A$4:$A$119,0)),Scoring!$A$4:$N$51,8,FALSE()),0)+1*IFERROR(VLOOKUP(INDEX(' Toto teams'!$G$4:$G$119,MATCH($B31,' Toto teams'!$A$4:$A$119,0)),Scoring!$A$4:$N$51,8,FALSE()),0)+1*IFERROR(VLOOKUP(INDEX(' Toto teams'!$H$4:$H$119,MATCH($B31,' Toto teams'!$A$4:$A$119,0)),Scoring!$A$4:$N$51,8,FALSE()),0))</f>
        <v>0</v>
      </c>
      <c r="F31" s="28">
        <f>IF($B31="","",6*IFERROR(VLOOKUP(INDEX(' Toto teams'!$B$4:$B$119,MATCH($B31,' Toto teams'!$A$4:$A$119,0)),Scoring!$A$4:$N$51,9,FALSE()),0)+4*IFERROR(VLOOKUP(INDEX(' Toto teams'!$C$4:$C$119,MATCH($B31,' Toto teams'!$A$4:$A$119,0)),Scoring!$A$4:$N$51,9,FALSE()),0)+3*IFERROR(VLOOKUP(INDEX(' Toto teams'!$D$4:$D$119,MATCH($B31,' Toto teams'!$A$4:$A$119,0)),Scoring!$A$4:$N$51,9,FALSE()),0)+2*IFERROR(VLOOKUP(INDEX(' Toto teams'!$E$4:$E$119,MATCH($B31,' Toto teams'!$A$4:$A$119,0)),Scoring!$A$4:$N$51,9,FALSE()),0)+1*IFERROR(VLOOKUP(INDEX(' Toto teams'!$F$4:$F$119,MATCH($B31,' Toto teams'!$A$4:$A$119,0)),Scoring!$A$4:$N$51,9,FALSE()),0)+1*IFERROR(VLOOKUP(INDEX(' Toto teams'!$G$4:$G$119,MATCH($B31,' Toto teams'!$A$4:$A$119,0)),Scoring!$A$4:$N$51,9,FALSE()),0)+1*IFERROR(VLOOKUP(INDEX(' Toto teams'!$H$4:$H$119,MATCH($B31,' Toto teams'!$A$4:$A$119,0)),Scoring!$A$4:$N$51,9,FALSE()),0))</f>
        <v>0</v>
      </c>
      <c r="G31" s="28">
        <f>IF($B31="","",6*IFERROR(VLOOKUP(INDEX(' Toto teams'!$B$4:$B$119,MATCH($B31,' Toto teams'!$A$4:$A$119,0)),Scoring!$A$4:$N$51,10,FALSE()),0)+4*IFERROR(VLOOKUP(INDEX(' Toto teams'!$C$4:$C$119,MATCH($B31,' Toto teams'!$A$4:$A$119,0)),Scoring!$A$4:$N$51,10,FALSE()),0)+3*IFERROR(VLOOKUP(INDEX(' Toto teams'!$D$4:$D$119,MATCH($B31,' Toto teams'!$A$4:$A$119,0)),Scoring!$A$4:$N$51,10,FALSE()),0)+2*IFERROR(VLOOKUP(INDEX(' Toto teams'!$E$4:$E$119,MATCH($B31,' Toto teams'!$A$4:$A$119,0)),Scoring!$A$4:$N$51,10,FALSE()),0)+1*IFERROR(VLOOKUP(INDEX(' Toto teams'!$F$4:$F$119,MATCH($B31,' Toto teams'!$A$4:$A$119,0)),Scoring!$A$4:$N$51,10,FALSE()),0)+1*IFERROR(VLOOKUP(INDEX(' Toto teams'!$G$4:$G$119,MATCH($B31,' Toto teams'!$A$4:$A$119,0)),Scoring!$A$4:$N$51,10,FALSE()),0)+1*IFERROR(VLOOKUP(INDEX(' Toto teams'!$H$4:$H$119,MATCH($B31,' Toto teams'!$A$4:$A$119,0)),Scoring!$A$4:$N$51,10,FALSE()),0))</f>
        <v>0</v>
      </c>
      <c r="H31" s="28">
        <f>IF($B31="","",6*IFERROR(VLOOKUP(INDEX(' Toto teams'!$B$4:$B$119,MATCH($B31,' Toto teams'!$A$4:$A$119,0)),Scoring!$A$4:$N$51,11,FALSE()),0)+4*IFERROR(VLOOKUP(INDEX(' Toto teams'!$C$4:$C$119,MATCH($B31,' Toto teams'!$A$4:$A$119,0)),Scoring!$A$4:$N$51,11,FALSE()),0)+3*IFERROR(VLOOKUP(INDEX(' Toto teams'!$D$4:$D$119,MATCH($B31,' Toto teams'!$A$4:$A$119,0)),Scoring!$A$4:$N$51,11,FALSE()),0)+2*IFERROR(VLOOKUP(INDEX(' Toto teams'!$E$4:$E$119,MATCH($B31,' Toto teams'!$A$4:$A$119,0)),Scoring!$A$4:$N$51,11,FALSE()),0)+1*IFERROR(VLOOKUP(INDEX(' Toto teams'!$F$4:$F$119,MATCH($B31,' Toto teams'!$A$4:$A$119,0)),Scoring!$A$4:$N$51,11,FALSE()),0)+1*IFERROR(VLOOKUP(INDEX(' Toto teams'!$G$4:$G$119,MATCH($B31,' Toto teams'!$A$4:$A$119,0)),Scoring!$A$4:$N$51,11,FALSE()),0)+1*IFERROR(VLOOKUP(INDEX(' Toto teams'!$H$4:$H$119,MATCH($B31,' Toto teams'!$A$4:$A$119,0)),Scoring!$A$4:$N$51,11,FALSE()),0))</f>
        <v>0</v>
      </c>
      <c r="I31" s="28">
        <f>IF($B31="","",6*IFERROR(VLOOKUP(INDEX(' Toto teams'!$B$4:$B$119,MATCH($B31,' Toto teams'!$A$4:$A$119,0)),Scoring!$A$4:$O$51,15,FALSE()),0)+4*IFERROR(VLOOKUP(INDEX(' Toto teams'!$C$4:$C$119,MATCH($B31,' Toto teams'!$A$4:$A$119,0)),Scoring!$A$4:$O$51,15,FALSE()),0)+3*IFERROR(VLOOKUP(INDEX(' Toto teams'!$D$4:$D$119,MATCH($B31,' Toto teams'!$A$4:$A$119,0)),Scoring!$A$4:$O$51,15,FALSE()),0)+2*IFERROR(VLOOKUP(INDEX(' Toto teams'!$E$4:$E$119,MATCH($B31,' Toto teams'!$A$4:$A$119,0)),Scoring!$A$4:$O$51,15,FALSE()),0)+1*IFERROR(VLOOKUP(INDEX(' Toto teams'!$F$4:$F$119,MATCH($B31,' Toto teams'!$A$4:$A$119,0)),Scoring!$A$4:$O$51,15,FALSE()),0)+1*IFERROR(VLOOKUP(INDEX(' Toto teams'!$G$4:$G$119,MATCH($B31,' Toto teams'!$A$4:$A$119,0)),Scoring!$A$4:$O$51,15,FALSE()),0)+1*IFERROR(VLOOKUP(INDEX(' Toto teams'!$H$4:$H$119,MATCH($B31,' Toto teams'!$A$4:$A$119,0)),Scoring!$A$4:$O$51,15,FALSE()),0))</f>
        <v>0</v>
      </c>
      <c r="J31" s="28">
        <f>IF($B31="","",6*IFERROR(VLOOKUP(INDEX(' Toto teams'!$B$4:$B$119,MATCH($B31,' Toto teams'!$A$4:$A$119,0)),Scoring!$A$4:$N$51,12,FALSE()),0)+4*IFERROR(VLOOKUP(INDEX(' Toto teams'!$C$4:$C$119,MATCH($B31,' Toto teams'!$A$4:$A$119,0)),Scoring!$A$4:$N$51,12,FALSE()),0)+3*IFERROR(VLOOKUP(INDEX(' Toto teams'!$D$4:$D$119,MATCH($B31,' Toto teams'!$A$4:$A$119,0)),Scoring!$A$4:$N$51,12,FALSE()),0)+2*IFERROR(VLOOKUP(INDEX(' Toto teams'!$E$4:$E$119,MATCH($B31,' Toto teams'!$A$4:$A$119,0)),Scoring!$A$4:$N$51,12,FALSE()),0)+1*IFERROR(VLOOKUP(INDEX(' Toto teams'!$F$4:$F$119,MATCH($B31,' Toto teams'!$A$4:$A$119,0)),Scoring!$A$4:$N$51,12,FALSE()),0)+1*IFERROR(VLOOKUP(INDEX(' Toto teams'!$G$4:$G$119,MATCH($B31,' Toto teams'!$A$4:$A$119,0)),Scoring!$A$4:$N$51,12,FALSE()),0)+1*IFERROR(VLOOKUP(INDEX(' Toto teams'!$H$4:$H$119,MATCH($B31,' Toto teams'!$A$4:$A$119,0)),Scoring!$A$4:$N$51,12,FALSE()),0))</f>
        <v>0</v>
      </c>
      <c r="K31" s="29">
        <f>IF($B31="","",IFERROR(INDEX(' Toto teams'!$R$4:$R$119,MATCH($B31,' Toto teams'!$A$4:$A$119,0)),""))</f>
        <v>3</v>
      </c>
      <c r="L31" s="30">
        <f t="shared" si="0"/>
        <v>0</v>
      </c>
    </row>
    <row r="32" spans="1:12" ht="12.75" customHeight="1" x14ac:dyDescent="0.3">
      <c r="A32" s="26">
        <f>IF(29&gt;COUNTIF(' Toto teams'!$A$4:$A$119,"&lt;&gt;"),"",INDEX(' Toto teams'!$S$4:$S$119,MATCH(LARGE(' Toto teams'!$T$4:$T$119,29),' Toto teams'!$T$4:$T$119,0)))</f>
        <v>22</v>
      </c>
      <c r="B32" s="27" t="str">
        <f>IF(29&gt;COUNTIF(' Toto teams'!$A$4:$A$119,"&lt;&gt;"),"",INDEX(' Toto teams'!$A$4:$A$119,MATCH(LARGE(' Toto teams'!$T$4:$T$119,29),' Toto teams'!$T$4:$T$119,0)))</f>
        <v>Sergey Zhaltuchin</v>
      </c>
      <c r="C32" s="28">
        <f>IF($B32="","",6*(IFERROR(VLOOKUP(INDEX(' Toto teams'!$B$4:$B$119,MATCH($B32,' Toto teams'!$A$4:$A$119,0)),Scoring!$A$4:$N$51,3,FALSE()),0)+IFERROR(VLOOKUP(INDEX(' Toto teams'!$B$4:$B$119,MATCH($B32,' Toto teams'!$A$4:$A$119,0)),Scoring!$A$4:$N$51,4,FALSE()),0)+IFERROR(VLOOKUP(INDEX(' Toto teams'!$B$4:$B$119,MATCH($B32,' Toto teams'!$A$4:$A$119,0)),Scoring!$A$4:$N$51,5,FALSE()),0))+4*(IFERROR(VLOOKUP(INDEX(' Toto teams'!$C$4:$C$119,MATCH($B32,' Toto teams'!$A$4:$A$119,0)),Scoring!$A$4:$N$51,3,FALSE()),0)+IFERROR(VLOOKUP(INDEX(' Toto teams'!$C$4:$C$119,MATCH($B32,' Toto teams'!$A$4:$A$119,0)),Scoring!$A$4:$N$51,4,FALSE()),0)+IFERROR(VLOOKUP(INDEX(' Toto teams'!$C$4:$C$119,MATCH($B32,' Toto teams'!$A$4:$A$119,0)),Scoring!$A$4:$N$51,5,FALSE()),0))+3*(IFERROR(VLOOKUP(INDEX(' Toto teams'!$D$4:$D$119,MATCH($B32,' Toto teams'!$A$4:$A$119,0)),Scoring!$A$4:$N$51,3,FALSE()),0)+IFERROR(VLOOKUP(INDEX(' Toto teams'!$D$4:$D$119,MATCH($B32,' Toto teams'!$A$4:$A$119,0)),Scoring!$A$4:$N$51,4,FALSE()),0)+IFERROR(VLOOKUP(INDEX(' Toto teams'!$D$4:$D$119,MATCH($B32,' Toto teams'!$A$4:$A$119,0)),Scoring!$A$4:$N$51,5,FALSE()),0))+2*(IFERROR(VLOOKUP(INDEX(' Toto teams'!$E$4:$E$119,MATCH($B32,' Toto teams'!$A$4:$A$119,0)),Scoring!$A$4:$N$51,3,FALSE()),0)+IFERROR(VLOOKUP(INDEX(' Toto teams'!$E$4:$E$119,MATCH($B32,' Toto teams'!$A$4:$A$119,0)),Scoring!$A$4:$N$51,4,FALSE()),0)+IFERROR(VLOOKUP(INDEX(' Toto teams'!$E$4:$E$119,MATCH($B32,' Toto teams'!$A$4:$A$119,0)),Scoring!$A$4:$N$51,5,FALSE()),0))+1*(IFERROR(VLOOKUP(INDEX(' Toto teams'!$F$4:$F$119,MATCH($B32,' Toto teams'!$A$4:$A$119,0)),Scoring!$A$4:$N$51,3,FALSE()),0)+IFERROR(VLOOKUP(INDEX(' Toto teams'!$F$4:$F$119,MATCH($B32,' Toto teams'!$A$4:$A$119,0)),Scoring!$A$4:$N$51,4,FALSE()),0)+IFERROR(VLOOKUP(INDEX(' Toto teams'!$F$4:$F$119,MATCH($B32,' Toto teams'!$A$4:$A$119,0)),Scoring!$A$4:$N$51,5,FALSE()),0))+1*(IFERROR(VLOOKUP(INDEX(' Toto teams'!$G$4:$G$119,MATCH($B32,' Toto teams'!$A$4:$A$119,0)),Scoring!$A$4:$N$51,3,FALSE()),0)+IFERROR(VLOOKUP(INDEX(' Toto teams'!$G$4:$G$119,MATCH($B32,' Toto teams'!$A$4:$A$119,0)),Scoring!$A$4:$N$51,4,FALSE()),0)+IFERROR(VLOOKUP(INDEX(' Toto teams'!$G$4:$G$119,MATCH($B32,' Toto teams'!$A$4:$A$119,0)),Scoring!$A$4:$N$51,5,FALSE()),0))+1*(IFERROR(VLOOKUP(INDEX(' Toto teams'!$H$4:$H$119,MATCH($B32,' Toto teams'!$A$4:$A$119,0)),Scoring!$A$4:$N$51,3,FALSE()),0)+IFERROR(VLOOKUP(INDEX(' Toto teams'!$H$4:$H$119,MATCH($B32,' Toto teams'!$A$4:$A$119,0)),Scoring!$A$4:$N$51,4,FALSE()),0)+IFERROR(VLOOKUP(INDEX(' Toto teams'!$H$4:$H$119,MATCH($B32,' Toto teams'!$A$4:$A$119,0)),Scoring!$A$4:$N$51,5,FALSE()),0))+IFERROR(INDEX(' Toto teams'!$Q$4:$Q$119,MATCH($B32,' Toto teams'!$A$4:$A$119,0))*1,0))</f>
        <v>3</v>
      </c>
      <c r="D32" s="28">
        <f>IF($B32="","",6*IFERROR(VLOOKUP(INDEX(' Toto teams'!$B$4:$B$119,MATCH($B32,' Toto teams'!$A$4:$A$119,0)),Scoring!$A$4:$N$51,7,FALSE()),0)+4*IFERROR(VLOOKUP(INDEX(' Toto teams'!$C$4:$C$119,MATCH($B32,' Toto teams'!$A$4:$A$119,0)),Scoring!$A$4:$N$51,7,FALSE()),0)+3*IFERROR(VLOOKUP(INDEX(' Toto teams'!$D$4:$D$119,MATCH($B32,' Toto teams'!$A$4:$A$119,0)),Scoring!$A$4:$N$51,7,FALSE()),0)+2*IFERROR(VLOOKUP(INDEX(' Toto teams'!$E$4:$E$119,MATCH($B32,' Toto teams'!$A$4:$A$119,0)),Scoring!$A$4:$N$51,7,FALSE()),0)+1*IFERROR(VLOOKUP(INDEX(' Toto teams'!$F$4:$F$119,MATCH($B32,' Toto teams'!$A$4:$A$119,0)),Scoring!$A$4:$N$51,7,FALSE()),0)+1*IFERROR(VLOOKUP(INDEX(' Toto teams'!$G$4:$G$119,MATCH($B32,' Toto teams'!$A$4:$A$119,0)),Scoring!$A$4:$N$51,7,FALSE()),0)+1*IFERROR(VLOOKUP(INDEX(' Toto teams'!$H$4:$H$119,MATCH($B32,' Toto teams'!$A$4:$A$119,0)),Scoring!$A$4:$N$51,7,FALSE()),0))</f>
        <v>0</v>
      </c>
      <c r="E32" s="28">
        <f>IF($B32="","",6*IFERROR(VLOOKUP(INDEX(' Toto teams'!$B$4:$B$119,MATCH($B32,' Toto teams'!$A$4:$A$119,0)),Scoring!$A$4:$N$51,8,FALSE()),0)+4*IFERROR(VLOOKUP(INDEX(' Toto teams'!$C$4:$C$119,MATCH($B32,' Toto teams'!$A$4:$A$119,0)),Scoring!$A$4:$N$51,8,FALSE()),0)+3*IFERROR(VLOOKUP(INDEX(' Toto teams'!$D$4:$D$119,MATCH($B32,' Toto teams'!$A$4:$A$119,0)),Scoring!$A$4:$N$51,8,FALSE()),0)+2*IFERROR(VLOOKUP(INDEX(' Toto teams'!$E$4:$E$119,MATCH($B32,' Toto teams'!$A$4:$A$119,0)),Scoring!$A$4:$N$51,8,FALSE()),0)+1*IFERROR(VLOOKUP(INDEX(' Toto teams'!$F$4:$F$119,MATCH($B32,' Toto teams'!$A$4:$A$119,0)),Scoring!$A$4:$N$51,8,FALSE()),0)+1*IFERROR(VLOOKUP(INDEX(' Toto teams'!$G$4:$G$119,MATCH($B32,' Toto teams'!$A$4:$A$119,0)),Scoring!$A$4:$N$51,8,FALSE()),0)+1*IFERROR(VLOOKUP(INDEX(' Toto teams'!$H$4:$H$119,MATCH($B32,' Toto teams'!$A$4:$A$119,0)),Scoring!$A$4:$N$51,8,FALSE()),0))</f>
        <v>0</v>
      </c>
      <c r="F32" s="28">
        <f>IF($B32="","",6*IFERROR(VLOOKUP(INDEX(' Toto teams'!$B$4:$B$119,MATCH($B32,' Toto teams'!$A$4:$A$119,0)),Scoring!$A$4:$N$51,9,FALSE()),0)+4*IFERROR(VLOOKUP(INDEX(' Toto teams'!$C$4:$C$119,MATCH($B32,' Toto teams'!$A$4:$A$119,0)),Scoring!$A$4:$N$51,9,FALSE()),0)+3*IFERROR(VLOOKUP(INDEX(' Toto teams'!$D$4:$D$119,MATCH($B32,' Toto teams'!$A$4:$A$119,0)),Scoring!$A$4:$N$51,9,FALSE()),0)+2*IFERROR(VLOOKUP(INDEX(' Toto teams'!$E$4:$E$119,MATCH($B32,' Toto teams'!$A$4:$A$119,0)),Scoring!$A$4:$N$51,9,FALSE()),0)+1*IFERROR(VLOOKUP(INDEX(' Toto teams'!$F$4:$F$119,MATCH($B32,' Toto teams'!$A$4:$A$119,0)),Scoring!$A$4:$N$51,9,FALSE()),0)+1*IFERROR(VLOOKUP(INDEX(' Toto teams'!$G$4:$G$119,MATCH($B32,' Toto teams'!$A$4:$A$119,0)),Scoring!$A$4:$N$51,9,FALSE()),0)+1*IFERROR(VLOOKUP(INDEX(' Toto teams'!$H$4:$H$119,MATCH($B32,' Toto teams'!$A$4:$A$119,0)),Scoring!$A$4:$N$51,9,FALSE()),0))</f>
        <v>0</v>
      </c>
      <c r="G32" s="28">
        <f>IF($B32="","",6*IFERROR(VLOOKUP(INDEX(' Toto teams'!$B$4:$B$119,MATCH($B32,' Toto teams'!$A$4:$A$119,0)),Scoring!$A$4:$N$51,10,FALSE()),0)+4*IFERROR(VLOOKUP(INDEX(' Toto teams'!$C$4:$C$119,MATCH($B32,' Toto teams'!$A$4:$A$119,0)),Scoring!$A$4:$N$51,10,FALSE()),0)+3*IFERROR(VLOOKUP(INDEX(' Toto teams'!$D$4:$D$119,MATCH($B32,' Toto teams'!$A$4:$A$119,0)),Scoring!$A$4:$N$51,10,FALSE()),0)+2*IFERROR(VLOOKUP(INDEX(' Toto teams'!$E$4:$E$119,MATCH($B32,' Toto teams'!$A$4:$A$119,0)),Scoring!$A$4:$N$51,10,FALSE()),0)+1*IFERROR(VLOOKUP(INDEX(' Toto teams'!$F$4:$F$119,MATCH($B32,' Toto teams'!$A$4:$A$119,0)),Scoring!$A$4:$N$51,10,FALSE()),0)+1*IFERROR(VLOOKUP(INDEX(' Toto teams'!$G$4:$G$119,MATCH($B32,' Toto teams'!$A$4:$A$119,0)),Scoring!$A$4:$N$51,10,FALSE()),0)+1*IFERROR(VLOOKUP(INDEX(' Toto teams'!$H$4:$H$119,MATCH($B32,' Toto teams'!$A$4:$A$119,0)),Scoring!$A$4:$N$51,10,FALSE()),0))</f>
        <v>0</v>
      </c>
      <c r="H32" s="28">
        <f>IF($B32="","",6*IFERROR(VLOOKUP(INDEX(' Toto teams'!$B$4:$B$119,MATCH($B32,' Toto teams'!$A$4:$A$119,0)),Scoring!$A$4:$N$51,11,FALSE()),0)+4*IFERROR(VLOOKUP(INDEX(' Toto teams'!$C$4:$C$119,MATCH($B32,' Toto teams'!$A$4:$A$119,0)),Scoring!$A$4:$N$51,11,FALSE()),0)+3*IFERROR(VLOOKUP(INDEX(' Toto teams'!$D$4:$D$119,MATCH($B32,' Toto teams'!$A$4:$A$119,0)),Scoring!$A$4:$N$51,11,FALSE()),0)+2*IFERROR(VLOOKUP(INDEX(' Toto teams'!$E$4:$E$119,MATCH($B32,' Toto teams'!$A$4:$A$119,0)),Scoring!$A$4:$N$51,11,FALSE()),0)+1*IFERROR(VLOOKUP(INDEX(' Toto teams'!$F$4:$F$119,MATCH($B32,' Toto teams'!$A$4:$A$119,0)),Scoring!$A$4:$N$51,11,FALSE()),0)+1*IFERROR(VLOOKUP(INDEX(' Toto teams'!$G$4:$G$119,MATCH($B32,' Toto teams'!$A$4:$A$119,0)),Scoring!$A$4:$N$51,11,FALSE()),0)+1*IFERROR(VLOOKUP(INDEX(' Toto teams'!$H$4:$H$119,MATCH($B32,' Toto teams'!$A$4:$A$119,0)),Scoring!$A$4:$N$51,11,FALSE()),0))</f>
        <v>0</v>
      </c>
      <c r="I32" s="28">
        <f>IF($B32="","",6*IFERROR(VLOOKUP(INDEX(' Toto teams'!$B$4:$B$119,MATCH($B32,' Toto teams'!$A$4:$A$119,0)),Scoring!$A$4:$O$51,15,FALSE()),0)+4*IFERROR(VLOOKUP(INDEX(' Toto teams'!$C$4:$C$119,MATCH($B32,' Toto teams'!$A$4:$A$119,0)),Scoring!$A$4:$O$51,15,FALSE()),0)+3*IFERROR(VLOOKUP(INDEX(' Toto teams'!$D$4:$D$119,MATCH($B32,' Toto teams'!$A$4:$A$119,0)),Scoring!$A$4:$O$51,15,FALSE()),0)+2*IFERROR(VLOOKUP(INDEX(' Toto teams'!$E$4:$E$119,MATCH($B32,' Toto teams'!$A$4:$A$119,0)),Scoring!$A$4:$O$51,15,FALSE()),0)+1*IFERROR(VLOOKUP(INDEX(' Toto teams'!$F$4:$F$119,MATCH($B32,' Toto teams'!$A$4:$A$119,0)),Scoring!$A$4:$O$51,15,FALSE()),0)+1*IFERROR(VLOOKUP(INDEX(' Toto teams'!$G$4:$G$119,MATCH($B32,' Toto teams'!$A$4:$A$119,0)),Scoring!$A$4:$O$51,15,FALSE()),0)+1*IFERROR(VLOOKUP(INDEX(' Toto teams'!$H$4:$H$119,MATCH($B32,' Toto teams'!$A$4:$A$119,0)),Scoring!$A$4:$O$51,15,FALSE()),0))</f>
        <v>0</v>
      </c>
      <c r="J32" s="28">
        <f>IF($B32="","",6*IFERROR(VLOOKUP(INDEX(' Toto teams'!$B$4:$B$119,MATCH($B32,' Toto teams'!$A$4:$A$119,0)),Scoring!$A$4:$N$51,12,FALSE()),0)+4*IFERROR(VLOOKUP(INDEX(' Toto teams'!$C$4:$C$119,MATCH($B32,' Toto teams'!$A$4:$A$119,0)),Scoring!$A$4:$N$51,12,FALSE()),0)+3*IFERROR(VLOOKUP(INDEX(' Toto teams'!$D$4:$D$119,MATCH($B32,' Toto teams'!$A$4:$A$119,0)),Scoring!$A$4:$N$51,12,FALSE()),0)+2*IFERROR(VLOOKUP(INDEX(' Toto teams'!$E$4:$E$119,MATCH($B32,' Toto teams'!$A$4:$A$119,0)),Scoring!$A$4:$N$51,12,FALSE()),0)+1*IFERROR(VLOOKUP(INDEX(' Toto teams'!$F$4:$F$119,MATCH($B32,' Toto teams'!$A$4:$A$119,0)),Scoring!$A$4:$N$51,12,FALSE()),0)+1*IFERROR(VLOOKUP(INDEX(' Toto teams'!$G$4:$G$119,MATCH($B32,' Toto teams'!$A$4:$A$119,0)),Scoring!$A$4:$N$51,12,FALSE()),0)+1*IFERROR(VLOOKUP(INDEX(' Toto teams'!$H$4:$H$119,MATCH($B32,' Toto teams'!$A$4:$A$119,0)),Scoring!$A$4:$N$51,12,FALSE()),0))</f>
        <v>0</v>
      </c>
      <c r="K32" s="29">
        <f>IF($B32="","",IFERROR(INDEX(' Toto teams'!$R$4:$R$119,MATCH($B32,' Toto teams'!$A$4:$A$119,0)),""))</f>
        <v>3</v>
      </c>
      <c r="L32" s="30">
        <f t="shared" si="0"/>
        <v>0</v>
      </c>
    </row>
    <row r="33" spans="1:12" ht="12.75" customHeight="1" x14ac:dyDescent="0.3">
      <c r="A33" s="26">
        <f>IF(30&gt;COUNTIF(' Toto teams'!$A$4:$A$119,"&lt;&gt;"),"",INDEX(' Toto teams'!$S$4:$S$119,MATCH(LARGE(' Toto teams'!$T$4:$T$119,30),' Toto teams'!$T$4:$T$119,0)))</f>
        <v>22</v>
      </c>
      <c r="B33" s="27" t="str">
        <f>IF(30&gt;COUNTIF(' Toto teams'!$A$4:$A$119,"&lt;&gt;"),"",INDEX(' Toto teams'!$A$4:$A$119,MATCH(LARGE(' Toto teams'!$T$4:$T$119,30),' Toto teams'!$T$4:$T$119,0)))</f>
        <v>Enrico Ancarola, Pietro Rivera, Riccardo Gatti</v>
      </c>
      <c r="C33" s="28">
        <f>IF($B33="","",6*(IFERROR(VLOOKUP(INDEX(' Toto teams'!$B$4:$B$119,MATCH($B33,' Toto teams'!$A$4:$A$119,0)),Scoring!$A$4:$N$51,3,FALSE()),0)+IFERROR(VLOOKUP(INDEX(' Toto teams'!$B$4:$B$119,MATCH($B33,' Toto teams'!$A$4:$A$119,0)),Scoring!$A$4:$N$51,4,FALSE()),0)+IFERROR(VLOOKUP(INDEX(' Toto teams'!$B$4:$B$119,MATCH($B33,' Toto teams'!$A$4:$A$119,0)),Scoring!$A$4:$N$51,5,FALSE()),0))+4*(IFERROR(VLOOKUP(INDEX(' Toto teams'!$C$4:$C$119,MATCH($B33,' Toto teams'!$A$4:$A$119,0)),Scoring!$A$4:$N$51,3,FALSE()),0)+IFERROR(VLOOKUP(INDEX(' Toto teams'!$C$4:$C$119,MATCH($B33,' Toto teams'!$A$4:$A$119,0)),Scoring!$A$4:$N$51,4,FALSE()),0)+IFERROR(VLOOKUP(INDEX(' Toto teams'!$C$4:$C$119,MATCH($B33,' Toto teams'!$A$4:$A$119,0)),Scoring!$A$4:$N$51,5,FALSE()),0))+3*(IFERROR(VLOOKUP(INDEX(' Toto teams'!$D$4:$D$119,MATCH($B33,' Toto teams'!$A$4:$A$119,0)),Scoring!$A$4:$N$51,3,FALSE()),0)+IFERROR(VLOOKUP(INDEX(' Toto teams'!$D$4:$D$119,MATCH($B33,' Toto teams'!$A$4:$A$119,0)),Scoring!$A$4:$N$51,4,FALSE()),0)+IFERROR(VLOOKUP(INDEX(' Toto teams'!$D$4:$D$119,MATCH($B33,' Toto teams'!$A$4:$A$119,0)),Scoring!$A$4:$N$51,5,FALSE()),0))+2*(IFERROR(VLOOKUP(INDEX(' Toto teams'!$E$4:$E$119,MATCH($B33,' Toto teams'!$A$4:$A$119,0)),Scoring!$A$4:$N$51,3,FALSE()),0)+IFERROR(VLOOKUP(INDEX(' Toto teams'!$E$4:$E$119,MATCH($B33,' Toto teams'!$A$4:$A$119,0)),Scoring!$A$4:$N$51,4,FALSE()),0)+IFERROR(VLOOKUP(INDEX(' Toto teams'!$E$4:$E$119,MATCH($B33,' Toto teams'!$A$4:$A$119,0)),Scoring!$A$4:$N$51,5,FALSE()),0))+1*(IFERROR(VLOOKUP(INDEX(' Toto teams'!$F$4:$F$119,MATCH($B33,' Toto teams'!$A$4:$A$119,0)),Scoring!$A$4:$N$51,3,FALSE()),0)+IFERROR(VLOOKUP(INDEX(' Toto teams'!$F$4:$F$119,MATCH($B33,' Toto teams'!$A$4:$A$119,0)),Scoring!$A$4:$N$51,4,FALSE()),0)+IFERROR(VLOOKUP(INDEX(' Toto teams'!$F$4:$F$119,MATCH($B33,' Toto teams'!$A$4:$A$119,0)),Scoring!$A$4:$N$51,5,FALSE()),0))+1*(IFERROR(VLOOKUP(INDEX(' Toto teams'!$G$4:$G$119,MATCH($B33,' Toto teams'!$A$4:$A$119,0)),Scoring!$A$4:$N$51,3,FALSE()),0)+IFERROR(VLOOKUP(INDEX(' Toto teams'!$G$4:$G$119,MATCH($B33,' Toto teams'!$A$4:$A$119,0)),Scoring!$A$4:$N$51,4,FALSE()),0)+IFERROR(VLOOKUP(INDEX(' Toto teams'!$G$4:$G$119,MATCH($B33,' Toto teams'!$A$4:$A$119,0)),Scoring!$A$4:$N$51,5,FALSE()),0))+1*(IFERROR(VLOOKUP(INDEX(' Toto teams'!$H$4:$H$119,MATCH($B33,' Toto teams'!$A$4:$A$119,0)),Scoring!$A$4:$N$51,3,FALSE()),0)+IFERROR(VLOOKUP(INDEX(' Toto teams'!$H$4:$H$119,MATCH($B33,' Toto teams'!$A$4:$A$119,0)),Scoring!$A$4:$N$51,4,FALSE()),0)+IFERROR(VLOOKUP(INDEX(' Toto teams'!$H$4:$H$119,MATCH($B33,' Toto teams'!$A$4:$A$119,0)),Scoring!$A$4:$N$51,5,FALSE()),0))+IFERROR(INDEX(' Toto teams'!$Q$4:$Q$119,MATCH($B33,' Toto teams'!$A$4:$A$119,0))*1,0))</f>
        <v>3</v>
      </c>
      <c r="D33" s="28">
        <f>IF($B33="","",6*IFERROR(VLOOKUP(INDEX(' Toto teams'!$B$4:$B$119,MATCH($B33,' Toto teams'!$A$4:$A$119,0)),Scoring!$A$4:$N$51,7,FALSE()),0)+4*IFERROR(VLOOKUP(INDEX(' Toto teams'!$C$4:$C$119,MATCH($B33,' Toto teams'!$A$4:$A$119,0)),Scoring!$A$4:$N$51,7,FALSE()),0)+3*IFERROR(VLOOKUP(INDEX(' Toto teams'!$D$4:$D$119,MATCH($B33,' Toto teams'!$A$4:$A$119,0)),Scoring!$A$4:$N$51,7,FALSE()),0)+2*IFERROR(VLOOKUP(INDEX(' Toto teams'!$E$4:$E$119,MATCH($B33,' Toto teams'!$A$4:$A$119,0)),Scoring!$A$4:$N$51,7,FALSE()),0)+1*IFERROR(VLOOKUP(INDEX(' Toto teams'!$F$4:$F$119,MATCH($B33,' Toto teams'!$A$4:$A$119,0)),Scoring!$A$4:$N$51,7,FALSE()),0)+1*IFERROR(VLOOKUP(INDEX(' Toto teams'!$G$4:$G$119,MATCH($B33,' Toto teams'!$A$4:$A$119,0)),Scoring!$A$4:$N$51,7,FALSE()),0)+1*IFERROR(VLOOKUP(INDEX(' Toto teams'!$H$4:$H$119,MATCH($B33,' Toto teams'!$A$4:$A$119,0)),Scoring!$A$4:$N$51,7,FALSE()),0))</f>
        <v>0</v>
      </c>
      <c r="E33" s="28">
        <f>IF($B33="","",6*IFERROR(VLOOKUP(INDEX(' Toto teams'!$B$4:$B$119,MATCH($B33,' Toto teams'!$A$4:$A$119,0)),Scoring!$A$4:$N$51,8,FALSE()),0)+4*IFERROR(VLOOKUP(INDEX(' Toto teams'!$C$4:$C$119,MATCH($B33,' Toto teams'!$A$4:$A$119,0)),Scoring!$A$4:$N$51,8,FALSE()),0)+3*IFERROR(VLOOKUP(INDEX(' Toto teams'!$D$4:$D$119,MATCH($B33,' Toto teams'!$A$4:$A$119,0)),Scoring!$A$4:$N$51,8,FALSE()),0)+2*IFERROR(VLOOKUP(INDEX(' Toto teams'!$E$4:$E$119,MATCH($B33,' Toto teams'!$A$4:$A$119,0)),Scoring!$A$4:$N$51,8,FALSE()),0)+1*IFERROR(VLOOKUP(INDEX(' Toto teams'!$F$4:$F$119,MATCH($B33,' Toto teams'!$A$4:$A$119,0)),Scoring!$A$4:$N$51,8,FALSE()),0)+1*IFERROR(VLOOKUP(INDEX(' Toto teams'!$G$4:$G$119,MATCH($B33,' Toto teams'!$A$4:$A$119,0)),Scoring!$A$4:$N$51,8,FALSE()),0)+1*IFERROR(VLOOKUP(INDEX(' Toto teams'!$H$4:$H$119,MATCH($B33,' Toto teams'!$A$4:$A$119,0)),Scoring!$A$4:$N$51,8,FALSE()),0))</f>
        <v>0</v>
      </c>
      <c r="F33" s="28">
        <f>IF($B33="","",6*IFERROR(VLOOKUP(INDEX(' Toto teams'!$B$4:$B$119,MATCH($B33,' Toto teams'!$A$4:$A$119,0)),Scoring!$A$4:$N$51,9,FALSE()),0)+4*IFERROR(VLOOKUP(INDEX(' Toto teams'!$C$4:$C$119,MATCH($B33,' Toto teams'!$A$4:$A$119,0)),Scoring!$A$4:$N$51,9,FALSE()),0)+3*IFERROR(VLOOKUP(INDEX(' Toto teams'!$D$4:$D$119,MATCH($B33,' Toto teams'!$A$4:$A$119,0)),Scoring!$A$4:$N$51,9,FALSE()),0)+2*IFERROR(VLOOKUP(INDEX(' Toto teams'!$E$4:$E$119,MATCH($B33,' Toto teams'!$A$4:$A$119,0)),Scoring!$A$4:$N$51,9,FALSE()),0)+1*IFERROR(VLOOKUP(INDEX(' Toto teams'!$F$4:$F$119,MATCH($B33,' Toto teams'!$A$4:$A$119,0)),Scoring!$A$4:$N$51,9,FALSE()),0)+1*IFERROR(VLOOKUP(INDEX(' Toto teams'!$G$4:$G$119,MATCH($B33,' Toto teams'!$A$4:$A$119,0)),Scoring!$A$4:$N$51,9,FALSE()),0)+1*IFERROR(VLOOKUP(INDEX(' Toto teams'!$H$4:$H$119,MATCH($B33,' Toto teams'!$A$4:$A$119,0)),Scoring!$A$4:$N$51,9,FALSE()),0))</f>
        <v>0</v>
      </c>
      <c r="G33" s="28">
        <f>IF($B33="","",6*IFERROR(VLOOKUP(INDEX(' Toto teams'!$B$4:$B$119,MATCH($B33,' Toto teams'!$A$4:$A$119,0)),Scoring!$A$4:$N$51,10,FALSE()),0)+4*IFERROR(VLOOKUP(INDEX(' Toto teams'!$C$4:$C$119,MATCH($B33,' Toto teams'!$A$4:$A$119,0)),Scoring!$A$4:$N$51,10,FALSE()),0)+3*IFERROR(VLOOKUP(INDEX(' Toto teams'!$D$4:$D$119,MATCH($B33,' Toto teams'!$A$4:$A$119,0)),Scoring!$A$4:$N$51,10,FALSE()),0)+2*IFERROR(VLOOKUP(INDEX(' Toto teams'!$E$4:$E$119,MATCH($B33,' Toto teams'!$A$4:$A$119,0)),Scoring!$A$4:$N$51,10,FALSE()),0)+1*IFERROR(VLOOKUP(INDEX(' Toto teams'!$F$4:$F$119,MATCH($B33,' Toto teams'!$A$4:$A$119,0)),Scoring!$A$4:$N$51,10,FALSE()),0)+1*IFERROR(VLOOKUP(INDEX(' Toto teams'!$G$4:$G$119,MATCH($B33,' Toto teams'!$A$4:$A$119,0)),Scoring!$A$4:$N$51,10,FALSE()),0)+1*IFERROR(VLOOKUP(INDEX(' Toto teams'!$H$4:$H$119,MATCH($B33,' Toto teams'!$A$4:$A$119,0)),Scoring!$A$4:$N$51,10,FALSE()),0))</f>
        <v>0</v>
      </c>
      <c r="H33" s="28">
        <f>IF($B33="","",6*IFERROR(VLOOKUP(INDEX(' Toto teams'!$B$4:$B$119,MATCH($B33,' Toto teams'!$A$4:$A$119,0)),Scoring!$A$4:$N$51,11,FALSE()),0)+4*IFERROR(VLOOKUP(INDEX(' Toto teams'!$C$4:$C$119,MATCH($B33,' Toto teams'!$A$4:$A$119,0)),Scoring!$A$4:$N$51,11,FALSE()),0)+3*IFERROR(VLOOKUP(INDEX(' Toto teams'!$D$4:$D$119,MATCH($B33,' Toto teams'!$A$4:$A$119,0)),Scoring!$A$4:$N$51,11,FALSE()),0)+2*IFERROR(VLOOKUP(INDEX(' Toto teams'!$E$4:$E$119,MATCH($B33,' Toto teams'!$A$4:$A$119,0)),Scoring!$A$4:$N$51,11,FALSE()),0)+1*IFERROR(VLOOKUP(INDEX(' Toto teams'!$F$4:$F$119,MATCH($B33,' Toto teams'!$A$4:$A$119,0)),Scoring!$A$4:$N$51,11,FALSE()),0)+1*IFERROR(VLOOKUP(INDEX(' Toto teams'!$G$4:$G$119,MATCH($B33,' Toto teams'!$A$4:$A$119,0)),Scoring!$A$4:$N$51,11,FALSE()),0)+1*IFERROR(VLOOKUP(INDEX(' Toto teams'!$H$4:$H$119,MATCH($B33,' Toto teams'!$A$4:$A$119,0)),Scoring!$A$4:$N$51,11,FALSE()),0))</f>
        <v>0</v>
      </c>
      <c r="I33" s="28">
        <f>IF($B33="","",6*IFERROR(VLOOKUP(INDEX(' Toto teams'!$B$4:$B$119,MATCH($B33,' Toto teams'!$A$4:$A$119,0)),Scoring!$A$4:$O$51,15,FALSE()),0)+4*IFERROR(VLOOKUP(INDEX(' Toto teams'!$C$4:$C$119,MATCH($B33,' Toto teams'!$A$4:$A$119,0)),Scoring!$A$4:$O$51,15,FALSE()),0)+3*IFERROR(VLOOKUP(INDEX(' Toto teams'!$D$4:$D$119,MATCH($B33,' Toto teams'!$A$4:$A$119,0)),Scoring!$A$4:$O$51,15,FALSE()),0)+2*IFERROR(VLOOKUP(INDEX(' Toto teams'!$E$4:$E$119,MATCH($B33,' Toto teams'!$A$4:$A$119,0)),Scoring!$A$4:$O$51,15,FALSE()),0)+1*IFERROR(VLOOKUP(INDEX(' Toto teams'!$F$4:$F$119,MATCH($B33,' Toto teams'!$A$4:$A$119,0)),Scoring!$A$4:$O$51,15,FALSE()),0)+1*IFERROR(VLOOKUP(INDEX(' Toto teams'!$G$4:$G$119,MATCH($B33,' Toto teams'!$A$4:$A$119,0)),Scoring!$A$4:$O$51,15,FALSE()),0)+1*IFERROR(VLOOKUP(INDEX(' Toto teams'!$H$4:$H$119,MATCH($B33,' Toto teams'!$A$4:$A$119,0)),Scoring!$A$4:$O$51,15,FALSE()),0))</f>
        <v>0</v>
      </c>
      <c r="J33" s="28">
        <f>IF($B33="","",6*IFERROR(VLOOKUP(INDEX(' Toto teams'!$B$4:$B$119,MATCH($B33,' Toto teams'!$A$4:$A$119,0)),Scoring!$A$4:$N$51,12,FALSE()),0)+4*IFERROR(VLOOKUP(INDEX(' Toto teams'!$C$4:$C$119,MATCH($B33,' Toto teams'!$A$4:$A$119,0)),Scoring!$A$4:$N$51,12,FALSE()),0)+3*IFERROR(VLOOKUP(INDEX(' Toto teams'!$D$4:$D$119,MATCH($B33,' Toto teams'!$A$4:$A$119,0)),Scoring!$A$4:$N$51,12,FALSE()),0)+2*IFERROR(VLOOKUP(INDEX(' Toto teams'!$E$4:$E$119,MATCH($B33,' Toto teams'!$A$4:$A$119,0)),Scoring!$A$4:$N$51,12,FALSE()),0)+1*IFERROR(VLOOKUP(INDEX(' Toto teams'!$F$4:$F$119,MATCH($B33,' Toto teams'!$A$4:$A$119,0)),Scoring!$A$4:$N$51,12,FALSE()),0)+1*IFERROR(VLOOKUP(INDEX(' Toto teams'!$G$4:$G$119,MATCH($B33,' Toto teams'!$A$4:$A$119,0)),Scoring!$A$4:$N$51,12,FALSE()),0)+1*IFERROR(VLOOKUP(INDEX(' Toto teams'!$H$4:$H$119,MATCH($B33,' Toto teams'!$A$4:$A$119,0)),Scoring!$A$4:$N$51,12,FALSE()),0))</f>
        <v>0</v>
      </c>
      <c r="K33" s="29">
        <f>IF($B33="","",IFERROR(INDEX(' Toto teams'!$R$4:$R$119,MATCH($B33,' Toto teams'!$A$4:$A$119,0)),""))</f>
        <v>3</v>
      </c>
      <c r="L33" s="30">
        <f t="shared" si="0"/>
        <v>0</v>
      </c>
    </row>
    <row r="34" spans="1:12" ht="12.75" customHeight="1" x14ac:dyDescent="0.3">
      <c r="A34" s="26">
        <f>IF(31&gt;COUNTIF(' Toto teams'!$A$4:$A$119,"&lt;&gt;"),"",INDEX(' Toto teams'!$S$4:$S$119,MATCH(LARGE(' Toto teams'!$T$4:$T$119,31),' Toto teams'!$T$4:$T$119,0)))</f>
        <v>22</v>
      </c>
      <c r="B34" s="27" t="str">
        <f>IF(31&gt;COUNTIF(' Toto teams'!$A$4:$A$119,"&lt;&gt;"),"",INDEX(' Toto teams'!$A$4:$A$119,MATCH(LARGE(' Toto teams'!$T$4:$T$119,31),' Toto teams'!$T$4:$T$119,0)))</f>
        <v>Donatas Keras</v>
      </c>
      <c r="C34" s="28">
        <f>IF($B34="","",6*(IFERROR(VLOOKUP(INDEX(' Toto teams'!$B$4:$B$119,MATCH($B34,' Toto teams'!$A$4:$A$119,0)),Scoring!$A$4:$N$51,3,FALSE()),0)+IFERROR(VLOOKUP(INDEX(' Toto teams'!$B$4:$B$119,MATCH($B34,' Toto teams'!$A$4:$A$119,0)),Scoring!$A$4:$N$51,4,FALSE()),0)+IFERROR(VLOOKUP(INDEX(' Toto teams'!$B$4:$B$119,MATCH($B34,' Toto teams'!$A$4:$A$119,0)),Scoring!$A$4:$N$51,5,FALSE()),0))+4*(IFERROR(VLOOKUP(INDEX(' Toto teams'!$C$4:$C$119,MATCH($B34,' Toto teams'!$A$4:$A$119,0)),Scoring!$A$4:$N$51,3,FALSE()),0)+IFERROR(VLOOKUP(INDEX(' Toto teams'!$C$4:$C$119,MATCH($B34,' Toto teams'!$A$4:$A$119,0)),Scoring!$A$4:$N$51,4,FALSE()),0)+IFERROR(VLOOKUP(INDEX(' Toto teams'!$C$4:$C$119,MATCH($B34,' Toto teams'!$A$4:$A$119,0)),Scoring!$A$4:$N$51,5,FALSE()),0))+3*(IFERROR(VLOOKUP(INDEX(' Toto teams'!$D$4:$D$119,MATCH($B34,' Toto teams'!$A$4:$A$119,0)),Scoring!$A$4:$N$51,3,FALSE()),0)+IFERROR(VLOOKUP(INDEX(' Toto teams'!$D$4:$D$119,MATCH($B34,' Toto teams'!$A$4:$A$119,0)),Scoring!$A$4:$N$51,4,FALSE()),0)+IFERROR(VLOOKUP(INDEX(' Toto teams'!$D$4:$D$119,MATCH($B34,' Toto teams'!$A$4:$A$119,0)),Scoring!$A$4:$N$51,5,FALSE()),0))+2*(IFERROR(VLOOKUP(INDEX(' Toto teams'!$E$4:$E$119,MATCH($B34,' Toto teams'!$A$4:$A$119,0)),Scoring!$A$4:$N$51,3,FALSE()),0)+IFERROR(VLOOKUP(INDEX(' Toto teams'!$E$4:$E$119,MATCH($B34,' Toto teams'!$A$4:$A$119,0)),Scoring!$A$4:$N$51,4,FALSE()),0)+IFERROR(VLOOKUP(INDEX(' Toto teams'!$E$4:$E$119,MATCH($B34,' Toto teams'!$A$4:$A$119,0)),Scoring!$A$4:$N$51,5,FALSE()),0))+1*(IFERROR(VLOOKUP(INDEX(' Toto teams'!$F$4:$F$119,MATCH($B34,' Toto teams'!$A$4:$A$119,0)),Scoring!$A$4:$N$51,3,FALSE()),0)+IFERROR(VLOOKUP(INDEX(' Toto teams'!$F$4:$F$119,MATCH($B34,' Toto teams'!$A$4:$A$119,0)),Scoring!$A$4:$N$51,4,FALSE()),0)+IFERROR(VLOOKUP(INDEX(' Toto teams'!$F$4:$F$119,MATCH($B34,' Toto teams'!$A$4:$A$119,0)),Scoring!$A$4:$N$51,5,FALSE()),0))+1*(IFERROR(VLOOKUP(INDEX(' Toto teams'!$G$4:$G$119,MATCH($B34,' Toto teams'!$A$4:$A$119,0)),Scoring!$A$4:$N$51,3,FALSE()),0)+IFERROR(VLOOKUP(INDEX(' Toto teams'!$G$4:$G$119,MATCH($B34,' Toto teams'!$A$4:$A$119,0)),Scoring!$A$4:$N$51,4,FALSE()),0)+IFERROR(VLOOKUP(INDEX(' Toto teams'!$G$4:$G$119,MATCH($B34,' Toto teams'!$A$4:$A$119,0)),Scoring!$A$4:$N$51,5,FALSE()),0))+1*(IFERROR(VLOOKUP(INDEX(' Toto teams'!$H$4:$H$119,MATCH($B34,' Toto teams'!$A$4:$A$119,0)),Scoring!$A$4:$N$51,3,FALSE()),0)+IFERROR(VLOOKUP(INDEX(' Toto teams'!$H$4:$H$119,MATCH($B34,' Toto teams'!$A$4:$A$119,0)),Scoring!$A$4:$N$51,4,FALSE()),0)+IFERROR(VLOOKUP(INDEX(' Toto teams'!$H$4:$H$119,MATCH($B34,' Toto teams'!$A$4:$A$119,0)),Scoring!$A$4:$N$51,5,FALSE()),0))+IFERROR(INDEX(' Toto teams'!$Q$4:$Q$119,MATCH($B34,' Toto teams'!$A$4:$A$119,0))*1,0))</f>
        <v>3</v>
      </c>
      <c r="D34" s="28">
        <f>IF($B34="","",6*IFERROR(VLOOKUP(INDEX(' Toto teams'!$B$4:$B$119,MATCH($B34,' Toto teams'!$A$4:$A$119,0)),Scoring!$A$4:$N$51,7,FALSE()),0)+4*IFERROR(VLOOKUP(INDEX(' Toto teams'!$C$4:$C$119,MATCH($B34,' Toto teams'!$A$4:$A$119,0)),Scoring!$A$4:$N$51,7,FALSE()),0)+3*IFERROR(VLOOKUP(INDEX(' Toto teams'!$D$4:$D$119,MATCH($B34,' Toto teams'!$A$4:$A$119,0)),Scoring!$A$4:$N$51,7,FALSE()),0)+2*IFERROR(VLOOKUP(INDEX(' Toto teams'!$E$4:$E$119,MATCH($B34,' Toto teams'!$A$4:$A$119,0)),Scoring!$A$4:$N$51,7,FALSE()),0)+1*IFERROR(VLOOKUP(INDEX(' Toto teams'!$F$4:$F$119,MATCH($B34,' Toto teams'!$A$4:$A$119,0)),Scoring!$A$4:$N$51,7,FALSE()),0)+1*IFERROR(VLOOKUP(INDEX(' Toto teams'!$G$4:$G$119,MATCH($B34,' Toto teams'!$A$4:$A$119,0)),Scoring!$A$4:$N$51,7,FALSE()),0)+1*IFERROR(VLOOKUP(INDEX(' Toto teams'!$H$4:$H$119,MATCH($B34,' Toto teams'!$A$4:$A$119,0)),Scoring!$A$4:$N$51,7,FALSE()),0))</f>
        <v>0</v>
      </c>
      <c r="E34" s="28">
        <f>IF($B34="","",6*IFERROR(VLOOKUP(INDEX(' Toto teams'!$B$4:$B$119,MATCH($B34,' Toto teams'!$A$4:$A$119,0)),Scoring!$A$4:$N$51,8,FALSE()),0)+4*IFERROR(VLOOKUP(INDEX(' Toto teams'!$C$4:$C$119,MATCH($B34,' Toto teams'!$A$4:$A$119,0)),Scoring!$A$4:$N$51,8,FALSE()),0)+3*IFERROR(VLOOKUP(INDEX(' Toto teams'!$D$4:$D$119,MATCH($B34,' Toto teams'!$A$4:$A$119,0)),Scoring!$A$4:$N$51,8,FALSE()),0)+2*IFERROR(VLOOKUP(INDEX(' Toto teams'!$E$4:$E$119,MATCH($B34,' Toto teams'!$A$4:$A$119,0)),Scoring!$A$4:$N$51,8,FALSE()),0)+1*IFERROR(VLOOKUP(INDEX(' Toto teams'!$F$4:$F$119,MATCH($B34,' Toto teams'!$A$4:$A$119,0)),Scoring!$A$4:$N$51,8,FALSE()),0)+1*IFERROR(VLOOKUP(INDEX(' Toto teams'!$G$4:$G$119,MATCH($B34,' Toto teams'!$A$4:$A$119,0)),Scoring!$A$4:$N$51,8,FALSE()),0)+1*IFERROR(VLOOKUP(INDEX(' Toto teams'!$H$4:$H$119,MATCH($B34,' Toto teams'!$A$4:$A$119,0)),Scoring!$A$4:$N$51,8,FALSE()),0))</f>
        <v>0</v>
      </c>
      <c r="F34" s="28">
        <f>IF($B34="","",6*IFERROR(VLOOKUP(INDEX(' Toto teams'!$B$4:$B$119,MATCH($B34,' Toto teams'!$A$4:$A$119,0)),Scoring!$A$4:$N$51,9,FALSE()),0)+4*IFERROR(VLOOKUP(INDEX(' Toto teams'!$C$4:$C$119,MATCH($B34,' Toto teams'!$A$4:$A$119,0)),Scoring!$A$4:$N$51,9,FALSE()),0)+3*IFERROR(VLOOKUP(INDEX(' Toto teams'!$D$4:$D$119,MATCH($B34,' Toto teams'!$A$4:$A$119,0)),Scoring!$A$4:$N$51,9,FALSE()),0)+2*IFERROR(VLOOKUP(INDEX(' Toto teams'!$E$4:$E$119,MATCH($B34,' Toto teams'!$A$4:$A$119,0)),Scoring!$A$4:$N$51,9,FALSE()),0)+1*IFERROR(VLOOKUP(INDEX(' Toto teams'!$F$4:$F$119,MATCH($B34,' Toto teams'!$A$4:$A$119,0)),Scoring!$A$4:$N$51,9,FALSE()),0)+1*IFERROR(VLOOKUP(INDEX(' Toto teams'!$G$4:$G$119,MATCH($B34,' Toto teams'!$A$4:$A$119,0)),Scoring!$A$4:$N$51,9,FALSE()),0)+1*IFERROR(VLOOKUP(INDEX(' Toto teams'!$H$4:$H$119,MATCH($B34,' Toto teams'!$A$4:$A$119,0)),Scoring!$A$4:$N$51,9,FALSE()),0))</f>
        <v>0</v>
      </c>
      <c r="G34" s="28">
        <f>IF($B34="","",6*IFERROR(VLOOKUP(INDEX(' Toto teams'!$B$4:$B$119,MATCH($B34,' Toto teams'!$A$4:$A$119,0)),Scoring!$A$4:$N$51,10,FALSE()),0)+4*IFERROR(VLOOKUP(INDEX(' Toto teams'!$C$4:$C$119,MATCH($B34,' Toto teams'!$A$4:$A$119,0)),Scoring!$A$4:$N$51,10,FALSE()),0)+3*IFERROR(VLOOKUP(INDEX(' Toto teams'!$D$4:$D$119,MATCH($B34,' Toto teams'!$A$4:$A$119,0)),Scoring!$A$4:$N$51,10,FALSE()),0)+2*IFERROR(VLOOKUP(INDEX(' Toto teams'!$E$4:$E$119,MATCH($B34,' Toto teams'!$A$4:$A$119,0)),Scoring!$A$4:$N$51,10,FALSE()),0)+1*IFERROR(VLOOKUP(INDEX(' Toto teams'!$F$4:$F$119,MATCH($B34,' Toto teams'!$A$4:$A$119,0)),Scoring!$A$4:$N$51,10,FALSE()),0)+1*IFERROR(VLOOKUP(INDEX(' Toto teams'!$G$4:$G$119,MATCH($B34,' Toto teams'!$A$4:$A$119,0)),Scoring!$A$4:$N$51,10,FALSE()),0)+1*IFERROR(VLOOKUP(INDEX(' Toto teams'!$H$4:$H$119,MATCH($B34,' Toto teams'!$A$4:$A$119,0)),Scoring!$A$4:$N$51,10,FALSE()),0))</f>
        <v>0</v>
      </c>
      <c r="H34" s="28">
        <f>IF($B34="","",6*IFERROR(VLOOKUP(INDEX(' Toto teams'!$B$4:$B$119,MATCH($B34,' Toto teams'!$A$4:$A$119,0)),Scoring!$A$4:$N$51,11,FALSE()),0)+4*IFERROR(VLOOKUP(INDEX(' Toto teams'!$C$4:$C$119,MATCH($B34,' Toto teams'!$A$4:$A$119,0)),Scoring!$A$4:$N$51,11,FALSE()),0)+3*IFERROR(VLOOKUP(INDEX(' Toto teams'!$D$4:$D$119,MATCH($B34,' Toto teams'!$A$4:$A$119,0)),Scoring!$A$4:$N$51,11,FALSE()),0)+2*IFERROR(VLOOKUP(INDEX(' Toto teams'!$E$4:$E$119,MATCH($B34,' Toto teams'!$A$4:$A$119,0)),Scoring!$A$4:$N$51,11,FALSE()),0)+1*IFERROR(VLOOKUP(INDEX(' Toto teams'!$F$4:$F$119,MATCH($B34,' Toto teams'!$A$4:$A$119,0)),Scoring!$A$4:$N$51,11,FALSE()),0)+1*IFERROR(VLOOKUP(INDEX(' Toto teams'!$G$4:$G$119,MATCH($B34,' Toto teams'!$A$4:$A$119,0)),Scoring!$A$4:$N$51,11,FALSE()),0)+1*IFERROR(VLOOKUP(INDEX(' Toto teams'!$H$4:$H$119,MATCH($B34,' Toto teams'!$A$4:$A$119,0)),Scoring!$A$4:$N$51,11,FALSE()),0))</f>
        <v>0</v>
      </c>
      <c r="I34" s="28">
        <f>IF($B34="","",6*IFERROR(VLOOKUP(INDEX(' Toto teams'!$B$4:$B$119,MATCH($B34,' Toto teams'!$A$4:$A$119,0)),Scoring!$A$4:$O$51,15,FALSE()),0)+4*IFERROR(VLOOKUP(INDEX(' Toto teams'!$C$4:$C$119,MATCH($B34,' Toto teams'!$A$4:$A$119,0)),Scoring!$A$4:$O$51,15,FALSE()),0)+3*IFERROR(VLOOKUP(INDEX(' Toto teams'!$D$4:$D$119,MATCH($B34,' Toto teams'!$A$4:$A$119,0)),Scoring!$A$4:$O$51,15,FALSE()),0)+2*IFERROR(VLOOKUP(INDEX(' Toto teams'!$E$4:$E$119,MATCH($B34,' Toto teams'!$A$4:$A$119,0)),Scoring!$A$4:$O$51,15,FALSE()),0)+1*IFERROR(VLOOKUP(INDEX(' Toto teams'!$F$4:$F$119,MATCH($B34,' Toto teams'!$A$4:$A$119,0)),Scoring!$A$4:$O$51,15,FALSE()),0)+1*IFERROR(VLOOKUP(INDEX(' Toto teams'!$G$4:$G$119,MATCH($B34,' Toto teams'!$A$4:$A$119,0)),Scoring!$A$4:$O$51,15,FALSE()),0)+1*IFERROR(VLOOKUP(INDEX(' Toto teams'!$H$4:$H$119,MATCH($B34,' Toto teams'!$A$4:$A$119,0)),Scoring!$A$4:$O$51,15,FALSE()),0))</f>
        <v>0</v>
      </c>
      <c r="J34" s="28">
        <f>IF($B34="","",6*IFERROR(VLOOKUP(INDEX(' Toto teams'!$B$4:$B$119,MATCH($B34,' Toto teams'!$A$4:$A$119,0)),Scoring!$A$4:$N$51,12,FALSE()),0)+4*IFERROR(VLOOKUP(INDEX(' Toto teams'!$C$4:$C$119,MATCH($B34,' Toto teams'!$A$4:$A$119,0)),Scoring!$A$4:$N$51,12,FALSE()),0)+3*IFERROR(VLOOKUP(INDEX(' Toto teams'!$D$4:$D$119,MATCH($B34,' Toto teams'!$A$4:$A$119,0)),Scoring!$A$4:$N$51,12,FALSE()),0)+2*IFERROR(VLOOKUP(INDEX(' Toto teams'!$E$4:$E$119,MATCH($B34,' Toto teams'!$A$4:$A$119,0)),Scoring!$A$4:$N$51,12,FALSE()),0)+1*IFERROR(VLOOKUP(INDEX(' Toto teams'!$F$4:$F$119,MATCH($B34,' Toto teams'!$A$4:$A$119,0)),Scoring!$A$4:$N$51,12,FALSE()),0)+1*IFERROR(VLOOKUP(INDEX(' Toto teams'!$G$4:$G$119,MATCH($B34,' Toto teams'!$A$4:$A$119,0)),Scoring!$A$4:$N$51,12,FALSE()),0)+1*IFERROR(VLOOKUP(INDEX(' Toto teams'!$H$4:$H$119,MATCH($B34,' Toto teams'!$A$4:$A$119,0)),Scoring!$A$4:$N$51,12,FALSE()),0))</f>
        <v>0</v>
      </c>
      <c r="K34" s="29">
        <f>IF($B34="","",IFERROR(INDEX(' Toto teams'!$R$4:$R$119,MATCH($B34,' Toto teams'!$A$4:$A$119,0)),""))</f>
        <v>3</v>
      </c>
      <c r="L34" s="30">
        <f t="shared" si="0"/>
        <v>0</v>
      </c>
    </row>
    <row r="35" spans="1:12" ht="12.75" customHeight="1" x14ac:dyDescent="0.3">
      <c r="A35" s="26">
        <f>IF(32&gt;COUNTIF(' Toto teams'!$A$4:$A$119,"&lt;&gt;"),"",INDEX(' Toto teams'!$S$4:$S$119,MATCH(LARGE(' Toto teams'!$T$4:$T$119,32),' Toto teams'!$T$4:$T$119,0)))</f>
        <v>22</v>
      </c>
      <c r="B35" s="27" t="str">
        <f>IF(32&gt;COUNTIF(' Toto teams'!$A$4:$A$119,"&lt;&gt;"),"",INDEX(' Toto teams'!$A$4:$A$119,MATCH(LARGE(' Toto teams'!$T$4:$T$119,32),' Toto teams'!$T$4:$T$119,0)))</f>
        <v>Tomas Šunskis</v>
      </c>
      <c r="C35" s="28">
        <f>IF($B35="","",6*(IFERROR(VLOOKUP(INDEX(' Toto teams'!$B$4:$B$119,MATCH($B35,' Toto teams'!$A$4:$A$119,0)),Scoring!$A$4:$N$51,3,FALSE()),0)+IFERROR(VLOOKUP(INDEX(' Toto teams'!$B$4:$B$119,MATCH($B35,' Toto teams'!$A$4:$A$119,0)),Scoring!$A$4:$N$51,4,FALSE()),0)+IFERROR(VLOOKUP(INDEX(' Toto teams'!$B$4:$B$119,MATCH($B35,' Toto teams'!$A$4:$A$119,0)),Scoring!$A$4:$N$51,5,FALSE()),0))+4*(IFERROR(VLOOKUP(INDEX(' Toto teams'!$C$4:$C$119,MATCH($B35,' Toto teams'!$A$4:$A$119,0)),Scoring!$A$4:$N$51,3,FALSE()),0)+IFERROR(VLOOKUP(INDEX(' Toto teams'!$C$4:$C$119,MATCH($B35,' Toto teams'!$A$4:$A$119,0)),Scoring!$A$4:$N$51,4,FALSE()),0)+IFERROR(VLOOKUP(INDEX(' Toto teams'!$C$4:$C$119,MATCH($B35,' Toto teams'!$A$4:$A$119,0)),Scoring!$A$4:$N$51,5,FALSE()),0))+3*(IFERROR(VLOOKUP(INDEX(' Toto teams'!$D$4:$D$119,MATCH($B35,' Toto teams'!$A$4:$A$119,0)),Scoring!$A$4:$N$51,3,FALSE()),0)+IFERROR(VLOOKUP(INDEX(' Toto teams'!$D$4:$D$119,MATCH($B35,' Toto teams'!$A$4:$A$119,0)),Scoring!$A$4:$N$51,4,FALSE()),0)+IFERROR(VLOOKUP(INDEX(' Toto teams'!$D$4:$D$119,MATCH($B35,' Toto teams'!$A$4:$A$119,0)),Scoring!$A$4:$N$51,5,FALSE()),0))+2*(IFERROR(VLOOKUP(INDEX(' Toto teams'!$E$4:$E$119,MATCH($B35,' Toto teams'!$A$4:$A$119,0)),Scoring!$A$4:$N$51,3,FALSE()),0)+IFERROR(VLOOKUP(INDEX(' Toto teams'!$E$4:$E$119,MATCH($B35,' Toto teams'!$A$4:$A$119,0)),Scoring!$A$4:$N$51,4,FALSE()),0)+IFERROR(VLOOKUP(INDEX(' Toto teams'!$E$4:$E$119,MATCH($B35,' Toto teams'!$A$4:$A$119,0)),Scoring!$A$4:$N$51,5,FALSE()),0))+1*(IFERROR(VLOOKUP(INDEX(' Toto teams'!$F$4:$F$119,MATCH($B35,' Toto teams'!$A$4:$A$119,0)),Scoring!$A$4:$N$51,3,FALSE()),0)+IFERROR(VLOOKUP(INDEX(' Toto teams'!$F$4:$F$119,MATCH($B35,' Toto teams'!$A$4:$A$119,0)),Scoring!$A$4:$N$51,4,FALSE()),0)+IFERROR(VLOOKUP(INDEX(' Toto teams'!$F$4:$F$119,MATCH($B35,' Toto teams'!$A$4:$A$119,0)),Scoring!$A$4:$N$51,5,FALSE()),0))+1*(IFERROR(VLOOKUP(INDEX(' Toto teams'!$G$4:$G$119,MATCH($B35,' Toto teams'!$A$4:$A$119,0)),Scoring!$A$4:$N$51,3,FALSE()),0)+IFERROR(VLOOKUP(INDEX(' Toto teams'!$G$4:$G$119,MATCH($B35,' Toto teams'!$A$4:$A$119,0)),Scoring!$A$4:$N$51,4,FALSE()),0)+IFERROR(VLOOKUP(INDEX(' Toto teams'!$G$4:$G$119,MATCH($B35,' Toto teams'!$A$4:$A$119,0)),Scoring!$A$4:$N$51,5,FALSE()),0))+1*(IFERROR(VLOOKUP(INDEX(' Toto teams'!$H$4:$H$119,MATCH($B35,' Toto teams'!$A$4:$A$119,0)),Scoring!$A$4:$N$51,3,FALSE()),0)+IFERROR(VLOOKUP(INDEX(' Toto teams'!$H$4:$H$119,MATCH($B35,' Toto teams'!$A$4:$A$119,0)),Scoring!$A$4:$N$51,4,FALSE()),0)+IFERROR(VLOOKUP(INDEX(' Toto teams'!$H$4:$H$119,MATCH($B35,' Toto teams'!$A$4:$A$119,0)),Scoring!$A$4:$N$51,5,FALSE()),0))+IFERROR(INDEX(' Toto teams'!$Q$4:$Q$119,MATCH($B35,' Toto teams'!$A$4:$A$119,0))*1,0))</f>
        <v>3</v>
      </c>
      <c r="D35" s="28">
        <f>IF($B35="","",6*IFERROR(VLOOKUP(INDEX(' Toto teams'!$B$4:$B$119,MATCH($B35,' Toto teams'!$A$4:$A$119,0)),Scoring!$A$4:$N$51,7,FALSE()),0)+4*IFERROR(VLOOKUP(INDEX(' Toto teams'!$C$4:$C$119,MATCH($B35,' Toto teams'!$A$4:$A$119,0)),Scoring!$A$4:$N$51,7,FALSE()),0)+3*IFERROR(VLOOKUP(INDEX(' Toto teams'!$D$4:$D$119,MATCH($B35,' Toto teams'!$A$4:$A$119,0)),Scoring!$A$4:$N$51,7,FALSE()),0)+2*IFERROR(VLOOKUP(INDEX(' Toto teams'!$E$4:$E$119,MATCH($B35,' Toto teams'!$A$4:$A$119,0)),Scoring!$A$4:$N$51,7,FALSE()),0)+1*IFERROR(VLOOKUP(INDEX(' Toto teams'!$F$4:$F$119,MATCH($B35,' Toto teams'!$A$4:$A$119,0)),Scoring!$A$4:$N$51,7,FALSE()),0)+1*IFERROR(VLOOKUP(INDEX(' Toto teams'!$G$4:$G$119,MATCH($B35,' Toto teams'!$A$4:$A$119,0)),Scoring!$A$4:$N$51,7,FALSE()),0)+1*IFERROR(VLOOKUP(INDEX(' Toto teams'!$H$4:$H$119,MATCH($B35,' Toto teams'!$A$4:$A$119,0)),Scoring!$A$4:$N$51,7,FALSE()),0))</f>
        <v>0</v>
      </c>
      <c r="E35" s="28">
        <f>IF($B35="","",6*IFERROR(VLOOKUP(INDEX(' Toto teams'!$B$4:$B$119,MATCH($B35,' Toto teams'!$A$4:$A$119,0)),Scoring!$A$4:$N$51,8,FALSE()),0)+4*IFERROR(VLOOKUP(INDEX(' Toto teams'!$C$4:$C$119,MATCH($B35,' Toto teams'!$A$4:$A$119,0)),Scoring!$A$4:$N$51,8,FALSE()),0)+3*IFERROR(VLOOKUP(INDEX(' Toto teams'!$D$4:$D$119,MATCH($B35,' Toto teams'!$A$4:$A$119,0)),Scoring!$A$4:$N$51,8,FALSE()),0)+2*IFERROR(VLOOKUP(INDEX(' Toto teams'!$E$4:$E$119,MATCH($B35,' Toto teams'!$A$4:$A$119,0)),Scoring!$A$4:$N$51,8,FALSE()),0)+1*IFERROR(VLOOKUP(INDEX(' Toto teams'!$F$4:$F$119,MATCH($B35,' Toto teams'!$A$4:$A$119,0)),Scoring!$A$4:$N$51,8,FALSE()),0)+1*IFERROR(VLOOKUP(INDEX(' Toto teams'!$G$4:$G$119,MATCH($B35,' Toto teams'!$A$4:$A$119,0)),Scoring!$A$4:$N$51,8,FALSE()),0)+1*IFERROR(VLOOKUP(INDEX(' Toto teams'!$H$4:$H$119,MATCH($B35,' Toto teams'!$A$4:$A$119,0)),Scoring!$A$4:$N$51,8,FALSE()),0))</f>
        <v>0</v>
      </c>
      <c r="F35" s="28">
        <f>IF($B35="","",6*IFERROR(VLOOKUP(INDEX(' Toto teams'!$B$4:$B$119,MATCH($B35,' Toto teams'!$A$4:$A$119,0)),Scoring!$A$4:$N$51,9,FALSE()),0)+4*IFERROR(VLOOKUP(INDEX(' Toto teams'!$C$4:$C$119,MATCH($B35,' Toto teams'!$A$4:$A$119,0)),Scoring!$A$4:$N$51,9,FALSE()),0)+3*IFERROR(VLOOKUP(INDEX(' Toto teams'!$D$4:$D$119,MATCH($B35,' Toto teams'!$A$4:$A$119,0)),Scoring!$A$4:$N$51,9,FALSE()),0)+2*IFERROR(VLOOKUP(INDEX(' Toto teams'!$E$4:$E$119,MATCH($B35,' Toto teams'!$A$4:$A$119,0)),Scoring!$A$4:$N$51,9,FALSE()),0)+1*IFERROR(VLOOKUP(INDEX(' Toto teams'!$F$4:$F$119,MATCH($B35,' Toto teams'!$A$4:$A$119,0)),Scoring!$A$4:$N$51,9,FALSE()),0)+1*IFERROR(VLOOKUP(INDEX(' Toto teams'!$G$4:$G$119,MATCH($B35,' Toto teams'!$A$4:$A$119,0)),Scoring!$A$4:$N$51,9,FALSE()),0)+1*IFERROR(VLOOKUP(INDEX(' Toto teams'!$H$4:$H$119,MATCH($B35,' Toto teams'!$A$4:$A$119,0)),Scoring!$A$4:$N$51,9,FALSE()),0))</f>
        <v>0</v>
      </c>
      <c r="G35" s="28">
        <f>IF($B35="","",6*IFERROR(VLOOKUP(INDEX(' Toto teams'!$B$4:$B$119,MATCH($B35,' Toto teams'!$A$4:$A$119,0)),Scoring!$A$4:$N$51,10,FALSE()),0)+4*IFERROR(VLOOKUP(INDEX(' Toto teams'!$C$4:$C$119,MATCH($B35,' Toto teams'!$A$4:$A$119,0)),Scoring!$A$4:$N$51,10,FALSE()),0)+3*IFERROR(VLOOKUP(INDEX(' Toto teams'!$D$4:$D$119,MATCH($B35,' Toto teams'!$A$4:$A$119,0)),Scoring!$A$4:$N$51,10,FALSE()),0)+2*IFERROR(VLOOKUP(INDEX(' Toto teams'!$E$4:$E$119,MATCH($B35,' Toto teams'!$A$4:$A$119,0)),Scoring!$A$4:$N$51,10,FALSE()),0)+1*IFERROR(VLOOKUP(INDEX(' Toto teams'!$F$4:$F$119,MATCH($B35,' Toto teams'!$A$4:$A$119,0)),Scoring!$A$4:$N$51,10,FALSE()),0)+1*IFERROR(VLOOKUP(INDEX(' Toto teams'!$G$4:$G$119,MATCH($B35,' Toto teams'!$A$4:$A$119,0)),Scoring!$A$4:$N$51,10,FALSE()),0)+1*IFERROR(VLOOKUP(INDEX(' Toto teams'!$H$4:$H$119,MATCH($B35,' Toto teams'!$A$4:$A$119,0)),Scoring!$A$4:$N$51,10,FALSE()),0))</f>
        <v>0</v>
      </c>
      <c r="H35" s="28">
        <f>IF($B35="","",6*IFERROR(VLOOKUP(INDEX(' Toto teams'!$B$4:$B$119,MATCH($B35,' Toto teams'!$A$4:$A$119,0)),Scoring!$A$4:$N$51,11,FALSE()),0)+4*IFERROR(VLOOKUP(INDEX(' Toto teams'!$C$4:$C$119,MATCH($B35,' Toto teams'!$A$4:$A$119,0)),Scoring!$A$4:$N$51,11,FALSE()),0)+3*IFERROR(VLOOKUP(INDEX(' Toto teams'!$D$4:$D$119,MATCH($B35,' Toto teams'!$A$4:$A$119,0)),Scoring!$A$4:$N$51,11,FALSE()),0)+2*IFERROR(VLOOKUP(INDEX(' Toto teams'!$E$4:$E$119,MATCH($B35,' Toto teams'!$A$4:$A$119,0)),Scoring!$A$4:$N$51,11,FALSE()),0)+1*IFERROR(VLOOKUP(INDEX(' Toto teams'!$F$4:$F$119,MATCH($B35,' Toto teams'!$A$4:$A$119,0)),Scoring!$A$4:$N$51,11,FALSE()),0)+1*IFERROR(VLOOKUP(INDEX(' Toto teams'!$G$4:$G$119,MATCH($B35,' Toto teams'!$A$4:$A$119,0)),Scoring!$A$4:$N$51,11,FALSE()),0)+1*IFERROR(VLOOKUP(INDEX(' Toto teams'!$H$4:$H$119,MATCH($B35,' Toto teams'!$A$4:$A$119,0)),Scoring!$A$4:$N$51,11,FALSE()),0))</f>
        <v>0</v>
      </c>
      <c r="I35" s="28">
        <f>IF($B35="","",6*IFERROR(VLOOKUP(INDEX(' Toto teams'!$B$4:$B$119,MATCH($B35,' Toto teams'!$A$4:$A$119,0)),Scoring!$A$4:$O$51,15,FALSE()),0)+4*IFERROR(VLOOKUP(INDEX(' Toto teams'!$C$4:$C$119,MATCH($B35,' Toto teams'!$A$4:$A$119,0)),Scoring!$A$4:$O$51,15,FALSE()),0)+3*IFERROR(VLOOKUP(INDEX(' Toto teams'!$D$4:$D$119,MATCH($B35,' Toto teams'!$A$4:$A$119,0)),Scoring!$A$4:$O$51,15,FALSE()),0)+2*IFERROR(VLOOKUP(INDEX(' Toto teams'!$E$4:$E$119,MATCH($B35,' Toto teams'!$A$4:$A$119,0)),Scoring!$A$4:$O$51,15,FALSE()),0)+1*IFERROR(VLOOKUP(INDEX(' Toto teams'!$F$4:$F$119,MATCH($B35,' Toto teams'!$A$4:$A$119,0)),Scoring!$A$4:$O$51,15,FALSE()),0)+1*IFERROR(VLOOKUP(INDEX(' Toto teams'!$G$4:$G$119,MATCH($B35,' Toto teams'!$A$4:$A$119,0)),Scoring!$A$4:$O$51,15,FALSE()),0)+1*IFERROR(VLOOKUP(INDEX(' Toto teams'!$H$4:$H$119,MATCH($B35,' Toto teams'!$A$4:$A$119,0)),Scoring!$A$4:$O$51,15,FALSE()),0))</f>
        <v>0</v>
      </c>
      <c r="J35" s="28">
        <f>IF($B35="","",6*IFERROR(VLOOKUP(INDEX(' Toto teams'!$B$4:$B$119,MATCH($B35,' Toto teams'!$A$4:$A$119,0)),Scoring!$A$4:$N$51,12,FALSE()),0)+4*IFERROR(VLOOKUP(INDEX(' Toto teams'!$C$4:$C$119,MATCH($B35,' Toto teams'!$A$4:$A$119,0)),Scoring!$A$4:$N$51,12,FALSE()),0)+3*IFERROR(VLOOKUP(INDEX(' Toto teams'!$D$4:$D$119,MATCH($B35,' Toto teams'!$A$4:$A$119,0)),Scoring!$A$4:$N$51,12,FALSE()),0)+2*IFERROR(VLOOKUP(INDEX(' Toto teams'!$E$4:$E$119,MATCH($B35,' Toto teams'!$A$4:$A$119,0)),Scoring!$A$4:$N$51,12,FALSE()),0)+1*IFERROR(VLOOKUP(INDEX(' Toto teams'!$F$4:$F$119,MATCH($B35,' Toto teams'!$A$4:$A$119,0)),Scoring!$A$4:$N$51,12,FALSE()),0)+1*IFERROR(VLOOKUP(INDEX(' Toto teams'!$G$4:$G$119,MATCH($B35,' Toto teams'!$A$4:$A$119,0)),Scoring!$A$4:$N$51,12,FALSE()),0)+1*IFERROR(VLOOKUP(INDEX(' Toto teams'!$H$4:$H$119,MATCH($B35,' Toto teams'!$A$4:$A$119,0)),Scoring!$A$4:$N$51,12,FALSE()),0))</f>
        <v>0</v>
      </c>
      <c r="K35" s="29">
        <f>IF($B35="","",IFERROR(INDEX(' Toto teams'!$R$4:$R$119,MATCH($B35,' Toto teams'!$A$4:$A$119,0)),""))</f>
        <v>3</v>
      </c>
      <c r="L35" s="30">
        <f t="shared" si="0"/>
        <v>0</v>
      </c>
    </row>
    <row r="36" spans="1:12" ht="12.75" customHeight="1" x14ac:dyDescent="0.3">
      <c r="A36" s="26">
        <f>IF(33&gt;COUNTIF(' Toto teams'!$A$4:$A$119,"&lt;&gt;"),"",INDEX(' Toto teams'!$S$4:$S$119,MATCH(LARGE(' Toto teams'!$T$4:$T$119,33),' Toto teams'!$T$4:$T$119,0)))</f>
        <v>22</v>
      </c>
      <c r="B36" s="27" t="str">
        <f>IF(33&gt;COUNTIF(' Toto teams'!$A$4:$A$119,"&lt;&gt;"),"",INDEX(' Toto teams'!$A$4:$A$119,MATCH(LARGE(' Toto teams'!$T$4:$T$119,33),' Toto teams'!$T$4:$T$119,0)))</f>
        <v>Vaidas Pažusys</v>
      </c>
      <c r="C36" s="28">
        <f>IF($B36="","",6*(IFERROR(VLOOKUP(INDEX(' Toto teams'!$B$4:$B$119,MATCH($B36,' Toto teams'!$A$4:$A$119,0)),Scoring!$A$4:$N$51,3,FALSE()),0)+IFERROR(VLOOKUP(INDEX(' Toto teams'!$B$4:$B$119,MATCH($B36,' Toto teams'!$A$4:$A$119,0)),Scoring!$A$4:$N$51,4,FALSE()),0)+IFERROR(VLOOKUP(INDEX(' Toto teams'!$B$4:$B$119,MATCH($B36,' Toto teams'!$A$4:$A$119,0)),Scoring!$A$4:$N$51,5,FALSE()),0))+4*(IFERROR(VLOOKUP(INDEX(' Toto teams'!$C$4:$C$119,MATCH($B36,' Toto teams'!$A$4:$A$119,0)),Scoring!$A$4:$N$51,3,FALSE()),0)+IFERROR(VLOOKUP(INDEX(' Toto teams'!$C$4:$C$119,MATCH($B36,' Toto teams'!$A$4:$A$119,0)),Scoring!$A$4:$N$51,4,FALSE()),0)+IFERROR(VLOOKUP(INDEX(' Toto teams'!$C$4:$C$119,MATCH($B36,' Toto teams'!$A$4:$A$119,0)),Scoring!$A$4:$N$51,5,FALSE()),0))+3*(IFERROR(VLOOKUP(INDEX(' Toto teams'!$D$4:$D$119,MATCH($B36,' Toto teams'!$A$4:$A$119,0)),Scoring!$A$4:$N$51,3,FALSE()),0)+IFERROR(VLOOKUP(INDEX(' Toto teams'!$D$4:$D$119,MATCH($B36,' Toto teams'!$A$4:$A$119,0)),Scoring!$A$4:$N$51,4,FALSE()),0)+IFERROR(VLOOKUP(INDEX(' Toto teams'!$D$4:$D$119,MATCH($B36,' Toto teams'!$A$4:$A$119,0)),Scoring!$A$4:$N$51,5,FALSE()),0))+2*(IFERROR(VLOOKUP(INDEX(' Toto teams'!$E$4:$E$119,MATCH($B36,' Toto teams'!$A$4:$A$119,0)),Scoring!$A$4:$N$51,3,FALSE()),0)+IFERROR(VLOOKUP(INDEX(' Toto teams'!$E$4:$E$119,MATCH($B36,' Toto teams'!$A$4:$A$119,0)),Scoring!$A$4:$N$51,4,FALSE()),0)+IFERROR(VLOOKUP(INDEX(' Toto teams'!$E$4:$E$119,MATCH($B36,' Toto teams'!$A$4:$A$119,0)),Scoring!$A$4:$N$51,5,FALSE()),0))+1*(IFERROR(VLOOKUP(INDEX(' Toto teams'!$F$4:$F$119,MATCH($B36,' Toto teams'!$A$4:$A$119,0)),Scoring!$A$4:$N$51,3,FALSE()),0)+IFERROR(VLOOKUP(INDEX(' Toto teams'!$F$4:$F$119,MATCH($B36,' Toto teams'!$A$4:$A$119,0)),Scoring!$A$4:$N$51,4,FALSE()),0)+IFERROR(VLOOKUP(INDEX(' Toto teams'!$F$4:$F$119,MATCH($B36,' Toto teams'!$A$4:$A$119,0)),Scoring!$A$4:$N$51,5,FALSE()),0))+1*(IFERROR(VLOOKUP(INDEX(' Toto teams'!$G$4:$G$119,MATCH($B36,' Toto teams'!$A$4:$A$119,0)),Scoring!$A$4:$N$51,3,FALSE()),0)+IFERROR(VLOOKUP(INDEX(' Toto teams'!$G$4:$G$119,MATCH($B36,' Toto teams'!$A$4:$A$119,0)),Scoring!$A$4:$N$51,4,FALSE()),0)+IFERROR(VLOOKUP(INDEX(' Toto teams'!$G$4:$G$119,MATCH($B36,' Toto teams'!$A$4:$A$119,0)),Scoring!$A$4:$N$51,5,FALSE()),0))+1*(IFERROR(VLOOKUP(INDEX(' Toto teams'!$H$4:$H$119,MATCH($B36,' Toto teams'!$A$4:$A$119,0)),Scoring!$A$4:$N$51,3,FALSE()),0)+IFERROR(VLOOKUP(INDEX(' Toto teams'!$H$4:$H$119,MATCH($B36,' Toto teams'!$A$4:$A$119,0)),Scoring!$A$4:$N$51,4,FALSE()),0)+IFERROR(VLOOKUP(INDEX(' Toto teams'!$H$4:$H$119,MATCH($B36,' Toto teams'!$A$4:$A$119,0)),Scoring!$A$4:$N$51,5,FALSE()),0))+IFERROR(INDEX(' Toto teams'!$Q$4:$Q$119,MATCH($B36,' Toto teams'!$A$4:$A$119,0))*1,0))</f>
        <v>3</v>
      </c>
      <c r="D36" s="28">
        <f>IF($B36="","",6*IFERROR(VLOOKUP(INDEX(' Toto teams'!$B$4:$B$119,MATCH($B36,' Toto teams'!$A$4:$A$119,0)),Scoring!$A$4:$N$51,7,FALSE()),0)+4*IFERROR(VLOOKUP(INDEX(' Toto teams'!$C$4:$C$119,MATCH($B36,' Toto teams'!$A$4:$A$119,0)),Scoring!$A$4:$N$51,7,FALSE()),0)+3*IFERROR(VLOOKUP(INDEX(' Toto teams'!$D$4:$D$119,MATCH($B36,' Toto teams'!$A$4:$A$119,0)),Scoring!$A$4:$N$51,7,FALSE()),0)+2*IFERROR(VLOOKUP(INDEX(' Toto teams'!$E$4:$E$119,MATCH($B36,' Toto teams'!$A$4:$A$119,0)),Scoring!$A$4:$N$51,7,FALSE()),0)+1*IFERROR(VLOOKUP(INDEX(' Toto teams'!$F$4:$F$119,MATCH($B36,' Toto teams'!$A$4:$A$119,0)),Scoring!$A$4:$N$51,7,FALSE()),0)+1*IFERROR(VLOOKUP(INDEX(' Toto teams'!$G$4:$G$119,MATCH($B36,' Toto teams'!$A$4:$A$119,0)),Scoring!$A$4:$N$51,7,FALSE()),0)+1*IFERROR(VLOOKUP(INDEX(' Toto teams'!$H$4:$H$119,MATCH($B36,' Toto teams'!$A$4:$A$119,0)),Scoring!$A$4:$N$51,7,FALSE()),0))</f>
        <v>0</v>
      </c>
      <c r="E36" s="28">
        <f>IF($B36="","",6*IFERROR(VLOOKUP(INDEX(' Toto teams'!$B$4:$B$119,MATCH($B36,' Toto teams'!$A$4:$A$119,0)),Scoring!$A$4:$N$51,8,FALSE()),0)+4*IFERROR(VLOOKUP(INDEX(' Toto teams'!$C$4:$C$119,MATCH($B36,' Toto teams'!$A$4:$A$119,0)),Scoring!$A$4:$N$51,8,FALSE()),0)+3*IFERROR(VLOOKUP(INDEX(' Toto teams'!$D$4:$D$119,MATCH($B36,' Toto teams'!$A$4:$A$119,0)),Scoring!$A$4:$N$51,8,FALSE()),0)+2*IFERROR(VLOOKUP(INDEX(' Toto teams'!$E$4:$E$119,MATCH($B36,' Toto teams'!$A$4:$A$119,0)),Scoring!$A$4:$N$51,8,FALSE()),0)+1*IFERROR(VLOOKUP(INDEX(' Toto teams'!$F$4:$F$119,MATCH($B36,' Toto teams'!$A$4:$A$119,0)),Scoring!$A$4:$N$51,8,FALSE()),0)+1*IFERROR(VLOOKUP(INDEX(' Toto teams'!$G$4:$G$119,MATCH($B36,' Toto teams'!$A$4:$A$119,0)),Scoring!$A$4:$N$51,8,FALSE()),0)+1*IFERROR(VLOOKUP(INDEX(' Toto teams'!$H$4:$H$119,MATCH($B36,' Toto teams'!$A$4:$A$119,0)),Scoring!$A$4:$N$51,8,FALSE()),0))</f>
        <v>0</v>
      </c>
      <c r="F36" s="28">
        <f>IF($B36="","",6*IFERROR(VLOOKUP(INDEX(' Toto teams'!$B$4:$B$119,MATCH($B36,' Toto teams'!$A$4:$A$119,0)),Scoring!$A$4:$N$51,9,FALSE()),0)+4*IFERROR(VLOOKUP(INDEX(' Toto teams'!$C$4:$C$119,MATCH($B36,' Toto teams'!$A$4:$A$119,0)),Scoring!$A$4:$N$51,9,FALSE()),0)+3*IFERROR(VLOOKUP(INDEX(' Toto teams'!$D$4:$D$119,MATCH($B36,' Toto teams'!$A$4:$A$119,0)),Scoring!$A$4:$N$51,9,FALSE()),0)+2*IFERROR(VLOOKUP(INDEX(' Toto teams'!$E$4:$E$119,MATCH($B36,' Toto teams'!$A$4:$A$119,0)),Scoring!$A$4:$N$51,9,FALSE()),0)+1*IFERROR(VLOOKUP(INDEX(' Toto teams'!$F$4:$F$119,MATCH($B36,' Toto teams'!$A$4:$A$119,0)),Scoring!$A$4:$N$51,9,FALSE()),0)+1*IFERROR(VLOOKUP(INDEX(' Toto teams'!$G$4:$G$119,MATCH($B36,' Toto teams'!$A$4:$A$119,0)),Scoring!$A$4:$N$51,9,FALSE()),0)+1*IFERROR(VLOOKUP(INDEX(' Toto teams'!$H$4:$H$119,MATCH($B36,' Toto teams'!$A$4:$A$119,0)),Scoring!$A$4:$N$51,9,FALSE()),0))</f>
        <v>0</v>
      </c>
      <c r="G36" s="28">
        <f>IF($B36="","",6*IFERROR(VLOOKUP(INDEX(' Toto teams'!$B$4:$B$119,MATCH($B36,' Toto teams'!$A$4:$A$119,0)),Scoring!$A$4:$N$51,10,FALSE()),0)+4*IFERROR(VLOOKUP(INDEX(' Toto teams'!$C$4:$C$119,MATCH($B36,' Toto teams'!$A$4:$A$119,0)),Scoring!$A$4:$N$51,10,FALSE()),0)+3*IFERROR(VLOOKUP(INDEX(' Toto teams'!$D$4:$D$119,MATCH($B36,' Toto teams'!$A$4:$A$119,0)),Scoring!$A$4:$N$51,10,FALSE()),0)+2*IFERROR(VLOOKUP(INDEX(' Toto teams'!$E$4:$E$119,MATCH($B36,' Toto teams'!$A$4:$A$119,0)),Scoring!$A$4:$N$51,10,FALSE()),0)+1*IFERROR(VLOOKUP(INDEX(' Toto teams'!$F$4:$F$119,MATCH($B36,' Toto teams'!$A$4:$A$119,0)),Scoring!$A$4:$N$51,10,FALSE()),0)+1*IFERROR(VLOOKUP(INDEX(' Toto teams'!$G$4:$G$119,MATCH($B36,' Toto teams'!$A$4:$A$119,0)),Scoring!$A$4:$N$51,10,FALSE()),0)+1*IFERROR(VLOOKUP(INDEX(' Toto teams'!$H$4:$H$119,MATCH($B36,' Toto teams'!$A$4:$A$119,0)),Scoring!$A$4:$N$51,10,FALSE()),0))</f>
        <v>0</v>
      </c>
      <c r="H36" s="28">
        <f>IF($B36="","",6*IFERROR(VLOOKUP(INDEX(' Toto teams'!$B$4:$B$119,MATCH($B36,' Toto teams'!$A$4:$A$119,0)),Scoring!$A$4:$N$51,11,FALSE()),0)+4*IFERROR(VLOOKUP(INDEX(' Toto teams'!$C$4:$C$119,MATCH($B36,' Toto teams'!$A$4:$A$119,0)),Scoring!$A$4:$N$51,11,FALSE()),0)+3*IFERROR(VLOOKUP(INDEX(' Toto teams'!$D$4:$D$119,MATCH($B36,' Toto teams'!$A$4:$A$119,0)),Scoring!$A$4:$N$51,11,FALSE()),0)+2*IFERROR(VLOOKUP(INDEX(' Toto teams'!$E$4:$E$119,MATCH($B36,' Toto teams'!$A$4:$A$119,0)),Scoring!$A$4:$N$51,11,FALSE()),0)+1*IFERROR(VLOOKUP(INDEX(' Toto teams'!$F$4:$F$119,MATCH($B36,' Toto teams'!$A$4:$A$119,0)),Scoring!$A$4:$N$51,11,FALSE()),0)+1*IFERROR(VLOOKUP(INDEX(' Toto teams'!$G$4:$G$119,MATCH($B36,' Toto teams'!$A$4:$A$119,0)),Scoring!$A$4:$N$51,11,FALSE()),0)+1*IFERROR(VLOOKUP(INDEX(' Toto teams'!$H$4:$H$119,MATCH($B36,' Toto teams'!$A$4:$A$119,0)),Scoring!$A$4:$N$51,11,FALSE()),0))</f>
        <v>0</v>
      </c>
      <c r="I36" s="28">
        <f>IF($B36="","",6*IFERROR(VLOOKUP(INDEX(' Toto teams'!$B$4:$B$119,MATCH($B36,' Toto teams'!$A$4:$A$119,0)),Scoring!$A$4:$O$51,15,FALSE()),0)+4*IFERROR(VLOOKUP(INDEX(' Toto teams'!$C$4:$C$119,MATCH($B36,' Toto teams'!$A$4:$A$119,0)),Scoring!$A$4:$O$51,15,FALSE()),0)+3*IFERROR(VLOOKUP(INDEX(' Toto teams'!$D$4:$D$119,MATCH($B36,' Toto teams'!$A$4:$A$119,0)),Scoring!$A$4:$O$51,15,FALSE()),0)+2*IFERROR(VLOOKUP(INDEX(' Toto teams'!$E$4:$E$119,MATCH($B36,' Toto teams'!$A$4:$A$119,0)),Scoring!$A$4:$O$51,15,FALSE()),0)+1*IFERROR(VLOOKUP(INDEX(' Toto teams'!$F$4:$F$119,MATCH($B36,' Toto teams'!$A$4:$A$119,0)),Scoring!$A$4:$O$51,15,FALSE()),0)+1*IFERROR(VLOOKUP(INDEX(' Toto teams'!$G$4:$G$119,MATCH($B36,' Toto teams'!$A$4:$A$119,0)),Scoring!$A$4:$O$51,15,FALSE()),0)+1*IFERROR(VLOOKUP(INDEX(' Toto teams'!$H$4:$H$119,MATCH($B36,' Toto teams'!$A$4:$A$119,0)),Scoring!$A$4:$O$51,15,FALSE()),0))</f>
        <v>0</v>
      </c>
      <c r="J36" s="28">
        <f>IF($B36="","",6*IFERROR(VLOOKUP(INDEX(' Toto teams'!$B$4:$B$119,MATCH($B36,' Toto teams'!$A$4:$A$119,0)),Scoring!$A$4:$N$51,12,FALSE()),0)+4*IFERROR(VLOOKUP(INDEX(' Toto teams'!$C$4:$C$119,MATCH($B36,' Toto teams'!$A$4:$A$119,0)),Scoring!$A$4:$N$51,12,FALSE()),0)+3*IFERROR(VLOOKUP(INDEX(' Toto teams'!$D$4:$D$119,MATCH($B36,' Toto teams'!$A$4:$A$119,0)),Scoring!$A$4:$N$51,12,FALSE()),0)+2*IFERROR(VLOOKUP(INDEX(' Toto teams'!$E$4:$E$119,MATCH($B36,' Toto teams'!$A$4:$A$119,0)),Scoring!$A$4:$N$51,12,FALSE()),0)+1*IFERROR(VLOOKUP(INDEX(' Toto teams'!$F$4:$F$119,MATCH($B36,' Toto teams'!$A$4:$A$119,0)),Scoring!$A$4:$N$51,12,FALSE()),0)+1*IFERROR(VLOOKUP(INDEX(' Toto teams'!$G$4:$G$119,MATCH($B36,' Toto teams'!$A$4:$A$119,0)),Scoring!$A$4:$N$51,12,FALSE()),0)+1*IFERROR(VLOOKUP(INDEX(' Toto teams'!$H$4:$H$119,MATCH($B36,' Toto teams'!$A$4:$A$119,0)),Scoring!$A$4:$N$51,12,FALSE()),0))</f>
        <v>0</v>
      </c>
      <c r="K36" s="29">
        <f>IF($B36="","",IFERROR(INDEX(' Toto teams'!$R$4:$R$119,MATCH($B36,' Toto teams'!$A$4:$A$119,0)),""))</f>
        <v>3</v>
      </c>
      <c r="L36" s="30">
        <f t="shared" ref="L36:L67" si="4">IFERROR(IF(B36="","",VLOOKUP(A36,$N$4:$R$12,5,FALSE())),0)</f>
        <v>0</v>
      </c>
    </row>
    <row r="37" spans="1:12" ht="12.75" customHeight="1" x14ac:dyDescent="0.3">
      <c r="A37" s="26">
        <f>IF(34&gt;COUNTIF(' Toto teams'!$A$4:$A$119,"&lt;&gt;"),"",INDEX(' Toto teams'!$S$4:$S$119,MATCH(LARGE(' Toto teams'!$T$4:$T$119,34),' Toto teams'!$T$4:$T$119,0)))</f>
        <v>34</v>
      </c>
      <c r="B37" s="27" t="str">
        <f>IF(34&gt;COUNTIF(' Toto teams'!$A$4:$A$119,"&lt;&gt;"),"",INDEX(' Toto teams'!$A$4:$A$119,MATCH(LARGE(' Toto teams'!$T$4:$T$119,34),' Toto teams'!$T$4:$T$119,0)))</f>
        <v>Dobilas III</v>
      </c>
      <c r="C37" s="28">
        <f>IF($B37="","",6*(IFERROR(VLOOKUP(INDEX(' Toto teams'!$B$4:$B$119,MATCH($B37,' Toto teams'!$A$4:$A$119,0)),Scoring!$A$4:$N$51,3,FALSE()),0)+IFERROR(VLOOKUP(INDEX(' Toto teams'!$B$4:$B$119,MATCH($B37,' Toto teams'!$A$4:$A$119,0)),Scoring!$A$4:$N$51,4,FALSE()),0)+IFERROR(VLOOKUP(INDEX(' Toto teams'!$B$4:$B$119,MATCH($B37,' Toto teams'!$A$4:$A$119,0)),Scoring!$A$4:$N$51,5,FALSE()),0))+4*(IFERROR(VLOOKUP(INDEX(' Toto teams'!$C$4:$C$119,MATCH($B37,' Toto teams'!$A$4:$A$119,0)),Scoring!$A$4:$N$51,3,FALSE()),0)+IFERROR(VLOOKUP(INDEX(' Toto teams'!$C$4:$C$119,MATCH($B37,' Toto teams'!$A$4:$A$119,0)),Scoring!$A$4:$N$51,4,FALSE()),0)+IFERROR(VLOOKUP(INDEX(' Toto teams'!$C$4:$C$119,MATCH($B37,' Toto teams'!$A$4:$A$119,0)),Scoring!$A$4:$N$51,5,FALSE()),0))+3*(IFERROR(VLOOKUP(INDEX(' Toto teams'!$D$4:$D$119,MATCH($B37,' Toto teams'!$A$4:$A$119,0)),Scoring!$A$4:$N$51,3,FALSE()),0)+IFERROR(VLOOKUP(INDEX(' Toto teams'!$D$4:$D$119,MATCH($B37,' Toto teams'!$A$4:$A$119,0)),Scoring!$A$4:$N$51,4,FALSE()),0)+IFERROR(VLOOKUP(INDEX(' Toto teams'!$D$4:$D$119,MATCH($B37,' Toto teams'!$A$4:$A$119,0)),Scoring!$A$4:$N$51,5,FALSE()),0))+2*(IFERROR(VLOOKUP(INDEX(' Toto teams'!$E$4:$E$119,MATCH($B37,' Toto teams'!$A$4:$A$119,0)),Scoring!$A$4:$N$51,3,FALSE()),0)+IFERROR(VLOOKUP(INDEX(' Toto teams'!$E$4:$E$119,MATCH($B37,' Toto teams'!$A$4:$A$119,0)),Scoring!$A$4:$N$51,4,FALSE()),0)+IFERROR(VLOOKUP(INDEX(' Toto teams'!$E$4:$E$119,MATCH($B37,' Toto teams'!$A$4:$A$119,0)),Scoring!$A$4:$N$51,5,FALSE()),0))+1*(IFERROR(VLOOKUP(INDEX(' Toto teams'!$F$4:$F$119,MATCH($B37,' Toto teams'!$A$4:$A$119,0)),Scoring!$A$4:$N$51,3,FALSE()),0)+IFERROR(VLOOKUP(INDEX(' Toto teams'!$F$4:$F$119,MATCH($B37,' Toto teams'!$A$4:$A$119,0)),Scoring!$A$4:$N$51,4,FALSE()),0)+IFERROR(VLOOKUP(INDEX(' Toto teams'!$F$4:$F$119,MATCH($B37,' Toto teams'!$A$4:$A$119,0)),Scoring!$A$4:$N$51,5,FALSE()),0))+1*(IFERROR(VLOOKUP(INDEX(' Toto teams'!$G$4:$G$119,MATCH($B37,' Toto teams'!$A$4:$A$119,0)),Scoring!$A$4:$N$51,3,FALSE()),0)+IFERROR(VLOOKUP(INDEX(' Toto teams'!$G$4:$G$119,MATCH($B37,' Toto teams'!$A$4:$A$119,0)),Scoring!$A$4:$N$51,4,FALSE()),0)+IFERROR(VLOOKUP(INDEX(' Toto teams'!$G$4:$G$119,MATCH($B37,' Toto teams'!$A$4:$A$119,0)),Scoring!$A$4:$N$51,5,FALSE()),0))+1*(IFERROR(VLOOKUP(INDEX(' Toto teams'!$H$4:$H$119,MATCH($B37,' Toto teams'!$A$4:$A$119,0)),Scoring!$A$4:$N$51,3,FALSE()),0)+IFERROR(VLOOKUP(INDEX(' Toto teams'!$H$4:$H$119,MATCH($B37,' Toto teams'!$A$4:$A$119,0)),Scoring!$A$4:$N$51,4,FALSE()),0)+IFERROR(VLOOKUP(INDEX(' Toto teams'!$H$4:$H$119,MATCH($B37,' Toto teams'!$A$4:$A$119,0)),Scoring!$A$4:$N$51,5,FALSE()),0))+IFERROR(INDEX(' Toto teams'!$Q$4:$Q$119,MATCH($B37,' Toto teams'!$A$4:$A$119,0))*1,0))</f>
        <v>2</v>
      </c>
      <c r="D37" s="28">
        <f>IF($B37="","",6*IFERROR(VLOOKUP(INDEX(' Toto teams'!$B$4:$B$119,MATCH($B37,' Toto teams'!$A$4:$A$119,0)),Scoring!$A$4:$N$51,7,FALSE()),0)+4*IFERROR(VLOOKUP(INDEX(' Toto teams'!$C$4:$C$119,MATCH($B37,' Toto teams'!$A$4:$A$119,0)),Scoring!$A$4:$N$51,7,FALSE()),0)+3*IFERROR(VLOOKUP(INDEX(' Toto teams'!$D$4:$D$119,MATCH($B37,' Toto teams'!$A$4:$A$119,0)),Scoring!$A$4:$N$51,7,FALSE()),0)+2*IFERROR(VLOOKUP(INDEX(' Toto teams'!$E$4:$E$119,MATCH($B37,' Toto teams'!$A$4:$A$119,0)),Scoring!$A$4:$N$51,7,FALSE()),0)+1*IFERROR(VLOOKUP(INDEX(' Toto teams'!$F$4:$F$119,MATCH($B37,' Toto teams'!$A$4:$A$119,0)),Scoring!$A$4:$N$51,7,FALSE()),0)+1*IFERROR(VLOOKUP(INDEX(' Toto teams'!$G$4:$G$119,MATCH($B37,' Toto teams'!$A$4:$A$119,0)),Scoring!$A$4:$N$51,7,FALSE()),0)+1*IFERROR(VLOOKUP(INDEX(' Toto teams'!$H$4:$H$119,MATCH($B37,' Toto teams'!$A$4:$A$119,0)),Scoring!$A$4:$N$51,7,FALSE()),0))</f>
        <v>0</v>
      </c>
      <c r="E37" s="28">
        <f>IF($B37="","",6*IFERROR(VLOOKUP(INDEX(' Toto teams'!$B$4:$B$119,MATCH($B37,' Toto teams'!$A$4:$A$119,0)),Scoring!$A$4:$N$51,8,FALSE()),0)+4*IFERROR(VLOOKUP(INDEX(' Toto teams'!$C$4:$C$119,MATCH($B37,' Toto teams'!$A$4:$A$119,0)),Scoring!$A$4:$N$51,8,FALSE()),0)+3*IFERROR(VLOOKUP(INDEX(' Toto teams'!$D$4:$D$119,MATCH($B37,' Toto teams'!$A$4:$A$119,0)),Scoring!$A$4:$N$51,8,FALSE()),0)+2*IFERROR(VLOOKUP(INDEX(' Toto teams'!$E$4:$E$119,MATCH($B37,' Toto teams'!$A$4:$A$119,0)),Scoring!$A$4:$N$51,8,FALSE()),0)+1*IFERROR(VLOOKUP(INDEX(' Toto teams'!$F$4:$F$119,MATCH($B37,' Toto teams'!$A$4:$A$119,0)),Scoring!$A$4:$N$51,8,FALSE()),0)+1*IFERROR(VLOOKUP(INDEX(' Toto teams'!$G$4:$G$119,MATCH($B37,' Toto teams'!$A$4:$A$119,0)),Scoring!$A$4:$N$51,8,FALSE()),0)+1*IFERROR(VLOOKUP(INDEX(' Toto teams'!$H$4:$H$119,MATCH($B37,' Toto teams'!$A$4:$A$119,0)),Scoring!$A$4:$N$51,8,FALSE()),0))</f>
        <v>0</v>
      </c>
      <c r="F37" s="28">
        <f>IF($B37="","",6*IFERROR(VLOOKUP(INDEX(' Toto teams'!$B$4:$B$119,MATCH($B37,' Toto teams'!$A$4:$A$119,0)),Scoring!$A$4:$N$51,9,FALSE()),0)+4*IFERROR(VLOOKUP(INDEX(' Toto teams'!$C$4:$C$119,MATCH($B37,' Toto teams'!$A$4:$A$119,0)),Scoring!$A$4:$N$51,9,FALSE()),0)+3*IFERROR(VLOOKUP(INDEX(' Toto teams'!$D$4:$D$119,MATCH($B37,' Toto teams'!$A$4:$A$119,0)),Scoring!$A$4:$N$51,9,FALSE()),0)+2*IFERROR(VLOOKUP(INDEX(' Toto teams'!$E$4:$E$119,MATCH($B37,' Toto teams'!$A$4:$A$119,0)),Scoring!$A$4:$N$51,9,FALSE()),0)+1*IFERROR(VLOOKUP(INDEX(' Toto teams'!$F$4:$F$119,MATCH($B37,' Toto teams'!$A$4:$A$119,0)),Scoring!$A$4:$N$51,9,FALSE()),0)+1*IFERROR(VLOOKUP(INDEX(' Toto teams'!$G$4:$G$119,MATCH($B37,' Toto teams'!$A$4:$A$119,0)),Scoring!$A$4:$N$51,9,FALSE()),0)+1*IFERROR(VLOOKUP(INDEX(' Toto teams'!$H$4:$H$119,MATCH($B37,' Toto teams'!$A$4:$A$119,0)),Scoring!$A$4:$N$51,9,FALSE()),0))</f>
        <v>0</v>
      </c>
      <c r="G37" s="28">
        <f>IF($B37="","",6*IFERROR(VLOOKUP(INDEX(' Toto teams'!$B$4:$B$119,MATCH($B37,' Toto teams'!$A$4:$A$119,0)),Scoring!$A$4:$N$51,10,FALSE()),0)+4*IFERROR(VLOOKUP(INDEX(' Toto teams'!$C$4:$C$119,MATCH($B37,' Toto teams'!$A$4:$A$119,0)),Scoring!$A$4:$N$51,10,FALSE()),0)+3*IFERROR(VLOOKUP(INDEX(' Toto teams'!$D$4:$D$119,MATCH($B37,' Toto teams'!$A$4:$A$119,0)),Scoring!$A$4:$N$51,10,FALSE()),0)+2*IFERROR(VLOOKUP(INDEX(' Toto teams'!$E$4:$E$119,MATCH($B37,' Toto teams'!$A$4:$A$119,0)),Scoring!$A$4:$N$51,10,FALSE()),0)+1*IFERROR(VLOOKUP(INDEX(' Toto teams'!$F$4:$F$119,MATCH($B37,' Toto teams'!$A$4:$A$119,0)),Scoring!$A$4:$N$51,10,FALSE()),0)+1*IFERROR(VLOOKUP(INDEX(' Toto teams'!$G$4:$G$119,MATCH($B37,' Toto teams'!$A$4:$A$119,0)),Scoring!$A$4:$N$51,10,FALSE()),0)+1*IFERROR(VLOOKUP(INDEX(' Toto teams'!$H$4:$H$119,MATCH($B37,' Toto teams'!$A$4:$A$119,0)),Scoring!$A$4:$N$51,10,FALSE()),0))</f>
        <v>0</v>
      </c>
      <c r="H37" s="28">
        <f>IF($B37="","",6*IFERROR(VLOOKUP(INDEX(' Toto teams'!$B$4:$B$119,MATCH($B37,' Toto teams'!$A$4:$A$119,0)),Scoring!$A$4:$N$51,11,FALSE()),0)+4*IFERROR(VLOOKUP(INDEX(' Toto teams'!$C$4:$C$119,MATCH($B37,' Toto teams'!$A$4:$A$119,0)),Scoring!$A$4:$N$51,11,FALSE()),0)+3*IFERROR(VLOOKUP(INDEX(' Toto teams'!$D$4:$D$119,MATCH($B37,' Toto teams'!$A$4:$A$119,0)),Scoring!$A$4:$N$51,11,FALSE()),0)+2*IFERROR(VLOOKUP(INDEX(' Toto teams'!$E$4:$E$119,MATCH($B37,' Toto teams'!$A$4:$A$119,0)),Scoring!$A$4:$N$51,11,FALSE()),0)+1*IFERROR(VLOOKUP(INDEX(' Toto teams'!$F$4:$F$119,MATCH($B37,' Toto teams'!$A$4:$A$119,0)),Scoring!$A$4:$N$51,11,FALSE()),0)+1*IFERROR(VLOOKUP(INDEX(' Toto teams'!$G$4:$G$119,MATCH($B37,' Toto teams'!$A$4:$A$119,0)),Scoring!$A$4:$N$51,11,FALSE()),0)+1*IFERROR(VLOOKUP(INDEX(' Toto teams'!$H$4:$H$119,MATCH($B37,' Toto teams'!$A$4:$A$119,0)),Scoring!$A$4:$N$51,11,FALSE()),0))</f>
        <v>0</v>
      </c>
      <c r="I37" s="28">
        <f>IF($B37="","",6*IFERROR(VLOOKUP(INDEX(' Toto teams'!$B$4:$B$119,MATCH($B37,' Toto teams'!$A$4:$A$119,0)),Scoring!$A$4:$O$51,15,FALSE()),0)+4*IFERROR(VLOOKUP(INDEX(' Toto teams'!$C$4:$C$119,MATCH($B37,' Toto teams'!$A$4:$A$119,0)),Scoring!$A$4:$O$51,15,FALSE()),0)+3*IFERROR(VLOOKUP(INDEX(' Toto teams'!$D$4:$D$119,MATCH($B37,' Toto teams'!$A$4:$A$119,0)),Scoring!$A$4:$O$51,15,FALSE()),0)+2*IFERROR(VLOOKUP(INDEX(' Toto teams'!$E$4:$E$119,MATCH($B37,' Toto teams'!$A$4:$A$119,0)),Scoring!$A$4:$O$51,15,FALSE()),0)+1*IFERROR(VLOOKUP(INDEX(' Toto teams'!$F$4:$F$119,MATCH($B37,' Toto teams'!$A$4:$A$119,0)),Scoring!$A$4:$O$51,15,FALSE()),0)+1*IFERROR(VLOOKUP(INDEX(' Toto teams'!$G$4:$G$119,MATCH($B37,' Toto teams'!$A$4:$A$119,0)),Scoring!$A$4:$O$51,15,FALSE()),0)+1*IFERROR(VLOOKUP(INDEX(' Toto teams'!$H$4:$H$119,MATCH($B37,' Toto teams'!$A$4:$A$119,0)),Scoring!$A$4:$O$51,15,FALSE()),0))</f>
        <v>0</v>
      </c>
      <c r="J37" s="28">
        <f>IF($B37="","",6*IFERROR(VLOOKUP(INDEX(' Toto teams'!$B$4:$B$119,MATCH($B37,' Toto teams'!$A$4:$A$119,0)),Scoring!$A$4:$N$51,12,FALSE()),0)+4*IFERROR(VLOOKUP(INDEX(' Toto teams'!$C$4:$C$119,MATCH($B37,' Toto teams'!$A$4:$A$119,0)),Scoring!$A$4:$N$51,12,FALSE()),0)+3*IFERROR(VLOOKUP(INDEX(' Toto teams'!$D$4:$D$119,MATCH($B37,' Toto teams'!$A$4:$A$119,0)),Scoring!$A$4:$N$51,12,FALSE()),0)+2*IFERROR(VLOOKUP(INDEX(' Toto teams'!$E$4:$E$119,MATCH($B37,' Toto teams'!$A$4:$A$119,0)),Scoring!$A$4:$N$51,12,FALSE()),0)+1*IFERROR(VLOOKUP(INDEX(' Toto teams'!$F$4:$F$119,MATCH($B37,' Toto teams'!$A$4:$A$119,0)),Scoring!$A$4:$N$51,12,FALSE()),0)+1*IFERROR(VLOOKUP(INDEX(' Toto teams'!$G$4:$G$119,MATCH($B37,' Toto teams'!$A$4:$A$119,0)),Scoring!$A$4:$N$51,12,FALSE()),0)+1*IFERROR(VLOOKUP(INDEX(' Toto teams'!$H$4:$H$119,MATCH($B37,' Toto teams'!$A$4:$A$119,0)),Scoring!$A$4:$N$51,12,FALSE()),0))</f>
        <v>0</v>
      </c>
      <c r="K37" s="29">
        <f>IF($B37="","",IFERROR(INDEX(' Toto teams'!$R$4:$R$119,MATCH($B37,' Toto teams'!$A$4:$A$119,0)),""))</f>
        <v>2</v>
      </c>
      <c r="L37" s="30">
        <f t="shared" si="4"/>
        <v>0</v>
      </c>
    </row>
    <row r="38" spans="1:12" ht="12.75" customHeight="1" x14ac:dyDescent="0.3">
      <c r="A38" s="26">
        <f>IF(35&gt;COUNTIF(' Toto teams'!$A$4:$A$119,"&lt;&gt;"),"",INDEX(' Toto teams'!$S$4:$S$119,MATCH(LARGE(' Toto teams'!$T$4:$T$119,35),' Toto teams'!$T$4:$T$119,0)))</f>
        <v>34</v>
      </c>
      <c r="B38" s="27" t="str">
        <f>IF(35&gt;COUNTIF(' Toto teams'!$A$4:$A$119,"&lt;&gt;"),"",INDEX(' Toto teams'!$A$4:$A$119,MATCH(LARGE(' Toto teams'!$T$4:$T$119,35),' Toto teams'!$T$4:$T$119,0)))</f>
        <v>Aurimas Oleknavičius</v>
      </c>
      <c r="C38" s="28">
        <f>IF($B38="","",6*(IFERROR(VLOOKUP(INDEX(' Toto teams'!$B$4:$B$119,MATCH($B38,' Toto teams'!$A$4:$A$119,0)),Scoring!$A$4:$N$51,3,FALSE()),0)+IFERROR(VLOOKUP(INDEX(' Toto teams'!$B$4:$B$119,MATCH($B38,' Toto teams'!$A$4:$A$119,0)),Scoring!$A$4:$N$51,4,FALSE()),0)+IFERROR(VLOOKUP(INDEX(' Toto teams'!$B$4:$B$119,MATCH($B38,' Toto teams'!$A$4:$A$119,0)),Scoring!$A$4:$N$51,5,FALSE()),0))+4*(IFERROR(VLOOKUP(INDEX(' Toto teams'!$C$4:$C$119,MATCH($B38,' Toto teams'!$A$4:$A$119,0)),Scoring!$A$4:$N$51,3,FALSE()),0)+IFERROR(VLOOKUP(INDEX(' Toto teams'!$C$4:$C$119,MATCH($B38,' Toto teams'!$A$4:$A$119,0)),Scoring!$A$4:$N$51,4,FALSE()),0)+IFERROR(VLOOKUP(INDEX(' Toto teams'!$C$4:$C$119,MATCH($B38,' Toto teams'!$A$4:$A$119,0)),Scoring!$A$4:$N$51,5,FALSE()),0))+3*(IFERROR(VLOOKUP(INDEX(' Toto teams'!$D$4:$D$119,MATCH($B38,' Toto teams'!$A$4:$A$119,0)),Scoring!$A$4:$N$51,3,FALSE()),0)+IFERROR(VLOOKUP(INDEX(' Toto teams'!$D$4:$D$119,MATCH($B38,' Toto teams'!$A$4:$A$119,0)),Scoring!$A$4:$N$51,4,FALSE()),0)+IFERROR(VLOOKUP(INDEX(' Toto teams'!$D$4:$D$119,MATCH($B38,' Toto teams'!$A$4:$A$119,0)),Scoring!$A$4:$N$51,5,FALSE()),0))+2*(IFERROR(VLOOKUP(INDEX(' Toto teams'!$E$4:$E$119,MATCH($B38,' Toto teams'!$A$4:$A$119,0)),Scoring!$A$4:$N$51,3,FALSE()),0)+IFERROR(VLOOKUP(INDEX(' Toto teams'!$E$4:$E$119,MATCH($B38,' Toto teams'!$A$4:$A$119,0)),Scoring!$A$4:$N$51,4,FALSE()),0)+IFERROR(VLOOKUP(INDEX(' Toto teams'!$E$4:$E$119,MATCH($B38,' Toto teams'!$A$4:$A$119,0)),Scoring!$A$4:$N$51,5,FALSE()),0))+1*(IFERROR(VLOOKUP(INDEX(' Toto teams'!$F$4:$F$119,MATCH($B38,' Toto teams'!$A$4:$A$119,0)),Scoring!$A$4:$N$51,3,FALSE()),0)+IFERROR(VLOOKUP(INDEX(' Toto teams'!$F$4:$F$119,MATCH($B38,' Toto teams'!$A$4:$A$119,0)),Scoring!$A$4:$N$51,4,FALSE()),0)+IFERROR(VLOOKUP(INDEX(' Toto teams'!$F$4:$F$119,MATCH($B38,' Toto teams'!$A$4:$A$119,0)),Scoring!$A$4:$N$51,5,FALSE()),0))+1*(IFERROR(VLOOKUP(INDEX(' Toto teams'!$G$4:$G$119,MATCH($B38,' Toto teams'!$A$4:$A$119,0)),Scoring!$A$4:$N$51,3,FALSE()),0)+IFERROR(VLOOKUP(INDEX(' Toto teams'!$G$4:$G$119,MATCH($B38,' Toto teams'!$A$4:$A$119,0)),Scoring!$A$4:$N$51,4,FALSE()),0)+IFERROR(VLOOKUP(INDEX(' Toto teams'!$G$4:$G$119,MATCH($B38,' Toto teams'!$A$4:$A$119,0)),Scoring!$A$4:$N$51,5,FALSE()),0))+1*(IFERROR(VLOOKUP(INDEX(' Toto teams'!$H$4:$H$119,MATCH($B38,' Toto teams'!$A$4:$A$119,0)),Scoring!$A$4:$N$51,3,FALSE()),0)+IFERROR(VLOOKUP(INDEX(' Toto teams'!$H$4:$H$119,MATCH($B38,' Toto teams'!$A$4:$A$119,0)),Scoring!$A$4:$N$51,4,FALSE()),0)+IFERROR(VLOOKUP(INDEX(' Toto teams'!$H$4:$H$119,MATCH($B38,' Toto teams'!$A$4:$A$119,0)),Scoring!$A$4:$N$51,5,FALSE()),0))+IFERROR(INDEX(' Toto teams'!$Q$4:$Q$119,MATCH($B38,' Toto teams'!$A$4:$A$119,0))*1,0))</f>
        <v>2</v>
      </c>
      <c r="D38" s="28">
        <f>IF($B38="","",6*IFERROR(VLOOKUP(INDEX(' Toto teams'!$B$4:$B$119,MATCH($B38,' Toto teams'!$A$4:$A$119,0)),Scoring!$A$4:$N$51,7,FALSE()),0)+4*IFERROR(VLOOKUP(INDEX(' Toto teams'!$C$4:$C$119,MATCH($B38,' Toto teams'!$A$4:$A$119,0)),Scoring!$A$4:$N$51,7,FALSE()),0)+3*IFERROR(VLOOKUP(INDEX(' Toto teams'!$D$4:$D$119,MATCH($B38,' Toto teams'!$A$4:$A$119,0)),Scoring!$A$4:$N$51,7,FALSE()),0)+2*IFERROR(VLOOKUP(INDEX(' Toto teams'!$E$4:$E$119,MATCH($B38,' Toto teams'!$A$4:$A$119,0)),Scoring!$A$4:$N$51,7,FALSE()),0)+1*IFERROR(VLOOKUP(INDEX(' Toto teams'!$F$4:$F$119,MATCH($B38,' Toto teams'!$A$4:$A$119,0)),Scoring!$A$4:$N$51,7,FALSE()),0)+1*IFERROR(VLOOKUP(INDEX(' Toto teams'!$G$4:$G$119,MATCH($B38,' Toto teams'!$A$4:$A$119,0)),Scoring!$A$4:$N$51,7,FALSE()),0)+1*IFERROR(VLOOKUP(INDEX(' Toto teams'!$H$4:$H$119,MATCH($B38,' Toto teams'!$A$4:$A$119,0)),Scoring!$A$4:$N$51,7,FALSE()),0))</f>
        <v>0</v>
      </c>
      <c r="E38" s="28">
        <f>IF($B38="","",6*IFERROR(VLOOKUP(INDEX(' Toto teams'!$B$4:$B$119,MATCH($B38,' Toto teams'!$A$4:$A$119,0)),Scoring!$A$4:$N$51,8,FALSE()),0)+4*IFERROR(VLOOKUP(INDEX(' Toto teams'!$C$4:$C$119,MATCH($B38,' Toto teams'!$A$4:$A$119,0)),Scoring!$A$4:$N$51,8,FALSE()),0)+3*IFERROR(VLOOKUP(INDEX(' Toto teams'!$D$4:$D$119,MATCH($B38,' Toto teams'!$A$4:$A$119,0)),Scoring!$A$4:$N$51,8,FALSE()),0)+2*IFERROR(VLOOKUP(INDEX(' Toto teams'!$E$4:$E$119,MATCH($B38,' Toto teams'!$A$4:$A$119,0)),Scoring!$A$4:$N$51,8,FALSE()),0)+1*IFERROR(VLOOKUP(INDEX(' Toto teams'!$F$4:$F$119,MATCH($B38,' Toto teams'!$A$4:$A$119,0)),Scoring!$A$4:$N$51,8,FALSE()),0)+1*IFERROR(VLOOKUP(INDEX(' Toto teams'!$G$4:$G$119,MATCH($B38,' Toto teams'!$A$4:$A$119,0)),Scoring!$A$4:$N$51,8,FALSE()),0)+1*IFERROR(VLOOKUP(INDEX(' Toto teams'!$H$4:$H$119,MATCH($B38,' Toto teams'!$A$4:$A$119,0)),Scoring!$A$4:$N$51,8,FALSE()),0))</f>
        <v>0</v>
      </c>
      <c r="F38" s="28">
        <f>IF($B38="","",6*IFERROR(VLOOKUP(INDEX(' Toto teams'!$B$4:$B$119,MATCH($B38,' Toto teams'!$A$4:$A$119,0)),Scoring!$A$4:$N$51,9,FALSE()),0)+4*IFERROR(VLOOKUP(INDEX(' Toto teams'!$C$4:$C$119,MATCH($B38,' Toto teams'!$A$4:$A$119,0)),Scoring!$A$4:$N$51,9,FALSE()),0)+3*IFERROR(VLOOKUP(INDEX(' Toto teams'!$D$4:$D$119,MATCH($B38,' Toto teams'!$A$4:$A$119,0)),Scoring!$A$4:$N$51,9,FALSE()),0)+2*IFERROR(VLOOKUP(INDEX(' Toto teams'!$E$4:$E$119,MATCH($B38,' Toto teams'!$A$4:$A$119,0)),Scoring!$A$4:$N$51,9,FALSE()),0)+1*IFERROR(VLOOKUP(INDEX(' Toto teams'!$F$4:$F$119,MATCH($B38,' Toto teams'!$A$4:$A$119,0)),Scoring!$A$4:$N$51,9,FALSE()),0)+1*IFERROR(VLOOKUP(INDEX(' Toto teams'!$G$4:$G$119,MATCH($B38,' Toto teams'!$A$4:$A$119,0)),Scoring!$A$4:$N$51,9,FALSE()),0)+1*IFERROR(VLOOKUP(INDEX(' Toto teams'!$H$4:$H$119,MATCH($B38,' Toto teams'!$A$4:$A$119,0)),Scoring!$A$4:$N$51,9,FALSE()),0))</f>
        <v>0</v>
      </c>
      <c r="G38" s="28">
        <f>IF($B38="","",6*IFERROR(VLOOKUP(INDEX(' Toto teams'!$B$4:$B$119,MATCH($B38,' Toto teams'!$A$4:$A$119,0)),Scoring!$A$4:$N$51,10,FALSE()),0)+4*IFERROR(VLOOKUP(INDEX(' Toto teams'!$C$4:$C$119,MATCH($B38,' Toto teams'!$A$4:$A$119,0)),Scoring!$A$4:$N$51,10,FALSE()),0)+3*IFERROR(VLOOKUP(INDEX(' Toto teams'!$D$4:$D$119,MATCH($B38,' Toto teams'!$A$4:$A$119,0)),Scoring!$A$4:$N$51,10,FALSE()),0)+2*IFERROR(VLOOKUP(INDEX(' Toto teams'!$E$4:$E$119,MATCH($B38,' Toto teams'!$A$4:$A$119,0)),Scoring!$A$4:$N$51,10,FALSE()),0)+1*IFERROR(VLOOKUP(INDEX(' Toto teams'!$F$4:$F$119,MATCH($B38,' Toto teams'!$A$4:$A$119,0)),Scoring!$A$4:$N$51,10,FALSE()),0)+1*IFERROR(VLOOKUP(INDEX(' Toto teams'!$G$4:$G$119,MATCH($B38,' Toto teams'!$A$4:$A$119,0)),Scoring!$A$4:$N$51,10,FALSE()),0)+1*IFERROR(VLOOKUP(INDEX(' Toto teams'!$H$4:$H$119,MATCH($B38,' Toto teams'!$A$4:$A$119,0)),Scoring!$A$4:$N$51,10,FALSE()),0))</f>
        <v>0</v>
      </c>
      <c r="H38" s="28">
        <f>IF($B38="","",6*IFERROR(VLOOKUP(INDEX(' Toto teams'!$B$4:$B$119,MATCH($B38,' Toto teams'!$A$4:$A$119,0)),Scoring!$A$4:$N$51,11,FALSE()),0)+4*IFERROR(VLOOKUP(INDEX(' Toto teams'!$C$4:$C$119,MATCH($B38,' Toto teams'!$A$4:$A$119,0)),Scoring!$A$4:$N$51,11,FALSE()),0)+3*IFERROR(VLOOKUP(INDEX(' Toto teams'!$D$4:$D$119,MATCH($B38,' Toto teams'!$A$4:$A$119,0)),Scoring!$A$4:$N$51,11,FALSE()),0)+2*IFERROR(VLOOKUP(INDEX(' Toto teams'!$E$4:$E$119,MATCH($B38,' Toto teams'!$A$4:$A$119,0)),Scoring!$A$4:$N$51,11,FALSE()),0)+1*IFERROR(VLOOKUP(INDEX(' Toto teams'!$F$4:$F$119,MATCH($B38,' Toto teams'!$A$4:$A$119,0)),Scoring!$A$4:$N$51,11,FALSE()),0)+1*IFERROR(VLOOKUP(INDEX(' Toto teams'!$G$4:$G$119,MATCH($B38,' Toto teams'!$A$4:$A$119,0)),Scoring!$A$4:$N$51,11,FALSE()),0)+1*IFERROR(VLOOKUP(INDEX(' Toto teams'!$H$4:$H$119,MATCH($B38,' Toto teams'!$A$4:$A$119,0)),Scoring!$A$4:$N$51,11,FALSE()),0))</f>
        <v>0</v>
      </c>
      <c r="I38" s="28">
        <f>IF($B38="","",6*IFERROR(VLOOKUP(INDEX(' Toto teams'!$B$4:$B$119,MATCH($B38,' Toto teams'!$A$4:$A$119,0)),Scoring!$A$4:$O$51,15,FALSE()),0)+4*IFERROR(VLOOKUP(INDEX(' Toto teams'!$C$4:$C$119,MATCH($B38,' Toto teams'!$A$4:$A$119,0)),Scoring!$A$4:$O$51,15,FALSE()),0)+3*IFERROR(VLOOKUP(INDEX(' Toto teams'!$D$4:$D$119,MATCH($B38,' Toto teams'!$A$4:$A$119,0)),Scoring!$A$4:$O$51,15,FALSE()),0)+2*IFERROR(VLOOKUP(INDEX(' Toto teams'!$E$4:$E$119,MATCH($B38,' Toto teams'!$A$4:$A$119,0)),Scoring!$A$4:$O$51,15,FALSE()),0)+1*IFERROR(VLOOKUP(INDEX(' Toto teams'!$F$4:$F$119,MATCH($B38,' Toto teams'!$A$4:$A$119,0)),Scoring!$A$4:$O$51,15,FALSE()),0)+1*IFERROR(VLOOKUP(INDEX(' Toto teams'!$G$4:$G$119,MATCH($B38,' Toto teams'!$A$4:$A$119,0)),Scoring!$A$4:$O$51,15,FALSE()),0)+1*IFERROR(VLOOKUP(INDEX(' Toto teams'!$H$4:$H$119,MATCH($B38,' Toto teams'!$A$4:$A$119,0)),Scoring!$A$4:$O$51,15,FALSE()),0))</f>
        <v>0</v>
      </c>
      <c r="J38" s="28">
        <f>IF($B38="","",6*IFERROR(VLOOKUP(INDEX(' Toto teams'!$B$4:$B$119,MATCH($B38,' Toto teams'!$A$4:$A$119,0)),Scoring!$A$4:$N$51,12,FALSE()),0)+4*IFERROR(VLOOKUP(INDEX(' Toto teams'!$C$4:$C$119,MATCH($B38,' Toto teams'!$A$4:$A$119,0)),Scoring!$A$4:$N$51,12,FALSE()),0)+3*IFERROR(VLOOKUP(INDEX(' Toto teams'!$D$4:$D$119,MATCH($B38,' Toto teams'!$A$4:$A$119,0)),Scoring!$A$4:$N$51,12,FALSE()),0)+2*IFERROR(VLOOKUP(INDEX(' Toto teams'!$E$4:$E$119,MATCH($B38,' Toto teams'!$A$4:$A$119,0)),Scoring!$A$4:$N$51,12,FALSE()),0)+1*IFERROR(VLOOKUP(INDEX(' Toto teams'!$F$4:$F$119,MATCH($B38,' Toto teams'!$A$4:$A$119,0)),Scoring!$A$4:$N$51,12,FALSE()),0)+1*IFERROR(VLOOKUP(INDEX(' Toto teams'!$G$4:$G$119,MATCH($B38,' Toto teams'!$A$4:$A$119,0)),Scoring!$A$4:$N$51,12,FALSE()),0)+1*IFERROR(VLOOKUP(INDEX(' Toto teams'!$H$4:$H$119,MATCH($B38,' Toto teams'!$A$4:$A$119,0)),Scoring!$A$4:$N$51,12,FALSE()),0))</f>
        <v>0</v>
      </c>
      <c r="K38" s="29">
        <f>IF($B38="","",IFERROR(INDEX(' Toto teams'!$R$4:$R$119,MATCH($B38,' Toto teams'!$A$4:$A$119,0)),""))</f>
        <v>2</v>
      </c>
      <c r="L38" s="30">
        <f t="shared" si="4"/>
        <v>0</v>
      </c>
    </row>
    <row r="39" spans="1:12" ht="12.75" customHeight="1" x14ac:dyDescent="0.3">
      <c r="A39" s="26">
        <f>IF(36&gt;COUNTIF(' Toto teams'!$A$4:$A$119,"&lt;&gt;"),"",INDEX(' Toto teams'!$S$4:$S$119,MATCH(LARGE(' Toto teams'!$T$4:$T$119,36),' Toto teams'!$T$4:$T$119,0)))</f>
        <v>36</v>
      </c>
      <c r="B39" s="27" t="str">
        <f>IF(36&gt;COUNTIF(' Toto teams'!$A$4:$A$119,"&lt;&gt;"),"",INDEX(' Toto teams'!$A$4:$A$119,MATCH(LARGE(' Toto teams'!$T$4:$T$119,36),' Toto teams'!$T$4:$T$119,0)))</f>
        <v>Sofus Wolke</v>
      </c>
      <c r="C39" s="28">
        <f>IF($B39="","",6*(IFERROR(VLOOKUP(INDEX(' Toto teams'!$B$4:$B$119,MATCH($B39,' Toto teams'!$A$4:$A$119,0)),Scoring!$A$4:$N$51,3,FALSE()),0)+IFERROR(VLOOKUP(INDEX(' Toto teams'!$B$4:$B$119,MATCH($B39,' Toto teams'!$A$4:$A$119,0)),Scoring!$A$4:$N$51,4,FALSE()),0)+IFERROR(VLOOKUP(INDEX(' Toto teams'!$B$4:$B$119,MATCH($B39,' Toto teams'!$A$4:$A$119,0)),Scoring!$A$4:$N$51,5,FALSE()),0))+4*(IFERROR(VLOOKUP(INDEX(' Toto teams'!$C$4:$C$119,MATCH($B39,' Toto teams'!$A$4:$A$119,0)),Scoring!$A$4:$N$51,3,FALSE()),0)+IFERROR(VLOOKUP(INDEX(' Toto teams'!$C$4:$C$119,MATCH($B39,' Toto teams'!$A$4:$A$119,0)),Scoring!$A$4:$N$51,4,FALSE()),0)+IFERROR(VLOOKUP(INDEX(' Toto teams'!$C$4:$C$119,MATCH($B39,' Toto teams'!$A$4:$A$119,0)),Scoring!$A$4:$N$51,5,FALSE()),0))+3*(IFERROR(VLOOKUP(INDEX(' Toto teams'!$D$4:$D$119,MATCH($B39,' Toto teams'!$A$4:$A$119,0)),Scoring!$A$4:$N$51,3,FALSE()),0)+IFERROR(VLOOKUP(INDEX(' Toto teams'!$D$4:$D$119,MATCH($B39,' Toto teams'!$A$4:$A$119,0)),Scoring!$A$4:$N$51,4,FALSE()),0)+IFERROR(VLOOKUP(INDEX(' Toto teams'!$D$4:$D$119,MATCH($B39,' Toto teams'!$A$4:$A$119,0)),Scoring!$A$4:$N$51,5,FALSE()),0))+2*(IFERROR(VLOOKUP(INDEX(' Toto teams'!$E$4:$E$119,MATCH($B39,' Toto teams'!$A$4:$A$119,0)),Scoring!$A$4:$N$51,3,FALSE()),0)+IFERROR(VLOOKUP(INDEX(' Toto teams'!$E$4:$E$119,MATCH($B39,' Toto teams'!$A$4:$A$119,0)),Scoring!$A$4:$N$51,4,FALSE()),0)+IFERROR(VLOOKUP(INDEX(' Toto teams'!$E$4:$E$119,MATCH($B39,' Toto teams'!$A$4:$A$119,0)),Scoring!$A$4:$N$51,5,FALSE()),0))+1*(IFERROR(VLOOKUP(INDEX(' Toto teams'!$F$4:$F$119,MATCH($B39,' Toto teams'!$A$4:$A$119,0)),Scoring!$A$4:$N$51,3,FALSE()),0)+IFERROR(VLOOKUP(INDEX(' Toto teams'!$F$4:$F$119,MATCH($B39,' Toto teams'!$A$4:$A$119,0)),Scoring!$A$4:$N$51,4,FALSE()),0)+IFERROR(VLOOKUP(INDEX(' Toto teams'!$F$4:$F$119,MATCH($B39,' Toto teams'!$A$4:$A$119,0)),Scoring!$A$4:$N$51,5,FALSE()),0))+1*(IFERROR(VLOOKUP(INDEX(' Toto teams'!$G$4:$G$119,MATCH($B39,' Toto teams'!$A$4:$A$119,0)),Scoring!$A$4:$N$51,3,FALSE()),0)+IFERROR(VLOOKUP(INDEX(' Toto teams'!$G$4:$G$119,MATCH($B39,' Toto teams'!$A$4:$A$119,0)),Scoring!$A$4:$N$51,4,FALSE()),0)+IFERROR(VLOOKUP(INDEX(' Toto teams'!$G$4:$G$119,MATCH($B39,' Toto teams'!$A$4:$A$119,0)),Scoring!$A$4:$N$51,5,FALSE()),0))+1*(IFERROR(VLOOKUP(INDEX(' Toto teams'!$H$4:$H$119,MATCH($B39,' Toto teams'!$A$4:$A$119,0)),Scoring!$A$4:$N$51,3,FALSE()),0)+IFERROR(VLOOKUP(INDEX(' Toto teams'!$H$4:$H$119,MATCH($B39,' Toto teams'!$A$4:$A$119,0)),Scoring!$A$4:$N$51,4,FALSE()),0)+IFERROR(VLOOKUP(INDEX(' Toto teams'!$H$4:$H$119,MATCH($B39,' Toto teams'!$A$4:$A$119,0)),Scoring!$A$4:$N$51,5,FALSE()),0))+IFERROR(INDEX(' Toto teams'!$Q$4:$Q$119,MATCH($B39,' Toto teams'!$A$4:$A$119,0))*1,0))</f>
        <v>1</v>
      </c>
      <c r="D39" s="28">
        <f>IF($B39="","",6*IFERROR(VLOOKUP(INDEX(' Toto teams'!$B$4:$B$119,MATCH($B39,' Toto teams'!$A$4:$A$119,0)),Scoring!$A$4:$N$51,7,FALSE()),0)+4*IFERROR(VLOOKUP(INDEX(' Toto teams'!$C$4:$C$119,MATCH($B39,' Toto teams'!$A$4:$A$119,0)),Scoring!$A$4:$N$51,7,FALSE()),0)+3*IFERROR(VLOOKUP(INDEX(' Toto teams'!$D$4:$D$119,MATCH($B39,' Toto teams'!$A$4:$A$119,0)),Scoring!$A$4:$N$51,7,FALSE()),0)+2*IFERROR(VLOOKUP(INDEX(' Toto teams'!$E$4:$E$119,MATCH($B39,' Toto teams'!$A$4:$A$119,0)),Scoring!$A$4:$N$51,7,FALSE()),0)+1*IFERROR(VLOOKUP(INDEX(' Toto teams'!$F$4:$F$119,MATCH($B39,' Toto teams'!$A$4:$A$119,0)),Scoring!$A$4:$N$51,7,FALSE()),0)+1*IFERROR(VLOOKUP(INDEX(' Toto teams'!$G$4:$G$119,MATCH($B39,' Toto teams'!$A$4:$A$119,0)),Scoring!$A$4:$N$51,7,FALSE()),0)+1*IFERROR(VLOOKUP(INDEX(' Toto teams'!$H$4:$H$119,MATCH($B39,' Toto teams'!$A$4:$A$119,0)),Scoring!$A$4:$N$51,7,FALSE()),0))</f>
        <v>0</v>
      </c>
      <c r="E39" s="28">
        <f>IF($B39="","",6*IFERROR(VLOOKUP(INDEX(' Toto teams'!$B$4:$B$119,MATCH($B39,' Toto teams'!$A$4:$A$119,0)),Scoring!$A$4:$N$51,8,FALSE()),0)+4*IFERROR(VLOOKUP(INDEX(' Toto teams'!$C$4:$C$119,MATCH($B39,' Toto teams'!$A$4:$A$119,0)),Scoring!$A$4:$N$51,8,FALSE()),0)+3*IFERROR(VLOOKUP(INDEX(' Toto teams'!$D$4:$D$119,MATCH($B39,' Toto teams'!$A$4:$A$119,0)),Scoring!$A$4:$N$51,8,FALSE()),0)+2*IFERROR(VLOOKUP(INDEX(' Toto teams'!$E$4:$E$119,MATCH($B39,' Toto teams'!$A$4:$A$119,0)),Scoring!$A$4:$N$51,8,FALSE()),0)+1*IFERROR(VLOOKUP(INDEX(' Toto teams'!$F$4:$F$119,MATCH($B39,' Toto teams'!$A$4:$A$119,0)),Scoring!$A$4:$N$51,8,FALSE()),0)+1*IFERROR(VLOOKUP(INDEX(' Toto teams'!$G$4:$G$119,MATCH($B39,' Toto teams'!$A$4:$A$119,0)),Scoring!$A$4:$N$51,8,FALSE()),0)+1*IFERROR(VLOOKUP(INDEX(' Toto teams'!$H$4:$H$119,MATCH($B39,' Toto teams'!$A$4:$A$119,0)),Scoring!$A$4:$N$51,8,FALSE()),0))</f>
        <v>0</v>
      </c>
      <c r="F39" s="28">
        <f>IF($B39="","",6*IFERROR(VLOOKUP(INDEX(' Toto teams'!$B$4:$B$119,MATCH($B39,' Toto teams'!$A$4:$A$119,0)),Scoring!$A$4:$N$51,9,FALSE()),0)+4*IFERROR(VLOOKUP(INDEX(' Toto teams'!$C$4:$C$119,MATCH($B39,' Toto teams'!$A$4:$A$119,0)),Scoring!$A$4:$N$51,9,FALSE()),0)+3*IFERROR(VLOOKUP(INDEX(' Toto teams'!$D$4:$D$119,MATCH($B39,' Toto teams'!$A$4:$A$119,0)),Scoring!$A$4:$N$51,9,FALSE()),0)+2*IFERROR(VLOOKUP(INDEX(' Toto teams'!$E$4:$E$119,MATCH($B39,' Toto teams'!$A$4:$A$119,0)),Scoring!$A$4:$N$51,9,FALSE()),0)+1*IFERROR(VLOOKUP(INDEX(' Toto teams'!$F$4:$F$119,MATCH($B39,' Toto teams'!$A$4:$A$119,0)),Scoring!$A$4:$N$51,9,FALSE()),0)+1*IFERROR(VLOOKUP(INDEX(' Toto teams'!$G$4:$G$119,MATCH($B39,' Toto teams'!$A$4:$A$119,0)),Scoring!$A$4:$N$51,9,FALSE()),0)+1*IFERROR(VLOOKUP(INDEX(' Toto teams'!$H$4:$H$119,MATCH($B39,' Toto teams'!$A$4:$A$119,0)),Scoring!$A$4:$N$51,9,FALSE()),0))</f>
        <v>0</v>
      </c>
      <c r="G39" s="28">
        <f>IF($B39="","",6*IFERROR(VLOOKUP(INDEX(' Toto teams'!$B$4:$B$119,MATCH($B39,' Toto teams'!$A$4:$A$119,0)),Scoring!$A$4:$N$51,10,FALSE()),0)+4*IFERROR(VLOOKUP(INDEX(' Toto teams'!$C$4:$C$119,MATCH($B39,' Toto teams'!$A$4:$A$119,0)),Scoring!$A$4:$N$51,10,FALSE()),0)+3*IFERROR(VLOOKUP(INDEX(' Toto teams'!$D$4:$D$119,MATCH($B39,' Toto teams'!$A$4:$A$119,0)),Scoring!$A$4:$N$51,10,FALSE()),0)+2*IFERROR(VLOOKUP(INDEX(' Toto teams'!$E$4:$E$119,MATCH($B39,' Toto teams'!$A$4:$A$119,0)),Scoring!$A$4:$N$51,10,FALSE()),0)+1*IFERROR(VLOOKUP(INDEX(' Toto teams'!$F$4:$F$119,MATCH($B39,' Toto teams'!$A$4:$A$119,0)),Scoring!$A$4:$N$51,10,FALSE()),0)+1*IFERROR(VLOOKUP(INDEX(' Toto teams'!$G$4:$G$119,MATCH($B39,' Toto teams'!$A$4:$A$119,0)),Scoring!$A$4:$N$51,10,FALSE()),0)+1*IFERROR(VLOOKUP(INDEX(' Toto teams'!$H$4:$H$119,MATCH($B39,' Toto teams'!$A$4:$A$119,0)),Scoring!$A$4:$N$51,10,FALSE()),0))</f>
        <v>0</v>
      </c>
      <c r="H39" s="28">
        <f>IF($B39="","",6*IFERROR(VLOOKUP(INDEX(' Toto teams'!$B$4:$B$119,MATCH($B39,' Toto teams'!$A$4:$A$119,0)),Scoring!$A$4:$N$51,11,FALSE()),0)+4*IFERROR(VLOOKUP(INDEX(' Toto teams'!$C$4:$C$119,MATCH($B39,' Toto teams'!$A$4:$A$119,0)),Scoring!$A$4:$N$51,11,FALSE()),0)+3*IFERROR(VLOOKUP(INDEX(' Toto teams'!$D$4:$D$119,MATCH($B39,' Toto teams'!$A$4:$A$119,0)),Scoring!$A$4:$N$51,11,FALSE()),0)+2*IFERROR(VLOOKUP(INDEX(' Toto teams'!$E$4:$E$119,MATCH($B39,' Toto teams'!$A$4:$A$119,0)),Scoring!$A$4:$N$51,11,FALSE()),0)+1*IFERROR(VLOOKUP(INDEX(' Toto teams'!$F$4:$F$119,MATCH($B39,' Toto teams'!$A$4:$A$119,0)),Scoring!$A$4:$N$51,11,FALSE()),0)+1*IFERROR(VLOOKUP(INDEX(' Toto teams'!$G$4:$G$119,MATCH($B39,' Toto teams'!$A$4:$A$119,0)),Scoring!$A$4:$N$51,11,FALSE()),0)+1*IFERROR(VLOOKUP(INDEX(' Toto teams'!$H$4:$H$119,MATCH($B39,' Toto teams'!$A$4:$A$119,0)),Scoring!$A$4:$N$51,11,FALSE()),0))</f>
        <v>0</v>
      </c>
      <c r="I39" s="28">
        <f>IF($B39="","",6*IFERROR(VLOOKUP(INDEX(' Toto teams'!$B$4:$B$119,MATCH($B39,' Toto teams'!$A$4:$A$119,0)),Scoring!$A$4:$O$51,15,FALSE()),0)+4*IFERROR(VLOOKUP(INDEX(' Toto teams'!$C$4:$C$119,MATCH($B39,' Toto teams'!$A$4:$A$119,0)),Scoring!$A$4:$O$51,15,FALSE()),0)+3*IFERROR(VLOOKUP(INDEX(' Toto teams'!$D$4:$D$119,MATCH($B39,' Toto teams'!$A$4:$A$119,0)),Scoring!$A$4:$O$51,15,FALSE()),0)+2*IFERROR(VLOOKUP(INDEX(' Toto teams'!$E$4:$E$119,MATCH($B39,' Toto teams'!$A$4:$A$119,0)),Scoring!$A$4:$O$51,15,FALSE()),0)+1*IFERROR(VLOOKUP(INDEX(' Toto teams'!$F$4:$F$119,MATCH($B39,' Toto teams'!$A$4:$A$119,0)),Scoring!$A$4:$O$51,15,FALSE()),0)+1*IFERROR(VLOOKUP(INDEX(' Toto teams'!$G$4:$G$119,MATCH($B39,' Toto teams'!$A$4:$A$119,0)),Scoring!$A$4:$O$51,15,FALSE()),0)+1*IFERROR(VLOOKUP(INDEX(' Toto teams'!$H$4:$H$119,MATCH($B39,' Toto teams'!$A$4:$A$119,0)),Scoring!$A$4:$O$51,15,FALSE()),0))</f>
        <v>0</v>
      </c>
      <c r="J39" s="28">
        <f>IF($B39="","",6*IFERROR(VLOOKUP(INDEX(' Toto teams'!$B$4:$B$119,MATCH($B39,' Toto teams'!$A$4:$A$119,0)),Scoring!$A$4:$N$51,12,FALSE()),0)+4*IFERROR(VLOOKUP(INDEX(' Toto teams'!$C$4:$C$119,MATCH($B39,' Toto teams'!$A$4:$A$119,0)),Scoring!$A$4:$N$51,12,FALSE()),0)+3*IFERROR(VLOOKUP(INDEX(' Toto teams'!$D$4:$D$119,MATCH($B39,' Toto teams'!$A$4:$A$119,0)),Scoring!$A$4:$N$51,12,FALSE()),0)+2*IFERROR(VLOOKUP(INDEX(' Toto teams'!$E$4:$E$119,MATCH($B39,' Toto teams'!$A$4:$A$119,0)),Scoring!$A$4:$N$51,12,FALSE()),0)+1*IFERROR(VLOOKUP(INDEX(' Toto teams'!$F$4:$F$119,MATCH($B39,' Toto teams'!$A$4:$A$119,0)),Scoring!$A$4:$N$51,12,FALSE()),0)+1*IFERROR(VLOOKUP(INDEX(' Toto teams'!$G$4:$G$119,MATCH($B39,' Toto teams'!$A$4:$A$119,0)),Scoring!$A$4:$N$51,12,FALSE()),0)+1*IFERROR(VLOOKUP(INDEX(' Toto teams'!$H$4:$H$119,MATCH($B39,' Toto teams'!$A$4:$A$119,0)),Scoring!$A$4:$N$51,12,FALSE()),0))</f>
        <v>0</v>
      </c>
      <c r="K39" s="29">
        <f>IF($B39="","",IFERROR(INDEX(' Toto teams'!$R$4:$R$119,MATCH($B39,' Toto teams'!$A$4:$A$119,0)),""))</f>
        <v>1</v>
      </c>
      <c r="L39" s="30">
        <f t="shared" si="4"/>
        <v>0</v>
      </c>
    </row>
    <row r="40" spans="1:12" ht="12.75" customHeight="1" x14ac:dyDescent="0.3">
      <c r="A40" s="26">
        <f>IF(37&gt;COUNTIF(' Toto teams'!$A$4:$A$119,"&lt;&gt;"),"",INDEX(' Toto teams'!$S$4:$S$119,MATCH(LARGE(' Toto teams'!$T$4:$T$119,37),' Toto teams'!$T$4:$T$119,0)))</f>
        <v>36</v>
      </c>
      <c r="B40" s="27" t="str">
        <f>IF(37&gt;COUNTIF(' Toto teams'!$A$4:$A$119,"&lt;&gt;"),"",INDEX(' Toto teams'!$A$4:$A$119,MATCH(LARGE(' Toto teams'!$T$4:$T$119,37),' Toto teams'!$T$4:$T$119,0)))</f>
        <v>Kristina I</v>
      </c>
      <c r="C40" s="28">
        <f>IF($B40="","",6*(IFERROR(VLOOKUP(INDEX(' Toto teams'!$B$4:$B$119,MATCH($B40,' Toto teams'!$A$4:$A$119,0)),Scoring!$A$4:$N$51,3,FALSE()),0)+IFERROR(VLOOKUP(INDEX(' Toto teams'!$B$4:$B$119,MATCH($B40,' Toto teams'!$A$4:$A$119,0)),Scoring!$A$4:$N$51,4,FALSE()),0)+IFERROR(VLOOKUP(INDEX(' Toto teams'!$B$4:$B$119,MATCH($B40,' Toto teams'!$A$4:$A$119,0)),Scoring!$A$4:$N$51,5,FALSE()),0))+4*(IFERROR(VLOOKUP(INDEX(' Toto teams'!$C$4:$C$119,MATCH($B40,' Toto teams'!$A$4:$A$119,0)),Scoring!$A$4:$N$51,3,FALSE()),0)+IFERROR(VLOOKUP(INDEX(' Toto teams'!$C$4:$C$119,MATCH($B40,' Toto teams'!$A$4:$A$119,0)),Scoring!$A$4:$N$51,4,FALSE()),0)+IFERROR(VLOOKUP(INDEX(' Toto teams'!$C$4:$C$119,MATCH($B40,' Toto teams'!$A$4:$A$119,0)),Scoring!$A$4:$N$51,5,FALSE()),0))+3*(IFERROR(VLOOKUP(INDEX(' Toto teams'!$D$4:$D$119,MATCH($B40,' Toto teams'!$A$4:$A$119,0)),Scoring!$A$4:$N$51,3,FALSE()),0)+IFERROR(VLOOKUP(INDEX(' Toto teams'!$D$4:$D$119,MATCH($B40,' Toto teams'!$A$4:$A$119,0)),Scoring!$A$4:$N$51,4,FALSE()),0)+IFERROR(VLOOKUP(INDEX(' Toto teams'!$D$4:$D$119,MATCH($B40,' Toto teams'!$A$4:$A$119,0)),Scoring!$A$4:$N$51,5,FALSE()),0))+2*(IFERROR(VLOOKUP(INDEX(' Toto teams'!$E$4:$E$119,MATCH($B40,' Toto teams'!$A$4:$A$119,0)),Scoring!$A$4:$N$51,3,FALSE()),0)+IFERROR(VLOOKUP(INDEX(' Toto teams'!$E$4:$E$119,MATCH($B40,' Toto teams'!$A$4:$A$119,0)),Scoring!$A$4:$N$51,4,FALSE()),0)+IFERROR(VLOOKUP(INDEX(' Toto teams'!$E$4:$E$119,MATCH($B40,' Toto teams'!$A$4:$A$119,0)),Scoring!$A$4:$N$51,5,FALSE()),0))+1*(IFERROR(VLOOKUP(INDEX(' Toto teams'!$F$4:$F$119,MATCH($B40,' Toto teams'!$A$4:$A$119,0)),Scoring!$A$4:$N$51,3,FALSE()),0)+IFERROR(VLOOKUP(INDEX(' Toto teams'!$F$4:$F$119,MATCH($B40,' Toto teams'!$A$4:$A$119,0)),Scoring!$A$4:$N$51,4,FALSE()),0)+IFERROR(VLOOKUP(INDEX(' Toto teams'!$F$4:$F$119,MATCH($B40,' Toto teams'!$A$4:$A$119,0)),Scoring!$A$4:$N$51,5,FALSE()),0))+1*(IFERROR(VLOOKUP(INDEX(' Toto teams'!$G$4:$G$119,MATCH($B40,' Toto teams'!$A$4:$A$119,0)),Scoring!$A$4:$N$51,3,FALSE()),0)+IFERROR(VLOOKUP(INDEX(' Toto teams'!$G$4:$G$119,MATCH($B40,' Toto teams'!$A$4:$A$119,0)),Scoring!$A$4:$N$51,4,FALSE()),0)+IFERROR(VLOOKUP(INDEX(' Toto teams'!$G$4:$G$119,MATCH($B40,' Toto teams'!$A$4:$A$119,0)),Scoring!$A$4:$N$51,5,FALSE()),0))+1*(IFERROR(VLOOKUP(INDEX(' Toto teams'!$H$4:$H$119,MATCH($B40,' Toto teams'!$A$4:$A$119,0)),Scoring!$A$4:$N$51,3,FALSE()),0)+IFERROR(VLOOKUP(INDEX(' Toto teams'!$H$4:$H$119,MATCH($B40,' Toto teams'!$A$4:$A$119,0)),Scoring!$A$4:$N$51,4,FALSE()),0)+IFERROR(VLOOKUP(INDEX(' Toto teams'!$H$4:$H$119,MATCH($B40,' Toto teams'!$A$4:$A$119,0)),Scoring!$A$4:$N$51,5,FALSE()),0))+IFERROR(INDEX(' Toto teams'!$Q$4:$Q$119,MATCH($B40,' Toto teams'!$A$4:$A$119,0))*1,0))</f>
        <v>1</v>
      </c>
      <c r="D40" s="28">
        <f>IF($B40="","",6*IFERROR(VLOOKUP(INDEX(' Toto teams'!$B$4:$B$119,MATCH($B40,' Toto teams'!$A$4:$A$119,0)),Scoring!$A$4:$N$51,7,FALSE()),0)+4*IFERROR(VLOOKUP(INDEX(' Toto teams'!$C$4:$C$119,MATCH($B40,' Toto teams'!$A$4:$A$119,0)),Scoring!$A$4:$N$51,7,FALSE()),0)+3*IFERROR(VLOOKUP(INDEX(' Toto teams'!$D$4:$D$119,MATCH($B40,' Toto teams'!$A$4:$A$119,0)),Scoring!$A$4:$N$51,7,FALSE()),0)+2*IFERROR(VLOOKUP(INDEX(' Toto teams'!$E$4:$E$119,MATCH($B40,' Toto teams'!$A$4:$A$119,0)),Scoring!$A$4:$N$51,7,FALSE()),0)+1*IFERROR(VLOOKUP(INDEX(' Toto teams'!$F$4:$F$119,MATCH($B40,' Toto teams'!$A$4:$A$119,0)),Scoring!$A$4:$N$51,7,FALSE()),0)+1*IFERROR(VLOOKUP(INDEX(' Toto teams'!$G$4:$G$119,MATCH($B40,' Toto teams'!$A$4:$A$119,0)),Scoring!$A$4:$N$51,7,FALSE()),0)+1*IFERROR(VLOOKUP(INDEX(' Toto teams'!$H$4:$H$119,MATCH($B40,' Toto teams'!$A$4:$A$119,0)),Scoring!$A$4:$N$51,7,FALSE()),0))</f>
        <v>0</v>
      </c>
      <c r="E40" s="28">
        <f>IF($B40="","",6*IFERROR(VLOOKUP(INDEX(' Toto teams'!$B$4:$B$119,MATCH($B40,' Toto teams'!$A$4:$A$119,0)),Scoring!$A$4:$N$51,8,FALSE()),0)+4*IFERROR(VLOOKUP(INDEX(' Toto teams'!$C$4:$C$119,MATCH($B40,' Toto teams'!$A$4:$A$119,0)),Scoring!$A$4:$N$51,8,FALSE()),0)+3*IFERROR(VLOOKUP(INDEX(' Toto teams'!$D$4:$D$119,MATCH($B40,' Toto teams'!$A$4:$A$119,0)),Scoring!$A$4:$N$51,8,FALSE()),0)+2*IFERROR(VLOOKUP(INDEX(' Toto teams'!$E$4:$E$119,MATCH($B40,' Toto teams'!$A$4:$A$119,0)),Scoring!$A$4:$N$51,8,FALSE()),0)+1*IFERROR(VLOOKUP(INDEX(' Toto teams'!$F$4:$F$119,MATCH($B40,' Toto teams'!$A$4:$A$119,0)),Scoring!$A$4:$N$51,8,FALSE()),0)+1*IFERROR(VLOOKUP(INDEX(' Toto teams'!$G$4:$G$119,MATCH($B40,' Toto teams'!$A$4:$A$119,0)),Scoring!$A$4:$N$51,8,FALSE()),0)+1*IFERROR(VLOOKUP(INDEX(' Toto teams'!$H$4:$H$119,MATCH($B40,' Toto teams'!$A$4:$A$119,0)),Scoring!$A$4:$N$51,8,FALSE()),0))</f>
        <v>0</v>
      </c>
      <c r="F40" s="28">
        <f>IF($B40="","",6*IFERROR(VLOOKUP(INDEX(' Toto teams'!$B$4:$B$119,MATCH($B40,' Toto teams'!$A$4:$A$119,0)),Scoring!$A$4:$N$51,9,FALSE()),0)+4*IFERROR(VLOOKUP(INDEX(' Toto teams'!$C$4:$C$119,MATCH($B40,' Toto teams'!$A$4:$A$119,0)),Scoring!$A$4:$N$51,9,FALSE()),0)+3*IFERROR(VLOOKUP(INDEX(' Toto teams'!$D$4:$D$119,MATCH($B40,' Toto teams'!$A$4:$A$119,0)),Scoring!$A$4:$N$51,9,FALSE()),0)+2*IFERROR(VLOOKUP(INDEX(' Toto teams'!$E$4:$E$119,MATCH($B40,' Toto teams'!$A$4:$A$119,0)),Scoring!$A$4:$N$51,9,FALSE()),0)+1*IFERROR(VLOOKUP(INDEX(' Toto teams'!$F$4:$F$119,MATCH($B40,' Toto teams'!$A$4:$A$119,0)),Scoring!$A$4:$N$51,9,FALSE()),0)+1*IFERROR(VLOOKUP(INDEX(' Toto teams'!$G$4:$G$119,MATCH($B40,' Toto teams'!$A$4:$A$119,0)),Scoring!$A$4:$N$51,9,FALSE()),0)+1*IFERROR(VLOOKUP(INDEX(' Toto teams'!$H$4:$H$119,MATCH($B40,' Toto teams'!$A$4:$A$119,0)),Scoring!$A$4:$N$51,9,FALSE()),0))</f>
        <v>0</v>
      </c>
      <c r="G40" s="28">
        <f>IF($B40="","",6*IFERROR(VLOOKUP(INDEX(' Toto teams'!$B$4:$B$119,MATCH($B40,' Toto teams'!$A$4:$A$119,0)),Scoring!$A$4:$N$51,10,FALSE()),0)+4*IFERROR(VLOOKUP(INDEX(' Toto teams'!$C$4:$C$119,MATCH($B40,' Toto teams'!$A$4:$A$119,0)),Scoring!$A$4:$N$51,10,FALSE()),0)+3*IFERROR(VLOOKUP(INDEX(' Toto teams'!$D$4:$D$119,MATCH($B40,' Toto teams'!$A$4:$A$119,0)),Scoring!$A$4:$N$51,10,FALSE()),0)+2*IFERROR(VLOOKUP(INDEX(' Toto teams'!$E$4:$E$119,MATCH($B40,' Toto teams'!$A$4:$A$119,0)),Scoring!$A$4:$N$51,10,FALSE()),0)+1*IFERROR(VLOOKUP(INDEX(' Toto teams'!$F$4:$F$119,MATCH($B40,' Toto teams'!$A$4:$A$119,0)),Scoring!$A$4:$N$51,10,FALSE()),0)+1*IFERROR(VLOOKUP(INDEX(' Toto teams'!$G$4:$G$119,MATCH($B40,' Toto teams'!$A$4:$A$119,0)),Scoring!$A$4:$N$51,10,FALSE()),0)+1*IFERROR(VLOOKUP(INDEX(' Toto teams'!$H$4:$H$119,MATCH($B40,' Toto teams'!$A$4:$A$119,0)),Scoring!$A$4:$N$51,10,FALSE()),0))</f>
        <v>0</v>
      </c>
      <c r="H40" s="28">
        <f>IF($B40="","",6*IFERROR(VLOOKUP(INDEX(' Toto teams'!$B$4:$B$119,MATCH($B40,' Toto teams'!$A$4:$A$119,0)),Scoring!$A$4:$N$51,11,FALSE()),0)+4*IFERROR(VLOOKUP(INDEX(' Toto teams'!$C$4:$C$119,MATCH($B40,' Toto teams'!$A$4:$A$119,0)),Scoring!$A$4:$N$51,11,FALSE()),0)+3*IFERROR(VLOOKUP(INDEX(' Toto teams'!$D$4:$D$119,MATCH($B40,' Toto teams'!$A$4:$A$119,0)),Scoring!$A$4:$N$51,11,FALSE()),0)+2*IFERROR(VLOOKUP(INDEX(' Toto teams'!$E$4:$E$119,MATCH($B40,' Toto teams'!$A$4:$A$119,0)),Scoring!$A$4:$N$51,11,FALSE()),0)+1*IFERROR(VLOOKUP(INDEX(' Toto teams'!$F$4:$F$119,MATCH($B40,' Toto teams'!$A$4:$A$119,0)),Scoring!$A$4:$N$51,11,FALSE()),0)+1*IFERROR(VLOOKUP(INDEX(' Toto teams'!$G$4:$G$119,MATCH($B40,' Toto teams'!$A$4:$A$119,0)),Scoring!$A$4:$N$51,11,FALSE()),0)+1*IFERROR(VLOOKUP(INDEX(' Toto teams'!$H$4:$H$119,MATCH($B40,' Toto teams'!$A$4:$A$119,0)),Scoring!$A$4:$N$51,11,FALSE()),0))</f>
        <v>0</v>
      </c>
      <c r="I40" s="28">
        <f>IF($B40="","",6*IFERROR(VLOOKUP(INDEX(' Toto teams'!$B$4:$B$119,MATCH($B40,' Toto teams'!$A$4:$A$119,0)),Scoring!$A$4:$O$51,15,FALSE()),0)+4*IFERROR(VLOOKUP(INDEX(' Toto teams'!$C$4:$C$119,MATCH($B40,' Toto teams'!$A$4:$A$119,0)),Scoring!$A$4:$O$51,15,FALSE()),0)+3*IFERROR(VLOOKUP(INDEX(' Toto teams'!$D$4:$D$119,MATCH($B40,' Toto teams'!$A$4:$A$119,0)),Scoring!$A$4:$O$51,15,FALSE()),0)+2*IFERROR(VLOOKUP(INDEX(' Toto teams'!$E$4:$E$119,MATCH($B40,' Toto teams'!$A$4:$A$119,0)),Scoring!$A$4:$O$51,15,FALSE()),0)+1*IFERROR(VLOOKUP(INDEX(' Toto teams'!$F$4:$F$119,MATCH($B40,' Toto teams'!$A$4:$A$119,0)),Scoring!$A$4:$O$51,15,FALSE()),0)+1*IFERROR(VLOOKUP(INDEX(' Toto teams'!$G$4:$G$119,MATCH($B40,' Toto teams'!$A$4:$A$119,0)),Scoring!$A$4:$O$51,15,FALSE()),0)+1*IFERROR(VLOOKUP(INDEX(' Toto teams'!$H$4:$H$119,MATCH($B40,' Toto teams'!$A$4:$A$119,0)),Scoring!$A$4:$O$51,15,FALSE()),0))</f>
        <v>0</v>
      </c>
      <c r="J40" s="28">
        <f>IF($B40="","",6*IFERROR(VLOOKUP(INDEX(' Toto teams'!$B$4:$B$119,MATCH($B40,' Toto teams'!$A$4:$A$119,0)),Scoring!$A$4:$N$51,12,FALSE()),0)+4*IFERROR(VLOOKUP(INDEX(' Toto teams'!$C$4:$C$119,MATCH($B40,' Toto teams'!$A$4:$A$119,0)),Scoring!$A$4:$N$51,12,FALSE()),0)+3*IFERROR(VLOOKUP(INDEX(' Toto teams'!$D$4:$D$119,MATCH($B40,' Toto teams'!$A$4:$A$119,0)),Scoring!$A$4:$N$51,12,FALSE()),0)+2*IFERROR(VLOOKUP(INDEX(' Toto teams'!$E$4:$E$119,MATCH($B40,' Toto teams'!$A$4:$A$119,0)),Scoring!$A$4:$N$51,12,FALSE()),0)+1*IFERROR(VLOOKUP(INDEX(' Toto teams'!$F$4:$F$119,MATCH($B40,' Toto teams'!$A$4:$A$119,0)),Scoring!$A$4:$N$51,12,FALSE()),0)+1*IFERROR(VLOOKUP(INDEX(' Toto teams'!$G$4:$G$119,MATCH($B40,' Toto teams'!$A$4:$A$119,0)),Scoring!$A$4:$N$51,12,FALSE()),0)+1*IFERROR(VLOOKUP(INDEX(' Toto teams'!$H$4:$H$119,MATCH($B40,' Toto teams'!$A$4:$A$119,0)),Scoring!$A$4:$N$51,12,FALSE()),0))</f>
        <v>0</v>
      </c>
      <c r="K40" s="29">
        <f>IF($B40="","",IFERROR(INDEX(' Toto teams'!$R$4:$R$119,MATCH($B40,' Toto teams'!$A$4:$A$119,0)),""))</f>
        <v>1</v>
      </c>
      <c r="L40" s="30">
        <f t="shared" si="4"/>
        <v>0</v>
      </c>
    </row>
    <row r="41" spans="1:12" ht="12.75" customHeight="1" x14ac:dyDescent="0.3">
      <c r="A41" s="26">
        <f>IF(38&gt;COUNTIF(' Toto teams'!$A$4:$A$119,"&lt;&gt;"),"",INDEX(' Toto teams'!$S$4:$S$119,MATCH(LARGE(' Toto teams'!$T$4:$T$119,38),' Toto teams'!$T$4:$T$119,0)))</f>
        <v>36</v>
      </c>
      <c r="B41" s="27" t="str">
        <f>IF(38&gt;COUNTIF(' Toto teams'!$A$4:$A$119,"&lt;&gt;"),"",INDEX(' Toto teams'!$A$4:$A$119,MATCH(LARGE(' Toto teams'!$T$4:$T$119,38),' Toto teams'!$T$4:$T$119,0)))</f>
        <v>Alius Antulis</v>
      </c>
      <c r="C41" s="28">
        <f>IF($B41="","",6*(IFERROR(VLOOKUP(INDEX(' Toto teams'!$B$4:$B$119,MATCH($B41,' Toto teams'!$A$4:$A$119,0)),Scoring!$A$4:$N$51,3,FALSE()),0)+IFERROR(VLOOKUP(INDEX(' Toto teams'!$B$4:$B$119,MATCH($B41,' Toto teams'!$A$4:$A$119,0)),Scoring!$A$4:$N$51,4,FALSE()),0)+IFERROR(VLOOKUP(INDEX(' Toto teams'!$B$4:$B$119,MATCH($B41,' Toto teams'!$A$4:$A$119,0)),Scoring!$A$4:$N$51,5,FALSE()),0))+4*(IFERROR(VLOOKUP(INDEX(' Toto teams'!$C$4:$C$119,MATCH($B41,' Toto teams'!$A$4:$A$119,0)),Scoring!$A$4:$N$51,3,FALSE()),0)+IFERROR(VLOOKUP(INDEX(' Toto teams'!$C$4:$C$119,MATCH($B41,' Toto teams'!$A$4:$A$119,0)),Scoring!$A$4:$N$51,4,FALSE()),0)+IFERROR(VLOOKUP(INDEX(' Toto teams'!$C$4:$C$119,MATCH($B41,' Toto teams'!$A$4:$A$119,0)),Scoring!$A$4:$N$51,5,FALSE()),0))+3*(IFERROR(VLOOKUP(INDEX(' Toto teams'!$D$4:$D$119,MATCH($B41,' Toto teams'!$A$4:$A$119,0)),Scoring!$A$4:$N$51,3,FALSE()),0)+IFERROR(VLOOKUP(INDEX(' Toto teams'!$D$4:$D$119,MATCH($B41,' Toto teams'!$A$4:$A$119,0)),Scoring!$A$4:$N$51,4,FALSE()),0)+IFERROR(VLOOKUP(INDEX(' Toto teams'!$D$4:$D$119,MATCH($B41,' Toto teams'!$A$4:$A$119,0)),Scoring!$A$4:$N$51,5,FALSE()),0))+2*(IFERROR(VLOOKUP(INDEX(' Toto teams'!$E$4:$E$119,MATCH($B41,' Toto teams'!$A$4:$A$119,0)),Scoring!$A$4:$N$51,3,FALSE()),0)+IFERROR(VLOOKUP(INDEX(' Toto teams'!$E$4:$E$119,MATCH($B41,' Toto teams'!$A$4:$A$119,0)),Scoring!$A$4:$N$51,4,FALSE()),0)+IFERROR(VLOOKUP(INDEX(' Toto teams'!$E$4:$E$119,MATCH($B41,' Toto teams'!$A$4:$A$119,0)),Scoring!$A$4:$N$51,5,FALSE()),0))+1*(IFERROR(VLOOKUP(INDEX(' Toto teams'!$F$4:$F$119,MATCH($B41,' Toto teams'!$A$4:$A$119,0)),Scoring!$A$4:$N$51,3,FALSE()),0)+IFERROR(VLOOKUP(INDEX(' Toto teams'!$F$4:$F$119,MATCH($B41,' Toto teams'!$A$4:$A$119,0)),Scoring!$A$4:$N$51,4,FALSE()),0)+IFERROR(VLOOKUP(INDEX(' Toto teams'!$F$4:$F$119,MATCH($B41,' Toto teams'!$A$4:$A$119,0)),Scoring!$A$4:$N$51,5,FALSE()),0))+1*(IFERROR(VLOOKUP(INDEX(' Toto teams'!$G$4:$G$119,MATCH($B41,' Toto teams'!$A$4:$A$119,0)),Scoring!$A$4:$N$51,3,FALSE()),0)+IFERROR(VLOOKUP(INDEX(' Toto teams'!$G$4:$G$119,MATCH($B41,' Toto teams'!$A$4:$A$119,0)),Scoring!$A$4:$N$51,4,FALSE()),0)+IFERROR(VLOOKUP(INDEX(' Toto teams'!$G$4:$G$119,MATCH($B41,' Toto teams'!$A$4:$A$119,0)),Scoring!$A$4:$N$51,5,FALSE()),0))+1*(IFERROR(VLOOKUP(INDEX(' Toto teams'!$H$4:$H$119,MATCH($B41,' Toto teams'!$A$4:$A$119,0)),Scoring!$A$4:$N$51,3,FALSE()),0)+IFERROR(VLOOKUP(INDEX(' Toto teams'!$H$4:$H$119,MATCH($B41,' Toto teams'!$A$4:$A$119,0)),Scoring!$A$4:$N$51,4,FALSE()),0)+IFERROR(VLOOKUP(INDEX(' Toto teams'!$H$4:$H$119,MATCH($B41,' Toto teams'!$A$4:$A$119,0)),Scoring!$A$4:$N$51,5,FALSE()),0))+IFERROR(INDEX(' Toto teams'!$Q$4:$Q$119,MATCH($B41,' Toto teams'!$A$4:$A$119,0))*1,0))</f>
        <v>1</v>
      </c>
      <c r="D41" s="28">
        <f>IF($B41="","",6*IFERROR(VLOOKUP(INDEX(' Toto teams'!$B$4:$B$119,MATCH($B41,' Toto teams'!$A$4:$A$119,0)),Scoring!$A$4:$N$51,7,FALSE()),0)+4*IFERROR(VLOOKUP(INDEX(' Toto teams'!$C$4:$C$119,MATCH($B41,' Toto teams'!$A$4:$A$119,0)),Scoring!$A$4:$N$51,7,FALSE()),0)+3*IFERROR(VLOOKUP(INDEX(' Toto teams'!$D$4:$D$119,MATCH($B41,' Toto teams'!$A$4:$A$119,0)),Scoring!$A$4:$N$51,7,FALSE()),0)+2*IFERROR(VLOOKUP(INDEX(' Toto teams'!$E$4:$E$119,MATCH($B41,' Toto teams'!$A$4:$A$119,0)),Scoring!$A$4:$N$51,7,FALSE()),0)+1*IFERROR(VLOOKUP(INDEX(' Toto teams'!$F$4:$F$119,MATCH($B41,' Toto teams'!$A$4:$A$119,0)),Scoring!$A$4:$N$51,7,FALSE()),0)+1*IFERROR(VLOOKUP(INDEX(' Toto teams'!$G$4:$G$119,MATCH($B41,' Toto teams'!$A$4:$A$119,0)),Scoring!$A$4:$N$51,7,FALSE()),0)+1*IFERROR(VLOOKUP(INDEX(' Toto teams'!$H$4:$H$119,MATCH($B41,' Toto teams'!$A$4:$A$119,0)),Scoring!$A$4:$N$51,7,FALSE()),0))</f>
        <v>0</v>
      </c>
      <c r="E41" s="28">
        <f>IF($B41="","",6*IFERROR(VLOOKUP(INDEX(' Toto teams'!$B$4:$B$119,MATCH($B41,' Toto teams'!$A$4:$A$119,0)),Scoring!$A$4:$N$51,8,FALSE()),0)+4*IFERROR(VLOOKUP(INDEX(' Toto teams'!$C$4:$C$119,MATCH($B41,' Toto teams'!$A$4:$A$119,0)),Scoring!$A$4:$N$51,8,FALSE()),0)+3*IFERROR(VLOOKUP(INDEX(' Toto teams'!$D$4:$D$119,MATCH($B41,' Toto teams'!$A$4:$A$119,0)),Scoring!$A$4:$N$51,8,FALSE()),0)+2*IFERROR(VLOOKUP(INDEX(' Toto teams'!$E$4:$E$119,MATCH($B41,' Toto teams'!$A$4:$A$119,0)),Scoring!$A$4:$N$51,8,FALSE()),0)+1*IFERROR(VLOOKUP(INDEX(' Toto teams'!$F$4:$F$119,MATCH($B41,' Toto teams'!$A$4:$A$119,0)),Scoring!$A$4:$N$51,8,FALSE()),0)+1*IFERROR(VLOOKUP(INDEX(' Toto teams'!$G$4:$G$119,MATCH($B41,' Toto teams'!$A$4:$A$119,0)),Scoring!$A$4:$N$51,8,FALSE()),0)+1*IFERROR(VLOOKUP(INDEX(' Toto teams'!$H$4:$H$119,MATCH($B41,' Toto teams'!$A$4:$A$119,0)),Scoring!$A$4:$N$51,8,FALSE()),0))</f>
        <v>0</v>
      </c>
      <c r="F41" s="28">
        <f>IF($B41="","",6*IFERROR(VLOOKUP(INDEX(' Toto teams'!$B$4:$B$119,MATCH($B41,' Toto teams'!$A$4:$A$119,0)),Scoring!$A$4:$N$51,9,FALSE()),0)+4*IFERROR(VLOOKUP(INDEX(' Toto teams'!$C$4:$C$119,MATCH($B41,' Toto teams'!$A$4:$A$119,0)),Scoring!$A$4:$N$51,9,FALSE()),0)+3*IFERROR(VLOOKUP(INDEX(' Toto teams'!$D$4:$D$119,MATCH($B41,' Toto teams'!$A$4:$A$119,0)),Scoring!$A$4:$N$51,9,FALSE()),0)+2*IFERROR(VLOOKUP(INDEX(' Toto teams'!$E$4:$E$119,MATCH($B41,' Toto teams'!$A$4:$A$119,0)),Scoring!$A$4:$N$51,9,FALSE()),0)+1*IFERROR(VLOOKUP(INDEX(' Toto teams'!$F$4:$F$119,MATCH($B41,' Toto teams'!$A$4:$A$119,0)),Scoring!$A$4:$N$51,9,FALSE()),0)+1*IFERROR(VLOOKUP(INDEX(' Toto teams'!$G$4:$G$119,MATCH($B41,' Toto teams'!$A$4:$A$119,0)),Scoring!$A$4:$N$51,9,FALSE()),0)+1*IFERROR(VLOOKUP(INDEX(' Toto teams'!$H$4:$H$119,MATCH($B41,' Toto teams'!$A$4:$A$119,0)),Scoring!$A$4:$N$51,9,FALSE()),0))</f>
        <v>0</v>
      </c>
      <c r="G41" s="28">
        <f>IF($B41="","",6*IFERROR(VLOOKUP(INDEX(' Toto teams'!$B$4:$B$119,MATCH($B41,' Toto teams'!$A$4:$A$119,0)),Scoring!$A$4:$N$51,10,FALSE()),0)+4*IFERROR(VLOOKUP(INDEX(' Toto teams'!$C$4:$C$119,MATCH($B41,' Toto teams'!$A$4:$A$119,0)),Scoring!$A$4:$N$51,10,FALSE()),0)+3*IFERROR(VLOOKUP(INDEX(' Toto teams'!$D$4:$D$119,MATCH($B41,' Toto teams'!$A$4:$A$119,0)),Scoring!$A$4:$N$51,10,FALSE()),0)+2*IFERROR(VLOOKUP(INDEX(' Toto teams'!$E$4:$E$119,MATCH($B41,' Toto teams'!$A$4:$A$119,0)),Scoring!$A$4:$N$51,10,FALSE()),0)+1*IFERROR(VLOOKUP(INDEX(' Toto teams'!$F$4:$F$119,MATCH($B41,' Toto teams'!$A$4:$A$119,0)),Scoring!$A$4:$N$51,10,FALSE()),0)+1*IFERROR(VLOOKUP(INDEX(' Toto teams'!$G$4:$G$119,MATCH($B41,' Toto teams'!$A$4:$A$119,0)),Scoring!$A$4:$N$51,10,FALSE()),0)+1*IFERROR(VLOOKUP(INDEX(' Toto teams'!$H$4:$H$119,MATCH($B41,' Toto teams'!$A$4:$A$119,0)),Scoring!$A$4:$N$51,10,FALSE()),0))</f>
        <v>0</v>
      </c>
      <c r="H41" s="28">
        <f>IF($B41="","",6*IFERROR(VLOOKUP(INDEX(' Toto teams'!$B$4:$B$119,MATCH($B41,' Toto teams'!$A$4:$A$119,0)),Scoring!$A$4:$N$51,11,FALSE()),0)+4*IFERROR(VLOOKUP(INDEX(' Toto teams'!$C$4:$C$119,MATCH($B41,' Toto teams'!$A$4:$A$119,0)),Scoring!$A$4:$N$51,11,FALSE()),0)+3*IFERROR(VLOOKUP(INDEX(' Toto teams'!$D$4:$D$119,MATCH($B41,' Toto teams'!$A$4:$A$119,0)),Scoring!$A$4:$N$51,11,FALSE()),0)+2*IFERROR(VLOOKUP(INDEX(' Toto teams'!$E$4:$E$119,MATCH($B41,' Toto teams'!$A$4:$A$119,0)),Scoring!$A$4:$N$51,11,FALSE()),0)+1*IFERROR(VLOOKUP(INDEX(' Toto teams'!$F$4:$F$119,MATCH($B41,' Toto teams'!$A$4:$A$119,0)),Scoring!$A$4:$N$51,11,FALSE()),0)+1*IFERROR(VLOOKUP(INDEX(' Toto teams'!$G$4:$G$119,MATCH($B41,' Toto teams'!$A$4:$A$119,0)),Scoring!$A$4:$N$51,11,FALSE()),0)+1*IFERROR(VLOOKUP(INDEX(' Toto teams'!$H$4:$H$119,MATCH($B41,' Toto teams'!$A$4:$A$119,0)),Scoring!$A$4:$N$51,11,FALSE()),0))</f>
        <v>0</v>
      </c>
      <c r="I41" s="28">
        <f>IF($B41="","",6*IFERROR(VLOOKUP(INDEX(' Toto teams'!$B$4:$B$119,MATCH($B41,' Toto teams'!$A$4:$A$119,0)),Scoring!$A$4:$O$51,15,FALSE()),0)+4*IFERROR(VLOOKUP(INDEX(' Toto teams'!$C$4:$C$119,MATCH($B41,' Toto teams'!$A$4:$A$119,0)),Scoring!$A$4:$O$51,15,FALSE()),0)+3*IFERROR(VLOOKUP(INDEX(' Toto teams'!$D$4:$D$119,MATCH($B41,' Toto teams'!$A$4:$A$119,0)),Scoring!$A$4:$O$51,15,FALSE()),0)+2*IFERROR(VLOOKUP(INDEX(' Toto teams'!$E$4:$E$119,MATCH($B41,' Toto teams'!$A$4:$A$119,0)),Scoring!$A$4:$O$51,15,FALSE()),0)+1*IFERROR(VLOOKUP(INDEX(' Toto teams'!$F$4:$F$119,MATCH($B41,' Toto teams'!$A$4:$A$119,0)),Scoring!$A$4:$O$51,15,FALSE()),0)+1*IFERROR(VLOOKUP(INDEX(' Toto teams'!$G$4:$G$119,MATCH($B41,' Toto teams'!$A$4:$A$119,0)),Scoring!$A$4:$O$51,15,FALSE()),0)+1*IFERROR(VLOOKUP(INDEX(' Toto teams'!$H$4:$H$119,MATCH($B41,' Toto teams'!$A$4:$A$119,0)),Scoring!$A$4:$O$51,15,FALSE()),0))</f>
        <v>0</v>
      </c>
      <c r="J41" s="28">
        <f>IF($B41="","",6*IFERROR(VLOOKUP(INDEX(' Toto teams'!$B$4:$B$119,MATCH($B41,' Toto teams'!$A$4:$A$119,0)),Scoring!$A$4:$N$51,12,FALSE()),0)+4*IFERROR(VLOOKUP(INDEX(' Toto teams'!$C$4:$C$119,MATCH($B41,' Toto teams'!$A$4:$A$119,0)),Scoring!$A$4:$N$51,12,FALSE()),0)+3*IFERROR(VLOOKUP(INDEX(' Toto teams'!$D$4:$D$119,MATCH($B41,' Toto teams'!$A$4:$A$119,0)),Scoring!$A$4:$N$51,12,FALSE()),0)+2*IFERROR(VLOOKUP(INDEX(' Toto teams'!$E$4:$E$119,MATCH($B41,' Toto teams'!$A$4:$A$119,0)),Scoring!$A$4:$N$51,12,FALSE()),0)+1*IFERROR(VLOOKUP(INDEX(' Toto teams'!$F$4:$F$119,MATCH($B41,' Toto teams'!$A$4:$A$119,0)),Scoring!$A$4:$N$51,12,FALSE()),0)+1*IFERROR(VLOOKUP(INDEX(' Toto teams'!$G$4:$G$119,MATCH($B41,' Toto teams'!$A$4:$A$119,0)),Scoring!$A$4:$N$51,12,FALSE()),0)+1*IFERROR(VLOOKUP(INDEX(' Toto teams'!$H$4:$H$119,MATCH($B41,' Toto teams'!$A$4:$A$119,0)),Scoring!$A$4:$N$51,12,FALSE()),0))</f>
        <v>0</v>
      </c>
      <c r="K41" s="29">
        <f>IF($B41="","",IFERROR(INDEX(' Toto teams'!$R$4:$R$119,MATCH($B41,' Toto teams'!$A$4:$A$119,0)),""))</f>
        <v>1</v>
      </c>
      <c r="L41" s="30">
        <f t="shared" si="4"/>
        <v>0</v>
      </c>
    </row>
    <row r="42" spans="1:12" ht="12.75" customHeight="1" x14ac:dyDescent="0.3">
      <c r="A42" s="26">
        <f>IF(39&gt;COUNTIF(' Toto teams'!$A$4:$A$119,"&lt;&gt;"),"",INDEX(' Toto teams'!$S$4:$S$119,MATCH(LARGE(' Toto teams'!$T$4:$T$119,39),' Toto teams'!$T$4:$T$119,0)))</f>
        <v>36</v>
      </c>
      <c r="B42" s="27" t="str">
        <f>IF(39&gt;COUNTIF(' Toto teams'!$A$4:$A$119,"&lt;&gt;"),"",INDEX(' Toto teams'!$A$4:$A$119,MATCH(LARGE(' Toto teams'!$T$4:$T$119,39),' Toto teams'!$T$4:$T$119,0)))</f>
        <v>Alexey Nikitenko</v>
      </c>
      <c r="C42" s="28">
        <f>IF($B42="","",6*(IFERROR(VLOOKUP(INDEX(' Toto teams'!$B$4:$B$119,MATCH($B42,' Toto teams'!$A$4:$A$119,0)),Scoring!$A$4:$N$51,3,FALSE()),0)+IFERROR(VLOOKUP(INDEX(' Toto teams'!$B$4:$B$119,MATCH($B42,' Toto teams'!$A$4:$A$119,0)),Scoring!$A$4:$N$51,4,FALSE()),0)+IFERROR(VLOOKUP(INDEX(' Toto teams'!$B$4:$B$119,MATCH($B42,' Toto teams'!$A$4:$A$119,0)),Scoring!$A$4:$N$51,5,FALSE()),0))+4*(IFERROR(VLOOKUP(INDEX(' Toto teams'!$C$4:$C$119,MATCH($B42,' Toto teams'!$A$4:$A$119,0)),Scoring!$A$4:$N$51,3,FALSE()),0)+IFERROR(VLOOKUP(INDEX(' Toto teams'!$C$4:$C$119,MATCH($B42,' Toto teams'!$A$4:$A$119,0)),Scoring!$A$4:$N$51,4,FALSE()),0)+IFERROR(VLOOKUP(INDEX(' Toto teams'!$C$4:$C$119,MATCH($B42,' Toto teams'!$A$4:$A$119,0)),Scoring!$A$4:$N$51,5,FALSE()),0))+3*(IFERROR(VLOOKUP(INDEX(' Toto teams'!$D$4:$D$119,MATCH($B42,' Toto teams'!$A$4:$A$119,0)),Scoring!$A$4:$N$51,3,FALSE()),0)+IFERROR(VLOOKUP(INDEX(' Toto teams'!$D$4:$D$119,MATCH($B42,' Toto teams'!$A$4:$A$119,0)),Scoring!$A$4:$N$51,4,FALSE()),0)+IFERROR(VLOOKUP(INDEX(' Toto teams'!$D$4:$D$119,MATCH($B42,' Toto teams'!$A$4:$A$119,0)),Scoring!$A$4:$N$51,5,FALSE()),0))+2*(IFERROR(VLOOKUP(INDEX(' Toto teams'!$E$4:$E$119,MATCH($B42,' Toto teams'!$A$4:$A$119,0)),Scoring!$A$4:$N$51,3,FALSE()),0)+IFERROR(VLOOKUP(INDEX(' Toto teams'!$E$4:$E$119,MATCH($B42,' Toto teams'!$A$4:$A$119,0)),Scoring!$A$4:$N$51,4,FALSE()),0)+IFERROR(VLOOKUP(INDEX(' Toto teams'!$E$4:$E$119,MATCH($B42,' Toto teams'!$A$4:$A$119,0)),Scoring!$A$4:$N$51,5,FALSE()),0))+1*(IFERROR(VLOOKUP(INDEX(' Toto teams'!$F$4:$F$119,MATCH($B42,' Toto teams'!$A$4:$A$119,0)),Scoring!$A$4:$N$51,3,FALSE()),0)+IFERROR(VLOOKUP(INDEX(' Toto teams'!$F$4:$F$119,MATCH($B42,' Toto teams'!$A$4:$A$119,0)),Scoring!$A$4:$N$51,4,FALSE()),0)+IFERROR(VLOOKUP(INDEX(' Toto teams'!$F$4:$F$119,MATCH($B42,' Toto teams'!$A$4:$A$119,0)),Scoring!$A$4:$N$51,5,FALSE()),0))+1*(IFERROR(VLOOKUP(INDEX(' Toto teams'!$G$4:$G$119,MATCH($B42,' Toto teams'!$A$4:$A$119,0)),Scoring!$A$4:$N$51,3,FALSE()),0)+IFERROR(VLOOKUP(INDEX(' Toto teams'!$G$4:$G$119,MATCH($B42,' Toto teams'!$A$4:$A$119,0)),Scoring!$A$4:$N$51,4,FALSE()),0)+IFERROR(VLOOKUP(INDEX(' Toto teams'!$G$4:$G$119,MATCH($B42,' Toto teams'!$A$4:$A$119,0)),Scoring!$A$4:$N$51,5,FALSE()),0))+1*(IFERROR(VLOOKUP(INDEX(' Toto teams'!$H$4:$H$119,MATCH($B42,' Toto teams'!$A$4:$A$119,0)),Scoring!$A$4:$N$51,3,FALSE()),0)+IFERROR(VLOOKUP(INDEX(' Toto teams'!$H$4:$H$119,MATCH($B42,' Toto teams'!$A$4:$A$119,0)),Scoring!$A$4:$N$51,4,FALSE()),0)+IFERROR(VLOOKUP(INDEX(' Toto teams'!$H$4:$H$119,MATCH($B42,' Toto teams'!$A$4:$A$119,0)),Scoring!$A$4:$N$51,5,FALSE()),0))+IFERROR(INDEX(' Toto teams'!$Q$4:$Q$119,MATCH($B42,' Toto teams'!$A$4:$A$119,0))*1,0))</f>
        <v>1</v>
      </c>
      <c r="D42" s="28">
        <f>IF($B42="","",6*IFERROR(VLOOKUP(INDEX(' Toto teams'!$B$4:$B$119,MATCH($B42,' Toto teams'!$A$4:$A$119,0)),Scoring!$A$4:$N$51,7,FALSE()),0)+4*IFERROR(VLOOKUP(INDEX(' Toto teams'!$C$4:$C$119,MATCH($B42,' Toto teams'!$A$4:$A$119,0)),Scoring!$A$4:$N$51,7,FALSE()),0)+3*IFERROR(VLOOKUP(INDEX(' Toto teams'!$D$4:$D$119,MATCH($B42,' Toto teams'!$A$4:$A$119,0)),Scoring!$A$4:$N$51,7,FALSE()),0)+2*IFERROR(VLOOKUP(INDEX(' Toto teams'!$E$4:$E$119,MATCH($B42,' Toto teams'!$A$4:$A$119,0)),Scoring!$A$4:$N$51,7,FALSE()),0)+1*IFERROR(VLOOKUP(INDEX(' Toto teams'!$F$4:$F$119,MATCH($B42,' Toto teams'!$A$4:$A$119,0)),Scoring!$A$4:$N$51,7,FALSE()),0)+1*IFERROR(VLOOKUP(INDEX(' Toto teams'!$G$4:$G$119,MATCH($B42,' Toto teams'!$A$4:$A$119,0)),Scoring!$A$4:$N$51,7,FALSE()),0)+1*IFERROR(VLOOKUP(INDEX(' Toto teams'!$H$4:$H$119,MATCH($B42,' Toto teams'!$A$4:$A$119,0)),Scoring!$A$4:$N$51,7,FALSE()),0))</f>
        <v>0</v>
      </c>
      <c r="E42" s="28">
        <f>IF($B42="","",6*IFERROR(VLOOKUP(INDEX(' Toto teams'!$B$4:$B$119,MATCH($B42,' Toto teams'!$A$4:$A$119,0)),Scoring!$A$4:$N$51,8,FALSE()),0)+4*IFERROR(VLOOKUP(INDEX(' Toto teams'!$C$4:$C$119,MATCH($B42,' Toto teams'!$A$4:$A$119,0)),Scoring!$A$4:$N$51,8,FALSE()),0)+3*IFERROR(VLOOKUP(INDEX(' Toto teams'!$D$4:$D$119,MATCH($B42,' Toto teams'!$A$4:$A$119,0)),Scoring!$A$4:$N$51,8,FALSE()),0)+2*IFERROR(VLOOKUP(INDEX(' Toto teams'!$E$4:$E$119,MATCH($B42,' Toto teams'!$A$4:$A$119,0)),Scoring!$A$4:$N$51,8,FALSE()),0)+1*IFERROR(VLOOKUP(INDEX(' Toto teams'!$F$4:$F$119,MATCH($B42,' Toto teams'!$A$4:$A$119,0)),Scoring!$A$4:$N$51,8,FALSE()),0)+1*IFERROR(VLOOKUP(INDEX(' Toto teams'!$G$4:$G$119,MATCH($B42,' Toto teams'!$A$4:$A$119,0)),Scoring!$A$4:$N$51,8,FALSE()),0)+1*IFERROR(VLOOKUP(INDEX(' Toto teams'!$H$4:$H$119,MATCH($B42,' Toto teams'!$A$4:$A$119,0)),Scoring!$A$4:$N$51,8,FALSE()),0))</f>
        <v>0</v>
      </c>
      <c r="F42" s="28">
        <f>IF($B42="","",6*IFERROR(VLOOKUP(INDEX(' Toto teams'!$B$4:$B$119,MATCH($B42,' Toto teams'!$A$4:$A$119,0)),Scoring!$A$4:$N$51,9,FALSE()),0)+4*IFERROR(VLOOKUP(INDEX(' Toto teams'!$C$4:$C$119,MATCH($B42,' Toto teams'!$A$4:$A$119,0)),Scoring!$A$4:$N$51,9,FALSE()),0)+3*IFERROR(VLOOKUP(INDEX(' Toto teams'!$D$4:$D$119,MATCH($B42,' Toto teams'!$A$4:$A$119,0)),Scoring!$A$4:$N$51,9,FALSE()),0)+2*IFERROR(VLOOKUP(INDEX(' Toto teams'!$E$4:$E$119,MATCH($B42,' Toto teams'!$A$4:$A$119,0)),Scoring!$A$4:$N$51,9,FALSE()),0)+1*IFERROR(VLOOKUP(INDEX(' Toto teams'!$F$4:$F$119,MATCH($B42,' Toto teams'!$A$4:$A$119,0)),Scoring!$A$4:$N$51,9,FALSE()),0)+1*IFERROR(VLOOKUP(INDEX(' Toto teams'!$G$4:$G$119,MATCH($B42,' Toto teams'!$A$4:$A$119,0)),Scoring!$A$4:$N$51,9,FALSE()),0)+1*IFERROR(VLOOKUP(INDEX(' Toto teams'!$H$4:$H$119,MATCH($B42,' Toto teams'!$A$4:$A$119,0)),Scoring!$A$4:$N$51,9,FALSE()),0))</f>
        <v>0</v>
      </c>
      <c r="G42" s="28">
        <f>IF($B42="","",6*IFERROR(VLOOKUP(INDEX(' Toto teams'!$B$4:$B$119,MATCH($B42,' Toto teams'!$A$4:$A$119,0)),Scoring!$A$4:$N$51,10,FALSE()),0)+4*IFERROR(VLOOKUP(INDEX(' Toto teams'!$C$4:$C$119,MATCH($B42,' Toto teams'!$A$4:$A$119,0)),Scoring!$A$4:$N$51,10,FALSE()),0)+3*IFERROR(VLOOKUP(INDEX(' Toto teams'!$D$4:$D$119,MATCH($B42,' Toto teams'!$A$4:$A$119,0)),Scoring!$A$4:$N$51,10,FALSE()),0)+2*IFERROR(VLOOKUP(INDEX(' Toto teams'!$E$4:$E$119,MATCH($B42,' Toto teams'!$A$4:$A$119,0)),Scoring!$A$4:$N$51,10,FALSE()),0)+1*IFERROR(VLOOKUP(INDEX(' Toto teams'!$F$4:$F$119,MATCH($B42,' Toto teams'!$A$4:$A$119,0)),Scoring!$A$4:$N$51,10,FALSE()),0)+1*IFERROR(VLOOKUP(INDEX(' Toto teams'!$G$4:$G$119,MATCH($B42,' Toto teams'!$A$4:$A$119,0)),Scoring!$A$4:$N$51,10,FALSE()),0)+1*IFERROR(VLOOKUP(INDEX(' Toto teams'!$H$4:$H$119,MATCH($B42,' Toto teams'!$A$4:$A$119,0)),Scoring!$A$4:$N$51,10,FALSE()),0))</f>
        <v>0</v>
      </c>
      <c r="H42" s="28">
        <f>IF($B42="","",6*IFERROR(VLOOKUP(INDEX(' Toto teams'!$B$4:$B$119,MATCH($B42,' Toto teams'!$A$4:$A$119,0)),Scoring!$A$4:$N$51,11,FALSE()),0)+4*IFERROR(VLOOKUP(INDEX(' Toto teams'!$C$4:$C$119,MATCH($B42,' Toto teams'!$A$4:$A$119,0)),Scoring!$A$4:$N$51,11,FALSE()),0)+3*IFERROR(VLOOKUP(INDEX(' Toto teams'!$D$4:$D$119,MATCH($B42,' Toto teams'!$A$4:$A$119,0)),Scoring!$A$4:$N$51,11,FALSE()),0)+2*IFERROR(VLOOKUP(INDEX(' Toto teams'!$E$4:$E$119,MATCH($B42,' Toto teams'!$A$4:$A$119,0)),Scoring!$A$4:$N$51,11,FALSE()),0)+1*IFERROR(VLOOKUP(INDEX(' Toto teams'!$F$4:$F$119,MATCH($B42,' Toto teams'!$A$4:$A$119,0)),Scoring!$A$4:$N$51,11,FALSE()),0)+1*IFERROR(VLOOKUP(INDEX(' Toto teams'!$G$4:$G$119,MATCH($B42,' Toto teams'!$A$4:$A$119,0)),Scoring!$A$4:$N$51,11,FALSE()),0)+1*IFERROR(VLOOKUP(INDEX(' Toto teams'!$H$4:$H$119,MATCH($B42,' Toto teams'!$A$4:$A$119,0)),Scoring!$A$4:$N$51,11,FALSE()),0))</f>
        <v>0</v>
      </c>
      <c r="I42" s="28">
        <f>IF($B42="","",6*IFERROR(VLOOKUP(INDEX(' Toto teams'!$B$4:$B$119,MATCH($B42,' Toto teams'!$A$4:$A$119,0)),Scoring!$A$4:$O$51,15,FALSE()),0)+4*IFERROR(VLOOKUP(INDEX(' Toto teams'!$C$4:$C$119,MATCH($B42,' Toto teams'!$A$4:$A$119,0)),Scoring!$A$4:$O$51,15,FALSE()),0)+3*IFERROR(VLOOKUP(INDEX(' Toto teams'!$D$4:$D$119,MATCH($B42,' Toto teams'!$A$4:$A$119,0)),Scoring!$A$4:$O$51,15,FALSE()),0)+2*IFERROR(VLOOKUP(INDEX(' Toto teams'!$E$4:$E$119,MATCH($B42,' Toto teams'!$A$4:$A$119,0)),Scoring!$A$4:$O$51,15,FALSE()),0)+1*IFERROR(VLOOKUP(INDEX(' Toto teams'!$F$4:$F$119,MATCH($B42,' Toto teams'!$A$4:$A$119,0)),Scoring!$A$4:$O$51,15,FALSE()),0)+1*IFERROR(VLOOKUP(INDEX(' Toto teams'!$G$4:$G$119,MATCH($B42,' Toto teams'!$A$4:$A$119,0)),Scoring!$A$4:$O$51,15,FALSE()),0)+1*IFERROR(VLOOKUP(INDEX(' Toto teams'!$H$4:$H$119,MATCH($B42,' Toto teams'!$A$4:$A$119,0)),Scoring!$A$4:$O$51,15,FALSE()),0))</f>
        <v>0</v>
      </c>
      <c r="J42" s="28">
        <f>IF($B42="","",6*IFERROR(VLOOKUP(INDEX(' Toto teams'!$B$4:$B$119,MATCH($B42,' Toto teams'!$A$4:$A$119,0)),Scoring!$A$4:$N$51,12,FALSE()),0)+4*IFERROR(VLOOKUP(INDEX(' Toto teams'!$C$4:$C$119,MATCH($B42,' Toto teams'!$A$4:$A$119,0)),Scoring!$A$4:$N$51,12,FALSE()),0)+3*IFERROR(VLOOKUP(INDEX(' Toto teams'!$D$4:$D$119,MATCH($B42,' Toto teams'!$A$4:$A$119,0)),Scoring!$A$4:$N$51,12,FALSE()),0)+2*IFERROR(VLOOKUP(INDEX(' Toto teams'!$E$4:$E$119,MATCH($B42,' Toto teams'!$A$4:$A$119,0)),Scoring!$A$4:$N$51,12,FALSE()),0)+1*IFERROR(VLOOKUP(INDEX(' Toto teams'!$F$4:$F$119,MATCH($B42,' Toto teams'!$A$4:$A$119,0)),Scoring!$A$4:$N$51,12,FALSE()),0)+1*IFERROR(VLOOKUP(INDEX(' Toto teams'!$G$4:$G$119,MATCH($B42,' Toto teams'!$A$4:$A$119,0)),Scoring!$A$4:$N$51,12,FALSE()),0)+1*IFERROR(VLOOKUP(INDEX(' Toto teams'!$H$4:$H$119,MATCH($B42,' Toto teams'!$A$4:$A$119,0)),Scoring!$A$4:$N$51,12,FALSE()),0))</f>
        <v>0</v>
      </c>
      <c r="K42" s="29">
        <f>IF($B42="","",IFERROR(INDEX(' Toto teams'!$R$4:$R$119,MATCH($B42,' Toto teams'!$A$4:$A$119,0)),""))</f>
        <v>1</v>
      </c>
      <c r="L42" s="30">
        <f t="shared" si="4"/>
        <v>0</v>
      </c>
    </row>
    <row r="43" spans="1:12" ht="12.75" customHeight="1" x14ac:dyDescent="0.3">
      <c r="A43" s="26">
        <f>IF(40&gt;COUNTIF(' Toto teams'!$A$4:$A$119,"&lt;&gt;"),"",INDEX(' Toto teams'!$S$4:$S$119,MATCH(LARGE(' Toto teams'!$T$4:$T$119,40),' Toto teams'!$T$4:$T$119,0)))</f>
        <v>36</v>
      </c>
      <c r="B43" s="27" t="str">
        <f>IF(40&gt;COUNTIF(' Toto teams'!$A$4:$A$119,"&lt;&gt;"),"",INDEX(' Toto teams'!$A$4:$A$119,MATCH(LARGE(' Toto teams'!$T$4:$T$119,40),' Toto teams'!$T$4:$T$119,0)))</f>
        <v>Rustam Roikov</v>
      </c>
      <c r="C43" s="28">
        <f>IF($B43="","",6*(IFERROR(VLOOKUP(INDEX(' Toto teams'!$B$4:$B$119,MATCH($B43,' Toto teams'!$A$4:$A$119,0)),Scoring!$A$4:$N$51,3,FALSE()),0)+IFERROR(VLOOKUP(INDEX(' Toto teams'!$B$4:$B$119,MATCH($B43,' Toto teams'!$A$4:$A$119,0)),Scoring!$A$4:$N$51,4,FALSE()),0)+IFERROR(VLOOKUP(INDEX(' Toto teams'!$B$4:$B$119,MATCH($B43,' Toto teams'!$A$4:$A$119,0)),Scoring!$A$4:$N$51,5,FALSE()),0))+4*(IFERROR(VLOOKUP(INDEX(' Toto teams'!$C$4:$C$119,MATCH($B43,' Toto teams'!$A$4:$A$119,0)),Scoring!$A$4:$N$51,3,FALSE()),0)+IFERROR(VLOOKUP(INDEX(' Toto teams'!$C$4:$C$119,MATCH($B43,' Toto teams'!$A$4:$A$119,0)),Scoring!$A$4:$N$51,4,FALSE()),0)+IFERROR(VLOOKUP(INDEX(' Toto teams'!$C$4:$C$119,MATCH($B43,' Toto teams'!$A$4:$A$119,0)),Scoring!$A$4:$N$51,5,FALSE()),0))+3*(IFERROR(VLOOKUP(INDEX(' Toto teams'!$D$4:$D$119,MATCH($B43,' Toto teams'!$A$4:$A$119,0)),Scoring!$A$4:$N$51,3,FALSE()),0)+IFERROR(VLOOKUP(INDEX(' Toto teams'!$D$4:$D$119,MATCH($B43,' Toto teams'!$A$4:$A$119,0)),Scoring!$A$4:$N$51,4,FALSE()),0)+IFERROR(VLOOKUP(INDEX(' Toto teams'!$D$4:$D$119,MATCH($B43,' Toto teams'!$A$4:$A$119,0)),Scoring!$A$4:$N$51,5,FALSE()),0))+2*(IFERROR(VLOOKUP(INDEX(' Toto teams'!$E$4:$E$119,MATCH($B43,' Toto teams'!$A$4:$A$119,0)),Scoring!$A$4:$N$51,3,FALSE()),0)+IFERROR(VLOOKUP(INDEX(' Toto teams'!$E$4:$E$119,MATCH($B43,' Toto teams'!$A$4:$A$119,0)),Scoring!$A$4:$N$51,4,FALSE()),0)+IFERROR(VLOOKUP(INDEX(' Toto teams'!$E$4:$E$119,MATCH($B43,' Toto teams'!$A$4:$A$119,0)),Scoring!$A$4:$N$51,5,FALSE()),0))+1*(IFERROR(VLOOKUP(INDEX(' Toto teams'!$F$4:$F$119,MATCH($B43,' Toto teams'!$A$4:$A$119,0)),Scoring!$A$4:$N$51,3,FALSE()),0)+IFERROR(VLOOKUP(INDEX(' Toto teams'!$F$4:$F$119,MATCH($B43,' Toto teams'!$A$4:$A$119,0)),Scoring!$A$4:$N$51,4,FALSE()),0)+IFERROR(VLOOKUP(INDEX(' Toto teams'!$F$4:$F$119,MATCH($B43,' Toto teams'!$A$4:$A$119,0)),Scoring!$A$4:$N$51,5,FALSE()),0))+1*(IFERROR(VLOOKUP(INDEX(' Toto teams'!$G$4:$G$119,MATCH($B43,' Toto teams'!$A$4:$A$119,0)),Scoring!$A$4:$N$51,3,FALSE()),0)+IFERROR(VLOOKUP(INDEX(' Toto teams'!$G$4:$G$119,MATCH($B43,' Toto teams'!$A$4:$A$119,0)),Scoring!$A$4:$N$51,4,FALSE()),0)+IFERROR(VLOOKUP(INDEX(' Toto teams'!$G$4:$G$119,MATCH($B43,' Toto teams'!$A$4:$A$119,0)),Scoring!$A$4:$N$51,5,FALSE()),0))+1*(IFERROR(VLOOKUP(INDEX(' Toto teams'!$H$4:$H$119,MATCH($B43,' Toto teams'!$A$4:$A$119,0)),Scoring!$A$4:$N$51,3,FALSE()),0)+IFERROR(VLOOKUP(INDEX(' Toto teams'!$H$4:$H$119,MATCH($B43,' Toto teams'!$A$4:$A$119,0)),Scoring!$A$4:$N$51,4,FALSE()),0)+IFERROR(VLOOKUP(INDEX(' Toto teams'!$H$4:$H$119,MATCH($B43,' Toto teams'!$A$4:$A$119,0)),Scoring!$A$4:$N$51,5,FALSE()),0))+IFERROR(INDEX(' Toto teams'!$Q$4:$Q$119,MATCH($B43,' Toto teams'!$A$4:$A$119,0))*1,0))</f>
        <v>1</v>
      </c>
      <c r="D43" s="28">
        <f>IF($B43="","",6*IFERROR(VLOOKUP(INDEX(' Toto teams'!$B$4:$B$119,MATCH($B43,' Toto teams'!$A$4:$A$119,0)),Scoring!$A$4:$N$51,7,FALSE()),0)+4*IFERROR(VLOOKUP(INDEX(' Toto teams'!$C$4:$C$119,MATCH($B43,' Toto teams'!$A$4:$A$119,0)),Scoring!$A$4:$N$51,7,FALSE()),0)+3*IFERROR(VLOOKUP(INDEX(' Toto teams'!$D$4:$D$119,MATCH($B43,' Toto teams'!$A$4:$A$119,0)),Scoring!$A$4:$N$51,7,FALSE()),0)+2*IFERROR(VLOOKUP(INDEX(' Toto teams'!$E$4:$E$119,MATCH($B43,' Toto teams'!$A$4:$A$119,0)),Scoring!$A$4:$N$51,7,FALSE()),0)+1*IFERROR(VLOOKUP(INDEX(' Toto teams'!$F$4:$F$119,MATCH($B43,' Toto teams'!$A$4:$A$119,0)),Scoring!$A$4:$N$51,7,FALSE()),0)+1*IFERROR(VLOOKUP(INDEX(' Toto teams'!$G$4:$G$119,MATCH($B43,' Toto teams'!$A$4:$A$119,0)),Scoring!$A$4:$N$51,7,FALSE()),0)+1*IFERROR(VLOOKUP(INDEX(' Toto teams'!$H$4:$H$119,MATCH($B43,' Toto teams'!$A$4:$A$119,0)),Scoring!$A$4:$N$51,7,FALSE()),0))</f>
        <v>0</v>
      </c>
      <c r="E43" s="28">
        <f>IF($B43="","",6*IFERROR(VLOOKUP(INDEX(' Toto teams'!$B$4:$B$119,MATCH($B43,' Toto teams'!$A$4:$A$119,0)),Scoring!$A$4:$N$51,8,FALSE()),0)+4*IFERROR(VLOOKUP(INDEX(' Toto teams'!$C$4:$C$119,MATCH($B43,' Toto teams'!$A$4:$A$119,0)),Scoring!$A$4:$N$51,8,FALSE()),0)+3*IFERROR(VLOOKUP(INDEX(' Toto teams'!$D$4:$D$119,MATCH($B43,' Toto teams'!$A$4:$A$119,0)),Scoring!$A$4:$N$51,8,FALSE()),0)+2*IFERROR(VLOOKUP(INDEX(' Toto teams'!$E$4:$E$119,MATCH($B43,' Toto teams'!$A$4:$A$119,0)),Scoring!$A$4:$N$51,8,FALSE()),0)+1*IFERROR(VLOOKUP(INDEX(' Toto teams'!$F$4:$F$119,MATCH($B43,' Toto teams'!$A$4:$A$119,0)),Scoring!$A$4:$N$51,8,FALSE()),0)+1*IFERROR(VLOOKUP(INDEX(' Toto teams'!$G$4:$G$119,MATCH($B43,' Toto teams'!$A$4:$A$119,0)),Scoring!$A$4:$N$51,8,FALSE()),0)+1*IFERROR(VLOOKUP(INDEX(' Toto teams'!$H$4:$H$119,MATCH($B43,' Toto teams'!$A$4:$A$119,0)),Scoring!$A$4:$N$51,8,FALSE()),0))</f>
        <v>0</v>
      </c>
      <c r="F43" s="28">
        <f>IF($B43="","",6*IFERROR(VLOOKUP(INDEX(' Toto teams'!$B$4:$B$119,MATCH($B43,' Toto teams'!$A$4:$A$119,0)),Scoring!$A$4:$N$51,9,FALSE()),0)+4*IFERROR(VLOOKUP(INDEX(' Toto teams'!$C$4:$C$119,MATCH($B43,' Toto teams'!$A$4:$A$119,0)),Scoring!$A$4:$N$51,9,FALSE()),0)+3*IFERROR(VLOOKUP(INDEX(' Toto teams'!$D$4:$D$119,MATCH($B43,' Toto teams'!$A$4:$A$119,0)),Scoring!$A$4:$N$51,9,FALSE()),0)+2*IFERROR(VLOOKUP(INDEX(' Toto teams'!$E$4:$E$119,MATCH($B43,' Toto teams'!$A$4:$A$119,0)),Scoring!$A$4:$N$51,9,FALSE()),0)+1*IFERROR(VLOOKUP(INDEX(' Toto teams'!$F$4:$F$119,MATCH($B43,' Toto teams'!$A$4:$A$119,0)),Scoring!$A$4:$N$51,9,FALSE()),0)+1*IFERROR(VLOOKUP(INDEX(' Toto teams'!$G$4:$G$119,MATCH($B43,' Toto teams'!$A$4:$A$119,0)),Scoring!$A$4:$N$51,9,FALSE()),0)+1*IFERROR(VLOOKUP(INDEX(' Toto teams'!$H$4:$H$119,MATCH($B43,' Toto teams'!$A$4:$A$119,0)),Scoring!$A$4:$N$51,9,FALSE()),0))</f>
        <v>0</v>
      </c>
      <c r="G43" s="28">
        <f>IF($B43="","",6*IFERROR(VLOOKUP(INDEX(' Toto teams'!$B$4:$B$119,MATCH($B43,' Toto teams'!$A$4:$A$119,0)),Scoring!$A$4:$N$51,10,FALSE()),0)+4*IFERROR(VLOOKUP(INDEX(' Toto teams'!$C$4:$C$119,MATCH($B43,' Toto teams'!$A$4:$A$119,0)),Scoring!$A$4:$N$51,10,FALSE()),0)+3*IFERROR(VLOOKUP(INDEX(' Toto teams'!$D$4:$D$119,MATCH($B43,' Toto teams'!$A$4:$A$119,0)),Scoring!$A$4:$N$51,10,FALSE()),0)+2*IFERROR(VLOOKUP(INDEX(' Toto teams'!$E$4:$E$119,MATCH($B43,' Toto teams'!$A$4:$A$119,0)),Scoring!$A$4:$N$51,10,FALSE()),0)+1*IFERROR(VLOOKUP(INDEX(' Toto teams'!$F$4:$F$119,MATCH($B43,' Toto teams'!$A$4:$A$119,0)),Scoring!$A$4:$N$51,10,FALSE()),0)+1*IFERROR(VLOOKUP(INDEX(' Toto teams'!$G$4:$G$119,MATCH($B43,' Toto teams'!$A$4:$A$119,0)),Scoring!$A$4:$N$51,10,FALSE()),0)+1*IFERROR(VLOOKUP(INDEX(' Toto teams'!$H$4:$H$119,MATCH($B43,' Toto teams'!$A$4:$A$119,0)),Scoring!$A$4:$N$51,10,FALSE()),0))</f>
        <v>0</v>
      </c>
      <c r="H43" s="28">
        <f>IF($B43="","",6*IFERROR(VLOOKUP(INDEX(' Toto teams'!$B$4:$B$119,MATCH($B43,' Toto teams'!$A$4:$A$119,0)),Scoring!$A$4:$N$51,11,FALSE()),0)+4*IFERROR(VLOOKUP(INDEX(' Toto teams'!$C$4:$C$119,MATCH($B43,' Toto teams'!$A$4:$A$119,0)),Scoring!$A$4:$N$51,11,FALSE()),0)+3*IFERROR(VLOOKUP(INDEX(' Toto teams'!$D$4:$D$119,MATCH($B43,' Toto teams'!$A$4:$A$119,0)),Scoring!$A$4:$N$51,11,FALSE()),0)+2*IFERROR(VLOOKUP(INDEX(' Toto teams'!$E$4:$E$119,MATCH($B43,' Toto teams'!$A$4:$A$119,0)),Scoring!$A$4:$N$51,11,FALSE()),0)+1*IFERROR(VLOOKUP(INDEX(' Toto teams'!$F$4:$F$119,MATCH($B43,' Toto teams'!$A$4:$A$119,0)),Scoring!$A$4:$N$51,11,FALSE()),0)+1*IFERROR(VLOOKUP(INDEX(' Toto teams'!$G$4:$G$119,MATCH($B43,' Toto teams'!$A$4:$A$119,0)),Scoring!$A$4:$N$51,11,FALSE()),0)+1*IFERROR(VLOOKUP(INDEX(' Toto teams'!$H$4:$H$119,MATCH($B43,' Toto teams'!$A$4:$A$119,0)),Scoring!$A$4:$N$51,11,FALSE()),0))</f>
        <v>0</v>
      </c>
      <c r="I43" s="28">
        <f>IF($B43="","",6*IFERROR(VLOOKUP(INDEX(' Toto teams'!$B$4:$B$119,MATCH($B43,' Toto teams'!$A$4:$A$119,0)),Scoring!$A$4:$O$51,15,FALSE()),0)+4*IFERROR(VLOOKUP(INDEX(' Toto teams'!$C$4:$C$119,MATCH($B43,' Toto teams'!$A$4:$A$119,0)),Scoring!$A$4:$O$51,15,FALSE()),0)+3*IFERROR(VLOOKUP(INDEX(' Toto teams'!$D$4:$D$119,MATCH($B43,' Toto teams'!$A$4:$A$119,0)),Scoring!$A$4:$O$51,15,FALSE()),0)+2*IFERROR(VLOOKUP(INDEX(' Toto teams'!$E$4:$E$119,MATCH($B43,' Toto teams'!$A$4:$A$119,0)),Scoring!$A$4:$O$51,15,FALSE()),0)+1*IFERROR(VLOOKUP(INDEX(' Toto teams'!$F$4:$F$119,MATCH($B43,' Toto teams'!$A$4:$A$119,0)),Scoring!$A$4:$O$51,15,FALSE()),0)+1*IFERROR(VLOOKUP(INDEX(' Toto teams'!$G$4:$G$119,MATCH($B43,' Toto teams'!$A$4:$A$119,0)),Scoring!$A$4:$O$51,15,FALSE()),0)+1*IFERROR(VLOOKUP(INDEX(' Toto teams'!$H$4:$H$119,MATCH($B43,' Toto teams'!$A$4:$A$119,0)),Scoring!$A$4:$O$51,15,FALSE()),0))</f>
        <v>0</v>
      </c>
      <c r="J43" s="28">
        <f>IF($B43="","",6*IFERROR(VLOOKUP(INDEX(' Toto teams'!$B$4:$B$119,MATCH($B43,' Toto teams'!$A$4:$A$119,0)),Scoring!$A$4:$N$51,12,FALSE()),0)+4*IFERROR(VLOOKUP(INDEX(' Toto teams'!$C$4:$C$119,MATCH($B43,' Toto teams'!$A$4:$A$119,0)),Scoring!$A$4:$N$51,12,FALSE()),0)+3*IFERROR(VLOOKUP(INDEX(' Toto teams'!$D$4:$D$119,MATCH($B43,' Toto teams'!$A$4:$A$119,0)),Scoring!$A$4:$N$51,12,FALSE()),0)+2*IFERROR(VLOOKUP(INDEX(' Toto teams'!$E$4:$E$119,MATCH($B43,' Toto teams'!$A$4:$A$119,0)),Scoring!$A$4:$N$51,12,FALSE()),0)+1*IFERROR(VLOOKUP(INDEX(' Toto teams'!$F$4:$F$119,MATCH($B43,' Toto teams'!$A$4:$A$119,0)),Scoring!$A$4:$N$51,12,FALSE()),0)+1*IFERROR(VLOOKUP(INDEX(' Toto teams'!$G$4:$G$119,MATCH($B43,' Toto teams'!$A$4:$A$119,0)),Scoring!$A$4:$N$51,12,FALSE()),0)+1*IFERROR(VLOOKUP(INDEX(' Toto teams'!$H$4:$H$119,MATCH($B43,' Toto teams'!$A$4:$A$119,0)),Scoring!$A$4:$N$51,12,FALSE()),0))</f>
        <v>0</v>
      </c>
      <c r="K43" s="29">
        <f>IF($B43="","",IFERROR(INDEX(' Toto teams'!$R$4:$R$119,MATCH($B43,' Toto teams'!$A$4:$A$119,0)),""))</f>
        <v>1</v>
      </c>
      <c r="L43" s="30">
        <f t="shared" si="4"/>
        <v>0</v>
      </c>
    </row>
    <row r="44" spans="1:12" ht="12.75" customHeight="1" x14ac:dyDescent="0.3">
      <c r="A44" s="26">
        <f>IF(41&gt;COUNTIF(' Toto teams'!$A$4:$A$119,"&lt;&gt;"),"",INDEX(' Toto teams'!$S$4:$S$119,MATCH(LARGE(' Toto teams'!$T$4:$T$119,41),' Toto teams'!$T$4:$T$119,0)))</f>
        <v>36</v>
      </c>
      <c r="B44" s="27" t="str">
        <f>IF(41&gt;COUNTIF(' Toto teams'!$A$4:$A$119,"&lt;&gt;"),"",INDEX(' Toto teams'!$A$4:$A$119,MATCH(LARGE(' Toto teams'!$T$4:$T$119,41),' Toto teams'!$T$4:$T$119,0)))</f>
        <v>Simona Jociūtė</v>
      </c>
      <c r="C44" s="28">
        <f>IF($B44="","",6*(IFERROR(VLOOKUP(INDEX(' Toto teams'!$B$4:$B$119,MATCH($B44,' Toto teams'!$A$4:$A$119,0)),Scoring!$A$4:$N$51,3,FALSE()),0)+IFERROR(VLOOKUP(INDEX(' Toto teams'!$B$4:$B$119,MATCH($B44,' Toto teams'!$A$4:$A$119,0)),Scoring!$A$4:$N$51,4,FALSE()),0)+IFERROR(VLOOKUP(INDEX(' Toto teams'!$B$4:$B$119,MATCH($B44,' Toto teams'!$A$4:$A$119,0)),Scoring!$A$4:$N$51,5,FALSE()),0))+4*(IFERROR(VLOOKUP(INDEX(' Toto teams'!$C$4:$C$119,MATCH($B44,' Toto teams'!$A$4:$A$119,0)),Scoring!$A$4:$N$51,3,FALSE()),0)+IFERROR(VLOOKUP(INDEX(' Toto teams'!$C$4:$C$119,MATCH($B44,' Toto teams'!$A$4:$A$119,0)),Scoring!$A$4:$N$51,4,FALSE()),0)+IFERROR(VLOOKUP(INDEX(' Toto teams'!$C$4:$C$119,MATCH($B44,' Toto teams'!$A$4:$A$119,0)),Scoring!$A$4:$N$51,5,FALSE()),0))+3*(IFERROR(VLOOKUP(INDEX(' Toto teams'!$D$4:$D$119,MATCH($B44,' Toto teams'!$A$4:$A$119,0)),Scoring!$A$4:$N$51,3,FALSE()),0)+IFERROR(VLOOKUP(INDEX(' Toto teams'!$D$4:$D$119,MATCH($B44,' Toto teams'!$A$4:$A$119,0)),Scoring!$A$4:$N$51,4,FALSE()),0)+IFERROR(VLOOKUP(INDEX(' Toto teams'!$D$4:$D$119,MATCH($B44,' Toto teams'!$A$4:$A$119,0)),Scoring!$A$4:$N$51,5,FALSE()),0))+2*(IFERROR(VLOOKUP(INDEX(' Toto teams'!$E$4:$E$119,MATCH($B44,' Toto teams'!$A$4:$A$119,0)),Scoring!$A$4:$N$51,3,FALSE()),0)+IFERROR(VLOOKUP(INDEX(' Toto teams'!$E$4:$E$119,MATCH($B44,' Toto teams'!$A$4:$A$119,0)),Scoring!$A$4:$N$51,4,FALSE()),0)+IFERROR(VLOOKUP(INDEX(' Toto teams'!$E$4:$E$119,MATCH($B44,' Toto teams'!$A$4:$A$119,0)),Scoring!$A$4:$N$51,5,FALSE()),0))+1*(IFERROR(VLOOKUP(INDEX(' Toto teams'!$F$4:$F$119,MATCH($B44,' Toto teams'!$A$4:$A$119,0)),Scoring!$A$4:$N$51,3,FALSE()),0)+IFERROR(VLOOKUP(INDEX(' Toto teams'!$F$4:$F$119,MATCH($B44,' Toto teams'!$A$4:$A$119,0)),Scoring!$A$4:$N$51,4,FALSE()),0)+IFERROR(VLOOKUP(INDEX(' Toto teams'!$F$4:$F$119,MATCH($B44,' Toto teams'!$A$4:$A$119,0)),Scoring!$A$4:$N$51,5,FALSE()),0))+1*(IFERROR(VLOOKUP(INDEX(' Toto teams'!$G$4:$G$119,MATCH($B44,' Toto teams'!$A$4:$A$119,0)),Scoring!$A$4:$N$51,3,FALSE()),0)+IFERROR(VLOOKUP(INDEX(' Toto teams'!$G$4:$G$119,MATCH($B44,' Toto teams'!$A$4:$A$119,0)),Scoring!$A$4:$N$51,4,FALSE()),0)+IFERROR(VLOOKUP(INDEX(' Toto teams'!$G$4:$G$119,MATCH($B44,' Toto teams'!$A$4:$A$119,0)),Scoring!$A$4:$N$51,5,FALSE()),0))+1*(IFERROR(VLOOKUP(INDEX(' Toto teams'!$H$4:$H$119,MATCH($B44,' Toto teams'!$A$4:$A$119,0)),Scoring!$A$4:$N$51,3,FALSE()),0)+IFERROR(VLOOKUP(INDEX(' Toto teams'!$H$4:$H$119,MATCH($B44,' Toto teams'!$A$4:$A$119,0)),Scoring!$A$4:$N$51,4,FALSE()),0)+IFERROR(VLOOKUP(INDEX(' Toto teams'!$H$4:$H$119,MATCH($B44,' Toto teams'!$A$4:$A$119,0)),Scoring!$A$4:$N$51,5,FALSE()),0))+IFERROR(INDEX(' Toto teams'!$Q$4:$Q$119,MATCH($B44,' Toto teams'!$A$4:$A$119,0))*1,0))</f>
        <v>1</v>
      </c>
      <c r="D44" s="28">
        <f>IF($B44="","",6*IFERROR(VLOOKUP(INDEX(' Toto teams'!$B$4:$B$119,MATCH($B44,' Toto teams'!$A$4:$A$119,0)),Scoring!$A$4:$N$51,7,FALSE()),0)+4*IFERROR(VLOOKUP(INDEX(' Toto teams'!$C$4:$C$119,MATCH($B44,' Toto teams'!$A$4:$A$119,0)),Scoring!$A$4:$N$51,7,FALSE()),0)+3*IFERROR(VLOOKUP(INDEX(' Toto teams'!$D$4:$D$119,MATCH($B44,' Toto teams'!$A$4:$A$119,0)),Scoring!$A$4:$N$51,7,FALSE()),0)+2*IFERROR(VLOOKUP(INDEX(' Toto teams'!$E$4:$E$119,MATCH($B44,' Toto teams'!$A$4:$A$119,0)),Scoring!$A$4:$N$51,7,FALSE()),0)+1*IFERROR(VLOOKUP(INDEX(' Toto teams'!$F$4:$F$119,MATCH($B44,' Toto teams'!$A$4:$A$119,0)),Scoring!$A$4:$N$51,7,FALSE()),0)+1*IFERROR(VLOOKUP(INDEX(' Toto teams'!$G$4:$G$119,MATCH($B44,' Toto teams'!$A$4:$A$119,0)),Scoring!$A$4:$N$51,7,FALSE()),0)+1*IFERROR(VLOOKUP(INDEX(' Toto teams'!$H$4:$H$119,MATCH($B44,' Toto teams'!$A$4:$A$119,0)),Scoring!$A$4:$N$51,7,FALSE()),0))</f>
        <v>0</v>
      </c>
      <c r="E44" s="28">
        <f>IF($B44="","",6*IFERROR(VLOOKUP(INDEX(' Toto teams'!$B$4:$B$119,MATCH($B44,' Toto teams'!$A$4:$A$119,0)),Scoring!$A$4:$N$51,8,FALSE()),0)+4*IFERROR(VLOOKUP(INDEX(' Toto teams'!$C$4:$C$119,MATCH($B44,' Toto teams'!$A$4:$A$119,0)),Scoring!$A$4:$N$51,8,FALSE()),0)+3*IFERROR(VLOOKUP(INDEX(' Toto teams'!$D$4:$D$119,MATCH($B44,' Toto teams'!$A$4:$A$119,0)),Scoring!$A$4:$N$51,8,FALSE()),0)+2*IFERROR(VLOOKUP(INDEX(' Toto teams'!$E$4:$E$119,MATCH($B44,' Toto teams'!$A$4:$A$119,0)),Scoring!$A$4:$N$51,8,FALSE()),0)+1*IFERROR(VLOOKUP(INDEX(' Toto teams'!$F$4:$F$119,MATCH($B44,' Toto teams'!$A$4:$A$119,0)),Scoring!$A$4:$N$51,8,FALSE()),0)+1*IFERROR(VLOOKUP(INDEX(' Toto teams'!$G$4:$G$119,MATCH($B44,' Toto teams'!$A$4:$A$119,0)),Scoring!$A$4:$N$51,8,FALSE()),0)+1*IFERROR(VLOOKUP(INDEX(' Toto teams'!$H$4:$H$119,MATCH($B44,' Toto teams'!$A$4:$A$119,0)),Scoring!$A$4:$N$51,8,FALSE()),0))</f>
        <v>0</v>
      </c>
      <c r="F44" s="28">
        <f>IF($B44="","",6*IFERROR(VLOOKUP(INDEX(' Toto teams'!$B$4:$B$119,MATCH($B44,' Toto teams'!$A$4:$A$119,0)),Scoring!$A$4:$N$51,9,FALSE()),0)+4*IFERROR(VLOOKUP(INDEX(' Toto teams'!$C$4:$C$119,MATCH($B44,' Toto teams'!$A$4:$A$119,0)),Scoring!$A$4:$N$51,9,FALSE()),0)+3*IFERROR(VLOOKUP(INDEX(' Toto teams'!$D$4:$D$119,MATCH($B44,' Toto teams'!$A$4:$A$119,0)),Scoring!$A$4:$N$51,9,FALSE()),0)+2*IFERROR(VLOOKUP(INDEX(' Toto teams'!$E$4:$E$119,MATCH($B44,' Toto teams'!$A$4:$A$119,0)),Scoring!$A$4:$N$51,9,FALSE()),0)+1*IFERROR(VLOOKUP(INDEX(' Toto teams'!$F$4:$F$119,MATCH($B44,' Toto teams'!$A$4:$A$119,0)),Scoring!$A$4:$N$51,9,FALSE()),0)+1*IFERROR(VLOOKUP(INDEX(' Toto teams'!$G$4:$G$119,MATCH($B44,' Toto teams'!$A$4:$A$119,0)),Scoring!$A$4:$N$51,9,FALSE()),0)+1*IFERROR(VLOOKUP(INDEX(' Toto teams'!$H$4:$H$119,MATCH($B44,' Toto teams'!$A$4:$A$119,0)),Scoring!$A$4:$N$51,9,FALSE()),0))</f>
        <v>0</v>
      </c>
      <c r="G44" s="28">
        <f>IF($B44="","",6*IFERROR(VLOOKUP(INDEX(' Toto teams'!$B$4:$B$119,MATCH($B44,' Toto teams'!$A$4:$A$119,0)),Scoring!$A$4:$N$51,10,FALSE()),0)+4*IFERROR(VLOOKUP(INDEX(' Toto teams'!$C$4:$C$119,MATCH($B44,' Toto teams'!$A$4:$A$119,0)),Scoring!$A$4:$N$51,10,FALSE()),0)+3*IFERROR(VLOOKUP(INDEX(' Toto teams'!$D$4:$D$119,MATCH($B44,' Toto teams'!$A$4:$A$119,0)),Scoring!$A$4:$N$51,10,FALSE()),0)+2*IFERROR(VLOOKUP(INDEX(' Toto teams'!$E$4:$E$119,MATCH($B44,' Toto teams'!$A$4:$A$119,0)),Scoring!$A$4:$N$51,10,FALSE()),0)+1*IFERROR(VLOOKUP(INDEX(' Toto teams'!$F$4:$F$119,MATCH($B44,' Toto teams'!$A$4:$A$119,0)),Scoring!$A$4:$N$51,10,FALSE()),0)+1*IFERROR(VLOOKUP(INDEX(' Toto teams'!$G$4:$G$119,MATCH($B44,' Toto teams'!$A$4:$A$119,0)),Scoring!$A$4:$N$51,10,FALSE()),0)+1*IFERROR(VLOOKUP(INDEX(' Toto teams'!$H$4:$H$119,MATCH($B44,' Toto teams'!$A$4:$A$119,0)),Scoring!$A$4:$N$51,10,FALSE()),0))</f>
        <v>0</v>
      </c>
      <c r="H44" s="28">
        <f>IF($B44="","",6*IFERROR(VLOOKUP(INDEX(' Toto teams'!$B$4:$B$119,MATCH($B44,' Toto teams'!$A$4:$A$119,0)),Scoring!$A$4:$N$51,11,FALSE()),0)+4*IFERROR(VLOOKUP(INDEX(' Toto teams'!$C$4:$C$119,MATCH($B44,' Toto teams'!$A$4:$A$119,0)),Scoring!$A$4:$N$51,11,FALSE()),0)+3*IFERROR(VLOOKUP(INDEX(' Toto teams'!$D$4:$D$119,MATCH($B44,' Toto teams'!$A$4:$A$119,0)),Scoring!$A$4:$N$51,11,FALSE()),0)+2*IFERROR(VLOOKUP(INDEX(' Toto teams'!$E$4:$E$119,MATCH($B44,' Toto teams'!$A$4:$A$119,0)),Scoring!$A$4:$N$51,11,FALSE()),0)+1*IFERROR(VLOOKUP(INDEX(' Toto teams'!$F$4:$F$119,MATCH($B44,' Toto teams'!$A$4:$A$119,0)),Scoring!$A$4:$N$51,11,FALSE()),0)+1*IFERROR(VLOOKUP(INDEX(' Toto teams'!$G$4:$G$119,MATCH($B44,' Toto teams'!$A$4:$A$119,0)),Scoring!$A$4:$N$51,11,FALSE()),0)+1*IFERROR(VLOOKUP(INDEX(' Toto teams'!$H$4:$H$119,MATCH($B44,' Toto teams'!$A$4:$A$119,0)),Scoring!$A$4:$N$51,11,FALSE()),0))</f>
        <v>0</v>
      </c>
      <c r="I44" s="28">
        <f>IF($B44="","",6*IFERROR(VLOOKUP(INDEX(' Toto teams'!$B$4:$B$119,MATCH($B44,' Toto teams'!$A$4:$A$119,0)),Scoring!$A$4:$O$51,15,FALSE()),0)+4*IFERROR(VLOOKUP(INDEX(' Toto teams'!$C$4:$C$119,MATCH($B44,' Toto teams'!$A$4:$A$119,0)),Scoring!$A$4:$O$51,15,FALSE()),0)+3*IFERROR(VLOOKUP(INDEX(' Toto teams'!$D$4:$D$119,MATCH($B44,' Toto teams'!$A$4:$A$119,0)),Scoring!$A$4:$O$51,15,FALSE()),0)+2*IFERROR(VLOOKUP(INDEX(' Toto teams'!$E$4:$E$119,MATCH($B44,' Toto teams'!$A$4:$A$119,0)),Scoring!$A$4:$O$51,15,FALSE()),0)+1*IFERROR(VLOOKUP(INDEX(' Toto teams'!$F$4:$F$119,MATCH($B44,' Toto teams'!$A$4:$A$119,0)),Scoring!$A$4:$O$51,15,FALSE()),0)+1*IFERROR(VLOOKUP(INDEX(' Toto teams'!$G$4:$G$119,MATCH($B44,' Toto teams'!$A$4:$A$119,0)),Scoring!$A$4:$O$51,15,FALSE()),0)+1*IFERROR(VLOOKUP(INDEX(' Toto teams'!$H$4:$H$119,MATCH($B44,' Toto teams'!$A$4:$A$119,0)),Scoring!$A$4:$O$51,15,FALSE()),0))</f>
        <v>0</v>
      </c>
      <c r="J44" s="28">
        <f>IF($B44="","",6*IFERROR(VLOOKUP(INDEX(' Toto teams'!$B$4:$B$119,MATCH($B44,' Toto teams'!$A$4:$A$119,0)),Scoring!$A$4:$N$51,12,FALSE()),0)+4*IFERROR(VLOOKUP(INDEX(' Toto teams'!$C$4:$C$119,MATCH($B44,' Toto teams'!$A$4:$A$119,0)),Scoring!$A$4:$N$51,12,FALSE()),0)+3*IFERROR(VLOOKUP(INDEX(' Toto teams'!$D$4:$D$119,MATCH($B44,' Toto teams'!$A$4:$A$119,0)),Scoring!$A$4:$N$51,12,FALSE()),0)+2*IFERROR(VLOOKUP(INDEX(' Toto teams'!$E$4:$E$119,MATCH($B44,' Toto teams'!$A$4:$A$119,0)),Scoring!$A$4:$N$51,12,FALSE()),0)+1*IFERROR(VLOOKUP(INDEX(' Toto teams'!$F$4:$F$119,MATCH($B44,' Toto teams'!$A$4:$A$119,0)),Scoring!$A$4:$N$51,12,FALSE()),0)+1*IFERROR(VLOOKUP(INDEX(' Toto teams'!$G$4:$G$119,MATCH($B44,' Toto teams'!$A$4:$A$119,0)),Scoring!$A$4:$N$51,12,FALSE()),0)+1*IFERROR(VLOOKUP(INDEX(' Toto teams'!$H$4:$H$119,MATCH($B44,' Toto teams'!$A$4:$A$119,0)),Scoring!$A$4:$N$51,12,FALSE()),0))</f>
        <v>0</v>
      </c>
      <c r="K44" s="29">
        <f>IF($B44="","",IFERROR(INDEX(' Toto teams'!$R$4:$R$119,MATCH($B44,' Toto teams'!$A$4:$A$119,0)),""))</f>
        <v>1</v>
      </c>
      <c r="L44" s="30">
        <f t="shared" si="4"/>
        <v>0</v>
      </c>
    </row>
    <row r="45" spans="1:12" ht="12.75" customHeight="1" x14ac:dyDescent="0.3">
      <c r="A45" s="26">
        <f>IF(42&gt;COUNTIF(' Toto teams'!$A$4:$A$119,"&lt;&gt;"),"",INDEX(' Toto teams'!$S$4:$S$119,MATCH(LARGE(' Toto teams'!$T$4:$T$119,42),' Toto teams'!$T$4:$T$119,0)))</f>
        <v>36</v>
      </c>
      <c r="B45" s="27" t="str">
        <f>IF(42&gt;COUNTIF(' Toto teams'!$A$4:$A$119,"&lt;&gt;"),"",INDEX(' Toto teams'!$A$4:$A$119,MATCH(LARGE(' Toto teams'!$T$4:$T$119,42),' Toto teams'!$T$4:$T$119,0)))</f>
        <v>Elijus Benetis</v>
      </c>
      <c r="C45" s="28">
        <f>IF($B45="","",6*(IFERROR(VLOOKUP(INDEX(' Toto teams'!$B$4:$B$119,MATCH($B45,' Toto teams'!$A$4:$A$119,0)),Scoring!$A$4:$N$51,3,FALSE()),0)+IFERROR(VLOOKUP(INDEX(' Toto teams'!$B$4:$B$119,MATCH($B45,' Toto teams'!$A$4:$A$119,0)),Scoring!$A$4:$N$51,4,FALSE()),0)+IFERROR(VLOOKUP(INDEX(' Toto teams'!$B$4:$B$119,MATCH($B45,' Toto teams'!$A$4:$A$119,0)),Scoring!$A$4:$N$51,5,FALSE()),0))+4*(IFERROR(VLOOKUP(INDEX(' Toto teams'!$C$4:$C$119,MATCH($B45,' Toto teams'!$A$4:$A$119,0)),Scoring!$A$4:$N$51,3,FALSE()),0)+IFERROR(VLOOKUP(INDEX(' Toto teams'!$C$4:$C$119,MATCH($B45,' Toto teams'!$A$4:$A$119,0)),Scoring!$A$4:$N$51,4,FALSE()),0)+IFERROR(VLOOKUP(INDEX(' Toto teams'!$C$4:$C$119,MATCH($B45,' Toto teams'!$A$4:$A$119,0)),Scoring!$A$4:$N$51,5,FALSE()),0))+3*(IFERROR(VLOOKUP(INDEX(' Toto teams'!$D$4:$D$119,MATCH($B45,' Toto teams'!$A$4:$A$119,0)),Scoring!$A$4:$N$51,3,FALSE()),0)+IFERROR(VLOOKUP(INDEX(' Toto teams'!$D$4:$D$119,MATCH($B45,' Toto teams'!$A$4:$A$119,0)),Scoring!$A$4:$N$51,4,FALSE()),0)+IFERROR(VLOOKUP(INDEX(' Toto teams'!$D$4:$D$119,MATCH($B45,' Toto teams'!$A$4:$A$119,0)),Scoring!$A$4:$N$51,5,FALSE()),0))+2*(IFERROR(VLOOKUP(INDEX(' Toto teams'!$E$4:$E$119,MATCH($B45,' Toto teams'!$A$4:$A$119,0)),Scoring!$A$4:$N$51,3,FALSE()),0)+IFERROR(VLOOKUP(INDEX(' Toto teams'!$E$4:$E$119,MATCH($B45,' Toto teams'!$A$4:$A$119,0)),Scoring!$A$4:$N$51,4,FALSE()),0)+IFERROR(VLOOKUP(INDEX(' Toto teams'!$E$4:$E$119,MATCH($B45,' Toto teams'!$A$4:$A$119,0)),Scoring!$A$4:$N$51,5,FALSE()),0))+1*(IFERROR(VLOOKUP(INDEX(' Toto teams'!$F$4:$F$119,MATCH($B45,' Toto teams'!$A$4:$A$119,0)),Scoring!$A$4:$N$51,3,FALSE()),0)+IFERROR(VLOOKUP(INDEX(' Toto teams'!$F$4:$F$119,MATCH($B45,' Toto teams'!$A$4:$A$119,0)),Scoring!$A$4:$N$51,4,FALSE()),0)+IFERROR(VLOOKUP(INDEX(' Toto teams'!$F$4:$F$119,MATCH($B45,' Toto teams'!$A$4:$A$119,0)),Scoring!$A$4:$N$51,5,FALSE()),0))+1*(IFERROR(VLOOKUP(INDEX(' Toto teams'!$G$4:$G$119,MATCH($B45,' Toto teams'!$A$4:$A$119,0)),Scoring!$A$4:$N$51,3,FALSE()),0)+IFERROR(VLOOKUP(INDEX(' Toto teams'!$G$4:$G$119,MATCH($B45,' Toto teams'!$A$4:$A$119,0)),Scoring!$A$4:$N$51,4,FALSE()),0)+IFERROR(VLOOKUP(INDEX(' Toto teams'!$G$4:$G$119,MATCH($B45,' Toto teams'!$A$4:$A$119,0)),Scoring!$A$4:$N$51,5,FALSE()),0))+1*(IFERROR(VLOOKUP(INDEX(' Toto teams'!$H$4:$H$119,MATCH($B45,' Toto teams'!$A$4:$A$119,0)),Scoring!$A$4:$N$51,3,FALSE()),0)+IFERROR(VLOOKUP(INDEX(' Toto teams'!$H$4:$H$119,MATCH($B45,' Toto teams'!$A$4:$A$119,0)),Scoring!$A$4:$N$51,4,FALSE()),0)+IFERROR(VLOOKUP(INDEX(' Toto teams'!$H$4:$H$119,MATCH($B45,' Toto teams'!$A$4:$A$119,0)),Scoring!$A$4:$N$51,5,FALSE()),0))+IFERROR(INDEX(' Toto teams'!$Q$4:$Q$119,MATCH($B45,' Toto teams'!$A$4:$A$119,0))*1,0))</f>
        <v>1</v>
      </c>
      <c r="D45" s="28">
        <f>IF($B45="","",6*IFERROR(VLOOKUP(INDEX(' Toto teams'!$B$4:$B$119,MATCH($B45,' Toto teams'!$A$4:$A$119,0)),Scoring!$A$4:$N$51,7,FALSE()),0)+4*IFERROR(VLOOKUP(INDEX(' Toto teams'!$C$4:$C$119,MATCH($B45,' Toto teams'!$A$4:$A$119,0)),Scoring!$A$4:$N$51,7,FALSE()),0)+3*IFERROR(VLOOKUP(INDEX(' Toto teams'!$D$4:$D$119,MATCH($B45,' Toto teams'!$A$4:$A$119,0)),Scoring!$A$4:$N$51,7,FALSE()),0)+2*IFERROR(VLOOKUP(INDEX(' Toto teams'!$E$4:$E$119,MATCH($B45,' Toto teams'!$A$4:$A$119,0)),Scoring!$A$4:$N$51,7,FALSE()),0)+1*IFERROR(VLOOKUP(INDEX(' Toto teams'!$F$4:$F$119,MATCH($B45,' Toto teams'!$A$4:$A$119,0)),Scoring!$A$4:$N$51,7,FALSE()),0)+1*IFERROR(VLOOKUP(INDEX(' Toto teams'!$G$4:$G$119,MATCH($B45,' Toto teams'!$A$4:$A$119,0)),Scoring!$A$4:$N$51,7,FALSE()),0)+1*IFERROR(VLOOKUP(INDEX(' Toto teams'!$H$4:$H$119,MATCH($B45,' Toto teams'!$A$4:$A$119,0)),Scoring!$A$4:$N$51,7,FALSE()),0))</f>
        <v>0</v>
      </c>
      <c r="E45" s="28">
        <f>IF($B45="","",6*IFERROR(VLOOKUP(INDEX(' Toto teams'!$B$4:$B$119,MATCH($B45,' Toto teams'!$A$4:$A$119,0)),Scoring!$A$4:$N$51,8,FALSE()),0)+4*IFERROR(VLOOKUP(INDEX(' Toto teams'!$C$4:$C$119,MATCH($B45,' Toto teams'!$A$4:$A$119,0)),Scoring!$A$4:$N$51,8,FALSE()),0)+3*IFERROR(VLOOKUP(INDEX(' Toto teams'!$D$4:$D$119,MATCH($B45,' Toto teams'!$A$4:$A$119,0)),Scoring!$A$4:$N$51,8,FALSE()),0)+2*IFERROR(VLOOKUP(INDEX(' Toto teams'!$E$4:$E$119,MATCH($B45,' Toto teams'!$A$4:$A$119,0)),Scoring!$A$4:$N$51,8,FALSE()),0)+1*IFERROR(VLOOKUP(INDEX(' Toto teams'!$F$4:$F$119,MATCH($B45,' Toto teams'!$A$4:$A$119,0)),Scoring!$A$4:$N$51,8,FALSE()),0)+1*IFERROR(VLOOKUP(INDEX(' Toto teams'!$G$4:$G$119,MATCH($B45,' Toto teams'!$A$4:$A$119,0)),Scoring!$A$4:$N$51,8,FALSE()),0)+1*IFERROR(VLOOKUP(INDEX(' Toto teams'!$H$4:$H$119,MATCH($B45,' Toto teams'!$A$4:$A$119,0)),Scoring!$A$4:$N$51,8,FALSE()),0))</f>
        <v>0</v>
      </c>
      <c r="F45" s="28">
        <f>IF($B45="","",6*IFERROR(VLOOKUP(INDEX(' Toto teams'!$B$4:$B$119,MATCH($B45,' Toto teams'!$A$4:$A$119,0)),Scoring!$A$4:$N$51,9,FALSE()),0)+4*IFERROR(VLOOKUP(INDEX(' Toto teams'!$C$4:$C$119,MATCH($B45,' Toto teams'!$A$4:$A$119,0)),Scoring!$A$4:$N$51,9,FALSE()),0)+3*IFERROR(VLOOKUP(INDEX(' Toto teams'!$D$4:$D$119,MATCH($B45,' Toto teams'!$A$4:$A$119,0)),Scoring!$A$4:$N$51,9,FALSE()),0)+2*IFERROR(VLOOKUP(INDEX(' Toto teams'!$E$4:$E$119,MATCH($B45,' Toto teams'!$A$4:$A$119,0)),Scoring!$A$4:$N$51,9,FALSE()),0)+1*IFERROR(VLOOKUP(INDEX(' Toto teams'!$F$4:$F$119,MATCH($B45,' Toto teams'!$A$4:$A$119,0)),Scoring!$A$4:$N$51,9,FALSE()),0)+1*IFERROR(VLOOKUP(INDEX(' Toto teams'!$G$4:$G$119,MATCH($B45,' Toto teams'!$A$4:$A$119,0)),Scoring!$A$4:$N$51,9,FALSE()),0)+1*IFERROR(VLOOKUP(INDEX(' Toto teams'!$H$4:$H$119,MATCH($B45,' Toto teams'!$A$4:$A$119,0)),Scoring!$A$4:$N$51,9,FALSE()),0))</f>
        <v>0</v>
      </c>
      <c r="G45" s="28">
        <f>IF($B45="","",6*IFERROR(VLOOKUP(INDEX(' Toto teams'!$B$4:$B$119,MATCH($B45,' Toto teams'!$A$4:$A$119,0)),Scoring!$A$4:$N$51,10,FALSE()),0)+4*IFERROR(VLOOKUP(INDEX(' Toto teams'!$C$4:$C$119,MATCH($B45,' Toto teams'!$A$4:$A$119,0)),Scoring!$A$4:$N$51,10,FALSE()),0)+3*IFERROR(VLOOKUP(INDEX(' Toto teams'!$D$4:$D$119,MATCH($B45,' Toto teams'!$A$4:$A$119,0)),Scoring!$A$4:$N$51,10,FALSE()),0)+2*IFERROR(VLOOKUP(INDEX(' Toto teams'!$E$4:$E$119,MATCH($B45,' Toto teams'!$A$4:$A$119,0)),Scoring!$A$4:$N$51,10,FALSE()),0)+1*IFERROR(VLOOKUP(INDEX(' Toto teams'!$F$4:$F$119,MATCH($B45,' Toto teams'!$A$4:$A$119,0)),Scoring!$A$4:$N$51,10,FALSE()),0)+1*IFERROR(VLOOKUP(INDEX(' Toto teams'!$G$4:$G$119,MATCH($B45,' Toto teams'!$A$4:$A$119,0)),Scoring!$A$4:$N$51,10,FALSE()),0)+1*IFERROR(VLOOKUP(INDEX(' Toto teams'!$H$4:$H$119,MATCH($B45,' Toto teams'!$A$4:$A$119,0)),Scoring!$A$4:$N$51,10,FALSE()),0))</f>
        <v>0</v>
      </c>
      <c r="H45" s="28">
        <f>IF($B45="","",6*IFERROR(VLOOKUP(INDEX(' Toto teams'!$B$4:$B$119,MATCH($B45,' Toto teams'!$A$4:$A$119,0)),Scoring!$A$4:$N$51,11,FALSE()),0)+4*IFERROR(VLOOKUP(INDEX(' Toto teams'!$C$4:$C$119,MATCH($B45,' Toto teams'!$A$4:$A$119,0)),Scoring!$A$4:$N$51,11,FALSE()),0)+3*IFERROR(VLOOKUP(INDEX(' Toto teams'!$D$4:$D$119,MATCH($B45,' Toto teams'!$A$4:$A$119,0)),Scoring!$A$4:$N$51,11,FALSE()),0)+2*IFERROR(VLOOKUP(INDEX(' Toto teams'!$E$4:$E$119,MATCH($B45,' Toto teams'!$A$4:$A$119,0)),Scoring!$A$4:$N$51,11,FALSE()),0)+1*IFERROR(VLOOKUP(INDEX(' Toto teams'!$F$4:$F$119,MATCH($B45,' Toto teams'!$A$4:$A$119,0)),Scoring!$A$4:$N$51,11,FALSE()),0)+1*IFERROR(VLOOKUP(INDEX(' Toto teams'!$G$4:$G$119,MATCH($B45,' Toto teams'!$A$4:$A$119,0)),Scoring!$A$4:$N$51,11,FALSE()),0)+1*IFERROR(VLOOKUP(INDEX(' Toto teams'!$H$4:$H$119,MATCH($B45,' Toto teams'!$A$4:$A$119,0)),Scoring!$A$4:$N$51,11,FALSE()),0))</f>
        <v>0</v>
      </c>
      <c r="I45" s="28">
        <f>IF($B45="","",6*IFERROR(VLOOKUP(INDEX(' Toto teams'!$B$4:$B$119,MATCH($B45,' Toto teams'!$A$4:$A$119,0)),Scoring!$A$4:$O$51,15,FALSE()),0)+4*IFERROR(VLOOKUP(INDEX(' Toto teams'!$C$4:$C$119,MATCH($B45,' Toto teams'!$A$4:$A$119,0)),Scoring!$A$4:$O$51,15,FALSE()),0)+3*IFERROR(VLOOKUP(INDEX(' Toto teams'!$D$4:$D$119,MATCH($B45,' Toto teams'!$A$4:$A$119,0)),Scoring!$A$4:$O$51,15,FALSE()),0)+2*IFERROR(VLOOKUP(INDEX(' Toto teams'!$E$4:$E$119,MATCH($B45,' Toto teams'!$A$4:$A$119,0)),Scoring!$A$4:$O$51,15,FALSE()),0)+1*IFERROR(VLOOKUP(INDEX(' Toto teams'!$F$4:$F$119,MATCH($B45,' Toto teams'!$A$4:$A$119,0)),Scoring!$A$4:$O$51,15,FALSE()),0)+1*IFERROR(VLOOKUP(INDEX(' Toto teams'!$G$4:$G$119,MATCH($B45,' Toto teams'!$A$4:$A$119,0)),Scoring!$A$4:$O$51,15,FALSE()),0)+1*IFERROR(VLOOKUP(INDEX(' Toto teams'!$H$4:$H$119,MATCH($B45,' Toto teams'!$A$4:$A$119,0)),Scoring!$A$4:$O$51,15,FALSE()),0))</f>
        <v>0</v>
      </c>
      <c r="J45" s="28">
        <f>IF($B45="","",6*IFERROR(VLOOKUP(INDEX(' Toto teams'!$B$4:$B$119,MATCH($B45,' Toto teams'!$A$4:$A$119,0)),Scoring!$A$4:$N$51,12,FALSE()),0)+4*IFERROR(VLOOKUP(INDEX(' Toto teams'!$C$4:$C$119,MATCH($B45,' Toto teams'!$A$4:$A$119,0)),Scoring!$A$4:$N$51,12,FALSE()),0)+3*IFERROR(VLOOKUP(INDEX(' Toto teams'!$D$4:$D$119,MATCH($B45,' Toto teams'!$A$4:$A$119,0)),Scoring!$A$4:$N$51,12,FALSE()),0)+2*IFERROR(VLOOKUP(INDEX(' Toto teams'!$E$4:$E$119,MATCH($B45,' Toto teams'!$A$4:$A$119,0)),Scoring!$A$4:$N$51,12,FALSE()),0)+1*IFERROR(VLOOKUP(INDEX(' Toto teams'!$F$4:$F$119,MATCH($B45,' Toto teams'!$A$4:$A$119,0)),Scoring!$A$4:$N$51,12,FALSE()),0)+1*IFERROR(VLOOKUP(INDEX(' Toto teams'!$G$4:$G$119,MATCH($B45,' Toto teams'!$A$4:$A$119,0)),Scoring!$A$4:$N$51,12,FALSE()),0)+1*IFERROR(VLOOKUP(INDEX(' Toto teams'!$H$4:$H$119,MATCH($B45,' Toto teams'!$A$4:$A$119,0)),Scoring!$A$4:$N$51,12,FALSE()),0))</f>
        <v>0</v>
      </c>
      <c r="K45" s="29">
        <f>IF($B45="","",IFERROR(INDEX(' Toto teams'!$R$4:$R$119,MATCH($B45,' Toto teams'!$A$4:$A$119,0)),""))</f>
        <v>1</v>
      </c>
      <c r="L45" s="30">
        <f t="shared" si="4"/>
        <v>0</v>
      </c>
    </row>
    <row r="46" spans="1:12" ht="12.75" customHeight="1" x14ac:dyDescent="0.3">
      <c r="A46" s="26">
        <f>IF(43&gt;COUNTIF(' Toto teams'!$A$4:$A$119,"&lt;&gt;"),"",INDEX(' Toto teams'!$S$4:$S$119,MATCH(LARGE(' Toto teams'!$T$4:$T$119,43),' Toto teams'!$T$4:$T$119,0)))</f>
        <v>36</v>
      </c>
      <c r="B46" s="27" t="str">
        <f>IF(43&gt;COUNTIF(' Toto teams'!$A$4:$A$119,"&lt;&gt;"),"",INDEX(' Toto teams'!$A$4:$A$119,MATCH(LARGE(' Toto teams'!$T$4:$T$119,43),' Toto teams'!$T$4:$T$119,0)))</f>
        <v>Anton Panasenko</v>
      </c>
      <c r="C46" s="28">
        <f>IF($B46="","",6*(IFERROR(VLOOKUP(INDEX(' Toto teams'!$B$4:$B$119,MATCH($B46,' Toto teams'!$A$4:$A$119,0)),Scoring!$A$4:$N$51,3,FALSE()),0)+IFERROR(VLOOKUP(INDEX(' Toto teams'!$B$4:$B$119,MATCH($B46,' Toto teams'!$A$4:$A$119,0)),Scoring!$A$4:$N$51,4,FALSE()),0)+IFERROR(VLOOKUP(INDEX(' Toto teams'!$B$4:$B$119,MATCH($B46,' Toto teams'!$A$4:$A$119,0)),Scoring!$A$4:$N$51,5,FALSE()),0))+4*(IFERROR(VLOOKUP(INDEX(' Toto teams'!$C$4:$C$119,MATCH($B46,' Toto teams'!$A$4:$A$119,0)),Scoring!$A$4:$N$51,3,FALSE()),0)+IFERROR(VLOOKUP(INDEX(' Toto teams'!$C$4:$C$119,MATCH($B46,' Toto teams'!$A$4:$A$119,0)),Scoring!$A$4:$N$51,4,FALSE()),0)+IFERROR(VLOOKUP(INDEX(' Toto teams'!$C$4:$C$119,MATCH($B46,' Toto teams'!$A$4:$A$119,0)),Scoring!$A$4:$N$51,5,FALSE()),0))+3*(IFERROR(VLOOKUP(INDEX(' Toto teams'!$D$4:$D$119,MATCH($B46,' Toto teams'!$A$4:$A$119,0)),Scoring!$A$4:$N$51,3,FALSE()),0)+IFERROR(VLOOKUP(INDEX(' Toto teams'!$D$4:$D$119,MATCH($B46,' Toto teams'!$A$4:$A$119,0)),Scoring!$A$4:$N$51,4,FALSE()),0)+IFERROR(VLOOKUP(INDEX(' Toto teams'!$D$4:$D$119,MATCH($B46,' Toto teams'!$A$4:$A$119,0)),Scoring!$A$4:$N$51,5,FALSE()),0))+2*(IFERROR(VLOOKUP(INDEX(' Toto teams'!$E$4:$E$119,MATCH($B46,' Toto teams'!$A$4:$A$119,0)),Scoring!$A$4:$N$51,3,FALSE()),0)+IFERROR(VLOOKUP(INDEX(' Toto teams'!$E$4:$E$119,MATCH($B46,' Toto teams'!$A$4:$A$119,0)),Scoring!$A$4:$N$51,4,FALSE()),0)+IFERROR(VLOOKUP(INDEX(' Toto teams'!$E$4:$E$119,MATCH($B46,' Toto teams'!$A$4:$A$119,0)),Scoring!$A$4:$N$51,5,FALSE()),0))+1*(IFERROR(VLOOKUP(INDEX(' Toto teams'!$F$4:$F$119,MATCH($B46,' Toto teams'!$A$4:$A$119,0)),Scoring!$A$4:$N$51,3,FALSE()),0)+IFERROR(VLOOKUP(INDEX(' Toto teams'!$F$4:$F$119,MATCH($B46,' Toto teams'!$A$4:$A$119,0)),Scoring!$A$4:$N$51,4,FALSE()),0)+IFERROR(VLOOKUP(INDEX(' Toto teams'!$F$4:$F$119,MATCH($B46,' Toto teams'!$A$4:$A$119,0)),Scoring!$A$4:$N$51,5,FALSE()),0))+1*(IFERROR(VLOOKUP(INDEX(' Toto teams'!$G$4:$G$119,MATCH($B46,' Toto teams'!$A$4:$A$119,0)),Scoring!$A$4:$N$51,3,FALSE()),0)+IFERROR(VLOOKUP(INDEX(' Toto teams'!$G$4:$G$119,MATCH($B46,' Toto teams'!$A$4:$A$119,0)),Scoring!$A$4:$N$51,4,FALSE()),0)+IFERROR(VLOOKUP(INDEX(' Toto teams'!$G$4:$G$119,MATCH($B46,' Toto teams'!$A$4:$A$119,0)),Scoring!$A$4:$N$51,5,FALSE()),0))+1*(IFERROR(VLOOKUP(INDEX(' Toto teams'!$H$4:$H$119,MATCH($B46,' Toto teams'!$A$4:$A$119,0)),Scoring!$A$4:$N$51,3,FALSE()),0)+IFERROR(VLOOKUP(INDEX(' Toto teams'!$H$4:$H$119,MATCH($B46,' Toto teams'!$A$4:$A$119,0)),Scoring!$A$4:$N$51,4,FALSE()),0)+IFERROR(VLOOKUP(INDEX(' Toto teams'!$H$4:$H$119,MATCH($B46,' Toto teams'!$A$4:$A$119,0)),Scoring!$A$4:$N$51,5,FALSE()),0))+IFERROR(INDEX(' Toto teams'!$Q$4:$Q$119,MATCH($B46,' Toto teams'!$A$4:$A$119,0))*1,0))</f>
        <v>1</v>
      </c>
      <c r="D46" s="28">
        <f>IF($B46="","",6*IFERROR(VLOOKUP(INDEX(' Toto teams'!$B$4:$B$119,MATCH($B46,' Toto teams'!$A$4:$A$119,0)),Scoring!$A$4:$N$51,7,FALSE()),0)+4*IFERROR(VLOOKUP(INDEX(' Toto teams'!$C$4:$C$119,MATCH($B46,' Toto teams'!$A$4:$A$119,0)),Scoring!$A$4:$N$51,7,FALSE()),0)+3*IFERROR(VLOOKUP(INDEX(' Toto teams'!$D$4:$D$119,MATCH($B46,' Toto teams'!$A$4:$A$119,0)),Scoring!$A$4:$N$51,7,FALSE()),0)+2*IFERROR(VLOOKUP(INDEX(' Toto teams'!$E$4:$E$119,MATCH($B46,' Toto teams'!$A$4:$A$119,0)),Scoring!$A$4:$N$51,7,FALSE()),0)+1*IFERROR(VLOOKUP(INDEX(' Toto teams'!$F$4:$F$119,MATCH($B46,' Toto teams'!$A$4:$A$119,0)),Scoring!$A$4:$N$51,7,FALSE()),0)+1*IFERROR(VLOOKUP(INDEX(' Toto teams'!$G$4:$G$119,MATCH($B46,' Toto teams'!$A$4:$A$119,0)),Scoring!$A$4:$N$51,7,FALSE()),0)+1*IFERROR(VLOOKUP(INDEX(' Toto teams'!$H$4:$H$119,MATCH($B46,' Toto teams'!$A$4:$A$119,0)),Scoring!$A$4:$N$51,7,FALSE()),0))</f>
        <v>0</v>
      </c>
      <c r="E46" s="28">
        <f>IF($B46="","",6*IFERROR(VLOOKUP(INDEX(' Toto teams'!$B$4:$B$119,MATCH($B46,' Toto teams'!$A$4:$A$119,0)),Scoring!$A$4:$N$51,8,FALSE()),0)+4*IFERROR(VLOOKUP(INDEX(' Toto teams'!$C$4:$C$119,MATCH($B46,' Toto teams'!$A$4:$A$119,0)),Scoring!$A$4:$N$51,8,FALSE()),0)+3*IFERROR(VLOOKUP(INDEX(' Toto teams'!$D$4:$D$119,MATCH($B46,' Toto teams'!$A$4:$A$119,0)),Scoring!$A$4:$N$51,8,FALSE()),0)+2*IFERROR(VLOOKUP(INDEX(' Toto teams'!$E$4:$E$119,MATCH($B46,' Toto teams'!$A$4:$A$119,0)),Scoring!$A$4:$N$51,8,FALSE()),0)+1*IFERROR(VLOOKUP(INDEX(' Toto teams'!$F$4:$F$119,MATCH($B46,' Toto teams'!$A$4:$A$119,0)),Scoring!$A$4:$N$51,8,FALSE()),0)+1*IFERROR(VLOOKUP(INDEX(' Toto teams'!$G$4:$G$119,MATCH($B46,' Toto teams'!$A$4:$A$119,0)),Scoring!$A$4:$N$51,8,FALSE()),0)+1*IFERROR(VLOOKUP(INDEX(' Toto teams'!$H$4:$H$119,MATCH($B46,' Toto teams'!$A$4:$A$119,0)),Scoring!$A$4:$N$51,8,FALSE()),0))</f>
        <v>0</v>
      </c>
      <c r="F46" s="28">
        <f>IF($B46="","",6*IFERROR(VLOOKUP(INDEX(' Toto teams'!$B$4:$B$119,MATCH($B46,' Toto teams'!$A$4:$A$119,0)),Scoring!$A$4:$N$51,9,FALSE()),0)+4*IFERROR(VLOOKUP(INDEX(' Toto teams'!$C$4:$C$119,MATCH($B46,' Toto teams'!$A$4:$A$119,0)),Scoring!$A$4:$N$51,9,FALSE()),0)+3*IFERROR(VLOOKUP(INDEX(' Toto teams'!$D$4:$D$119,MATCH($B46,' Toto teams'!$A$4:$A$119,0)),Scoring!$A$4:$N$51,9,FALSE()),0)+2*IFERROR(VLOOKUP(INDEX(' Toto teams'!$E$4:$E$119,MATCH($B46,' Toto teams'!$A$4:$A$119,0)),Scoring!$A$4:$N$51,9,FALSE()),0)+1*IFERROR(VLOOKUP(INDEX(' Toto teams'!$F$4:$F$119,MATCH($B46,' Toto teams'!$A$4:$A$119,0)),Scoring!$A$4:$N$51,9,FALSE()),0)+1*IFERROR(VLOOKUP(INDEX(' Toto teams'!$G$4:$G$119,MATCH($B46,' Toto teams'!$A$4:$A$119,0)),Scoring!$A$4:$N$51,9,FALSE()),0)+1*IFERROR(VLOOKUP(INDEX(' Toto teams'!$H$4:$H$119,MATCH($B46,' Toto teams'!$A$4:$A$119,0)),Scoring!$A$4:$N$51,9,FALSE()),0))</f>
        <v>0</v>
      </c>
      <c r="G46" s="28">
        <f>IF($B46="","",6*IFERROR(VLOOKUP(INDEX(' Toto teams'!$B$4:$B$119,MATCH($B46,' Toto teams'!$A$4:$A$119,0)),Scoring!$A$4:$N$51,10,FALSE()),0)+4*IFERROR(VLOOKUP(INDEX(' Toto teams'!$C$4:$C$119,MATCH($B46,' Toto teams'!$A$4:$A$119,0)),Scoring!$A$4:$N$51,10,FALSE()),0)+3*IFERROR(VLOOKUP(INDEX(' Toto teams'!$D$4:$D$119,MATCH($B46,' Toto teams'!$A$4:$A$119,0)),Scoring!$A$4:$N$51,10,FALSE()),0)+2*IFERROR(VLOOKUP(INDEX(' Toto teams'!$E$4:$E$119,MATCH($B46,' Toto teams'!$A$4:$A$119,0)),Scoring!$A$4:$N$51,10,FALSE()),0)+1*IFERROR(VLOOKUP(INDEX(' Toto teams'!$F$4:$F$119,MATCH($B46,' Toto teams'!$A$4:$A$119,0)),Scoring!$A$4:$N$51,10,FALSE()),0)+1*IFERROR(VLOOKUP(INDEX(' Toto teams'!$G$4:$G$119,MATCH($B46,' Toto teams'!$A$4:$A$119,0)),Scoring!$A$4:$N$51,10,FALSE()),0)+1*IFERROR(VLOOKUP(INDEX(' Toto teams'!$H$4:$H$119,MATCH($B46,' Toto teams'!$A$4:$A$119,0)),Scoring!$A$4:$N$51,10,FALSE()),0))</f>
        <v>0</v>
      </c>
      <c r="H46" s="28">
        <f>IF($B46="","",6*IFERROR(VLOOKUP(INDEX(' Toto teams'!$B$4:$B$119,MATCH($B46,' Toto teams'!$A$4:$A$119,0)),Scoring!$A$4:$N$51,11,FALSE()),0)+4*IFERROR(VLOOKUP(INDEX(' Toto teams'!$C$4:$C$119,MATCH($B46,' Toto teams'!$A$4:$A$119,0)),Scoring!$A$4:$N$51,11,FALSE()),0)+3*IFERROR(VLOOKUP(INDEX(' Toto teams'!$D$4:$D$119,MATCH($B46,' Toto teams'!$A$4:$A$119,0)),Scoring!$A$4:$N$51,11,FALSE()),0)+2*IFERROR(VLOOKUP(INDEX(' Toto teams'!$E$4:$E$119,MATCH($B46,' Toto teams'!$A$4:$A$119,0)),Scoring!$A$4:$N$51,11,FALSE()),0)+1*IFERROR(VLOOKUP(INDEX(' Toto teams'!$F$4:$F$119,MATCH($B46,' Toto teams'!$A$4:$A$119,0)),Scoring!$A$4:$N$51,11,FALSE()),0)+1*IFERROR(VLOOKUP(INDEX(' Toto teams'!$G$4:$G$119,MATCH($B46,' Toto teams'!$A$4:$A$119,0)),Scoring!$A$4:$N$51,11,FALSE()),0)+1*IFERROR(VLOOKUP(INDEX(' Toto teams'!$H$4:$H$119,MATCH($B46,' Toto teams'!$A$4:$A$119,0)),Scoring!$A$4:$N$51,11,FALSE()),0))</f>
        <v>0</v>
      </c>
      <c r="I46" s="28">
        <f>IF($B46="","",6*IFERROR(VLOOKUP(INDEX(' Toto teams'!$B$4:$B$119,MATCH($B46,' Toto teams'!$A$4:$A$119,0)),Scoring!$A$4:$O$51,15,FALSE()),0)+4*IFERROR(VLOOKUP(INDEX(' Toto teams'!$C$4:$C$119,MATCH($B46,' Toto teams'!$A$4:$A$119,0)),Scoring!$A$4:$O$51,15,FALSE()),0)+3*IFERROR(VLOOKUP(INDEX(' Toto teams'!$D$4:$D$119,MATCH($B46,' Toto teams'!$A$4:$A$119,0)),Scoring!$A$4:$O$51,15,FALSE()),0)+2*IFERROR(VLOOKUP(INDEX(' Toto teams'!$E$4:$E$119,MATCH($B46,' Toto teams'!$A$4:$A$119,0)),Scoring!$A$4:$O$51,15,FALSE()),0)+1*IFERROR(VLOOKUP(INDEX(' Toto teams'!$F$4:$F$119,MATCH($B46,' Toto teams'!$A$4:$A$119,0)),Scoring!$A$4:$O$51,15,FALSE()),0)+1*IFERROR(VLOOKUP(INDEX(' Toto teams'!$G$4:$G$119,MATCH($B46,' Toto teams'!$A$4:$A$119,0)),Scoring!$A$4:$O$51,15,FALSE()),0)+1*IFERROR(VLOOKUP(INDEX(' Toto teams'!$H$4:$H$119,MATCH($B46,' Toto teams'!$A$4:$A$119,0)),Scoring!$A$4:$O$51,15,FALSE()),0))</f>
        <v>0</v>
      </c>
      <c r="J46" s="28">
        <f>IF($B46="","",6*IFERROR(VLOOKUP(INDEX(' Toto teams'!$B$4:$B$119,MATCH($B46,' Toto teams'!$A$4:$A$119,0)),Scoring!$A$4:$N$51,12,FALSE()),0)+4*IFERROR(VLOOKUP(INDEX(' Toto teams'!$C$4:$C$119,MATCH($B46,' Toto teams'!$A$4:$A$119,0)),Scoring!$A$4:$N$51,12,FALSE()),0)+3*IFERROR(VLOOKUP(INDEX(' Toto teams'!$D$4:$D$119,MATCH($B46,' Toto teams'!$A$4:$A$119,0)),Scoring!$A$4:$N$51,12,FALSE()),0)+2*IFERROR(VLOOKUP(INDEX(' Toto teams'!$E$4:$E$119,MATCH($B46,' Toto teams'!$A$4:$A$119,0)),Scoring!$A$4:$N$51,12,FALSE()),0)+1*IFERROR(VLOOKUP(INDEX(' Toto teams'!$F$4:$F$119,MATCH($B46,' Toto teams'!$A$4:$A$119,0)),Scoring!$A$4:$N$51,12,FALSE()),0)+1*IFERROR(VLOOKUP(INDEX(' Toto teams'!$G$4:$G$119,MATCH($B46,' Toto teams'!$A$4:$A$119,0)),Scoring!$A$4:$N$51,12,FALSE()),0)+1*IFERROR(VLOOKUP(INDEX(' Toto teams'!$H$4:$H$119,MATCH($B46,' Toto teams'!$A$4:$A$119,0)),Scoring!$A$4:$N$51,12,FALSE()),0))</f>
        <v>0</v>
      </c>
      <c r="K46" s="29">
        <f>IF($B46="","",IFERROR(INDEX(' Toto teams'!$R$4:$R$119,MATCH($B46,' Toto teams'!$A$4:$A$119,0)),""))</f>
        <v>1</v>
      </c>
      <c r="L46" s="30">
        <f t="shared" si="4"/>
        <v>0</v>
      </c>
    </row>
    <row r="47" spans="1:12" ht="12.75" customHeight="1" x14ac:dyDescent="0.3">
      <c r="A47" s="26">
        <f>IF(44&gt;COUNTIF(' Toto teams'!$A$4:$A$119,"&lt;&gt;"),"",INDEX(' Toto teams'!$S$4:$S$119,MATCH(LARGE(' Toto teams'!$T$4:$T$119,44),' Toto teams'!$T$4:$T$119,0)))</f>
        <v>36</v>
      </c>
      <c r="B47" s="27" t="str">
        <f>IF(44&gt;COUNTIF(' Toto teams'!$A$4:$A$119,"&lt;&gt;"),"",INDEX(' Toto teams'!$A$4:$A$119,MATCH(LARGE(' Toto teams'!$T$4:$T$119,44),' Toto teams'!$T$4:$T$119,0)))</f>
        <v>Justinas Novoruckis</v>
      </c>
      <c r="C47" s="28">
        <f>IF($B47="","",6*(IFERROR(VLOOKUP(INDEX(' Toto teams'!$B$4:$B$119,MATCH($B47,' Toto teams'!$A$4:$A$119,0)),Scoring!$A$4:$N$51,3,FALSE()),0)+IFERROR(VLOOKUP(INDEX(' Toto teams'!$B$4:$B$119,MATCH($B47,' Toto teams'!$A$4:$A$119,0)),Scoring!$A$4:$N$51,4,FALSE()),0)+IFERROR(VLOOKUP(INDEX(' Toto teams'!$B$4:$B$119,MATCH($B47,' Toto teams'!$A$4:$A$119,0)),Scoring!$A$4:$N$51,5,FALSE()),0))+4*(IFERROR(VLOOKUP(INDEX(' Toto teams'!$C$4:$C$119,MATCH($B47,' Toto teams'!$A$4:$A$119,0)),Scoring!$A$4:$N$51,3,FALSE()),0)+IFERROR(VLOOKUP(INDEX(' Toto teams'!$C$4:$C$119,MATCH($B47,' Toto teams'!$A$4:$A$119,0)),Scoring!$A$4:$N$51,4,FALSE()),0)+IFERROR(VLOOKUP(INDEX(' Toto teams'!$C$4:$C$119,MATCH($B47,' Toto teams'!$A$4:$A$119,0)),Scoring!$A$4:$N$51,5,FALSE()),0))+3*(IFERROR(VLOOKUP(INDEX(' Toto teams'!$D$4:$D$119,MATCH($B47,' Toto teams'!$A$4:$A$119,0)),Scoring!$A$4:$N$51,3,FALSE()),0)+IFERROR(VLOOKUP(INDEX(' Toto teams'!$D$4:$D$119,MATCH($B47,' Toto teams'!$A$4:$A$119,0)),Scoring!$A$4:$N$51,4,FALSE()),0)+IFERROR(VLOOKUP(INDEX(' Toto teams'!$D$4:$D$119,MATCH($B47,' Toto teams'!$A$4:$A$119,0)),Scoring!$A$4:$N$51,5,FALSE()),0))+2*(IFERROR(VLOOKUP(INDEX(' Toto teams'!$E$4:$E$119,MATCH($B47,' Toto teams'!$A$4:$A$119,0)),Scoring!$A$4:$N$51,3,FALSE()),0)+IFERROR(VLOOKUP(INDEX(' Toto teams'!$E$4:$E$119,MATCH($B47,' Toto teams'!$A$4:$A$119,0)),Scoring!$A$4:$N$51,4,FALSE()),0)+IFERROR(VLOOKUP(INDEX(' Toto teams'!$E$4:$E$119,MATCH($B47,' Toto teams'!$A$4:$A$119,0)),Scoring!$A$4:$N$51,5,FALSE()),0))+1*(IFERROR(VLOOKUP(INDEX(' Toto teams'!$F$4:$F$119,MATCH($B47,' Toto teams'!$A$4:$A$119,0)),Scoring!$A$4:$N$51,3,FALSE()),0)+IFERROR(VLOOKUP(INDEX(' Toto teams'!$F$4:$F$119,MATCH($B47,' Toto teams'!$A$4:$A$119,0)),Scoring!$A$4:$N$51,4,FALSE()),0)+IFERROR(VLOOKUP(INDEX(' Toto teams'!$F$4:$F$119,MATCH($B47,' Toto teams'!$A$4:$A$119,0)),Scoring!$A$4:$N$51,5,FALSE()),0))+1*(IFERROR(VLOOKUP(INDEX(' Toto teams'!$G$4:$G$119,MATCH($B47,' Toto teams'!$A$4:$A$119,0)),Scoring!$A$4:$N$51,3,FALSE()),0)+IFERROR(VLOOKUP(INDEX(' Toto teams'!$G$4:$G$119,MATCH($B47,' Toto teams'!$A$4:$A$119,0)),Scoring!$A$4:$N$51,4,FALSE()),0)+IFERROR(VLOOKUP(INDEX(' Toto teams'!$G$4:$G$119,MATCH($B47,' Toto teams'!$A$4:$A$119,0)),Scoring!$A$4:$N$51,5,FALSE()),0))+1*(IFERROR(VLOOKUP(INDEX(' Toto teams'!$H$4:$H$119,MATCH($B47,' Toto teams'!$A$4:$A$119,0)),Scoring!$A$4:$N$51,3,FALSE()),0)+IFERROR(VLOOKUP(INDEX(' Toto teams'!$H$4:$H$119,MATCH($B47,' Toto teams'!$A$4:$A$119,0)),Scoring!$A$4:$N$51,4,FALSE()),0)+IFERROR(VLOOKUP(INDEX(' Toto teams'!$H$4:$H$119,MATCH($B47,' Toto teams'!$A$4:$A$119,0)),Scoring!$A$4:$N$51,5,FALSE()),0))+IFERROR(INDEX(' Toto teams'!$Q$4:$Q$119,MATCH($B47,' Toto teams'!$A$4:$A$119,0))*1,0))</f>
        <v>1</v>
      </c>
      <c r="D47" s="28">
        <f>IF($B47="","",6*IFERROR(VLOOKUP(INDEX(' Toto teams'!$B$4:$B$119,MATCH($B47,' Toto teams'!$A$4:$A$119,0)),Scoring!$A$4:$N$51,7,FALSE()),0)+4*IFERROR(VLOOKUP(INDEX(' Toto teams'!$C$4:$C$119,MATCH($B47,' Toto teams'!$A$4:$A$119,0)),Scoring!$A$4:$N$51,7,FALSE()),0)+3*IFERROR(VLOOKUP(INDEX(' Toto teams'!$D$4:$D$119,MATCH($B47,' Toto teams'!$A$4:$A$119,0)),Scoring!$A$4:$N$51,7,FALSE()),0)+2*IFERROR(VLOOKUP(INDEX(' Toto teams'!$E$4:$E$119,MATCH($B47,' Toto teams'!$A$4:$A$119,0)),Scoring!$A$4:$N$51,7,FALSE()),0)+1*IFERROR(VLOOKUP(INDEX(' Toto teams'!$F$4:$F$119,MATCH($B47,' Toto teams'!$A$4:$A$119,0)),Scoring!$A$4:$N$51,7,FALSE()),0)+1*IFERROR(VLOOKUP(INDEX(' Toto teams'!$G$4:$G$119,MATCH($B47,' Toto teams'!$A$4:$A$119,0)),Scoring!$A$4:$N$51,7,FALSE()),0)+1*IFERROR(VLOOKUP(INDEX(' Toto teams'!$H$4:$H$119,MATCH($B47,' Toto teams'!$A$4:$A$119,0)),Scoring!$A$4:$N$51,7,FALSE()),0))</f>
        <v>0</v>
      </c>
      <c r="E47" s="28">
        <f>IF($B47="","",6*IFERROR(VLOOKUP(INDEX(' Toto teams'!$B$4:$B$119,MATCH($B47,' Toto teams'!$A$4:$A$119,0)),Scoring!$A$4:$N$51,8,FALSE()),0)+4*IFERROR(VLOOKUP(INDEX(' Toto teams'!$C$4:$C$119,MATCH($B47,' Toto teams'!$A$4:$A$119,0)),Scoring!$A$4:$N$51,8,FALSE()),0)+3*IFERROR(VLOOKUP(INDEX(' Toto teams'!$D$4:$D$119,MATCH($B47,' Toto teams'!$A$4:$A$119,0)),Scoring!$A$4:$N$51,8,FALSE()),0)+2*IFERROR(VLOOKUP(INDEX(' Toto teams'!$E$4:$E$119,MATCH($B47,' Toto teams'!$A$4:$A$119,0)),Scoring!$A$4:$N$51,8,FALSE()),0)+1*IFERROR(VLOOKUP(INDEX(' Toto teams'!$F$4:$F$119,MATCH($B47,' Toto teams'!$A$4:$A$119,0)),Scoring!$A$4:$N$51,8,FALSE()),0)+1*IFERROR(VLOOKUP(INDEX(' Toto teams'!$G$4:$G$119,MATCH($B47,' Toto teams'!$A$4:$A$119,0)),Scoring!$A$4:$N$51,8,FALSE()),0)+1*IFERROR(VLOOKUP(INDEX(' Toto teams'!$H$4:$H$119,MATCH($B47,' Toto teams'!$A$4:$A$119,0)),Scoring!$A$4:$N$51,8,FALSE()),0))</f>
        <v>0</v>
      </c>
      <c r="F47" s="28">
        <f>IF($B47="","",6*IFERROR(VLOOKUP(INDEX(' Toto teams'!$B$4:$B$119,MATCH($B47,' Toto teams'!$A$4:$A$119,0)),Scoring!$A$4:$N$51,9,FALSE()),0)+4*IFERROR(VLOOKUP(INDEX(' Toto teams'!$C$4:$C$119,MATCH($B47,' Toto teams'!$A$4:$A$119,0)),Scoring!$A$4:$N$51,9,FALSE()),0)+3*IFERROR(VLOOKUP(INDEX(' Toto teams'!$D$4:$D$119,MATCH($B47,' Toto teams'!$A$4:$A$119,0)),Scoring!$A$4:$N$51,9,FALSE()),0)+2*IFERROR(VLOOKUP(INDEX(' Toto teams'!$E$4:$E$119,MATCH($B47,' Toto teams'!$A$4:$A$119,0)),Scoring!$A$4:$N$51,9,FALSE()),0)+1*IFERROR(VLOOKUP(INDEX(' Toto teams'!$F$4:$F$119,MATCH($B47,' Toto teams'!$A$4:$A$119,0)),Scoring!$A$4:$N$51,9,FALSE()),0)+1*IFERROR(VLOOKUP(INDEX(' Toto teams'!$G$4:$G$119,MATCH($B47,' Toto teams'!$A$4:$A$119,0)),Scoring!$A$4:$N$51,9,FALSE()),0)+1*IFERROR(VLOOKUP(INDEX(' Toto teams'!$H$4:$H$119,MATCH($B47,' Toto teams'!$A$4:$A$119,0)),Scoring!$A$4:$N$51,9,FALSE()),0))</f>
        <v>0</v>
      </c>
      <c r="G47" s="28">
        <f>IF($B47="","",6*IFERROR(VLOOKUP(INDEX(' Toto teams'!$B$4:$B$119,MATCH($B47,' Toto teams'!$A$4:$A$119,0)),Scoring!$A$4:$N$51,10,FALSE()),0)+4*IFERROR(VLOOKUP(INDEX(' Toto teams'!$C$4:$C$119,MATCH($B47,' Toto teams'!$A$4:$A$119,0)),Scoring!$A$4:$N$51,10,FALSE()),0)+3*IFERROR(VLOOKUP(INDEX(' Toto teams'!$D$4:$D$119,MATCH($B47,' Toto teams'!$A$4:$A$119,0)),Scoring!$A$4:$N$51,10,FALSE()),0)+2*IFERROR(VLOOKUP(INDEX(' Toto teams'!$E$4:$E$119,MATCH($B47,' Toto teams'!$A$4:$A$119,0)),Scoring!$A$4:$N$51,10,FALSE()),0)+1*IFERROR(VLOOKUP(INDEX(' Toto teams'!$F$4:$F$119,MATCH($B47,' Toto teams'!$A$4:$A$119,0)),Scoring!$A$4:$N$51,10,FALSE()),0)+1*IFERROR(VLOOKUP(INDEX(' Toto teams'!$G$4:$G$119,MATCH($B47,' Toto teams'!$A$4:$A$119,0)),Scoring!$A$4:$N$51,10,FALSE()),0)+1*IFERROR(VLOOKUP(INDEX(' Toto teams'!$H$4:$H$119,MATCH($B47,' Toto teams'!$A$4:$A$119,0)),Scoring!$A$4:$N$51,10,FALSE()),0))</f>
        <v>0</v>
      </c>
      <c r="H47" s="28">
        <f>IF($B47="","",6*IFERROR(VLOOKUP(INDEX(' Toto teams'!$B$4:$B$119,MATCH($B47,' Toto teams'!$A$4:$A$119,0)),Scoring!$A$4:$N$51,11,FALSE()),0)+4*IFERROR(VLOOKUP(INDEX(' Toto teams'!$C$4:$C$119,MATCH($B47,' Toto teams'!$A$4:$A$119,0)),Scoring!$A$4:$N$51,11,FALSE()),0)+3*IFERROR(VLOOKUP(INDEX(' Toto teams'!$D$4:$D$119,MATCH($B47,' Toto teams'!$A$4:$A$119,0)),Scoring!$A$4:$N$51,11,FALSE()),0)+2*IFERROR(VLOOKUP(INDEX(' Toto teams'!$E$4:$E$119,MATCH($B47,' Toto teams'!$A$4:$A$119,0)),Scoring!$A$4:$N$51,11,FALSE()),0)+1*IFERROR(VLOOKUP(INDEX(' Toto teams'!$F$4:$F$119,MATCH($B47,' Toto teams'!$A$4:$A$119,0)),Scoring!$A$4:$N$51,11,FALSE()),0)+1*IFERROR(VLOOKUP(INDEX(' Toto teams'!$G$4:$G$119,MATCH($B47,' Toto teams'!$A$4:$A$119,0)),Scoring!$A$4:$N$51,11,FALSE()),0)+1*IFERROR(VLOOKUP(INDEX(' Toto teams'!$H$4:$H$119,MATCH($B47,' Toto teams'!$A$4:$A$119,0)),Scoring!$A$4:$N$51,11,FALSE()),0))</f>
        <v>0</v>
      </c>
      <c r="I47" s="28">
        <f>IF($B47="","",6*IFERROR(VLOOKUP(INDEX(' Toto teams'!$B$4:$B$119,MATCH($B47,' Toto teams'!$A$4:$A$119,0)),Scoring!$A$4:$O$51,15,FALSE()),0)+4*IFERROR(VLOOKUP(INDEX(' Toto teams'!$C$4:$C$119,MATCH($B47,' Toto teams'!$A$4:$A$119,0)),Scoring!$A$4:$O$51,15,FALSE()),0)+3*IFERROR(VLOOKUP(INDEX(' Toto teams'!$D$4:$D$119,MATCH($B47,' Toto teams'!$A$4:$A$119,0)),Scoring!$A$4:$O$51,15,FALSE()),0)+2*IFERROR(VLOOKUP(INDEX(' Toto teams'!$E$4:$E$119,MATCH($B47,' Toto teams'!$A$4:$A$119,0)),Scoring!$A$4:$O$51,15,FALSE()),0)+1*IFERROR(VLOOKUP(INDEX(' Toto teams'!$F$4:$F$119,MATCH($B47,' Toto teams'!$A$4:$A$119,0)),Scoring!$A$4:$O$51,15,FALSE()),0)+1*IFERROR(VLOOKUP(INDEX(' Toto teams'!$G$4:$G$119,MATCH($B47,' Toto teams'!$A$4:$A$119,0)),Scoring!$A$4:$O$51,15,FALSE()),0)+1*IFERROR(VLOOKUP(INDEX(' Toto teams'!$H$4:$H$119,MATCH($B47,' Toto teams'!$A$4:$A$119,0)),Scoring!$A$4:$O$51,15,FALSE()),0))</f>
        <v>0</v>
      </c>
      <c r="J47" s="28">
        <f>IF($B47="","",6*IFERROR(VLOOKUP(INDEX(' Toto teams'!$B$4:$B$119,MATCH($B47,' Toto teams'!$A$4:$A$119,0)),Scoring!$A$4:$N$51,12,FALSE()),0)+4*IFERROR(VLOOKUP(INDEX(' Toto teams'!$C$4:$C$119,MATCH($B47,' Toto teams'!$A$4:$A$119,0)),Scoring!$A$4:$N$51,12,FALSE()),0)+3*IFERROR(VLOOKUP(INDEX(' Toto teams'!$D$4:$D$119,MATCH($B47,' Toto teams'!$A$4:$A$119,0)),Scoring!$A$4:$N$51,12,FALSE()),0)+2*IFERROR(VLOOKUP(INDEX(' Toto teams'!$E$4:$E$119,MATCH($B47,' Toto teams'!$A$4:$A$119,0)),Scoring!$A$4:$N$51,12,FALSE()),0)+1*IFERROR(VLOOKUP(INDEX(' Toto teams'!$F$4:$F$119,MATCH($B47,' Toto teams'!$A$4:$A$119,0)),Scoring!$A$4:$N$51,12,FALSE()),0)+1*IFERROR(VLOOKUP(INDEX(' Toto teams'!$G$4:$G$119,MATCH($B47,' Toto teams'!$A$4:$A$119,0)),Scoring!$A$4:$N$51,12,FALSE()),0)+1*IFERROR(VLOOKUP(INDEX(' Toto teams'!$H$4:$H$119,MATCH($B47,' Toto teams'!$A$4:$A$119,0)),Scoring!$A$4:$N$51,12,FALSE()),0))</f>
        <v>0</v>
      </c>
      <c r="K47" s="29">
        <f>IF($B47="","",IFERROR(INDEX(' Toto teams'!$R$4:$R$119,MATCH($B47,' Toto teams'!$A$4:$A$119,0)),""))</f>
        <v>1</v>
      </c>
      <c r="L47" s="30">
        <f t="shared" si="4"/>
        <v>0</v>
      </c>
    </row>
    <row r="48" spans="1:12" ht="12.75" customHeight="1" x14ac:dyDescent="0.3">
      <c r="A48" s="26">
        <f>IF(45&gt;COUNTIF(' Toto teams'!$A$4:$A$119,"&lt;&gt;"),"",INDEX(' Toto teams'!$S$4:$S$119,MATCH(LARGE(' Toto teams'!$T$4:$T$119,45),' Toto teams'!$T$4:$T$119,0)))</f>
        <v>36</v>
      </c>
      <c r="B48" s="27" t="str">
        <f>IF(45&gt;COUNTIF(' Toto teams'!$A$4:$A$119,"&lt;&gt;"),"",INDEX(' Toto teams'!$A$4:$A$119,MATCH(LARGE(' Toto teams'!$T$4:$T$119,45),' Toto teams'!$T$4:$T$119,0)))</f>
        <v>Alberto Canova</v>
      </c>
      <c r="C48" s="28">
        <f>IF($B48="","",6*(IFERROR(VLOOKUP(INDEX(' Toto teams'!$B$4:$B$119,MATCH($B48,' Toto teams'!$A$4:$A$119,0)),Scoring!$A$4:$N$51,3,FALSE()),0)+IFERROR(VLOOKUP(INDEX(' Toto teams'!$B$4:$B$119,MATCH($B48,' Toto teams'!$A$4:$A$119,0)),Scoring!$A$4:$N$51,4,FALSE()),0)+IFERROR(VLOOKUP(INDEX(' Toto teams'!$B$4:$B$119,MATCH($B48,' Toto teams'!$A$4:$A$119,0)),Scoring!$A$4:$N$51,5,FALSE()),0))+4*(IFERROR(VLOOKUP(INDEX(' Toto teams'!$C$4:$C$119,MATCH($B48,' Toto teams'!$A$4:$A$119,0)),Scoring!$A$4:$N$51,3,FALSE()),0)+IFERROR(VLOOKUP(INDEX(' Toto teams'!$C$4:$C$119,MATCH($B48,' Toto teams'!$A$4:$A$119,0)),Scoring!$A$4:$N$51,4,FALSE()),0)+IFERROR(VLOOKUP(INDEX(' Toto teams'!$C$4:$C$119,MATCH($B48,' Toto teams'!$A$4:$A$119,0)),Scoring!$A$4:$N$51,5,FALSE()),0))+3*(IFERROR(VLOOKUP(INDEX(' Toto teams'!$D$4:$D$119,MATCH($B48,' Toto teams'!$A$4:$A$119,0)),Scoring!$A$4:$N$51,3,FALSE()),0)+IFERROR(VLOOKUP(INDEX(' Toto teams'!$D$4:$D$119,MATCH($B48,' Toto teams'!$A$4:$A$119,0)),Scoring!$A$4:$N$51,4,FALSE()),0)+IFERROR(VLOOKUP(INDEX(' Toto teams'!$D$4:$D$119,MATCH($B48,' Toto teams'!$A$4:$A$119,0)),Scoring!$A$4:$N$51,5,FALSE()),0))+2*(IFERROR(VLOOKUP(INDEX(' Toto teams'!$E$4:$E$119,MATCH($B48,' Toto teams'!$A$4:$A$119,0)),Scoring!$A$4:$N$51,3,FALSE()),0)+IFERROR(VLOOKUP(INDEX(' Toto teams'!$E$4:$E$119,MATCH($B48,' Toto teams'!$A$4:$A$119,0)),Scoring!$A$4:$N$51,4,FALSE()),0)+IFERROR(VLOOKUP(INDEX(' Toto teams'!$E$4:$E$119,MATCH($B48,' Toto teams'!$A$4:$A$119,0)),Scoring!$A$4:$N$51,5,FALSE()),0))+1*(IFERROR(VLOOKUP(INDEX(' Toto teams'!$F$4:$F$119,MATCH($B48,' Toto teams'!$A$4:$A$119,0)),Scoring!$A$4:$N$51,3,FALSE()),0)+IFERROR(VLOOKUP(INDEX(' Toto teams'!$F$4:$F$119,MATCH($B48,' Toto teams'!$A$4:$A$119,0)),Scoring!$A$4:$N$51,4,FALSE()),0)+IFERROR(VLOOKUP(INDEX(' Toto teams'!$F$4:$F$119,MATCH($B48,' Toto teams'!$A$4:$A$119,0)),Scoring!$A$4:$N$51,5,FALSE()),0))+1*(IFERROR(VLOOKUP(INDEX(' Toto teams'!$G$4:$G$119,MATCH($B48,' Toto teams'!$A$4:$A$119,0)),Scoring!$A$4:$N$51,3,FALSE()),0)+IFERROR(VLOOKUP(INDEX(' Toto teams'!$G$4:$G$119,MATCH($B48,' Toto teams'!$A$4:$A$119,0)),Scoring!$A$4:$N$51,4,FALSE()),0)+IFERROR(VLOOKUP(INDEX(' Toto teams'!$G$4:$G$119,MATCH($B48,' Toto teams'!$A$4:$A$119,0)),Scoring!$A$4:$N$51,5,FALSE()),0))+1*(IFERROR(VLOOKUP(INDEX(' Toto teams'!$H$4:$H$119,MATCH($B48,' Toto teams'!$A$4:$A$119,0)),Scoring!$A$4:$N$51,3,FALSE()),0)+IFERROR(VLOOKUP(INDEX(' Toto teams'!$H$4:$H$119,MATCH($B48,' Toto teams'!$A$4:$A$119,0)),Scoring!$A$4:$N$51,4,FALSE()),0)+IFERROR(VLOOKUP(INDEX(' Toto teams'!$H$4:$H$119,MATCH($B48,' Toto teams'!$A$4:$A$119,0)),Scoring!$A$4:$N$51,5,FALSE()),0))+IFERROR(INDEX(' Toto teams'!$Q$4:$Q$119,MATCH($B48,' Toto teams'!$A$4:$A$119,0))*1,0))</f>
        <v>1</v>
      </c>
      <c r="D48" s="28">
        <f>IF($B48="","",6*IFERROR(VLOOKUP(INDEX(' Toto teams'!$B$4:$B$119,MATCH($B48,' Toto teams'!$A$4:$A$119,0)),Scoring!$A$4:$N$51,7,FALSE()),0)+4*IFERROR(VLOOKUP(INDEX(' Toto teams'!$C$4:$C$119,MATCH($B48,' Toto teams'!$A$4:$A$119,0)),Scoring!$A$4:$N$51,7,FALSE()),0)+3*IFERROR(VLOOKUP(INDEX(' Toto teams'!$D$4:$D$119,MATCH($B48,' Toto teams'!$A$4:$A$119,0)),Scoring!$A$4:$N$51,7,FALSE()),0)+2*IFERROR(VLOOKUP(INDEX(' Toto teams'!$E$4:$E$119,MATCH($B48,' Toto teams'!$A$4:$A$119,0)),Scoring!$A$4:$N$51,7,FALSE()),0)+1*IFERROR(VLOOKUP(INDEX(' Toto teams'!$F$4:$F$119,MATCH($B48,' Toto teams'!$A$4:$A$119,0)),Scoring!$A$4:$N$51,7,FALSE()),0)+1*IFERROR(VLOOKUP(INDEX(' Toto teams'!$G$4:$G$119,MATCH($B48,' Toto teams'!$A$4:$A$119,0)),Scoring!$A$4:$N$51,7,FALSE()),0)+1*IFERROR(VLOOKUP(INDEX(' Toto teams'!$H$4:$H$119,MATCH($B48,' Toto teams'!$A$4:$A$119,0)),Scoring!$A$4:$N$51,7,FALSE()),0))</f>
        <v>0</v>
      </c>
      <c r="E48" s="28">
        <f>IF($B48="","",6*IFERROR(VLOOKUP(INDEX(' Toto teams'!$B$4:$B$119,MATCH($B48,' Toto teams'!$A$4:$A$119,0)),Scoring!$A$4:$N$51,8,FALSE()),0)+4*IFERROR(VLOOKUP(INDEX(' Toto teams'!$C$4:$C$119,MATCH($B48,' Toto teams'!$A$4:$A$119,0)),Scoring!$A$4:$N$51,8,FALSE()),0)+3*IFERROR(VLOOKUP(INDEX(' Toto teams'!$D$4:$D$119,MATCH($B48,' Toto teams'!$A$4:$A$119,0)),Scoring!$A$4:$N$51,8,FALSE()),0)+2*IFERROR(VLOOKUP(INDEX(' Toto teams'!$E$4:$E$119,MATCH($B48,' Toto teams'!$A$4:$A$119,0)),Scoring!$A$4:$N$51,8,FALSE()),0)+1*IFERROR(VLOOKUP(INDEX(' Toto teams'!$F$4:$F$119,MATCH($B48,' Toto teams'!$A$4:$A$119,0)),Scoring!$A$4:$N$51,8,FALSE()),0)+1*IFERROR(VLOOKUP(INDEX(' Toto teams'!$G$4:$G$119,MATCH($B48,' Toto teams'!$A$4:$A$119,0)),Scoring!$A$4:$N$51,8,FALSE()),0)+1*IFERROR(VLOOKUP(INDEX(' Toto teams'!$H$4:$H$119,MATCH($B48,' Toto teams'!$A$4:$A$119,0)),Scoring!$A$4:$N$51,8,FALSE()),0))</f>
        <v>0</v>
      </c>
      <c r="F48" s="28">
        <f>IF($B48="","",6*IFERROR(VLOOKUP(INDEX(' Toto teams'!$B$4:$B$119,MATCH($B48,' Toto teams'!$A$4:$A$119,0)),Scoring!$A$4:$N$51,9,FALSE()),0)+4*IFERROR(VLOOKUP(INDEX(' Toto teams'!$C$4:$C$119,MATCH($B48,' Toto teams'!$A$4:$A$119,0)),Scoring!$A$4:$N$51,9,FALSE()),0)+3*IFERROR(VLOOKUP(INDEX(' Toto teams'!$D$4:$D$119,MATCH($B48,' Toto teams'!$A$4:$A$119,0)),Scoring!$A$4:$N$51,9,FALSE()),0)+2*IFERROR(VLOOKUP(INDEX(' Toto teams'!$E$4:$E$119,MATCH($B48,' Toto teams'!$A$4:$A$119,0)),Scoring!$A$4:$N$51,9,FALSE()),0)+1*IFERROR(VLOOKUP(INDEX(' Toto teams'!$F$4:$F$119,MATCH($B48,' Toto teams'!$A$4:$A$119,0)),Scoring!$A$4:$N$51,9,FALSE()),0)+1*IFERROR(VLOOKUP(INDEX(' Toto teams'!$G$4:$G$119,MATCH($B48,' Toto teams'!$A$4:$A$119,0)),Scoring!$A$4:$N$51,9,FALSE()),0)+1*IFERROR(VLOOKUP(INDEX(' Toto teams'!$H$4:$H$119,MATCH($B48,' Toto teams'!$A$4:$A$119,0)),Scoring!$A$4:$N$51,9,FALSE()),0))</f>
        <v>0</v>
      </c>
      <c r="G48" s="28">
        <f>IF($B48="","",6*IFERROR(VLOOKUP(INDEX(' Toto teams'!$B$4:$B$119,MATCH($B48,' Toto teams'!$A$4:$A$119,0)),Scoring!$A$4:$N$51,10,FALSE()),0)+4*IFERROR(VLOOKUP(INDEX(' Toto teams'!$C$4:$C$119,MATCH($B48,' Toto teams'!$A$4:$A$119,0)),Scoring!$A$4:$N$51,10,FALSE()),0)+3*IFERROR(VLOOKUP(INDEX(' Toto teams'!$D$4:$D$119,MATCH($B48,' Toto teams'!$A$4:$A$119,0)),Scoring!$A$4:$N$51,10,FALSE()),0)+2*IFERROR(VLOOKUP(INDEX(' Toto teams'!$E$4:$E$119,MATCH($B48,' Toto teams'!$A$4:$A$119,0)),Scoring!$A$4:$N$51,10,FALSE()),0)+1*IFERROR(VLOOKUP(INDEX(' Toto teams'!$F$4:$F$119,MATCH($B48,' Toto teams'!$A$4:$A$119,0)),Scoring!$A$4:$N$51,10,FALSE()),0)+1*IFERROR(VLOOKUP(INDEX(' Toto teams'!$G$4:$G$119,MATCH($B48,' Toto teams'!$A$4:$A$119,0)),Scoring!$A$4:$N$51,10,FALSE()),0)+1*IFERROR(VLOOKUP(INDEX(' Toto teams'!$H$4:$H$119,MATCH($B48,' Toto teams'!$A$4:$A$119,0)),Scoring!$A$4:$N$51,10,FALSE()),0))</f>
        <v>0</v>
      </c>
      <c r="H48" s="28">
        <f>IF($B48="","",6*IFERROR(VLOOKUP(INDEX(' Toto teams'!$B$4:$B$119,MATCH($B48,' Toto teams'!$A$4:$A$119,0)),Scoring!$A$4:$N$51,11,FALSE()),0)+4*IFERROR(VLOOKUP(INDEX(' Toto teams'!$C$4:$C$119,MATCH($B48,' Toto teams'!$A$4:$A$119,0)),Scoring!$A$4:$N$51,11,FALSE()),0)+3*IFERROR(VLOOKUP(INDEX(' Toto teams'!$D$4:$D$119,MATCH($B48,' Toto teams'!$A$4:$A$119,0)),Scoring!$A$4:$N$51,11,FALSE()),0)+2*IFERROR(VLOOKUP(INDEX(' Toto teams'!$E$4:$E$119,MATCH($B48,' Toto teams'!$A$4:$A$119,0)),Scoring!$A$4:$N$51,11,FALSE()),0)+1*IFERROR(VLOOKUP(INDEX(' Toto teams'!$F$4:$F$119,MATCH($B48,' Toto teams'!$A$4:$A$119,0)),Scoring!$A$4:$N$51,11,FALSE()),0)+1*IFERROR(VLOOKUP(INDEX(' Toto teams'!$G$4:$G$119,MATCH($B48,' Toto teams'!$A$4:$A$119,0)),Scoring!$A$4:$N$51,11,FALSE()),0)+1*IFERROR(VLOOKUP(INDEX(' Toto teams'!$H$4:$H$119,MATCH($B48,' Toto teams'!$A$4:$A$119,0)),Scoring!$A$4:$N$51,11,FALSE()),0))</f>
        <v>0</v>
      </c>
      <c r="I48" s="28">
        <f>IF($B48="","",6*IFERROR(VLOOKUP(INDEX(' Toto teams'!$B$4:$B$119,MATCH($B48,' Toto teams'!$A$4:$A$119,0)),Scoring!$A$4:$O$51,15,FALSE()),0)+4*IFERROR(VLOOKUP(INDEX(' Toto teams'!$C$4:$C$119,MATCH($B48,' Toto teams'!$A$4:$A$119,0)),Scoring!$A$4:$O$51,15,FALSE()),0)+3*IFERROR(VLOOKUP(INDEX(' Toto teams'!$D$4:$D$119,MATCH($B48,' Toto teams'!$A$4:$A$119,0)),Scoring!$A$4:$O$51,15,FALSE()),0)+2*IFERROR(VLOOKUP(INDEX(' Toto teams'!$E$4:$E$119,MATCH($B48,' Toto teams'!$A$4:$A$119,0)),Scoring!$A$4:$O$51,15,FALSE()),0)+1*IFERROR(VLOOKUP(INDEX(' Toto teams'!$F$4:$F$119,MATCH($B48,' Toto teams'!$A$4:$A$119,0)),Scoring!$A$4:$O$51,15,FALSE()),0)+1*IFERROR(VLOOKUP(INDEX(' Toto teams'!$G$4:$G$119,MATCH($B48,' Toto teams'!$A$4:$A$119,0)),Scoring!$A$4:$O$51,15,FALSE()),0)+1*IFERROR(VLOOKUP(INDEX(' Toto teams'!$H$4:$H$119,MATCH($B48,' Toto teams'!$A$4:$A$119,0)),Scoring!$A$4:$O$51,15,FALSE()),0))</f>
        <v>0</v>
      </c>
      <c r="J48" s="28">
        <f>IF($B48="","",6*IFERROR(VLOOKUP(INDEX(' Toto teams'!$B$4:$B$119,MATCH($B48,' Toto teams'!$A$4:$A$119,0)),Scoring!$A$4:$N$51,12,FALSE()),0)+4*IFERROR(VLOOKUP(INDEX(' Toto teams'!$C$4:$C$119,MATCH($B48,' Toto teams'!$A$4:$A$119,0)),Scoring!$A$4:$N$51,12,FALSE()),0)+3*IFERROR(VLOOKUP(INDEX(' Toto teams'!$D$4:$D$119,MATCH($B48,' Toto teams'!$A$4:$A$119,0)),Scoring!$A$4:$N$51,12,FALSE()),0)+2*IFERROR(VLOOKUP(INDEX(' Toto teams'!$E$4:$E$119,MATCH($B48,' Toto teams'!$A$4:$A$119,0)),Scoring!$A$4:$N$51,12,FALSE()),0)+1*IFERROR(VLOOKUP(INDEX(' Toto teams'!$F$4:$F$119,MATCH($B48,' Toto teams'!$A$4:$A$119,0)),Scoring!$A$4:$N$51,12,FALSE()),0)+1*IFERROR(VLOOKUP(INDEX(' Toto teams'!$G$4:$G$119,MATCH($B48,' Toto teams'!$A$4:$A$119,0)),Scoring!$A$4:$N$51,12,FALSE()),0)+1*IFERROR(VLOOKUP(INDEX(' Toto teams'!$H$4:$H$119,MATCH($B48,' Toto teams'!$A$4:$A$119,0)),Scoring!$A$4:$N$51,12,FALSE()),0))</f>
        <v>0</v>
      </c>
      <c r="K48" s="29">
        <f>IF($B48="","",IFERROR(INDEX(' Toto teams'!$R$4:$R$119,MATCH($B48,' Toto teams'!$A$4:$A$119,0)),""))</f>
        <v>1</v>
      </c>
      <c r="L48" s="30">
        <f t="shared" si="4"/>
        <v>0</v>
      </c>
    </row>
    <row r="49" spans="1:12" ht="12.75" customHeight="1" x14ac:dyDescent="0.3">
      <c r="A49" s="26">
        <f>IF(46&gt;COUNTIF(' Toto teams'!$A$4:$A$119,"&lt;&gt;"),"",INDEX(' Toto teams'!$S$4:$S$119,MATCH(LARGE(' Toto teams'!$T$4:$T$119,46),' Toto teams'!$T$4:$T$119,0)))</f>
        <v>36</v>
      </c>
      <c r="B49" s="27" t="str">
        <f>IF(46&gt;COUNTIF(' Toto teams'!$A$4:$A$119,"&lt;&gt;"),"",INDEX(' Toto teams'!$A$4:$A$119,MATCH(LARGE(' Toto teams'!$T$4:$T$119,46),' Toto teams'!$T$4:$T$119,0)))</f>
        <v>Andrea Signorini</v>
      </c>
      <c r="C49" s="28">
        <f>IF($B49="","",6*(IFERROR(VLOOKUP(INDEX(' Toto teams'!$B$4:$B$119,MATCH($B49,' Toto teams'!$A$4:$A$119,0)),Scoring!$A$4:$N$51,3,FALSE()),0)+IFERROR(VLOOKUP(INDEX(' Toto teams'!$B$4:$B$119,MATCH($B49,' Toto teams'!$A$4:$A$119,0)),Scoring!$A$4:$N$51,4,FALSE()),0)+IFERROR(VLOOKUP(INDEX(' Toto teams'!$B$4:$B$119,MATCH($B49,' Toto teams'!$A$4:$A$119,0)),Scoring!$A$4:$N$51,5,FALSE()),0))+4*(IFERROR(VLOOKUP(INDEX(' Toto teams'!$C$4:$C$119,MATCH($B49,' Toto teams'!$A$4:$A$119,0)),Scoring!$A$4:$N$51,3,FALSE()),0)+IFERROR(VLOOKUP(INDEX(' Toto teams'!$C$4:$C$119,MATCH($B49,' Toto teams'!$A$4:$A$119,0)),Scoring!$A$4:$N$51,4,FALSE()),0)+IFERROR(VLOOKUP(INDEX(' Toto teams'!$C$4:$C$119,MATCH($B49,' Toto teams'!$A$4:$A$119,0)),Scoring!$A$4:$N$51,5,FALSE()),0))+3*(IFERROR(VLOOKUP(INDEX(' Toto teams'!$D$4:$D$119,MATCH($B49,' Toto teams'!$A$4:$A$119,0)),Scoring!$A$4:$N$51,3,FALSE()),0)+IFERROR(VLOOKUP(INDEX(' Toto teams'!$D$4:$D$119,MATCH($B49,' Toto teams'!$A$4:$A$119,0)),Scoring!$A$4:$N$51,4,FALSE()),0)+IFERROR(VLOOKUP(INDEX(' Toto teams'!$D$4:$D$119,MATCH($B49,' Toto teams'!$A$4:$A$119,0)),Scoring!$A$4:$N$51,5,FALSE()),0))+2*(IFERROR(VLOOKUP(INDEX(' Toto teams'!$E$4:$E$119,MATCH($B49,' Toto teams'!$A$4:$A$119,0)),Scoring!$A$4:$N$51,3,FALSE()),0)+IFERROR(VLOOKUP(INDEX(' Toto teams'!$E$4:$E$119,MATCH($B49,' Toto teams'!$A$4:$A$119,0)),Scoring!$A$4:$N$51,4,FALSE()),0)+IFERROR(VLOOKUP(INDEX(' Toto teams'!$E$4:$E$119,MATCH($B49,' Toto teams'!$A$4:$A$119,0)),Scoring!$A$4:$N$51,5,FALSE()),0))+1*(IFERROR(VLOOKUP(INDEX(' Toto teams'!$F$4:$F$119,MATCH($B49,' Toto teams'!$A$4:$A$119,0)),Scoring!$A$4:$N$51,3,FALSE()),0)+IFERROR(VLOOKUP(INDEX(' Toto teams'!$F$4:$F$119,MATCH($B49,' Toto teams'!$A$4:$A$119,0)),Scoring!$A$4:$N$51,4,FALSE()),0)+IFERROR(VLOOKUP(INDEX(' Toto teams'!$F$4:$F$119,MATCH($B49,' Toto teams'!$A$4:$A$119,0)),Scoring!$A$4:$N$51,5,FALSE()),0))+1*(IFERROR(VLOOKUP(INDEX(' Toto teams'!$G$4:$G$119,MATCH($B49,' Toto teams'!$A$4:$A$119,0)),Scoring!$A$4:$N$51,3,FALSE()),0)+IFERROR(VLOOKUP(INDEX(' Toto teams'!$G$4:$G$119,MATCH($B49,' Toto teams'!$A$4:$A$119,0)),Scoring!$A$4:$N$51,4,FALSE()),0)+IFERROR(VLOOKUP(INDEX(' Toto teams'!$G$4:$G$119,MATCH($B49,' Toto teams'!$A$4:$A$119,0)),Scoring!$A$4:$N$51,5,FALSE()),0))+1*(IFERROR(VLOOKUP(INDEX(' Toto teams'!$H$4:$H$119,MATCH($B49,' Toto teams'!$A$4:$A$119,0)),Scoring!$A$4:$N$51,3,FALSE()),0)+IFERROR(VLOOKUP(INDEX(' Toto teams'!$H$4:$H$119,MATCH($B49,' Toto teams'!$A$4:$A$119,0)),Scoring!$A$4:$N$51,4,FALSE()),0)+IFERROR(VLOOKUP(INDEX(' Toto teams'!$H$4:$H$119,MATCH($B49,' Toto teams'!$A$4:$A$119,0)),Scoring!$A$4:$N$51,5,FALSE()),0))+IFERROR(INDEX(' Toto teams'!$Q$4:$Q$119,MATCH($B49,' Toto teams'!$A$4:$A$119,0))*1,0))</f>
        <v>1</v>
      </c>
      <c r="D49" s="28">
        <f>IF($B49="","",6*IFERROR(VLOOKUP(INDEX(' Toto teams'!$B$4:$B$119,MATCH($B49,' Toto teams'!$A$4:$A$119,0)),Scoring!$A$4:$N$51,7,FALSE()),0)+4*IFERROR(VLOOKUP(INDEX(' Toto teams'!$C$4:$C$119,MATCH($B49,' Toto teams'!$A$4:$A$119,0)),Scoring!$A$4:$N$51,7,FALSE()),0)+3*IFERROR(VLOOKUP(INDEX(' Toto teams'!$D$4:$D$119,MATCH($B49,' Toto teams'!$A$4:$A$119,0)),Scoring!$A$4:$N$51,7,FALSE()),0)+2*IFERROR(VLOOKUP(INDEX(' Toto teams'!$E$4:$E$119,MATCH($B49,' Toto teams'!$A$4:$A$119,0)),Scoring!$A$4:$N$51,7,FALSE()),0)+1*IFERROR(VLOOKUP(INDEX(' Toto teams'!$F$4:$F$119,MATCH($B49,' Toto teams'!$A$4:$A$119,0)),Scoring!$A$4:$N$51,7,FALSE()),0)+1*IFERROR(VLOOKUP(INDEX(' Toto teams'!$G$4:$G$119,MATCH($B49,' Toto teams'!$A$4:$A$119,0)),Scoring!$A$4:$N$51,7,FALSE()),0)+1*IFERROR(VLOOKUP(INDEX(' Toto teams'!$H$4:$H$119,MATCH($B49,' Toto teams'!$A$4:$A$119,0)),Scoring!$A$4:$N$51,7,FALSE()),0))</f>
        <v>0</v>
      </c>
      <c r="E49" s="28">
        <f>IF($B49="","",6*IFERROR(VLOOKUP(INDEX(' Toto teams'!$B$4:$B$119,MATCH($B49,' Toto teams'!$A$4:$A$119,0)),Scoring!$A$4:$N$51,8,FALSE()),0)+4*IFERROR(VLOOKUP(INDEX(' Toto teams'!$C$4:$C$119,MATCH($B49,' Toto teams'!$A$4:$A$119,0)),Scoring!$A$4:$N$51,8,FALSE()),0)+3*IFERROR(VLOOKUP(INDEX(' Toto teams'!$D$4:$D$119,MATCH($B49,' Toto teams'!$A$4:$A$119,0)),Scoring!$A$4:$N$51,8,FALSE()),0)+2*IFERROR(VLOOKUP(INDEX(' Toto teams'!$E$4:$E$119,MATCH($B49,' Toto teams'!$A$4:$A$119,0)),Scoring!$A$4:$N$51,8,FALSE()),0)+1*IFERROR(VLOOKUP(INDEX(' Toto teams'!$F$4:$F$119,MATCH($B49,' Toto teams'!$A$4:$A$119,0)),Scoring!$A$4:$N$51,8,FALSE()),0)+1*IFERROR(VLOOKUP(INDEX(' Toto teams'!$G$4:$G$119,MATCH($B49,' Toto teams'!$A$4:$A$119,0)),Scoring!$A$4:$N$51,8,FALSE()),0)+1*IFERROR(VLOOKUP(INDEX(' Toto teams'!$H$4:$H$119,MATCH($B49,' Toto teams'!$A$4:$A$119,0)),Scoring!$A$4:$N$51,8,FALSE()),0))</f>
        <v>0</v>
      </c>
      <c r="F49" s="28">
        <f>IF($B49="","",6*IFERROR(VLOOKUP(INDEX(' Toto teams'!$B$4:$B$119,MATCH($B49,' Toto teams'!$A$4:$A$119,0)),Scoring!$A$4:$N$51,9,FALSE()),0)+4*IFERROR(VLOOKUP(INDEX(' Toto teams'!$C$4:$C$119,MATCH($B49,' Toto teams'!$A$4:$A$119,0)),Scoring!$A$4:$N$51,9,FALSE()),0)+3*IFERROR(VLOOKUP(INDEX(' Toto teams'!$D$4:$D$119,MATCH($B49,' Toto teams'!$A$4:$A$119,0)),Scoring!$A$4:$N$51,9,FALSE()),0)+2*IFERROR(VLOOKUP(INDEX(' Toto teams'!$E$4:$E$119,MATCH($B49,' Toto teams'!$A$4:$A$119,0)),Scoring!$A$4:$N$51,9,FALSE()),0)+1*IFERROR(VLOOKUP(INDEX(' Toto teams'!$F$4:$F$119,MATCH($B49,' Toto teams'!$A$4:$A$119,0)),Scoring!$A$4:$N$51,9,FALSE()),0)+1*IFERROR(VLOOKUP(INDEX(' Toto teams'!$G$4:$G$119,MATCH($B49,' Toto teams'!$A$4:$A$119,0)),Scoring!$A$4:$N$51,9,FALSE()),0)+1*IFERROR(VLOOKUP(INDEX(' Toto teams'!$H$4:$H$119,MATCH($B49,' Toto teams'!$A$4:$A$119,0)),Scoring!$A$4:$N$51,9,FALSE()),0))</f>
        <v>0</v>
      </c>
      <c r="G49" s="28">
        <f>IF($B49="","",6*IFERROR(VLOOKUP(INDEX(' Toto teams'!$B$4:$B$119,MATCH($B49,' Toto teams'!$A$4:$A$119,0)),Scoring!$A$4:$N$51,10,FALSE()),0)+4*IFERROR(VLOOKUP(INDEX(' Toto teams'!$C$4:$C$119,MATCH($B49,' Toto teams'!$A$4:$A$119,0)),Scoring!$A$4:$N$51,10,FALSE()),0)+3*IFERROR(VLOOKUP(INDEX(' Toto teams'!$D$4:$D$119,MATCH($B49,' Toto teams'!$A$4:$A$119,0)),Scoring!$A$4:$N$51,10,FALSE()),0)+2*IFERROR(VLOOKUP(INDEX(' Toto teams'!$E$4:$E$119,MATCH($B49,' Toto teams'!$A$4:$A$119,0)),Scoring!$A$4:$N$51,10,FALSE()),0)+1*IFERROR(VLOOKUP(INDEX(' Toto teams'!$F$4:$F$119,MATCH($B49,' Toto teams'!$A$4:$A$119,0)),Scoring!$A$4:$N$51,10,FALSE()),0)+1*IFERROR(VLOOKUP(INDEX(' Toto teams'!$G$4:$G$119,MATCH($B49,' Toto teams'!$A$4:$A$119,0)),Scoring!$A$4:$N$51,10,FALSE()),0)+1*IFERROR(VLOOKUP(INDEX(' Toto teams'!$H$4:$H$119,MATCH($B49,' Toto teams'!$A$4:$A$119,0)),Scoring!$A$4:$N$51,10,FALSE()),0))</f>
        <v>0</v>
      </c>
      <c r="H49" s="28">
        <f>IF($B49="","",6*IFERROR(VLOOKUP(INDEX(' Toto teams'!$B$4:$B$119,MATCH($B49,' Toto teams'!$A$4:$A$119,0)),Scoring!$A$4:$N$51,11,FALSE()),0)+4*IFERROR(VLOOKUP(INDEX(' Toto teams'!$C$4:$C$119,MATCH($B49,' Toto teams'!$A$4:$A$119,0)),Scoring!$A$4:$N$51,11,FALSE()),0)+3*IFERROR(VLOOKUP(INDEX(' Toto teams'!$D$4:$D$119,MATCH($B49,' Toto teams'!$A$4:$A$119,0)),Scoring!$A$4:$N$51,11,FALSE()),0)+2*IFERROR(VLOOKUP(INDEX(' Toto teams'!$E$4:$E$119,MATCH($B49,' Toto teams'!$A$4:$A$119,0)),Scoring!$A$4:$N$51,11,FALSE()),0)+1*IFERROR(VLOOKUP(INDEX(' Toto teams'!$F$4:$F$119,MATCH($B49,' Toto teams'!$A$4:$A$119,0)),Scoring!$A$4:$N$51,11,FALSE()),0)+1*IFERROR(VLOOKUP(INDEX(' Toto teams'!$G$4:$G$119,MATCH($B49,' Toto teams'!$A$4:$A$119,0)),Scoring!$A$4:$N$51,11,FALSE()),0)+1*IFERROR(VLOOKUP(INDEX(' Toto teams'!$H$4:$H$119,MATCH($B49,' Toto teams'!$A$4:$A$119,0)),Scoring!$A$4:$N$51,11,FALSE()),0))</f>
        <v>0</v>
      </c>
      <c r="I49" s="28">
        <f>IF($B49="","",6*IFERROR(VLOOKUP(INDEX(' Toto teams'!$B$4:$B$119,MATCH($B49,' Toto teams'!$A$4:$A$119,0)),Scoring!$A$4:$O$51,15,FALSE()),0)+4*IFERROR(VLOOKUP(INDEX(' Toto teams'!$C$4:$C$119,MATCH($B49,' Toto teams'!$A$4:$A$119,0)),Scoring!$A$4:$O$51,15,FALSE()),0)+3*IFERROR(VLOOKUP(INDEX(' Toto teams'!$D$4:$D$119,MATCH($B49,' Toto teams'!$A$4:$A$119,0)),Scoring!$A$4:$O$51,15,FALSE()),0)+2*IFERROR(VLOOKUP(INDEX(' Toto teams'!$E$4:$E$119,MATCH($B49,' Toto teams'!$A$4:$A$119,0)),Scoring!$A$4:$O$51,15,FALSE()),0)+1*IFERROR(VLOOKUP(INDEX(' Toto teams'!$F$4:$F$119,MATCH($B49,' Toto teams'!$A$4:$A$119,0)),Scoring!$A$4:$O$51,15,FALSE()),0)+1*IFERROR(VLOOKUP(INDEX(' Toto teams'!$G$4:$G$119,MATCH($B49,' Toto teams'!$A$4:$A$119,0)),Scoring!$A$4:$O$51,15,FALSE()),0)+1*IFERROR(VLOOKUP(INDEX(' Toto teams'!$H$4:$H$119,MATCH($B49,' Toto teams'!$A$4:$A$119,0)),Scoring!$A$4:$O$51,15,FALSE()),0))</f>
        <v>0</v>
      </c>
      <c r="J49" s="28">
        <f>IF($B49="","",6*IFERROR(VLOOKUP(INDEX(' Toto teams'!$B$4:$B$119,MATCH($B49,' Toto teams'!$A$4:$A$119,0)),Scoring!$A$4:$N$51,12,FALSE()),0)+4*IFERROR(VLOOKUP(INDEX(' Toto teams'!$C$4:$C$119,MATCH($B49,' Toto teams'!$A$4:$A$119,0)),Scoring!$A$4:$N$51,12,FALSE()),0)+3*IFERROR(VLOOKUP(INDEX(' Toto teams'!$D$4:$D$119,MATCH($B49,' Toto teams'!$A$4:$A$119,0)),Scoring!$A$4:$N$51,12,FALSE()),0)+2*IFERROR(VLOOKUP(INDEX(' Toto teams'!$E$4:$E$119,MATCH($B49,' Toto teams'!$A$4:$A$119,0)),Scoring!$A$4:$N$51,12,FALSE()),0)+1*IFERROR(VLOOKUP(INDEX(' Toto teams'!$F$4:$F$119,MATCH($B49,' Toto teams'!$A$4:$A$119,0)),Scoring!$A$4:$N$51,12,FALSE()),0)+1*IFERROR(VLOOKUP(INDEX(' Toto teams'!$G$4:$G$119,MATCH($B49,' Toto teams'!$A$4:$A$119,0)),Scoring!$A$4:$N$51,12,FALSE()),0)+1*IFERROR(VLOOKUP(INDEX(' Toto teams'!$H$4:$H$119,MATCH($B49,' Toto teams'!$A$4:$A$119,0)),Scoring!$A$4:$N$51,12,FALSE()),0))</f>
        <v>0</v>
      </c>
      <c r="K49" s="29">
        <f>IF($B49="","",IFERROR(INDEX(' Toto teams'!$R$4:$R$119,MATCH($B49,' Toto teams'!$A$4:$A$119,0)),""))</f>
        <v>1</v>
      </c>
      <c r="L49" s="30">
        <f t="shared" si="4"/>
        <v>0</v>
      </c>
    </row>
    <row r="50" spans="1:12" ht="12.75" customHeight="1" x14ac:dyDescent="0.3">
      <c r="A50" s="26">
        <f>IF(47&gt;COUNTIF(' Toto teams'!$A$4:$A$119,"&lt;&gt;"),"",INDEX(' Toto teams'!$S$4:$S$119,MATCH(LARGE(' Toto teams'!$T$4:$T$119,47),' Toto teams'!$T$4:$T$119,0)))</f>
        <v>36</v>
      </c>
      <c r="B50" s="27" t="str">
        <f>IF(47&gt;COUNTIF(' Toto teams'!$A$4:$A$119,"&lt;&gt;"),"",INDEX(' Toto teams'!$A$4:$A$119,MATCH(LARGE(' Toto teams'!$T$4:$T$119,47),' Toto teams'!$T$4:$T$119,0)))</f>
        <v>N&amp;A Pociai</v>
      </c>
      <c r="C50" s="28">
        <f>IF($B50="","",6*(IFERROR(VLOOKUP(INDEX(' Toto teams'!$B$4:$B$119,MATCH($B50,' Toto teams'!$A$4:$A$119,0)),Scoring!$A$4:$N$51,3,FALSE()),0)+IFERROR(VLOOKUP(INDEX(' Toto teams'!$B$4:$B$119,MATCH($B50,' Toto teams'!$A$4:$A$119,0)),Scoring!$A$4:$N$51,4,FALSE()),0)+IFERROR(VLOOKUP(INDEX(' Toto teams'!$B$4:$B$119,MATCH($B50,' Toto teams'!$A$4:$A$119,0)),Scoring!$A$4:$N$51,5,FALSE()),0))+4*(IFERROR(VLOOKUP(INDEX(' Toto teams'!$C$4:$C$119,MATCH($B50,' Toto teams'!$A$4:$A$119,0)),Scoring!$A$4:$N$51,3,FALSE()),0)+IFERROR(VLOOKUP(INDEX(' Toto teams'!$C$4:$C$119,MATCH($B50,' Toto teams'!$A$4:$A$119,0)),Scoring!$A$4:$N$51,4,FALSE()),0)+IFERROR(VLOOKUP(INDEX(' Toto teams'!$C$4:$C$119,MATCH($B50,' Toto teams'!$A$4:$A$119,0)),Scoring!$A$4:$N$51,5,FALSE()),0))+3*(IFERROR(VLOOKUP(INDEX(' Toto teams'!$D$4:$D$119,MATCH($B50,' Toto teams'!$A$4:$A$119,0)),Scoring!$A$4:$N$51,3,FALSE()),0)+IFERROR(VLOOKUP(INDEX(' Toto teams'!$D$4:$D$119,MATCH($B50,' Toto teams'!$A$4:$A$119,0)),Scoring!$A$4:$N$51,4,FALSE()),0)+IFERROR(VLOOKUP(INDEX(' Toto teams'!$D$4:$D$119,MATCH($B50,' Toto teams'!$A$4:$A$119,0)),Scoring!$A$4:$N$51,5,FALSE()),0))+2*(IFERROR(VLOOKUP(INDEX(' Toto teams'!$E$4:$E$119,MATCH($B50,' Toto teams'!$A$4:$A$119,0)),Scoring!$A$4:$N$51,3,FALSE()),0)+IFERROR(VLOOKUP(INDEX(' Toto teams'!$E$4:$E$119,MATCH($B50,' Toto teams'!$A$4:$A$119,0)),Scoring!$A$4:$N$51,4,FALSE()),0)+IFERROR(VLOOKUP(INDEX(' Toto teams'!$E$4:$E$119,MATCH($B50,' Toto teams'!$A$4:$A$119,0)),Scoring!$A$4:$N$51,5,FALSE()),0))+1*(IFERROR(VLOOKUP(INDEX(' Toto teams'!$F$4:$F$119,MATCH($B50,' Toto teams'!$A$4:$A$119,0)),Scoring!$A$4:$N$51,3,FALSE()),0)+IFERROR(VLOOKUP(INDEX(' Toto teams'!$F$4:$F$119,MATCH($B50,' Toto teams'!$A$4:$A$119,0)),Scoring!$A$4:$N$51,4,FALSE()),0)+IFERROR(VLOOKUP(INDEX(' Toto teams'!$F$4:$F$119,MATCH($B50,' Toto teams'!$A$4:$A$119,0)),Scoring!$A$4:$N$51,5,FALSE()),0))+1*(IFERROR(VLOOKUP(INDEX(' Toto teams'!$G$4:$G$119,MATCH($B50,' Toto teams'!$A$4:$A$119,0)),Scoring!$A$4:$N$51,3,FALSE()),0)+IFERROR(VLOOKUP(INDEX(' Toto teams'!$G$4:$G$119,MATCH($B50,' Toto teams'!$A$4:$A$119,0)),Scoring!$A$4:$N$51,4,FALSE()),0)+IFERROR(VLOOKUP(INDEX(' Toto teams'!$G$4:$G$119,MATCH($B50,' Toto teams'!$A$4:$A$119,0)),Scoring!$A$4:$N$51,5,FALSE()),0))+1*(IFERROR(VLOOKUP(INDEX(' Toto teams'!$H$4:$H$119,MATCH($B50,' Toto teams'!$A$4:$A$119,0)),Scoring!$A$4:$N$51,3,FALSE()),0)+IFERROR(VLOOKUP(INDEX(' Toto teams'!$H$4:$H$119,MATCH($B50,' Toto teams'!$A$4:$A$119,0)),Scoring!$A$4:$N$51,4,FALSE()),0)+IFERROR(VLOOKUP(INDEX(' Toto teams'!$H$4:$H$119,MATCH($B50,' Toto teams'!$A$4:$A$119,0)),Scoring!$A$4:$N$51,5,FALSE()),0))+IFERROR(INDEX(' Toto teams'!$Q$4:$Q$119,MATCH($B50,' Toto teams'!$A$4:$A$119,0))*1,0))</f>
        <v>1</v>
      </c>
      <c r="D50" s="28">
        <f>IF($B50="","",6*IFERROR(VLOOKUP(INDEX(' Toto teams'!$B$4:$B$119,MATCH($B50,' Toto teams'!$A$4:$A$119,0)),Scoring!$A$4:$N$51,7,FALSE()),0)+4*IFERROR(VLOOKUP(INDEX(' Toto teams'!$C$4:$C$119,MATCH($B50,' Toto teams'!$A$4:$A$119,0)),Scoring!$A$4:$N$51,7,FALSE()),0)+3*IFERROR(VLOOKUP(INDEX(' Toto teams'!$D$4:$D$119,MATCH($B50,' Toto teams'!$A$4:$A$119,0)),Scoring!$A$4:$N$51,7,FALSE()),0)+2*IFERROR(VLOOKUP(INDEX(' Toto teams'!$E$4:$E$119,MATCH($B50,' Toto teams'!$A$4:$A$119,0)),Scoring!$A$4:$N$51,7,FALSE()),0)+1*IFERROR(VLOOKUP(INDEX(' Toto teams'!$F$4:$F$119,MATCH($B50,' Toto teams'!$A$4:$A$119,0)),Scoring!$A$4:$N$51,7,FALSE()),0)+1*IFERROR(VLOOKUP(INDEX(' Toto teams'!$G$4:$G$119,MATCH($B50,' Toto teams'!$A$4:$A$119,0)),Scoring!$A$4:$N$51,7,FALSE()),0)+1*IFERROR(VLOOKUP(INDEX(' Toto teams'!$H$4:$H$119,MATCH($B50,' Toto teams'!$A$4:$A$119,0)),Scoring!$A$4:$N$51,7,FALSE()),0))</f>
        <v>0</v>
      </c>
      <c r="E50" s="28">
        <f>IF($B50="","",6*IFERROR(VLOOKUP(INDEX(' Toto teams'!$B$4:$B$119,MATCH($B50,' Toto teams'!$A$4:$A$119,0)),Scoring!$A$4:$N$51,8,FALSE()),0)+4*IFERROR(VLOOKUP(INDEX(' Toto teams'!$C$4:$C$119,MATCH($B50,' Toto teams'!$A$4:$A$119,0)),Scoring!$A$4:$N$51,8,FALSE()),0)+3*IFERROR(VLOOKUP(INDEX(' Toto teams'!$D$4:$D$119,MATCH($B50,' Toto teams'!$A$4:$A$119,0)),Scoring!$A$4:$N$51,8,FALSE()),0)+2*IFERROR(VLOOKUP(INDEX(' Toto teams'!$E$4:$E$119,MATCH($B50,' Toto teams'!$A$4:$A$119,0)),Scoring!$A$4:$N$51,8,FALSE()),0)+1*IFERROR(VLOOKUP(INDEX(' Toto teams'!$F$4:$F$119,MATCH($B50,' Toto teams'!$A$4:$A$119,0)),Scoring!$A$4:$N$51,8,FALSE()),0)+1*IFERROR(VLOOKUP(INDEX(' Toto teams'!$G$4:$G$119,MATCH($B50,' Toto teams'!$A$4:$A$119,0)),Scoring!$A$4:$N$51,8,FALSE()),0)+1*IFERROR(VLOOKUP(INDEX(' Toto teams'!$H$4:$H$119,MATCH($B50,' Toto teams'!$A$4:$A$119,0)),Scoring!$A$4:$N$51,8,FALSE()),0))</f>
        <v>0</v>
      </c>
      <c r="F50" s="28">
        <f>IF($B50="","",6*IFERROR(VLOOKUP(INDEX(' Toto teams'!$B$4:$B$119,MATCH($B50,' Toto teams'!$A$4:$A$119,0)),Scoring!$A$4:$N$51,9,FALSE()),0)+4*IFERROR(VLOOKUP(INDEX(' Toto teams'!$C$4:$C$119,MATCH($B50,' Toto teams'!$A$4:$A$119,0)),Scoring!$A$4:$N$51,9,FALSE()),0)+3*IFERROR(VLOOKUP(INDEX(' Toto teams'!$D$4:$D$119,MATCH($B50,' Toto teams'!$A$4:$A$119,0)),Scoring!$A$4:$N$51,9,FALSE()),0)+2*IFERROR(VLOOKUP(INDEX(' Toto teams'!$E$4:$E$119,MATCH($B50,' Toto teams'!$A$4:$A$119,0)),Scoring!$A$4:$N$51,9,FALSE()),0)+1*IFERROR(VLOOKUP(INDEX(' Toto teams'!$F$4:$F$119,MATCH($B50,' Toto teams'!$A$4:$A$119,0)),Scoring!$A$4:$N$51,9,FALSE()),0)+1*IFERROR(VLOOKUP(INDEX(' Toto teams'!$G$4:$G$119,MATCH($B50,' Toto teams'!$A$4:$A$119,0)),Scoring!$A$4:$N$51,9,FALSE()),0)+1*IFERROR(VLOOKUP(INDEX(' Toto teams'!$H$4:$H$119,MATCH($B50,' Toto teams'!$A$4:$A$119,0)),Scoring!$A$4:$N$51,9,FALSE()),0))</f>
        <v>0</v>
      </c>
      <c r="G50" s="28">
        <f>IF($B50="","",6*IFERROR(VLOOKUP(INDEX(' Toto teams'!$B$4:$B$119,MATCH($B50,' Toto teams'!$A$4:$A$119,0)),Scoring!$A$4:$N$51,10,FALSE()),0)+4*IFERROR(VLOOKUP(INDEX(' Toto teams'!$C$4:$C$119,MATCH($B50,' Toto teams'!$A$4:$A$119,0)),Scoring!$A$4:$N$51,10,FALSE()),0)+3*IFERROR(VLOOKUP(INDEX(' Toto teams'!$D$4:$D$119,MATCH($B50,' Toto teams'!$A$4:$A$119,0)),Scoring!$A$4:$N$51,10,FALSE()),0)+2*IFERROR(VLOOKUP(INDEX(' Toto teams'!$E$4:$E$119,MATCH($B50,' Toto teams'!$A$4:$A$119,0)),Scoring!$A$4:$N$51,10,FALSE()),0)+1*IFERROR(VLOOKUP(INDEX(' Toto teams'!$F$4:$F$119,MATCH($B50,' Toto teams'!$A$4:$A$119,0)),Scoring!$A$4:$N$51,10,FALSE()),0)+1*IFERROR(VLOOKUP(INDEX(' Toto teams'!$G$4:$G$119,MATCH($B50,' Toto teams'!$A$4:$A$119,0)),Scoring!$A$4:$N$51,10,FALSE()),0)+1*IFERROR(VLOOKUP(INDEX(' Toto teams'!$H$4:$H$119,MATCH($B50,' Toto teams'!$A$4:$A$119,0)),Scoring!$A$4:$N$51,10,FALSE()),0))</f>
        <v>0</v>
      </c>
      <c r="H50" s="28">
        <f>IF($B50="","",6*IFERROR(VLOOKUP(INDEX(' Toto teams'!$B$4:$B$119,MATCH($B50,' Toto teams'!$A$4:$A$119,0)),Scoring!$A$4:$N$51,11,FALSE()),0)+4*IFERROR(VLOOKUP(INDEX(' Toto teams'!$C$4:$C$119,MATCH($B50,' Toto teams'!$A$4:$A$119,0)),Scoring!$A$4:$N$51,11,FALSE()),0)+3*IFERROR(VLOOKUP(INDEX(' Toto teams'!$D$4:$D$119,MATCH($B50,' Toto teams'!$A$4:$A$119,0)),Scoring!$A$4:$N$51,11,FALSE()),0)+2*IFERROR(VLOOKUP(INDEX(' Toto teams'!$E$4:$E$119,MATCH($B50,' Toto teams'!$A$4:$A$119,0)),Scoring!$A$4:$N$51,11,FALSE()),0)+1*IFERROR(VLOOKUP(INDEX(' Toto teams'!$F$4:$F$119,MATCH($B50,' Toto teams'!$A$4:$A$119,0)),Scoring!$A$4:$N$51,11,FALSE()),0)+1*IFERROR(VLOOKUP(INDEX(' Toto teams'!$G$4:$G$119,MATCH($B50,' Toto teams'!$A$4:$A$119,0)),Scoring!$A$4:$N$51,11,FALSE()),0)+1*IFERROR(VLOOKUP(INDEX(' Toto teams'!$H$4:$H$119,MATCH($B50,' Toto teams'!$A$4:$A$119,0)),Scoring!$A$4:$N$51,11,FALSE()),0))</f>
        <v>0</v>
      </c>
      <c r="I50" s="28">
        <f>IF($B50="","",6*IFERROR(VLOOKUP(INDEX(' Toto teams'!$B$4:$B$119,MATCH($B50,' Toto teams'!$A$4:$A$119,0)),Scoring!$A$4:$O$51,15,FALSE()),0)+4*IFERROR(VLOOKUP(INDEX(' Toto teams'!$C$4:$C$119,MATCH($B50,' Toto teams'!$A$4:$A$119,0)),Scoring!$A$4:$O$51,15,FALSE()),0)+3*IFERROR(VLOOKUP(INDEX(' Toto teams'!$D$4:$D$119,MATCH($B50,' Toto teams'!$A$4:$A$119,0)),Scoring!$A$4:$O$51,15,FALSE()),0)+2*IFERROR(VLOOKUP(INDEX(' Toto teams'!$E$4:$E$119,MATCH($B50,' Toto teams'!$A$4:$A$119,0)),Scoring!$A$4:$O$51,15,FALSE()),0)+1*IFERROR(VLOOKUP(INDEX(' Toto teams'!$F$4:$F$119,MATCH($B50,' Toto teams'!$A$4:$A$119,0)),Scoring!$A$4:$O$51,15,FALSE()),0)+1*IFERROR(VLOOKUP(INDEX(' Toto teams'!$G$4:$G$119,MATCH($B50,' Toto teams'!$A$4:$A$119,0)),Scoring!$A$4:$O$51,15,FALSE()),0)+1*IFERROR(VLOOKUP(INDEX(' Toto teams'!$H$4:$H$119,MATCH($B50,' Toto teams'!$A$4:$A$119,0)),Scoring!$A$4:$O$51,15,FALSE()),0))</f>
        <v>0</v>
      </c>
      <c r="J50" s="28">
        <f>IF($B50="","",6*IFERROR(VLOOKUP(INDEX(' Toto teams'!$B$4:$B$119,MATCH($B50,' Toto teams'!$A$4:$A$119,0)),Scoring!$A$4:$N$51,12,FALSE()),0)+4*IFERROR(VLOOKUP(INDEX(' Toto teams'!$C$4:$C$119,MATCH($B50,' Toto teams'!$A$4:$A$119,0)),Scoring!$A$4:$N$51,12,FALSE()),0)+3*IFERROR(VLOOKUP(INDEX(' Toto teams'!$D$4:$D$119,MATCH($B50,' Toto teams'!$A$4:$A$119,0)),Scoring!$A$4:$N$51,12,FALSE()),0)+2*IFERROR(VLOOKUP(INDEX(' Toto teams'!$E$4:$E$119,MATCH($B50,' Toto teams'!$A$4:$A$119,0)),Scoring!$A$4:$N$51,12,FALSE()),0)+1*IFERROR(VLOOKUP(INDEX(' Toto teams'!$F$4:$F$119,MATCH($B50,' Toto teams'!$A$4:$A$119,0)),Scoring!$A$4:$N$51,12,FALSE()),0)+1*IFERROR(VLOOKUP(INDEX(' Toto teams'!$G$4:$G$119,MATCH($B50,' Toto teams'!$A$4:$A$119,0)),Scoring!$A$4:$N$51,12,FALSE()),0)+1*IFERROR(VLOOKUP(INDEX(' Toto teams'!$H$4:$H$119,MATCH($B50,' Toto teams'!$A$4:$A$119,0)),Scoring!$A$4:$N$51,12,FALSE()),0))</f>
        <v>0</v>
      </c>
      <c r="K50" s="29">
        <f>IF($B50="","",IFERROR(INDEX(' Toto teams'!$R$4:$R$119,MATCH($B50,' Toto teams'!$A$4:$A$119,0)),""))</f>
        <v>1</v>
      </c>
      <c r="L50" s="30">
        <f t="shared" si="4"/>
        <v>0</v>
      </c>
    </row>
    <row r="51" spans="1:12" ht="12.75" customHeight="1" x14ac:dyDescent="0.3">
      <c r="A51" s="26">
        <f>IF(48&gt;COUNTIF(' Toto teams'!$A$4:$A$119,"&lt;&gt;"),"",INDEX(' Toto teams'!$S$4:$S$119,MATCH(LARGE(' Toto teams'!$T$4:$T$119,48),' Toto teams'!$T$4:$T$119,0)))</f>
        <v>36</v>
      </c>
      <c r="B51" s="27" t="str">
        <f>IF(48&gt;COUNTIF(' Toto teams'!$A$4:$A$119,"&lt;&gt;"),"",INDEX(' Toto teams'!$A$4:$A$119,MATCH(LARGE(' Toto teams'!$T$4:$T$119,48),' Toto teams'!$T$4:$T$119,0)))</f>
        <v>Rolandas Urbelis</v>
      </c>
      <c r="C51" s="28">
        <f>IF($B51="","",6*(IFERROR(VLOOKUP(INDEX(' Toto teams'!$B$4:$B$119,MATCH($B51,' Toto teams'!$A$4:$A$119,0)),Scoring!$A$4:$N$51,3,FALSE()),0)+IFERROR(VLOOKUP(INDEX(' Toto teams'!$B$4:$B$119,MATCH($B51,' Toto teams'!$A$4:$A$119,0)),Scoring!$A$4:$N$51,4,FALSE()),0)+IFERROR(VLOOKUP(INDEX(' Toto teams'!$B$4:$B$119,MATCH($B51,' Toto teams'!$A$4:$A$119,0)),Scoring!$A$4:$N$51,5,FALSE()),0))+4*(IFERROR(VLOOKUP(INDEX(' Toto teams'!$C$4:$C$119,MATCH($B51,' Toto teams'!$A$4:$A$119,0)),Scoring!$A$4:$N$51,3,FALSE()),0)+IFERROR(VLOOKUP(INDEX(' Toto teams'!$C$4:$C$119,MATCH($B51,' Toto teams'!$A$4:$A$119,0)),Scoring!$A$4:$N$51,4,FALSE()),0)+IFERROR(VLOOKUP(INDEX(' Toto teams'!$C$4:$C$119,MATCH($B51,' Toto teams'!$A$4:$A$119,0)),Scoring!$A$4:$N$51,5,FALSE()),0))+3*(IFERROR(VLOOKUP(INDEX(' Toto teams'!$D$4:$D$119,MATCH($B51,' Toto teams'!$A$4:$A$119,0)),Scoring!$A$4:$N$51,3,FALSE()),0)+IFERROR(VLOOKUP(INDEX(' Toto teams'!$D$4:$D$119,MATCH($B51,' Toto teams'!$A$4:$A$119,0)),Scoring!$A$4:$N$51,4,FALSE()),0)+IFERROR(VLOOKUP(INDEX(' Toto teams'!$D$4:$D$119,MATCH($B51,' Toto teams'!$A$4:$A$119,0)),Scoring!$A$4:$N$51,5,FALSE()),0))+2*(IFERROR(VLOOKUP(INDEX(' Toto teams'!$E$4:$E$119,MATCH($B51,' Toto teams'!$A$4:$A$119,0)),Scoring!$A$4:$N$51,3,FALSE()),0)+IFERROR(VLOOKUP(INDEX(' Toto teams'!$E$4:$E$119,MATCH($B51,' Toto teams'!$A$4:$A$119,0)),Scoring!$A$4:$N$51,4,FALSE()),0)+IFERROR(VLOOKUP(INDEX(' Toto teams'!$E$4:$E$119,MATCH($B51,' Toto teams'!$A$4:$A$119,0)),Scoring!$A$4:$N$51,5,FALSE()),0))+1*(IFERROR(VLOOKUP(INDEX(' Toto teams'!$F$4:$F$119,MATCH($B51,' Toto teams'!$A$4:$A$119,0)),Scoring!$A$4:$N$51,3,FALSE()),0)+IFERROR(VLOOKUP(INDEX(' Toto teams'!$F$4:$F$119,MATCH($B51,' Toto teams'!$A$4:$A$119,0)),Scoring!$A$4:$N$51,4,FALSE()),0)+IFERROR(VLOOKUP(INDEX(' Toto teams'!$F$4:$F$119,MATCH($B51,' Toto teams'!$A$4:$A$119,0)),Scoring!$A$4:$N$51,5,FALSE()),0))+1*(IFERROR(VLOOKUP(INDEX(' Toto teams'!$G$4:$G$119,MATCH($B51,' Toto teams'!$A$4:$A$119,0)),Scoring!$A$4:$N$51,3,FALSE()),0)+IFERROR(VLOOKUP(INDEX(' Toto teams'!$G$4:$G$119,MATCH($B51,' Toto teams'!$A$4:$A$119,0)),Scoring!$A$4:$N$51,4,FALSE()),0)+IFERROR(VLOOKUP(INDEX(' Toto teams'!$G$4:$G$119,MATCH($B51,' Toto teams'!$A$4:$A$119,0)),Scoring!$A$4:$N$51,5,FALSE()),0))+1*(IFERROR(VLOOKUP(INDEX(' Toto teams'!$H$4:$H$119,MATCH($B51,' Toto teams'!$A$4:$A$119,0)),Scoring!$A$4:$N$51,3,FALSE()),0)+IFERROR(VLOOKUP(INDEX(' Toto teams'!$H$4:$H$119,MATCH($B51,' Toto teams'!$A$4:$A$119,0)),Scoring!$A$4:$N$51,4,FALSE()),0)+IFERROR(VLOOKUP(INDEX(' Toto teams'!$H$4:$H$119,MATCH($B51,' Toto teams'!$A$4:$A$119,0)),Scoring!$A$4:$N$51,5,FALSE()),0))+IFERROR(INDEX(' Toto teams'!$Q$4:$Q$119,MATCH($B51,' Toto teams'!$A$4:$A$119,0))*1,0))</f>
        <v>1</v>
      </c>
      <c r="D51" s="28">
        <f>IF($B51="","",6*IFERROR(VLOOKUP(INDEX(' Toto teams'!$B$4:$B$119,MATCH($B51,' Toto teams'!$A$4:$A$119,0)),Scoring!$A$4:$N$51,7,FALSE()),0)+4*IFERROR(VLOOKUP(INDEX(' Toto teams'!$C$4:$C$119,MATCH($B51,' Toto teams'!$A$4:$A$119,0)),Scoring!$A$4:$N$51,7,FALSE()),0)+3*IFERROR(VLOOKUP(INDEX(' Toto teams'!$D$4:$D$119,MATCH($B51,' Toto teams'!$A$4:$A$119,0)),Scoring!$A$4:$N$51,7,FALSE()),0)+2*IFERROR(VLOOKUP(INDEX(' Toto teams'!$E$4:$E$119,MATCH($B51,' Toto teams'!$A$4:$A$119,0)),Scoring!$A$4:$N$51,7,FALSE()),0)+1*IFERROR(VLOOKUP(INDEX(' Toto teams'!$F$4:$F$119,MATCH($B51,' Toto teams'!$A$4:$A$119,0)),Scoring!$A$4:$N$51,7,FALSE()),0)+1*IFERROR(VLOOKUP(INDEX(' Toto teams'!$G$4:$G$119,MATCH($B51,' Toto teams'!$A$4:$A$119,0)),Scoring!$A$4:$N$51,7,FALSE()),0)+1*IFERROR(VLOOKUP(INDEX(' Toto teams'!$H$4:$H$119,MATCH($B51,' Toto teams'!$A$4:$A$119,0)),Scoring!$A$4:$N$51,7,FALSE()),0))</f>
        <v>0</v>
      </c>
      <c r="E51" s="28">
        <f>IF($B51="","",6*IFERROR(VLOOKUP(INDEX(' Toto teams'!$B$4:$B$119,MATCH($B51,' Toto teams'!$A$4:$A$119,0)),Scoring!$A$4:$N$51,8,FALSE()),0)+4*IFERROR(VLOOKUP(INDEX(' Toto teams'!$C$4:$C$119,MATCH($B51,' Toto teams'!$A$4:$A$119,0)),Scoring!$A$4:$N$51,8,FALSE()),0)+3*IFERROR(VLOOKUP(INDEX(' Toto teams'!$D$4:$D$119,MATCH($B51,' Toto teams'!$A$4:$A$119,0)),Scoring!$A$4:$N$51,8,FALSE()),0)+2*IFERROR(VLOOKUP(INDEX(' Toto teams'!$E$4:$E$119,MATCH($B51,' Toto teams'!$A$4:$A$119,0)),Scoring!$A$4:$N$51,8,FALSE()),0)+1*IFERROR(VLOOKUP(INDEX(' Toto teams'!$F$4:$F$119,MATCH($B51,' Toto teams'!$A$4:$A$119,0)),Scoring!$A$4:$N$51,8,FALSE()),0)+1*IFERROR(VLOOKUP(INDEX(' Toto teams'!$G$4:$G$119,MATCH($B51,' Toto teams'!$A$4:$A$119,0)),Scoring!$A$4:$N$51,8,FALSE()),0)+1*IFERROR(VLOOKUP(INDEX(' Toto teams'!$H$4:$H$119,MATCH($B51,' Toto teams'!$A$4:$A$119,0)),Scoring!$A$4:$N$51,8,FALSE()),0))</f>
        <v>0</v>
      </c>
      <c r="F51" s="28">
        <f>IF($B51="","",6*IFERROR(VLOOKUP(INDEX(' Toto teams'!$B$4:$B$119,MATCH($B51,' Toto teams'!$A$4:$A$119,0)),Scoring!$A$4:$N$51,9,FALSE()),0)+4*IFERROR(VLOOKUP(INDEX(' Toto teams'!$C$4:$C$119,MATCH($B51,' Toto teams'!$A$4:$A$119,0)),Scoring!$A$4:$N$51,9,FALSE()),0)+3*IFERROR(VLOOKUP(INDEX(' Toto teams'!$D$4:$D$119,MATCH($B51,' Toto teams'!$A$4:$A$119,0)),Scoring!$A$4:$N$51,9,FALSE()),0)+2*IFERROR(VLOOKUP(INDEX(' Toto teams'!$E$4:$E$119,MATCH($B51,' Toto teams'!$A$4:$A$119,0)),Scoring!$A$4:$N$51,9,FALSE()),0)+1*IFERROR(VLOOKUP(INDEX(' Toto teams'!$F$4:$F$119,MATCH($B51,' Toto teams'!$A$4:$A$119,0)),Scoring!$A$4:$N$51,9,FALSE()),0)+1*IFERROR(VLOOKUP(INDEX(' Toto teams'!$G$4:$G$119,MATCH($B51,' Toto teams'!$A$4:$A$119,0)),Scoring!$A$4:$N$51,9,FALSE()),0)+1*IFERROR(VLOOKUP(INDEX(' Toto teams'!$H$4:$H$119,MATCH($B51,' Toto teams'!$A$4:$A$119,0)),Scoring!$A$4:$N$51,9,FALSE()),0))</f>
        <v>0</v>
      </c>
      <c r="G51" s="28">
        <f>IF($B51="","",6*IFERROR(VLOOKUP(INDEX(' Toto teams'!$B$4:$B$119,MATCH($B51,' Toto teams'!$A$4:$A$119,0)),Scoring!$A$4:$N$51,10,FALSE()),0)+4*IFERROR(VLOOKUP(INDEX(' Toto teams'!$C$4:$C$119,MATCH($B51,' Toto teams'!$A$4:$A$119,0)),Scoring!$A$4:$N$51,10,FALSE()),0)+3*IFERROR(VLOOKUP(INDEX(' Toto teams'!$D$4:$D$119,MATCH($B51,' Toto teams'!$A$4:$A$119,0)),Scoring!$A$4:$N$51,10,FALSE()),0)+2*IFERROR(VLOOKUP(INDEX(' Toto teams'!$E$4:$E$119,MATCH($B51,' Toto teams'!$A$4:$A$119,0)),Scoring!$A$4:$N$51,10,FALSE()),0)+1*IFERROR(VLOOKUP(INDEX(' Toto teams'!$F$4:$F$119,MATCH($B51,' Toto teams'!$A$4:$A$119,0)),Scoring!$A$4:$N$51,10,FALSE()),0)+1*IFERROR(VLOOKUP(INDEX(' Toto teams'!$G$4:$G$119,MATCH($B51,' Toto teams'!$A$4:$A$119,0)),Scoring!$A$4:$N$51,10,FALSE()),0)+1*IFERROR(VLOOKUP(INDEX(' Toto teams'!$H$4:$H$119,MATCH($B51,' Toto teams'!$A$4:$A$119,0)),Scoring!$A$4:$N$51,10,FALSE()),0))</f>
        <v>0</v>
      </c>
      <c r="H51" s="28">
        <f>IF($B51="","",6*IFERROR(VLOOKUP(INDEX(' Toto teams'!$B$4:$B$119,MATCH($B51,' Toto teams'!$A$4:$A$119,0)),Scoring!$A$4:$N$51,11,FALSE()),0)+4*IFERROR(VLOOKUP(INDEX(' Toto teams'!$C$4:$C$119,MATCH($B51,' Toto teams'!$A$4:$A$119,0)),Scoring!$A$4:$N$51,11,FALSE()),0)+3*IFERROR(VLOOKUP(INDEX(' Toto teams'!$D$4:$D$119,MATCH($B51,' Toto teams'!$A$4:$A$119,0)),Scoring!$A$4:$N$51,11,FALSE()),0)+2*IFERROR(VLOOKUP(INDEX(' Toto teams'!$E$4:$E$119,MATCH($B51,' Toto teams'!$A$4:$A$119,0)),Scoring!$A$4:$N$51,11,FALSE()),0)+1*IFERROR(VLOOKUP(INDEX(' Toto teams'!$F$4:$F$119,MATCH($B51,' Toto teams'!$A$4:$A$119,0)),Scoring!$A$4:$N$51,11,FALSE()),0)+1*IFERROR(VLOOKUP(INDEX(' Toto teams'!$G$4:$G$119,MATCH($B51,' Toto teams'!$A$4:$A$119,0)),Scoring!$A$4:$N$51,11,FALSE()),0)+1*IFERROR(VLOOKUP(INDEX(' Toto teams'!$H$4:$H$119,MATCH($B51,' Toto teams'!$A$4:$A$119,0)),Scoring!$A$4:$N$51,11,FALSE()),0))</f>
        <v>0</v>
      </c>
      <c r="I51" s="28">
        <f>IF($B51="","",6*IFERROR(VLOOKUP(INDEX(' Toto teams'!$B$4:$B$119,MATCH($B51,' Toto teams'!$A$4:$A$119,0)),Scoring!$A$4:$O$51,15,FALSE()),0)+4*IFERROR(VLOOKUP(INDEX(' Toto teams'!$C$4:$C$119,MATCH($B51,' Toto teams'!$A$4:$A$119,0)),Scoring!$A$4:$O$51,15,FALSE()),0)+3*IFERROR(VLOOKUP(INDEX(' Toto teams'!$D$4:$D$119,MATCH($B51,' Toto teams'!$A$4:$A$119,0)),Scoring!$A$4:$O$51,15,FALSE()),0)+2*IFERROR(VLOOKUP(INDEX(' Toto teams'!$E$4:$E$119,MATCH($B51,' Toto teams'!$A$4:$A$119,0)),Scoring!$A$4:$O$51,15,FALSE()),0)+1*IFERROR(VLOOKUP(INDEX(' Toto teams'!$F$4:$F$119,MATCH($B51,' Toto teams'!$A$4:$A$119,0)),Scoring!$A$4:$O$51,15,FALSE()),0)+1*IFERROR(VLOOKUP(INDEX(' Toto teams'!$G$4:$G$119,MATCH($B51,' Toto teams'!$A$4:$A$119,0)),Scoring!$A$4:$O$51,15,FALSE()),0)+1*IFERROR(VLOOKUP(INDEX(' Toto teams'!$H$4:$H$119,MATCH($B51,' Toto teams'!$A$4:$A$119,0)),Scoring!$A$4:$O$51,15,FALSE()),0))</f>
        <v>0</v>
      </c>
      <c r="J51" s="28">
        <f>IF($B51="","",6*IFERROR(VLOOKUP(INDEX(' Toto teams'!$B$4:$B$119,MATCH($B51,' Toto teams'!$A$4:$A$119,0)),Scoring!$A$4:$N$51,12,FALSE()),0)+4*IFERROR(VLOOKUP(INDEX(' Toto teams'!$C$4:$C$119,MATCH($B51,' Toto teams'!$A$4:$A$119,0)),Scoring!$A$4:$N$51,12,FALSE()),0)+3*IFERROR(VLOOKUP(INDEX(' Toto teams'!$D$4:$D$119,MATCH($B51,' Toto teams'!$A$4:$A$119,0)),Scoring!$A$4:$N$51,12,FALSE()),0)+2*IFERROR(VLOOKUP(INDEX(' Toto teams'!$E$4:$E$119,MATCH($B51,' Toto teams'!$A$4:$A$119,0)),Scoring!$A$4:$N$51,12,FALSE()),0)+1*IFERROR(VLOOKUP(INDEX(' Toto teams'!$F$4:$F$119,MATCH($B51,' Toto teams'!$A$4:$A$119,0)),Scoring!$A$4:$N$51,12,FALSE()),0)+1*IFERROR(VLOOKUP(INDEX(' Toto teams'!$G$4:$G$119,MATCH($B51,' Toto teams'!$A$4:$A$119,0)),Scoring!$A$4:$N$51,12,FALSE()),0)+1*IFERROR(VLOOKUP(INDEX(' Toto teams'!$H$4:$H$119,MATCH($B51,' Toto teams'!$A$4:$A$119,0)),Scoring!$A$4:$N$51,12,FALSE()),0))</f>
        <v>0</v>
      </c>
      <c r="K51" s="29">
        <f>IF($B51="","",IFERROR(INDEX(' Toto teams'!$R$4:$R$119,MATCH($B51,' Toto teams'!$A$4:$A$119,0)),""))</f>
        <v>1</v>
      </c>
      <c r="L51" s="30">
        <f t="shared" si="4"/>
        <v>0</v>
      </c>
    </row>
    <row r="52" spans="1:12" ht="12.75" customHeight="1" x14ac:dyDescent="0.3">
      <c r="A52" s="26">
        <f>IF(49&gt;COUNTIF(' Toto teams'!$A$4:$A$119,"&lt;&gt;"),"",INDEX(' Toto teams'!$S$4:$S$119,MATCH(LARGE(' Toto teams'!$T$4:$T$119,49),' Toto teams'!$T$4:$T$119,0)))</f>
        <v>36</v>
      </c>
      <c r="B52" s="27" t="str">
        <f>IF(49&gt;COUNTIF(' Toto teams'!$A$4:$A$119,"&lt;&gt;"),"",INDEX(' Toto teams'!$A$4:$A$119,MATCH(LARGE(' Toto teams'!$T$4:$T$119,49),' Toto teams'!$T$4:$T$119,0)))</f>
        <v>Donatas Bakėjus</v>
      </c>
      <c r="C52" s="28">
        <f>IF($B52="","",6*(IFERROR(VLOOKUP(INDEX(' Toto teams'!$B$4:$B$119,MATCH($B52,' Toto teams'!$A$4:$A$119,0)),Scoring!$A$4:$N$51,3,FALSE()),0)+IFERROR(VLOOKUP(INDEX(' Toto teams'!$B$4:$B$119,MATCH($B52,' Toto teams'!$A$4:$A$119,0)),Scoring!$A$4:$N$51,4,FALSE()),0)+IFERROR(VLOOKUP(INDEX(' Toto teams'!$B$4:$B$119,MATCH($B52,' Toto teams'!$A$4:$A$119,0)),Scoring!$A$4:$N$51,5,FALSE()),0))+4*(IFERROR(VLOOKUP(INDEX(' Toto teams'!$C$4:$C$119,MATCH($B52,' Toto teams'!$A$4:$A$119,0)),Scoring!$A$4:$N$51,3,FALSE()),0)+IFERROR(VLOOKUP(INDEX(' Toto teams'!$C$4:$C$119,MATCH($B52,' Toto teams'!$A$4:$A$119,0)),Scoring!$A$4:$N$51,4,FALSE()),0)+IFERROR(VLOOKUP(INDEX(' Toto teams'!$C$4:$C$119,MATCH($B52,' Toto teams'!$A$4:$A$119,0)),Scoring!$A$4:$N$51,5,FALSE()),0))+3*(IFERROR(VLOOKUP(INDEX(' Toto teams'!$D$4:$D$119,MATCH($B52,' Toto teams'!$A$4:$A$119,0)),Scoring!$A$4:$N$51,3,FALSE()),0)+IFERROR(VLOOKUP(INDEX(' Toto teams'!$D$4:$D$119,MATCH($B52,' Toto teams'!$A$4:$A$119,0)),Scoring!$A$4:$N$51,4,FALSE()),0)+IFERROR(VLOOKUP(INDEX(' Toto teams'!$D$4:$D$119,MATCH($B52,' Toto teams'!$A$4:$A$119,0)),Scoring!$A$4:$N$51,5,FALSE()),0))+2*(IFERROR(VLOOKUP(INDEX(' Toto teams'!$E$4:$E$119,MATCH($B52,' Toto teams'!$A$4:$A$119,0)),Scoring!$A$4:$N$51,3,FALSE()),0)+IFERROR(VLOOKUP(INDEX(' Toto teams'!$E$4:$E$119,MATCH($B52,' Toto teams'!$A$4:$A$119,0)),Scoring!$A$4:$N$51,4,FALSE()),0)+IFERROR(VLOOKUP(INDEX(' Toto teams'!$E$4:$E$119,MATCH($B52,' Toto teams'!$A$4:$A$119,0)),Scoring!$A$4:$N$51,5,FALSE()),0))+1*(IFERROR(VLOOKUP(INDEX(' Toto teams'!$F$4:$F$119,MATCH($B52,' Toto teams'!$A$4:$A$119,0)),Scoring!$A$4:$N$51,3,FALSE()),0)+IFERROR(VLOOKUP(INDEX(' Toto teams'!$F$4:$F$119,MATCH($B52,' Toto teams'!$A$4:$A$119,0)),Scoring!$A$4:$N$51,4,FALSE()),0)+IFERROR(VLOOKUP(INDEX(' Toto teams'!$F$4:$F$119,MATCH($B52,' Toto teams'!$A$4:$A$119,0)),Scoring!$A$4:$N$51,5,FALSE()),0))+1*(IFERROR(VLOOKUP(INDEX(' Toto teams'!$G$4:$G$119,MATCH($B52,' Toto teams'!$A$4:$A$119,0)),Scoring!$A$4:$N$51,3,FALSE()),0)+IFERROR(VLOOKUP(INDEX(' Toto teams'!$G$4:$G$119,MATCH($B52,' Toto teams'!$A$4:$A$119,0)),Scoring!$A$4:$N$51,4,FALSE()),0)+IFERROR(VLOOKUP(INDEX(' Toto teams'!$G$4:$G$119,MATCH($B52,' Toto teams'!$A$4:$A$119,0)),Scoring!$A$4:$N$51,5,FALSE()),0))+1*(IFERROR(VLOOKUP(INDEX(' Toto teams'!$H$4:$H$119,MATCH($B52,' Toto teams'!$A$4:$A$119,0)),Scoring!$A$4:$N$51,3,FALSE()),0)+IFERROR(VLOOKUP(INDEX(' Toto teams'!$H$4:$H$119,MATCH($B52,' Toto teams'!$A$4:$A$119,0)),Scoring!$A$4:$N$51,4,FALSE()),0)+IFERROR(VLOOKUP(INDEX(' Toto teams'!$H$4:$H$119,MATCH($B52,' Toto teams'!$A$4:$A$119,0)),Scoring!$A$4:$N$51,5,FALSE()),0))+IFERROR(INDEX(' Toto teams'!$Q$4:$Q$119,MATCH($B52,' Toto teams'!$A$4:$A$119,0))*1,0))</f>
        <v>1</v>
      </c>
      <c r="D52" s="28">
        <f>IF($B52="","",6*IFERROR(VLOOKUP(INDEX(' Toto teams'!$B$4:$B$119,MATCH($B52,' Toto teams'!$A$4:$A$119,0)),Scoring!$A$4:$N$51,7,FALSE()),0)+4*IFERROR(VLOOKUP(INDEX(' Toto teams'!$C$4:$C$119,MATCH($B52,' Toto teams'!$A$4:$A$119,0)),Scoring!$A$4:$N$51,7,FALSE()),0)+3*IFERROR(VLOOKUP(INDEX(' Toto teams'!$D$4:$D$119,MATCH($B52,' Toto teams'!$A$4:$A$119,0)),Scoring!$A$4:$N$51,7,FALSE()),0)+2*IFERROR(VLOOKUP(INDEX(' Toto teams'!$E$4:$E$119,MATCH($B52,' Toto teams'!$A$4:$A$119,0)),Scoring!$A$4:$N$51,7,FALSE()),0)+1*IFERROR(VLOOKUP(INDEX(' Toto teams'!$F$4:$F$119,MATCH($B52,' Toto teams'!$A$4:$A$119,0)),Scoring!$A$4:$N$51,7,FALSE()),0)+1*IFERROR(VLOOKUP(INDEX(' Toto teams'!$G$4:$G$119,MATCH($B52,' Toto teams'!$A$4:$A$119,0)),Scoring!$A$4:$N$51,7,FALSE()),0)+1*IFERROR(VLOOKUP(INDEX(' Toto teams'!$H$4:$H$119,MATCH($B52,' Toto teams'!$A$4:$A$119,0)),Scoring!$A$4:$N$51,7,FALSE()),0))</f>
        <v>0</v>
      </c>
      <c r="E52" s="28">
        <f>IF($B52="","",6*IFERROR(VLOOKUP(INDEX(' Toto teams'!$B$4:$B$119,MATCH($B52,' Toto teams'!$A$4:$A$119,0)),Scoring!$A$4:$N$51,8,FALSE()),0)+4*IFERROR(VLOOKUP(INDEX(' Toto teams'!$C$4:$C$119,MATCH($B52,' Toto teams'!$A$4:$A$119,0)),Scoring!$A$4:$N$51,8,FALSE()),0)+3*IFERROR(VLOOKUP(INDEX(' Toto teams'!$D$4:$D$119,MATCH($B52,' Toto teams'!$A$4:$A$119,0)),Scoring!$A$4:$N$51,8,FALSE()),0)+2*IFERROR(VLOOKUP(INDEX(' Toto teams'!$E$4:$E$119,MATCH($B52,' Toto teams'!$A$4:$A$119,0)),Scoring!$A$4:$N$51,8,FALSE()),0)+1*IFERROR(VLOOKUP(INDEX(' Toto teams'!$F$4:$F$119,MATCH($B52,' Toto teams'!$A$4:$A$119,0)),Scoring!$A$4:$N$51,8,FALSE()),0)+1*IFERROR(VLOOKUP(INDEX(' Toto teams'!$G$4:$G$119,MATCH($B52,' Toto teams'!$A$4:$A$119,0)),Scoring!$A$4:$N$51,8,FALSE()),0)+1*IFERROR(VLOOKUP(INDEX(' Toto teams'!$H$4:$H$119,MATCH($B52,' Toto teams'!$A$4:$A$119,0)),Scoring!$A$4:$N$51,8,FALSE()),0))</f>
        <v>0</v>
      </c>
      <c r="F52" s="28">
        <f>IF($B52="","",6*IFERROR(VLOOKUP(INDEX(' Toto teams'!$B$4:$B$119,MATCH($B52,' Toto teams'!$A$4:$A$119,0)),Scoring!$A$4:$N$51,9,FALSE()),0)+4*IFERROR(VLOOKUP(INDEX(' Toto teams'!$C$4:$C$119,MATCH($B52,' Toto teams'!$A$4:$A$119,0)),Scoring!$A$4:$N$51,9,FALSE()),0)+3*IFERROR(VLOOKUP(INDEX(' Toto teams'!$D$4:$D$119,MATCH($B52,' Toto teams'!$A$4:$A$119,0)),Scoring!$A$4:$N$51,9,FALSE()),0)+2*IFERROR(VLOOKUP(INDEX(' Toto teams'!$E$4:$E$119,MATCH($B52,' Toto teams'!$A$4:$A$119,0)),Scoring!$A$4:$N$51,9,FALSE()),0)+1*IFERROR(VLOOKUP(INDEX(' Toto teams'!$F$4:$F$119,MATCH($B52,' Toto teams'!$A$4:$A$119,0)),Scoring!$A$4:$N$51,9,FALSE()),0)+1*IFERROR(VLOOKUP(INDEX(' Toto teams'!$G$4:$G$119,MATCH($B52,' Toto teams'!$A$4:$A$119,0)),Scoring!$A$4:$N$51,9,FALSE()),0)+1*IFERROR(VLOOKUP(INDEX(' Toto teams'!$H$4:$H$119,MATCH($B52,' Toto teams'!$A$4:$A$119,0)),Scoring!$A$4:$N$51,9,FALSE()),0))</f>
        <v>0</v>
      </c>
      <c r="G52" s="28">
        <f>IF($B52="","",6*IFERROR(VLOOKUP(INDEX(' Toto teams'!$B$4:$B$119,MATCH($B52,' Toto teams'!$A$4:$A$119,0)),Scoring!$A$4:$N$51,10,FALSE()),0)+4*IFERROR(VLOOKUP(INDEX(' Toto teams'!$C$4:$C$119,MATCH($B52,' Toto teams'!$A$4:$A$119,0)),Scoring!$A$4:$N$51,10,FALSE()),0)+3*IFERROR(VLOOKUP(INDEX(' Toto teams'!$D$4:$D$119,MATCH($B52,' Toto teams'!$A$4:$A$119,0)),Scoring!$A$4:$N$51,10,FALSE()),0)+2*IFERROR(VLOOKUP(INDEX(' Toto teams'!$E$4:$E$119,MATCH($B52,' Toto teams'!$A$4:$A$119,0)),Scoring!$A$4:$N$51,10,FALSE()),0)+1*IFERROR(VLOOKUP(INDEX(' Toto teams'!$F$4:$F$119,MATCH($B52,' Toto teams'!$A$4:$A$119,0)),Scoring!$A$4:$N$51,10,FALSE()),0)+1*IFERROR(VLOOKUP(INDEX(' Toto teams'!$G$4:$G$119,MATCH($B52,' Toto teams'!$A$4:$A$119,0)),Scoring!$A$4:$N$51,10,FALSE()),0)+1*IFERROR(VLOOKUP(INDEX(' Toto teams'!$H$4:$H$119,MATCH($B52,' Toto teams'!$A$4:$A$119,0)),Scoring!$A$4:$N$51,10,FALSE()),0))</f>
        <v>0</v>
      </c>
      <c r="H52" s="28">
        <f>IF($B52="","",6*IFERROR(VLOOKUP(INDEX(' Toto teams'!$B$4:$B$119,MATCH($B52,' Toto teams'!$A$4:$A$119,0)),Scoring!$A$4:$N$51,11,FALSE()),0)+4*IFERROR(VLOOKUP(INDEX(' Toto teams'!$C$4:$C$119,MATCH($B52,' Toto teams'!$A$4:$A$119,0)),Scoring!$A$4:$N$51,11,FALSE()),0)+3*IFERROR(VLOOKUP(INDEX(' Toto teams'!$D$4:$D$119,MATCH($B52,' Toto teams'!$A$4:$A$119,0)),Scoring!$A$4:$N$51,11,FALSE()),0)+2*IFERROR(VLOOKUP(INDEX(' Toto teams'!$E$4:$E$119,MATCH($B52,' Toto teams'!$A$4:$A$119,0)),Scoring!$A$4:$N$51,11,FALSE()),0)+1*IFERROR(VLOOKUP(INDEX(' Toto teams'!$F$4:$F$119,MATCH($B52,' Toto teams'!$A$4:$A$119,0)),Scoring!$A$4:$N$51,11,FALSE()),0)+1*IFERROR(VLOOKUP(INDEX(' Toto teams'!$G$4:$G$119,MATCH($B52,' Toto teams'!$A$4:$A$119,0)),Scoring!$A$4:$N$51,11,FALSE()),0)+1*IFERROR(VLOOKUP(INDEX(' Toto teams'!$H$4:$H$119,MATCH($B52,' Toto teams'!$A$4:$A$119,0)),Scoring!$A$4:$N$51,11,FALSE()),0))</f>
        <v>0</v>
      </c>
      <c r="I52" s="28">
        <f>IF($B52="","",6*IFERROR(VLOOKUP(INDEX(' Toto teams'!$B$4:$B$119,MATCH($B52,' Toto teams'!$A$4:$A$119,0)),Scoring!$A$4:$O$51,15,FALSE()),0)+4*IFERROR(VLOOKUP(INDEX(' Toto teams'!$C$4:$C$119,MATCH($B52,' Toto teams'!$A$4:$A$119,0)),Scoring!$A$4:$O$51,15,FALSE()),0)+3*IFERROR(VLOOKUP(INDEX(' Toto teams'!$D$4:$D$119,MATCH($B52,' Toto teams'!$A$4:$A$119,0)),Scoring!$A$4:$O$51,15,FALSE()),0)+2*IFERROR(VLOOKUP(INDEX(' Toto teams'!$E$4:$E$119,MATCH($B52,' Toto teams'!$A$4:$A$119,0)),Scoring!$A$4:$O$51,15,FALSE()),0)+1*IFERROR(VLOOKUP(INDEX(' Toto teams'!$F$4:$F$119,MATCH($B52,' Toto teams'!$A$4:$A$119,0)),Scoring!$A$4:$O$51,15,FALSE()),0)+1*IFERROR(VLOOKUP(INDEX(' Toto teams'!$G$4:$G$119,MATCH($B52,' Toto teams'!$A$4:$A$119,0)),Scoring!$A$4:$O$51,15,FALSE()),0)+1*IFERROR(VLOOKUP(INDEX(' Toto teams'!$H$4:$H$119,MATCH($B52,' Toto teams'!$A$4:$A$119,0)),Scoring!$A$4:$O$51,15,FALSE()),0))</f>
        <v>0</v>
      </c>
      <c r="J52" s="28">
        <f>IF($B52="","",6*IFERROR(VLOOKUP(INDEX(' Toto teams'!$B$4:$B$119,MATCH($B52,' Toto teams'!$A$4:$A$119,0)),Scoring!$A$4:$N$51,12,FALSE()),0)+4*IFERROR(VLOOKUP(INDEX(' Toto teams'!$C$4:$C$119,MATCH($B52,' Toto teams'!$A$4:$A$119,0)),Scoring!$A$4:$N$51,12,FALSE()),0)+3*IFERROR(VLOOKUP(INDEX(' Toto teams'!$D$4:$D$119,MATCH($B52,' Toto teams'!$A$4:$A$119,0)),Scoring!$A$4:$N$51,12,FALSE()),0)+2*IFERROR(VLOOKUP(INDEX(' Toto teams'!$E$4:$E$119,MATCH($B52,' Toto teams'!$A$4:$A$119,0)),Scoring!$A$4:$N$51,12,FALSE()),0)+1*IFERROR(VLOOKUP(INDEX(' Toto teams'!$F$4:$F$119,MATCH($B52,' Toto teams'!$A$4:$A$119,0)),Scoring!$A$4:$N$51,12,FALSE()),0)+1*IFERROR(VLOOKUP(INDEX(' Toto teams'!$G$4:$G$119,MATCH($B52,' Toto teams'!$A$4:$A$119,0)),Scoring!$A$4:$N$51,12,FALSE()),0)+1*IFERROR(VLOOKUP(INDEX(' Toto teams'!$H$4:$H$119,MATCH($B52,' Toto teams'!$A$4:$A$119,0)),Scoring!$A$4:$N$51,12,FALSE()),0))</f>
        <v>0</v>
      </c>
      <c r="K52" s="29">
        <f>IF($B52="","",IFERROR(INDEX(' Toto teams'!$R$4:$R$119,MATCH($B52,' Toto teams'!$A$4:$A$119,0)),""))</f>
        <v>1</v>
      </c>
      <c r="L52" s="30">
        <f t="shared" si="4"/>
        <v>0</v>
      </c>
    </row>
    <row r="53" spans="1:12" ht="12.75" customHeight="1" x14ac:dyDescent="0.3">
      <c r="A53" s="26">
        <f>IF(50&gt;COUNTIF(' Toto teams'!$A$4:$A$119,"&lt;&gt;"),"",INDEX(' Toto teams'!$S$4:$S$119,MATCH(LARGE(' Toto teams'!$T$4:$T$119,50),' Toto teams'!$T$4:$T$119,0)))</f>
        <v>36</v>
      </c>
      <c r="B53" s="27" t="str">
        <f>IF(50&gt;COUNTIF(' Toto teams'!$A$4:$A$119,"&lt;&gt;"),"",INDEX(' Toto teams'!$A$4:$A$119,MATCH(LARGE(' Toto teams'!$T$4:$T$119,50),' Toto teams'!$T$4:$T$119,0)))</f>
        <v>Raimondas Juška</v>
      </c>
      <c r="C53" s="28">
        <f>IF($B53="","",6*(IFERROR(VLOOKUP(INDEX(' Toto teams'!$B$4:$B$119,MATCH($B53,' Toto teams'!$A$4:$A$119,0)),Scoring!$A$4:$N$51,3,FALSE()),0)+IFERROR(VLOOKUP(INDEX(' Toto teams'!$B$4:$B$119,MATCH($B53,' Toto teams'!$A$4:$A$119,0)),Scoring!$A$4:$N$51,4,FALSE()),0)+IFERROR(VLOOKUP(INDEX(' Toto teams'!$B$4:$B$119,MATCH($B53,' Toto teams'!$A$4:$A$119,0)),Scoring!$A$4:$N$51,5,FALSE()),0))+4*(IFERROR(VLOOKUP(INDEX(' Toto teams'!$C$4:$C$119,MATCH($B53,' Toto teams'!$A$4:$A$119,0)),Scoring!$A$4:$N$51,3,FALSE()),0)+IFERROR(VLOOKUP(INDEX(' Toto teams'!$C$4:$C$119,MATCH($B53,' Toto teams'!$A$4:$A$119,0)),Scoring!$A$4:$N$51,4,FALSE()),0)+IFERROR(VLOOKUP(INDEX(' Toto teams'!$C$4:$C$119,MATCH($B53,' Toto teams'!$A$4:$A$119,0)),Scoring!$A$4:$N$51,5,FALSE()),0))+3*(IFERROR(VLOOKUP(INDEX(' Toto teams'!$D$4:$D$119,MATCH($B53,' Toto teams'!$A$4:$A$119,0)),Scoring!$A$4:$N$51,3,FALSE()),0)+IFERROR(VLOOKUP(INDEX(' Toto teams'!$D$4:$D$119,MATCH($B53,' Toto teams'!$A$4:$A$119,0)),Scoring!$A$4:$N$51,4,FALSE()),0)+IFERROR(VLOOKUP(INDEX(' Toto teams'!$D$4:$D$119,MATCH($B53,' Toto teams'!$A$4:$A$119,0)),Scoring!$A$4:$N$51,5,FALSE()),0))+2*(IFERROR(VLOOKUP(INDEX(' Toto teams'!$E$4:$E$119,MATCH($B53,' Toto teams'!$A$4:$A$119,0)),Scoring!$A$4:$N$51,3,FALSE()),0)+IFERROR(VLOOKUP(INDEX(' Toto teams'!$E$4:$E$119,MATCH($B53,' Toto teams'!$A$4:$A$119,0)),Scoring!$A$4:$N$51,4,FALSE()),0)+IFERROR(VLOOKUP(INDEX(' Toto teams'!$E$4:$E$119,MATCH($B53,' Toto teams'!$A$4:$A$119,0)),Scoring!$A$4:$N$51,5,FALSE()),0))+1*(IFERROR(VLOOKUP(INDEX(' Toto teams'!$F$4:$F$119,MATCH($B53,' Toto teams'!$A$4:$A$119,0)),Scoring!$A$4:$N$51,3,FALSE()),0)+IFERROR(VLOOKUP(INDEX(' Toto teams'!$F$4:$F$119,MATCH($B53,' Toto teams'!$A$4:$A$119,0)),Scoring!$A$4:$N$51,4,FALSE()),0)+IFERROR(VLOOKUP(INDEX(' Toto teams'!$F$4:$F$119,MATCH($B53,' Toto teams'!$A$4:$A$119,0)),Scoring!$A$4:$N$51,5,FALSE()),0))+1*(IFERROR(VLOOKUP(INDEX(' Toto teams'!$G$4:$G$119,MATCH($B53,' Toto teams'!$A$4:$A$119,0)),Scoring!$A$4:$N$51,3,FALSE()),0)+IFERROR(VLOOKUP(INDEX(' Toto teams'!$G$4:$G$119,MATCH($B53,' Toto teams'!$A$4:$A$119,0)),Scoring!$A$4:$N$51,4,FALSE()),0)+IFERROR(VLOOKUP(INDEX(' Toto teams'!$G$4:$G$119,MATCH($B53,' Toto teams'!$A$4:$A$119,0)),Scoring!$A$4:$N$51,5,FALSE()),0))+1*(IFERROR(VLOOKUP(INDEX(' Toto teams'!$H$4:$H$119,MATCH($B53,' Toto teams'!$A$4:$A$119,0)),Scoring!$A$4:$N$51,3,FALSE()),0)+IFERROR(VLOOKUP(INDEX(' Toto teams'!$H$4:$H$119,MATCH($B53,' Toto teams'!$A$4:$A$119,0)),Scoring!$A$4:$N$51,4,FALSE()),0)+IFERROR(VLOOKUP(INDEX(' Toto teams'!$H$4:$H$119,MATCH($B53,' Toto teams'!$A$4:$A$119,0)),Scoring!$A$4:$N$51,5,FALSE()),0))+IFERROR(INDEX(' Toto teams'!$Q$4:$Q$119,MATCH($B53,' Toto teams'!$A$4:$A$119,0))*1,0))</f>
        <v>1</v>
      </c>
      <c r="D53" s="28">
        <f>IF($B53="","",6*IFERROR(VLOOKUP(INDEX(' Toto teams'!$B$4:$B$119,MATCH($B53,' Toto teams'!$A$4:$A$119,0)),Scoring!$A$4:$N$51,7,FALSE()),0)+4*IFERROR(VLOOKUP(INDEX(' Toto teams'!$C$4:$C$119,MATCH($B53,' Toto teams'!$A$4:$A$119,0)),Scoring!$A$4:$N$51,7,FALSE()),0)+3*IFERROR(VLOOKUP(INDEX(' Toto teams'!$D$4:$D$119,MATCH($B53,' Toto teams'!$A$4:$A$119,0)),Scoring!$A$4:$N$51,7,FALSE()),0)+2*IFERROR(VLOOKUP(INDEX(' Toto teams'!$E$4:$E$119,MATCH($B53,' Toto teams'!$A$4:$A$119,0)),Scoring!$A$4:$N$51,7,FALSE()),0)+1*IFERROR(VLOOKUP(INDEX(' Toto teams'!$F$4:$F$119,MATCH($B53,' Toto teams'!$A$4:$A$119,0)),Scoring!$A$4:$N$51,7,FALSE()),0)+1*IFERROR(VLOOKUP(INDEX(' Toto teams'!$G$4:$G$119,MATCH($B53,' Toto teams'!$A$4:$A$119,0)),Scoring!$A$4:$N$51,7,FALSE()),0)+1*IFERROR(VLOOKUP(INDEX(' Toto teams'!$H$4:$H$119,MATCH($B53,' Toto teams'!$A$4:$A$119,0)),Scoring!$A$4:$N$51,7,FALSE()),0))</f>
        <v>0</v>
      </c>
      <c r="E53" s="28">
        <f>IF($B53="","",6*IFERROR(VLOOKUP(INDEX(' Toto teams'!$B$4:$B$119,MATCH($B53,' Toto teams'!$A$4:$A$119,0)),Scoring!$A$4:$N$51,8,FALSE()),0)+4*IFERROR(VLOOKUP(INDEX(' Toto teams'!$C$4:$C$119,MATCH($B53,' Toto teams'!$A$4:$A$119,0)),Scoring!$A$4:$N$51,8,FALSE()),0)+3*IFERROR(VLOOKUP(INDEX(' Toto teams'!$D$4:$D$119,MATCH($B53,' Toto teams'!$A$4:$A$119,0)),Scoring!$A$4:$N$51,8,FALSE()),0)+2*IFERROR(VLOOKUP(INDEX(' Toto teams'!$E$4:$E$119,MATCH($B53,' Toto teams'!$A$4:$A$119,0)),Scoring!$A$4:$N$51,8,FALSE()),0)+1*IFERROR(VLOOKUP(INDEX(' Toto teams'!$F$4:$F$119,MATCH($B53,' Toto teams'!$A$4:$A$119,0)),Scoring!$A$4:$N$51,8,FALSE()),0)+1*IFERROR(VLOOKUP(INDEX(' Toto teams'!$G$4:$G$119,MATCH($B53,' Toto teams'!$A$4:$A$119,0)),Scoring!$A$4:$N$51,8,FALSE()),0)+1*IFERROR(VLOOKUP(INDEX(' Toto teams'!$H$4:$H$119,MATCH($B53,' Toto teams'!$A$4:$A$119,0)),Scoring!$A$4:$N$51,8,FALSE()),0))</f>
        <v>0</v>
      </c>
      <c r="F53" s="28">
        <f>IF($B53="","",6*IFERROR(VLOOKUP(INDEX(' Toto teams'!$B$4:$B$119,MATCH($B53,' Toto teams'!$A$4:$A$119,0)),Scoring!$A$4:$N$51,9,FALSE()),0)+4*IFERROR(VLOOKUP(INDEX(' Toto teams'!$C$4:$C$119,MATCH($B53,' Toto teams'!$A$4:$A$119,0)),Scoring!$A$4:$N$51,9,FALSE()),0)+3*IFERROR(VLOOKUP(INDEX(' Toto teams'!$D$4:$D$119,MATCH($B53,' Toto teams'!$A$4:$A$119,0)),Scoring!$A$4:$N$51,9,FALSE()),0)+2*IFERROR(VLOOKUP(INDEX(' Toto teams'!$E$4:$E$119,MATCH($B53,' Toto teams'!$A$4:$A$119,0)),Scoring!$A$4:$N$51,9,FALSE()),0)+1*IFERROR(VLOOKUP(INDEX(' Toto teams'!$F$4:$F$119,MATCH($B53,' Toto teams'!$A$4:$A$119,0)),Scoring!$A$4:$N$51,9,FALSE()),0)+1*IFERROR(VLOOKUP(INDEX(' Toto teams'!$G$4:$G$119,MATCH($B53,' Toto teams'!$A$4:$A$119,0)),Scoring!$A$4:$N$51,9,FALSE()),0)+1*IFERROR(VLOOKUP(INDEX(' Toto teams'!$H$4:$H$119,MATCH($B53,' Toto teams'!$A$4:$A$119,0)),Scoring!$A$4:$N$51,9,FALSE()),0))</f>
        <v>0</v>
      </c>
      <c r="G53" s="28">
        <f>IF($B53="","",6*IFERROR(VLOOKUP(INDEX(' Toto teams'!$B$4:$B$119,MATCH($B53,' Toto teams'!$A$4:$A$119,0)),Scoring!$A$4:$N$51,10,FALSE()),0)+4*IFERROR(VLOOKUP(INDEX(' Toto teams'!$C$4:$C$119,MATCH($B53,' Toto teams'!$A$4:$A$119,0)),Scoring!$A$4:$N$51,10,FALSE()),0)+3*IFERROR(VLOOKUP(INDEX(' Toto teams'!$D$4:$D$119,MATCH($B53,' Toto teams'!$A$4:$A$119,0)),Scoring!$A$4:$N$51,10,FALSE()),0)+2*IFERROR(VLOOKUP(INDEX(' Toto teams'!$E$4:$E$119,MATCH($B53,' Toto teams'!$A$4:$A$119,0)),Scoring!$A$4:$N$51,10,FALSE()),0)+1*IFERROR(VLOOKUP(INDEX(' Toto teams'!$F$4:$F$119,MATCH($B53,' Toto teams'!$A$4:$A$119,0)),Scoring!$A$4:$N$51,10,FALSE()),0)+1*IFERROR(VLOOKUP(INDEX(' Toto teams'!$G$4:$G$119,MATCH($B53,' Toto teams'!$A$4:$A$119,0)),Scoring!$A$4:$N$51,10,FALSE()),0)+1*IFERROR(VLOOKUP(INDEX(' Toto teams'!$H$4:$H$119,MATCH($B53,' Toto teams'!$A$4:$A$119,0)),Scoring!$A$4:$N$51,10,FALSE()),0))</f>
        <v>0</v>
      </c>
      <c r="H53" s="28">
        <f>IF($B53="","",6*IFERROR(VLOOKUP(INDEX(' Toto teams'!$B$4:$B$119,MATCH($B53,' Toto teams'!$A$4:$A$119,0)),Scoring!$A$4:$N$51,11,FALSE()),0)+4*IFERROR(VLOOKUP(INDEX(' Toto teams'!$C$4:$C$119,MATCH($B53,' Toto teams'!$A$4:$A$119,0)),Scoring!$A$4:$N$51,11,FALSE()),0)+3*IFERROR(VLOOKUP(INDEX(' Toto teams'!$D$4:$D$119,MATCH($B53,' Toto teams'!$A$4:$A$119,0)),Scoring!$A$4:$N$51,11,FALSE()),0)+2*IFERROR(VLOOKUP(INDEX(' Toto teams'!$E$4:$E$119,MATCH($B53,' Toto teams'!$A$4:$A$119,0)),Scoring!$A$4:$N$51,11,FALSE()),0)+1*IFERROR(VLOOKUP(INDEX(' Toto teams'!$F$4:$F$119,MATCH($B53,' Toto teams'!$A$4:$A$119,0)),Scoring!$A$4:$N$51,11,FALSE()),0)+1*IFERROR(VLOOKUP(INDEX(' Toto teams'!$G$4:$G$119,MATCH($B53,' Toto teams'!$A$4:$A$119,0)),Scoring!$A$4:$N$51,11,FALSE()),0)+1*IFERROR(VLOOKUP(INDEX(' Toto teams'!$H$4:$H$119,MATCH($B53,' Toto teams'!$A$4:$A$119,0)),Scoring!$A$4:$N$51,11,FALSE()),0))</f>
        <v>0</v>
      </c>
      <c r="I53" s="28">
        <f>IF($B53="","",6*IFERROR(VLOOKUP(INDEX(' Toto teams'!$B$4:$B$119,MATCH($B53,' Toto teams'!$A$4:$A$119,0)),Scoring!$A$4:$O$51,15,FALSE()),0)+4*IFERROR(VLOOKUP(INDEX(' Toto teams'!$C$4:$C$119,MATCH($B53,' Toto teams'!$A$4:$A$119,0)),Scoring!$A$4:$O$51,15,FALSE()),0)+3*IFERROR(VLOOKUP(INDEX(' Toto teams'!$D$4:$D$119,MATCH($B53,' Toto teams'!$A$4:$A$119,0)),Scoring!$A$4:$O$51,15,FALSE()),0)+2*IFERROR(VLOOKUP(INDEX(' Toto teams'!$E$4:$E$119,MATCH($B53,' Toto teams'!$A$4:$A$119,0)),Scoring!$A$4:$O$51,15,FALSE()),0)+1*IFERROR(VLOOKUP(INDEX(' Toto teams'!$F$4:$F$119,MATCH($B53,' Toto teams'!$A$4:$A$119,0)),Scoring!$A$4:$O$51,15,FALSE()),0)+1*IFERROR(VLOOKUP(INDEX(' Toto teams'!$G$4:$G$119,MATCH($B53,' Toto teams'!$A$4:$A$119,0)),Scoring!$A$4:$O$51,15,FALSE()),0)+1*IFERROR(VLOOKUP(INDEX(' Toto teams'!$H$4:$H$119,MATCH($B53,' Toto teams'!$A$4:$A$119,0)),Scoring!$A$4:$O$51,15,FALSE()),0))</f>
        <v>0</v>
      </c>
      <c r="J53" s="28">
        <f>IF($B53="","",6*IFERROR(VLOOKUP(INDEX(' Toto teams'!$B$4:$B$119,MATCH($B53,' Toto teams'!$A$4:$A$119,0)),Scoring!$A$4:$N$51,12,FALSE()),0)+4*IFERROR(VLOOKUP(INDEX(' Toto teams'!$C$4:$C$119,MATCH($B53,' Toto teams'!$A$4:$A$119,0)),Scoring!$A$4:$N$51,12,FALSE()),0)+3*IFERROR(VLOOKUP(INDEX(' Toto teams'!$D$4:$D$119,MATCH($B53,' Toto teams'!$A$4:$A$119,0)),Scoring!$A$4:$N$51,12,FALSE()),0)+2*IFERROR(VLOOKUP(INDEX(' Toto teams'!$E$4:$E$119,MATCH($B53,' Toto teams'!$A$4:$A$119,0)),Scoring!$A$4:$N$51,12,FALSE()),0)+1*IFERROR(VLOOKUP(INDEX(' Toto teams'!$F$4:$F$119,MATCH($B53,' Toto teams'!$A$4:$A$119,0)),Scoring!$A$4:$N$51,12,FALSE()),0)+1*IFERROR(VLOOKUP(INDEX(' Toto teams'!$G$4:$G$119,MATCH($B53,' Toto teams'!$A$4:$A$119,0)),Scoring!$A$4:$N$51,12,FALSE()),0)+1*IFERROR(VLOOKUP(INDEX(' Toto teams'!$H$4:$H$119,MATCH($B53,' Toto teams'!$A$4:$A$119,0)),Scoring!$A$4:$N$51,12,FALSE()),0))</f>
        <v>0</v>
      </c>
      <c r="K53" s="29">
        <f>IF($B53="","",IFERROR(INDEX(' Toto teams'!$R$4:$R$119,MATCH($B53,' Toto teams'!$A$4:$A$119,0)),""))</f>
        <v>1</v>
      </c>
      <c r="L53" s="30">
        <f t="shared" si="4"/>
        <v>0</v>
      </c>
    </row>
    <row r="54" spans="1:12" ht="12.75" customHeight="1" x14ac:dyDescent="0.3">
      <c r="A54" s="26">
        <f>IF(51&gt;COUNTIF(' Toto teams'!$A$4:$A$119,"&lt;&gt;"),"",INDEX(' Toto teams'!$S$4:$S$119,MATCH(LARGE(' Toto teams'!$T$4:$T$119,51),' Toto teams'!$T$4:$T$119,0)))</f>
        <v>36</v>
      </c>
      <c r="B54" s="27" t="str">
        <f>IF(51&gt;COUNTIF(' Toto teams'!$A$4:$A$119,"&lt;&gt;"),"",INDEX(' Toto teams'!$A$4:$A$119,MATCH(LARGE(' Toto teams'!$T$4:$T$119,51),' Toto teams'!$T$4:$T$119,0)))</f>
        <v>Giedrius Stanulis</v>
      </c>
      <c r="C54" s="28">
        <f>IF($B54="","",6*(IFERROR(VLOOKUP(INDEX(' Toto teams'!$B$4:$B$119,MATCH($B54,' Toto teams'!$A$4:$A$119,0)),Scoring!$A$4:$N$51,3,FALSE()),0)+IFERROR(VLOOKUP(INDEX(' Toto teams'!$B$4:$B$119,MATCH($B54,' Toto teams'!$A$4:$A$119,0)),Scoring!$A$4:$N$51,4,FALSE()),0)+IFERROR(VLOOKUP(INDEX(' Toto teams'!$B$4:$B$119,MATCH($B54,' Toto teams'!$A$4:$A$119,0)),Scoring!$A$4:$N$51,5,FALSE()),0))+4*(IFERROR(VLOOKUP(INDEX(' Toto teams'!$C$4:$C$119,MATCH($B54,' Toto teams'!$A$4:$A$119,0)),Scoring!$A$4:$N$51,3,FALSE()),0)+IFERROR(VLOOKUP(INDEX(' Toto teams'!$C$4:$C$119,MATCH($B54,' Toto teams'!$A$4:$A$119,0)),Scoring!$A$4:$N$51,4,FALSE()),0)+IFERROR(VLOOKUP(INDEX(' Toto teams'!$C$4:$C$119,MATCH($B54,' Toto teams'!$A$4:$A$119,0)),Scoring!$A$4:$N$51,5,FALSE()),0))+3*(IFERROR(VLOOKUP(INDEX(' Toto teams'!$D$4:$D$119,MATCH($B54,' Toto teams'!$A$4:$A$119,0)),Scoring!$A$4:$N$51,3,FALSE()),0)+IFERROR(VLOOKUP(INDEX(' Toto teams'!$D$4:$D$119,MATCH($B54,' Toto teams'!$A$4:$A$119,0)),Scoring!$A$4:$N$51,4,FALSE()),0)+IFERROR(VLOOKUP(INDEX(' Toto teams'!$D$4:$D$119,MATCH($B54,' Toto teams'!$A$4:$A$119,0)),Scoring!$A$4:$N$51,5,FALSE()),0))+2*(IFERROR(VLOOKUP(INDEX(' Toto teams'!$E$4:$E$119,MATCH($B54,' Toto teams'!$A$4:$A$119,0)),Scoring!$A$4:$N$51,3,FALSE()),0)+IFERROR(VLOOKUP(INDEX(' Toto teams'!$E$4:$E$119,MATCH($B54,' Toto teams'!$A$4:$A$119,0)),Scoring!$A$4:$N$51,4,FALSE()),0)+IFERROR(VLOOKUP(INDEX(' Toto teams'!$E$4:$E$119,MATCH($B54,' Toto teams'!$A$4:$A$119,0)),Scoring!$A$4:$N$51,5,FALSE()),0))+1*(IFERROR(VLOOKUP(INDEX(' Toto teams'!$F$4:$F$119,MATCH($B54,' Toto teams'!$A$4:$A$119,0)),Scoring!$A$4:$N$51,3,FALSE()),0)+IFERROR(VLOOKUP(INDEX(' Toto teams'!$F$4:$F$119,MATCH($B54,' Toto teams'!$A$4:$A$119,0)),Scoring!$A$4:$N$51,4,FALSE()),0)+IFERROR(VLOOKUP(INDEX(' Toto teams'!$F$4:$F$119,MATCH($B54,' Toto teams'!$A$4:$A$119,0)),Scoring!$A$4:$N$51,5,FALSE()),0))+1*(IFERROR(VLOOKUP(INDEX(' Toto teams'!$G$4:$G$119,MATCH($B54,' Toto teams'!$A$4:$A$119,0)),Scoring!$A$4:$N$51,3,FALSE()),0)+IFERROR(VLOOKUP(INDEX(' Toto teams'!$G$4:$G$119,MATCH($B54,' Toto teams'!$A$4:$A$119,0)),Scoring!$A$4:$N$51,4,FALSE()),0)+IFERROR(VLOOKUP(INDEX(' Toto teams'!$G$4:$G$119,MATCH($B54,' Toto teams'!$A$4:$A$119,0)),Scoring!$A$4:$N$51,5,FALSE()),0))+1*(IFERROR(VLOOKUP(INDEX(' Toto teams'!$H$4:$H$119,MATCH($B54,' Toto teams'!$A$4:$A$119,0)),Scoring!$A$4:$N$51,3,FALSE()),0)+IFERROR(VLOOKUP(INDEX(' Toto teams'!$H$4:$H$119,MATCH($B54,' Toto teams'!$A$4:$A$119,0)),Scoring!$A$4:$N$51,4,FALSE()),0)+IFERROR(VLOOKUP(INDEX(' Toto teams'!$H$4:$H$119,MATCH($B54,' Toto teams'!$A$4:$A$119,0)),Scoring!$A$4:$N$51,5,FALSE()),0))+IFERROR(INDEX(' Toto teams'!$Q$4:$Q$119,MATCH($B54,' Toto teams'!$A$4:$A$119,0))*1,0))</f>
        <v>1</v>
      </c>
      <c r="D54" s="28">
        <f>IF($B54="","",6*IFERROR(VLOOKUP(INDEX(' Toto teams'!$B$4:$B$119,MATCH($B54,' Toto teams'!$A$4:$A$119,0)),Scoring!$A$4:$N$51,7,FALSE()),0)+4*IFERROR(VLOOKUP(INDEX(' Toto teams'!$C$4:$C$119,MATCH($B54,' Toto teams'!$A$4:$A$119,0)),Scoring!$A$4:$N$51,7,FALSE()),0)+3*IFERROR(VLOOKUP(INDEX(' Toto teams'!$D$4:$D$119,MATCH($B54,' Toto teams'!$A$4:$A$119,0)),Scoring!$A$4:$N$51,7,FALSE()),0)+2*IFERROR(VLOOKUP(INDEX(' Toto teams'!$E$4:$E$119,MATCH($B54,' Toto teams'!$A$4:$A$119,0)),Scoring!$A$4:$N$51,7,FALSE()),0)+1*IFERROR(VLOOKUP(INDEX(' Toto teams'!$F$4:$F$119,MATCH($B54,' Toto teams'!$A$4:$A$119,0)),Scoring!$A$4:$N$51,7,FALSE()),0)+1*IFERROR(VLOOKUP(INDEX(' Toto teams'!$G$4:$G$119,MATCH($B54,' Toto teams'!$A$4:$A$119,0)),Scoring!$A$4:$N$51,7,FALSE()),0)+1*IFERROR(VLOOKUP(INDEX(' Toto teams'!$H$4:$H$119,MATCH($B54,' Toto teams'!$A$4:$A$119,0)),Scoring!$A$4:$N$51,7,FALSE()),0))</f>
        <v>0</v>
      </c>
      <c r="E54" s="28">
        <f>IF($B54="","",6*IFERROR(VLOOKUP(INDEX(' Toto teams'!$B$4:$B$119,MATCH($B54,' Toto teams'!$A$4:$A$119,0)),Scoring!$A$4:$N$51,8,FALSE()),0)+4*IFERROR(VLOOKUP(INDEX(' Toto teams'!$C$4:$C$119,MATCH($B54,' Toto teams'!$A$4:$A$119,0)),Scoring!$A$4:$N$51,8,FALSE()),0)+3*IFERROR(VLOOKUP(INDEX(' Toto teams'!$D$4:$D$119,MATCH($B54,' Toto teams'!$A$4:$A$119,0)),Scoring!$A$4:$N$51,8,FALSE()),0)+2*IFERROR(VLOOKUP(INDEX(' Toto teams'!$E$4:$E$119,MATCH($B54,' Toto teams'!$A$4:$A$119,0)),Scoring!$A$4:$N$51,8,FALSE()),0)+1*IFERROR(VLOOKUP(INDEX(' Toto teams'!$F$4:$F$119,MATCH($B54,' Toto teams'!$A$4:$A$119,0)),Scoring!$A$4:$N$51,8,FALSE()),0)+1*IFERROR(VLOOKUP(INDEX(' Toto teams'!$G$4:$G$119,MATCH($B54,' Toto teams'!$A$4:$A$119,0)),Scoring!$A$4:$N$51,8,FALSE()),0)+1*IFERROR(VLOOKUP(INDEX(' Toto teams'!$H$4:$H$119,MATCH($B54,' Toto teams'!$A$4:$A$119,0)),Scoring!$A$4:$N$51,8,FALSE()),0))</f>
        <v>0</v>
      </c>
      <c r="F54" s="28">
        <f>IF($B54="","",6*IFERROR(VLOOKUP(INDEX(' Toto teams'!$B$4:$B$119,MATCH($B54,' Toto teams'!$A$4:$A$119,0)),Scoring!$A$4:$N$51,9,FALSE()),0)+4*IFERROR(VLOOKUP(INDEX(' Toto teams'!$C$4:$C$119,MATCH($B54,' Toto teams'!$A$4:$A$119,0)),Scoring!$A$4:$N$51,9,FALSE()),0)+3*IFERROR(VLOOKUP(INDEX(' Toto teams'!$D$4:$D$119,MATCH($B54,' Toto teams'!$A$4:$A$119,0)),Scoring!$A$4:$N$51,9,FALSE()),0)+2*IFERROR(VLOOKUP(INDEX(' Toto teams'!$E$4:$E$119,MATCH($B54,' Toto teams'!$A$4:$A$119,0)),Scoring!$A$4:$N$51,9,FALSE()),0)+1*IFERROR(VLOOKUP(INDEX(' Toto teams'!$F$4:$F$119,MATCH($B54,' Toto teams'!$A$4:$A$119,0)),Scoring!$A$4:$N$51,9,FALSE()),0)+1*IFERROR(VLOOKUP(INDEX(' Toto teams'!$G$4:$G$119,MATCH($B54,' Toto teams'!$A$4:$A$119,0)),Scoring!$A$4:$N$51,9,FALSE()),0)+1*IFERROR(VLOOKUP(INDEX(' Toto teams'!$H$4:$H$119,MATCH($B54,' Toto teams'!$A$4:$A$119,0)),Scoring!$A$4:$N$51,9,FALSE()),0))</f>
        <v>0</v>
      </c>
      <c r="G54" s="28">
        <f>IF($B54="","",6*IFERROR(VLOOKUP(INDEX(' Toto teams'!$B$4:$B$119,MATCH($B54,' Toto teams'!$A$4:$A$119,0)),Scoring!$A$4:$N$51,10,FALSE()),0)+4*IFERROR(VLOOKUP(INDEX(' Toto teams'!$C$4:$C$119,MATCH($B54,' Toto teams'!$A$4:$A$119,0)),Scoring!$A$4:$N$51,10,FALSE()),0)+3*IFERROR(VLOOKUP(INDEX(' Toto teams'!$D$4:$D$119,MATCH($B54,' Toto teams'!$A$4:$A$119,0)),Scoring!$A$4:$N$51,10,FALSE()),0)+2*IFERROR(VLOOKUP(INDEX(' Toto teams'!$E$4:$E$119,MATCH($B54,' Toto teams'!$A$4:$A$119,0)),Scoring!$A$4:$N$51,10,FALSE()),0)+1*IFERROR(VLOOKUP(INDEX(' Toto teams'!$F$4:$F$119,MATCH($B54,' Toto teams'!$A$4:$A$119,0)),Scoring!$A$4:$N$51,10,FALSE()),0)+1*IFERROR(VLOOKUP(INDEX(' Toto teams'!$G$4:$G$119,MATCH($B54,' Toto teams'!$A$4:$A$119,0)),Scoring!$A$4:$N$51,10,FALSE()),0)+1*IFERROR(VLOOKUP(INDEX(' Toto teams'!$H$4:$H$119,MATCH($B54,' Toto teams'!$A$4:$A$119,0)),Scoring!$A$4:$N$51,10,FALSE()),0))</f>
        <v>0</v>
      </c>
      <c r="H54" s="28">
        <f>IF($B54="","",6*IFERROR(VLOOKUP(INDEX(' Toto teams'!$B$4:$B$119,MATCH($B54,' Toto teams'!$A$4:$A$119,0)),Scoring!$A$4:$N$51,11,FALSE()),0)+4*IFERROR(VLOOKUP(INDEX(' Toto teams'!$C$4:$C$119,MATCH($B54,' Toto teams'!$A$4:$A$119,0)),Scoring!$A$4:$N$51,11,FALSE()),0)+3*IFERROR(VLOOKUP(INDEX(' Toto teams'!$D$4:$D$119,MATCH($B54,' Toto teams'!$A$4:$A$119,0)),Scoring!$A$4:$N$51,11,FALSE()),0)+2*IFERROR(VLOOKUP(INDEX(' Toto teams'!$E$4:$E$119,MATCH($B54,' Toto teams'!$A$4:$A$119,0)),Scoring!$A$4:$N$51,11,FALSE()),0)+1*IFERROR(VLOOKUP(INDEX(' Toto teams'!$F$4:$F$119,MATCH($B54,' Toto teams'!$A$4:$A$119,0)),Scoring!$A$4:$N$51,11,FALSE()),0)+1*IFERROR(VLOOKUP(INDEX(' Toto teams'!$G$4:$G$119,MATCH($B54,' Toto teams'!$A$4:$A$119,0)),Scoring!$A$4:$N$51,11,FALSE()),0)+1*IFERROR(VLOOKUP(INDEX(' Toto teams'!$H$4:$H$119,MATCH($B54,' Toto teams'!$A$4:$A$119,0)),Scoring!$A$4:$N$51,11,FALSE()),0))</f>
        <v>0</v>
      </c>
      <c r="I54" s="28">
        <f>IF($B54="","",6*IFERROR(VLOOKUP(INDEX(' Toto teams'!$B$4:$B$119,MATCH($B54,' Toto teams'!$A$4:$A$119,0)),Scoring!$A$4:$O$51,15,FALSE()),0)+4*IFERROR(VLOOKUP(INDEX(' Toto teams'!$C$4:$C$119,MATCH($B54,' Toto teams'!$A$4:$A$119,0)),Scoring!$A$4:$O$51,15,FALSE()),0)+3*IFERROR(VLOOKUP(INDEX(' Toto teams'!$D$4:$D$119,MATCH($B54,' Toto teams'!$A$4:$A$119,0)),Scoring!$A$4:$O$51,15,FALSE()),0)+2*IFERROR(VLOOKUP(INDEX(' Toto teams'!$E$4:$E$119,MATCH($B54,' Toto teams'!$A$4:$A$119,0)),Scoring!$A$4:$O$51,15,FALSE()),0)+1*IFERROR(VLOOKUP(INDEX(' Toto teams'!$F$4:$F$119,MATCH($B54,' Toto teams'!$A$4:$A$119,0)),Scoring!$A$4:$O$51,15,FALSE()),0)+1*IFERROR(VLOOKUP(INDEX(' Toto teams'!$G$4:$G$119,MATCH($B54,' Toto teams'!$A$4:$A$119,0)),Scoring!$A$4:$O$51,15,FALSE()),0)+1*IFERROR(VLOOKUP(INDEX(' Toto teams'!$H$4:$H$119,MATCH($B54,' Toto teams'!$A$4:$A$119,0)),Scoring!$A$4:$O$51,15,FALSE()),0))</f>
        <v>0</v>
      </c>
      <c r="J54" s="28">
        <f>IF($B54="","",6*IFERROR(VLOOKUP(INDEX(' Toto teams'!$B$4:$B$119,MATCH($B54,' Toto teams'!$A$4:$A$119,0)),Scoring!$A$4:$N$51,12,FALSE()),0)+4*IFERROR(VLOOKUP(INDEX(' Toto teams'!$C$4:$C$119,MATCH($B54,' Toto teams'!$A$4:$A$119,0)),Scoring!$A$4:$N$51,12,FALSE()),0)+3*IFERROR(VLOOKUP(INDEX(' Toto teams'!$D$4:$D$119,MATCH($B54,' Toto teams'!$A$4:$A$119,0)),Scoring!$A$4:$N$51,12,FALSE()),0)+2*IFERROR(VLOOKUP(INDEX(' Toto teams'!$E$4:$E$119,MATCH($B54,' Toto teams'!$A$4:$A$119,0)),Scoring!$A$4:$N$51,12,FALSE()),0)+1*IFERROR(VLOOKUP(INDEX(' Toto teams'!$F$4:$F$119,MATCH($B54,' Toto teams'!$A$4:$A$119,0)),Scoring!$A$4:$N$51,12,FALSE()),0)+1*IFERROR(VLOOKUP(INDEX(' Toto teams'!$G$4:$G$119,MATCH($B54,' Toto teams'!$A$4:$A$119,0)),Scoring!$A$4:$N$51,12,FALSE()),0)+1*IFERROR(VLOOKUP(INDEX(' Toto teams'!$H$4:$H$119,MATCH($B54,' Toto teams'!$A$4:$A$119,0)),Scoring!$A$4:$N$51,12,FALSE()),0))</f>
        <v>0</v>
      </c>
      <c r="K54" s="29">
        <f>IF($B54="","",IFERROR(INDEX(' Toto teams'!$R$4:$R$119,MATCH($B54,' Toto teams'!$A$4:$A$119,0)),""))</f>
        <v>1</v>
      </c>
      <c r="L54" s="30">
        <f t="shared" si="4"/>
        <v>0</v>
      </c>
    </row>
    <row r="55" spans="1:12" ht="12.75" customHeight="1" x14ac:dyDescent="0.3">
      <c r="A55" s="26">
        <f>IF(52&gt;COUNTIF(' Toto teams'!$A$4:$A$119,"&lt;&gt;"),"",INDEX(' Toto teams'!$S$4:$S$119,MATCH(LARGE(' Toto teams'!$T$4:$T$119,52),' Toto teams'!$T$4:$T$119,0)))</f>
        <v>36</v>
      </c>
      <c r="B55" s="27" t="str">
        <f>IF(52&gt;COUNTIF(' Toto teams'!$A$4:$A$119,"&lt;&gt;"),"",INDEX(' Toto teams'!$A$4:$A$119,MATCH(LARGE(' Toto teams'!$T$4:$T$119,52),' Toto teams'!$T$4:$T$119,0)))</f>
        <v>Sampaio Carlos</v>
      </c>
      <c r="C55" s="28">
        <f>IF($B55="","",6*(IFERROR(VLOOKUP(INDEX(' Toto teams'!$B$4:$B$119,MATCH($B55,' Toto teams'!$A$4:$A$119,0)),Scoring!$A$4:$N$51,3,FALSE()),0)+IFERROR(VLOOKUP(INDEX(' Toto teams'!$B$4:$B$119,MATCH($B55,' Toto teams'!$A$4:$A$119,0)),Scoring!$A$4:$N$51,4,FALSE()),0)+IFERROR(VLOOKUP(INDEX(' Toto teams'!$B$4:$B$119,MATCH($B55,' Toto teams'!$A$4:$A$119,0)),Scoring!$A$4:$N$51,5,FALSE()),0))+4*(IFERROR(VLOOKUP(INDEX(' Toto teams'!$C$4:$C$119,MATCH($B55,' Toto teams'!$A$4:$A$119,0)),Scoring!$A$4:$N$51,3,FALSE()),0)+IFERROR(VLOOKUP(INDEX(' Toto teams'!$C$4:$C$119,MATCH($B55,' Toto teams'!$A$4:$A$119,0)),Scoring!$A$4:$N$51,4,FALSE()),0)+IFERROR(VLOOKUP(INDEX(' Toto teams'!$C$4:$C$119,MATCH($B55,' Toto teams'!$A$4:$A$119,0)),Scoring!$A$4:$N$51,5,FALSE()),0))+3*(IFERROR(VLOOKUP(INDEX(' Toto teams'!$D$4:$D$119,MATCH($B55,' Toto teams'!$A$4:$A$119,0)),Scoring!$A$4:$N$51,3,FALSE()),0)+IFERROR(VLOOKUP(INDEX(' Toto teams'!$D$4:$D$119,MATCH($B55,' Toto teams'!$A$4:$A$119,0)),Scoring!$A$4:$N$51,4,FALSE()),0)+IFERROR(VLOOKUP(INDEX(' Toto teams'!$D$4:$D$119,MATCH($B55,' Toto teams'!$A$4:$A$119,0)),Scoring!$A$4:$N$51,5,FALSE()),0))+2*(IFERROR(VLOOKUP(INDEX(' Toto teams'!$E$4:$E$119,MATCH($B55,' Toto teams'!$A$4:$A$119,0)),Scoring!$A$4:$N$51,3,FALSE()),0)+IFERROR(VLOOKUP(INDEX(' Toto teams'!$E$4:$E$119,MATCH($B55,' Toto teams'!$A$4:$A$119,0)),Scoring!$A$4:$N$51,4,FALSE()),0)+IFERROR(VLOOKUP(INDEX(' Toto teams'!$E$4:$E$119,MATCH($B55,' Toto teams'!$A$4:$A$119,0)),Scoring!$A$4:$N$51,5,FALSE()),0))+1*(IFERROR(VLOOKUP(INDEX(' Toto teams'!$F$4:$F$119,MATCH($B55,' Toto teams'!$A$4:$A$119,0)),Scoring!$A$4:$N$51,3,FALSE()),0)+IFERROR(VLOOKUP(INDEX(' Toto teams'!$F$4:$F$119,MATCH($B55,' Toto teams'!$A$4:$A$119,0)),Scoring!$A$4:$N$51,4,FALSE()),0)+IFERROR(VLOOKUP(INDEX(' Toto teams'!$F$4:$F$119,MATCH($B55,' Toto teams'!$A$4:$A$119,0)),Scoring!$A$4:$N$51,5,FALSE()),0))+1*(IFERROR(VLOOKUP(INDEX(' Toto teams'!$G$4:$G$119,MATCH($B55,' Toto teams'!$A$4:$A$119,0)),Scoring!$A$4:$N$51,3,FALSE()),0)+IFERROR(VLOOKUP(INDEX(' Toto teams'!$G$4:$G$119,MATCH($B55,' Toto teams'!$A$4:$A$119,0)),Scoring!$A$4:$N$51,4,FALSE()),0)+IFERROR(VLOOKUP(INDEX(' Toto teams'!$G$4:$G$119,MATCH($B55,' Toto teams'!$A$4:$A$119,0)),Scoring!$A$4:$N$51,5,FALSE()),0))+1*(IFERROR(VLOOKUP(INDEX(' Toto teams'!$H$4:$H$119,MATCH($B55,' Toto teams'!$A$4:$A$119,0)),Scoring!$A$4:$N$51,3,FALSE()),0)+IFERROR(VLOOKUP(INDEX(' Toto teams'!$H$4:$H$119,MATCH($B55,' Toto teams'!$A$4:$A$119,0)),Scoring!$A$4:$N$51,4,FALSE()),0)+IFERROR(VLOOKUP(INDEX(' Toto teams'!$H$4:$H$119,MATCH($B55,' Toto teams'!$A$4:$A$119,0)),Scoring!$A$4:$N$51,5,FALSE()),0))+IFERROR(INDEX(' Toto teams'!$Q$4:$Q$119,MATCH($B55,' Toto teams'!$A$4:$A$119,0))*1,0))</f>
        <v>1</v>
      </c>
      <c r="D55" s="28">
        <f>IF($B55="","",6*IFERROR(VLOOKUP(INDEX(' Toto teams'!$B$4:$B$119,MATCH($B55,' Toto teams'!$A$4:$A$119,0)),Scoring!$A$4:$N$51,7,FALSE()),0)+4*IFERROR(VLOOKUP(INDEX(' Toto teams'!$C$4:$C$119,MATCH($B55,' Toto teams'!$A$4:$A$119,0)),Scoring!$A$4:$N$51,7,FALSE()),0)+3*IFERROR(VLOOKUP(INDEX(' Toto teams'!$D$4:$D$119,MATCH($B55,' Toto teams'!$A$4:$A$119,0)),Scoring!$A$4:$N$51,7,FALSE()),0)+2*IFERROR(VLOOKUP(INDEX(' Toto teams'!$E$4:$E$119,MATCH($B55,' Toto teams'!$A$4:$A$119,0)),Scoring!$A$4:$N$51,7,FALSE()),0)+1*IFERROR(VLOOKUP(INDEX(' Toto teams'!$F$4:$F$119,MATCH($B55,' Toto teams'!$A$4:$A$119,0)),Scoring!$A$4:$N$51,7,FALSE()),0)+1*IFERROR(VLOOKUP(INDEX(' Toto teams'!$G$4:$G$119,MATCH($B55,' Toto teams'!$A$4:$A$119,0)),Scoring!$A$4:$N$51,7,FALSE()),0)+1*IFERROR(VLOOKUP(INDEX(' Toto teams'!$H$4:$H$119,MATCH($B55,' Toto teams'!$A$4:$A$119,0)),Scoring!$A$4:$N$51,7,FALSE()),0))</f>
        <v>0</v>
      </c>
      <c r="E55" s="28">
        <f>IF($B55="","",6*IFERROR(VLOOKUP(INDEX(' Toto teams'!$B$4:$B$119,MATCH($B55,' Toto teams'!$A$4:$A$119,0)),Scoring!$A$4:$N$51,8,FALSE()),0)+4*IFERROR(VLOOKUP(INDEX(' Toto teams'!$C$4:$C$119,MATCH($B55,' Toto teams'!$A$4:$A$119,0)),Scoring!$A$4:$N$51,8,FALSE()),0)+3*IFERROR(VLOOKUP(INDEX(' Toto teams'!$D$4:$D$119,MATCH($B55,' Toto teams'!$A$4:$A$119,0)),Scoring!$A$4:$N$51,8,FALSE()),0)+2*IFERROR(VLOOKUP(INDEX(' Toto teams'!$E$4:$E$119,MATCH($B55,' Toto teams'!$A$4:$A$119,0)),Scoring!$A$4:$N$51,8,FALSE()),0)+1*IFERROR(VLOOKUP(INDEX(' Toto teams'!$F$4:$F$119,MATCH($B55,' Toto teams'!$A$4:$A$119,0)),Scoring!$A$4:$N$51,8,FALSE()),0)+1*IFERROR(VLOOKUP(INDEX(' Toto teams'!$G$4:$G$119,MATCH($B55,' Toto teams'!$A$4:$A$119,0)),Scoring!$A$4:$N$51,8,FALSE()),0)+1*IFERROR(VLOOKUP(INDEX(' Toto teams'!$H$4:$H$119,MATCH($B55,' Toto teams'!$A$4:$A$119,0)),Scoring!$A$4:$N$51,8,FALSE()),0))</f>
        <v>0</v>
      </c>
      <c r="F55" s="28">
        <f>IF($B55="","",6*IFERROR(VLOOKUP(INDEX(' Toto teams'!$B$4:$B$119,MATCH($B55,' Toto teams'!$A$4:$A$119,0)),Scoring!$A$4:$N$51,9,FALSE()),0)+4*IFERROR(VLOOKUP(INDEX(' Toto teams'!$C$4:$C$119,MATCH($B55,' Toto teams'!$A$4:$A$119,0)),Scoring!$A$4:$N$51,9,FALSE()),0)+3*IFERROR(VLOOKUP(INDEX(' Toto teams'!$D$4:$D$119,MATCH($B55,' Toto teams'!$A$4:$A$119,0)),Scoring!$A$4:$N$51,9,FALSE()),0)+2*IFERROR(VLOOKUP(INDEX(' Toto teams'!$E$4:$E$119,MATCH($B55,' Toto teams'!$A$4:$A$119,0)),Scoring!$A$4:$N$51,9,FALSE()),0)+1*IFERROR(VLOOKUP(INDEX(' Toto teams'!$F$4:$F$119,MATCH($B55,' Toto teams'!$A$4:$A$119,0)),Scoring!$A$4:$N$51,9,FALSE()),0)+1*IFERROR(VLOOKUP(INDEX(' Toto teams'!$G$4:$G$119,MATCH($B55,' Toto teams'!$A$4:$A$119,0)),Scoring!$A$4:$N$51,9,FALSE()),0)+1*IFERROR(VLOOKUP(INDEX(' Toto teams'!$H$4:$H$119,MATCH($B55,' Toto teams'!$A$4:$A$119,0)),Scoring!$A$4:$N$51,9,FALSE()),0))</f>
        <v>0</v>
      </c>
      <c r="G55" s="28">
        <f>IF($B55="","",6*IFERROR(VLOOKUP(INDEX(' Toto teams'!$B$4:$B$119,MATCH($B55,' Toto teams'!$A$4:$A$119,0)),Scoring!$A$4:$N$51,10,FALSE()),0)+4*IFERROR(VLOOKUP(INDEX(' Toto teams'!$C$4:$C$119,MATCH($B55,' Toto teams'!$A$4:$A$119,0)),Scoring!$A$4:$N$51,10,FALSE()),0)+3*IFERROR(VLOOKUP(INDEX(' Toto teams'!$D$4:$D$119,MATCH($B55,' Toto teams'!$A$4:$A$119,0)),Scoring!$A$4:$N$51,10,FALSE()),0)+2*IFERROR(VLOOKUP(INDEX(' Toto teams'!$E$4:$E$119,MATCH($B55,' Toto teams'!$A$4:$A$119,0)),Scoring!$A$4:$N$51,10,FALSE()),0)+1*IFERROR(VLOOKUP(INDEX(' Toto teams'!$F$4:$F$119,MATCH($B55,' Toto teams'!$A$4:$A$119,0)),Scoring!$A$4:$N$51,10,FALSE()),0)+1*IFERROR(VLOOKUP(INDEX(' Toto teams'!$G$4:$G$119,MATCH($B55,' Toto teams'!$A$4:$A$119,0)),Scoring!$A$4:$N$51,10,FALSE()),0)+1*IFERROR(VLOOKUP(INDEX(' Toto teams'!$H$4:$H$119,MATCH($B55,' Toto teams'!$A$4:$A$119,0)),Scoring!$A$4:$N$51,10,FALSE()),0))</f>
        <v>0</v>
      </c>
      <c r="H55" s="28">
        <f>IF($B55="","",6*IFERROR(VLOOKUP(INDEX(' Toto teams'!$B$4:$B$119,MATCH($B55,' Toto teams'!$A$4:$A$119,0)),Scoring!$A$4:$N$51,11,FALSE()),0)+4*IFERROR(VLOOKUP(INDEX(' Toto teams'!$C$4:$C$119,MATCH($B55,' Toto teams'!$A$4:$A$119,0)),Scoring!$A$4:$N$51,11,FALSE()),0)+3*IFERROR(VLOOKUP(INDEX(' Toto teams'!$D$4:$D$119,MATCH($B55,' Toto teams'!$A$4:$A$119,0)),Scoring!$A$4:$N$51,11,FALSE()),0)+2*IFERROR(VLOOKUP(INDEX(' Toto teams'!$E$4:$E$119,MATCH($B55,' Toto teams'!$A$4:$A$119,0)),Scoring!$A$4:$N$51,11,FALSE()),0)+1*IFERROR(VLOOKUP(INDEX(' Toto teams'!$F$4:$F$119,MATCH($B55,' Toto teams'!$A$4:$A$119,0)),Scoring!$A$4:$N$51,11,FALSE()),0)+1*IFERROR(VLOOKUP(INDEX(' Toto teams'!$G$4:$G$119,MATCH($B55,' Toto teams'!$A$4:$A$119,0)),Scoring!$A$4:$N$51,11,FALSE()),0)+1*IFERROR(VLOOKUP(INDEX(' Toto teams'!$H$4:$H$119,MATCH($B55,' Toto teams'!$A$4:$A$119,0)),Scoring!$A$4:$N$51,11,FALSE()),0))</f>
        <v>0</v>
      </c>
      <c r="I55" s="28">
        <f>IF($B55="","",6*IFERROR(VLOOKUP(INDEX(' Toto teams'!$B$4:$B$119,MATCH($B55,' Toto teams'!$A$4:$A$119,0)),Scoring!$A$4:$O$51,15,FALSE()),0)+4*IFERROR(VLOOKUP(INDEX(' Toto teams'!$C$4:$C$119,MATCH($B55,' Toto teams'!$A$4:$A$119,0)),Scoring!$A$4:$O$51,15,FALSE()),0)+3*IFERROR(VLOOKUP(INDEX(' Toto teams'!$D$4:$D$119,MATCH($B55,' Toto teams'!$A$4:$A$119,0)),Scoring!$A$4:$O$51,15,FALSE()),0)+2*IFERROR(VLOOKUP(INDEX(' Toto teams'!$E$4:$E$119,MATCH($B55,' Toto teams'!$A$4:$A$119,0)),Scoring!$A$4:$O$51,15,FALSE()),0)+1*IFERROR(VLOOKUP(INDEX(' Toto teams'!$F$4:$F$119,MATCH($B55,' Toto teams'!$A$4:$A$119,0)),Scoring!$A$4:$O$51,15,FALSE()),0)+1*IFERROR(VLOOKUP(INDEX(' Toto teams'!$G$4:$G$119,MATCH($B55,' Toto teams'!$A$4:$A$119,0)),Scoring!$A$4:$O$51,15,FALSE()),0)+1*IFERROR(VLOOKUP(INDEX(' Toto teams'!$H$4:$H$119,MATCH($B55,' Toto teams'!$A$4:$A$119,0)),Scoring!$A$4:$O$51,15,FALSE()),0))</f>
        <v>0</v>
      </c>
      <c r="J55" s="28">
        <f>IF($B55="","",6*IFERROR(VLOOKUP(INDEX(' Toto teams'!$B$4:$B$119,MATCH($B55,' Toto teams'!$A$4:$A$119,0)),Scoring!$A$4:$N$51,12,FALSE()),0)+4*IFERROR(VLOOKUP(INDEX(' Toto teams'!$C$4:$C$119,MATCH($B55,' Toto teams'!$A$4:$A$119,0)),Scoring!$A$4:$N$51,12,FALSE()),0)+3*IFERROR(VLOOKUP(INDEX(' Toto teams'!$D$4:$D$119,MATCH($B55,' Toto teams'!$A$4:$A$119,0)),Scoring!$A$4:$N$51,12,FALSE()),0)+2*IFERROR(VLOOKUP(INDEX(' Toto teams'!$E$4:$E$119,MATCH($B55,' Toto teams'!$A$4:$A$119,0)),Scoring!$A$4:$N$51,12,FALSE()),0)+1*IFERROR(VLOOKUP(INDEX(' Toto teams'!$F$4:$F$119,MATCH($B55,' Toto teams'!$A$4:$A$119,0)),Scoring!$A$4:$N$51,12,FALSE()),0)+1*IFERROR(VLOOKUP(INDEX(' Toto teams'!$G$4:$G$119,MATCH($B55,' Toto teams'!$A$4:$A$119,0)),Scoring!$A$4:$N$51,12,FALSE()),0)+1*IFERROR(VLOOKUP(INDEX(' Toto teams'!$H$4:$H$119,MATCH($B55,' Toto teams'!$A$4:$A$119,0)),Scoring!$A$4:$N$51,12,FALSE()),0))</f>
        <v>0</v>
      </c>
      <c r="K55" s="29">
        <f>IF($B55="","",IFERROR(INDEX(' Toto teams'!$R$4:$R$119,MATCH($B55,' Toto teams'!$A$4:$A$119,0)),""))</f>
        <v>1</v>
      </c>
      <c r="L55" s="30">
        <f t="shared" si="4"/>
        <v>0</v>
      </c>
    </row>
    <row r="56" spans="1:12" ht="12.75" customHeight="1" x14ac:dyDescent="0.3">
      <c r="A56" s="26">
        <f>IF(53&gt;COUNTIF(' Toto teams'!$A$4:$A$119,"&lt;&gt;"),"",INDEX(' Toto teams'!$S$4:$S$119,MATCH(LARGE(' Toto teams'!$T$4:$T$119,53),' Toto teams'!$T$4:$T$119,0)))</f>
        <v>36</v>
      </c>
      <c r="B56" s="27" t="str">
        <f>IF(53&gt;COUNTIF(' Toto teams'!$A$4:$A$119,"&lt;&gt;"),"",INDEX(' Toto teams'!$A$4:$A$119,MATCH(LARGE(' Toto teams'!$T$4:$T$119,53),' Toto teams'!$T$4:$T$119,0)))</f>
        <v>Jurga Šantaraitė</v>
      </c>
      <c r="C56" s="28">
        <f>IF($B56="","",6*(IFERROR(VLOOKUP(INDEX(' Toto teams'!$B$4:$B$119,MATCH($B56,' Toto teams'!$A$4:$A$119,0)),Scoring!$A$4:$N$51,3,FALSE()),0)+IFERROR(VLOOKUP(INDEX(' Toto teams'!$B$4:$B$119,MATCH($B56,' Toto teams'!$A$4:$A$119,0)),Scoring!$A$4:$N$51,4,FALSE()),0)+IFERROR(VLOOKUP(INDEX(' Toto teams'!$B$4:$B$119,MATCH($B56,' Toto teams'!$A$4:$A$119,0)),Scoring!$A$4:$N$51,5,FALSE()),0))+4*(IFERROR(VLOOKUP(INDEX(' Toto teams'!$C$4:$C$119,MATCH($B56,' Toto teams'!$A$4:$A$119,0)),Scoring!$A$4:$N$51,3,FALSE()),0)+IFERROR(VLOOKUP(INDEX(' Toto teams'!$C$4:$C$119,MATCH($B56,' Toto teams'!$A$4:$A$119,0)),Scoring!$A$4:$N$51,4,FALSE()),0)+IFERROR(VLOOKUP(INDEX(' Toto teams'!$C$4:$C$119,MATCH($B56,' Toto teams'!$A$4:$A$119,0)),Scoring!$A$4:$N$51,5,FALSE()),0))+3*(IFERROR(VLOOKUP(INDEX(' Toto teams'!$D$4:$D$119,MATCH($B56,' Toto teams'!$A$4:$A$119,0)),Scoring!$A$4:$N$51,3,FALSE()),0)+IFERROR(VLOOKUP(INDEX(' Toto teams'!$D$4:$D$119,MATCH($B56,' Toto teams'!$A$4:$A$119,0)),Scoring!$A$4:$N$51,4,FALSE()),0)+IFERROR(VLOOKUP(INDEX(' Toto teams'!$D$4:$D$119,MATCH($B56,' Toto teams'!$A$4:$A$119,0)),Scoring!$A$4:$N$51,5,FALSE()),0))+2*(IFERROR(VLOOKUP(INDEX(' Toto teams'!$E$4:$E$119,MATCH($B56,' Toto teams'!$A$4:$A$119,0)),Scoring!$A$4:$N$51,3,FALSE()),0)+IFERROR(VLOOKUP(INDEX(' Toto teams'!$E$4:$E$119,MATCH($B56,' Toto teams'!$A$4:$A$119,0)),Scoring!$A$4:$N$51,4,FALSE()),0)+IFERROR(VLOOKUP(INDEX(' Toto teams'!$E$4:$E$119,MATCH($B56,' Toto teams'!$A$4:$A$119,0)),Scoring!$A$4:$N$51,5,FALSE()),0))+1*(IFERROR(VLOOKUP(INDEX(' Toto teams'!$F$4:$F$119,MATCH($B56,' Toto teams'!$A$4:$A$119,0)),Scoring!$A$4:$N$51,3,FALSE()),0)+IFERROR(VLOOKUP(INDEX(' Toto teams'!$F$4:$F$119,MATCH($B56,' Toto teams'!$A$4:$A$119,0)),Scoring!$A$4:$N$51,4,FALSE()),0)+IFERROR(VLOOKUP(INDEX(' Toto teams'!$F$4:$F$119,MATCH($B56,' Toto teams'!$A$4:$A$119,0)),Scoring!$A$4:$N$51,5,FALSE()),0))+1*(IFERROR(VLOOKUP(INDEX(' Toto teams'!$G$4:$G$119,MATCH($B56,' Toto teams'!$A$4:$A$119,0)),Scoring!$A$4:$N$51,3,FALSE()),0)+IFERROR(VLOOKUP(INDEX(' Toto teams'!$G$4:$G$119,MATCH($B56,' Toto teams'!$A$4:$A$119,0)),Scoring!$A$4:$N$51,4,FALSE()),0)+IFERROR(VLOOKUP(INDEX(' Toto teams'!$G$4:$G$119,MATCH($B56,' Toto teams'!$A$4:$A$119,0)),Scoring!$A$4:$N$51,5,FALSE()),0))+1*(IFERROR(VLOOKUP(INDEX(' Toto teams'!$H$4:$H$119,MATCH($B56,' Toto teams'!$A$4:$A$119,0)),Scoring!$A$4:$N$51,3,FALSE()),0)+IFERROR(VLOOKUP(INDEX(' Toto teams'!$H$4:$H$119,MATCH($B56,' Toto teams'!$A$4:$A$119,0)),Scoring!$A$4:$N$51,4,FALSE()),0)+IFERROR(VLOOKUP(INDEX(' Toto teams'!$H$4:$H$119,MATCH($B56,' Toto teams'!$A$4:$A$119,0)),Scoring!$A$4:$N$51,5,FALSE()),0))+IFERROR(INDEX(' Toto teams'!$Q$4:$Q$119,MATCH($B56,' Toto teams'!$A$4:$A$119,0))*1,0))</f>
        <v>1</v>
      </c>
      <c r="D56" s="28">
        <f>IF($B56="","",6*IFERROR(VLOOKUP(INDEX(' Toto teams'!$B$4:$B$119,MATCH($B56,' Toto teams'!$A$4:$A$119,0)),Scoring!$A$4:$N$51,7,FALSE()),0)+4*IFERROR(VLOOKUP(INDEX(' Toto teams'!$C$4:$C$119,MATCH($B56,' Toto teams'!$A$4:$A$119,0)),Scoring!$A$4:$N$51,7,FALSE()),0)+3*IFERROR(VLOOKUP(INDEX(' Toto teams'!$D$4:$D$119,MATCH($B56,' Toto teams'!$A$4:$A$119,0)),Scoring!$A$4:$N$51,7,FALSE()),0)+2*IFERROR(VLOOKUP(INDEX(' Toto teams'!$E$4:$E$119,MATCH($B56,' Toto teams'!$A$4:$A$119,0)),Scoring!$A$4:$N$51,7,FALSE()),0)+1*IFERROR(VLOOKUP(INDEX(' Toto teams'!$F$4:$F$119,MATCH($B56,' Toto teams'!$A$4:$A$119,0)),Scoring!$A$4:$N$51,7,FALSE()),0)+1*IFERROR(VLOOKUP(INDEX(' Toto teams'!$G$4:$G$119,MATCH($B56,' Toto teams'!$A$4:$A$119,0)),Scoring!$A$4:$N$51,7,FALSE()),0)+1*IFERROR(VLOOKUP(INDEX(' Toto teams'!$H$4:$H$119,MATCH($B56,' Toto teams'!$A$4:$A$119,0)),Scoring!$A$4:$N$51,7,FALSE()),0))</f>
        <v>0</v>
      </c>
      <c r="E56" s="28">
        <f>IF($B56="","",6*IFERROR(VLOOKUP(INDEX(' Toto teams'!$B$4:$B$119,MATCH($B56,' Toto teams'!$A$4:$A$119,0)),Scoring!$A$4:$N$51,8,FALSE()),0)+4*IFERROR(VLOOKUP(INDEX(' Toto teams'!$C$4:$C$119,MATCH($B56,' Toto teams'!$A$4:$A$119,0)),Scoring!$A$4:$N$51,8,FALSE()),0)+3*IFERROR(VLOOKUP(INDEX(' Toto teams'!$D$4:$D$119,MATCH($B56,' Toto teams'!$A$4:$A$119,0)),Scoring!$A$4:$N$51,8,FALSE()),0)+2*IFERROR(VLOOKUP(INDEX(' Toto teams'!$E$4:$E$119,MATCH($B56,' Toto teams'!$A$4:$A$119,0)),Scoring!$A$4:$N$51,8,FALSE()),0)+1*IFERROR(VLOOKUP(INDEX(' Toto teams'!$F$4:$F$119,MATCH($B56,' Toto teams'!$A$4:$A$119,0)),Scoring!$A$4:$N$51,8,FALSE()),0)+1*IFERROR(VLOOKUP(INDEX(' Toto teams'!$G$4:$G$119,MATCH($B56,' Toto teams'!$A$4:$A$119,0)),Scoring!$A$4:$N$51,8,FALSE()),0)+1*IFERROR(VLOOKUP(INDEX(' Toto teams'!$H$4:$H$119,MATCH($B56,' Toto teams'!$A$4:$A$119,0)),Scoring!$A$4:$N$51,8,FALSE()),0))</f>
        <v>0</v>
      </c>
      <c r="F56" s="28">
        <f>IF($B56="","",6*IFERROR(VLOOKUP(INDEX(' Toto teams'!$B$4:$B$119,MATCH($B56,' Toto teams'!$A$4:$A$119,0)),Scoring!$A$4:$N$51,9,FALSE()),0)+4*IFERROR(VLOOKUP(INDEX(' Toto teams'!$C$4:$C$119,MATCH($B56,' Toto teams'!$A$4:$A$119,0)),Scoring!$A$4:$N$51,9,FALSE()),0)+3*IFERROR(VLOOKUP(INDEX(' Toto teams'!$D$4:$D$119,MATCH($B56,' Toto teams'!$A$4:$A$119,0)),Scoring!$A$4:$N$51,9,FALSE()),0)+2*IFERROR(VLOOKUP(INDEX(' Toto teams'!$E$4:$E$119,MATCH($B56,' Toto teams'!$A$4:$A$119,0)),Scoring!$A$4:$N$51,9,FALSE()),0)+1*IFERROR(VLOOKUP(INDEX(' Toto teams'!$F$4:$F$119,MATCH($B56,' Toto teams'!$A$4:$A$119,0)),Scoring!$A$4:$N$51,9,FALSE()),0)+1*IFERROR(VLOOKUP(INDEX(' Toto teams'!$G$4:$G$119,MATCH($B56,' Toto teams'!$A$4:$A$119,0)),Scoring!$A$4:$N$51,9,FALSE()),0)+1*IFERROR(VLOOKUP(INDEX(' Toto teams'!$H$4:$H$119,MATCH($B56,' Toto teams'!$A$4:$A$119,0)),Scoring!$A$4:$N$51,9,FALSE()),0))</f>
        <v>0</v>
      </c>
      <c r="G56" s="28">
        <f>IF($B56="","",6*IFERROR(VLOOKUP(INDEX(' Toto teams'!$B$4:$B$119,MATCH($B56,' Toto teams'!$A$4:$A$119,0)),Scoring!$A$4:$N$51,10,FALSE()),0)+4*IFERROR(VLOOKUP(INDEX(' Toto teams'!$C$4:$C$119,MATCH($B56,' Toto teams'!$A$4:$A$119,0)),Scoring!$A$4:$N$51,10,FALSE()),0)+3*IFERROR(VLOOKUP(INDEX(' Toto teams'!$D$4:$D$119,MATCH($B56,' Toto teams'!$A$4:$A$119,0)),Scoring!$A$4:$N$51,10,FALSE()),0)+2*IFERROR(VLOOKUP(INDEX(' Toto teams'!$E$4:$E$119,MATCH($B56,' Toto teams'!$A$4:$A$119,0)),Scoring!$A$4:$N$51,10,FALSE()),0)+1*IFERROR(VLOOKUP(INDEX(' Toto teams'!$F$4:$F$119,MATCH($B56,' Toto teams'!$A$4:$A$119,0)),Scoring!$A$4:$N$51,10,FALSE()),0)+1*IFERROR(VLOOKUP(INDEX(' Toto teams'!$G$4:$G$119,MATCH($B56,' Toto teams'!$A$4:$A$119,0)),Scoring!$A$4:$N$51,10,FALSE()),0)+1*IFERROR(VLOOKUP(INDEX(' Toto teams'!$H$4:$H$119,MATCH($B56,' Toto teams'!$A$4:$A$119,0)),Scoring!$A$4:$N$51,10,FALSE()),0))</f>
        <v>0</v>
      </c>
      <c r="H56" s="28">
        <f>IF($B56="","",6*IFERROR(VLOOKUP(INDEX(' Toto teams'!$B$4:$B$119,MATCH($B56,' Toto teams'!$A$4:$A$119,0)),Scoring!$A$4:$N$51,11,FALSE()),0)+4*IFERROR(VLOOKUP(INDEX(' Toto teams'!$C$4:$C$119,MATCH($B56,' Toto teams'!$A$4:$A$119,0)),Scoring!$A$4:$N$51,11,FALSE()),0)+3*IFERROR(VLOOKUP(INDEX(' Toto teams'!$D$4:$D$119,MATCH($B56,' Toto teams'!$A$4:$A$119,0)),Scoring!$A$4:$N$51,11,FALSE()),0)+2*IFERROR(VLOOKUP(INDEX(' Toto teams'!$E$4:$E$119,MATCH($B56,' Toto teams'!$A$4:$A$119,0)),Scoring!$A$4:$N$51,11,FALSE()),0)+1*IFERROR(VLOOKUP(INDEX(' Toto teams'!$F$4:$F$119,MATCH($B56,' Toto teams'!$A$4:$A$119,0)),Scoring!$A$4:$N$51,11,FALSE()),0)+1*IFERROR(VLOOKUP(INDEX(' Toto teams'!$G$4:$G$119,MATCH($B56,' Toto teams'!$A$4:$A$119,0)),Scoring!$A$4:$N$51,11,FALSE()),0)+1*IFERROR(VLOOKUP(INDEX(' Toto teams'!$H$4:$H$119,MATCH($B56,' Toto teams'!$A$4:$A$119,0)),Scoring!$A$4:$N$51,11,FALSE()),0))</f>
        <v>0</v>
      </c>
      <c r="I56" s="28">
        <f>IF($B56="","",6*IFERROR(VLOOKUP(INDEX(' Toto teams'!$B$4:$B$119,MATCH($B56,' Toto teams'!$A$4:$A$119,0)),Scoring!$A$4:$O$51,15,FALSE()),0)+4*IFERROR(VLOOKUP(INDEX(' Toto teams'!$C$4:$C$119,MATCH($B56,' Toto teams'!$A$4:$A$119,0)),Scoring!$A$4:$O$51,15,FALSE()),0)+3*IFERROR(VLOOKUP(INDEX(' Toto teams'!$D$4:$D$119,MATCH($B56,' Toto teams'!$A$4:$A$119,0)),Scoring!$A$4:$O$51,15,FALSE()),0)+2*IFERROR(VLOOKUP(INDEX(' Toto teams'!$E$4:$E$119,MATCH($B56,' Toto teams'!$A$4:$A$119,0)),Scoring!$A$4:$O$51,15,FALSE()),0)+1*IFERROR(VLOOKUP(INDEX(' Toto teams'!$F$4:$F$119,MATCH($B56,' Toto teams'!$A$4:$A$119,0)),Scoring!$A$4:$O$51,15,FALSE()),0)+1*IFERROR(VLOOKUP(INDEX(' Toto teams'!$G$4:$G$119,MATCH($B56,' Toto teams'!$A$4:$A$119,0)),Scoring!$A$4:$O$51,15,FALSE()),0)+1*IFERROR(VLOOKUP(INDEX(' Toto teams'!$H$4:$H$119,MATCH($B56,' Toto teams'!$A$4:$A$119,0)),Scoring!$A$4:$O$51,15,FALSE()),0))</f>
        <v>0</v>
      </c>
      <c r="J56" s="28">
        <f>IF($B56="","",6*IFERROR(VLOOKUP(INDEX(' Toto teams'!$B$4:$B$119,MATCH($B56,' Toto teams'!$A$4:$A$119,0)),Scoring!$A$4:$N$51,12,FALSE()),0)+4*IFERROR(VLOOKUP(INDEX(' Toto teams'!$C$4:$C$119,MATCH($B56,' Toto teams'!$A$4:$A$119,0)),Scoring!$A$4:$N$51,12,FALSE()),0)+3*IFERROR(VLOOKUP(INDEX(' Toto teams'!$D$4:$D$119,MATCH($B56,' Toto teams'!$A$4:$A$119,0)),Scoring!$A$4:$N$51,12,FALSE()),0)+2*IFERROR(VLOOKUP(INDEX(' Toto teams'!$E$4:$E$119,MATCH($B56,' Toto teams'!$A$4:$A$119,0)),Scoring!$A$4:$N$51,12,FALSE()),0)+1*IFERROR(VLOOKUP(INDEX(' Toto teams'!$F$4:$F$119,MATCH($B56,' Toto teams'!$A$4:$A$119,0)),Scoring!$A$4:$N$51,12,FALSE()),0)+1*IFERROR(VLOOKUP(INDEX(' Toto teams'!$G$4:$G$119,MATCH($B56,' Toto teams'!$A$4:$A$119,0)),Scoring!$A$4:$N$51,12,FALSE()),0)+1*IFERROR(VLOOKUP(INDEX(' Toto teams'!$H$4:$H$119,MATCH($B56,' Toto teams'!$A$4:$A$119,0)),Scoring!$A$4:$N$51,12,FALSE()),0))</f>
        <v>0</v>
      </c>
      <c r="K56" s="29">
        <f>IF($B56="","",IFERROR(INDEX(' Toto teams'!$R$4:$R$119,MATCH($B56,' Toto teams'!$A$4:$A$119,0)),""))</f>
        <v>1</v>
      </c>
      <c r="L56" s="30">
        <f t="shared" si="4"/>
        <v>0</v>
      </c>
    </row>
    <row r="57" spans="1:12" ht="12.75" customHeight="1" x14ac:dyDescent="0.3">
      <c r="A57" s="26">
        <f>IF(54&gt;COUNTIF(' Toto teams'!$A$4:$A$119,"&lt;&gt;"),"",INDEX(' Toto teams'!$S$4:$S$119,MATCH(LARGE(' Toto teams'!$T$4:$T$119,54),' Toto teams'!$T$4:$T$119,0)))</f>
        <v>36</v>
      </c>
      <c r="B57" s="27" t="str">
        <f>IF(54&gt;COUNTIF(' Toto teams'!$A$4:$A$119,"&lt;&gt;"),"",INDEX(' Toto teams'!$A$4:$A$119,MATCH(LARGE(' Toto teams'!$T$4:$T$119,54),' Toto teams'!$T$4:$T$119,0)))</f>
        <v>Michele Sette</v>
      </c>
      <c r="C57" s="28">
        <f>IF($B57="","",6*(IFERROR(VLOOKUP(INDEX(' Toto teams'!$B$4:$B$119,MATCH($B57,' Toto teams'!$A$4:$A$119,0)),Scoring!$A$4:$N$51,3,FALSE()),0)+IFERROR(VLOOKUP(INDEX(' Toto teams'!$B$4:$B$119,MATCH($B57,' Toto teams'!$A$4:$A$119,0)),Scoring!$A$4:$N$51,4,FALSE()),0)+IFERROR(VLOOKUP(INDEX(' Toto teams'!$B$4:$B$119,MATCH($B57,' Toto teams'!$A$4:$A$119,0)),Scoring!$A$4:$N$51,5,FALSE()),0))+4*(IFERROR(VLOOKUP(INDEX(' Toto teams'!$C$4:$C$119,MATCH($B57,' Toto teams'!$A$4:$A$119,0)),Scoring!$A$4:$N$51,3,FALSE()),0)+IFERROR(VLOOKUP(INDEX(' Toto teams'!$C$4:$C$119,MATCH($B57,' Toto teams'!$A$4:$A$119,0)),Scoring!$A$4:$N$51,4,FALSE()),0)+IFERROR(VLOOKUP(INDEX(' Toto teams'!$C$4:$C$119,MATCH($B57,' Toto teams'!$A$4:$A$119,0)),Scoring!$A$4:$N$51,5,FALSE()),0))+3*(IFERROR(VLOOKUP(INDEX(' Toto teams'!$D$4:$D$119,MATCH($B57,' Toto teams'!$A$4:$A$119,0)),Scoring!$A$4:$N$51,3,FALSE()),0)+IFERROR(VLOOKUP(INDEX(' Toto teams'!$D$4:$D$119,MATCH($B57,' Toto teams'!$A$4:$A$119,0)),Scoring!$A$4:$N$51,4,FALSE()),0)+IFERROR(VLOOKUP(INDEX(' Toto teams'!$D$4:$D$119,MATCH($B57,' Toto teams'!$A$4:$A$119,0)),Scoring!$A$4:$N$51,5,FALSE()),0))+2*(IFERROR(VLOOKUP(INDEX(' Toto teams'!$E$4:$E$119,MATCH($B57,' Toto teams'!$A$4:$A$119,0)),Scoring!$A$4:$N$51,3,FALSE()),0)+IFERROR(VLOOKUP(INDEX(' Toto teams'!$E$4:$E$119,MATCH($B57,' Toto teams'!$A$4:$A$119,0)),Scoring!$A$4:$N$51,4,FALSE()),0)+IFERROR(VLOOKUP(INDEX(' Toto teams'!$E$4:$E$119,MATCH($B57,' Toto teams'!$A$4:$A$119,0)),Scoring!$A$4:$N$51,5,FALSE()),0))+1*(IFERROR(VLOOKUP(INDEX(' Toto teams'!$F$4:$F$119,MATCH($B57,' Toto teams'!$A$4:$A$119,0)),Scoring!$A$4:$N$51,3,FALSE()),0)+IFERROR(VLOOKUP(INDEX(' Toto teams'!$F$4:$F$119,MATCH($B57,' Toto teams'!$A$4:$A$119,0)),Scoring!$A$4:$N$51,4,FALSE()),0)+IFERROR(VLOOKUP(INDEX(' Toto teams'!$F$4:$F$119,MATCH($B57,' Toto teams'!$A$4:$A$119,0)),Scoring!$A$4:$N$51,5,FALSE()),0))+1*(IFERROR(VLOOKUP(INDEX(' Toto teams'!$G$4:$G$119,MATCH($B57,' Toto teams'!$A$4:$A$119,0)),Scoring!$A$4:$N$51,3,FALSE()),0)+IFERROR(VLOOKUP(INDEX(' Toto teams'!$G$4:$G$119,MATCH($B57,' Toto teams'!$A$4:$A$119,0)),Scoring!$A$4:$N$51,4,FALSE()),0)+IFERROR(VLOOKUP(INDEX(' Toto teams'!$G$4:$G$119,MATCH($B57,' Toto teams'!$A$4:$A$119,0)),Scoring!$A$4:$N$51,5,FALSE()),0))+1*(IFERROR(VLOOKUP(INDEX(' Toto teams'!$H$4:$H$119,MATCH($B57,' Toto teams'!$A$4:$A$119,0)),Scoring!$A$4:$N$51,3,FALSE()),0)+IFERROR(VLOOKUP(INDEX(' Toto teams'!$H$4:$H$119,MATCH($B57,' Toto teams'!$A$4:$A$119,0)),Scoring!$A$4:$N$51,4,FALSE()),0)+IFERROR(VLOOKUP(INDEX(' Toto teams'!$H$4:$H$119,MATCH($B57,' Toto teams'!$A$4:$A$119,0)),Scoring!$A$4:$N$51,5,FALSE()),0))+IFERROR(INDEX(' Toto teams'!$Q$4:$Q$119,MATCH($B57,' Toto teams'!$A$4:$A$119,0))*1,0))</f>
        <v>1</v>
      </c>
      <c r="D57" s="28">
        <f>IF($B57="","",6*IFERROR(VLOOKUP(INDEX(' Toto teams'!$B$4:$B$119,MATCH($B57,' Toto teams'!$A$4:$A$119,0)),Scoring!$A$4:$N$51,7,FALSE()),0)+4*IFERROR(VLOOKUP(INDEX(' Toto teams'!$C$4:$C$119,MATCH($B57,' Toto teams'!$A$4:$A$119,0)),Scoring!$A$4:$N$51,7,FALSE()),0)+3*IFERROR(VLOOKUP(INDEX(' Toto teams'!$D$4:$D$119,MATCH($B57,' Toto teams'!$A$4:$A$119,0)),Scoring!$A$4:$N$51,7,FALSE()),0)+2*IFERROR(VLOOKUP(INDEX(' Toto teams'!$E$4:$E$119,MATCH($B57,' Toto teams'!$A$4:$A$119,0)),Scoring!$A$4:$N$51,7,FALSE()),0)+1*IFERROR(VLOOKUP(INDEX(' Toto teams'!$F$4:$F$119,MATCH($B57,' Toto teams'!$A$4:$A$119,0)),Scoring!$A$4:$N$51,7,FALSE()),0)+1*IFERROR(VLOOKUP(INDEX(' Toto teams'!$G$4:$G$119,MATCH($B57,' Toto teams'!$A$4:$A$119,0)),Scoring!$A$4:$N$51,7,FALSE()),0)+1*IFERROR(VLOOKUP(INDEX(' Toto teams'!$H$4:$H$119,MATCH($B57,' Toto teams'!$A$4:$A$119,0)),Scoring!$A$4:$N$51,7,FALSE()),0))</f>
        <v>0</v>
      </c>
      <c r="E57" s="28">
        <f>IF($B57="","",6*IFERROR(VLOOKUP(INDEX(' Toto teams'!$B$4:$B$119,MATCH($B57,' Toto teams'!$A$4:$A$119,0)),Scoring!$A$4:$N$51,8,FALSE()),0)+4*IFERROR(VLOOKUP(INDEX(' Toto teams'!$C$4:$C$119,MATCH($B57,' Toto teams'!$A$4:$A$119,0)),Scoring!$A$4:$N$51,8,FALSE()),0)+3*IFERROR(VLOOKUP(INDEX(' Toto teams'!$D$4:$D$119,MATCH($B57,' Toto teams'!$A$4:$A$119,0)),Scoring!$A$4:$N$51,8,FALSE()),0)+2*IFERROR(VLOOKUP(INDEX(' Toto teams'!$E$4:$E$119,MATCH($B57,' Toto teams'!$A$4:$A$119,0)),Scoring!$A$4:$N$51,8,FALSE()),0)+1*IFERROR(VLOOKUP(INDEX(' Toto teams'!$F$4:$F$119,MATCH($B57,' Toto teams'!$A$4:$A$119,0)),Scoring!$A$4:$N$51,8,FALSE()),0)+1*IFERROR(VLOOKUP(INDEX(' Toto teams'!$G$4:$G$119,MATCH($B57,' Toto teams'!$A$4:$A$119,0)),Scoring!$A$4:$N$51,8,FALSE()),0)+1*IFERROR(VLOOKUP(INDEX(' Toto teams'!$H$4:$H$119,MATCH($B57,' Toto teams'!$A$4:$A$119,0)),Scoring!$A$4:$N$51,8,FALSE()),0))</f>
        <v>0</v>
      </c>
      <c r="F57" s="28">
        <f>IF($B57="","",6*IFERROR(VLOOKUP(INDEX(' Toto teams'!$B$4:$B$119,MATCH($B57,' Toto teams'!$A$4:$A$119,0)),Scoring!$A$4:$N$51,9,FALSE()),0)+4*IFERROR(VLOOKUP(INDEX(' Toto teams'!$C$4:$C$119,MATCH($B57,' Toto teams'!$A$4:$A$119,0)),Scoring!$A$4:$N$51,9,FALSE()),0)+3*IFERROR(VLOOKUP(INDEX(' Toto teams'!$D$4:$D$119,MATCH($B57,' Toto teams'!$A$4:$A$119,0)),Scoring!$A$4:$N$51,9,FALSE()),0)+2*IFERROR(VLOOKUP(INDEX(' Toto teams'!$E$4:$E$119,MATCH($B57,' Toto teams'!$A$4:$A$119,0)),Scoring!$A$4:$N$51,9,FALSE()),0)+1*IFERROR(VLOOKUP(INDEX(' Toto teams'!$F$4:$F$119,MATCH($B57,' Toto teams'!$A$4:$A$119,0)),Scoring!$A$4:$N$51,9,FALSE()),0)+1*IFERROR(VLOOKUP(INDEX(' Toto teams'!$G$4:$G$119,MATCH($B57,' Toto teams'!$A$4:$A$119,0)),Scoring!$A$4:$N$51,9,FALSE()),0)+1*IFERROR(VLOOKUP(INDEX(' Toto teams'!$H$4:$H$119,MATCH($B57,' Toto teams'!$A$4:$A$119,0)),Scoring!$A$4:$N$51,9,FALSE()),0))</f>
        <v>0</v>
      </c>
      <c r="G57" s="28">
        <f>IF($B57="","",6*IFERROR(VLOOKUP(INDEX(' Toto teams'!$B$4:$B$119,MATCH($B57,' Toto teams'!$A$4:$A$119,0)),Scoring!$A$4:$N$51,10,FALSE()),0)+4*IFERROR(VLOOKUP(INDEX(' Toto teams'!$C$4:$C$119,MATCH($B57,' Toto teams'!$A$4:$A$119,0)),Scoring!$A$4:$N$51,10,FALSE()),0)+3*IFERROR(VLOOKUP(INDEX(' Toto teams'!$D$4:$D$119,MATCH($B57,' Toto teams'!$A$4:$A$119,0)),Scoring!$A$4:$N$51,10,FALSE()),0)+2*IFERROR(VLOOKUP(INDEX(' Toto teams'!$E$4:$E$119,MATCH($B57,' Toto teams'!$A$4:$A$119,0)),Scoring!$A$4:$N$51,10,FALSE()),0)+1*IFERROR(VLOOKUP(INDEX(' Toto teams'!$F$4:$F$119,MATCH($B57,' Toto teams'!$A$4:$A$119,0)),Scoring!$A$4:$N$51,10,FALSE()),0)+1*IFERROR(VLOOKUP(INDEX(' Toto teams'!$G$4:$G$119,MATCH($B57,' Toto teams'!$A$4:$A$119,0)),Scoring!$A$4:$N$51,10,FALSE()),0)+1*IFERROR(VLOOKUP(INDEX(' Toto teams'!$H$4:$H$119,MATCH($B57,' Toto teams'!$A$4:$A$119,0)),Scoring!$A$4:$N$51,10,FALSE()),0))</f>
        <v>0</v>
      </c>
      <c r="H57" s="28">
        <f>IF($B57="","",6*IFERROR(VLOOKUP(INDEX(' Toto teams'!$B$4:$B$119,MATCH($B57,' Toto teams'!$A$4:$A$119,0)),Scoring!$A$4:$N$51,11,FALSE()),0)+4*IFERROR(VLOOKUP(INDEX(' Toto teams'!$C$4:$C$119,MATCH($B57,' Toto teams'!$A$4:$A$119,0)),Scoring!$A$4:$N$51,11,FALSE()),0)+3*IFERROR(VLOOKUP(INDEX(' Toto teams'!$D$4:$D$119,MATCH($B57,' Toto teams'!$A$4:$A$119,0)),Scoring!$A$4:$N$51,11,FALSE()),0)+2*IFERROR(VLOOKUP(INDEX(' Toto teams'!$E$4:$E$119,MATCH($B57,' Toto teams'!$A$4:$A$119,0)),Scoring!$A$4:$N$51,11,FALSE()),0)+1*IFERROR(VLOOKUP(INDEX(' Toto teams'!$F$4:$F$119,MATCH($B57,' Toto teams'!$A$4:$A$119,0)),Scoring!$A$4:$N$51,11,FALSE()),0)+1*IFERROR(VLOOKUP(INDEX(' Toto teams'!$G$4:$G$119,MATCH($B57,' Toto teams'!$A$4:$A$119,0)),Scoring!$A$4:$N$51,11,FALSE()),0)+1*IFERROR(VLOOKUP(INDEX(' Toto teams'!$H$4:$H$119,MATCH($B57,' Toto teams'!$A$4:$A$119,0)),Scoring!$A$4:$N$51,11,FALSE()),0))</f>
        <v>0</v>
      </c>
      <c r="I57" s="28">
        <f>IF($B57="","",6*IFERROR(VLOOKUP(INDEX(' Toto teams'!$B$4:$B$119,MATCH($B57,' Toto teams'!$A$4:$A$119,0)),Scoring!$A$4:$O$51,15,FALSE()),0)+4*IFERROR(VLOOKUP(INDEX(' Toto teams'!$C$4:$C$119,MATCH($B57,' Toto teams'!$A$4:$A$119,0)),Scoring!$A$4:$O$51,15,FALSE()),0)+3*IFERROR(VLOOKUP(INDEX(' Toto teams'!$D$4:$D$119,MATCH($B57,' Toto teams'!$A$4:$A$119,0)),Scoring!$A$4:$O$51,15,FALSE()),0)+2*IFERROR(VLOOKUP(INDEX(' Toto teams'!$E$4:$E$119,MATCH($B57,' Toto teams'!$A$4:$A$119,0)),Scoring!$A$4:$O$51,15,FALSE()),0)+1*IFERROR(VLOOKUP(INDEX(' Toto teams'!$F$4:$F$119,MATCH($B57,' Toto teams'!$A$4:$A$119,0)),Scoring!$A$4:$O$51,15,FALSE()),0)+1*IFERROR(VLOOKUP(INDEX(' Toto teams'!$G$4:$G$119,MATCH($B57,' Toto teams'!$A$4:$A$119,0)),Scoring!$A$4:$O$51,15,FALSE()),0)+1*IFERROR(VLOOKUP(INDEX(' Toto teams'!$H$4:$H$119,MATCH($B57,' Toto teams'!$A$4:$A$119,0)),Scoring!$A$4:$O$51,15,FALSE()),0))</f>
        <v>0</v>
      </c>
      <c r="J57" s="28">
        <f>IF($B57="","",6*IFERROR(VLOOKUP(INDEX(' Toto teams'!$B$4:$B$119,MATCH($B57,' Toto teams'!$A$4:$A$119,0)),Scoring!$A$4:$N$51,12,FALSE()),0)+4*IFERROR(VLOOKUP(INDEX(' Toto teams'!$C$4:$C$119,MATCH($B57,' Toto teams'!$A$4:$A$119,0)),Scoring!$A$4:$N$51,12,FALSE()),0)+3*IFERROR(VLOOKUP(INDEX(' Toto teams'!$D$4:$D$119,MATCH($B57,' Toto teams'!$A$4:$A$119,0)),Scoring!$A$4:$N$51,12,FALSE()),0)+2*IFERROR(VLOOKUP(INDEX(' Toto teams'!$E$4:$E$119,MATCH($B57,' Toto teams'!$A$4:$A$119,0)),Scoring!$A$4:$N$51,12,FALSE()),0)+1*IFERROR(VLOOKUP(INDEX(' Toto teams'!$F$4:$F$119,MATCH($B57,' Toto teams'!$A$4:$A$119,0)),Scoring!$A$4:$N$51,12,FALSE()),0)+1*IFERROR(VLOOKUP(INDEX(' Toto teams'!$G$4:$G$119,MATCH($B57,' Toto teams'!$A$4:$A$119,0)),Scoring!$A$4:$N$51,12,FALSE()),0)+1*IFERROR(VLOOKUP(INDEX(' Toto teams'!$H$4:$H$119,MATCH($B57,' Toto teams'!$A$4:$A$119,0)),Scoring!$A$4:$N$51,12,FALSE()),0))</f>
        <v>0</v>
      </c>
      <c r="K57" s="29">
        <f>IF($B57="","",IFERROR(INDEX(' Toto teams'!$R$4:$R$119,MATCH($B57,' Toto teams'!$A$4:$A$119,0)),""))</f>
        <v>1</v>
      </c>
      <c r="L57" s="30">
        <f t="shared" si="4"/>
        <v>0</v>
      </c>
    </row>
    <row r="58" spans="1:12" ht="12.75" customHeight="1" x14ac:dyDescent="0.3">
      <c r="A58" s="26">
        <f>IF(55&gt;COUNTIF(' Toto teams'!$A$4:$A$119,"&lt;&gt;"),"",INDEX(' Toto teams'!$S$4:$S$119,MATCH(LARGE(' Toto teams'!$T$4:$T$119,55),' Toto teams'!$T$4:$T$119,0)))</f>
        <v>36</v>
      </c>
      <c r="B58" s="27" t="str">
        <f>IF(55&gt;COUNTIF(' Toto teams'!$A$4:$A$119,"&lt;&gt;"),"",INDEX(' Toto teams'!$A$4:$A$119,MATCH(LARGE(' Toto teams'!$T$4:$T$119,55),' Toto teams'!$T$4:$T$119,0)))</f>
        <v>Nadia Mercurio</v>
      </c>
      <c r="C58" s="28">
        <f>IF($B58="","",6*(IFERROR(VLOOKUP(INDEX(' Toto teams'!$B$4:$B$119,MATCH($B58,' Toto teams'!$A$4:$A$119,0)),Scoring!$A$4:$N$51,3,FALSE()),0)+IFERROR(VLOOKUP(INDEX(' Toto teams'!$B$4:$B$119,MATCH($B58,' Toto teams'!$A$4:$A$119,0)),Scoring!$A$4:$N$51,4,FALSE()),0)+IFERROR(VLOOKUP(INDEX(' Toto teams'!$B$4:$B$119,MATCH($B58,' Toto teams'!$A$4:$A$119,0)),Scoring!$A$4:$N$51,5,FALSE()),0))+4*(IFERROR(VLOOKUP(INDEX(' Toto teams'!$C$4:$C$119,MATCH($B58,' Toto teams'!$A$4:$A$119,0)),Scoring!$A$4:$N$51,3,FALSE()),0)+IFERROR(VLOOKUP(INDEX(' Toto teams'!$C$4:$C$119,MATCH($B58,' Toto teams'!$A$4:$A$119,0)),Scoring!$A$4:$N$51,4,FALSE()),0)+IFERROR(VLOOKUP(INDEX(' Toto teams'!$C$4:$C$119,MATCH($B58,' Toto teams'!$A$4:$A$119,0)),Scoring!$A$4:$N$51,5,FALSE()),0))+3*(IFERROR(VLOOKUP(INDEX(' Toto teams'!$D$4:$D$119,MATCH($B58,' Toto teams'!$A$4:$A$119,0)),Scoring!$A$4:$N$51,3,FALSE()),0)+IFERROR(VLOOKUP(INDEX(' Toto teams'!$D$4:$D$119,MATCH($B58,' Toto teams'!$A$4:$A$119,0)),Scoring!$A$4:$N$51,4,FALSE()),0)+IFERROR(VLOOKUP(INDEX(' Toto teams'!$D$4:$D$119,MATCH($B58,' Toto teams'!$A$4:$A$119,0)),Scoring!$A$4:$N$51,5,FALSE()),0))+2*(IFERROR(VLOOKUP(INDEX(' Toto teams'!$E$4:$E$119,MATCH($B58,' Toto teams'!$A$4:$A$119,0)),Scoring!$A$4:$N$51,3,FALSE()),0)+IFERROR(VLOOKUP(INDEX(' Toto teams'!$E$4:$E$119,MATCH($B58,' Toto teams'!$A$4:$A$119,0)),Scoring!$A$4:$N$51,4,FALSE()),0)+IFERROR(VLOOKUP(INDEX(' Toto teams'!$E$4:$E$119,MATCH($B58,' Toto teams'!$A$4:$A$119,0)),Scoring!$A$4:$N$51,5,FALSE()),0))+1*(IFERROR(VLOOKUP(INDEX(' Toto teams'!$F$4:$F$119,MATCH($B58,' Toto teams'!$A$4:$A$119,0)),Scoring!$A$4:$N$51,3,FALSE()),0)+IFERROR(VLOOKUP(INDEX(' Toto teams'!$F$4:$F$119,MATCH($B58,' Toto teams'!$A$4:$A$119,0)),Scoring!$A$4:$N$51,4,FALSE()),0)+IFERROR(VLOOKUP(INDEX(' Toto teams'!$F$4:$F$119,MATCH($B58,' Toto teams'!$A$4:$A$119,0)),Scoring!$A$4:$N$51,5,FALSE()),0))+1*(IFERROR(VLOOKUP(INDEX(' Toto teams'!$G$4:$G$119,MATCH($B58,' Toto teams'!$A$4:$A$119,0)),Scoring!$A$4:$N$51,3,FALSE()),0)+IFERROR(VLOOKUP(INDEX(' Toto teams'!$G$4:$G$119,MATCH($B58,' Toto teams'!$A$4:$A$119,0)),Scoring!$A$4:$N$51,4,FALSE()),0)+IFERROR(VLOOKUP(INDEX(' Toto teams'!$G$4:$G$119,MATCH($B58,' Toto teams'!$A$4:$A$119,0)),Scoring!$A$4:$N$51,5,FALSE()),0))+1*(IFERROR(VLOOKUP(INDEX(' Toto teams'!$H$4:$H$119,MATCH($B58,' Toto teams'!$A$4:$A$119,0)),Scoring!$A$4:$N$51,3,FALSE()),0)+IFERROR(VLOOKUP(INDEX(' Toto teams'!$H$4:$H$119,MATCH($B58,' Toto teams'!$A$4:$A$119,0)),Scoring!$A$4:$N$51,4,FALSE()),0)+IFERROR(VLOOKUP(INDEX(' Toto teams'!$H$4:$H$119,MATCH($B58,' Toto teams'!$A$4:$A$119,0)),Scoring!$A$4:$N$51,5,FALSE()),0))+IFERROR(INDEX(' Toto teams'!$Q$4:$Q$119,MATCH($B58,' Toto teams'!$A$4:$A$119,0))*1,0))</f>
        <v>1</v>
      </c>
      <c r="D58" s="28">
        <f>IF($B58="","",6*IFERROR(VLOOKUP(INDEX(' Toto teams'!$B$4:$B$119,MATCH($B58,' Toto teams'!$A$4:$A$119,0)),Scoring!$A$4:$N$51,7,FALSE()),0)+4*IFERROR(VLOOKUP(INDEX(' Toto teams'!$C$4:$C$119,MATCH($B58,' Toto teams'!$A$4:$A$119,0)),Scoring!$A$4:$N$51,7,FALSE()),0)+3*IFERROR(VLOOKUP(INDEX(' Toto teams'!$D$4:$D$119,MATCH($B58,' Toto teams'!$A$4:$A$119,0)),Scoring!$A$4:$N$51,7,FALSE()),0)+2*IFERROR(VLOOKUP(INDEX(' Toto teams'!$E$4:$E$119,MATCH($B58,' Toto teams'!$A$4:$A$119,0)),Scoring!$A$4:$N$51,7,FALSE()),0)+1*IFERROR(VLOOKUP(INDEX(' Toto teams'!$F$4:$F$119,MATCH($B58,' Toto teams'!$A$4:$A$119,0)),Scoring!$A$4:$N$51,7,FALSE()),0)+1*IFERROR(VLOOKUP(INDEX(' Toto teams'!$G$4:$G$119,MATCH($B58,' Toto teams'!$A$4:$A$119,0)),Scoring!$A$4:$N$51,7,FALSE()),0)+1*IFERROR(VLOOKUP(INDEX(' Toto teams'!$H$4:$H$119,MATCH($B58,' Toto teams'!$A$4:$A$119,0)),Scoring!$A$4:$N$51,7,FALSE()),0))</f>
        <v>0</v>
      </c>
      <c r="E58" s="28">
        <f>IF($B58="","",6*IFERROR(VLOOKUP(INDEX(' Toto teams'!$B$4:$B$119,MATCH($B58,' Toto teams'!$A$4:$A$119,0)),Scoring!$A$4:$N$51,8,FALSE()),0)+4*IFERROR(VLOOKUP(INDEX(' Toto teams'!$C$4:$C$119,MATCH($B58,' Toto teams'!$A$4:$A$119,0)),Scoring!$A$4:$N$51,8,FALSE()),0)+3*IFERROR(VLOOKUP(INDEX(' Toto teams'!$D$4:$D$119,MATCH($B58,' Toto teams'!$A$4:$A$119,0)),Scoring!$A$4:$N$51,8,FALSE()),0)+2*IFERROR(VLOOKUP(INDEX(' Toto teams'!$E$4:$E$119,MATCH($B58,' Toto teams'!$A$4:$A$119,0)),Scoring!$A$4:$N$51,8,FALSE()),0)+1*IFERROR(VLOOKUP(INDEX(' Toto teams'!$F$4:$F$119,MATCH($B58,' Toto teams'!$A$4:$A$119,0)),Scoring!$A$4:$N$51,8,FALSE()),0)+1*IFERROR(VLOOKUP(INDEX(' Toto teams'!$G$4:$G$119,MATCH($B58,' Toto teams'!$A$4:$A$119,0)),Scoring!$A$4:$N$51,8,FALSE()),0)+1*IFERROR(VLOOKUP(INDEX(' Toto teams'!$H$4:$H$119,MATCH($B58,' Toto teams'!$A$4:$A$119,0)),Scoring!$A$4:$N$51,8,FALSE()),0))</f>
        <v>0</v>
      </c>
      <c r="F58" s="28">
        <f>IF($B58="","",6*IFERROR(VLOOKUP(INDEX(' Toto teams'!$B$4:$B$119,MATCH($B58,' Toto teams'!$A$4:$A$119,0)),Scoring!$A$4:$N$51,9,FALSE()),0)+4*IFERROR(VLOOKUP(INDEX(' Toto teams'!$C$4:$C$119,MATCH($B58,' Toto teams'!$A$4:$A$119,0)),Scoring!$A$4:$N$51,9,FALSE()),0)+3*IFERROR(VLOOKUP(INDEX(' Toto teams'!$D$4:$D$119,MATCH($B58,' Toto teams'!$A$4:$A$119,0)),Scoring!$A$4:$N$51,9,FALSE()),0)+2*IFERROR(VLOOKUP(INDEX(' Toto teams'!$E$4:$E$119,MATCH($B58,' Toto teams'!$A$4:$A$119,0)),Scoring!$A$4:$N$51,9,FALSE()),0)+1*IFERROR(VLOOKUP(INDEX(' Toto teams'!$F$4:$F$119,MATCH($B58,' Toto teams'!$A$4:$A$119,0)),Scoring!$A$4:$N$51,9,FALSE()),0)+1*IFERROR(VLOOKUP(INDEX(' Toto teams'!$G$4:$G$119,MATCH($B58,' Toto teams'!$A$4:$A$119,0)),Scoring!$A$4:$N$51,9,FALSE()),0)+1*IFERROR(VLOOKUP(INDEX(' Toto teams'!$H$4:$H$119,MATCH($B58,' Toto teams'!$A$4:$A$119,0)),Scoring!$A$4:$N$51,9,FALSE()),0))</f>
        <v>0</v>
      </c>
      <c r="G58" s="28">
        <f>IF($B58="","",6*IFERROR(VLOOKUP(INDEX(' Toto teams'!$B$4:$B$119,MATCH($B58,' Toto teams'!$A$4:$A$119,0)),Scoring!$A$4:$N$51,10,FALSE()),0)+4*IFERROR(VLOOKUP(INDEX(' Toto teams'!$C$4:$C$119,MATCH($B58,' Toto teams'!$A$4:$A$119,0)),Scoring!$A$4:$N$51,10,FALSE()),0)+3*IFERROR(VLOOKUP(INDEX(' Toto teams'!$D$4:$D$119,MATCH($B58,' Toto teams'!$A$4:$A$119,0)),Scoring!$A$4:$N$51,10,FALSE()),0)+2*IFERROR(VLOOKUP(INDEX(' Toto teams'!$E$4:$E$119,MATCH($B58,' Toto teams'!$A$4:$A$119,0)),Scoring!$A$4:$N$51,10,FALSE()),0)+1*IFERROR(VLOOKUP(INDEX(' Toto teams'!$F$4:$F$119,MATCH($B58,' Toto teams'!$A$4:$A$119,0)),Scoring!$A$4:$N$51,10,FALSE()),0)+1*IFERROR(VLOOKUP(INDEX(' Toto teams'!$G$4:$G$119,MATCH($B58,' Toto teams'!$A$4:$A$119,0)),Scoring!$A$4:$N$51,10,FALSE()),0)+1*IFERROR(VLOOKUP(INDEX(' Toto teams'!$H$4:$H$119,MATCH($B58,' Toto teams'!$A$4:$A$119,0)),Scoring!$A$4:$N$51,10,FALSE()),0))</f>
        <v>0</v>
      </c>
      <c r="H58" s="28">
        <f>IF($B58="","",6*IFERROR(VLOOKUP(INDEX(' Toto teams'!$B$4:$B$119,MATCH($B58,' Toto teams'!$A$4:$A$119,0)),Scoring!$A$4:$N$51,11,FALSE()),0)+4*IFERROR(VLOOKUP(INDEX(' Toto teams'!$C$4:$C$119,MATCH($B58,' Toto teams'!$A$4:$A$119,0)),Scoring!$A$4:$N$51,11,FALSE()),0)+3*IFERROR(VLOOKUP(INDEX(' Toto teams'!$D$4:$D$119,MATCH($B58,' Toto teams'!$A$4:$A$119,0)),Scoring!$A$4:$N$51,11,FALSE()),0)+2*IFERROR(VLOOKUP(INDEX(' Toto teams'!$E$4:$E$119,MATCH($B58,' Toto teams'!$A$4:$A$119,0)),Scoring!$A$4:$N$51,11,FALSE()),0)+1*IFERROR(VLOOKUP(INDEX(' Toto teams'!$F$4:$F$119,MATCH($B58,' Toto teams'!$A$4:$A$119,0)),Scoring!$A$4:$N$51,11,FALSE()),0)+1*IFERROR(VLOOKUP(INDEX(' Toto teams'!$G$4:$G$119,MATCH($B58,' Toto teams'!$A$4:$A$119,0)),Scoring!$A$4:$N$51,11,FALSE()),0)+1*IFERROR(VLOOKUP(INDEX(' Toto teams'!$H$4:$H$119,MATCH($B58,' Toto teams'!$A$4:$A$119,0)),Scoring!$A$4:$N$51,11,FALSE()),0))</f>
        <v>0</v>
      </c>
      <c r="I58" s="28">
        <f>IF($B58="","",6*IFERROR(VLOOKUP(INDEX(' Toto teams'!$B$4:$B$119,MATCH($B58,' Toto teams'!$A$4:$A$119,0)),Scoring!$A$4:$O$51,15,FALSE()),0)+4*IFERROR(VLOOKUP(INDEX(' Toto teams'!$C$4:$C$119,MATCH($B58,' Toto teams'!$A$4:$A$119,0)),Scoring!$A$4:$O$51,15,FALSE()),0)+3*IFERROR(VLOOKUP(INDEX(' Toto teams'!$D$4:$D$119,MATCH($B58,' Toto teams'!$A$4:$A$119,0)),Scoring!$A$4:$O$51,15,FALSE()),0)+2*IFERROR(VLOOKUP(INDEX(' Toto teams'!$E$4:$E$119,MATCH($B58,' Toto teams'!$A$4:$A$119,0)),Scoring!$A$4:$O$51,15,FALSE()),0)+1*IFERROR(VLOOKUP(INDEX(' Toto teams'!$F$4:$F$119,MATCH($B58,' Toto teams'!$A$4:$A$119,0)),Scoring!$A$4:$O$51,15,FALSE()),0)+1*IFERROR(VLOOKUP(INDEX(' Toto teams'!$G$4:$G$119,MATCH($B58,' Toto teams'!$A$4:$A$119,0)),Scoring!$A$4:$O$51,15,FALSE()),0)+1*IFERROR(VLOOKUP(INDEX(' Toto teams'!$H$4:$H$119,MATCH($B58,' Toto teams'!$A$4:$A$119,0)),Scoring!$A$4:$O$51,15,FALSE()),0))</f>
        <v>0</v>
      </c>
      <c r="J58" s="28">
        <f>IF($B58="","",6*IFERROR(VLOOKUP(INDEX(' Toto teams'!$B$4:$B$119,MATCH($B58,' Toto teams'!$A$4:$A$119,0)),Scoring!$A$4:$N$51,12,FALSE()),0)+4*IFERROR(VLOOKUP(INDEX(' Toto teams'!$C$4:$C$119,MATCH($B58,' Toto teams'!$A$4:$A$119,0)),Scoring!$A$4:$N$51,12,FALSE()),0)+3*IFERROR(VLOOKUP(INDEX(' Toto teams'!$D$4:$D$119,MATCH($B58,' Toto teams'!$A$4:$A$119,0)),Scoring!$A$4:$N$51,12,FALSE()),0)+2*IFERROR(VLOOKUP(INDEX(' Toto teams'!$E$4:$E$119,MATCH($B58,' Toto teams'!$A$4:$A$119,0)),Scoring!$A$4:$N$51,12,FALSE()),0)+1*IFERROR(VLOOKUP(INDEX(' Toto teams'!$F$4:$F$119,MATCH($B58,' Toto teams'!$A$4:$A$119,0)),Scoring!$A$4:$N$51,12,FALSE()),0)+1*IFERROR(VLOOKUP(INDEX(' Toto teams'!$G$4:$G$119,MATCH($B58,' Toto teams'!$A$4:$A$119,0)),Scoring!$A$4:$N$51,12,FALSE()),0)+1*IFERROR(VLOOKUP(INDEX(' Toto teams'!$H$4:$H$119,MATCH($B58,' Toto teams'!$A$4:$A$119,0)),Scoring!$A$4:$N$51,12,FALSE()),0))</f>
        <v>0</v>
      </c>
      <c r="K58" s="29">
        <f>IF($B58="","",IFERROR(INDEX(' Toto teams'!$R$4:$R$119,MATCH($B58,' Toto teams'!$A$4:$A$119,0)),""))</f>
        <v>1</v>
      </c>
      <c r="L58" s="30">
        <f t="shared" si="4"/>
        <v>0</v>
      </c>
    </row>
    <row r="59" spans="1:12" ht="12.75" customHeight="1" x14ac:dyDescent="0.3">
      <c r="A59" s="26">
        <f>IF(56&gt;COUNTIF(' Toto teams'!$A$4:$A$119,"&lt;&gt;"),"",INDEX(' Toto teams'!$S$4:$S$119,MATCH(LARGE(' Toto teams'!$T$4:$T$119,56),' Toto teams'!$T$4:$T$119,0)))</f>
        <v>36</v>
      </c>
      <c r="B59" s="27" t="str">
        <f>IF(56&gt;COUNTIF(' Toto teams'!$A$4:$A$119,"&lt;&gt;"),"",INDEX(' Toto teams'!$A$4:$A$119,MATCH(LARGE(' Toto teams'!$T$4:$T$119,56),' Toto teams'!$T$4:$T$119,0)))</f>
        <v>Paolo Papiri</v>
      </c>
      <c r="C59" s="28">
        <f>IF($B59="","",6*(IFERROR(VLOOKUP(INDEX(' Toto teams'!$B$4:$B$119,MATCH($B59,' Toto teams'!$A$4:$A$119,0)),Scoring!$A$4:$N$51,3,FALSE()),0)+IFERROR(VLOOKUP(INDEX(' Toto teams'!$B$4:$B$119,MATCH($B59,' Toto teams'!$A$4:$A$119,0)),Scoring!$A$4:$N$51,4,FALSE()),0)+IFERROR(VLOOKUP(INDEX(' Toto teams'!$B$4:$B$119,MATCH($B59,' Toto teams'!$A$4:$A$119,0)),Scoring!$A$4:$N$51,5,FALSE()),0))+4*(IFERROR(VLOOKUP(INDEX(' Toto teams'!$C$4:$C$119,MATCH($B59,' Toto teams'!$A$4:$A$119,0)),Scoring!$A$4:$N$51,3,FALSE()),0)+IFERROR(VLOOKUP(INDEX(' Toto teams'!$C$4:$C$119,MATCH($B59,' Toto teams'!$A$4:$A$119,0)),Scoring!$A$4:$N$51,4,FALSE()),0)+IFERROR(VLOOKUP(INDEX(' Toto teams'!$C$4:$C$119,MATCH($B59,' Toto teams'!$A$4:$A$119,0)),Scoring!$A$4:$N$51,5,FALSE()),0))+3*(IFERROR(VLOOKUP(INDEX(' Toto teams'!$D$4:$D$119,MATCH($B59,' Toto teams'!$A$4:$A$119,0)),Scoring!$A$4:$N$51,3,FALSE()),0)+IFERROR(VLOOKUP(INDEX(' Toto teams'!$D$4:$D$119,MATCH($B59,' Toto teams'!$A$4:$A$119,0)),Scoring!$A$4:$N$51,4,FALSE()),0)+IFERROR(VLOOKUP(INDEX(' Toto teams'!$D$4:$D$119,MATCH($B59,' Toto teams'!$A$4:$A$119,0)),Scoring!$A$4:$N$51,5,FALSE()),0))+2*(IFERROR(VLOOKUP(INDEX(' Toto teams'!$E$4:$E$119,MATCH($B59,' Toto teams'!$A$4:$A$119,0)),Scoring!$A$4:$N$51,3,FALSE()),0)+IFERROR(VLOOKUP(INDEX(' Toto teams'!$E$4:$E$119,MATCH($B59,' Toto teams'!$A$4:$A$119,0)),Scoring!$A$4:$N$51,4,FALSE()),0)+IFERROR(VLOOKUP(INDEX(' Toto teams'!$E$4:$E$119,MATCH($B59,' Toto teams'!$A$4:$A$119,0)),Scoring!$A$4:$N$51,5,FALSE()),0))+1*(IFERROR(VLOOKUP(INDEX(' Toto teams'!$F$4:$F$119,MATCH($B59,' Toto teams'!$A$4:$A$119,0)),Scoring!$A$4:$N$51,3,FALSE()),0)+IFERROR(VLOOKUP(INDEX(' Toto teams'!$F$4:$F$119,MATCH($B59,' Toto teams'!$A$4:$A$119,0)),Scoring!$A$4:$N$51,4,FALSE()),0)+IFERROR(VLOOKUP(INDEX(' Toto teams'!$F$4:$F$119,MATCH($B59,' Toto teams'!$A$4:$A$119,0)),Scoring!$A$4:$N$51,5,FALSE()),0))+1*(IFERROR(VLOOKUP(INDEX(' Toto teams'!$G$4:$G$119,MATCH($B59,' Toto teams'!$A$4:$A$119,0)),Scoring!$A$4:$N$51,3,FALSE()),0)+IFERROR(VLOOKUP(INDEX(' Toto teams'!$G$4:$G$119,MATCH($B59,' Toto teams'!$A$4:$A$119,0)),Scoring!$A$4:$N$51,4,FALSE()),0)+IFERROR(VLOOKUP(INDEX(' Toto teams'!$G$4:$G$119,MATCH($B59,' Toto teams'!$A$4:$A$119,0)),Scoring!$A$4:$N$51,5,FALSE()),0))+1*(IFERROR(VLOOKUP(INDEX(' Toto teams'!$H$4:$H$119,MATCH($B59,' Toto teams'!$A$4:$A$119,0)),Scoring!$A$4:$N$51,3,FALSE()),0)+IFERROR(VLOOKUP(INDEX(' Toto teams'!$H$4:$H$119,MATCH($B59,' Toto teams'!$A$4:$A$119,0)),Scoring!$A$4:$N$51,4,FALSE()),0)+IFERROR(VLOOKUP(INDEX(' Toto teams'!$H$4:$H$119,MATCH($B59,' Toto teams'!$A$4:$A$119,0)),Scoring!$A$4:$N$51,5,FALSE()),0))+IFERROR(INDEX(' Toto teams'!$Q$4:$Q$119,MATCH($B59,' Toto teams'!$A$4:$A$119,0))*1,0))</f>
        <v>1</v>
      </c>
      <c r="D59" s="28">
        <f>IF($B59="","",6*IFERROR(VLOOKUP(INDEX(' Toto teams'!$B$4:$B$119,MATCH($B59,' Toto teams'!$A$4:$A$119,0)),Scoring!$A$4:$N$51,7,FALSE()),0)+4*IFERROR(VLOOKUP(INDEX(' Toto teams'!$C$4:$C$119,MATCH($B59,' Toto teams'!$A$4:$A$119,0)),Scoring!$A$4:$N$51,7,FALSE()),0)+3*IFERROR(VLOOKUP(INDEX(' Toto teams'!$D$4:$D$119,MATCH($B59,' Toto teams'!$A$4:$A$119,0)),Scoring!$A$4:$N$51,7,FALSE()),0)+2*IFERROR(VLOOKUP(INDEX(' Toto teams'!$E$4:$E$119,MATCH($B59,' Toto teams'!$A$4:$A$119,0)),Scoring!$A$4:$N$51,7,FALSE()),0)+1*IFERROR(VLOOKUP(INDEX(' Toto teams'!$F$4:$F$119,MATCH($B59,' Toto teams'!$A$4:$A$119,0)),Scoring!$A$4:$N$51,7,FALSE()),0)+1*IFERROR(VLOOKUP(INDEX(' Toto teams'!$G$4:$G$119,MATCH($B59,' Toto teams'!$A$4:$A$119,0)),Scoring!$A$4:$N$51,7,FALSE()),0)+1*IFERROR(VLOOKUP(INDEX(' Toto teams'!$H$4:$H$119,MATCH($B59,' Toto teams'!$A$4:$A$119,0)),Scoring!$A$4:$N$51,7,FALSE()),0))</f>
        <v>0</v>
      </c>
      <c r="E59" s="28">
        <f>IF($B59="","",6*IFERROR(VLOOKUP(INDEX(' Toto teams'!$B$4:$B$119,MATCH($B59,' Toto teams'!$A$4:$A$119,0)),Scoring!$A$4:$N$51,8,FALSE()),0)+4*IFERROR(VLOOKUP(INDEX(' Toto teams'!$C$4:$C$119,MATCH($B59,' Toto teams'!$A$4:$A$119,0)),Scoring!$A$4:$N$51,8,FALSE()),0)+3*IFERROR(VLOOKUP(INDEX(' Toto teams'!$D$4:$D$119,MATCH($B59,' Toto teams'!$A$4:$A$119,0)),Scoring!$A$4:$N$51,8,FALSE()),0)+2*IFERROR(VLOOKUP(INDEX(' Toto teams'!$E$4:$E$119,MATCH($B59,' Toto teams'!$A$4:$A$119,0)),Scoring!$A$4:$N$51,8,FALSE()),0)+1*IFERROR(VLOOKUP(INDEX(' Toto teams'!$F$4:$F$119,MATCH($B59,' Toto teams'!$A$4:$A$119,0)),Scoring!$A$4:$N$51,8,FALSE()),0)+1*IFERROR(VLOOKUP(INDEX(' Toto teams'!$G$4:$G$119,MATCH($B59,' Toto teams'!$A$4:$A$119,0)),Scoring!$A$4:$N$51,8,FALSE()),0)+1*IFERROR(VLOOKUP(INDEX(' Toto teams'!$H$4:$H$119,MATCH($B59,' Toto teams'!$A$4:$A$119,0)),Scoring!$A$4:$N$51,8,FALSE()),0))</f>
        <v>0</v>
      </c>
      <c r="F59" s="28">
        <f>IF($B59="","",6*IFERROR(VLOOKUP(INDEX(' Toto teams'!$B$4:$B$119,MATCH($B59,' Toto teams'!$A$4:$A$119,0)),Scoring!$A$4:$N$51,9,FALSE()),0)+4*IFERROR(VLOOKUP(INDEX(' Toto teams'!$C$4:$C$119,MATCH($B59,' Toto teams'!$A$4:$A$119,0)),Scoring!$A$4:$N$51,9,FALSE()),0)+3*IFERROR(VLOOKUP(INDEX(' Toto teams'!$D$4:$D$119,MATCH($B59,' Toto teams'!$A$4:$A$119,0)),Scoring!$A$4:$N$51,9,FALSE()),0)+2*IFERROR(VLOOKUP(INDEX(' Toto teams'!$E$4:$E$119,MATCH($B59,' Toto teams'!$A$4:$A$119,0)),Scoring!$A$4:$N$51,9,FALSE()),0)+1*IFERROR(VLOOKUP(INDEX(' Toto teams'!$F$4:$F$119,MATCH($B59,' Toto teams'!$A$4:$A$119,0)),Scoring!$A$4:$N$51,9,FALSE()),0)+1*IFERROR(VLOOKUP(INDEX(' Toto teams'!$G$4:$G$119,MATCH($B59,' Toto teams'!$A$4:$A$119,0)),Scoring!$A$4:$N$51,9,FALSE()),0)+1*IFERROR(VLOOKUP(INDEX(' Toto teams'!$H$4:$H$119,MATCH($B59,' Toto teams'!$A$4:$A$119,0)),Scoring!$A$4:$N$51,9,FALSE()),0))</f>
        <v>0</v>
      </c>
      <c r="G59" s="28">
        <f>IF($B59="","",6*IFERROR(VLOOKUP(INDEX(' Toto teams'!$B$4:$B$119,MATCH($B59,' Toto teams'!$A$4:$A$119,0)),Scoring!$A$4:$N$51,10,FALSE()),0)+4*IFERROR(VLOOKUP(INDEX(' Toto teams'!$C$4:$C$119,MATCH($B59,' Toto teams'!$A$4:$A$119,0)),Scoring!$A$4:$N$51,10,FALSE()),0)+3*IFERROR(VLOOKUP(INDEX(' Toto teams'!$D$4:$D$119,MATCH($B59,' Toto teams'!$A$4:$A$119,0)),Scoring!$A$4:$N$51,10,FALSE()),0)+2*IFERROR(VLOOKUP(INDEX(' Toto teams'!$E$4:$E$119,MATCH($B59,' Toto teams'!$A$4:$A$119,0)),Scoring!$A$4:$N$51,10,FALSE()),0)+1*IFERROR(VLOOKUP(INDEX(' Toto teams'!$F$4:$F$119,MATCH($B59,' Toto teams'!$A$4:$A$119,0)),Scoring!$A$4:$N$51,10,FALSE()),0)+1*IFERROR(VLOOKUP(INDEX(' Toto teams'!$G$4:$G$119,MATCH($B59,' Toto teams'!$A$4:$A$119,0)),Scoring!$A$4:$N$51,10,FALSE()),0)+1*IFERROR(VLOOKUP(INDEX(' Toto teams'!$H$4:$H$119,MATCH($B59,' Toto teams'!$A$4:$A$119,0)),Scoring!$A$4:$N$51,10,FALSE()),0))</f>
        <v>0</v>
      </c>
      <c r="H59" s="28">
        <f>IF($B59="","",6*IFERROR(VLOOKUP(INDEX(' Toto teams'!$B$4:$B$119,MATCH($B59,' Toto teams'!$A$4:$A$119,0)),Scoring!$A$4:$N$51,11,FALSE()),0)+4*IFERROR(VLOOKUP(INDEX(' Toto teams'!$C$4:$C$119,MATCH($B59,' Toto teams'!$A$4:$A$119,0)),Scoring!$A$4:$N$51,11,FALSE()),0)+3*IFERROR(VLOOKUP(INDEX(' Toto teams'!$D$4:$D$119,MATCH($B59,' Toto teams'!$A$4:$A$119,0)),Scoring!$A$4:$N$51,11,FALSE()),0)+2*IFERROR(VLOOKUP(INDEX(' Toto teams'!$E$4:$E$119,MATCH($B59,' Toto teams'!$A$4:$A$119,0)),Scoring!$A$4:$N$51,11,FALSE()),0)+1*IFERROR(VLOOKUP(INDEX(' Toto teams'!$F$4:$F$119,MATCH($B59,' Toto teams'!$A$4:$A$119,0)),Scoring!$A$4:$N$51,11,FALSE()),0)+1*IFERROR(VLOOKUP(INDEX(' Toto teams'!$G$4:$G$119,MATCH($B59,' Toto teams'!$A$4:$A$119,0)),Scoring!$A$4:$N$51,11,FALSE()),0)+1*IFERROR(VLOOKUP(INDEX(' Toto teams'!$H$4:$H$119,MATCH($B59,' Toto teams'!$A$4:$A$119,0)),Scoring!$A$4:$N$51,11,FALSE()),0))</f>
        <v>0</v>
      </c>
      <c r="I59" s="28">
        <f>IF($B59="","",6*IFERROR(VLOOKUP(INDEX(' Toto teams'!$B$4:$B$119,MATCH($B59,' Toto teams'!$A$4:$A$119,0)),Scoring!$A$4:$O$51,15,FALSE()),0)+4*IFERROR(VLOOKUP(INDEX(' Toto teams'!$C$4:$C$119,MATCH($B59,' Toto teams'!$A$4:$A$119,0)),Scoring!$A$4:$O$51,15,FALSE()),0)+3*IFERROR(VLOOKUP(INDEX(' Toto teams'!$D$4:$D$119,MATCH($B59,' Toto teams'!$A$4:$A$119,0)),Scoring!$A$4:$O$51,15,FALSE()),0)+2*IFERROR(VLOOKUP(INDEX(' Toto teams'!$E$4:$E$119,MATCH($B59,' Toto teams'!$A$4:$A$119,0)),Scoring!$A$4:$O$51,15,FALSE()),0)+1*IFERROR(VLOOKUP(INDEX(' Toto teams'!$F$4:$F$119,MATCH($B59,' Toto teams'!$A$4:$A$119,0)),Scoring!$A$4:$O$51,15,FALSE()),0)+1*IFERROR(VLOOKUP(INDEX(' Toto teams'!$G$4:$G$119,MATCH($B59,' Toto teams'!$A$4:$A$119,0)),Scoring!$A$4:$O$51,15,FALSE()),0)+1*IFERROR(VLOOKUP(INDEX(' Toto teams'!$H$4:$H$119,MATCH($B59,' Toto teams'!$A$4:$A$119,0)),Scoring!$A$4:$O$51,15,FALSE()),0))</f>
        <v>0</v>
      </c>
      <c r="J59" s="28">
        <f>IF($B59="","",6*IFERROR(VLOOKUP(INDEX(' Toto teams'!$B$4:$B$119,MATCH($B59,' Toto teams'!$A$4:$A$119,0)),Scoring!$A$4:$N$51,12,FALSE()),0)+4*IFERROR(VLOOKUP(INDEX(' Toto teams'!$C$4:$C$119,MATCH($B59,' Toto teams'!$A$4:$A$119,0)),Scoring!$A$4:$N$51,12,FALSE()),0)+3*IFERROR(VLOOKUP(INDEX(' Toto teams'!$D$4:$D$119,MATCH($B59,' Toto teams'!$A$4:$A$119,0)),Scoring!$A$4:$N$51,12,FALSE()),0)+2*IFERROR(VLOOKUP(INDEX(' Toto teams'!$E$4:$E$119,MATCH($B59,' Toto teams'!$A$4:$A$119,0)),Scoring!$A$4:$N$51,12,FALSE()),0)+1*IFERROR(VLOOKUP(INDEX(' Toto teams'!$F$4:$F$119,MATCH($B59,' Toto teams'!$A$4:$A$119,0)),Scoring!$A$4:$N$51,12,FALSE()),0)+1*IFERROR(VLOOKUP(INDEX(' Toto teams'!$G$4:$G$119,MATCH($B59,' Toto teams'!$A$4:$A$119,0)),Scoring!$A$4:$N$51,12,FALSE()),0)+1*IFERROR(VLOOKUP(INDEX(' Toto teams'!$H$4:$H$119,MATCH($B59,' Toto teams'!$A$4:$A$119,0)),Scoring!$A$4:$N$51,12,FALSE()),0))</f>
        <v>0</v>
      </c>
      <c r="K59" s="29">
        <f>IF($B59="","",IFERROR(INDEX(' Toto teams'!$R$4:$R$119,MATCH($B59,' Toto teams'!$A$4:$A$119,0)),""))</f>
        <v>1</v>
      </c>
      <c r="L59" s="30">
        <f t="shared" si="4"/>
        <v>0</v>
      </c>
    </row>
    <row r="60" spans="1:12" ht="12.75" customHeight="1" x14ac:dyDescent="0.3">
      <c r="A60" s="26">
        <f>IF(57&gt;COUNTIF(' Toto teams'!$A$4:$A$119,"&lt;&gt;"),"",INDEX(' Toto teams'!$S$4:$S$119,MATCH(LARGE(' Toto teams'!$T$4:$T$119,57),' Toto teams'!$T$4:$T$119,0)))</f>
        <v>36</v>
      </c>
      <c r="B60" s="27" t="str">
        <f>IF(57&gt;COUNTIF(' Toto teams'!$A$4:$A$119,"&lt;&gt;"),"",INDEX(' Toto teams'!$A$4:$A$119,MATCH(LARGE(' Toto teams'!$T$4:$T$119,57),' Toto teams'!$T$4:$T$119,0)))</f>
        <v>Deividas Jančius</v>
      </c>
      <c r="C60" s="28">
        <f>IF($B60="","",6*(IFERROR(VLOOKUP(INDEX(' Toto teams'!$B$4:$B$119,MATCH($B60,' Toto teams'!$A$4:$A$119,0)),Scoring!$A$4:$N$51,3,FALSE()),0)+IFERROR(VLOOKUP(INDEX(' Toto teams'!$B$4:$B$119,MATCH($B60,' Toto teams'!$A$4:$A$119,0)),Scoring!$A$4:$N$51,4,FALSE()),0)+IFERROR(VLOOKUP(INDEX(' Toto teams'!$B$4:$B$119,MATCH($B60,' Toto teams'!$A$4:$A$119,0)),Scoring!$A$4:$N$51,5,FALSE()),0))+4*(IFERROR(VLOOKUP(INDEX(' Toto teams'!$C$4:$C$119,MATCH($B60,' Toto teams'!$A$4:$A$119,0)),Scoring!$A$4:$N$51,3,FALSE()),0)+IFERROR(VLOOKUP(INDEX(' Toto teams'!$C$4:$C$119,MATCH($B60,' Toto teams'!$A$4:$A$119,0)),Scoring!$A$4:$N$51,4,FALSE()),0)+IFERROR(VLOOKUP(INDEX(' Toto teams'!$C$4:$C$119,MATCH($B60,' Toto teams'!$A$4:$A$119,0)),Scoring!$A$4:$N$51,5,FALSE()),0))+3*(IFERROR(VLOOKUP(INDEX(' Toto teams'!$D$4:$D$119,MATCH($B60,' Toto teams'!$A$4:$A$119,0)),Scoring!$A$4:$N$51,3,FALSE()),0)+IFERROR(VLOOKUP(INDEX(' Toto teams'!$D$4:$D$119,MATCH($B60,' Toto teams'!$A$4:$A$119,0)),Scoring!$A$4:$N$51,4,FALSE()),0)+IFERROR(VLOOKUP(INDEX(' Toto teams'!$D$4:$D$119,MATCH($B60,' Toto teams'!$A$4:$A$119,0)),Scoring!$A$4:$N$51,5,FALSE()),0))+2*(IFERROR(VLOOKUP(INDEX(' Toto teams'!$E$4:$E$119,MATCH($B60,' Toto teams'!$A$4:$A$119,0)),Scoring!$A$4:$N$51,3,FALSE()),0)+IFERROR(VLOOKUP(INDEX(' Toto teams'!$E$4:$E$119,MATCH($B60,' Toto teams'!$A$4:$A$119,0)),Scoring!$A$4:$N$51,4,FALSE()),0)+IFERROR(VLOOKUP(INDEX(' Toto teams'!$E$4:$E$119,MATCH($B60,' Toto teams'!$A$4:$A$119,0)),Scoring!$A$4:$N$51,5,FALSE()),0))+1*(IFERROR(VLOOKUP(INDEX(' Toto teams'!$F$4:$F$119,MATCH($B60,' Toto teams'!$A$4:$A$119,0)),Scoring!$A$4:$N$51,3,FALSE()),0)+IFERROR(VLOOKUP(INDEX(' Toto teams'!$F$4:$F$119,MATCH($B60,' Toto teams'!$A$4:$A$119,0)),Scoring!$A$4:$N$51,4,FALSE()),0)+IFERROR(VLOOKUP(INDEX(' Toto teams'!$F$4:$F$119,MATCH($B60,' Toto teams'!$A$4:$A$119,0)),Scoring!$A$4:$N$51,5,FALSE()),0))+1*(IFERROR(VLOOKUP(INDEX(' Toto teams'!$G$4:$G$119,MATCH($B60,' Toto teams'!$A$4:$A$119,0)),Scoring!$A$4:$N$51,3,FALSE()),0)+IFERROR(VLOOKUP(INDEX(' Toto teams'!$G$4:$G$119,MATCH($B60,' Toto teams'!$A$4:$A$119,0)),Scoring!$A$4:$N$51,4,FALSE()),0)+IFERROR(VLOOKUP(INDEX(' Toto teams'!$G$4:$G$119,MATCH($B60,' Toto teams'!$A$4:$A$119,0)),Scoring!$A$4:$N$51,5,FALSE()),0))+1*(IFERROR(VLOOKUP(INDEX(' Toto teams'!$H$4:$H$119,MATCH($B60,' Toto teams'!$A$4:$A$119,0)),Scoring!$A$4:$N$51,3,FALSE()),0)+IFERROR(VLOOKUP(INDEX(' Toto teams'!$H$4:$H$119,MATCH($B60,' Toto teams'!$A$4:$A$119,0)),Scoring!$A$4:$N$51,4,FALSE()),0)+IFERROR(VLOOKUP(INDEX(' Toto teams'!$H$4:$H$119,MATCH($B60,' Toto teams'!$A$4:$A$119,0)),Scoring!$A$4:$N$51,5,FALSE()),0))+IFERROR(INDEX(' Toto teams'!$Q$4:$Q$119,MATCH($B60,' Toto teams'!$A$4:$A$119,0))*1,0))</f>
        <v>1</v>
      </c>
      <c r="D60" s="28">
        <f>IF($B60="","",6*IFERROR(VLOOKUP(INDEX(' Toto teams'!$B$4:$B$119,MATCH($B60,' Toto teams'!$A$4:$A$119,0)),Scoring!$A$4:$N$51,7,FALSE()),0)+4*IFERROR(VLOOKUP(INDEX(' Toto teams'!$C$4:$C$119,MATCH($B60,' Toto teams'!$A$4:$A$119,0)),Scoring!$A$4:$N$51,7,FALSE()),0)+3*IFERROR(VLOOKUP(INDEX(' Toto teams'!$D$4:$D$119,MATCH($B60,' Toto teams'!$A$4:$A$119,0)),Scoring!$A$4:$N$51,7,FALSE()),0)+2*IFERROR(VLOOKUP(INDEX(' Toto teams'!$E$4:$E$119,MATCH($B60,' Toto teams'!$A$4:$A$119,0)),Scoring!$A$4:$N$51,7,FALSE()),0)+1*IFERROR(VLOOKUP(INDEX(' Toto teams'!$F$4:$F$119,MATCH($B60,' Toto teams'!$A$4:$A$119,0)),Scoring!$A$4:$N$51,7,FALSE()),0)+1*IFERROR(VLOOKUP(INDEX(' Toto teams'!$G$4:$G$119,MATCH($B60,' Toto teams'!$A$4:$A$119,0)),Scoring!$A$4:$N$51,7,FALSE()),0)+1*IFERROR(VLOOKUP(INDEX(' Toto teams'!$H$4:$H$119,MATCH($B60,' Toto teams'!$A$4:$A$119,0)),Scoring!$A$4:$N$51,7,FALSE()),0))</f>
        <v>0</v>
      </c>
      <c r="E60" s="28">
        <f>IF($B60="","",6*IFERROR(VLOOKUP(INDEX(' Toto teams'!$B$4:$B$119,MATCH($B60,' Toto teams'!$A$4:$A$119,0)),Scoring!$A$4:$N$51,8,FALSE()),0)+4*IFERROR(VLOOKUP(INDEX(' Toto teams'!$C$4:$C$119,MATCH($B60,' Toto teams'!$A$4:$A$119,0)),Scoring!$A$4:$N$51,8,FALSE()),0)+3*IFERROR(VLOOKUP(INDEX(' Toto teams'!$D$4:$D$119,MATCH($B60,' Toto teams'!$A$4:$A$119,0)),Scoring!$A$4:$N$51,8,FALSE()),0)+2*IFERROR(VLOOKUP(INDEX(' Toto teams'!$E$4:$E$119,MATCH($B60,' Toto teams'!$A$4:$A$119,0)),Scoring!$A$4:$N$51,8,FALSE()),0)+1*IFERROR(VLOOKUP(INDEX(' Toto teams'!$F$4:$F$119,MATCH($B60,' Toto teams'!$A$4:$A$119,0)),Scoring!$A$4:$N$51,8,FALSE()),0)+1*IFERROR(VLOOKUP(INDEX(' Toto teams'!$G$4:$G$119,MATCH($B60,' Toto teams'!$A$4:$A$119,0)),Scoring!$A$4:$N$51,8,FALSE()),0)+1*IFERROR(VLOOKUP(INDEX(' Toto teams'!$H$4:$H$119,MATCH($B60,' Toto teams'!$A$4:$A$119,0)),Scoring!$A$4:$N$51,8,FALSE()),0))</f>
        <v>0</v>
      </c>
      <c r="F60" s="28">
        <f>IF($B60="","",6*IFERROR(VLOOKUP(INDEX(' Toto teams'!$B$4:$B$119,MATCH($B60,' Toto teams'!$A$4:$A$119,0)),Scoring!$A$4:$N$51,9,FALSE()),0)+4*IFERROR(VLOOKUP(INDEX(' Toto teams'!$C$4:$C$119,MATCH($B60,' Toto teams'!$A$4:$A$119,0)),Scoring!$A$4:$N$51,9,FALSE()),0)+3*IFERROR(VLOOKUP(INDEX(' Toto teams'!$D$4:$D$119,MATCH($B60,' Toto teams'!$A$4:$A$119,0)),Scoring!$A$4:$N$51,9,FALSE()),0)+2*IFERROR(VLOOKUP(INDEX(' Toto teams'!$E$4:$E$119,MATCH($B60,' Toto teams'!$A$4:$A$119,0)),Scoring!$A$4:$N$51,9,FALSE()),0)+1*IFERROR(VLOOKUP(INDEX(' Toto teams'!$F$4:$F$119,MATCH($B60,' Toto teams'!$A$4:$A$119,0)),Scoring!$A$4:$N$51,9,FALSE()),0)+1*IFERROR(VLOOKUP(INDEX(' Toto teams'!$G$4:$G$119,MATCH($B60,' Toto teams'!$A$4:$A$119,0)),Scoring!$A$4:$N$51,9,FALSE()),0)+1*IFERROR(VLOOKUP(INDEX(' Toto teams'!$H$4:$H$119,MATCH($B60,' Toto teams'!$A$4:$A$119,0)),Scoring!$A$4:$N$51,9,FALSE()),0))</f>
        <v>0</v>
      </c>
      <c r="G60" s="28">
        <f>IF($B60="","",6*IFERROR(VLOOKUP(INDEX(' Toto teams'!$B$4:$B$119,MATCH($B60,' Toto teams'!$A$4:$A$119,0)),Scoring!$A$4:$N$51,10,FALSE()),0)+4*IFERROR(VLOOKUP(INDEX(' Toto teams'!$C$4:$C$119,MATCH($B60,' Toto teams'!$A$4:$A$119,0)),Scoring!$A$4:$N$51,10,FALSE()),0)+3*IFERROR(VLOOKUP(INDEX(' Toto teams'!$D$4:$D$119,MATCH($B60,' Toto teams'!$A$4:$A$119,0)),Scoring!$A$4:$N$51,10,FALSE()),0)+2*IFERROR(VLOOKUP(INDEX(' Toto teams'!$E$4:$E$119,MATCH($B60,' Toto teams'!$A$4:$A$119,0)),Scoring!$A$4:$N$51,10,FALSE()),0)+1*IFERROR(VLOOKUP(INDEX(' Toto teams'!$F$4:$F$119,MATCH($B60,' Toto teams'!$A$4:$A$119,0)),Scoring!$A$4:$N$51,10,FALSE()),0)+1*IFERROR(VLOOKUP(INDEX(' Toto teams'!$G$4:$G$119,MATCH($B60,' Toto teams'!$A$4:$A$119,0)),Scoring!$A$4:$N$51,10,FALSE()),0)+1*IFERROR(VLOOKUP(INDEX(' Toto teams'!$H$4:$H$119,MATCH($B60,' Toto teams'!$A$4:$A$119,0)),Scoring!$A$4:$N$51,10,FALSE()),0))</f>
        <v>0</v>
      </c>
      <c r="H60" s="28">
        <f>IF($B60="","",6*IFERROR(VLOOKUP(INDEX(' Toto teams'!$B$4:$B$119,MATCH($B60,' Toto teams'!$A$4:$A$119,0)),Scoring!$A$4:$N$51,11,FALSE()),0)+4*IFERROR(VLOOKUP(INDEX(' Toto teams'!$C$4:$C$119,MATCH($B60,' Toto teams'!$A$4:$A$119,0)),Scoring!$A$4:$N$51,11,FALSE()),0)+3*IFERROR(VLOOKUP(INDEX(' Toto teams'!$D$4:$D$119,MATCH($B60,' Toto teams'!$A$4:$A$119,0)),Scoring!$A$4:$N$51,11,FALSE()),0)+2*IFERROR(VLOOKUP(INDEX(' Toto teams'!$E$4:$E$119,MATCH($B60,' Toto teams'!$A$4:$A$119,0)),Scoring!$A$4:$N$51,11,FALSE()),0)+1*IFERROR(VLOOKUP(INDEX(' Toto teams'!$F$4:$F$119,MATCH($B60,' Toto teams'!$A$4:$A$119,0)),Scoring!$A$4:$N$51,11,FALSE()),0)+1*IFERROR(VLOOKUP(INDEX(' Toto teams'!$G$4:$G$119,MATCH($B60,' Toto teams'!$A$4:$A$119,0)),Scoring!$A$4:$N$51,11,FALSE()),0)+1*IFERROR(VLOOKUP(INDEX(' Toto teams'!$H$4:$H$119,MATCH($B60,' Toto teams'!$A$4:$A$119,0)),Scoring!$A$4:$N$51,11,FALSE()),0))</f>
        <v>0</v>
      </c>
      <c r="I60" s="28">
        <f>IF($B60="","",6*IFERROR(VLOOKUP(INDEX(' Toto teams'!$B$4:$B$119,MATCH($B60,' Toto teams'!$A$4:$A$119,0)),Scoring!$A$4:$O$51,15,FALSE()),0)+4*IFERROR(VLOOKUP(INDEX(' Toto teams'!$C$4:$C$119,MATCH($B60,' Toto teams'!$A$4:$A$119,0)),Scoring!$A$4:$O$51,15,FALSE()),0)+3*IFERROR(VLOOKUP(INDEX(' Toto teams'!$D$4:$D$119,MATCH($B60,' Toto teams'!$A$4:$A$119,0)),Scoring!$A$4:$O$51,15,FALSE()),0)+2*IFERROR(VLOOKUP(INDEX(' Toto teams'!$E$4:$E$119,MATCH($B60,' Toto teams'!$A$4:$A$119,0)),Scoring!$A$4:$O$51,15,FALSE()),0)+1*IFERROR(VLOOKUP(INDEX(' Toto teams'!$F$4:$F$119,MATCH($B60,' Toto teams'!$A$4:$A$119,0)),Scoring!$A$4:$O$51,15,FALSE()),0)+1*IFERROR(VLOOKUP(INDEX(' Toto teams'!$G$4:$G$119,MATCH($B60,' Toto teams'!$A$4:$A$119,0)),Scoring!$A$4:$O$51,15,FALSE()),0)+1*IFERROR(VLOOKUP(INDEX(' Toto teams'!$H$4:$H$119,MATCH($B60,' Toto teams'!$A$4:$A$119,0)),Scoring!$A$4:$O$51,15,FALSE()),0))</f>
        <v>0</v>
      </c>
      <c r="J60" s="28">
        <f>IF($B60="","",6*IFERROR(VLOOKUP(INDEX(' Toto teams'!$B$4:$B$119,MATCH($B60,' Toto teams'!$A$4:$A$119,0)),Scoring!$A$4:$N$51,12,FALSE()),0)+4*IFERROR(VLOOKUP(INDEX(' Toto teams'!$C$4:$C$119,MATCH($B60,' Toto teams'!$A$4:$A$119,0)),Scoring!$A$4:$N$51,12,FALSE()),0)+3*IFERROR(VLOOKUP(INDEX(' Toto teams'!$D$4:$D$119,MATCH($B60,' Toto teams'!$A$4:$A$119,0)),Scoring!$A$4:$N$51,12,FALSE()),0)+2*IFERROR(VLOOKUP(INDEX(' Toto teams'!$E$4:$E$119,MATCH($B60,' Toto teams'!$A$4:$A$119,0)),Scoring!$A$4:$N$51,12,FALSE()),0)+1*IFERROR(VLOOKUP(INDEX(' Toto teams'!$F$4:$F$119,MATCH($B60,' Toto teams'!$A$4:$A$119,0)),Scoring!$A$4:$N$51,12,FALSE()),0)+1*IFERROR(VLOOKUP(INDEX(' Toto teams'!$G$4:$G$119,MATCH($B60,' Toto teams'!$A$4:$A$119,0)),Scoring!$A$4:$N$51,12,FALSE()),0)+1*IFERROR(VLOOKUP(INDEX(' Toto teams'!$H$4:$H$119,MATCH($B60,' Toto teams'!$A$4:$A$119,0)),Scoring!$A$4:$N$51,12,FALSE()),0))</f>
        <v>0</v>
      </c>
      <c r="K60" s="29">
        <f>IF($B60="","",IFERROR(INDEX(' Toto teams'!$R$4:$R$119,MATCH($B60,' Toto teams'!$A$4:$A$119,0)),""))</f>
        <v>1</v>
      </c>
      <c r="L60" s="30">
        <f t="shared" si="4"/>
        <v>0</v>
      </c>
    </row>
    <row r="61" spans="1:12" ht="12.75" customHeight="1" x14ac:dyDescent="0.3">
      <c r="A61" s="26">
        <f>IF(58&gt;COUNTIF(' Toto teams'!$A$4:$A$119,"&lt;&gt;"),"",INDEX(' Toto teams'!$S$4:$S$119,MATCH(LARGE(' Toto teams'!$T$4:$T$119,58),' Toto teams'!$T$4:$T$119,0)))</f>
        <v>36</v>
      </c>
      <c r="B61" s="27" t="str">
        <f>IF(58&gt;COUNTIF(' Toto teams'!$A$4:$A$119,"&lt;&gt;"),"",INDEX(' Toto teams'!$A$4:$A$119,MATCH(LARGE(' Toto teams'!$T$4:$T$119,58),' Toto teams'!$T$4:$T$119,0)))</f>
        <v>Ernesta Čebienė</v>
      </c>
      <c r="C61" s="28">
        <f>IF($B61="","",6*(IFERROR(VLOOKUP(INDEX(' Toto teams'!$B$4:$B$119,MATCH($B61,' Toto teams'!$A$4:$A$119,0)),Scoring!$A$4:$N$51,3,FALSE()),0)+IFERROR(VLOOKUP(INDEX(' Toto teams'!$B$4:$B$119,MATCH($B61,' Toto teams'!$A$4:$A$119,0)),Scoring!$A$4:$N$51,4,FALSE()),0)+IFERROR(VLOOKUP(INDEX(' Toto teams'!$B$4:$B$119,MATCH($B61,' Toto teams'!$A$4:$A$119,0)),Scoring!$A$4:$N$51,5,FALSE()),0))+4*(IFERROR(VLOOKUP(INDEX(' Toto teams'!$C$4:$C$119,MATCH($B61,' Toto teams'!$A$4:$A$119,0)),Scoring!$A$4:$N$51,3,FALSE()),0)+IFERROR(VLOOKUP(INDEX(' Toto teams'!$C$4:$C$119,MATCH($B61,' Toto teams'!$A$4:$A$119,0)),Scoring!$A$4:$N$51,4,FALSE()),0)+IFERROR(VLOOKUP(INDEX(' Toto teams'!$C$4:$C$119,MATCH($B61,' Toto teams'!$A$4:$A$119,0)),Scoring!$A$4:$N$51,5,FALSE()),0))+3*(IFERROR(VLOOKUP(INDEX(' Toto teams'!$D$4:$D$119,MATCH($B61,' Toto teams'!$A$4:$A$119,0)),Scoring!$A$4:$N$51,3,FALSE()),0)+IFERROR(VLOOKUP(INDEX(' Toto teams'!$D$4:$D$119,MATCH($B61,' Toto teams'!$A$4:$A$119,0)),Scoring!$A$4:$N$51,4,FALSE()),0)+IFERROR(VLOOKUP(INDEX(' Toto teams'!$D$4:$D$119,MATCH($B61,' Toto teams'!$A$4:$A$119,0)),Scoring!$A$4:$N$51,5,FALSE()),0))+2*(IFERROR(VLOOKUP(INDEX(' Toto teams'!$E$4:$E$119,MATCH($B61,' Toto teams'!$A$4:$A$119,0)),Scoring!$A$4:$N$51,3,FALSE()),0)+IFERROR(VLOOKUP(INDEX(' Toto teams'!$E$4:$E$119,MATCH($B61,' Toto teams'!$A$4:$A$119,0)),Scoring!$A$4:$N$51,4,FALSE()),0)+IFERROR(VLOOKUP(INDEX(' Toto teams'!$E$4:$E$119,MATCH($B61,' Toto teams'!$A$4:$A$119,0)),Scoring!$A$4:$N$51,5,FALSE()),0))+1*(IFERROR(VLOOKUP(INDEX(' Toto teams'!$F$4:$F$119,MATCH($B61,' Toto teams'!$A$4:$A$119,0)),Scoring!$A$4:$N$51,3,FALSE()),0)+IFERROR(VLOOKUP(INDEX(' Toto teams'!$F$4:$F$119,MATCH($B61,' Toto teams'!$A$4:$A$119,0)),Scoring!$A$4:$N$51,4,FALSE()),0)+IFERROR(VLOOKUP(INDEX(' Toto teams'!$F$4:$F$119,MATCH($B61,' Toto teams'!$A$4:$A$119,0)),Scoring!$A$4:$N$51,5,FALSE()),0))+1*(IFERROR(VLOOKUP(INDEX(' Toto teams'!$G$4:$G$119,MATCH($B61,' Toto teams'!$A$4:$A$119,0)),Scoring!$A$4:$N$51,3,FALSE()),0)+IFERROR(VLOOKUP(INDEX(' Toto teams'!$G$4:$G$119,MATCH($B61,' Toto teams'!$A$4:$A$119,0)),Scoring!$A$4:$N$51,4,FALSE()),0)+IFERROR(VLOOKUP(INDEX(' Toto teams'!$G$4:$G$119,MATCH($B61,' Toto teams'!$A$4:$A$119,0)),Scoring!$A$4:$N$51,5,FALSE()),0))+1*(IFERROR(VLOOKUP(INDEX(' Toto teams'!$H$4:$H$119,MATCH($B61,' Toto teams'!$A$4:$A$119,0)),Scoring!$A$4:$N$51,3,FALSE()),0)+IFERROR(VLOOKUP(INDEX(' Toto teams'!$H$4:$H$119,MATCH($B61,' Toto teams'!$A$4:$A$119,0)),Scoring!$A$4:$N$51,4,FALSE()),0)+IFERROR(VLOOKUP(INDEX(' Toto teams'!$H$4:$H$119,MATCH($B61,' Toto teams'!$A$4:$A$119,0)),Scoring!$A$4:$N$51,5,FALSE()),0))+IFERROR(INDEX(' Toto teams'!$Q$4:$Q$119,MATCH($B61,' Toto teams'!$A$4:$A$119,0))*1,0))</f>
        <v>1</v>
      </c>
      <c r="D61" s="28">
        <f>IF($B61="","",6*IFERROR(VLOOKUP(INDEX(' Toto teams'!$B$4:$B$119,MATCH($B61,' Toto teams'!$A$4:$A$119,0)),Scoring!$A$4:$N$51,7,FALSE()),0)+4*IFERROR(VLOOKUP(INDEX(' Toto teams'!$C$4:$C$119,MATCH($B61,' Toto teams'!$A$4:$A$119,0)),Scoring!$A$4:$N$51,7,FALSE()),0)+3*IFERROR(VLOOKUP(INDEX(' Toto teams'!$D$4:$D$119,MATCH($B61,' Toto teams'!$A$4:$A$119,0)),Scoring!$A$4:$N$51,7,FALSE()),0)+2*IFERROR(VLOOKUP(INDEX(' Toto teams'!$E$4:$E$119,MATCH($B61,' Toto teams'!$A$4:$A$119,0)),Scoring!$A$4:$N$51,7,FALSE()),0)+1*IFERROR(VLOOKUP(INDEX(' Toto teams'!$F$4:$F$119,MATCH($B61,' Toto teams'!$A$4:$A$119,0)),Scoring!$A$4:$N$51,7,FALSE()),0)+1*IFERROR(VLOOKUP(INDEX(' Toto teams'!$G$4:$G$119,MATCH($B61,' Toto teams'!$A$4:$A$119,0)),Scoring!$A$4:$N$51,7,FALSE()),0)+1*IFERROR(VLOOKUP(INDEX(' Toto teams'!$H$4:$H$119,MATCH($B61,' Toto teams'!$A$4:$A$119,0)),Scoring!$A$4:$N$51,7,FALSE()),0))</f>
        <v>0</v>
      </c>
      <c r="E61" s="28">
        <f>IF($B61="","",6*IFERROR(VLOOKUP(INDEX(' Toto teams'!$B$4:$B$119,MATCH($B61,' Toto teams'!$A$4:$A$119,0)),Scoring!$A$4:$N$51,8,FALSE()),0)+4*IFERROR(VLOOKUP(INDEX(' Toto teams'!$C$4:$C$119,MATCH($B61,' Toto teams'!$A$4:$A$119,0)),Scoring!$A$4:$N$51,8,FALSE()),0)+3*IFERROR(VLOOKUP(INDEX(' Toto teams'!$D$4:$D$119,MATCH($B61,' Toto teams'!$A$4:$A$119,0)),Scoring!$A$4:$N$51,8,FALSE()),0)+2*IFERROR(VLOOKUP(INDEX(' Toto teams'!$E$4:$E$119,MATCH($B61,' Toto teams'!$A$4:$A$119,0)),Scoring!$A$4:$N$51,8,FALSE()),0)+1*IFERROR(VLOOKUP(INDEX(' Toto teams'!$F$4:$F$119,MATCH($B61,' Toto teams'!$A$4:$A$119,0)),Scoring!$A$4:$N$51,8,FALSE()),0)+1*IFERROR(VLOOKUP(INDEX(' Toto teams'!$G$4:$G$119,MATCH($B61,' Toto teams'!$A$4:$A$119,0)),Scoring!$A$4:$N$51,8,FALSE()),0)+1*IFERROR(VLOOKUP(INDEX(' Toto teams'!$H$4:$H$119,MATCH($B61,' Toto teams'!$A$4:$A$119,0)),Scoring!$A$4:$N$51,8,FALSE()),0))</f>
        <v>0</v>
      </c>
      <c r="F61" s="28">
        <f>IF($B61="","",6*IFERROR(VLOOKUP(INDEX(' Toto teams'!$B$4:$B$119,MATCH($B61,' Toto teams'!$A$4:$A$119,0)),Scoring!$A$4:$N$51,9,FALSE()),0)+4*IFERROR(VLOOKUP(INDEX(' Toto teams'!$C$4:$C$119,MATCH($B61,' Toto teams'!$A$4:$A$119,0)),Scoring!$A$4:$N$51,9,FALSE()),0)+3*IFERROR(VLOOKUP(INDEX(' Toto teams'!$D$4:$D$119,MATCH($B61,' Toto teams'!$A$4:$A$119,0)),Scoring!$A$4:$N$51,9,FALSE()),0)+2*IFERROR(VLOOKUP(INDEX(' Toto teams'!$E$4:$E$119,MATCH($B61,' Toto teams'!$A$4:$A$119,0)),Scoring!$A$4:$N$51,9,FALSE()),0)+1*IFERROR(VLOOKUP(INDEX(' Toto teams'!$F$4:$F$119,MATCH($B61,' Toto teams'!$A$4:$A$119,0)),Scoring!$A$4:$N$51,9,FALSE()),0)+1*IFERROR(VLOOKUP(INDEX(' Toto teams'!$G$4:$G$119,MATCH($B61,' Toto teams'!$A$4:$A$119,0)),Scoring!$A$4:$N$51,9,FALSE()),0)+1*IFERROR(VLOOKUP(INDEX(' Toto teams'!$H$4:$H$119,MATCH($B61,' Toto teams'!$A$4:$A$119,0)),Scoring!$A$4:$N$51,9,FALSE()),0))</f>
        <v>0</v>
      </c>
      <c r="G61" s="28">
        <f>IF($B61="","",6*IFERROR(VLOOKUP(INDEX(' Toto teams'!$B$4:$B$119,MATCH($B61,' Toto teams'!$A$4:$A$119,0)),Scoring!$A$4:$N$51,10,FALSE()),0)+4*IFERROR(VLOOKUP(INDEX(' Toto teams'!$C$4:$C$119,MATCH($B61,' Toto teams'!$A$4:$A$119,0)),Scoring!$A$4:$N$51,10,FALSE()),0)+3*IFERROR(VLOOKUP(INDEX(' Toto teams'!$D$4:$D$119,MATCH($B61,' Toto teams'!$A$4:$A$119,0)),Scoring!$A$4:$N$51,10,FALSE()),0)+2*IFERROR(VLOOKUP(INDEX(' Toto teams'!$E$4:$E$119,MATCH($B61,' Toto teams'!$A$4:$A$119,0)),Scoring!$A$4:$N$51,10,FALSE()),0)+1*IFERROR(VLOOKUP(INDEX(' Toto teams'!$F$4:$F$119,MATCH($B61,' Toto teams'!$A$4:$A$119,0)),Scoring!$A$4:$N$51,10,FALSE()),0)+1*IFERROR(VLOOKUP(INDEX(' Toto teams'!$G$4:$G$119,MATCH($B61,' Toto teams'!$A$4:$A$119,0)),Scoring!$A$4:$N$51,10,FALSE()),0)+1*IFERROR(VLOOKUP(INDEX(' Toto teams'!$H$4:$H$119,MATCH($B61,' Toto teams'!$A$4:$A$119,0)),Scoring!$A$4:$N$51,10,FALSE()),0))</f>
        <v>0</v>
      </c>
      <c r="H61" s="28">
        <f>IF($B61="","",6*IFERROR(VLOOKUP(INDEX(' Toto teams'!$B$4:$B$119,MATCH($B61,' Toto teams'!$A$4:$A$119,0)),Scoring!$A$4:$N$51,11,FALSE()),0)+4*IFERROR(VLOOKUP(INDEX(' Toto teams'!$C$4:$C$119,MATCH($B61,' Toto teams'!$A$4:$A$119,0)),Scoring!$A$4:$N$51,11,FALSE()),0)+3*IFERROR(VLOOKUP(INDEX(' Toto teams'!$D$4:$D$119,MATCH($B61,' Toto teams'!$A$4:$A$119,0)),Scoring!$A$4:$N$51,11,FALSE()),0)+2*IFERROR(VLOOKUP(INDEX(' Toto teams'!$E$4:$E$119,MATCH($B61,' Toto teams'!$A$4:$A$119,0)),Scoring!$A$4:$N$51,11,FALSE()),0)+1*IFERROR(VLOOKUP(INDEX(' Toto teams'!$F$4:$F$119,MATCH($B61,' Toto teams'!$A$4:$A$119,0)),Scoring!$A$4:$N$51,11,FALSE()),0)+1*IFERROR(VLOOKUP(INDEX(' Toto teams'!$G$4:$G$119,MATCH($B61,' Toto teams'!$A$4:$A$119,0)),Scoring!$A$4:$N$51,11,FALSE()),0)+1*IFERROR(VLOOKUP(INDEX(' Toto teams'!$H$4:$H$119,MATCH($B61,' Toto teams'!$A$4:$A$119,0)),Scoring!$A$4:$N$51,11,FALSE()),0))</f>
        <v>0</v>
      </c>
      <c r="I61" s="28">
        <f>IF($B61="","",6*IFERROR(VLOOKUP(INDEX(' Toto teams'!$B$4:$B$119,MATCH($B61,' Toto teams'!$A$4:$A$119,0)),Scoring!$A$4:$O$51,15,FALSE()),0)+4*IFERROR(VLOOKUP(INDEX(' Toto teams'!$C$4:$C$119,MATCH($B61,' Toto teams'!$A$4:$A$119,0)),Scoring!$A$4:$O$51,15,FALSE()),0)+3*IFERROR(VLOOKUP(INDEX(' Toto teams'!$D$4:$D$119,MATCH($B61,' Toto teams'!$A$4:$A$119,0)),Scoring!$A$4:$O$51,15,FALSE()),0)+2*IFERROR(VLOOKUP(INDEX(' Toto teams'!$E$4:$E$119,MATCH($B61,' Toto teams'!$A$4:$A$119,0)),Scoring!$A$4:$O$51,15,FALSE()),0)+1*IFERROR(VLOOKUP(INDEX(' Toto teams'!$F$4:$F$119,MATCH($B61,' Toto teams'!$A$4:$A$119,0)),Scoring!$A$4:$O$51,15,FALSE()),0)+1*IFERROR(VLOOKUP(INDEX(' Toto teams'!$G$4:$G$119,MATCH($B61,' Toto teams'!$A$4:$A$119,0)),Scoring!$A$4:$O$51,15,FALSE()),0)+1*IFERROR(VLOOKUP(INDEX(' Toto teams'!$H$4:$H$119,MATCH($B61,' Toto teams'!$A$4:$A$119,0)),Scoring!$A$4:$O$51,15,FALSE()),0))</f>
        <v>0</v>
      </c>
      <c r="J61" s="28">
        <f>IF($B61="","",6*IFERROR(VLOOKUP(INDEX(' Toto teams'!$B$4:$B$119,MATCH($B61,' Toto teams'!$A$4:$A$119,0)),Scoring!$A$4:$N$51,12,FALSE()),0)+4*IFERROR(VLOOKUP(INDEX(' Toto teams'!$C$4:$C$119,MATCH($B61,' Toto teams'!$A$4:$A$119,0)),Scoring!$A$4:$N$51,12,FALSE()),0)+3*IFERROR(VLOOKUP(INDEX(' Toto teams'!$D$4:$D$119,MATCH($B61,' Toto teams'!$A$4:$A$119,0)),Scoring!$A$4:$N$51,12,FALSE()),0)+2*IFERROR(VLOOKUP(INDEX(' Toto teams'!$E$4:$E$119,MATCH($B61,' Toto teams'!$A$4:$A$119,0)),Scoring!$A$4:$N$51,12,FALSE()),0)+1*IFERROR(VLOOKUP(INDEX(' Toto teams'!$F$4:$F$119,MATCH($B61,' Toto teams'!$A$4:$A$119,0)),Scoring!$A$4:$N$51,12,FALSE()),0)+1*IFERROR(VLOOKUP(INDEX(' Toto teams'!$G$4:$G$119,MATCH($B61,' Toto teams'!$A$4:$A$119,0)),Scoring!$A$4:$N$51,12,FALSE()),0)+1*IFERROR(VLOOKUP(INDEX(' Toto teams'!$H$4:$H$119,MATCH($B61,' Toto teams'!$A$4:$A$119,0)),Scoring!$A$4:$N$51,12,FALSE()),0))</f>
        <v>0</v>
      </c>
      <c r="K61" s="29">
        <f>IF($B61="","",IFERROR(INDEX(' Toto teams'!$R$4:$R$119,MATCH($B61,' Toto teams'!$A$4:$A$119,0)),""))</f>
        <v>1</v>
      </c>
      <c r="L61" s="30">
        <f t="shared" si="4"/>
        <v>0</v>
      </c>
    </row>
    <row r="62" spans="1:12" ht="12.75" customHeight="1" x14ac:dyDescent="0.3">
      <c r="A62" s="26">
        <f>IF(59&gt;COUNTIF(' Toto teams'!$A$4:$A$119,"&lt;&gt;"),"",INDEX(' Toto teams'!$S$4:$S$119,MATCH(LARGE(' Toto teams'!$T$4:$T$119,59),' Toto teams'!$T$4:$T$119,0)))</f>
        <v>36</v>
      </c>
      <c r="B62" s="27" t="str">
        <f>IF(59&gt;COUNTIF(' Toto teams'!$A$4:$A$119,"&lt;&gt;"),"",INDEX(' Toto teams'!$A$4:$A$119,MATCH(LARGE(' Toto teams'!$T$4:$T$119,59),' Toto teams'!$T$4:$T$119,0)))</f>
        <v>Darius Jalo</v>
      </c>
      <c r="C62" s="28">
        <f>IF($B62="","",6*(IFERROR(VLOOKUP(INDEX(' Toto teams'!$B$4:$B$119,MATCH($B62,' Toto teams'!$A$4:$A$119,0)),Scoring!$A$4:$N$51,3,FALSE()),0)+IFERROR(VLOOKUP(INDEX(' Toto teams'!$B$4:$B$119,MATCH($B62,' Toto teams'!$A$4:$A$119,0)),Scoring!$A$4:$N$51,4,FALSE()),0)+IFERROR(VLOOKUP(INDEX(' Toto teams'!$B$4:$B$119,MATCH($B62,' Toto teams'!$A$4:$A$119,0)),Scoring!$A$4:$N$51,5,FALSE()),0))+4*(IFERROR(VLOOKUP(INDEX(' Toto teams'!$C$4:$C$119,MATCH($B62,' Toto teams'!$A$4:$A$119,0)),Scoring!$A$4:$N$51,3,FALSE()),0)+IFERROR(VLOOKUP(INDEX(' Toto teams'!$C$4:$C$119,MATCH($B62,' Toto teams'!$A$4:$A$119,0)),Scoring!$A$4:$N$51,4,FALSE()),0)+IFERROR(VLOOKUP(INDEX(' Toto teams'!$C$4:$C$119,MATCH($B62,' Toto teams'!$A$4:$A$119,0)),Scoring!$A$4:$N$51,5,FALSE()),0))+3*(IFERROR(VLOOKUP(INDEX(' Toto teams'!$D$4:$D$119,MATCH($B62,' Toto teams'!$A$4:$A$119,0)),Scoring!$A$4:$N$51,3,FALSE()),0)+IFERROR(VLOOKUP(INDEX(' Toto teams'!$D$4:$D$119,MATCH($B62,' Toto teams'!$A$4:$A$119,0)),Scoring!$A$4:$N$51,4,FALSE()),0)+IFERROR(VLOOKUP(INDEX(' Toto teams'!$D$4:$D$119,MATCH($B62,' Toto teams'!$A$4:$A$119,0)),Scoring!$A$4:$N$51,5,FALSE()),0))+2*(IFERROR(VLOOKUP(INDEX(' Toto teams'!$E$4:$E$119,MATCH($B62,' Toto teams'!$A$4:$A$119,0)),Scoring!$A$4:$N$51,3,FALSE()),0)+IFERROR(VLOOKUP(INDEX(' Toto teams'!$E$4:$E$119,MATCH($B62,' Toto teams'!$A$4:$A$119,0)),Scoring!$A$4:$N$51,4,FALSE()),0)+IFERROR(VLOOKUP(INDEX(' Toto teams'!$E$4:$E$119,MATCH($B62,' Toto teams'!$A$4:$A$119,0)),Scoring!$A$4:$N$51,5,FALSE()),0))+1*(IFERROR(VLOOKUP(INDEX(' Toto teams'!$F$4:$F$119,MATCH($B62,' Toto teams'!$A$4:$A$119,0)),Scoring!$A$4:$N$51,3,FALSE()),0)+IFERROR(VLOOKUP(INDEX(' Toto teams'!$F$4:$F$119,MATCH($B62,' Toto teams'!$A$4:$A$119,0)),Scoring!$A$4:$N$51,4,FALSE()),0)+IFERROR(VLOOKUP(INDEX(' Toto teams'!$F$4:$F$119,MATCH($B62,' Toto teams'!$A$4:$A$119,0)),Scoring!$A$4:$N$51,5,FALSE()),0))+1*(IFERROR(VLOOKUP(INDEX(' Toto teams'!$G$4:$G$119,MATCH($B62,' Toto teams'!$A$4:$A$119,0)),Scoring!$A$4:$N$51,3,FALSE()),0)+IFERROR(VLOOKUP(INDEX(' Toto teams'!$G$4:$G$119,MATCH($B62,' Toto teams'!$A$4:$A$119,0)),Scoring!$A$4:$N$51,4,FALSE()),0)+IFERROR(VLOOKUP(INDEX(' Toto teams'!$G$4:$G$119,MATCH($B62,' Toto teams'!$A$4:$A$119,0)),Scoring!$A$4:$N$51,5,FALSE()),0))+1*(IFERROR(VLOOKUP(INDEX(' Toto teams'!$H$4:$H$119,MATCH($B62,' Toto teams'!$A$4:$A$119,0)),Scoring!$A$4:$N$51,3,FALSE()),0)+IFERROR(VLOOKUP(INDEX(' Toto teams'!$H$4:$H$119,MATCH($B62,' Toto teams'!$A$4:$A$119,0)),Scoring!$A$4:$N$51,4,FALSE()),0)+IFERROR(VLOOKUP(INDEX(' Toto teams'!$H$4:$H$119,MATCH($B62,' Toto teams'!$A$4:$A$119,0)),Scoring!$A$4:$N$51,5,FALSE()),0))+IFERROR(INDEX(' Toto teams'!$Q$4:$Q$119,MATCH($B62,' Toto teams'!$A$4:$A$119,0))*1,0))</f>
        <v>1</v>
      </c>
      <c r="D62" s="28">
        <f>IF($B62="","",6*IFERROR(VLOOKUP(INDEX(' Toto teams'!$B$4:$B$119,MATCH($B62,' Toto teams'!$A$4:$A$119,0)),Scoring!$A$4:$N$51,7,FALSE()),0)+4*IFERROR(VLOOKUP(INDEX(' Toto teams'!$C$4:$C$119,MATCH($B62,' Toto teams'!$A$4:$A$119,0)),Scoring!$A$4:$N$51,7,FALSE()),0)+3*IFERROR(VLOOKUP(INDEX(' Toto teams'!$D$4:$D$119,MATCH($B62,' Toto teams'!$A$4:$A$119,0)),Scoring!$A$4:$N$51,7,FALSE()),0)+2*IFERROR(VLOOKUP(INDEX(' Toto teams'!$E$4:$E$119,MATCH($B62,' Toto teams'!$A$4:$A$119,0)),Scoring!$A$4:$N$51,7,FALSE()),0)+1*IFERROR(VLOOKUP(INDEX(' Toto teams'!$F$4:$F$119,MATCH($B62,' Toto teams'!$A$4:$A$119,0)),Scoring!$A$4:$N$51,7,FALSE()),0)+1*IFERROR(VLOOKUP(INDEX(' Toto teams'!$G$4:$G$119,MATCH($B62,' Toto teams'!$A$4:$A$119,0)),Scoring!$A$4:$N$51,7,FALSE()),0)+1*IFERROR(VLOOKUP(INDEX(' Toto teams'!$H$4:$H$119,MATCH($B62,' Toto teams'!$A$4:$A$119,0)),Scoring!$A$4:$N$51,7,FALSE()),0))</f>
        <v>0</v>
      </c>
      <c r="E62" s="28">
        <f>IF($B62="","",6*IFERROR(VLOOKUP(INDEX(' Toto teams'!$B$4:$B$119,MATCH($B62,' Toto teams'!$A$4:$A$119,0)),Scoring!$A$4:$N$51,8,FALSE()),0)+4*IFERROR(VLOOKUP(INDEX(' Toto teams'!$C$4:$C$119,MATCH($B62,' Toto teams'!$A$4:$A$119,0)),Scoring!$A$4:$N$51,8,FALSE()),0)+3*IFERROR(VLOOKUP(INDEX(' Toto teams'!$D$4:$D$119,MATCH($B62,' Toto teams'!$A$4:$A$119,0)),Scoring!$A$4:$N$51,8,FALSE()),0)+2*IFERROR(VLOOKUP(INDEX(' Toto teams'!$E$4:$E$119,MATCH($B62,' Toto teams'!$A$4:$A$119,0)),Scoring!$A$4:$N$51,8,FALSE()),0)+1*IFERROR(VLOOKUP(INDEX(' Toto teams'!$F$4:$F$119,MATCH($B62,' Toto teams'!$A$4:$A$119,0)),Scoring!$A$4:$N$51,8,FALSE()),0)+1*IFERROR(VLOOKUP(INDEX(' Toto teams'!$G$4:$G$119,MATCH($B62,' Toto teams'!$A$4:$A$119,0)),Scoring!$A$4:$N$51,8,FALSE()),0)+1*IFERROR(VLOOKUP(INDEX(' Toto teams'!$H$4:$H$119,MATCH($B62,' Toto teams'!$A$4:$A$119,0)),Scoring!$A$4:$N$51,8,FALSE()),0))</f>
        <v>0</v>
      </c>
      <c r="F62" s="28">
        <f>IF($B62="","",6*IFERROR(VLOOKUP(INDEX(' Toto teams'!$B$4:$B$119,MATCH($B62,' Toto teams'!$A$4:$A$119,0)),Scoring!$A$4:$N$51,9,FALSE()),0)+4*IFERROR(VLOOKUP(INDEX(' Toto teams'!$C$4:$C$119,MATCH($B62,' Toto teams'!$A$4:$A$119,0)),Scoring!$A$4:$N$51,9,FALSE()),0)+3*IFERROR(VLOOKUP(INDEX(' Toto teams'!$D$4:$D$119,MATCH($B62,' Toto teams'!$A$4:$A$119,0)),Scoring!$A$4:$N$51,9,FALSE()),0)+2*IFERROR(VLOOKUP(INDEX(' Toto teams'!$E$4:$E$119,MATCH($B62,' Toto teams'!$A$4:$A$119,0)),Scoring!$A$4:$N$51,9,FALSE()),0)+1*IFERROR(VLOOKUP(INDEX(' Toto teams'!$F$4:$F$119,MATCH($B62,' Toto teams'!$A$4:$A$119,0)),Scoring!$A$4:$N$51,9,FALSE()),0)+1*IFERROR(VLOOKUP(INDEX(' Toto teams'!$G$4:$G$119,MATCH($B62,' Toto teams'!$A$4:$A$119,0)),Scoring!$A$4:$N$51,9,FALSE()),0)+1*IFERROR(VLOOKUP(INDEX(' Toto teams'!$H$4:$H$119,MATCH($B62,' Toto teams'!$A$4:$A$119,0)),Scoring!$A$4:$N$51,9,FALSE()),0))</f>
        <v>0</v>
      </c>
      <c r="G62" s="28">
        <f>IF($B62="","",6*IFERROR(VLOOKUP(INDEX(' Toto teams'!$B$4:$B$119,MATCH($B62,' Toto teams'!$A$4:$A$119,0)),Scoring!$A$4:$N$51,10,FALSE()),0)+4*IFERROR(VLOOKUP(INDEX(' Toto teams'!$C$4:$C$119,MATCH($B62,' Toto teams'!$A$4:$A$119,0)),Scoring!$A$4:$N$51,10,FALSE()),0)+3*IFERROR(VLOOKUP(INDEX(' Toto teams'!$D$4:$D$119,MATCH($B62,' Toto teams'!$A$4:$A$119,0)),Scoring!$A$4:$N$51,10,FALSE()),0)+2*IFERROR(VLOOKUP(INDEX(' Toto teams'!$E$4:$E$119,MATCH($B62,' Toto teams'!$A$4:$A$119,0)),Scoring!$A$4:$N$51,10,FALSE()),0)+1*IFERROR(VLOOKUP(INDEX(' Toto teams'!$F$4:$F$119,MATCH($B62,' Toto teams'!$A$4:$A$119,0)),Scoring!$A$4:$N$51,10,FALSE()),0)+1*IFERROR(VLOOKUP(INDEX(' Toto teams'!$G$4:$G$119,MATCH($B62,' Toto teams'!$A$4:$A$119,0)),Scoring!$A$4:$N$51,10,FALSE()),0)+1*IFERROR(VLOOKUP(INDEX(' Toto teams'!$H$4:$H$119,MATCH($B62,' Toto teams'!$A$4:$A$119,0)),Scoring!$A$4:$N$51,10,FALSE()),0))</f>
        <v>0</v>
      </c>
      <c r="H62" s="28">
        <f>IF($B62="","",6*IFERROR(VLOOKUP(INDEX(' Toto teams'!$B$4:$B$119,MATCH($B62,' Toto teams'!$A$4:$A$119,0)),Scoring!$A$4:$N$51,11,FALSE()),0)+4*IFERROR(VLOOKUP(INDEX(' Toto teams'!$C$4:$C$119,MATCH($B62,' Toto teams'!$A$4:$A$119,0)),Scoring!$A$4:$N$51,11,FALSE()),0)+3*IFERROR(VLOOKUP(INDEX(' Toto teams'!$D$4:$D$119,MATCH($B62,' Toto teams'!$A$4:$A$119,0)),Scoring!$A$4:$N$51,11,FALSE()),0)+2*IFERROR(VLOOKUP(INDEX(' Toto teams'!$E$4:$E$119,MATCH($B62,' Toto teams'!$A$4:$A$119,0)),Scoring!$A$4:$N$51,11,FALSE()),0)+1*IFERROR(VLOOKUP(INDEX(' Toto teams'!$F$4:$F$119,MATCH($B62,' Toto teams'!$A$4:$A$119,0)),Scoring!$A$4:$N$51,11,FALSE()),0)+1*IFERROR(VLOOKUP(INDEX(' Toto teams'!$G$4:$G$119,MATCH($B62,' Toto teams'!$A$4:$A$119,0)),Scoring!$A$4:$N$51,11,FALSE()),0)+1*IFERROR(VLOOKUP(INDEX(' Toto teams'!$H$4:$H$119,MATCH($B62,' Toto teams'!$A$4:$A$119,0)),Scoring!$A$4:$N$51,11,FALSE()),0))</f>
        <v>0</v>
      </c>
      <c r="I62" s="28">
        <f>IF($B62="","",6*IFERROR(VLOOKUP(INDEX(' Toto teams'!$B$4:$B$119,MATCH($B62,' Toto teams'!$A$4:$A$119,0)),Scoring!$A$4:$O$51,15,FALSE()),0)+4*IFERROR(VLOOKUP(INDEX(' Toto teams'!$C$4:$C$119,MATCH($B62,' Toto teams'!$A$4:$A$119,0)),Scoring!$A$4:$O$51,15,FALSE()),0)+3*IFERROR(VLOOKUP(INDEX(' Toto teams'!$D$4:$D$119,MATCH($B62,' Toto teams'!$A$4:$A$119,0)),Scoring!$A$4:$O$51,15,FALSE()),0)+2*IFERROR(VLOOKUP(INDEX(' Toto teams'!$E$4:$E$119,MATCH($B62,' Toto teams'!$A$4:$A$119,0)),Scoring!$A$4:$O$51,15,FALSE()),0)+1*IFERROR(VLOOKUP(INDEX(' Toto teams'!$F$4:$F$119,MATCH($B62,' Toto teams'!$A$4:$A$119,0)),Scoring!$A$4:$O$51,15,FALSE()),0)+1*IFERROR(VLOOKUP(INDEX(' Toto teams'!$G$4:$G$119,MATCH($B62,' Toto teams'!$A$4:$A$119,0)),Scoring!$A$4:$O$51,15,FALSE()),0)+1*IFERROR(VLOOKUP(INDEX(' Toto teams'!$H$4:$H$119,MATCH($B62,' Toto teams'!$A$4:$A$119,0)),Scoring!$A$4:$O$51,15,FALSE()),0))</f>
        <v>0</v>
      </c>
      <c r="J62" s="28">
        <f>IF($B62="","",6*IFERROR(VLOOKUP(INDEX(' Toto teams'!$B$4:$B$119,MATCH($B62,' Toto teams'!$A$4:$A$119,0)),Scoring!$A$4:$N$51,12,FALSE()),0)+4*IFERROR(VLOOKUP(INDEX(' Toto teams'!$C$4:$C$119,MATCH($B62,' Toto teams'!$A$4:$A$119,0)),Scoring!$A$4:$N$51,12,FALSE()),0)+3*IFERROR(VLOOKUP(INDEX(' Toto teams'!$D$4:$D$119,MATCH($B62,' Toto teams'!$A$4:$A$119,0)),Scoring!$A$4:$N$51,12,FALSE()),0)+2*IFERROR(VLOOKUP(INDEX(' Toto teams'!$E$4:$E$119,MATCH($B62,' Toto teams'!$A$4:$A$119,0)),Scoring!$A$4:$N$51,12,FALSE()),0)+1*IFERROR(VLOOKUP(INDEX(' Toto teams'!$F$4:$F$119,MATCH($B62,' Toto teams'!$A$4:$A$119,0)),Scoring!$A$4:$N$51,12,FALSE()),0)+1*IFERROR(VLOOKUP(INDEX(' Toto teams'!$G$4:$G$119,MATCH($B62,' Toto teams'!$A$4:$A$119,0)),Scoring!$A$4:$N$51,12,FALSE()),0)+1*IFERROR(VLOOKUP(INDEX(' Toto teams'!$H$4:$H$119,MATCH($B62,' Toto teams'!$A$4:$A$119,0)),Scoring!$A$4:$N$51,12,FALSE()),0))</f>
        <v>0</v>
      </c>
      <c r="K62" s="29">
        <f>IF($B62="","",IFERROR(INDEX(' Toto teams'!$R$4:$R$119,MATCH($B62,' Toto teams'!$A$4:$A$119,0)),""))</f>
        <v>1</v>
      </c>
      <c r="L62" s="30">
        <f t="shared" si="4"/>
        <v>0</v>
      </c>
    </row>
    <row r="63" spans="1:12" ht="12.75" customHeight="1" x14ac:dyDescent="0.3">
      <c r="A63" s="26">
        <f>IF(60&gt;COUNTIF(' Toto teams'!$A$4:$A$119,"&lt;&gt;"),"",INDEX(' Toto teams'!$S$4:$S$119,MATCH(LARGE(' Toto teams'!$T$4:$T$119,60),' Toto teams'!$T$4:$T$119,0)))</f>
        <v>36</v>
      </c>
      <c r="B63" s="27" t="str">
        <f>IF(60&gt;COUNTIF(' Toto teams'!$A$4:$A$119,"&lt;&gt;"),"",INDEX(' Toto teams'!$A$4:$A$119,MATCH(LARGE(' Toto teams'!$T$4:$T$119,60),' Toto teams'!$T$4:$T$119,0)))</f>
        <v>Pijus Jalo</v>
      </c>
      <c r="C63" s="28">
        <f>IF($B63="","",6*(IFERROR(VLOOKUP(INDEX(' Toto teams'!$B$4:$B$119,MATCH($B63,' Toto teams'!$A$4:$A$119,0)),Scoring!$A$4:$N$51,3,FALSE()),0)+IFERROR(VLOOKUP(INDEX(' Toto teams'!$B$4:$B$119,MATCH($B63,' Toto teams'!$A$4:$A$119,0)),Scoring!$A$4:$N$51,4,FALSE()),0)+IFERROR(VLOOKUP(INDEX(' Toto teams'!$B$4:$B$119,MATCH($B63,' Toto teams'!$A$4:$A$119,0)),Scoring!$A$4:$N$51,5,FALSE()),0))+4*(IFERROR(VLOOKUP(INDEX(' Toto teams'!$C$4:$C$119,MATCH($B63,' Toto teams'!$A$4:$A$119,0)),Scoring!$A$4:$N$51,3,FALSE()),0)+IFERROR(VLOOKUP(INDEX(' Toto teams'!$C$4:$C$119,MATCH($B63,' Toto teams'!$A$4:$A$119,0)),Scoring!$A$4:$N$51,4,FALSE()),0)+IFERROR(VLOOKUP(INDEX(' Toto teams'!$C$4:$C$119,MATCH($B63,' Toto teams'!$A$4:$A$119,0)),Scoring!$A$4:$N$51,5,FALSE()),0))+3*(IFERROR(VLOOKUP(INDEX(' Toto teams'!$D$4:$D$119,MATCH($B63,' Toto teams'!$A$4:$A$119,0)),Scoring!$A$4:$N$51,3,FALSE()),0)+IFERROR(VLOOKUP(INDEX(' Toto teams'!$D$4:$D$119,MATCH($B63,' Toto teams'!$A$4:$A$119,0)),Scoring!$A$4:$N$51,4,FALSE()),0)+IFERROR(VLOOKUP(INDEX(' Toto teams'!$D$4:$D$119,MATCH($B63,' Toto teams'!$A$4:$A$119,0)),Scoring!$A$4:$N$51,5,FALSE()),0))+2*(IFERROR(VLOOKUP(INDEX(' Toto teams'!$E$4:$E$119,MATCH($B63,' Toto teams'!$A$4:$A$119,0)),Scoring!$A$4:$N$51,3,FALSE()),0)+IFERROR(VLOOKUP(INDEX(' Toto teams'!$E$4:$E$119,MATCH($B63,' Toto teams'!$A$4:$A$119,0)),Scoring!$A$4:$N$51,4,FALSE()),0)+IFERROR(VLOOKUP(INDEX(' Toto teams'!$E$4:$E$119,MATCH($B63,' Toto teams'!$A$4:$A$119,0)),Scoring!$A$4:$N$51,5,FALSE()),0))+1*(IFERROR(VLOOKUP(INDEX(' Toto teams'!$F$4:$F$119,MATCH($B63,' Toto teams'!$A$4:$A$119,0)),Scoring!$A$4:$N$51,3,FALSE()),0)+IFERROR(VLOOKUP(INDEX(' Toto teams'!$F$4:$F$119,MATCH($B63,' Toto teams'!$A$4:$A$119,0)),Scoring!$A$4:$N$51,4,FALSE()),0)+IFERROR(VLOOKUP(INDEX(' Toto teams'!$F$4:$F$119,MATCH($B63,' Toto teams'!$A$4:$A$119,0)),Scoring!$A$4:$N$51,5,FALSE()),0))+1*(IFERROR(VLOOKUP(INDEX(' Toto teams'!$G$4:$G$119,MATCH($B63,' Toto teams'!$A$4:$A$119,0)),Scoring!$A$4:$N$51,3,FALSE()),0)+IFERROR(VLOOKUP(INDEX(' Toto teams'!$G$4:$G$119,MATCH($B63,' Toto teams'!$A$4:$A$119,0)),Scoring!$A$4:$N$51,4,FALSE()),0)+IFERROR(VLOOKUP(INDEX(' Toto teams'!$G$4:$G$119,MATCH($B63,' Toto teams'!$A$4:$A$119,0)),Scoring!$A$4:$N$51,5,FALSE()),0))+1*(IFERROR(VLOOKUP(INDEX(' Toto teams'!$H$4:$H$119,MATCH($B63,' Toto teams'!$A$4:$A$119,0)),Scoring!$A$4:$N$51,3,FALSE()),0)+IFERROR(VLOOKUP(INDEX(' Toto teams'!$H$4:$H$119,MATCH($B63,' Toto teams'!$A$4:$A$119,0)),Scoring!$A$4:$N$51,4,FALSE()),0)+IFERROR(VLOOKUP(INDEX(' Toto teams'!$H$4:$H$119,MATCH($B63,' Toto teams'!$A$4:$A$119,0)),Scoring!$A$4:$N$51,5,FALSE()),0))+IFERROR(INDEX(' Toto teams'!$Q$4:$Q$119,MATCH($B63,' Toto teams'!$A$4:$A$119,0))*1,0))</f>
        <v>1</v>
      </c>
      <c r="D63" s="28">
        <f>IF($B63="","",6*IFERROR(VLOOKUP(INDEX(' Toto teams'!$B$4:$B$119,MATCH($B63,' Toto teams'!$A$4:$A$119,0)),Scoring!$A$4:$N$51,7,FALSE()),0)+4*IFERROR(VLOOKUP(INDEX(' Toto teams'!$C$4:$C$119,MATCH($B63,' Toto teams'!$A$4:$A$119,0)),Scoring!$A$4:$N$51,7,FALSE()),0)+3*IFERROR(VLOOKUP(INDEX(' Toto teams'!$D$4:$D$119,MATCH($B63,' Toto teams'!$A$4:$A$119,0)),Scoring!$A$4:$N$51,7,FALSE()),0)+2*IFERROR(VLOOKUP(INDEX(' Toto teams'!$E$4:$E$119,MATCH($B63,' Toto teams'!$A$4:$A$119,0)),Scoring!$A$4:$N$51,7,FALSE()),0)+1*IFERROR(VLOOKUP(INDEX(' Toto teams'!$F$4:$F$119,MATCH($B63,' Toto teams'!$A$4:$A$119,0)),Scoring!$A$4:$N$51,7,FALSE()),0)+1*IFERROR(VLOOKUP(INDEX(' Toto teams'!$G$4:$G$119,MATCH($B63,' Toto teams'!$A$4:$A$119,0)),Scoring!$A$4:$N$51,7,FALSE()),0)+1*IFERROR(VLOOKUP(INDEX(' Toto teams'!$H$4:$H$119,MATCH($B63,' Toto teams'!$A$4:$A$119,0)),Scoring!$A$4:$N$51,7,FALSE()),0))</f>
        <v>0</v>
      </c>
      <c r="E63" s="28">
        <f>IF($B63="","",6*IFERROR(VLOOKUP(INDEX(' Toto teams'!$B$4:$B$119,MATCH($B63,' Toto teams'!$A$4:$A$119,0)),Scoring!$A$4:$N$51,8,FALSE()),0)+4*IFERROR(VLOOKUP(INDEX(' Toto teams'!$C$4:$C$119,MATCH($B63,' Toto teams'!$A$4:$A$119,0)),Scoring!$A$4:$N$51,8,FALSE()),0)+3*IFERROR(VLOOKUP(INDEX(' Toto teams'!$D$4:$D$119,MATCH($B63,' Toto teams'!$A$4:$A$119,0)),Scoring!$A$4:$N$51,8,FALSE()),0)+2*IFERROR(VLOOKUP(INDEX(' Toto teams'!$E$4:$E$119,MATCH($B63,' Toto teams'!$A$4:$A$119,0)),Scoring!$A$4:$N$51,8,FALSE()),0)+1*IFERROR(VLOOKUP(INDEX(' Toto teams'!$F$4:$F$119,MATCH($B63,' Toto teams'!$A$4:$A$119,0)),Scoring!$A$4:$N$51,8,FALSE()),0)+1*IFERROR(VLOOKUP(INDEX(' Toto teams'!$G$4:$G$119,MATCH($B63,' Toto teams'!$A$4:$A$119,0)),Scoring!$A$4:$N$51,8,FALSE()),0)+1*IFERROR(VLOOKUP(INDEX(' Toto teams'!$H$4:$H$119,MATCH($B63,' Toto teams'!$A$4:$A$119,0)),Scoring!$A$4:$N$51,8,FALSE()),0))</f>
        <v>0</v>
      </c>
      <c r="F63" s="28">
        <f>IF($B63="","",6*IFERROR(VLOOKUP(INDEX(' Toto teams'!$B$4:$B$119,MATCH($B63,' Toto teams'!$A$4:$A$119,0)),Scoring!$A$4:$N$51,9,FALSE()),0)+4*IFERROR(VLOOKUP(INDEX(' Toto teams'!$C$4:$C$119,MATCH($B63,' Toto teams'!$A$4:$A$119,0)),Scoring!$A$4:$N$51,9,FALSE()),0)+3*IFERROR(VLOOKUP(INDEX(' Toto teams'!$D$4:$D$119,MATCH($B63,' Toto teams'!$A$4:$A$119,0)),Scoring!$A$4:$N$51,9,FALSE()),0)+2*IFERROR(VLOOKUP(INDEX(' Toto teams'!$E$4:$E$119,MATCH($B63,' Toto teams'!$A$4:$A$119,0)),Scoring!$A$4:$N$51,9,FALSE()),0)+1*IFERROR(VLOOKUP(INDEX(' Toto teams'!$F$4:$F$119,MATCH($B63,' Toto teams'!$A$4:$A$119,0)),Scoring!$A$4:$N$51,9,FALSE()),0)+1*IFERROR(VLOOKUP(INDEX(' Toto teams'!$G$4:$G$119,MATCH($B63,' Toto teams'!$A$4:$A$119,0)),Scoring!$A$4:$N$51,9,FALSE()),0)+1*IFERROR(VLOOKUP(INDEX(' Toto teams'!$H$4:$H$119,MATCH($B63,' Toto teams'!$A$4:$A$119,0)),Scoring!$A$4:$N$51,9,FALSE()),0))</f>
        <v>0</v>
      </c>
      <c r="G63" s="28">
        <f>IF($B63="","",6*IFERROR(VLOOKUP(INDEX(' Toto teams'!$B$4:$B$119,MATCH($B63,' Toto teams'!$A$4:$A$119,0)),Scoring!$A$4:$N$51,10,FALSE()),0)+4*IFERROR(VLOOKUP(INDEX(' Toto teams'!$C$4:$C$119,MATCH($B63,' Toto teams'!$A$4:$A$119,0)),Scoring!$A$4:$N$51,10,FALSE()),0)+3*IFERROR(VLOOKUP(INDEX(' Toto teams'!$D$4:$D$119,MATCH($B63,' Toto teams'!$A$4:$A$119,0)),Scoring!$A$4:$N$51,10,FALSE()),0)+2*IFERROR(VLOOKUP(INDEX(' Toto teams'!$E$4:$E$119,MATCH($B63,' Toto teams'!$A$4:$A$119,0)),Scoring!$A$4:$N$51,10,FALSE()),0)+1*IFERROR(VLOOKUP(INDEX(' Toto teams'!$F$4:$F$119,MATCH($B63,' Toto teams'!$A$4:$A$119,0)),Scoring!$A$4:$N$51,10,FALSE()),0)+1*IFERROR(VLOOKUP(INDEX(' Toto teams'!$G$4:$G$119,MATCH($B63,' Toto teams'!$A$4:$A$119,0)),Scoring!$A$4:$N$51,10,FALSE()),0)+1*IFERROR(VLOOKUP(INDEX(' Toto teams'!$H$4:$H$119,MATCH($B63,' Toto teams'!$A$4:$A$119,0)),Scoring!$A$4:$N$51,10,FALSE()),0))</f>
        <v>0</v>
      </c>
      <c r="H63" s="28">
        <f>IF($B63="","",6*IFERROR(VLOOKUP(INDEX(' Toto teams'!$B$4:$B$119,MATCH($B63,' Toto teams'!$A$4:$A$119,0)),Scoring!$A$4:$N$51,11,FALSE()),0)+4*IFERROR(VLOOKUP(INDEX(' Toto teams'!$C$4:$C$119,MATCH($B63,' Toto teams'!$A$4:$A$119,0)),Scoring!$A$4:$N$51,11,FALSE()),0)+3*IFERROR(VLOOKUP(INDEX(' Toto teams'!$D$4:$D$119,MATCH($B63,' Toto teams'!$A$4:$A$119,0)),Scoring!$A$4:$N$51,11,FALSE()),0)+2*IFERROR(VLOOKUP(INDEX(' Toto teams'!$E$4:$E$119,MATCH($B63,' Toto teams'!$A$4:$A$119,0)),Scoring!$A$4:$N$51,11,FALSE()),0)+1*IFERROR(VLOOKUP(INDEX(' Toto teams'!$F$4:$F$119,MATCH($B63,' Toto teams'!$A$4:$A$119,0)),Scoring!$A$4:$N$51,11,FALSE()),0)+1*IFERROR(VLOOKUP(INDEX(' Toto teams'!$G$4:$G$119,MATCH($B63,' Toto teams'!$A$4:$A$119,0)),Scoring!$A$4:$N$51,11,FALSE()),0)+1*IFERROR(VLOOKUP(INDEX(' Toto teams'!$H$4:$H$119,MATCH($B63,' Toto teams'!$A$4:$A$119,0)),Scoring!$A$4:$N$51,11,FALSE()),0))</f>
        <v>0</v>
      </c>
      <c r="I63" s="28">
        <f>IF($B63="","",6*IFERROR(VLOOKUP(INDEX(' Toto teams'!$B$4:$B$119,MATCH($B63,' Toto teams'!$A$4:$A$119,0)),Scoring!$A$4:$O$51,15,FALSE()),0)+4*IFERROR(VLOOKUP(INDEX(' Toto teams'!$C$4:$C$119,MATCH($B63,' Toto teams'!$A$4:$A$119,0)),Scoring!$A$4:$O$51,15,FALSE()),0)+3*IFERROR(VLOOKUP(INDEX(' Toto teams'!$D$4:$D$119,MATCH($B63,' Toto teams'!$A$4:$A$119,0)),Scoring!$A$4:$O$51,15,FALSE()),0)+2*IFERROR(VLOOKUP(INDEX(' Toto teams'!$E$4:$E$119,MATCH($B63,' Toto teams'!$A$4:$A$119,0)),Scoring!$A$4:$O$51,15,FALSE()),0)+1*IFERROR(VLOOKUP(INDEX(' Toto teams'!$F$4:$F$119,MATCH($B63,' Toto teams'!$A$4:$A$119,0)),Scoring!$A$4:$O$51,15,FALSE()),0)+1*IFERROR(VLOOKUP(INDEX(' Toto teams'!$G$4:$G$119,MATCH($B63,' Toto teams'!$A$4:$A$119,0)),Scoring!$A$4:$O$51,15,FALSE()),0)+1*IFERROR(VLOOKUP(INDEX(' Toto teams'!$H$4:$H$119,MATCH($B63,' Toto teams'!$A$4:$A$119,0)),Scoring!$A$4:$O$51,15,FALSE()),0))</f>
        <v>0</v>
      </c>
      <c r="J63" s="28">
        <f>IF($B63="","",6*IFERROR(VLOOKUP(INDEX(' Toto teams'!$B$4:$B$119,MATCH($B63,' Toto teams'!$A$4:$A$119,0)),Scoring!$A$4:$N$51,12,FALSE()),0)+4*IFERROR(VLOOKUP(INDEX(' Toto teams'!$C$4:$C$119,MATCH($B63,' Toto teams'!$A$4:$A$119,0)),Scoring!$A$4:$N$51,12,FALSE()),0)+3*IFERROR(VLOOKUP(INDEX(' Toto teams'!$D$4:$D$119,MATCH($B63,' Toto teams'!$A$4:$A$119,0)),Scoring!$A$4:$N$51,12,FALSE()),0)+2*IFERROR(VLOOKUP(INDEX(' Toto teams'!$E$4:$E$119,MATCH($B63,' Toto teams'!$A$4:$A$119,0)),Scoring!$A$4:$N$51,12,FALSE()),0)+1*IFERROR(VLOOKUP(INDEX(' Toto teams'!$F$4:$F$119,MATCH($B63,' Toto teams'!$A$4:$A$119,0)),Scoring!$A$4:$N$51,12,FALSE()),0)+1*IFERROR(VLOOKUP(INDEX(' Toto teams'!$G$4:$G$119,MATCH($B63,' Toto teams'!$A$4:$A$119,0)),Scoring!$A$4:$N$51,12,FALSE()),0)+1*IFERROR(VLOOKUP(INDEX(' Toto teams'!$H$4:$H$119,MATCH($B63,' Toto teams'!$A$4:$A$119,0)),Scoring!$A$4:$N$51,12,FALSE()),0))</f>
        <v>0</v>
      </c>
      <c r="K63" s="29">
        <f>IF($B63="","",IFERROR(INDEX(' Toto teams'!$R$4:$R$119,MATCH($B63,' Toto teams'!$A$4:$A$119,0)),""))</f>
        <v>1</v>
      </c>
      <c r="L63" s="30">
        <f t="shared" si="4"/>
        <v>0</v>
      </c>
    </row>
    <row r="64" spans="1:12" ht="12.75" customHeight="1" x14ac:dyDescent="0.3">
      <c r="A64" s="26">
        <f>IF(61&gt;COUNTIF(' Toto teams'!$A$4:$A$119,"&lt;&gt;"),"",INDEX(' Toto teams'!$S$4:$S$119,MATCH(LARGE(' Toto teams'!$T$4:$T$119,61),' Toto teams'!$T$4:$T$119,0)))</f>
        <v>36</v>
      </c>
      <c r="B64" s="27" t="str">
        <f>IF(61&gt;COUNTIF(' Toto teams'!$A$4:$A$119,"&lt;&gt;"),"",INDEX(' Toto teams'!$A$4:$A$119,MATCH(LARGE(' Toto teams'!$T$4:$T$119,61),' Toto teams'!$T$4:$T$119,0)))</f>
        <v>Audi club</v>
      </c>
      <c r="C64" s="28">
        <f>IF($B64="","",6*(IFERROR(VLOOKUP(INDEX(' Toto teams'!$B$4:$B$119,MATCH($B64,' Toto teams'!$A$4:$A$119,0)),Scoring!$A$4:$N$51,3,FALSE()),0)+IFERROR(VLOOKUP(INDEX(' Toto teams'!$B$4:$B$119,MATCH($B64,' Toto teams'!$A$4:$A$119,0)),Scoring!$A$4:$N$51,4,FALSE()),0)+IFERROR(VLOOKUP(INDEX(' Toto teams'!$B$4:$B$119,MATCH($B64,' Toto teams'!$A$4:$A$119,0)),Scoring!$A$4:$N$51,5,FALSE()),0))+4*(IFERROR(VLOOKUP(INDEX(' Toto teams'!$C$4:$C$119,MATCH($B64,' Toto teams'!$A$4:$A$119,0)),Scoring!$A$4:$N$51,3,FALSE()),0)+IFERROR(VLOOKUP(INDEX(' Toto teams'!$C$4:$C$119,MATCH($B64,' Toto teams'!$A$4:$A$119,0)),Scoring!$A$4:$N$51,4,FALSE()),0)+IFERROR(VLOOKUP(INDEX(' Toto teams'!$C$4:$C$119,MATCH($B64,' Toto teams'!$A$4:$A$119,0)),Scoring!$A$4:$N$51,5,FALSE()),0))+3*(IFERROR(VLOOKUP(INDEX(' Toto teams'!$D$4:$D$119,MATCH($B64,' Toto teams'!$A$4:$A$119,0)),Scoring!$A$4:$N$51,3,FALSE()),0)+IFERROR(VLOOKUP(INDEX(' Toto teams'!$D$4:$D$119,MATCH($B64,' Toto teams'!$A$4:$A$119,0)),Scoring!$A$4:$N$51,4,FALSE()),0)+IFERROR(VLOOKUP(INDEX(' Toto teams'!$D$4:$D$119,MATCH($B64,' Toto teams'!$A$4:$A$119,0)),Scoring!$A$4:$N$51,5,FALSE()),0))+2*(IFERROR(VLOOKUP(INDEX(' Toto teams'!$E$4:$E$119,MATCH($B64,' Toto teams'!$A$4:$A$119,0)),Scoring!$A$4:$N$51,3,FALSE()),0)+IFERROR(VLOOKUP(INDEX(' Toto teams'!$E$4:$E$119,MATCH($B64,' Toto teams'!$A$4:$A$119,0)),Scoring!$A$4:$N$51,4,FALSE()),0)+IFERROR(VLOOKUP(INDEX(' Toto teams'!$E$4:$E$119,MATCH($B64,' Toto teams'!$A$4:$A$119,0)),Scoring!$A$4:$N$51,5,FALSE()),0))+1*(IFERROR(VLOOKUP(INDEX(' Toto teams'!$F$4:$F$119,MATCH($B64,' Toto teams'!$A$4:$A$119,0)),Scoring!$A$4:$N$51,3,FALSE()),0)+IFERROR(VLOOKUP(INDEX(' Toto teams'!$F$4:$F$119,MATCH($B64,' Toto teams'!$A$4:$A$119,0)),Scoring!$A$4:$N$51,4,FALSE()),0)+IFERROR(VLOOKUP(INDEX(' Toto teams'!$F$4:$F$119,MATCH($B64,' Toto teams'!$A$4:$A$119,0)),Scoring!$A$4:$N$51,5,FALSE()),0))+1*(IFERROR(VLOOKUP(INDEX(' Toto teams'!$G$4:$G$119,MATCH($B64,' Toto teams'!$A$4:$A$119,0)),Scoring!$A$4:$N$51,3,FALSE()),0)+IFERROR(VLOOKUP(INDEX(' Toto teams'!$G$4:$G$119,MATCH($B64,' Toto teams'!$A$4:$A$119,0)),Scoring!$A$4:$N$51,4,FALSE()),0)+IFERROR(VLOOKUP(INDEX(' Toto teams'!$G$4:$G$119,MATCH($B64,' Toto teams'!$A$4:$A$119,0)),Scoring!$A$4:$N$51,5,FALSE()),0))+1*(IFERROR(VLOOKUP(INDEX(' Toto teams'!$H$4:$H$119,MATCH($B64,' Toto teams'!$A$4:$A$119,0)),Scoring!$A$4:$N$51,3,FALSE()),0)+IFERROR(VLOOKUP(INDEX(' Toto teams'!$H$4:$H$119,MATCH($B64,' Toto teams'!$A$4:$A$119,0)),Scoring!$A$4:$N$51,4,FALSE()),0)+IFERROR(VLOOKUP(INDEX(' Toto teams'!$H$4:$H$119,MATCH($B64,' Toto teams'!$A$4:$A$119,0)),Scoring!$A$4:$N$51,5,FALSE()),0))+IFERROR(INDEX(' Toto teams'!$Q$4:$Q$119,MATCH($B64,' Toto teams'!$A$4:$A$119,0))*1,0))</f>
        <v>1</v>
      </c>
      <c r="D64" s="28">
        <f>IF($B64="","",6*IFERROR(VLOOKUP(INDEX(' Toto teams'!$B$4:$B$119,MATCH($B64,' Toto teams'!$A$4:$A$119,0)),Scoring!$A$4:$N$51,7,FALSE()),0)+4*IFERROR(VLOOKUP(INDEX(' Toto teams'!$C$4:$C$119,MATCH($B64,' Toto teams'!$A$4:$A$119,0)),Scoring!$A$4:$N$51,7,FALSE()),0)+3*IFERROR(VLOOKUP(INDEX(' Toto teams'!$D$4:$D$119,MATCH($B64,' Toto teams'!$A$4:$A$119,0)),Scoring!$A$4:$N$51,7,FALSE()),0)+2*IFERROR(VLOOKUP(INDEX(' Toto teams'!$E$4:$E$119,MATCH($B64,' Toto teams'!$A$4:$A$119,0)),Scoring!$A$4:$N$51,7,FALSE()),0)+1*IFERROR(VLOOKUP(INDEX(' Toto teams'!$F$4:$F$119,MATCH($B64,' Toto teams'!$A$4:$A$119,0)),Scoring!$A$4:$N$51,7,FALSE()),0)+1*IFERROR(VLOOKUP(INDEX(' Toto teams'!$G$4:$G$119,MATCH($B64,' Toto teams'!$A$4:$A$119,0)),Scoring!$A$4:$N$51,7,FALSE()),0)+1*IFERROR(VLOOKUP(INDEX(' Toto teams'!$H$4:$H$119,MATCH($B64,' Toto teams'!$A$4:$A$119,0)),Scoring!$A$4:$N$51,7,FALSE()),0))</f>
        <v>0</v>
      </c>
      <c r="E64" s="28">
        <f>IF($B64="","",6*IFERROR(VLOOKUP(INDEX(' Toto teams'!$B$4:$B$119,MATCH($B64,' Toto teams'!$A$4:$A$119,0)),Scoring!$A$4:$N$51,8,FALSE()),0)+4*IFERROR(VLOOKUP(INDEX(' Toto teams'!$C$4:$C$119,MATCH($B64,' Toto teams'!$A$4:$A$119,0)),Scoring!$A$4:$N$51,8,FALSE()),0)+3*IFERROR(VLOOKUP(INDEX(' Toto teams'!$D$4:$D$119,MATCH($B64,' Toto teams'!$A$4:$A$119,0)),Scoring!$A$4:$N$51,8,FALSE()),0)+2*IFERROR(VLOOKUP(INDEX(' Toto teams'!$E$4:$E$119,MATCH($B64,' Toto teams'!$A$4:$A$119,0)),Scoring!$A$4:$N$51,8,FALSE()),0)+1*IFERROR(VLOOKUP(INDEX(' Toto teams'!$F$4:$F$119,MATCH($B64,' Toto teams'!$A$4:$A$119,0)),Scoring!$A$4:$N$51,8,FALSE()),0)+1*IFERROR(VLOOKUP(INDEX(' Toto teams'!$G$4:$G$119,MATCH($B64,' Toto teams'!$A$4:$A$119,0)),Scoring!$A$4:$N$51,8,FALSE()),0)+1*IFERROR(VLOOKUP(INDEX(' Toto teams'!$H$4:$H$119,MATCH($B64,' Toto teams'!$A$4:$A$119,0)),Scoring!$A$4:$N$51,8,FALSE()),0))</f>
        <v>0</v>
      </c>
      <c r="F64" s="28">
        <f>IF($B64="","",6*IFERROR(VLOOKUP(INDEX(' Toto teams'!$B$4:$B$119,MATCH($B64,' Toto teams'!$A$4:$A$119,0)),Scoring!$A$4:$N$51,9,FALSE()),0)+4*IFERROR(VLOOKUP(INDEX(' Toto teams'!$C$4:$C$119,MATCH($B64,' Toto teams'!$A$4:$A$119,0)),Scoring!$A$4:$N$51,9,FALSE()),0)+3*IFERROR(VLOOKUP(INDEX(' Toto teams'!$D$4:$D$119,MATCH($B64,' Toto teams'!$A$4:$A$119,0)),Scoring!$A$4:$N$51,9,FALSE()),0)+2*IFERROR(VLOOKUP(INDEX(' Toto teams'!$E$4:$E$119,MATCH($B64,' Toto teams'!$A$4:$A$119,0)),Scoring!$A$4:$N$51,9,FALSE()),0)+1*IFERROR(VLOOKUP(INDEX(' Toto teams'!$F$4:$F$119,MATCH($B64,' Toto teams'!$A$4:$A$119,0)),Scoring!$A$4:$N$51,9,FALSE()),0)+1*IFERROR(VLOOKUP(INDEX(' Toto teams'!$G$4:$G$119,MATCH($B64,' Toto teams'!$A$4:$A$119,0)),Scoring!$A$4:$N$51,9,FALSE()),0)+1*IFERROR(VLOOKUP(INDEX(' Toto teams'!$H$4:$H$119,MATCH($B64,' Toto teams'!$A$4:$A$119,0)),Scoring!$A$4:$N$51,9,FALSE()),0))</f>
        <v>0</v>
      </c>
      <c r="G64" s="28">
        <f>IF($B64="","",6*IFERROR(VLOOKUP(INDEX(' Toto teams'!$B$4:$B$119,MATCH($B64,' Toto teams'!$A$4:$A$119,0)),Scoring!$A$4:$N$51,10,FALSE()),0)+4*IFERROR(VLOOKUP(INDEX(' Toto teams'!$C$4:$C$119,MATCH($B64,' Toto teams'!$A$4:$A$119,0)),Scoring!$A$4:$N$51,10,FALSE()),0)+3*IFERROR(VLOOKUP(INDEX(' Toto teams'!$D$4:$D$119,MATCH($B64,' Toto teams'!$A$4:$A$119,0)),Scoring!$A$4:$N$51,10,FALSE()),0)+2*IFERROR(VLOOKUP(INDEX(' Toto teams'!$E$4:$E$119,MATCH($B64,' Toto teams'!$A$4:$A$119,0)),Scoring!$A$4:$N$51,10,FALSE()),0)+1*IFERROR(VLOOKUP(INDEX(' Toto teams'!$F$4:$F$119,MATCH($B64,' Toto teams'!$A$4:$A$119,0)),Scoring!$A$4:$N$51,10,FALSE()),0)+1*IFERROR(VLOOKUP(INDEX(' Toto teams'!$G$4:$G$119,MATCH($B64,' Toto teams'!$A$4:$A$119,0)),Scoring!$A$4:$N$51,10,FALSE()),0)+1*IFERROR(VLOOKUP(INDEX(' Toto teams'!$H$4:$H$119,MATCH($B64,' Toto teams'!$A$4:$A$119,0)),Scoring!$A$4:$N$51,10,FALSE()),0))</f>
        <v>0</v>
      </c>
      <c r="H64" s="28">
        <f>IF($B64="","",6*IFERROR(VLOOKUP(INDEX(' Toto teams'!$B$4:$B$119,MATCH($B64,' Toto teams'!$A$4:$A$119,0)),Scoring!$A$4:$N$51,11,FALSE()),0)+4*IFERROR(VLOOKUP(INDEX(' Toto teams'!$C$4:$C$119,MATCH($B64,' Toto teams'!$A$4:$A$119,0)),Scoring!$A$4:$N$51,11,FALSE()),0)+3*IFERROR(VLOOKUP(INDEX(' Toto teams'!$D$4:$D$119,MATCH($B64,' Toto teams'!$A$4:$A$119,0)),Scoring!$A$4:$N$51,11,FALSE()),0)+2*IFERROR(VLOOKUP(INDEX(' Toto teams'!$E$4:$E$119,MATCH($B64,' Toto teams'!$A$4:$A$119,0)),Scoring!$A$4:$N$51,11,FALSE()),0)+1*IFERROR(VLOOKUP(INDEX(' Toto teams'!$F$4:$F$119,MATCH($B64,' Toto teams'!$A$4:$A$119,0)),Scoring!$A$4:$N$51,11,FALSE()),0)+1*IFERROR(VLOOKUP(INDEX(' Toto teams'!$G$4:$G$119,MATCH($B64,' Toto teams'!$A$4:$A$119,0)),Scoring!$A$4:$N$51,11,FALSE()),0)+1*IFERROR(VLOOKUP(INDEX(' Toto teams'!$H$4:$H$119,MATCH($B64,' Toto teams'!$A$4:$A$119,0)),Scoring!$A$4:$N$51,11,FALSE()),0))</f>
        <v>0</v>
      </c>
      <c r="I64" s="28">
        <f>IF($B64="","",6*IFERROR(VLOOKUP(INDEX(' Toto teams'!$B$4:$B$119,MATCH($B64,' Toto teams'!$A$4:$A$119,0)),Scoring!$A$4:$O$51,15,FALSE()),0)+4*IFERROR(VLOOKUP(INDEX(' Toto teams'!$C$4:$C$119,MATCH($B64,' Toto teams'!$A$4:$A$119,0)),Scoring!$A$4:$O$51,15,FALSE()),0)+3*IFERROR(VLOOKUP(INDEX(' Toto teams'!$D$4:$D$119,MATCH($B64,' Toto teams'!$A$4:$A$119,0)),Scoring!$A$4:$O$51,15,FALSE()),0)+2*IFERROR(VLOOKUP(INDEX(' Toto teams'!$E$4:$E$119,MATCH($B64,' Toto teams'!$A$4:$A$119,0)),Scoring!$A$4:$O$51,15,FALSE()),0)+1*IFERROR(VLOOKUP(INDEX(' Toto teams'!$F$4:$F$119,MATCH($B64,' Toto teams'!$A$4:$A$119,0)),Scoring!$A$4:$O$51,15,FALSE()),0)+1*IFERROR(VLOOKUP(INDEX(' Toto teams'!$G$4:$G$119,MATCH($B64,' Toto teams'!$A$4:$A$119,0)),Scoring!$A$4:$O$51,15,FALSE()),0)+1*IFERROR(VLOOKUP(INDEX(' Toto teams'!$H$4:$H$119,MATCH($B64,' Toto teams'!$A$4:$A$119,0)),Scoring!$A$4:$O$51,15,FALSE()),0))</f>
        <v>0</v>
      </c>
      <c r="J64" s="28">
        <f>IF($B64="","",6*IFERROR(VLOOKUP(INDEX(' Toto teams'!$B$4:$B$119,MATCH($B64,' Toto teams'!$A$4:$A$119,0)),Scoring!$A$4:$N$51,12,FALSE()),0)+4*IFERROR(VLOOKUP(INDEX(' Toto teams'!$C$4:$C$119,MATCH($B64,' Toto teams'!$A$4:$A$119,0)),Scoring!$A$4:$N$51,12,FALSE()),0)+3*IFERROR(VLOOKUP(INDEX(' Toto teams'!$D$4:$D$119,MATCH($B64,' Toto teams'!$A$4:$A$119,0)),Scoring!$A$4:$N$51,12,FALSE()),0)+2*IFERROR(VLOOKUP(INDEX(' Toto teams'!$E$4:$E$119,MATCH($B64,' Toto teams'!$A$4:$A$119,0)),Scoring!$A$4:$N$51,12,FALSE()),0)+1*IFERROR(VLOOKUP(INDEX(' Toto teams'!$F$4:$F$119,MATCH($B64,' Toto teams'!$A$4:$A$119,0)),Scoring!$A$4:$N$51,12,FALSE()),0)+1*IFERROR(VLOOKUP(INDEX(' Toto teams'!$G$4:$G$119,MATCH($B64,' Toto teams'!$A$4:$A$119,0)),Scoring!$A$4:$N$51,12,FALSE()),0)+1*IFERROR(VLOOKUP(INDEX(' Toto teams'!$H$4:$H$119,MATCH($B64,' Toto teams'!$A$4:$A$119,0)),Scoring!$A$4:$N$51,12,FALSE()),0))</f>
        <v>0</v>
      </c>
      <c r="K64" s="29">
        <f>IF($B64="","",IFERROR(INDEX(' Toto teams'!$R$4:$R$119,MATCH($B64,' Toto teams'!$A$4:$A$119,0)),""))</f>
        <v>1</v>
      </c>
      <c r="L64" s="30">
        <f t="shared" si="4"/>
        <v>0</v>
      </c>
    </row>
    <row r="65" spans="1:12" ht="12.75" customHeight="1" x14ac:dyDescent="0.3">
      <c r="A65" s="26">
        <f>IF(62&gt;COUNTIF(' Toto teams'!$A$4:$A$119,"&lt;&gt;"),"",INDEX(' Toto teams'!$S$4:$S$119,MATCH(LARGE(' Toto teams'!$T$4:$T$119,62),' Toto teams'!$T$4:$T$119,0)))</f>
        <v>36</v>
      </c>
      <c r="B65" s="27" t="str">
        <f>IF(62&gt;COUNTIF(' Toto teams'!$A$4:$A$119,"&lt;&gt;"),"",INDEX(' Toto teams'!$A$4:$A$119,MATCH(LARGE(' Toto teams'!$T$4:$T$119,62),' Toto teams'!$T$4:$T$119,0)))</f>
        <v>Jokūbas Kušleika</v>
      </c>
      <c r="C65" s="28">
        <f>IF($B65="","",6*(IFERROR(VLOOKUP(INDEX(' Toto teams'!$B$4:$B$119,MATCH($B65,' Toto teams'!$A$4:$A$119,0)),Scoring!$A$4:$N$51,3,FALSE()),0)+IFERROR(VLOOKUP(INDEX(' Toto teams'!$B$4:$B$119,MATCH($B65,' Toto teams'!$A$4:$A$119,0)),Scoring!$A$4:$N$51,4,FALSE()),0)+IFERROR(VLOOKUP(INDEX(' Toto teams'!$B$4:$B$119,MATCH($B65,' Toto teams'!$A$4:$A$119,0)),Scoring!$A$4:$N$51,5,FALSE()),0))+4*(IFERROR(VLOOKUP(INDEX(' Toto teams'!$C$4:$C$119,MATCH($B65,' Toto teams'!$A$4:$A$119,0)),Scoring!$A$4:$N$51,3,FALSE()),0)+IFERROR(VLOOKUP(INDEX(' Toto teams'!$C$4:$C$119,MATCH($B65,' Toto teams'!$A$4:$A$119,0)),Scoring!$A$4:$N$51,4,FALSE()),0)+IFERROR(VLOOKUP(INDEX(' Toto teams'!$C$4:$C$119,MATCH($B65,' Toto teams'!$A$4:$A$119,0)),Scoring!$A$4:$N$51,5,FALSE()),0))+3*(IFERROR(VLOOKUP(INDEX(' Toto teams'!$D$4:$D$119,MATCH($B65,' Toto teams'!$A$4:$A$119,0)),Scoring!$A$4:$N$51,3,FALSE()),0)+IFERROR(VLOOKUP(INDEX(' Toto teams'!$D$4:$D$119,MATCH($B65,' Toto teams'!$A$4:$A$119,0)),Scoring!$A$4:$N$51,4,FALSE()),0)+IFERROR(VLOOKUP(INDEX(' Toto teams'!$D$4:$D$119,MATCH($B65,' Toto teams'!$A$4:$A$119,0)),Scoring!$A$4:$N$51,5,FALSE()),0))+2*(IFERROR(VLOOKUP(INDEX(' Toto teams'!$E$4:$E$119,MATCH($B65,' Toto teams'!$A$4:$A$119,0)),Scoring!$A$4:$N$51,3,FALSE()),0)+IFERROR(VLOOKUP(INDEX(' Toto teams'!$E$4:$E$119,MATCH($B65,' Toto teams'!$A$4:$A$119,0)),Scoring!$A$4:$N$51,4,FALSE()),0)+IFERROR(VLOOKUP(INDEX(' Toto teams'!$E$4:$E$119,MATCH($B65,' Toto teams'!$A$4:$A$119,0)),Scoring!$A$4:$N$51,5,FALSE()),0))+1*(IFERROR(VLOOKUP(INDEX(' Toto teams'!$F$4:$F$119,MATCH($B65,' Toto teams'!$A$4:$A$119,0)),Scoring!$A$4:$N$51,3,FALSE()),0)+IFERROR(VLOOKUP(INDEX(' Toto teams'!$F$4:$F$119,MATCH($B65,' Toto teams'!$A$4:$A$119,0)),Scoring!$A$4:$N$51,4,FALSE()),0)+IFERROR(VLOOKUP(INDEX(' Toto teams'!$F$4:$F$119,MATCH($B65,' Toto teams'!$A$4:$A$119,0)),Scoring!$A$4:$N$51,5,FALSE()),0))+1*(IFERROR(VLOOKUP(INDEX(' Toto teams'!$G$4:$G$119,MATCH($B65,' Toto teams'!$A$4:$A$119,0)),Scoring!$A$4:$N$51,3,FALSE()),0)+IFERROR(VLOOKUP(INDEX(' Toto teams'!$G$4:$G$119,MATCH($B65,' Toto teams'!$A$4:$A$119,0)),Scoring!$A$4:$N$51,4,FALSE()),0)+IFERROR(VLOOKUP(INDEX(' Toto teams'!$G$4:$G$119,MATCH($B65,' Toto teams'!$A$4:$A$119,0)),Scoring!$A$4:$N$51,5,FALSE()),0))+1*(IFERROR(VLOOKUP(INDEX(' Toto teams'!$H$4:$H$119,MATCH($B65,' Toto teams'!$A$4:$A$119,0)),Scoring!$A$4:$N$51,3,FALSE()),0)+IFERROR(VLOOKUP(INDEX(' Toto teams'!$H$4:$H$119,MATCH($B65,' Toto teams'!$A$4:$A$119,0)),Scoring!$A$4:$N$51,4,FALSE()),0)+IFERROR(VLOOKUP(INDEX(' Toto teams'!$H$4:$H$119,MATCH($B65,' Toto teams'!$A$4:$A$119,0)),Scoring!$A$4:$N$51,5,FALSE()),0))+IFERROR(INDEX(' Toto teams'!$Q$4:$Q$119,MATCH($B65,' Toto teams'!$A$4:$A$119,0))*1,0))</f>
        <v>1</v>
      </c>
      <c r="D65" s="28">
        <f>IF($B65="","",6*IFERROR(VLOOKUP(INDEX(' Toto teams'!$B$4:$B$119,MATCH($B65,' Toto teams'!$A$4:$A$119,0)),Scoring!$A$4:$N$51,7,FALSE()),0)+4*IFERROR(VLOOKUP(INDEX(' Toto teams'!$C$4:$C$119,MATCH($B65,' Toto teams'!$A$4:$A$119,0)),Scoring!$A$4:$N$51,7,FALSE()),0)+3*IFERROR(VLOOKUP(INDEX(' Toto teams'!$D$4:$D$119,MATCH($B65,' Toto teams'!$A$4:$A$119,0)),Scoring!$A$4:$N$51,7,FALSE()),0)+2*IFERROR(VLOOKUP(INDEX(' Toto teams'!$E$4:$E$119,MATCH($B65,' Toto teams'!$A$4:$A$119,0)),Scoring!$A$4:$N$51,7,FALSE()),0)+1*IFERROR(VLOOKUP(INDEX(' Toto teams'!$F$4:$F$119,MATCH($B65,' Toto teams'!$A$4:$A$119,0)),Scoring!$A$4:$N$51,7,FALSE()),0)+1*IFERROR(VLOOKUP(INDEX(' Toto teams'!$G$4:$G$119,MATCH($B65,' Toto teams'!$A$4:$A$119,0)),Scoring!$A$4:$N$51,7,FALSE()),0)+1*IFERROR(VLOOKUP(INDEX(' Toto teams'!$H$4:$H$119,MATCH($B65,' Toto teams'!$A$4:$A$119,0)),Scoring!$A$4:$N$51,7,FALSE()),0))</f>
        <v>0</v>
      </c>
      <c r="E65" s="28">
        <f>IF($B65="","",6*IFERROR(VLOOKUP(INDEX(' Toto teams'!$B$4:$B$119,MATCH($B65,' Toto teams'!$A$4:$A$119,0)),Scoring!$A$4:$N$51,8,FALSE()),0)+4*IFERROR(VLOOKUP(INDEX(' Toto teams'!$C$4:$C$119,MATCH($B65,' Toto teams'!$A$4:$A$119,0)),Scoring!$A$4:$N$51,8,FALSE()),0)+3*IFERROR(VLOOKUP(INDEX(' Toto teams'!$D$4:$D$119,MATCH($B65,' Toto teams'!$A$4:$A$119,0)),Scoring!$A$4:$N$51,8,FALSE()),0)+2*IFERROR(VLOOKUP(INDEX(' Toto teams'!$E$4:$E$119,MATCH($B65,' Toto teams'!$A$4:$A$119,0)),Scoring!$A$4:$N$51,8,FALSE()),0)+1*IFERROR(VLOOKUP(INDEX(' Toto teams'!$F$4:$F$119,MATCH($B65,' Toto teams'!$A$4:$A$119,0)),Scoring!$A$4:$N$51,8,FALSE()),0)+1*IFERROR(VLOOKUP(INDEX(' Toto teams'!$G$4:$G$119,MATCH($B65,' Toto teams'!$A$4:$A$119,0)),Scoring!$A$4:$N$51,8,FALSE()),0)+1*IFERROR(VLOOKUP(INDEX(' Toto teams'!$H$4:$H$119,MATCH($B65,' Toto teams'!$A$4:$A$119,0)),Scoring!$A$4:$N$51,8,FALSE()),0))</f>
        <v>0</v>
      </c>
      <c r="F65" s="28">
        <f>IF($B65="","",6*IFERROR(VLOOKUP(INDEX(' Toto teams'!$B$4:$B$119,MATCH($B65,' Toto teams'!$A$4:$A$119,0)),Scoring!$A$4:$N$51,9,FALSE()),0)+4*IFERROR(VLOOKUP(INDEX(' Toto teams'!$C$4:$C$119,MATCH($B65,' Toto teams'!$A$4:$A$119,0)),Scoring!$A$4:$N$51,9,FALSE()),0)+3*IFERROR(VLOOKUP(INDEX(' Toto teams'!$D$4:$D$119,MATCH($B65,' Toto teams'!$A$4:$A$119,0)),Scoring!$A$4:$N$51,9,FALSE()),0)+2*IFERROR(VLOOKUP(INDEX(' Toto teams'!$E$4:$E$119,MATCH($B65,' Toto teams'!$A$4:$A$119,0)),Scoring!$A$4:$N$51,9,FALSE()),0)+1*IFERROR(VLOOKUP(INDEX(' Toto teams'!$F$4:$F$119,MATCH($B65,' Toto teams'!$A$4:$A$119,0)),Scoring!$A$4:$N$51,9,FALSE()),0)+1*IFERROR(VLOOKUP(INDEX(' Toto teams'!$G$4:$G$119,MATCH($B65,' Toto teams'!$A$4:$A$119,0)),Scoring!$A$4:$N$51,9,FALSE()),0)+1*IFERROR(VLOOKUP(INDEX(' Toto teams'!$H$4:$H$119,MATCH($B65,' Toto teams'!$A$4:$A$119,0)),Scoring!$A$4:$N$51,9,FALSE()),0))</f>
        <v>0</v>
      </c>
      <c r="G65" s="28">
        <f>IF($B65="","",6*IFERROR(VLOOKUP(INDEX(' Toto teams'!$B$4:$B$119,MATCH($B65,' Toto teams'!$A$4:$A$119,0)),Scoring!$A$4:$N$51,10,FALSE()),0)+4*IFERROR(VLOOKUP(INDEX(' Toto teams'!$C$4:$C$119,MATCH($B65,' Toto teams'!$A$4:$A$119,0)),Scoring!$A$4:$N$51,10,FALSE()),0)+3*IFERROR(VLOOKUP(INDEX(' Toto teams'!$D$4:$D$119,MATCH($B65,' Toto teams'!$A$4:$A$119,0)),Scoring!$A$4:$N$51,10,FALSE()),0)+2*IFERROR(VLOOKUP(INDEX(' Toto teams'!$E$4:$E$119,MATCH($B65,' Toto teams'!$A$4:$A$119,0)),Scoring!$A$4:$N$51,10,FALSE()),0)+1*IFERROR(VLOOKUP(INDEX(' Toto teams'!$F$4:$F$119,MATCH($B65,' Toto teams'!$A$4:$A$119,0)),Scoring!$A$4:$N$51,10,FALSE()),0)+1*IFERROR(VLOOKUP(INDEX(' Toto teams'!$G$4:$G$119,MATCH($B65,' Toto teams'!$A$4:$A$119,0)),Scoring!$A$4:$N$51,10,FALSE()),0)+1*IFERROR(VLOOKUP(INDEX(' Toto teams'!$H$4:$H$119,MATCH($B65,' Toto teams'!$A$4:$A$119,0)),Scoring!$A$4:$N$51,10,FALSE()),0))</f>
        <v>0</v>
      </c>
      <c r="H65" s="28">
        <f>IF($B65="","",6*IFERROR(VLOOKUP(INDEX(' Toto teams'!$B$4:$B$119,MATCH($B65,' Toto teams'!$A$4:$A$119,0)),Scoring!$A$4:$N$51,11,FALSE()),0)+4*IFERROR(VLOOKUP(INDEX(' Toto teams'!$C$4:$C$119,MATCH($B65,' Toto teams'!$A$4:$A$119,0)),Scoring!$A$4:$N$51,11,FALSE()),0)+3*IFERROR(VLOOKUP(INDEX(' Toto teams'!$D$4:$D$119,MATCH($B65,' Toto teams'!$A$4:$A$119,0)),Scoring!$A$4:$N$51,11,FALSE()),0)+2*IFERROR(VLOOKUP(INDEX(' Toto teams'!$E$4:$E$119,MATCH($B65,' Toto teams'!$A$4:$A$119,0)),Scoring!$A$4:$N$51,11,FALSE()),0)+1*IFERROR(VLOOKUP(INDEX(' Toto teams'!$F$4:$F$119,MATCH($B65,' Toto teams'!$A$4:$A$119,0)),Scoring!$A$4:$N$51,11,FALSE()),0)+1*IFERROR(VLOOKUP(INDEX(' Toto teams'!$G$4:$G$119,MATCH($B65,' Toto teams'!$A$4:$A$119,0)),Scoring!$A$4:$N$51,11,FALSE()),0)+1*IFERROR(VLOOKUP(INDEX(' Toto teams'!$H$4:$H$119,MATCH($B65,' Toto teams'!$A$4:$A$119,0)),Scoring!$A$4:$N$51,11,FALSE()),0))</f>
        <v>0</v>
      </c>
      <c r="I65" s="28">
        <f>IF($B65="","",6*IFERROR(VLOOKUP(INDEX(' Toto teams'!$B$4:$B$119,MATCH($B65,' Toto teams'!$A$4:$A$119,0)),Scoring!$A$4:$O$51,15,FALSE()),0)+4*IFERROR(VLOOKUP(INDEX(' Toto teams'!$C$4:$C$119,MATCH($B65,' Toto teams'!$A$4:$A$119,0)),Scoring!$A$4:$O$51,15,FALSE()),0)+3*IFERROR(VLOOKUP(INDEX(' Toto teams'!$D$4:$D$119,MATCH($B65,' Toto teams'!$A$4:$A$119,0)),Scoring!$A$4:$O$51,15,FALSE()),0)+2*IFERROR(VLOOKUP(INDEX(' Toto teams'!$E$4:$E$119,MATCH($B65,' Toto teams'!$A$4:$A$119,0)),Scoring!$A$4:$O$51,15,FALSE()),0)+1*IFERROR(VLOOKUP(INDEX(' Toto teams'!$F$4:$F$119,MATCH($B65,' Toto teams'!$A$4:$A$119,0)),Scoring!$A$4:$O$51,15,FALSE()),0)+1*IFERROR(VLOOKUP(INDEX(' Toto teams'!$G$4:$G$119,MATCH($B65,' Toto teams'!$A$4:$A$119,0)),Scoring!$A$4:$O$51,15,FALSE()),0)+1*IFERROR(VLOOKUP(INDEX(' Toto teams'!$H$4:$H$119,MATCH($B65,' Toto teams'!$A$4:$A$119,0)),Scoring!$A$4:$O$51,15,FALSE()),0))</f>
        <v>0</v>
      </c>
      <c r="J65" s="28">
        <f>IF($B65="","",6*IFERROR(VLOOKUP(INDEX(' Toto teams'!$B$4:$B$119,MATCH($B65,' Toto teams'!$A$4:$A$119,0)),Scoring!$A$4:$N$51,12,FALSE()),0)+4*IFERROR(VLOOKUP(INDEX(' Toto teams'!$C$4:$C$119,MATCH($B65,' Toto teams'!$A$4:$A$119,0)),Scoring!$A$4:$N$51,12,FALSE()),0)+3*IFERROR(VLOOKUP(INDEX(' Toto teams'!$D$4:$D$119,MATCH($B65,' Toto teams'!$A$4:$A$119,0)),Scoring!$A$4:$N$51,12,FALSE()),0)+2*IFERROR(VLOOKUP(INDEX(' Toto teams'!$E$4:$E$119,MATCH($B65,' Toto teams'!$A$4:$A$119,0)),Scoring!$A$4:$N$51,12,FALSE()),0)+1*IFERROR(VLOOKUP(INDEX(' Toto teams'!$F$4:$F$119,MATCH($B65,' Toto teams'!$A$4:$A$119,0)),Scoring!$A$4:$N$51,12,FALSE()),0)+1*IFERROR(VLOOKUP(INDEX(' Toto teams'!$G$4:$G$119,MATCH($B65,' Toto teams'!$A$4:$A$119,0)),Scoring!$A$4:$N$51,12,FALSE()),0)+1*IFERROR(VLOOKUP(INDEX(' Toto teams'!$H$4:$H$119,MATCH($B65,' Toto teams'!$A$4:$A$119,0)),Scoring!$A$4:$N$51,12,FALSE()),0))</f>
        <v>0</v>
      </c>
      <c r="K65" s="29">
        <f>IF($B65="","",IFERROR(INDEX(' Toto teams'!$R$4:$R$119,MATCH($B65,' Toto teams'!$A$4:$A$119,0)),""))</f>
        <v>1</v>
      </c>
      <c r="L65" s="30">
        <f t="shared" si="4"/>
        <v>0</v>
      </c>
    </row>
    <row r="66" spans="1:12" ht="12.75" customHeight="1" x14ac:dyDescent="0.3">
      <c r="A66" s="26">
        <f>IF(63&gt;COUNTIF(' Toto teams'!$A$4:$A$119,"&lt;&gt;"),"",INDEX(' Toto teams'!$S$4:$S$119,MATCH(LARGE(' Toto teams'!$T$4:$T$119,63),' Toto teams'!$T$4:$T$119,0)))</f>
        <v>63</v>
      </c>
      <c r="B66" s="27" t="str">
        <f>IF(63&gt;COUNTIF(' Toto teams'!$A$4:$A$119,"&lt;&gt;"),"",INDEX(' Toto teams'!$A$4:$A$119,MATCH(LARGE(' Toto teams'!$T$4:$T$119,63),' Toto teams'!$T$4:$T$119,0)))</f>
        <v>Saulius Lileikis</v>
      </c>
      <c r="C66" s="28">
        <f>IF($B66="","",6*(IFERROR(VLOOKUP(INDEX(' Toto teams'!$B$4:$B$119,MATCH($B66,' Toto teams'!$A$4:$A$119,0)),Scoring!$A$4:$N$51,3,FALSE()),0)+IFERROR(VLOOKUP(INDEX(' Toto teams'!$B$4:$B$119,MATCH($B66,' Toto teams'!$A$4:$A$119,0)),Scoring!$A$4:$N$51,4,FALSE()),0)+IFERROR(VLOOKUP(INDEX(' Toto teams'!$B$4:$B$119,MATCH($B66,' Toto teams'!$A$4:$A$119,0)),Scoring!$A$4:$N$51,5,FALSE()),0))+4*(IFERROR(VLOOKUP(INDEX(' Toto teams'!$C$4:$C$119,MATCH($B66,' Toto teams'!$A$4:$A$119,0)),Scoring!$A$4:$N$51,3,FALSE()),0)+IFERROR(VLOOKUP(INDEX(' Toto teams'!$C$4:$C$119,MATCH($B66,' Toto teams'!$A$4:$A$119,0)),Scoring!$A$4:$N$51,4,FALSE()),0)+IFERROR(VLOOKUP(INDEX(' Toto teams'!$C$4:$C$119,MATCH($B66,' Toto teams'!$A$4:$A$119,0)),Scoring!$A$4:$N$51,5,FALSE()),0))+3*(IFERROR(VLOOKUP(INDEX(' Toto teams'!$D$4:$D$119,MATCH($B66,' Toto teams'!$A$4:$A$119,0)),Scoring!$A$4:$N$51,3,FALSE()),0)+IFERROR(VLOOKUP(INDEX(' Toto teams'!$D$4:$D$119,MATCH($B66,' Toto teams'!$A$4:$A$119,0)),Scoring!$A$4:$N$51,4,FALSE()),0)+IFERROR(VLOOKUP(INDEX(' Toto teams'!$D$4:$D$119,MATCH($B66,' Toto teams'!$A$4:$A$119,0)),Scoring!$A$4:$N$51,5,FALSE()),0))+2*(IFERROR(VLOOKUP(INDEX(' Toto teams'!$E$4:$E$119,MATCH($B66,' Toto teams'!$A$4:$A$119,0)),Scoring!$A$4:$N$51,3,FALSE()),0)+IFERROR(VLOOKUP(INDEX(' Toto teams'!$E$4:$E$119,MATCH($B66,' Toto teams'!$A$4:$A$119,0)),Scoring!$A$4:$N$51,4,FALSE()),0)+IFERROR(VLOOKUP(INDEX(' Toto teams'!$E$4:$E$119,MATCH($B66,' Toto teams'!$A$4:$A$119,0)),Scoring!$A$4:$N$51,5,FALSE()),0))+1*(IFERROR(VLOOKUP(INDEX(' Toto teams'!$F$4:$F$119,MATCH($B66,' Toto teams'!$A$4:$A$119,0)),Scoring!$A$4:$N$51,3,FALSE()),0)+IFERROR(VLOOKUP(INDEX(' Toto teams'!$F$4:$F$119,MATCH($B66,' Toto teams'!$A$4:$A$119,0)),Scoring!$A$4:$N$51,4,FALSE()),0)+IFERROR(VLOOKUP(INDEX(' Toto teams'!$F$4:$F$119,MATCH($B66,' Toto teams'!$A$4:$A$119,0)),Scoring!$A$4:$N$51,5,FALSE()),0))+1*(IFERROR(VLOOKUP(INDEX(' Toto teams'!$G$4:$G$119,MATCH($B66,' Toto teams'!$A$4:$A$119,0)),Scoring!$A$4:$N$51,3,FALSE()),0)+IFERROR(VLOOKUP(INDEX(' Toto teams'!$G$4:$G$119,MATCH($B66,' Toto teams'!$A$4:$A$119,0)),Scoring!$A$4:$N$51,4,FALSE()),0)+IFERROR(VLOOKUP(INDEX(' Toto teams'!$G$4:$G$119,MATCH($B66,' Toto teams'!$A$4:$A$119,0)),Scoring!$A$4:$N$51,5,FALSE()),0))+1*(IFERROR(VLOOKUP(INDEX(' Toto teams'!$H$4:$H$119,MATCH($B66,' Toto teams'!$A$4:$A$119,0)),Scoring!$A$4:$N$51,3,FALSE()),0)+IFERROR(VLOOKUP(INDEX(' Toto teams'!$H$4:$H$119,MATCH($B66,' Toto teams'!$A$4:$A$119,0)),Scoring!$A$4:$N$51,4,FALSE()),0)+IFERROR(VLOOKUP(INDEX(' Toto teams'!$H$4:$H$119,MATCH($B66,' Toto teams'!$A$4:$A$119,0)),Scoring!$A$4:$N$51,5,FALSE()),0))+IFERROR(INDEX(' Toto teams'!$Q$4:$Q$119,MATCH($B66,' Toto teams'!$A$4:$A$119,0))*1,0))</f>
        <v>0</v>
      </c>
      <c r="D66" s="28">
        <f>IF($B66="","",6*IFERROR(VLOOKUP(INDEX(' Toto teams'!$B$4:$B$119,MATCH($B66,' Toto teams'!$A$4:$A$119,0)),Scoring!$A$4:$N$51,7,FALSE()),0)+4*IFERROR(VLOOKUP(INDEX(' Toto teams'!$C$4:$C$119,MATCH($B66,' Toto teams'!$A$4:$A$119,0)),Scoring!$A$4:$N$51,7,FALSE()),0)+3*IFERROR(VLOOKUP(INDEX(' Toto teams'!$D$4:$D$119,MATCH($B66,' Toto teams'!$A$4:$A$119,0)),Scoring!$A$4:$N$51,7,FALSE()),0)+2*IFERROR(VLOOKUP(INDEX(' Toto teams'!$E$4:$E$119,MATCH($B66,' Toto teams'!$A$4:$A$119,0)),Scoring!$A$4:$N$51,7,FALSE()),0)+1*IFERROR(VLOOKUP(INDEX(' Toto teams'!$F$4:$F$119,MATCH($B66,' Toto teams'!$A$4:$A$119,0)),Scoring!$A$4:$N$51,7,FALSE()),0)+1*IFERROR(VLOOKUP(INDEX(' Toto teams'!$G$4:$G$119,MATCH($B66,' Toto teams'!$A$4:$A$119,0)),Scoring!$A$4:$N$51,7,FALSE()),0)+1*IFERROR(VLOOKUP(INDEX(' Toto teams'!$H$4:$H$119,MATCH($B66,' Toto teams'!$A$4:$A$119,0)),Scoring!$A$4:$N$51,7,FALSE()),0))</f>
        <v>0</v>
      </c>
      <c r="E66" s="28">
        <f>IF($B66="","",6*IFERROR(VLOOKUP(INDEX(' Toto teams'!$B$4:$B$119,MATCH($B66,' Toto teams'!$A$4:$A$119,0)),Scoring!$A$4:$N$51,8,FALSE()),0)+4*IFERROR(VLOOKUP(INDEX(' Toto teams'!$C$4:$C$119,MATCH($B66,' Toto teams'!$A$4:$A$119,0)),Scoring!$A$4:$N$51,8,FALSE()),0)+3*IFERROR(VLOOKUP(INDEX(' Toto teams'!$D$4:$D$119,MATCH($B66,' Toto teams'!$A$4:$A$119,0)),Scoring!$A$4:$N$51,8,FALSE()),0)+2*IFERROR(VLOOKUP(INDEX(' Toto teams'!$E$4:$E$119,MATCH($B66,' Toto teams'!$A$4:$A$119,0)),Scoring!$A$4:$N$51,8,FALSE()),0)+1*IFERROR(VLOOKUP(INDEX(' Toto teams'!$F$4:$F$119,MATCH($B66,' Toto teams'!$A$4:$A$119,0)),Scoring!$A$4:$N$51,8,FALSE()),0)+1*IFERROR(VLOOKUP(INDEX(' Toto teams'!$G$4:$G$119,MATCH($B66,' Toto teams'!$A$4:$A$119,0)),Scoring!$A$4:$N$51,8,FALSE()),0)+1*IFERROR(VLOOKUP(INDEX(' Toto teams'!$H$4:$H$119,MATCH($B66,' Toto teams'!$A$4:$A$119,0)),Scoring!$A$4:$N$51,8,FALSE()),0))</f>
        <v>0</v>
      </c>
      <c r="F66" s="28">
        <f>IF($B66="","",6*IFERROR(VLOOKUP(INDEX(' Toto teams'!$B$4:$B$119,MATCH($B66,' Toto teams'!$A$4:$A$119,0)),Scoring!$A$4:$N$51,9,FALSE()),0)+4*IFERROR(VLOOKUP(INDEX(' Toto teams'!$C$4:$C$119,MATCH($B66,' Toto teams'!$A$4:$A$119,0)),Scoring!$A$4:$N$51,9,FALSE()),0)+3*IFERROR(VLOOKUP(INDEX(' Toto teams'!$D$4:$D$119,MATCH($B66,' Toto teams'!$A$4:$A$119,0)),Scoring!$A$4:$N$51,9,FALSE()),0)+2*IFERROR(VLOOKUP(INDEX(' Toto teams'!$E$4:$E$119,MATCH($B66,' Toto teams'!$A$4:$A$119,0)),Scoring!$A$4:$N$51,9,FALSE()),0)+1*IFERROR(VLOOKUP(INDEX(' Toto teams'!$F$4:$F$119,MATCH($B66,' Toto teams'!$A$4:$A$119,0)),Scoring!$A$4:$N$51,9,FALSE()),0)+1*IFERROR(VLOOKUP(INDEX(' Toto teams'!$G$4:$G$119,MATCH($B66,' Toto teams'!$A$4:$A$119,0)),Scoring!$A$4:$N$51,9,FALSE()),0)+1*IFERROR(VLOOKUP(INDEX(' Toto teams'!$H$4:$H$119,MATCH($B66,' Toto teams'!$A$4:$A$119,0)),Scoring!$A$4:$N$51,9,FALSE()),0))</f>
        <v>0</v>
      </c>
      <c r="G66" s="28">
        <f>IF($B66="","",6*IFERROR(VLOOKUP(INDEX(' Toto teams'!$B$4:$B$119,MATCH($B66,' Toto teams'!$A$4:$A$119,0)),Scoring!$A$4:$N$51,10,FALSE()),0)+4*IFERROR(VLOOKUP(INDEX(' Toto teams'!$C$4:$C$119,MATCH($B66,' Toto teams'!$A$4:$A$119,0)),Scoring!$A$4:$N$51,10,FALSE()),0)+3*IFERROR(VLOOKUP(INDEX(' Toto teams'!$D$4:$D$119,MATCH($B66,' Toto teams'!$A$4:$A$119,0)),Scoring!$A$4:$N$51,10,FALSE()),0)+2*IFERROR(VLOOKUP(INDEX(' Toto teams'!$E$4:$E$119,MATCH($B66,' Toto teams'!$A$4:$A$119,0)),Scoring!$A$4:$N$51,10,FALSE()),0)+1*IFERROR(VLOOKUP(INDEX(' Toto teams'!$F$4:$F$119,MATCH($B66,' Toto teams'!$A$4:$A$119,0)),Scoring!$A$4:$N$51,10,FALSE()),0)+1*IFERROR(VLOOKUP(INDEX(' Toto teams'!$G$4:$G$119,MATCH($B66,' Toto teams'!$A$4:$A$119,0)),Scoring!$A$4:$N$51,10,FALSE()),0)+1*IFERROR(VLOOKUP(INDEX(' Toto teams'!$H$4:$H$119,MATCH($B66,' Toto teams'!$A$4:$A$119,0)),Scoring!$A$4:$N$51,10,FALSE()),0))</f>
        <v>0</v>
      </c>
      <c r="H66" s="28">
        <f>IF($B66="","",6*IFERROR(VLOOKUP(INDEX(' Toto teams'!$B$4:$B$119,MATCH($B66,' Toto teams'!$A$4:$A$119,0)),Scoring!$A$4:$N$51,11,FALSE()),0)+4*IFERROR(VLOOKUP(INDEX(' Toto teams'!$C$4:$C$119,MATCH($B66,' Toto teams'!$A$4:$A$119,0)),Scoring!$A$4:$N$51,11,FALSE()),0)+3*IFERROR(VLOOKUP(INDEX(' Toto teams'!$D$4:$D$119,MATCH($B66,' Toto teams'!$A$4:$A$119,0)),Scoring!$A$4:$N$51,11,FALSE()),0)+2*IFERROR(VLOOKUP(INDEX(' Toto teams'!$E$4:$E$119,MATCH($B66,' Toto teams'!$A$4:$A$119,0)),Scoring!$A$4:$N$51,11,FALSE()),0)+1*IFERROR(VLOOKUP(INDEX(' Toto teams'!$F$4:$F$119,MATCH($B66,' Toto teams'!$A$4:$A$119,0)),Scoring!$A$4:$N$51,11,FALSE()),0)+1*IFERROR(VLOOKUP(INDEX(' Toto teams'!$G$4:$G$119,MATCH($B66,' Toto teams'!$A$4:$A$119,0)),Scoring!$A$4:$N$51,11,FALSE()),0)+1*IFERROR(VLOOKUP(INDEX(' Toto teams'!$H$4:$H$119,MATCH($B66,' Toto teams'!$A$4:$A$119,0)),Scoring!$A$4:$N$51,11,FALSE()),0))</f>
        <v>0</v>
      </c>
      <c r="I66" s="28">
        <f>IF($B66="","",6*IFERROR(VLOOKUP(INDEX(' Toto teams'!$B$4:$B$119,MATCH($B66,' Toto teams'!$A$4:$A$119,0)),Scoring!$A$4:$O$51,15,FALSE()),0)+4*IFERROR(VLOOKUP(INDEX(' Toto teams'!$C$4:$C$119,MATCH($B66,' Toto teams'!$A$4:$A$119,0)),Scoring!$A$4:$O$51,15,FALSE()),0)+3*IFERROR(VLOOKUP(INDEX(' Toto teams'!$D$4:$D$119,MATCH($B66,' Toto teams'!$A$4:$A$119,0)),Scoring!$A$4:$O$51,15,FALSE()),0)+2*IFERROR(VLOOKUP(INDEX(' Toto teams'!$E$4:$E$119,MATCH($B66,' Toto teams'!$A$4:$A$119,0)),Scoring!$A$4:$O$51,15,FALSE()),0)+1*IFERROR(VLOOKUP(INDEX(' Toto teams'!$F$4:$F$119,MATCH($B66,' Toto teams'!$A$4:$A$119,0)),Scoring!$A$4:$O$51,15,FALSE()),0)+1*IFERROR(VLOOKUP(INDEX(' Toto teams'!$G$4:$G$119,MATCH($B66,' Toto teams'!$A$4:$A$119,0)),Scoring!$A$4:$O$51,15,FALSE()),0)+1*IFERROR(VLOOKUP(INDEX(' Toto teams'!$H$4:$H$119,MATCH($B66,' Toto teams'!$A$4:$A$119,0)),Scoring!$A$4:$O$51,15,FALSE()),0))</f>
        <v>0</v>
      </c>
      <c r="J66" s="28">
        <f>IF($B66="","",6*IFERROR(VLOOKUP(INDEX(' Toto teams'!$B$4:$B$119,MATCH($B66,' Toto teams'!$A$4:$A$119,0)),Scoring!$A$4:$N$51,12,FALSE()),0)+4*IFERROR(VLOOKUP(INDEX(' Toto teams'!$C$4:$C$119,MATCH($B66,' Toto teams'!$A$4:$A$119,0)),Scoring!$A$4:$N$51,12,FALSE()),0)+3*IFERROR(VLOOKUP(INDEX(' Toto teams'!$D$4:$D$119,MATCH($B66,' Toto teams'!$A$4:$A$119,0)),Scoring!$A$4:$N$51,12,FALSE()),0)+2*IFERROR(VLOOKUP(INDEX(' Toto teams'!$E$4:$E$119,MATCH($B66,' Toto teams'!$A$4:$A$119,0)),Scoring!$A$4:$N$51,12,FALSE()),0)+1*IFERROR(VLOOKUP(INDEX(' Toto teams'!$F$4:$F$119,MATCH($B66,' Toto teams'!$A$4:$A$119,0)),Scoring!$A$4:$N$51,12,FALSE()),0)+1*IFERROR(VLOOKUP(INDEX(' Toto teams'!$G$4:$G$119,MATCH($B66,' Toto teams'!$A$4:$A$119,0)),Scoring!$A$4:$N$51,12,FALSE()),0)+1*IFERROR(VLOOKUP(INDEX(' Toto teams'!$H$4:$H$119,MATCH($B66,' Toto teams'!$A$4:$A$119,0)),Scoring!$A$4:$N$51,12,FALSE()),0))</f>
        <v>0</v>
      </c>
      <c r="K66" s="29">
        <f>IF($B66="","",IFERROR(INDEX(' Toto teams'!$R$4:$R$119,MATCH($B66,' Toto teams'!$A$4:$A$119,0)),""))</f>
        <v>0</v>
      </c>
      <c r="L66" s="30">
        <f t="shared" si="4"/>
        <v>0</v>
      </c>
    </row>
    <row r="67" spans="1:12" ht="12.75" customHeight="1" x14ac:dyDescent="0.3">
      <c r="A67" s="26">
        <f>IF(64&gt;COUNTIF(' Toto teams'!$A$4:$A$119,"&lt;&gt;"),"",INDEX(' Toto teams'!$S$4:$S$119,MATCH(LARGE(' Toto teams'!$T$4:$T$119,64),' Toto teams'!$T$4:$T$119,0)))</f>
        <v>63</v>
      </c>
      <c r="B67" s="27" t="str">
        <f>IF(64&gt;COUNTIF(' Toto teams'!$A$4:$A$119,"&lt;&gt;"),"",INDEX(' Toto teams'!$A$4:$A$119,MATCH(LARGE(' Toto teams'!$T$4:$T$119,64),' Toto teams'!$T$4:$T$119,0)))</f>
        <v>Žygimantas Ryliškis</v>
      </c>
      <c r="C67" s="28">
        <f>IF($B67="","",6*(IFERROR(VLOOKUP(INDEX(' Toto teams'!$B$4:$B$119,MATCH($B67,' Toto teams'!$A$4:$A$119,0)),Scoring!$A$4:$N$51,3,FALSE()),0)+IFERROR(VLOOKUP(INDEX(' Toto teams'!$B$4:$B$119,MATCH($B67,' Toto teams'!$A$4:$A$119,0)),Scoring!$A$4:$N$51,4,FALSE()),0)+IFERROR(VLOOKUP(INDEX(' Toto teams'!$B$4:$B$119,MATCH($B67,' Toto teams'!$A$4:$A$119,0)),Scoring!$A$4:$N$51,5,FALSE()),0))+4*(IFERROR(VLOOKUP(INDEX(' Toto teams'!$C$4:$C$119,MATCH($B67,' Toto teams'!$A$4:$A$119,0)),Scoring!$A$4:$N$51,3,FALSE()),0)+IFERROR(VLOOKUP(INDEX(' Toto teams'!$C$4:$C$119,MATCH($B67,' Toto teams'!$A$4:$A$119,0)),Scoring!$A$4:$N$51,4,FALSE()),0)+IFERROR(VLOOKUP(INDEX(' Toto teams'!$C$4:$C$119,MATCH($B67,' Toto teams'!$A$4:$A$119,0)),Scoring!$A$4:$N$51,5,FALSE()),0))+3*(IFERROR(VLOOKUP(INDEX(' Toto teams'!$D$4:$D$119,MATCH($B67,' Toto teams'!$A$4:$A$119,0)),Scoring!$A$4:$N$51,3,FALSE()),0)+IFERROR(VLOOKUP(INDEX(' Toto teams'!$D$4:$D$119,MATCH($B67,' Toto teams'!$A$4:$A$119,0)),Scoring!$A$4:$N$51,4,FALSE()),0)+IFERROR(VLOOKUP(INDEX(' Toto teams'!$D$4:$D$119,MATCH($B67,' Toto teams'!$A$4:$A$119,0)),Scoring!$A$4:$N$51,5,FALSE()),0))+2*(IFERROR(VLOOKUP(INDEX(' Toto teams'!$E$4:$E$119,MATCH($B67,' Toto teams'!$A$4:$A$119,0)),Scoring!$A$4:$N$51,3,FALSE()),0)+IFERROR(VLOOKUP(INDEX(' Toto teams'!$E$4:$E$119,MATCH($B67,' Toto teams'!$A$4:$A$119,0)),Scoring!$A$4:$N$51,4,FALSE()),0)+IFERROR(VLOOKUP(INDEX(' Toto teams'!$E$4:$E$119,MATCH($B67,' Toto teams'!$A$4:$A$119,0)),Scoring!$A$4:$N$51,5,FALSE()),0))+1*(IFERROR(VLOOKUP(INDEX(' Toto teams'!$F$4:$F$119,MATCH($B67,' Toto teams'!$A$4:$A$119,0)),Scoring!$A$4:$N$51,3,FALSE()),0)+IFERROR(VLOOKUP(INDEX(' Toto teams'!$F$4:$F$119,MATCH($B67,' Toto teams'!$A$4:$A$119,0)),Scoring!$A$4:$N$51,4,FALSE()),0)+IFERROR(VLOOKUP(INDEX(' Toto teams'!$F$4:$F$119,MATCH($B67,' Toto teams'!$A$4:$A$119,0)),Scoring!$A$4:$N$51,5,FALSE()),0))+1*(IFERROR(VLOOKUP(INDEX(' Toto teams'!$G$4:$G$119,MATCH($B67,' Toto teams'!$A$4:$A$119,0)),Scoring!$A$4:$N$51,3,FALSE()),0)+IFERROR(VLOOKUP(INDEX(' Toto teams'!$G$4:$G$119,MATCH($B67,' Toto teams'!$A$4:$A$119,0)),Scoring!$A$4:$N$51,4,FALSE()),0)+IFERROR(VLOOKUP(INDEX(' Toto teams'!$G$4:$G$119,MATCH($B67,' Toto teams'!$A$4:$A$119,0)),Scoring!$A$4:$N$51,5,FALSE()),0))+1*(IFERROR(VLOOKUP(INDEX(' Toto teams'!$H$4:$H$119,MATCH($B67,' Toto teams'!$A$4:$A$119,0)),Scoring!$A$4:$N$51,3,FALSE()),0)+IFERROR(VLOOKUP(INDEX(' Toto teams'!$H$4:$H$119,MATCH($B67,' Toto teams'!$A$4:$A$119,0)),Scoring!$A$4:$N$51,4,FALSE()),0)+IFERROR(VLOOKUP(INDEX(' Toto teams'!$H$4:$H$119,MATCH($B67,' Toto teams'!$A$4:$A$119,0)),Scoring!$A$4:$N$51,5,FALSE()),0))+IFERROR(INDEX(' Toto teams'!$Q$4:$Q$119,MATCH($B67,' Toto teams'!$A$4:$A$119,0))*1,0))</f>
        <v>0</v>
      </c>
      <c r="D67" s="28">
        <f>IF($B67="","",6*IFERROR(VLOOKUP(INDEX(' Toto teams'!$B$4:$B$119,MATCH($B67,' Toto teams'!$A$4:$A$119,0)),Scoring!$A$4:$N$51,7,FALSE()),0)+4*IFERROR(VLOOKUP(INDEX(' Toto teams'!$C$4:$C$119,MATCH($B67,' Toto teams'!$A$4:$A$119,0)),Scoring!$A$4:$N$51,7,FALSE()),0)+3*IFERROR(VLOOKUP(INDEX(' Toto teams'!$D$4:$D$119,MATCH($B67,' Toto teams'!$A$4:$A$119,0)),Scoring!$A$4:$N$51,7,FALSE()),0)+2*IFERROR(VLOOKUP(INDEX(' Toto teams'!$E$4:$E$119,MATCH($B67,' Toto teams'!$A$4:$A$119,0)),Scoring!$A$4:$N$51,7,FALSE()),0)+1*IFERROR(VLOOKUP(INDEX(' Toto teams'!$F$4:$F$119,MATCH($B67,' Toto teams'!$A$4:$A$119,0)),Scoring!$A$4:$N$51,7,FALSE()),0)+1*IFERROR(VLOOKUP(INDEX(' Toto teams'!$G$4:$G$119,MATCH($B67,' Toto teams'!$A$4:$A$119,0)),Scoring!$A$4:$N$51,7,FALSE()),0)+1*IFERROR(VLOOKUP(INDEX(' Toto teams'!$H$4:$H$119,MATCH($B67,' Toto teams'!$A$4:$A$119,0)),Scoring!$A$4:$N$51,7,FALSE()),0))</f>
        <v>0</v>
      </c>
      <c r="E67" s="28">
        <f>IF($B67="","",6*IFERROR(VLOOKUP(INDEX(' Toto teams'!$B$4:$B$119,MATCH($B67,' Toto teams'!$A$4:$A$119,0)),Scoring!$A$4:$N$51,8,FALSE()),0)+4*IFERROR(VLOOKUP(INDEX(' Toto teams'!$C$4:$C$119,MATCH($B67,' Toto teams'!$A$4:$A$119,0)),Scoring!$A$4:$N$51,8,FALSE()),0)+3*IFERROR(VLOOKUP(INDEX(' Toto teams'!$D$4:$D$119,MATCH($B67,' Toto teams'!$A$4:$A$119,0)),Scoring!$A$4:$N$51,8,FALSE()),0)+2*IFERROR(VLOOKUP(INDEX(' Toto teams'!$E$4:$E$119,MATCH($B67,' Toto teams'!$A$4:$A$119,0)),Scoring!$A$4:$N$51,8,FALSE()),0)+1*IFERROR(VLOOKUP(INDEX(' Toto teams'!$F$4:$F$119,MATCH($B67,' Toto teams'!$A$4:$A$119,0)),Scoring!$A$4:$N$51,8,FALSE()),0)+1*IFERROR(VLOOKUP(INDEX(' Toto teams'!$G$4:$G$119,MATCH($B67,' Toto teams'!$A$4:$A$119,0)),Scoring!$A$4:$N$51,8,FALSE()),0)+1*IFERROR(VLOOKUP(INDEX(' Toto teams'!$H$4:$H$119,MATCH($B67,' Toto teams'!$A$4:$A$119,0)),Scoring!$A$4:$N$51,8,FALSE()),0))</f>
        <v>0</v>
      </c>
      <c r="F67" s="28">
        <f>IF($B67="","",6*IFERROR(VLOOKUP(INDEX(' Toto teams'!$B$4:$B$119,MATCH($B67,' Toto teams'!$A$4:$A$119,0)),Scoring!$A$4:$N$51,9,FALSE()),0)+4*IFERROR(VLOOKUP(INDEX(' Toto teams'!$C$4:$C$119,MATCH($B67,' Toto teams'!$A$4:$A$119,0)),Scoring!$A$4:$N$51,9,FALSE()),0)+3*IFERROR(VLOOKUP(INDEX(' Toto teams'!$D$4:$D$119,MATCH($B67,' Toto teams'!$A$4:$A$119,0)),Scoring!$A$4:$N$51,9,FALSE()),0)+2*IFERROR(VLOOKUP(INDEX(' Toto teams'!$E$4:$E$119,MATCH($B67,' Toto teams'!$A$4:$A$119,0)),Scoring!$A$4:$N$51,9,FALSE()),0)+1*IFERROR(VLOOKUP(INDEX(' Toto teams'!$F$4:$F$119,MATCH($B67,' Toto teams'!$A$4:$A$119,0)),Scoring!$A$4:$N$51,9,FALSE()),0)+1*IFERROR(VLOOKUP(INDEX(' Toto teams'!$G$4:$G$119,MATCH($B67,' Toto teams'!$A$4:$A$119,0)),Scoring!$A$4:$N$51,9,FALSE()),0)+1*IFERROR(VLOOKUP(INDEX(' Toto teams'!$H$4:$H$119,MATCH($B67,' Toto teams'!$A$4:$A$119,0)),Scoring!$A$4:$N$51,9,FALSE()),0))</f>
        <v>0</v>
      </c>
      <c r="G67" s="28">
        <f>IF($B67="","",6*IFERROR(VLOOKUP(INDEX(' Toto teams'!$B$4:$B$119,MATCH($B67,' Toto teams'!$A$4:$A$119,0)),Scoring!$A$4:$N$51,10,FALSE()),0)+4*IFERROR(VLOOKUP(INDEX(' Toto teams'!$C$4:$C$119,MATCH($B67,' Toto teams'!$A$4:$A$119,0)),Scoring!$A$4:$N$51,10,FALSE()),0)+3*IFERROR(VLOOKUP(INDEX(' Toto teams'!$D$4:$D$119,MATCH($B67,' Toto teams'!$A$4:$A$119,0)),Scoring!$A$4:$N$51,10,FALSE()),0)+2*IFERROR(VLOOKUP(INDEX(' Toto teams'!$E$4:$E$119,MATCH($B67,' Toto teams'!$A$4:$A$119,0)),Scoring!$A$4:$N$51,10,FALSE()),0)+1*IFERROR(VLOOKUP(INDEX(' Toto teams'!$F$4:$F$119,MATCH($B67,' Toto teams'!$A$4:$A$119,0)),Scoring!$A$4:$N$51,10,FALSE()),0)+1*IFERROR(VLOOKUP(INDEX(' Toto teams'!$G$4:$G$119,MATCH($B67,' Toto teams'!$A$4:$A$119,0)),Scoring!$A$4:$N$51,10,FALSE()),0)+1*IFERROR(VLOOKUP(INDEX(' Toto teams'!$H$4:$H$119,MATCH($B67,' Toto teams'!$A$4:$A$119,0)),Scoring!$A$4:$N$51,10,FALSE()),0))</f>
        <v>0</v>
      </c>
      <c r="H67" s="28">
        <f>IF($B67="","",6*IFERROR(VLOOKUP(INDEX(' Toto teams'!$B$4:$B$119,MATCH($B67,' Toto teams'!$A$4:$A$119,0)),Scoring!$A$4:$N$51,11,FALSE()),0)+4*IFERROR(VLOOKUP(INDEX(' Toto teams'!$C$4:$C$119,MATCH($B67,' Toto teams'!$A$4:$A$119,0)),Scoring!$A$4:$N$51,11,FALSE()),0)+3*IFERROR(VLOOKUP(INDEX(' Toto teams'!$D$4:$D$119,MATCH($B67,' Toto teams'!$A$4:$A$119,0)),Scoring!$A$4:$N$51,11,FALSE()),0)+2*IFERROR(VLOOKUP(INDEX(' Toto teams'!$E$4:$E$119,MATCH($B67,' Toto teams'!$A$4:$A$119,0)),Scoring!$A$4:$N$51,11,FALSE()),0)+1*IFERROR(VLOOKUP(INDEX(' Toto teams'!$F$4:$F$119,MATCH($B67,' Toto teams'!$A$4:$A$119,0)),Scoring!$A$4:$N$51,11,FALSE()),0)+1*IFERROR(VLOOKUP(INDEX(' Toto teams'!$G$4:$G$119,MATCH($B67,' Toto teams'!$A$4:$A$119,0)),Scoring!$A$4:$N$51,11,FALSE()),0)+1*IFERROR(VLOOKUP(INDEX(' Toto teams'!$H$4:$H$119,MATCH($B67,' Toto teams'!$A$4:$A$119,0)),Scoring!$A$4:$N$51,11,FALSE()),0))</f>
        <v>0</v>
      </c>
      <c r="I67" s="28">
        <f>IF($B67="","",6*IFERROR(VLOOKUP(INDEX(' Toto teams'!$B$4:$B$119,MATCH($B67,' Toto teams'!$A$4:$A$119,0)),Scoring!$A$4:$O$51,15,FALSE()),0)+4*IFERROR(VLOOKUP(INDEX(' Toto teams'!$C$4:$C$119,MATCH($B67,' Toto teams'!$A$4:$A$119,0)),Scoring!$A$4:$O$51,15,FALSE()),0)+3*IFERROR(VLOOKUP(INDEX(' Toto teams'!$D$4:$D$119,MATCH($B67,' Toto teams'!$A$4:$A$119,0)),Scoring!$A$4:$O$51,15,FALSE()),0)+2*IFERROR(VLOOKUP(INDEX(' Toto teams'!$E$4:$E$119,MATCH($B67,' Toto teams'!$A$4:$A$119,0)),Scoring!$A$4:$O$51,15,FALSE()),0)+1*IFERROR(VLOOKUP(INDEX(' Toto teams'!$F$4:$F$119,MATCH($B67,' Toto teams'!$A$4:$A$119,0)),Scoring!$A$4:$O$51,15,FALSE()),0)+1*IFERROR(VLOOKUP(INDEX(' Toto teams'!$G$4:$G$119,MATCH($B67,' Toto teams'!$A$4:$A$119,0)),Scoring!$A$4:$O$51,15,FALSE()),0)+1*IFERROR(VLOOKUP(INDEX(' Toto teams'!$H$4:$H$119,MATCH($B67,' Toto teams'!$A$4:$A$119,0)),Scoring!$A$4:$O$51,15,FALSE()),0))</f>
        <v>0</v>
      </c>
      <c r="J67" s="28">
        <f>IF($B67="","",6*IFERROR(VLOOKUP(INDEX(' Toto teams'!$B$4:$B$119,MATCH($B67,' Toto teams'!$A$4:$A$119,0)),Scoring!$A$4:$N$51,12,FALSE()),0)+4*IFERROR(VLOOKUP(INDEX(' Toto teams'!$C$4:$C$119,MATCH($B67,' Toto teams'!$A$4:$A$119,0)),Scoring!$A$4:$N$51,12,FALSE()),0)+3*IFERROR(VLOOKUP(INDEX(' Toto teams'!$D$4:$D$119,MATCH($B67,' Toto teams'!$A$4:$A$119,0)),Scoring!$A$4:$N$51,12,FALSE()),0)+2*IFERROR(VLOOKUP(INDEX(' Toto teams'!$E$4:$E$119,MATCH($B67,' Toto teams'!$A$4:$A$119,0)),Scoring!$A$4:$N$51,12,FALSE()),0)+1*IFERROR(VLOOKUP(INDEX(' Toto teams'!$F$4:$F$119,MATCH($B67,' Toto teams'!$A$4:$A$119,0)),Scoring!$A$4:$N$51,12,FALSE()),0)+1*IFERROR(VLOOKUP(INDEX(' Toto teams'!$G$4:$G$119,MATCH($B67,' Toto teams'!$A$4:$A$119,0)),Scoring!$A$4:$N$51,12,FALSE()),0)+1*IFERROR(VLOOKUP(INDEX(' Toto teams'!$H$4:$H$119,MATCH($B67,' Toto teams'!$A$4:$A$119,0)),Scoring!$A$4:$N$51,12,FALSE()),0))</f>
        <v>0</v>
      </c>
      <c r="K67" s="29">
        <f>IF($B67="","",IFERROR(INDEX(' Toto teams'!$R$4:$R$119,MATCH($B67,' Toto teams'!$A$4:$A$119,0)),""))</f>
        <v>0</v>
      </c>
      <c r="L67" s="30">
        <f t="shared" si="4"/>
        <v>0</v>
      </c>
    </row>
    <row r="68" spans="1:12" ht="12.75" customHeight="1" x14ac:dyDescent="0.3">
      <c r="A68" s="26">
        <f>IF(65&gt;COUNTIF(' Toto teams'!$A$4:$A$119,"&lt;&gt;"),"",INDEX(' Toto teams'!$S$4:$S$119,MATCH(LARGE(' Toto teams'!$T$4:$T$119,65),' Toto teams'!$T$4:$T$119,0)))</f>
        <v>63</v>
      </c>
      <c r="B68" s="27" t="str">
        <f>IF(65&gt;COUNTIF(' Toto teams'!$A$4:$A$119,"&lt;&gt;"),"",INDEX(' Toto teams'!$A$4:$A$119,MATCH(LARGE(' Toto teams'!$T$4:$T$119,65),' Toto teams'!$T$4:$T$119,0)))</f>
        <v>Slava Maltsev</v>
      </c>
      <c r="C68" s="28">
        <f>IF($B68="","",6*(IFERROR(VLOOKUP(INDEX(' Toto teams'!$B$4:$B$119,MATCH($B68,' Toto teams'!$A$4:$A$119,0)),Scoring!$A$4:$N$51,3,FALSE()),0)+IFERROR(VLOOKUP(INDEX(' Toto teams'!$B$4:$B$119,MATCH($B68,' Toto teams'!$A$4:$A$119,0)),Scoring!$A$4:$N$51,4,FALSE()),0)+IFERROR(VLOOKUP(INDEX(' Toto teams'!$B$4:$B$119,MATCH($B68,' Toto teams'!$A$4:$A$119,0)),Scoring!$A$4:$N$51,5,FALSE()),0))+4*(IFERROR(VLOOKUP(INDEX(' Toto teams'!$C$4:$C$119,MATCH($B68,' Toto teams'!$A$4:$A$119,0)),Scoring!$A$4:$N$51,3,FALSE()),0)+IFERROR(VLOOKUP(INDEX(' Toto teams'!$C$4:$C$119,MATCH($B68,' Toto teams'!$A$4:$A$119,0)),Scoring!$A$4:$N$51,4,FALSE()),0)+IFERROR(VLOOKUP(INDEX(' Toto teams'!$C$4:$C$119,MATCH($B68,' Toto teams'!$A$4:$A$119,0)),Scoring!$A$4:$N$51,5,FALSE()),0))+3*(IFERROR(VLOOKUP(INDEX(' Toto teams'!$D$4:$D$119,MATCH($B68,' Toto teams'!$A$4:$A$119,0)),Scoring!$A$4:$N$51,3,FALSE()),0)+IFERROR(VLOOKUP(INDEX(' Toto teams'!$D$4:$D$119,MATCH($B68,' Toto teams'!$A$4:$A$119,0)),Scoring!$A$4:$N$51,4,FALSE()),0)+IFERROR(VLOOKUP(INDEX(' Toto teams'!$D$4:$D$119,MATCH($B68,' Toto teams'!$A$4:$A$119,0)),Scoring!$A$4:$N$51,5,FALSE()),0))+2*(IFERROR(VLOOKUP(INDEX(' Toto teams'!$E$4:$E$119,MATCH($B68,' Toto teams'!$A$4:$A$119,0)),Scoring!$A$4:$N$51,3,FALSE()),0)+IFERROR(VLOOKUP(INDEX(' Toto teams'!$E$4:$E$119,MATCH($B68,' Toto teams'!$A$4:$A$119,0)),Scoring!$A$4:$N$51,4,FALSE()),0)+IFERROR(VLOOKUP(INDEX(' Toto teams'!$E$4:$E$119,MATCH($B68,' Toto teams'!$A$4:$A$119,0)),Scoring!$A$4:$N$51,5,FALSE()),0))+1*(IFERROR(VLOOKUP(INDEX(' Toto teams'!$F$4:$F$119,MATCH($B68,' Toto teams'!$A$4:$A$119,0)),Scoring!$A$4:$N$51,3,FALSE()),0)+IFERROR(VLOOKUP(INDEX(' Toto teams'!$F$4:$F$119,MATCH($B68,' Toto teams'!$A$4:$A$119,0)),Scoring!$A$4:$N$51,4,FALSE()),0)+IFERROR(VLOOKUP(INDEX(' Toto teams'!$F$4:$F$119,MATCH($B68,' Toto teams'!$A$4:$A$119,0)),Scoring!$A$4:$N$51,5,FALSE()),0))+1*(IFERROR(VLOOKUP(INDEX(' Toto teams'!$G$4:$G$119,MATCH($B68,' Toto teams'!$A$4:$A$119,0)),Scoring!$A$4:$N$51,3,FALSE()),0)+IFERROR(VLOOKUP(INDEX(' Toto teams'!$G$4:$G$119,MATCH($B68,' Toto teams'!$A$4:$A$119,0)),Scoring!$A$4:$N$51,4,FALSE()),0)+IFERROR(VLOOKUP(INDEX(' Toto teams'!$G$4:$G$119,MATCH($B68,' Toto teams'!$A$4:$A$119,0)),Scoring!$A$4:$N$51,5,FALSE()),0))+1*(IFERROR(VLOOKUP(INDEX(' Toto teams'!$H$4:$H$119,MATCH($B68,' Toto teams'!$A$4:$A$119,0)),Scoring!$A$4:$N$51,3,FALSE()),0)+IFERROR(VLOOKUP(INDEX(' Toto teams'!$H$4:$H$119,MATCH($B68,' Toto teams'!$A$4:$A$119,0)),Scoring!$A$4:$N$51,4,FALSE()),0)+IFERROR(VLOOKUP(INDEX(' Toto teams'!$H$4:$H$119,MATCH($B68,' Toto teams'!$A$4:$A$119,0)),Scoring!$A$4:$N$51,5,FALSE()),0))+IFERROR(INDEX(' Toto teams'!$Q$4:$Q$119,MATCH($B68,' Toto teams'!$A$4:$A$119,0))*1,0))</f>
        <v>0</v>
      </c>
      <c r="D68" s="28">
        <f>IF($B68="","",6*IFERROR(VLOOKUP(INDEX(' Toto teams'!$B$4:$B$119,MATCH($B68,' Toto teams'!$A$4:$A$119,0)),Scoring!$A$4:$N$51,7,FALSE()),0)+4*IFERROR(VLOOKUP(INDEX(' Toto teams'!$C$4:$C$119,MATCH($B68,' Toto teams'!$A$4:$A$119,0)),Scoring!$A$4:$N$51,7,FALSE()),0)+3*IFERROR(VLOOKUP(INDEX(' Toto teams'!$D$4:$D$119,MATCH($B68,' Toto teams'!$A$4:$A$119,0)),Scoring!$A$4:$N$51,7,FALSE()),0)+2*IFERROR(VLOOKUP(INDEX(' Toto teams'!$E$4:$E$119,MATCH($B68,' Toto teams'!$A$4:$A$119,0)),Scoring!$A$4:$N$51,7,FALSE()),0)+1*IFERROR(VLOOKUP(INDEX(' Toto teams'!$F$4:$F$119,MATCH($B68,' Toto teams'!$A$4:$A$119,0)),Scoring!$A$4:$N$51,7,FALSE()),0)+1*IFERROR(VLOOKUP(INDEX(' Toto teams'!$G$4:$G$119,MATCH($B68,' Toto teams'!$A$4:$A$119,0)),Scoring!$A$4:$N$51,7,FALSE()),0)+1*IFERROR(VLOOKUP(INDEX(' Toto teams'!$H$4:$H$119,MATCH($B68,' Toto teams'!$A$4:$A$119,0)),Scoring!$A$4:$N$51,7,FALSE()),0))</f>
        <v>0</v>
      </c>
      <c r="E68" s="28">
        <f>IF($B68="","",6*IFERROR(VLOOKUP(INDEX(' Toto teams'!$B$4:$B$119,MATCH($B68,' Toto teams'!$A$4:$A$119,0)),Scoring!$A$4:$N$51,8,FALSE()),0)+4*IFERROR(VLOOKUP(INDEX(' Toto teams'!$C$4:$C$119,MATCH($B68,' Toto teams'!$A$4:$A$119,0)),Scoring!$A$4:$N$51,8,FALSE()),0)+3*IFERROR(VLOOKUP(INDEX(' Toto teams'!$D$4:$D$119,MATCH($B68,' Toto teams'!$A$4:$A$119,0)),Scoring!$A$4:$N$51,8,FALSE()),0)+2*IFERROR(VLOOKUP(INDEX(' Toto teams'!$E$4:$E$119,MATCH($B68,' Toto teams'!$A$4:$A$119,0)),Scoring!$A$4:$N$51,8,FALSE()),0)+1*IFERROR(VLOOKUP(INDEX(' Toto teams'!$F$4:$F$119,MATCH($B68,' Toto teams'!$A$4:$A$119,0)),Scoring!$A$4:$N$51,8,FALSE()),0)+1*IFERROR(VLOOKUP(INDEX(' Toto teams'!$G$4:$G$119,MATCH($B68,' Toto teams'!$A$4:$A$119,0)),Scoring!$A$4:$N$51,8,FALSE()),0)+1*IFERROR(VLOOKUP(INDEX(' Toto teams'!$H$4:$H$119,MATCH($B68,' Toto teams'!$A$4:$A$119,0)),Scoring!$A$4:$N$51,8,FALSE()),0))</f>
        <v>0</v>
      </c>
      <c r="F68" s="28">
        <f>IF($B68="","",6*IFERROR(VLOOKUP(INDEX(' Toto teams'!$B$4:$B$119,MATCH($B68,' Toto teams'!$A$4:$A$119,0)),Scoring!$A$4:$N$51,9,FALSE()),0)+4*IFERROR(VLOOKUP(INDEX(' Toto teams'!$C$4:$C$119,MATCH($B68,' Toto teams'!$A$4:$A$119,0)),Scoring!$A$4:$N$51,9,FALSE()),0)+3*IFERROR(VLOOKUP(INDEX(' Toto teams'!$D$4:$D$119,MATCH($B68,' Toto teams'!$A$4:$A$119,0)),Scoring!$A$4:$N$51,9,FALSE()),0)+2*IFERROR(VLOOKUP(INDEX(' Toto teams'!$E$4:$E$119,MATCH($B68,' Toto teams'!$A$4:$A$119,0)),Scoring!$A$4:$N$51,9,FALSE()),0)+1*IFERROR(VLOOKUP(INDEX(' Toto teams'!$F$4:$F$119,MATCH($B68,' Toto teams'!$A$4:$A$119,0)),Scoring!$A$4:$N$51,9,FALSE()),0)+1*IFERROR(VLOOKUP(INDEX(' Toto teams'!$G$4:$G$119,MATCH($B68,' Toto teams'!$A$4:$A$119,0)),Scoring!$A$4:$N$51,9,FALSE()),0)+1*IFERROR(VLOOKUP(INDEX(' Toto teams'!$H$4:$H$119,MATCH($B68,' Toto teams'!$A$4:$A$119,0)),Scoring!$A$4:$N$51,9,FALSE()),0))</f>
        <v>0</v>
      </c>
      <c r="G68" s="28">
        <f>IF($B68="","",6*IFERROR(VLOOKUP(INDEX(' Toto teams'!$B$4:$B$119,MATCH($B68,' Toto teams'!$A$4:$A$119,0)),Scoring!$A$4:$N$51,10,FALSE()),0)+4*IFERROR(VLOOKUP(INDEX(' Toto teams'!$C$4:$C$119,MATCH($B68,' Toto teams'!$A$4:$A$119,0)),Scoring!$A$4:$N$51,10,FALSE()),0)+3*IFERROR(VLOOKUP(INDEX(' Toto teams'!$D$4:$D$119,MATCH($B68,' Toto teams'!$A$4:$A$119,0)),Scoring!$A$4:$N$51,10,FALSE()),0)+2*IFERROR(VLOOKUP(INDEX(' Toto teams'!$E$4:$E$119,MATCH($B68,' Toto teams'!$A$4:$A$119,0)),Scoring!$A$4:$N$51,10,FALSE()),0)+1*IFERROR(VLOOKUP(INDEX(' Toto teams'!$F$4:$F$119,MATCH($B68,' Toto teams'!$A$4:$A$119,0)),Scoring!$A$4:$N$51,10,FALSE()),0)+1*IFERROR(VLOOKUP(INDEX(' Toto teams'!$G$4:$G$119,MATCH($B68,' Toto teams'!$A$4:$A$119,0)),Scoring!$A$4:$N$51,10,FALSE()),0)+1*IFERROR(VLOOKUP(INDEX(' Toto teams'!$H$4:$H$119,MATCH($B68,' Toto teams'!$A$4:$A$119,0)),Scoring!$A$4:$N$51,10,FALSE()),0))</f>
        <v>0</v>
      </c>
      <c r="H68" s="28">
        <f>IF($B68="","",6*IFERROR(VLOOKUP(INDEX(' Toto teams'!$B$4:$B$119,MATCH($B68,' Toto teams'!$A$4:$A$119,0)),Scoring!$A$4:$N$51,11,FALSE()),0)+4*IFERROR(VLOOKUP(INDEX(' Toto teams'!$C$4:$C$119,MATCH($B68,' Toto teams'!$A$4:$A$119,0)),Scoring!$A$4:$N$51,11,FALSE()),0)+3*IFERROR(VLOOKUP(INDEX(' Toto teams'!$D$4:$D$119,MATCH($B68,' Toto teams'!$A$4:$A$119,0)),Scoring!$A$4:$N$51,11,FALSE()),0)+2*IFERROR(VLOOKUP(INDEX(' Toto teams'!$E$4:$E$119,MATCH($B68,' Toto teams'!$A$4:$A$119,0)),Scoring!$A$4:$N$51,11,FALSE()),0)+1*IFERROR(VLOOKUP(INDEX(' Toto teams'!$F$4:$F$119,MATCH($B68,' Toto teams'!$A$4:$A$119,0)),Scoring!$A$4:$N$51,11,FALSE()),0)+1*IFERROR(VLOOKUP(INDEX(' Toto teams'!$G$4:$G$119,MATCH($B68,' Toto teams'!$A$4:$A$119,0)),Scoring!$A$4:$N$51,11,FALSE()),0)+1*IFERROR(VLOOKUP(INDEX(' Toto teams'!$H$4:$H$119,MATCH($B68,' Toto teams'!$A$4:$A$119,0)),Scoring!$A$4:$N$51,11,FALSE()),0))</f>
        <v>0</v>
      </c>
      <c r="I68" s="28">
        <f>IF($B68="","",6*IFERROR(VLOOKUP(INDEX(' Toto teams'!$B$4:$B$119,MATCH($B68,' Toto teams'!$A$4:$A$119,0)),Scoring!$A$4:$O$51,15,FALSE()),0)+4*IFERROR(VLOOKUP(INDEX(' Toto teams'!$C$4:$C$119,MATCH($B68,' Toto teams'!$A$4:$A$119,0)),Scoring!$A$4:$O$51,15,FALSE()),0)+3*IFERROR(VLOOKUP(INDEX(' Toto teams'!$D$4:$D$119,MATCH($B68,' Toto teams'!$A$4:$A$119,0)),Scoring!$A$4:$O$51,15,FALSE()),0)+2*IFERROR(VLOOKUP(INDEX(' Toto teams'!$E$4:$E$119,MATCH($B68,' Toto teams'!$A$4:$A$119,0)),Scoring!$A$4:$O$51,15,FALSE()),0)+1*IFERROR(VLOOKUP(INDEX(' Toto teams'!$F$4:$F$119,MATCH($B68,' Toto teams'!$A$4:$A$119,0)),Scoring!$A$4:$O$51,15,FALSE()),0)+1*IFERROR(VLOOKUP(INDEX(' Toto teams'!$G$4:$G$119,MATCH($B68,' Toto teams'!$A$4:$A$119,0)),Scoring!$A$4:$O$51,15,FALSE()),0)+1*IFERROR(VLOOKUP(INDEX(' Toto teams'!$H$4:$H$119,MATCH($B68,' Toto teams'!$A$4:$A$119,0)),Scoring!$A$4:$O$51,15,FALSE()),0))</f>
        <v>0</v>
      </c>
      <c r="J68" s="28">
        <f>IF($B68="","",6*IFERROR(VLOOKUP(INDEX(' Toto teams'!$B$4:$B$119,MATCH($B68,' Toto teams'!$A$4:$A$119,0)),Scoring!$A$4:$N$51,12,FALSE()),0)+4*IFERROR(VLOOKUP(INDEX(' Toto teams'!$C$4:$C$119,MATCH($B68,' Toto teams'!$A$4:$A$119,0)),Scoring!$A$4:$N$51,12,FALSE()),0)+3*IFERROR(VLOOKUP(INDEX(' Toto teams'!$D$4:$D$119,MATCH($B68,' Toto teams'!$A$4:$A$119,0)),Scoring!$A$4:$N$51,12,FALSE()),0)+2*IFERROR(VLOOKUP(INDEX(' Toto teams'!$E$4:$E$119,MATCH($B68,' Toto teams'!$A$4:$A$119,0)),Scoring!$A$4:$N$51,12,FALSE()),0)+1*IFERROR(VLOOKUP(INDEX(' Toto teams'!$F$4:$F$119,MATCH($B68,' Toto teams'!$A$4:$A$119,0)),Scoring!$A$4:$N$51,12,FALSE()),0)+1*IFERROR(VLOOKUP(INDEX(' Toto teams'!$G$4:$G$119,MATCH($B68,' Toto teams'!$A$4:$A$119,0)),Scoring!$A$4:$N$51,12,FALSE()),0)+1*IFERROR(VLOOKUP(INDEX(' Toto teams'!$H$4:$H$119,MATCH($B68,' Toto teams'!$A$4:$A$119,0)),Scoring!$A$4:$N$51,12,FALSE()),0))</f>
        <v>0</v>
      </c>
      <c r="K68" s="29">
        <f>IF($B68="","",IFERROR(INDEX(' Toto teams'!$R$4:$R$119,MATCH($B68,' Toto teams'!$A$4:$A$119,0)),""))</f>
        <v>0</v>
      </c>
      <c r="L68" s="30">
        <f t="shared" ref="L68:L99" si="5">IFERROR(IF(B68="","",VLOOKUP(A68,$N$4:$R$12,5,FALSE())),0)</f>
        <v>0</v>
      </c>
    </row>
    <row r="69" spans="1:12" ht="12.75" customHeight="1" x14ac:dyDescent="0.3">
      <c r="A69" s="26">
        <f>IF(66&gt;COUNTIF(' Toto teams'!$A$4:$A$119,"&lt;&gt;"),"",INDEX(' Toto teams'!$S$4:$S$119,MATCH(LARGE(' Toto teams'!$T$4:$T$119,66),' Toto teams'!$T$4:$T$119,0)))</f>
        <v>63</v>
      </c>
      <c r="B69" s="27" t="str">
        <f>IF(66&gt;COUNTIF(' Toto teams'!$A$4:$A$119,"&lt;&gt;"),"",INDEX(' Toto teams'!$A$4:$A$119,MATCH(LARGE(' Toto teams'!$T$4:$T$119,66),' Toto teams'!$T$4:$T$119,0)))</f>
        <v>Thomas Wolke</v>
      </c>
      <c r="C69" s="28">
        <f>IF($B69="","",6*(IFERROR(VLOOKUP(INDEX(' Toto teams'!$B$4:$B$119,MATCH($B69,' Toto teams'!$A$4:$A$119,0)),Scoring!$A$4:$N$51,3,FALSE()),0)+IFERROR(VLOOKUP(INDEX(' Toto teams'!$B$4:$B$119,MATCH($B69,' Toto teams'!$A$4:$A$119,0)),Scoring!$A$4:$N$51,4,FALSE()),0)+IFERROR(VLOOKUP(INDEX(' Toto teams'!$B$4:$B$119,MATCH($B69,' Toto teams'!$A$4:$A$119,0)),Scoring!$A$4:$N$51,5,FALSE()),0))+4*(IFERROR(VLOOKUP(INDEX(' Toto teams'!$C$4:$C$119,MATCH($B69,' Toto teams'!$A$4:$A$119,0)),Scoring!$A$4:$N$51,3,FALSE()),0)+IFERROR(VLOOKUP(INDEX(' Toto teams'!$C$4:$C$119,MATCH($B69,' Toto teams'!$A$4:$A$119,0)),Scoring!$A$4:$N$51,4,FALSE()),0)+IFERROR(VLOOKUP(INDEX(' Toto teams'!$C$4:$C$119,MATCH($B69,' Toto teams'!$A$4:$A$119,0)),Scoring!$A$4:$N$51,5,FALSE()),0))+3*(IFERROR(VLOOKUP(INDEX(' Toto teams'!$D$4:$D$119,MATCH($B69,' Toto teams'!$A$4:$A$119,0)),Scoring!$A$4:$N$51,3,FALSE()),0)+IFERROR(VLOOKUP(INDEX(' Toto teams'!$D$4:$D$119,MATCH($B69,' Toto teams'!$A$4:$A$119,0)),Scoring!$A$4:$N$51,4,FALSE()),0)+IFERROR(VLOOKUP(INDEX(' Toto teams'!$D$4:$D$119,MATCH($B69,' Toto teams'!$A$4:$A$119,0)),Scoring!$A$4:$N$51,5,FALSE()),0))+2*(IFERROR(VLOOKUP(INDEX(' Toto teams'!$E$4:$E$119,MATCH($B69,' Toto teams'!$A$4:$A$119,0)),Scoring!$A$4:$N$51,3,FALSE()),0)+IFERROR(VLOOKUP(INDEX(' Toto teams'!$E$4:$E$119,MATCH($B69,' Toto teams'!$A$4:$A$119,0)),Scoring!$A$4:$N$51,4,FALSE()),0)+IFERROR(VLOOKUP(INDEX(' Toto teams'!$E$4:$E$119,MATCH($B69,' Toto teams'!$A$4:$A$119,0)),Scoring!$A$4:$N$51,5,FALSE()),0))+1*(IFERROR(VLOOKUP(INDEX(' Toto teams'!$F$4:$F$119,MATCH($B69,' Toto teams'!$A$4:$A$119,0)),Scoring!$A$4:$N$51,3,FALSE()),0)+IFERROR(VLOOKUP(INDEX(' Toto teams'!$F$4:$F$119,MATCH($B69,' Toto teams'!$A$4:$A$119,0)),Scoring!$A$4:$N$51,4,FALSE()),0)+IFERROR(VLOOKUP(INDEX(' Toto teams'!$F$4:$F$119,MATCH($B69,' Toto teams'!$A$4:$A$119,0)),Scoring!$A$4:$N$51,5,FALSE()),0))+1*(IFERROR(VLOOKUP(INDEX(' Toto teams'!$G$4:$G$119,MATCH($B69,' Toto teams'!$A$4:$A$119,0)),Scoring!$A$4:$N$51,3,FALSE()),0)+IFERROR(VLOOKUP(INDEX(' Toto teams'!$G$4:$G$119,MATCH($B69,' Toto teams'!$A$4:$A$119,0)),Scoring!$A$4:$N$51,4,FALSE()),0)+IFERROR(VLOOKUP(INDEX(' Toto teams'!$G$4:$G$119,MATCH($B69,' Toto teams'!$A$4:$A$119,0)),Scoring!$A$4:$N$51,5,FALSE()),0))+1*(IFERROR(VLOOKUP(INDEX(' Toto teams'!$H$4:$H$119,MATCH($B69,' Toto teams'!$A$4:$A$119,0)),Scoring!$A$4:$N$51,3,FALSE()),0)+IFERROR(VLOOKUP(INDEX(' Toto teams'!$H$4:$H$119,MATCH($B69,' Toto teams'!$A$4:$A$119,0)),Scoring!$A$4:$N$51,4,FALSE()),0)+IFERROR(VLOOKUP(INDEX(' Toto teams'!$H$4:$H$119,MATCH($B69,' Toto teams'!$A$4:$A$119,0)),Scoring!$A$4:$N$51,5,FALSE()),0))+IFERROR(INDEX(' Toto teams'!$Q$4:$Q$119,MATCH($B69,' Toto teams'!$A$4:$A$119,0))*1,0))</f>
        <v>0</v>
      </c>
      <c r="D69" s="28">
        <f>IF($B69="","",6*IFERROR(VLOOKUP(INDEX(' Toto teams'!$B$4:$B$119,MATCH($B69,' Toto teams'!$A$4:$A$119,0)),Scoring!$A$4:$N$51,7,FALSE()),0)+4*IFERROR(VLOOKUP(INDEX(' Toto teams'!$C$4:$C$119,MATCH($B69,' Toto teams'!$A$4:$A$119,0)),Scoring!$A$4:$N$51,7,FALSE()),0)+3*IFERROR(VLOOKUP(INDEX(' Toto teams'!$D$4:$D$119,MATCH($B69,' Toto teams'!$A$4:$A$119,0)),Scoring!$A$4:$N$51,7,FALSE()),0)+2*IFERROR(VLOOKUP(INDEX(' Toto teams'!$E$4:$E$119,MATCH($B69,' Toto teams'!$A$4:$A$119,0)),Scoring!$A$4:$N$51,7,FALSE()),0)+1*IFERROR(VLOOKUP(INDEX(' Toto teams'!$F$4:$F$119,MATCH($B69,' Toto teams'!$A$4:$A$119,0)),Scoring!$A$4:$N$51,7,FALSE()),0)+1*IFERROR(VLOOKUP(INDEX(' Toto teams'!$G$4:$G$119,MATCH($B69,' Toto teams'!$A$4:$A$119,0)),Scoring!$A$4:$N$51,7,FALSE()),0)+1*IFERROR(VLOOKUP(INDEX(' Toto teams'!$H$4:$H$119,MATCH($B69,' Toto teams'!$A$4:$A$119,0)),Scoring!$A$4:$N$51,7,FALSE()),0))</f>
        <v>0</v>
      </c>
      <c r="E69" s="28">
        <f>IF($B69="","",6*IFERROR(VLOOKUP(INDEX(' Toto teams'!$B$4:$B$119,MATCH($B69,' Toto teams'!$A$4:$A$119,0)),Scoring!$A$4:$N$51,8,FALSE()),0)+4*IFERROR(VLOOKUP(INDEX(' Toto teams'!$C$4:$C$119,MATCH($B69,' Toto teams'!$A$4:$A$119,0)),Scoring!$A$4:$N$51,8,FALSE()),0)+3*IFERROR(VLOOKUP(INDEX(' Toto teams'!$D$4:$D$119,MATCH($B69,' Toto teams'!$A$4:$A$119,0)),Scoring!$A$4:$N$51,8,FALSE()),0)+2*IFERROR(VLOOKUP(INDEX(' Toto teams'!$E$4:$E$119,MATCH($B69,' Toto teams'!$A$4:$A$119,0)),Scoring!$A$4:$N$51,8,FALSE()),0)+1*IFERROR(VLOOKUP(INDEX(' Toto teams'!$F$4:$F$119,MATCH($B69,' Toto teams'!$A$4:$A$119,0)),Scoring!$A$4:$N$51,8,FALSE()),0)+1*IFERROR(VLOOKUP(INDEX(' Toto teams'!$G$4:$G$119,MATCH($B69,' Toto teams'!$A$4:$A$119,0)),Scoring!$A$4:$N$51,8,FALSE()),0)+1*IFERROR(VLOOKUP(INDEX(' Toto teams'!$H$4:$H$119,MATCH($B69,' Toto teams'!$A$4:$A$119,0)),Scoring!$A$4:$N$51,8,FALSE()),0))</f>
        <v>0</v>
      </c>
      <c r="F69" s="28">
        <f>IF($B69="","",6*IFERROR(VLOOKUP(INDEX(' Toto teams'!$B$4:$B$119,MATCH($B69,' Toto teams'!$A$4:$A$119,0)),Scoring!$A$4:$N$51,9,FALSE()),0)+4*IFERROR(VLOOKUP(INDEX(' Toto teams'!$C$4:$C$119,MATCH($B69,' Toto teams'!$A$4:$A$119,0)),Scoring!$A$4:$N$51,9,FALSE()),0)+3*IFERROR(VLOOKUP(INDEX(' Toto teams'!$D$4:$D$119,MATCH($B69,' Toto teams'!$A$4:$A$119,0)),Scoring!$A$4:$N$51,9,FALSE()),0)+2*IFERROR(VLOOKUP(INDEX(' Toto teams'!$E$4:$E$119,MATCH($B69,' Toto teams'!$A$4:$A$119,0)),Scoring!$A$4:$N$51,9,FALSE()),0)+1*IFERROR(VLOOKUP(INDEX(' Toto teams'!$F$4:$F$119,MATCH($B69,' Toto teams'!$A$4:$A$119,0)),Scoring!$A$4:$N$51,9,FALSE()),0)+1*IFERROR(VLOOKUP(INDEX(' Toto teams'!$G$4:$G$119,MATCH($B69,' Toto teams'!$A$4:$A$119,0)),Scoring!$A$4:$N$51,9,FALSE()),0)+1*IFERROR(VLOOKUP(INDEX(' Toto teams'!$H$4:$H$119,MATCH($B69,' Toto teams'!$A$4:$A$119,0)),Scoring!$A$4:$N$51,9,FALSE()),0))</f>
        <v>0</v>
      </c>
      <c r="G69" s="28">
        <f>IF($B69="","",6*IFERROR(VLOOKUP(INDEX(' Toto teams'!$B$4:$B$119,MATCH($B69,' Toto teams'!$A$4:$A$119,0)),Scoring!$A$4:$N$51,10,FALSE()),0)+4*IFERROR(VLOOKUP(INDEX(' Toto teams'!$C$4:$C$119,MATCH($B69,' Toto teams'!$A$4:$A$119,0)),Scoring!$A$4:$N$51,10,FALSE()),0)+3*IFERROR(VLOOKUP(INDEX(' Toto teams'!$D$4:$D$119,MATCH($B69,' Toto teams'!$A$4:$A$119,0)),Scoring!$A$4:$N$51,10,FALSE()),0)+2*IFERROR(VLOOKUP(INDEX(' Toto teams'!$E$4:$E$119,MATCH($B69,' Toto teams'!$A$4:$A$119,0)),Scoring!$A$4:$N$51,10,FALSE()),0)+1*IFERROR(VLOOKUP(INDEX(' Toto teams'!$F$4:$F$119,MATCH($B69,' Toto teams'!$A$4:$A$119,0)),Scoring!$A$4:$N$51,10,FALSE()),0)+1*IFERROR(VLOOKUP(INDEX(' Toto teams'!$G$4:$G$119,MATCH($B69,' Toto teams'!$A$4:$A$119,0)),Scoring!$A$4:$N$51,10,FALSE()),0)+1*IFERROR(VLOOKUP(INDEX(' Toto teams'!$H$4:$H$119,MATCH($B69,' Toto teams'!$A$4:$A$119,0)),Scoring!$A$4:$N$51,10,FALSE()),0))</f>
        <v>0</v>
      </c>
      <c r="H69" s="28">
        <f>IF($B69="","",6*IFERROR(VLOOKUP(INDEX(' Toto teams'!$B$4:$B$119,MATCH($B69,' Toto teams'!$A$4:$A$119,0)),Scoring!$A$4:$N$51,11,FALSE()),0)+4*IFERROR(VLOOKUP(INDEX(' Toto teams'!$C$4:$C$119,MATCH($B69,' Toto teams'!$A$4:$A$119,0)),Scoring!$A$4:$N$51,11,FALSE()),0)+3*IFERROR(VLOOKUP(INDEX(' Toto teams'!$D$4:$D$119,MATCH($B69,' Toto teams'!$A$4:$A$119,0)),Scoring!$A$4:$N$51,11,FALSE()),0)+2*IFERROR(VLOOKUP(INDEX(' Toto teams'!$E$4:$E$119,MATCH($B69,' Toto teams'!$A$4:$A$119,0)),Scoring!$A$4:$N$51,11,FALSE()),0)+1*IFERROR(VLOOKUP(INDEX(' Toto teams'!$F$4:$F$119,MATCH($B69,' Toto teams'!$A$4:$A$119,0)),Scoring!$A$4:$N$51,11,FALSE()),0)+1*IFERROR(VLOOKUP(INDEX(' Toto teams'!$G$4:$G$119,MATCH($B69,' Toto teams'!$A$4:$A$119,0)),Scoring!$A$4:$N$51,11,FALSE()),0)+1*IFERROR(VLOOKUP(INDEX(' Toto teams'!$H$4:$H$119,MATCH($B69,' Toto teams'!$A$4:$A$119,0)),Scoring!$A$4:$N$51,11,FALSE()),0))</f>
        <v>0</v>
      </c>
      <c r="I69" s="28">
        <f>IF($B69="","",6*IFERROR(VLOOKUP(INDEX(' Toto teams'!$B$4:$B$119,MATCH($B69,' Toto teams'!$A$4:$A$119,0)),Scoring!$A$4:$O$51,15,FALSE()),0)+4*IFERROR(VLOOKUP(INDEX(' Toto teams'!$C$4:$C$119,MATCH($B69,' Toto teams'!$A$4:$A$119,0)),Scoring!$A$4:$O$51,15,FALSE()),0)+3*IFERROR(VLOOKUP(INDEX(' Toto teams'!$D$4:$D$119,MATCH($B69,' Toto teams'!$A$4:$A$119,0)),Scoring!$A$4:$O$51,15,FALSE()),0)+2*IFERROR(VLOOKUP(INDEX(' Toto teams'!$E$4:$E$119,MATCH($B69,' Toto teams'!$A$4:$A$119,0)),Scoring!$A$4:$O$51,15,FALSE()),0)+1*IFERROR(VLOOKUP(INDEX(' Toto teams'!$F$4:$F$119,MATCH($B69,' Toto teams'!$A$4:$A$119,0)),Scoring!$A$4:$O$51,15,FALSE()),0)+1*IFERROR(VLOOKUP(INDEX(' Toto teams'!$G$4:$G$119,MATCH($B69,' Toto teams'!$A$4:$A$119,0)),Scoring!$A$4:$O$51,15,FALSE()),0)+1*IFERROR(VLOOKUP(INDEX(' Toto teams'!$H$4:$H$119,MATCH($B69,' Toto teams'!$A$4:$A$119,0)),Scoring!$A$4:$O$51,15,FALSE()),0))</f>
        <v>0</v>
      </c>
      <c r="J69" s="28">
        <f>IF($B69="","",6*IFERROR(VLOOKUP(INDEX(' Toto teams'!$B$4:$B$119,MATCH($B69,' Toto teams'!$A$4:$A$119,0)),Scoring!$A$4:$N$51,12,FALSE()),0)+4*IFERROR(VLOOKUP(INDEX(' Toto teams'!$C$4:$C$119,MATCH($B69,' Toto teams'!$A$4:$A$119,0)),Scoring!$A$4:$N$51,12,FALSE()),0)+3*IFERROR(VLOOKUP(INDEX(' Toto teams'!$D$4:$D$119,MATCH($B69,' Toto teams'!$A$4:$A$119,0)),Scoring!$A$4:$N$51,12,FALSE()),0)+2*IFERROR(VLOOKUP(INDEX(' Toto teams'!$E$4:$E$119,MATCH($B69,' Toto teams'!$A$4:$A$119,0)),Scoring!$A$4:$N$51,12,FALSE()),0)+1*IFERROR(VLOOKUP(INDEX(' Toto teams'!$F$4:$F$119,MATCH($B69,' Toto teams'!$A$4:$A$119,0)),Scoring!$A$4:$N$51,12,FALSE()),0)+1*IFERROR(VLOOKUP(INDEX(' Toto teams'!$G$4:$G$119,MATCH($B69,' Toto teams'!$A$4:$A$119,0)),Scoring!$A$4:$N$51,12,FALSE()),0)+1*IFERROR(VLOOKUP(INDEX(' Toto teams'!$H$4:$H$119,MATCH($B69,' Toto teams'!$A$4:$A$119,0)),Scoring!$A$4:$N$51,12,FALSE()),0))</f>
        <v>0</v>
      </c>
      <c r="K69" s="29">
        <f>IF($B69="","",IFERROR(INDEX(' Toto teams'!$R$4:$R$119,MATCH($B69,' Toto teams'!$A$4:$A$119,0)),""))</f>
        <v>0</v>
      </c>
      <c r="L69" s="30">
        <f t="shared" si="5"/>
        <v>0</v>
      </c>
    </row>
    <row r="70" spans="1:12" ht="12.75" customHeight="1" x14ac:dyDescent="0.3">
      <c r="A70" s="26">
        <f>IF(67&gt;COUNTIF(' Toto teams'!$A$4:$A$119,"&lt;&gt;"),"",INDEX(' Toto teams'!$S$4:$S$119,MATCH(LARGE(' Toto teams'!$T$4:$T$119,67),' Toto teams'!$T$4:$T$119,0)))</f>
        <v>63</v>
      </c>
      <c r="B70" s="27" t="str">
        <f>IF(67&gt;COUNTIF(' Toto teams'!$A$4:$A$119,"&lt;&gt;"),"",INDEX(' Toto teams'!$A$4:$A$119,MATCH(LARGE(' Toto teams'!$T$4:$T$119,67),' Toto teams'!$T$4:$T$119,0)))</f>
        <v>Susie Wolke</v>
      </c>
      <c r="C70" s="28">
        <f>IF($B70="","",6*(IFERROR(VLOOKUP(INDEX(' Toto teams'!$B$4:$B$119,MATCH($B70,' Toto teams'!$A$4:$A$119,0)),Scoring!$A$4:$N$51,3,FALSE()),0)+IFERROR(VLOOKUP(INDEX(' Toto teams'!$B$4:$B$119,MATCH($B70,' Toto teams'!$A$4:$A$119,0)),Scoring!$A$4:$N$51,4,FALSE()),0)+IFERROR(VLOOKUP(INDEX(' Toto teams'!$B$4:$B$119,MATCH($B70,' Toto teams'!$A$4:$A$119,0)),Scoring!$A$4:$N$51,5,FALSE()),0))+4*(IFERROR(VLOOKUP(INDEX(' Toto teams'!$C$4:$C$119,MATCH($B70,' Toto teams'!$A$4:$A$119,0)),Scoring!$A$4:$N$51,3,FALSE()),0)+IFERROR(VLOOKUP(INDEX(' Toto teams'!$C$4:$C$119,MATCH($B70,' Toto teams'!$A$4:$A$119,0)),Scoring!$A$4:$N$51,4,FALSE()),0)+IFERROR(VLOOKUP(INDEX(' Toto teams'!$C$4:$C$119,MATCH($B70,' Toto teams'!$A$4:$A$119,0)),Scoring!$A$4:$N$51,5,FALSE()),0))+3*(IFERROR(VLOOKUP(INDEX(' Toto teams'!$D$4:$D$119,MATCH($B70,' Toto teams'!$A$4:$A$119,0)),Scoring!$A$4:$N$51,3,FALSE()),0)+IFERROR(VLOOKUP(INDEX(' Toto teams'!$D$4:$D$119,MATCH($B70,' Toto teams'!$A$4:$A$119,0)),Scoring!$A$4:$N$51,4,FALSE()),0)+IFERROR(VLOOKUP(INDEX(' Toto teams'!$D$4:$D$119,MATCH($B70,' Toto teams'!$A$4:$A$119,0)),Scoring!$A$4:$N$51,5,FALSE()),0))+2*(IFERROR(VLOOKUP(INDEX(' Toto teams'!$E$4:$E$119,MATCH($B70,' Toto teams'!$A$4:$A$119,0)),Scoring!$A$4:$N$51,3,FALSE()),0)+IFERROR(VLOOKUP(INDEX(' Toto teams'!$E$4:$E$119,MATCH($B70,' Toto teams'!$A$4:$A$119,0)),Scoring!$A$4:$N$51,4,FALSE()),0)+IFERROR(VLOOKUP(INDEX(' Toto teams'!$E$4:$E$119,MATCH($B70,' Toto teams'!$A$4:$A$119,0)),Scoring!$A$4:$N$51,5,FALSE()),0))+1*(IFERROR(VLOOKUP(INDEX(' Toto teams'!$F$4:$F$119,MATCH($B70,' Toto teams'!$A$4:$A$119,0)),Scoring!$A$4:$N$51,3,FALSE()),0)+IFERROR(VLOOKUP(INDEX(' Toto teams'!$F$4:$F$119,MATCH($B70,' Toto teams'!$A$4:$A$119,0)),Scoring!$A$4:$N$51,4,FALSE()),0)+IFERROR(VLOOKUP(INDEX(' Toto teams'!$F$4:$F$119,MATCH($B70,' Toto teams'!$A$4:$A$119,0)),Scoring!$A$4:$N$51,5,FALSE()),0))+1*(IFERROR(VLOOKUP(INDEX(' Toto teams'!$G$4:$G$119,MATCH($B70,' Toto teams'!$A$4:$A$119,0)),Scoring!$A$4:$N$51,3,FALSE()),0)+IFERROR(VLOOKUP(INDEX(' Toto teams'!$G$4:$G$119,MATCH($B70,' Toto teams'!$A$4:$A$119,0)),Scoring!$A$4:$N$51,4,FALSE()),0)+IFERROR(VLOOKUP(INDEX(' Toto teams'!$G$4:$G$119,MATCH($B70,' Toto teams'!$A$4:$A$119,0)),Scoring!$A$4:$N$51,5,FALSE()),0))+1*(IFERROR(VLOOKUP(INDEX(' Toto teams'!$H$4:$H$119,MATCH($B70,' Toto teams'!$A$4:$A$119,0)),Scoring!$A$4:$N$51,3,FALSE()),0)+IFERROR(VLOOKUP(INDEX(' Toto teams'!$H$4:$H$119,MATCH($B70,' Toto teams'!$A$4:$A$119,0)),Scoring!$A$4:$N$51,4,FALSE()),0)+IFERROR(VLOOKUP(INDEX(' Toto teams'!$H$4:$H$119,MATCH($B70,' Toto teams'!$A$4:$A$119,0)),Scoring!$A$4:$N$51,5,FALSE()),0))+IFERROR(INDEX(' Toto teams'!$Q$4:$Q$119,MATCH($B70,' Toto teams'!$A$4:$A$119,0))*1,0))</f>
        <v>0</v>
      </c>
      <c r="D70" s="28">
        <f>IF($B70="","",6*IFERROR(VLOOKUP(INDEX(' Toto teams'!$B$4:$B$119,MATCH($B70,' Toto teams'!$A$4:$A$119,0)),Scoring!$A$4:$N$51,7,FALSE()),0)+4*IFERROR(VLOOKUP(INDEX(' Toto teams'!$C$4:$C$119,MATCH($B70,' Toto teams'!$A$4:$A$119,0)),Scoring!$A$4:$N$51,7,FALSE()),0)+3*IFERROR(VLOOKUP(INDEX(' Toto teams'!$D$4:$D$119,MATCH($B70,' Toto teams'!$A$4:$A$119,0)),Scoring!$A$4:$N$51,7,FALSE()),0)+2*IFERROR(VLOOKUP(INDEX(' Toto teams'!$E$4:$E$119,MATCH($B70,' Toto teams'!$A$4:$A$119,0)),Scoring!$A$4:$N$51,7,FALSE()),0)+1*IFERROR(VLOOKUP(INDEX(' Toto teams'!$F$4:$F$119,MATCH($B70,' Toto teams'!$A$4:$A$119,0)),Scoring!$A$4:$N$51,7,FALSE()),0)+1*IFERROR(VLOOKUP(INDEX(' Toto teams'!$G$4:$G$119,MATCH($B70,' Toto teams'!$A$4:$A$119,0)),Scoring!$A$4:$N$51,7,FALSE()),0)+1*IFERROR(VLOOKUP(INDEX(' Toto teams'!$H$4:$H$119,MATCH($B70,' Toto teams'!$A$4:$A$119,0)),Scoring!$A$4:$N$51,7,FALSE()),0))</f>
        <v>0</v>
      </c>
      <c r="E70" s="28">
        <f>IF($B70="","",6*IFERROR(VLOOKUP(INDEX(' Toto teams'!$B$4:$B$119,MATCH($B70,' Toto teams'!$A$4:$A$119,0)),Scoring!$A$4:$N$51,8,FALSE()),0)+4*IFERROR(VLOOKUP(INDEX(' Toto teams'!$C$4:$C$119,MATCH($B70,' Toto teams'!$A$4:$A$119,0)),Scoring!$A$4:$N$51,8,FALSE()),0)+3*IFERROR(VLOOKUP(INDEX(' Toto teams'!$D$4:$D$119,MATCH($B70,' Toto teams'!$A$4:$A$119,0)),Scoring!$A$4:$N$51,8,FALSE()),0)+2*IFERROR(VLOOKUP(INDEX(' Toto teams'!$E$4:$E$119,MATCH($B70,' Toto teams'!$A$4:$A$119,0)),Scoring!$A$4:$N$51,8,FALSE()),0)+1*IFERROR(VLOOKUP(INDEX(' Toto teams'!$F$4:$F$119,MATCH($B70,' Toto teams'!$A$4:$A$119,0)),Scoring!$A$4:$N$51,8,FALSE()),0)+1*IFERROR(VLOOKUP(INDEX(' Toto teams'!$G$4:$G$119,MATCH($B70,' Toto teams'!$A$4:$A$119,0)),Scoring!$A$4:$N$51,8,FALSE()),0)+1*IFERROR(VLOOKUP(INDEX(' Toto teams'!$H$4:$H$119,MATCH($B70,' Toto teams'!$A$4:$A$119,0)),Scoring!$A$4:$N$51,8,FALSE()),0))</f>
        <v>0</v>
      </c>
      <c r="F70" s="28">
        <f>IF($B70="","",6*IFERROR(VLOOKUP(INDEX(' Toto teams'!$B$4:$B$119,MATCH($B70,' Toto teams'!$A$4:$A$119,0)),Scoring!$A$4:$N$51,9,FALSE()),0)+4*IFERROR(VLOOKUP(INDEX(' Toto teams'!$C$4:$C$119,MATCH($B70,' Toto teams'!$A$4:$A$119,0)),Scoring!$A$4:$N$51,9,FALSE()),0)+3*IFERROR(VLOOKUP(INDEX(' Toto teams'!$D$4:$D$119,MATCH($B70,' Toto teams'!$A$4:$A$119,0)),Scoring!$A$4:$N$51,9,FALSE()),0)+2*IFERROR(VLOOKUP(INDEX(' Toto teams'!$E$4:$E$119,MATCH($B70,' Toto teams'!$A$4:$A$119,0)),Scoring!$A$4:$N$51,9,FALSE()),0)+1*IFERROR(VLOOKUP(INDEX(' Toto teams'!$F$4:$F$119,MATCH($B70,' Toto teams'!$A$4:$A$119,0)),Scoring!$A$4:$N$51,9,FALSE()),0)+1*IFERROR(VLOOKUP(INDEX(' Toto teams'!$G$4:$G$119,MATCH($B70,' Toto teams'!$A$4:$A$119,0)),Scoring!$A$4:$N$51,9,FALSE()),0)+1*IFERROR(VLOOKUP(INDEX(' Toto teams'!$H$4:$H$119,MATCH($B70,' Toto teams'!$A$4:$A$119,0)),Scoring!$A$4:$N$51,9,FALSE()),0))</f>
        <v>0</v>
      </c>
      <c r="G70" s="28">
        <f>IF($B70="","",6*IFERROR(VLOOKUP(INDEX(' Toto teams'!$B$4:$B$119,MATCH($B70,' Toto teams'!$A$4:$A$119,0)),Scoring!$A$4:$N$51,10,FALSE()),0)+4*IFERROR(VLOOKUP(INDEX(' Toto teams'!$C$4:$C$119,MATCH($B70,' Toto teams'!$A$4:$A$119,0)),Scoring!$A$4:$N$51,10,FALSE()),0)+3*IFERROR(VLOOKUP(INDEX(' Toto teams'!$D$4:$D$119,MATCH($B70,' Toto teams'!$A$4:$A$119,0)),Scoring!$A$4:$N$51,10,FALSE()),0)+2*IFERROR(VLOOKUP(INDEX(' Toto teams'!$E$4:$E$119,MATCH($B70,' Toto teams'!$A$4:$A$119,0)),Scoring!$A$4:$N$51,10,FALSE()),0)+1*IFERROR(VLOOKUP(INDEX(' Toto teams'!$F$4:$F$119,MATCH($B70,' Toto teams'!$A$4:$A$119,0)),Scoring!$A$4:$N$51,10,FALSE()),0)+1*IFERROR(VLOOKUP(INDEX(' Toto teams'!$G$4:$G$119,MATCH($B70,' Toto teams'!$A$4:$A$119,0)),Scoring!$A$4:$N$51,10,FALSE()),0)+1*IFERROR(VLOOKUP(INDEX(' Toto teams'!$H$4:$H$119,MATCH($B70,' Toto teams'!$A$4:$A$119,0)),Scoring!$A$4:$N$51,10,FALSE()),0))</f>
        <v>0</v>
      </c>
      <c r="H70" s="28">
        <f>IF($B70="","",6*IFERROR(VLOOKUP(INDEX(' Toto teams'!$B$4:$B$119,MATCH($B70,' Toto teams'!$A$4:$A$119,0)),Scoring!$A$4:$N$51,11,FALSE()),0)+4*IFERROR(VLOOKUP(INDEX(' Toto teams'!$C$4:$C$119,MATCH($B70,' Toto teams'!$A$4:$A$119,0)),Scoring!$A$4:$N$51,11,FALSE()),0)+3*IFERROR(VLOOKUP(INDEX(' Toto teams'!$D$4:$D$119,MATCH($B70,' Toto teams'!$A$4:$A$119,0)),Scoring!$A$4:$N$51,11,FALSE()),0)+2*IFERROR(VLOOKUP(INDEX(' Toto teams'!$E$4:$E$119,MATCH($B70,' Toto teams'!$A$4:$A$119,0)),Scoring!$A$4:$N$51,11,FALSE()),0)+1*IFERROR(VLOOKUP(INDEX(' Toto teams'!$F$4:$F$119,MATCH($B70,' Toto teams'!$A$4:$A$119,0)),Scoring!$A$4:$N$51,11,FALSE()),0)+1*IFERROR(VLOOKUP(INDEX(' Toto teams'!$G$4:$G$119,MATCH($B70,' Toto teams'!$A$4:$A$119,0)),Scoring!$A$4:$N$51,11,FALSE()),0)+1*IFERROR(VLOOKUP(INDEX(' Toto teams'!$H$4:$H$119,MATCH($B70,' Toto teams'!$A$4:$A$119,0)),Scoring!$A$4:$N$51,11,FALSE()),0))</f>
        <v>0</v>
      </c>
      <c r="I70" s="28">
        <f>IF($B70="","",6*IFERROR(VLOOKUP(INDEX(' Toto teams'!$B$4:$B$119,MATCH($B70,' Toto teams'!$A$4:$A$119,0)),Scoring!$A$4:$O$51,15,FALSE()),0)+4*IFERROR(VLOOKUP(INDEX(' Toto teams'!$C$4:$C$119,MATCH($B70,' Toto teams'!$A$4:$A$119,0)),Scoring!$A$4:$O$51,15,FALSE()),0)+3*IFERROR(VLOOKUP(INDEX(' Toto teams'!$D$4:$D$119,MATCH($B70,' Toto teams'!$A$4:$A$119,0)),Scoring!$A$4:$O$51,15,FALSE()),0)+2*IFERROR(VLOOKUP(INDEX(' Toto teams'!$E$4:$E$119,MATCH($B70,' Toto teams'!$A$4:$A$119,0)),Scoring!$A$4:$O$51,15,FALSE()),0)+1*IFERROR(VLOOKUP(INDEX(' Toto teams'!$F$4:$F$119,MATCH($B70,' Toto teams'!$A$4:$A$119,0)),Scoring!$A$4:$O$51,15,FALSE()),0)+1*IFERROR(VLOOKUP(INDEX(' Toto teams'!$G$4:$G$119,MATCH($B70,' Toto teams'!$A$4:$A$119,0)),Scoring!$A$4:$O$51,15,FALSE()),0)+1*IFERROR(VLOOKUP(INDEX(' Toto teams'!$H$4:$H$119,MATCH($B70,' Toto teams'!$A$4:$A$119,0)),Scoring!$A$4:$O$51,15,FALSE()),0))</f>
        <v>0</v>
      </c>
      <c r="J70" s="28">
        <f>IF($B70="","",6*IFERROR(VLOOKUP(INDEX(' Toto teams'!$B$4:$B$119,MATCH($B70,' Toto teams'!$A$4:$A$119,0)),Scoring!$A$4:$N$51,12,FALSE()),0)+4*IFERROR(VLOOKUP(INDEX(' Toto teams'!$C$4:$C$119,MATCH($B70,' Toto teams'!$A$4:$A$119,0)),Scoring!$A$4:$N$51,12,FALSE()),0)+3*IFERROR(VLOOKUP(INDEX(' Toto teams'!$D$4:$D$119,MATCH($B70,' Toto teams'!$A$4:$A$119,0)),Scoring!$A$4:$N$51,12,FALSE()),0)+2*IFERROR(VLOOKUP(INDEX(' Toto teams'!$E$4:$E$119,MATCH($B70,' Toto teams'!$A$4:$A$119,0)),Scoring!$A$4:$N$51,12,FALSE()),0)+1*IFERROR(VLOOKUP(INDEX(' Toto teams'!$F$4:$F$119,MATCH($B70,' Toto teams'!$A$4:$A$119,0)),Scoring!$A$4:$N$51,12,FALSE()),0)+1*IFERROR(VLOOKUP(INDEX(' Toto teams'!$G$4:$G$119,MATCH($B70,' Toto teams'!$A$4:$A$119,0)),Scoring!$A$4:$N$51,12,FALSE()),0)+1*IFERROR(VLOOKUP(INDEX(' Toto teams'!$H$4:$H$119,MATCH($B70,' Toto teams'!$A$4:$A$119,0)),Scoring!$A$4:$N$51,12,FALSE()),0))</f>
        <v>0</v>
      </c>
      <c r="K70" s="29">
        <f>IF($B70="","",IFERROR(INDEX(' Toto teams'!$R$4:$R$119,MATCH($B70,' Toto teams'!$A$4:$A$119,0)),""))</f>
        <v>0</v>
      </c>
      <c r="L70" s="30">
        <f t="shared" si="5"/>
        <v>0</v>
      </c>
    </row>
    <row r="71" spans="1:12" ht="12.75" customHeight="1" x14ac:dyDescent="0.3">
      <c r="A71" s="26">
        <f>IF(68&gt;COUNTIF(' Toto teams'!$A$4:$A$119,"&lt;&gt;"),"",INDEX(' Toto teams'!$S$4:$S$119,MATCH(LARGE(' Toto teams'!$T$4:$T$119,68),' Toto teams'!$T$4:$T$119,0)))</f>
        <v>63</v>
      </c>
      <c r="B71" s="27" t="str">
        <f>IF(68&gt;COUNTIF(' Toto teams'!$A$4:$A$119,"&lt;&gt;"),"",INDEX(' Toto teams'!$A$4:$A$119,MATCH(LARGE(' Toto teams'!$T$4:$T$119,68),' Toto teams'!$T$4:$T$119,0)))</f>
        <v>Denis Kazarezov</v>
      </c>
      <c r="C71" s="28">
        <f>IF($B71="","",6*(IFERROR(VLOOKUP(INDEX(' Toto teams'!$B$4:$B$119,MATCH($B71,' Toto teams'!$A$4:$A$119,0)),Scoring!$A$4:$N$51,3,FALSE()),0)+IFERROR(VLOOKUP(INDEX(' Toto teams'!$B$4:$B$119,MATCH($B71,' Toto teams'!$A$4:$A$119,0)),Scoring!$A$4:$N$51,4,FALSE()),0)+IFERROR(VLOOKUP(INDEX(' Toto teams'!$B$4:$B$119,MATCH($B71,' Toto teams'!$A$4:$A$119,0)),Scoring!$A$4:$N$51,5,FALSE()),0))+4*(IFERROR(VLOOKUP(INDEX(' Toto teams'!$C$4:$C$119,MATCH($B71,' Toto teams'!$A$4:$A$119,0)),Scoring!$A$4:$N$51,3,FALSE()),0)+IFERROR(VLOOKUP(INDEX(' Toto teams'!$C$4:$C$119,MATCH($B71,' Toto teams'!$A$4:$A$119,0)),Scoring!$A$4:$N$51,4,FALSE()),0)+IFERROR(VLOOKUP(INDEX(' Toto teams'!$C$4:$C$119,MATCH($B71,' Toto teams'!$A$4:$A$119,0)),Scoring!$A$4:$N$51,5,FALSE()),0))+3*(IFERROR(VLOOKUP(INDEX(' Toto teams'!$D$4:$D$119,MATCH($B71,' Toto teams'!$A$4:$A$119,0)),Scoring!$A$4:$N$51,3,FALSE()),0)+IFERROR(VLOOKUP(INDEX(' Toto teams'!$D$4:$D$119,MATCH($B71,' Toto teams'!$A$4:$A$119,0)),Scoring!$A$4:$N$51,4,FALSE()),0)+IFERROR(VLOOKUP(INDEX(' Toto teams'!$D$4:$D$119,MATCH($B71,' Toto teams'!$A$4:$A$119,0)),Scoring!$A$4:$N$51,5,FALSE()),0))+2*(IFERROR(VLOOKUP(INDEX(' Toto teams'!$E$4:$E$119,MATCH($B71,' Toto teams'!$A$4:$A$119,0)),Scoring!$A$4:$N$51,3,FALSE()),0)+IFERROR(VLOOKUP(INDEX(' Toto teams'!$E$4:$E$119,MATCH($B71,' Toto teams'!$A$4:$A$119,0)),Scoring!$A$4:$N$51,4,FALSE()),0)+IFERROR(VLOOKUP(INDEX(' Toto teams'!$E$4:$E$119,MATCH($B71,' Toto teams'!$A$4:$A$119,0)),Scoring!$A$4:$N$51,5,FALSE()),0))+1*(IFERROR(VLOOKUP(INDEX(' Toto teams'!$F$4:$F$119,MATCH($B71,' Toto teams'!$A$4:$A$119,0)),Scoring!$A$4:$N$51,3,FALSE()),0)+IFERROR(VLOOKUP(INDEX(' Toto teams'!$F$4:$F$119,MATCH($B71,' Toto teams'!$A$4:$A$119,0)),Scoring!$A$4:$N$51,4,FALSE()),0)+IFERROR(VLOOKUP(INDEX(' Toto teams'!$F$4:$F$119,MATCH($B71,' Toto teams'!$A$4:$A$119,0)),Scoring!$A$4:$N$51,5,FALSE()),0))+1*(IFERROR(VLOOKUP(INDEX(' Toto teams'!$G$4:$G$119,MATCH($B71,' Toto teams'!$A$4:$A$119,0)),Scoring!$A$4:$N$51,3,FALSE()),0)+IFERROR(VLOOKUP(INDEX(' Toto teams'!$G$4:$G$119,MATCH($B71,' Toto teams'!$A$4:$A$119,0)),Scoring!$A$4:$N$51,4,FALSE()),0)+IFERROR(VLOOKUP(INDEX(' Toto teams'!$G$4:$G$119,MATCH($B71,' Toto teams'!$A$4:$A$119,0)),Scoring!$A$4:$N$51,5,FALSE()),0))+1*(IFERROR(VLOOKUP(INDEX(' Toto teams'!$H$4:$H$119,MATCH($B71,' Toto teams'!$A$4:$A$119,0)),Scoring!$A$4:$N$51,3,FALSE()),0)+IFERROR(VLOOKUP(INDEX(' Toto teams'!$H$4:$H$119,MATCH($B71,' Toto teams'!$A$4:$A$119,0)),Scoring!$A$4:$N$51,4,FALSE()),0)+IFERROR(VLOOKUP(INDEX(' Toto teams'!$H$4:$H$119,MATCH($B71,' Toto teams'!$A$4:$A$119,0)),Scoring!$A$4:$N$51,5,FALSE()),0))+IFERROR(INDEX(' Toto teams'!$Q$4:$Q$119,MATCH($B71,' Toto teams'!$A$4:$A$119,0))*1,0))</f>
        <v>0</v>
      </c>
      <c r="D71" s="28">
        <f>IF($B71="","",6*IFERROR(VLOOKUP(INDEX(' Toto teams'!$B$4:$B$119,MATCH($B71,' Toto teams'!$A$4:$A$119,0)),Scoring!$A$4:$N$51,7,FALSE()),0)+4*IFERROR(VLOOKUP(INDEX(' Toto teams'!$C$4:$C$119,MATCH($B71,' Toto teams'!$A$4:$A$119,0)),Scoring!$A$4:$N$51,7,FALSE()),0)+3*IFERROR(VLOOKUP(INDEX(' Toto teams'!$D$4:$D$119,MATCH($B71,' Toto teams'!$A$4:$A$119,0)),Scoring!$A$4:$N$51,7,FALSE()),0)+2*IFERROR(VLOOKUP(INDEX(' Toto teams'!$E$4:$E$119,MATCH($B71,' Toto teams'!$A$4:$A$119,0)),Scoring!$A$4:$N$51,7,FALSE()),0)+1*IFERROR(VLOOKUP(INDEX(' Toto teams'!$F$4:$F$119,MATCH($B71,' Toto teams'!$A$4:$A$119,0)),Scoring!$A$4:$N$51,7,FALSE()),0)+1*IFERROR(VLOOKUP(INDEX(' Toto teams'!$G$4:$G$119,MATCH($B71,' Toto teams'!$A$4:$A$119,0)),Scoring!$A$4:$N$51,7,FALSE()),0)+1*IFERROR(VLOOKUP(INDEX(' Toto teams'!$H$4:$H$119,MATCH($B71,' Toto teams'!$A$4:$A$119,0)),Scoring!$A$4:$N$51,7,FALSE()),0))</f>
        <v>0</v>
      </c>
      <c r="E71" s="28">
        <f>IF($B71="","",6*IFERROR(VLOOKUP(INDEX(' Toto teams'!$B$4:$B$119,MATCH($B71,' Toto teams'!$A$4:$A$119,0)),Scoring!$A$4:$N$51,8,FALSE()),0)+4*IFERROR(VLOOKUP(INDEX(' Toto teams'!$C$4:$C$119,MATCH($B71,' Toto teams'!$A$4:$A$119,0)),Scoring!$A$4:$N$51,8,FALSE()),0)+3*IFERROR(VLOOKUP(INDEX(' Toto teams'!$D$4:$D$119,MATCH($B71,' Toto teams'!$A$4:$A$119,0)),Scoring!$A$4:$N$51,8,FALSE()),0)+2*IFERROR(VLOOKUP(INDEX(' Toto teams'!$E$4:$E$119,MATCH($B71,' Toto teams'!$A$4:$A$119,0)),Scoring!$A$4:$N$51,8,FALSE()),0)+1*IFERROR(VLOOKUP(INDEX(' Toto teams'!$F$4:$F$119,MATCH($B71,' Toto teams'!$A$4:$A$119,0)),Scoring!$A$4:$N$51,8,FALSE()),0)+1*IFERROR(VLOOKUP(INDEX(' Toto teams'!$G$4:$G$119,MATCH($B71,' Toto teams'!$A$4:$A$119,0)),Scoring!$A$4:$N$51,8,FALSE()),0)+1*IFERROR(VLOOKUP(INDEX(' Toto teams'!$H$4:$H$119,MATCH($B71,' Toto teams'!$A$4:$A$119,0)),Scoring!$A$4:$N$51,8,FALSE()),0))</f>
        <v>0</v>
      </c>
      <c r="F71" s="28">
        <f>IF($B71="","",6*IFERROR(VLOOKUP(INDEX(' Toto teams'!$B$4:$B$119,MATCH($B71,' Toto teams'!$A$4:$A$119,0)),Scoring!$A$4:$N$51,9,FALSE()),0)+4*IFERROR(VLOOKUP(INDEX(' Toto teams'!$C$4:$C$119,MATCH($B71,' Toto teams'!$A$4:$A$119,0)),Scoring!$A$4:$N$51,9,FALSE()),0)+3*IFERROR(VLOOKUP(INDEX(' Toto teams'!$D$4:$D$119,MATCH($B71,' Toto teams'!$A$4:$A$119,0)),Scoring!$A$4:$N$51,9,FALSE()),0)+2*IFERROR(VLOOKUP(INDEX(' Toto teams'!$E$4:$E$119,MATCH($B71,' Toto teams'!$A$4:$A$119,0)),Scoring!$A$4:$N$51,9,FALSE()),0)+1*IFERROR(VLOOKUP(INDEX(' Toto teams'!$F$4:$F$119,MATCH($B71,' Toto teams'!$A$4:$A$119,0)),Scoring!$A$4:$N$51,9,FALSE()),0)+1*IFERROR(VLOOKUP(INDEX(' Toto teams'!$G$4:$G$119,MATCH($B71,' Toto teams'!$A$4:$A$119,0)),Scoring!$A$4:$N$51,9,FALSE()),0)+1*IFERROR(VLOOKUP(INDEX(' Toto teams'!$H$4:$H$119,MATCH($B71,' Toto teams'!$A$4:$A$119,0)),Scoring!$A$4:$N$51,9,FALSE()),0))</f>
        <v>0</v>
      </c>
      <c r="G71" s="28">
        <f>IF($B71="","",6*IFERROR(VLOOKUP(INDEX(' Toto teams'!$B$4:$B$119,MATCH($B71,' Toto teams'!$A$4:$A$119,0)),Scoring!$A$4:$N$51,10,FALSE()),0)+4*IFERROR(VLOOKUP(INDEX(' Toto teams'!$C$4:$C$119,MATCH($B71,' Toto teams'!$A$4:$A$119,0)),Scoring!$A$4:$N$51,10,FALSE()),0)+3*IFERROR(VLOOKUP(INDEX(' Toto teams'!$D$4:$D$119,MATCH($B71,' Toto teams'!$A$4:$A$119,0)),Scoring!$A$4:$N$51,10,FALSE()),0)+2*IFERROR(VLOOKUP(INDEX(' Toto teams'!$E$4:$E$119,MATCH($B71,' Toto teams'!$A$4:$A$119,0)),Scoring!$A$4:$N$51,10,FALSE()),0)+1*IFERROR(VLOOKUP(INDEX(' Toto teams'!$F$4:$F$119,MATCH($B71,' Toto teams'!$A$4:$A$119,0)),Scoring!$A$4:$N$51,10,FALSE()),0)+1*IFERROR(VLOOKUP(INDEX(' Toto teams'!$G$4:$G$119,MATCH($B71,' Toto teams'!$A$4:$A$119,0)),Scoring!$A$4:$N$51,10,FALSE()),0)+1*IFERROR(VLOOKUP(INDEX(' Toto teams'!$H$4:$H$119,MATCH($B71,' Toto teams'!$A$4:$A$119,0)),Scoring!$A$4:$N$51,10,FALSE()),0))</f>
        <v>0</v>
      </c>
      <c r="H71" s="28">
        <f>IF($B71="","",6*IFERROR(VLOOKUP(INDEX(' Toto teams'!$B$4:$B$119,MATCH($B71,' Toto teams'!$A$4:$A$119,0)),Scoring!$A$4:$N$51,11,FALSE()),0)+4*IFERROR(VLOOKUP(INDEX(' Toto teams'!$C$4:$C$119,MATCH($B71,' Toto teams'!$A$4:$A$119,0)),Scoring!$A$4:$N$51,11,FALSE()),0)+3*IFERROR(VLOOKUP(INDEX(' Toto teams'!$D$4:$D$119,MATCH($B71,' Toto teams'!$A$4:$A$119,0)),Scoring!$A$4:$N$51,11,FALSE()),0)+2*IFERROR(VLOOKUP(INDEX(' Toto teams'!$E$4:$E$119,MATCH($B71,' Toto teams'!$A$4:$A$119,0)),Scoring!$A$4:$N$51,11,FALSE()),0)+1*IFERROR(VLOOKUP(INDEX(' Toto teams'!$F$4:$F$119,MATCH($B71,' Toto teams'!$A$4:$A$119,0)),Scoring!$A$4:$N$51,11,FALSE()),0)+1*IFERROR(VLOOKUP(INDEX(' Toto teams'!$G$4:$G$119,MATCH($B71,' Toto teams'!$A$4:$A$119,0)),Scoring!$A$4:$N$51,11,FALSE()),0)+1*IFERROR(VLOOKUP(INDEX(' Toto teams'!$H$4:$H$119,MATCH($B71,' Toto teams'!$A$4:$A$119,0)),Scoring!$A$4:$N$51,11,FALSE()),0))</f>
        <v>0</v>
      </c>
      <c r="I71" s="28">
        <f>IF($B71="","",6*IFERROR(VLOOKUP(INDEX(' Toto teams'!$B$4:$B$119,MATCH($B71,' Toto teams'!$A$4:$A$119,0)),Scoring!$A$4:$O$51,15,FALSE()),0)+4*IFERROR(VLOOKUP(INDEX(' Toto teams'!$C$4:$C$119,MATCH($B71,' Toto teams'!$A$4:$A$119,0)),Scoring!$A$4:$O$51,15,FALSE()),0)+3*IFERROR(VLOOKUP(INDEX(' Toto teams'!$D$4:$D$119,MATCH($B71,' Toto teams'!$A$4:$A$119,0)),Scoring!$A$4:$O$51,15,FALSE()),0)+2*IFERROR(VLOOKUP(INDEX(' Toto teams'!$E$4:$E$119,MATCH($B71,' Toto teams'!$A$4:$A$119,0)),Scoring!$A$4:$O$51,15,FALSE()),0)+1*IFERROR(VLOOKUP(INDEX(' Toto teams'!$F$4:$F$119,MATCH($B71,' Toto teams'!$A$4:$A$119,0)),Scoring!$A$4:$O$51,15,FALSE()),0)+1*IFERROR(VLOOKUP(INDEX(' Toto teams'!$G$4:$G$119,MATCH($B71,' Toto teams'!$A$4:$A$119,0)),Scoring!$A$4:$O$51,15,FALSE()),0)+1*IFERROR(VLOOKUP(INDEX(' Toto teams'!$H$4:$H$119,MATCH($B71,' Toto teams'!$A$4:$A$119,0)),Scoring!$A$4:$O$51,15,FALSE()),0))</f>
        <v>0</v>
      </c>
      <c r="J71" s="28">
        <f>IF($B71="","",6*IFERROR(VLOOKUP(INDEX(' Toto teams'!$B$4:$B$119,MATCH($B71,' Toto teams'!$A$4:$A$119,0)),Scoring!$A$4:$N$51,12,FALSE()),0)+4*IFERROR(VLOOKUP(INDEX(' Toto teams'!$C$4:$C$119,MATCH($B71,' Toto teams'!$A$4:$A$119,0)),Scoring!$A$4:$N$51,12,FALSE()),0)+3*IFERROR(VLOOKUP(INDEX(' Toto teams'!$D$4:$D$119,MATCH($B71,' Toto teams'!$A$4:$A$119,0)),Scoring!$A$4:$N$51,12,FALSE()),0)+2*IFERROR(VLOOKUP(INDEX(' Toto teams'!$E$4:$E$119,MATCH($B71,' Toto teams'!$A$4:$A$119,0)),Scoring!$A$4:$N$51,12,FALSE()),0)+1*IFERROR(VLOOKUP(INDEX(' Toto teams'!$F$4:$F$119,MATCH($B71,' Toto teams'!$A$4:$A$119,0)),Scoring!$A$4:$N$51,12,FALSE()),0)+1*IFERROR(VLOOKUP(INDEX(' Toto teams'!$G$4:$G$119,MATCH($B71,' Toto teams'!$A$4:$A$119,0)),Scoring!$A$4:$N$51,12,FALSE()),0)+1*IFERROR(VLOOKUP(INDEX(' Toto teams'!$H$4:$H$119,MATCH($B71,' Toto teams'!$A$4:$A$119,0)),Scoring!$A$4:$N$51,12,FALSE()),0))</f>
        <v>0</v>
      </c>
      <c r="K71" s="29">
        <f>IF($B71="","",IFERROR(INDEX(' Toto teams'!$R$4:$R$119,MATCH($B71,' Toto teams'!$A$4:$A$119,0)),""))</f>
        <v>0</v>
      </c>
      <c r="L71" s="30">
        <f t="shared" si="5"/>
        <v>0</v>
      </c>
    </row>
    <row r="72" spans="1:12" ht="12.75" customHeight="1" x14ac:dyDescent="0.3">
      <c r="A72" s="26">
        <f>IF(69&gt;COUNTIF(' Toto teams'!$A$4:$A$119,"&lt;&gt;"),"",INDEX(' Toto teams'!$S$4:$S$119,MATCH(LARGE(' Toto teams'!$T$4:$T$119,69),' Toto teams'!$T$4:$T$119,0)))</f>
        <v>63</v>
      </c>
      <c r="B72" s="27" t="str">
        <f>IF(69&gt;COUNTIF(' Toto teams'!$A$4:$A$119,"&lt;&gt;"),"",INDEX(' Toto teams'!$A$4:$A$119,MATCH(LARGE(' Toto teams'!$T$4:$T$119,69),' Toto teams'!$T$4:$T$119,0)))</f>
        <v>Benas VII</v>
      </c>
      <c r="C72" s="28">
        <f>IF($B72="","",6*(IFERROR(VLOOKUP(INDEX(' Toto teams'!$B$4:$B$119,MATCH($B72,' Toto teams'!$A$4:$A$119,0)),Scoring!$A$4:$N$51,3,FALSE()),0)+IFERROR(VLOOKUP(INDEX(' Toto teams'!$B$4:$B$119,MATCH($B72,' Toto teams'!$A$4:$A$119,0)),Scoring!$A$4:$N$51,4,FALSE()),0)+IFERROR(VLOOKUP(INDEX(' Toto teams'!$B$4:$B$119,MATCH($B72,' Toto teams'!$A$4:$A$119,0)),Scoring!$A$4:$N$51,5,FALSE()),0))+4*(IFERROR(VLOOKUP(INDEX(' Toto teams'!$C$4:$C$119,MATCH($B72,' Toto teams'!$A$4:$A$119,0)),Scoring!$A$4:$N$51,3,FALSE()),0)+IFERROR(VLOOKUP(INDEX(' Toto teams'!$C$4:$C$119,MATCH($B72,' Toto teams'!$A$4:$A$119,0)),Scoring!$A$4:$N$51,4,FALSE()),0)+IFERROR(VLOOKUP(INDEX(' Toto teams'!$C$4:$C$119,MATCH($B72,' Toto teams'!$A$4:$A$119,0)),Scoring!$A$4:$N$51,5,FALSE()),0))+3*(IFERROR(VLOOKUP(INDEX(' Toto teams'!$D$4:$D$119,MATCH($B72,' Toto teams'!$A$4:$A$119,0)),Scoring!$A$4:$N$51,3,FALSE()),0)+IFERROR(VLOOKUP(INDEX(' Toto teams'!$D$4:$D$119,MATCH($B72,' Toto teams'!$A$4:$A$119,0)),Scoring!$A$4:$N$51,4,FALSE()),0)+IFERROR(VLOOKUP(INDEX(' Toto teams'!$D$4:$D$119,MATCH($B72,' Toto teams'!$A$4:$A$119,0)),Scoring!$A$4:$N$51,5,FALSE()),0))+2*(IFERROR(VLOOKUP(INDEX(' Toto teams'!$E$4:$E$119,MATCH($B72,' Toto teams'!$A$4:$A$119,0)),Scoring!$A$4:$N$51,3,FALSE()),0)+IFERROR(VLOOKUP(INDEX(' Toto teams'!$E$4:$E$119,MATCH($B72,' Toto teams'!$A$4:$A$119,0)),Scoring!$A$4:$N$51,4,FALSE()),0)+IFERROR(VLOOKUP(INDEX(' Toto teams'!$E$4:$E$119,MATCH($B72,' Toto teams'!$A$4:$A$119,0)),Scoring!$A$4:$N$51,5,FALSE()),0))+1*(IFERROR(VLOOKUP(INDEX(' Toto teams'!$F$4:$F$119,MATCH($B72,' Toto teams'!$A$4:$A$119,0)),Scoring!$A$4:$N$51,3,FALSE()),0)+IFERROR(VLOOKUP(INDEX(' Toto teams'!$F$4:$F$119,MATCH($B72,' Toto teams'!$A$4:$A$119,0)),Scoring!$A$4:$N$51,4,FALSE()),0)+IFERROR(VLOOKUP(INDEX(' Toto teams'!$F$4:$F$119,MATCH($B72,' Toto teams'!$A$4:$A$119,0)),Scoring!$A$4:$N$51,5,FALSE()),0))+1*(IFERROR(VLOOKUP(INDEX(' Toto teams'!$G$4:$G$119,MATCH($B72,' Toto teams'!$A$4:$A$119,0)),Scoring!$A$4:$N$51,3,FALSE()),0)+IFERROR(VLOOKUP(INDEX(' Toto teams'!$G$4:$G$119,MATCH($B72,' Toto teams'!$A$4:$A$119,0)),Scoring!$A$4:$N$51,4,FALSE()),0)+IFERROR(VLOOKUP(INDEX(' Toto teams'!$G$4:$G$119,MATCH($B72,' Toto teams'!$A$4:$A$119,0)),Scoring!$A$4:$N$51,5,FALSE()),0))+1*(IFERROR(VLOOKUP(INDEX(' Toto teams'!$H$4:$H$119,MATCH($B72,' Toto teams'!$A$4:$A$119,0)),Scoring!$A$4:$N$51,3,FALSE()),0)+IFERROR(VLOOKUP(INDEX(' Toto teams'!$H$4:$H$119,MATCH($B72,' Toto teams'!$A$4:$A$119,0)),Scoring!$A$4:$N$51,4,FALSE()),0)+IFERROR(VLOOKUP(INDEX(' Toto teams'!$H$4:$H$119,MATCH($B72,' Toto teams'!$A$4:$A$119,0)),Scoring!$A$4:$N$51,5,FALSE()),0))+IFERROR(INDEX(' Toto teams'!$Q$4:$Q$119,MATCH($B72,' Toto teams'!$A$4:$A$119,0))*1,0))</f>
        <v>0</v>
      </c>
      <c r="D72" s="28">
        <f>IF($B72="","",6*IFERROR(VLOOKUP(INDEX(' Toto teams'!$B$4:$B$119,MATCH($B72,' Toto teams'!$A$4:$A$119,0)),Scoring!$A$4:$N$51,7,FALSE()),0)+4*IFERROR(VLOOKUP(INDEX(' Toto teams'!$C$4:$C$119,MATCH($B72,' Toto teams'!$A$4:$A$119,0)),Scoring!$A$4:$N$51,7,FALSE()),0)+3*IFERROR(VLOOKUP(INDEX(' Toto teams'!$D$4:$D$119,MATCH($B72,' Toto teams'!$A$4:$A$119,0)),Scoring!$A$4:$N$51,7,FALSE()),0)+2*IFERROR(VLOOKUP(INDEX(' Toto teams'!$E$4:$E$119,MATCH($B72,' Toto teams'!$A$4:$A$119,0)),Scoring!$A$4:$N$51,7,FALSE()),0)+1*IFERROR(VLOOKUP(INDEX(' Toto teams'!$F$4:$F$119,MATCH($B72,' Toto teams'!$A$4:$A$119,0)),Scoring!$A$4:$N$51,7,FALSE()),0)+1*IFERROR(VLOOKUP(INDEX(' Toto teams'!$G$4:$G$119,MATCH($B72,' Toto teams'!$A$4:$A$119,0)),Scoring!$A$4:$N$51,7,FALSE()),0)+1*IFERROR(VLOOKUP(INDEX(' Toto teams'!$H$4:$H$119,MATCH($B72,' Toto teams'!$A$4:$A$119,0)),Scoring!$A$4:$N$51,7,FALSE()),0))</f>
        <v>0</v>
      </c>
      <c r="E72" s="28">
        <f>IF($B72="","",6*IFERROR(VLOOKUP(INDEX(' Toto teams'!$B$4:$B$119,MATCH($B72,' Toto teams'!$A$4:$A$119,0)),Scoring!$A$4:$N$51,8,FALSE()),0)+4*IFERROR(VLOOKUP(INDEX(' Toto teams'!$C$4:$C$119,MATCH($B72,' Toto teams'!$A$4:$A$119,0)),Scoring!$A$4:$N$51,8,FALSE()),0)+3*IFERROR(VLOOKUP(INDEX(' Toto teams'!$D$4:$D$119,MATCH($B72,' Toto teams'!$A$4:$A$119,0)),Scoring!$A$4:$N$51,8,FALSE()),0)+2*IFERROR(VLOOKUP(INDEX(' Toto teams'!$E$4:$E$119,MATCH($B72,' Toto teams'!$A$4:$A$119,0)),Scoring!$A$4:$N$51,8,FALSE()),0)+1*IFERROR(VLOOKUP(INDEX(' Toto teams'!$F$4:$F$119,MATCH($B72,' Toto teams'!$A$4:$A$119,0)),Scoring!$A$4:$N$51,8,FALSE()),0)+1*IFERROR(VLOOKUP(INDEX(' Toto teams'!$G$4:$G$119,MATCH($B72,' Toto teams'!$A$4:$A$119,0)),Scoring!$A$4:$N$51,8,FALSE()),0)+1*IFERROR(VLOOKUP(INDEX(' Toto teams'!$H$4:$H$119,MATCH($B72,' Toto teams'!$A$4:$A$119,0)),Scoring!$A$4:$N$51,8,FALSE()),0))</f>
        <v>0</v>
      </c>
      <c r="F72" s="28">
        <f>IF($B72="","",6*IFERROR(VLOOKUP(INDEX(' Toto teams'!$B$4:$B$119,MATCH($B72,' Toto teams'!$A$4:$A$119,0)),Scoring!$A$4:$N$51,9,FALSE()),0)+4*IFERROR(VLOOKUP(INDEX(' Toto teams'!$C$4:$C$119,MATCH($B72,' Toto teams'!$A$4:$A$119,0)),Scoring!$A$4:$N$51,9,FALSE()),0)+3*IFERROR(VLOOKUP(INDEX(' Toto teams'!$D$4:$D$119,MATCH($B72,' Toto teams'!$A$4:$A$119,0)),Scoring!$A$4:$N$51,9,FALSE()),0)+2*IFERROR(VLOOKUP(INDEX(' Toto teams'!$E$4:$E$119,MATCH($B72,' Toto teams'!$A$4:$A$119,0)),Scoring!$A$4:$N$51,9,FALSE()),0)+1*IFERROR(VLOOKUP(INDEX(' Toto teams'!$F$4:$F$119,MATCH($B72,' Toto teams'!$A$4:$A$119,0)),Scoring!$A$4:$N$51,9,FALSE()),0)+1*IFERROR(VLOOKUP(INDEX(' Toto teams'!$G$4:$G$119,MATCH($B72,' Toto teams'!$A$4:$A$119,0)),Scoring!$A$4:$N$51,9,FALSE()),0)+1*IFERROR(VLOOKUP(INDEX(' Toto teams'!$H$4:$H$119,MATCH($B72,' Toto teams'!$A$4:$A$119,0)),Scoring!$A$4:$N$51,9,FALSE()),0))</f>
        <v>0</v>
      </c>
      <c r="G72" s="28">
        <f>IF($B72="","",6*IFERROR(VLOOKUP(INDEX(' Toto teams'!$B$4:$B$119,MATCH($B72,' Toto teams'!$A$4:$A$119,0)),Scoring!$A$4:$N$51,10,FALSE()),0)+4*IFERROR(VLOOKUP(INDEX(' Toto teams'!$C$4:$C$119,MATCH($B72,' Toto teams'!$A$4:$A$119,0)),Scoring!$A$4:$N$51,10,FALSE()),0)+3*IFERROR(VLOOKUP(INDEX(' Toto teams'!$D$4:$D$119,MATCH($B72,' Toto teams'!$A$4:$A$119,0)),Scoring!$A$4:$N$51,10,FALSE()),0)+2*IFERROR(VLOOKUP(INDEX(' Toto teams'!$E$4:$E$119,MATCH($B72,' Toto teams'!$A$4:$A$119,0)),Scoring!$A$4:$N$51,10,FALSE()),0)+1*IFERROR(VLOOKUP(INDEX(' Toto teams'!$F$4:$F$119,MATCH($B72,' Toto teams'!$A$4:$A$119,0)),Scoring!$A$4:$N$51,10,FALSE()),0)+1*IFERROR(VLOOKUP(INDEX(' Toto teams'!$G$4:$G$119,MATCH($B72,' Toto teams'!$A$4:$A$119,0)),Scoring!$A$4:$N$51,10,FALSE()),0)+1*IFERROR(VLOOKUP(INDEX(' Toto teams'!$H$4:$H$119,MATCH($B72,' Toto teams'!$A$4:$A$119,0)),Scoring!$A$4:$N$51,10,FALSE()),0))</f>
        <v>0</v>
      </c>
      <c r="H72" s="28">
        <f>IF($B72="","",6*IFERROR(VLOOKUP(INDEX(' Toto teams'!$B$4:$B$119,MATCH($B72,' Toto teams'!$A$4:$A$119,0)),Scoring!$A$4:$N$51,11,FALSE()),0)+4*IFERROR(VLOOKUP(INDEX(' Toto teams'!$C$4:$C$119,MATCH($B72,' Toto teams'!$A$4:$A$119,0)),Scoring!$A$4:$N$51,11,FALSE()),0)+3*IFERROR(VLOOKUP(INDEX(' Toto teams'!$D$4:$D$119,MATCH($B72,' Toto teams'!$A$4:$A$119,0)),Scoring!$A$4:$N$51,11,FALSE()),0)+2*IFERROR(VLOOKUP(INDEX(' Toto teams'!$E$4:$E$119,MATCH($B72,' Toto teams'!$A$4:$A$119,0)),Scoring!$A$4:$N$51,11,FALSE()),0)+1*IFERROR(VLOOKUP(INDEX(' Toto teams'!$F$4:$F$119,MATCH($B72,' Toto teams'!$A$4:$A$119,0)),Scoring!$A$4:$N$51,11,FALSE()),0)+1*IFERROR(VLOOKUP(INDEX(' Toto teams'!$G$4:$G$119,MATCH($B72,' Toto teams'!$A$4:$A$119,0)),Scoring!$A$4:$N$51,11,FALSE()),0)+1*IFERROR(VLOOKUP(INDEX(' Toto teams'!$H$4:$H$119,MATCH($B72,' Toto teams'!$A$4:$A$119,0)),Scoring!$A$4:$N$51,11,FALSE()),0))</f>
        <v>0</v>
      </c>
      <c r="I72" s="28">
        <f>IF($B72="","",6*IFERROR(VLOOKUP(INDEX(' Toto teams'!$B$4:$B$119,MATCH($B72,' Toto teams'!$A$4:$A$119,0)),Scoring!$A$4:$O$51,15,FALSE()),0)+4*IFERROR(VLOOKUP(INDEX(' Toto teams'!$C$4:$C$119,MATCH($B72,' Toto teams'!$A$4:$A$119,0)),Scoring!$A$4:$O$51,15,FALSE()),0)+3*IFERROR(VLOOKUP(INDEX(' Toto teams'!$D$4:$D$119,MATCH($B72,' Toto teams'!$A$4:$A$119,0)),Scoring!$A$4:$O$51,15,FALSE()),0)+2*IFERROR(VLOOKUP(INDEX(' Toto teams'!$E$4:$E$119,MATCH($B72,' Toto teams'!$A$4:$A$119,0)),Scoring!$A$4:$O$51,15,FALSE()),0)+1*IFERROR(VLOOKUP(INDEX(' Toto teams'!$F$4:$F$119,MATCH($B72,' Toto teams'!$A$4:$A$119,0)),Scoring!$A$4:$O$51,15,FALSE()),0)+1*IFERROR(VLOOKUP(INDEX(' Toto teams'!$G$4:$G$119,MATCH($B72,' Toto teams'!$A$4:$A$119,0)),Scoring!$A$4:$O$51,15,FALSE()),0)+1*IFERROR(VLOOKUP(INDEX(' Toto teams'!$H$4:$H$119,MATCH($B72,' Toto teams'!$A$4:$A$119,0)),Scoring!$A$4:$O$51,15,FALSE()),0))</f>
        <v>0</v>
      </c>
      <c r="J72" s="28">
        <f>IF($B72="","",6*IFERROR(VLOOKUP(INDEX(' Toto teams'!$B$4:$B$119,MATCH($B72,' Toto teams'!$A$4:$A$119,0)),Scoring!$A$4:$N$51,12,FALSE()),0)+4*IFERROR(VLOOKUP(INDEX(' Toto teams'!$C$4:$C$119,MATCH($B72,' Toto teams'!$A$4:$A$119,0)),Scoring!$A$4:$N$51,12,FALSE()),0)+3*IFERROR(VLOOKUP(INDEX(' Toto teams'!$D$4:$D$119,MATCH($B72,' Toto teams'!$A$4:$A$119,0)),Scoring!$A$4:$N$51,12,FALSE()),0)+2*IFERROR(VLOOKUP(INDEX(' Toto teams'!$E$4:$E$119,MATCH($B72,' Toto teams'!$A$4:$A$119,0)),Scoring!$A$4:$N$51,12,FALSE()),0)+1*IFERROR(VLOOKUP(INDEX(' Toto teams'!$F$4:$F$119,MATCH($B72,' Toto teams'!$A$4:$A$119,0)),Scoring!$A$4:$N$51,12,FALSE()),0)+1*IFERROR(VLOOKUP(INDEX(' Toto teams'!$G$4:$G$119,MATCH($B72,' Toto teams'!$A$4:$A$119,0)),Scoring!$A$4:$N$51,12,FALSE()),0)+1*IFERROR(VLOOKUP(INDEX(' Toto teams'!$H$4:$H$119,MATCH($B72,' Toto teams'!$A$4:$A$119,0)),Scoring!$A$4:$N$51,12,FALSE()),0))</f>
        <v>0</v>
      </c>
      <c r="K72" s="29">
        <f>IF($B72="","",IFERROR(INDEX(' Toto teams'!$R$4:$R$119,MATCH($B72,' Toto teams'!$A$4:$A$119,0)),""))</f>
        <v>0</v>
      </c>
      <c r="L72" s="30">
        <f t="shared" si="5"/>
        <v>0</v>
      </c>
    </row>
    <row r="73" spans="1:12" ht="12.75" customHeight="1" x14ac:dyDescent="0.3">
      <c r="A73" s="26">
        <f>IF(70&gt;COUNTIF(' Toto teams'!$A$4:$A$119,"&lt;&gt;"),"",INDEX(' Toto teams'!$S$4:$S$119,MATCH(LARGE(' Toto teams'!$T$4:$T$119,70),' Toto teams'!$T$4:$T$119,0)))</f>
        <v>63</v>
      </c>
      <c r="B73" s="27" t="str">
        <f>IF(70&gt;COUNTIF(' Toto teams'!$A$4:$A$119,"&lt;&gt;"),"",INDEX(' Toto teams'!$A$4:$A$119,MATCH(LARGE(' Toto teams'!$T$4:$T$119,70),' Toto teams'!$T$4:$T$119,0)))</f>
        <v>Edita Oršauskė</v>
      </c>
      <c r="C73" s="28">
        <f>IF($B73="","",6*(IFERROR(VLOOKUP(INDEX(' Toto teams'!$B$4:$B$119,MATCH($B73,' Toto teams'!$A$4:$A$119,0)),Scoring!$A$4:$N$51,3,FALSE()),0)+IFERROR(VLOOKUP(INDEX(' Toto teams'!$B$4:$B$119,MATCH($B73,' Toto teams'!$A$4:$A$119,0)),Scoring!$A$4:$N$51,4,FALSE()),0)+IFERROR(VLOOKUP(INDEX(' Toto teams'!$B$4:$B$119,MATCH($B73,' Toto teams'!$A$4:$A$119,0)),Scoring!$A$4:$N$51,5,FALSE()),0))+4*(IFERROR(VLOOKUP(INDEX(' Toto teams'!$C$4:$C$119,MATCH($B73,' Toto teams'!$A$4:$A$119,0)),Scoring!$A$4:$N$51,3,FALSE()),0)+IFERROR(VLOOKUP(INDEX(' Toto teams'!$C$4:$C$119,MATCH($B73,' Toto teams'!$A$4:$A$119,0)),Scoring!$A$4:$N$51,4,FALSE()),0)+IFERROR(VLOOKUP(INDEX(' Toto teams'!$C$4:$C$119,MATCH($B73,' Toto teams'!$A$4:$A$119,0)),Scoring!$A$4:$N$51,5,FALSE()),0))+3*(IFERROR(VLOOKUP(INDEX(' Toto teams'!$D$4:$D$119,MATCH($B73,' Toto teams'!$A$4:$A$119,0)),Scoring!$A$4:$N$51,3,FALSE()),0)+IFERROR(VLOOKUP(INDEX(' Toto teams'!$D$4:$D$119,MATCH($B73,' Toto teams'!$A$4:$A$119,0)),Scoring!$A$4:$N$51,4,FALSE()),0)+IFERROR(VLOOKUP(INDEX(' Toto teams'!$D$4:$D$119,MATCH($B73,' Toto teams'!$A$4:$A$119,0)),Scoring!$A$4:$N$51,5,FALSE()),0))+2*(IFERROR(VLOOKUP(INDEX(' Toto teams'!$E$4:$E$119,MATCH($B73,' Toto teams'!$A$4:$A$119,0)),Scoring!$A$4:$N$51,3,FALSE()),0)+IFERROR(VLOOKUP(INDEX(' Toto teams'!$E$4:$E$119,MATCH($B73,' Toto teams'!$A$4:$A$119,0)),Scoring!$A$4:$N$51,4,FALSE()),0)+IFERROR(VLOOKUP(INDEX(' Toto teams'!$E$4:$E$119,MATCH($B73,' Toto teams'!$A$4:$A$119,0)),Scoring!$A$4:$N$51,5,FALSE()),0))+1*(IFERROR(VLOOKUP(INDEX(' Toto teams'!$F$4:$F$119,MATCH($B73,' Toto teams'!$A$4:$A$119,0)),Scoring!$A$4:$N$51,3,FALSE()),0)+IFERROR(VLOOKUP(INDEX(' Toto teams'!$F$4:$F$119,MATCH($B73,' Toto teams'!$A$4:$A$119,0)),Scoring!$A$4:$N$51,4,FALSE()),0)+IFERROR(VLOOKUP(INDEX(' Toto teams'!$F$4:$F$119,MATCH($B73,' Toto teams'!$A$4:$A$119,0)),Scoring!$A$4:$N$51,5,FALSE()),0))+1*(IFERROR(VLOOKUP(INDEX(' Toto teams'!$G$4:$G$119,MATCH($B73,' Toto teams'!$A$4:$A$119,0)),Scoring!$A$4:$N$51,3,FALSE()),0)+IFERROR(VLOOKUP(INDEX(' Toto teams'!$G$4:$G$119,MATCH($B73,' Toto teams'!$A$4:$A$119,0)),Scoring!$A$4:$N$51,4,FALSE()),0)+IFERROR(VLOOKUP(INDEX(' Toto teams'!$G$4:$G$119,MATCH($B73,' Toto teams'!$A$4:$A$119,0)),Scoring!$A$4:$N$51,5,FALSE()),0))+1*(IFERROR(VLOOKUP(INDEX(' Toto teams'!$H$4:$H$119,MATCH($B73,' Toto teams'!$A$4:$A$119,0)),Scoring!$A$4:$N$51,3,FALSE()),0)+IFERROR(VLOOKUP(INDEX(' Toto teams'!$H$4:$H$119,MATCH($B73,' Toto teams'!$A$4:$A$119,0)),Scoring!$A$4:$N$51,4,FALSE()),0)+IFERROR(VLOOKUP(INDEX(' Toto teams'!$H$4:$H$119,MATCH($B73,' Toto teams'!$A$4:$A$119,0)),Scoring!$A$4:$N$51,5,FALSE()),0))+IFERROR(INDEX(' Toto teams'!$Q$4:$Q$119,MATCH($B73,' Toto teams'!$A$4:$A$119,0))*1,0))</f>
        <v>0</v>
      </c>
      <c r="D73" s="28">
        <f>IF($B73="","",6*IFERROR(VLOOKUP(INDEX(' Toto teams'!$B$4:$B$119,MATCH($B73,' Toto teams'!$A$4:$A$119,0)),Scoring!$A$4:$N$51,7,FALSE()),0)+4*IFERROR(VLOOKUP(INDEX(' Toto teams'!$C$4:$C$119,MATCH($B73,' Toto teams'!$A$4:$A$119,0)),Scoring!$A$4:$N$51,7,FALSE()),0)+3*IFERROR(VLOOKUP(INDEX(' Toto teams'!$D$4:$D$119,MATCH($B73,' Toto teams'!$A$4:$A$119,0)),Scoring!$A$4:$N$51,7,FALSE()),0)+2*IFERROR(VLOOKUP(INDEX(' Toto teams'!$E$4:$E$119,MATCH($B73,' Toto teams'!$A$4:$A$119,0)),Scoring!$A$4:$N$51,7,FALSE()),0)+1*IFERROR(VLOOKUP(INDEX(' Toto teams'!$F$4:$F$119,MATCH($B73,' Toto teams'!$A$4:$A$119,0)),Scoring!$A$4:$N$51,7,FALSE()),0)+1*IFERROR(VLOOKUP(INDEX(' Toto teams'!$G$4:$G$119,MATCH($B73,' Toto teams'!$A$4:$A$119,0)),Scoring!$A$4:$N$51,7,FALSE()),0)+1*IFERROR(VLOOKUP(INDEX(' Toto teams'!$H$4:$H$119,MATCH($B73,' Toto teams'!$A$4:$A$119,0)),Scoring!$A$4:$N$51,7,FALSE()),0))</f>
        <v>0</v>
      </c>
      <c r="E73" s="28">
        <f>IF($B73="","",6*IFERROR(VLOOKUP(INDEX(' Toto teams'!$B$4:$B$119,MATCH($B73,' Toto teams'!$A$4:$A$119,0)),Scoring!$A$4:$N$51,8,FALSE()),0)+4*IFERROR(VLOOKUP(INDEX(' Toto teams'!$C$4:$C$119,MATCH($B73,' Toto teams'!$A$4:$A$119,0)),Scoring!$A$4:$N$51,8,FALSE()),0)+3*IFERROR(VLOOKUP(INDEX(' Toto teams'!$D$4:$D$119,MATCH($B73,' Toto teams'!$A$4:$A$119,0)),Scoring!$A$4:$N$51,8,FALSE()),0)+2*IFERROR(VLOOKUP(INDEX(' Toto teams'!$E$4:$E$119,MATCH($B73,' Toto teams'!$A$4:$A$119,0)),Scoring!$A$4:$N$51,8,FALSE()),0)+1*IFERROR(VLOOKUP(INDEX(' Toto teams'!$F$4:$F$119,MATCH($B73,' Toto teams'!$A$4:$A$119,0)),Scoring!$A$4:$N$51,8,FALSE()),0)+1*IFERROR(VLOOKUP(INDEX(' Toto teams'!$G$4:$G$119,MATCH($B73,' Toto teams'!$A$4:$A$119,0)),Scoring!$A$4:$N$51,8,FALSE()),0)+1*IFERROR(VLOOKUP(INDEX(' Toto teams'!$H$4:$H$119,MATCH($B73,' Toto teams'!$A$4:$A$119,0)),Scoring!$A$4:$N$51,8,FALSE()),0))</f>
        <v>0</v>
      </c>
      <c r="F73" s="28">
        <f>IF($B73="","",6*IFERROR(VLOOKUP(INDEX(' Toto teams'!$B$4:$B$119,MATCH($B73,' Toto teams'!$A$4:$A$119,0)),Scoring!$A$4:$N$51,9,FALSE()),0)+4*IFERROR(VLOOKUP(INDEX(' Toto teams'!$C$4:$C$119,MATCH($B73,' Toto teams'!$A$4:$A$119,0)),Scoring!$A$4:$N$51,9,FALSE()),0)+3*IFERROR(VLOOKUP(INDEX(' Toto teams'!$D$4:$D$119,MATCH($B73,' Toto teams'!$A$4:$A$119,0)),Scoring!$A$4:$N$51,9,FALSE()),0)+2*IFERROR(VLOOKUP(INDEX(' Toto teams'!$E$4:$E$119,MATCH($B73,' Toto teams'!$A$4:$A$119,0)),Scoring!$A$4:$N$51,9,FALSE()),0)+1*IFERROR(VLOOKUP(INDEX(' Toto teams'!$F$4:$F$119,MATCH($B73,' Toto teams'!$A$4:$A$119,0)),Scoring!$A$4:$N$51,9,FALSE()),0)+1*IFERROR(VLOOKUP(INDEX(' Toto teams'!$G$4:$G$119,MATCH($B73,' Toto teams'!$A$4:$A$119,0)),Scoring!$A$4:$N$51,9,FALSE()),0)+1*IFERROR(VLOOKUP(INDEX(' Toto teams'!$H$4:$H$119,MATCH($B73,' Toto teams'!$A$4:$A$119,0)),Scoring!$A$4:$N$51,9,FALSE()),0))</f>
        <v>0</v>
      </c>
      <c r="G73" s="28">
        <f>IF($B73="","",6*IFERROR(VLOOKUP(INDEX(' Toto teams'!$B$4:$B$119,MATCH($B73,' Toto teams'!$A$4:$A$119,0)),Scoring!$A$4:$N$51,10,FALSE()),0)+4*IFERROR(VLOOKUP(INDEX(' Toto teams'!$C$4:$C$119,MATCH($B73,' Toto teams'!$A$4:$A$119,0)),Scoring!$A$4:$N$51,10,FALSE()),0)+3*IFERROR(VLOOKUP(INDEX(' Toto teams'!$D$4:$D$119,MATCH($B73,' Toto teams'!$A$4:$A$119,0)),Scoring!$A$4:$N$51,10,FALSE()),0)+2*IFERROR(VLOOKUP(INDEX(' Toto teams'!$E$4:$E$119,MATCH($B73,' Toto teams'!$A$4:$A$119,0)),Scoring!$A$4:$N$51,10,FALSE()),0)+1*IFERROR(VLOOKUP(INDEX(' Toto teams'!$F$4:$F$119,MATCH($B73,' Toto teams'!$A$4:$A$119,0)),Scoring!$A$4:$N$51,10,FALSE()),0)+1*IFERROR(VLOOKUP(INDEX(' Toto teams'!$G$4:$G$119,MATCH($B73,' Toto teams'!$A$4:$A$119,0)),Scoring!$A$4:$N$51,10,FALSE()),0)+1*IFERROR(VLOOKUP(INDEX(' Toto teams'!$H$4:$H$119,MATCH($B73,' Toto teams'!$A$4:$A$119,0)),Scoring!$A$4:$N$51,10,FALSE()),0))</f>
        <v>0</v>
      </c>
      <c r="H73" s="28">
        <f>IF($B73="","",6*IFERROR(VLOOKUP(INDEX(' Toto teams'!$B$4:$B$119,MATCH($B73,' Toto teams'!$A$4:$A$119,0)),Scoring!$A$4:$N$51,11,FALSE()),0)+4*IFERROR(VLOOKUP(INDEX(' Toto teams'!$C$4:$C$119,MATCH($B73,' Toto teams'!$A$4:$A$119,0)),Scoring!$A$4:$N$51,11,FALSE()),0)+3*IFERROR(VLOOKUP(INDEX(' Toto teams'!$D$4:$D$119,MATCH($B73,' Toto teams'!$A$4:$A$119,0)),Scoring!$A$4:$N$51,11,FALSE()),0)+2*IFERROR(VLOOKUP(INDEX(' Toto teams'!$E$4:$E$119,MATCH($B73,' Toto teams'!$A$4:$A$119,0)),Scoring!$A$4:$N$51,11,FALSE()),0)+1*IFERROR(VLOOKUP(INDEX(' Toto teams'!$F$4:$F$119,MATCH($B73,' Toto teams'!$A$4:$A$119,0)),Scoring!$A$4:$N$51,11,FALSE()),0)+1*IFERROR(VLOOKUP(INDEX(' Toto teams'!$G$4:$G$119,MATCH($B73,' Toto teams'!$A$4:$A$119,0)),Scoring!$A$4:$N$51,11,FALSE()),0)+1*IFERROR(VLOOKUP(INDEX(' Toto teams'!$H$4:$H$119,MATCH($B73,' Toto teams'!$A$4:$A$119,0)),Scoring!$A$4:$N$51,11,FALSE()),0))</f>
        <v>0</v>
      </c>
      <c r="I73" s="28">
        <f>IF($B73="","",6*IFERROR(VLOOKUP(INDEX(' Toto teams'!$B$4:$B$119,MATCH($B73,' Toto teams'!$A$4:$A$119,0)),Scoring!$A$4:$O$51,15,FALSE()),0)+4*IFERROR(VLOOKUP(INDEX(' Toto teams'!$C$4:$C$119,MATCH($B73,' Toto teams'!$A$4:$A$119,0)),Scoring!$A$4:$O$51,15,FALSE()),0)+3*IFERROR(VLOOKUP(INDEX(' Toto teams'!$D$4:$D$119,MATCH($B73,' Toto teams'!$A$4:$A$119,0)),Scoring!$A$4:$O$51,15,FALSE()),0)+2*IFERROR(VLOOKUP(INDEX(' Toto teams'!$E$4:$E$119,MATCH($B73,' Toto teams'!$A$4:$A$119,0)),Scoring!$A$4:$O$51,15,FALSE()),0)+1*IFERROR(VLOOKUP(INDEX(' Toto teams'!$F$4:$F$119,MATCH($B73,' Toto teams'!$A$4:$A$119,0)),Scoring!$A$4:$O$51,15,FALSE()),0)+1*IFERROR(VLOOKUP(INDEX(' Toto teams'!$G$4:$G$119,MATCH($B73,' Toto teams'!$A$4:$A$119,0)),Scoring!$A$4:$O$51,15,FALSE()),0)+1*IFERROR(VLOOKUP(INDEX(' Toto teams'!$H$4:$H$119,MATCH($B73,' Toto teams'!$A$4:$A$119,0)),Scoring!$A$4:$O$51,15,FALSE()),0))</f>
        <v>0</v>
      </c>
      <c r="J73" s="28">
        <f>IF($B73="","",6*IFERROR(VLOOKUP(INDEX(' Toto teams'!$B$4:$B$119,MATCH($B73,' Toto teams'!$A$4:$A$119,0)),Scoring!$A$4:$N$51,12,FALSE()),0)+4*IFERROR(VLOOKUP(INDEX(' Toto teams'!$C$4:$C$119,MATCH($B73,' Toto teams'!$A$4:$A$119,0)),Scoring!$A$4:$N$51,12,FALSE()),0)+3*IFERROR(VLOOKUP(INDEX(' Toto teams'!$D$4:$D$119,MATCH($B73,' Toto teams'!$A$4:$A$119,0)),Scoring!$A$4:$N$51,12,FALSE()),0)+2*IFERROR(VLOOKUP(INDEX(' Toto teams'!$E$4:$E$119,MATCH($B73,' Toto teams'!$A$4:$A$119,0)),Scoring!$A$4:$N$51,12,FALSE()),0)+1*IFERROR(VLOOKUP(INDEX(' Toto teams'!$F$4:$F$119,MATCH($B73,' Toto teams'!$A$4:$A$119,0)),Scoring!$A$4:$N$51,12,FALSE()),0)+1*IFERROR(VLOOKUP(INDEX(' Toto teams'!$G$4:$G$119,MATCH($B73,' Toto teams'!$A$4:$A$119,0)),Scoring!$A$4:$N$51,12,FALSE()),0)+1*IFERROR(VLOOKUP(INDEX(' Toto teams'!$H$4:$H$119,MATCH($B73,' Toto teams'!$A$4:$A$119,0)),Scoring!$A$4:$N$51,12,FALSE()),0))</f>
        <v>0</v>
      </c>
      <c r="K73" s="29">
        <f>IF($B73="","",IFERROR(INDEX(' Toto teams'!$R$4:$R$119,MATCH($B73,' Toto teams'!$A$4:$A$119,0)),""))</f>
        <v>0</v>
      </c>
      <c r="L73" s="30">
        <f t="shared" si="5"/>
        <v>0</v>
      </c>
    </row>
    <row r="74" spans="1:12" ht="12.75" customHeight="1" x14ac:dyDescent="0.3">
      <c r="A74" s="26">
        <f>IF(71&gt;COUNTIF(' Toto teams'!$A$4:$A$119,"&lt;&gt;"),"",INDEX(' Toto teams'!$S$4:$S$119,MATCH(LARGE(' Toto teams'!$T$4:$T$119,71),' Toto teams'!$T$4:$T$119,0)))</f>
        <v>63</v>
      </c>
      <c r="B74" s="27" t="str">
        <f>IF(71&gt;COUNTIF(' Toto teams'!$A$4:$A$119,"&lt;&gt;"),"",INDEX(' Toto teams'!$A$4:$A$119,MATCH(LARGE(' Toto teams'!$T$4:$T$119,71),' Toto teams'!$T$4:$T$119,0)))</f>
        <v>Vytautas Gliaubicas</v>
      </c>
      <c r="C74" s="28">
        <f>IF($B74="","",6*(IFERROR(VLOOKUP(INDEX(' Toto teams'!$B$4:$B$119,MATCH($B74,' Toto teams'!$A$4:$A$119,0)),Scoring!$A$4:$N$51,3,FALSE()),0)+IFERROR(VLOOKUP(INDEX(' Toto teams'!$B$4:$B$119,MATCH($B74,' Toto teams'!$A$4:$A$119,0)),Scoring!$A$4:$N$51,4,FALSE()),0)+IFERROR(VLOOKUP(INDEX(' Toto teams'!$B$4:$B$119,MATCH($B74,' Toto teams'!$A$4:$A$119,0)),Scoring!$A$4:$N$51,5,FALSE()),0))+4*(IFERROR(VLOOKUP(INDEX(' Toto teams'!$C$4:$C$119,MATCH($B74,' Toto teams'!$A$4:$A$119,0)),Scoring!$A$4:$N$51,3,FALSE()),0)+IFERROR(VLOOKUP(INDEX(' Toto teams'!$C$4:$C$119,MATCH($B74,' Toto teams'!$A$4:$A$119,0)),Scoring!$A$4:$N$51,4,FALSE()),0)+IFERROR(VLOOKUP(INDEX(' Toto teams'!$C$4:$C$119,MATCH($B74,' Toto teams'!$A$4:$A$119,0)),Scoring!$A$4:$N$51,5,FALSE()),0))+3*(IFERROR(VLOOKUP(INDEX(' Toto teams'!$D$4:$D$119,MATCH($B74,' Toto teams'!$A$4:$A$119,0)),Scoring!$A$4:$N$51,3,FALSE()),0)+IFERROR(VLOOKUP(INDEX(' Toto teams'!$D$4:$D$119,MATCH($B74,' Toto teams'!$A$4:$A$119,0)),Scoring!$A$4:$N$51,4,FALSE()),0)+IFERROR(VLOOKUP(INDEX(' Toto teams'!$D$4:$D$119,MATCH($B74,' Toto teams'!$A$4:$A$119,0)),Scoring!$A$4:$N$51,5,FALSE()),0))+2*(IFERROR(VLOOKUP(INDEX(' Toto teams'!$E$4:$E$119,MATCH($B74,' Toto teams'!$A$4:$A$119,0)),Scoring!$A$4:$N$51,3,FALSE()),0)+IFERROR(VLOOKUP(INDEX(' Toto teams'!$E$4:$E$119,MATCH($B74,' Toto teams'!$A$4:$A$119,0)),Scoring!$A$4:$N$51,4,FALSE()),0)+IFERROR(VLOOKUP(INDEX(' Toto teams'!$E$4:$E$119,MATCH($B74,' Toto teams'!$A$4:$A$119,0)),Scoring!$A$4:$N$51,5,FALSE()),0))+1*(IFERROR(VLOOKUP(INDEX(' Toto teams'!$F$4:$F$119,MATCH($B74,' Toto teams'!$A$4:$A$119,0)),Scoring!$A$4:$N$51,3,FALSE()),0)+IFERROR(VLOOKUP(INDEX(' Toto teams'!$F$4:$F$119,MATCH($B74,' Toto teams'!$A$4:$A$119,0)),Scoring!$A$4:$N$51,4,FALSE()),0)+IFERROR(VLOOKUP(INDEX(' Toto teams'!$F$4:$F$119,MATCH($B74,' Toto teams'!$A$4:$A$119,0)),Scoring!$A$4:$N$51,5,FALSE()),0))+1*(IFERROR(VLOOKUP(INDEX(' Toto teams'!$G$4:$G$119,MATCH($B74,' Toto teams'!$A$4:$A$119,0)),Scoring!$A$4:$N$51,3,FALSE()),0)+IFERROR(VLOOKUP(INDEX(' Toto teams'!$G$4:$G$119,MATCH($B74,' Toto teams'!$A$4:$A$119,0)),Scoring!$A$4:$N$51,4,FALSE()),0)+IFERROR(VLOOKUP(INDEX(' Toto teams'!$G$4:$G$119,MATCH($B74,' Toto teams'!$A$4:$A$119,0)),Scoring!$A$4:$N$51,5,FALSE()),0))+1*(IFERROR(VLOOKUP(INDEX(' Toto teams'!$H$4:$H$119,MATCH($B74,' Toto teams'!$A$4:$A$119,0)),Scoring!$A$4:$N$51,3,FALSE()),0)+IFERROR(VLOOKUP(INDEX(' Toto teams'!$H$4:$H$119,MATCH($B74,' Toto teams'!$A$4:$A$119,0)),Scoring!$A$4:$N$51,4,FALSE()),0)+IFERROR(VLOOKUP(INDEX(' Toto teams'!$H$4:$H$119,MATCH($B74,' Toto teams'!$A$4:$A$119,0)),Scoring!$A$4:$N$51,5,FALSE()),0))+IFERROR(INDEX(' Toto teams'!$Q$4:$Q$119,MATCH($B74,' Toto teams'!$A$4:$A$119,0))*1,0))</f>
        <v>0</v>
      </c>
      <c r="D74" s="28">
        <f>IF($B74="","",6*IFERROR(VLOOKUP(INDEX(' Toto teams'!$B$4:$B$119,MATCH($B74,' Toto teams'!$A$4:$A$119,0)),Scoring!$A$4:$N$51,7,FALSE()),0)+4*IFERROR(VLOOKUP(INDEX(' Toto teams'!$C$4:$C$119,MATCH($B74,' Toto teams'!$A$4:$A$119,0)),Scoring!$A$4:$N$51,7,FALSE()),0)+3*IFERROR(VLOOKUP(INDEX(' Toto teams'!$D$4:$D$119,MATCH($B74,' Toto teams'!$A$4:$A$119,0)),Scoring!$A$4:$N$51,7,FALSE()),0)+2*IFERROR(VLOOKUP(INDEX(' Toto teams'!$E$4:$E$119,MATCH($B74,' Toto teams'!$A$4:$A$119,0)),Scoring!$A$4:$N$51,7,FALSE()),0)+1*IFERROR(VLOOKUP(INDEX(' Toto teams'!$F$4:$F$119,MATCH($B74,' Toto teams'!$A$4:$A$119,0)),Scoring!$A$4:$N$51,7,FALSE()),0)+1*IFERROR(VLOOKUP(INDEX(' Toto teams'!$G$4:$G$119,MATCH($B74,' Toto teams'!$A$4:$A$119,0)),Scoring!$A$4:$N$51,7,FALSE()),0)+1*IFERROR(VLOOKUP(INDEX(' Toto teams'!$H$4:$H$119,MATCH($B74,' Toto teams'!$A$4:$A$119,0)),Scoring!$A$4:$N$51,7,FALSE()),0))</f>
        <v>0</v>
      </c>
      <c r="E74" s="28">
        <f>IF($B74="","",6*IFERROR(VLOOKUP(INDEX(' Toto teams'!$B$4:$B$119,MATCH($B74,' Toto teams'!$A$4:$A$119,0)),Scoring!$A$4:$N$51,8,FALSE()),0)+4*IFERROR(VLOOKUP(INDEX(' Toto teams'!$C$4:$C$119,MATCH($B74,' Toto teams'!$A$4:$A$119,0)),Scoring!$A$4:$N$51,8,FALSE()),0)+3*IFERROR(VLOOKUP(INDEX(' Toto teams'!$D$4:$D$119,MATCH($B74,' Toto teams'!$A$4:$A$119,0)),Scoring!$A$4:$N$51,8,FALSE()),0)+2*IFERROR(VLOOKUP(INDEX(' Toto teams'!$E$4:$E$119,MATCH($B74,' Toto teams'!$A$4:$A$119,0)),Scoring!$A$4:$N$51,8,FALSE()),0)+1*IFERROR(VLOOKUP(INDEX(' Toto teams'!$F$4:$F$119,MATCH($B74,' Toto teams'!$A$4:$A$119,0)),Scoring!$A$4:$N$51,8,FALSE()),0)+1*IFERROR(VLOOKUP(INDEX(' Toto teams'!$G$4:$G$119,MATCH($B74,' Toto teams'!$A$4:$A$119,0)),Scoring!$A$4:$N$51,8,FALSE()),0)+1*IFERROR(VLOOKUP(INDEX(' Toto teams'!$H$4:$H$119,MATCH($B74,' Toto teams'!$A$4:$A$119,0)),Scoring!$A$4:$N$51,8,FALSE()),0))</f>
        <v>0</v>
      </c>
      <c r="F74" s="28">
        <f>IF($B74="","",6*IFERROR(VLOOKUP(INDEX(' Toto teams'!$B$4:$B$119,MATCH($B74,' Toto teams'!$A$4:$A$119,0)),Scoring!$A$4:$N$51,9,FALSE()),0)+4*IFERROR(VLOOKUP(INDEX(' Toto teams'!$C$4:$C$119,MATCH($B74,' Toto teams'!$A$4:$A$119,0)),Scoring!$A$4:$N$51,9,FALSE()),0)+3*IFERROR(VLOOKUP(INDEX(' Toto teams'!$D$4:$D$119,MATCH($B74,' Toto teams'!$A$4:$A$119,0)),Scoring!$A$4:$N$51,9,FALSE()),0)+2*IFERROR(VLOOKUP(INDEX(' Toto teams'!$E$4:$E$119,MATCH($B74,' Toto teams'!$A$4:$A$119,0)),Scoring!$A$4:$N$51,9,FALSE()),0)+1*IFERROR(VLOOKUP(INDEX(' Toto teams'!$F$4:$F$119,MATCH($B74,' Toto teams'!$A$4:$A$119,0)),Scoring!$A$4:$N$51,9,FALSE()),0)+1*IFERROR(VLOOKUP(INDEX(' Toto teams'!$G$4:$G$119,MATCH($B74,' Toto teams'!$A$4:$A$119,0)),Scoring!$A$4:$N$51,9,FALSE()),0)+1*IFERROR(VLOOKUP(INDEX(' Toto teams'!$H$4:$H$119,MATCH($B74,' Toto teams'!$A$4:$A$119,0)),Scoring!$A$4:$N$51,9,FALSE()),0))</f>
        <v>0</v>
      </c>
      <c r="G74" s="28">
        <f>IF($B74="","",6*IFERROR(VLOOKUP(INDEX(' Toto teams'!$B$4:$B$119,MATCH($B74,' Toto teams'!$A$4:$A$119,0)),Scoring!$A$4:$N$51,10,FALSE()),0)+4*IFERROR(VLOOKUP(INDEX(' Toto teams'!$C$4:$C$119,MATCH($B74,' Toto teams'!$A$4:$A$119,0)),Scoring!$A$4:$N$51,10,FALSE()),0)+3*IFERROR(VLOOKUP(INDEX(' Toto teams'!$D$4:$D$119,MATCH($B74,' Toto teams'!$A$4:$A$119,0)),Scoring!$A$4:$N$51,10,FALSE()),0)+2*IFERROR(VLOOKUP(INDEX(' Toto teams'!$E$4:$E$119,MATCH($B74,' Toto teams'!$A$4:$A$119,0)),Scoring!$A$4:$N$51,10,FALSE()),0)+1*IFERROR(VLOOKUP(INDEX(' Toto teams'!$F$4:$F$119,MATCH($B74,' Toto teams'!$A$4:$A$119,0)),Scoring!$A$4:$N$51,10,FALSE()),0)+1*IFERROR(VLOOKUP(INDEX(' Toto teams'!$G$4:$G$119,MATCH($B74,' Toto teams'!$A$4:$A$119,0)),Scoring!$A$4:$N$51,10,FALSE()),0)+1*IFERROR(VLOOKUP(INDEX(' Toto teams'!$H$4:$H$119,MATCH($B74,' Toto teams'!$A$4:$A$119,0)),Scoring!$A$4:$N$51,10,FALSE()),0))</f>
        <v>0</v>
      </c>
      <c r="H74" s="28">
        <f>IF($B74="","",6*IFERROR(VLOOKUP(INDEX(' Toto teams'!$B$4:$B$119,MATCH($B74,' Toto teams'!$A$4:$A$119,0)),Scoring!$A$4:$N$51,11,FALSE()),0)+4*IFERROR(VLOOKUP(INDEX(' Toto teams'!$C$4:$C$119,MATCH($B74,' Toto teams'!$A$4:$A$119,0)),Scoring!$A$4:$N$51,11,FALSE()),0)+3*IFERROR(VLOOKUP(INDEX(' Toto teams'!$D$4:$D$119,MATCH($B74,' Toto teams'!$A$4:$A$119,0)),Scoring!$A$4:$N$51,11,FALSE()),0)+2*IFERROR(VLOOKUP(INDEX(' Toto teams'!$E$4:$E$119,MATCH($B74,' Toto teams'!$A$4:$A$119,0)),Scoring!$A$4:$N$51,11,FALSE()),0)+1*IFERROR(VLOOKUP(INDEX(' Toto teams'!$F$4:$F$119,MATCH($B74,' Toto teams'!$A$4:$A$119,0)),Scoring!$A$4:$N$51,11,FALSE()),0)+1*IFERROR(VLOOKUP(INDEX(' Toto teams'!$G$4:$G$119,MATCH($B74,' Toto teams'!$A$4:$A$119,0)),Scoring!$A$4:$N$51,11,FALSE()),0)+1*IFERROR(VLOOKUP(INDEX(' Toto teams'!$H$4:$H$119,MATCH($B74,' Toto teams'!$A$4:$A$119,0)),Scoring!$A$4:$N$51,11,FALSE()),0))</f>
        <v>0</v>
      </c>
      <c r="I74" s="28">
        <f>IF($B74="","",6*IFERROR(VLOOKUP(INDEX(' Toto teams'!$B$4:$B$119,MATCH($B74,' Toto teams'!$A$4:$A$119,0)),Scoring!$A$4:$O$51,15,FALSE()),0)+4*IFERROR(VLOOKUP(INDEX(' Toto teams'!$C$4:$C$119,MATCH($B74,' Toto teams'!$A$4:$A$119,0)),Scoring!$A$4:$O$51,15,FALSE()),0)+3*IFERROR(VLOOKUP(INDEX(' Toto teams'!$D$4:$D$119,MATCH($B74,' Toto teams'!$A$4:$A$119,0)),Scoring!$A$4:$O$51,15,FALSE()),0)+2*IFERROR(VLOOKUP(INDEX(' Toto teams'!$E$4:$E$119,MATCH($B74,' Toto teams'!$A$4:$A$119,0)),Scoring!$A$4:$O$51,15,FALSE()),0)+1*IFERROR(VLOOKUP(INDEX(' Toto teams'!$F$4:$F$119,MATCH($B74,' Toto teams'!$A$4:$A$119,0)),Scoring!$A$4:$O$51,15,FALSE()),0)+1*IFERROR(VLOOKUP(INDEX(' Toto teams'!$G$4:$G$119,MATCH($B74,' Toto teams'!$A$4:$A$119,0)),Scoring!$A$4:$O$51,15,FALSE()),0)+1*IFERROR(VLOOKUP(INDEX(' Toto teams'!$H$4:$H$119,MATCH($B74,' Toto teams'!$A$4:$A$119,0)),Scoring!$A$4:$O$51,15,FALSE()),0))</f>
        <v>0</v>
      </c>
      <c r="J74" s="28">
        <f>IF($B74="","",6*IFERROR(VLOOKUP(INDEX(' Toto teams'!$B$4:$B$119,MATCH($B74,' Toto teams'!$A$4:$A$119,0)),Scoring!$A$4:$N$51,12,FALSE()),0)+4*IFERROR(VLOOKUP(INDEX(' Toto teams'!$C$4:$C$119,MATCH($B74,' Toto teams'!$A$4:$A$119,0)),Scoring!$A$4:$N$51,12,FALSE()),0)+3*IFERROR(VLOOKUP(INDEX(' Toto teams'!$D$4:$D$119,MATCH($B74,' Toto teams'!$A$4:$A$119,0)),Scoring!$A$4:$N$51,12,FALSE()),0)+2*IFERROR(VLOOKUP(INDEX(' Toto teams'!$E$4:$E$119,MATCH($B74,' Toto teams'!$A$4:$A$119,0)),Scoring!$A$4:$N$51,12,FALSE()),0)+1*IFERROR(VLOOKUP(INDEX(' Toto teams'!$F$4:$F$119,MATCH($B74,' Toto teams'!$A$4:$A$119,0)),Scoring!$A$4:$N$51,12,FALSE()),0)+1*IFERROR(VLOOKUP(INDEX(' Toto teams'!$G$4:$G$119,MATCH($B74,' Toto teams'!$A$4:$A$119,0)),Scoring!$A$4:$N$51,12,FALSE()),0)+1*IFERROR(VLOOKUP(INDEX(' Toto teams'!$H$4:$H$119,MATCH($B74,' Toto teams'!$A$4:$A$119,0)),Scoring!$A$4:$N$51,12,FALSE()),0))</f>
        <v>0</v>
      </c>
      <c r="K74" s="29">
        <f>IF($B74="","",IFERROR(INDEX(' Toto teams'!$R$4:$R$119,MATCH($B74,' Toto teams'!$A$4:$A$119,0)),""))</f>
        <v>0</v>
      </c>
      <c r="L74" s="30">
        <f t="shared" si="5"/>
        <v>0</v>
      </c>
    </row>
    <row r="75" spans="1:12" ht="12.75" customHeight="1" x14ac:dyDescent="0.3">
      <c r="A75" s="26">
        <f>IF(72&gt;COUNTIF(' Toto teams'!$A$4:$A$119,"&lt;&gt;"),"",INDEX(' Toto teams'!$S$4:$S$119,MATCH(LARGE(' Toto teams'!$T$4:$T$119,72),' Toto teams'!$T$4:$T$119,0)))</f>
        <v>63</v>
      </c>
      <c r="B75" s="27" t="str">
        <f>IF(72&gt;COUNTIF(' Toto teams'!$A$4:$A$119,"&lt;&gt;"),"",INDEX(' Toto teams'!$A$4:$A$119,MATCH(LARGE(' Toto teams'!$T$4:$T$119,72),' Toto teams'!$T$4:$T$119,0)))</f>
        <v>Benas Bruzga</v>
      </c>
      <c r="C75" s="28">
        <f>IF($B75="","",6*(IFERROR(VLOOKUP(INDEX(' Toto teams'!$B$4:$B$119,MATCH($B75,' Toto teams'!$A$4:$A$119,0)),Scoring!$A$4:$N$51,3,FALSE()),0)+IFERROR(VLOOKUP(INDEX(' Toto teams'!$B$4:$B$119,MATCH($B75,' Toto teams'!$A$4:$A$119,0)),Scoring!$A$4:$N$51,4,FALSE()),0)+IFERROR(VLOOKUP(INDEX(' Toto teams'!$B$4:$B$119,MATCH($B75,' Toto teams'!$A$4:$A$119,0)),Scoring!$A$4:$N$51,5,FALSE()),0))+4*(IFERROR(VLOOKUP(INDEX(' Toto teams'!$C$4:$C$119,MATCH($B75,' Toto teams'!$A$4:$A$119,0)),Scoring!$A$4:$N$51,3,FALSE()),0)+IFERROR(VLOOKUP(INDEX(' Toto teams'!$C$4:$C$119,MATCH($B75,' Toto teams'!$A$4:$A$119,0)),Scoring!$A$4:$N$51,4,FALSE()),0)+IFERROR(VLOOKUP(INDEX(' Toto teams'!$C$4:$C$119,MATCH($B75,' Toto teams'!$A$4:$A$119,0)),Scoring!$A$4:$N$51,5,FALSE()),0))+3*(IFERROR(VLOOKUP(INDEX(' Toto teams'!$D$4:$D$119,MATCH($B75,' Toto teams'!$A$4:$A$119,0)),Scoring!$A$4:$N$51,3,FALSE()),0)+IFERROR(VLOOKUP(INDEX(' Toto teams'!$D$4:$D$119,MATCH($B75,' Toto teams'!$A$4:$A$119,0)),Scoring!$A$4:$N$51,4,FALSE()),0)+IFERROR(VLOOKUP(INDEX(' Toto teams'!$D$4:$D$119,MATCH($B75,' Toto teams'!$A$4:$A$119,0)),Scoring!$A$4:$N$51,5,FALSE()),0))+2*(IFERROR(VLOOKUP(INDEX(' Toto teams'!$E$4:$E$119,MATCH($B75,' Toto teams'!$A$4:$A$119,0)),Scoring!$A$4:$N$51,3,FALSE()),0)+IFERROR(VLOOKUP(INDEX(' Toto teams'!$E$4:$E$119,MATCH($B75,' Toto teams'!$A$4:$A$119,0)),Scoring!$A$4:$N$51,4,FALSE()),0)+IFERROR(VLOOKUP(INDEX(' Toto teams'!$E$4:$E$119,MATCH($B75,' Toto teams'!$A$4:$A$119,0)),Scoring!$A$4:$N$51,5,FALSE()),0))+1*(IFERROR(VLOOKUP(INDEX(' Toto teams'!$F$4:$F$119,MATCH($B75,' Toto teams'!$A$4:$A$119,0)),Scoring!$A$4:$N$51,3,FALSE()),0)+IFERROR(VLOOKUP(INDEX(' Toto teams'!$F$4:$F$119,MATCH($B75,' Toto teams'!$A$4:$A$119,0)),Scoring!$A$4:$N$51,4,FALSE()),0)+IFERROR(VLOOKUP(INDEX(' Toto teams'!$F$4:$F$119,MATCH($B75,' Toto teams'!$A$4:$A$119,0)),Scoring!$A$4:$N$51,5,FALSE()),0))+1*(IFERROR(VLOOKUP(INDEX(' Toto teams'!$G$4:$G$119,MATCH($B75,' Toto teams'!$A$4:$A$119,0)),Scoring!$A$4:$N$51,3,FALSE()),0)+IFERROR(VLOOKUP(INDEX(' Toto teams'!$G$4:$G$119,MATCH($B75,' Toto teams'!$A$4:$A$119,0)),Scoring!$A$4:$N$51,4,FALSE()),0)+IFERROR(VLOOKUP(INDEX(' Toto teams'!$G$4:$G$119,MATCH($B75,' Toto teams'!$A$4:$A$119,0)),Scoring!$A$4:$N$51,5,FALSE()),0))+1*(IFERROR(VLOOKUP(INDEX(' Toto teams'!$H$4:$H$119,MATCH($B75,' Toto teams'!$A$4:$A$119,0)),Scoring!$A$4:$N$51,3,FALSE()),0)+IFERROR(VLOOKUP(INDEX(' Toto teams'!$H$4:$H$119,MATCH($B75,' Toto teams'!$A$4:$A$119,0)),Scoring!$A$4:$N$51,4,FALSE()),0)+IFERROR(VLOOKUP(INDEX(' Toto teams'!$H$4:$H$119,MATCH($B75,' Toto teams'!$A$4:$A$119,0)),Scoring!$A$4:$N$51,5,FALSE()),0))+IFERROR(INDEX(' Toto teams'!$Q$4:$Q$119,MATCH($B75,' Toto teams'!$A$4:$A$119,0))*1,0))</f>
        <v>0</v>
      </c>
      <c r="D75" s="28">
        <f>IF($B75="","",6*IFERROR(VLOOKUP(INDEX(' Toto teams'!$B$4:$B$119,MATCH($B75,' Toto teams'!$A$4:$A$119,0)),Scoring!$A$4:$N$51,7,FALSE()),0)+4*IFERROR(VLOOKUP(INDEX(' Toto teams'!$C$4:$C$119,MATCH($B75,' Toto teams'!$A$4:$A$119,0)),Scoring!$A$4:$N$51,7,FALSE()),0)+3*IFERROR(VLOOKUP(INDEX(' Toto teams'!$D$4:$D$119,MATCH($B75,' Toto teams'!$A$4:$A$119,0)),Scoring!$A$4:$N$51,7,FALSE()),0)+2*IFERROR(VLOOKUP(INDEX(' Toto teams'!$E$4:$E$119,MATCH($B75,' Toto teams'!$A$4:$A$119,0)),Scoring!$A$4:$N$51,7,FALSE()),0)+1*IFERROR(VLOOKUP(INDEX(' Toto teams'!$F$4:$F$119,MATCH($B75,' Toto teams'!$A$4:$A$119,0)),Scoring!$A$4:$N$51,7,FALSE()),0)+1*IFERROR(VLOOKUP(INDEX(' Toto teams'!$G$4:$G$119,MATCH($B75,' Toto teams'!$A$4:$A$119,0)),Scoring!$A$4:$N$51,7,FALSE()),0)+1*IFERROR(VLOOKUP(INDEX(' Toto teams'!$H$4:$H$119,MATCH($B75,' Toto teams'!$A$4:$A$119,0)),Scoring!$A$4:$N$51,7,FALSE()),0))</f>
        <v>0</v>
      </c>
      <c r="E75" s="28">
        <f>IF($B75="","",6*IFERROR(VLOOKUP(INDEX(' Toto teams'!$B$4:$B$119,MATCH($B75,' Toto teams'!$A$4:$A$119,0)),Scoring!$A$4:$N$51,8,FALSE()),0)+4*IFERROR(VLOOKUP(INDEX(' Toto teams'!$C$4:$C$119,MATCH($B75,' Toto teams'!$A$4:$A$119,0)),Scoring!$A$4:$N$51,8,FALSE()),0)+3*IFERROR(VLOOKUP(INDEX(' Toto teams'!$D$4:$D$119,MATCH($B75,' Toto teams'!$A$4:$A$119,0)),Scoring!$A$4:$N$51,8,FALSE()),0)+2*IFERROR(VLOOKUP(INDEX(' Toto teams'!$E$4:$E$119,MATCH($B75,' Toto teams'!$A$4:$A$119,0)),Scoring!$A$4:$N$51,8,FALSE()),0)+1*IFERROR(VLOOKUP(INDEX(' Toto teams'!$F$4:$F$119,MATCH($B75,' Toto teams'!$A$4:$A$119,0)),Scoring!$A$4:$N$51,8,FALSE()),0)+1*IFERROR(VLOOKUP(INDEX(' Toto teams'!$G$4:$G$119,MATCH($B75,' Toto teams'!$A$4:$A$119,0)),Scoring!$A$4:$N$51,8,FALSE()),0)+1*IFERROR(VLOOKUP(INDEX(' Toto teams'!$H$4:$H$119,MATCH($B75,' Toto teams'!$A$4:$A$119,0)),Scoring!$A$4:$N$51,8,FALSE()),0))</f>
        <v>0</v>
      </c>
      <c r="F75" s="28">
        <f>IF($B75="","",6*IFERROR(VLOOKUP(INDEX(' Toto teams'!$B$4:$B$119,MATCH($B75,' Toto teams'!$A$4:$A$119,0)),Scoring!$A$4:$N$51,9,FALSE()),0)+4*IFERROR(VLOOKUP(INDEX(' Toto teams'!$C$4:$C$119,MATCH($B75,' Toto teams'!$A$4:$A$119,0)),Scoring!$A$4:$N$51,9,FALSE()),0)+3*IFERROR(VLOOKUP(INDEX(' Toto teams'!$D$4:$D$119,MATCH($B75,' Toto teams'!$A$4:$A$119,0)),Scoring!$A$4:$N$51,9,FALSE()),0)+2*IFERROR(VLOOKUP(INDEX(' Toto teams'!$E$4:$E$119,MATCH($B75,' Toto teams'!$A$4:$A$119,0)),Scoring!$A$4:$N$51,9,FALSE()),0)+1*IFERROR(VLOOKUP(INDEX(' Toto teams'!$F$4:$F$119,MATCH($B75,' Toto teams'!$A$4:$A$119,0)),Scoring!$A$4:$N$51,9,FALSE()),0)+1*IFERROR(VLOOKUP(INDEX(' Toto teams'!$G$4:$G$119,MATCH($B75,' Toto teams'!$A$4:$A$119,0)),Scoring!$A$4:$N$51,9,FALSE()),0)+1*IFERROR(VLOOKUP(INDEX(' Toto teams'!$H$4:$H$119,MATCH($B75,' Toto teams'!$A$4:$A$119,0)),Scoring!$A$4:$N$51,9,FALSE()),0))</f>
        <v>0</v>
      </c>
      <c r="G75" s="28">
        <f>IF($B75="","",6*IFERROR(VLOOKUP(INDEX(' Toto teams'!$B$4:$B$119,MATCH($B75,' Toto teams'!$A$4:$A$119,0)),Scoring!$A$4:$N$51,10,FALSE()),0)+4*IFERROR(VLOOKUP(INDEX(' Toto teams'!$C$4:$C$119,MATCH($B75,' Toto teams'!$A$4:$A$119,0)),Scoring!$A$4:$N$51,10,FALSE()),0)+3*IFERROR(VLOOKUP(INDEX(' Toto teams'!$D$4:$D$119,MATCH($B75,' Toto teams'!$A$4:$A$119,0)),Scoring!$A$4:$N$51,10,FALSE()),0)+2*IFERROR(VLOOKUP(INDEX(' Toto teams'!$E$4:$E$119,MATCH($B75,' Toto teams'!$A$4:$A$119,0)),Scoring!$A$4:$N$51,10,FALSE()),0)+1*IFERROR(VLOOKUP(INDEX(' Toto teams'!$F$4:$F$119,MATCH($B75,' Toto teams'!$A$4:$A$119,0)),Scoring!$A$4:$N$51,10,FALSE()),0)+1*IFERROR(VLOOKUP(INDEX(' Toto teams'!$G$4:$G$119,MATCH($B75,' Toto teams'!$A$4:$A$119,0)),Scoring!$A$4:$N$51,10,FALSE()),0)+1*IFERROR(VLOOKUP(INDEX(' Toto teams'!$H$4:$H$119,MATCH($B75,' Toto teams'!$A$4:$A$119,0)),Scoring!$A$4:$N$51,10,FALSE()),0))</f>
        <v>0</v>
      </c>
      <c r="H75" s="28">
        <f>IF($B75="","",6*IFERROR(VLOOKUP(INDEX(' Toto teams'!$B$4:$B$119,MATCH($B75,' Toto teams'!$A$4:$A$119,0)),Scoring!$A$4:$N$51,11,FALSE()),0)+4*IFERROR(VLOOKUP(INDEX(' Toto teams'!$C$4:$C$119,MATCH($B75,' Toto teams'!$A$4:$A$119,0)),Scoring!$A$4:$N$51,11,FALSE()),0)+3*IFERROR(VLOOKUP(INDEX(' Toto teams'!$D$4:$D$119,MATCH($B75,' Toto teams'!$A$4:$A$119,0)),Scoring!$A$4:$N$51,11,FALSE()),0)+2*IFERROR(VLOOKUP(INDEX(' Toto teams'!$E$4:$E$119,MATCH($B75,' Toto teams'!$A$4:$A$119,0)),Scoring!$A$4:$N$51,11,FALSE()),0)+1*IFERROR(VLOOKUP(INDEX(' Toto teams'!$F$4:$F$119,MATCH($B75,' Toto teams'!$A$4:$A$119,0)),Scoring!$A$4:$N$51,11,FALSE()),0)+1*IFERROR(VLOOKUP(INDEX(' Toto teams'!$G$4:$G$119,MATCH($B75,' Toto teams'!$A$4:$A$119,0)),Scoring!$A$4:$N$51,11,FALSE()),0)+1*IFERROR(VLOOKUP(INDEX(' Toto teams'!$H$4:$H$119,MATCH($B75,' Toto teams'!$A$4:$A$119,0)),Scoring!$A$4:$N$51,11,FALSE()),0))</f>
        <v>0</v>
      </c>
      <c r="I75" s="28">
        <f>IF($B75="","",6*IFERROR(VLOOKUP(INDEX(' Toto teams'!$B$4:$B$119,MATCH($B75,' Toto teams'!$A$4:$A$119,0)),Scoring!$A$4:$O$51,15,FALSE()),0)+4*IFERROR(VLOOKUP(INDEX(' Toto teams'!$C$4:$C$119,MATCH($B75,' Toto teams'!$A$4:$A$119,0)),Scoring!$A$4:$O$51,15,FALSE()),0)+3*IFERROR(VLOOKUP(INDEX(' Toto teams'!$D$4:$D$119,MATCH($B75,' Toto teams'!$A$4:$A$119,0)),Scoring!$A$4:$O$51,15,FALSE()),0)+2*IFERROR(VLOOKUP(INDEX(' Toto teams'!$E$4:$E$119,MATCH($B75,' Toto teams'!$A$4:$A$119,0)),Scoring!$A$4:$O$51,15,FALSE()),0)+1*IFERROR(VLOOKUP(INDEX(' Toto teams'!$F$4:$F$119,MATCH($B75,' Toto teams'!$A$4:$A$119,0)),Scoring!$A$4:$O$51,15,FALSE()),0)+1*IFERROR(VLOOKUP(INDEX(' Toto teams'!$G$4:$G$119,MATCH($B75,' Toto teams'!$A$4:$A$119,0)),Scoring!$A$4:$O$51,15,FALSE()),0)+1*IFERROR(VLOOKUP(INDEX(' Toto teams'!$H$4:$H$119,MATCH($B75,' Toto teams'!$A$4:$A$119,0)),Scoring!$A$4:$O$51,15,FALSE()),0))</f>
        <v>0</v>
      </c>
      <c r="J75" s="28">
        <f>IF($B75="","",6*IFERROR(VLOOKUP(INDEX(' Toto teams'!$B$4:$B$119,MATCH($B75,' Toto teams'!$A$4:$A$119,0)),Scoring!$A$4:$N$51,12,FALSE()),0)+4*IFERROR(VLOOKUP(INDEX(' Toto teams'!$C$4:$C$119,MATCH($B75,' Toto teams'!$A$4:$A$119,0)),Scoring!$A$4:$N$51,12,FALSE()),0)+3*IFERROR(VLOOKUP(INDEX(' Toto teams'!$D$4:$D$119,MATCH($B75,' Toto teams'!$A$4:$A$119,0)),Scoring!$A$4:$N$51,12,FALSE()),0)+2*IFERROR(VLOOKUP(INDEX(' Toto teams'!$E$4:$E$119,MATCH($B75,' Toto teams'!$A$4:$A$119,0)),Scoring!$A$4:$N$51,12,FALSE()),0)+1*IFERROR(VLOOKUP(INDEX(' Toto teams'!$F$4:$F$119,MATCH($B75,' Toto teams'!$A$4:$A$119,0)),Scoring!$A$4:$N$51,12,FALSE()),0)+1*IFERROR(VLOOKUP(INDEX(' Toto teams'!$G$4:$G$119,MATCH($B75,' Toto teams'!$A$4:$A$119,0)),Scoring!$A$4:$N$51,12,FALSE()),0)+1*IFERROR(VLOOKUP(INDEX(' Toto teams'!$H$4:$H$119,MATCH($B75,' Toto teams'!$A$4:$A$119,0)),Scoring!$A$4:$N$51,12,FALSE()),0))</f>
        <v>0</v>
      </c>
      <c r="K75" s="29">
        <f>IF($B75="","",IFERROR(INDEX(' Toto teams'!$R$4:$R$119,MATCH($B75,' Toto teams'!$A$4:$A$119,0)),""))</f>
        <v>0</v>
      </c>
      <c r="L75" s="30">
        <f t="shared" si="5"/>
        <v>0</v>
      </c>
    </row>
    <row r="76" spans="1:12" ht="12.75" customHeight="1" x14ac:dyDescent="0.3">
      <c r="A76" s="26">
        <f>IF(73&gt;COUNTIF(' Toto teams'!$A$4:$A$119,"&lt;&gt;"),"",INDEX(' Toto teams'!$S$4:$S$119,MATCH(LARGE(' Toto teams'!$T$4:$T$119,73),' Toto teams'!$T$4:$T$119,0)))</f>
        <v>63</v>
      </c>
      <c r="B76" s="27" t="str">
        <f>IF(73&gt;COUNTIF(' Toto teams'!$A$4:$A$119,"&lt;&gt;"),"",INDEX(' Toto teams'!$A$4:$A$119,MATCH(LARGE(' Toto teams'!$T$4:$T$119,73),' Toto teams'!$T$4:$T$119,0)))</f>
        <v>Gedas Girdžiūnas</v>
      </c>
      <c r="C76" s="28">
        <f>IF($B76="","",6*(IFERROR(VLOOKUP(INDEX(' Toto teams'!$B$4:$B$119,MATCH($B76,' Toto teams'!$A$4:$A$119,0)),Scoring!$A$4:$N$51,3,FALSE()),0)+IFERROR(VLOOKUP(INDEX(' Toto teams'!$B$4:$B$119,MATCH($B76,' Toto teams'!$A$4:$A$119,0)),Scoring!$A$4:$N$51,4,FALSE()),0)+IFERROR(VLOOKUP(INDEX(' Toto teams'!$B$4:$B$119,MATCH($B76,' Toto teams'!$A$4:$A$119,0)),Scoring!$A$4:$N$51,5,FALSE()),0))+4*(IFERROR(VLOOKUP(INDEX(' Toto teams'!$C$4:$C$119,MATCH($B76,' Toto teams'!$A$4:$A$119,0)),Scoring!$A$4:$N$51,3,FALSE()),0)+IFERROR(VLOOKUP(INDEX(' Toto teams'!$C$4:$C$119,MATCH($B76,' Toto teams'!$A$4:$A$119,0)),Scoring!$A$4:$N$51,4,FALSE()),0)+IFERROR(VLOOKUP(INDEX(' Toto teams'!$C$4:$C$119,MATCH($B76,' Toto teams'!$A$4:$A$119,0)),Scoring!$A$4:$N$51,5,FALSE()),0))+3*(IFERROR(VLOOKUP(INDEX(' Toto teams'!$D$4:$D$119,MATCH($B76,' Toto teams'!$A$4:$A$119,0)),Scoring!$A$4:$N$51,3,FALSE()),0)+IFERROR(VLOOKUP(INDEX(' Toto teams'!$D$4:$D$119,MATCH($B76,' Toto teams'!$A$4:$A$119,0)),Scoring!$A$4:$N$51,4,FALSE()),0)+IFERROR(VLOOKUP(INDEX(' Toto teams'!$D$4:$D$119,MATCH($B76,' Toto teams'!$A$4:$A$119,0)),Scoring!$A$4:$N$51,5,FALSE()),0))+2*(IFERROR(VLOOKUP(INDEX(' Toto teams'!$E$4:$E$119,MATCH($B76,' Toto teams'!$A$4:$A$119,0)),Scoring!$A$4:$N$51,3,FALSE()),0)+IFERROR(VLOOKUP(INDEX(' Toto teams'!$E$4:$E$119,MATCH($B76,' Toto teams'!$A$4:$A$119,0)),Scoring!$A$4:$N$51,4,FALSE()),0)+IFERROR(VLOOKUP(INDEX(' Toto teams'!$E$4:$E$119,MATCH($B76,' Toto teams'!$A$4:$A$119,0)),Scoring!$A$4:$N$51,5,FALSE()),0))+1*(IFERROR(VLOOKUP(INDEX(' Toto teams'!$F$4:$F$119,MATCH($B76,' Toto teams'!$A$4:$A$119,0)),Scoring!$A$4:$N$51,3,FALSE()),0)+IFERROR(VLOOKUP(INDEX(' Toto teams'!$F$4:$F$119,MATCH($B76,' Toto teams'!$A$4:$A$119,0)),Scoring!$A$4:$N$51,4,FALSE()),0)+IFERROR(VLOOKUP(INDEX(' Toto teams'!$F$4:$F$119,MATCH($B76,' Toto teams'!$A$4:$A$119,0)),Scoring!$A$4:$N$51,5,FALSE()),0))+1*(IFERROR(VLOOKUP(INDEX(' Toto teams'!$G$4:$G$119,MATCH($B76,' Toto teams'!$A$4:$A$119,0)),Scoring!$A$4:$N$51,3,FALSE()),0)+IFERROR(VLOOKUP(INDEX(' Toto teams'!$G$4:$G$119,MATCH($B76,' Toto teams'!$A$4:$A$119,0)),Scoring!$A$4:$N$51,4,FALSE()),0)+IFERROR(VLOOKUP(INDEX(' Toto teams'!$G$4:$G$119,MATCH($B76,' Toto teams'!$A$4:$A$119,0)),Scoring!$A$4:$N$51,5,FALSE()),0))+1*(IFERROR(VLOOKUP(INDEX(' Toto teams'!$H$4:$H$119,MATCH($B76,' Toto teams'!$A$4:$A$119,0)),Scoring!$A$4:$N$51,3,FALSE()),0)+IFERROR(VLOOKUP(INDEX(' Toto teams'!$H$4:$H$119,MATCH($B76,' Toto teams'!$A$4:$A$119,0)),Scoring!$A$4:$N$51,4,FALSE()),0)+IFERROR(VLOOKUP(INDEX(' Toto teams'!$H$4:$H$119,MATCH($B76,' Toto teams'!$A$4:$A$119,0)),Scoring!$A$4:$N$51,5,FALSE()),0))+IFERROR(INDEX(' Toto teams'!$Q$4:$Q$119,MATCH($B76,' Toto teams'!$A$4:$A$119,0))*1,0))</f>
        <v>0</v>
      </c>
      <c r="D76" s="28">
        <f>IF($B76="","",6*IFERROR(VLOOKUP(INDEX(' Toto teams'!$B$4:$B$119,MATCH($B76,' Toto teams'!$A$4:$A$119,0)),Scoring!$A$4:$N$51,7,FALSE()),0)+4*IFERROR(VLOOKUP(INDEX(' Toto teams'!$C$4:$C$119,MATCH($B76,' Toto teams'!$A$4:$A$119,0)),Scoring!$A$4:$N$51,7,FALSE()),0)+3*IFERROR(VLOOKUP(INDEX(' Toto teams'!$D$4:$D$119,MATCH($B76,' Toto teams'!$A$4:$A$119,0)),Scoring!$A$4:$N$51,7,FALSE()),0)+2*IFERROR(VLOOKUP(INDEX(' Toto teams'!$E$4:$E$119,MATCH($B76,' Toto teams'!$A$4:$A$119,0)),Scoring!$A$4:$N$51,7,FALSE()),0)+1*IFERROR(VLOOKUP(INDEX(' Toto teams'!$F$4:$F$119,MATCH($B76,' Toto teams'!$A$4:$A$119,0)),Scoring!$A$4:$N$51,7,FALSE()),0)+1*IFERROR(VLOOKUP(INDEX(' Toto teams'!$G$4:$G$119,MATCH($B76,' Toto teams'!$A$4:$A$119,0)),Scoring!$A$4:$N$51,7,FALSE()),0)+1*IFERROR(VLOOKUP(INDEX(' Toto teams'!$H$4:$H$119,MATCH($B76,' Toto teams'!$A$4:$A$119,0)),Scoring!$A$4:$N$51,7,FALSE()),0))</f>
        <v>0</v>
      </c>
      <c r="E76" s="28">
        <f>IF($B76="","",6*IFERROR(VLOOKUP(INDEX(' Toto teams'!$B$4:$B$119,MATCH($B76,' Toto teams'!$A$4:$A$119,0)),Scoring!$A$4:$N$51,8,FALSE()),0)+4*IFERROR(VLOOKUP(INDEX(' Toto teams'!$C$4:$C$119,MATCH($B76,' Toto teams'!$A$4:$A$119,0)),Scoring!$A$4:$N$51,8,FALSE()),0)+3*IFERROR(VLOOKUP(INDEX(' Toto teams'!$D$4:$D$119,MATCH($B76,' Toto teams'!$A$4:$A$119,0)),Scoring!$A$4:$N$51,8,FALSE()),0)+2*IFERROR(VLOOKUP(INDEX(' Toto teams'!$E$4:$E$119,MATCH($B76,' Toto teams'!$A$4:$A$119,0)),Scoring!$A$4:$N$51,8,FALSE()),0)+1*IFERROR(VLOOKUP(INDEX(' Toto teams'!$F$4:$F$119,MATCH($B76,' Toto teams'!$A$4:$A$119,0)),Scoring!$A$4:$N$51,8,FALSE()),0)+1*IFERROR(VLOOKUP(INDEX(' Toto teams'!$G$4:$G$119,MATCH($B76,' Toto teams'!$A$4:$A$119,0)),Scoring!$A$4:$N$51,8,FALSE()),0)+1*IFERROR(VLOOKUP(INDEX(' Toto teams'!$H$4:$H$119,MATCH($B76,' Toto teams'!$A$4:$A$119,0)),Scoring!$A$4:$N$51,8,FALSE()),0))</f>
        <v>0</v>
      </c>
      <c r="F76" s="28">
        <f>IF($B76="","",6*IFERROR(VLOOKUP(INDEX(' Toto teams'!$B$4:$B$119,MATCH($B76,' Toto teams'!$A$4:$A$119,0)),Scoring!$A$4:$N$51,9,FALSE()),0)+4*IFERROR(VLOOKUP(INDEX(' Toto teams'!$C$4:$C$119,MATCH($B76,' Toto teams'!$A$4:$A$119,0)),Scoring!$A$4:$N$51,9,FALSE()),0)+3*IFERROR(VLOOKUP(INDEX(' Toto teams'!$D$4:$D$119,MATCH($B76,' Toto teams'!$A$4:$A$119,0)),Scoring!$A$4:$N$51,9,FALSE()),0)+2*IFERROR(VLOOKUP(INDEX(' Toto teams'!$E$4:$E$119,MATCH($B76,' Toto teams'!$A$4:$A$119,0)),Scoring!$A$4:$N$51,9,FALSE()),0)+1*IFERROR(VLOOKUP(INDEX(' Toto teams'!$F$4:$F$119,MATCH($B76,' Toto teams'!$A$4:$A$119,0)),Scoring!$A$4:$N$51,9,FALSE()),0)+1*IFERROR(VLOOKUP(INDEX(' Toto teams'!$G$4:$G$119,MATCH($B76,' Toto teams'!$A$4:$A$119,0)),Scoring!$A$4:$N$51,9,FALSE()),0)+1*IFERROR(VLOOKUP(INDEX(' Toto teams'!$H$4:$H$119,MATCH($B76,' Toto teams'!$A$4:$A$119,0)),Scoring!$A$4:$N$51,9,FALSE()),0))</f>
        <v>0</v>
      </c>
      <c r="G76" s="28">
        <f>IF($B76="","",6*IFERROR(VLOOKUP(INDEX(' Toto teams'!$B$4:$B$119,MATCH($B76,' Toto teams'!$A$4:$A$119,0)),Scoring!$A$4:$N$51,10,FALSE()),0)+4*IFERROR(VLOOKUP(INDEX(' Toto teams'!$C$4:$C$119,MATCH($B76,' Toto teams'!$A$4:$A$119,0)),Scoring!$A$4:$N$51,10,FALSE()),0)+3*IFERROR(VLOOKUP(INDEX(' Toto teams'!$D$4:$D$119,MATCH($B76,' Toto teams'!$A$4:$A$119,0)),Scoring!$A$4:$N$51,10,FALSE()),0)+2*IFERROR(VLOOKUP(INDEX(' Toto teams'!$E$4:$E$119,MATCH($B76,' Toto teams'!$A$4:$A$119,0)),Scoring!$A$4:$N$51,10,FALSE()),0)+1*IFERROR(VLOOKUP(INDEX(' Toto teams'!$F$4:$F$119,MATCH($B76,' Toto teams'!$A$4:$A$119,0)),Scoring!$A$4:$N$51,10,FALSE()),0)+1*IFERROR(VLOOKUP(INDEX(' Toto teams'!$G$4:$G$119,MATCH($B76,' Toto teams'!$A$4:$A$119,0)),Scoring!$A$4:$N$51,10,FALSE()),0)+1*IFERROR(VLOOKUP(INDEX(' Toto teams'!$H$4:$H$119,MATCH($B76,' Toto teams'!$A$4:$A$119,0)),Scoring!$A$4:$N$51,10,FALSE()),0))</f>
        <v>0</v>
      </c>
      <c r="H76" s="28">
        <f>IF($B76="","",6*IFERROR(VLOOKUP(INDEX(' Toto teams'!$B$4:$B$119,MATCH($B76,' Toto teams'!$A$4:$A$119,0)),Scoring!$A$4:$N$51,11,FALSE()),0)+4*IFERROR(VLOOKUP(INDEX(' Toto teams'!$C$4:$C$119,MATCH($B76,' Toto teams'!$A$4:$A$119,0)),Scoring!$A$4:$N$51,11,FALSE()),0)+3*IFERROR(VLOOKUP(INDEX(' Toto teams'!$D$4:$D$119,MATCH($B76,' Toto teams'!$A$4:$A$119,0)),Scoring!$A$4:$N$51,11,FALSE()),0)+2*IFERROR(VLOOKUP(INDEX(' Toto teams'!$E$4:$E$119,MATCH($B76,' Toto teams'!$A$4:$A$119,0)),Scoring!$A$4:$N$51,11,FALSE()),0)+1*IFERROR(VLOOKUP(INDEX(' Toto teams'!$F$4:$F$119,MATCH($B76,' Toto teams'!$A$4:$A$119,0)),Scoring!$A$4:$N$51,11,FALSE()),0)+1*IFERROR(VLOOKUP(INDEX(' Toto teams'!$G$4:$G$119,MATCH($B76,' Toto teams'!$A$4:$A$119,0)),Scoring!$A$4:$N$51,11,FALSE()),0)+1*IFERROR(VLOOKUP(INDEX(' Toto teams'!$H$4:$H$119,MATCH($B76,' Toto teams'!$A$4:$A$119,0)),Scoring!$A$4:$N$51,11,FALSE()),0))</f>
        <v>0</v>
      </c>
      <c r="I76" s="28">
        <f>IF($B76="","",6*IFERROR(VLOOKUP(INDEX(' Toto teams'!$B$4:$B$119,MATCH($B76,' Toto teams'!$A$4:$A$119,0)),Scoring!$A$4:$O$51,15,FALSE()),0)+4*IFERROR(VLOOKUP(INDEX(' Toto teams'!$C$4:$C$119,MATCH($B76,' Toto teams'!$A$4:$A$119,0)),Scoring!$A$4:$O$51,15,FALSE()),0)+3*IFERROR(VLOOKUP(INDEX(' Toto teams'!$D$4:$D$119,MATCH($B76,' Toto teams'!$A$4:$A$119,0)),Scoring!$A$4:$O$51,15,FALSE()),0)+2*IFERROR(VLOOKUP(INDEX(' Toto teams'!$E$4:$E$119,MATCH($B76,' Toto teams'!$A$4:$A$119,0)),Scoring!$A$4:$O$51,15,FALSE()),0)+1*IFERROR(VLOOKUP(INDEX(' Toto teams'!$F$4:$F$119,MATCH($B76,' Toto teams'!$A$4:$A$119,0)),Scoring!$A$4:$O$51,15,FALSE()),0)+1*IFERROR(VLOOKUP(INDEX(' Toto teams'!$G$4:$G$119,MATCH($B76,' Toto teams'!$A$4:$A$119,0)),Scoring!$A$4:$O$51,15,FALSE()),0)+1*IFERROR(VLOOKUP(INDEX(' Toto teams'!$H$4:$H$119,MATCH($B76,' Toto teams'!$A$4:$A$119,0)),Scoring!$A$4:$O$51,15,FALSE()),0))</f>
        <v>0</v>
      </c>
      <c r="J76" s="28">
        <f>IF($B76="","",6*IFERROR(VLOOKUP(INDEX(' Toto teams'!$B$4:$B$119,MATCH($B76,' Toto teams'!$A$4:$A$119,0)),Scoring!$A$4:$N$51,12,FALSE()),0)+4*IFERROR(VLOOKUP(INDEX(' Toto teams'!$C$4:$C$119,MATCH($B76,' Toto teams'!$A$4:$A$119,0)),Scoring!$A$4:$N$51,12,FALSE()),0)+3*IFERROR(VLOOKUP(INDEX(' Toto teams'!$D$4:$D$119,MATCH($B76,' Toto teams'!$A$4:$A$119,0)),Scoring!$A$4:$N$51,12,FALSE()),0)+2*IFERROR(VLOOKUP(INDEX(' Toto teams'!$E$4:$E$119,MATCH($B76,' Toto teams'!$A$4:$A$119,0)),Scoring!$A$4:$N$51,12,FALSE()),0)+1*IFERROR(VLOOKUP(INDEX(' Toto teams'!$F$4:$F$119,MATCH($B76,' Toto teams'!$A$4:$A$119,0)),Scoring!$A$4:$N$51,12,FALSE()),0)+1*IFERROR(VLOOKUP(INDEX(' Toto teams'!$G$4:$G$119,MATCH($B76,' Toto teams'!$A$4:$A$119,0)),Scoring!$A$4:$N$51,12,FALSE()),0)+1*IFERROR(VLOOKUP(INDEX(' Toto teams'!$H$4:$H$119,MATCH($B76,' Toto teams'!$A$4:$A$119,0)),Scoring!$A$4:$N$51,12,FALSE()),0))</f>
        <v>0</v>
      </c>
      <c r="K76" s="29">
        <f>IF($B76="","",IFERROR(INDEX(' Toto teams'!$R$4:$R$119,MATCH($B76,' Toto teams'!$A$4:$A$119,0)),""))</f>
        <v>0</v>
      </c>
      <c r="L76" s="30">
        <f t="shared" si="5"/>
        <v>0</v>
      </c>
    </row>
    <row r="77" spans="1:12" ht="12.75" customHeight="1" x14ac:dyDescent="0.3">
      <c r="A77" s="26">
        <f>IF(74&gt;COUNTIF(' Toto teams'!$A$4:$A$119,"&lt;&gt;"),"",INDEX(' Toto teams'!$S$4:$S$119,MATCH(LARGE(' Toto teams'!$T$4:$T$119,74),' Toto teams'!$T$4:$T$119,0)))</f>
        <v>63</v>
      </c>
      <c r="B77" s="27" t="str">
        <f>IF(74&gt;COUNTIF(' Toto teams'!$A$4:$A$119,"&lt;&gt;"),"",INDEX(' Toto teams'!$A$4:$A$119,MATCH(LARGE(' Toto teams'!$T$4:$T$119,74),' Toto teams'!$T$4:$T$119,0)))</f>
        <v>Egidijus Mačiukas</v>
      </c>
      <c r="C77" s="28">
        <f>IF($B77="","",6*(IFERROR(VLOOKUP(INDEX(' Toto teams'!$B$4:$B$119,MATCH($B77,' Toto teams'!$A$4:$A$119,0)),Scoring!$A$4:$N$51,3,FALSE()),0)+IFERROR(VLOOKUP(INDEX(' Toto teams'!$B$4:$B$119,MATCH($B77,' Toto teams'!$A$4:$A$119,0)),Scoring!$A$4:$N$51,4,FALSE()),0)+IFERROR(VLOOKUP(INDEX(' Toto teams'!$B$4:$B$119,MATCH($B77,' Toto teams'!$A$4:$A$119,0)),Scoring!$A$4:$N$51,5,FALSE()),0))+4*(IFERROR(VLOOKUP(INDEX(' Toto teams'!$C$4:$C$119,MATCH($B77,' Toto teams'!$A$4:$A$119,0)),Scoring!$A$4:$N$51,3,FALSE()),0)+IFERROR(VLOOKUP(INDEX(' Toto teams'!$C$4:$C$119,MATCH($B77,' Toto teams'!$A$4:$A$119,0)),Scoring!$A$4:$N$51,4,FALSE()),0)+IFERROR(VLOOKUP(INDEX(' Toto teams'!$C$4:$C$119,MATCH($B77,' Toto teams'!$A$4:$A$119,0)),Scoring!$A$4:$N$51,5,FALSE()),0))+3*(IFERROR(VLOOKUP(INDEX(' Toto teams'!$D$4:$D$119,MATCH($B77,' Toto teams'!$A$4:$A$119,0)),Scoring!$A$4:$N$51,3,FALSE()),0)+IFERROR(VLOOKUP(INDEX(' Toto teams'!$D$4:$D$119,MATCH($B77,' Toto teams'!$A$4:$A$119,0)),Scoring!$A$4:$N$51,4,FALSE()),0)+IFERROR(VLOOKUP(INDEX(' Toto teams'!$D$4:$D$119,MATCH($B77,' Toto teams'!$A$4:$A$119,0)),Scoring!$A$4:$N$51,5,FALSE()),0))+2*(IFERROR(VLOOKUP(INDEX(' Toto teams'!$E$4:$E$119,MATCH($B77,' Toto teams'!$A$4:$A$119,0)),Scoring!$A$4:$N$51,3,FALSE()),0)+IFERROR(VLOOKUP(INDEX(' Toto teams'!$E$4:$E$119,MATCH($B77,' Toto teams'!$A$4:$A$119,0)),Scoring!$A$4:$N$51,4,FALSE()),0)+IFERROR(VLOOKUP(INDEX(' Toto teams'!$E$4:$E$119,MATCH($B77,' Toto teams'!$A$4:$A$119,0)),Scoring!$A$4:$N$51,5,FALSE()),0))+1*(IFERROR(VLOOKUP(INDEX(' Toto teams'!$F$4:$F$119,MATCH($B77,' Toto teams'!$A$4:$A$119,0)),Scoring!$A$4:$N$51,3,FALSE()),0)+IFERROR(VLOOKUP(INDEX(' Toto teams'!$F$4:$F$119,MATCH($B77,' Toto teams'!$A$4:$A$119,0)),Scoring!$A$4:$N$51,4,FALSE()),0)+IFERROR(VLOOKUP(INDEX(' Toto teams'!$F$4:$F$119,MATCH($B77,' Toto teams'!$A$4:$A$119,0)),Scoring!$A$4:$N$51,5,FALSE()),0))+1*(IFERROR(VLOOKUP(INDEX(' Toto teams'!$G$4:$G$119,MATCH($B77,' Toto teams'!$A$4:$A$119,0)),Scoring!$A$4:$N$51,3,FALSE()),0)+IFERROR(VLOOKUP(INDEX(' Toto teams'!$G$4:$G$119,MATCH($B77,' Toto teams'!$A$4:$A$119,0)),Scoring!$A$4:$N$51,4,FALSE()),0)+IFERROR(VLOOKUP(INDEX(' Toto teams'!$G$4:$G$119,MATCH($B77,' Toto teams'!$A$4:$A$119,0)),Scoring!$A$4:$N$51,5,FALSE()),0))+1*(IFERROR(VLOOKUP(INDEX(' Toto teams'!$H$4:$H$119,MATCH($B77,' Toto teams'!$A$4:$A$119,0)),Scoring!$A$4:$N$51,3,FALSE()),0)+IFERROR(VLOOKUP(INDEX(' Toto teams'!$H$4:$H$119,MATCH($B77,' Toto teams'!$A$4:$A$119,0)),Scoring!$A$4:$N$51,4,FALSE()),0)+IFERROR(VLOOKUP(INDEX(' Toto teams'!$H$4:$H$119,MATCH($B77,' Toto teams'!$A$4:$A$119,0)),Scoring!$A$4:$N$51,5,FALSE()),0))+IFERROR(INDEX(' Toto teams'!$Q$4:$Q$119,MATCH($B77,' Toto teams'!$A$4:$A$119,0))*1,0))</f>
        <v>0</v>
      </c>
      <c r="D77" s="28">
        <f>IF($B77="","",6*IFERROR(VLOOKUP(INDEX(' Toto teams'!$B$4:$B$119,MATCH($B77,' Toto teams'!$A$4:$A$119,0)),Scoring!$A$4:$N$51,7,FALSE()),0)+4*IFERROR(VLOOKUP(INDEX(' Toto teams'!$C$4:$C$119,MATCH($B77,' Toto teams'!$A$4:$A$119,0)),Scoring!$A$4:$N$51,7,FALSE()),0)+3*IFERROR(VLOOKUP(INDEX(' Toto teams'!$D$4:$D$119,MATCH($B77,' Toto teams'!$A$4:$A$119,0)),Scoring!$A$4:$N$51,7,FALSE()),0)+2*IFERROR(VLOOKUP(INDEX(' Toto teams'!$E$4:$E$119,MATCH($B77,' Toto teams'!$A$4:$A$119,0)),Scoring!$A$4:$N$51,7,FALSE()),0)+1*IFERROR(VLOOKUP(INDEX(' Toto teams'!$F$4:$F$119,MATCH($B77,' Toto teams'!$A$4:$A$119,0)),Scoring!$A$4:$N$51,7,FALSE()),0)+1*IFERROR(VLOOKUP(INDEX(' Toto teams'!$G$4:$G$119,MATCH($B77,' Toto teams'!$A$4:$A$119,0)),Scoring!$A$4:$N$51,7,FALSE()),0)+1*IFERROR(VLOOKUP(INDEX(' Toto teams'!$H$4:$H$119,MATCH($B77,' Toto teams'!$A$4:$A$119,0)),Scoring!$A$4:$N$51,7,FALSE()),0))</f>
        <v>0</v>
      </c>
      <c r="E77" s="28">
        <f>IF($B77="","",6*IFERROR(VLOOKUP(INDEX(' Toto teams'!$B$4:$B$119,MATCH($B77,' Toto teams'!$A$4:$A$119,0)),Scoring!$A$4:$N$51,8,FALSE()),0)+4*IFERROR(VLOOKUP(INDEX(' Toto teams'!$C$4:$C$119,MATCH($B77,' Toto teams'!$A$4:$A$119,0)),Scoring!$A$4:$N$51,8,FALSE()),0)+3*IFERROR(VLOOKUP(INDEX(' Toto teams'!$D$4:$D$119,MATCH($B77,' Toto teams'!$A$4:$A$119,0)),Scoring!$A$4:$N$51,8,FALSE()),0)+2*IFERROR(VLOOKUP(INDEX(' Toto teams'!$E$4:$E$119,MATCH($B77,' Toto teams'!$A$4:$A$119,0)),Scoring!$A$4:$N$51,8,FALSE()),0)+1*IFERROR(VLOOKUP(INDEX(' Toto teams'!$F$4:$F$119,MATCH($B77,' Toto teams'!$A$4:$A$119,0)),Scoring!$A$4:$N$51,8,FALSE()),0)+1*IFERROR(VLOOKUP(INDEX(' Toto teams'!$G$4:$G$119,MATCH($B77,' Toto teams'!$A$4:$A$119,0)),Scoring!$A$4:$N$51,8,FALSE()),0)+1*IFERROR(VLOOKUP(INDEX(' Toto teams'!$H$4:$H$119,MATCH($B77,' Toto teams'!$A$4:$A$119,0)),Scoring!$A$4:$N$51,8,FALSE()),0))</f>
        <v>0</v>
      </c>
      <c r="F77" s="28">
        <f>IF($B77="","",6*IFERROR(VLOOKUP(INDEX(' Toto teams'!$B$4:$B$119,MATCH($B77,' Toto teams'!$A$4:$A$119,0)),Scoring!$A$4:$N$51,9,FALSE()),0)+4*IFERROR(VLOOKUP(INDEX(' Toto teams'!$C$4:$C$119,MATCH($B77,' Toto teams'!$A$4:$A$119,0)),Scoring!$A$4:$N$51,9,FALSE()),0)+3*IFERROR(VLOOKUP(INDEX(' Toto teams'!$D$4:$D$119,MATCH($B77,' Toto teams'!$A$4:$A$119,0)),Scoring!$A$4:$N$51,9,FALSE()),0)+2*IFERROR(VLOOKUP(INDEX(' Toto teams'!$E$4:$E$119,MATCH($B77,' Toto teams'!$A$4:$A$119,0)),Scoring!$A$4:$N$51,9,FALSE()),0)+1*IFERROR(VLOOKUP(INDEX(' Toto teams'!$F$4:$F$119,MATCH($B77,' Toto teams'!$A$4:$A$119,0)),Scoring!$A$4:$N$51,9,FALSE()),0)+1*IFERROR(VLOOKUP(INDEX(' Toto teams'!$G$4:$G$119,MATCH($B77,' Toto teams'!$A$4:$A$119,0)),Scoring!$A$4:$N$51,9,FALSE()),0)+1*IFERROR(VLOOKUP(INDEX(' Toto teams'!$H$4:$H$119,MATCH($B77,' Toto teams'!$A$4:$A$119,0)),Scoring!$A$4:$N$51,9,FALSE()),0))</f>
        <v>0</v>
      </c>
      <c r="G77" s="28">
        <f>IF($B77="","",6*IFERROR(VLOOKUP(INDEX(' Toto teams'!$B$4:$B$119,MATCH($B77,' Toto teams'!$A$4:$A$119,0)),Scoring!$A$4:$N$51,10,FALSE()),0)+4*IFERROR(VLOOKUP(INDEX(' Toto teams'!$C$4:$C$119,MATCH($B77,' Toto teams'!$A$4:$A$119,0)),Scoring!$A$4:$N$51,10,FALSE()),0)+3*IFERROR(VLOOKUP(INDEX(' Toto teams'!$D$4:$D$119,MATCH($B77,' Toto teams'!$A$4:$A$119,0)),Scoring!$A$4:$N$51,10,FALSE()),0)+2*IFERROR(VLOOKUP(INDEX(' Toto teams'!$E$4:$E$119,MATCH($B77,' Toto teams'!$A$4:$A$119,0)),Scoring!$A$4:$N$51,10,FALSE()),0)+1*IFERROR(VLOOKUP(INDEX(' Toto teams'!$F$4:$F$119,MATCH($B77,' Toto teams'!$A$4:$A$119,0)),Scoring!$A$4:$N$51,10,FALSE()),0)+1*IFERROR(VLOOKUP(INDEX(' Toto teams'!$G$4:$G$119,MATCH($B77,' Toto teams'!$A$4:$A$119,0)),Scoring!$A$4:$N$51,10,FALSE()),0)+1*IFERROR(VLOOKUP(INDEX(' Toto teams'!$H$4:$H$119,MATCH($B77,' Toto teams'!$A$4:$A$119,0)),Scoring!$A$4:$N$51,10,FALSE()),0))</f>
        <v>0</v>
      </c>
      <c r="H77" s="28">
        <f>IF($B77="","",6*IFERROR(VLOOKUP(INDEX(' Toto teams'!$B$4:$B$119,MATCH($B77,' Toto teams'!$A$4:$A$119,0)),Scoring!$A$4:$N$51,11,FALSE()),0)+4*IFERROR(VLOOKUP(INDEX(' Toto teams'!$C$4:$C$119,MATCH($B77,' Toto teams'!$A$4:$A$119,0)),Scoring!$A$4:$N$51,11,FALSE()),0)+3*IFERROR(VLOOKUP(INDEX(' Toto teams'!$D$4:$D$119,MATCH($B77,' Toto teams'!$A$4:$A$119,0)),Scoring!$A$4:$N$51,11,FALSE()),0)+2*IFERROR(VLOOKUP(INDEX(' Toto teams'!$E$4:$E$119,MATCH($B77,' Toto teams'!$A$4:$A$119,0)),Scoring!$A$4:$N$51,11,FALSE()),0)+1*IFERROR(VLOOKUP(INDEX(' Toto teams'!$F$4:$F$119,MATCH($B77,' Toto teams'!$A$4:$A$119,0)),Scoring!$A$4:$N$51,11,FALSE()),0)+1*IFERROR(VLOOKUP(INDEX(' Toto teams'!$G$4:$G$119,MATCH($B77,' Toto teams'!$A$4:$A$119,0)),Scoring!$A$4:$N$51,11,FALSE()),0)+1*IFERROR(VLOOKUP(INDEX(' Toto teams'!$H$4:$H$119,MATCH($B77,' Toto teams'!$A$4:$A$119,0)),Scoring!$A$4:$N$51,11,FALSE()),0))</f>
        <v>0</v>
      </c>
      <c r="I77" s="28">
        <f>IF($B77="","",6*IFERROR(VLOOKUP(INDEX(' Toto teams'!$B$4:$B$119,MATCH($B77,' Toto teams'!$A$4:$A$119,0)),Scoring!$A$4:$O$51,15,FALSE()),0)+4*IFERROR(VLOOKUP(INDEX(' Toto teams'!$C$4:$C$119,MATCH($B77,' Toto teams'!$A$4:$A$119,0)),Scoring!$A$4:$O$51,15,FALSE()),0)+3*IFERROR(VLOOKUP(INDEX(' Toto teams'!$D$4:$D$119,MATCH($B77,' Toto teams'!$A$4:$A$119,0)),Scoring!$A$4:$O$51,15,FALSE()),0)+2*IFERROR(VLOOKUP(INDEX(' Toto teams'!$E$4:$E$119,MATCH($B77,' Toto teams'!$A$4:$A$119,0)),Scoring!$A$4:$O$51,15,FALSE()),0)+1*IFERROR(VLOOKUP(INDEX(' Toto teams'!$F$4:$F$119,MATCH($B77,' Toto teams'!$A$4:$A$119,0)),Scoring!$A$4:$O$51,15,FALSE()),0)+1*IFERROR(VLOOKUP(INDEX(' Toto teams'!$G$4:$G$119,MATCH($B77,' Toto teams'!$A$4:$A$119,0)),Scoring!$A$4:$O$51,15,FALSE()),0)+1*IFERROR(VLOOKUP(INDEX(' Toto teams'!$H$4:$H$119,MATCH($B77,' Toto teams'!$A$4:$A$119,0)),Scoring!$A$4:$O$51,15,FALSE()),0))</f>
        <v>0</v>
      </c>
      <c r="J77" s="28">
        <f>IF($B77="","",6*IFERROR(VLOOKUP(INDEX(' Toto teams'!$B$4:$B$119,MATCH($B77,' Toto teams'!$A$4:$A$119,0)),Scoring!$A$4:$N$51,12,FALSE()),0)+4*IFERROR(VLOOKUP(INDEX(' Toto teams'!$C$4:$C$119,MATCH($B77,' Toto teams'!$A$4:$A$119,0)),Scoring!$A$4:$N$51,12,FALSE()),0)+3*IFERROR(VLOOKUP(INDEX(' Toto teams'!$D$4:$D$119,MATCH($B77,' Toto teams'!$A$4:$A$119,0)),Scoring!$A$4:$N$51,12,FALSE()),0)+2*IFERROR(VLOOKUP(INDEX(' Toto teams'!$E$4:$E$119,MATCH($B77,' Toto teams'!$A$4:$A$119,0)),Scoring!$A$4:$N$51,12,FALSE()),0)+1*IFERROR(VLOOKUP(INDEX(' Toto teams'!$F$4:$F$119,MATCH($B77,' Toto teams'!$A$4:$A$119,0)),Scoring!$A$4:$N$51,12,FALSE()),0)+1*IFERROR(VLOOKUP(INDEX(' Toto teams'!$G$4:$G$119,MATCH($B77,' Toto teams'!$A$4:$A$119,0)),Scoring!$A$4:$N$51,12,FALSE()),0)+1*IFERROR(VLOOKUP(INDEX(' Toto teams'!$H$4:$H$119,MATCH($B77,' Toto teams'!$A$4:$A$119,0)),Scoring!$A$4:$N$51,12,FALSE()),0))</f>
        <v>0</v>
      </c>
      <c r="K77" s="29">
        <f>IF($B77="","",IFERROR(INDEX(' Toto teams'!$R$4:$R$119,MATCH($B77,' Toto teams'!$A$4:$A$119,0)),""))</f>
        <v>0</v>
      </c>
      <c r="L77" s="30">
        <f t="shared" si="5"/>
        <v>0</v>
      </c>
    </row>
    <row r="78" spans="1:12" ht="12.75" customHeight="1" x14ac:dyDescent="0.3">
      <c r="A78" s="26">
        <f>IF(75&gt;COUNTIF(' Toto teams'!$A$4:$A$119,"&lt;&gt;"),"",INDEX(' Toto teams'!$S$4:$S$119,MATCH(LARGE(' Toto teams'!$T$4:$T$119,75),' Toto teams'!$T$4:$T$119,0)))</f>
        <v>63</v>
      </c>
      <c r="B78" s="27" t="str">
        <f>IF(75&gt;COUNTIF(' Toto teams'!$A$4:$A$119,"&lt;&gt;"),"",INDEX(' Toto teams'!$A$4:$A$119,MATCH(LARGE(' Toto teams'!$T$4:$T$119,75),' Toto teams'!$T$4:$T$119,0)))</f>
        <v>Algirdas Čižauskas</v>
      </c>
      <c r="C78" s="28">
        <f>IF($B78="","",6*(IFERROR(VLOOKUP(INDEX(' Toto teams'!$B$4:$B$119,MATCH($B78,' Toto teams'!$A$4:$A$119,0)),Scoring!$A$4:$N$51,3,FALSE()),0)+IFERROR(VLOOKUP(INDEX(' Toto teams'!$B$4:$B$119,MATCH($B78,' Toto teams'!$A$4:$A$119,0)),Scoring!$A$4:$N$51,4,FALSE()),0)+IFERROR(VLOOKUP(INDEX(' Toto teams'!$B$4:$B$119,MATCH($B78,' Toto teams'!$A$4:$A$119,0)),Scoring!$A$4:$N$51,5,FALSE()),0))+4*(IFERROR(VLOOKUP(INDEX(' Toto teams'!$C$4:$C$119,MATCH($B78,' Toto teams'!$A$4:$A$119,0)),Scoring!$A$4:$N$51,3,FALSE()),0)+IFERROR(VLOOKUP(INDEX(' Toto teams'!$C$4:$C$119,MATCH($B78,' Toto teams'!$A$4:$A$119,0)),Scoring!$A$4:$N$51,4,FALSE()),0)+IFERROR(VLOOKUP(INDEX(' Toto teams'!$C$4:$C$119,MATCH($B78,' Toto teams'!$A$4:$A$119,0)),Scoring!$A$4:$N$51,5,FALSE()),0))+3*(IFERROR(VLOOKUP(INDEX(' Toto teams'!$D$4:$D$119,MATCH($B78,' Toto teams'!$A$4:$A$119,0)),Scoring!$A$4:$N$51,3,FALSE()),0)+IFERROR(VLOOKUP(INDEX(' Toto teams'!$D$4:$D$119,MATCH($B78,' Toto teams'!$A$4:$A$119,0)),Scoring!$A$4:$N$51,4,FALSE()),0)+IFERROR(VLOOKUP(INDEX(' Toto teams'!$D$4:$D$119,MATCH($B78,' Toto teams'!$A$4:$A$119,0)),Scoring!$A$4:$N$51,5,FALSE()),0))+2*(IFERROR(VLOOKUP(INDEX(' Toto teams'!$E$4:$E$119,MATCH($B78,' Toto teams'!$A$4:$A$119,0)),Scoring!$A$4:$N$51,3,FALSE()),0)+IFERROR(VLOOKUP(INDEX(' Toto teams'!$E$4:$E$119,MATCH($B78,' Toto teams'!$A$4:$A$119,0)),Scoring!$A$4:$N$51,4,FALSE()),0)+IFERROR(VLOOKUP(INDEX(' Toto teams'!$E$4:$E$119,MATCH($B78,' Toto teams'!$A$4:$A$119,0)),Scoring!$A$4:$N$51,5,FALSE()),0))+1*(IFERROR(VLOOKUP(INDEX(' Toto teams'!$F$4:$F$119,MATCH($B78,' Toto teams'!$A$4:$A$119,0)),Scoring!$A$4:$N$51,3,FALSE()),0)+IFERROR(VLOOKUP(INDEX(' Toto teams'!$F$4:$F$119,MATCH($B78,' Toto teams'!$A$4:$A$119,0)),Scoring!$A$4:$N$51,4,FALSE()),0)+IFERROR(VLOOKUP(INDEX(' Toto teams'!$F$4:$F$119,MATCH($B78,' Toto teams'!$A$4:$A$119,0)),Scoring!$A$4:$N$51,5,FALSE()),0))+1*(IFERROR(VLOOKUP(INDEX(' Toto teams'!$G$4:$G$119,MATCH($B78,' Toto teams'!$A$4:$A$119,0)),Scoring!$A$4:$N$51,3,FALSE()),0)+IFERROR(VLOOKUP(INDEX(' Toto teams'!$G$4:$G$119,MATCH($B78,' Toto teams'!$A$4:$A$119,0)),Scoring!$A$4:$N$51,4,FALSE()),0)+IFERROR(VLOOKUP(INDEX(' Toto teams'!$G$4:$G$119,MATCH($B78,' Toto teams'!$A$4:$A$119,0)),Scoring!$A$4:$N$51,5,FALSE()),0))+1*(IFERROR(VLOOKUP(INDEX(' Toto teams'!$H$4:$H$119,MATCH($B78,' Toto teams'!$A$4:$A$119,0)),Scoring!$A$4:$N$51,3,FALSE()),0)+IFERROR(VLOOKUP(INDEX(' Toto teams'!$H$4:$H$119,MATCH($B78,' Toto teams'!$A$4:$A$119,0)),Scoring!$A$4:$N$51,4,FALSE()),0)+IFERROR(VLOOKUP(INDEX(' Toto teams'!$H$4:$H$119,MATCH($B78,' Toto teams'!$A$4:$A$119,0)),Scoring!$A$4:$N$51,5,FALSE()),0))+IFERROR(INDEX(' Toto teams'!$Q$4:$Q$119,MATCH($B78,' Toto teams'!$A$4:$A$119,0))*1,0))</f>
        <v>0</v>
      </c>
      <c r="D78" s="28">
        <f>IF($B78="","",6*IFERROR(VLOOKUP(INDEX(' Toto teams'!$B$4:$B$119,MATCH($B78,' Toto teams'!$A$4:$A$119,0)),Scoring!$A$4:$N$51,7,FALSE()),0)+4*IFERROR(VLOOKUP(INDEX(' Toto teams'!$C$4:$C$119,MATCH($B78,' Toto teams'!$A$4:$A$119,0)),Scoring!$A$4:$N$51,7,FALSE()),0)+3*IFERROR(VLOOKUP(INDEX(' Toto teams'!$D$4:$D$119,MATCH($B78,' Toto teams'!$A$4:$A$119,0)),Scoring!$A$4:$N$51,7,FALSE()),0)+2*IFERROR(VLOOKUP(INDEX(' Toto teams'!$E$4:$E$119,MATCH($B78,' Toto teams'!$A$4:$A$119,0)),Scoring!$A$4:$N$51,7,FALSE()),0)+1*IFERROR(VLOOKUP(INDEX(' Toto teams'!$F$4:$F$119,MATCH($B78,' Toto teams'!$A$4:$A$119,0)),Scoring!$A$4:$N$51,7,FALSE()),0)+1*IFERROR(VLOOKUP(INDEX(' Toto teams'!$G$4:$G$119,MATCH($B78,' Toto teams'!$A$4:$A$119,0)),Scoring!$A$4:$N$51,7,FALSE()),0)+1*IFERROR(VLOOKUP(INDEX(' Toto teams'!$H$4:$H$119,MATCH($B78,' Toto teams'!$A$4:$A$119,0)),Scoring!$A$4:$N$51,7,FALSE()),0))</f>
        <v>0</v>
      </c>
      <c r="E78" s="28">
        <f>IF($B78="","",6*IFERROR(VLOOKUP(INDEX(' Toto teams'!$B$4:$B$119,MATCH($B78,' Toto teams'!$A$4:$A$119,0)),Scoring!$A$4:$N$51,8,FALSE()),0)+4*IFERROR(VLOOKUP(INDEX(' Toto teams'!$C$4:$C$119,MATCH($B78,' Toto teams'!$A$4:$A$119,0)),Scoring!$A$4:$N$51,8,FALSE()),0)+3*IFERROR(VLOOKUP(INDEX(' Toto teams'!$D$4:$D$119,MATCH($B78,' Toto teams'!$A$4:$A$119,0)),Scoring!$A$4:$N$51,8,FALSE()),0)+2*IFERROR(VLOOKUP(INDEX(' Toto teams'!$E$4:$E$119,MATCH($B78,' Toto teams'!$A$4:$A$119,0)),Scoring!$A$4:$N$51,8,FALSE()),0)+1*IFERROR(VLOOKUP(INDEX(' Toto teams'!$F$4:$F$119,MATCH($B78,' Toto teams'!$A$4:$A$119,0)),Scoring!$A$4:$N$51,8,FALSE()),0)+1*IFERROR(VLOOKUP(INDEX(' Toto teams'!$G$4:$G$119,MATCH($B78,' Toto teams'!$A$4:$A$119,0)),Scoring!$A$4:$N$51,8,FALSE()),0)+1*IFERROR(VLOOKUP(INDEX(' Toto teams'!$H$4:$H$119,MATCH($B78,' Toto teams'!$A$4:$A$119,0)),Scoring!$A$4:$N$51,8,FALSE()),0))</f>
        <v>0</v>
      </c>
      <c r="F78" s="28">
        <f>IF($B78="","",6*IFERROR(VLOOKUP(INDEX(' Toto teams'!$B$4:$B$119,MATCH($B78,' Toto teams'!$A$4:$A$119,0)),Scoring!$A$4:$N$51,9,FALSE()),0)+4*IFERROR(VLOOKUP(INDEX(' Toto teams'!$C$4:$C$119,MATCH($B78,' Toto teams'!$A$4:$A$119,0)),Scoring!$A$4:$N$51,9,FALSE()),0)+3*IFERROR(VLOOKUP(INDEX(' Toto teams'!$D$4:$D$119,MATCH($B78,' Toto teams'!$A$4:$A$119,0)),Scoring!$A$4:$N$51,9,FALSE()),0)+2*IFERROR(VLOOKUP(INDEX(' Toto teams'!$E$4:$E$119,MATCH($B78,' Toto teams'!$A$4:$A$119,0)),Scoring!$A$4:$N$51,9,FALSE()),0)+1*IFERROR(VLOOKUP(INDEX(' Toto teams'!$F$4:$F$119,MATCH($B78,' Toto teams'!$A$4:$A$119,0)),Scoring!$A$4:$N$51,9,FALSE()),0)+1*IFERROR(VLOOKUP(INDEX(' Toto teams'!$G$4:$G$119,MATCH($B78,' Toto teams'!$A$4:$A$119,0)),Scoring!$A$4:$N$51,9,FALSE()),0)+1*IFERROR(VLOOKUP(INDEX(' Toto teams'!$H$4:$H$119,MATCH($B78,' Toto teams'!$A$4:$A$119,0)),Scoring!$A$4:$N$51,9,FALSE()),0))</f>
        <v>0</v>
      </c>
      <c r="G78" s="28">
        <f>IF($B78="","",6*IFERROR(VLOOKUP(INDEX(' Toto teams'!$B$4:$B$119,MATCH($B78,' Toto teams'!$A$4:$A$119,0)),Scoring!$A$4:$N$51,10,FALSE()),0)+4*IFERROR(VLOOKUP(INDEX(' Toto teams'!$C$4:$C$119,MATCH($B78,' Toto teams'!$A$4:$A$119,0)),Scoring!$A$4:$N$51,10,FALSE()),0)+3*IFERROR(VLOOKUP(INDEX(' Toto teams'!$D$4:$D$119,MATCH($B78,' Toto teams'!$A$4:$A$119,0)),Scoring!$A$4:$N$51,10,FALSE()),0)+2*IFERROR(VLOOKUP(INDEX(' Toto teams'!$E$4:$E$119,MATCH($B78,' Toto teams'!$A$4:$A$119,0)),Scoring!$A$4:$N$51,10,FALSE()),0)+1*IFERROR(VLOOKUP(INDEX(' Toto teams'!$F$4:$F$119,MATCH($B78,' Toto teams'!$A$4:$A$119,0)),Scoring!$A$4:$N$51,10,FALSE()),0)+1*IFERROR(VLOOKUP(INDEX(' Toto teams'!$G$4:$G$119,MATCH($B78,' Toto teams'!$A$4:$A$119,0)),Scoring!$A$4:$N$51,10,FALSE()),0)+1*IFERROR(VLOOKUP(INDEX(' Toto teams'!$H$4:$H$119,MATCH($B78,' Toto teams'!$A$4:$A$119,0)),Scoring!$A$4:$N$51,10,FALSE()),0))</f>
        <v>0</v>
      </c>
      <c r="H78" s="28">
        <f>IF($B78="","",6*IFERROR(VLOOKUP(INDEX(' Toto teams'!$B$4:$B$119,MATCH($B78,' Toto teams'!$A$4:$A$119,0)),Scoring!$A$4:$N$51,11,FALSE()),0)+4*IFERROR(VLOOKUP(INDEX(' Toto teams'!$C$4:$C$119,MATCH($B78,' Toto teams'!$A$4:$A$119,0)),Scoring!$A$4:$N$51,11,FALSE()),0)+3*IFERROR(VLOOKUP(INDEX(' Toto teams'!$D$4:$D$119,MATCH($B78,' Toto teams'!$A$4:$A$119,0)),Scoring!$A$4:$N$51,11,FALSE()),0)+2*IFERROR(VLOOKUP(INDEX(' Toto teams'!$E$4:$E$119,MATCH($B78,' Toto teams'!$A$4:$A$119,0)),Scoring!$A$4:$N$51,11,FALSE()),0)+1*IFERROR(VLOOKUP(INDEX(' Toto teams'!$F$4:$F$119,MATCH($B78,' Toto teams'!$A$4:$A$119,0)),Scoring!$A$4:$N$51,11,FALSE()),0)+1*IFERROR(VLOOKUP(INDEX(' Toto teams'!$G$4:$G$119,MATCH($B78,' Toto teams'!$A$4:$A$119,0)),Scoring!$A$4:$N$51,11,FALSE()),0)+1*IFERROR(VLOOKUP(INDEX(' Toto teams'!$H$4:$H$119,MATCH($B78,' Toto teams'!$A$4:$A$119,0)),Scoring!$A$4:$N$51,11,FALSE()),0))</f>
        <v>0</v>
      </c>
      <c r="I78" s="28">
        <f>IF($B78="","",6*IFERROR(VLOOKUP(INDEX(' Toto teams'!$B$4:$B$119,MATCH($B78,' Toto teams'!$A$4:$A$119,0)),Scoring!$A$4:$O$51,15,FALSE()),0)+4*IFERROR(VLOOKUP(INDEX(' Toto teams'!$C$4:$C$119,MATCH($B78,' Toto teams'!$A$4:$A$119,0)),Scoring!$A$4:$O$51,15,FALSE()),0)+3*IFERROR(VLOOKUP(INDEX(' Toto teams'!$D$4:$D$119,MATCH($B78,' Toto teams'!$A$4:$A$119,0)),Scoring!$A$4:$O$51,15,FALSE()),0)+2*IFERROR(VLOOKUP(INDEX(' Toto teams'!$E$4:$E$119,MATCH($B78,' Toto teams'!$A$4:$A$119,0)),Scoring!$A$4:$O$51,15,FALSE()),0)+1*IFERROR(VLOOKUP(INDEX(' Toto teams'!$F$4:$F$119,MATCH($B78,' Toto teams'!$A$4:$A$119,0)),Scoring!$A$4:$O$51,15,FALSE()),0)+1*IFERROR(VLOOKUP(INDEX(' Toto teams'!$G$4:$G$119,MATCH($B78,' Toto teams'!$A$4:$A$119,0)),Scoring!$A$4:$O$51,15,FALSE()),0)+1*IFERROR(VLOOKUP(INDEX(' Toto teams'!$H$4:$H$119,MATCH($B78,' Toto teams'!$A$4:$A$119,0)),Scoring!$A$4:$O$51,15,FALSE()),0))</f>
        <v>0</v>
      </c>
      <c r="J78" s="28">
        <f>IF($B78="","",6*IFERROR(VLOOKUP(INDEX(' Toto teams'!$B$4:$B$119,MATCH($B78,' Toto teams'!$A$4:$A$119,0)),Scoring!$A$4:$N$51,12,FALSE()),0)+4*IFERROR(VLOOKUP(INDEX(' Toto teams'!$C$4:$C$119,MATCH($B78,' Toto teams'!$A$4:$A$119,0)),Scoring!$A$4:$N$51,12,FALSE()),0)+3*IFERROR(VLOOKUP(INDEX(' Toto teams'!$D$4:$D$119,MATCH($B78,' Toto teams'!$A$4:$A$119,0)),Scoring!$A$4:$N$51,12,FALSE()),0)+2*IFERROR(VLOOKUP(INDEX(' Toto teams'!$E$4:$E$119,MATCH($B78,' Toto teams'!$A$4:$A$119,0)),Scoring!$A$4:$N$51,12,FALSE()),0)+1*IFERROR(VLOOKUP(INDEX(' Toto teams'!$F$4:$F$119,MATCH($B78,' Toto teams'!$A$4:$A$119,0)),Scoring!$A$4:$N$51,12,FALSE()),0)+1*IFERROR(VLOOKUP(INDEX(' Toto teams'!$G$4:$G$119,MATCH($B78,' Toto teams'!$A$4:$A$119,0)),Scoring!$A$4:$N$51,12,FALSE()),0)+1*IFERROR(VLOOKUP(INDEX(' Toto teams'!$H$4:$H$119,MATCH($B78,' Toto teams'!$A$4:$A$119,0)),Scoring!$A$4:$N$51,12,FALSE()),0))</f>
        <v>0</v>
      </c>
      <c r="K78" s="29">
        <f>IF($B78="","",IFERROR(INDEX(' Toto teams'!$R$4:$R$119,MATCH($B78,' Toto teams'!$A$4:$A$119,0)),""))</f>
        <v>0</v>
      </c>
      <c r="L78" s="30">
        <f t="shared" si="5"/>
        <v>0</v>
      </c>
    </row>
    <row r="79" spans="1:12" ht="12.75" customHeight="1" x14ac:dyDescent="0.3">
      <c r="A79" s="26">
        <f>IF(76&gt;COUNTIF(' Toto teams'!$A$4:$A$119,"&lt;&gt;"),"",INDEX(' Toto teams'!$S$4:$S$119,MATCH(LARGE(' Toto teams'!$T$4:$T$119,76),' Toto teams'!$T$4:$T$119,0)))</f>
        <v>63</v>
      </c>
      <c r="B79" s="27" t="str">
        <f>IF(76&gt;COUNTIF(' Toto teams'!$A$4:$A$119,"&lt;&gt;"),"",INDEX(' Toto teams'!$A$4:$A$119,MATCH(LARGE(' Toto teams'!$T$4:$T$119,76),' Toto teams'!$T$4:$T$119,0)))</f>
        <v>Giedrius Šadbaras</v>
      </c>
      <c r="C79" s="28">
        <f>IF($B79="","",6*(IFERROR(VLOOKUP(INDEX(' Toto teams'!$B$4:$B$119,MATCH($B79,' Toto teams'!$A$4:$A$119,0)),Scoring!$A$4:$N$51,3,FALSE()),0)+IFERROR(VLOOKUP(INDEX(' Toto teams'!$B$4:$B$119,MATCH($B79,' Toto teams'!$A$4:$A$119,0)),Scoring!$A$4:$N$51,4,FALSE()),0)+IFERROR(VLOOKUP(INDEX(' Toto teams'!$B$4:$B$119,MATCH($B79,' Toto teams'!$A$4:$A$119,0)),Scoring!$A$4:$N$51,5,FALSE()),0))+4*(IFERROR(VLOOKUP(INDEX(' Toto teams'!$C$4:$C$119,MATCH($B79,' Toto teams'!$A$4:$A$119,0)),Scoring!$A$4:$N$51,3,FALSE()),0)+IFERROR(VLOOKUP(INDEX(' Toto teams'!$C$4:$C$119,MATCH($B79,' Toto teams'!$A$4:$A$119,0)),Scoring!$A$4:$N$51,4,FALSE()),0)+IFERROR(VLOOKUP(INDEX(' Toto teams'!$C$4:$C$119,MATCH($B79,' Toto teams'!$A$4:$A$119,0)),Scoring!$A$4:$N$51,5,FALSE()),0))+3*(IFERROR(VLOOKUP(INDEX(' Toto teams'!$D$4:$D$119,MATCH($B79,' Toto teams'!$A$4:$A$119,0)),Scoring!$A$4:$N$51,3,FALSE()),0)+IFERROR(VLOOKUP(INDEX(' Toto teams'!$D$4:$D$119,MATCH($B79,' Toto teams'!$A$4:$A$119,0)),Scoring!$A$4:$N$51,4,FALSE()),0)+IFERROR(VLOOKUP(INDEX(' Toto teams'!$D$4:$D$119,MATCH($B79,' Toto teams'!$A$4:$A$119,0)),Scoring!$A$4:$N$51,5,FALSE()),0))+2*(IFERROR(VLOOKUP(INDEX(' Toto teams'!$E$4:$E$119,MATCH($B79,' Toto teams'!$A$4:$A$119,0)),Scoring!$A$4:$N$51,3,FALSE()),0)+IFERROR(VLOOKUP(INDEX(' Toto teams'!$E$4:$E$119,MATCH($B79,' Toto teams'!$A$4:$A$119,0)),Scoring!$A$4:$N$51,4,FALSE()),0)+IFERROR(VLOOKUP(INDEX(' Toto teams'!$E$4:$E$119,MATCH($B79,' Toto teams'!$A$4:$A$119,0)),Scoring!$A$4:$N$51,5,FALSE()),0))+1*(IFERROR(VLOOKUP(INDEX(' Toto teams'!$F$4:$F$119,MATCH($B79,' Toto teams'!$A$4:$A$119,0)),Scoring!$A$4:$N$51,3,FALSE()),0)+IFERROR(VLOOKUP(INDEX(' Toto teams'!$F$4:$F$119,MATCH($B79,' Toto teams'!$A$4:$A$119,0)),Scoring!$A$4:$N$51,4,FALSE()),0)+IFERROR(VLOOKUP(INDEX(' Toto teams'!$F$4:$F$119,MATCH($B79,' Toto teams'!$A$4:$A$119,0)),Scoring!$A$4:$N$51,5,FALSE()),0))+1*(IFERROR(VLOOKUP(INDEX(' Toto teams'!$G$4:$G$119,MATCH($B79,' Toto teams'!$A$4:$A$119,0)),Scoring!$A$4:$N$51,3,FALSE()),0)+IFERROR(VLOOKUP(INDEX(' Toto teams'!$G$4:$G$119,MATCH($B79,' Toto teams'!$A$4:$A$119,0)),Scoring!$A$4:$N$51,4,FALSE()),0)+IFERROR(VLOOKUP(INDEX(' Toto teams'!$G$4:$G$119,MATCH($B79,' Toto teams'!$A$4:$A$119,0)),Scoring!$A$4:$N$51,5,FALSE()),0))+1*(IFERROR(VLOOKUP(INDEX(' Toto teams'!$H$4:$H$119,MATCH($B79,' Toto teams'!$A$4:$A$119,0)),Scoring!$A$4:$N$51,3,FALSE()),0)+IFERROR(VLOOKUP(INDEX(' Toto teams'!$H$4:$H$119,MATCH($B79,' Toto teams'!$A$4:$A$119,0)),Scoring!$A$4:$N$51,4,FALSE()),0)+IFERROR(VLOOKUP(INDEX(' Toto teams'!$H$4:$H$119,MATCH($B79,' Toto teams'!$A$4:$A$119,0)),Scoring!$A$4:$N$51,5,FALSE()),0))+IFERROR(INDEX(' Toto teams'!$Q$4:$Q$119,MATCH($B79,' Toto teams'!$A$4:$A$119,0))*1,0))</f>
        <v>0</v>
      </c>
      <c r="D79" s="28">
        <f>IF($B79="","",6*IFERROR(VLOOKUP(INDEX(' Toto teams'!$B$4:$B$119,MATCH($B79,' Toto teams'!$A$4:$A$119,0)),Scoring!$A$4:$N$51,7,FALSE()),0)+4*IFERROR(VLOOKUP(INDEX(' Toto teams'!$C$4:$C$119,MATCH($B79,' Toto teams'!$A$4:$A$119,0)),Scoring!$A$4:$N$51,7,FALSE()),0)+3*IFERROR(VLOOKUP(INDEX(' Toto teams'!$D$4:$D$119,MATCH($B79,' Toto teams'!$A$4:$A$119,0)),Scoring!$A$4:$N$51,7,FALSE()),0)+2*IFERROR(VLOOKUP(INDEX(' Toto teams'!$E$4:$E$119,MATCH($B79,' Toto teams'!$A$4:$A$119,0)),Scoring!$A$4:$N$51,7,FALSE()),0)+1*IFERROR(VLOOKUP(INDEX(' Toto teams'!$F$4:$F$119,MATCH($B79,' Toto teams'!$A$4:$A$119,0)),Scoring!$A$4:$N$51,7,FALSE()),0)+1*IFERROR(VLOOKUP(INDEX(' Toto teams'!$G$4:$G$119,MATCH($B79,' Toto teams'!$A$4:$A$119,0)),Scoring!$A$4:$N$51,7,FALSE()),0)+1*IFERROR(VLOOKUP(INDEX(' Toto teams'!$H$4:$H$119,MATCH($B79,' Toto teams'!$A$4:$A$119,0)),Scoring!$A$4:$N$51,7,FALSE()),0))</f>
        <v>0</v>
      </c>
      <c r="E79" s="28">
        <f>IF($B79="","",6*IFERROR(VLOOKUP(INDEX(' Toto teams'!$B$4:$B$119,MATCH($B79,' Toto teams'!$A$4:$A$119,0)),Scoring!$A$4:$N$51,8,FALSE()),0)+4*IFERROR(VLOOKUP(INDEX(' Toto teams'!$C$4:$C$119,MATCH($B79,' Toto teams'!$A$4:$A$119,0)),Scoring!$A$4:$N$51,8,FALSE()),0)+3*IFERROR(VLOOKUP(INDEX(' Toto teams'!$D$4:$D$119,MATCH($B79,' Toto teams'!$A$4:$A$119,0)),Scoring!$A$4:$N$51,8,FALSE()),0)+2*IFERROR(VLOOKUP(INDEX(' Toto teams'!$E$4:$E$119,MATCH($B79,' Toto teams'!$A$4:$A$119,0)),Scoring!$A$4:$N$51,8,FALSE()),0)+1*IFERROR(VLOOKUP(INDEX(' Toto teams'!$F$4:$F$119,MATCH($B79,' Toto teams'!$A$4:$A$119,0)),Scoring!$A$4:$N$51,8,FALSE()),0)+1*IFERROR(VLOOKUP(INDEX(' Toto teams'!$G$4:$G$119,MATCH($B79,' Toto teams'!$A$4:$A$119,0)),Scoring!$A$4:$N$51,8,FALSE()),0)+1*IFERROR(VLOOKUP(INDEX(' Toto teams'!$H$4:$H$119,MATCH($B79,' Toto teams'!$A$4:$A$119,0)),Scoring!$A$4:$N$51,8,FALSE()),0))</f>
        <v>0</v>
      </c>
      <c r="F79" s="28">
        <f>IF($B79="","",6*IFERROR(VLOOKUP(INDEX(' Toto teams'!$B$4:$B$119,MATCH($B79,' Toto teams'!$A$4:$A$119,0)),Scoring!$A$4:$N$51,9,FALSE()),0)+4*IFERROR(VLOOKUP(INDEX(' Toto teams'!$C$4:$C$119,MATCH($B79,' Toto teams'!$A$4:$A$119,0)),Scoring!$A$4:$N$51,9,FALSE()),0)+3*IFERROR(VLOOKUP(INDEX(' Toto teams'!$D$4:$D$119,MATCH($B79,' Toto teams'!$A$4:$A$119,0)),Scoring!$A$4:$N$51,9,FALSE()),0)+2*IFERROR(VLOOKUP(INDEX(' Toto teams'!$E$4:$E$119,MATCH($B79,' Toto teams'!$A$4:$A$119,0)),Scoring!$A$4:$N$51,9,FALSE()),0)+1*IFERROR(VLOOKUP(INDEX(' Toto teams'!$F$4:$F$119,MATCH($B79,' Toto teams'!$A$4:$A$119,0)),Scoring!$A$4:$N$51,9,FALSE()),0)+1*IFERROR(VLOOKUP(INDEX(' Toto teams'!$G$4:$G$119,MATCH($B79,' Toto teams'!$A$4:$A$119,0)),Scoring!$A$4:$N$51,9,FALSE()),0)+1*IFERROR(VLOOKUP(INDEX(' Toto teams'!$H$4:$H$119,MATCH($B79,' Toto teams'!$A$4:$A$119,0)),Scoring!$A$4:$N$51,9,FALSE()),0))</f>
        <v>0</v>
      </c>
      <c r="G79" s="28">
        <f>IF($B79="","",6*IFERROR(VLOOKUP(INDEX(' Toto teams'!$B$4:$B$119,MATCH($B79,' Toto teams'!$A$4:$A$119,0)),Scoring!$A$4:$N$51,10,FALSE()),0)+4*IFERROR(VLOOKUP(INDEX(' Toto teams'!$C$4:$C$119,MATCH($B79,' Toto teams'!$A$4:$A$119,0)),Scoring!$A$4:$N$51,10,FALSE()),0)+3*IFERROR(VLOOKUP(INDEX(' Toto teams'!$D$4:$D$119,MATCH($B79,' Toto teams'!$A$4:$A$119,0)),Scoring!$A$4:$N$51,10,FALSE()),0)+2*IFERROR(VLOOKUP(INDEX(' Toto teams'!$E$4:$E$119,MATCH($B79,' Toto teams'!$A$4:$A$119,0)),Scoring!$A$4:$N$51,10,FALSE()),0)+1*IFERROR(VLOOKUP(INDEX(' Toto teams'!$F$4:$F$119,MATCH($B79,' Toto teams'!$A$4:$A$119,0)),Scoring!$A$4:$N$51,10,FALSE()),0)+1*IFERROR(VLOOKUP(INDEX(' Toto teams'!$G$4:$G$119,MATCH($B79,' Toto teams'!$A$4:$A$119,0)),Scoring!$A$4:$N$51,10,FALSE()),0)+1*IFERROR(VLOOKUP(INDEX(' Toto teams'!$H$4:$H$119,MATCH($B79,' Toto teams'!$A$4:$A$119,0)),Scoring!$A$4:$N$51,10,FALSE()),0))</f>
        <v>0</v>
      </c>
      <c r="H79" s="28">
        <f>IF($B79="","",6*IFERROR(VLOOKUP(INDEX(' Toto teams'!$B$4:$B$119,MATCH($B79,' Toto teams'!$A$4:$A$119,0)),Scoring!$A$4:$N$51,11,FALSE()),0)+4*IFERROR(VLOOKUP(INDEX(' Toto teams'!$C$4:$C$119,MATCH($B79,' Toto teams'!$A$4:$A$119,0)),Scoring!$A$4:$N$51,11,FALSE()),0)+3*IFERROR(VLOOKUP(INDEX(' Toto teams'!$D$4:$D$119,MATCH($B79,' Toto teams'!$A$4:$A$119,0)),Scoring!$A$4:$N$51,11,FALSE()),0)+2*IFERROR(VLOOKUP(INDEX(' Toto teams'!$E$4:$E$119,MATCH($B79,' Toto teams'!$A$4:$A$119,0)),Scoring!$A$4:$N$51,11,FALSE()),0)+1*IFERROR(VLOOKUP(INDEX(' Toto teams'!$F$4:$F$119,MATCH($B79,' Toto teams'!$A$4:$A$119,0)),Scoring!$A$4:$N$51,11,FALSE()),0)+1*IFERROR(VLOOKUP(INDEX(' Toto teams'!$G$4:$G$119,MATCH($B79,' Toto teams'!$A$4:$A$119,0)),Scoring!$A$4:$N$51,11,FALSE()),0)+1*IFERROR(VLOOKUP(INDEX(' Toto teams'!$H$4:$H$119,MATCH($B79,' Toto teams'!$A$4:$A$119,0)),Scoring!$A$4:$N$51,11,FALSE()),0))</f>
        <v>0</v>
      </c>
      <c r="I79" s="28">
        <f>IF($B79="","",6*IFERROR(VLOOKUP(INDEX(' Toto teams'!$B$4:$B$119,MATCH($B79,' Toto teams'!$A$4:$A$119,0)),Scoring!$A$4:$O$51,15,FALSE()),0)+4*IFERROR(VLOOKUP(INDEX(' Toto teams'!$C$4:$C$119,MATCH($B79,' Toto teams'!$A$4:$A$119,0)),Scoring!$A$4:$O$51,15,FALSE()),0)+3*IFERROR(VLOOKUP(INDEX(' Toto teams'!$D$4:$D$119,MATCH($B79,' Toto teams'!$A$4:$A$119,0)),Scoring!$A$4:$O$51,15,FALSE()),0)+2*IFERROR(VLOOKUP(INDEX(' Toto teams'!$E$4:$E$119,MATCH($B79,' Toto teams'!$A$4:$A$119,0)),Scoring!$A$4:$O$51,15,FALSE()),0)+1*IFERROR(VLOOKUP(INDEX(' Toto teams'!$F$4:$F$119,MATCH($B79,' Toto teams'!$A$4:$A$119,0)),Scoring!$A$4:$O$51,15,FALSE()),0)+1*IFERROR(VLOOKUP(INDEX(' Toto teams'!$G$4:$G$119,MATCH($B79,' Toto teams'!$A$4:$A$119,0)),Scoring!$A$4:$O$51,15,FALSE()),0)+1*IFERROR(VLOOKUP(INDEX(' Toto teams'!$H$4:$H$119,MATCH($B79,' Toto teams'!$A$4:$A$119,0)),Scoring!$A$4:$O$51,15,FALSE()),0))</f>
        <v>0</v>
      </c>
      <c r="J79" s="28">
        <f>IF($B79="","",6*IFERROR(VLOOKUP(INDEX(' Toto teams'!$B$4:$B$119,MATCH($B79,' Toto teams'!$A$4:$A$119,0)),Scoring!$A$4:$N$51,12,FALSE()),0)+4*IFERROR(VLOOKUP(INDEX(' Toto teams'!$C$4:$C$119,MATCH($B79,' Toto teams'!$A$4:$A$119,0)),Scoring!$A$4:$N$51,12,FALSE()),0)+3*IFERROR(VLOOKUP(INDEX(' Toto teams'!$D$4:$D$119,MATCH($B79,' Toto teams'!$A$4:$A$119,0)),Scoring!$A$4:$N$51,12,FALSE()),0)+2*IFERROR(VLOOKUP(INDEX(' Toto teams'!$E$4:$E$119,MATCH($B79,' Toto teams'!$A$4:$A$119,0)),Scoring!$A$4:$N$51,12,FALSE()),0)+1*IFERROR(VLOOKUP(INDEX(' Toto teams'!$F$4:$F$119,MATCH($B79,' Toto teams'!$A$4:$A$119,0)),Scoring!$A$4:$N$51,12,FALSE()),0)+1*IFERROR(VLOOKUP(INDEX(' Toto teams'!$G$4:$G$119,MATCH($B79,' Toto teams'!$A$4:$A$119,0)),Scoring!$A$4:$N$51,12,FALSE()),0)+1*IFERROR(VLOOKUP(INDEX(' Toto teams'!$H$4:$H$119,MATCH($B79,' Toto teams'!$A$4:$A$119,0)),Scoring!$A$4:$N$51,12,FALSE()),0))</f>
        <v>0</v>
      </c>
      <c r="K79" s="29">
        <f>IF($B79="","",IFERROR(INDEX(' Toto teams'!$R$4:$R$119,MATCH($B79,' Toto teams'!$A$4:$A$119,0)),""))</f>
        <v>0</v>
      </c>
      <c r="L79" s="30">
        <f t="shared" si="5"/>
        <v>0</v>
      </c>
    </row>
    <row r="80" spans="1:12" ht="12.75" customHeight="1" x14ac:dyDescent="0.3">
      <c r="A80" s="26">
        <f>IF(77&gt;COUNTIF(' Toto teams'!$A$4:$A$119,"&lt;&gt;"),"",INDEX(' Toto teams'!$S$4:$S$119,MATCH(LARGE(' Toto teams'!$T$4:$T$119,77),' Toto teams'!$T$4:$T$119,0)))</f>
        <v>63</v>
      </c>
      <c r="B80" s="27" t="str">
        <f>IF(77&gt;COUNTIF(' Toto teams'!$A$4:$A$119,"&lt;&gt;"),"",INDEX(' Toto teams'!$A$4:$A$119,MATCH(LARGE(' Toto teams'!$T$4:$T$119,77),' Toto teams'!$T$4:$T$119,0)))</f>
        <v>Dainius Breivė</v>
      </c>
      <c r="C80" s="28">
        <f>IF($B80="","",6*(IFERROR(VLOOKUP(INDEX(' Toto teams'!$B$4:$B$119,MATCH($B80,' Toto teams'!$A$4:$A$119,0)),Scoring!$A$4:$N$51,3,FALSE()),0)+IFERROR(VLOOKUP(INDEX(' Toto teams'!$B$4:$B$119,MATCH($B80,' Toto teams'!$A$4:$A$119,0)),Scoring!$A$4:$N$51,4,FALSE()),0)+IFERROR(VLOOKUP(INDEX(' Toto teams'!$B$4:$B$119,MATCH($B80,' Toto teams'!$A$4:$A$119,0)),Scoring!$A$4:$N$51,5,FALSE()),0))+4*(IFERROR(VLOOKUP(INDEX(' Toto teams'!$C$4:$C$119,MATCH($B80,' Toto teams'!$A$4:$A$119,0)),Scoring!$A$4:$N$51,3,FALSE()),0)+IFERROR(VLOOKUP(INDEX(' Toto teams'!$C$4:$C$119,MATCH($B80,' Toto teams'!$A$4:$A$119,0)),Scoring!$A$4:$N$51,4,FALSE()),0)+IFERROR(VLOOKUP(INDEX(' Toto teams'!$C$4:$C$119,MATCH($B80,' Toto teams'!$A$4:$A$119,0)),Scoring!$A$4:$N$51,5,FALSE()),0))+3*(IFERROR(VLOOKUP(INDEX(' Toto teams'!$D$4:$D$119,MATCH($B80,' Toto teams'!$A$4:$A$119,0)),Scoring!$A$4:$N$51,3,FALSE()),0)+IFERROR(VLOOKUP(INDEX(' Toto teams'!$D$4:$D$119,MATCH($B80,' Toto teams'!$A$4:$A$119,0)),Scoring!$A$4:$N$51,4,FALSE()),0)+IFERROR(VLOOKUP(INDEX(' Toto teams'!$D$4:$D$119,MATCH($B80,' Toto teams'!$A$4:$A$119,0)),Scoring!$A$4:$N$51,5,FALSE()),0))+2*(IFERROR(VLOOKUP(INDEX(' Toto teams'!$E$4:$E$119,MATCH($B80,' Toto teams'!$A$4:$A$119,0)),Scoring!$A$4:$N$51,3,FALSE()),0)+IFERROR(VLOOKUP(INDEX(' Toto teams'!$E$4:$E$119,MATCH($B80,' Toto teams'!$A$4:$A$119,0)),Scoring!$A$4:$N$51,4,FALSE()),0)+IFERROR(VLOOKUP(INDEX(' Toto teams'!$E$4:$E$119,MATCH($B80,' Toto teams'!$A$4:$A$119,0)),Scoring!$A$4:$N$51,5,FALSE()),0))+1*(IFERROR(VLOOKUP(INDEX(' Toto teams'!$F$4:$F$119,MATCH($B80,' Toto teams'!$A$4:$A$119,0)),Scoring!$A$4:$N$51,3,FALSE()),0)+IFERROR(VLOOKUP(INDEX(' Toto teams'!$F$4:$F$119,MATCH($B80,' Toto teams'!$A$4:$A$119,0)),Scoring!$A$4:$N$51,4,FALSE()),0)+IFERROR(VLOOKUP(INDEX(' Toto teams'!$F$4:$F$119,MATCH($B80,' Toto teams'!$A$4:$A$119,0)),Scoring!$A$4:$N$51,5,FALSE()),0))+1*(IFERROR(VLOOKUP(INDEX(' Toto teams'!$G$4:$G$119,MATCH($B80,' Toto teams'!$A$4:$A$119,0)),Scoring!$A$4:$N$51,3,FALSE()),0)+IFERROR(VLOOKUP(INDEX(' Toto teams'!$G$4:$G$119,MATCH($B80,' Toto teams'!$A$4:$A$119,0)),Scoring!$A$4:$N$51,4,FALSE()),0)+IFERROR(VLOOKUP(INDEX(' Toto teams'!$G$4:$G$119,MATCH($B80,' Toto teams'!$A$4:$A$119,0)),Scoring!$A$4:$N$51,5,FALSE()),0))+1*(IFERROR(VLOOKUP(INDEX(' Toto teams'!$H$4:$H$119,MATCH($B80,' Toto teams'!$A$4:$A$119,0)),Scoring!$A$4:$N$51,3,FALSE()),0)+IFERROR(VLOOKUP(INDEX(' Toto teams'!$H$4:$H$119,MATCH($B80,' Toto teams'!$A$4:$A$119,0)),Scoring!$A$4:$N$51,4,FALSE()),0)+IFERROR(VLOOKUP(INDEX(' Toto teams'!$H$4:$H$119,MATCH($B80,' Toto teams'!$A$4:$A$119,0)),Scoring!$A$4:$N$51,5,FALSE()),0))+IFERROR(INDEX(' Toto teams'!$Q$4:$Q$119,MATCH($B80,' Toto teams'!$A$4:$A$119,0))*1,0))</f>
        <v>0</v>
      </c>
      <c r="D80" s="28">
        <f>IF($B80="","",6*IFERROR(VLOOKUP(INDEX(' Toto teams'!$B$4:$B$119,MATCH($B80,' Toto teams'!$A$4:$A$119,0)),Scoring!$A$4:$N$51,7,FALSE()),0)+4*IFERROR(VLOOKUP(INDEX(' Toto teams'!$C$4:$C$119,MATCH($B80,' Toto teams'!$A$4:$A$119,0)),Scoring!$A$4:$N$51,7,FALSE()),0)+3*IFERROR(VLOOKUP(INDEX(' Toto teams'!$D$4:$D$119,MATCH($B80,' Toto teams'!$A$4:$A$119,0)),Scoring!$A$4:$N$51,7,FALSE()),0)+2*IFERROR(VLOOKUP(INDEX(' Toto teams'!$E$4:$E$119,MATCH($B80,' Toto teams'!$A$4:$A$119,0)),Scoring!$A$4:$N$51,7,FALSE()),0)+1*IFERROR(VLOOKUP(INDEX(' Toto teams'!$F$4:$F$119,MATCH($B80,' Toto teams'!$A$4:$A$119,0)),Scoring!$A$4:$N$51,7,FALSE()),0)+1*IFERROR(VLOOKUP(INDEX(' Toto teams'!$G$4:$G$119,MATCH($B80,' Toto teams'!$A$4:$A$119,0)),Scoring!$A$4:$N$51,7,FALSE()),0)+1*IFERROR(VLOOKUP(INDEX(' Toto teams'!$H$4:$H$119,MATCH($B80,' Toto teams'!$A$4:$A$119,0)),Scoring!$A$4:$N$51,7,FALSE()),0))</f>
        <v>0</v>
      </c>
      <c r="E80" s="28">
        <f>IF($B80="","",6*IFERROR(VLOOKUP(INDEX(' Toto teams'!$B$4:$B$119,MATCH($B80,' Toto teams'!$A$4:$A$119,0)),Scoring!$A$4:$N$51,8,FALSE()),0)+4*IFERROR(VLOOKUP(INDEX(' Toto teams'!$C$4:$C$119,MATCH($B80,' Toto teams'!$A$4:$A$119,0)),Scoring!$A$4:$N$51,8,FALSE()),0)+3*IFERROR(VLOOKUP(INDEX(' Toto teams'!$D$4:$D$119,MATCH($B80,' Toto teams'!$A$4:$A$119,0)),Scoring!$A$4:$N$51,8,FALSE()),0)+2*IFERROR(VLOOKUP(INDEX(' Toto teams'!$E$4:$E$119,MATCH($B80,' Toto teams'!$A$4:$A$119,0)),Scoring!$A$4:$N$51,8,FALSE()),0)+1*IFERROR(VLOOKUP(INDEX(' Toto teams'!$F$4:$F$119,MATCH($B80,' Toto teams'!$A$4:$A$119,0)),Scoring!$A$4:$N$51,8,FALSE()),0)+1*IFERROR(VLOOKUP(INDEX(' Toto teams'!$G$4:$G$119,MATCH($B80,' Toto teams'!$A$4:$A$119,0)),Scoring!$A$4:$N$51,8,FALSE()),0)+1*IFERROR(VLOOKUP(INDEX(' Toto teams'!$H$4:$H$119,MATCH($B80,' Toto teams'!$A$4:$A$119,0)),Scoring!$A$4:$N$51,8,FALSE()),0))</f>
        <v>0</v>
      </c>
      <c r="F80" s="28">
        <f>IF($B80="","",6*IFERROR(VLOOKUP(INDEX(' Toto teams'!$B$4:$B$119,MATCH($B80,' Toto teams'!$A$4:$A$119,0)),Scoring!$A$4:$N$51,9,FALSE()),0)+4*IFERROR(VLOOKUP(INDEX(' Toto teams'!$C$4:$C$119,MATCH($B80,' Toto teams'!$A$4:$A$119,0)),Scoring!$A$4:$N$51,9,FALSE()),0)+3*IFERROR(VLOOKUP(INDEX(' Toto teams'!$D$4:$D$119,MATCH($B80,' Toto teams'!$A$4:$A$119,0)),Scoring!$A$4:$N$51,9,FALSE()),0)+2*IFERROR(VLOOKUP(INDEX(' Toto teams'!$E$4:$E$119,MATCH($B80,' Toto teams'!$A$4:$A$119,0)),Scoring!$A$4:$N$51,9,FALSE()),0)+1*IFERROR(VLOOKUP(INDEX(' Toto teams'!$F$4:$F$119,MATCH($B80,' Toto teams'!$A$4:$A$119,0)),Scoring!$A$4:$N$51,9,FALSE()),0)+1*IFERROR(VLOOKUP(INDEX(' Toto teams'!$G$4:$G$119,MATCH($B80,' Toto teams'!$A$4:$A$119,0)),Scoring!$A$4:$N$51,9,FALSE()),0)+1*IFERROR(VLOOKUP(INDEX(' Toto teams'!$H$4:$H$119,MATCH($B80,' Toto teams'!$A$4:$A$119,0)),Scoring!$A$4:$N$51,9,FALSE()),0))</f>
        <v>0</v>
      </c>
      <c r="G80" s="28">
        <f>IF($B80="","",6*IFERROR(VLOOKUP(INDEX(' Toto teams'!$B$4:$B$119,MATCH($B80,' Toto teams'!$A$4:$A$119,0)),Scoring!$A$4:$N$51,10,FALSE()),0)+4*IFERROR(VLOOKUP(INDEX(' Toto teams'!$C$4:$C$119,MATCH($B80,' Toto teams'!$A$4:$A$119,0)),Scoring!$A$4:$N$51,10,FALSE()),0)+3*IFERROR(VLOOKUP(INDEX(' Toto teams'!$D$4:$D$119,MATCH($B80,' Toto teams'!$A$4:$A$119,0)),Scoring!$A$4:$N$51,10,FALSE()),0)+2*IFERROR(VLOOKUP(INDEX(' Toto teams'!$E$4:$E$119,MATCH($B80,' Toto teams'!$A$4:$A$119,0)),Scoring!$A$4:$N$51,10,FALSE()),0)+1*IFERROR(VLOOKUP(INDEX(' Toto teams'!$F$4:$F$119,MATCH($B80,' Toto teams'!$A$4:$A$119,0)),Scoring!$A$4:$N$51,10,FALSE()),0)+1*IFERROR(VLOOKUP(INDEX(' Toto teams'!$G$4:$G$119,MATCH($B80,' Toto teams'!$A$4:$A$119,0)),Scoring!$A$4:$N$51,10,FALSE()),0)+1*IFERROR(VLOOKUP(INDEX(' Toto teams'!$H$4:$H$119,MATCH($B80,' Toto teams'!$A$4:$A$119,0)),Scoring!$A$4:$N$51,10,FALSE()),0))</f>
        <v>0</v>
      </c>
      <c r="H80" s="28">
        <f>IF($B80="","",6*IFERROR(VLOOKUP(INDEX(' Toto teams'!$B$4:$B$119,MATCH($B80,' Toto teams'!$A$4:$A$119,0)),Scoring!$A$4:$N$51,11,FALSE()),0)+4*IFERROR(VLOOKUP(INDEX(' Toto teams'!$C$4:$C$119,MATCH($B80,' Toto teams'!$A$4:$A$119,0)),Scoring!$A$4:$N$51,11,FALSE()),0)+3*IFERROR(VLOOKUP(INDEX(' Toto teams'!$D$4:$D$119,MATCH($B80,' Toto teams'!$A$4:$A$119,0)),Scoring!$A$4:$N$51,11,FALSE()),0)+2*IFERROR(VLOOKUP(INDEX(' Toto teams'!$E$4:$E$119,MATCH($B80,' Toto teams'!$A$4:$A$119,0)),Scoring!$A$4:$N$51,11,FALSE()),0)+1*IFERROR(VLOOKUP(INDEX(' Toto teams'!$F$4:$F$119,MATCH($B80,' Toto teams'!$A$4:$A$119,0)),Scoring!$A$4:$N$51,11,FALSE()),0)+1*IFERROR(VLOOKUP(INDEX(' Toto teams'!$G$4:$G$119,MATCH($B80,' Toto teams'!$A$4:$A$119,0)),Scoring!$A$4:$N$51,11,FALSE()),0)+1*IFERROR(VLOOKUP(INDEX(' Toto teams'!$H$4:$H$119,MATCH($B80,' Toto teams'!$A$4:$A$119,0)),Scoring!$A$4:$N$51,11,FALSE()),0))</f>
        <v>0</v>
      </c>
      <c r="I80" s="28">
        <f>IF($B80="","",6*IFERROR(VLOOKUP(INDEX(' Toto teams'!$B$4:$B$119,MATCH($B80,' Toto teams'!$A$4:$A$119,0)),Scoring!$A$4:$O$51,15,FALSE()),0)+4*IFERROR(VLOOKUP(INDEX(' Toto teams'!$C$4:$C$119,MATCH($B80,' Toto teams'!$A$4:$A$119,0)),Scoring!$A$4:$O$51,15,FALSE()),0)+3*IFERROR(VLOOKUP(INDEX(' Toto teams'!$D$4:$D$119,MATCH($B80,' Toto teams'!$A$4:$A$119,0)),Scoring!$A$4:$O$51,15,FALSE()),0)+2*IFERROR(VLOOKUP(INDEX(' Toto teams'!$E$4:$E$119,MATCH($B80,' Toto teams'!$A$4:$A$119,0)),Scoring!$A$4:$O$51,15,FALSE()),0)+1*IFERROR(VLOOKUP(INDEX(' Toto teams'!$F$4:$F$119,MATCH($B80,' Toto teams'!$A$4:$A$119,0)),Scoring!$A$4:$O$51,15,FALSE()),0)+1*IFERROR(VLOOKUP(INDEX(' Toto teams'!$G$4:$G$119,MATCH($B80,' Toto teams'!$A$4:$A$119,0)),Scoring!$A$4:$O$51,15,FALSE()),0)+1*IFERROR(VLOOKUP(INDEX(' Toto teams'!$H$4:$H$119,MATCH($B80,' Toto teams'!$A$4:$A$119,0)),Scoring!$A$4:$O$51,15,FALSE()),0))</f>
        <v>0</v>
      </c>
      <c r="J80" s="28">
        <f>IF($B80="","",6*IFERROR(VLOOKUP(INDEX(' Toto teams'!$B$4:$B$119,MATCH($B80,' Toto teams'!$A$4:$A$119,0)),Scoring!$A$4:$N$51,12,FALSE()),0)+4*IFERROR(VLOOKUP(INDEX(' Toto teams'!$C$4:$C$119,MATCH($B80,' Toto teams'!$A$4:$A$119,0)),Scoring!$A$4:$N$51,12,FALSE()),0)+3*IFERROR(VLOOKUP(INDEX(' Toto teams'!$D$4:$D$119,MATCH($B80,' Toto teams'!$A$4:$A$119,0)),Scoring!$A$4:$N$51,12,FALSE()),0)+2*IFERROR(VLOOKUP(INDEX(' Toto teams'!$E$4:$E$119,MATCH($B80,' Toto teams'!$A$4:$A$119,0)),Scoring!$A$4:$N$51,12,FALSE()),0)+1*IFERROR(VLOOKUP(INDEX(' Toto teams'!$F$4:$F$119,MATCH($B80,' Toto teams'!$A$4:$A$119,0)),Scoring!$A$4:$N$51,12,FALSE()),0)+1*IFERROR(VLOOKUP(INDEX(' Toto teams'!$G$4:$G$119,MATCH($B80,' Toto teams'!$A$4:$A$119,0)),Scoring!$A$4:$N$51,12,FALSE()),0)+1*IFERROR(VLOOKUP(INDEX(' Toto teams'!$H$4:$H$119,MATCH($B80,' Toto teams'!$A$4:$A$119,0)),Scoring!$A$4:$N$51,12,FALSE()),0))</f>
        <v>0</v>
      </c>
      <c r="K80" s="29">
        <f>IF($B80="","",IFERROR(INDEX(' Toto teams'!$R$4:$R$119,MATCH($B80,' Toto teams'!$A$4:$A$119,0)),""))</f>
        <v>0</v>
      </c>
      <c r="L80" s="30">
        <f t="shared" si="5"/>
        <v>0</v>
      </c>
    </row>
    <row r="81" spans="1:12" ht="12.75" customHeight="1" x14ac:dyDescent="0.3">
      <c r="A81" s="26">
        <f>IF(78&gt;COUNTIF(' Toto teams'!$A$4:$A$119,"&lt;&gt;"),"",INDEX(' Toto teams'!$S$4:$S$119,MATCH(LARGE(' Toto teams'!$T$4:$T$119,78),' Toto teams'!$T$4:$T$119,0)))</f>
        <v>63</v>
      </c>
      <c r="B81" s="27" t="str">
        <f>IF(78&gt;COUNTIF(' Toto teams'!$A$4:$A$119,"&lt;&gt;"),"",INDEX(' Toto teams'!$A$4:$A$119,MATCH(LARGE(' Toto teams'!$T$4:$T$119,78),' Toto teams'!$T$4:$T$119,0)))</f>
        <v>Juozas Žimkus Jr</v>
      </c>
      <c r="C81" s="28">
        <f>IF($B81="","",6*(IFERROR(VLOOKUP(INDEX(' Toto teams'!$B$4:$B$119,MATCH($B81,' Toto teams'!$A$4:$A$119,0)),Scoring!$A$4:$N$51,3,FALSE()),0)+IFERROR(VLOOKUP(INDEX(' Toto teams'!$B$4:$B$119,MATCH($B81,' Toto teams'!$A$4:$A$119,0)),Scoring!$A$4:$N$51,4,FALSE()),0)+IFERROR(VLOOKUP(INDEX(' Toto teams'!$B$4:$B$119,MATCH($B81,' Toto teams'!$A$4:$A$119,0)),Scoring!$A$4:$N$51,5,FALSE()),0))+4*(IFERROR(VLOOKUP(INDEX(' Toto teams'!$C$4:$C$119,MATCH($B81,' Toto teams'!$A$4:$A$119,0)),Scoring!$A$4:$N$51,3,FALSE()),0)+IFERROR(VLOOKUP(INDEX(' Toto teams'!$C$4:$C$119,MATCH($B81,' Toto teams'!$A$4:$A$119,0)),Scoring!$A$4:$N$51,4,FALSE()),0)+IFERROR(VLOOKUP(INDEX(' Toto teams'!$C$4:$C$119,MATCH($B81,' Toto teams'!$A$4:$A$119,0)),Scoring!$A$4:$N$51,5,FALSE()),0))+3*(IFERROR(VLOOKUP(INDEX(' Toto teams'!$D$4:$D$119,MATCH($B81,' Toto teams'!$A$4:$A$119,0)),Scoring!$A$4:$N$51,3,FALSE()),0)+IFERROR(VLOOKUP(INDEX(' Toto teams'!$D$4:$D$119,MATCH($B81,' Toto teams'!$A$4:$A$119,0)),Scoring!$A$4:$N$51,4,FALSE()),0)+IFERROR(VLOOKUP(INDEX(' Toto teams'!$D$4:$D$119,MATCH($B81,' Toto teams'!$A$4:$A$119,0)),Scoring!$A$4:$N$51,5,FALSE()),0))+2*(IFERROR(VLOOKUP(INDEX(' Toto teams'!$E$4:$E$119,MATCH($B81,' Toto teams'!$A$4:$A$119,0)),Scoring!$A$4:$N$51,3,FALSE()),0)+IFERROR(VLOOKUP(INDEX(' Toto teams'!$E$4:$E$119,MATCH($B81,' Toto teams'!$A$4:$A$119,0)),Scoring!$A$4:$N$51,4,FALSE()),0)+IFERROR(VLOOKUP(INDEX(' Toto teams'!$E$4:$E$119,MATCH($B81,' Toto teams'!$A$4:$A$119,0)),Scoring!$A$4:$N$51,5,FALSE()),0))+1*(IFERROR(VLOOKUP(INDEX(' Toto teams'!$F$4:$F$119,MATCH($B81,' Toto teams'!$A$4:$A$119,0)),Scoring!$A$4:$N$51,3,FALSE()),0)+IFERROR(VLOOKUP(INDEX(' Toto teams'!$F$4:$F$119,MATCH($B81,' Toto teams'!$A$4:$A$119,0)),Scoring!$A$4:$N$51,4,FALSE()),0)+IFERROR(VLOOKUP(INDEX(' Toto teams'!$F$4:$F$119,MATCH($B81,' Toto teams'!$A$4:$A$119,0)),Scoring!$A$4:$N$51,5,FALSE()),0))+1*(IFERROR(VLOOKUP(INDEX(' Toto teams'!$G$4:$G$119,MATCH($B81,' Toto teams'!$A$4:$A$119,0)),Scoring!$A$4:$N$51,3,FALSE()),0)+IFERROR(VLOOKUP(INDEX(' Toto teams'!$G$4:$G$119,MATCH($B81,' Toto teams'!$A$4:$A$119,0)),Scoring!$A$4:$N$51,4,FALSE()),0)+IFERROR(VLOOKUP(INDEX(' Toto teams'!$G$4:$G$119,MATCH($B81,' Toto teams'!$A$4:$A$119,0)),Scoring!$A$4:$N$51,5,FALSE()),0))+1*(IFERROR(VLOOKUP(INDEX(' Toto teams'!$H$4:$H$119,MATCH($B81,' Toto teams'!$A$4:$A$119,0)),Scoring!$A$4:$N$51,3,FALSE()),0)+IFERROR(VLOOKUP(INDEX(' Toto teams'!$H$4:$H$119,MATCH($B81,' Toto teams'!$A$4:$A$119,0)),Scoring!$A$4:$N$51,4,FALSE()),0)+IFERROR(VLOOKUP(INDEX(' Toto teams'!$H$4:$H$119,MATCH($B81,' Toto teams'!$A$4:$A$119,0)),Scoring!$A$4:$N$51,5,FALSE()),0))+IFERROR(INDEX(' Toto teams'!$Q$4:$Q$119,MATCH($B81,' Toto teams'!$A$4:$A$119,0))*1,0))</f>
        <v>0</v>
      </c>
      <c r="D81" s="28">
        <f>IF($B81="","",6*IFERROR(VLOOKUP(INDEX(' Toto teams'!$B$4:$B$119,MATCH($B81,' Toto teams'!$A$4:$A$119,0)),Scoring!$A$4:$N$51,7,FALSE()),0)+4*IFERROR(VLOOKUP(INDEX(' Toto teams'!$C$4:$C$119,MATCH($B81,' Toto teams'!$A$4:$A$119,0)),Scoring!$A$4:$N$51,7,FALSE()),0)+3*IFERROR(VLOOKUP(INDEX(' Toto teams'!$D$4:$D$119,MATCH($B81,' Toto teams'!$A$4:$A$119,0)),Scoring!$A$4:$N$51,7,FALSE()),0)+2*IFERROR(VLOOKUP(INDEX(' Toto teams'!$E$4:$E$119,MATCH($B81,' Toto teams'!$A$4:$A$119,0)),Scoring!$A$4:$N$51,7,FALSE()),0)+1*IFERROR(VLOOKUP(INDEX(' Toto teams'!$F$4:$F$119,MATCH($B81,' Toto teams'!$A$4:$A$119,0)),Scoring!$A$4:$N$51,7,FALSE()),0)+1*IFERROR(VLOOKUP(INDEX(' Toto teams'!$G$4:$G$119,MATCH($B81,' Toto teams'!$A$4:$A$119,0)),Scoring!$A$4:$N$51,7,FALSE()),0)+1*IFERROR(VLOOKUP(INDEX(' Toto teams'!$H$4:$H$119,MATCH($B81,' Toto teams'!$A$4:$A$119,0)),Scoring!$A$4:$N$51,7,FALSE()),0))</f>
        <v>0</v>
      </c>
      <c r="E81" s="28">
        <f>IF($B81="","",6*IFERROR(VLOOKUP(INDEX(' Toto teams'!$B$4:$B$119,MATCH($B81,' Toto teams'!$A$4:$A$119,0)),Scoring!$A$4:$N$51,8,FALSE()),0)+4*IFERROR(VLOOKUP(INDEX(' Toto teams'!$C$4:$C$119,MATCH($B81,' Toto teams'!$A$4:$A$119,0)),Scoring!$A$4:$N$51,8,FALSE()),0)+3*IFERROR(VLOOKUP(INDEX(' Toto teams'!$D$4:$D$119,MATCH($B81,' Toto teams'!$A$4:$A$119,0)),Scoring!$A$4:$N$51,8,FALSE()),0)+2*IFERROR(VLOOKUP(INDEX(' Toto teams'!$E$4:$E$119,MATCH($B81,' Toto teams'!$A$4:$A$119,0)),Scoring!$A$4:$N$51,8,FALSE()),0)+1*IFERROR(VLOOKUP(INDEX(' Toto teams'!$F$4:$F$119,MATCH($B81,' Toto teams'!$A$4:$A$119,0)),Scoring!$A$4:$N$51,8,FALSE()),0)+1*IFERROR(VLOOKUP(INDEX(' Toto teams'!$G$4:$G$119,MATCH($B81,' Toto teams'!$A$4:$A$119,0)),Scoring!$A$4:$N$51,8,FALSE()),0)+1*IFERROR(VLOOKUP(INDEX(' Toto teams'!$H$4:$H$119,MATCH($B81,' Toto teams'!$A$4:$A$119,0)),Scoring!$A$4:$N$51,8,FALSE()),0))</f>
        <v>0</v>
      </c>
      <c r="F81" s="28">
        <f>IF($B81="","",6*IFERROR(VLOOKUP(INDEX(' Toto teams'!$B$4:$B$119,MATCH($B81,' Toto teams'!$A$4:$A$119,0)),Scoring!$A$4:$N$51,9,FALSE()),0)+4*IFERROR(VLOOKUP(INDEX(' Toto teams'!$C$4:$C$119,MATCH($B81,' Toto teams'!$A$4:$A$119,0)),Scoring!$A$4:$N$51,9,FALSE()),0)+3*IFERROR(VLOOKUP(INDEX(' Toto teams'!$D$4:$D$119,MATCH($B81,' Toto teams'!$A$4:$A$119,0)),Scoring!$A$4:$N$51,9,FALSE()),0)+2*IFERROR(VLOOKUP(INDEX(' Toto teams'!$E$4:$E$119,MATCH($B81,' Toto teams'!$A$4:$A$119,0)),Scoring!$A$4:$N$51,9,FALSE()),0)+1*IFERROR(VLOOKUP(INDEX(' Toto teams'!$F$4:$F$119,MATCH($B81,' Toto teams'!$A$4:$A$119,0)),Scoring!$A$4:$N$51,9,FALSE()),0)+1*IFERROR(VLOOKUP(INDEX(' Toto teams'!$G$4:$G$119,MATCH($B81,' Toto teams'!$A$4:$A$119,0)),Scoring!$A$4:$N$51,9,FALSE()),0)+1*IFERROR(VLOOKUP(INDEX(' Toto teams'!$H$4:$H$119,MATCH($B81,' Toto teams'!$A$4:$A$119,0)),Scoring!$A$4:$N$51,9,FALSE()),0))</f>
        <v>0</v>
      </c>
      <c r="G81" s="28">
        <f>IF($B81="","",6*IFERROR(VLOOKUP(INDEX(' Toto teams'!$B$4:$B$119,MATCH($B81,' Toto teams'!$A$4:$A$119,0)),Scoring!$A$4:$N$51,10,FALSE()),0)+4*IFERROR(VLOOKUP(INDEX(' Toto teams'!$C$4:$C$119,MATCH($B81,' Toto teams'!$A$4:$A$119,0)),Scoring!$A$4:$N$51,10,FALSE()),0)+3*IFERROR(VLOOKUP(INDEX(' Toto teams'!$D$4:$D$119,MATCH($B81,' Toto teams'!$A$4:$A$119,0)),Scoring!$A$4:$N$51,10,FALSE()),0)+2*IFERROR(VLOOKUP(INDEX(' Toto teams'!$E$4:$E$119,MATCH($B81,' Toto teams'!$A$4:$A$119,0)),Scoring!$A$4:$N$51,10,FALSE()),0)+1*IFERROR(VLOOKUP(INDEX(' Toto teams'!$F$4:$F$119,MATCH($B81,' Toto teams'!$A$4:$A$119,0)),Scoring!$A$4:$N$51,10,FALSE()),0)+1*IFERROR(VLOOKUP(INDEX(' Toto teams'!$G$4:$G$119,MATCH($B81,' Toto teams'!$A$4:$A$119,0)),Scoring!$A$4:$N$51,10,FALSE()),0)+1*IFERROR(VLOOKUP(INDEX(' Toto teams'!$H$4:$H$119,MATCH($B81,' Toto teams'!$A$4:$A$119,0)),Scoring!$A$4:$N$51,10,FALSE()),0))</f>
        <v>0</v>
      </c>
      <c r="H81" s="28">
        <f>IF($B81="","",6*IFERROR(VLOOKUP(INDEX(' Toto teams'!$B$4:$B$119,MATCH($B81,' Toto teams'!$A$4:$A$119,0)),Scoring!$A$4:$N$51,11,FALSE()),0)+4*IFERROR(VLOOKUP(INDEX(' Toto teams'!$C$4:$C$119,MATCH($B81,' Toto teams'!$A$4:$A$119,0)),Scoring!$A$4:$N$51,11,FALSE()),0)+3*IFERROR(VLOOKUP(INDEX(' Toto teams'!$D$4:$D$119,MATCH($B81,' Toto teams'!$A$4:$A$119,0)),Scoring!$A$4:$N$51,11,FALSE()),0)+2*IFERROR(VLOOKUP(INDEX(' Toto teams'!$E$4:$E$119,MATCH($B81,' Toto teams'!$A$4:$A$119,0)),Scoring!$A$4:$N$51,11,FALSE()),0)+1*IFERROR(VLOOKUP(INDEX(' Toto teams'!$F$4:$F$119,MATCH($B81,' Toto teams'!$A$4:$A$119,0)),Scoring!$A$4:$N$51,11,FALSE()),0)+1*IFERROR(VLOOKUP(INDEX(' Toto teams'!$G$4:$G$119,MATCH($B81,' Toto teams'!$A$4:$A$119,0)),Scoring!$A$4:$N$51,11,FALSE()),0)+1*IFERROR(VLOOKUP(INDEX(' Toto teams'!$H$4:$H$119,MATCH($B81,' Toto teams'!$A$4:$A$119,0)),Scoring!$A$4:$N$51,11,FALSE()),0))</f>
        <v>0</v>
      </c>
      <c r="I81" s="28">
        <f>IF($B81="","",6*IFERROR(VLOOKUP(INDEX(' Toto teams'!$B$4:$B$119,MATCH($B81,' Toto teams'!$A$4:$A$119,0)),Scoring!$A$4:$O$51,15,FALSE()),0)+4*IFERROR(VLOOKUP(INDEX(' Toto teams'!$C$4:$C$119,MATCH($B81,' Toto teams'!$A$4:$A$119,0)),Scoring!$A$4:$O$51,15,FALSE()),0)+3*IFERROR(VLOOKUP(INDEX(' Toto teams'!$D$4:$D$119,MATCH($B81,' Toto teams'!$A$4:$A$119,0)),Scoring!$A$4:$O$51,15,FALSE()),0)+2*IFERROR(VLOOKUP(INDEX(' Toto teams'!$E$4:$E$119,MATCH($B81,' Toto teams'!$A$4:$A$119,0)),Scoring!$A$4:$O$51,15,FALSE()),0)+1*IFERROR(VLOOKUP(INDEX(' Toto teams'!$F$4:$F$119,MATCH($B81,' Toto teams'!$A$4:$A$119,0)),Scoring!$A$4:$O$51,15,FALSE()),0)+1*IFERROR(VLOOKUP(INDEX(' Toto teams'!$G$4:$G$119,MATCH($B81,' Toto teams'!$A$4:$A$119,0)),Scoring!$A$4:$O$51,15,FALSE()),0)+1*IFERROR(VLOOKUP(INDEX(' Toto teams'!$H$4:$H$119,MATCH($B81,' Toto teams'!$A$4:$A$119,0)),Scoring!$A$4:$O$51,15,FALSE()),0))</f>
        <v>0</v>
      </c>
      <c r="J81" s="28">
        <f>IF($B81="","",6*IFERROR(VLOOKUP(INDEX(' Toto teams'!$B$4:$B$119,MATCH($B81,' Toto teams'!$A$4:$A$119,0)),Scoring!$A$4:$N$51,12,FALSE()),0)+4*IFERROR(VLOOKUP(INDEX(' Toto teams'!$C$4:$C$119,MATCH($B81,' Toto teams'!$A$4:$A$119,0)),Scoring!$A$4:$N$51,12,FALSE()),0)+3*IFERROR(VLOOKUP(INDEX(' Toto teams'!$D$4:$D$119,MATCH($B81,' Toto teams'!$A$4:$A$119,0)),Scoring!$A$4:$N$51,12,FALSE()),0)+2*IFERROR(VLOOKUP(INDEX(' Toto teams'!$E$4:$E$119,MATCH($B81,' Toto teams'!$A$4:$A$119,0)),Scoring!$A$4:$N$51,12,FALSE()),0)+1*IFERROR(VLOOKUP(INDEX(' Toto teams'!$F$4:$F$119,MATCH($B81,' Toto teams'!$A$4:$A$119,0)),Scoring!$A$4:$N$51,12,FALSE()),0)+1*IFERROR(VLOOKUP(INDEX(' Toto teams'!$G$4:$G$119,MATCH($B81,' Toto teams'!$A$4:$A$119,0)),Scoring!$A$4:$N$51,12,FALSE()),0)+1*IFERROR(VLOOKUP(INDEX(' Toto teams'!$H$4:$H$119,MATCH($B81,' Toto teams'!$A$4:$A$119,0)),Scoring!$A$4:$N$51,12,FALSE()),0))</f>
        <v>0</v>
      </c>
      <c r="K81" s="29">
        <f>IF($B81="","",IFERROR(INDEX(' Toto teams'!$R$4:$R$119,MATCH($B81,' Toto teams'!$A$4:$A$119,0)),""))</f>
        <v>0</v>
      </c>
      <c r="L81" s="30">
        <f t="shared" si="5"/>
        <v>0</v>
      </c>
    </row>
    <row r="82" spans="1:12" ht="12.75" customHeight="1" x14ac:dyDescent="0.3">
      <c r="A82" s="26">
        <f>IF(79&gt;COUNTIF(' Toto teams'!$A$4:$A$119,"&lt;&gt;"),"",INDEX(' Toto teams'!$S$4:$S$119,MATCH(LARGE(' Toto teams'!$T$4:$T$119,79),' Toto teams'!$T$4:$T$119,0)))</f>
        <v>63</v>
      </c>
      <c r="B82" s="27" t="str">
        <f>IF(79&gt;COUNTIF(' Toto teams'!$A$4:$A$119,"&lt;&gt;"),"",INDEX(' Toto teams'!$A$4:$A$119,MATCH(LARGE(' Toto teams'!$T$4:$T$119,79),' Toto teams'!$T$4:$T$119,0)))</f>
        <v>Lukas Danielevičius</v>
      </c>
      <c r="C82" s="28">
        <f>IF($B82="","",6*(IFERROR(VLOOKUP(INDEX(' Toto teams'!$B$4:$B$119,MATCH($B82,' Toto teams'!$A$4:$A$119,0)),Scoring!$A$4:$N$51,3,FALSE()),0)+IFERROR(VLOOKUP(INDEX(' Toto teams'!$B$4:$B$119,MATCH($B82,' Toto teams'!$A$4:$A$119,0)),Scoring!$A$4:$N$51,4,FALSE()),0)+IFERROR(VLOOKUP(INDEX(' Toto teams'!$B$4:$B$119,MATCH($B82,' Toto teams'!$A$4:$A$119,0)),Scoring!$A$4:$N$51,5,FALSE()),0))+4*(IFERROR(VLOOKUP(INDEX(' Toto teams'!$C$4:$C$119,MATCH($B82,' Toto teams'!$A$4:$A$119,0)),Scoring!$A$4:$N$51,3,FALSE()),0)+IFERROR(VLOOKUP(INDEX(' Toto teams'!$C$4:$C$119,MATCH($B82,' Toto teams'!$A$4:$A$119,0)),Scoring!$A$4:$N$51,4,FALSE()),0)+IFERROR(VLOOKUP(INDEX(' Toto teams'!$C$4:$C$119,MATCH($B82,' Toto teams'!$A$4:$A$119,0)),Scoring!$A$4:$N$51,5,FALSE()),0))+3*(IFERROR(VLOOKUP(INDEX(' Toto teams'!$D$4:$D$119,MATCH($B82,' Toto teams'!$A$4:$A$119,0)),Scoring!$A$4:$N$51,3,FALSE()),0)+IFERROR(VLOOKUP(INDEX(' Toto teams'!$D$4:$D$119,MATCH($B82,' Toto teams'!$A$4:$A$119,0)),Scoring!$A$4:$N$51,4,FALSE()),0)+IFERROR(VLOOKUP(INDEX(' Toto teams'!$D$4:$D$119,MATCH($B82,' Toto teams'!$A$4:$A$119,0)),Scoring!$A$4:$N$51,5,FALSE()),0))+2*(IFERROR(VLOOKUP(INDEX(' Toto teams'!$E$4:$E$119,MATCH($B82,' Toto teams'!$A$4:$A$119,0)),Scoring!$A$4:$N$51,3,FALSE()),0)+IFERROR(VLOOKUP(INDEX(' Toto teams'!$E$4:$E$119,MATCH($B82,' Toto teams'!$A$4:$A$119,0)),Scoring!$A$4:$N$51,4,FALSE()),0)+IFERROR(VLOOKUP(INDEX(' Toto teams'!$E$4:$E$119,MATCH($B82,' Toto teams'!$A$4:$A$119,0)),Scoring!$A$4:$N$51,5,FALSE()),0))+1*(IFERROR(VLOOKUP(INDEX(' Toto teams'!$F$4:$F$119,MATCH($B82,' Toto teams'!$A$4:$A$119,0)),Scoring!$A$4:$N$51,3,FALSE()),0)+IFERROR(VLOOKUP(INDEX(' Toto teams'!$F$4:$F$119,MATCH($B82,' Toto teams'!$A$4:$A$119,0)),Scoring!$A$4:$N$51,4,FALSE()),0)+IFERROR(VLOOKUP(INDEX(' Toto teams'!$F$4:$F$119,MATCH($B82,' Toto teams'!$A$4:$A$119,0)),Scoring!$A$4:$N$51,5,FALSE()),0))+1*(IFERROR(VLOOKUP(INDEX(' Toto teams'!$G$4:$G$119,MATCH($B82,' Toto teams'!$A$4:$A$119,0)),Scoring!$A$4:$N$51,3,FALSE()),0)+IFERROR(VLOOKUP(INDEX(' Toto teams'!$G$4:$G$119,MATCH($B82,' Toto teams'!$A$4:$A$119,0)),Scoring!$A$4:$N$51,4,FALSE()),0)+IFERROR(VLOOKUP(INDEX(' Toto teams'!$G$4:$G$119,MATCH($B82,' Toto teams'!$A$4:$A$119,0)),Scoring!$A$4:$N$51,5,FALSE()),0))+1*(IFERROR(VLOOKUP(INDEX(' Toto teams'!$H$4:$H$119,MATCH($B82,' Toto teams'!$A$4:$A$119,0)),Scoring!$A$4:$N$51,3,FALSE()),0)+IFERROR(VLOOKUP(INDEX(' Toto teams'!$H$4:$H$119,MATCH($B82,' Toto teams'!$A$4:$A$119,0)),Scoring!$A$4:$N$51,4,FALSE()),0)+IFERROR(VLOOKUP(INDEX(' Toto teams'!$H$4:$H$119,MATCH($B82,' Toto teams'!$A$4:$A$119,0)),Scoring!$A$4:$N$51,5,FALSE()),0))+IFERROR(INDEX(' Toto teams'!$Q$4:$Q$119,MATCH($B82,' Toto teams'!$A$4:$A$119,0))*1,0))</f>
        <v>0</v>
      </c>
      <c r="D82" s="28">
        <f>IF($B82="","",6*IFERROR(VLOOKUP(INDEX(' Toto teams'!$B$4:$B$119,MATCH($B82,' Toto teams'!$A$4:$A$119,0)),Scoring!$A$4:$N$51,7,FALSE()),0)+4*IFERROR(VLOOKUP(INDEX(' Toto teams'!$C$4:$C$119,MATCH($B82,' Toto teams'!$A$4:$A$119,0)),Scoring!$A$4:$N$51,7,FALSE()),0)+3*IFERROR(VLOOKUP(INDEX(' Toto teams'!$D$4:$D$119,MATCH($B82,' Toto teams'!$A$4:$A$119,0)),Scoring!$A$4:$N$51,7,FALSE()),0)+2*IFERROR(VLOOKUP(INDEX(' Toto teams'!$E$4:$E$119,MATCH($B82,' Toto teams'!$A$4:$A$119,0)),Scoring!$A$4:$N$51,7,FALSE()),0)+1*IFERROR(VLOOKUP(INDEX(' Toto teams'!$F$4:$F$119,MATCH($B82,' Toto teams'!$A$4:$A$119,0)),Scoring!$A$4:$N$51,7,FALSE()),0)+1*IFERROR(VLOOKUP(INDEX(' Toto teams'!$G$4:$G$119,MATCH($B82,' Toto teams'!$A$4:$A$119,0)),Scoring!$A$4:$N$51,7,FALSE()),0)+1*IFERROR(VLOOKUP(INDEX(' Toto teams'!$H$4:$H$119,MATCH($B82,' Toto teams'!$A$4:$A$119,0)),Scoring!$A$4:$N$51,7,FALSE()),0))</f>
        <v>0</v>
      </c>
      <c r="E82" s="28">
        <f>IF($B82="","",6*IFERROR(VLOOKUP(INDEX(' Toto teams'!$B$4:$B$119,MATCH($B82,' Toto teams'!$A$4:$A$119,0)),Scoring!$A$4:$N$51,8,FALSE()),0)+4*IFERROR(VLOOKUP(INDEX(' Toto teams'!$C$4:$C$119,MATCH($B82,' Toto teams'!$A$4:$A$119,0)),Scoring!$A$4:$N$51,8,FALSE()),0)+3*IFERROR(VLOOKUP(INDEX(' Toto teams'!$D$4:$D$119,MATCH($B82,' Toto teams'!$A$4:$A$119,0)),Scoring!$A$4:$N$51,8,FALSE()),0)+2*IFERROR(VLOOKUP(INDEX(' Toto teams'!$E$4:$E$119,MATCH($B82,' Toto teams'!$A$4:$A$119,0)),Scoring!$A$4:$N$51,8,FALSE()),0)+1*IFERROR(VLOOKUP(INDEX(' Toto teams'!$F$4:$F$119,MATCH($B82,' Toto teams'!$A$4:$A$119,0)),Scoring!$A$4:$N$51,8,FALSE()),0)+1*IFERROR(VLOOKUP(INDEX(' Toto teams'!$G$4:$G$119,MATCH($B82,' Toto teams'!$A$4:$A$119,0)),Scoring!$A$4:$N$51,8,FALSE()),0)+1*IFERROR(VLOOKUP(INDEX(' Toto teams'!$H$4:$H$119,MATCH($B82,' Toto teams'!$A$4:$A$119,0)),Scoring!$A$4:$N$51,8,FALSE()),0))</f>
        <v>0</v>
      </c>
      <c r="F82" s="28">
        <f>IF($B82="","",6*IFERROR(VLOOKUP(INDEX(' Toto teams'!$B$4:$B$119,MATCH($B82,' Toto teams'!$A$4:$A$119,0)),Scoring!$A$4:$N$51,9,FALSE()),0)+4*IFERROR(VLOOKUP(INDEX(' Toto teams'!$C$4:$C$119,MATCH($B82,' Toto teams'!$A$4:$A$119,0)),Scoring!$A$4:$N$51,9,FALSE()),0)+3*IFERROR(VLOOKUP(INDEX(' Toto teams'!$D$4:$D$119,MATCH($B82,' Toto teams'!$A$4:$A$119,0)),Scoring!$A$4:$N$51,9,FALSE()),0)+2*IFERROR(VLOOKUP(INDEX(' Toto teams'!$E$4:$E$119,MATCH($B82,' Toto teams'!$A$4:$A$119,0)),Scoring!$A$4:$N$51,9,FALSE()),0)+1*IFERROR(VLOOKUP(INDEX(' Toto teams'!$F$4:$F$119,MATCH($B82,' Toto teams'!$A$4:$A$119,0)),Scoring!$A$4:$N$51,9,FALSE()),0)+1*IFERROR(VLOOKUP(INDEX(' Toto teams'!$G$4:$G$119,MATCH($B82,' Toto teams'!$A$4:$A$119,0)),Scoring!$A$4:$N$51,9,FALSE()),0)+1*IFERROR(VLOOKUP(INDEX(' Toto teams'!$H$4:$H$119,MATCH($B82,' Toto teams'!$A$4:$A$119,0)),Scoring!$A$4:$N$51,9,FALSE()),0))</f>
        <v>0</v>
      </c>
      <c r="G82" s="28">
        <f>IF($B82="","",6*IFERROR(VLOOKUP(INDEX(' Toto teams'!$B$4:$B$119,MATCH($B82,' Toto teams'!$A$4:$A$119,0)),Scoring!$A$4:$N$51,10,FALSE()),0)+4*IFERROR(VLOOKUP(INDEX(' Toto teams'!$C$4:$C$119,MATCH($B82,' Toto teams'!$A$4:$A$119,0)),Scoring!$A$4:$N$51,10,FALSE()),0)+3*IFERROR(VLOOKUP(INDEX(' Toto teams'!$D$4:$D$119,MATCH($B82,' Toto teams'!$A$4:$A$119,0)),Scoring!$A$4:$N$51,10,FALSE()),0)+2*IFERROR(VLOOKUP(INDEX(' Toto teams'!$E$4:$E$119,MATCH($B82,' Toto teams'!$A$4:$A$119,0)),Scoring!$A$4:$N$51,10,FALSE()),0)+1*IFERROR(VLOOKUP(INDEX(' Toto teams'!$F$4:$F$119,MATCH($B82,' Toto teams'!$A$4:$A$119,0)),Scoring!$A$4:$N$51,10,FALSE()),0)+1*IFERROR(VLOOKUP(INDEX(' Toto teams'!$G$4:$G$119,MATCH($B82,' Toto teams'!$A$4:$A$119,0)),Scoring!$A$4:$N$51,10,FALSE()),0)+1*IFERROR(VLOOKUP(INDEX(' Toto teams'!$H$4:$H$119,MATCH($B82,' Toto teams'!$A$4:$A$119,0)),Scoring!$A$4:$N$51,10,FALSE()),0))</f>
        <v>0</v>
      </c>
      <c r="H82" s="28">
        <f>IF($B82="","",6*IFERROR(VLOOKUP(INDEX(' Toto teams'!$B$4:$B$119,MATCH($B82,' Toto teams'!$A$4:$A$119,0)),Scoring!$A$4:$N$51,11,FALSE()),0)+4*IFERROR(VLOOKUP(INDEX(' Toto teams'!$C$4:$C$119,MATCH($B82,' Toto teams'!$A$4:$A$119,0)),Scoring!$A$4:$N$51,11,FALSE()),0)+3*IFERROR(VLOOKUP(INDEX(' Toto teams'!$D$4:$D$119,MATCH($B82,' Toto teams'!$A$4:$A$119,0)),Scoring!$A$4:$N$51,11,FALSE()),0)+2*IFERROR(VLOOKUP(INDEX(' Toto teams'!$E$4:$E$119,MATCH($B82,' Toto teams'!$A$4:$A$119,0)),Scoring!$A$4:$N$51,11,FALSE()),0)+1*IFERROR(VLOOKUP(INDEX(' Toto teams'!$F$4:$F$119,MATCH($B82,' Toto teams'!$A$4:$A$119,0)),Scoring!$A$4:$N$51,11,FALSE()),0)+1*IFERROR(VLOOKUP(INDEX(' Toto teams'!$G$4:$G$119,MATCH($B82,' Toto teams'!$A$4:$A$119,0)),Scoring!$A$4:$N$51,11,FALSE()),0)+1*IFERROR(VLOOKUP(INDEX(' Toto teams'!$H$4:$H$119,MATCH($B82,' Toto teams'!$A$4:$A$119,0)),Scoring!$A$4:$N$51,11,FALSE()),0))</f>
        <v>0</v>
      </c>
      <c r="I82" s="28">
        <f>IF($B82="","",6*IFERROR(VLOOKUP(INDEX(' Toto teams'!$B$4:$B$119,MATCH($B82,' Toto teams'!$A$4:$A$119,0)),Scoring!$A$4:$O$51,15,FALSE()),0)+4*IFERROR(VLOOKUP(INDEX(' Toto teams'!$C$4:$C$119,MATCH($B82,' Toto teams'!$A$4:$A$119,0)),Scoring!$A$4:$O$51,15,FALSE()),0)+3*IFERROR(VLOOKUP(INDEX(' Toto teams'!$D$4:$D$119,MATCH($B82,' Toto teams'!$A$4:$A$119,0)),Scoring!$A$4:$O$51,15,FALSE()),0)+2*IFERROR(VLOOKUP(INDEX(' Toto teams'!$E$4:$E$119,MATCH($B82,' Toto teams'!$A$4:$A$119,0)),Scoring!$A$4:$O$51,15,FALSE()),0)+1*IFERROR(VLOOKUP(INDEX(' Toto teams'!$F$4:$F$119,MATCH($B82,' Toto teams'!$A$4:$A$119,0)),Scoring!$A$4:$O$51,15,FALSE()),0)+1*IFERROR(VLOOKUP(INDEX(' Toto teams'!$G$4:$G$119,MATCH($B82,' Toto teams'!$A$4:$A$119,0)),Scoring!$A$4:$O$51,15,FALSE()),0)+1*IFERROR(VLOOKUP(INDEX(' Toto teams'!$H$4:$H$119,MATCH($B82,' Toto teams'!$A$4:$A$119,0)),Scoring!$A$4:$O$51,15,FALSE()),0))</f>
        <v>0</v>
      </c>
      <c r="J82" s="28">
        <f>IF($B82="","",6*IFERROR(VLOOKUP(INDEX(' Toto teams'!$B$4:$B$119,MATCH($B82,' Toto teams'!$A$4:$A$119,0)),Scoring!$A$4:$N$51,12,FALSE()),0)+4*IFERROR(VLOOKUP(INDEX(' Toto teams'!$C$4:$C$119,MATCH($B82,' Toto teams'!$A$4:$A$119,0)),Scoring!$A$4:$N$51,12,FALSE()),0)+3*IFERROR(VLOOKUP(INDEX(' Toto teams'!$D$4:$D$119,MATCH($B82,' Toto teams'!$A$4:$A$119,0)),Scoring!$A$4:$N$51,12,FALSE()),0)+2*IFERROR(VLOOKUP(INDEX(' Toto teams'!$E$4:$E$119,MATCH($B82,' Toto teams'!$A$4:$A$119,0)),Scoring!$A$4:$N$51,12,FALSE()),0)+1*IFERROR(VLOOKUP(INDEX(' Toto teams'!$F$4:$F$119,MATCH($B82,' Toto teams'!$A$4:$A$119,0)),Scoring!$A$4:$N$51,12,FALSE()),0)+1*IFERROR(VLOOKUP(INDEX(' Toto teams'!$G$4:$G$119,MATCH($B82,' Toto teams'!$A$4:$A$119,0)),Scoring!$A$4:$N$51,12,FALSE()),0)+1*IFERROR(VLOOKUP(INDEX(' Toto teams'!$H$4:$H$119,MATCH($B82,' Toto teams'!$A$4:$A$119,0)),Scoring!$A$4:$N$51,12,FALSE()),0))</f>
        <v>0</v>
      </c>
      <c r="K82" s="29">
        <f>IF($B82="","",IFERROR(INDEX(' Toto teams'!$R$4:$R$119,MATCH($B82,' Toto teams'!$A$4:$A$119,0)),""))</f>
        <v>0</v>
      </c>
      <c r="L82" s="30">
        <f t="shared" si="5"/>
        <v>0</v>
      </c>
    </row>
    <row r="83" spans="1:12" ht="12.75" customHeight="1" x14ac:dyDescent="0.3">
      <c r="A83" s="26">
        <f>IF(80&gt;COUNTIF(' Toto teams'!$A$4:$A$119,"&lt;&gt;"),"",INDEX(' Toto teams'!$S$4:$S$119,MATCH(LARGE(' Toto teams'!$T$4:$T$119,80),' Toto teams'!$T$4:$T$119,0)))</f>
        <v>63</v>
      </c>
      <c r="B83" s="27" t="str">
        <f>IF(80&gt;COUNTIF(' Toto teams'!$A$4:$A$119,"&lt;&gt;"),"",INDEX(' Toto teams'!$A$4:$A$119,MATCH(LARGE(' Toto teams'!$T$4:$T$119,80),' Toto teams'!$T$4:$T$119,0)))</f>
        <v>Dainius Visackas</v>
      </c>
      <c r="C83" s="28">
        <f>IF($B83="","",6*(IFERROR(VLOOKUP(INDEX(' Toto teams'!$B$4:$B$119,MATCH($B83,' Toto teams'!$A$4:$A$119,0)),Scoring!$A$4:$N$51,3,FALSE()),0)+IFERROR(VLOOKUP(INDEX(' Toto teams'!$B$4:$B$119,MATCH($B83,' Toto teams'!$A$4:$A$119,0)),Scoring!$A$4:$N$51,4,FALSE()),0)+IFERROR(VLOOKUP(INDEX(' Toto teams'!$B$4:$B$119,MATCH($B83,' Toto teams'!$A$4:$A$119,0)),Scoring!$A$4:$N$51,5,FALSE()),0))+4*(IFERROR(VLOOKUP(INDEX(' Toto teams'!$C$4:$C$119,MATCH($B83,' Toto teams'!$A$4:$A$119,0)),Scoring!$A$4:$N$51,3,FALSE()),0)+IFERROR(VLOOKUP(INDEX(' Toto teams'!$C$4:$C$119,MATCH($B83,' Toto teams'!$A$4:$A$119,0)),Scoring!$A$4:$N$51,4,FALSE()),0)+IFERROR(VLOOKUP(INDEX(' Toto teams'!$C$4:$C$119,MATCH($B83,' Toto teams'!$A$4:$A$119,0)),Scoring!$A$4:$N$51,5,FALSE()),0))+3*(IFERROR(VLOOKUP(INDEX(' Toto teams'!$D$4:$D$119,MATCH($B83,' Toto teams'!$A$4:$A$119,0)),Scoring!$A$4:$N$51,3,FALSE()),0)+IFERROR(VLOOKUP(INDEX(' Toto teams'!$D$4:$D$119,MATCH($B83,' Toto teams'!$A$4:$A$119,0)),Scoring!$A$4:$N$51,4,FALSE()),0)+IFERROR(VLOOKUP(INDEX(' Toto teams'!$D$4:$D$119,MATCH($B83,' Toto teams'!$A$4:$A$119,0)),Scoring!$A$4:$N$51,5,FALSE()),0))+2*(IFERROR(VLOOKUP(INDEX(' Toto teams'!$E$4:$E$119,MATCH($B83,' Toto teams'!$A$4:$A$119,0)),Scoring!$A$4:$N$51,3,FALSE()),0)+IFERROR(VLOOKUP(INDEX(' Toto teams'!$E$4:$E$119,MATCH($B83,' Toto teams'!$A$4:$A$119,0)),Scoring!$A$4:$N$51,4,FALSE()),0)+IFERROR(VLOOKUP(INDEX(' Toto teams'!$E$4:$E$119,MATCH($B83,' Toto teams'!$A$4:$A$119,0)),Scoring!$A$4:$N$51,5,FALSE()),0))+1*(IFERROR(VLOOKUP(INDEX(' Toto teams'!$F$4:$F$119,MATCH($B83,' Toto teams'!$A$4:$A$119,0)),Scoring!$A$4:$N$51,3,FALSE()),0)+IFERROR(VLOOKUP(INDEX(' Toto teams'!$F$4:$F$119,MATCH($B83,' Toto teams'!$A$4:$A$119,0)),Scoring!$A$4:$N$51,4,FALSE()),0)+IFERROR(VLOOKUP(INDEX(' Toto teams'!$F$4:$F$119,MATCH($B83,' Toto teams'!$A$4:$A$119,0)),Scoring!$A$4:$N$51,5,FALSE()),0))+1*(IFERROR(VLOOKUP(INDEX(' Toto teams'!$G$4:$G$119,MATCH($B83,' Toto teams'!$A$4:$A$119,0)),Scoring!$A$4:$N$51,3,FALSE()),0)+IFERROR(VLOOKUP(INDEX(' Toto teams'!$G$4:$G$119,MATCH($B83,' Toto teams'!$A$4:$A$119,0)),Scoring!$A$4:$N$51,4,FALSE()),0)+IFERROR(VLOOKUP(INDEX(' Toto teams'!$G$4:$G$119,MATCH($B83,' Toto teams'!$A$4:$A$119,0)),Scoring!$A$4:$N$51,5,FALSE()),0))+1*(IFERROR(VLOOKUP(INDEX(' Toto teams'!$H$4:$H$119,MATCH($B83,' Toto teams'!$A$4:$A$119,0)),Scoring!$A$4:$N$51,3,FALSE()),0)+IFERROR(VLOOKUP(INDEX(' Toto teams'!$H$4:$H$119,MATCH($B83,' Toto teams'!$A$4:$A$119,0)),Scoring!$A$4:$N$51,4,FALSE()),0)+IFERROR(VLOOKUP(INDEX(' Toto teams'!$H$4:$H$119,MATCH($B83,' Toto teams'!$A$4:$A$119,0)),Scoring!$A$4:$N$51,5,FALSE()),0))+IFERROR(INDEX(' Toto teams'!$Q$4:$Q$119,MATCH($B83,' Toto teams'!$A$4:$A$119,0))*1,0))</f>
        <v>0</v>
      </c>
      <c r="D83" s="28">
        <f>IF($B83="","",6*IFERROR(VLOOKUP(INDEX(' Toto teams'!$B$4:$B$119,MATCH($B83,' Toto teams'!$A$4:$A$119,0)),Scoring!$A$4:$N$51,7,FALSE()),0)+4*IFERROR(VLOOKUP(INDEX(' Toto teams'!$C$4:$C$119,MATCH($B83,' Toto teams'!$A$4:$A$119,0)),Scoring!$A$4:$N$51,7,FALSE()),0)+3*IFERROR(VLOOKUP(INDEX(' Toto teams'!$D$4:$D$119,MATCH($B83,' Toto teams'!$A$4:$A$119,0)),Scoring!$A$4:$N$51,7,FALSE()),0)+2*IFERROR(VLOOKUP(INDEX(' Toto teams'!$E$4:$E$119,MATCH($B83,' Toto teams'!$A$4:$A$119,0)),Scoring!$A$4:$N$51,7,FALSE()),0)+1*IFERROR(VLOOKUP(INDEX(' Toto teams'!$F$4:$F$119,MATCH($B83,' Toto teams'!$A$4:$A$119,0)),Scoring!$A$4:$N$51,7,FALSE()),0)+1*IFERROR(VLOOKUP(INDEX(' Toto teams'!$G$4:$G$119,MATCH($B83,' Toto teams'!$A$4:$A$119,0)),Scoring!$A$4:$N$51,7,FALSE()),0)+1*IFERROR(VLOOKUP(INDEX(' Toto teams'!$H$4:$H$119,MATCH($B83,' Toto teams'!$A$4:$A$119,0)),Scoring!$A$4:$N$51,7,FALSE()),0))</f>
        <v>0</v>
      </c>
      <c r="E83" s="28">
        <f>IF($B83="","",6*IFERROR(VLOOKUP(INDEX(' Toto teams'!$B$4:$B$119,MATCH($B83,' Toto teams'!$A$4:$A$119,0)),Scoring!$A$4:$N$51,8,FALSE()),0)+4*IFERROR(VLOOKUP(INDEX(' Toto teams'!$C$4:$C$119,MATCH($B83,' Toto teams'!$A$4:$A$119,0)),Scoring!$A$4:$N$51,8,FALSE()),0)+3*IFERROR(VLOOKUP(INDEX(' Toto teams'!$D$4:$D$119,MATCH($B83,' Toto teams'!$A$4:$A$119,0)),Scoring!$A$4:$N$51,8,FALSE()),0)+2*IFERROR(VLOOKUP(INDEX(' Toto teams'!$E$4:$E$119,MATCH($B83,' Toto teams'!$A$4:$A$119,0)),Scoring!$A$4:$N$51,8,FALSE()),0)+1*IFERROR(VLOOKUP(INDEX(' Toto teams'!$F$4:$F$119,MATCH($B83,' Toto teams'!$A$4:$A$119,0)),Scoring!$A$4:$N$51,8,FALSE()),0)+1*IFERROR(VLOOKUP(INDEX(' Toto teams'!$G$4:$G$119,MATCH($B83,' Toto teams'!$A$4:$A$119,0)),Scoring!$A$4:$N$51,8,FALSE()),0)+1*IFERROR(VLOOKUP(INDEX(' Toto teams'!$H$4:$H$119,MATCH($B83,' Toto teams'!$A$4:$A$119,0)),Scoring!$A$4:$N$51,8,FALSE()),0))</f>
        <v>0</v>
      </c>
      <c r="F83" s="28">
        <f>IF($B83="","",6*IFERROR(VLOOKUP(INDEX(' Toto teams'!$B$4:$B$119,MATCH($B83,' Toto teams'!$A$4:$A$119,0)),Scoring!$A$4:$N$51,9,FALSE()),0)+4*IFERROR(VLOOKUP(INDEX(' Toto teams'!$C$4:$C$119,MATCH($B83,' Toto teams'!$A$4:$A$119,0)),Scoring!$A$4:$N$51,9,FALSE()),0)+3*IFERROR(VLOOKUP(INDEX(' Toto teams'!$D$4:$D$119,MATCH($B83,' Toto teams'!$A$4:$A$119,0)),Scoring!$A$4:$N$51,9,FALSE()),0)+2*IFERROR(VLOOKUP(INDEX(' Toto teams'!$E$4:$E$119,MATCH($B83,' Toto teams'!$A$4:$A$119,0)),Scoring!$A$4:$N$51,9,FALSE()),0)+1*IFERROR(VLOOKUP(INDEX(' Toto teams'!$F$4:$F$119,MATCH($B83,' Toto teams'!$A$4:$A$119,0)),Scoring!$A$4:$N$51,9,FALSE()),0)+1*IFERROR(VLOOKUP(INDEX(' Toto teams'!$G$4:$G$119,MATCH($B83,' Toto teams'!$A$4:$A$119,0)),Scoring!$A$4:$N$51,9,FALSE()),0)+1*IFERROR(VLOOKUP(INDEX(' Toto teams'!$H$4:$H$119,MATCH($B83,' Toto teams'!$A$4:$A$119,0)),Scoring!$A$4:$N$51,9,FALSE()),0))</f>
        <v>0</v>
      </c>
      <c r="G83" s="28">
        <f>IF($B83="","",6*IFERROR(VLOOKUP(INDEX(' Toto teams'!$B$4:$B$119,MATCH($B83,' Toto teams'!$A$4:$A$119,0)),Scoring!$A$4:$N$51,10,FALSE()),0)+4*IFERROR(VLOOKUP(INDEX(' Toto teams'!$C$4:$C$119,MATCH($B83,' Toto teams'!$A$4:$A$119,0)),Scoring!$A$4:$N$51,10,FALSE()),0)+3*IFERROR(VLOOKUP(INDEX(' Toto teams'!$D$4:$D$119,MATCH($B83,' Toto teams'!$A$4:$A$119,0)),Scoring!$A$4:$N$51,10,FALSE()),0)+2*IFERROR(VLOOKUP(INDEX(' Toto teams'!$E$4:$E$119,MATCH($B83,' Toto teams'!$A$4:$A$119,0)),Scoring!$A$4:$N$51,10,FALSE()),0)+1*IFERROR(VLOOKUP(INDEX(' Toto teams'!$F$4:$F$119,MATCH($B83,' Toto teams'!$A$4:$A$119,0)),Scoring!$A$4:$N$51,10,FALSE()),0)+1*IFERROR(VLOOKUP(INDEX(' Toto teams'!$G$4:$G$119,MATCH($B83,' Toto teams'!$A$4:$A$119,0)),Scoring!$A$4:$N$51,10,FALSE()),0)+1*IFERROR(VLOOKUP(INDEX(' Toto teams'!$H$4:$H$119,MATCH($B83,' Toto teams'!$A$4:$A$119,0)),Scoring!$A$4:$N$51,10,FALSE()),0))</f>
        <v>0</v>
      </c>
      <c r="H83" s="28">
        <f>IF($B83="","",6*IFERROR(VLOOKUP(INDEX(' Toto teams'!$B$4:$B$119,MATCH($B83,' Toto teams'!$A$4:$A$119,0)),Scoring!$A$4:$N$51,11,FALSE()),0)+4*IFERROR(VLOOKUP(INDEX(' Toto teams'!$C$4:$C$119,MATCH($B83,' Toto teams'!$A$4:$A$119,0)),Scoring!$A$4:$N$51,11,FALSE()),0)+3*IFERROR(VLOOKUP(INDEX(' Toto teams'!$D$4:$D$119,MATCH($B83,' Toto teams'!$A$4:$A$119,0)),Scoring!$A$4:$N$51,11,FALSE()),0)+2*IFERROR(VLOOKUP(INDEX(' Toto teams'!$E$4:$E$119,MATCH($B83,' Toto teams'!$A$4:$A$119,0)),Scoring!$A$4:$N$51,11,FALSE()),0)+1*IFERROR(VLOOKUP(INDEX(' Toto teams'!$F$4:$F$119,MATCH($B83,' Toto teams'!$A$4:$A$119,0)),Scoring!$A$4:$N$51,11,FALSE()),0)+1*IFERROR(VLOOKUP(INDEX(' Toto teams'!$G$4:$G$119,MATCH($B83,' Toto teams'!$A$4:$A$119,0)),Scoring!$A$4:$N$51,11,FALSE()),0)+1*IFERROR(VLOOKUP(INDEX(' Toto teams'!$H$4:$H$119,MATCH($B83,' Toto teams'!$A$4:$A$119,0)),Scoring!$A$4:$N$51,11,FALSE()),0))</f>
        <v>0</v>
      </c>
      <c r="I83" s="28">
        <f>IF($B83="","",6*IFERROR(VLOOKUP(INDEX(' Toto teams'!$B$4:$B$119,MATCH($B83,' Toto teams'!$A$4:$A$119,0)),Scoring!$A$4:$O$51,15,FALSE()),0)+4*IFERROR(VLOOKUP(INDEX(' Toto teams'!$C$4:$C$119,MATCH($B83,' Toto teams'!$A$4:$A$119,0)),Scoring!$A$4:$O$51,15,FALSE()),0)+3*IFERROR(VLOOKUP(INDEX(' Toto teams'!$D$4:$D$119,MATCH($B83,' Toto teams'!$A$4:$A$119,0)),Scoring!$A$4:$O$51,15,FALSE()),0)+2*IFERROR(VLOOKUP(INDEX(' Toto teams'!$E$4:$E$119,MATCH($B83,' Toto teams'!$A$4:$A$119,0)),Scoring!$A$4:$O$51,15,FALSE()),0)+1*IFERROR(VLOOKUP(INDEX(' Toto teams'!$F$4:$F$119,MATCH($B83,' Toto teams'!$A$4:$A$119,0)),Scoring!$A$4:$O$51,15,FALSE()),0)+1*IFERROR(VLOOKUP(INDEX(' Toto teams'!$G$4:$G$119,MATCH($B83,' Toto teams'!$A$4:$A$119,0)),Scoring!$A$4:$O$51,15,FALSE()),0)+1*IFERROR(VLOOKUP(INDEX(' Toto teams'!$H$4:$H$119,MATCH($B83,' Toto teams'!$A$4:$A$119,0)),Scoring!$A$4:$O$51,15,FALSE()),0))</f>
        <v>0</v>
      </c>
      <c r="J83" s="28">
        <f>IF($B83="","",6*IFERROR(VLOOKUP(INDEX(' Toto teams'!$B$4:$B$119,MATCH($B83,' Toto teams'!$A$4:$A$119,0)),Scoring!$A$4:$N$51,12,FALSE()),0)+4*IFERROR(VLOOKUP(INDEX(' Toto teams'!$C$4:$C$119,MATCH($B83,' Toto teams'!$A$4:$A$119,0)),Scoring!$A$4:$N$51,12,FALSE()),0)+3*IFERROR(VLOOKUP(INDEX(' Toto teams'!$D$4:$D$119,MATCH($B83,' Toto teams'!$A$4:$A$119,0)),Scoring!$A$4:$N$51,12,FALSE()),0)+2*IFERROR(VLOOKUP(INDEX(' Toto teams'!$E$4:$E$119,MATCH($B83,' Toto teams'!$A$4:$A$119,0)),Scoring!$A$4:$N$51,12,FALSE()),0)+1*IFERROR(VLOOKUP(INDEX(' Toto teams'!$F$4:$F$119,MATCH($B83,' Toto teams'!$A$4:$A$119,0)),Scoring!$A$4:$N$51,12,FALSE()),0)+1*IFERROR(VLOOKUP(INDEX(' Toto teams'!$G$4:$G$119,MATCH($B83,' Toto teams'!$A$4:$A$119,0)),Scoring!$A$4:$N$51,12,FALSE()),0)+1*IFERROR(VLOOKUP(INDEX(' Toto teams'!$H$4:$H$119,MATCH($B83,' Toto teams'!$A$4:$A$119,0)),Scoring!$A$4:$N$51,12,FALSE()),0))</f>
        <v>0</v>
      </c>
      <c r="K83" s="29">
        <f>IF($B83="","",IFERROR(INDEX(' Toto teams'!$R$4:$R$119,MATCH($B83,' Toto teams'!$A$4:$A$119,0)),""))</f>
        <v>0</v>
      </c>
      <c r="L83" s="30">
        <f t="shared" si="5"/>
        <v>0</v>
      </c>
    </row>
    <row r="84" spans="1:12" ht="12.75" customHeight="1" x14ac:dyDescent="0.3">
      <c r="A84" s="26">
        <f>IF(81&gt;COUNTIF(' Toto teams'!$A$4:$A$119,"&lt;&gt;"),"",INDEX(' Toto teams'!$S$4:$S$119,MATCH(LARGE(' Toto teams'!$T$4:$T$119,81),' Toto teams'!$T$4:$T$119,0)))</f>
        <v>63</v>
      </c>
      <c r="B84" s="27" t="str">
        <f>IF(81&gt;COUNTIF(' Toto teams'!$A$4:$A$119,"&lt;&gt;"),"",INDEX(' Toto teams'!$A$4:$A$119,MATCH(LARGE(' Toto teams'!$T$4:$T$119,81),' Toto teams'!$T$4:$T$119,0)))</f>
        <v>Ivan Manev</v>
      </c>
      <c r="C84" s="28">
        <f>IF($B84="","",6*(IFERROR(VLOOKUP(INDEX(' Toto teams'!$B$4:$B$119,MATCH($B84,' Toto teams'!$A$4:$A$119,0)),Scoring!$A$4:$N$51,3,FALSE()),0)+IFERROR(VLOOKUP(INDEX(' Toto teams'!$B$4:$B$119,MATCH($B84,' Toto teams'!$A$4:$A$119,0)),Scoring!$A$4:$N$51,4,FALSE()),0)+IFERROR(VLOOKUP(INDEX(' Toto teams'!$B$4:$B$119,MATCH($B84,' Toto teams'!$A$4:$A$119,0)),Scoring!$A$4:$N$51,5,FALSE()),0))+4*(IFERROR(VLOOKUP(INDEX(' Toto teams'!$C$4:$C$119,MATCH($B84,' Toto teams'!$A$4:$A$119,0)),Scoring!$A$4:$N$51,3,FALSE()),0)+IFERROR(VLOOKUP(INDEX(' Toto teams'!$C$4:$C$119,MATCH($B84,' Toto teams'!$A$4:$A$119,0)),Scoring!$A$4:$N$51,4,FALSE()),0)+IFERROR(VLOOKUP(INDEX(' Toto teams'!$C$4:$C$119,MATCH($B84,' Toto teams'!$A$4:$A$119,0)),Scoring!$A$4:$N$51,5,FALSE()),0))+3*(IFERROR(VLOOKUP(INDEX(' Toto teams'!$D$4:$D$119,MATCH($B84,' Toto teams'!$A$4:$A$119,0)),Scoring!$A$4:$N$51,3,FALSE()),0)+IFERROR(VLOOKUP(INDEX(' Toto teams'!$D$4:$D$119,MATCH($B84,' Toto teams'!$A$4:$A$119,0)),Scoring!$A$4:$N$51,4,FALSE()),0)+IFERROR(VLOOKUP(INDEX(' Toto teams'!$D$4:$D$119,MATCH($B84,' Toto teams'!$A$4:$A$119,0)),Scoring!$A$4:$N$51,5,FALSE()),0))+2*(IFERROR(VLOOKUP(INDEX(' Toto teams'!$E$4:$E$119,MATCH($B84,' Toto teams'!$A$4:$A$119,0)),Scoring!$A$4:$N$51,3,FALSE()),0)+IFERROR(VLOOKUP(INDEX(' Toto teams'!$E$4:$E$119,MATCH($B84,' Toto teams'!$A$4:$A$119,0)),Scoring!$A$4:$N$51,4,FALSE()),0)+IFERROR(VLOOKUP(INDEX(' Toto teams'!$E$4:$E$119,MATCH($B84,' Toto teams'!$A$4:$A$119,0)),Scoring!$A$4:$N$51,5,FALSE()),0))+1*(IFERROR(VLOOKUP(INDEX(' Toto teams'!$F$4:$F$119,MATCH($B84,' Toto teams'!$A$4:$A$119,0)),Scoring!$A$4:$N$51,3,FALSE()),0)+IFERROR(VLOOKUP(INDEX(' Toto teams'!$F$4:$F$119,MATCH($B84,' Toto teams'!$A$4:$A$119,0)),Scoring!$A$4:$N$51,4,FALSE()),0)+IFERROR(VLOOKUP(INDEX(' Toto teams'!$F$4:$F$119,MATCH($B84,' Toto teams'!$A$4:$A$119,0)),Scoring!$A$4:$N$51,5,FALSE()),0))+1*(IFERROR(VLOOKUP(INDEX(' Toto teams'!$G$4:$G$119,MATCH($B84,' Toto teams'!$A$4:$A$119,0)),Scoring!$A$4:$N$51,3,FALSE()),0)+IFERROR(VLOOKUP(INDEX(' Toto teams'!$G$4:$G$119,MATCH($B84,' Toto teams'!$A$4:$A$119,0)),Scoring!$A$4:$N$51,4,FALSE()),0)+IFERROR(VLOOKUP(INDEX(' Toto teams'!$G$4:$G$119,MATCH($B84,' Toto teams'!$A$4:$A$119,0)),Scoring!$A$4:$N$51,5,FALSE()),0))+1*(IFERROR(VLOOKUP(INDEX(' Toto teams'!$H$4:$H$119,MATCH($B84,' Toto teams'!$A$4:$A$119,0)),Scoring!$A$4:$N$51,3,FALSE()),0)+IFERROR(VLOOKUP(INDEX(' Toto teams'!$H$4:$H$119,MATCH($B84,' Toto teams'!$A$4:$A$119,0)),Scoring!$A$4:$N$51,4,FALSE()),0)+IFERROR(VLOOKUP(INDEX(' Toto teams'!$H$4:$H$119,MATCH($B84,' Toto teams'!$A$4:$A$119,0)),Scoring!$A$4:$N$51,5,FALSE()),0))+IFERROR(INDEX(' Toto teams'!$Q$4:$Q$119,MATCH($B84,' Toto teams'!$A$4:$A$119,0))*1,0))</f>
        <v>0</v>
      </c>
      <c r="D84" s="28">
        <f>IF($B84="","",6*IFERROR(VLOOKUP(INDEX(' Toto teams'!$B$4:$B$119,MATCH($B84,' Toto teams'!$A$4:$A$119,0)),Scoring!$A$4:$N$51,7,FALSE()),0)+4*IFERROR(VLOOKUP(INDEX(' Toto teams'!$C$4:$C$119,MATCH($B84,' Toto teams'!$A$4:$A$119,0)),Scoring!$A$4:$N$51,7,FALSE()),0)+3*IFERROR(VLOOKUP(INDEX(' Toto teams'!$D$4:$D$119,MATCH($B84,' Toto teams'!$A$4:$A$119,0)),Scoring!$A$4:$N$51,7,FALSE()),0)+2*IFERROR(VLOOKUP(INDEX(' Toto teams'!$E$4:$E$119,MATCH($B84,' Toto teams'!$A$4:$A$119,0)),Scoring!$A$4:$N$51,7,FALSE()),0)+1*IFERROR(VLOOKUP(INDEX(' Toto teams'!$F$4:$F$119,MATCH($B84,' Toto teams'!$A$4:$A$119,0)),Scoring!$A$4:$N$51,7,FALSE()),0)+1*IFERROR(VLOOKUP(INDEX(' Toto teams'!$G$4:$G$119,MATCH($B84,' Toto teams'!$A$4:$A$119,0)),Scoring!$A$4:$N$51,7,FALSE()),0)+1*IFERROR(VLOOKUP(INDEX(' Toto teams'!$H$4:$H$119,MATCH($B84,' Toto teams'!$A$4:$A$119,0)),Scoring!$A$4:$N$51,7,FALSE()),0))</f>
        <v>0</v>
      </c>
      <c r="E84" s="28">
        <f>IF($B84="","",6*IFERROR(VLOOKUP(INDEX(' Toto teams'!$B$4:$B$119,MATCH($B84,' Toto teams'!$A$4:$A$119,0)),Scoring!$A$4:$N$51,8,FALSE()),0)+4*IFERROR(VLOOKUP(INDEX(' Toto teams'!$C$4:$C$119,MATCH($B84,' Toto teams'!$A$4:$A$119,0)),Scoring!$A$4:$N$51,8,FALSE()),0)+3*IFERROR(VLOOKUP(INDEX(' Toto teams'!$D$4:$D$119,MATCH($B84,' Toto teams'!$A$4:$A$119,0)),Scoring!$A$4:$N$51,8,FALSE()),0)+2*IFERROR(VLOOKUP(INDEX(' Toto teams'!$E$4:$E$119,MATCH($B84,' Toto teams'!$A$4:$A$119,0)),Scoring!$A$4:$N$51,8,FALSE()),0)+1*IFERROR(VLOOKUP(INDEX(' Toto teams'!$F$4:$F$119,MATCH($B84,' Toto teams'!$A$4:$A$119,0)),Scoring!$A$4:$N$51,8,FALSE()),0)+1*IFERROR(VLOOKUP(INDEX(' Toto teams'!$G$4:$G$119,MATCH($B84,' Toto teams'!$A$4:$A$119,0)),Scoring!$A$4:$N$51,8,FALSE()),0)+1*IFERROR(VLOOKUP(INDEX(' Toto teams'!$H$4:$H$119,MATCH($B84,' Toto teams'!$A$4:$A$119,0)),Scoring!$A$4:$N$51,8,FALSE()),0))</f>
        <v>0</v>
      </c>
      <c r="F84" s="28">
        <f>IF($B84="","",6*IFERROR(VLOOKUP(INDEX(' Toto teams'!$B$4:$B$119,MATCH($B84,' Toto teams'!$A$4:$A$119,0)),Scoring!$A$4:$N$51,9,FALSE()),0)+4*IFERROR(VLOOKUP(INDEX(' Toto teams'!$C$4:$C$119,MATCH($B84,' Toto teams'!$A$4:$A$119,0)),Scoring!$A$4:$N$51,9,FALSE()),0)+3*IFERROR(VLOOKUP(INDEX(' Toto teams'!$D$4:$D$119,MATCH($B84,' Toto teams'!$A$4:$A$119,0)),Scoring!$A$4:$N$51,9,FALSE()),0)+2*IFERROR(VLOOKUP(INDEX(' Toto teams'!$E$4:$E$119,MATCH($B84,' Toto teams'!$A$4:$A$119,0)),Scoring!$A$4:$N$51,9,FALSE()),0)+1*IFERROR(VLOOKUP(INDEX(' Toto teams'!$F$4:$F$119,MATCH($B84,' Toto teams'!$A$4:$A$119,0)),Scoring!$A$4:$N$51,9,FALSE()),0)+1*IFERROR(VLOOKUP(INDEX(' Toto teams'!$G$4:$G$119,MATCH($B84,' Toto teams'!$A$4:$A$119,0)),Scoring!$A$4:$N$51,9,FALSE()),0)+1*IFERROR(VLOOKUP(INDEX(' Toto teams'!$H$4:$H$119,MATCH($B84,' Toto teams'!$A$4:$A$119,0)),Scoring!$A$4:$N$51,9,FALSE()),0))</f>
        <v>0</v>
      </c>
      <c r="G84" s="28">
        <f>IF($B84="","",6*IFERROR(VLOOKUP(INDEX(' Toto teams'!$B$4:$B$119,MATCH($B84,' Toto teams'!$A$4:$A$119,0)),Scoring!$A$4:$N$51,10,FALSE()),0)+4*IFERROR(VLOOKUP(INDEX(' Toto teams'!$C$4:$C$119,MATCH($B84,' Toto teams'!$A$4:$A$119,0)),Scoring!$A$4:$N$51,10,FALSE()),0)+3*IFERROR(VLOOKUP(INDEX(' Toto teams'!$D$4:$D$119,MATCH($B84,' Toto teams'!$A$4:$A$119,0)),Scoring!$A$4:$N$51,10,FALSE()),0)+2*IFERROR(VLOOKUP(INDEX(' Toto teams'!$E$4:$E$119,MATCH($B84,' Toto teams'!$A$4:$A$119,0)),Scoring!$A$4:$N$51,10,FALSE()),0)+1*IFERROR(VLOOKUP(INDEX(' Toto teams'!$F$4:$F$119,MATCH($B84,' Toto teams'!$A$4:$A$119,0)),Scoring!$A$4:$N$51,10,FALSE()),0)+1*IFERROR(VLOOKUP(INDEX(' Toto teams'!$G$4:$G$119,MATCH($B84,' Toto teams'!$A$4:$A$119,0)),Scoring!$A$4:$N$51,10,FALSE()),0)+1*IFERROR(VLOOKUP(INDEX(' Toto teams'!$H$4:$H$119,MATCH($B84,' Toto teams'!$A$4:$A$119,0)),Scoring!$A$4:$N$51,10,FALSE()),0))</f>
        <v>0</v>
      </c>
      <c r="H84" s="28">
        <f>IF($B84="","",6*IFERROR(VLOOKUP(INDEX(' Toto teams'!$B$4:$B$119,MATCH($B84,' Toto teams'!$A$4:$A$119,0)),Scoring!$A$4:$N$51,11,FALSE()),0)+4*IFERROR(VLOOKUP(INDEX(' Toto teams'!$C$4:$C$119,MATCH($B84,' Toto teams'!$A$4:$A$119,0)),Scoring!$A$4:$N$51,11,FALSE()),0)+3*IFERROR(VLOOKUP(INDEX(' Toto teams'!$D$4:$D$119,MATCH($B84,' Toto teams'!$A$4:$A$119,0)),Scoring!$A$4:$N$51,11,FALSE()),0)+2*IFERROR(VLOOKUP(INDEX(' Toto teams'!$E$4:$E$119,MATCH($B84,' Toto teams'!$A$4:$A$119,0)),Scoring!$A$4:$N$51,11,FALSE()),0)+1*IFERROR(VLOOKUP(INDEX(' Toto teams'!$F$4:$F$119,MATCH($B84,' Toto teams'!$A$4:$A$119,0)),Scoring!$A$4:$N$51,11,FALSE()),0)+1*IFERROR(VLOOKUP(INDEX(' Toto teams'!$G$4:$G$119,MATCH($B84,' Toto teams'!$A$4:$A$119,0)),Scoring!$A$4:$N$51,11,FALSE()),0)+1*IFERROR(VLOOKUP(INDEX(' Toto teams'!$H$4:$H$119,MATCH($B84,' Toto teams'!$A$4:$A$119,0)),Scoring!$A$4:$N$51,11,FALSE()),0))</f>
        <v>0</v>
      </c>
      <c r="I84" s="28">
        <f>IF($B84="","",6*IFERROR(VLOOKUP(INDEX(' Toto teams'!$B$4:$B$119,MATCH($B84,' Toto teams'!$A$4:$A$119,0)),Scoring!$A$4:$O$51,15,FALSE()),0)+4*IFERROR(VLOOKUP(INDEX(' Toto teams'!$C$4:$C$119,MATCH($B84,' Toto teams'!$A$4:$A$119,0)),Scoring!$A$4:$O$51,15,FALSE()),0)+3*IFERROR(VLOOKUP(INDEX(' Toto teams'!$D$4:$D$119,MATCH($B84,' Toto teams'!$A$4:$A$119,0)),Scoring!$A$4:$O$51,15,FALSE()),0)+2*IFERROR(VLOOKUP(INDEX(' Toto teams'!$E$4:$E$119,MATCH($B84,' Toto teams'!$A$4:$A$119,0)),Scoring!$A$4:$O$51,15,FALSE()),0)+1*IFERROR(VLOOKUP(INDEX(' Toto teams'!$F$4:$F$119,MATCH($B84,' Toto teams'!$A$4:$A$119,0)),Scoring!$A$4:$O$51,15,FALSE()),0)+1*IFERROR(VLOOKUP(INDEX(' Toto teams'!$G$4:$G$119,MATCH($B84,' Toto teams'!$A$4:$A$119,0)),Scoring!$A$4:$O$51,15,FALSE()),0)+1*IFERROR(VLOOKUP(INDEX(' Toto teams'!$H$4:$H$119,MATCH($B84,' Toto teams'!$A$4:$A$119,0)),Scoring!$A$4:$O$51,15,FALSE()),0))</f>
        <v>0</v>
      </c>
      <c r="J84" s="28">
        <f>IF($B84="","",6*IFERROR(VLOOKUP(INDEX(' Toto teams'!$B$4:$B$119,MATCH($B84,' Toto teams'!$A$4:$A$119,0)),Scoring!$A$4:$N$51,12,FALSE()),0)+4*IFERROR(VLOOKUP(INDEX(' Toto teams'!$C$4:$C$119,MATCH($B84,' Toto teams'!$A$4:$A$119,0)),Scoring!$A$4:$N$51,12,FALSE()),0)+3*IFERROR(VLOOKUP(INDEX(' Toto teams'!$D$4:$D$119,MATCH($B84,' Toto teams'!$A$4:$A$119,0)),Scoring!$A$4:$N$51,12,FALSE()),0)+2*IFERROR(VLOOKUP(INDEX(' Toto teams'!$E$4:$E$119,MATCH($B84,' Toto teams'!$A$4:$A$119,0)),Scoring!$A$4:$N$51,12,FALSE()),0)+1*IFERROR(VLOOKUP(INDEX(' Toto teams'!$F$4:$F$119,MATCH($B84,' Toto teams'!$A$4:$A$119,0)),Scoring!$A$4:$N$51,12,FALSE()),0)+1*IFERROR(VLOOKUP(INDEX(' Toto teams'!$G$4:$G$119,MATCH($B84,' Toto teams'!$A$4:$A$119,0)),Scoring!$A$4:$N$51,12,FALSE()),0)+1*IFERROR(VLOOKUP(INDEX(' Toto teams'!$H$4:$H$119,MATCH($B84,' Toto teams'!$A$4:$A$119,0)),Scoring!$A$4:$N$51,12,FALSE()),0))</f>
        <v>0</v>
      </c>
      <c r="K84" s="29">
        <f>IF($B84="","",IFERROR(INDEX(' Toto teams'!$R$4:$R$119,MATCH($B84,' Toto teams'!$A$4:$A$119,0)),""))</f>
        <v>0</v>
      </c>
      <c r="L84" s="30">
        <f t="shared" si="5"/>
        <v>0</v>
      </c>
    </row>
    <row r="85" spans="1:12" ht="12.75" customHeight="1" x14ac:dyDescent="0.3">
      <c r="A85" s="26">
        <f>IF(82&gt;COUNTIF(' Toto teams'!$A$4:$A$119,"&lt;&gt;"),"",INDEX(' Toto teams'!$S$4:$S$119,MATCH(LARGE(' Toto teams'!$T$4:$T$119,82),' Toto teams'!$T$4:$T$119,0)))</f>
        <v>63</v>
      </c>
      <c r="B85" s="27" t="str">
        <f>IF(82&gt;COUNTIF(' Toto teams'!$A$4:$A$119,"&lt;&gt;"),"",INDEX(' Toto teams'!$A$4:$A$119,MATCH(LARGE(' Toto teams'!$T$4:$T$119,82),' Toto teams'!$T$4:$T$119,0)))</f>
        <v>Zaur Yusubov</v>
      </c>
      <c r="C85" s="28">
        <f>IF($B85="","",6*(IFERROR(VLOOKUP(INDEX(' Toto teams'!$B$4:$B$119,MATCH($B85,' Toto teams'!$A$4:$A$119,0)),Scoring!$A$4:$N$51,3,FALSE()),0)+IFERROR(VLOOKUP(INDEX(' Toto teams'!$B$4:$B$119,MATCH($B85,' Toto teams'!$A$4:$A$119,0)),Scoring!$A$4:$N$51,4,FALSE()),0)+IFERROR(VLOOKUP(INDEX(' Toto teams'!$B$4:$B$119,MATCH($B85,' Toto teams'!$A$4:$A$119,0)),Scoring!$A$4:$N$51,5,FALSE()),0))+4*(IFERROR(VLOOKUP(INDEX(' Toto teams'!$C$4:$C$119,MATCH($B85,' Toto teams'!$A$4:$A$119,0)),Scoring!$A$4:$N$51,3,FALSE()),0)+IFERROR(VLOOKUP(INDEX(' Toto teams'!$C$4:$C$119,MATCH($B85,' Toto teams'!$A$4:$A$119,0)),Scoring!$A$4:$N$51,4,FALSE()),0)+IFERROR(VLOOKUP(INDEX(' Toto teams'!$C$4:$C$119,MATCH($B85,' Toto teams'!$A$4:$A$119,0)),Scoring!$A$4:$N$51,5,FALSE()),0))+3*(IFERROR(VLOOKUP(INDEX(' Toto teams'!$D$4:$D$119,MATCH($B85,' Toto teams'!$A$4:$A$119,0)),Scoring!$A$4:$N$51,3,FALSE()),0)+IFERROR(VLOOKUP(INDEX(' Toto teams'!$D$4:$D$119,MATCH($B85,' Toto teams'!$A$4:$A$119,0)),Scoring!$A$4:$N$51,4,FALSE()),0)+IFERROR(VLOOKUP(INDEX(' Toto teams'!$D$4:$D$119,MATCH($B85,' Toto teams'!$A$4:$A$119,0)),Scoring!$A$4:$N$51,5,FALSE()),0))+2*(IFERROR(VLOOKUP(INDEX(' Toto teams'!$E$4:$E$119,MATCH($B85,' Toto teams'!$A$4:$A$119,0)),Scoring!$A$4:$N$51,3,FALSE()),0)+IFERROR(VLOOKUP(INDEX(' Toto teams'!$E$4:$E$119,MATCH($B85,' Toto teams'!$A$4:$A$119,0)),Scoring!$A$4:$N$51,4,FALSE()),0)+IFERROR(VLOOKUP(INDEX(' Toto teams'!$E$4:$E$119,MATCH($B85,' Toto teams'!$A$4:$A$119,0)),Scoring!$A$4:$N$51,5,FALSE()),0))+1*(IFERROR(VLOOKUP(INDEX(' Toto teams'!$F$4:$F$119,MATCH($B85,' Toto teams'!$A$4:$A$119,0)),Scoring!$A$4:$N$51,3,FALSE()),0)+IFERROR(VLOOKUP(INDEX(' Toto teams'!$F$4:$F$119,MATCH($B85,' Toto teams'!$A$4:$A$119,0)),Scoring!$A$4:$N$51,4,FALSE()),0)+IFERROR(VLOOKUP(INDEX(' Toto teams'!$F$4:$F$119,MATCH($B85,' Toto teams'!$A$4:$A$119,0)),Scoring!$A$4:$N$51,5,FALSE()),0))+1*(IFERROR(VLOOKUP(INDEX(' Toto teams'!$G$4:$G$119,MATCH($B85,' Toto teams'!$A$4:$A$119,0)),Scoring!$A$4:$N$51,3,FALSE()),0)+IFERROR(VLOOKUP(INDEX(' Toto teams'!$G$4:$G$119,MATCH($B85,' Toto teams'!$A$4:$A$119,0)),Scoring!$A$4:$N$51,4,FALSE()),0)+IFERROR(VLOOKUP(INDEX(' Toto teams'!$G$4:$G$119,MATCH($B85,' Toto teams'!$A$4:$A$119,0)),Scoring!$A$4:$N$51,5,FALSE()),0))+1*(IFERROR(VLOOKUP(INDEX(' Toto teams'!$H$4:$H$119,MATCH($B85,' Toto teams'!$A$4:$A$119,0)),Scoring!$A$4:$N$51,3,FALSE()),0)+IFERROR(VLOOKUP(INDEX(' Toto teams'!$H$4:$H$119,MATCH($B85,' Toto teams'!$A$4:$A$119,0)),Scoring!$A$4:$N$51,4,FALSE()),0)+IFERROR(VLOOKUP(INDEX(' Toto teams'!$H$4:$H$119,MATCH($B85,' Toto teams'!$A$4:$A$119,0)),Scoring!$A$4:$N$51,5,FALSE()),0))+IFERROR(INDEX(' Toto teams'!$Q$4:$Q$119,MATCH($B85,' Toto teams'!$A$4:$A$119,0))*1,0))</f>
        <v>0</v>
      </c>
      <c r="D85" s="28">
        <f>IF($B85="","",6*IFERROR(VLOOKUP(INDEX(' Toto teams'!$B$4:$B$119,MATCH($B85,' Toto teams'!$A$4:$A$119,0)),Scoring!$A$4:$N$51,7,FALSE()),0)+4*IFERROR(VLOOKUP(INDEX(' Toto teams'!$C$4:$C$119,MATCH($B85,' Toto teams'!$A$4:$A$119,0)),Scoring!$A$4:$N$51,7,FALSE()),0)+3*IFERROR(VLOOKUP(INDEX(' Toto teams'!$D$4:$D$119,MATCH($B85,' Toto teams'!$A$4:$A$119,0)),Scoring!$A$4:$N$51,7,FALSE()),0)+2*IFERROR(VLOOKUP(INDEX(' Toto teams'!$E$4:$E$119,MATCH($B85,' Toto teams'!$A$4:$A$119,0)),Scoring!$A$4:$N$51,7,FALSE()),0)+1*IFERROR(VLOOKUP(INDEX(' Toto teams'!$F$4:$F$119,MATCH($B85,' Toto teams'!$A$4:$A$119,0)),Scoring!$A$4:$N$51,7,FALSE()),0)+1*IFERROR(VLOOKUP(INDEX(' Toto teams'!$G$4:$G$119,MATCH($B85,' Toto teams'!$A$4:$A$119,0)),Scoring!$A$4:$N$51,7,FALSE()),0)+1*IFERROR(VLOOKUP(INDEX(' Toto teams'!$H$4:$H$119,MATCH($B85,' Toto teams'!$A$4:$A$119,0)),Scoring!$A$4:$N$51,7,FALSE()),0))</f>
        <v>0</v>
      </c>
      <c r="E85" s="28">
        <f>IF($B85="","",6*IFERROR(VLOOKUP(INDEX(' Toto teams'!$B$4:$B$119,MATCH($B85,' Toto teams'!$A$4:$A$119,0)),Scoring!$A$4:$N$51,8,FALSE()),0)+4*IFERROR(VLOOKUP(INDEX(' Toto teams'!$C$4:$C$119,MATCH($B85,' Toto teams'!$A$4:$A$119,0)),Scoring!$A$4:$N$51,8,FALSE()),0)+3*IFERROR(VLOOKUP(INDEX(' Toto teams'!$D$4:$D$119,MATCH($B85,' Toto teams'!$A$4:$A$119,0)),Scoring!$A$4:$N$51,8,FALSE()),0)+2*IFERROR(VLOOKUP(INDEX(' Toto teams'!$E$4:$E$119,MATCH($B85,' Toto teams'!$A$4:$A$119,0)),Scoring!$A$4:$N$51,8,FALSE()),0)+1*IFERROR(VLOOKUP(INDEX(' Toto teams'!$F$4:$F$119,MATCH($B85,' Toto teams'!$A$4:$A$119,0)),Scoring!$A$4:$N$51,8,FALSE()),0)+1*IFERROR(VLOOKUP(INDEX(' Toto teams'!$G$4:$G$119,MATCH($B85,' Toto teams'!$A$4:$A$119,0)),Scoring!$A$4:$N$51,8,FALSE()),0)+1*IFERROR(VLOOKUP(INDEX(' Toto teams'!$H$4:$H$119,MATCH($B85,' Toto teams'!$A$4:$A$119,0)),Scoring!$A$4:$N$51,8,FALSE()),0))</f>
        <v>0</v>
      </c>
      <c r="F85" s="28">
        <f>IF($B85="","",6*IFERROR(VLOOKUP(INDEX(' Toto teams'!$B$4:$B$119,MATCH($B85,' Toto teams'!$A$4:$A$119,0)),Scoring!$A$4:$N$51,9,FALSE()),0)+4*IFERROR(VLOOKUP(INDEX(' Toto teams'!$C$4:$C$119,MATCH($B85,' Toto teams'!$A$4:$A$119,0)),Scoring!$A$4:$N$51,9,FALSE()),0)+3*IFERROR(VLOOKUP(INDEX(' Toto teams'!$D$4:$D$119,MATCH($B85,' Toto teams'!$A$4:$A$119,0)),Scoring!$A$4:$N$51,9,FALSE()),0)+2*IFERROR(VLOOKUP(INDEX(' Toto teams'!$E$4:$E$119,MATCH($B85,' Toto teams'!$A$4:$A$119,0)),Scoring!$A$4:$N$51,9,FALSE()),0)+1*IFERROR(VLOOKUP(INDEX(' Toto teams'!$F$4:$F$119,MATCH($B85,' Toto teams'!$A$4:$A$119,0)),Scoring!$A$4:$N$51,9,FALSE()),0)+1*IFERROR(VLOOKUP(INDEX(' Toto teams'!$G$4:$G$119,MATCH($B85,' Toto teams'!$A$4:$A$119,0)),Scoring!$A$4:$N$51,9,FALSE()),0)+1*IFERROR(VLOOKUP(INDEX(' Toto teams'!$H$4:$H$119,MATCH($B85,' Toto teams'!$A$4:$A$119,0)),Scoring!$A$4:$N$51,9,FALSE()),0))</f>
        <v>0</v>
      </c>
      <c r="G85" s="28">
        <f>IF($B85="","",6*IFERROR(VLOOKUP(INDEX(' Toto teams'!$B$4:$B$119,MATCH($B85,' Toto teams'!$A$4:$A$119,0)),Scoring!$A$4:$N$51,10,FALSE()),0)+4*IFERROR(VLOOKUP(INDEX(' Toto teams'!$C$4:$C$119,MATCH($B85,' Toto teams'!$A$4:$A$119,0)),Scoring!$A$4:$N$51,10,FALSE()),0)+3*IFERROR(VLOOKUP(INDEX(' Toto teams'!$D$4:$D$119,MATCH($B85,' Toto teams'!$A$4:$A$119,0)),Scoring!$A$4:$N$51,10,FALSE()),0)+2*IFERROR(VLOOKUP(INDEX(' Toto teams'!$E$4:$E$119,MATCH($B85,' Toto teams'!$A$4:$A$119,0)),Scoring!$A$4:$N$51,10,FALSE()),0)+1*IFERROR(VLOOKUP(INDEX(' Toto teams'!$F$4:$F$119,MATCH($B85,' Toto teams'!$A$4:$A$119,0)),Scoring!$A$4:$N$51,10,FALSE()),0)+1*IFERROR(VLOOKUP(INDEX(' Toto teams'!$G$4:$G$119,MATCH($B85,' Toto teams'!$A$4:$A$119,0)),Scoring!$A$4:$N$51,10,FALSE()),0)+1*IFERROR(VLOOKUP(INDEX(' Toto teams'!$H$4:$H$119,MATCH($B85,' Toto teams'!$A$4:$A$119,0)),Scoring!$A$4:$N$51,10,FALSE()),0))</f>
        <v>0</v>
      </c>
      <c r="H85" s="28">
        <f>IF($B85="","",6*IFERROR(VLOOKUP(INDEX(' Toto teams'!$B$4:$B$119,MATCH($B85,' Toto teams'!$A$4:$A$119,0)),Scoring!$A$4:$N$51,11,FALSE()),0)+4*IFERROR(VLOOKUP(INDEX(' Toto teams'!$C$4:$C$119,MATCH($B85,' Toto teams'!$A$4:$A$119,0)),Scoring!$A$4:$N$51,11,FALSE()),0)+3*IFERROR(VLOOKUP(INDEX(' Toto teams'!$D$4:$D$119,MATCH($B85,' Toto teams'!$A$4:$A$119,0)),Scoring!$A$4:$N$51,11,FALSE()),0)+2*IFERROR(VLOOKUP(INDEX(' Toto teams'!$E$4:$E$119,MATCH($B85,' Toto teams'!$A$4:$A$119,0)),Scoring!$A$4:$N$51,11,FALSE()),0)+1*IFERROR(VLOOKUP(INDEX(' Toto teams'!$F$4:$F$119,MATCH($B85,' Toto teams'!$A$4:$A$119,0)),Scoring!$A$4:$N$51,11,FALSE()),0)+1*IFERROR(VLOOKUP(INDEX(' Toto teams'!$G$4:$G$119,MATCH($B85,' Toto teams'!$A$4:$A$119,0)),Scoring!$A$4:$N$51,11,FALSE()),0)+1*IFERROR(VLOOKUP(INDEX(' Toto teams'!$H$4:$H$119,MATCH($B85,' Toto teams'!$A$4:$A$119,0)),Scoring!$A$4:$N$51,11,FALSE()),0))</f>
        <v>0</v>
      </c>
      <c r="I85" s="28">
        <f>IF($B85="","",6*IFERROR(VLOOKUP(INDEX(' Toto teams'!$B$4:$B$119,MATCH($B85,' Toto teams'!$A$4:$A$119,0)),Scoring!$A$4:$O$51,15,FALSE()),0)+4*IFERROR(VLOOKUP(INDEX(' Toto teams'!$C$4:$C$119,MATCH($B85,' Toto teams'!$A$4:$A$119,0)),Scoring!$A$4:$O$51,15,FALSE()),0)+3*IFERROR(VLOOKUP(INDEX(' Toto teams'!$D$4:$D$119,MATCH($B85,' Toto teams'!$A$4:$A$119,0)),Scoring!$A$4:$O$51,15,FALSE()),0)+2*IFERROR(VLOOKUP(INDEX(' Toto teams'!$E$4:$E$119,MATCH($B85,' Toto teams'!$A$4:$A$119,0)),Scoring!$A$4:$O$51,15,FALSE()),0)+1*IFERROR(VLOOKUP(INDEX(' Toto teams'!$F$4:$F$119,MATCH($B85,' Toto teams'!$A$4:$A$119,0)),Scoring!$A$4:$O$51,15,FALSE()),0)+1*IFERROR(VLOOKUP(INDEX(' Toto teams'!$G$4:$G$119,MATCH($B85,' Toto teams'!$A$4:$A$119,0)),Scoring!$A$4:$O$51,15,FALSE()),0)+1*IFERROR(VLOOKUP(INDEX(' Toto teams'!$H$4:$H$119,MATCH($B85,' Toto teams'!$A$4:$A$119,0)),Scoring!$A$4:$O$51,15,FALSE()),0))</f>
        <v>0</v>
      </c>
      <c r="J85" s="28">
        <f>IF($B85="","",6*IFERROR(VLOOKUP(INDEX(' Toto teams'!$B$4:$B$119,MATCH($B85,' Toto teams'!$A$4:$A$119,0)),Scoring!$A$4:$N$51,12,FALSE()),0)+4*IFERROR(VLOOKUP(INDEX(' Toto teams'!$C$4:$C$119,MATCH($B85,' Toto teams'!$A$4:$A$119,0)),Scoring!$A$4:$N$51,12,FALSE()),0)+3*IFERROR(VLOOKUP(INDEX(' Toto teams'!$D$4:$D$119,MATCH($B85,' Toto teams'!$A$4:$A$119,0)),Scoring!$A$4:$N$51,12,FALSE()),0)+2*IFERROR(VLOOKUP(INDEX(' Toto teams'!$E$4:$E$119,MATCH($B85,' Toto teams'!$A$4:$A$119,0)),Scoring!$A$4:$N$51,12,FALSE()),0)+1*IFERROR(VLOOKUP(INDEX(' Toto teams'!$F$4:$F$119,MATCH($B85,' Toto teams'!$A$4:$A$119,0)),Scoring!$A$4:$N$51,12,FALSE()),0)+1*IFERROR(VLOOKUP(INDEX(' Toto teams'!$G$4:$G$119,MATCH($B85,' Toto teams'!$A$4:$A$119,0)),Scoring!$A$4:$N$51,12,FALSE()),0)+1*IFERROR(VLOOKUP(INDEX(' Toto teams'!$H$4:$H$119,MATCH($B85,' Toto teams'!$A$4:$A$119,0)),Scoring!$A$4:$N$51,12,FALSE()),0))</f>
        <v>0</v>
      </c>
      <c r="K85" s="29">
        <f>IF($B85="","",IFERROR(INDEX(' Toto teams'!$R$4:$R$119,MATCH($B85,' Toto teams'!$A$4:$A$119,0)),""))</f>
        <v>0</v>
      </c>
      <c r="L85" s="30">
        <f t="shared" si="5"/>
        <v>0</v>
      </c>
    </row>
    <row r="86" spans="1:12" ht="12.75" customHeight="1" x14ac:dyDescent="0.3">
      <c r="A86" s="26">
        <f>IF(83&gt;COUNTIF(' Toto teams'!$A$4:$A$119,"&lt;&gt;"),"",INDEX(' Toto teams'!$S$4:$S$119,MATCH(LARGE(' Toto teams'!$T$4:$T$119,83),' Toto teams'!$T$4:$T$119,0)))</f>
        <v>63</v>
      </c>
      <c r="B86" s="27" t="str">
        <f>IF(83&gt;COUNTIF(' Toto teams'!$A$4:$A$119,"&lt;&gt;"),"",INDEX(' Toto teams'!$A$4:$A$119,MATCH(LARGE(' Toto teams'!$T$4:$T$119,83),' Toto teams'!$T$4:$T$119,0)))</f>
        <v>Egidijus Navickas</v>
      </c>
      <c r="C86" s="28">
        <f>IF($B86="","",6*(IFERROR(VLOOKUP(INDEX(' Toto teams'!$B$4:$B$119,MATCH($B86,' Toto teams'!$A$4:$A$119,0)),Scoring!$A$4:$N$51,3,FALSE()),0)+IFERROR(VLOOKUP(INDEX(' Toto teams'!$B$4:$B$119,MATCH($B86,' Toto teams'!$A$4:$A$119,0)),Scoring!$A$4:$N$51,4,FALSE()),0)+IFERROR(VLOOKUP(INDEX(' Toto teams'!$B$4:$B$119,MATCH($B86,' Toto teams'!$A$4:$A$119,0)),Scoring!$A$4:$N$51,5,FALSE()),0))+4*(IFERROR(VLOOKUP(INDEX(' Toto teams'!$C$4:$C$119,MATCH($B86,' Toto teams'!$A$4:$A$119,0)),Scoring!$A$4:$N$51,3,FALSE()),0)+IFERROR(VLOOKUP(INDEX(' Toto teams'!$C$4:$C$119,MATCH($B86,' Toto teams'!$A$4:$A$119,0)),Scoring!$A$4:$N$51,4,FALSE()),0)+IFERROR(VLOOKUP(INDEX(' Toto teams'!$C$4:$C$119,MATCH($B86,' Toto teams'!$A$4:$A$119,0)),Scoring!$A$4:$N$51,5,FALSE()),0))+3*(IFERROR(VLOOKUP(INDEX(' Toto teams'!$D$4:$D$119,MATCH($B86,' Toto teams'!$A$4:$A$119,0)),Scoring!$A$4:$N$51,3,FALSE()),0)+IFERROR(VLOOKUP(INDEX(' Toto teams'!$D$4:$D$119,MATCH($B86,' Toto teams'!$A$4:$A$119,0)),Scoring!$A$4:$N$51,4,FALSE()),0)+IFERROR(VLOOKUP(INDEX(' Toto teams'!$D$4:$D$119,MATCH($B86,' Toto teams'!$A$4:$A$119,0)),Scoring!$A$4:$N$51,5,FALSE()),0))+2*(IFERROR(VLOOKUP(INDEX(' Toto teams'!$E$4:$E$119,MATCH($B86,' Toto teams'!$A$4:$A$119,0)),Scoring!$A$4:$N$51,3,FALSE()),0)+IFERROR(VLOOKUP(INDEX(' Toto teams'!$E$4:$E$119,MATCH($B86,' Toto teams'!$A$4:$A$119,0)),Scoring!$A$4:$N$51,4,FALSE()),0)+IFERROR(VLOOKUP(INDEX(' Toto teams'!$E$4:$E$119,MATCH($B86,' Toto teams'!$A$4:$A$119,0)),Scoring!$A$4:$N$51,5,FALSE()),0))+1*(IFERROR(VLOOKUP(INDEX(' Toto teams'!$F$4:$F$119,MATCH($B86,' Toto teams'!$A$4:$A$119,0)),Scoring!$A$4:$N$51,3,FALSE()),0)+IFERROR(VLOOKUP(INDEX(' Toto teams'!$F$4:$F$119,MATCH($B86,' Toto teams'!$A$4:$A$119,0)),Scoring!$A$4:$N$51,4,FALSE()),0)+IFERROR(VLOOKUP(INDEX(' Toto teams'!$F$4:$F$119,MATCH($B86,' Toto teams'!$A$4:$A$119,0)),Scoring!$A$4:$N$51,5,FALSE()),0))+1*(IFERROR(VLOOKUP(INDEX(' Toto teams'!$G$4:$G$119,MATCH($B86,' Toto teams'!$A$4:$A$119,0)),Scoring!$A$4:$N$51,3,FALSE()),0)+IFERROR(VLOOKUP(INDEX(' Toto teams'!$G$4:$G$119,MATCH($B86,' Toto teams'!$A$4:$A$119,0)),Scoring!$A$4:$N$51,4,FALSE()),0)+IFERROR(VLOOKUP(INDEX(' Toto teams'!$G$4:$G$119,MATCH($B86,' Toto teams'!$A$4:$A$119,0)),Scoring!$A$4:$N$51,5,FALSE()),0))+1*(IFERROR(VLOOKUP(INDEX(' Toto teams'!$H$4:$H$119,MATCH($B86,' Toto teams'!$A$4:$A$119,0)),Scoring!$A$4:$N$51,3,FALSE()),0)+IFERROR(VLOOKUP(INDEX(' Toto teams'!$H$4:$H$119,MATCH($B86,' Toto teams'!$A$4:$A$119,0)),Scoring!$A$4:$N$51,4,FALSE()),0)+IFERROR(VLOOKUP(INDEX(' Toto teams'!$H$4:$H$119,MATCH($B86,' Toto teams'!$A$4:$A$119,0)),Scoring!$A$4:$N$51,5,FALSE()),0))+IFERROR(INDEX(' Toto teams'!$Q$4:$Q$119,MATCH($B86,' Toto teams'!$A$4:$A$119,0))*1,0))</f>
        <v>0</v>
      </c>
      <c r="D86" s="28">
        <f>IF($B86="","",6*IFERROR(VLOOKUP(INDEX(' Toto teams'!$B$4:$B$119,MATCH($B86,' Toto teams'!$A$4:$A$119,0)),Scoring!$A$4:$N$51,7,FALSE()),0)+4*IFERROR(VLOOKUP(INDEX(' Toto teams'!$C$4:$C$119,MATCH($B86,' Toto teams'!$A$4:$A$119,0)),Scoring!$A$4:$N$51,7,FALSE()),0)+3*IFERROR(VLOOKUP(INDEX(' Toto teams'!$D$4:$D$119,MATCH($B86,' Toto teams'!$A$4:$A$119,0)),Scoring!$A$4:$N$51,7,FALSE()),0)+2*IFERROR(VLOOKUP(INDEX(' Toto teams'!$E$4:$E$119,MATCH($B86,' Toto teams'!$A$4:$A$119,0)),Scoring!$A$4:$N$51,7,FALSE()),0)+1*IFERROR(VLOOKUP(INDEX(' Toto teams'!$F$4:$F$119,MATCH($B86,' Toto teams'!$A$4:$A$119,0)),Scoring!$A$4:$N$51,7,FALSE()),0)+1*IFERROR(VLOOKUP(INDEX(' Toto teams'!$G$4:$G$119,MATCH($B86,' Toto teams'!$A$4:$A$119,0)),Scoring!$A$4:$N$51,7,FALSE()),0)+1*IFERROR(VLOOKUP(INDEX(' Toto teams'!$H$4:$H$119,MATCH($B86,' Toto teams'!$A$4:$A$119,0)),Scoring!$A$4:$N$51,7,FALSE()),0))</f>
        <v>0</v>
      </c>
      <c r="E86" s="28">
        <f>IF($B86="","",6*IFERROR(VLOOKUP(INDEX(' Toto teams'!$B$4:$B$119,MATCH($B86,' Toto teams'!$A$4:$A$119,0)),Scoring!$A$4:$N$51,8,FALSE()),0)+4*IFERROR(VLOOKUP(INDEX(' Toto teams'!$C$4:$C$119,MATCH($B86,' Toto teams'!$A$4:$A$119,0)),Scoring!$A$4:$N$51,8,FALSE()),0)+3*IFERROR(VLOOKUP(INDEX(' Toto teams'!$D$4:$D$119,MATCH($B86,' Toto teams'!$A$4:$A$119,0)),Scoring!$A$4:$N$51,8,FALSE()),0)+2*IFERROR(VLOOKUP(INDEX(' Toto teams'!$E$4:$E$119,MATCH($B86,' Toto teams'!$A$4:$A$119,0)),Scoring!$A$4:$N$51,8,FALSE()),0)+1*IFERROR(VLOOKUP(INDEX(' Toto teams'!$F$4:$F$119,MATCH($B86,' Toto teams'!$A$4:$A$119,0)),Scoring!$A$4:$N$51,8,FALSE()),0)+1*IFERROR(VLOOKUP(INDEX(' Toto teams'!$G$4:$G$119,MATCH($B86,' Toto teams'!$A$4:$A$119,0)),Scoring!$A$4:$N$51,8,FALSE()),0)+1*IFERROR(VLOOKUP(INDEX(' Toto teams'!$H$4:$H$119,MATCH($B86,' Toto teams'!$A$4:$A$119,0)),Scoring!$A$4:$N$51,8,FALSE()),0))</f>
        <v>0</v>
      </c>
      <c r="F86" s="28">
        <f>IF($B86="","",6*IFERROR(VLOOKUP(INDEX(' Toto teams'!$B$4:$B$119,MATCH($B86,' Toto teams'!$A$4:$A$119,0)),Scoring!$A$4:$N$51,9,FALSE()),0)+4*IFERROR(VLOOKUP(INDEX(' Toto teams'!$C$4:$C$119,MATCH($B86,' Toto teams'!$A$4:$A$119,0)),Scoring!$A$4:$N$51,9,FALSE()),0)+3*IFERROR(VLOOKUP(INDEX(' Toto teams'!$D$4:$D$119,MATCH($B86,' Toto teams'!$A$4:$A$119,0)),Scoring!$A$4:$N$51,9,FALSE()),0)+2*IFERROR(VLOOKUP(INDEX(' Toto teams'!$E$4:$E$119,MATCH($B86,' Toto teams'!$A$4:$A$119,0)),Scoring!$A$4:$N$51,9,FALSE()),0)+1*IFERROR(VLOOKUP(INDEX(' Toto teams'!$F$4:$F$119,MATCH($B86,' Toto teams'!$A$4:$A$119,0)),Scoring!$A$4:$N$51,9,FALSE()),0)+1*IFERROR(VLOOKUP(INDEX(' Toto teams'!$G$4:$G$119,MATCH($B86,' Toto teams'!$A$4:$A$119,0)),Scoring!$A$4:$N$51,9,FALSE()),0)+1*IFERROR(VLOOKUP(INDEX(' Toto teams'!$H$4:$H$119,MATCH($B86,' Toto teams'!$A$4:$A$119,0)),Scoring!$A$4:$N$51,9,FALSE()),0))</f>
        <v>0</v>
      </c>
      <c r="G86" s="28">
        <f>IF($B86="","",6*IFERROR(VLOOKUP(INDEX(' Toto teams'!$B$4:$B$119,MATCH($B86,' Toto teams'!$A$4:$A$119,0)),Scoring!$A$4:$N$51,10,FALSE()),0)+4*IFERROR(VLOOKUP(INDEX(' Toto teams'!$C$4:$C$119,MATCH($B86,' Toto teams'!$A$4:$A$119,0)),Scoring!$A$4:$N$51,10,FALSE()),0)+3*IFERROR(VLOOKUP(INDEX(' Toto teams'!$D$4:$D$119,MATCH($B86,' Toto teams'!$A$4:$A$119,0)),Scoring!$A$4:$N$51,10,FALSE()),0)+2*IFERROR(VLOOKUP(INDEX(' Toto teams'!$E$4:$E$119,MATCH($B86,' Toto teams'!$A$4:$A$119,0)),Scoring!$A$4:$N$51,10,FALSE()),0)+1*IFERROR(VLOOKUP(INDEX(' Toto teams'!$F$4:$F$119,MATCH($B86,' Toto teams'!$A$4:$A$119,0)),Scoring!$A$4:$N$51,10,FALSE()),0)+1*IFERROR(VLOOKUP(INDEX(' Toto teams'!$G$4:$G$119,MATCH($B86,' Toto teams'!$A$4:$A$119,0)),Scoring!$A$4:$N$51,10,FALSE()),0)+1*IFERROR(VLOOKUP(INDEX(' Toto teams'!$H$4:$H$119,MATCH($B86,' Toto teams'!$A$4:$A$119,0)),Scoring!$A$4:$N$51,10,FALSE()),0))</f>
        <v>0</v>
      </c>
      <c r="H86" s="28">
        <f>IF($B86="","",6*IFERROR(VLOOKUP(INDEX(' Toto teams'!$B$4:$B$119,MATCH($B86,' Toto teams'!$A$4:$A$119,0)),Scoring!$A$4:$N$51,11,FALSE()),0)+4*IFERROR(VLOOKUP(INDEX(' Toto teams'!$C$4:$C$119,MATCH($B86,' Toto teams'!$A$4:$A$119,0)),Scoring!$A$4:$N$51,11,FALSE()),0)+3*IFERROR(VLOOKUP(INDEX(' Toto teams'!$D$4:$D$119,MATCH($B86,' Toto teams'!$A$4:$A$119,0)),Scoring!$A$4:$N$51,11,FALSE()),0)+2*IFERROR(VLOOKUP(INDEX(' Toto teams'!$E$4:$E$119,MATCH($B86,' Toto teams'!$A$4:$A$119,0)),Scoring!$A$4:$N$51,11,FALSE()),0)+1*IFERROR(VLOOKUP(INDEX(' Toto teams'!$F$4:$F$119,MATCH($B86,' Toto teams'!$A$4:$A$119,0)),Scoring!$A$4:$N$51,11,FALSE()),0)+1*IFERROR(VLOOKUP(INDEX(' Toto teams'!$G$4:$G$119,MATCH($B86,' Toto teams'!$A$4:$A$119,0)),Scoring!$A$4:$N$51,11,FALSE()),0)+1*IFERROR(VLOOKUP(INDEX(' Toto teams'!$H$4:$H$119,MATCH($B86,' Toto teams'!$A$4:$A$119,0)),Scoring!$A$4:$N$51,11,FALSE()),0))</f>
        <v>0</v>
      </c>
      <c r="I86" s="28">
        <f>IF($B86="","",6*IFERROR(VLOOKUP(INDEX(' Toto teams'!$B$4:$B$119,MATCH($B86,' Toto teams'!$A$4:$A$119,0)),Scoring!$A$4:$O$51,15,FALSE()),0)+4*IFERROR(VLOOKUP(INDEX(' Toto teams'!$C$4:$C$119,MATCH($B86,' Toto teams'!$A$4:$A$119,0)),Scoring!$A$4:$O$51,15,FALSE()),0)+3*IFERROR(VLOOKUP(INDEX(' Toto teams'!$D$4:$D$119,MATCH($B86,' Toto teams'!$A$4:$A$119,0)),Scoring!$A$4:$O$51,15,FALSE()),0)+2*IFERROR(VLOOKUP(INDEX(' Toto teams'!$E$4:$E$119,MATCH($B86,' Toto teams'!$A$4:$A$119,0)),Scoring!$A$4:$O$51,15,FALSE()),0)+1*IFERROR(VLOOKUP(INDEX(' Toto teams'!$F$4:$F$119,MATCH($B86,' Toto teams'!$A$4:$A$119,0)),Scoring!$A$4:$O$51,15,FALSE()),0)+1*IFERROR(VLOOKUP(INDEX(' Toto teams'!$G$4:$G$119,MATCH($B86,' Toto teams'!$A$4:$A$119,0)),Scoring!$A$4:$O$51,15,FALSE()),0)+1*IFERROR(VLOOKUP(INDEX(' Toto teams'!$H$4:$H$119,MATCH($B86,' Toto teams'!$A$4:$A$119,0)),Scoring!$A$4:$O$51,15,FALSE()),0))</f>
        <v>0</v>
      </c>
      <c r="J86" s="28">
        <f>IF($B86="","",6*IFERROR(VLOOKUP(INDEX(' Toto teams'!$B$4:$B$119,MATCH($B86,' Toto teams'!$A$4:$A$119,0)),Scoring!$A$4:$N$51,12,FALSE()),0)+4*IFERROR(VLOOKUP(INDEX(' Toto teams'!$C$4:$C$119,MATCH($B86,' Toto teams'!$A$4:$A$119,0)),Scoring!$A$4:$N$51,12,FALSE()),0)+3*IFERROR(VLOOKUP(INDEX(' Toto teams'!$D$4:$D$119,MATCH($B86,' Toto teams'!$A$4:$A$119,0)),Scoring!$A$4:$N$51,12,FALSE()),0)+2*IFERROR(VLOOKUP(INDEX(' Toto teams'!$E$4:$E$119,MATCH($B86,' Toto teams'!$A$4:$A$119,0)),Scoring!$A$4:$N$51,12,FALSE()),0)+1*IFERROR(VLOOKUP(INDEX(' Toto teams'!$F$4:$F$119,MATCH($B86,' Toto teams'!$A$4:$A$119,0)),Scoring!$A$4:$N$51,12,FALSE()),0)+1*IFERROR(VLOOKUP(INDEX(' Toto teams'!$G$4:$G$119,MATCH($B86,' Toto teams'!$A$4:$A$119,0)),Scoring!$A$4:$N$51,12,FALSE()),0)+1*IFERROR(VLOOKUP(INDEX(' Toto teams'!$H$4:$H$119,MATCH($B86,' Toto teams'!$A$4:$A$119,0)),Scoring!$A$4:$N$51,12,FALSE()),0))</f>
        <v>0</v>
      </c>
      <c r="K86" s="29">
        <f>IF($B86="","",IFERROR(INDEX(' Toto teams'!$R$4:$R$119,MATCH($B86,' Toto teams'!$A$4:$A$119,0)),""))</f>
        <v>0</v>
      </c>
      <c r="L86" s="30">
        <f t="shared" si="5"/>
        <v>0</v>
      </c>
    </row>
    <row r="87" spans="1:12" ht="12.75" customHeight="1" x14ac:dyDescent="0.3">
      <c r="A87" s="26">
        <f>IF(84&gt;COUNTIF(' Toto teams'!$A$4:$A$119,"&lt;&gt;"),"",INDEX(' Toto teams'!$S$4:$S$119,MATCH(LARGE(' Toto teams'!$T$4:$T$119,84),' Toto teams'!$T$4:$T$119,0)))</f>
        <v>63</v>
      </c>
      <c r="B87" s="27" t="str">
        <f>IF(84&gt;COUNTIF(' Toto teams'!$A$4:$A$119,"&lt;&gt;"),"",INDEX(' Toto teams'!$A$4:$A$119,MATCH(LARGE(' Toto teams'!$T$4:$T$119,84),' Toto teams'!$T$4:$T$119,0)))</f>
        <v>Deividas Jodenis</v>
      </c>
      <c r="C87" s="28">
        <f>IF($B87="","",6*(IFERROR(VLOOKUP(INDEX(' Toto teams'!$B$4:$B$119,MATCH($B87,' Toto teams'!$A$4:$A$119,0)),Scoring!$A$4:$N$51,3,FALSE()),0)+IFERROR(VLOOKUP(INDEX(' Toto teams'!$B$4:$B$119,MATCH($B87,' Toto teams'!$A$4:$A$119,0)),Scoring!$A$4:$N$51,4,FALSE()),0)+IFERROR(VLOOKUP(INDEX(' Toto teams'!$B$4:$B$119,MATCH($B87,' Toto teams'!$A$4:$A$119,0)),Scoring!$A$4:$N$51,5,FALSE()),0))+4*(IFERROR(VLOOKUP(INDEX(' Toto teams'!$C$4:$C$119,MATCH($B87,' Toto teams'!$A$4:$A$119,0)),Scoring!$A$4:$N$51,3,FALSE()),0)+IFERROR(VLOOKUP(INDEX(' Toto teams'!$C$4:$C$119,MATCH($B87,' Toto teams'!$A$4:$A$119,0)),Scoring!$A$4:$N$51,4,FALSE()),0)+IFERROR(VLOOKUP(INDEX(' Toto teams'!$C$4:$C$119,MATCH($B87,' Toto teams'!$A$4:$A$119,0)),Scoring!$A$4:$N$51,5,FALSE()),0))+3*(IFERROR(VLOOKUP(INDEX(' Toto teams'!$D$4:$D$119,MATCH($B87,' Toto teams'!$A$4:$A$119,0)),Scoring!$A$4:$N$51,3,FALSE()),0)+IFERROR(VLOOKUP(INDEX(' Toto teams'!$D$4:$D$119,MATCH($B87,' Toto teams'!$A$4:$A$119,0)),Scoring!$A$4:$N$51,4,FALSE()),0)+IFERROR(VLOOKUP(INDEX(' Toto teams'!$D$4:$D$119,MATCH($B87,' Toto teams'!$A$4:$A$119,0)),Scoring!$A$4:$N$51,5,FALSE()),0))+2*(IFERROR(VLOOKUP(INDEX(' Toto teams'!$E$4:$E$119,MATCH($B87,' Toto teams'!$A$4:$A$119,0)),Scoring!$A$4:$N$51,3,FALSE()),0)+IFERROR(VLOOKUP(INDEX(' Toto teams'!$E$4:$E$119,MATCH($B87,' Toto teams'!$A$4:$A$119,0)),Scoring!$A$4:$N$51,4,FALSE()),0)+IFERROR(VLOOKUP(INDEX(' Toto teams'!$E$4:$E$119,MATCH($B87,' Toto teams'!$A$4:$A$119,0)),Scoring!$A$4:$N$51,5,FALSE()),0))+1*(IFERROR(VLOOKUP(INDEX(' Toto teams'!$F$4:$F$119,MATCH($B87,' Toto teams'!$A$4:$A$119,0)),Scoring!$A$4:$N$51,3,FALSE()),0)+IFERROR(VLOOKUP(INDEX(' Toto teams'!$F$4:$F$119,MATCH($B87,' Toto teams'!$A$4:$A$119,0)),Scoring!$A$4:$N$51,4,FALSE()),0)+IFERROR(VLOOKUP(INDEX(' Toto teams'!$F$4:$F$119,MATCH($B87,' Toto teams'!$A$4:$A$119,0)),Scoring!$A$4:$N$51,5,FALSE()),0))+1*(IFERROR(VLOOKUP(INDEX(' Toto teams'!$G$4:$G$119,MATCH($B87,' Toto teams'!$A$4:$A$119,0)),Scoring!$A$4:$N$51,3,FALSE()),0)+IFERROR(VLOOKUP(INDEX(' Toto teams'!$G$4:$G$119,MATCH($B87,' Toto teams'!$A$4:$A$119,0)),Scoring!$A$4:$N$51,4,FALSE()),0)+IFERROR(VLOOKUP(INDEX(' Toto teams'!$G$4:$G$119,MATCH($B87,' Toto teams'!$A$4:$A$119,0)),Scoring!$A$4:$N$51,5,FALSE()),0))+1*(IFERROR(VLOOKUP(INDEX(' Toto teams'!$H$4:$H$119,MATCH($B87,' Toto teams'!$A$4:$A$119,0)),Scoring!$A$4:$N$51,3,FALSE()),0)+IFERROR(VLOOKUP(INDEX(' Toto teams'!$H$4:$H$119,MATCH($B87,' Toto teams'!$A$4:$A$119,0)),Scoring!$A$4:$N$51,4,FALSE()),0)+IFERROR(VLOOKUP(INDEX(' Toto teams'!$H$4:$H$119,MATCH($B87,' Toto teams'!$A$4:$A$119,0)),Scoring!$A$4:$N$51,5,FALSE()),0))+IFERROR(INDEX(' Toto teams'!$Q$4:$Q$119,MATCH($B87,' Toto teams'!$A$4:$A$119,0))*1,0))</f>
        <v>0</v>
      </c>
      <c r="D87" s="28">
        <f>IF($B87="","",6*IFERROR(VLOOKUP(INDEX(' Toto teams'!$B$4:$B$119,MATCH($B87,' Toto teams'!$A$4:$A$119,0)),Scoring!$A$4:$N$51,7,FALSE()),0)+4*IFERROR(VLOOKUP(INDEX(' Toto teams'!$C$4:$C$119,MATCH($B87,' Toto teams'!$A$4:$A$119,0)),Scoring!$A$4:$N$51,7,FALSE()),0)+3*IFERROR(VLOOKUP(INDEX(' Toto teams'!$D$4:$D$119,MATCH($B87,' Toto teams'!$A$4:$A$119,0)),Scoring!$A$4:$N$51,7,FALSE()),0)+2*IFERROR(VLOOKUP(INDEX(' Toto teams'!$E$4:$E$119,MATCH($B87,' Toto teams'!$A$4:$A$119,0)),Scoring!$A$4:$N$51,7,FALSE()),0)+1*IFERROR(VLOOKUP(INDEX(' Toto teams'!$F$4:$F$119,MATCH($B87,' Toto teams'!$A$4:$A$119,0)),Scoring!$A$4:$N$51,7,FALSE()),0)+1*IFERROR(VLOOKUP(INDEX(' Toto teams'!$G$4:$G$119,MATCH($B87,' Toto teams'!$A$4:$A$119,0)),Scoring!$A$4:$N$51,7,FALSE()),0)+1*IFERROR(VLOOKUP(INDEX(' Toto teams'!$H$4:$H$119,MATCH($B87,' Toto teams'!$A$4:$A$119,0)),Scoring!$A$4:$N$51,7,FALSE()),0))</f>
        <v>0</v>
      </c>
      <c r="E87" s="28">
        <f>IF($B87="","",6*IFERROR(VLOOKUP(INDEX(' Toto teams'!$B$4:$B$119,MATCH($B87,' Toto teams'!$A$4:$A$119,0)),Scoring!$A$4:$N$51,8,FALSE()),0)+4*IFERROR(VLOOKUP(INDEX(' Toto teams'!$C$4:$C$119,MATCH($B87,' Toto teams'!$A$4:$A$119,0)),Scoring!$A$4:$N$51,8,FALSE()),0)+3*IFERROR(VLOOKUP(INDEX(' Toto teams'!$D$4:$D$119,MATCH($B87,' Toto teams'!$A$4:$A$119,0)),Scoring!$A$4:$N$51,8,FALSE()),0)+2*IFERROR(VLOOKUP(INDEX(' Toto teams'!$E$4:$E$119,MATCH($B87,' Toto teams'!$A$4:$A$119,0)),Scoring!$A$4:$N$51,8,FALSE()),0)+1*IFERROR(VLOOKUP(INDEX(' Toto teams'!$F$4:$F$119,MATCH($B87,' Toto teams'!$A$4:$A$119,0)),Scoring!$A$4:$N$51,8,FALSE()),0)+1*IFERROR(VLOOKUP(INDEX(' Toto teams'!$G$4:$G$119,MATCH($B87,' Toto teams'!$A$4:$A$119,0)),Scoring!$A$4:$N$51,8,FALSE()),0)+1*IFERROR(VLOOKUP(INDEX(' Toto teams'!$H$4:$H$119,MATCH($B87,' Toto teams'!$A$4:$A$119,0)),Scoring!$A$4:$N$51,8,FALSE()),0))</f>
        <v>0</v>
      </c>
      <c r="F87" s="28">
        <f>IF($B87="","",6*IFERROR(VLOOKUP(INDEX(' Toto teams'!$B$4:$B$119,MATCH($B87,' Toto teams'!$A$4:$A$119,0)),Scoring!$A$4:$N$51,9,FALSE()),0)+4*IFERROR(VLOOKUP(INDEX(' Toto teams'!$C$4:$C$119,MATCH($B87,' Toto teams'!$A$4:$A$119,0)),Scoring!$A$4:$N$51,9,FALSE()),0)+3*IFERROR(VLOOKUP(INDEX(' Toto teams'!$D$4:$D$119,MATCH($B87,' Toto teams'!$A$4:$A$119,0)),Scoring!$A$4:$N$51,9,FALSE()),0)+2*IFERROR(VLOOKUP(INDEX(' Toto teams'!$E$4:$E$119,MATCH($B87,' Toto teams'!$A$4:$A$119,0)),Scoring!$A$4:$N$51,9,FALSE()),0)+1*IFERROR(VLOOKUP(INDEX(' Toto teams'!$F$4:$F$119,MATCH($B87,' Toto teams'!$A$4:$A$119,0)),Scoring!$A$4:$N$51,9,FALSE()),0)+1*IFERROR(VLOOKUP(INDEX(' Toto teams'!$G$4:$G$119,MATCH($B87,' Toto teams'!$A$4:$A$119,0)),Scoring!$A$4:$N$51,9,FALSE()),0)+1*IFERROR(VLOOKUP(INDEX(' Toto teams'!$H$4:$H$119,MATCH($B87,' Toto teams'!$A$4:$A$119,0)),Scoring!$A$4:$N$51,9,FALSE()),0))</f>
        <v>0</v>
      </c>
      <c r="G87" s="28">
        <f>IF($B87="","",6*IFERROR(VLOOKUP(INDEX(' Toto teams'!$B$4:$B$119,MATCH($B87,' Toto teams'!$A$4:$A$119,0)),Scoring!$A$4:$N$51,10,FALSE()),0)+4*IFERROR(VLOOKUP(INDEX(' Toto teams'!$C$4:$C$119,MATCH($B87,' Toto teams'!$A$4:$A$119,0)),Scoring!$A$4:$N$51,10,FALSE()),0)+3*IFERROR(VLOOKUP(INDEX(' Toto teams'!$D$4:$D$119,MATCH($B87,' Toto teams'!$A$4:$A$119,0)),Scoring!$A$4:$N$51,10,FALSE()),0)+2*IFERROR(VLOOKUP(INDEX(' Toto teams'!$E$4:$E$119,MATCH($B87,' Toto teams'!$A$4:$A$119,0)),Scoring!$A$4:$N$51,10,FALSE()),0)+1*IFERROR(VLOOKUP(INDEX(' Toto teams'!$F$4:$F$119,MATCH($B87,' Toto teams'!$A$4:$A$119,0)),Scoring!$A$4:$N$51,10,FALSE()),0)+1*IFERROR(VLOOKUP(INDEX(' Toto teams'!$G$4:$G$119,MATCH($B87,' Toto teams'!$A$4:$A$119,0)),Scoring!$A$4:$N$51,10,FALSE()),0)+1*IFERROR(VLOOKUP(INDEX(' Toto teams'!$H$4:$H$119,MATCH($B87,' Toto teams'!$A$4:$A$119,0)),Scoring!$A$4:$N$51,10,FALSE()),0))</f>
        <v>0</v>
      </c>
      <c r="H87" s="28">
        <f>IF($B87="","",6*IFERROR(VLOOKUP(INDEX(' Toto teams'!$B$4:$B$119,MATCH($B87,' Toto teams'!$A$4:$A$119,0)),Scoring!$A$4:$N$51,11,FALSE()),0)+4*IFERROR(VLOOKUP(INDEX(' Toto teams'!$C$4:$C$119,MATCH($B87,' Toto teams'!$A$4:$A$119,0)),Scoring!$A$4:$N$51,11,FALSE()),0)+3*IFERROR(VLOOKUP(INDEX(' Toto teams'!$D$4:$D$119,MATCH($B87,' Toto teams'!$A$4:$A$119,0)),Scoring!$A$4:$N$51,11,FALSE()),0)+2*IFERROR(VLOOKUP(INDEX(' Toto teams'!$E$4:$E$119,MATCH($B87,' Toto teams'!$A$4:$A$119,0)),Scoring!$A$4:$N$51,11,FALSE()),0)+1*IFERROR(VLOOKUP(INDEX(' Toto teams'!$F$4:$F$119,MATCH($B87,' Toto teams'!$A$4:$A$119,0)),Scoring!$A$4:$N$51,11,FALSE()),0)+1*IFERROR(VLOOKUP(INDEX(' Toto teams'!$G$4:$G$119,MATCH($B87,' Toto teams'!$A$4:$A$119,0)),Scoring!$A$4:$N$51,11,FALSE()),0)+1*IFERROR(VLOOKUP(INDEX(' Toto teams'!$H$4:$H$119,MATCH($B87,' Toto teams'!$A$4:$A$119,0)),Scoring!$A$4:$N$51,11,FALSE()),0))</f>
        <v>0</v>
      </c>
      <c r="I87" s="28">
        <f>IF($B87="","",6*IFERROR(VLOOKUP(INDEX(' Toto teams'!$B$4:$B$119,MATCH($B87,' Toto teams'!$A$4:$A$119,0)),Scoring!$A$4:$O$51,15,FALSE()),0)+4*IFERROR(VLOOKUP(INDEX(' Toto teams'!$C$4:$C$119,MATCH($B87,' Toto teams'!$A$4:$A$119,0)),Scoring!$A$4:$O$51,15,FALSE()),0)+3*IFERROR(VLOOKUP(INDEX(' Toto teams'!$D$4:$D$119,MATCH($B87,' Toto teams'!$A$4:$A$119,0)),Scoring!$A$4:$O$51,15,FALSE()),0)+2*IFERROR(VLOOKUP(INDEX(' Toto teams'!$E$4:$E$119,MATCH($B87,' Toto teams'!$A$4:$A$119,0)),Scoring!$A$4:$O$51,15,FALSE()),0)+1*IFERROR(VLOOKUP(INDEX(' Toto teams'!$F$4:$F$119,MATCH($B87,' Toto teams'!$A$4:$A$119,0)),Scoring!$A$4:$O$51,15,FALSE()),0)+1*IFERROR(VLOOKUP(INDEX(' Toto teams'!$G$4:$G$119,MATCH($B87,' Toto teams'!$A$4:$A$119,0)),Scoring!$A$4:$O$51,15,FALSE()),0)+1*IFERROR(VLOOKUP(INDEX(' Toto teams'!$H$4:$H$119,MATCH($B87,' Toto teams'!$A$4:$A$119,0)),Scoring!$A$4:$O$51,15,FALSE()),0))</f>
        <v>0</v>
      </c>
      <c r="J87" s="28">
        <f>IF($B87="","",6*IFERROR(VLOOKUP(INDEX(' Toto teams'!$B$4:$B$119,MATCH($B87,' Toto teams'!$A$4:$A$119,0)),Scoring!$A$4:$N$51,12,FALSE()),0)+4*IFERROR(VLOOKUP(INDEX(' Toto teams'!$C$4:$C$119,MATCH($B87,' Toto teams'!$A$4:$A$119,0)),Scoring!$A$4:$N$51,12,FALSE()),0)+3*IFERROR(VLOOKUP(INDEX(' Toto teams'!$D$4:$D$119,MATCH($B87,' Toto teams'!$A$4:$A$119,0)),Scoring!$A$4:$N$51,12,FALSE()),0)+2*IFERROR(VLOOKUP(INDEX(' Toto teams'!$E$4:$E$119,MATCH($B87,' Toto teams'!$A$4:$A$119,0)),Scoring!$A$4:$N$51,12,FALSE()),0)+1*IFERROR(VLOOKUP(INDEX(' Toto teams'!$F$4:$F$119,MATCH($B87,' Toto teams'!$A$4:$A$119,0)),Scoring!$A$4:$N$51,12,FALSE()),0)+1*IFERROR(VLOOKUP(INDEX(' Toto teams'!$G$4:$G$119,MATCH($B87,' Toto teams'!$A$4:$A$119,0)),Scoring!$A$4:$N$51,12,FALSE()),0)+1*IFERROR(VLOOKUP(INDEX(' Toto teams'!$H$4:$H$119,MATCH($B87,' Toto teams'!$A$4:$A$119,0)),Scoring!$A$4:$N$51,12,FALSE()),0))</f>
        <v>0</v>
      </c>
      <c r="K87" s="29">
        <f>IF($B87="","",IFERROR(INDEX(' Toto teams'!$R$4:$R$119,MATCH($B87,' Toto teams'!$A$4:$A$119,0)),""))</f>
        <v>0</v>
      </c>
      <c r="L87" s="30">
        <f t="shared" si="5"/>
        <v>0</v>
      </c>
    </row>
    <row r="88" spans="1:12" ht="12.75" customHeight="1" x14ac:dyDescent="0.3">
      <c r="A88" s="26">
        <f>IF(85&gt;COUNTIF(' Toto teams'!$A$4:$A$119,"&lt;&gt;"),"",INDEX(' Toto teams'!$S$4:$S$119,MATCH(LARGE(' Toto teams'!$T$4:$T$119,85),' Toto teams'!$T$4:$T$119,0)))</f>
        <v>63</v>
      </c>
      <c r="B88" s="27" t="str">
        <f>IF(85&gt;COUNTIF(' Toto teams'!$A$4:$A$119,"&lt;&gt;"),"",INDEX(' Toto teams'!$A$4:$A$119,MATCH(LARGE(' Toto teams'!$T$4:$T$119,85),' Toto teams'!$T$4:$T$119,0)))</f>
        <v>Yagub Alizada</v>
      </c>
      <c r="C88" s="28">
        <f>IF($B88="","",6*(IFERROR(VLOOKUP(INDEX(' Toto teams'!$B$4:$B$119,MATCH($B88,' Toto teams'!$A$4:$A$119,0)),Scoring!$A$4:$N$51,3,FALSE()),0)+IFERROR(VLOOKUP(INDEX(' Toto teams'!$B$4:$B$119,MATCH($B88,' Toto teams'!$A$4:$A$119,0)),Scoring!$A$4:$N$51,4,FALSE()),0)+IFERROR(VLOOKUP(INDEX(' Toto teams'!$B$4:$B$119,MATCH($B88,' Toto teams'!$A$4:$A$119,0)),Scoring!$A$4:$N$51,5,FALSE()),0))+4*(IFERROR(VLOOKUP(INDEX(' Toto teams'!$C$4:$C$119,MATCH($B88,' Toto teams'!$A$4:$A$119,0)),Scoring!$A$4:$N$51,3,FALSE()),0)+IFERROR(VLOOKUP(INDEX(' Toto teams'!$C$4:$C$119,MATCH($B88,' Toto teams'!$A$4:$A$119,0)),Scoring!$A$4:$N$51,4,FALSE()),0)+IFERROR(VLOOKUP(INDEX(' Toto teams'!$C$4:$C$119,MATCH($B88,' Toto teams'!$A$4:$A$119,0)),Scoring!$A$4:$N$51,5,FALSE()),0))+3*(IFERROR(VLOOKUP(INDEX(' Toto teams'!$D$4:$D$119,MATCH($B88,' Toto teams'!$A$4:$A$119,0)),Scoring!$A$4:$N$51,3,FALSE()),0)+IFERROR(VLOOKUP(INDEX(' Toto teams'!$D$4:$D$119,MATCH($B88,' Toto teams'!$A$4:$A$119,0)),Scoring!$A$4:$N$51,4,FALSE()),0)+IFERROR(VLOOKUP(INDEX(' Toto teams'!$D$4:$D$119,MATCH($B88,' Toto teams'!$A$4:$A$119,0)),Scoring!$A$4:$N$51,5,FALSE()),0))+2*(IFERROR(VLOOKUP(INDEX(' Toto teams'!$E$4:$E$119,MATCH($B88,' Toto teams'!$A$4:$A$119,0)),Scoring!$A$4:$N$51,3,FALSE()),0)+IFERROR(VLOOKUP(INDEX(' Toto teams'!$E$4:$E$119,MATCH($B88,' Toto teams'!$A$4:$A$119,0)),Scoring!$A$4:$N$51,4,FALSE()),0)+IFERROR(VLOOKUP(INDEX(' Toto teams'!$E$4:$E$119,MATCH($B88,' Toto teams'!$A$4:$A$119,0)),Scoring!$A$4:$N$51,5,FALSE()),0))+1*(IFERROR(VLOOKUP(INDEX(' Toto teams'!$F$4:$F$119,MATCH($B88,' Toto teams'!$A$4:$A$119,0)),Scoring!$A$4:$N$51,3,FALSE()),0)+IFERROR(VLOOKUP(INDEX(' Toto teams'!$F$4:$F$119,MATCH($B88,' Toto teams'!$A$4:$A$119,0)),Scoring!$A$4:$N$51,4,FALSE()),0)+IFERROR(VLOOKUP(INDEX(' Toto teams'!$F$4:$F$119,MATCH($B88,' Toto teams'!$A$4:$A$119,0)),Scoring!$A$4:$N$51,5,FALSE()),0))+1*(IFERROR(VLOOKUP(INDEX(' Toto teams'!$G$4:$G$119,MATCH($B88,' Toto teams'!$A$4:$A$119,0)),Scoring!$A$4:$N$51,3,FALSE()),0)+IFERROR(VLOOKUP(INDEX(' Toto teams'!$G$4:$G$119,MATCH($B88,' Toto teams'!$A$4:$A$119,0)),Scoring!$A$4:$N$51,4,FALSE()),0)+IFERROR(VLOOKUP(INDEX(' Toto teams'!$G$4:$G$119,MATCH($B88,' Toto teams'!$A$4:$A$119,0)),Scoring!$A$4:$N$51,5,FALSE()),0))+1*(IFERROR(VLOOKUP(INDEX(' Toto teams'!$H$4:$H$119,MATCH($B88,' Toto teams'!$A$4:$A$119,0)),Scoring!$A$4:$N$51,3,FALSE()),0)+IFERROR(VLOOKUP(INDEX(' Toto teams'!$H$4:$H$119,MATCH($B88,' Toto teams'!$A$4:$A$119,0)),Scoring!$A$4:$N$51,4,FALSE()),0)+IFERROR(VLOOKUP(INDEX(' Toto teams'!$H$4:$H$119,MATCH($B88,' Toto teams'!$A$4:$A$119,0)),Scoring!$A$4:$N$51,5,FALSE()),0))+IFERROR(INDEX(' Toto teams'!$Q$4:$Q$119,MATCH($B88,' Toto teams'!$A$4:$A$119,0))*1,0))</f>
        <v>0</v>
      </c>
      <c r="D88" s="28">
        <f>IF($B88="","",6*IFERROR(VLOOKUP(INDEX(' Toto teams'!$B$4:$B$119,MATCH($B88,' Toto teams'!$A$4:$A$119,0)),Scoring!$A$4:$N$51,7,FALSE()),0)+4*IFERROR(VLOOKUP(INDEX(' Toto teams'!$C$4:$C$119,MATCH($B88,' Toto teams'!$A$4:$A$119,0)),Scoring!$A$4:$N$51,7,FALSE()),0)+3*IFERROR(VLOOKUP(INDEX(' Toto teams'!$D$4:$D$119,MATCH($B88,' Toto teams'!$A$4:$A$119,0)),Scoring!$A$4:$N$51,7,FALSE()),0)+2*IFERROR(VLOOKUP(INDEX(' Toto teams'!$E$4:$E$119,MATCH($B88,' Toto teams'!$A$4:$A$119,0)),Scoring!$A$4:$N$51,7,FALSE()),0)+1*IFERROR(VLOOKUP(INDEX(' Toto teams'!$F$4:$F$119,MATCH($B88,' Toto teams'!$A$4:$A$119,0)),Scoring!$A$4:$N$51,7,FALSE()),0)+1*IFERROR(VLOOKUP(INDEX(' Toto teams'!$G$4:$G$119,MATCH($B88,' Toto teams'!$A$4:$A$119,0)),Scoring!$A$4:$N$51,7,FALSE()),0)+1*IFERROR(VLOOKUP(INDEX(' Toto teams'!$H$4:$H$119,MATCH($B88,' Toto teams'!$A$4:$A$119,0)),Scoring!$A$4:$N$51,7,FALSE()),0))</f>
        <v>0</v>
      </c>
      <c r="E88" s="28">
        <f>IF($B88="","",6*IFERROR(VLOOKUP(INDEX(' Toto teams'!$B$4:$B$119,MATCH($B88,' Toto teams'!$A$4:$A$119,0)),Scoring!$A$4:$N$51,8,FALSE()),0)+4*IFERROR(VLOOKUP(INDEX(' Toto teams'!$C$4:$C$119,MATCH($B88,' Toto teams'!$A$4:$A$119,0)),Scoring!$A$4:$N$51,8,FALSE()),0)+3*IFERROR(VLOOKUP(INDEX(' Toto teams'!$D$4:$D$119,MATCH($B88,' Toto teams'!$A$4:$A$119,0)),Scoring!$A$4:$N$51,8,FALSE()),0)+2*IFERROR(VLOOKUP(INDEX(' Toto teams'!$E$4:$E$119,MATCH($B88,' Toto teams'!$A$4:$A$119,0)),Scoring!$A$4:$N$51,8,FALSE()),0)+1*IFERROR(VLOOKUP(INDEX(' Toto teams'!$F$4:$F$119,MATCH($B88,' Toto teams'!$A$4:$A$119,0)),Scoring!$A$4:$N$51,8,FALSE()),0)+1*IFERROR(VLOOKUP(INDEX(' Toto teams'!$G$4:$G$119,MATCH($B88,' Toto teams'!$A$4:$A$119,0)),Scoring!$A$4:$N$51,8,FALSE()),0)+1*IFERROR(VLOOKUP(INDEX(' Toto teams'!$H$4:$H$119,MATCH($B88,' Toto teams'!$A$4:$A$119,0)),Scoring!$A$4:$N$51,8,FALSE()),0))</f>
        <v>0</v>
      </c>
      <c r="F88" s="28">
        <f>IF($B88="","",6*IFERROR(VLOOKUP(INDEX(' Toto teams'!$B$4:$B$119,MATCH($B88,' Toto teams'!$A$4:$A$119,0)),Scoring!$A$4:$N$51,9,FALSE()),0)+4*IFERROR(VLOOKUP(INDEX(' Toto teams'!$C$4:$C$119,MATCH($B88,' Toto teams'!$A$4:$A$119,0)),Scoring!$A$4:$N$51,9,FALSE()),0)+3*IFERROR(VLOOKUP(INDEX(' Toto teams'!$D$4:$D$119,MATCH($B88,' Toto teams'!$A$4:$A$119,0)),Scoring!$A$4:$N$51,9,FALSE()),0)+2*IFERROR(VLOOKUP(INDEX(' Toto teams'!$E$4:$E$119,MATCH($B88,' Toto teams'!$A$4:$A$119,0)),Scoring!$A$4:$N$51,9,FALSE()),0)+1*IFERROR(VLOOKUP(INDEX(' Toto teams'!$F$4:$F$119,MATCH($B88,' Toto teams'!$A$4:$A$119,0)),Scoring!$A$4:$N$51,9,FALSE()),0)+1*IFERROR(VLOOKUP(INDEX(' Toto teams'!$G$4:$G$119,MATCH($B88,' Toto teams'!$A$4:$A$119,0)),Scoring!$A$4:$N$51,9,FALSE()),0)+1*IFERROR(VLOOKUP(INDEX(' Toto teams'!$H$4:$H$119,MATCH($B88,' Toto teams'!$A$4:$A$119,0)),Scoring!$A$4:$N$51,9,FALSE()),0))</f>
        <v>0</v>
      </c>
      <c r="G88" s="28">
        <f>IF($B88="","",6*IFERROR(VLOOKUP(INDEX(' Toto teams'!$B$4:$B$119,MATCH($B88,' Toto teams'!$A$4:$A$119,0)),Scoring!$A$4:$N$51,10,FALSE()),0)+4*IFERROR(VLOOKUP(INDEX(' Toto teams'!$C$4:$C$119,MATCH($B88,' Toto teams'!$A$4:$A$119,0)),Scoring!$A$4:$N$51,10,FALSE()),0)+3*IFERROR(VLOOKUP(INDEX(' Toto teams'!$D$4:$D$119,MATCH($B88,' Toto teams'!$A$4:$A$119,0)),Scoring!$A$4:$N$51,10,FALSE()),0)+2*IFERROR(VLOOKUP(INDEX(' Toto teams'!$E$4:$E$119,MATCH($B88,' Toto teams'!$A$4:$A$119,0)),Scoring!$A$4:$N$51,10,FALSE()),0)+1*IFERROR(VLOOKUP(INDEX(' Toto teams'!$F$4:$F$119,MATCH($B88,' Toto teams'!$A$4:$A$119,0)),Scoring!$A$4:$N$51,10,FALSE()),0)+1*IFERROR(VLOOKUP(INDEX(' Toto teams'!$G$4:$G$119,MATCH($B88,' Toto teams'!$A$4:$A$119,0)),Scoring!$A$4:$N$51,10,FALSE()),0)+1*IFERROR(VLOOKUP(INDEX(' Toto teams'!$H$4:$H$119,MATCH($B88,' Toto teams'!$A$4:$A$119,0)),Scoring!$A$4:$N$51,10,FALSE()),0))</f>
        <v>0</v>
      </c>
      <c r="H88" s="28">
        <f>IF($B88="","",6*IFERROR(VLOOKUP(INDEX(' Toto teams'!$B$4:$B$119,MATCH($B88,' Toto teams'!$A$4:$A$119,0)),Scoring!$A$4:$N$51,11,FALSE()),0)+4*IFERROR(VLOOKUP(INDEX(' Toto teams'!$C$4:$C$119,MATCH($B88,' Toto teams'!$A$4:$A$119,0)),Scoring!$A$4:$N$51,11,FALSE()),0)+3*IFERROR(VLOOKUP(INDEX(' Toto teams'!$D$4:$D$119,MATCH($B88,' Toto teams'!$A$4:$A$119,0)),Scoring!$A$4:$N$51,11,FALSE()),0)+2*IFERROR(VLOOKUP(INDEX(' Toto teams'!$E$4:$E$119,MATCH($B88,' Toto teams'!$A$4:$A$119,0)),Scoring!$A$4:$N$51,11,FALSE()),0)+1*IFERROR(VLOOKUP(INDEX(' Toto teams'!$F$4:$F$119,MATCH($B88,' Toto teams'!$A$4:$A$119,0)),Scoring!$A$4:$N$51,11,FALSE()),0)+1*IFERROR(VLOOKUP(INDEX(' Toto teams'!$G$4:$G$119,MATCH($B88,' Toto teams'!$A$4:$A$119,0)),Scoring!$A$4:$N$51,11,FALSE()),0)+1*IFERROR(VLOOKUP(INDEX(' Toto teams'!$H$4:$H$119,MATCH($B88,' Toto teams'!$A$4:$A$119,0)),Scoring!$A$4:$N$51,11,FALSE()),0))</f>
        <v>0</v>
      </c>
      <c r="I88" s="28">
        <f>IF($B88="","",6*IFERROR(VLOOKUP(INDEX(' Toto teams'!$B$4:$B$119,MATCH($B88,' Toto teams'!$A$4:$A$119,0)),Scoring!$A$4:$O$51,15,FALSE()),0)+4*IFERROR(VLOOKUP(INDEX(' Toto teams'!$C$4:$C$119,MATCH($B88,' Toto teams'!$A$4:$A$119,0)),Scoring!$A$4:$O$51,15,FALSE()),0)+3*IFERROR(VLOOKUP(INDEX(' Toto teams'!$D$4:$D$119,MATCH($B88,' Toto teams'!$A$4:$A$119,0)),Scoring!$A$4:$O$51,15,FALSE()),0)+2*IFERROR(VLOOKUP(INDEX(' Toto teams'!$E$4:$E$119,MATCH($B88,' Toto teams'!$A$4:$A$119,0)),Scoring!$A$4:$O$51,15,FALSE()),0)+1*IFERROR(VLOOKUP(INDEX(' Toto teams'!$F$4:$F$119,MATCH($B88,' Toto teams'!$A$4:$A$119,0)),Scoring!$A$4:$O$51,15,FALSE()),0)+1*IFERROR(VLOOKUP(INDEX(' Toto teams'!$G$4:$G$119,MATCH($B88,' Toto teams'!$A$4:$A$119,0)),Scoring!$A$4:$O$51,15,FALSE()),0)+1*IFERROR(VLOOKUP(INDEX(' Toto teams'!$H$4:$H$119,MATCH($B88,' Toto teams'!$A$4:$A$119,0)),Scoring!$A$4:$O$51,15,FALSE()),0))</f>
        <v>0</v>
      </c>
      <c r="J88" s="28">
        <f>IF($B88="","",6*IFERROR(VLOOKUP(INDEX(' Toto teams'!$B$4:$B$119,MATCH($B88,' Toto teams'!$A$4:$A$119,0)),Scoring!$A$4:$N$51,12,FALSE()),0)+4*IFERROR(VLOOKUP(INDEX(' Toto teams'!$C$4:$C$119,MATCH($B88,' Toto teams'!$A$4:$A$119,0)),Scoring!$A$4:$N$51,12,FALSE()),0)+3*IFERROR(VLOOKUP(INDEX(' Toto teams'!$D$4:$D$119,MATCH($B88,' Toto teams'!$A$4:$A$119,0)),Scoring!$A$4:$N$51,12,FALSE()),0)+2*IFERROR(VLOOKUP(INDEX(' Toto teams'!$E$4:$E$119,MATCH($B88,' Toto teams'!$A$4:$A$119,0)),Scoring!$A$4:$N$51,12,FALSE()),0)+1*IFERROR(VLOOKUP(INDEX(' Toto teams'!$F$4:$F$119,MATCH($B88,' Toto teams'!$A$4:$A$119,0)),Scoring!$A$4:$N$51,12,FALSE()),0)+1*IFERROR(VLOOKUP(INDEX(' Toto teams'!$G$4:$G$119,MATCH($B88,' Toto teams'!$A$4:$A$119,0)),Scoring!$A$4:$N$51,12,FALSE()),0)+1*IFERROR(VLOOKUP(INDEX(' Toto teams'!$H$4:$H$119,MATCH($B88,' Toto teams'!$A$4:$A$119,0)),Scoring!$A$4:$N$51,12,FALSE()),0))</f>
        <v>0</v>
      </c>
      <c r="K88" s="29">
        <f>IF($B88="","",IFERROR(INDEX(' Toto teams'!$R$4:$R$119,MATCH($B88,' Toto teams'!$A$4:$A$119,0)),""))</f>
        <v>0</v>
      </c>
      <c r="L88" s="30">
        <f t="shared" si="5"/>
        <v>0</v>
      </c>
    </row>
    <row r="89" spans="1:12" ht="12.75" customHeight="1" x14ac:dyDescent="0.3">
      <c r="A89" s="26">
        <f>IF(86&gt;COUNTIF(' Toto teams'!$A$4:$A$119,"&lt;&gt;"),"",INDEX(' Toto teams'!$S$4:$S$119,MATCH(LARGE(' Toto teams'!$T$4:$T$119,86),' Toto teams'!$T$4:$T$119,0)))</f>
        <v>63</v>
      </c>
      <c r="B89" s="27" t="str">
        <f>IF(86&gt;COUNTIF(' Toto teams'!$A$4:$A$119,"&lt;&gt;"),"",INDEX(' Toto teams'!$A$4:$A$119,MATCH(LARGE(' Toto teams'!$T$4:$T$119,86),' Toto teams'!$T$4:$T$119,0)))</f>
        <v>Vytautas Podrezas</v>
      </c>
      <c r="C89" s="28">
        <f>IF($B89="","",6*(IFERROR(VLOOKUP(INDEX(' Toto teams'!$B$4:$B$119,MATCH($B89,' Toto teams'!$A$4:$A$119,0)),Scoring!$A$4:$N$51,3,FALSE()),0)+IFERROR(VLOOKUP(INDEX(' Toto teams'!$B$4:$B$119,MATCH($B89,' Toto teams'!$A$4:$A$119,0)),Scoring!$A$4:$N$51,4,FALSE()),0)+IFERROR(VLOOKUP(INDEX(' Toto teams'!$B$4:$B$119,MATCH($B89,' Toto teams'!$A$4:$A$119,0)),Scoring!$A$4:$N$51,5,FALSE()),0))+4*(IFERROR(VLOOKUP(INDEX(' Toto teams'!$C$4:$C$119,MATCH($B89,' Toto teams'!$A$4:$A$119,0)),Scoring!$A$4:$N$51,3,FALSE()),0)+IFERROR(VLOOKUP(INDEX(' Toto teams'!$C$4:$C$119,MATCH($B89,' Toto teams'!$A$4:$A$119,0)),Scoring!$A$4:$N$51,4,FALSE()),0)+IFERROR(VLOOKUP(INDEX(' Toto teams'!$C$4:$C$119,MATCH($B89,' Toto teams'!$A$4:$A$119,0)),Scoring!$A$4:$N$51,5,FALSE()),0))+3*(IFERROR(VLOOKUP(INDEX(' Toto teams'!$D$4:$D$119,MATCH($B89,' Toto teams'!$A$4:$A$119,0)),Scoring!$A$4:$N$51,3,FALSE()),0)+IFERROR(VLOOKUP(INDEX(' Toto teams'!$D$4:$D$119,MATCH($B89,' Toto teams'!$A$4:$A$119,0)),Scoring!$A$4:$N$51,4,FALSE()),0)+IFERROR(VLOOKUP(INDEX(' Toto teams'!$D$4:$D$119,MATCH($B89,' Toto teams'!$A$4:$A$119,0)),Scoring!$A$4:$N$51,5,FALSE()),0))+2*(IFERROR(VLOOKUP(INDEX(' Toto teams'!$E$4:$E$119,MATCH($B89,' Toto teams'!$A$4:$A$119,0)),Scoring!$A$4:$N$51,3,FALSE()),0)+IFERROR(VLOOKUP(INDEX(' Toto teams'!$E$4:$E$119,MATCH($B89,' Toto teams'!$A$4:$A$119,0)),Scoring!$A$4:$N$51,4,FALSE()),0)+IFERROR(VLOOKUP(INDEX(' Toto teams'!$E$4:$E$119,MATCH($B89,' Toto teams'!$A$4:$A$119,0)),Scoring!$A$4:$N$51,5,FALSE()),0))+1*(IFERROR(VLOOKUP(INDEX(' Toto teams'!$F$4:$F$119,MATCH($B89,' Toto teams'!$A$4:$A$119,0)),Scoring!$A$4:$N$51,3,FALSE()),0)+IFERROR(VLOOKUP(INDEX(' Toto teams'!$F$4:$F$119,MATCH($B89,' Toto teams'!$A$4:$A$119,0)),Scoring!$A$4:$N$51,4,FALSE()),0)+IFERROR(VLOOKUP(INDEX(' Toto teams'!$F$4:$F$119,MATCH($B89,' Toto teams'!$A$4:$A$119,0)),Scoring!$A$4:$N$51,5,FALSE()),0))+1*(IFERROR(VLOOKUP(INDEX(' Toto teams'!$G$4:$G$119,MATCH($B89,' Toto teams'!$A$4:$A$119,0)),Scoring!$A$4:$N$51,3,FALSE()),0)+IFERROR(VLOOKUP(INDEX(' Toto teams'!$G$4:$G$119,MATCH($B89,' Toto teams'!$A$4:$A$119,0)),Scoring!$A$4:$N$51,4,FALSE()),0)+IFERROR(VLOOKUP(INDEX(' Toto teams'!$G$4:$G$119,MATCH($B89,' Toto teams'!$A$4:$A$119,0)),Scoring!$A$4:$N$51,5,FALSE()),0))+1*(IFERROR(VLOOKUP(INDEX(' Toto teams'!$H$4:$H$119,MATCH($B89,' Toto teams'!$A$4:$A$119,0)),Scoring!$A$4:$N$51,3,FALSE()),0)+IFERROR(VLOOKUP(INDEX(' Toto teams'!$H$4:$H$119,MATCH($B89,' Toto teams'!$A$4:$A$119,0)),Scoring!$A$4:$N$51,4,FALSE()),0)+IFERROR(VLOOKUP(INDEX(' Toto teams'!$H$4:$H$119,MATCH($B89,' Toto teams'!$A$4:$A$119,0)),Scoring!$A$4:$N$51,5,FALSE()),0))+IFERROR(INDEX(' Toto teams'!$Q$4:$Q$119,MATCH($B89,' Toto teams'!$A$4:$A$119,0))*1,0))</f>
        <v>0</v>
      </c>
      <c r="D89" s="28">
        <f>IF($B89="","",6*IFERROR(VLOOKUP(INDEX(' Toto teams'!$B$4:$B$119,MATCH($B89,' Toto teams'!$A$4:$A$119,0)),Scoring!$A$4:$N$51,7,FALSE()),0)+4*IFERROR(VLOOKUP(INDEX(' Toto teams'!$C$4:$C$119,MATCH($B89,' Toto teams'!$A$4:$A$119,0)),Scoring!$A$4:$N$51,7,FALSE()),0)+3*IFERROR(VLOOKUP(INDEX(' Toto teams'!$D$4:$D$119,MATCH($B89,' Toto teams'!$A$4:$A$119,0)),Scoring!$A$4:$N$51,7,FALSE()),0)+2*IFERROR(VLOOKUP(INDEX(' Toto teams'!$E$4:$E$119,MATCH($B89,' Toto teams'!$A$4:$A$119,0)),Scoring!$A$4:$N$51,7,FALSE()),0)+1*IFERROR(VLOOKUP(INDEX(' Toto teams'!$F$4:$F$119,MATCH($B89,' Toto teams'!$A$4:$A$119,0)),Scoring!$A$4:$N$51,7,FALSE()),0)+1*IFERROR(VLOOKUP(INDEX(' Toto teams'!$G$4:$G$119,MATCH($B89,' Toto teams'!$A$4:$A$119,0)),Scoring!$A$4:$N$51,7,FALSE()),0)+1*IFERROR(VLOOKUP(INDEX(' Toto teams'!$H$4:$H$119,MATCH($B89,' Toto teams'!$A$4:$A$119,0)),Scoring!$A$4:$N$51,7,FALSE()),0))</f>
        <v>0</v>
      </c>
      <c r="E89" s="28">
        <f>IF($B89="","",6*IFERROR(VLOOKUP(INDEX(' Toto teams'!$B$4:$B$119,MATCH($B89,' Toto teams'!$A$4:$A$119,0)),Scoring!$A$4:$N$51,8,FALSE()),0)+4*IFERROR(VLOOKUP(INDEX(' Toto teams'!$C$4:$C$119,MATCH($B89,' Toto teams'!$A$4:$A$119,0)),Scoring!$A$4:$N$51,8,FALSE()),0)+3*IFERROR(VLOOKUP(INDEX(' Toto teams'!$D$4:$D$119,MATCH($B89,' Toto teams'!$A$4:$A$119,0)),Scoring!$A$4:$N$51,8,FALSE()),0)+2*IFERROR(VLOOKUP(INDEX(' Toto teams'!$E$4:$E$119,MATCH($B89,' Toto teams'!$A$4:$A$119,0)),Scoring!$A$4:$N$51,8,FALSE()),0)+1*IFERROR(VLOOKUP(INDEX(' Toto teams'!$F$4:$F$119,MATCH($B89,' Toto teams'!$A$4:$A$119,0)),Scoring!$A$4:$N$51,8,FALSE()),0)+1*IFERROR(VLOOKUP(INDEX(' Toto teams'!$G$4:$G$119,MATCH($B89,' Toto teams'!$A$4:$A$119,0)),Scoring!$A$4:$N$51,8,FALSE()),0)+1*IFERROR(VLOOKUP(INDEX(' Toto teams'!$H$4:$H$119,MATCH($B89,' Toto teams'!$A$4:$A$119,0)),Scoring!$A$4:$N$51,8,FALSE()),0))</f>
        <v>0</v>
      </c>
      <c r="F89" s="28">
        <f>IF($B89="","",6*IFERROR(VLOOKUP(INDEX(' Toto teams'!$B$4:$B$119,MATCH($B89,' Toto teams'!$A$4:$A$119,0)),Scoring!$A$4:$N$51,9,FALSE()),0)+4*IFERROR(VLOOKUP(INDEX(' Toto teams'!$C$4:$C$119,MATCH($B89,' Toto teams'!$A$4:$A$119,0)),Scoring!$A$4:$N$51,9,FALSE()),0)+3*IFERROR(VLOOKUP(INDEX(' Toto teams'!$D$4:$D$119,MATCH($B89,' Toto teams'!$A$4:$A$119,0)),Scoring!$A$4:$N$51,9,FALSE()),0)+2*IFERROR(VLOOKUP(INDEX(' Toto teams'!$E$4:$E$119,MATCH($B89,' Toto teams'!$A$4:$A$119,0)),Scoring!$A$4:$N$51,9,FALSE()),0)+1*IFERROR(VLOOKUP(INDEX(' Toto teams'!$F$4:$F$119,MATCH($B89,' Toto teams'!$A$4:$A$119,0)),Scoring!$A$4:$N$51,9,FALSE()),0)+1*IFERROR(VLOOKUP(INDEX(' Toto teams'!$G$4:$G$119,MATCH($B89,' Toto teams'!$A$4:$A$119,0)),Scoring!$A$4:$N$51,9,FALSE()),0)+1*IFERROR(VLOOKUP(INDEX(' Toto teams'!$H$4:$H$119,MATCH($B89,' Toto teams'!$A$4:$A$119,0)),Scoring!$A$4:$N$51,9,FALSE()),0))</f>
        <v>0</v>
      </c>
      <c r="G89" s="28">
        <f>IF($B89="","",6*IFERROR(VLOOKUP(INDEX(' Toto teams'!$B$4:$B$119,MATCH($B89,' Toto teams'!$A$4:$A$119,0)),Scoring!$A$4:$N$51,10,FALSE()),0)+4*IFERROR(VLOOKUP(INDEX(' Toto teams'!$C$4:$C$119,MATCH($B89,' Toto teams'!$A$4:$A$119,0)),Scoring!$A$4:$N$51,10,FALSE()),0)+3*IFERROR(VLOOKUP(INDEX(' Toto teams'!$D$4:$D$119,MATCH($B89,' Toto teams'!$A$4:$A$119,0)),Scoring!$A$4:$N$51,10,FALSE()),0)+2*IFERROR(VLOOKUP(INDEX(' Toto teams'!$E$4:$E$119,MATCH($B89,' Toto teams'!$A$4:$A$119,0)),Scoring!$A$4:$N$51,10,FALSE()),0)+1*IFERROR(VLOOKUP(INDEX(' Toto teams'!$F$4:$F$119,MATCH($B89,' Toto teams'!$A$4:$A$119,0)),Scoring!$A$4:$N$51,10,FALSE()),0)+1*IFERROR(VLOOKUP(INDEX(' Toto teams'!$G$4:$G$119,MATCH($B89,' Toto teams'!$A$4:$A$119,0)),Scoring!$A$4:$N$51,10,FALSE()),0)+1*IFERROR(VLOOKUP(INDEX(' Toto teams'!$H$4:$H$119,MATCH($B89,' Toto teams'!$A$4:$A$119,0)),Scoring!$A$4:$N$51,10,FALSE()),0))</f>
        <v>0</v>
      </c>
      <c r="H89" s="28">
        <f>IF($B89="","",6*IFERROR(VLOOKUP(INDEX(' Toto teams'!$B$4:$B$119,MATCH($B89,' Toto teams'!$A$4:$A$119,0)),Scoring!$A$4:$N$51,11,FALSE()),0)+4*IFERROR(VLOOKUP(INDEX(' Toto teams'!$C$4:$C$119,MATCH($B89,' Toto teams'!$A$4:$A$119,0)),Scoring!$A$4:$N$51,11,FALSE()),0)+3*IFERROR(VLOOKUP(INDEX(' Toto teams'!$D$4:$D$119,MATCH($B89,' Toto teams'!$A$4:$A$119,0)),Scoring!$A$4:$N$51,11,FALSE()),0)+2*IFERROR(VLOOKUP(INDEX(' Toto teams'!$E$4:$E$119,MATCH($B89,' Toto teams'!$A$4:$A$119,0)),Scoring!$A$4:$N$51,11,FALSE()),0)+1*IFERROR(VLOOKUP(INDEX(' Toto teams'!$F$4:$F$119,MATCH($B89,' Toto teams'!$A$4:$A$119,0)),Scoring!$A$4:$N$51,11,FALSE()),0)+1*IFERROR(VLOOKUP(INDEX(' Toto teams'!$G$4:$G$119,MATCH($B89,' Toto teams'!$A$4:$A$119,0)),Scoring!$A$4:$N$51,11,FALSE()),0)+1*IFERROR(VLOOKUP(INDEX(' Toto teams'!$H$4:$H$119,MATCH($B89,' Toto teams'!$A$4:$A$119,0)),Scoring!$A$4:$N$51,11,FALSE()),0))</f>
        <v>0</v>
      </c>
      <c r="I89" s="28">
        <f>IF($B89="","",6*IFERROR(VLOOKUP(INDEX(' Toto teams'!$B$4:$B$119,MATCH($B89,' Toto teams'!$A$4:$A$119,0)),Scoring!$A$4:$O$51,15,FALSE()),0)+4*IFERROR(VLOOKUP(INDEX(' Toto teams'!$C$4:$C$119,MATCH($B89,' Toto teams'!$A$4:$A$119,0)),Scoring!$A$4:$O$51,15,FALSE()),0)+3*IFERROR(VLOOKUP(INDEX(' Toto teams'!$D$4:$D$119,MATCH($B89,' Toto teams'!$A$4:$A$119,0)),Scoring!$A$4:$O$51,15,FALSE()),0)+2*IFERROR(VLOOKUP(INDEX(' Toto teams'!$E$4:$E$119,MATCH($B89,' Toto teams'!$A$4:$A$119,0)),Scoring!$A$4:$O$51,15,FALSE()),0)+1*IFERROR(VLOOKUP(INDEX(' Toto teams'!$F$4:$F$119,MATCH($B89,' Toto teams'!$A$4:$A$119,0)),Scoring!$A$4:$O$51,15,FALSE()),0)+1*IFERROR(VLOOKUP(INDEX(' Toto teams'!$G$4:$G$119,MATCH($B89,' Toto teams'!$A$4:$A$119,0)),Scoring!$A$4:$O$51,15,FALSE()),0)+1*IFERROR(VLOOKUP(INDEX(' Toto teams'!$H$4:$H$119,MATCH($B89,' Toto teams'!$A$4:$A$119,0)),Scoring!$A$4:$O$51,15,FALSE()),0))</f>
        <v>0</v>
      </c>
      <c r="J89" s="28">
        <f>IF($B89="","",6*IFERROR(VLOOKUP(INDEX(' Toto teams'!$B$4:$B$119,MATCH($B89,' Toto teams'!$A$4:$A$119,0)),Scoring!$A$4:$N$51,12,FALSE()),0)+4*IFERROR(VLOOKUP(INDEX(' Toto teams'!$C$4:$C$119,MATCH($B89,' Toto teams'!$A$4:$A$119,0)),Scoring!$A$4:$N$51,12,FALSE()),0)+3*IFERROR(VLOOKUP(INDEX(' Toto teams'!$D$4:$D$119,MATCH($B89,' Toto teams'!$A$4:$A$119,0)),Scoring!$A$4:$N$51,12,FALSE()),0)+2*IFERROR(VLOOKUP(INDEX(' Toto teams'!$E$4:$E$119,MATCH($B89,' Toto teams'!$A$4:$A$119,0)),Scoring!$A$4:$N$51,12,FALSE()),0)+1*IFERROR(VLOOKUP(INDEX(' Toto teams'!$F$4:$F$119,MATCH($B89,' Toto teams'!$A$4:$A$119,0)),Scoring!$A$4:$N$51,12,FALSE()),0)+1*IFERROR(VLOOKUP(INDEX(' Toto teams'!$G$4:$G$119,MATCH($B89,' Toto teams'!$A$4:$A$119,0)),Scoring!$A$4:$N$51,12,FALSE()),0)+1*IFERROR(VLOOKUP(INDEX(' Toto teams'!$H$4:$H$119,MATCH($B89,' Toto teams'!$A$4:$A$119,0)),Scoring!$A$4:$N$51,12,FALSE()),0))</f>
        <v>0</v>
      </c>
      <c r="K89" s="29">
        <f>IF($B89="","",IFERROR(INDEX(' Toto teams'!$R$4:$R$119,MATCH($B89,' Toto teams'!$A$4:$A$119,0)),""))</f>
        <v>0</v>
      </c>
      <c r="L89" s="30">
        <f t="shared" si="5"/>
        <v>0</v>
      </c>
    </row>
    <row r="90" spans="1:12" ht="12.75" customHeight="1" x14ac:dyDescent="0.3">
      <c r="A90" s="26">
        <f>IF(87&gt;COUNTIF(' Toto teams'!$A$4:$A$119,"&lt;&gt;"),"",INDEX(' Toto teams'!$S$4:$S$119,MATCH(LARGE(' Toto teams'!$T$4:$T$119,87),' Toto teams'!$T$4:$T$119,0)))</f>
        <v>63</v>
      </c>
      <c r="B90" s="27" t="str">
        <f>IF(87&gt;COUNTIF(' Toto teams'!$A$4:$A$119,"&lt;&gt;"),"",INDEX(' Toto teams'!$A$4:$A$119,MATCH(LARGE(' Toto teams'!$T$4:$T$119,87),' Toto teams'!$T$4:$T$119,0)))</f>
        <v>Mindaugas Čižauskas</v>
      </c>
      <c r="C90" s="28">
        <f>IF($B90="","",6*(IFERROR(VLOOKUP(INDEX(' Toto teams'!$B$4:$B$119,MATCH($B90,' Toto teams'!$A$4:$A$119,0)),Scoring!$A$4:$N$51,3,FALSE()),0)+IFERROR(VLOOKUP(INDEX(' Toto teams'!$B$4:$B$119,MATCH($B90,' Toto teams'!$A$4:$A$119,0)),Scoring!$A$4:$N$51,4,FALSE()),0)+IFERROR(VLOOKUP(INDEX(' Toto teams'!$B$4:$B$119,MATCH($B90,' Toto teams'!$A$4:$A$119,0)),Scoring!$A$4:$N$51,5,FALSE()),0))+4*(IFERROR(VLOOKUP(INDEX(' Toto teams'!$C$4:$C$119,MATCH($B90,' Toto teams'!$A$4:$A$119,0)),Scoring!$A$4:$N$51,3,FALSE()),0)+IFERROR(VLOOKUP(INDEX(' Toto teams'!$C$4:$C$119,MATCH($B90,' Toto teams'!$A$4:$A$119,0)),Scoring!$A$4:$N$51,4,FALSE()),0)+IFERROR(VLOOKUP(INDEX(' Toto teams'!$C$4:$C$119,MATCH($B90,' Toto teams'!$A$4:$A$119,0)),Scoring!$A$4:$N$51,5,FALSE()),0))+3*(IFERROR(VLOOKUP(INDEX(' Toto teams'!$D$4:$D$119,MATCH($B90,' Toto teams'!$A$4:$A$119,0)),Scoring!$A$4:$N$51,3,FALSE()),0)+IFERROR(VLOOKUP(INDEX(' Toto teams'!$D$4:$D$119,MATCH($B90,' Toto teams'!$A$4:$A$119,0)),Scoring!$A$4:$N$51,4,FALSE()),0)+IFERROR(VLOOKUP(INDEX(' Toto teams'!$D$4:$D$119,MATCH($B90,' Toto teams'!$A$4:$A$119,0)),Scoring!$A$4:$N$51,5,FALSE()),0))+2*(IFERROR(VLOOKUP(INDEX(' Toto teams'!$E$4:$E$119,MATCH($B90,' Toto teams'!$A$4:$A$119,0)),Scoring!$A$4:$N$51,3,FALSE()),0)+IFERROR(VLOOKUP(INDEX(' Toto teams'!$E$4:$E$119,MATCH($B90,' Toto teams'!$A$4:$A$119,0)),Scoring!$A$4:$N$51,4,FALSE()),0)+IFERROR(VLOOKUP(INDEX(' Toto teams'!$E$4:$E$119,MATCH($B90,' Toto teams'!$A$4:$A$119,0)),Scoring!$A$4:$N$51,5,FALSE()),0))+1*(IFERROR(VLOOKUP(INDEX(' Toto teams'!$F$4:$F$119,MATCH($B90,' Toto teams'!$A$4:$A$119,0)),Scoring!$A$4:$N$51,3,FALSE()),0)+IFERROR(VLOOKUP(INDEX(' Toto teams'!$F$4:$F$119,MATCH($B90,' Toto teams'!$A$4:$A$119,0)),Scoring!$A$4:$N$51,4,FALSE()),0)+IFERROR(VLOOKUP(INDEX(' Toto teams'!$F$4:$F$119,MATCH($B90,' Toto teams'!$A$4:$A$119,0)),Scoring!$A$4:$N$51,5,FALSE()),0))+1*(IFERROR(VLOOKUP(INDEX(' Toto teams'!$G$4:$G$119,MATCH($B90,' Toto teams'!$A$4:$A$119,0)),Scoring!$A$4:$N$51,3,FALSE()),0)+IFERROR(VLOOKUP(INDEX(' Toto teams'!$G$4:$G$119,MATCH($B90,' Toto teams'!$A$4:$A$119,0)),Scoring!$A$4:$N$51,4,FALSE()),0)+IFERROR(VLOOKUP(INDEX(' Toto teams'!$G$4:$G$119,MATCH($B90,' Toto teams'!$A$4:$A$119,0)),Scoring!$A$4:$N$51,5,FALSE()),0))+1*(IFERROR(VLOOKUP(INDEX(' Toto teams'!$H$4:$H$119,MATCH($B90,' Toto teams'!$A$4:$A$119,0)),Scoring!$A$4:$N$51,3,FALSE()),0)+IFERROR(VLOOKUP(INDEX(' Toto teams'!$H$4:$H$119,MATCH($B90,' Toto teams'!$A$4:$A$119,0)),Scoring!$A$4:$N$51,4,FALSE()),0)+IFERROR(VLOOKUP(INDEX(' Toto teams'!$H$4:$H$119,MATCH($B90,' Toto teams'!$A$4:$A$119,0)),Scoring!$A$4:$N$51,5,FALSE()),0))+IFERROR(INDEX(' Toto teams'!$Q$4:$Q$119,MATCH($B90,' Toto teams'!$A$4:$A$119,0))*1,0))</f>
        <v>0</v>
      </c>
      <c r="D90" s="28">
        <f>IF($B90="","",6*IFERROR(VLOOKUP(INDEX(' Toto teams'!$B$4:$B$119,MATCH($B90,' Toto teams'!$A$4:$A$119,0)),Scoring!$A$4:$N$51,7,FALSE()),0)+4*IFERROR(VLOOKUP(INDEX(' Toto teams'!$C$4:$C$119,MATCH($B90,' Toto teams'!$A$4:$A$119,0)),Scoring!$A$4:$N$51,7,FALSE()),0)+3*IFERROR(VLOOKUP(INDEX(' Toto teams'!$D$4:$D$119,MATCH($B90,' Toto teams'!$A$4:$A$119,0)),Scoring!$A$4:$N$51,7,FALSE()),0)+2*IFERROR(VLOOKUP(INDEX(' Toto teams'!$E$4:$E$119,MATCH($B90,' Toto teams'!$A$4:$A$119,0)),Scoring!$A$4:$N$51,7,FALSE()),0)+1*IFERROR(VLOOKUP(INDEX(' Toto teams'!$F$4:$F$119,MATCH($B90,' Toto teams'!$A$4:$A$119,0)),Scoring!$A$4:$N$51,7,FALSE()),0)+1*IFERROR(VLOOKUP(INDEX(' Toto teams'!$G$4:$G$119,MATCH($B90,' Toto teams'!$A$4:$A$119,0)),Scoring!$A$4:$N$51,7,FALSE()),0)+1*IFERROR(VLOOKUP(INDEX(' Toto teams'!$H$4:$H$119,MATCH($B90,' Toto teams'!$A$4:$A$119,0)),Scoring!$A$4:$N$51,7,FALSE()),0))</f>
        <v>0</v>
      </c>
      <c r="E90" s="28">
        <f>IF($B90="","",6*IFERROR(VLOOKUP(INDEX(' Toto teams'!$B$4:$B$119,MATCH($B90,' Toto teams'!$A$4:$A$119,0)),Scoring!$A$4:$N$51,8,FALSE()),0)+4*IFERROR(VLOOKUP(INDEX(' Toto teams'!$C$4:$C$119,MATCH($B90,' Toto teams'!$A$4:$A$119,0)),Scoring!$A$4:$N$51,8,FALSE()),0)+3*IFERROR(VLOOKUP(INDEX(' Toto teams'!$D$4:$D$119,MATCH($B90,' Toto teams'!$A$4:$A$119,0)),Scoring!$A$4:$N$51,8,FALSE()),0)+2*IFERROR(VLOOKUP(INDEX(' Toto teams'!$E$4:$E$119,MATCH($B90,' Toto teams'!$A$4:$A$119,0)),Scoring!$A$4:$N$51,8,FALSE()),0)+1*IFERROR(VLOOKUP(INDEX(' Toto teams'!$F$4:$F$119,MATCH($B90,' Toto teams'!$A$4:$A$119,0)),Scoring!$A$4:$N$51,8,FALSE()),0)+1*IFERROR(VLOOKUP(INDEX(' Toto teams'!$G$4:$G$119,MATCH($B90,' Toto teams'!$A$4:$A$119,0)),Scoring!$A$4:$N$51,8,FALSE()),0)+1*IFERROR(VLOOKUP(INDEX(' Toto teams'!$H$4:$H$119,MATCH($B90,' Toto teams'!$A$4:$A$119,0)),Scoring!$A$4:$N$51,8,FALSE()),0))</f>
        <v>0</v>
      </c>
      <c r="F90" s="28">
        <f>IF($B90="","",6*IFERROR(VLOOKUP(INDEX(' Toto teams'!$B$4:$B$119,MATCH($B90,' Toto teams'!$A$4:$A$119,0)),Scoring!$A$4:$N$51,9,FALSE()),0)+4*IFERROR(VLOOKUP(INDEX(' Toto teams'!$C$4:$C$119,MATCH($B90,' Toto teams'!$A$4:$A$119,0)),Scoring!$A$4:$N$51,9,FALSE()),0)+3*IFERROR(VLOOKUP(INDEX(' Toto teams'!$D$4:$D$119,MATCH($B90,' Toto teams'!$A$4:$A$119,0)),Scoring!$A$4:$N$51,9,FALSE()),0)+2*IFERROR(VLOOKUP(INDEX(' Toto teams'!$E$4:$E$119,MATCH($B90,' Toto teams'!$A$4:$A$119,0)),Scoring!$A$4:$N$51,9,FALSE()),0)+1*IFERROR(VLOOKUP(INDEX(' Toto teams'!$F$4:$F$119,MATCH($B90,' Toto teams'!$A$4:$A$119,0)),Scoring!$A$4:$N$51,9,FALSE()),0)+1*IFERROR(VLOOKUP(INDEX(' Toto teams'!$G$4:$G$119,MATCH($B90,' Toto teams'!$A$4:$A$119,0)),Scoring!$A$4:$N$51,9,FALSE()),0)+1*IFERROR(VLOOKUP(INDEX(' Toto teams'!$H$4:$H$119,MATCH($B90,' Toto teams'!$A$4:$A$119,0)),Scoring!$A$4:$N$51,9,FALSE()),0))</f>
        <v>0</v>
      </c>
      <c r="G90" s="28">
        <f>IF($B90="","",6*IFERROR(VLOOKUP(INDEX(' Toto teams'!$B$4:$B$119,MATCH($B90,' Toto teams'!$A$4:$A$119,0)),Scoring!$A$4:$N$51,10,FALSE()),0)+4*IFERROR(VLOOKUP(INDEX(' Toto teams'!$C$4:$C$119,MATCH($B90,' Toto teams'!$A$4:$A$119,0)),Scoring!$A$4:$N$51,10,FALSE()),0)+3*IFERROR(VLOOKUP(INDEX(' Toto teams'!$D$4:$D$119,MATCH($B90,' Toto teams'!$A$4:$A$119,0)),Scoring!$A$4:$N$51,10,FALSE()),0)+2*IFERROR(VLOOKUP(INDEX(' Toto teams'!$E$4:$E$119,MATCH($B90,' Toto teams'!$A$4:$A$119,0)),Scoring!$A$4:$N$51,10,FALSE()),0)+1*IFERROR(VLOOKUP(INDEX(' Toto teams'!$F$4:$F$119,MATCH($B90,' Toto teams'!$A$4:$A$119,0)),Scoring!$A$4:$N$51,10,FALSE()),0)+1*IFERROR(VLOOKUP(INDEX(' Toto teams'!$G$4:$G$119,MATCH($B90,' Toto teams'!$A$4:$A$119,0)),Scoring!$A$4:$N$51,10,FALSE()),0)+1*IFERROR(VLOOKUP(INDEX(' Toto teams'!$H$4:$H$119,MATCH($B90,' Toto teams'!$A$4:$A$119,0)),Scoring!$A$4:$N$51,10,FALSE()),0))</f>
        <v>0</v>
      </c>
      <c r="H90" s="28">
        <f>IF($B90="","",6*IFERROR(VLOOKUP(INDEX(' Toto teams'!$B$4:$B$119,MATCH($B90,' Toto teams'!$A$4:$A$119,0)),Scoring!$A$4:$N$51,11,FALSE()),0)+4*IFERROR(VLOOKUP(INDEX(' Toto teams'!$C$4:$C$119,MATCH($B90,' Toto teams'!$A$4:$A$119,0)),Scoring!$A$4:$N$51,11,FALSE()),0)+3*IFERROR(VLOOKUP(INDEX(' Toto teams'!$D$4:$D$119,MATCH($B90,' Toto teams'!$A$4:$A$119,0)),Scoring!$A$4:$N$51,11,FALSE()),0)+2*IFERROR(VLOOKUP(INDEX(' Toto teams'!$E$4:$E$119,MATCH($B90,' Toto teams'!$A$4:$A$119,0)),Scoring!$A$4:$N$51,11,FALSE()),0)+1*IFERROR(VLOOKUP(INDEX(' Toto teams'!$F$4:$F$119,MATCH($B90,' Toto teams'!$A$4:$A$119,0)),Scoring!$A$4:$N$51,11,FALSE()),0)+1*IFERROR(VLOOKUP(INDEX(' Toto teams'!$G$4:$G$119,MATCH($B90,' Toto teams'!$A$4:$A$119,0)),Scoring!$A$4:$N$51,11,FALSE()),0)+1*IFERROR(VLOOKUP(INDEX(' Toto teams'!$H$4:$H$119,MATCH($B90,' Toto teams'!$A$4:$A$119,0)),Scoring!$A$4:$N$51,11,FALSE()),0))</f>
        <v>0</v>
      </c>
      <c r="I90" s="28">
        <f>IF($B90="","",6*IFERROR(VLOOKUP(INDEX(' Toto teams'!$B$4:$B$119,MATCH($B90,' Toto teams'!$A$4:$A$119,0)),Scoring!$A$4:$O$51,15,FALSE()),0)+4*IFERROR(VLOOKUP(INDEX(' Toto teams'!$C$4:$C$119,MATCH($B90,' Toto teams'!$A$4:$A$119,0)),Scoring!$A$4:$O$51,15,FALSE()),0)+3*IFERROR(VLOOKUP(INDEX(' Toto teams'!$D$4:$D$119,MATCH($B90,' Toto teams'!$A$4:$A$119,0)),Scoring!$A$4:$O$51,15,FALSE()),0)+2*IFERROR(VLOOKUP(INDEX(' Toto teams'!$E$4:$E$119,MATCH($B90,' Toto teams'!$A$4:$A$119,0)),Scoring!$A$4:$O$51,15,FALSE()),0)+1*IFERROR(VLOOKUP(INDEX(' Toto teams'!$F$4:$F$119,MATCH($B90,' Toto teams'!$A$4:$A$119,0)),Scoring!$A$4:$O$51,15,FALSE()),0)+1*IFERROR(VLOOKUP(INDEX(' Toto teams'!$G$4:$G$119,MATCH($B90,' Toto teams'!$A$4:$A$119,0)),Scoring!$A$4:$O$51,15,FALSE()),0)+1*IFERROR(VLOOKUP(INDEX(' Toto teams'!$H$4:$H$119,MATCH($B90,' Toto teams'!$A$4:$A$119,0)),Scoring!$A$4:$O$51,15,FALSE()),0))</f>
        <v>0</v>
      </c>
      <c r="J90" s="28">
        <f>IF($B90="","",6*IFERROR(VLOOKUP(INDEX(' Toto teams'!$B$4:$B$119,MATCH($B90,' Toto teams'!$A$4:$A$119,0)),Scoring!$A$4:$N$51,12,FALSE()),0)+4*IFERROR(VLOOKUP(INDEX(' Toto teams'!$C$4:$C$119,MATCH($B90,' Toto teams'!$A$4:$A$119,0)),Scoring!$A$4:$N$51,12,FALSE()),0)+3*IFERROR(VLOOKUP(INDEX(' Toto teams'!$D$4:$D$119,MATCH($B90,' Toto teams'!$A$4:$A$119,0)),Scoring!$A$4:$N$51,12,FALSE()),0)+2*IFERROR(VLOOKUP(INDEX(' Toto teams'!$E$4:$E$119,MATCH($B90,' Toto teams'!$A$4:$A$119,0)),Scoring!$A$4:$N$51,12,FALSE()),0)+1*IFERROR(VLOOKUP(INDEX(' Toto teams'!$F$4:$F$119,MATCH($B90,' Toto teams'!$A$4:$A$119,0)),Scoring!$A$4:$N$51,12,FALSE()),0)+1*IFERROR(VLOOKUP(INDEX(' Toto teams'!$G$4:$G$119,MATCH($B90,' Toto teams'!$A$4:$A$119,0)),Scoring!$A$4:$N$51,12,FALSE()),0)+1*IFERROR(VLOOKUP(INDEX(' Toto teams'!$H$4:$H$119,MATCH($B90,' Toto teams'!$A$4:$A$119,0)),Scoring!$A$4:$N$51,12,FALSE()),0))</f>
        <v>0</v>
      </c>
      <c r="K90" s="29">
        <f>IF($B90="","",IFERROR(INDEX(' Toto teams'!$R$4:$R$119,MATCH($B90,' Toto teams'!$A$4:$A$119,0)),""))</f>
        <v>0</v>
      </c>
      <c r="L90" s="30">
        <f t="shared" si="5"/>
        <v>0</v>
      </c>
    </row>
    <row r="91" spans="1:12" ht="12.75" customHeight="1" x14ac:dyDescent="0.3">
      <c r="A91" s="26">
        <f>IF(88&gt;COUNTIF(' Toto teams'!$A$4:$A$119,"&lt;&gt;"),"",INDEX(' Toto teams'!$S$4:$S$119,MATCH(LARGE(' Toto teams'!$T$4:$T$119,88),' Toto teams'!$T$4:$T$119,0)))</f>
        <v>63</v>
      </c>
      <c r="B91" s="27" t="str">
        <f>IF(88&gt;COUNTIF(' Toto teams'!$A$4:$A$119,"&lt;&gt;"),"",INDEX(' Toto teams'!$A$4:$A$119,MATCH(LARGE(' Toto teams'!$T$4:$T$119,88),' Toto teams'!$T$4:$T$119,0)))</f>
        <v>Renata Čižauskienė</v>
      </c>
      <c r="C91" s="28">
        <f>IF($B91="","",6*(IFERROR(VLOOKUP(INDEX(' Toto teams'!$B$4:$B$119,MATCH($B91,' Toto teams'!$A$4:$A$119,0)),Scoring!$A$4:$N$51,3,FALSE()),0)+IFERROR(VLOOKUP(INDEX(' Toto teams'!$B$4:$B$119,MATCH($B91,' Toto teams'!$A$4:$A$119,0)),Scoring!$A$4:$N$51,4,FALSE()),0)+IFERROR(VLOOKUP(INDEX(' Toto teams'!$B$4:$B$119,MATCH($B91,' Toto teams'!$A$4:$A$119,0)),Scoring!$A$4:$N$51,5,FALSE()),0))+4*(IFERROR(VLOOKUP(INDEX(' Toto teams'!$C$4:$C$119,MATCH($B91,' Toto teams'!$A$4:$A$119,0)),Scoring!$A$4:$N$51,3,FALSE()),0)+IFERROR(VLOOKUP(INDEX(' Toto teams'!$C$4:$C$119,MATCH($B91,' Toto teams'!$A$4:$A$119,0)),Scoring!$A$4:$N$51,4,FALSE()),0)+IFERROR(VLOOKUP(INDEX(' Toto teams'!$C$4:$C$119,MATCH($B91,' Toto teams'!$A$4:$A$119,0)),Scoring!$A$4:$N$51,5,FALSE()),0))+3*(IFERROR(VLOOKUP(INDEX(' Toto teams'!$D$4:$D$119,MATCH($B91,' Toto teams'!$A$4:$A$119,0)),Scoring!$A$4:$N$51,3,FALSE()),0)+IFERROR(VLOOKUP(INDEX(' Toto teams'!$D$4:$D$119,MATCH($B91,' Toto teams'!$A$4:$A$119,0)),Scoring!$A$4:$N$51,4,FALSE()),0)+IFERROR(VLOOKUP(INDEX(' Toto teams'!$D$4:$D$119,MATCH($B91,' Toto teams'!$A$4:$A$119,0)),Scoring!$A$4:$N$51,5,FALSE()),0))+2*(IFERROR(VLOOKUP(INDEX(' Toto teams'!$E$4:$E$119,MATCH($B91,' Toto teams'!$A$4:$A$119,0)),Scoring!$A$4:$N$51,3,FALSE()),0)+IFERROR(VLOOKUP(INDEX(' Toto teams'!$E$4:$E$119,MATCH($B91,' Toto teams'!$A$4:$A$119,0)),Scoring!$A$4:$N$51,4,FALSE()),0)+IFERROR(VLOOKUP(INDEX(' Toto teams'!$E$4:$E$119,MATCH($B91,' Toto teams'!$A$4:$A$119,0)),Scoring!$A$4:$N$51,5,FALSE()),0))+1*(IFERROR(VLOOKUP(INDEX(' Toto teams'!$F$4:$F$119,MATCH($B91,' Toto teams'!$A$4:$A$119,0)),Scoring!$A$4:$N$51,3,FALSE()),0)+IFERROR(VLOOKUP(INDEX(' Toto teams'!$F$4:$F$119,MATCH($B91,' Toto teams'!$A$4:$A$119,0)),Scoring!$A$4:$N$51,4,FALSE()),0)+IFERROR(VLOOKUP(INDEX(' Toto teams'!$F$4:$F$119,MATCH($B91,' Toto teams'!$A$4:$A$119,0)),Scoring!$A$4:$N$51,5,FALSE()),0))+1*(IFERROR(VLOOKUP(INDEX(' Toto teams'!$G$4:$G$119,MATCH($B91,' Toto teams'!$A$4:$A$119,0)),Scoring!$A$4:$N$51,3,FALSE()),0)+IFERROR(VLOOKUP(INDEX(' Toto teams'!$G$4:$G$119,MATCH($B91,' Toto teams'!$A$4:$A$119,0)),Scoring!$A$4:$N$51,4,FALSE()),0)+IFERROR(VLOOKUP(INDEX(' Toto teams'!$G$4:$G$119,MATCH($B91,' Toto teams'!$A$4:$A$119,0)),Scoring!$A$4:$N$51,5,FALSE()),0))+1*(IFERROR(VLOOKUP(INDEX(' Toto teams'!$H$4:$H$119,MATCH($B91,' Toto teams'!$A$4:$A$119,0)),Scoring!$A$4:$N$51,3,FALSE()),0)+IFERROR(VLOOKUP(INDEX(' Toto teams'!$H$4:$H$119,MATCH($B91,' Toto teams'!$A$4:$A$119,0)),Scoring!$A$4:$N$51,4,FALSE()),0)+IFERROR(VLOOKUP(INDEX(' Toto teams'!$H$4:$H$119,MATCH($B91,' Toto teams'!$A$4:$A$119,0)),Scoring!$A$4:$N$51,5,FALSE()),0))+IFERROR(INDEX(' Toto teams'!$Q$4:$Q$119,MATCH($B91,' Toto teams'!$A$4:$A$119,0))*1,0))</f>
        <v>0</v>
      </c>
      <c r="D91" s="28">
        <f>IF($B91="","",6*IFERROR(VLOOKUP(INDEX(' Toto teams'!$B$4:$B$119,MATCH($B91,' Toto teams'!$A$4:$A$119,0)),Scoring!$A$4:$N$51,7,FALSE()),0)+4*IFERROR(VLOOKUP(INDEX(' Toto teams'!$C$4:$C$119,MATCH($B91,' Toto teams'!$A$4:$A$119,0)),Scoring!$A$4:$N$51,7,FALSE()),0)+3*IFERROR(VLOOKUP(INDEX(' Toto teams'!$D$4:$D$119,MATCH($B91,' Toto teams'!$A$4:$A$119,0)),Scoring!$A$4:$N$51,7,FALSE()),0)+2*IFERROR(VLOOKUP(INDEX(' Toto teams'!$E$4:$E$119,MATCH($B91,' Toto teams'!$A$4:$A$119,0)),Scoring!$A$4:$N$51,7,FALSE()),0)+1*IFERROR(VLOOKUP(INDEX(' Toto teams'!$F$4:$F$119,MATCH($B91,' Toto teams'!$A$4:$A$119,0)),Scoring!$A$4:$N$51,7,FALSE()),0)+1*IFERROR(VLOOKUP(INDEX(' Toto teams'!$G$4:$G$119,MATCH($B91,' Toto teams'!$A$4:$A$119,0)),Scoring!$A$4:$N$51,7,FALSE()),0)+1*IFERROR(VLOOKUP(INDEX(' Toto teams'!$H$4:$H$119,MATCH($B91,' Toto teams'!$A$4:$A$119,0)),Scoring!$A$4:$N$51,7,FALSE()),0))</f>
        <v>0</v>
      </c>
      <c r="E91" s="28">
        <f>IF($B91="","",6*IFERROR(VLOOKUP(INDEX(' Toto teams'!$B$4:$B$119,MATCH($B91,' Toto teams'!$A$4:$A$119,0)),Scoring!$A$4:$N$51,8,FALSE()),0)+4*IFERROR(VLOOKUP(INDEX(' Toto teams'!$C$4:$C$119,MATCH($B91,' Toto teams'!$A$4:$A$119,0)),Scoring!$A$4:$N$51,8,FALSE()),0)+3*IFERROR(VLOOKUP(INDEX(' Toto teams'!$D$4:$D$119,MATCH($B91,' Toto teams'!$A$4:$A$119,0)),Scoring!$A$4:$N$51,8,FALSE()),0)+2*IFERROR(VLOOKUP(INDEX(' Toto teams'!$E$4:$E$119,MATCH($B91,' Toto teams'!$A$4:$A$119,0)),Scoring!$A$4:$N$51,8,FALSE()),0)+1*IFERROR(VLOOKUP(INDEX(' Toto teams'!$F$4:$F$119,MATCH($B91,' Toto teams'!$A$4:$A$119,0)),Scoring!$A$4:$N$51,8,FALSE()),0)+1*IFERROR(VLOOKUP(INDEX(' Toto teams'!$G$4:$G$119,MATCH($B91,' Toto teams'!$A$4:$A$119,0)),Scoring!$A$4:$N$51,8,FALSE()),0)+1*IFERROR(VLOOKUP(INDEX(' Toto teams'!$H$4:$H$119,MATCH($B91,' Toto teams'!$A$4:$A$119,0)),Scoring!$A$4:$N$51,8,FALSE()),0))</f>
        <v>0</v>
      </c>
      <c r="F91" s="28">
        <f>IF($B91="","",6*IFERROR(VLOOKUP(INDEX(' Toto teams'!$B$4:$B$119,MATCH($B91,' Toto teams'!$A$4:$A$119,0)),Scoring!$A$4:$N$51,9,FALSE()),0)+4*IFERROR(VLOOKUP(INDEX(' Toto teams'!$C$4:$C$119,MATCH($B91,' Toto teams'!$A$4:$A$119,0)),Scoring!$A$4:$N$51,9,FALSE()),0)+3*IFERROR(VLOOKUP(INDEX(' Toto teams'!$D$4:$D$119,MATCH($B91,' Toto teams'!$A$4:$A$119,0)),Scoring!$A$4:$N$51,9,FALSE()),0)+2*IFERROR(VLOOKUP(INDEX(' Toto teams'!$E$4:$E$119,MATCH($B91,' Toto teams'!$A$4:$A$119,0)),Scoring!$A$4:$N$51,9,FALSE()),0)+1*IFERROR(VLOOKUP(INDEX(' Toto teams'!$F$4:$F$119,MATCH($B91,' Toto teams'!$A$4:$A$119,0)),Scoring!$A$4:$N$51,9,FALSE()),0)+1*IFERROR(VLOOKUP(INDEX(' Toto teams'!$G$4:$G$119,MATCH($B91,' Toto teams'!$A$4:$A$119,0)),Scoring!$A$4:$N$51,9,FALSE()),0)+1*IFERROR(VLOOKUP(INDEX(' Toto teams'!$H$4:$H$119,MATCH($B91,' Toto teams'!$A$4:$A$119,0)),Scoring!$A$4:$N$51,9,FALSE()),0))</f>
        <v>0</v>
      </c>
      <c r="G91" s="28">
        <f>IF($B91="","",6*IFERROR(VLOOKUP(INDEX(' Toto teams'!$B$4:$B$119,MATCH($B91,' Toto teams'!$A$4:$A$119,0)),Scoring!$A$4:$N$51,10,FALSE()),0)+4*IFERROR(VLOOKUP(INDEX(' Toto teams'!$C$4:$C$119,MATCH($B91,' Toto teams'!$A$4:$A$119,0)),Scoring!$A$4:$N$51,10,FALSE()),0)+3*IFERROR(VLOOKUP(INDEX(' Toto teams'!$D$4:$D$119,MATCH($B91,' Toto teams'!$A$4:$A$119,0)),Scoring!$A$4:$N$51,10,FALSE()),0)+2*IFERROR(VLOOKUP(INDEX(' Toto teams'!$E$4:$E$119,MATCH($B91,' Toto teams'!$A$4:$A$119,0)),Scoring!$A$4:$N$51,10,FALSE()),0)+1*IFERROR(VLOOKUP(INDEX(' Toto teams'!$F$4:$F$119,MATCH($B91,' Toto teams'!$A$4:$A$119,0)),Scoring!$A$4:$N$51,10,FALSE()),0)+1*IFERROR(VLOOKUP(INDEX(' Toto teams'!$G$4:$G$119,MATCH($B91,' Toto teams'!$A$4:$A$119,0)),Scoring!$A$4:$N$51,10,FALSE()),0)+1*IFERROR(VLOOKUP(INDEX(' Toto teams'!$H$4:$H$119,MATCH($B91,' Toto teams'!$A$4:$A$119,0)),Scoring!$A$4:$N$51,10,FALSE()),0))</f>
        <v>0</v>
      </c>
      <c r="H91" s="28">
        <f>IF($B91="","",6*IFERROR(VLOOKUP(INDEX(' Toto teams'!$B$4:$B$119,MATCH($B91,' Toto teams'!$A$4:$A$119,0)),Scoring!$A$4:$N$51,11,FALSE()),0)+4*IFERROR(VLOOKUP(INDEX(' Toto teams'!$C$4:$C$119,MATCH($B91,' Toto teams'!$A$4:$A$119,0)),Scoring!$A$4:$N$51,11,FALSE()),0)+3*IFERROR(VLOOKUP(INDEX(' Toto teams'!$D$4:$D$119,MATCH($B91,' Toto teams'!$A$4:$A$119,0)),Scoring!$A$4:$N$51,11,FALSE()),0)+2*IFERROR(VLOOKUP(INDEX(' Toto teams'!$E$4:$E$119,MATCH($B91,' Toto teams'!$A$4:$A$119,0)),Scoring!$A$4:$N$51,11,FALSE()),0)+1*IFERROR(VLOOKUP(INDEX(' Toto teams'!$F$4:$F$119,MATCH($B91,' Toto teams'!$A$4:$A$119,0)),Scoring!$A$4:$N$51,11,FALSE()),0)+1*IFERROR(VLOOKUP(INDEX(' Toto teams'!$G$4:$G$119,MATCH($B91,' Toto teams'!$A$4:$A$119,0)),Scoring!$A$4:$N$51,11,FALSE()),0)+1*IFERROR(VLOOKUP(INDEX(' Toto teams'!$H$4:$H$119,MATCH($B91,' Toto teams'!$A$4:$A$119,0)),Scoring!$A$4:$N$51,11,FALSE()),0))</f>
        <v>0</v>
      </c>
      <c r="I91" s="28">
        <f>IF($B91="","",6*IFERROR(VLOOKUP(INDEX(' Toto teams'!$B$4:$B$119,MATCH($B91,' Toto teams'!$A$4:$A$119,0)),Scoring!$A$4:$O$51,15,FALSE()),0)+4*IFERROR(VLOOKUP(INDEX(' Toto teams'!$C$4:$C$119,MATCH($B91,' Toto teams'!$A$4:$A$119,0)),Scoring!$A$4:$O$51,15,FALSE()),0)+3*IFERROR(VLOOKUP(INDEX(' Toto teams'!$D$4:$D$119,MATCH($B91,' Toto teams'!$A$4:$A$119,0)),Scoring!$A$4:$O$51,15,FALSE()),0)+2*IFERROR(VLOOKUP(INDEX(' Toto teams'!$E$4:$E$119,MATCH($B91,' Toto teams'!$A$4:$A$119,0)),Scoring!$A$4:$O$51,15,FALSE()),0)+1*IFERROR(VLOOKUP(INDEX(' Toto teams'!$F$4:$F$119,MATCH($B91,' Toto teams'!$A$4:$A$119,0)),Scoring!$A$4:$O$51,15,FALSE()),0)+1*IFERROR(VLOOKUP(INDEX(' Toto teams'!$G$4:$G$119,MATCH($B91,' Toto teams'!$A$4:$A$119,0)),Scoring!$A$4:$O$51,15,FALSE()),0)+1*IFERROR(VLOOKUP(INDEX(' Toto teams'!$H$4:$H$119,MATCH($B91,' Toto teams'!$A$4:$A$119,0)),Scoring!$A$4:$O$51,15,FALSE()),0))</f>
        <v>0</v>
      </c>
      <c r="J91" s="28">
        <f>IF($B91="","",6*IFERROR(VLOOKUP(INDEX(' Toto teams'!$B$4:$B$119,MATCH($B91,' Toto teams'!$A$4:$A$119,0)),Scoring!$A$4:$N$51,12,FALSE()),0)+4*IFERROR(VLOOKUP(INDEX(' Toto teams'!$C$4:$C$119,MATCH($B91,' Toto teams'!$A$4:$A$119,0)),Scoring!$A$4:$N$51,12,FALSE()),0)+3*IFERROR(VLOOKUP(INDEX(' Toto teams'!$D$4:$D$119,MATCH($B91,' Toto teams'!$A$4:$A$119,0)),Scoring!$A$4:$N$51,12,FALSE()),0)+2*IFERROR(VLOOKUP(INDEX(' Toto teams'!$E$4:$E$119,MATCH($B91,' Toto teams'!$A$4:$A$119,0)),Scoring!$A$4:$N$51,12,FALSE()),0)+1*IFERROR(VLOOKUP(INDEX(' Toto teams'!$F$4:$F$119,MATCH($B91,' Toto teams'!$A$4:$A$119,0)),Scoring!$A$4:$N$51,12,FALSE()),0)+1*IFERROR(VLOOKUP(INDEX(' Toto teams'!$G$4:$G$119,MATCH($B91,' Toto teams'!$A$4:$A$119,0)),Scoring!$A$4:$N$51,12,FALSE()),0)+1*IFERROR(VLOOKUP(INDEX(' Toto teams'!$H$4:$H$119,MATCH($B91,' Toto teams'!$A$4:$A$119,0)),Scoring!$A$4:$N$51,12,FALSE()),0))</f>
        <v>0</v>
      </c>
      <c r="K91" s="29">
        <f>IF($B91="","",IFERROR(INDEX(' Toto teams'!$R$4:$R$119,MATCH($B91,' Toto teams'!$A$4:$A$119,0)),""))</f>
        <v>0</v>
      </c>
      <c r="L91" s="30">
        <f t="shared" si="5"/>
        <v>0</v>
      </c>
    </row>
    <row r="92" spans="1:12" ht="12.75" customHeight="1" x14ac:dyDescent="0.3">
      <c r="A92" s="26">
        <f>IF(89&gt;COUNTIF(' Toto teams'!$A$4:$A$119,"&lt;&gt;"),"",INDEX(' Toto teams'!$S$4:$S$119,MATCH(LARGE(' Toto teams'!$T$4:$T$119,89),' Toto teams'!$T$4:$T$119,0)))</f>
        <v>63</v>
      </c>
      <c r="B92" s="27" t="str">
        <f>IF(89&gt;COUNTIF(' Toto teams'!$A$4:$A$119,"&lt;&gt;"),"",INDEX(' Toto teams'!$A$4:$A$119,MATCH(LARGE(' Toto teams'!$T$4:$T$119,89),' Toto teams'!$T$4:$T$119,0)))</f>
        <v>Dovilė Smetonė</v>
      </c>
      <c r="C92" s="28">
        <f>IF($B92="","",6*(IFERROR(VLOOKUP(INDEX(' Toto teams'!$B$4:$B$119,MATCH($B92,' Toto teams'!$A$4:$A$119,0)),Scoring!$A$4:$N$51,3,FALSE()),0)+IFERROR(VLOOKUP(INDEX(' Toto teams'!$B$4:$B$119,MATCH($B92,' Toto teams'!$A$4:$A$119,0)),Scoring!$A$4:$N$51,4,FALSE()),0)+IFERROR(VLOOKUP(INDEX(' Toto teams'!$B$4:$B$119,MATCH($B92,' Toto teams'!$A$4:$A$119,0)),Scoring!$A$4:$N$51,5,FALSE()),0))+4*(IFERROR(VLOOKUP(INDEX(' Toto teams'!$C$4:$C$119,MATCH($B92,' Toto teams'!$A$4:$A$119,0)),Scoring!$A$4:$N$51,3,FALSE()),0)+IFERROR(VLOOKUP(INDEX(' Toto teams'!$C$4:$C$119,MATCH($B92,' Toto teams'!$A$4:$A$119,0)),Scoring!$A$4:$N$51,4,FALSE()),0)+IFERROR(VLOOKUP(INDEX(' Toto teams'!$C$4:$C$119,MATCH($B92,' Toto teams'!$A$4:$A$119,0)),Scoring!$A$4:$N$51,5,FALSE()),0))+3*(IFERROR(VLOOKUP(INDEX(' Toto teams'!$D$4:$D$119,MATCH($B92,' Toto teams'!$A$4:$A$119,0)),Scoring!$A$4:$N$51,3,FALSE()),0)+IFERROR(VLOOKUP(INDEX(' Toto teams'!$D$4:$D$119,MATCH($B92,' Toto teams'!$A$4:$A$119,0)),Scoring!$A$4:$N$51,4,FALSE()),0)+IFERROR(VLOOKUP(INDEX(' Toto teams'!$D$4:$D$119,MATCH($B92,' Toto teams'!$A$4:$A$119,0)),Scoring!$A$4:$N$51,5,FALSE()),0))+2*(IFERROR(VLOOKUP(INDEX(' Toto teams'!$E$4:$E$119,MATCH($B92,' Toto teams'!$A$4:$A$119,0)),Scoring!$A$4:$N$51,3,FALSE()),0)+IFERROR(VLOOKUP(INDEX(' Toto teams'!$E$4:$E$119,MATCH($B92,' Toto teams'!$A$4:$A$119,0)),Scoring!$A$4:$N$51,4,FALSE()),0)+IFERROR(VLOOKUP(INDEX(' Toto teams'!$E$4:$E$119,MATCH($B92,' Toto teams'!$A$4:$A$119,0)),Scoring!$A$4:$N$51,5,FALSE()),0))+1*(IFERROR(VLOOKUP(INDEX(' Toto teams'!$F$4:$F$119,MATCH($B92,' Toto teams'!$A$4:$A$119,0)),Scoring!$A$4:$N$51,3,FALSE()),0)+IFERROR(VLOOKUP(INDEX(' Toto teams'!$F$4:$F$119,MATCH($B92,' Toto teams'!$A$4:$A$119,0)),Scoring!$A$4:$N$51,4,FALSE()),0)+IFERROR(VLOOKUP(INDEX(' Toto teams'!$F$4:$F$119,MATCH($B92,' Toto teams'!$A$4:$A$119,0)),Scoring!$A$4:$N$51,5,FALSE()),0))+1*(IFERROR(VLOOKUP(INDEX(' Toto teams'!$G$4:$G$119,MATCH($B92,' Toto teams'!$A$4:$A$119,0)),Scoring!$A$4:$N$51,3,FALSE()),0)+IFERROR(VLOOKUP(INDEX(' Toto teams'!$G$4:$G$119,MATCH($B92,' Toto teams'!$A$4:$A$119,0)),Scoring!$A$4:$N$51,4,FALSE()),0)+IFERROR(VLOOKUP(INDEX(' Toto teams'!$G$4:$G$119,MATCH($B92,' Toto teams'!$A$4:$A$119,0)),Scoring!$A$4:$N$51,5,FALSE()),0))+1*(IFERROR(VLOOKUP(INDEX(' Toto teams'!$H$4:$H$119,MATCH($B92,' Toto teams'!$A$4:$A$119,0)),Scoring!$A$4:$N$51,3,FALSE()),0)+IFERROR(VLOOKUP(INDEX(' Toto teams'!$H$4:$H$119,MATCH($B92,' Toto teams'!$A$4:$A$119,0)),Scoring!$A$4:$N$51,4,FALSE()),0)+IFERROR(VLOOKUP(INDEX(' Toto teams'!$H$4:$H$119,MATCH($B92,' Toto teams'!$A$4:$A$119,0)),Scoring!$A$4:$N$51,5,FALSE()),0))+IFERROR(INDEX(' Toto teams'!$Q$4:$Q$119,MATCH($B92,' Toto teams'!$A$4:$A$119,0))*1,0))</f>
        <v>0</v>
      </c>
      <c r="D92" s="28">
        <f>IF($B92="","",6*IFERROR(VLOOKUP(INDEX(' Toto teams'!$B$4:$B$119,MATCH($B92,' Toto teams'!$A$4:$A$119,0)),Scoring!$A$4:$N$51,7,FALSE()),0)+4*IFERROR(VLOOKUP(INDEX(' Toto teams'!$C$4:$C$119,MATCH($B92,' Toto teams'!$A$4:$A$119,0)),Scoring!$A$4:$N$51,7,FALSE()),0)+3*IFERROR(VLOOKUP(INDEX(' Toto teams'!$D$4:$D$119,MATCH($B92,' Toto teams'!$A$4:$A$119,0)),Scoring!$A$4:$N$51,7,FALSE()),0)+2*IFERROR(VLOOKUP(INDEX(' Toto teams'!$E$4:$E$119,MATCH($B92,' Toto teams'!$A$4:$A$119,0)),Scoring!$A$4:$N$51,7,FALSE()),0)+1*IFERROR(VLOOKUP(INDEX(' Toto teams'!$F$4:$F$119,MATCH($B92,' Toto teams'!$A$4:$A$119,0)),Scoring!$A$4:$N$51,7,FALSE()),0)+1*IFERROR(VLOOKUP(INDEX(' Toto teams'!$G$4:$G$119,MATCH($B92,' Toto teams'!$A$4:$A$119,0)),Scoring!$A$4:$N$51,7,FALSE()),0)+1*IFERROR(VLOOKUP(INDEX(' Toto teams'!$H$4:$H$119,MATCH($B92,' Toto teams'!$A$4:$A$119,0)),Scoring!$A$4:$N$51,7,FALSE()),0))</f>
        <v>0</v>
      </c>
      <c r="E92" s="28">
        <f>IF($B92="","",6*IFERROR(VLOOKUP(INDEX(' Toto teams'!$B$4:$B$119,MATCH($B92,' Toto teams'!$A$4:$A$119,0)),Scoring!$A$4:$N$51,8,FALSE()),0)+4*IFERROR(VLOOKUP(INDEX(' Toto teams'!$C$4:$C$119,MATCH($B92,' Toto teams'!$A$4:$A$119,0)),Scoring!$A$4:$N$51,8,FALSE()),0)+3*IFERROR(VLOOKUP(INDEX(' Toto teams'!$D$4:$D$119,MATCH($B92,' Toto teams'!$A$4:$A$119,0)),Scoring!$A$4:$N$51,8,FALSE()),0)+2*IFERROR(VLOOKUP(INDEX(' Toto teams'!$E$4:$E$119,MATCH($B92,' Toto teams'!$A$4:$A$119,0)),Scoring!$A$4:$N$51,8,FALSE()),0)+1*IFERROR(VLOOKUP(INDEX(' Toto teams'!$F$4:$F$119,MATCH($B92,' Toto teams'!$A$4:$A$119,0)),Scoring!$A$4:$N$51,8,FALSE()),0)+1*IFERROR(VLOOKUP(INDEX(' Toto teams'!$G$4:$G$119,MATCH($B92,' Toto teams'!$A$4:$A$119,0)),Scoring!$A$4:$N$51,8,FALSE()),0)+1*IFERROR(VLOOKUP(INDEX(' Toto teams'!$H$4:$H$119,MATCH($B92,' Toto teams'!$A$4:$A$119,0)),Scoring!$A$4:$N$51,8,FALSE()),0))</f>
        <v>0</v>
      </c>
      <c r="F92" s="28">
        <f>IF($B92="","",6*IFERROR(VLOOKUP(INDEX(' Toto teams'!$B$4:$B$119,MATCH($B92,' Toto teams'!$A$4:$A$119,0)),Scoring!$A$4:$N$51,9,FALSE()),0)+4*IFERROR(VLOOKUP(INDEX(' Toto teams'!$C$4:$C$119,MATCH($B92,' Toto teams'!$A$4:$A$119,0)),Scoring!$A$4:$N$51,9,FALSE()),0)+3*IFERROR(VLOOKUP(INDEX(' Toto teams'!$D$4:$D$119,MATCH($B92,' Toto teams'!$A$4:$A$119,0)),Scoring!$A$4:$N$51,9,FALSE()),0)+2*IFERROR(VLOOKUP(INDEX(' Toto teams'!$E$4:$E$119,MATCH($B92,' Toto teams'!$A$4:$A$119,0)),Scoring!$A$4:$N$51,9,FALSE()),0)+1*IFERROR(VLOOKUP(INDEX(' Toto teams'!$F$4:$F$119,MATCH($B92,' Toto teams'!$A$4:$A$119,0)),Scoring!$A$4:$N$51,9,FALSE()),0)+1*IFERROR(VLOOKUP(INDEX(' Toto teams'!$G$4:$G$119,MATCH($B92,' Toto teams'!$A$4:$A$119,0)),Scoring!$A$4:$N$51,9,FALSE()),0)+1*IFERROR(VLOOKUP(INDEX(' Toto teams'!$H$4:$H$119,MATCH($B92,' Toto teams'!$A$4:$A$119,0)),Scoring!$A$4:$N$51,9,FALSE()),0))</f>
        <v>0</v>
      </c>
      <c r="G92" s="28">
        <f>IF($B92="","",6*IFERROR(VLOOKUP(INDEX(' Toto teams'!$B$4:$B$119,MATCH($B92,' Toto teams'!$A$4:$A$119,0)),Scoring!$A$4:$N$51,10,FALSE()),0)+4*IFERROR(VLOOKUP(INDEX(' Toto teams'!$C$4:$C$119,MATCH($B92,' Toto teams'!$A$4:$A$119,0)),Scoring!$A$4:$N$51,10,FALSE()),0)+3*IFERROR(VLOOKUP(INDEX(' Toto teams'!$D$4:$D$119,MATCH($B92,' Toto teams'!$A$4:$A$119,0)),Scoring!$A$4:$N$51,10,FALSE()),0)+2*IFERROR(VLOOKUP(INDEX(' Toto teams'!$E$4:$E$119,MATCH($B92,' Toto teams'!$A$4:$A$119,0)),Scoring!$A$4:$N$51,10,FALSE()),0)+1*IFERROR(VLOOKUP(INDEX(' Toto teams'!$F$4:$F$119,MATCH($B92,' Toto teams'!$A$4:$A$119,0)),Scoring!$A$4:$N$51,10,FALSE()),0)+1*IFERROR(VLOOKUP(INDEX(' Toto teams'!$G$4:$G$119,MATCH($B92,' Toto teams'!$A$4:$A$119,0)),Scoring!$A$4:$N$51,10,FALSE()),0)+1*IFERROR(VLOOKUP(INDEX(' Toto teams'!$H$4:$H$119,MATCH($B92,' Toto teams'!$A$4:$A$119,0)),Scoring!$A$4:$N$51,10,FALSE()),0))</f>
        <v>0</v>
      </c>
      <c r="H92" s="28">
        <f>IF($B92="","",6*IFERROR(VLOOKUP(INDEX(' Toto teams'!$B$4:$B$119,MATCH($B92,' Toto teams'!$A$4:$A$119,0)),Scoring!$A$4:$N$51,11,FALSE()),0)+4*IFERROR(VLOOKUP(INDEX(' Toto teams'!$C$4:$C$119,MATCH($B92,' Toto teams'!$A$4:$A$119,0)),Scoring!$A$4:$N$51,11,FALSE()),0)+3*IFERROR(VLOOKUP(INDEX(' Toto teams'!$D$4:$D$119,MATCH($B92,' Toto teams'!$A$4:$A$119,0)),Scoring!$A$4:$N$51,11,FALSE()),0)+2*IFERROR(VLOOKUP(INDEX(' Toto teams'!$E$4:$E$119,MATCH($B92,' Toto teams'!$A$4:$A$119,0)),Scoring!$A$4:$N$51,11,FALSE()),0)+1*IFERROR(VLOOKUP(INDEX(' Toto teams'!$F$4:$F$119,MATCH($B92,' Toto teams'!$A$4:$A$119,0)),Scoring!$A$4:$N$51,11,FALSE()),0)+1*IFERROR(VLOOKUP(INDEX(' Toto teams'!$G$4:$G$119,MATCH($B92,' Toto teams'!$A$4:$A$119,0)),Scoring!$A$4:$N$51,11,FALSE()),0)+1*IFERROR(VLOOKUP(INDEX(' Toto teams'!$H$4:$H$119,MATCH($B92,' Toto teams'!$A$4:$A$119,0)),Scoring!$A$4:$N$51,11,FALSE()),0))</f>
        <v>0</v>
      </c>
      <c r="I92" s="28">
        <f>IF($B92="","",6*IFERROR(VLOOKUP(INDEX(' Toto teams'!$B$4:$B$119,MATCH($B92,' Toto teams'!$A$4:$A$119,0)),Scoring!$A$4:$O$51,15,FALSE()),0)+4*IFERROR(VLOOKUP(INDEX(' Toto teams'!$C$4:$C$119,MATCH($B92,' Toto teams'!$A$4:$A$119,0)),Scoring!$A$4:$O$51,15,FALSE()),0)+3*IFERROR(VLOOKUP(INDEX(' Toto teams'!$D$4:$D$119,MATCH($B92,' Toto teams'!$A$4:$A$119,0)),Scoring!$A$4:$O$51,15,FALSE()),0)+2*IFERROR(VLOOKUP(INDEX(' Toto teams'!$E$4:$E$119,MATCH($B92,' Toto teams'!$A$4:$A$119,0)),Scoring!$A$4:$O$51,15,FALSE()),0)+1*IFERROR(VLOOKUP(INDEX(' Toto teams'!$F$4:$F$119,MATCH($B92,' Toto teams'!$A$4:$A$119,0)),Scoring!$A$4:$O$51,15,FALSE()),0)+1*IFERROR(VLOOKUP(INDEX(' Toto teams'!$G$4:$G$119,MATCH($B92,' Toto teams'!$A$4:$A$119,0)),Scoring!$A$4:$O$51,15,FALSE()),0)+1*IFERROR(VLOOKUP(INDEX(' Toto teams'!$H$4:$H$119,MATCH($B92,' Toto teams'!$A$4:$A$119,0)),Scoring!$A$4:$O$51,15,FALSE()),0))</f>
        <v>0</v>
      </c>
      <c r="J92" s="28">
        <f>IF($B92="","",6*IFERROR(VLOOKUP(INDEX(' Toto teams'!$B$4:$B$119,MATCH($B92,' Toto teams'!$A$4:$A$119,0)),Scoring!$A$4:$N$51,12,FALSE()),0)+4*IFERROR(VLOOKUP(INDEX(' Toto teams'!$C$4:$C$119,MATCH($B92,' Toto teams'!$A$4:$A$119,0)),Scoring!$A$4:$N$51,12,FALSE()),0)+3*IFERROR(VLOOKUP(INDEX(' Toto teams'!$D$4:$D$119,MATCH($B92,' Toto teams'!$A$4:$A$119,0)),Scoring!$A$4:$N$51,12,FALSE()),0)+2*IFERROR(VLOOKUP(INDEX(' Toto teams'!$E$4:$E$119,MATCH($B92,' Toto teams'!$A$4:$A$119,0)),Scoring!$A$4:$N$51,12,FALSE()),0)+1*IFERROR(VLOOKUP(INDEX(' Toto teams'!$F$4:$F$119,MATCH($B92,' Toto teams'!$A$4:$A$119,0)),Scoring!$A$4:$N$51,12,FALSE()),0)+1*IFERROR(VLOOKUP(INDEX(' Toto teams'!$G$4:$G$119,MATCH($B92,' Toto teams'!$A$4:$A$119,0)),Scoring!$A$4:$N$51,12,FALSE()),0)+1*IFERROR(VLOOKUP(INDEX(' Toto teams'!$H$4:$H$119,MATCH($B92,' Toto teams'!$A$4:$A$119,0)),Scoring!$A$4:$N$51,12,FALSE()),0))</f>
        <v>0</v>
      </c>
      <c r="K92" s="29">
        <f>IF($B92="","",IFERROR(INDEX(' Toto teams'!$R$4:$R$119,MATCH($B92,' Toto teams'!$A$4:$A$119,0)),""))</f>
        <v>0</v>
      </c>
      <c r="L92" s="30">
        <f t="shared" si="5"/>
        <v>0</v>
      </c>
    </row>
    <row r="93" spans="1:12" ht="12.75" customHeight="1" x14ac:dyDescent="0.3">
      <c r="A93" s="26">
        <f>IF(90&gt;COUNTIF(' Toto teams'!$A$4:$A$119,"&lt;&gt;"),"",INDEX(' Toto teams'!$S$4:$S$119,MATCH(LARGE(' Toto teams'!$T$4:$T$119,90),' Toto teams'!$T$4:$T$119,0)))</f>
        <v>63</v>
      </c>
      <c r="B93" s="27" t="str">
        <f>IF(90&gt;COUNTIF(' Toto teams'!$A$4:$A$119,"&lt;&gt;"),"",INDEX(' Toto teams'!$A$4:$A$119,MATCH(LARGE(' Toto teams'!$T$4:$T$119,90),' Toto teams'!$T$4:$T$119,0)))</f>
        <v>Evelina Tiščenkė</v>
      </c>
      <c r="C93" s="28">
        <f>IF($B93="","",6*(IFERROR(VLOOKUP(INDEX(' Toto teams'!$B$4:$B$119,MATCH($B93,' Toto teams'!$A$4:$A$119,0)),Scoring!$A$4:$N$51,3,FALSE()),0)+IFERROR(VLOOKUP(INDEX(' Toto teams'!$B$4:$B$119,MATCH($B93,' Toto teams'!$A$4:$A$119,0)),Scoring!$A$4:$N$51,4,FALSE()),0)+IFERROR(VLOOKUP(INDEX(' Toto teams'!$B$4:$B$119,MATCH($B93,' Toto teams'!$A$4:$A$119,0)),Scoring!$A$4:$N$51,5,FALSE()),0))+4*(IFERROR(VLOOKUP(INDEX(' Toto teams'!$C$4:$C$119,MATCH($B93,' Toto teams'!$A$4:$A$119,0)),Scoring!$A$4:$N$51,3,FALSE()),0)+IFERROR(VLOOKUP(INDEX(' Toto teams'!$C$4:$C$119,MATCH($B93,' Toto teams'!$A$4:$A$119,0)),Scoring!$A$4:$N$51,4,FALSE()),0)+IFERROR(VLOOKUP(INDEX(' Toto teams'!$C$4:$C$119,MATCH($B93,' Toto teams'!$A$4:$A$119,0)),Scoring!$A$4:$N$51,5,FALSE()),0))+3*(IFERROR(VLOOKUP(INDEX(' Toto teams'!$D$4:$D$119,MATCH($B93,' Toto teams'!$A$4:$A$119,0)),Scoring!$A$4:$N$51,3,FALSE()),0)+IFERROR(VLOOKUP(INDEX(' Toto teams'!$D$4:$D$119,MATCH($B93,' Toto teams'!$A$4:$A$119,0)),Scoring!$A$4:$N$51,4,FALSE()),0)+IFERROR(VLOOKUP(INDEX(' Toto teams'!$D$4:$D$119,MATCH($B93,' Toto teams'!$A$4:$A$119,0)),Scoring!$A$4:$N$51,5,FALSE()),0))+2*(IFERROR(VLOOKUP(INDEX(' Toto teams'!$E$4:$E$119,MATCH($B93,' Toto teams'!$A$4:$A$119,0)),Scoring!$A$4:$N$51,3,FALSE()),0)+IFERROR(VLOOKUP(INDEX(' Toto teams'!$E$4:$E$119,MATCH($B93,' Toto teams'!$A$4:$A$119,0)),Scoring!$A$4:$N$51,4,FALSE()),0)+IFERROR(VLOOKUP(INDEX(' Toto teams'!$E$4:$E$119,MATCH($B93,' Toto teams'!$A$4:$A$119,0)),Scoring!$A$4:$N$51,5,FALSE()),0))+1*(IFERROR(VLOOKUP(INDEX(' Toto teams'!$F$4:$F$119,MATCH($B93,' Toto teams'!$A$4:$A$119,0)),Scoring!$A$4:$N$51,3,FALSE()),0)+IFERROR(VLOOKUP(INDEX(' Toto teams'!$F$4:$F$119,MATCH($B93,' Toto teams'!$A$4:$A$119,0)),Scoring!$A$4:$N$51,4,FALSE()),0)+IFERROR(VLOOKUP(INDEX(' Toto teams'!$F$4:$F$119,MATCH($B93,' Toto teams'!$A$4:$A$119,0)),Scoring!$A$4:$N$51,5,FALSE()),0))+1*(IFERROR(VLOOKUP(INDEX(' Toto teams'!$G$4:$G$119,MATCH($B93,' Toto teams'!$A$4:$A$119,0)),Scoring!$A$4:$N$51,3,FALSE()),0)+IFERROR(VLOOKUP(INDEX(' Toto teams'!$G$4:$G$119,MATCH($B93,' Toto teams'!$A$4:$A$119,0)),Scoring!$A$4:$N$51,4,FALSE()),0)+IFERROR(VLOOKUP(INDEX(' Toto teams'!$G$4:$G$119,MATCH($B93,' Toto teams'!$A$4:$A$119,0)),Scoring!$A$4:$N$51,5,FALSE()),0))+1*(IFERROR(VLOOKUP(INDEX(' Toto teams'!$H$4:$H$119,MATCH($B93,' Toto teams'!$A$4:$A$119,0)),Scoring!$A$4:$N$51,3,FALSE()),0)+IFERROR(VLOOKUP(INDEX(' Toto teams'!$H$4:$H$119,MATCH($B93,' Toto teams'!$A$4:$A$119,0)),Scoring!$A$4:$N$51,4,FALSE()),0)+IFERROR(VLOOKUP(INDEX(' Toto teams'!$H$4:$H$119,MATCH($B93,' Toto teams'!$A$4:$A$119,0)),Scoring!$A$4:$N$51,5,FALSE()),0))+IFERROR(INDEX(' Toto teams'!$Q$4:$Q$119,MATCH($B93,' Toto teams'!$A$4:$A$119,0))*1,0))</f>
        <v>0</v>
      </c>
      <c r="D93" s="28">
        <f>IF($B93="","",6*IFERROR(VLOOKUP(INDEX(' Toto teams'!$B$4:$B$119,MATCH($B93,' Toto teams'!$A$4:$A$119,0)),Scoring!$A$4:$N$51,7,FALSE()),0)+4*IFERROR(VLOOKUP(INDEX(' Toto teams'!$C$4:$C$119,MATCH($B93,' Toto teams'!$A$4:$A$119,0)),Scoring!$A$4:$N$51,7,FALSE()),0)+3*IFERROR(VLOOKUP(INDEX(' Toto teams'!$D$4:$D$119,MATCH($B93,' Toto teams'!$A$4:$A$119,0)),Scoring!$A$4:$N$51,7,FALSE()),0)+2*IFERROR(VLOOKUP(INDEX(' Toto teams'!$E$4:$E$119,MATCH($B93,' Toto teams'!$A$4:$A$119,0)),Scoring!$A$4:$N$51,7,FALSE()),0)+1*IFERROR(VLOOKUP(INDEX(' Toto teams'!$F$4:$F$119,MATCH($B93,' Toto teams'!$A$4:$A$119,0)),Scoring!$A$4:$N$51,7,FALSE()),0)+1*IFERROR(VLOOKUP(INDEX(' Toto teams'!$G$4:$G$119,MATCH($B93,' Toto teams'!$A$4:$A$119,0)),Scoring!$A$4:$N$51,7,FALSE()),0)+1*IFERROR(VLOOKUP(INDEX(' Toto teams'!$H$4:$H$119,MATCH($B93,' Toto teams'!$A$4:$A$119,0)),Scoring!$A$4:$N$51,7,FALSE()),0))</f>
        <v>0</v>
      </c>
      <c r="E93" s="28">
        <f>IF($B93="","",6*IFERROR(VLOOKUP(INDEX(' Toto teams'!$B$4:$B$119,MATCH($B93,' Toto teams'!$A$4:$A$119,0)),Scoring!$A$4:$N$51,8,FALSE()),0)+4*IFERROR(VLOOKUP(INDEX(' Toto teams'!$C$4:$C$119,MATCH($B93,' Toto teams'!$A$4:$A$119,0)),Scoring!$A$4:$N$51,8,FALSE()),0)+3*IFERROR(VLOOKUP(INDEX(' Toto teams'!$D$4:$D$119,MATCH($B93,' Toto teams'!$A$4:$A$119,0)),Scoring!$A$4:$N$51,8,FALSE()),0)+2*IFERROR(VLOOKUP(INDEX(' Toto teams'!$E$4:$E$119,MATCH($B93,' Toto teams'!$A$4:$A$119,0)),Scoring!$A$4:$N$51,8,FALSE()),0)+1*IFERROR(VLOOKUP(INDEX(' Toto teams'!$F$4:$F$119,MATCH($B93,' Toto teams'!$A$4:$A$119,0)),Scoring!$A$4:$N$51,8,FALSE()),0)+1*IFERROR(VLOOKUP(INDEX(' Toto teams'!$G$4:$G$119,MATCH($B93,' Toto teams'!$A$4:$A$119,0)),Scoring!$A$4:$N$51,8,FALSE()),0)+1*IFERROR(VLOOKUP(INDEX(' Toto teams'!$H$4:$H$119,MATCH($B93,' Toto teams'!$A$4:$A$119,0)),Scoring!$A$4:$N$51,8,FALSE()),0))</f>
        <v>0</v>
      </c>
      <c r="F93" s="28">
        <f>IF($B93="","",6*IFERROR(VLOOKUP(INDEX(' Toto teams'!$B$4:$B$119,MATCH($B93,' Toto teams'!$A$4:$A$119,0)),Scoring!$A$4:$N$51,9,FALSE()),0)+4*IFERROR(VLOOKUP(INDEX(' Toto teams'!$C$4:$C$119,MATCH($B93,' Toto teams'!$A$4:$A$119,0)),Scoring!$A$4:$N$51,9,FALSE()),0)+3*IFERROR(VLOOKUP(INDEX(' Toto teams'!$D$4:$D$119,MATCH($B93,' Toto teams'!$A$4:$A$119,0)),Scoring!$A$4:$N$51,9,FALSE()),0)+2*IFERROR(VLOOKUP(INDEX(' Toto teams'!$E$4:$E$119,MATCH($B93,' Toto teams'!$A$4:$A$119,0)),Scoring!$A$4:$N$51,9,FALSE()),0)+1*IFERROR(VLOOKUP(INDEX(' Toto teams'!$F$4:$F$119,MATCH($B93,' Toto teams'!$A$4:$A$119,0)),Scoring!$A$4:$N$51,9,FALSE()),0)+1*IFERROR(VLOOKUP(INDEX(' Toto teams'!$G$4:$G$119,MATCH($B93,' Toto teams'!$A$4:$A$119,0)),Scoring!$A$4:$N$51,9,FALSE()),0)+1*IFERROR(VLOOKUP(INDEX(' Toto teams'!$H$4:$H$119,MATCH($B93,' Toto teams'!$A$4:$A$119,0)),Scoring!$A$4:$N$51,9,FALSE()),0))</f>
        <v>0</v>
      </c>
      <c r="G93" s="28">
        <f>IF($B93="","",6*IFERROR(VLOOKUP(INDEX(' Toto teams'!$B$4:$B$119,MATCH($B93,' Toto teams'!$A$4:$A$119,0)),Scoring!$A$4:$N$51,10,FALSE()),0)+4*IFERROR(VLOOKUP(INDEX(' Toto teams'!$C$4:$C$119,MATCH($B93,' Toto teams'!$A$4:$A$119,0)),Scoring!$A$4:$N$51,10,FALSE()),0)+3*IFERROR(VLOOKUP(INDEX(' Toto teams'!$D$4:$D$119,MATCH($B93,' Toto teams'!$A$4:$A$119,0)),Scoring!$A$4:$N$51,10,FALSE()),0)+2*IFERROR(VLOOKUP(INDEX(' Toto teams'!$E$4:$E$119,MATCH($B93,' Toto teams'!$A$4:$A$119,0)),Scoring!$A$4:$N$51,10,FALSE()),0)+1*IFERROR(VLOOKUP(INDEX(' Toto teams'!$F$4:$F$119,MATCH($B93,' Toto teams'!$A$4:$A$119,0)),Scoring!$A$4:$N$51,10,FALSE()),0)+1*IFERROR(VLOOKUP(INDEX(' Toto teams'!$G$4:$G$119,MATCH($B93,' Toto teams'!$A$4:$A$119,0)),Scoring!$A$4:$N$51,10,FALSE()),0)+1*IFERROR(VLOOKUP(INDEX(' Toto teams'!$H$4:$H$119,MATCH($B93,' Toto teams'!$A$4:$A$119,0)),Scoring!$A$4:$N$51,10,FALSE()),0))</f>
        <v>0</v>
      </c>
      <c r="H93" s="28">
        <f>IF($B93="","",6*IFERROR(VLOOKUP(INDEX(' Toto teams'!$B$4:$B$119,MATCH($B93,' Toto teams'!$A$4:$A$119,0)),Scoring!$A$4:$N$51,11,FALSE()),0)+4*IFERROR(VLOOKUP(INDEX(' Toto teams'!$C$4:$C$119,MATCH($B93,' Toto teams'!$A$4:$A$119,0)),Scoring!$A$4:$N$51,11,FALSE()),0)+3*IFERROR(VLOOKUP(INDEX(' Toto teams'!$D$4:$D$119,MATCH($B93,' Toto teams'!$A$4:$A$119,0)),Scoring!$A$4:$N$51,11,FALSE()),0)+2*IFERROR(VLOOKUP(INDEX(' Toto teams'!$E$4:$E$119,MATCH($B93,' Toto teams'!$A$4:$A$119,0)),Scoring!$A$4:$N$51,11,FALSE()),0)+1*IFERROR(VLOOKUP(INDEX(' Toto teams'!$F$4:$F$119,MATCH($B93,' Toto teams'!$A$4:$A$119,0)),Scoring!$A$4:$N$51,11,FALSE()),0)+1*IFERROR(VLOOKUP(INDEX(' Toto teams'!$G$4:$G$119,MATCH($B93,' Toto teams'!$A$4:$A$119,0)),Scoring!$A$4:$N$51,11,FALSE()),0)+1*IFERROR(VLOOKUP(INDEX(' Toto teams'!$H$4:$H$119,MATCH($B93,' Toto teams'!$A$4:$A$119,0)),Scoring!$A$4:$N$51,11,FALSE()),0))</f>
        <v>0</v>
      </c>
      <c r="I93" s="28">
        <f>IF($B93="","",6*IFERROR(VLOOKUP(INDEX(' Toto teams'!$B$4:$B$119,MATCH($B93,' Toto teams'!$A$4:$A$119,0)),Scoring!$A$4:$O$51,15,FALSE()),0)+4*IFERROR(VLOOKUP(INDEX(' Toto teams'!$C$4:$C$119,MATCH($B93,' Toto teams'!$A$4:$A$119,0)),Scoring!$A$4:$O$51,15,FALSE()),0)+3*IFERROR(VLOOKUP(INDEX(' Toto teams'!$D$4:$D$119,MATCH($B93,' Toto teams'!$A$4:$A$119,0)),Scoring!$A$4:$O$51,15,FALSE()),0)+2*IFERROR(VLOOKUP(INDEX(' Toto teams'!$E$4:$E$119,MATCH($B93,' Toto teams'!$A$4:$A$119,0)),Scoring!$A$4:$O$51,15,FALSE()),0)+1*IFERROR(VLOOKUP(INDEX(' Toto teams'!$F$4:$F$119,MATCH($B93,' Toto teams'!$A$4:$A$119,0)),Scoring!$A$4:$O$51,15,FALSE()),0)+1*IFERROR(VLOOKUP(INDEX(' Toto teams'!$G$4:$G$119,MATCH($B93,' Toto teams'!$A$4:$A$119,0)),Scoring!$A$4:$O$51,15,FALSE()),0)+1*IFERROR(VLOOKUP(INDEX(' Toto teams'!$H$4:$H$119,MATCH($B93,' Toto teams'!$A$4:$A$119,0)),Scoring!$A$4:$O$51,15,FALSE()),0))</f>
        <v>0</v>
      </c>
      <c r="J93" s="28">
        <f>IF($B93="","",6*IFERROR(VLOOKUP(INDEX(' Toto teams'!$B$4:$B$119,MATCH($B93,' Toto teams'!$A$4:$A$119,0)),Scoring!$A$4:$N$51,12,FALSE()),0)+4*IFERROR(VLOOKUP(INDEX(' Toto teams'!$C$4:$C$119,MATCH($B93,' Toto teams'!$A$4:$A$119,0)),Scoring!$A$4:$N$51,12,FALSE()),0)+3*IFERROR(VLOOKUP(INDEX(' Toto teams'!$D$4:$D$119,MATCH($B93,' Toto teams'!$A$4:$A$119,0)),Scoring!$A$4:$N$51,12,FALSE()),0)+2*IFERROR(VLOOKUP(INDEX(' Toto teams'!$E$4:$E$119,MATCH($B93,' Toto teams'!$A$4:$A$119,0)),Scoring!$A$4:$N$51,12,FALSE()),0)+1*IFERROR(VLOOKUP(INDEX(' Toto teams'!$F$4:$F$119,MATCH($B93,' Toto teams'!$A$4:$A$119,0)),Scoring!$A$4:$N$51,12,FALSE()),0)+1*IFERROR(VLOOKUP(INDEX(' Toto teams'!$G$4:$G$119,MATCH($B93,' Toto teams'!$A$4:$A$119,0)),Scoring!$A$4:$N$51,12,FALSE()),0)+1*IFERROR(VLOOKUP(INDEX(' Toto teams'!$H$4:$H$119,MATCH($B93,' Toto teams'!$A$4:$A$119,0)),Scoring!$A$4:$N$51,12,FALSE()),0))</f>
        <v>0</v>
      </c>
      <c r="K93" s="29">
        <f>IF($B93="","",IFERROR(INDEX(' Toto teams'!$R$4:$R$119,MATCH($B93,' Toto teams'!$A$4:$A$119,0)),""))</f>
        <v>0</v>
      </c>
      <c r="L93" s="30">
        <f t="shared" si="5"/>
        <v>0</v>
      </c>
    </row>
    <row r="94" spans="1:12" ht="12.75" customHeight="1" x14ac:dyDescent="0.3">
      <c r="A94" s="26">
        <f>IF(91&gt;COUNTIF(' Toto teams'!$A$4:$A$119,"&lt;&gt;"),"",INDEX(' Toto teams'!$S$4:$S$119,MATCH(LARGE(' Toto teams'!$T$4:$T$119,91),' Toto teams'!$T$4:$T$119,0)))</f>
        <v>63</v>
      </c>
      <c r="B94" s="27" t="str">
        <f>IF(91&gt;COUNTIF(' Toto teams'!$A$4:$A$119,"&lt;&gt;"),"",INDEX(' Toto teams'!$A$4:$A$119,MATCH(LARGE(' Toto teams'!$T$4:$T$119,91),' Toto teams'!$T$4:$T$119,0)))</f>
        <v>Gianmarco Monti</v>
      </c>
      <c r="C94" s="28">
        <f>IF($B94="","",6*(IFERROR(VLOOKUP(INDEX(' Toto teams'!$B$4:$B$119,MATCH($B94,' Toto teams'!$A$4:$A$119,0)),Scoring!$A$4:$N$51,3,FALSE()),0)+IFERROR(VLOOKUP(INDEX(' Toto teams'!$B$4:$B$119,MATCH($B94,' Toto teams'!$A$4:$A$119,0)),Scoring!$A$4:$N$51,4,FALSE()),0)+IFERROR(VLOOKUP(INDEX(' Toto teams'!$B$4:$B$119,MATCH($B94,' Toto teams'!$A$4:$A$119,0)),Scoring!$A$4:$N$51,5,FALSE()),0))+4*(IFERROR(VLOOKUP(INDEX(' Toto teams'!$C$4:$C$119,MATCH($B94,' Toto teams'!$A$4:$A$119,0)),Scoring!$A$4:$N$51,3,FALSE()),0)+IFERROR(VLOOKUP(INDEX(' Toto teams'!$C$4:$C$119,MATCH($B94,' Toto teams'!$A$4:$A$119,0)),Scoring!$A$4:$N$51,4,FALSE()),0)+IFERROR(VLOOKUP(INDEX(' Toto teams'!$C$4:$C$119,MATCH($B94,' Toto teams'!$A$4:$A$119,0)),Scoring!$A$4:$N$51,5,FALSE()),0))+3*(IFERROR(VLOOKUP(INDEX(' Toto teams'!$D$4:$D$119,MATCH($B94,' Toto teams'!$A$4:$A$119,0)),Scoring!$A$4:$N$51,3,FALSE()),0)+IFERROR(VLOOKUP(INDEX(' Toto teams'!$D$4:$D$119,MATCH($B94,' Toto teams'!$A$4:$A$119,0)),Scoring!$A$4:$N$51,4,FALSE()),0)+IFERROR(VLOOKUP(INDEX(' Toto teams'!$D$4:$D$119,MATCH($B94,' Toto teams'!$A$4:$A$119,0)),Scoring!$A$4:$N$51,5,FALSE()),0))+2*(IFERROR(VLOOKUP(INDEX(' Toto teams'!$E$4:$E$119,MATCH($B94,' Toto teams'!$A$4:$A$119,0)),Scoring!$A$4:$N$51,3,FALSE()),0)+IFERROR(VLOOKUP(INDEX(' Toto teams'!$E$4:$E$119,MATCH($B94,' Toto teams'!$A$4:$A$119,0)),Scoring!$A$4:$N$51,4,FALSE()),0)+IFERROR(VLOOKUP(INDEX(' Toto teams'!$E$4:$E$119,MATCH($B94,' Toto teams'!$A$4:$A$119,0)),Scoring!$A$4:$N$51,5,FALSE()),0))+1*(IFERROR(VLOOKUP(INDEX(' Toto teams'!$F$4:$F$119,MATCH($B94,' Toto teams'!$A$4:$A$119,0)),Scoring!$A$4:$N$51,3,FALSE()),0)+IFERROR(VLOOKUP(INDEX(' Toto teams'!$F$4:$F$119,MATCH($B94,' Toto teams'!$A$4:$A$119,0)),Scoring!$A$4:$N$51,4,FALSE()),0)+IFERROR(VLOOKUP(INDEX(' Toto teams'!$F$4:$F$119,MATCH($B94,' Toto teams'!$A$4:$A$119,0)),Scoring!$A$4:$N$51,5,FALSE()),0))+1*(IFERROR(VLOOKUP(INDEX(' Toto teams'!$G$4:$G$119,MATCH($B94,' Toto teams'!$A$4:$A$119,0)),Scoring!$A$4:$N$51,3,FALSE()),0)+IFERROR(VLOOKUP(INDEX(' Toto teams'!$G$4:$G$119,MATCH($B94,' Toto teams'!$A$4:$A$119,0)),Scoring!$A$4:$N$51,4,FALSE()),0)+IFERROR(VLOOKUP(INDEX(' Toto teams'!$G$4:$G$119,MATCH($B94,' Toto teams'!$A$4:$A$119,0)),Scoring!$A$4:$N$51,5,FALSE()),0))+1*(IFERROR(VLOOKUP(INDEX(' Toto teams'!$H$4:$H$119,MATCH($B94,' Toto teams'!$A$4:$A$119,0)),Scoring!$A$4:$N$51,3,FALSE()),0)+IFERROR(VLOOKUP(INDEX(' Toto teams'!$H$4:$H$119,MATCH($B94,' Toto teams'!$A$4:$A$119,0)),Scoring!$A$4:$N$51,4,FALSE()),0)+IFERROR(VLOOKUP(INDEX(' Toto teams'!$H$4:$H$119,MATCH($B94,' Toto teams'!$A$4:$A$119,0)),Scoring!$A$4:$N$51,5,FALSE()),0))+IFERROR(INDEX(' Toto teams'!$Q$4:$Q$119,MATCH($B94,' Toto teams'!$A$4:$A$119,0))*1,0))</f>
        <v>0</v>
      </c>
      <c r="D94" s="28">
        <f>IF($B94="","",6*IFERROR(VLOOKUP(INDEX(' Toto teams'!$B$4:$B$119,MATCH($B94,' Toto teams'!$A$4:$A$119,0)),Scoring!$A$4:$N$51,7,FALSE()),0)+4*IFERROR(VLOOKUP(INDEX(' Toto teams'!$C$4:$C$119,MATCH($B94,' Toto teams'!$A$4:$A$119,0)),Scoring!$A$4:$N$51,7,FALSE()),0)+3*IFERROR(VLOOKUP(INDEX(' Toto teams'!$D$4:$D$119,MATCH($B94,' Toto teams'!$A$4:$A$119,0)),Scoring!$A$4:$N$51,7,FALSE()),0)+2*IFERROR(VLOOKUP(INDEX(' Toto teams'!$E$4:$E$119,MATCH($B94,' Toto teams'!$A$4:$A$119,0)),Scoring!$A$4:$N$51,7,FALSE()),0)+1*IFERROR(VLOOKUP(INDEX(' Toto teams'!$F$4:$F$119,MATCH($B94,' Toto teams'!$A$4:$A$119,0)),Scoring!$A$4:$N$51,7,FALSE()),0)+1*IFERROR(VLOOKUP(INDEX(' Toto teams'!$G$4:$G$119,MATCH($B94,' Toto teams'!$A$4:$A$119,0)),Scoring!$A$4:$N$51,7,FALSE()),0)+1*IFERROR(VLOOKUP(INDEX(' Toto teams'!$H$4:$H$119,MATCH($B94,' Toto teams'!$A$4:$A$119,0)),Scoring!$A$4:$N$51,7,FALSE()),0))</f>
        <v>0</v>
      </c>
      <c r="E94" s="28">
        <f>IF($B94="","",6*IFERROR(VLOOKUP(INDEX(' Toto teams'!$B$4:$B$119,MATCH($B94,' Toto teams'!$A$4:$A$119,0)),Scoring!$A$4:$N$51,8,FALSE()),0)+4*IFERROR(VLOOKUP(INDEX(' Toto teams'!$C$4:$C$119,MATCH($B94,' Toto teams'!$A$4:$A$119,0)),Scoring!$A$4:$N$51,8,FALSE()),0)+3*IFERROR(VLOOKUP(INDEX(' Toto teams'!$D$4:$D$119,MATCH($B94,' Toto teams'!$A$4:$A$119,0)),Scoring!$A$4:$N$51,8,FALSE()),0)+2*IFERROR(VLOOKUP(INDEX(' Toto teams'!$E$4:$E$119,MATCH($B94,' Toto teams'!$A$4:$A$119,0)),Scoring!$A$4:$N$51,8,FALSE()),0)+1*IFERROR(VLOOKUP(INDEX(' Toto teams'!$F$4:$F$119,MATCH($B94,' Toto teams'!$A$4:$A$119,0)),Scoring!$A$4:$N$51,8,FALSE()),0)+1*IFERROR(VLOOKUP(INDEX(' Toto teams'!$G$4:$G$119,MATCH($B94,' Toto teams'!$A$4:$A$119,0)),Scoring!$A$4:$N$51,8,FALSE()),0)+1*IFERROR(VLOOKUP(INDEX(' Toto teams'!$H$4:$H$119,MATCH($B94,' Toto teams'!$A$4:$A$119,0)),Scoring!$A$4:$N$51,8,FALSE()),0))</f>
        <v>0</v>
      </c>
      <c r="F94" s="28">
        <f>IF($B94="","",6*IFERROR(VLOOKUP(INDEX(' Toto teams'!$B$4:$B$119,MATCH($B94,' Toto teams'!$A$4:$A$119,0)),Scoring!$A$4:$N$51,9,FALSE()),0)+4*IFERROR(VLOOKUP(INDEX(' Toto teams'!$C$4:$C$119,MATCH($B94,' Toto teams'!$A$4:$A$119,0)),Scoring!$A$4:$N$51,9,FALSE()),0)+3*IFERROR(VLOOKUP(INDEX(' Toto teams'!$D$4:$D$119,MATCH($B94,' Toto teams'!$A$4:$A$119,0)),Scoring!$A$4:$N$51,9,FALSE()),0)+2*IFERROR(VLOOKUP(INDEX(' Toto teams'!$E$4:$E$119,MATCH($B94,' Toto teams'!$A$4:$A$119,0)),Scoring!$A$4:$N$51,9,FALSE()),0)+1*IFERROR(VLOOKUP(INDEX(' Toto teams'!$F$4:$F$119,MATCH($B94,' Toto teams'!$A$4:$A$119,0)),Scoring!$A$4:$N$51,9,FALSE()),0)+1*IFERROR(VLOOKUP(INDEX(' Toto teams'!$G$4:$G$119,MATCH($B94,' Toto teams'!$A$4:$A$119,0)),Scoring!$A$4:$N$51,9,FALSE()),0)+1*IFERROR(VLOOKUP(INDEX(' Toto teams'!$H$4:$H$119,MATCH($B94,' Toto teams'!$A$4:$A$119,0)),Scoring!$A$4:$N$51,9,FALSE()),0))</f>
        <v>0</v>
      </c>
      <c r="G94" s="28">
        <f>IF($B94="","",6*IFERROR(VLOOKUP(INDEX(' Toto teams'!$B$4:$B$119,MATCH($B94,' Toto teams'!$A$4:$A$119,0)),Scoring!$A$4:$N$51,10,FALSE()),0)+4*IFERROR(VLOOKUP(INDEX(' Toto teams'!$C$4:$C$119,MATCH($B94,' Toto teams'!$A$4:$A$119,0)),Scoring!$A$4:$N$51,10,FALSE()),0)+3*IFERROR(VLOOKUP(INDEX(' Toto teams'!$D$4:$D$119,MATCH($B94,' Toto teams'!$A$4:$A$119,0)),Scoring!$A$4:$N$51,10,FALSE()),0)+2*IFERROR(VLOOKUP(INDEX(' Toto teams'!$E$4:$E$119,MATCH($B94,' Toto teams'!$A$4:$A$119,0)),Scoring!$A$4:$N$51,10,FALSE()),0)+1*IFERROR(VLOOKUP(INDEX(' Toto teams'!$F$4:$F$119,MATCH($B94,' Toto teams'!$A$4:$A$119,0)),Scoring!$A$4:$N$51,10,FALSE()),0)+1*IFERROR(VLOOKUP(INDEX(' Toto teams'!$G$4:$G$119,MATCH($B94,' Toto teams'!$A$4:$A$119,0)),Scoring!$A$4:$N$51,10,FALSE()),0)+1*IFERROR(VLOOKUP(INDEX(' Toto teams'!$H$4:$H$119,MATCH($B94,' Toto teams'!$A$4:$A$119,0)),Scoring!$A$4:$N$51,10,FALSE()),0))</f>
        <v>0</v>
      </c>
      <c r="H94" s="28">
        <f>IF($B94="","",6*IFERROR(VLOOKUP(INDEX(' Toto teams'!$B$4:$B$119,MATCH($B94,' Toto teams'!$A$4:$A$119,0)),Scoring!$A$4:$N$51,11,FALSE()),0)+4*IFERROR(VLOOKUP(INDEX(' Toto teams'!$C$4:$C$119,MATCH($B94,' Toto teams'!$A$4:$A$119,0)),Scoring!$A$4:$N$51,11,FALSE()),0)+3*IFERROR(VLOOKUP(INDEX(' Toto teams'!$D$4:$D$119,MATCH($B94,' Toto teams'!$A$4:$A$119,0)),Scoring!$A$4:$N$51,11,FALSE()),0)+2*IFERROR(VLOOKUP(INDEX(' Toto teams'!$E$4:$E$119,MATCH($B94,' Toto teams'!$A$4:$A$119,0)),Scoring!$A$4:$N$51,11,FALSE()),0)+1*IFERROR(VLOOKUP(INDEX(' Toto teams'!$F$4:$F$119,MATCH($B94,' Toto teams'!$A$4:$A$119,0)),Scoring!$A$4:$N$51,11,FALSE()),0)+1*IFERROR(VLOOKUP(INDEX(' Toto teams'!$G$4:$G$119,MATCH($B94,' Toto teams'!$A$4:$A$119,0)),Scoring!$A$4:$N$51,11,FALSE()),0)+1*IFERROR(VLOOKUP(INDEX(' Toto teams'!$H$4:$H$119,MATCH($B94,' Toto teams'!$A$4:$A$119,0)),Scoring!$A$4:$N$51,11,FALSE()),0))</f>
        <v>0</v>
      </c>
      <c r="I94" s="28">
        <f>IF($B94="","",6*IFERROR(VLOOKUP(INDEX(' Toto teams'!$B$4:$B$119,MATCH($B94,' Toto teams'!$A$4:$A$119,0)),Scoring!$A$4:$O$51,15,FALSE()),0)+4*IFERROR(VLOOKUP(INDEX(' Toto teams'!$C$4:$C$119,MATCH($B94,' Toto teams'!$A$4:$A$119,0)),Scoring!$A$4:$O$51,15,FALSE()),0)+3*IFERROR(VLOOKUP(INDEX(' Toto teams'!$D$4:$D$119,MATCH($B94,' Toto teams'!$A$4:$A$119,0)),Scoring!$A$4:$O$51,15,FALSE()),0)+2*IFERROR(VLOOKUP(INDEX(' Toto teams'!$E$4:$E$119,MATCH($B94,' Toto teams'!$A$4:$A$119,0)),Scoring!$A$4:$O$51,15,FALSE()),0)+1*IFERROR(VLOOKUP(INDEX(' Toto teams'!$F$4:$F$119,MATCH($B94,' Toto teams'!$A$4:$A$119,0)),Scoring!$A$4:$O$51,15,FALSE()),0)+1*IFERROR(VLOOKUP(INDEX(' Toto teams'!$G$4:$G$119,MATCH($B94,' Toto teams'!$A$4:$A$119,0)),Scoring!$A$4:$O$51,15,FALSE()),0)+1*IFERROR(VLOOKUP(INDEX(' Toto teams'!$H$4:$H$119,MATCH($B94,' Toto teams'!$A$4:$A$119,0)),Scoring!$A$4:$O$51,15,FALSE()),0))</f>
        <v>0</v>
      </c>
      <c r="J94" s="28">
        <f>IF($B94="","",6*IFERROR(VLOOKUP(INDEX(' Toto teams'!$B$4:$B$119,MATCH($B94,' Toto teams'!$A$4:$A$119,0)),Scoring!$A$4:$N$51,12,FALSE()),0)+4*IFERROR(VLOOKUP(INDEX(' Toto teams'!$C$4:$C$119,MATCH($B94,' Toto teams'!$A$4:$A$119,0)),Scoring!$A$4:$N$51,12,FALSE()),0)+3*IFERROR(VLOOKUP(INDEX(' Toto teams'!$D$4:$D$119,MATCH($B94,' Toto teams'!$A$4:$A$119,0)),Scoring!$A$4:$N$51,12,FALSE()),0)+2*IFERROR(VLOOKUP(INDEX(' Toto teams'!$E$4:$E$119,MATCH($B94,' Toto teams'!$A$4:$A$119,0)),Scoring!$A$4:$N$51,12,FALSE()),0)+1*IFERROR(VLOOKUP(INDEX(' Toto teams'!$F$4:$F$119,MATCH($B94,' Toto teams'!$A$4:$A$119,0)),Scoring!$A$4:$N$51,12,FALSE()),0)+1*IFERROR(VLOOKUP(INDEX(' Toto teams'!$G$4:$G$119,MATCH($B94,' Toto teams'!$A$4:$A$119,0)),Scoring!$A$4:$N$51,12,FALSE()),0)+1*IFERROR(VLOOKUP(INDEX(' Toto teams'!$H$4:$H$119,MATCH($B94,' Toto teams'!$A$4:$A$119,0)),Scoring!$A$4:$N$51,12,FALSE()),0))</f>
        <v>0</v>
      </c>
      <c r="K94" s="29">
        <f>IF($B94="","",IFERROR(INDEX(' Toto teams'!$R$4:$R$119,MATCH($B94,' Toto teams'!$A$4:$A$119,0)),""))</f>
        <v>0</v>
      </c>
      <c r="L94" s="30">
        <f t="shared" si="5"/>
        <v>0</v>
      </c>
    </row>
    <row r="95" spans="1:12" ht="12.75" customHeight="1" x14ac:dyDescent="0.3">
      <c r="A95" s="26">
        <f>IF(92&gt;COUNTIF(' Toto teams'!$A$4:$A$119,"&lt;&gt;"),"",INDEX(' Toto teams'!$S$4:$S$119,MATCH(LARGE(' Toto teams'!$T$4:$T$119,92),' Toto teams'!$T$4:$T$119,0)))</f>
        <v>63</v>
      </c>
      <c r="B95" s="27" t="str">
        <f>IF(92&gt;COUNTIF(' Toto teams'!$A$4:$A$119,"&lt;&gt;"),"",INDEX(' Toto teams'!$A$4:$A$119,MATCH(LARGE(' Toto teams'!$T$4:$T$119,92),' Toto teams'!$T$4:$T$119,0)))</f>
        <v>Lukas Vaitukaitis</v>
      </c>
      <c r="C95" s="28">
        <f>IF($B95="","",6*(IFERROR(VLOOKUP(INDEX(' Toto teams'!$B$4:$B$119,MATCH($B95,' Toto teams'!$A$4:$A$119,0)),Scoring!$A$4:$N$51,3,FALSE()),0)+IFERROR(VLOOKUP(INDEX(' Toto teams'!$B$4:$B$119,MATCH($B95,' Toto teams'!$A$4:$A$119,0)),Scoring!$A$4:$N$51,4,FALSE()),0)+IFERROR(VLOOKUP(INDEX(' Toto teams'!$B$4:$B$119,MATCH($B95,' Toto teams'!$A$4:$A$119,0)),Scoring!$A$4:$N$51,5,FALSE()),0))+4*(IFERROR(VLOOKUP(INDEX(' Toto teams'!$C$4:$C$119,MATCH($B95,' Toto teams'!$A$4:$A$119,0)),Scoring!$A$4:$N$51,3,FALSE()),0)+IFERROR(VLOOKUP(INDEX(' Toto teams'!$C$4:$C$119,MATCH($B95,' Toto teams'!$A$4:$A$119,0)),Scoring!$A$4:$N$51,4,FALSE()),0)+IFERROR(VLOOKUP(INDEX(' Toto teams'!$C$4:$C$119,MATCH($B95,' Toto teams'!$A$4:$A$119,0)),Scoring!$A$4:$N$51,5,FALSE()),0))+3*(IFERROR(VLOOKUP(INDEX(' Toto teams'!$D$4:$D$119,MATCH($B95,' Toto teams'!$A$4:$A$119,0)),Scoring!$A$4:$N$51,3,FALSE()),0)+IFERROR(VLOOKUP(INDEX(' Toto teams'!$D$4:$D$119,MATCH($B95,' Toto teams'!$A$4:$A$119,0)),Scoring!$A$4:$N$51,4,FALSE()),0)+IFERROR(VLOOKUP(INDEX(' Toto teams'!$D$4:$D$119,MATCH($B95,' Toto teams'!$A$4:$A$119,0)),Scoring!$A$4:$N$51,5,FALSE()),0))+2*(IFERROR(VLOOKUP(INDEX(' Toto teams'!$E$4:$E$119,MATCH($B95,' Toto teams'!$A$4:$A$119,0)),Scoring!$A$4:$N$51,3,FALSE()),0)+IFERROR(VLOOKUP(INDEX(' Toto teams'!$E$4:$E$119,MATCH($B95,' Toto teams'!$A$4:$A$119,0)),Scoring!$A$4:$N$51,4,FALSE()),0)+IFERROR(VLOOKUP(INDEX(' Toto teams'!$E$4:$E$119,MATCH($B95,' Toto teams'!$A$4:$A$119,0)),Scoring!$A$4:$N$51,5,FALSE()),0))+1*(IFERROR(VLOOKUP(INDEX(' Toto teams'!$F$4:$F$119,MATCH($B95,' Toto teams'!$A$4:$A$119,0)),Scoring!$A$4:$N$51,3,FALSE()),0)+IFERROR(VLOOKUP(INDEX(' Toto teams'!$F$4:$F$119,MATCH($B95,' Toto teams'!$A$4:$A$119,0)),Scoring!$A$4:$N$51,4,FALSE()),0)+IFERROR(VLOOKUP(INDEX(' Toto teams'!$F$4:$F$119,MATCH($B95,' Toto teams'!$A$4:$A$119,0)),Scoring!$A$4:$N$51,5,FALSE()),0))+1*(IFERROR(VLOOKUP(INDEX(' Toto teams'!$G$4:$G$119,MATCH($B95,' Toto teams'!$A$4:$A$119,0)),Scoring!$A$4:$N$51,3,FALSE()),0)+IFERROR(VLOOKUP(INDEX(' Toto teams'!$G$4:$G$119,MATCH($B95,' Toto teams'!$A$4:$A$119,0)),Scoring!$A$4:$N$51,4,FALSE()),0)+IFERROR(VLOOKUP(INDEX(' Toto teams'!$G$4:$G$119,MATCH($B95,' Toto teams'!$A$4:$A$119,0)),Scoring!$A$4:$N$51,5,FALSE()),0))+1*(IFERROR(VLOOKUP(INDEX(' Toto teams'!$H$4:$H$119,MATCH($B95,' Toto teams'!$A$4:$A$119,0)),Scoring!$A$4:$N$51,3,FALSE()),0)+IFERROR(VLOOKUP(INDEX(' Toto teams'!$H$4:$H$119,MATCH($B95,' Toto teams'!$A$4:$A$119,0)),Scoring!$A$4:$N$51,4,FALSE()),0)+IFERROR(VLOOKUP(INDEX(' Toto teams'!$H$4:$H$119,MATCH($B95,' Toto teams'!$A$4:$A$119,0)),Scoring!$A$4:$N$51,5,FALSE()),0))+IFERROR(INDEX(' Toto teams'!$Q$4:$Q$119,MATCH($B95,' Toto teams'!$A$4:$A$119,0))*1,0))</f>
        <v>0</v>
      </c>
      <c r="D95" s="28">
        <f>IF($B95="","",6*IFERROR(VLOOKUP(INDEX(' Toto teams'!$B$4:$B$119,MATCH($B95,' Toto teams'!$A$4:$A$119,0)),Scoring!$A$4:$N$51,7,FALSE()),0)+4*IFERROR(VLOOKUP(INDEX(' Toto teams'!$C$4:$C$119,MATCH($B95,' Toto teams'!$A$4:$A$119,0)),Scoring!$A$4:$N$51,7,FALSE()),0)+3*IFERROR(VLOOKUP(INDEX(' Toto teams'!$D$4:$D$119,MATCH($B95,' Toto teams'!$A$4:$A$119,0)),Scoring!$A$4:$N$51,7,FALSE()),0)+2*IFERROR(VLOOKUP(INDEX(' Toto teams'!$E$4:$E$119,MATCH($B95,' Toto teams'!$A$4:$A$119,0)),Scoring!$A$4:$N$51,7,FALSE()),0)+1*IFERROR(VLOOKUP(INDEX(' Toto teams'!$F$4:$F$119,MATCH($B95,' Toto teams'!$A$4:$A$119,0)),Scoring!$A$4:$N$51,7,FALSE()),0)+1*IFERROR(VLOOKUP(INDEX(' Toto teams'!$G$4:$G$119,MATCH($B95,' Toto teams'!$A$4:$A$119,0)),Scoring!$A$4:$N$51,7,FALSE()),0)+1*IFERROR(VLOOKUP(INDEX(' Toto teams'!$H$4:$H$119,MATCH($B95,' Toto teams'!$A$4:$A$119,0)),Scoring!$A$4:$N$51,7,FALSE()),0))</f>
        <v>0</v>
      </c>
      <c r="E95" s="28">
        <f>IF($B95="","",6*IFERROR(VLOOKUP(INDEX(' Toto teams'!$B$4:$B$119,MATCH($B95,' Toto teams'!$A$4:$A$119,0)),Scoring!$A$4:$N$51,8,FALSE()),0)+4*IFERROR(VLOOKUP(INDEX(' Toto teams'!$C$4:$C$119,MATCH($B95,' Toto teams'!$A$4:$A$119,0)),Scoring!$A$4:$N$51,8,FALSE()),0)+3*IFERROR(VLOOKUP(INDEX(' Toto teams'!$D$4:$D$119,MATCH($B95,' Toto teams'!$A$4:$A$119,0)),Scoring!$A$4:$N$51,8,FALSE()),0)+2*IFERROR(VLOOKUP(INDEX(' Toto teams'!$E$4:$E$119,MATCH($B95,' Toto teams'!$A$4:$A$119,0)),Scoring!$A$4:$N$51,8,FALSE()),0)+1*IFERROR(VLOOKUP(INDEX(' Toto teams'!$F$4:$F$119,MATCH($B95,' Toto teams'!$A$4:$A$119,0)),Scoring!$A$4:$N$51,8,FALSE()),0)+1*IFERROR(VLOOKUP(INDEX(' Toto teams'!$G$4:$G$119,MATCH($B95,' Toto teams'!$A$4:$A$119,0)),Scoring!$A$4:$N$51,8,FALSE()),0)+1*IFERROR(VLOOKUP(INDEX(' Toto teams'!$H$4:$H$119,MATCH($B95,' Toto teams'!$A$4:$A$119,0)),Scoring!$A$4:$N$51,8,FALSE()),0))</f>
        <v>0</v>
      </c>
      <c r="F95" s="28">
        <f>IF($B95="","",6*IFERROR(VLOOKUP(INDEX(' Toto teams'!$B$4:$B$119,MATCH($B95,' Toto teams'!$A$4:$A$119,0)),Scoring!$A$4:$N$51,9,FALSE()),0)+4*IFERROR(VLOOKUP(INDEX(' Toto teams'!$C$4:$C$119,MATCH($B95,' Toto teams'!$A$4:$A$119,0)),Scoring!$A$4:$N$51,9,FALSE()),0)+3*IFERROR(VLOOKUP(INDEX(' Toto teams'!$D$4:$D$119,MATCH($B95,' Toto teams'!$A$4:$A$119,0)),Scoring!$A$4:$N$51,9,FALSE()),0)+2*IFERROR(VLOOKUP(INDEX(' Toto teams'!$E$4:$E$119,MATCH($B95,' Toto teams'!$A$4:$A$119,0)),Scoring!$A$4:$N$51,9,FALSE()),0)+1*IFERROR(VLOOKUP(INDEX(' Toto teams'!$F$4:$F$119,MATCH($B95,' Toto teams'!$A$4:$A$119,0)),Scoring!$A$4:$N$51,9,FALSE()),0)+1*IFERROR(VLOOKUP(INDEX(' Toto teams'!$G$4:$G$119,MATCH($B95,' Toto teams'!$A$4:$A$119,0)),Scoring!$A$4:$N$51,9,FALSE()),0)+1*IFERROR(VLOOKUP(INDEX(' Toto teams'!$H$4:$H$119,MATCH($B95,' Toto teams'!$A$4:$A$119,0)),Scoring!$A$4:$N$51,9,FALSE()),0))</f>
        <v>0</v>
      </c>
      <c r="G95" s="28">
        <f>IF($B95="","",6*IFERROR(VLOOKUP(INDEX(' Toto teams'!$B$4:$B$119,MATCH($B95,' Toto teams'!$A$4:$A$119,0)),Scoring!$A$4:$N$51,10,FALSE()),0)+4*IFERROR(VLOOKUP(INDEX(' Toto teams'!$C$4:$C$119,MATCH($B95,' Toto teams'!$A$4:$A$119,0)),Scoring!$A$4:$N$51,10,FALSE()),0)+3*IFERROR(VLOOKUP(INDEX(' Toto teams'!$D$4:$D$119,MATCH($B95,' Toto teams'!$A$4:$A$119,0)),Scoring!$A$4:$N$51,10,FALSE()),0)+2*IFERROR(VLOOKUP(INDEX(' Toto teams'!$E$4:$E$119,MATCH($B95,' Toto teams'!$A$4:$A$119,0)),Scoring!$A$4:$N$51,10,FALSE()),0)+1*IFERROR(VLOOKUP(INDEX(' Toto teams'!$F$4:$F$119,MATCH($B95,' Toto teams'!$A$4:$A$119,0)),Scoring!$A$4:$N$51,10,FALSE()),0)+1*IFERROR(VLOOKUP(INDEX(' Toto teams'!$G$4:$G$119,MATCH($B95,' Toto teams'!$A$4:$A$119,0)),Scoring!$A$4:$N$51,10,FALSE()),0)+1*IFERROR(VLOOKUP(INDEX(' Toto teams'!$H$4:$H$119,MATCH($B95,' Toto teams'!$A$4:$A$119,0)),Scoring!$A$4:$N$51,10,FALSE()),0))</f>
        <v>0</v>
      </c>
      <c r="H95" s="28">
        <f>IF($B95="","",6*IFERROR(VLOOKUP(INDEX(' Toto teams'!$B$4:$B$119,MATCH($B95,' Toto teams'!$A$4:$A$119,0)),Scoring!$A$4:$N$51,11,FALSE()),0)+4*IFERROR(VLOOKUP(INDEX(' Toto teams'!$C$4:$C$119,MATCH($B95,' Toto teams'!$A$4:$A$119,0)),Scoring!$A$4:$N$51,11,FALSE()),0)+3*IFERROR(VLOOKUP(INDEX(' Toto teams'!$D$4:$D$119,MATCH($B95,' Toto teams'!$A$4:$A$119,0)),Scoring!$A$4:$N$51,11,FALSE()),0)+2*IFERROR(VLOOKUP(INDEX(' Toto teams'!$E$4:$E$119,MATCH($B95,' Toto teams'!$A$4:$A$119,0)),Scoring!$A$4:$N$51,11,FALSE()),0)+1*IFERROR(VLOOKUP(INDEX(' Toto teams'!$F$4:$F$119,MATCH($B95,' Toto teams'!$A$4:$A$119,0)),Scoring!$A$4:$N$51,11,FALSE()),0)+1*IFERROR(VLOOKUP(INDEX(' Toto teams'!$G$4:$G$119,MATCH($B95,' Toto teams'!$A$4:$A$119,0)),Scoring!$A$4:$N$51,11,FALSE()),0)+1*IFERROR(VLOOKUP(INDEX(' Toto teams'!$H$4:$H$119,MATCH($B95,' Toto teams'!$A$4:$A$119,0)),Scoring!$A$4:$N$51,11,FALSE()),0))</f>
        <v>0</v>
      </c>
      <c r="I95" s="28">
        <f>IF($B95="","",6*IFERROR(VLOOKUP(INDEX(' Toto teams'!$B$4:$B$119,MATCH($B95,' Toto teams'!$A$4:$A$119,0)),Scoring!$A$4:$O$51,15,FALSE()),0)+4*IFERROR(VLOOKUP(INDEX(' Toto teams'!$C$4:$C$119,MATCH($B95,' Toto teams'!$A$4:$A$119,0)),Scoring!$A$4:$O$51,15,FALSE()),0)+3*IFERROR(VLOOKUP(INDEX(' Toto teams'!$D$4:$D$119,MATCH($B95,' Toto teams'!$A$4:$A$119,0)),Scoring!$A$4:$O$51,15,FALSE()),0)+2*IFERROR(VLOOKUP(INDEX(' Toto teams'!$E$4:$E$119,MATCH($B95,' Toto teams'!$A$4:$A$119,0)),Scoring!$A$4:$O$51,15,FALSE()),0)+1*IFERROR(VLOOKUP(INDEX(' Toto teams'!$F$4:$F$119,MATCH($B95,' Toto teams'!$A$4:$A$119,0)),Scoring!$A$4:$O$51,15,FALSE()),0)+1*IFERROR(VLOOKUP(INDEX(' Toto teams'!$G$4:$G$119,MATCH($B95,' Toto teams'!$A$4:$A$119,0)),Scoring!$A$4:$O$51,15,FALSE()),0)+1*IFERROR(VLOOKUP(INDEX(' Toto teams'!$H$4:$H$119,MATCH($B95,' Toto teams'!$A$4:$A$119,0)),Scoring!$A$4:$O$51,15,FALSE()),0))</f>
        <v>0</v>
      </c>
      <c r="J95" s="28">
        <f>IF($B95="","",6*IFERROR(VLOOKUP(INDEX(' Toto teams'!$B$4:$B$119,MATCH($B95,' Toto teams'!$A$4:$A$119,0)),Scoring!$A$4:$N$51,12,FALSE()),0)+4*IFERROR(VLOOKUP(INDEX(' Toto teams'!$C$4:$C$119,MATCH($B95,' Toto teams'!$A$4:$A$119,0)),Scoring!$A$4:$N$51,12,FALSE()),0)+3*IFERROR(VLOOKUP(INDEX(' Toto teams'!$D$4:$D$119,MATCH($B95,' Toto teams'!$A$4:$A$119,0)),Scoring!$A$4:$N$51,12,FALSE()),0)+2*IFERROR(VLOOKUP(INDEX(' Toto teams'!$E$4:$E$119,MATCH($B95,' Toto teams'!$A$4:$A$119,0)),Scoring!$A$4:$N$51,12,FALSE()),0)+1*IFERROR(VLOOKUP(INDEX(' Toto teams'!$F$4:$F$119,MATCH($B95,' Toto teams'!$A$4:$A$119,0)),Scoring!$A$4:$N$51,12,FALSE()),0)+1*IFERROR(VLOOKUP(INDEX(' Toto teams'!$G$4:$G$119,MATCH($B95,' Toto teams'!$A$4:$A$119,0)),Scoring!$A$4:$N$51,12,FALSE()),0)+1*IFERROR(VLOOKUP(INDEX(' Toto teams'!$H$4:$H$119,MATCH($B95,' Toto teams'!$A$4:$A$119,0)),Scoring!$A$4:$N$51,12,FALSE()),0))</f>
        <v>0</v>
      </c>
      <c r="K95" s="29">
        <f>IF($B95="","",IFERROR(INDEX(' Toto teams'!$R$4:$R$119,MATCH($B95,' Toto teams'!$A$4:$A$119,0)),""))</f>
        <v>0</v>
      </c>
      <c r="L95" s="30">
        <f t="shared" si="5"/>
        <v>0</v>
      </c>
    </row>
    <row r="96" spans="1:12" ht="12.75" customHeight="1" x14ac:dyDescent="0.3">
      <c r="A96" s="26">
        <f>IF(93&gt;COUNTIF(' Toto teams'!$A$4:$A$119,"&lt;&gt;"),"",INDEX(' Toto teams'!$S$4:$S$119,MATCH(LARGE(' Toto teams'!$T$4:$T$119,93),' Toto teams'!$T$4:$T$119,0)))</f>
        <v>63</v>
      </c>
      <c r="B96" s="27" t="str">
        <f>IF(93&gt;COUNTIF(' Toto teams'!$A$4:$A$119,"&lt;&gt;"),"",INDEX(' Toto teams'!$A$4:$A$119,MATCH(LARGE(' Toto teams'!$T$4:$T$119,93),' Toto teams'!$T$4:$T$119,0)))</f>
        <v>Mindaugas Sipavičius</v>
      </c>
      <c r="C96" s="28">
        <f>IF($B96="","",6*(IFERROR(VLOOKUP(INDEX(' Toto teams'!$B$4:$B$119,MATCH($B96,' Toto teams'!$A$4:$A$119,0)),Scoring!$A$4:$N$51,3,FALSE()),0)+IFERROR(VLOOKUP(INDEX(' Toto teams'!$B$4:$B$119,MATCH($B96,' Toto teams'!$A$4:$A$119,0)),Scoring!$A$4:$N$51,4,FALSE()),0)+IFERROR(VLOOKUP(INDEX(' Toto teams'!$B$4:$B$119,MATCH($B96,' Toto teams'!$A$4:$A$119,0)),Scoring!$A$4:$N$51,5,FALSE()),0))+4*(IFERROR(VLOOKUP(INDEX(' Toto teams'!$C$4:$C$119,MATCH($B96,' Toto teams'!$A$4:$A$119,0)),Scoring!$A$4:$N$51,3,FALSE()),0)+IFERROR(VLOOKUP(INDEX(' Toto teams'!$C$4:$C$119,MATCH($B96,' Toto teams'!$A$4:$A$119,0)),Scoring!$A$4:$N$51,4,FALSE()),0)+IFERROR(VLOOKUP(INDEX(' Toto teams'!$C$4:$C$119,MATCH($B96,' Toto teams'!$A$4:$A$119,0)),Scoring!$A$4:$N$51,5,FALSE()),0))+3*(IFERROR(VLOOKUP(INDEX(' Toto teams'!$D$4:$D$119,MATCH($B96,' Toto teams'!$A$4:$A$119,0)),Scoring!$A$4:$N$51,3,FALSE()),0)+IFERROR(VLOOKUP(INDEX(' Toto teams'!$D$4:$D$119,MATCH($B96,' Toto teams'!$A$4:$A$119,0)),Scoring!$A$4:$N$51,4,FALSE()),0)+IFERROR(VLOOKUP(INDEX(' Toto teams'!$D$4:$D$119,MATCH($B96,' Toto teams'!$A$4:$A$119,0)),Scoring!$A$4:$N$51,5,FALSE()),0))+2*(IFERROR(VLOOKUP(INDEX(' Toto teams'!$E$4:$E$119,MATCH($B96,' Toto teams'!$A$4:$A$119,0)),Scoring!$A$4:$N$51,3,FALSE()),0)+IFERROR(VLOOKUP(INDEX(' Toto teams'!$E$4:$E$119,MATCH($B96,' Toto teams'!$A$4:$A$119,0)),Scoring!$A$4:$N$51,4,FALSE()),0)+IFERROR(VLOOKUP(INDEX(' Toto teams'!$E$4:$E$119,MATCH($B96,' Toto teams'!$A$4:$A$119,0)),Scoring!$A$4:$N$51,5,FALSE()),0))+1*(IFERROR(VLOOKUP(INDEX(' Toto teams'!$F$4:$F$119,MATCH($B96,' Toto teams'!$A$4:$A$119,0)),Scoring!$A$4:$N$51,3,FALSE()),0)+IFERROR(VLOOKUP(INDEX(' Toto teams'!$F$4:$F$119,MATCH($B96,' Toto teams'!$A$4:$A$119,0)),Scoring!$A$4:$N$51,4,FALSE()),0)+IFERROR(VLOOKUP(INDEX(' Toto teams'!$F$4:$F$119,MATCH($B96,' Toto teams'!$A$4:$A$119,0)),Scoring!$A$4:$N$51,5,FALSE()),0))+1*(IFERROR(VLOOKUP(INDEX(' Toto teams'!$G$4:$G$119,MATCH($B96,' Toto teams'!$A$4:$A$119,0)),Scoring!$A$4:$N$51,3,FALSE()),0)+IFERROR(VLOOKUP(INDEX(' Toto teams'!$G$4:$G$119,MATCH($B96,' Toto teams'!$A$4:$A$119,0)),Scoring!$A$4:$N$51,4,FALSE()),0)+IFERROR(VLOOKUP(INDEX(' Toto teams'!$G$4:$G$119,MATCH($B96,' Toto teams'!$A$4:$A$119,0)),Scoring!$A$4:$N$51,5,FALSE()),0))+1*(IFERROR(VLOOKUP(INDEX(' Toto teams'!$H$4:$H$119,MATCH($B96,' Toto teams'!$A$4:$A$119,0)),Scoring!$A$4:$N$51,3,FALSE()),0)+IFERROR(VLOOKUP(INDEX(' Toto teams'!$H$4:$H$119,MATCH($B96,' Toto teams'!$A$4:$A$119,0)),Scoring!$A$4:$N$51,4,FALSE()),0)+IFERROR(VLOOKUP(INDEX(' Toto teams'!$H$4:$H$119,MATCH($B96,' Toto teams'!$A$4:$A$119,0)),Scoring!$A$4:$N$51,5,FALSE()),0))+IFERROR(INDEX(' Toto teams'!$Q$4:$Q$119,MATCH($B96,' Toto teams'!$A$4:$A$119,0))*1,0))</f>
        <v>0</v>
      </c>
      <c r="D96" s="28">
        <f>IF($B96="","",6*IFERROR(VLOOKUP(INDEX(' Toto teams'!$B$4:$B$119,MATCH($B96,' Toto teams'!$A$4:$A$119,0)),Scoring!$A$4:$N$51,7,FALSE()),0)+4*IFERROR(VLOOKUP(INDEX(' Toto teams'!$C$4:$C$119,MATCH($B96,' Toto teams'!$A$4:$A$119,0)),Scoring!$A$4:$N$51,7,FALSE()),0)+3*IFERROR(VLOOKUP(INDEX(' Toto teams'!$D$4:$D$119,MATCH($B96,' Toto teams'!$A$4:$A$119,0)),Scoring!$A$4:$N$51,7,FALSE()),0)+2*IFERROR(VLOOKUP(INDEX(' Toto teams'!$E$4:$E$119,MATCH($B96,' Toto teams'!$A$4:$A$119,0)),Scoring!$A$4:$N$51,7,FALSE()),0)+1*IFERROR(VLOOKUP(INDEX(' Toto teams'!$F$4:$F$119,MATCH($B96,' Toto teams'!$A$4:$A$119,0)),Scoring!$A$4:$N$51,7,FALSE()),0)+1*IFERROR(VLOOKUP(INDEX(' Toto teams'!$G$4:$G$119,MATCH($B96,' Toto teams'!$A$4:$A$119,0)),Scoring!$A$4:$N$51,7,FALSE()),0)+1*IFERROR(VLOOKUP(INDEX(' Toto teams'!$H$4:$H$119,MATCH($B96,' Toto teams'!$A$4:$A$119,0)),Scoring!$A$4:$N$51,7,FALSE()),0))</f>
        <v>0</v>
      </c>
      <c r="E96" s="28">
        <f>IF($B96="","",6*IFERROR(VLOOKUP(INDEX(' Toto teams'!$B$4:$B$119,MATCH($B96,' Toto teams'!$A$4:$A$119,0)),Scoring!$A$4:$N$51,8,FALSE()),0)+4*IFERROR(VLOOKUP(INDEX(' Toto teams'!$C$4:$C$119,MATCH($B96,' Toto teams'!$A$4:$A$119,0)),Scoring!$A$4:$N$51,8,FALSE()),0)+3*IFERROR(VLOOKUP(INDEX(' Toto teams'!$D$4:$D$119,MATCH($B96,' Toto teams'!$A$4:$A$119,0)),Scoring!$A$4:$N$51,8,FALSE()),0)+2*IFERROR(VLOOKUP(INDEX(' Toto teams'!$E$4:$E$119,MATCH($B96,' Toto teams'!$A$4:$A$119,0)),Scoring!$A$4:$N$51,8,FALSE()),0)+1*IFERROR(VLOOKUP(INDEX(' Toto teams'!$F$4:$F$119,MATCH($B96,' Toto teams'!$A$4:$A$119,0)),Scoring!$A$4:$N$51,8,FALSE()),0)+1*IFERROR(VLOOKUP(INDEX(' Toto teams'!$G$4:$G$119,MATCH($B96,' Toto teams'!$A$4:$A$119,0)),Scoring!$A$4:$N$51,8,FALSE()),0)+1*IFERROR(VLOOKUP(INDEX(' Toto teams'!$H$4:$H$119,MATCH($B96,' Toto teams'!$A$4:$A$119,0)),Scoring!$A$4:$N$51,8,FALSE()),0))</f>
        <v>0</v>
      </c>
      <c r="F96" s="28">
        <f>IF($B96="","",6*IFERROR(VLOOKUP(INDEX(' Toto teams'!$B$4:$B$119,MATCH($B96,' Toto teams'!$A$4:$A$119,0)),Scoring!$A$4:$N$51,9,FALSE()),0)+4*IFERROR(VLOOKUP(INDEX(' Toto teams'!$C$4:$C$119,MATCH($B96,' Toto teams'!$A$4:$A$119,0)),Scoring!$A$4:$N$51,9,FALSE()),0)+3*IFERROR(VLOOKUP(INDEX(' Toto teams'!$D$4:$D$119,MATCH($B96,' Toto teams'!$A$4:$A$119,0)),Scoring!$A$4:$N$51,9,FALSE()),0)+2*IFERROR(VLOOKUP(INDEX(' Toto teams'!$E$4:$E$119,MATCH($B96,' Toto teams'!$A$4:$A$119,0)),Scoring!$A$4:$N$51,9,FALSE()),0)+1*IFERROR(VLOOKUP(INDEX(' Toto teams'!$F$4:$F$119,MATCH($B96,' Toto teams'!$A$4:$A$119,0)),Scoring!$A$4:$N$51,9,FALSE()),0)+1*IFERROR(VLOOKUP(INDEX(' Toto teams'!$G$4:$G$119,MATCH($B96,' Toto teams'!$A$4:$A$119,0)),Scoring!$A$4:$N$51,9,FALSE()),0)+1*IFERROR(VLOOKUP(INDEX(' Toto teams'!$H$4:$H$119,MATCH($B96,' Toto teams'!$A$4:$A$119,0)),Scoring!$A$4:$N$51,9,FALSE()),0))</f>
        <v>0</v>
      </c>
      <c r="G96" s="28">
        <f>IF($B96="","",6*IFERROR(VLOOKUP(INDEX(' Toto teams'!$B$4:$B$119,MATCH($B96,' Toto teams'!$A$4:$A$119,0)),Scoring!$A$4:$N$51,10,FALSE()),0)+4*IFERROR(VLOOKUP(INDEX(' Toto teams'!$C$4:$C$119,MATCH($B96,' Toto teams'!$A$4:$A$119,0)),Scoring!$A$4:$N$51,10,FALSE()),0)+3*IFERROR(VLOOKUP(INDEX(' Toto teams'!$D$4:$D$119,MATCH($B96,' Toto teams'!$A$4:$A$119,0)),Scoring!$A$4:$N$51,10,FALSE()),0)+2*IFERROR(VLOOKUP(INDEX(' Toto teams'!$E$4:$E$119,MATCH($B96,' Toto teams'!$A$4:$A$119,0)),Scoring!$A$4:$N$51,10,FALSE()),0)+1*IFERROR(VLOOKUP(INDEX(' Toto teams'!$F$4:$F$119,MATCH($B96,' Toto teams'!$A$4:$A$119,0)),Scoring!$A$4:$N$51,10,FALSE()),0)+1*IFERROR(VLOOKUP(INDEX(' Toto teams'!$G$4:$G$119,MATCH($B96,' Toto teams'!$A$4:$A$119,0)),Scoring!$A$4:$N$51,10,FALSE()),0)+1*IFERROR(VLOOKUP(INDEX(' Toto teams'!$H$4:$H$119,MATCH($B96,' Toto teams'!$A$4:$A$119,0)),Scoring!$A$4:$N$51,10,FALSE()),0))</f>
        <v>0</v>
      </c>
      <c r="H96" s="28">
        <f>IF($B96="","",6*IFERROR(VLOOKUP(INDEX(' Toto teams'!$B$4:$B$119,MATCH($B96,' Toto teams'!$A$4:$A$119,0)),Scoring!$A$4:$N$51,11,FALSE()),0)+4*IFERROR(VLOOKUP(INDEX(' Toto teams'!$C$4:$C$119,MATCH($B96,' Toto teams'!$A$4:$A$119,0)),Scoring!$A$4:$N$51,11,FALSE()),0)+3*IFERROR(VLOOKUP(INDEX(' Toto teams'!$D$4:$D$119,MATCH($B96,' Toto teams'!$A$4:$A$119,0)),Scoring!$A$4:$N$51,11,FALSE()),0)+2*IFERROR(VLOOKUP(INDEX(' Toto teams'!$E$4:$E$119,MATCH($B96,' Toto teams'!$A$4:$A$119,0)),Scoring!$A$4:$N$51,11,FALSE()),0)+1*IFERROR(VLOOKUP(INDEX(' Toto teams'!$F$4:$F$119,MATCH($B96,' Toto teams'!$A$4:$A$119,0)),Scoring!$A$4:$N$51,11,FALSE()),0)+1*IFERROR(VLOOKUP(INDEX(' Toto teams'!$G$4:$G$119,MATCH($B96,' Toto teams'!$A$4:$A$119,0)),Scoring!$A$4:$N$51,11,FALSE()),0)+1*IFERROR(VLOOKUP(INDEX(' Toto teams'!$H$4:$H$119,MATCH($B96,' Toto teams'!$A$4:$A$119,0)),Scoring!$A$4:$N$51,11,FALSE()),0))</f>
        <v>0</v>
      </c>
      <c r="I96" s="28">
        <f>IF($B96="","",6*IFERROR(VLOOKUP(INDEX(' Toto teams'!$B$4:$B$119,MATCH($B96,' Toto teams'!$A$4:$A$119,0)),Scoring!$A$4:$O$51,15,FALSE()),0)+4*IFERROR(VLOOKUP(INDEX(' Toto teams'!$C$4:$C$119,MATCH($B96,' Toto teams'!$A$4:$A$119,0)),Scoring!$A$4:$O$51,15,FALSE()),0)+3*IFERROR(VLOOKUP(INDEX(' Toto teams'!$D$4:$D$119,MATCH($B96,' Toto teams'!$A$4:$A$119,0)),Scoring!$A$4:$O$51,15,FALSE()),0)+2*IFERROR(VLOOKUP(INDEX(' Toto teams'!$E$4:$E$119,MATCH($B96,' Toto teams'!$A$4:$A$119,0)),Scoring!$A$4:$O$51,15,FALSE()),0)+1*IFERROR(VLOOKUP(INDEX(' Toto teams'!$F$4:$F$119,MATCH($B96,' Toto teams'!$A$4:$A$119,0)),Scoring!$A$4:$O$51,15,FALSE()),0)+1*IFERROR(VLOOKUP(INDEX(' Toto teams'!$G$4:$G$119,MATCH($B96,' Toto teams'!$A$4:$A$119,0)),Scoring!$A$4:$O$51,15,FALSE()),0)+1*IFERROR(VLOOKUP(INDEX(' Toto teams'!$H$4:$H$119,MATCH($B96,' Toto teams'!$A$4:$A$119,0)),Scoring!$A$4:$O$51,15,FALSE()),0))</f>
        <v>0</v>
      </c>
      <c r="J96" s="28">
        <f>IF($B96="","",6*IFERROR(VLOOKUP(INDEX(' Toto teams'!$B$4:$B$119,MATCH($B96,' Toto teams'!$A$4:$A$119,0)),Scoring!$A$4:$N$51,12,FALSE()),0)+4*IFERROR(VLOOKUP(INDEX(' Toto teams'!$C$4:$C$119,MATCH($B96,' Toto teams'!$A$4:$A$119,0)),Scoring!$A$4:$N$51,12,FALSE()),0)+3*IFERROR(VLOOKUP(INDEX(' Toto teams'!$D$4:$D$119,MATCH($B96,' Toto teams'!$A$4:$A$119,0)),Scoring!$A$4:$N$51,12,FALSE()),0)+2*IFERROR(VLOOKUP(INDEX(' Toto teams'!$E$4:$E$119,MATCH($B96,' Toto teams'!$A$4:$A$119,0)),Scoring!$A$4:$N$51,12,FALSE()),0)+1*IFERROR(VLOOKUP(INDEX(' Toto teams'!$F$4:$F$119,MATCH($B96,' Toto teams'!$A$4:$A$119,0)),Scoring!$A$4:$N$51,12,FALSE()),0)+1*IFERROR(VLOOKUP(INDEX(' Toto teams'!$G$4:$G$119,MATCH($B96,' Toto teams'!$A$4:$A$119,0)),Scoring!$A$4:$N$51,12,FALSE()),0)+1*IFERROR(VLOOKUP(INDEX(' Toto teams'!$H$4:$H$119,MATCH($B96,' Toto teams'!$A$4:$A$119,0)),Scoring!$A$4:$N$51,12,FALSE()),0))</f>
        <v>0</v>
      </c>
      <c r="K96" s="29">
        <f>IF($B96="","",IFERROR(INDEX(' Toto teams'!$R$4:$R$119,MATCH($B96,' Toto teams'!$A$4:$A$119,0)),""))</f>
        <v>0</v>
      </c>
      <c r="L96" s="30">
        <f t="shared" si="5"/>
        <v>0</v>
      </c>
    </row>
    <row r="97" spans="1:12" ht="12.75" customHeight="1" x14ac:dyDescent="0.3">
      <c r="A97" s="26">
        <f>IF(94&gt;COUNTIF(' Toto teams'!$A$4:$A$119,"&lt;&gt;"),"",INDEX(' Toto teams'!$S$4:$S$119,MATCH(LARGE(' Toto teams'!$T$4:$T$119,94),' Toto teams'!$T$4:$T$119,0)))</f>
        <v>63</v>
      </c>
      <c r="B97" s="27" t="str">
        <f>IF(94&gt;COUNTIF(' Toto teams'!$A$4:$A$119,"&lt;&gt;"),"",INDEX(' Toto teams'!$A$4:$A$119,MATCH(LARGE(' Toto teams'!$T$4:$T$119,94),' Toto teams'!$T$4:$T$119,0)))</f>
        <v>Simonas Sipavičius</v>
      </c>
      <c r="C97" s="28">
        <f>IF($B97="","",6*(IFERROR(VLOOKUP(INDEX(' Toto teams'!$B$4:$B$119,MATCH($B97,' Toto teams'!$A$4:$A$119,0)),Scoring!$A$4:$N$51,3,FALSE()),0)+IFERROR(VLOOKUP(INDEX(' Toto teams'!$B$4:$B$119,MATCH($B97,' Toto teams'!$A$4:$A$119,0)),Scoring!$A$4:$N$51,4,FALSE()),0)+IFERROR(VLOOKUP(INDEX(' Toto teams'!$B$4:$B$119,MATCH($B97,' Toto teams'!$A$4:$A$119,0)),Scoring!$A$4:$N$51,5,FALSE()),0))+4*(IFERROR(VLOOKUP(INDEX(' Toto teams'!$C$4:$C$119,MATCH($B97,' Toto teams'!$A$4:$A$119,0)),Scoring!$A$4:$N$51,3,FALSE()),0)+IFERROR(VLOOKUP(INDEX(' Toto teams'!$C$4:$C$119,MATCH($B97,' Toto teams'!$A$4:$A$119,0)),Scoring!$A$4:$N$51,4,FALSE()),0)+IFERROR(VLOOKUP(INDEX(' Toto teams'!$C$4:$C$119,MATCH($B97,' Toto teams'!$A$4:$A$119,0)),Scoring!$A$4:$N$51,5,FALSE()),0))+3*(IFERROR(VLOOKUP(INDEX(' Toto teams'!$D$4:$D$119,MATCH($B97,' Toto teams'!$A$4:$A$119,0)),Scoring!$A$4:$N$51,3,FALSE()),0)+IFERROR(VLOOKUP(INDEX(' Toto teams'!$D$4:$D$119,MATCH($B97,' Toto teams'!$A$4:$A$119,0)),Scoring!$A$4:$N$51,4,FALSE()),0)+IFERROR(VLOOKUP(INDEX(' Toto teams'!$D$4:$D$119,MATCH($B97,' Toto teams'!$A$4:$A$119,0)),Scoring!$A$4:$N$51,5,FALSE()),0))+2*(IFERROR(VLOOKUP(INDEX(' Toto teams'!$E$4:$E$119,MATCH($B97,' Toto teams'!$A$4:$A$119,0)),Scoring!$A$4:$N$51,3,FALSE()),0)+IFERROR(VLOOKUP(INDEX(' Toto teams'!$E$4:$E$119,MATCH($B97,' Toto teams'!$A$4:$A$119,0)),Scoring!$A$4:$N$51,4,FALSE()),0)+IFERROR(VLOOKUP(INDEX(' Toto teams'!$E$4:$E$119,MATCH($B97,' Toto teams'!$A$4:$A$119,0)),Scoring!$A$4:$N$51,5,FALSE()),0))+1*(IFERROR(VLOOKUP(INDEX(' Toto teams'!$F$4:$F$119,MATCH($B97,' Toto teams'!$A$4:$A$119,0)),Scoring!$A$4:$N$51,3,FALSE()),0)+IFERROR(VLOOKUP(INDEX(' Toto teams'!$F$4:$F$119,MATCH($B97,' Toto teams'!$A$4:$A$119,0)),Scoring!$A$4:$N$51,4,FALSE()),0)+IFERROR(VLOOKUP(INDEX(' Toto teams'!$F$4:$F$119,MATCH($B97,' Toto teams'!$A$4:$A$119,0)),Scoring!$A$4:$N$51,5,FALSE()),0))+1*(IFERROR(VLOOKUP(INDEX(' Toto teams'!$G$4:$G$119,MATCH($B97,' Toto teams'!$A$4:$A$119,0)),Scoring!$A$4:$N$51,3,FALSE()),0)+IFERROR(VLOOKUP(INDEX(' Toto teams'!$G$4:$G$119,MATCH($B97,' Toto teams'!$A$4:$A$119,0)),Scoring!$A$4:$N$51,4,FALSE()),0)+IFERROR(VLOOKUP(INDEX(' Toto teams'!$G$4:$G$119,MATCH($B97,' Toto teams'!$A$4:$A$119,0)),Scoring!$A$4:$N$51,5,FALSE()),0))+1*(IFERROR(VLOOKUP(INDEX(' Toto teams'!$H$4:$H$119,MATCH($B97,' Toto teams'!$A$4:$A$119,0)),Scoring!$A$4:$N$51,3,FALSE()),0)+IFERROR(VLOOKUP(INDEX(' Toto teams'!$H$4:$H$119,MATCH($B97,' Toto teams'!$A$4:$A$119,0)),Scoring!$A$4:$N$51,4,FALSE()),0)+IFERROR(VLOOKUP(INDEX(' Toto teams'!$H$4:$H$119,MATCH($B97,' Toto teams'!$A$4:$A$119,0)),Scoring!$A$4:$N$51,5,FALSE()),0))+IFERROR(INDEX(' Toto teams'!$Q$4:$Q$119,MATCH($B97,' Toto teams'!$A$4:$A$119,0))*1,0))</f>
        <v>0</v>
      </c>
      <c r="D97" s="28">
        <f>IF($B97="","",6*IFERROR(VLOOKUP(INDEX(' Toto teams'!$B$4:$B$119,MATCH($B97,' Toto teams'!$A$4:$A$119,0)),Scoring!$A$4:$N$51,7,FALSE()),0)+4*IFERROR(VLOOKUP(INDEX(' Toto teams'!$C$4:$C$119,MATCH($B97,' Toto teams'!$A$4:$A$119,0)),Scoring!$A$4:$N$51,7,FALSE()),0)+3*IFERROR(VLOOKUP(INDEX(' Toto teams'!$D$4:$D$119,MATCH($B97,' Toto teams'!$A$4:$A$119,0)),Scoring!$A$4:$N$51,7,FALSE()),0)+2*IFERROR(VLOOKUP(INDEX(' Toto teams'!$E$4:$E$119,MATCH($B97,' Toto teams'!$A$4:$A$119,0)),Scoring!$A$4:$N$51,7,FALSE()),0)+1*IFERROR(VLOOKUP(INDEX(' Toto teams'!$F$4:$F$119,MATCH($B97,' Toto teams'!$A$4:$A$119,0)),Scoring!$A$4:$N$51,7,FALSE()),0)+1*IFERROR(VLOOKUP(INDEX(' Toto teams'!$G$4:$G$119,MATCH($B97,' Toto teams'!$A$4:$A$119,0)),Scoring!$A$4:$N$51,7,FALSE()),0)+1*IFERROR(VLOOKUP(INDEX(' Toto teams'!$H$4:$H$119,MATCH($B97,' Toto teams'!$A$4:$A$119,0)),Scoring!$A$4:$N$51,7,FALSE()),0))</f>
        <v>0</v>
      </c>
      <c r="E97" s="28">
        <f>IF($B97="","",6*IFERROR(VLOOKUP(INDEX(' Toto teams'!$B$4:$B$119,MATCH($B97,' Toto teams'!$A$4:$A$119,0)),Scoring!$A$4:$N$51,8,FALSE()),0)+4*IFERROR(VLOOKUP(INDEX(' Toto teams'!$C$4:$C$119,MATCH($B97,' Toto teams'!$A$4:$A$119,0)),Scoring!$A$4:$N$51,8,FALSE()),0)+3*IFERROR(VLOOKUP(INDEX(' Toto teams'!$D$4:$D$119,MATCH($B97,' Toto teams'!$A$4:$A$119,0)),Scoring!$A$4:$N$51,8,FALSE()),0)+2*IFERROR(VLOOKUP(INDEX(' Toto teams'!$E$4:$E$119,MATCH($B97,' Toto teams'!$A$4:$A$119,0)),Scoring!$A$4:$N$51,8,FALSE()),0)+1*IFERROR(VLOOKUP(INDEX(' Toto teams'!$F$4:$F$119,MATCH($B97,' Toto teams'!$A$4:$A$119,0)),Scoring!$A$4:$N$51,8,FALSE()),0)+1*IFERROR(VLOOKUP(INDEX(' Toto teams'!$G$4:$G$119,MATCH($B97,' Toto teams'!$A$4:$A$119,0)),Scoring!$A$4:$N$51,8,FALSE()),0)+1*IFERROR(VLOOKUP(INDEX(' Toto teams'!$H$4:$H$119,MATCH($B97,' Toto teams'!$A$4:$A$119,0)),Scoring!$A$4:$N$51,8,FALSE()),0))</f>
        <v>0</v>
      </c>
      <c r="F97" s="28">
        <f>IF($B97="","",6*IFERROR(VLOOKUP(INDEX(' Toto teams'!$B$4:$B$119,MATCH($B97,' Toto teams'!$A$4:$A$119,0)),Scoring!$A$4:$N$51,9,FALSE()),0)+4*IFERROR(VLOOKUP(INDEX(' Toto teams'!$C$4:$C$119,MATCH($B97,' Toto teams'!$A$4:$A$119,0)),Scoring!$A$4:$N$51,9,FALSE()),0)+3*IFERROR(VLOOKUP(INDEX(' Toto teams'!$D$4:$D$119,MATCH($B97,' Toto teams'!$A$4:$A$119,0)),Scoring!$A$4:$N$51,9,FALSE()),0)+2*IFERROR(VLOOKUP(INDEX(' Toto teams'!$E$4:$E$119,MATCH($B97,' Toto teams'!$A$4:$A$119,0)),Scoring!$A$4:$N$51,9,FALSE()),0)+1*IFERROR(VLOOKUP(INDEX(' Toto teams'!$F$4:$F$119,MATCH($B97,' Toto teams'!$A$4:$A$119,0)),Scoring!$A$4:$N$51,9,FALSE()),0)+1*IFERROR(VLOOKUP(INDEX(' Toto teams'!$G$4:$G$119,MATCH($B97,' Toto teams'!$A$4:$A$119,0)),Scoring!$A$4:$N$51,9,FALSE()),0)+1*IFERROR(VLOOKUP(INDEX(' Toto teams'!$H$4:$H$119,MATCH($B97,' Toto teams'!$A$4:$A$119,0)),Scoring!$A$4:$N$51,9,FALSE()),0))</f>
        <v>0</v>
      </c>
      <c r="G97" s="28">
        <f>IF($B97="","",6*IFERROR(VLOOKUP(INDEX(' Toto teams'!$B$4:$B$119,MATCH($B97,' Toto teams'!$A$4:$A$119,0)),Scoring!$A$4:$N$51,10,FALSE()),0)+4*IFERROR(VLOOKUP(INDEX(' Toto teams'!$C$4:$C$119,MATCH($B97,' Toto teams'!$A$4:$A$119,0)),Scoring!$A$4:$N$51,10,FALSE()),0)+3*IFERROR(VLOOKUP(INDEX(' Toto teams'!$D$4:$D$119,MATCH($B97,' Toto teams'!$A$4:$A$119,0)),Scoring!$A$4:$N$51,10,FALSE()),0)+2*IFERROR(VLOOKUP(INDEX(' Toto teams'!$E$4:$E$119,MATCH($B97,' Toto teams'!$A$4:$A$119,0)),Scoring!$A$4:$N$51,10,FALSE()),0)+1*IFERROR(VLOOKUP(INDEX(' Toto teams'!$F$4:$F$119,MATCH($B97,' Toto teams'!$A$4:$A$119,0)),Scoring!$A$4:$N$51,10,FALSE()),0)+1*IFERROR(VLOOKUP(INDEX(' Toto teams'!$G$4:$G$119,MATCH($B97,' Toto teams'!$A$4:$A$119,0)),Scoring!$A$4:$N$51,10,FALSE()),0)+1*IFERROR(VLOOKUP(INDEX(' Toto teams'!$H$4:$H$119,MATCH($B97,' Toto teams'!$A$4:$A$119,0)),Scoring!$A$4:$N$51,10,FALSE()),0))</f>
        <v>0</v>
      </c>
      <c r="H97" s="28">
        <f>IF($B97="","",6*IFERROR(VLOOKUP(INDEX(' Toto teams'!$B$4:$B$119,MATCH($B97,' Toto teams'!$A$4:$A$119,0)),Scoring!$A$4:$N$51,11,FALSE()),0)+4*IFERROR(VLOOKUP(INDEX(' Toto teams'!$C$4:$C$119,MATCH($B97,' Toto teams'!$A$4:$A$119,0)),Scoring!$A$4:$N$51,11,FALSE()),0)+3*IFERROR(VLOOKUP(INDEX(' Toto teams'!$D$4:$D$119,MATCH($B97,' Toto teams'!$A$4:$A$119,0)),Scoring!$A$4:$N$51,11,FALSE()),0)+2*IFERROR(VLOOKUP(INDEX(' Toto teams'!$E$4:$E$119,MATCH($B97,' Toto teams'!$A$4:$A$119,0)),Scoring!$A$4:$N$51,11,FALSE()),0)+1*IFERROR(VLOOKUP(INDEX(' Toto teams'!$F$4:$F$119,MATCH($B97,' Toto teams'!$A$4:$A$119,0)),Scoring!$A$4:$N$51,11,FALSE()),0)+1*IFERROR(VLOOKUP(INDEX(' Toto teams'!$G$4:$G$119,MATCH($B97,' Toto teams'!$A$4:$A$119,0)),Scoring!$A$4:$N$51,11,FALSE()),0)+1*IFERROR(VLOOKUP(INDEX(' Toto teams'!$H$4:$H$119,MATCH($B97,' Toto teams'!$A$4:$A$119,0)),Scoring!$A$4:$N$51,11,FALSE()),0))</f>
        <v>0</v>
      </c>
      <c r="I97" s="28">
        <f>IF($B97="","",6*IFERROR(VLOOKUP(INDEX(' Toto teams'!$B$4:$B$119,MATCH($B97,' Toto teams'!$A$4:$A$119,0)),Scoring!$A$4:$O$51,15,FALSE()),0)+4*IFERROR(VLOOKUP(INDEX(' Toto teams'!$C$4:$C$119,MATCH($B97,' Toto teams'!$A$4:$A$119,0)),Scoring!$A$4:$O$51,15,FALSE()),0)+3*IFERROR(VLOOKUP(INDEX(' Toto teams'!$D$4:$D$119,MATCH($B97,' Toto teams'!$A$4:$A$119,0)),Scoring!$A$4:$O$51,15,FALSE()),0)+2*IFERROR(VLOOKUP(INDEX(' Toto teams'!$E$4:$E$119,MATCH($B97,' Toto teams'!$A$4:$A$119,0)),Scoring!$A$4:$O$51,15,FALSE()),0)+1*IFERROR(VLOOKUP(INDEX(' Toto teams'!$F$4:$F$119,MATCH($B97,' Toto teams'!$A$4:$A$119,0)),Scoring!$A$4:$O$51,15,FALSE()),0)+1*IFERROR(VLOOKUP(INDEX(' Toto teams'!$G$4:$G$119,MATCH($B97,' Toto teams'!$A$4:$A$119,0)),Scoring!$A$4:$O$51,15,FALSE()),0)+1*IFERROR(VLOOKUP(INDEX(' Toto teams'!$H$4:$H$119,MATCH($B97,' Toto teams'!$A$4:$A$119,0)),Scoring!$A$4:$O$51,15,FALSE()),0))</f>
        <v>0</v>
      </c>
      <c r="J97" s="28">
        <f>IF($B97="","",6*IFERROR(VLOOKUP(INDEX(' Toto teams'!$B$4:$B$119,MATCH($B97,' Toto teams'!$A$4:$A$119,0)),Scoring!$A$4:$N$51,12,FALSE()),0)+4*IFERROR(VLOOKUP(INDEX(' Toto teams'!$C$4:$C$119,MATCH($B97,' Toto teams'!$A$4:$A$119,0)),Scoring!$A$4:$N$51,12,FALSE()),0)+3*IFERROR(VLOOKUP(INDEX(' Toto teams'!$D$4:$D$119,MATCH($B97,' Toto teams'!$A$4:$A$119,0)),Scoring!$A$4:$N$51,12,FALSE()),0)+2*IFERROR(VLOOKUP(INDEX(' Toto teams'!$E$4:$E$119,MATCH($B97,' Toto teams'!$A$4:$A$119,0)),Scoring!$A$4:$N$51,12,FALSE()),0)+1*IFERROR(VLOOKUP(INDEX(' Toto teams'!$F$4:$F$119,MATCH($B97,' Toto teams'!$A$4:$A$119,0)),Scoring!$A$4:$N$51,12,FALSE()),0)+1*IFERROR(VLOOKUP(INDEX(' Toto teams'!$G$4:$G$119,MATCH($B97,' Toto teams'!$A$4:$A$119,0)),Scoring!$A$4:$N$51,12,FALSE()),0)+1*IFERROR(VLOOKUP(INDEX(' Toto teams'!$H$4:$H$119,MATCH($B97,' Toto teams'!$A$4:$A$119,0)),Scoring!$A$4:$N$51,12,FALSE()),0))</f>
        <v>0</v>
      </c>
      <c r="K97" s="29">
        <f>IF($B97="","",IFERROR(INDEX(' Toto teams'!$R$4:$R$119,MATCH($B97,' Toto teams'!$A$4:$A$119,0)),""))</f>
        <v>0</v>
      </c>
      <c r="L97" s="30">
        <f t="shared" si="5"/>
        <v>0</v>
      </c>
    </row>
    <row r="98" spans="1:12" ht="12.75" customHeight="1" x14ac:dyDescent="0.3">
      <c r="A98" s="26">
        <f>IF(95&gt;COUNTIF(' Toto teams'!$A$4:$A$119,"&lt;&gt;"),"",INDEX(' Toto teams'!$S$4:$S$119,MATCH(LARGE(' Toto teams'!$T$4:$T$119,95),' Toto teams'!$T$4:$T$119,0)))</f>
        <v>63</v>
      </c>
      <c r="B98" s="27" t="str">
        <f>IF(95&gt;COUNTIF(' Toto teams'!$A$4:$A$119,"&lt;&gt;"),"",INDEX(' Toto teams'!$A$4:$A$119,MATCH(LARGE(' Toto teams'!$T$4:$T$119,95),' Toto teams'!$T$4:$T$119,0)))</f>
        <v>Artem Lavrov</v>
      </c>
      <c r="C98" s="28">
        <f>IF($B98="","",6*(IFERROR(VLOOKUP(INDEX(' Toto teams'!$B$4:$B$119,MATCH($B98,' Toto teams'!$A$4:$A$119,0)),Scoring!$A$4:$N$51,3,FALSE()),0)+IFERROR(VLOOKUP(INDEX(' Toto teams'!$B$4:$B$119,MATCH($B98,' Toto teams'!$A$4:$A$119,0)),Scoring!$A$4:$N$51,4,FALSE()),0)+IFERROR(VLOOKUP(INDEX(' Toto teams'!$B$4:$B$119,MATCH($B98,' Toto teams'!$A$4:$A$119,0)),Scoring!$A$4:$N$51,5,FALSE()),0))+4*(IFERROR(VLOOKUP(INDEX(' Toto teams'!$C$4:$C$119,MATCH($B98,' Toto teams'!$A$4:$A$119,0)),Scoring!$A$4:$N$51,3,FALSE()),0)+IFERROR(VLOOKUP(INDEX(' Toto teams'!$C$4:$C$119,MATCH($B98,' Toto teams'!$A$4:$A$119,0)),Scoring!$A$4:$N$51,4,FALSE()),0)+IFERROR(VLOOKUP(INDEX(' Toto teams'!$C$4:$C$119,MATCH($B98,' Toto teams'!$A$4:$A$119,0)),Scoring!$A$4:$N$51,5,FALSE()),0))+3*(IFERROR(VLOOKUP(INDEX(' Toto teams'!$D$4:$D$119,MATCH($B98,' Toto teams'!$A$4:$A$119,0)),Scoring!$A$4:$N$51,3,FALSE()),0)+IFERROR(VLOOKUP(INDEX(' Toto teams'!$D$4:$D$119,MATCH($B98,' Toto teams'!$A$4:$A$119,0)),Scoring!$A$4:$N$51,4,FALSE()),0)+IFERROR(VLOOKUP(INDEX(' Toto teams'!$D$4:$D$119,MATCH($B98,' Toto teams'!$A$4:$A$119,0)),Scoring!$A$4:$N$51,5,FALSE()),0))+2*(IFERROR(VLOOKUP(INDEX(' Toto teams'!$E$4:$E$119,MATCH($B98,' Toto teams'!$A$4:$A$119,0)),Scoring!$A$4:$N$51,3,FALSE()),0)+IFERROR(VLOOKUP(INDEX(' Toto teams'!$E$4:$E$119,MATCH($B98,' Toto teams'!$A$4:$A$119,0)),Scoring!$A$4:$N$51,4,FALSE()),0)+IFERROR(VLOOKUP(INDEX(' Toto teams'!$E$4:$E$119,MATCH($B98,' Toto teams'!$A$4:$A$119,0)),Scoring!$A$4:$N$51,5,FALSE()),0))+1*(IFERROR(VLOOKUP(INDEX(' Toto teams'!$F$4:$F$119,MATCH($B98,' Toto teams'!$A$4:$A$119,0)),Scoring!$A$4:$N$51,3,FALSE()),0)+IFERROR(VLOOKUP(INDEX(' Toto teams'!$F$4:$F$119,MATCH($B98,' Toto teams'!$A$4:$A$119,0)),Scoring!$A$4:$N$51,4,FALSE()),0)+IFERROR(VLOOKUP(INDEX(' Toto teams'!$F$4:$F$119,MATCH($B98,' Toto teams'!$A$4:$A$119,0)),Scoring!$A$4:$N$51,5,FALSE()),0))+1*(IFERROR(VLOOKUP(INDEX(' Toto teams'!$G$4:$G$119,MATCH($B98,' Toto teams'!$A$4:$A$119,0)),Scoring!$A$4:$N$51,3,FALSE()),0)+IFERROR(VLOOKUP(INDEX(' Toto teams'!$G$4:$G$119,MATCH($B98,' Toto teams'!$A$4:$A$119,0)),Scoring!$A$4:$N$51,4,FALSE()),0)+IFERROR(VLOOKUP(INDEX(' Toto teams'!$G$4:$G$119,MATCH($B98,' Toto teams'!$A$4:$A$119,0)),Scoring!$A$4:$N$51,5,FALSE()),0))+1*(IFERROR(VLOOKUP(INDEX(' Toto teams'!$H$4:$H$119,MATCH($B98,' Toto teams'!$A$4:$A$119,0)),Scoring!$A$4:$N$51,3,FALSE()),0)+IFERROR(VLOOKUP(INDEX(' Toto teams'!$H$4:$H$119,MATCH($B98,' Toto teams'!$A$4:$A$119,0)),Scoring!$A$4:$N$51,4,FALSE()),0)+IFERROR(VLOOKUP(INDEX(' Toto teams'!$H$4:$H$119,MATCH($B98,' Toto teams'!$A$4:$A$119,0)),Scoring!$A$4:$N$51,5,FALSE()),0))+IFERROR(INDEX(' Toto teams'!$Q$4:$Q$119,MATCH($B98,' Toto teams'!$A$4:$A$119,0))*1,0))</f>
        <v>0</v>
      </c>
      <c r="D98" s="28">
        <f>IF($B98="","",6*IFERROR(VLOOKUP(INDEX(' Toto teams'!$B$4:$B$119,MATCH($B98,' Toto teams'!$A$4:$A$119,0)),Scoring!$A$4:$N$51,7,FALSE()),0)+4*IFERROR(VLOOKUP(INDEX(' Toto teams'!$C$4:$C$119,MATCH($B98,' Toto teams'!$A$4:$A$119,0)),Scoring!$A$4:$N$51,7,FALSE()),0)+3*IFERROR(VLOOKUP(INDEX(' Toto teams'!$D$4:$D$119,MATCH($B98,' Toto teams'!$A$4:$A$119,0)),Scoring!$A$4:$N$51,7,FALSE()),0)+2*IFERROR(VLOOKUP(INDEX(' Toto teams'!$E$4:$E$119,MATCH($B98,' Toto teams'!$A$4:$A$119,0)),Scoring!$A$4:$N$51,7,FALSE()),0)+1*IFERROR(VLOOKUP(INDEX(' Toto teams'!$F$4:$F$119,MATCH($B98,' Toto teams'!$A$4:$A$119,0)),Scoring!$A$4:$N$51,7,FALSE()),0)+1*IFERROR(VLOOKUP(INDEX(' Toto teams'!$G$4:$G$119,MATCH($B98,' Toto teams'!$A$4:$A$119,0)),Scoring!$A$4:$N$51,7,FALSE()),0)+1*IFERROR(VLOOKUP(INDEX(' Toto teams'!$H$4:$H$119,MATCH($B98,' Toto teams'!$A$4:$A$119,0)),Scoring!$A$4:$N$51,7,FALSE()),0))</f>
        <v>0</v>
      </c>
      <c r="E98" s="28">
        <f>IF($B98="","",6*IFERROR(VLOOKUP(INDEX(' Toto teams'!$B$4:$B$119,MATCH($B98,' Toto teams'!$A$4:$A$119,0)),Scoring!$A$4:$N$51,8,FALSE()),0)+4*IFERROR(VLOOKUP(INDEX(' Toto teams'!$C$4:$C$119,MATCH($B98,' Toto teams'!$A$4:$A$119,0)),Scoring!$A$4:$N$51,8,FALSE()),0)+3*IFERROR(VLOOKUP(INDEX(' Toto teams'!$D$4:$D$119,MATCH($B98,' Toto teams'!$A$4:$A$119,0)),Scoring!$A$4:$N$51,8,FALSE()),0)+2*IFERROR(VLOOKUP(INDEX(' Toto teams'!$E$4:$E$119,MATCH($B98,' Toto teams'!$A$4:$A$119,0)),Scoring!$A$4:$N$51,8,FALSE()),0)+1*IFERROR(VLOOKUP(INDEX(' Toto teams'!$F$4:$F$119,MATCH($B98,' Toto teams'!$A$4:$A$119,0)),Scoring!$A$4:$N$51,8,FALSE()),0)+1*IFERROR(VLOOKUP(INDEX(' Toto teams'!$G$4:$G$119,MATCH($B98,' Toto teams'!$A$4:$A$119,0)),Scoring!$A$4:$N$51,8,FALSE()),0)+1*IFERROR(VLOOKUP(INDEX(' Toto teams'!$H$4:$H$119,MATCH($B98,' Toto teams'!$A$4:$A$119,0)),Scoring!$A$4:$N$51,8,FALSE()),0))</f>
        <v>0</v>
      </c>
      <c r="F98" s="28">
        <f>IF($B98="","",6*IFERROR(VLOOKUP(INDEX(' Toto teams'!$B$4:$B$119,MATCH($B98,' Toto teams'!$A$4:$A$119,0)),Scoring!$A$4:$N$51,9,FALSE()),0)+4*IFERROR(VLOOKUP(INDEX(' Toto teams'!$C$4:$C$119,MATCH($B98,' Toto teams'!$A$4:$A$119,0)),Scoring!$A$4:$N$51,9,FALSE()),0)+3*IFERROR(VLOOKUP(INDEX(' Toto teams'!$D$4:$D$119,MATCH($B98,' Toto teams'!$A$4:$A$119,0)),Scoring!$A$4:$N$51,9,FALSE()),0)+2*IFERROR(VLOOKUP(INDEX(' Toto teams'!$E$4:$E$119,MATCH($B98,' Toto teams'!$A$4:$A$119,0)),Scoring!$A$4:$N$51,9,FALSE()),0)+1*IFERROR(VLOOKUP(INDEX(' Toto teams'!$F$4:$F$119,MATCH($B98,' Toto teams'!$A$4:$A$119,0)),Scoring!$A$4:$N$51,9,FALSE()),0)+1*IFERROR(VLOOKUP(INDEX(' Toto teams'!$G$4:$G$119,MATCH($B98,' Toto teams'!$A$4:$A$119,0)),Scoring!$A$4:$N$51,9,FALSE()),0)+1*IFERROR(VLOOKUP(INDEX(' Toto teams'!$H$4:$H$119,MATCH($B98,' Toto teams'!$A$4:$A$119,0)),Scoring!$A$4:$N$51,9,FALSE()),0))</f>
        <v>0</v>
      </c>
      <c r="G98" s="28">
        <f>IF($B98="","",6*IFERROR(VLOOKUP(INDEX(' Toto teams'!$B$4:$B$119,MATCH($B98,' Toto teams'!$A$4:$A$119,0)),Scoring!$A$4:$N$51,10,FALSE()),0)+4*IFERROR(VLOOKUP(INDEX(' Toto teams'!$C$4:$C$119,MATCH($B98,' Toto teams'!$A$4:$A$119,0)),Scoring!$A$4:$N$51,10,FALSE()),0)+3*IFERROR(VLOOKUP(INDEX(' Toto teams'!$D$4:$D$119,MATCH($B98,' Toto teams'!$A$4:$A$119,0)),Scoring!$A$4:$N$51,10,FALSE()),0)+2*IFERROR(VLOOKUP(INDEX(' Toto teams'!$E$4:$E$119,MATCH($B98,' Toto teams'!$A$4:$A$119,0)),Scoring!$A$4:$N$51,10,FALSE()),0)+1*IFERROR(VLOOKUP(INDEX(' Toto teams'!$F$4:$F$119,MATCH($B98,' Toto teams'!$A$4:$A$119,0)),Scoring!$A$4:$N$51,10,FALSE()),0)+1*IFERROR(VLOOKUP(INDEX(' Toto teams'!$G$4:$G$119,MATCH($B98,' Toto teams'!$A$4:$A$119,0)),Scoring!$A$4:$N$51,10,FALSE()),0)+1*IFERROR(VLOOKUP(INDEX(' Toto teams'!$H$4:$H$119,MATCH($B98,' Toto teams'!$A$4:$A$119,0)),Scoring!$A$4:$N$51,10,FALSE()),0))</f>
        <v>0</v>
      </c>
      <c r="H98" s="28">
        <f>IF($B98="","",6*IFERROR(VLOOKUP(INDEX(' Toto teams'!$B$4:$B$119,MATCH($B98,' Toto teams'!$A$4:$A$119,0)),Scoring!$A$4:$N$51,11,FALSE()),0)+4*IFERROR(VLOOKUP(INDEX(' Toto teams'!$C$4:$C$119,MATCH($B98,' Toto teams'!$A$4:$A$119,0)),Scoring!$A$4:$N$51,11,FALSE()),0)+3*IFERROR(VLOOKUP(INDEX(' Toto teams'!$D$4:$D$119,MATCH($B98,' Toto teams'!$A$4:$A$119,0)),Scoring!$A$4:$N$51,11,FALSE()),0)+2*IFERROR(VLOOKUP(INDEX(' Toto teams'!$E$4:$E$119,MATCH($B98,' Toto teams'!$A$4:$A$119,0)),Scoring!$A$4:$N$51,11,FALSE()),0)+1*IFERROR(VLOOKUP(INDEX(' Toto teams'!$F$4:$F$119,MATCH($B98,' Toto teams'!$A$4:$A$119,0)),Scoring!$A$4:$N$51,11,FALSE()),0)+1*IFERROR(VLOOKUP(INDEX(' Toto teams'!$G$4:$G$119,MATCH($B98,' Toto teams'!$A$4:$A$119,0)),Scoring!$A$4:$N$51,11,FALSE()),0)+1*IFERROR(VLOOKUP(INDEX(' Toto teams'!$H$4:$H$119,MATCH($B98,' Toto teams'!$A$4:$A$119,0)),Scoring!$A$4:$N$51,11,FALSE()),0))</f>
        <v>0</v>
      </c>
      <c r="I98" s="28">
        <f>IF($B98="","",6*IFERROR(VLOOKUP(INDEX(' Toto teams'!$B$4:$B$119,MATCH($B98,' Toto teams'!$A$4:$A$119,0)),Scoring!$A$4:$O$51,15,FALSE()),0)+4*IFERROR(VLOOKUP(INDEX(' Toto teams'!$C$4:$C$119,MATCH($B98,' Toto teams'!$A$4:$A$119,0)),Scoring!$A$4:$O$51,15,FALSE()),0)+3*IFERROR(VLOOKUP(INDEX(' Toto teams'!$D$4:$D$119,MATCH($B98,' Toto teams'!$A$4:$A$119,0)),Scoring!$A$4:$O$51,15,FALSE()),0)+2*IFERROR(VLOOKUP(INDEX(' Toto teams'!$E$4:$E$119,MATCH($B98,' Toto teams'!$A$4:$A$119,0)),Scoring!$A$4:$O$51,15,FALSE()),0)+1*IFERROR(VLOOKUP(INDEX(' Toto teams'!$F$4:$F$119,MATCH($B98,' Toto teams'!$A$4:$A$119,0)),Scoring!$A$4:$O$51,15,FALSE()),0)+1*IFERROR(VLOOKUP(INDEX(' Toto teams'!$G$4:$G$119,MATCH($B98,' Toto teams'!$A$4:$A$119,0)),Scoring!$A$4:$O$51,15,FALSE()),0)+1*IFERROR(VLOOKUP(INDEX(' Toto teams'!$H$4:$H$119,MATCH($B98,' Toto teams'!$A$4:$A$119,0)),Scoring!$A$4:$O$51,15,FALSE()),0))</f>
        <v>0</v>
      </c>
      <c r="J98" s="28">
        <f>IF($B98="","",6*IFERROR(VLOOKUP(INDEX(' Toto teams'!$B$4:$B$119,MATCH($B98,' Toto teams'!$A$4:$A$119,0)),Scoring!$A$4:$N$51,12,FALSE()),0)+4*IFERROR(VLOOKUP(INDEX(' Toto teams'!$C$4:$C$119,MATCH($B98,' Toto teams'!$A$4:$A$119,0)),Scoring!$A$4:$N$51,12,FALSE()),0)+3*IFERROR(VLOOKUP(INDEX(' Toto teams'!$D$4:$D$119,MATCH($B98,' Toto teams'!$A$4:$A$119,0)),Scoring!$A$4:$N$51,12,FALSE()),0)+2*IFERROR(VLOOKUP(INDEX(' Toto teams'!$E$4:$E$119,MATCH($B98,' Toto teams'!$A$4:$A$119,0)),Scoring!$A$4:$N$51,12,FALSE()),0)+1*IFERROR(VLOOKUP(INDEX(' Toto teams'!$F$4:$F$119,MATCH($B98,' Toto teams'!$A$4:$A$119,0)),Scoring!$A$4:$N$51,12,FALSE()),0)+1*IFERROR(VLOOKUP(INDEX(' Toto teams'!$G$4:$G$119,MATCH($B98,' Toto teams'!$A$4:$A$119,0)),Scoring!$A$4:$N$51,12,FALSE()),0)+1*IFERROR(VLOOKUP(INDEX(' Toto teams'!$H$4:$H$119,MATCH($B98,' Toto teams'!$A$4:$A$119,0)),Scoring!$A$4:$N$51,12,FALSE()),0))</f>
        <v>0</v>
      </c>
      <c r="K98" s="29">
        <f>IF($B98="","",IFERROR(INDEX(' Toto teams'!$R$4:$R$119,MATCH($B98,' Toto teams'!$A$4:$A$119,0)),""))</f>
        <v>0</v>
      </c>
      <c r="L98" s="30">
        <f t="shared" si="5"/>
        <v>0</v>
      </c>
    </row>
    <row r="99" spans="1:12" ht="12.75" customHeight="1" x14ac:dyDescent="0.3">
      <c r="A99" s="26">
        <f>IF(96&gt;COUNTIF(' Toto teams'!$A$4:$A$119,"&lt;&gt;"),"",INDEX(' Toto teams'!$S$4:$S$119,MATCH(LARGE(' Toto teams'!$T$4:$T$119,96),' Toto teams'!$T$4:$T$119,0)))</f>
        <v>63</v>
      </c>
      <c r="B99" s="27" t="str">
        <f>IF(96&gt;COUNTIF(' Toto teams'!$A$4:$A$119,"&lt;&gt;"),"",INDEX(' Toto teams'!$A$4:$A$119,MATCH(LARGE(' Toto teams'!$T$4:$T$119,96),' Toto teams'!$T$4:$T$119,0)))</f>
        <v>Jonas Juška</v>
      </c>
      <c r="C99" s="28">
        <f>IF($B99="","",6*(IFERROR(VLOOKUP(INDEX(' Toto teams'!$B$4:$B$119,MATCH($B99,' Toto teams'!$A$4:$A$119,0)),Scoring!$A$4:$N$51,3,FALSE()),0)+IFERROR(VLOOKUP(INDEX(' Toto teams'!$B$4:$B$119,MATCH($B99,' Toto teams'!$A$4:$A$119,0)),Scoring!$A$4:$N$51,4,FALSE()),0)+IFERROR(VLOOKUP(INDEX(' Toto teams'!$B$4:$B$119,MATCH($B99,' Toto teams'!$A$4:$A$119,0)),Scoring!$A$4:$N$51,5,FALSE()),0))+4*(IFERROR(VLOOKUP(INDEX(' Toto teams'!$C$4:$C$119,MATCH($B99,' Toto teams'!$A$4:$A$119,0)),Scoring!$A$4:$N$51,3,FALSE()),0)+IFERROR(VLOOKUP(INDEX(' Toto teams'!$C$4:$C$119,MATCH($B99,' Toto teams'!$A$4:$A$119,0)),Scoring!$A$4:$N$51,4,FALSE()),0)+IFERROR(VLOOKUP(INDEX(' Toto teams'!$C$4:$C$119,MATCH($B99,' Toto teams'!$A$4:$A$119,0)),Scoring!$A$4:$N$51,5,FALSE()),0))+3*(IFERROR(VLOOKUP(INDEX(' Toto teams'!$D$4:$D$119,MATCH($B99,' Toto teams'!$A$4:$A$119,0)),Scoring!$A$4:$N$51,3,FALSE()),0)+IFERROR(VLOOKUP(INDEX(' Toto teams'!$D$4:$D$119,MATCH($B99,' Toto teams'!$A$4:$A$119,0)),Scoring!$A$4:$N$51,4,FALSE()),0)+IFERROR(VLOOKUP(INDEX(' Toto teams'!$D$4:$D$119,MATCH($B99,' Toto teams'!$A$4:$A$119,0)),Scoring!$A$4:$N$51,5,FALSE()),0))+2*(IFERROR(VLOOKUP(INDEX(' Toto teams'!$E$4:$E$119,MATCH($B99,' Toto teams'!$A$4:$A$119,0)),Scoring!$A$4:$N$51,3,FALSE()),0)+IFERROR(VLOOKUP(INDEX(' Toto teams'!$E$4:$E$119,MATCH($B99,' Toto teams'!$A$4:$A$119,0)),Scoring!$A$4:$N$51,4,FALSE()),0)+IFERROR(VLOOKUP(INDEX(' Toto teams'!$E$4:$E$119,MATCH($B99,' Toto teams'!$A$4:$A$119,0)),Scoring!$A$4:$N$51,5,FALSE()),0))+1*(IFERROR(VLOOKUP(INDEX(' Toto teams'!$F$4:$F$119,MATCH($B99,' Toto teams'!$A$4:$A$119,0)),Scoring!$A$4:$N$51,3,FALSE()),0)+IFERROR(VLOOKUP(INDEX(' Toto teams'!$F$4:$F$119,MATCH($B99,' Toto teams'!$A$4:$A$119,0)),Scoring!$A$4:$N$51,4,FALSE()),0)+IFERROR(VLOOKUP(INDEX(' Toto teams'!$F$4:$F$119,MATCH($B99,' Toto teams'!$A$4:$A$119,0)),Scoring!$A$4:$N$51,5,FALSE()),0))+1*(IFERROR(VLOOKUP(INDEX(' Toto teams'!$G$4:$G$119,MATCH($B99,' Toto teams'!$A$4:$A$119,0)),Scoring!$A$4:$N$51,3,FALSE()),0)+IFERROR(VLOOKUP(INDEX(' Toto teams'!$G$4:$G$119,MATCH($B99,' Toto teams'!$A$4:$A$119,0)),Scoring!$A$4:$N$51,4,FALSE()),0)+IFERROR(VLOOKUP(INDEX(' Toto teams'!$G$4:$G$119,MATCH($B99,' Toto teams'!$A$4:$A$119,0)),Scoring!$A$4:$N$51,5,FALSE()),0))+1*(IFERROR(VLOOKUP(INDEX(' Toto teams'!$H$4:$H$119,MATCH($B99,' Toto teams'!$A$4:$A$119,0)),Scoring!$A$4:$N$51,3,FALSE()),0)+IFERROR(VLOOKUP(INDEX(' Toto teams'!$H$4:$H$119,MATCH($B99,' Toto teams'!$A$4:$A$119,0)),Scoring!$A$4:$N$51,4,FALSE()),0)+IFERROR(VLOOKUP(INDEX(' Toto teams'!$H$4:$H$119,MATCH($B99,' Toto teams'!$A$4:$A$119,0)),Scoring!$A$4:$N$51,5,FALSE()),0))+IFERROR(INDEX(' Toto teams'!$Q$4:$Q$119,MATCH($B99,' Toto teams'!$A$4:$A$119,0))*1,0))</f>
        <v>0</v>
      </c>
      <c r="D99" s="28">
        <f>IF($B99="","",6*IFERROR(VLOOKUP(INDEX(' Toto teams'!$B$4:$B$119,MATCH($B99,' Toto teams'!$A$4:$A$119,0)),Scoring!$A$4:$N$51,7,FALSE()),0)+4*IFERROR(VLOOKUP(INDEX(' Toto teams'!$C$4:$C$119,MATCH($B99,' Toto teams'!$A$4:$A$119,0)),Scoring!$A$4:$N$51,7,FALSE()),0)+3*IFERROR(VLOOKUP(INDEX(' Toto teams'!$D$4:$D$119,MATCH($B99,' Toto teams'!$A$4:$A$119,0)),Scoring!$A$4:$N$51,7,FALSE()),0)+2*IFERROR(VLOOKUP(INDEX(' Toto teams'!$E$4:$E$119,MATCH($B99,' Toto teams'!$A$4:$A$119,0)),Scoring!$A$4:$N$51,7,FALSE()),0)+1*IFERROR(VLOOKUP(INDEX(' Toto teams'!$F$4:$F$119,MATCH($B99,' Toto teams'!$A$4:$A$119,0)),Scoring!$A$4:$N$51,7,FALSE()),0)+1*IFERROR(VLOOKUP(INDEX(' Toto teams'!$G$4:$G$119,MATCH($B99,' Toto teams'!$A$4:$A$119,0)),Scoring!$A$4:$N$51,7,FALSE()),0)+1*IFERROR(VLOOKUP(INDEX(' Toto teams'!$H$4:$H$119,MATCH($B99,' Toto teams'!$A$4:$A$119,0)),Scoring!$A$4:$N$51,7,FALSE()),0))</f>
        <v>0</v>
      </c>
      <c r="E99" s="28">
        <f>IF($B99="","",6*IFERROR(VLOOKUP(INDEX(' Toto teams'!$B$4:$B$119,MATCH($B99,' Toto teams'!$A$4:$A$119,0)),Scoring!$A$4:$N$51,8,FALSE()),0)+4*IFERROR(VLOOKUP(INDEX(' Toto teams'!$C$4:$C$119,MATCH($B99,' Toto teams'!$A$4:$A$119,0)),Scoring!$A$4:$N$51,8,FALSE()),0)+3*IFERROR(VLOOKUP(INDEX(' Toto teams'!$D$4:$D$119,MATCH($B99,' Toto teams'!$A$4:$A$119,0)),Scoring!$A$4:$N$51,8,FALSE()),0)+2*IFERROR(VLOOKUP(INDEX(' Toto teams'!$E$4:$E$119,MATCH($B99,' Toto teams'!$A$4:$A$119,0)),Scoring!$A$4:$N$51,8,FALSE()),0)+1*IFERROR(VLOOKUP(INDEX(' Toto teams'!$F$4:$F$119,MATCH($B99,' Toto teams'!$A$4:$A$119,0)),Scoring!$A$4:$N$51,8,FALSE()),0)+1*IFERROR(VLOOKUP(INDEX(' Toto teams'!$G$4:$G$119,MATCH($B99,' Toto teams'!$A$4:$A$119,0)),Scoring!$A$4:$N$51,8,FALSE()),0)+1*IFERROR(VLOOKUP(INDEX(' Toto teams'!$H$4:$H$119,MATCH($B99,' Toto teams'!$A$4:$A$119,0)),Scoring!$A$4:$N$51,8,FALSE()),0))</f>
        <v>0</v>
      </c>
      <c r="F99" s="28">
        <f>IF($B99="","",6*IFERROR(VLOOKUP(INDEX(' Toto teams'!$B$4:$B$119,MATCH($B99,' Toto teams'!$A$4:$A$119,0)),Scoring!$A$4:$N$51,9,FALSE()),0)+4*IFERROR(VLOOKUP(INDEX(' Toto teams'!$C$4:$C$119,MATCH($B99,' Toto teams'!$A$4:$A$119,0)),Scoring!$A$4:$N$51,9,FALSE()),0)+3*IFERROR(VLOOKUP(INDEX(' Toto teams'!$D$4:$D$119,MATCH($B99,' Toto teams'!$A$4:$A$119,0)),Scoring!$A$4:$N$51,9,FALSE()),0)+2*IFERROR(VLOOKUP(INDEX(' Toto teams'!$E$4:$E$119,MATCH($B99,' Toto teams'!$A$4:$A$119,0)),Scoring!$A$4:$N$51,9,FALSE()),0)+1*IFERROR(VLOOKUP(INDEX(' Toto teams'!$F$4:$F$119,MATCH($B99,' Toto teams'!$A$4:$A$119,0)),Scoring!$A$4:$N$51,9,FALSE()),0)+1*IFERROR(VLOOKUP(INDEX(' Toto teams'!$G$4:$G$119,MATCH($B99,' Toto teams'!$A$4:$A$119,0)),Scoring!$A$4:$N$51,9,FALSE()),0)+1*IFERROR(VLOOKUP(INDEX(' Toto teams'!$H$4:$H$119,MATCH($B99,' Toto teams'!$A$4:$A$119,0)),Scoring!$A$4:$N$51,9,FALSE()),0))</f>
        <v>0</v>
      </c>
      <c r="G99" s="28">
        <f>IF($B99="","",6*IFERROR(VLOOKUP(INDEX(' Toto teams'!$B$4:$B$119,MATCH($B99,' Toto teams'!$A$4:$A$119,0)),Scoring!$A$4:$N$51,10,FALSE()),0)+4*IFERROR(VLOOKUP(INDEX(' Toto teams'!$C$4:$C$119,MATCH($B99,' Toto teams'!$A$4:$A$119,0)),Scoring!$A$4:$N$51,10,FALSE()),0)+3*IFERROR(VLOOKUP(INDEX(' Toto teams'!$D$4:$D$119,MATCH($B99,' Toto teams'!$A$4:$A$119,0)),Scoring!$A$4:$N$51,10,FALSE()),0)+2*IFERROR(VLOOKUP(INDEX(' Toto teams'!$E$4:$E$119,MATCH($B99,' Toto teams'!$A$4:$A$119,0)),Scoring!$A$4:$N$51,10,FALSE()),0)+1*IFERROR(VLOOKUP(INDEX(' Toto teams'!$F$4:$F$119,MATCH($B99,' Toto teams'!$A$4:$A$119,0)),Scoring!$A$4:$N$51,10,FALSE()),0)+1*IFERROR(VLOOKUP(INDEX(' Toto teams'!$G$4:$G$119,MATCH($B99,' Toto teams'!$A$4:$A$119,0)),Scoring!$A$4:$N$51,10,FALSE()),0)+1*IFERROR(VLOOKUP(INDEX(' Toto teams'!$H$4:$H$119,MATCH($B99,' Toto teams'!$A$4:$A$119,0)),Scoring!$A$4:$N$51,10,FALSE()),0))</f>
        <v>0</v>
      </c>
      <c r="H99" s="28">
        <f>IF($B99="","",6*IFERROR(VLOOKUP(INDEX(' Toto teams'!$B$4:$B$119,MATCH($B99,' Toto teams'!$A$4:$A$119,0)),Scoring!$A$4:$N$51,11,FALSE()),0)+4*IFERROR(VLOOKUP(INDEX(' Toto teams'!$C$4:$C$119,MATCH($B99,' Toto teams'!$A$4:$A$119,0)),Scoring!$A$4:$N$51,11,FALSE()),0)+3*IFERROR(VLOOKUP(INDEX(' Toto teams'!$D$4:$D$119,MATCH($B99,' Toto teams'!$A$4:$A$119,0)),Scoring!$A$4:$N$51,11,FALSE()),0)+2*IFERROR(VLOOKUP(INDEX(' Toto teams'!$E$4:$E$119,MATCH($B99,' Toto teams'!$A$4:$A$119,0)),Scoring!$A$4:$N$51,11,FALSE()),0)+1*IFERROR(VLOOKUP(INDEX(' Toto teams'!$F$4:$F$119,MATCH($B99,' Toto teams'!$A$4:$A$119,0)),Scoring!$A$4:$N$51,11,FALSE()),0)+1*IFERROR(VLOOKUP(INDEX(' Toto teams'!$G$4:$G$119,MATCH($B99,' Toto teams'!$A$4:$A$119,0)),Scoring!$A$4:$N$51,11,FALSE()),0)+1*IFERROR(VLOOKUP(INDEX(' Toto teams'!$H$4:$H$119,MATCH($B99,' Toto teams'!$A$4:$A$119,0)),Scoring!$A$4:$N$51,11,FALSE()),0))</f>
        <v>0</v>
      </c>
      <c r="I99" s="28">
        <f>IF($B99="","",6*IFERROR(VLOOKUP(INDEX(' Toto teams'!$B$4:$B$119,MATCH($B99,' Toto teams'!$A$4:$A$119,0)),Scoring!$A$4:$O$51,15,FALSE()),0)+4*IFERROR(VLOOKUP(INDEX(' Toto teams'!$C$4:$C$119,MATCH($B99,' Toto teams'!$A$4:$A$119,0)),Scoring!$A$4:$O$51,15,FALSE()),0)+3*IFERROR(VLOOKUP(INDEX(' Toto teams'!$D$4:$D$119,MATCH($B99,' Toto teams'!$A$4:$A$119,0)),Scoring!$A$4:$O$51,15,FALSE()),0)+2*IFERROR(VLOOKUP(INDEX(' Toto teams'!$E$4:$E$119,MATCH($B99,' Toto teams'!$A$4:$A$119,0)),Scoring!$A$4:$O$51,15,FALSE()),0)+1*IFERROR(VLOOKUP(INDEX(' Toto teams'!$F$4:$F$119,MATCH($B99,' Toto teams'!$A$4:$A$119,0)),Scoring!$A$4:$O$51,15,FALSE()),0)+1*IFERROR(VLOOKUP(INDEX(' Toto teams'!$G$4:$G$119,MATCH($B99,' Toto teams'!$A$4:$A$119,0)),Scoring!$A$4:$O$51,15,FALSE()),0)+1*IFERROR(VLOOKUP(INDEX(' Toto teams'!$H$4:$H$119,MATCH($B99,' Toto teams'!$A$4:$A$119,0)),Scoring!$A$4:$O$51,15,FALSE()),0))</f>
        <v>0</v>
      </c>
      <c r="J99" s="28">
        <f>IF($B99="","",6*IFERROR(VLOOKUP(INDEX(' Toto teams'!$B$4:$B$119,MATCH($B99,' Toto teams'!$A$4:$A$119,0)),Scoring!$A$4:$N$51,12,FALSE()),0)+4*IFERROR(VLOOKUP(INDEX(' Toto teams'!$C$4:$C$119,MATCH($B99,' Toto teams'!$A$4:$A$119,0)),Scoring!$A$4:$N$51,12,FALSE()),0)+3*IFERROR(VLOOKUP(INDEX(' Toto teams'!$D$4:$D$119,MATCH($B99,' Toto teams'!$A$4:$A$119,0)),Scoring!$A$4:$N$51,12,FALSE()),0)+2*IFERROR(VLOOKUP(INDEX(' Toto teams'!$E$4:$E$119,MATCH($B99,' Toto teams'!$A$4:$A$119,0)),Scoring!$A$4:$N$51,12,FALSE()),0)+1*IFERROR(VLOOKUP(INDEX(' Toto teams'!$F$4:$F$119,MATCH($B99,' Toto teams'!$A$4:$A$119,0)),Scoring!$A$4:$N$51,12,FALSE()),0)+1*IFERROR(VLOOKUP(INDEX(' Toto teams'!$G$4:$G$119,MATCH($B99,' Toto teams'!$A$4:$A$119,0)),Scoring!$A$4:$N$51,12,FALSE()),0)+1*IFERROR(VLOOKUP(INDEX(' Toto teams'!$H$4:$H$119,MATCH($B99,' Toto teams'!$A$4:$A$119,0)),Scoring!$A$4:$N$51,12,FALSE()),0))</f>
        <v>0</v>
      </c>
      <c r="K99" s="29">
        <f>IF($B99="","",IFERROR(INDEX(' Toto teams'!$R$4:$R$119,MATCH($B99,' Toto teams'!$A$4:$A$119,0)),""))</f>
        <v>0</v>
      </c>
      <c r="L99" s="30">
        <f t="shared" si="5"/>
        <v>0</v>
      </c>
    </row>
    <row r="100" spans="1:12" ht="12.75" customHeight="1" x14ac:dyDescent="0.3">
      <c r="A100" s="26">
        <f>IF(97&gt;COUNTIF(' Toto teams'!$A$4:$A$119,"&lt;&gt;"),"",INDEX(' Toto teams'!$S$4:$S$119,MATCH(LARGE(' Toto teams'!$T$4:$T$119,97),' Toto teams'!$T$4:$T$119,0)))</f>
        <v>63</v>
      </c>
      <c r="B100" s="27" t="str">
        <f>IF(97&gt;COUNTIF(' Toto teams'!$A$4:$A$119,"&lt;&gt;"),"",INDEX(' Toto teams'!$A$4:$A$119,MATCH(LARGE(' Toto teams'!$T$4:$T$119,97),' Toto teams'!$T$4:$T$119,0)))</f>
        <v>Partrikas Oleknavičius</v>
      </c>
      <c r="C100" s="28">
        <f>IF($B100="","",6*(IFERROR(VLOOKUP(INDEX(' Toto teams'!$B$4:$B$119,MATCH($B100,' Toto teams'!$A$4:$A$119,0)),Scoring!$A$4:$N$51,3,FALSE()),0)+IFERROR(VLOOKUP(INDEX(' Toto teams'!$B$4:$B$119,MATCH($B100,' Toto teams'!$A$4:$A$119,0)),Scoring!$A$4:$N$51,4,FALSE()),0)+IFERROR(VLOOKUP(INDEX(' Toto teams'!$B$4:$B$119,MATCH($B100,' Toto teams'!$A$4:$A$119,0)),Scoring!$A$4:$N$51,5,FALSE()),0))+4*(IFERROR(VLOOKUP(INDEX(' Toto teams'!$C$4:$C$119,MATCH($B100,' Toto teams'!$A$4:$A$119,0)),Scoring!$A$4:$N$51,3,FALSE()),0)+IFERROR(VLOOKUP(INDEX(' Toto teams'!$C$4:$C$119,MATCH($B100,' Toto teams'!$A$4:$A$119,0)),Scoring!$A$4:$N$51,4,FALSE()),0)+IFERROR(VLOOKUP(INDEX(' Toto teams'!$C$4:$C$119,MATCH($B100,' Toto teams'!$A$4:$A$119,0)),Scoring!$A$4:$N$51,5,FALSE()),0))+3*(IFERROR(VLOOKUP(INDEX(' Toto teams'!$D$4:$D$119,MATCH($B100,' Toto teams'!$A$4:$A$119,0)),Scoring!$A$4:$N$51,3,FALSE()),0)+IFERROR(VLOOKUP(INDEX(' Toto teams'!$D$4:$D$119,MATCH($B100,' Toto teams'!$A$4:$A$119,0)),Scoring!$A$4:$N$51,4,FALSE()),0)+IFERROR(VLOOKUP(INDEX(' Toto teams'!$D$4:$D$119,MATCH($B100,' Toto teams'!$A$4:$A$119,0)),Scoring!$A$4:$N$51,5,FALSE()),0))+2*(IFERROR(VLOOKUP(INDEX(' Toto teams'!$E$4:$E$119,MATCH($B100,' Toto teams'!$A$4:$A$119,0)),Scoring!$A$4:$N$51,3,FALSE()),0)+IFERROR(VLOOKUP(INDEX(' Toto teams'!$E$4:$E$119,MATCH($B100,' Toto teams'!$A$4:$A$119,0)),Scoring!$A$4:$N$51,4,FALSE()),0)+IFERROR(VLOOKUP(INDEX(' Toto teams'!$E$4:$E$119,MATCH($B100,' Toto teams'!$A$4:$A$119,0)),Scoring!$A$4:$N$51,5,FALSE()),0))+1*(IFERROR(VLOOKUP(INDEX(' Toto teams'!$F$4:$F$119,MATCH($B100,' Toto teams'!$A$4:$A$119,0)),Scoring!$A$4:$N$51,3,FALSE()),0)+IFERROR(VLOOKUP(INDEX(' Toto teams'!$F$4:$F$119,MATCH($B100,' Toto teams'!$A$4:$A$119,0)),Scoring!$A$4:$N$51,4,FALSE()),0)+IFERROR(VLOOKUP(INDEX(' Toto teams'!$F$4:$F$119,MATCH($B100,' Toto teams'!$A$4:$A$119,0)),Scoring!$A$4:$N$51,5,FALSE()),0))+1*(IFERROR(VLOOKUP(INDEX(' Toto teams'!$G$4:$G$119,MATCH($B100,' Toto teams'!$A$4:$A$119,0)),Scoring!$A$4:$N$51,3,FALSE()),0)+IFERROR(VLOOKUP(INDEX(' Toto teams'!$G$4:$G$119,MATCH($B100,' Toto teams'!$A$4:$A$119,0)),Scoring!$A$4:$N$51,4,FALSE()),0)+IFERROR(VLOOKUP(INDEX(' Toto teams'!$G$4:$G$119,MATCH($B100,' Toto teams'!$A$4:$A$119,0)),Scoring!$A$4:$N$51,5,FALSE()),0))+1*(IFERROR(VLOOKUP(INDEX(' Toto teams'!$H$4:$H$119,MATCH($B100,' Toto teams'!$A$4:$A$119,0)),Scoring!$A$4:$N$51,3,FALSE()),0)+IFERROR(VLOOKUP(INDEX(' Toto teams'!$H$4:$H$119,MATCH($B100,' Toto teams'!$A$4:$A$119,0)),Scoring!$A$4:$N$51,4,FALSE()),0)+IFERROR(VLOOKUP(INDEX(' Toto teams'!$H$4:$H$119,MATCH($B100,' Toto teams'!$A$4:$A$119,0)),Scoring!$A$4:$N$51,5,FALSE()),0))+IFERROR(INDEX(' Toto teams'!$Q$4:$Q$119,MATCH($B100,' Toto teams'!$A$4:$A$119,0))*1,0))</f>
        <v>0</v>
      </c>
      <c r="D100" s="28">
        <f>IF($B100="","",6*IFERROR(VLOOKUP(INDEX(' Toto teams'!$B$4:$B$119,MATCH($B100,' Toto teams'!$A$4:$A$119,0)),Scoring!$A$4:$N$51,7,FALSE()),0)+4*IFERROR(VLOOKUP(INDEX(' Toto teams'!$C$4:$C$119,MATCH($B100,' Toto teams'!$A$4:$A$119,0)),Scoring!$A$4:$N$51,7,FALSE()),0)+3*IFERROR(VLOOKUP(INDEX(' Toto teams'!$D$4:$D$119,MATCH($B100,' Toto teams'!$A$4:$A$119,0)),Scoring!$A$4:$N$51,7,FALSE()),0)+2*IFERROR(VLOOKUP(INDEX(' Toto teams'!$E$4:$E$119,MATCH($B100,' Toto teams'!$A$4:$A$119,0)),Scoring!$A$4:$N$51,7,FALSE()),0)+1*IFERROR(VLOOKUP(INDEX(' Toto teams'!$F$4:$F$119,MATCH($B100,' Toto teams'!$A$4:$A$119,0)),Scoring!$A$4:$N$51,7,FALSE()),0)+1*IFERROR(VLOOKUP(INDEX(' Toto teams'!$G$4:$G$119,MATCH($B100,' Toto teams'!$A$4:$A$119,0)),Scoring!$A$4:$N$51,7,FALSE()),0)+1*IFERROR(VLOOKUP(INDEX(' Toto teams'!$H$4:$H$119,MATCH($B100,' Toto teams'!$A$4:$A$119,0)),Scoring!$A$4:$N$51,7,FALSE()),0))</f>
        <v>0</v>
      </c>
      <c r="E100" s="28">
        <f>IF($B100="","",6*IFERROR(VLOOKUP(INDEX(' Toto teams'!$B$4:$B$119,MATCH($B100,' Toto teams'!$A$4:$A$119,0)),Scoring!$A$4:$N$51,8,FALSE()),0)+4*IFERROR(VLOOKUP(INDEX(' Toto teams'!$C$4:$C$119,MATCH($B100,' Toto teams'!$A$4:$A$119,0)),Scoring!$A$4:$N$51,8,FALSE()),0)+3*IFERROR(VLOOKUP(INDEX(' Toto teams'!$D$4:$D$119,MATCH($B100,' Toto teams'!$A$4:$A$119,0)),Scoring!$A$4:$N$51,8,FALSE()),0)+2*IFERROR(VLOOKUP(INDEX(' Toto teams'!$E$4:$E$119,MATCH($B100,' Toto teams'!$A$4:$A$119,0)),Scoring!$A$4:$N$51,8,FALSE()),0)+1*IFERROR(VLOOKUP(INDEX(' Toto teams'!$F$4:$F$119,MATCH($B100,' Toto teams'!$A$4:$A$119,0)),Scoring!$A$4:$N$51,8,FALSE()),0)+1*IFERROR(VLOOKUP(INDEX(' Toto teams'!$G$4:$G$119,MATCH($B100,' Toto teams'!$A$4:$A$119,0)),Scoring!$A$4:$N$51,8,FALSE()),0)+1*IFERROR(VLOOKUP(INDEX(' Toto teams'!$H$4:$H$119,MATCH($B100,' Toto teams'!$A$4:$A$119,0)),Scoring!$A$4:$N$51,8,FALSE()),0))</f>
        <v>0</v>
      </c>
      <c r="F100" s="28">
        <f>IF($B100="","",6*IFERROR(VLOOKUP(INDEX(' Toto teams'!$B$4:$B$119,MATCH($B100,' Toto teams'!$A$4:$A$119,0)),Scoring!$A$4:$N$51,9,FALSE()),0)+4*IFERROR(VLOOKUP(INDEX(' Toto teams'!$C$4:$C$119,MATCH($B100,' Toto teams'!$A$4:$A$119,0)),Scoring!$A$4:$N$51,9,FALSE()),0)+3*IFERROR(VLOOKUP(INDEX(' Toto teams'!$D$4:$D$119,MATCH($B100,' Toto teams'!$A$4:$A$119,0)),Scoring!$A$4:$N$51,9,FALSE()),0)+2*IFERROR(VLOOKUP(INDEX(' Toto teams'!$E$4:$E$119,MATCH($B100,' Toto teams'!$A$4:$A$119,0)),Scoring!$A$4:$N$51,9,FALSE()),0)+1*IFERROR(VLOOKUP(INDEX(' Toto teams'!$F$4:$F$119,MATCH($B100,' Toto teams'!$A$4:$A$119,0)),Scoring!$A$4:$N$51,9,FALSE()),0)+1*IFERROR(VLOOKUP(INDEX(' Toto teams'!$G$4:$G$119,MATCH($B100,' Toto teams'!$A$4:$A$119,0)),Scoring!$A$4:$N$51,9,FALSE()),0)+1*IFERROR(VLOOKUP(INDEX(' Toto teams'!$H$4:$H$119,MATCH($B100,' Toto teams'!$A$4:$A$119,0)),Scoring!$A$4:$N$51,9,FALSE()),0))</f>
        <v>0</v>
      </c>
      <c r="G100" s="28">
        <f>IF($B100="","",6*IFERROR(VLOOKUP(INDEX(' Toto teams'!$B$4:$B$119,MATCH($B100,' Toto teams'!$A$4:$A$119,0)),Scoring!$A$4:$N$51,10,FALSE()),0)+4*IFERROR(VLOOKUP(INDEX(' Toto teams'!$C$4:$C$119,MATCH($B100,' Toto teams'!$A$4:$A$119,0)),Scoring!$A$4:$N$51,10,FALSE()),0)+3*IFERROR(VLOOKUP(INDEX(' Toto teams'!$D$4:$D$119,MATCH($B100,' Toto teams'!$A$4:$A$119,0)),Scoring!$A$4:$N$51,10,FALSE()),0)+2*IFERROR(VLOOKUP(INDEX(' Toto teams'!$E$4:$E$119,MATCH($B100,' Toto teams'!$A$4:$A$119,0)),Scoring!$A$4:$N$51,10,FALSE()),0)+1*IFERROR(VLOOKUP(INDEX(' Toto teams'!$F$4:$F$119,MATCH($B100,' Toto teams'!$A$4:$A$119,0)),Scoring!$A$4:$N$51,10,FALSE()),0)+1*IFERROR(VLOOKUP(INDEX(' Toto teams'!$G$4:$G$119,MATCH($B100,' Toto teams'!$A$4:$A$119,0)),Scoring!$A$4:$N$51,10,FALSE()),0)+1*IFERROR(VLOOKUP(INDEX(' Toto teams'!$H$4:$H$119,MATCH($B100,' Toto teams'!$A$4:$A$119,0)),Scoring!$A$4:$N$51,10,FALSE()),0))</f>
        <v>0</v>
      </c>
      <c r="H100" s="28">
        <f>IF($B100="","",6*IFERROR(VLOOKUP(INDEX(' Toto teams'!$B$4:$B$119,MATCH($B100,' Toto teams'!$A$4:$A$119,0)),Scoring!$A$4:$N$51,11,FALSE()),0)+4*IFERROR(VLOOKUP(INDEX(' Toto teams'!$C$4:$C$119,MATCH($B100,' Toto teams'!$A$4:$A$119,0)),Scoring!$A$4:$N$51,11,FALSE()),0)+3*IFERROR(VLOOKUP(INDEX(' Toto teams'!$D$4:$D$119,MATCH($B100,' Toto teams'!$A$4:$A$119,0)),Scoring!$A$4:$N$51,11,FALSE()),0)+2*IFERROR(VLOOKUP(INDEX(' Toto teams'!$E$4:$E$119,MATCH($B100,' Toto teams'!$A$4:$A$119,0)),Scoring!$A$4:$N$51,11,FALSE()),0)+1*IFERROR(VLOOKUP(INDEX(' Toto teams'!$F$4:$F$119,MATCH($B100,' Toto teams'!$A$4:$A$119,0)),Scoring!$A$4:$N$51,11,FALSE()),0)+1*IFERROR(VLOOKUP(INDEX(' Toto teams'!$G$4:$G$119,MATCH($B100,' Toto teams'!$A$4:$A$119,0)),Scoring!$A$4:$N$51,11,FALSE()),0)+1*IFERROR(VLOOKUP(INDEX(' Toto teams'!$H$4:$H$119,MATCH($B100,' Toto teams'!$A$4:$A$119,0)),Scoring!$A$4:$N$51,11,FALSE()),0))</f>
        <v>0</v>
      </c>
      <c r="I100" s="28">
        <f>IF($B100="","",6*IFERROR(VLOOKUP(INDEX(' Toto teams'!$B$4:$B$119,MATCH($B100,' Toto teams'!$A$4:$A$119,0)),Scoring!$A$4:$O$51,15,FALSE()),0)+4*IFERROR(VLOOKUP(INDEX(' Toto teams'!$C$4:$C$119,MATCH($B100,' Toto teams'!$A$4:$A$119,0)),Scoring!$A$4:$O$51,15,FALSE()),0)+3*IFERROR(VLOOKUP(INDEX(' Toto teams'!$D$4:$D$119,MATCH($B100,' Toto teams'!$A$4:$A$119,0)),Scoring!$A$4:$O$51,15,FALSE()),0)+2*IFERROR(VLOOKUP(INDEX(' Toto teams'!$E$4:$E$119,MATCH($B100,' Toto teams'!$A$4:$A$119,0)),Scoring!$A$4:$O$51,15,FALSE()),0)+1*IFERROR(VLOOKUP(INDEX(' Toto teams'!$F$4:$F$119,MATCH($B100,' Toto teams'!$A$4:$A$119,0)),Scoring!$A$4:$O$51,15,FALSE()),0)+1*IFERROR(VLOOKUP(INDEX(' Toto teams'!$G$4:$G$119,MATCH($B100,' Toto teams'!$A$4:$A$119,0)),Scoring!$A$4:$O$51,15,FALSE()),0)+1*IFERROR(VLOOKUP(INDEX(' Toto teams'!$H$4:$H$119,MATCH($B100,' Toto teams'!$A$4:$A$119,0)),Scoring!$A$4:$O$51,15,FALSE()),0))</f>
        <v>0</v>
      </c>
      <c r="J100" s="28">
        <f>IF($B100="","",6*IFERROR(VLOOKUP(INDEX(' Toto teams'!$B$4:$B$119,MATCH($B100,' Toto teams'!$A$4:$A$119,0)),Scoring!$A$4:$N$51,12,FALSE()),0)+4*IFERROR(VLOOKUP(INDEX(' Toto teams'!$C$4:$C$119,MATCH($B100,' Toto teams'!$A$4:$A$119,0)),Scoring!$A$4:$N$51,12,FALSE()),0)+3*IFERROR(VLOOKUP(INDEX(' Toto teams'!$D$4:$D$119,MATCH($B100,' Toto teams'!$A$4:$A$119,0)),Scoring!$A$4:$N$51,12,FALSE()),0)+2*IFERROR(VLOOKUP(INDEX(' Toto teams'!$E$4:$E$119,MATCH($B100,' Toto teams'!$A$4:$A$119,0)),Scoring!$A$4:$N$51,12,FALSE()),0)+1*IFERROR(VLOOKUP(INDEX(' Toto teams'!$F$4:$F$119,MATCH($B100,' Toto teams'!$A$4:$A$119,0)),Scoring!$A$4:$N$51,12,FALSE()),0)+1*IFERROR(VLOOKUP(INDEX(' Toto teams'!$G$4:$G$119,MATCH($B100,' Toto teams'!$A$4:$A$119,0)),Scoring!$A$4:$N$51,12,FALSE()),0)+1*IFERROR(VLOOKUP(INDEX(' Toto teams'!$H$4:$H$119,MATCH($B100,' Toto teams'!$A$4:$A$119,0)),Scoring!$A$4:$N$51,12,FALSE()),0))</f>
        <v>0</v>
      </c>
      <c r="K100" s="29">
        <f>IF($B100="","",IFERROR(INDEX(' Toto teams'!$R$4:$R$119,MATCH($B100,' Toto teams'!$A$4:$A$119,0)),""))</f>
        <v>0</v>
      </c>
      <c r="L100" s="30">
        <f t="shared" ref="L100:L119" si="6">IFERROR(IF(B100="","",VLOOKUP(A100,$N$4:$R$12,5,FALSE())),0)</f>
        <v>0</v>
      </c>
    </row>
    <row r="101" spans="1:12" ht="12.75" customHeight="1" x14ac:dyDescent="0.3">
      <c r="A101" s="26">
        <f>IF(98&gt;COUNTIF(' Toto teams'!$A$4:$A$119,"&lt;&gt;"),"",INDEX(' Toto teams'!$S$4:$S$119,MATCH(LARGE(' Toto teams'!$T$4:$T$119,98),' Toto teams'!$T$4:$T$119,0)))</f>
        <v>63</v>
      </c>
      <c r="B101" s="27" t="str">
        <f>IF(98&gt;COUNTIF(' Toto teams'!$A$4:$A$119,"&lt;&gt;"),"",INDEX(' Toto teams'!$A$4:$A$119,MATCH(LARGE(' Toto teams'!$T$4:$T$119,98),' Toto teams'!$T$4:$T$119,0)))</f>
        <v>Giuseppe Diana</v>
      </c>
      <c r="C101" s="28">
        <f>IF($B101="","",6*(IFERROR(VLOOKUP(INDEX(' Toto teams'!$B$4:$B$119,MATCH($B101,' Toto teams'!$A$4:$A$119,0)),Scoring!$A$4:$N$51,3,FALSE()),0)+IFERROR(VLOOKUP(INDEX(' Toto teams'!$B$4:$B$119,MATCH($B101,' Toto teams'!$A$4:$A$119,0)),Scoring!$A$4:$N$51,4,FALSE()),0)+IFERROR(VLOOKUP(INDEX(' Toto teams'!$B$4:$B$119,MATCH($B101,' Toto teams'!$A$4:$A$119,0)),Scoring!$A$4:$N$51,5,FALSE()),0))+4*(IFERROR(VLOOKUP(INDEX(' Toto teams'!$C$4:$C$119,MATCH($B101,' Toto teams'!$A$4:$A$119,0)),Scoring!$A$4:$N$51,3,FALSE()),0)+IFERROR(VLOOKUP(INDEX(' Toto teams'!$C$4:$C$119,MATCH($B101,' Toto teams'!$A$4:$A$119,0)),Scoring!$A$4:$N$51,4,FALSE()),0)+IFERROR(VLOOKUP(INDEX(' Toto teams'!$C$4:$C$119,MATCH($B101,' Toto teams'!$A$4:$A$119,0)),Scoring!$A$4:$N$51,5,FALSE()),0))+3*(IFERROR(VLOOKUP(INDEX(' Toto teams'!$D$4:$D$119,MATCH($B101,' Toto teams'!$A$4:$A$119,0)),Scoring!$A$4:$N$51,3,FALSE()),0)+IFERROR(VLOOKUP(INDEX(' Toto teams'!$D$4:$D$119,MATCH($B101,' Toto teams'!$A$4:$A$119,0)),Scoring!$A$4:$N$51,4,FALSE()),0)+IFERROR(VLOOKUP(INDEX(' Toto teams'!$D$4:$D$119,MATCH($B101,' Toto teams'!$A$4:$A$119,0)),Scoring!$A$4:$N$51,5,FALSE()),0))+2*(IFERROR(VLOOKUP(INDEX(' Toto teams'!$E$4:$E$119,MATCH($B101,' Toto teams'!$A$4:$A$119,0)),Scoring!$A$4:$N$51,3,FALSE()),0)+IFERROR(VLOOKUP(INDEX(' Toto teams'!$E$4:$E$119,MATCH($B101,' Toto teams'!$A$4:$A$119,0)),Scoring!$A$4:$N$51,4,FALSE()),0)+IFERROR(VLOOKUP(INDEX(' Toto teams'!$E$4:$E$119,MATCH($B101,' Toto teams'!$A$4:$A$119,0)),Scoring!$A$4:$N$51,5,FALSE()),0))+1*(IFERROR(VLOOKUP(INDEX(' Toto teams'!$F$4:$F$119,MATCH($B101,' Toto teams'!$A$4:$A$119,0)),Scoring!$A$4:$N$51,3,FALSE()),0)+IFERROR(VLOOKUP(INDEX(' Toto teams'!$F$4:$F$119,MATCH($B101,' Toto teams'!$A$4:$A$119,0)),Scoring!$A$4:$N$51,4,FALSE()),0)+IFERROR(VLOOKUP(INDEX(' Toto teams'!$F$4:$F$119,MATCH($B101,' Toto teams'!$A$4:$A$119,0)),Scoring!$A$4:$N$51,5,FALSE()),0))+1*(IFERROR(VLOOKUP(INDEX(' Toto teams'!$G$4:$G$119,MATCH($B101,' Toto teams'!$A$4:$A$119,0)),Scoring!$A$4:$N$51,3,FALSE()),0)+IFERROR(VLOOKUP(INDEX(' Toto teams'!$G$4:$G$119,MATCH($B101,' Toto teams'!$A$4:$A$119,0)),Scoring!$A$4:$N$51,4,FALSE()),0)+IFERROR(VLOOKUP(INDEX(' Toto teams'!$G$4:$G$119,MATCH($B101,' Toto teams'!$A$4:$A$119,0)),Scoring!$A$4:$N$51,5,FALSE()),0))+1*(IFERROR(VLOOKUP(INDEX(' Toto teams'!$H$4:$H$119,MATCH($B101,' Toto teams'!$A$4:$A$119,0)),Scoring!$A$4:$N$51,3,FALSE()),0)+IFERROR(VLOOKUP(INDEX(' Toto teams'!$H$4:$H$119,MATCH($B101,' Toto teams'!$A$4:$A$119,0)),Scoring!$A$4:$N$51,4,FALSE()),0)+IFERROR(VLOOKUP(INDEX(' Toto teams'!$H$4:$H$119,MATCH($B101,' Toto teams'!$A$4:$A$119,0)),Scoring!$A$4:$N$51,5,FALSE()),0))+IFERROR(INDEX(' Toto teams'!$Q$4:$Q$119,MATCH($B101,' Toto teams'!$A$4:$A$119,0))*1,0))</f>
        <v>0</v>
      </c>
      <c r="D101" s="28">
        <f>IF($B101="","",6*IFERROR(VLOOKUP(INDEX(' Toto teams'!$B$4:$B$119,MATCH($B101,' Toto teams'!$A$4:$A$119,0)),Scoring!$A$4:$N$51,7,FALSE()),0)+4*IFERROR(VLOOKUP(INDEX(' Toto teams'!$C$4:$C$119,MATCH($B101,' Toto teams'!$A$4:$A$119,0)),Scoring!$A$4:$N$51,7,FALSE()),0)+3*IFERROR(VLOOKUP(INDEX(' Toto teams'!$D$4:$D$119,MATCH($B101,' Toto teams'!$A$4:$A$119,0)),Scoring!$A$4:$N$51,7,FALSE()),0)+2*IFERROR(VLOOKUP(INDEX(' Toto teams'!$E$4:$E$119,MATCH($B101,' Toto teams'!$A$4:$A$119,0)),Scoring!$A$4:$N$51,7,FALSE()),0)+1*IFERROR(VLOOKUP(INDEX(' Toto teams'!$F$4:$F$119,MATCH($B101,' Toto teams'!$A$4:$A$119,0)),Scoring!$A$4:$N$51,7,FALSE()),0)+1*IFERROR(VLOOKUP(INDEX(' Toto teams'!$G$4:$G$119,MATCH($B101,' Toto teams'!$A$4:$A$119,0)),Scoring!$A$4:$N$51,7,FALSE()),0)+1*IFERROR(VLOOKUP(INDEX(' Toto teams'!$H$4:$H$119,MATCH($B101,' Toto teams'!$A$4:$A$119,0)),Scoring!$A$4:$N$51,7,FALSE()),0))</f>
        <v>0</v>
      </c>
      <c r="E101" s="28">
        <f>IF($B101="","",6*IFERROR(VLOOKUP(INDEX(' Toto teams'!$B$4:$B$119,MATCH($B101,' Toto teams'!$A$4:$A$119,0)),Scoring!$A$4:$N$51,8,FALSE()),0)+4*IFERROR(VLOOKUP(INDEX(' Toto teams'!$C$4:$C$119,MATCH($B101,' Toto teams'!$A$4:$A$119,0)),Scoring!$A$4:$N$51,8,FALSE()),0)+3*IFERROR(VLOOKUP(INDEX(' Toto teams'!$D$4:$D$119,MATCH($B101,' Toto teams'!$A$4:$A$119,0)),Scoring!$A$4:$N$51,8,FALSE()),0)+2*IFERROR(VLOOKUP(INDEX(' Toto teams'!$E$4:$E$119,MATCH($B101,' Toto teams'!$A$4:$A$119,0)),Scoring!$A$4:$N$51,8,FALSE()),0)+1*IFERROR(VLOOKUP(INDEX(' Toto teams'!$F$4:$F$119,MATCH($B101,' Toto teams'!$A$4:$A$119,0)),Scoring!$A$4:$N$51,8,FALSE()),0)+1*IFERROR(VLOOKUP(INDEX(' Toto teams'!$G$4:$G$119,MATCH($B101,' Toto teams'!$A$4:$A$119,0)),Scoring!$A$4:$N$51,8,FALSE()),0)+1*IFERROR(VLOOKUP(INDEX(' Toto teams'!$H$4:$H$119,MATCH($B101,' Toto teams'!$A$4:$A$119,0)),Scoring!$A$4:$N$51,8,FALSE()),0))</f>
        <v>0</v>
      </c>
      <c r="F101" s="28">
        <f>IF($B101="","",6*IFERROR(VLOOKUP(INDEX(' Toto teams'!$B$4:$B$119,MATCH($B101,' Toto teams'!$A$4:$A$119,0)),Scoring!$A$4:$N$51,9,FALSE()),0)+4*IFERROR(VLOOKUP(INDEX(' Toto teams'!$C$4:$C$119,MATCH($B101,' Toto teams'!$A$4:$A$119,0)),Scoring!$A$4:$N$51,9,FALSE()),0)+3*IFERROR(VLOOKUP(INDEX(' Toto teams'!$D$4:$D$119,MATCH($B101,' Toto teams'!$A$4:$A$119,0)),Scoring!$A$4:$N$51,9,FALSE()),0)+2*IFERROR(VLOOKUP(INDEX(' Toto teams'!$E$4:$E$119,MATCH($B101,' Toto teams'!$A$4:$A$119,0)),Scoring!$A$4:$N$51,9,FALSE()),0)+1*IFERROR(VLOOKUP(INDEX(' Toto teams'!$F$4:$F$119,MATCH($B101,' Toto teams'!$A$4:$A$119,0)),Scoring!$A$4:$N$51,9,FALSE()),0)+1*IFERROR(VLOOKUP(INDEX(' Toto teams'!$G$4:$G$119,MATCH($B101,' Toto teams'!$A$4:$A$119,0)),Scoring!$A$4:$N$51,9,FALSE()),0)+1*IFERROR(VLOOKUP(INDEX(' Toto teams'!$H$4:$H$119,MATCH($B101,' Toto teams'!$A$4:$A$119,0)),Scoring!$A$4:$N$51,9,FALSE()),0))</f>
        <v>0</v>
      </c>
      <c r="G101" s="28">
        <f>IF($B101="","",6*IFERROR(VLOOKUP(INDEX(' Toto teams'!$B$4:$B$119,MATCH($B101,' Toto teams'!$A$4:$A$119,0)),Scoring!$A$4:$N$51,10,FALSE()),0)+4*IFERROR(VLOOKUP(INDEX(' Toto teams'!$C$4:$C$119,MATCH($B101,' Toto teams'!$A$4:$A$119,0)),Scoring!$A$4:$N$51,10,FALSE()),0)+3*IFERROR(VLOOKUP(INDEX(' Toto teams'!$D$4:$D$119,MATCH($B101,' Toto teams'!$A$4:$A$119,0)),Scoring!$A$4:$N$51,10,FALSE()),0)+2*IFERROR(VLOOKUP(INDEX(' Toto teams'!$E$4:$E$119,MATCH($B101,' Toto teams'!$A$4:$A$119,0)),Scoring!$A$4:$N$51,10,FALSE()),0)+1*IFERROR(VLOOKUP(INDEX(' Toto teams'!$F$4:$F$119,MATCH($B101,' Toto teams'!$A$4:$A$119,0)),Scoring!$A$4:$N$51,10,FALSE()),0)+1*IFERROR(VLOOKUP(INDEX(' Toto teams'!$G$4:$G$119,MATCH($B101,' Toto teams'!$A$4:$A$119,0)),Scoring!$A$4:$N$51,10,FALSE()),0)+1*IFERROR(VLOOKUP(INDEX(' Toto teams'!$H$4:$H$119,MATCH($B101,' Toto teams'!$A$4:$A$119,0)),Scoring!$A$4:$N$51,10,FALSE()),0))</f>
        <v>0</v>
      </c>
      <c r="H101" s="28">
        <f>IF($B101="","",6*IFERROR(VLOOKUP(INDEX(' Toto teams'!$B$4:$B$119,MATCH($B101,' Toto teams'!$A$4:$A$119,0)),Scoring!$A$4:$N$51,11,FALSE()),0)+4*IFERROR(VLOOKUP(INDEX(' Toto teams'!$C$4:$C$119,MATCH($B101,' Toto teams'!$A$4:$A$119,0)),Scoring!$A$4:$N$51,11,FALSE()),0)+3*IFERROR(VLOOKUP(INDEX(' Toto teams'!$D$4:$D$119,MATCH($B101,' Toto teams'!$A$4:$A$119,0)),Scoring!$A$4:$N$51,11,FALSE()),0)+2*IFERROR(VLOOKUP(INDEX(' Toto teams'!$E$4:$E$119,MATCH($B101,' Toto teams'!$A$4:$A$119,0)),Scoring!$A$4:$N$51,11,FALSE()),0)+1*IFERROR(VLOOKUP(INDEX(' Toto teams'!$F$4:$F$119,MATCH($B101,' Toto teams'!$A$4:$A$119,0)),Scoring!$A$4:$N$51,11,FALSE()),0)+1*IFERROR(VLOOKUP(INDEX(' Toto teams'!$G$4:$G$119,MATCH($B101,' Toto teams'!$A$4:$A$119,0)),Scoring!$A$4:$N$51,11,FALSE()),0)+1*IFERROR(VLOOKUP(INDEX(' Toto teams'!$H$4:$H$119,MATCH($B101,' Toto teams'!$A$4:$A$119,0)),Scoring!$A$4:$N$51,11,FALSE()),0))</f>
        <v>0</v>
      </c>
      <c r="I101" s="28">
        <f>IF($B101="","",6*IFERROR(VLOOKUP(INDEX(' Toto teams'!$B$4:$B$119,MATCH($B101,' Toto teams'!$A$4:$A$119,0)),Scoring!$A$4:$O$51,15,FALSE()),0)+4*IFERROR(VLOOKUP(INDEX(' Toto teams'!$C$4:$C$119,MATCH($B101,' Toto teams'!$A$4:$A$119,0)),Scoring!$A$4:$O$51,15,FALSE()),0)+3*IFERROR(VLOOKUP(INDEX(' Toto teams'!$D$4:$D$119,MATCH($B101,' Toto teams'!$A$4:$A$119,0)),Scoring!$A$4:$O$51,15,FALSE()),0)+2*IFERROR(VLOOKUP(INDEX(' Toto teams'!$E$4:$E$119,MATCH($B101,' Toto teams'!$A$4:$A$119,0)),Scoring!$A$4:$O$51,15,FALSE()),0)+1*IFERROR(VLOOKUP(INDEX(' Toto teams'!$F$4:$F$119,MATCH($B101,' Toto teams'!$A$4:$A$119,0)),Scoring!$A$4:$O$51,15,FALSE()),0)+1*IFERROR(VLOOKUP(INDEX(' Toto teams'!$G$4:$G$119,MATCH($B101,' Toto teams'!$A$4:$A$119,0)),Scoring!$A$4:$O$51,15,FALSE()),0)+1*IFERROR(VLOOKUP(INDEX(' Toto teams'!$H$4:$H$119,MATCH($B101,' Toto teams'!$A$4:$A$119,0)),Scoring!$A$4:$O$51,15,FALSE()),0))</f>
        <v>0</v>
      </c>
      <c r="J101" s="28">
        <f>IF($B101="","",6*IFERROR(VLOOKUP(INDEX(' Toto teams'!$B$4:$B$119,MATCH($B101,' Toto teams'!$A$4:$A$119,0)),Scoring!$A$4:$N$51,12,FALSE()),0)+4*IFERROR(VLOOKUP(INDEX(' Toto teams'!$C$4:$C$119,MATCH($B101,' Toto teams'!$A$4:$A$119,0)),Scoring!$A$4:$N$51,12,FALSE()),0)+3*IFERROR(VLOOKUP(INDEX(' Toto teams'!$D$4:$D$119,MATCH($B101,' Toto teams'!$A$4:$A$119,0)),Scoring!$A$4:$N$51,12,FALSE()),0)+2*IFERROR(VLOOKUP(INDEX(' Toto teams'!$E$4:$E$119,MATCH($B101,' Toto teams'!$A$4:$A$119,0)),Scoring!$A$4:$N$51,12,FALSE()),0)+1*IFERROR(VLOOKUP(INDEX(' Toto teams'!$F$4:$F$119,MATCH($B101,' Toto teams'!$A$4:$A$119,0)),Scoring!$A$4:$N$51,12,FALSE()),0)+1*IFERROR(VLOOKUP(INDEX(' Toto teams'!$G$4:$G$119,MATCH($B101,' Toto teams'!$A$4:$A$119,0)),Scoring!$A$4:$N$51,12,FALSE()),0)+1*IFERROR(VLOOKUP(INDEX(' Toto teams'!$H$4:$H$119,MATCH($B101,' Toto teams'!$A$4:$A$119,0)),Scoring!$A$4:$N$51,12,FALSE()),0))</f>
        <v>0</v>
      </c>
      <c r="K101" s="29">
        <f>IF($B101="","",IFERROR(INDEX(' Toto teams'!$R$4:$R$119,MATCH($B101,' Toto teams'!$A$4:$A$119,0)),""))</f>
        <v>0</v>
      </c>
      <c r="L101" s="30">
        <f t="shared" si="6"/>
        <v>0</v>
      </c>
    </row>
    <row r="102" spans="1:12" ht="12.75" customHeight="1" x14ac:dyDescent="0.3">
      <c r="A102" s="26">
        <f>IF(99&gt;COUNTIF(' Toto teams'!$A$4:$A$119,"&lt;&gt;"),"",INDEX(' Toto teams'!$S$4:$S$119,MATCH(LARGE(' Toto teams'!$T$4:$T$119,99),' Toto teams'!$T$4:$T$119,0)))</f>
        <v>63</v>
      </c>
      <c r="B102" s="27" t="str">
        <f>IF(99&gt;COUNTIF(' Toto teams'!$A$4:$A$119,"&lt;&gt;"),"",INDEX(' Toto teams'!$A$4:$A$119,MATCH(LARGE(' Toto teams'!$T$4:$T$119,99),' Toto teams'!$T$4:$T$119,0)))</f>
        <v>Danielius Pažusys</v>
      </c>
      <c r="C102" s="28">
        <f>IF($B102="","",6*(IFERROR(VLOOKUP(INDEX(' Toto teams'!$B$4:$B$119,MATCH($B102,' Toto teams'!$A$4:$A$119,0)),Scoring!$A$4:$N$51,3,FALSE()),0)+IFERROR(VLOOKUP(INDEX(' Toto teams'!$B$4:$B$119,MATCH($B102,' Toto teams'!$A$4:$A$119,0)),Scoring!$A$4:$N$51,4,FALSE()),0)+IFERROR(VLOOKUP(INDEX(' Toto teams'!$B$4:$B$119,MATCH($B102,' Toto teams'!$A$4:$A$119,0)),Scoring!$A$4:$N$51,5,FALSE()),0))+4*(IFERROR(VLOOKUP(INDEX(' Toto teams'!$C$4:$C$119,MATCH($B102,' Toto teams'!$A$4:$A$119,0)),Scoring!$A$4:$N$51,3,FALSE()),0)+IFERROR(VLOOKUP(INDEX(' Toto teams'!$C$4:$C$119,MATCH($B102,' Toto teams'!$A$4:$A$119,0)),Scoring!$A$4:$N$51,4,FALSE()),0)+IFERROR(VLOOKUP(INDEX(' Toto teams'!$C$4:$C$119,MATCH($B102,' Toto teams'!$A$4:$A$119,0)),Scoring!$A$4:$N$51,5,FALSE()),0))+3*(IFERROR(VLOOKUP(INDEX(' Toto teams'!$D$4:$D$119,MATCH($B102,' Toto teams'!$A$4:$A$119,0)),Scoring!$A$4:$N$51,3,FALSE()),0)+IFERROR(VLOOKUP(INDEX(' Toto teams'!$D$4:$D$119,MATCH($B102,' Toto teams'!$A$4:$A$119,0)),Scoring!$A$4:$N$51,4,FALSE()),0)+IFERROR(VLOOKUP(INDEX(' Toto teams'!$D$4:$D$119,MATCH($B102,' Toto teams'!$A$4:$A$119,0)),Scoring!$A$4:$N$51,5,FALSE()),0))+2*(IFERROR(VLOOKUP(INDEX(' Toto teams'!$E$4:$E$119,MATCH($B102,' Toto teams'!$A$4:$A$119,0)),Scoring!$A$4:$N$51,3,FALSE()),0)+IFERROR(VLOOKUP(INDEX(' Toto teams'!$E$4:$E$119,MATCH($B102,' Toto teams'!$A$4:$A$119,0)),Scoring!$A$4:$N$51,4,FALSE()),0)+IFERROR(VLOOKUP(INDEX(' Toto teams'!$E$4:$E$119,MATCH($B102,' Toto teams'!$A$4:$A$119,0)),Scoring!$A$4:$N$51,5,FALSE()),0))+1*(IFERROR(VLOOKUP(INDEX(' Toto teams'!$F$4:$F$119,MATCH($B102,' Toto teams'!$A$4:$A$119,0)),Scoring!$A$4:$N$51,3,FALSE()),0)+IFERROR(VLOOKUP(INDEX(' Toto teams'!$F$4:$F$119,MATCH($B102,' Toto teams'!$A$4:$A$119,0)),Scoring!$A$4:$N$51,4,FALSE()),0)+IFERROR(VLOOKUP(INDEX(' Toto teams'!$F$4:$F$119,MATCH($B102,' Toto teams'!$A$4:$A$119,0)),Scoring!$A$4:$N$51,5,FALSE()),0))+1*(IFERROR(VLOOKUP(INDEX(' Toto teams'!$G$4:$G$119,MATCH($B102,' Toto teams'!$A$4:$A$119,0)),Scoring!$A$4:$N$51,3,FALSE()),0)+IFERROR(VLOOKUP(INDEX(' Toto teams'!$G$4:$G$119,MATCH($B102,' Toto teams'!$A$4:$A$119,0)),Scoring!$A$4:$N$51,4,FALSE()),0)+IFERROR(VLOOKUP(INDEX(' Toto teams'!$G$4:$G$119,MATCH($B102,' Toto teams'!$A$4:$A$119,0)),Scoring!$A$4:$N$51,5,FALSE()),0))+1*(IFERROR(VLOOKUP(INDEX(' Toto teams'!$H$4:$H$119,MATCH($B102,' Toto teams'!$A$4:$A$119,0)),Scoring!$A$4:$N$51,3,FALSE()),0)+IFERROR(VLOOKUP(INDEX(' Toto teams'!$H$4:$H$119,MATCH($B102,' Toto teams'!$A$4:$A$119,0)),Scoring!$A$4:$N$51,4,FALSE()),0)+IFERROR(VLOOKUP(INDEX(' Toto teams'!$H$4:$H$119,MATCH($B102,' Toto teams'!$A$4:$A$119,0)),Scoring!$A$4:$N$51,5,FALSE()),0))+IFERROR(INDEX(' Toto teams'!$Q$4:$Q$119,MATCH($B102,' Toto teams'!$A$4:$A$119,0))*1,0))</f>
        <v>0</v>
      </c>
      <c r="D102" s="28">
        <f>IF($B102="","",6*IFERROR(VLOOKUP(INDEX(' Toto teams'!$B$4:$B$119,MATCH($B102,' Toto teams'!$A$4:$A$119,0)),Scoring!$A$4:$N$51,7,FALSE()),0)+4*IFERROR(VLOOKUP(INDEX(' Toto teams'!$C$4:$C$119,MATCH($B102,' Toto teams'!$A$4:$A$119,0)),Scoring!$A$4:$N$51,7,FALSE()),0)+3*IFERROR(VLOOKUP(INDEX(' Toto teams'!$D$4:$D$119,MATCH($B102,' Toto teams'!$A$4:$A$119,0)),Scoring!$A$4:$N$51,7,FALSE()),0)+2*IFERROR(VLOOKUP(INDEX(' Toto teams'!$E$4:$E$119,MATCH($B102,' Toto teams'!$A$4:$A$119,0)),Scoring!$A$4:$N$51,7,FALSE()),0)+1*IFERROR(VLOOKUP(INDEX(' Toto teams'!$F$4:$F$119,MATCH($B102,' Toto teams'!$A$4:$A$119,0)),Scoring!$A$4:$N$51,7,FALSE()),0)+1*IFERROR(VLOOKUP(INDEX(' Toto teams'!$G$4:$G$119,MATCH($B102,' Toto teams'!$A$4:$A$119,0)),Scoring!$A$4:$N$51,7,FALSE()),0)+1*IFERROR(VLOOKUP(INDEX(' Toto teams'!$H$4:$H$119,MATCH($B102,' Toto teams'!$A$4:$A$119,0)),Scoring!$A$4:$N$51,7,FALSE()),0))</f>
        <v>0</v>
      </c>
      <c r="E102" s="28">
        <f>IF($B102="","",6*IFERROR(VLOOKUP(INDEX(' Toto teams'!$B$4:$B$119,MATCH($B102,' Toto teams'!$A$4:$A$119,0)),Scoring!$A$4:$N$51,8,FALSE()),0)+4*IFERROR(VLOOKUP(INDEX(' Toto teams'!$C$4:$C$119,MATCH($B102,' Toto teams'!$A$4:$A$119,0)),Scoring!$A$4:$N$51,8,FALSE()),0)+3*IFERROR(VLOOKUP(INDEX(' Toto teams'!$D$4:$D$119,MATCH($B102,' Toto teams'!$A$4:$A$119,0)),Scoring!$A$4:$N$51,8,FALSE()),0)+2*IFERROR(VLOOKUP(INDEX(' Toto teams'!$E$4:$E$119,MATCH($B102,' Toto teams'!$A$4:$A$119,0)),Scoring!$A$4:$N$51,8,FALSE()),0)+1*IFERROR(VLOOKUP(INDEX(' Toto teams'!$F$4:$F$119,MATCH($B102,' Toto teams'!$A$4:$A$119,0)),Scoring!$A$4:$N$51,8,FALSE()),0)+1*IFERROR(VLOOKUP(INDEX(' Toto teams'!$G$4:$G$119,MATCH($B102,' Toto teams'!$A$4:$A$119,0)),Scoring!$A$4:$N$51,8,FALSE()),0)+1*IFERROR(VLOOKUP(INDEX(' Toto teams'!$H$4:$H$119,MATCH($B102,' Toto teams'!$A$4:$A$119,0)),Scoring!$A$4:$N$51,8,FALSE()),0))</f>
        <v>0</v>
      </c>
      <c r="F102" s="28">
        <f>IF($B102="","",6*IFERROR(VLOOKUP(INDEX(' Toto teams'!$B$4:$B$119,MATCH($B102,' Toto teams'!$A$4:$A$119,0)),Scoring!$A$4:$N$51,9,FALSE()),0)+4*IFERROR(VLOOKUP(INDEX(' Toto teams'!$C$4:$C$119,MATCH($B102,' Toto teams'!$A$4:$A$119,0)),Scoring!$A$4:$N$51,9,FALSE()),0)+3*IFERROR(VLOOKUP(INDEX(' Toto teams'!$D$4:$D$119,MATCH($B102,' Toto teams'!$A$4:$A$119,0)),Scoring!$A$4:$N$51,9,FALSE()),0)+2*IFERROR(VLOOKUP(INDEX(' Toto teams'!$E$4:$E$119,MATCH($B102,' Toto teams'!$A$4:$A$119,0)),Scoring!$A$4:$N$51,9,FALSE()),0)+1*IFERROR(VLOOKUP(INDEX(' Toto teams'!$F$4:$F$119,MATCH($B102,' Toto teams'!$A$4:$A$119,0)),Scoring!$A$4:$N$51,9,FALSE()),0)+1*IFERROR(VLOOKUP(INDEX(' Toto teams'!$G$4:$G$119,MATCH($B102,' Toto teams'!$A$4:$A$119,0)),Scoring!$A$4:$N$51,9,FALSE()),0)+1*IFERROR(VLOOKUP(INDEX(' Toto teams'!$H$4:$H$119,MATCH($B102,' Toto teams'!$A$4:$A$119,0)),Scoring!$A$4:$N$51,9,FALSE()),0))</f>
        <v>0</v>
      </c>
      <c r="G102" s="28">
        <f>IF($B102="","",6*IFERROR(VLOOKUP(INDEX(' Toto teams'!$B$4:$B$119,MATCH($B102,' Toto teams'!$A$4:$A$119,0)),Scoring!$A$4:$N$51,10,FALSE()),0)+4*IFERROR(VLOOKUP(INDEX(' Toto teams'!$C$4:$C$119,MATCH($B102,' Toto teams'!$A$4:$A$119,0)),Scoring!$A$4:$N$51,10,FALSE()),0)+3*IFERROR(VLOOKUP(INDEX(' Toto teams'!$D$4:$D$119,MATCH($B102,' Toto teams'!$A$4:$A$119,0)),Scoring!$A$4:$N$51,10,FALSE()),0)+2*IFERROR(VLOOKUP(INDEX(' Toto teams'!$E$4:$E$119,MATCH($B102,' Toto teams'!$A$4:$A$119,0)),Scoring!$A$4:$N$51,10,FALSE()),0)+1*IFERROR(VLOOKUP(INDEX(' Toto teams'!$F$4:$F$119,MATCH($B102,' Toto teams'!$A$4:$A$119,0)),Scoring!$A$4:$N$51,10,FALSE()),0)+1*IFERROR(VLOOKUP(INDEX(' Toto teams'!$G$4:$G$119,MATCH($B102,' Toto teams'!$A$4:$A$119,0)),Scoring!$A$4:$N$51,10,FALSE()),0)+1*IFERROR(VLOOKUP(INDEX(' Toto teams'!$H$4:$H$119,MATCH($B102,' Toto teams'!$A$4:$A$119,0)),Scoring!$A$4:$N$51,10,FALSE()),0))</f>
        <v>0</v>
      </c>
      <c r="H102" s="28">
        <f>IF($B102="","",6*IFERROR(VLOOKUP(INDEX(' Toto teams'!$B$4:$B$119,MATCH($B102,' Toto teams'!$A$4:$A$119,0)),Scoring!$A$4:$N$51,11,FALSE()),0)+4*IFERROR(VLOOKUP(INDEX(' Toto teams'!$C$4:$C$119,MATCH($B102,' Toto teams'!$A$4:$A$119,0)),Scoring!$A$4:$N$51,11,FALSE()),0)+3*IFERROR(VLOOKUP(INDEX(' Toto teams'!$D$4:$D$119,MATCH($B102,' Toto teams'!$A$4:$A$119,0)),Scoring!$A$4:$N$51,11,FALSE()),0)+2*IFERROR(VLOOKUP(INDEX(' Toto teams'!$E$4:$E$119,MATCH($B102,' Toto teams'!$A$4:$A$119,0)),Scoring!$A$4:$N$51,11,FALSE()),0)+1*IFERROR(VLOOKUP(INDEX(' Toto teams'!$F$4:$F$119,MATCH($B102,' Toto teams'!$A$4:$A$119,0)),Scoring!$A$4:$N$51,11,FALSE()),0)+1*IFERROR(VLOOKUP(INDEX(' Toto teams'!$G$4:$G$119,MATCH($B102,' Toto teams'!$A$4:$A$119,0)),Scoring!$A$4:$N$51,11,FALSE()),0)+1*IFERROR(VLOOKUP(INDEX(' Toto teams'!$H$4:$H$119,MATCH($B102,' Toto teams'!$A$4:$A$119,0)),Scoring!$A$4:$N$51,11,FALSE()),0))</f>
        <v>0</v>
      </c>
      <c r="I102" s="28">
        <f>IF($B102="","",6*IFERROR(VLOOKUP(INDEX(' Toto teams'!$B$4:$B$119,MATCH($B102,' Toto teams'!$A$4:$A$119,0)),Scoring!$A$4:$O$51,15,FALSE()),0)+4*IFERROR(VLOOKUP(INDEX(' Toto teams'!$C$4:$C$119,MATCH($B102,' Toto teams'!$A$4:$A$119,0)),Scoring!$A$4:$O$51,15,FALSE()),0)+3*IFERROR(VLOOKUP(INDEX(' Toto teams'!$D$4:$D$119,MATCH($B102,' Toto teams'!$A$4:$A$119,0)),Scoring!$A$4:$O$51,15,FALSE()),0)+2*IFERROR(VLOOKUP(INDEX(' Toto teams'!$E$4:$E$119,MATCH($B102,' Toto teams'!$A$4:$A$119,0)),Scoring!$A$4:$O$51,15,FALSE()),0)+1*IFERROR(VLOOKUP(INDEX(' Toto teams'!$F$4:$F$119,MATCH($B102,' Toto teams'!$A$4:$A$119,0)),Scoring!$A$4:$O$51,15,FALSE()),0)+1*IFERROR(VLOOKUP(INDEX(' Toto teams'!$G$4:$G$119,MATCH($B102,' Toto teams'!$A$4:$A$119,0)),Scoring!$A$4:$O$51,15,FALSE()),0)+1*IFERROR(VLOOKUP(INDEX(' Toto teams'!$H$4:$H$119,MATCH($B102,' Toto teams'!$A$4:$A$119,0)),Scoring!$A$4:$O$51,15,FALSE()),0))</f>
        <v>0</v>
      </c>
      <c r="J102" s="28">
        <f>IF($B102="","",6*IFERROR(VLOOKUP(INDEX(' Toto teams'!$B$4:$B$119,MATCH($B102,' Toto teams'!$A$4:$A$119,0)),Scoring!$A$4:$N$51,12,FALSE()),0)+4*IFERROR(VLOOKUP(INDEX(' Toto teams'!$C$4:$C$119,MATCH($B102,' Toto teams'!$A$4:$A$119,0)),Scoring!$A$4:$N$51,12,FALSE()),0)+3*IFERROR(VLOOKUP(INDEX(' Toto teams'!$D$4:$D$119,MATCH($B102,' Toto teams'!$A$4:$A$119,0)),Scoring!$A$4:$N$51,12,FALSE()),0)+2*IFERROR(VLOOKUP(INDEX(' Toto teams'!$E$4:$E$119,MATCH($B102,' Toto teams'!$A$4:$A$119,0)),Scoring!$A$4:$N$51,12,FALSE()),0)+1*IFERROR(VLOOKUP(INDEX(' Toto teams'!$F$4:$F$119,MATCH($B102,' Toto teams'!$A$4:$A$119,0)),Scoring!$A$4:$N$51,12,FALSE()),0)+1*IFERROR(VLOOKUP(INDEX(' Toto teams'!$G$4:$G$119,MATCH($B102,' Toto teams'!$A$4:$A$119,0)),Scoring!$A$4:$N$51,12,FALSE()),0)+1*IFERROR(VLOOKUP(INDEX(' Toto teams'!$H$4:$H$119,MATCH($B102,' Toto teams'!$A$4:$A$119,0)),Scoring!$A$4:$N$51,12,FALSE()),0))</f>
        <v>0</v>
      </c>
      <c r="K102" s="29">
        <f>IF($B102="","",IFERROR(INDEX(' Toto teams'!$R$4:$R$119,MATCH($B102,' Toto teams'!$A$4:$A$119,0)),""))</f>
        <v>0</v>
      </c>
      <c r="L102" s="30">
        <f t="shared" si="6"/>
        <v>0</v>
      </c>
    </row>
    <row r="103" spans="1:12" ht="12.75" customHeight="1" x14ac:dyDescent="0.3">
      <c r="A103" s="26">
        <f>IF(100&gt;COUNTIF(' Toto teams'!$A$4:$A$119,"&lt;&gt;"),"",INDEX(' Toto teams'!$S$4:$S$119,MATCH(LARGE(' Toto teams'!$T$4:$T$119,100),' Toto teams'!$T$4:$T$119,0)))</f>
        <v>63</v>
      </c>
      <c r="B103" s="27" t="str">
        <f>IF(100&gt;COUNTIF(' Toto teams'!$A$4:$A$119,"&lt;&gt;"),"",INDEX(' Toto teams'!$A$4:$A$119,MATCH(LARGE(' Toto teams'!$T$4:$T$119,100),' Toto teams'!$T$4:$T$119,0)))</f>
        <v>Gintas Bungarda</v>
      </c>
      <c r="C103" s="28">
        <f>IF($B103="","",6*(IFERROR(VLOOKUP(INDEX(' Toto teams'!$B$4:$B$119,MATCH($B103,' Toto teams'!$A$4:$A$119,0)),Scoring!$A$4:$N$51,3,FALSE()),0)+IFERROR(VLOOKUP(INDEX(' Toto teams'!$B$4:$B$119,MATCH($B103,' Toto teams'!$A$4:$A$119,0)),Scoring!$A$4:$N$51,4,FALSE()),0)+IFERROR(VLOOKUP(INDEX(' Toto teams'!$B$4:$B$119,MATCH($B103,' Toto teams'!$A$4:$A$119,0)),Scoring!$A$4:$N$51,5,FALSE()),0))+4*(IFERROR(VLOOKUP(INDEX(' Toto teams'!$C$4:$C$119,MATCH($B103,' Toto teams'!$A$4:$A$119,0)),Scoring!$A$4:$N$51,3,FALSE()),0)+IFERROR(VLOOKUP(INDEX(' Toto teams'!$C$4:$C$119,MATCH($B103,' Toto teams'!$A$4:$A$119,0)),Scoring!$A$4:$N$51,4,FALSE()),0)+IFERROR(VLOOKUP(INDEX(' Toto teams'!$C$4:$C$119,MATCH($B103,' Toto teams'!$A$4:$A$119,0)),Scoring!$A$4:$N$51,5,FALSE()),0))+3*(IFERROR(VLOOKUP(INDEX(' Toto teams'!$D$4:$D$119,MATCH($B103,' Toto teams'!$A$4:$A$119,0)),Scoring!$A$4:$N$51,3,FALSE()),0)+IFERROR(VLOOKUP(INDEX(' Toto teams'!$D$4:$D$119,MATCH($B103,' Toto teams'!$A$4:$A$119,0)),Scoring!$A$4:$N$51,4,FALSE()),0)+IFERROR(VLOOKUP(INDEX(' Toto teams'!$D$4:$D$119,MATCH($B103,' Toto teams'!$A$4:$A$119,0)),Scoring!$A$4:$N$51,5,FALSE()),0))+2*(IFERROR(VLOOKUP(INDEX(' Toto teams'!$E$4:$E$119,MATCH($B103,' Toto teams'!$A$4:$A$119,0)),Scoring!$A$4:$N$51,3,FALSE()),0)+IFERROR(VLOOKUP(INDEX(' Toto teams'!$E$4:$E$119,MATCH($B103,' Toto teams'!$A$4:$A$119,0)),Scoring!$A$4:$N$51,4,FALSE()),0)+IFERROR(VLOOKUP(INDEX(' Toto teams'!$E$4:$E$119,MATCH($B103,' Toto teams'!$A$4:$A$119,0)),Scoring!$A$4:$N$51,5,FALSE()),0))+1*(IFERROR(VLOOKUP(INDEX(' Toto teams'!$F$4:$F$119,MATCH($B103,' Toto teams'!$A$4:$A$119,0)),Scoring!$A$4:$N$51,3,FALSE()),0)+IFERROR(VLOOKUP(INDEX(' Toto teams'!$F$4:$F$119,MATCH($B103,' Toto teams'!$A$4:$A$119,0)),Scoring!$A$4:$N$51,4,FALSE()),0)+IFERROR(VLOOKUP(INDEX(' Toto teams'!$F$4:$F$119,MATCH($B103,' Toto teams'!$A$4:$A$119,0)),Scoring!$A$4:$N$51,5,FALSE()),0))+1*(IFERROR(VLOOKUP(INDEX(' Toto teams'!$G$4:$G$119,MATCH($B103,' Toto teams'!$A$4:$A$119,0)),Scoring!$A$4:$N$51,3,FALSE()),0)+IFERROR(VLOOKUP(INDEX(' Toto teams'!$G$4:$G$119,MATCH($B103,' Toto teams'!$A$4:$A$119,0)),Scoring!$A$4:$N$51,4,FALSE()),0)+IFERROR(VLOOKUP(INDEX(' Toto teams'!$G$4:$G$119,MATCH($B103,' Toto teams'!$A$4:$A$119,0)),Scoring!$A$4:$N$51,5,FALSE()),0))+1*(IFERROR(VLOOKUP(INDEX(' Toto teams'!$H$4:$H$119,MATCH($B103,' Toto teams'!$A$4:$A$119,0)),Scoring!$A$4:$N$51,3,FALSE()),0)+IFERROR(VLOOKUP(INDEX(' Toto teams'!$H$4:$H$119,MATCH($B103,' Toto teams'!$A$4:$A$119,0)),Scoring!$A$4:$N$51,4,FALSE()),0)+IFERROR(VLOOKUP(INDEX(' Toto teams'!$H$4:$H$119,MATCH($B103,' Toto teams'!$A$4:$A$119,0)),Scoring!$A$4:$N$51,5,FALSE()),0))+IFERROR(INDEX(' Toto teams'!$Q$4:$Q$119,MATCH($B103,' Toto teams'!$A$4:$A$119,0))*1,0))</f>
        <v>0</v>
      </c>
      <c r="D103" s="28">
        <f>IF($B103="","",6*IFERROR(VLOOKUP(INDEX(' Toto teams'!$B$4:$B$119,MATCH($B103,' Toto teams'!$A$4:$A$119,0)),Scoring!$A$4:$N$51,7,FALSE()),0)+4*IFERROR(VLOOKUP(INDEX(' Toto teams'!$C$4:$C$119,MATCH($B103,' Toto teams'!$A$4:$A$119,0)),Scoring!$A$4:$N$51,7,FALSE()),0)+3*IFERROR(VLOOKUP(INDEX(' Toto teams'!$D$4:$D$119,MATCH($B103,' Toto teams'!$A$4:$A$119,0)),Scoring!$A$4:$N$51,7,FALSE()),0)+2*IFERROR(VLOOKUP(INDEX(' Toto teams'!$E$4:$E$119,MATCH($B103,' Toto teams'!$A$4:$A$119,0)),Scoring!$A$4:$N$51,7,FALSE()),0)+1*IFERROR(VLOOKUP(INDEX(' Toto teams'!$F$4:$F$119,MATCH($B103,' Toto teams'!$A$4:$A$119,0)),Scoring!$A$4:$N$51,7,FALSE()),0)+1*IFERROR(VLOOKUP(INDEX(' Toto teams'!$G$4:$G$119,MATCH($B103,' Toto teams'!$A$4:$A$119,0)),Scoring!$A$4:$N$51,7,FALSE()),0)+1*IFERROR(VLOOKUP(INDEX(' Toto teams'!$H$4:$H$119,MATCH($B103,' Toto teams'!$A$4:$A$119,0)),Scoring!$A$4:$N$51,7,FALSE()),0))</f>
        <v>0</v>
      </c>
      <c r="E103" s="28">
        <f>IF($B103="","",6*IFERROR(VLOOKUP(INDEX(' Toto teams'!$B$4:$B$119,MATCH($B103,' Toto teams'!$A$4:$A$119,0)),Scoring!$A$4:$N$51,8,FALSE()),0)+4*IFERROR(VLOOKUP(INDEX(' Toto teams'!$C$4:$C$119,MATCH($B103,' Toto teams'!$A$4:$A$119,0)),Scoring!$A$4:$N$51,8,FALSE()),0)+3*IFERROR(VLOOKUP(INDEX(' Toto teams'!$D$4:$D$119,MATCH($B103,' Toto teams'!$A$4:$A$119,0)),Scoring!$A$4:$N$51,8,FALSE()),0)+2*IFERROR(VLOOKUP(INDEX(' Toto teams'!$E$4:$E$119,MATCH($B103,' Toto teams'!$A$4:$A$119,0)),Scoring!$A$4:$N$51,8,FALSE()),0)+1*IFERROR(VLOOKUP(INDEX(' Toto teams'!$F$4:$F$119,MATCH($B103,' Toto teams'!$A$4:$A$119,0)),Scoring!$A$4:$N$51,8,FALSE()),0)+1*IFERROR(VLOOKUP(INDEX(' Toto teams'!$G$4:$G$119,MATCH($B103,' Toto teams'!$A$4:$A$119,0)),Scoring!$A$4:$N$51,8,FALSE()),0)+1*IFERROR(VLOOKUP(INDEX(' Toto teams'!$H$4:$H$119,MATCH($B103,' Toto teams'!$A$4:$A$119,0)),Scoring!$A$4:$N$51,8,FALSE()),0))</f>
        <v>0</v>
      </c>
      <c r="F103" s="28">
        <f>IF($B103="","",6*IFERROR(VLOOKUP(INDEX(' Toto teams'!$B$4:$B$119,MATCH($B103,' Toto teams'!$A$4:$A$119,0)),Scoring!$A$4:$N$51,9,FALSE()),0)+4*IFERROR(VLOOKUP(INDEX(' Toto teams'!$C$4:$C$119,MATCH($B103,' Toto teams'!$A$4:$A$119,0)),Scoring!$A$4:$N$51,9,FALSE()),0)+3*IFERROR(VLOOKUP(INDEX(' Toto teams'!$D$4:$D$119,MATCH($B103,' Toto teams'!$A$4:$A$119,0)),Scoring!$A$4:$N$51,9,FALSE()),0)+2*IFERROR(VLOOKUP(INDEX(' Toto teams'!$E$4:$E$119,MATCH($B103,' Toto teams'!$A$4:$A$119,0)),Scoring!$A$4:$N$51,9,FALSE()),0)+1*IFERROR(VLOOKUP(INDEX(' Toto teams'!$F$4:$F$119,MATCH($B103,' Toto teams'!$A$4:$A$119,0)),Scoring!$A$4:$N$51,9,FALSE()),0)+1*IFERROR(VLOOKUP(INDEX(' Toto teams'!$G$4:$G$119,MATCH($B103,' Toto teams'!$A$4:$A$119,0)),Scoring!$A$4:$N$51,9,FALSE()),0)+1*IFERROR(VLOOKUP(INDEX(' Toto teams'!$H$4:$H$119,MATCH($B103,' Toto teams'!$A$4:$A$119,0)),Scoring!$A$4:$N$51,9,FALSE()),0))</f>
        <v>0</v>
      </c>
      <c r="G103" s="28">
        <f>IF($B103="","",6*IFERROR(VLOOKUP(INDEX(' Toto teams'!$B$4:$B$119,MATCH($B103,' Toto teams'!$A$4:$A$119,0)),Scoring!$A$4:$N$51,10,FALSE()),0)+4*IFERROR(VLOOKUP(INDEX(' Toto teams'!$C$4:$C$119,MATCH($B103,' Toto teams'!$A$4:$A$119,0)),Scoring!$A$4:$N$51,10,FALSE()),0)+3*IFERROR(VLOOKUP(INDEX(' Toto teams'!$D$4:$D$119,MATCH($B103,' Toto teams'!$A$4:$A$119,0)),Scoring!$A$4:$N$51,10,FALSE()),0)+2*IFERROR(VLOOKUP(INDEX(' Toto teams'!$E$4:$E$119,MATCH($B103,' Toto teams'!$A$4:$A$119,0)),Scoring!$A$4:$N$51,10,FALSE()),0)+1*IFERROR(VLOOKUP(INDEX(' Toto teams'!$F$4:$F$119,MATCH($B103,' Toto teams'!$A$4:$A$119,0)),Scoring!$A$4:$N$51,10,FALSE()),0)+1*IFERROR(VLOOKUP(INDEX(' Toto teams'!$G$4:$G$119,MATCH($B103,' Toto teams'!$A$4:$A$119,0)),Scoring!$A$4:$N$51,10,FALSE()),0)+1*IFERROR(VLOOKUP(INDEX(' Toto teams'!$H$4:$H$119,MATCH($B103,' Toto teams'!$A$4:$A$119,0)),Scoring!$A$4:$N$51,10,FALSE()),0))</f>
        <v>0</v>
      </c>
      <c r="H103" s="28">
        <f>IF($B103="","",6*IFERROR(VLOOKUP(INDEX(' Toto teams'!$B$4:$B$119,MATCH($B103,' Toto teams'!$A$4:$A$119,0)),Scoring!$A$4:$N$51,11,FALSE()),0)+4*IFERROR(VLOOKUP(INDEX(' Toto teams'!$C$4:$C$119,MATCH($B103,' Toto teams'!$A$4:$A$119,0)),Scoring!$A$4:$N$51,11,FALSE()),0)+3*IFERROR(VLOOKUP(INDEX(' Toto teams'!$D$4:$D$119,MATCH($B103,' Toto teams'!$A$4:$A$119,0)),Scoring!$A$4:$N$51,11,FALSE()),0)+2*IFERROR(VLOOKUP(INDEX(' Toto teams'!$E$4:$E$119,MATCH($B103,' Toto teams'!$A$4:$A$119,0)),Scoring!$A$4:$N$51,11,FALSE()),0)+1*IFERROR(VLOOKUP(INDEX(' Toto teams'!$F$4:$F$119,MATCH($B103,' Toto teams'!$A$4:$A$119,0)),Scoring!$A$4:$N$51,11,FALSE()),0)+1*IFERROR(VLOOKUP(INDEX(' Toto teams'!$G$4:$G$119,MATCH($B103,' Toto teams'!$A$4:$A$119,0)),Scoring!$A$4:$N$51,11,FALSE()),0)+1*IFERROR(VLOOKUP(INDEX(' Toto teams'!$H$4:$H$119,MATCH($B103,' Toto teams'!$A$4:$A$119,0)),Scoring!$A$4:$N$51,11,FALSE()),0))</f>
        <v>0</v>
      </c>
      <c r="I103" s="28">
        <f>IF($B103="","",6*IFERROR(VLOOKUP(INDEX(' Toto teams'!$B$4:$B$119,MATCH($B103,' Toto teams'!$A$4:$A$119,0)),Scoring!$A$4:$O$51,15,FALSE()),0)+4*IFERROR(VLOOKUP(INDEX(' Toto teams'!$C$4:$C$119,MATCH($B103,' Toto teams'!$A$4:$A$119,0)),Scoring!$A$4:$O$51,15,FALSE()),0)+3*IFERROR(VLOOKUP(INDEX(' Toto teams'!$D$4:$D$119,MATCH($B103,' Toto teams'!$A$4:$A$119,0)),Scoring!$A$4:$O$51,15,FALSE()),0)+2*IFERROR(VLOOKUP(INDEX(' Toto teams'!$E$4:$E$119,MATCH($B103,' Toto teams'!$A$4:$A$119,0)),Scoring!$A$4:$O$51,15,FALSE()),0)+1*IFERROR(VLOOKUP(INDEX(' Toto teams'!$F$4:$F$119,MATCH($B103,' Toto teams'!$A$4:$A$119,0)),Scoring!$A$4:$O$51,15,FALSE()),0)+1*IFERROR(VLOOKUP(INDEX(' Toto teams'!$G$4:$G$119,MATCH($B103,' Toto teams'!$A$4:$A$119,0)),Scoring!$A$4:$O$51,15,FALSE()),0)+1*IFERROR(VLOOKUP(INDEX(' Toto teams'!$H$4:$H$119,MATCH($B103,' Toto teams'!$A$4:$A$119,0)),Scoring!$A$4:$O$51,15,FALSE()),0))</f>
        <v>0</v>
      </c>
      <c r="J103" s="28">
        <f>IF($B103="","",6*IFERROR(VLOOKUP(INDEX(' Toto teams'!$B$4:$B$119,MATCH($B103,' Toto teams'!$A$4:$A$119,0)),Scoring!$A$4:$N$51,12,FALSE()),0)+4*IFERROR(VLOOKUP(INDEX(' Toto teams'!$C$4:$C$119,MATCH($B103,' Toto teams'!$A$4:$A$119,0)),Scoring!$A$4:$N$51,12,FALSE()),0)+3*IFERROR(VLOOKUP(INDEX(' Toto teams'!$D$4:$D$119,MATCH($B103,' Toto teams'!$A$4:$A$119,0)),Scoring!$A$4:$N$51,12,FALSE()),0)+2*IFERROR(VLOOKUP(INDEX(' Toto teams'!$E$4:$E$119,MATCH($B103,' Toto teams'!$A$4:$A$119,0)),Scoring!$A$4:$N$51,12,FALSE()),0)+1*IFERROR(VLOOKUP(INDEX(' Toto teams'!$F$4:$F$119,MATCH($B103,' Toto teams'!$A$4:$A$119,0)),Scoring!$A$4:$N$51,12,FALSE()),0)+1*IFERROR(VLOOKUP(INDEX(' Toto teams'!$G$4:$G$119,MATCH($B103,' Toto teams'!$A$4:$A$119,0)),Scoring!$A$4:$N$51,12,FALSE()),0)+1*IFERROR(VLOOKUP(INDEX(' Toto teams'!$H$4:$H$119,MATCH($B103,' Toto teams'!$A$4:$A$119,0)),Scoring!$A$4:$N$51,12,FALSE()),0))</f>
        <v>0</v>
      </c>
      <c r="K103" s="29">
        <f>IF($B103="","",IFERROR(INDEX(' Toto teams'!$R$4:$R$119,MATCH($B103,' Toto teams'!$A$4:$A$119,0)),""))</f>
        <v>0</v>
      </c>
      <c r="L103" s="30">
        <f t="shared" si="6"/>
        <v>0</v>
      </c>
    </row>
    <row r="104" spans="1:12" ht="13.5" customHeight="1" x14ac:dyDescent="0.3">
      <c r="A104" s="26">
        <f>IF(101&gt;COUNTIF(' Toto teams'!$A$4:$A$119,"&lt;&gt;"),"",INDEX(' Toto teams'!$S$4:$S$119,MATCH(LARGE(' Toto teams'!$T$4:$T$119,101),' Toto teams'!$T$4:$T$119,0)))</f>
        <v>63</v>
      </c>
      <c r="B104" s="27" t="str">
        <f>IF(101&gt;COUNTIF(' Toto teams'!$A$4:$A$119,"&lt;&gt;"),"",INDEX(' Toto teams'!$A$4:$A$119,MATCH(LARGE(' Toto teams'!$T$4:$T$119,101),' Toto teams'!$T$4:$T$119,0)))</f>
        <v>Paulina Bungardė</v>
      </c>
      <c r="C104" s="28">
        <f>IF($B104="","",6*(IFERROR(VLOOKUP(INDEX(' Toto teams'!$B$4:$B$119,MATCH($B104,' Toto teams'!$A$4:$A$119,0)),Scoring!$A$4:$N$51,3,FALSE()),0)+IFERROR(VLOOKUP(INDEX(' Toto teams'!$B$4:$B$119,MATCH($B104,' Toto teams'!$A$4:$A$119,0)),Scoring!$A$4:$N$51,4,FALSE()),0)+IFERROR(VLOOKUP(INDEX(' Toto teams'!$B$4:$B$119,MATCH($B104,' Toto teams'!$A$4:$A$119,0)),Scoring!$A$4:$N$51,5,FALSE()),0))+4*(IFERROR(VLOOKUP(INDEX(' Toto teams'!$C$4:$C$119,MATCH($B104,' Toto teams'!$A$4:$A$119,0)),Scoring!$A$4:$N$51,3,FALSE()),0)+IFERROR(VLOOKUP(INDEX(' Toto teams'!$C$4:$C$119,MATCH($B104,' Toto teams'!$A$4:$A$119,0)),Scoring!$A$4:$N$51,4,FALSE()),0)+IFERROR(VLOOKUP(INDEX(' Toto teams'!$C$4:$C$119,MATCH($B104,' Toto teams'!$A$4:$A$119,0)),Scoring!$A$4:$N$51,5,FALSE()),0))+3*(IFERROR(VLOOKUP(INDEX(' Toto teams'!$D$4:$D$119,MATCH($B104,' Toto teams'!$A$4:$A$119,0)),Scoring!$A$4:$N$51,3,FALSE()),0)+IFERROR(VLOOKUP(INDEX(' Toto teams'!$D$4:$D$119,MATCH($B104,' Toto teams'!$A$4:$A$119,0)),Scoring!$A$4:$N$51,4,FALSE()),0)+IFERROR(VLOOKUP(INDEX(' Toto teams'!$D$4:$D$119,MATCH($B104,' Toto teams'!$A$4:$A$119,0)),Scoring!$A$4:$N$51,5,FALSE()),0))+2*(IFERROR(VLOOKUP(INDEX(' Toto teams'!$E$4:$E$119,MATCH($B104,' Toto teams'!$A$4:$A$119,0)),Scoring!$A$4:$N$51,3,FALSE()),0)+IFERROR(VLOOKUP(INDEX(' Toto teams'!$E$4:$E$119,MATCH($B104,' Toto teams'!$A$4:$A$119,0)),Scoring!$A$4:$N$51,4,FALSE()),0)+IFERROR(VLOOKUP(INDEX(' Toto teams'!$E$4:$E$119,MATCH($B104,' Toto teams'!$A$4:$A$119,0)),Scoring!$A$4:$N$51,5,FALSE()),0))+1*(IFERROR(VLOOKUP(INDEX(' Toto teams'!$F$4:$F$119,MATCH($B104,' Toto teams'!$A$4:$A$119,0)),Scoring!$A$4:$N$51,3,FALSE()),0)+IFERROR(VLOOKUP(INDEX(' Toto teams'!$F$4:$F$119,MATCH($B104,' Toto teams'!$A$4:$A$119,0)),Scoring!$A$4:$N$51,4,FALSE()),0)+IFERROR(VLOOKUP(INDEX(' Toto teams'!$F$4:$F$119,MATCH($B104,' Toto teams'!$A$4:$A$119,0)),Scoring!$A$4:$N$51,5,FALSE()),0))+1*(IFERROR(VLOOKUP(INDEX(' Toto teams'!$G$4:$G$119,MATCH($B104,' Toto teams'!$A$4:$A$119,0)),Scoring!$A$4:$N$51,3,FALSE()),0)+IFERROR(VLOOKUP(INDEX(' Toto teams'!$G$4:$G$119,MATCH($B104,' Toto teams'!$A$4:$A$119,0)),Scoring!$A$4:$N$51,4,FALSE()),0)+IFERROR(VLOOKUP(INDEX(' Toto teams'!$G$4:$G$119,MATCH($B104,' Toto teams'!$A$4:$A$119,0)),Scoring!$A$4:$N$51,5,FALSE()),0))+1*(IFERROR(VLOOKUP(INDEX(' Toto teams'!$H$4:$H$119,MATCH($B104,' Toto teams'!$A$4:$A$119,0)),Scoring!$A$4:$N$51,3,FALSE()),0)+IFERROR(VLOOKUP(INDEX(' Toto teams'!$H$4:$H$119,MATCH($B104,' Toto teams'!$A$4:$A$119,0)),Scoring!$A$4:$N$51,4,FALSE()),0)+IFERROR(VLOOKUP(INDEX(' Toto teams'!$H$4:$H$119,MATCH($B104,' Toto teams'!$A$4:$A$119,0)),Scoring!$A$4:$N$51,5,FALSE()),0))+IFERROR(INDEX(' Toto teams'!$Q$4:$Q$119,MATCH($B104,' Toto teams'!$A$4:$A$119,0))*1,0))</f>
        <v>0</v>
      </c>
      <c r="D104" s="28">
        <f>IF($B104="","",6*IFERROR(VLOOKUP(INDEX(' Toto teams'!$B$4:$B$119,MATCH($B104,' Toto teams'!$A$4:$A$119,0)),Scoring!$A$4:$N$51,7,FALSE()),0)+4*IFERROR(VLOOKUP(INDEX(' Toto teams'!$C$4:$C$119,MATCH($B104,' Toto teams'!$A$4:$A$119,0)),Scoring!$A$4:$N$51,7,FALSE()),0)+3*IFERROR(VLOOKUP(INDEX(' Toto teams'!$D$4:$D$119,MATCH($B104,' Toto teams'!$A$4:$A$119,0)),Scoring!$A$4:$N$51,7,FALSE()),0)+2*IFERROR(VLOOKUP(INDEX(' Toto teams'!$E$4:$E$119,MATCH($B104,' Toto teams'!$A$4:$A$119,0)),Scoring!$A$4:$N$51,7,FALSE()),0)+1*IFERROR(VLOOKUP(INDEX(' Toto teams'!$F$4:$F$119,MATCH($B104,' Toto teams'!$A$4:$A$119,0)),Scoring!$A$4:$N$51,7,FALSE()),0)+1*IFERROR(VLOOKUP(INDEX(' Toto teams'!$G$4:$G$119,MATCH($B104,' Toto teams'!$A$4:$A$119,0)),Scoring!$A$4:$N$51,7,FALSE()),0)+1*IFERROR(VLOOKUP(INDEX(' Toto teams'!$H$4:$H$119,MATCH($B104,' Toto teams'!$A$4:$A$119,0)),Scoring!$A$4:$N$51,7,FALSE()),0))</f>
        <v>0</v>
      </c>
      <c r="E104" s="28">
        <f>IF($B104="","",6*IFERROR(VLOOKUP(INDEX(' Toto teams'!$B$4:$B$119,MATCH($B104,' Toto teams'!$A$4:$A$119,0)),Scoring!$A$4:$N$51,8,FALSE()),0)+4*IFERROR(VLOOKUP(INDEX(' Toto teams'!$C$4:$C$119,MATCH($B104,' Toto teams'!$A$4:$A$119,0)),Scoring!$A$4:$N$51,8,FALSE()),0)+3*IFERROR(VLOOKUP(INDEX(' Toto teams'!$D$4:$D$119,MATCH($B104,' Toto teams'!$A$4:$A$119,0)),Scoring!$A$4:$N$51,8,FALSE()),0)+2*IFERROR(VLOOKUP(INDEX(' Toto teams'!$E$4:$E$119,MATCH($B104,' Toto teams'!$A$4:$A$119,0)),Scoring!$A$4:$N$51,8,FALSE()),0)+1*IFERROR(VLOOKUP(INDEX(' Toto teams'!$F$4:$F$119,MATCH($B104,' Toto teams'!$A$4:$A$119,0)),Scoring!$A$4:$N$51,8,FALSE()),0)+1*IFERROR(VLOOKUP(INDEX(' Toto teams'!$G$4:$G$119,MATCH($B104,' Toto teams'!$A$4:$A$119,0)),Scoring!$A$4:$N$51,8,FALSE()),0)+1*IFERROR(VLOOKUP(INDEX(' Toto teams'!$H$4:$H$119,MATCH($B104,' Toto teams'!$A$4:$A$119,0)),Scoring!$A$4:$N$51,8,FALSE()),0))</f>
        <v>0</v>
      </c>
      <c r="F104" s="28">
        <f>IF($B104="","",6*IFERROR(VLOOKUP(INDEX(' Toto teams'!$B$4:$B$119,MATCH($B104,' Toto teams'!$A$4:$A$119,0)),Scoring!$A$4:$N$51,9,FALSE()),0)+4*IFERROR(VLOOKUP(INDEX(' Toto teams'!$C$4:$C$119,MATCH($B104,' Toto teams'!$A$4:$A$119,0)),Scoring!$A$4:$N$51,9,FALSE()),0)+3*IFERROR(VLOOKUP(INDEX(' Toto teams'!$D$4:$D$119,MATCH($B104,' Toto teams'!$A$4:$A$119,0)),Scoring!$A$4:$N$51,9,FALSE()),0)+2*IFERROR(VLOOKUP(INDEX(' Toto teams'!$E$4:$E$119,MATCH($B104,' Toto teams'!$A$4:$A$119,0)),Scoring!$A$4:$N$51,9,FALSE()),0)+1*IFERROR(VLOOKUP(INDEX(' Toto teams'!$F$4:$F$119,MATCH($B104,' Toto teams'!$A$4:$A$119,0)),Scoring!$A$4:$N$51,9,FALSE()),0)+1*IFERROR(VLOOKUP(INDEX(' Toto teams'!$G$4:$G$119,MATCH($B104,' Toto teams'!$A$4:$A$119,0)),Scoring!$A$4:$N$51,9,FALSE()),0)+1*IFERROR(VLOOKUP(INDEX(' Toto teams'!$H$4:$H$119,MATCH($B104,' Toto teams'!$A$4:$A$119,0)),Scoring!$A$4:$N$51,9,FALSE()),0))</f>
        <v>0</v>
      </c>
      <c r="G104" s="28">
        <f>IF($B104="","",6*IFERROR(VLOOKUP(INDEX(' Toto teams'!$B$4:$B$119,MATCH($B104,' Toto teams'!$A$4:$A$119,0)),Scoring!$A$4:$N$51,10,FALSE()),0)+4*IFERROR(VLOOKUP(INDEX(' Toto teams'!$C$4:$C$119,MATCH($B104,' Toto teams'!$A$4:$A$119,0)),Scoring!$A$4:$N$51,10,FALSE()),0)+3*IFERROR(VLOOKUP(INDEX(' Toto teams'!$D$4:$D$119,MATCH($B104,' Toto teams'!$A$4:$A$119,0)),Scoring!$A$4:$N$51,10,FALSE()),0)+2*IFERROR(VLOOKUP(INDEX(' Toto teams'!$E$4:$E$119,MATCH($B104,' Toto teams'!$A$4:$A$119,0)),Scoring!$A$4:$N$51,10,FALSE()),0)+1*IFERROR(VLOOKUP(INDEX(' Toto teams'!$F$4:$F$119,MATCH($B104,' Toto teams'!$A$4:$A$119,0)),Scoring!$A$4:$N$51,10,FALSE()),0)+1*IFERROR(VLOOKUP(INDEX(' Toto teams'!$G$4:$G$119,MATCH($B104,' Toto teams'!$A$4:$A$119,0)),Scoring!$A$4:$N$51,10,FALSE()),0)+1*IFERROR(VLOOKUP(INDEX(' Toto teams'!$H$4:$H$119,MATCH($B104,' Toto teams'!$A$4:$A$119,0)),Scoring!$A$4:$N$51,10,FALSE()),0))</f>
        <v>0</v>
      </c>
      <c r="H104" s="28">
        <f>IF($B104="","",6*IFERROR(VLOOKUP(INDEX(' Toto teams'!$B$4:$B$119,MATCH($B104,' Toto teams'!$A$4:$A$119,0)),Scoring!$A$4:$N$51,11,FALSE()),0)+4*IFERROR(VLOOKUP(INDEX(' Toto teams'!$C$4:$C$119,MATCH($B104,' Toto teams'!$A$4:$A$119,0)),Scoring!$A$4:$N$51,11,FALSE()),0)+3*IFERROR(VLOOKUP(INDEX(' Toto teams'!$D$4:$D$119,MATCH($B104,' Toto teams'!$A$4:$A$119,0)),Scoring!$A$4:$N$51,11,FALSE()),0)+2*IFERROR(VLOOKUP(INDEX(' Toto teams'!$E$4:$E$119,MATCH($B104,' Toto teams'!$A$4:$A$119,0)),Scoring!$A$4:$N$51,11,FALSE()),0)+1*IFERROR(VLOOKUP(INDEX(' Toto teams'!$F$4:$F$119,MATCH($B104,' Toto teams'!$A$4:$A$119,0)),Scoring!$A$4:$N$51,11,FALSE()),0)+1*IFERROR(VLOOKUP(INDEX(' Toto teams'!$G$4:$G$119,MATCH($B104,' Toto teams'!$A$4:$A$119,0)),Scoring!$A$4:$N$51,11,FALSE()),0)+1*IFERROR(VLOOKUP(INDEX(' Toto teams'!$H$4:$H$119,MATCH($B104,' Toto teams'!$A$4:$A$119,0)),Scoring!$A$4:$N$51,11,FALSE()),0))</f>
        <v>0</v>
      </c>
      <c r="I104" s="28">
        <f>IF($B104="","",6*IFERROR(VLOOKUP(INDEX(' Toto teams'!$B$4:$B$119,MATCH($B104,' Toto teams'!$A$4:$A$119,0)),Scoring!$A$4:$O$51,15,FALSE()),0)+4*IFERROR(VLOOKUP(INDEX(' Toto teams'!$C$4:$C$119,MATCH($B104,' Toto teams'!$A$4:$A$119,0)),Scoring!$A$4:$O$51,15,FALSE()),0)+3*IFERROR(VLOOKUP(INDEX(' Toto teams'!$D$4:$D$119,MATCH($B104,' Toto teams'!$A$4:$A$119,0)),Scoring!$A$4:$O$51,15,FALSE()),0)+2*IFERROR(VLOOKUP(INDEX(' Toto teams'!$E$4:$E$119,MATCH($B104,' Toto teams'!$A$4:$A$119,0)),Scoring!$A$4:$O$51,15,FALSE()),0)+1*IFERROR(VLOOKUP(INDEX(' Toto teams'!$F$4:$F$119,MATCH($B104,' Toto teams'!$A$4:$A$119,0)),Scoring!$A$4:$O$51,15,FALSE()),0)+1*IFERROR(VLOOKUP(INDEX(' Toto teams'!$G$4:$G$119,MATCH($B104,' Toto teams'!$A$4:$A$119,0)),Scoring!$A$4:$O$51,15,FALSE()),0)+1*IFERROR(VLOOKUP(INDEX(' Toto teams'!$H$4:$H$119,MATCH($B104,' Toto teams'!$A$4:$A$119,0)),Scoring!$A$4:$O$51,15,FALSE()),0))</f>
        <v>0</v>
      </c>
      <c r="J104" s="28">
        <f>IF($B104="","",6*IFERROR(VLOOKUP(INDEX(' Toto teams'!$B$4:$B$119,MATCH($B104,' Toto teams'!$A$4:$A$119,0)),Scoring!$A$4:$N$51,12,FALSE()),0)+4*IFERROR(VLOOKUP(INDEX(' Toto teams'!$C$4:$C$119,MATCH($B104,' Toto teams'!$A$4:$A$119,0)),Scoring!$A$4:$N$51,12,FALSE()),0)+3*IFERROR(VLOOKUP(INDEX(' Toto teams'!$D$4:$D$119,MATCH($B104,' Toto teams'!$A$4:$A$119,0)),Scoring!$A$4:$N$51,12,FALSE()),0)+2*IFERROR(VLOOKUP(INDEX(' Toto teams'!$E$4:$E$119,MATCH($B104,' Toto teams'!$A$4:$A$119,0)),Scoring!$A$4:$N$51,12,FALSE()),0)+1*IFERROR(VLOOKUP(INDEX(' Toto teams'!$F$4:$F$119,MATCH($B104,' Toto teams'!$A$4:$A$119,0)),Scoring!$A$4:$N$51,12,FALSE()),0)+1*IFERROR(VLOOKUP(INDEX(' Toto teams'!$G$4:$G$119,MATCH($B104,' Toto teams'!$A$4:$A$119,0)),Scoring!$A$4:$N$51,12,FALSE()),0)+1*IFERROR(VLOOKUP(INDEX(' Toto teams'!$H$4:$H$119,MATCH($B104,' Toto teams'!$A$4:$A$119,0)),Scoring!$A$4:$N$51,12,FALSE()),0))</f>
        <v>0</v>
      </c>
      <c r="K104" s="29">
        <f>IF($B104="","",IFERROR(INDEX(' Toto teams'!$R$4:$R$119,MATCH($B104,' Toto teams'!$A$4:$A$119,0)),""))</f>
        <v>0</v>
      </c>
      <c r="L104" s="30">
        <f t="shared" si="6"/>
        <v>0</v>
      </c>
    </row>
    <row r="105" spans="1:12" ht="13.5" customHeight="1" x14ac:dyDescent="0.3">
      <c r="A105" s="26">
        <f>IF(102&gt;COUNTIF(' Toto teams'!$A$4:$A$119,"&lt;&gt;"),"",INDEX(' Toto teams'!$S$4:$S$119,MATCH(LARGE(' Toto teams'!$T$4:$T$119,102),' Toto teams'!$T$4:$T$119,0)))</f>
        <v>63</v>
      </c>
      <c r="B105" s="27" t="str">
        <f>IF(102&gt;COUNTIF(' Toto teams'!$A$4:$A$119,"&lt;&gt;"),"",INDEX(' Toto teams'!$A$4:$A$119,MATCH(LARGE(' Toto teams'!$T$4:$T$119,102),' Toto teams'!$T$4:$T$119,0)))</f>
        <v>Joris Jalo</v>
      </c>
      <c r="C105" s="28">
        <f>IF($B105="","",6*(IFERROR(VLOOKUP(INDEX(' Toto teams'!$B$4:$B$119,MATCH($B105,' Toto teams'!$A$4:$A$119,0)),Scoring!$A$4:$N$51,3,FALSE()),0)+IFERROR(VLOOKUP(INDEX(' Toto teams'!$B$4:$B$119,MATCH($B105,' Toto teams'!$A$4:$A$119,0)),Scoring!$A$4:$N$51,4,FALSE()),0)+IFERROR(VLOOKUP(INDEX(' Toto teams'!$B$4:$B$119,MATCH($B105,' Toto teams'!$A$4:$A$119,0)),Scoring!$A$4:$N$51,5,FALSE()),0))+4*(IFERROR(VLOOKUP(INDEX(' Toto teams'!$C$4:$C$119,MATCH($B105,' Toto teams'!$A$4:$A$119,0)),Scoring!$A$4:$N$51,3,FALSE()),0)+IFERROR(VLOOKUP(INDEX(' Toto teams'!$C$4:$C$119,MATCH($B105,' Toto teams'!$A$4:$A$119,0)),Scoring!$A$4:$N$51,4,FALSE()),0)+IFERROR(VLOOKUP(INDEX(' Toto teams'!$C$4:$C$119,MATCH($B105,' Toto teams'!$A$4:$A$119,0)),Scoring!$A$4:$N$51,5,FALSE()),0))+3*(IFERROR(VLOOKUP(INDEX(' Toto teams'!$D$4:$D$119,MATCH($B105,' Toto teams'!$A$4:$A$119,0)),Scoring!$A$4:$N$51,3,FALSE()),0)+IFERROR(VLOOKUP(INDEX(' Toto teams'!$D$4:$D$119,MATCH($B105,' Toto teams'!$A$4:$A$119,0)),Scoring!$A$4:$N$51,4,FALSE()),0)+IFERROR(VLOOKUP(INDEX(' Toto teams'!$D$4:$D$119,MATCH($B105,' Toto teams'!$A$4:$A$119,0)),Scoring!$A$4:$N$51,5,FALSE()),0))+2*(IFERROR(VLOOKUP(INDEX(' Toto teams'!$E$4:$E$119,MATCH($B105,' Toto teams'!$A$4:$A$119,0)),Scoring!$A$4:$N$51,3,FALSE()),0)+IFERROR(VLOOKUP(INDEX(' Toto teams'!$E$4:$E$119,MATCH($B105,' Toto teams'!$A$4:$A$119,0)),Scoring!$A$4:$N$51,4,FALSE()),0)+IFERROR(VLOOKUP(INDEX(' Toto teams'!$E$4:$E$119,MATCH($B105,' Toto teams'!$A$4:$A$119,0)),Scoring!$A$4:$N$51,5,FALSE()),0))+1*(IFERROR(VLOOKUP(INDEX(' Toto teams'!$F$4:$F$119,MATCH($B105,' Toto teams'!$A$4:$A$119,0)),Scoring!$A$4:$N$51,3,FALSE()),0)+IFERROR(VLOOKUP(INDEX(' Toto teams'!$F$4:$F$119,MATCH($B105,' Toto teams'!$A$4:$A$119,0)),Scoring!$A$4:$N$51,4,FALSE()),0)+IFERROR(VLOOKUP(INDEX(' Toto teams'!$F$4:$F$119,MATCH($B105,' Toto teams'!$A$4:$A$119,0)),Scoring!$A$4:$N$51,5,FALSE()),0))+1*(IFERROR(VLOOKUP(INDEX(' Toto teams'!$G$4:$G$119,MATCH($B105,' Toto teams'!$A$4:$A$119,0)),Scoring!$A$4:$N$51,3,FALSE()),0)+IFERROR(VLOOKUP(INDEX(' Toto teams'!$G$4:$G$119,MATCH($B105,' Toto teams'!$A$4:$A$119,0)),Scoring!$A$4:$N$51,4,FALSE()),0)+IFERROR(VLOOKUP(INDEX(' Toto teams'!$G$4:$G$119,MATCH($B105,' Toto teams'!$A$4:$A$119,0)),Scoring!$A$4:$N$51,5,FALSE()),0))+1*(IFERROR(VLOOKUP(INDEX(' Toto teams'!$H$4:$H$119,MATCH($B105,' Toto teams'!$A$4:$A$119,0)),Scoring!$A$4:$N$51,3,FALSE()),0)+IFERROR(VLOOKUP(INDEX(' Toto teams'!$H$4:$H$119,MATCH($B105,' Toto teams'!$A$4:$A$119,0)),Scoring!$A$4:$N$51,4,FALSE()),0)+IFERROR(VLOOKUP(INDEX(' Toto teams'!$H$4:$H$119,MATCH($B105,' Toto teams'!$A$4:$A$119,0)),Scoring!$A$4:$N$51,5,FALSE()),0))+IFERROR(INDEX(' Toto teams'!$Q$4:$Q$119,MATCH($B105,' Toto teams'!$A$4:$A$119,0))*1,0))</f>
        <v>0</v>
      </c>
      <c r="D105" s="28">
        <f>IF($B105="","",6*IFERROR(VLOOKUP(INDEX(' Toto teams'!$B$4:$B$119,MATCH($B105,' Toto teams'!$A$4:$A$119,0)),Scoring!$A$4:$N$51,7,FALSE()),0)+4*IFERROR(VLOOKUP(INDEX(' Toto teams'!$C$4:$C$119,MATCH($B105,' Toto teams'!$A$4:$A$119,0)),Scoring!$A$4:$N$51,7,FALSE()),0)+3*IFERROR(VLOOKUP(INDEX(' Toto teams'!$D$4:$D$119,MATCH($B105,' Toto teams'!$A$4:$A$119,0)),Scoring!$A$4:$N$51,7,FALSE()),0)+2*IFERROR(VLOOKUP(INDEX(' Toto teams'!$E$4:$E$119,MATCH($B105,' Toto teams'!$A$4:$A$119,0)),Scoring!$A$4:$N$51,7,FALSE()),0)+1*IFERROR(VLOOKUP(INDEX(' Toto teams'!$F$4:$F$119,MATCH($B105,' Toto teams'!$A$4:$A$119,0)),Scoring!$A$4:$N$51,7,FALSE()),0)+1*IFERROR(VLOOKUP(INDEX(' Toto teams'!$G$4:$G$119,MATCH($B105,' Toto teams'!$A$4:$A$119,0)),Scoring!$A$4:$N$51,7,FALSE()),0)+1*IFERROR(VLOOKUP(INDEX(' Toto teams'!$H$4:$H$119,MATCH($B105,' Toto teams'!$A$4:$A$119,0)),Scoring!$A$4:$N$51,7,FALSE()),0))</f>
        <v>0</v>
      </c>
      <c r="E105" s="28">
        <f>IF($B105="","",6*IFERROR(VLOOKUP(INDEX(' Toto teams'!$B$4:$B$119,MATCH($B105,' Toto teams'!$A$4:$A$119,0)),Scoring!$A$4:$N$51,8,FALSE()),0)+4*IFERROR(VLOOKUP(INDEX(' Toto teams'!$C$4:$C$119,MATCH($B105,' Toto teams'!$A$4:$A$119,0)),Scoring!$A$4:$N$51,8,FALSE()),0)+3*IFERROR(VLOOKUP(INDEX(' Toto teams'!$D$4:$D$119,MATCH($B105,' Toto teams'!$A$4:$A$119,0)),Scoring!$A$4:$N$51,8,FALSE()),0)+2*IFERROR(VLOOKUP(INDEX(' Toto teams'!$E$4:$E$119,MATCH($B105,' Toto teams'!$A$4:$A$119,0)),Scoring!$A$4:$N$51,8,FALSE()),0)+1*IFERROR(VLOOKUP(INDEX(' Toto teams'!$F$4:$F$119,MATCH($B105,' Toto teams'!$A$4:$A$119,0)),Scoring!$A$4:$N$51,8,FALSE()),0)+1*IFERROR(VLOOKUP(INDEX(' Toto teams'!$G$4:$G$119,MATCH($B105,' Toto teams'!$A$4:$A$119,0)),Scoring!$A$4:$N$51,8,FALSE()),0)+1*IFERROR(VLOOKUP(INDEX(' Toto teams'!$H$4:$H$119,MATCH($B105,' Toto teams'!$A$4:$A$119,0)),Scoring!$A$4:$N$51,8,FALSE()),0))</f>
        <v>0</v>
      </c>
      <c r="F105" s="28">
        <f>IF($B105="","",6*IFERROR(VLOOKUP(INDEX(' Toto teams'!$B$4:$B$119,MATCH($B105,' Toto teams'!$A$4:$A$119,0)),Scoring!$A$4:$N$51,9,FALSE()),0)+4*IFERROR(VLOOKUP(INDEX(' Toto teams'!$C$4:$C$119,MATCH($B105,' Toto teams'!$A$4:$A$119,0)),Scoring!$A$4:$N$51,9,FALSE()),0)+3*IFERROR(VLOOKUP(INDEX(' Toto teams'!$D$4:$D$119,MATCH($B105,' Toto teams'!$A$4:$A$119,0)),Scoring!$A$4:$N$51,9,FALSE()),0)+2*IFERROR(VLOOKUP(INDEX(' Toto teams'!$E$4:$E$119,MATCH($B105,' Toto teams'!$A$4:$A$119,0)),Scoring!$A$4:$N$51,9,FALSE()),0)+1*IFERROR(VLOOKUP(INDEX(' Toto teams'!$F$4:$F$119,MATCH($B105,' Toto teams'!$A$4:$A$119,0)),Scoring!$A$4:$N$51,9,FALSE()),0)+1*IFERROR(VLOOKUP(INDEX(' Toto teams'!$G$4:$G$119,MATCH($B105,' Toto teams'!$A$4:$A$119,0)),Scoring!$A$4:$N$51,9,FALSE()),0)+1*IFERROR(VLOOKUP(INDEX(' Toto teams'!$H$4:$H$119,MATCH($B105,' Toto teams'!$A$4:$A$119,0)),Scoring!$A$4:$N$51,9,FALSE()),0))</f>
        <v>0</v>
      </c>
      <c r="G105" s="28">
        <f>IF($B105="","",6*IFERROR(VLOOKUP(INDEX(' Toto teams'!$B$4:$B$119,MATCH($B105,' Toto teams'!$A$4:$A$119,0)),Scoring!$A$4:$N$51,10,FALSE()),0)+4*IFERROR(VLOOKUP(INDEX(' Toto teams'!$C$4:$C$119,MATCH($B105,' Toto teams'!$A$4:$A$119,0)),Scoring!$A$4:$N$51,10,FALSE()),0)+3*IFERROR(VLOOKUP(INDEX(' Toto teams'!$D$4:$D$119,MATCH($B105,' Toto teams'!$A$4:$A$119,0)),Scoring!$A$4:$N$51,10,FALSE()),0)+2*IFERROR(VLOOKUP(INDEX(' Toto teams'!$E$4:$E$119,MATCH($B105,' Toto teams'!$A$4:$A$119,0)),Scoring!$A$4:$N$51,10,FALSE()),0)+1*IFERROR(VLOOKUP(INDEX(' Toto teams'!$F$4:$F$119,MATCH($B105,' Toto teams'!$A$4:$A$119,0)),Scoring!$A$4:$N$51,10,FALSE()),0)+1*IFERROR(VLOOKUP(INDEX(' Toto teams'!$G$4:$G$119,MATCH($B105,' Toto teams'!$A$4:$A$119,0)),Scoring!$A$4:$N$51,10,FALSE()),0)+1*IFERROR(VLOOKUP(INDEX(' Toto teams'!$H$4:$H$119,MATCH($B105,' Toto teams'!$A$4:$A$119,0)),Scoring!$A$4:$N$51,10,FALSE()),0))</f>
        <v>0</v>
      </c>
      <c r="H105" s="28">
        <f>IF($B105="","",6*IFERROR(VLOOKUP(INDEX(' Toto teams'!$B$4:$B$119,MATCH($B105,' Toto teams'!$A$4:$A$119,0)),Scoring!$A$4:$N$51,11,FALSE()),0)+4*IFERROR(VLOOKUP(INDEX(' Toto teams'!$C$4:$C$119,MATCH($B105,' Toto teams'!$A$4:$A$119,0)),Scoring!$A$4:$N$51,11,FALSE()),0)+3*IFERROR(VLOOKUP(INDEX(' Toto teams'!$D$4:$D$119,MATCH($B105,' Toto teams'!$A$4:$A$119,0)),Scoring!$A$4:$N$51,11,FALSE()),0)+2*IFERROR(VLOOKUP(INDEX(' Toto teams'!$E$4:$E$119,MATCH($B105,' Toto teams'!$A$4:$A$119,0)),Scoring!$A$4:$N$51,11,FALSE()),0)+1*IFERROR(VLOOKUP(INDEX(' Toto teams'!$F$4:$F$119,MATCH($B105,' Toto teams'!$A$4:$A$119,0)),Scoring!$A$4:$N$51,11,FALSE()),0)+1*IFERROR(VLOOKUP(INDEX(' Toto teams'!$G$4:$G$119,MATCH($B105,' Toto teams'!$A$4:$A$119,0)),Scoring!$A$4:$N$51,11,FALSE()),0)+1*IFERROR(VLOOKUP(INDEX(' Toto teams'!$H$4:$H$119,MATCH($B105,' Toto teams'!$A$4:$A$119,0)),Scoring!$A$4:$N$51,11,FALSE()),0))</f>
        <v>0</v>
      </c>
      <c r="I105" s="28">
        <f>IF($B105="","",6*IFERROR(VLOOKUP(INDEX(' Toto teams'!$B$4:$B$119,MATCH($B105,' Toto teams'!$A$4:$A$119,0)),Scoring!$A$4:$O$51,15,FALSE()),0)+4*IFERROR(VLOOKUP(INDEX(' Toto teams'!$C$4:$C$119,MATCH($B105,' Toto teams'!$A$4:$A$119,0)),Scoring!$A$4:$O$51,15,FALSE()),0)+3*IFERROR(VLOOKUP(INDEX(' Toto teams'!$D$4:$D$119,MATCH($B105,' Toto teams'!$A$4:$A$119,0)),Scoring!$A$4:$O$51,15,FALSE()),0)+2*IFERROR(VLOOKUP(INDEX(' Toto teams'!$E$4:$E$119,MATCH($B105,' Toto teams'!$A$4:$A$119,0)),Scoring!$A$4:$O$51,15,FALSE()),0)+1*IFERROR(VLOOKUP(INDEX(' Toto teams'!$F$4:$F$119,MATCH($B105,' Toto teams'!$A$4:$A$119,0)),Scoring!$A$4:$O$51,15,FALSE()),0)+1*IFERROR(VLOOKUP(INDEX(' Toto teams'!$G$4:$G$119,MATCH($B105,' Toto teams'!$A$4:$A$119,0)),Scoring!$A$4:$O$51,15,FALSE()),0)+1*IFERROR(VLOOKUP(INDEX(' Toto teams'!$H$4:$H$119,MATCH($B105,' Toto teams'!$A$4:$A$119,0)),Scoring!$A$4:$O$51,15,FALSE()),0))</f>
        <v>0</v>
      </c>
      <c r="J105" s="28">
        <f>IF($B105="","",6*IFERROR(VLOOKUP(INDEX(' Toto teams'!$B$4:$B$119,MATCH($B105,' Toto teams'!$A$4:$A$119,0)),Scoring!$A$4:$N$51,12,FALSE()),0)+4*IFERROR(VLOOKUP(INDEX(' Toto teams'!$C$4:$C$119,MATCH($B105,' Toto teams'!$A$4:$A$119,0)),Scoring!$A$4:$N$51,12,FALSE()),0)+3*IFERROR(VLOOKUP(INDEX(' Toto teams'!$D$4:$D$119,MATCH($B105,' Toto teams'!$A$4:$A$119,0)),Scoring!$A$4:$N$51,12,FALSE()),0)+2*IFERROR(VLOOKUP(INDEX(' Toto teams'!$E$4:$E$119,MATCH($B105,' Toto teams'!$A$4:$A$119,0)),Scoring!$A$4:$N$51,12,FALSE()),0)+1*IFERROR(VLOOKUP(INDEX(' Toto teams'!$F$4:$F$119,MATCH($B105,' Toto teams'!$A$4:$A$119,0)),Scoring!$A$4:$N$51,12,FALSE()),0)+1*IFERROR(VLOOKUP(INDEX(' Toto teams'!$G$4:$G$119,MATCH($B105,' Toto teams'!$A$4:$A$119,0)),Scoring!$A$4:$N$51,12,FALSE()),0)+1*IFERROR(VLOOKUP(INDEX(' Toto teams'!$H$4:$H$119,MATCH($B105,' Toto teams'!$A$4:$A$119,0)),Scoring!$A$4:$N$51,12,FALSE()),0))</f>
        <v>0</v>
      </c>
      <c r="K105" s="29">
        <f>IF($B105="","",IFERROR(INDEX(' Toto teams'!$R$4:$R$119,MATCH($B105,' Toto teams'!$A$4:$A$119,0)),""))</f>
        <v>0</v>
      </c>
      <c r="L105" s="30">
        <f t="shared" si="6"/>
        <v>0</v>
      </c>
    </row>
    <row r="106" spans="1:12" ht="13.5" customHeight="1" x14ac:dyDescent="0.3">
      <c r="A106" s="26">
        <f>IF(103&gt;COUNTIF(' Toto teams'!$A$4:$A$119,"&lt;&gt;"),"",INDEX(' Toto teams'!$S$4:$S$119,MATCH(LARGE(' Toto teams'!$T$4:$T$119,103),' Toto teams'!$T$4:$T$119,0)))</f>
        <v>63</v>
      </c>
      <c r="B106" s="27" t="str">
        <f>IF(103&gt;COUNTIF(' Toto teams'!$A$4:$A$119,"&lt;&gt;"),"",INDEX(' Toto teams'!$A$4:$A$119,MATCH(LARGE(' Toto teams'!$T$4:$T$119,103),' Toto teams'!$T$4:$T$119,0)))</f>
        <v>Rimas Baubonis</v>
      </c>
      <c r="C106" s="28">
        <f>IF($B106="","",6*(IFERROR(VLOOKUP(INDEX(' Toto teams'!$B$4:$B$119,MATCH($B106,' Toto teams'!$A$4:$A$119,0)),Scoring!$A$4:$N$51,3,FALSE()),0)+IFERROR(VLOOKUP(INDEX(' Toto teams'!$B$4:$B$119,MATCH($B106,' Toto teams'!$A$4:$A$119,0)),Scoring!$A$4:$N$51,4,FALSE()),0)+IFERROR(VLOOKUP(INDEX(' Toto teams'!$B$4:$B$119,MATCH($B106,' Toto teams'!$A$4:$A$119,0)),Scoring!$A$4:$N$51,5,FALSE()),0))+4*(IFERROR(VLOOKUP(INDEX(' Toto teams'!$C$4:$C$119,MATCH($B106,' Toto teams'!$A$4:$A$119,0)),Scoring!$A$4:$N$51,3,FALSE()),0)+IFERROR(VLOOKUP(INDEX(' Toto teams'!$C$4:$C$119,MATCH($B106,' Toto teams'!$A$4:$A$119,0)),Scoring!$A$4:$N$51,4,FALSE()),0)+IFERROR(VLOOKUP(INDEX(' Toto teams'!$C$4:$C$119,MATCH($B106,' Toto teams'!$A$4:$A$119,0)),Scoring!$A$4:$N$51,5,FALSE()),0))+3*(IFERROR(VLOOKUP(INDEX(' Toto teams'!$D$4:$D$119,MATCH($B106,' Toto teams'!$A$4:$A$119,0)),Scoring!$A$4:$N$51,3,FALSE()),0)+IFERROR(VLOOKUP(INDEX(' Toto teams'!$D$4:$D$119,MATCH($B106,' Toto teams'!$A$4:$A$119,0)),Scoring!$A$4:$N$51,4,FALSE()),0)+IFERROR(VLOOKUP(INDEX(' Toto teams'!$D$4:$D$119,MATCH($B106,' Toto teams'!$A$4:$A$119,0)),Scoring!$A$4:$N$51,5,FALSE()),0))+2*(IFERROR(VLOOKUP(INDEX(' Toto teams'!$E$4:$E$119,MATCH($B106,' Toto teams'!$A$4:$A$119,0)),Scoring!$A$4:$N$51,3,FALSE()),0)+IFERROR(VLOOKUP(INDEX(' Toto teams'!$E$4:$E$119,MATCH($B106,' Toto teams'!$A$4:$A$119,0)),Scoring!$A$4:$N$51,4,FALSE()),0)+IFERROR(VLOOKUP(INDEX(' Toto teams'!$E$4:$E$119,MATCH($B106,' Toto teams'!$A$4:$A$119,0)),Scoring!$A$4:$N$51,5,FALSE()),0))+1*(IFERROR(VLOOKUP(INDEX(' Toto teams'!$F$4:$F$119,MATCH($B106,' Toto teams'!$A$4:$A$119,0)),Scoring!$A$4:$N$51,3,FALSE()),0)+IFERROR(VLOOKUP(INDEX(' Toto teams'!$F$4:$F$119,MATCH($B106,' Toto teams'!$A$4:$A$119,0)),Scoring!$A$4:$N$51,4,FALSE()),0)+IFERROR(VLOOKUP(INDEX(' Toto teams'!$F$4:$F$119,MATCH($B106,' Toto teams'!$A$4:$A$119,0)),Scoring!$A$4:$N$51,5,FALSE()),0))+1*(IFERROR(VLOOKUP(INDEX(' Toto teams'!$G$4:$G$119,MATCH($B106,' Toto teams'!$A$4:$A$119,0)),Scoring!$A$4:$N$51,3,FALSE()),0)+IFERROR(VLOOKUP(INDEX(' Toto teams'!$G$4:$G$119,MATCH($B106,' Toto teams'!$A$4:$A$119,0)),Scoring!$A$4:$N$51,4,FALSE()),0)+IFERROR(VLOOKUP(INDEX(' Toto teams'!$G$4:$G$119,MATCH($B106,' Toto teams'!$A$4:$A$119,0)),Scoring!$A$4:$N$51,5,FALSE()),0))+1*(IFERROR(VLOOKUP(INDEX(' Toto teams'!$H$4:$H$119,MATCH($B106,' Toto teams'!$A$4:$A$119,0)),Scoring!$A$4:$N$51,3,FALSE()),0)+IFERROR(VLOOKUP(INDEX(' Toto teams'!$H$4:$H$119,MATCH($B106,' Toto teams'!$A$4:$A$119,0)),Scoring!$A$4:$N$51,4,FALSE()),0)+IFERROR(VLOOKUP(INDEX(' Toto teams'!$H$4:$H$119,MATCH($B106,' Toto teams'!$A$4:$A$119,0)),Scoring!$A$4:$N$51,5,FALSE()),0))+IFERROR(INDEX(' Toto teams'!$Q$4:$Q$119,MATCH($B106,' Toto teams'!$A$4:$A$119,0))*1,0))</f>
        <v>0</v>
      </c>
      <c r="D106" s="28">
        <f>IF($B106="","",6*IFERROR(VLOOKUP(INDEX(' Toto teams'!$B$4:$B$119,MATCH($B106,' Toto teams'!$A$4:$A$119,0)),Scoring!$A$4:$N$51,7,FALSE()),0)+4*IFERROR(VLOOKUP(INDEX(' Toto teams'!$C$4:$C$119,MATCH($B106,' Toto teams'!$A$4:$A$119,0)),Scoring!$A$4:$N$51,7,FALSE()),0)+3*IFERROR(VLOOKUP(INDEX(' Toto teams'!$D$4:$D$119,MATCH($B106,' Toto teams'!$A$4:$A$119,0)),Scoring!$A$4:$N$51,7,FALSE()),0)+2*IFERROR(VLOOKUP(INDEX(' Toto teams'!$E$4:$E$119,MATCH($B106,' Toto teams'!$A$4:$A$119,0)),Scoring!$A$4:$N$51,7,FALSE()),0)+1*IFERROR(VLOOKUP(INDEX(' Toto teams'!$F$4:$F$119,MATCH($B106,' Toto teams'!$A$4:$A$119,0)),Scoring!$A$4:$N$51,7,FALSE()),0)+1*IFERROR(VLOOKUP(INDEX(' Toto teams'!$G$4:$G$119,MATCH($B106,' Toto teams'!$A$4:$A$119,0)),Scoring!$A$4:$N$51,7,FALSE()),0)+1*IFERROR(VLOOKUP(INDEX(' Toto teams'!$H$4:$H$119,MATCH($B106,' Toto teams'!$A$4:$A$119,0)),Scoring!$A$4:$N$51,7,FALSE()),0))</f>
        <v>0</v>
      </c>
      <c r="E106" s="28">
        <f>IF($B106="","",6*IFERROR(VLOOKUP(INDEX(' Toto teams'!$B$4:$B$119,MATCH($B106,' Toto teams'!$A$4:$A$119,0)),Scoring!$A$4:$N$51,8,FALSE()),0)+4*IFERROR(VLOOKUP(INDEX(' Toto teams'!$C$4:$C$119,MATCH($B106,' Toto teams'!$A$4:$A$119,0)),Scoring!$A$4:$N$51,8,FALSE()),0)+3*IFERROR(VLOOKUP(INDEX(' Toto teams'!$D$4:$D$119,MATCH($B106,' Toto teams'!$A$4:$A$119,0)),Scoring!$A$4:$N$51,8,FALSE()),0)+2*IFERROR(VLOOKUP(INDEX(' Toto teams'!$E$4:$E$119,MATCH($B106,' Toto teams'!$A$4:$A$119,0)),Scoring!$A$4:$N$51,8,FALSE()),0)+1*IFERROR(VLOOKUP(INDEX(' Toto teams'!$F$4:$F$119,MATCH($B106,' Toto teams'!$A$4:$A$119,0)),Scoring!$A$4:$N$51,8,FALSE()),0)+1*IFERROR(VLOOKUP(INDEX(' Toto teams'!$G$4:$G$119,MATCH($B106,' Toto teams'!$A$4:$A$119,0)),Scoring!$A$4:$N$51,8,FALSE()),0)+1*IFERROR(VLOOKUP(INDEX(' Toto teams'!$H$4:$H$119,MATCH($B106,' Toto teams'!$A$4:$A$119,0)),Scoring!$A$4:$N$51,8,FALSE()),0))</f>
        <v>0</v>
      </c>
      <c r="F106" s="28">
        <f>IF($B106="","",6*IFERROR(VLOOKUP(INDEX(' Toto teams'!$B$4:$B$119,MATCH($B106,' Toto teams'!$A$4:$A$119,0)),Scoring!$A$4:$N$51,9,FALSE()),0)+4*IFERROR(VLOOKUP(INDEX(' Toto teams'!$C$4:$C$119,MATCH($B106,' Toto teams'!$A$4:$A$119,0)),Scoring!$A$4:$N$51,9,FALSE()),0)+3*IFERROR(VLOOKUP(INDEX(' Toto teams'!$D$4:$D$119,MATCH($B106,' Toto teams'!$A$4:$A$119,0)),Scoring!$A$4:$N$51,9,FALSE()),0)+2*IFERROR(VLOOKUP(INDEX(' Toto teams'!$E$4:$E$119,MATCH($B106,' Toto teams'!$A$4:$A$119,0)),Scoring!$A$4:$N$51,9,FALSE()),0)+1*IFERROR(VLOOKUP(INDEX(' Toto teams'!$F$4:$F$119,MATCH($B106,' Toto teams'!$A$4:$A$119,0)),Scoring!$A$4:$N$51,9,FALSE()),0)+1*IFERROR(VLOOKUP(INDEX(' Toto teams'!$G$4:$G$119,MATCH($B106,' Toto teams'!$A$4:$A$119,0)),Scoring!$A$4:$N$51,9,FALSE()),0)+1*IFERROR(VLOOKUP(INDEX(' Toto teams'!$H$4:$H$119,MATCH($B106,' Toto teams'!$A$4:$A$119,0)),Scoring!$A$4:$N$51,9,FALSE()),0))</f>
        <v>0</v>
      </c>
      <c r="G106" s="28">
        <f>IF($B106="","",6*IFERROR(VLOOKUP(INDEX(' Toto teams'!$B$4:$B$119,MATCH($B106,' Toto teams'!$A$4:$A$119,0)),Scoring!$A$4:$N$51,10,FALSE()),0)+4*IFERROR(VLOOKUP(INDEX(' Toto teams'!$C$4:$C$119,MATCH($B106,' Toto teams'!$A$4:$A$119,0)),Scoring!$A$4:$N$51,10,FALSE()),0)+3*IFERROR(VLOOKUP(INDEX(' Toto teams'!$D$4:$D$119,MATCH($B106,' Toto teams'!$A$4:$A$119,0)),Scoring!$A$4:$N$51,10,FALSE()),0)+2*IFERROR(VLOOKUP(INDEX(' Toto teams'!$E$4:$E$119,MATCH($B106,' Toto teams'!$A$4:$A$119,0)),Scoring!$A$4:$N$51,10,FALSE()),0)+1*IFERROR(VLOOKUP(INDEX(' Toto teams'!$F$4:$F$119,MATCH($B106,' Toto teams'!$A$4:$A$119,0)),Scoring!$A$4:$N$51,10,FALSE()),0)+1*IFERROR(VLOOKUP(INDEX(' Toto teams'!$G$4:$G$119,MATCH($B106,' Toto teams'!$A$4:$A$119,0)),Scoring!$A$4:$N$51,10,FALSE()),0)+1*IFERROR(VLOOKUP(INDEX(' Toto teams'!$H$4:$H$119,MATCH($B106,' Toto teams'!$A$4:$A$119,0)),Scoring!$A$4:$N$51,10,FALSE()),0))</f>
        <v>0</v>
      </c>
      <c r="H106" s="28">
        <f>IF($B106="","",6*IFERROR(VLOOKUP(INDEX(' Toto teams'!$B$4:$B$119,MATCH($B106,' Toto teams'!$A$4:$A$119,0)),Scoring!$A$4:$N$51,11,FALSE()),0)+4*IFERROR(VLOOKUP(INDEX(' Toto teams'!$C$4:$C$119,MATCH($B106,' Toto teams'!$A$4:$A$119,0)),Scoring!$A$4:$N$51,11,FALSE()),0)+3*IFERROR(VLOOKUP(INDEX(' Toto teams'!$D$4:$D$119,MATCH($B106,' Toto teams'!$A$4:$A$119,0)),Scoring!$A$4:$N$51,11,FALSE()),0)+2*IFERROR(VLOOKUP(INDEX(' Toto teams'!$E$4:$E$119,MATCH($B106,' Toto teams'!$A$4:$A$119,0)),Scoring!$A$4:$N$51,11,FALSE()),0)+1*IFERROR(VLOOKUP(INDEX(' Toto teams'!$F$4:$F$119,MATCH($B106,' Toto teams'!$A$4:$A$119,0)),Scoring!$A$4:$N$51,11,FALSE()),0)+1*IFERROR(VLOOKUP(INDEX(' Toto teams'!$G$4:$G$119,MATCH($B106,' Toto teams'!$A$4:$A$119,0)),Scoring!$A$4:$N$51,11,FALSE()),0)+1*IFERROR(VLOOKUP(INDEX(' Toto teams'!$H$4:$H$119,MATCH($B106,' Toto teams'!$A$4:$A$119,0)),Scoring!$A$4:$N$51,11,FALSE()),0))</f>
        <v>0</v>
      </c>
      <c r="I106" s="28">
        <f>IF($B106="","",6*IFERROR(VLOOKUP(INDEX(' Toto teams'!$B$4:$B$119,MATCH($B106,' Toto teams'!$A$4:$A$119,0)),Scoring!$A$4:$O$51,15,FALSE()),0)+4*IFERROR(VLOOKUP(INDEX(' Toto teams'!$C$4:$C$119,MATCH($B106,' Toto teams'!$A$4:$A$119,0)),Scoring!$A$4:$O$51,15,FALSE()),0)+3*IFERROR(VLOOKUP(INDEX(' Toto teams'!$D$4:$D$119,MATCH($B106,' Toto teams'!$A$4:$A$119,0)),Scoring!$A$4:$O$51,15,FALSE()),0)+2*IFERROR(VLOOKUP(INDEX(' Toto teams'!$E$4:$E$119,MATCH($B106,' Toto teams'!$A$4:$A$119,0)),Scoring!$A$4:$O$51,15,FALSE()),0)+1*IFERROR(VLOOKUP(INDEX(' Toto teams'!$F$4:$F$119,MATCH($B106,' Toto teams'!$A$4:$A$119,0)),Scoring!$A$4:$O$51,15,FALSE()),0)+1*IFERROR(VLOOKUP(INDEX(' Toto teams'!$G$4:$G$119,MATCH($B106,' Toto teams'!$A$4:$A$119,0)),Scoring!$A$4:$O$51,15,FALSE()),0)+1*IFERROR(VLOOKUP(INDEX(' Toto teams'!$H$4:$H$119,MATCH($B106,' Toto teams'!$A$4:$A$119,0)),Scoring!$A$4:$O$51,15,FALSE()),0))</f>
        <v>0</v>
      </c>
      <c r="J106" s="28">
        <f>IF($B106="","",6*IFERROR(VLOOKUP(INDEX(' Toto teams'!$B$4:$B$119,MATCH($B106,' Toto teams'!$A$4:$A$119,0)),Scoring!$A$4:$N$51,12,FALSE()),0)+4*IFERROR(VLOOKUP(INDEX(' Toto teams'!$C$4:$C$119,MATCH($B106,' Toto teams'!$A$4:$A$119,0)),Scoring!$A$4:$N$51,12,FALSE()),0)+3*IFERROR(VLOOKUP(INDEX(' Toto teams'!$D$4:$D$119,MATCH($B106,' Toto teams'!$A$4:$A$119,0)),Scoring!$A$4:$N$51,12,FALSE()),0)+2*IFERROR(VLOOKUP(INDEX(' Toto teams'!$E$4:$E$119,MATCH($B106,' Toto teams'!$A$4:$A$119,0)),Scoring!$A$4:$N$51,12,FALSE()),0)+1*IFERROR(VLOOKUP(INDEX(' Toto teams'!$F$4:$F$119,MATCH($B106,' Toto teams'!$A$4:$A$119,0)),Scoring!$A$4:$N$51,12,FALSE()),0)+1*IFERROR(VLOOKUP(INDEX(' Toto teams'!$G$4:$G$119,MATCH($B106,' Toto teams'!$A$4:$A$119,0)),Scoring!$A$4:$N$51,12,FALSE()),0)+1*IFERROR(VLOOKUP(INDEX(' Toto teams'!$H$4:$H$119,MATCH($B106,' Toto teams'!$A$4:$A$119,0)),Scoring!$A$4:$N$51,12,FALSE()),0))</f>
        <v>0</v>
      </c>
      <c r="K106" s="29">
        <f>IF($B106="","",IFERROR(INDEX(' Toto teams'!$R$4:$R$119,MATCH($B106,' Toto teams'!$A$4:$A$119,0)),""))</f>
        <v>0</v>
      </c>
      <c r="L106" s="30">
        <f t="shared" si="6"/>
        <v>0</v>
      </c>
    </row>
    <row r="107" spans="1:12" ht="13.5" customHeight="1" x14ac:dyDescent="0.3">
      <c r="A107" s="26">
        <f>IF(104&gt;COUNTIF(' Toto teams'!$A$4:$A$119,"&lt;&gt;"),"",INDEX(' Toto teams'!$S$4:$S$119,MATCH(LARGE(' Toto teams'!$T$4:$T$119,104),' Toto teams'!$T$4:$T$119,0)))</f>
        <v>63</v>
      </c>
      <c r="B107" s="27" t="str">
        <f>IF(104&gt;COUNTIF(' Toto teams'!$A$4:$A$119,"&lt;&gt;"),"",INDEX(' Toto teams'!$A$4:$A$119,MATCH(LARGE(' Toto teams'!$T$4:$T$119,104),' Toto teams'!$T$4:$T$119,0)))</f>
        <v>Sigitas Šarauskis</v>
      </c>
      <c r="C107" s="28">
        <f>IF($B107="","",6*(IFERROR(VLOOKUP(INDEX(' Toto teams'!$B$4:$B$119,MATCH($B107,' Toto teams'!$A$4:$A$119,0)),Scoring!$A$4:$N$51,3,FALSE()),0)+IFERROR(VLOOKUP(INDEX(' Toto teams'!$B$4:$B$119,MATCH($B107,' Toto teams'!$A$4:$A$119,0)),Scoring!$A$4:$N$51,4,FALSE()),0)+IFERROR(VLOOKUP(INDEX(' Toto teams'!$B$4:$B$119,MATCH($B107,' Toto teams'!$A$4:$A$119,0)),Scoring!$A$4:$N$51,5,FALSE()),0))+4*(IFERROR(VLOOKUP(INDEX(' Toto teams'!$C$4:$C$119,MATCH($B107,' Toto teams'!$A$4:$A$119,0)),Scoring!$A$4:$N$51,3,FALSE()),0)+IFERROR(VLOOKUP(INDEX(' Toto teams'!$C$4:$C$119,MATCH($B107,' Toto teams'!$A$4:$A$119,0)),Scoring!$A$4:$N$51,4,FALSE()),0)+IFERROR(VLOOKUP(INDEX(' Toto teams'!$C$4:$C$119,MATCH($B107,' Toto teams'!$A$4:$A$119,0)),Scoring!$A$4:$N$51,5,FALSE()),0))+3*(IFERROR(VLOOKUP(INDEX(' Toto teams'!$D$4:$D$119,MATCH($B107,' Toto teams'!$A$4:$A$119,0)),Scoring!$A$4:$N$51,3,FALSE()),0)+IFERROR(VLOOKUP(INDEX(' Toto teams'!$D$4:$D$119,MATCH($B107,' Toto teams'!$A$4:$A$119,0)),Scoring!$A$4:$N$51,4,FALSE()),0)+IFERROR(VLOOKUP(INDEX(' Toto teams'!$D$4:$D$119,MATCH($B107,' Toto teams'!$A$4:$A$119,0)),Scoring!$A$4:$N$51,5,FALSE()),0))+2*(IFERROR(VLOOKUP(INDEX(' Toto teams'!$E$4:$E$119,MATCH($B107,' Toto teams'!$A$4:$A$119,0)),Scoring!$A$4:$N$51,3,FALSE()),0)+IFERROR(VLOOKUP(INDEX(' Toto teams'!$E$4:$E$119,MATCH($B107,' Toto teams'!$A$4:$A$119,0)),Scoring!$A$4:$N$51,4,FALSE()),0)+IFERROR(VLOOKUP(INDEX(' Toto teams'!$E$4:$E$119,MATCH($B107,' Toto teams'!$A$4:$A$119,0)),Scoring!$A$4:$N$51,5,FALSE()),0))+1*(IFERROR(VLOOKUP(INDEX(' Toto teams'!$F$4:$F$119,MATCH($B107,' Toto teams'!$A$4:$A$119,0)),Scoring!$A$4:$N$51,3,FALSE()),0)+IFERROR(VLOOKUP(INDEX(' Toto teams'!$F$4:$F$119,MATCH($B107,' Toto teams'!$A$4:$A$119,0)),Scoring!$A$4:$N$51,4,FALSE()),0)+IFERROR(VLOOKUP(INDEX(' Toto teams'!$F$4:$F$119,MATCH($B107,' Toto teams'!$A$4:$A$119,0)),Scoring!$A$4:$N$51,5,FALSE()),0))+1*(IFERROR(VLOOKUP(INDEX(' Toto teams'!$G$4:$G$119,MATCH($B107,' Toto teams'!$A$4:$A$119,0)),Scoring!$A$4:$N$51,3,FALSE()),0)+IFERROR(VLOOKUP(INDEX(' Toto teams'!$G$4:$G$119,MATCH($B107,' Toto teams'!$A$4:$A$119,0)),Scoring!$A$4:$N$51,4,FALSE()),0)+IFERROR(VLOOKUP(INDEX(' Toto teams'!$G$4:$G$119,MATCH($B107,' Toto teams'!$A$4:$A$119,0)),Scoring!$A$4:$N$51,5,FALSE()),0))+1*(IFERROR(VLOOKUP(INDEX(' Toto teams'!$H$4:$H$119,MATCH($B107,' Toto teams'!$A$4:$A$119,0)),Scoring!$A$4:$N$51,3,FALSE()),0)+IFERROR(VLOOKUP(INDEX(' Toto teams'!$H$4:$H$119,MATCH($B107,' Toto teams'!$A$4:$A$119,0)),Scoring!$A$4:$N$51,4,FALSE()),0)+IFERROR(VLOOKUP(INDEX(' Toto teams'!$H$4:$H$119,MATCH($B107,' Toto teams'!$A$4:$A$119,0)),Scoring!$A$4:$N$51,5,FALSE()),0))+IFERROR(INDEX(' Toto teams'!$Q$4:$Q$119,MATCH($B107,' Toto teams'!$A$4:$A$119,0))*1,0))</f>
        <v>0</v>
      </c>
      <c r="D107" s="28">
        <f>IF($B107="","",6*IFERROR(VLOOKUP(INDEX(' Toto teams'!$B$4:$B$119,MATCH($B107,' Toto teams'!$A$4:$A$119,0)),Scoring!$A$4:$N$51,7,FALSE()),0)+4*IFERROR(VLOOKUP(INDEX(' Toto teams'!$C$4:$C$119,MATCH($B107,' Toto teams'!$A$4:$A$119,0)),Scoring!$A$4:$N$51,7,FALSE()),0)+3*IFERROR(VLOOKUP(INDEX(' Toto teams'!$D$4:$D$119,MATCH($B107,' Toto teams'!$A$4:$A$119,0)),Scoring!$A$4:$N$51,7,FALSE()),0)+2*IFERROR(VLOOKUP(INDEX(' Toto teams'!$E$4:$E$119,MATCH($B107,' Toto teams'!$A$4:$A$119,0)),Scoring!$A$4:$N$51,7,FALSE()),0)+1*IFERROR(VLOOKUP(INDEX(' Toto teams'!$F$4:$F$119,MATCH($B107,' Toto teams'!$A$4:$A$119,0)),Scoring!$A$4:$N$51,7,FALSE()),0)+1*IFERROR(VLOOKUP(INDEX(' Toto teams'!$G$4:$G$119,MATCH($B107,' Toto teams'!$A$4:$A$119,0)),Scoring!$A$4:$N$51,7,FALSE()),0)+1*IFERROR(VLOOKUP(INDEX(' Toto teams'!$H$4:$H$119,MATCH($B107,' Toto teams'!$A$4:$A$119,0)),Scoring!$A$4:$N$51,7,FALSE()),0))</f>
        <v>0</v>
      </c>
      <c r="E107" s="28">
        <f>IF($B107="","",6*IFERROR(VLOOKUP(INDEX(' Toto teams'!$B$4:$B$119,MATCH($B107,' Toto teams'!$A$4:$A$119,0)),Scoring!$A$4:$N$51,8,FALSE()),0)+4*IFERROR(VLOOKUP(INDEX(' Toto teams'!$C$4:$C$119,MATCH($B107,' Toto teams'!$A$4:$A$119,0)),Scoring!$A$4:$N$51,8,FALSE()),0)+3*IFERROR(VLOOKUP(INDEX(' Toto teams'!$D$4:$D$119,MATCH($B107,' Toto teams'!$A$4:$A$119,0)),Scoring!$A$4:$N$51,8,FALSE()),0)+2*IFERROR(VLOOKUP(INDEX(' Toto teams'!$E$4:$E$119,MATCH($B107,' Toto teams'!$A$4:$A$119,0)),Scoring!$A$4:$N$51,8,FALSE()),0)+1*IFERROR(VLOOKUP(INDEX(' Toto teams'!$F$4:$F$119,MATCH($B107,' Toto teams'!$A$4:$A$119,0)),Scoring!$A$4:$N$51,8,FALSE()),0)+1*IFERROR(VLOOKUP(INDEX(' Toto teams'!$G$4:$G$119,MATCH($B107,' Toto teams'!$A$4:$A$119,0)),Scoring!$A$4:$N$51,8,FALSE()),0)+1*IFERROR(VLOOKUP(INDEX(' Toto teams'!$H$4:$H$119,MATCH($B107,' Toto teams'!$A$4:$A$119,0)),Scoring!$A$4:$N$51,8,FALSE()),0))</f>
        <v>0</v>
      </c>
      <c r="F107" s="28">
        <f>IF($B107="","",6*IFERROR(VLOOKUP(INDEX(' Toto teams'!$B$4:$B$119,MATCH($B107,' Toto teams'!$A$4:$A$119,0)),Scoring!$A$4:$N$51,9,FALSE()),0)+4*IFERROR(VLOOKUP(INDEX(' Toto teams'!$C$4:$C$119,MATCH($B107,' Toto teams'!$A$4:$A$119,0)),Scoring!$A$4:$N$51,9,FALSE()),0)+3*IFERROR(VLOOKUP(INDEX(' Toto teams'!$D$4:$D$119,MATCH($B107,' Toto teams'!$A$4:$A$119,0)),Scoring!$A$4:$N$51,9,FALSE()),0)+2*IFERROR(VLOOKUP(INDEX(' Toto teams'!$E$4:$E$119,MATCH($B107,' Toto teams'!$A$4:$A$119,0)),Scoring!$A$4:$N$51,9,FALSE()),0)+1*IFERROR(VLOOKUP(INDEX(' Toto teams'!$F$4:$F$119,MATCH($B107,' Toto teams'!$A$4:$A$119,0)),Scoring!$A$4:$N$51,9,FALSE()),0)+1*IFERROR(VLOOKUP(INDEX(' Toto teams'!$G$4:$G$119,MATCH($B107,' Toto teams'!$A$4:$A$119,0)),Scoring!$A$4:$N$51,9,FALSE()),0)+1*IFERROR(VLOOKUP(INDEX(' Toto teams'!$H$4:$H$119,MATCH($B107,' Toto teams'!$A$4:$A$119,0)),Scoring!$A$4:$N$51,9,FALSE()),0))</f>
        <v>0</v>
      </c>
      <c r="G107" s="28">
        <f>IF($B107="","",6*IFERROR(VLOOKUP(INDEX(' Toto teams'!$B$4:$B$119,MATCH($B107,' Toto teams'!$A$4:$A$119,0)),Scoring!$A$4:$N$51,10,FALSE()),0)+4*IFERROR(VLOOKUP(INDEX(' Toto teams'!$C$4:$C$119,MATCH($B107,' Toto teams'!$A$4:$A$119,0)),Scoring!$A$4:$N$51,10,FALSE()),0)+3*IFERROR(VLOOKUP(INDEX(' Toto teams'!$D$4:$D$119,MATCH($B107,' Toto teams'!$A$4:$A$119,0)),Scoring!$A$4:$N$51,10,FALSE()),0)+2*IFERROR(VLOOKUP(INDEX(' Toto teams'!$E$4:$E$119,MATCH($B107,' Toto teams'!$A$4:$A$119,0)),Scoring!$A$4:$N$51,10,FALSE()),0)+1*IFERROR(VLOOKUP(INDEX(' Toto teams'!$F$4:$F$119,MATCH($B107,' Toto teams'!$A$4:$A$119,0)),Scoring!$A$4:$N$51,10,FALSE()),0)+1*IFERROR(VLOOKUP(INDEX(' Toto teams'!$G$4:$G$119,MATCH($B107,' Toto teams'!$A$4:$A$119,0)),Scoring!$A$4:$N$51,10,FALSE()),0)+1*IFERROR(VLOOKUP(INDEX(' Toto teams'!$H$4:$H$119,MATCH($B107,' Toto teams'!$A$4:$A$119,0)),Scoring!$A$4:$N$51,10,FALSE()),0))</f>
        <v>0</v>
      </c>
      <c r="H107" s="28">
        <f>IF($B107="","",6*IFERROR(VLOOKUP(INDEX(' Toto teams'!$B$4:$B$119,MATCH($B107,' Toto teams'!$A$4:$A$119,0)),Scoring!$A$4:$N$51,11,FALSE()),0)+4*IFERROR(VLOOKUP(INDEX(' Toto teams'!$C$4:$C$119,MATCH($B107,' Toto teams'!$A$4:$A$119,0)),Scoring!$A$4:$N$51,11,FALSE()),0)+3*IFERROR(VLOOKUP(INDEX(' Toto teams'!$D$4:$D$119,MATCH($B107,' Toto teams'!$A$4:$A$119,0)),Scoring!$A$4:$N$51,11,FALSE()),0)+2*IFERROR(VLOOKUP(INDEX(' Toto teams'!$E$4:$E$119,MATCH($B107,' Toto teams'!$A$4:$A$119,0)),Scoring!$A$4:$N$51,11,FALSE()),0)+1*IFERROR(VLOOKUP(INDEX(' Toto teams'!$F$4:$F$119,MATCH($B107,' Toto teams'!$A$4:$A$119,0)),Scoring!$A$4:$N$51,11,FALSE()),0)+1*IFERROR(VLOOKUP(INDEX(' Toto teams'!$G$4:$G$119,MATCH($B107,' Toto teams'!$A$4:$A$119,0)),Scoring!$A$4:$N$51,11,FALSE()),0)+1*IFERROR(VLOOKUP(INDEX(' Toto teams'!$H$4:$H$119,MATCH($B107,' Toto teams'!$A$4:$A$119,0)),Scoring!$A$4:$N$51,11,FALSE()),0))</f>
        <v>0</v>
      </c>
      <c r="I107" s="28">
        <f>IF($B107="","",6*IFERROR(VLOOKUP(INDEX(' Toto teams'!$B$4:$B$119,MATCH($B107,' Toto teams'!$A$4:$A$119,0)),Scoring!$A$4:$O$51,15,FALSE()),0)+4*IFERROR(VLOOKUP(INDEX(' Toto teams'!$C$4:$C$119,MATCH($B107,' Toto teams'!$A$4:$A$119,0)),Scoring!$A$4:$O$51,15,FALSE()),0)+3*IFERROR(VLOOKUP(INDEX(' Toto teams'!$D$4:$D$119,MATCH($B107,' Toto teams'!$A$4:$A$119,0)),Scoring!$A$4:$O$51,15,FALSE()),0)+2*IFERROR(VLOOKUP(INDEX(' Toto teams'!$E$4:$E$119,MATCH($B107,' Toto teams'!$A$4:$A$119,0)),Scoring!$A$4:$O$51,15,FALSE()),0)+1*IFERROR(VLOOKUP(INDEX(' Toto teams'!$F$4:$F$119,MATCH($B107,' Toto teams'!$A$4:$A$119,0)),Scoring!$A$4:$O$51,15,FALSE()),0)+1*IFERROR(VLOOKUP(INDEX(' Toto teams'!$G$4:$G$119,MATCH($B107,' Toto teams'!$A$4:$A$119,0)),Scoring!$A$4:$O$51,15,FALSE()),0)+1*IFERROR(VLOOKUP(INDEX(' Toto teams'!$H$4:$H$119,MATCH($B107,' Toto teams'!$A$4:$A$119,0)),Scoring!$A$4:$O$51,15,FALSE()),0))</f>
        <v>0</v>
      </c>
      <c r="J107" s="28">
        <f>IF($B107="","",6*IFERROR(VLOOKUP(INDEX(' Toto teams'!$B$4:$B$119,MATCH($B107,' Toto teams'!$A$4:$A$119,0)),Scoring!$A$4:$N$51,12,FALSE()),0)+4*IFERROR(VLOOKUP(INDEX(' Toto teams'!$C$4:$C$119,MATCH($B107,' Toto teams'!$A$4:$A$119,0)),Scoring!$A$4:$N$51,12,FALSE()),0)+3*IFERROR(VLOOKUP(INDEX(' Toto teams'!$D$4:$D$119,MATCH($B107,' Toto teams'!$A$4:$A$119,0)),Scoring!$A$4:$N$51,12,FALSE()),0)+2*IFERROR(VLOOKUP(INDEX(' Toto teams'!$E$4:$E$119,MATCH($B107,' Toto teams'!$A$4:$A$119,0)),Scoring!$A$4:$N$51,12,FALSE()),0)+1*IFERROR(VLOOKUP(INDEX(' Toto teams'!$F$4:$F$119,MATCH($B107,' Toto teams'!$A$4:$A$119,0)),Scoring!$A$4:$N$51,12,FALSE()),0)+1*IFERROR(VLOOKUP(INDEX(' Toto teams'!$G$4:$G$119,MATCH($B107,' Toto teams'!$A$4:$A$119,0)),Scoring!$A$4:$N$51,12,FALSE()),0)+1*IFERROR(VLOOKUP(INDEX(' Toto teams'!$H$4:$H$119,MATCH($B107,' Toto teams'!$A$4:$A$119,0)),Scoring!$A$4:$N$51,12,FALSE()),0))</f>
        <v>0</v>
      </c>
      <c r="K107" s="29">
        <f>IF($B107="","",IFERROR(INDEX(' Toto teams'!$R$4:$R$119,MATCH($B107,' Toto teams'!$A$4:$A$119,0)),""))</f>
        <v>0</v>
      </c>
      <c r="L107" s="30">
        <f t="shared" si="6"/>
        <v>0</v>
      </c>
    </row>
    <row r="108" spans="1:12" ht="13.5" customHeight="1" x14ac:dyDescent="0.3">
      <c r="A108" s="26">
        <f>IF(105&gt;COUNTIF(' Toto teams'!$A$4:$A$119,"&lt;&gt;"),"",INDEX(' Toto teams'!$S$4:$S$119,MATCH(LARGE(' Toto teams'!$T$4:$T$119,105),' Toto teams'!$T$4:$T$119,0)))</f>
        <v>63</v>
      </c>
      <c r="B108" s="27" t="str">
        <f>IF(105&gt;COUNTIF(' Toto teams'!$A$4:$A$119,"&lt;&gt;"),"",INDEX(' Toto teams'!$A$4:$A$119,MATCH(LARGE(' Toto teams'!$T$4:$T$119,105),' Toto teams'!$T$4:$T$119,0)))</f>
        <v>Gintarė Paipulė</v>
      </c>
      <c r="C108" s="28">
        <f>IF($B108="","",6*(IFERROR(VLOOKUP(INDEX(' Toto teams'!$B$4:$B$119,MATCH($B108,' Toto teams'!$A$4:$A$119,0)),Scoring!$A$4:$N$51,3,FALSE()),0)+IFERROR(VLOOKUP(INDEX(' Toto teams'!$B$4:$B$119,MATCH($B108,' Toto teams'!$A$4:$A$119,0)),Scoring!$A$4:$N$51,4,FALSE()),0)+IFERROR(VLOOKUP(INDEX(' Toto teams'!$B$4:$B$119,MATCH($B108,' Toto teams'!$A$4:$A$119,0)),Scoring!$A$4:$N$51,5,FALSE()),0))+4*(IFERROR(VLOOKUP(INDEX(' Toto teams'!$C$4:$C$119,MATCH($B108,' Toto teams'!$A$4:$A$119,0)),Scoring!$A$4:$N$51,3,FALSE()),0)+IFERROR(VLOOKUP(INDEX(' Toto teams'!$C$4:$C$119,MATCH($B108,' Toto teams'!$A$4:$A$119,0)),Scoring!$A$4:$N$51,4,FALSE()),0)+IFERROR(VLOOKUP(INDEX(' Toto teams'!$C$4:$C$119,MATCH($B108,' Toto teams'!$A$4:$A$119,0)),Scoring!$A$4:$N$51,5,FALSE()),0))+3*(IFERROR(VLOOKUP(INDEX(' Toto teams'!$D$4:$D$119,MATCH($B108,' Toto teams'!$A$4:$A$119,0)),Scoring!$A$4:$N$51,3,FALSE()),0)+IFERROR(VLOOKUP(INDEX(' Toto teams'!$D$4:$D$119,MATCH($B108,' Toto teams'!$A$4:$A$119,0)),Scoring!$A$4:$N$51,4,FALSE()),0)+IFERROR(VLOOKUP(INDEX(' Toto teams'!$D$4:$D$119,MATCH($B108,' Toto teams'!$A$4:$A$119,0)),Scoring!$A$4:$N$51,5,FALSE()),0))+2*(IFERROR(VLOOKUP(INDEX(' Toto teams'!$E$4:$E$119,MATCH($B108,' Toto teams'!$A$4:$A$119,0)),Scoring!$A$4:$N$51,3,FALSE()),0)+IFERROR(VLOOKUP(INDEX(' Toto teams'!$E$4:$E$119,MATCH($B108,' Toto teams'!$A$4:$A$119,0)),Scoring!$A$4:$N$51,4,FALSE()),0)+IFERROR(VLOOKUP(INDEX(' Toto teams'!$E$4:$E$119,MATCH($B108,' Toto teams'!$A$4:$A$119,0)),Scoring!$A$4:$N$51,5,FALSE()),0))+1*(IFERROR(VLOOKUP(INDEX(' Toto teams'!$F$4:$F$119,MATCH($B108,' Toto teams'!$A$4:$A$119,0)),Scoring!$A$4:$N$51,3,FALSE()),0)+IFERROR(VLOOKUP(INDEX(' Toto teams'!$F$4:$F$119,MATCH($B108,' Toto teams'!$A$4:$A$119,0)),Scoring!$A$4:$N$51,4,FALSE()),0)+IFERROR(VLOOKUP(INDEX(' Toto teams'!$F$4:$F$119,MATCH($B108,' Toto teams'!$A$4:$A$119,0)),Scoring!$A$4:$N$51,5,FALSE()),0))+1*(IFERROR(VLOOKUP(INDEX(' Toto teams'!$G$4:$G$119,MATCH($B108,' Toto teams'!$A$4:$A$119,0)),Scoring!$A$4:$N$51,3,FALSE()),0)+IFERROR(VLOOKUP(INDEX(' Toto teams'!$G$4:$G$119,MATCH($B108,' Toto teams'!$A$4:$A$119,0)),Scoring!$A$4:$N$51,4,FALSE()),0)+IFERROR(VLOOKUP(INDEX(' Toto teams'!$G$4:$G$119,MATCH($B108,' Toto teams'!$A$4:$A$119,0)),Scoring!$A$4:$N$51,5,FALSE()),0))+1*(IFERROR(VLOOKUP(INDEX(' Toto teams'!$H$4:$H$119,MATCH($B108,' Toto teams'!$A$4:$A$119,0)),Scoring!$A$4:$N$51,3,FALSE()),0)+IFERROR(VLOOKUP(INDEX(' Toto teams'!$H$4:$H$119,MATCH($B108,' Toto teams'!$A$4:$A$119,0)),Scoring!$A$4:$N$51,4,FALSE()),0)+IFERROR(VLOOKUP(INDEX(' Toto teams'!$H$4:$H$119,MATCH($B108,' Toto teams'!$A$4:$A$119,0)),Scoring!$A$4:$N$51,5,FALSE()),0))+IFERROR(INDEX(' Toto teams'!$Q$4:$Q$119,MATCH($B108,' Toto teams'!$A$4:$A$119,0))*1,0))</f>
        <v>0</v>
      </c>
      <c r="D108" s="28">
        <f>IF($B108="","",6*IFERROR(VLOOKUP(INDEX(' Toto teams'!$B$4:$B$119,MATCH($B108,' Toto teams'!$A$4:$A$119,0)),Scoring!$A$4:$N$51,7,FALSE()),0)+4*IFERROR(VLOOKUP(INDEX(' Toto teams'!$C$4:$C$119,MATCH($B108,' Toto teams'!$A$4:$A$119,0)),Scoring!$A$4:$N$51,7,FALSE()),0)+3*IFERROR(VLOOKUP(INDEX(' Toto teams'!$D$4:$D$119,MATCH($B108,' Toto teams'!$A$4:$A$119,0)),Scoring!$A$4:$N$51,7,FALSE()),0)+2*IFERROR(VLOOKUP(INDEX(' Toto teams'!$E$4:$E$119,MATCH($B108,' Toto teams'!$A$4:$A$119,0)),Scoring!$A$4:$N$51,7,FALSE()),0)+1*IFERROR(VLOOKUP(INDEX(' Toto teams'!$F$4:$F$119,MATCH($B108,' Toto teams'!$A$4:$A$119,0)),Scoring!$A$4:$N$51,7,FALSE()),0)+1*IFERROR(VLOOKUP(INDEX(' Toto teams'!$G$4:$G$119,MATCH($B108,' Toto teams'!$A$4:$A$119,0)),Scoring!$A$4:$N$51,7,FALSE()),0)+1*IFERROR(VLOOKUP(INDEX(' Toto teams'!$H$4:$H$119,MATCH($B108,' Toto teams'!$A$4:$A$119,0)),Scoring!$A$4:$N$51,7,FALSE()),0))</f>
        <v>0</v>
      </c>
      <c r="E108" s="28">
        <f>IF($B108="","",6*IFERROR(VLOOKUP(INDEX(' Toto teams'!$B$4:$B$119,MATCH($B108,' Toto teams'!$A$4:$A$119,0)),Scoring!$A$4:$N$51,8,FALSE()),0)+4*IFERROR(VLOOKUP(INDEX(' Toto teams'!$C$4:$C$119,MATCH($B108,' Toto teams'!$A$4:$A$119,0)),Scoring!$A$4:$N$51,8,FALSE()),0)+3*IFERROR(VLOOKUP(INDEX(' Toto teams'!$D$4:$D$119,MATCH($B108,' Toto teams'!$A$4:$A$119,0)),Scoring!$A$4:$N$51,8,FALSE()),0)+2*IFERROR(VLOOKUP(INDEX(' Toto teams'!$E$4:$E$119,MATCH($B108,' Toto teams'!$A$4:$A$119,0)),Scoring!$A$4:$N$51,8,FALSE()),0)+1*IFERROR(VLOOKUP(INDEX(' Toto teams'!$F$4:$F$119,MATCH($B108,' Toto teams'!$A$4:$A$119,0)),Scoring!$A$4:$N$51,8,FALSE()),0)+1*IFERROR(VLOOKUP(INDEX(' Toto teams'!$G$4:$G$119,MATCH($B108,' Toto teams'!$A$4:$A$119,0)),Scoring!$A$4:$N$51,8,FALSE()),0)+1*IFERROR(VLOOKUP(INDEX(' Toto teams'!$H$4:$H$119,MATCH($B108,' Toto teams'!$A$4:$A$119,0)),Scoring!$A$4:$N$51,8,FALSE()),0))</f>
        <v>0</v>
      </c>
      <c r="F108" s="28">
        <f>IF($B108="","",6*IFERROR(VLOOKUP(INDEX(' Toto teams'!$B$4:$B$119,MATCH($B108,' Toto teams'!$A$4:$A$119,0)),Scoring!$A$4:$N$51,9,FALSE()),0)+4*IFERROR(VLOOKUP(INDEX(' Toto teams'!$C$4:$C$119,MATCH($B108,' Toto teams'!$A$4:$A$119,0)),Scoring!$A$4:$N$51,9,FALSE()),0)+3*IFERROR(VLOOKUP(INDEX(' Toto teams'!$D$4:$D$119,MATCH($B108,' Toto teams'!$A$4:$A$119,0)),Scoring!$A$4:$N$51,9,FALSE()),0)+2*IFERROR(VLOOKUP(INDEX(' Toto teams'!$E$4:$E$119,MATCH($B108,' Toto teams'!$A$4:$A$119,0)),Scoring!$A$4:$N$51,9,FALSE()),0)+1*IFERROR(VLOOKUP(INDEX(' Toto teams'!$F$4:$F$119,MATCH($B108,' Toto teams'!$A$4:$A$119,0)),Scoring!$A$4:$N$51,9,FALSE()),0)+1*IFERROR(VLOOKUP(INDEX(' Toto teams'!$G$4:$G$119,MATCH($B108,' Toto teams'!$A$4:$A$119,0)),Scoring!$A$4:$N$51,9,FALSE()),0)+1*IFERROR(VLOOKUP(INDEX(' Toto teams'!$H$4:$H$119,MATCH($B108,' Toto teams'!$A$4:$A$119,0)),Scoring!$A$4:$N$51,9,FALSE()),0))</f>
        <v>0</v>
      </c>
      <c r="G108" s="28">
        <f>IF($B108="","",6*IFERROR(VLOOKUP(INDEX(' Toto teams'!$B$4:$B$119,MATCH($B108,' Toto teams'!$A$4:$A$119,0)),Scoring!$A$4:$N$51,10,FALSE()),0)+4*IFERROR(VLOOKUP(INDEX(' Toto teams'!$C$4:$C$119,MATCH($B108,' Toto teams'!$A$4:$A$119,0)),Scoring!$A$4:$N$51,10,FALSE()),0)+3*IFERROR(VLOOKUP(INDEX(' Toto teams'!$D$4:$D$119,MATCH($B108,' Toto teams'!$A$4:$A$119,0)),Scoring!$A$4:$N$51,10,FALSE()),0)+2*IFERROR(VLOOKUP(INDEX(' Toto teams'!$E$4:$E$119,MATCH($B108,' Toto teams'!$A$4:$A$119,0)),Scoring!$A$4:$N$51,10,FALSE()),0)+1*IFERROR(VLOOKUP(INDEX(' Toto teams'!$F$4:$F$119,MATCH($B108,' Toto teams'!$A$4:$A$119,0)),Scoring!$A$4:$N$51,10,FALSE()),0)+1*IFERROR(VLOOKUP(INDEX(' Toto teams'!$G$4:$G$119,MATCH($B108,' Toto teams'!$A$4:$A$119,0)),Scoring!$A$4:$N$51,10,FALSE()),0)+1*IFERROR(VLOOKUP(INDEX(' Toto teams'!$H$4:$H$119,MATCH($B108,' Toto teams'!$A$4:$A$119,0)),Scoring!$A$4:$N$51,10,FALSE()),0))</f>
        <v>0</v>
      </c>
      <c r="H108" s="28">
        <f>IF($B108="","",6*IFERROR(VLOOKUP(INDEX(' Toto teams'!$B$4:$B$119,MATCH($B108,' Toto teams'!$A$4:$A$119,0)),Scoring!$A$4:$N$51,11,FALSE()),0)+4*IFERROR(VLOOKUP(INDEX(' Toto teams'!$C$4:$C$119,MATCH($B108,' Toto teams'!$A$4:$A$119,0)),Scoring!$A$4:$N$51,11,FALSE()),0)+3*IFERROR(VLOOKUP(INDEX(' Toto teams'!$D$4:$D$119,MATCH($B108,' Toto teams'!$A$4:$A$119,0)),Scoring!$A$4:$N$51,11,FALSE()),0)+2*IFERROR(VLOOKUP(INDEX(' Toto teams'!$E$4:$E$119,MATCH($B108,' Toto teams'!$A$4:$A$119,0)),Scoring!$A$4:$N$51,11,FALSE()),0)+1*IFERROR(VLOOKUP(INDEX(' Toto teams'!$F$4:$F$119,MATCH($B108,' Toto teams'!$A$4:$A$119,0)),Scoring!$A$4:$N$51,11,FALSE()),0)+1*IFERROR(VLOOKUP(INDEX(' Toto teams'!$G$4:$G$119,MATCH($B108,' Toto teams'!$A$4:$A$119,0)),Scoring!$A$4:$N$51,11,FALSE()),0)+1*IFERROR(VLOOKUP(INDEX(' Toto teams'!$H$4:$H$119,MATCH($B108,' Toto teams'!$A$4:$A$119,0)),Scoring!$A$4:$N$51,11,FALSE()),0))</f>
        <v>0</v>
      </c>
      <c r="I108" s="28">
        <f>IF($B108="","",6*IFERROR(VLOOKUP(INDEX(' Toto teams'!$B$4:$B$119,MATCH($B108,' Toto teams'!$A$4:$A$119,0)),Scoring!$A$4:$O$51,15,FALSE()),0)+4*IFERROR(VLOOKUP(INDEX(' Toto teams'!$C$4:$C$119,MATCH($B108,' Toto teams'!$A$4:$A$119,0)),Scoring!$A$4:$O$51,15,FALSE()),0)+3*IFERROR(VLOOKUP(INDEX(' Toto teams'!$D$4:$D$119,MATCH($B108,' Toto teams'!$A$4:$A$119,0)),Scoring!$A$4:$O$51,15,FALSE()),0)+2*IFERROR(VLOOKUP(INDEX(' Toto teams'!$E$4:$E$119,MATCH($B108,' Toto teams'!$A$4:$A$119,0)),Scoring!$A$4:$O$51,15,FALSE()),0)+1*IFERROR(VLOOKUP(INDEX(' Toto teams'!$F$4:$F$119,MATCH($B108,' Toto teams'!$A$4:$A$119,0)),Scoring!$A$4:$O$51,15,FALSE()),0)+1*IFERROR(VLOOKUP(INDEX(' Toto teams'!$G$4:$G$119,MATCH($B108,' Toto teams'!$A$4:$A$119,0)),Scoring!$A$4:$O$51,15,FALSE()),0)+1*IFERROR(VLOOKUP(INDEX(' Toto teams'!$H$4:$H$119,MATCH($B108,' Toto teams'!$A$4:$A$119,0)),Scoring!$A$4:$O$51,15,FALSE()),0))</f>
        <v>0</v>
      </c>
      <c r="J108" s="28">
        <f>IF($B108="","",6*IFERROR(VLOOKUP(INDEX(' Toto teams'!$B$4:$B$119,MATCH($B108,' Toto teams'!$A$4:$A$119,0)),Scoring!$A$4:$N$51,12,FALSE()),0)+4*IFERROR(VLOOKUP(INDEX(' Toto teams'!$C$4:$C$119,MATCH($B108,' Toto teams'!$A$4:$A$119,0)),Scoring!$A$4:$N$51,12,FALSE()),0)+3*IFERROR(VLOOKUP(INDEX(' Toto teams'!$D$4:$D$119,MATCH($B108,' Toto teams'!$A$4:$A$119,0)),Scoring!$A$4:$N$51,12,FALSE()),0)+2*IFERROR(VLOOKUP(INDEX(' Toto teams'!$E$4:$E$119,MATCH($B108,' Toto teams'!$A$4:$A$119,0)),Scoring!$A$4:$N$51,12,FALSE()),0)+1*IFERROR(VLOOKUP(INDEX(' Toto teams'!$F$4:$F$119,MATCH($B108,' Toto teams'!$A$4:$A$119,0)),Scoring!$A$4:$N$51,12,FALSE()),0)+1*IFERROR(VLOOKUP(INDEX(' Toto teams'!$G$4:$G$119,MATCH($B108,' Toto teams'!$A$4:$A$119,0)),Scoring!$A$4:$N$51,12,FALSE()),0)+1*IFERROR(VLOOKUP(INDEX(' Toto teams'!$H$4:$H$119,MATCH($B108,' Toto teams'!$A$4:$A$119,0)),Scoring!$A$4:$N$51,12,FALSE()),0))</f>
        <v>0</v>
      </c>
      <c r="K108" s="29">
        <f>IF($B108="","",IFERROR(INDEX(' Toto teams'!$R$4:$R$119,MATCH($B108,' Toto teams'!$A$4:$A$119,0)),""))</f>
        <v>0</v>
      </c>
      <c r="L108" s="30">
        <f t="shared" si="6"/>
        <v>0</v>
      </c>
    </row>
    <row r="109" spans="1:12" ht="13.5" customHeight="1" x14ac:dyDescent="0.3">
      <c r="A109" t="str">
        <f>IF(106&gt;COUNTIF(' Toto teams'!$A$4:$A$119,"&lt;&gt;"),"",INDEX(' Toto teams'!$S$4:$S$119,MATCH(LARGE(' Toto teams'!$T$4:$T$119,106),' Toto teams'!$T$4:$T$119,0)))</f>
        <v/>
      </c>
      <c r="B109" t="str">
        <f>IF(106&gt;COUNTIF(' Toto teams'!$A$4:$A$119,"&lt;&gt;"),"",INDEX(' Toto teams'!$A$4:$A$119,MATCH(LARGE(' Toto teams'!$T$4:$T$119,106),' Toto teams'!$T$4:$T$119,0)))</f>
        <v/>
      </c>
      <c r="C109" t="str">
        <f>IF($B109="","",6*(IFERROR(VLOOKUP(INDEX(' Toto teams'!$B$4:$B$119,MATCH($B109,' Toto teams'!$A$4:$A$119,0)),Scoring!$A$4:$N$51,3,FALSE()),0)+IFERROR(VLOOKUP(INDEX(' Toto teams'!$B$4:$B$119,MATCH($B109,' Toto teams'!$A$4:$A$119,0)),Scoring!$A$4:$N$51,4,FALSE()),0)+IFERROR(VLOOKUP(INDEX(' Toto teams'!$B$4:$B$119,MATCH($B109,' Toto teams'!$A$4:$A$119,0)),Scoring!$A$4:$N$51,5,FALSE()),0))+4*(IFERROR(VLOOKUP(INDEX(' Toto teams'!$C$4:$C$119,MATCH($B109,' Toto teams'!$A$4:$A$119,0)),Scoring!$A$4:$N$51,3,FALSE()),0)+IFERROR(VLOOKUP(INDEX(' Toto teams'!$C$4:$C$119,MATCH($B109,' Toto teams'!$A$4:$A$119,0)),Scoring!$A$4:$N$51,4,FALSE()),0)+IFERROR(VLOOKUP(INDEX(' Toto teams'!$C$4:$C$119,MATCH($B109,' Toto teams'!$A$4:$A$119,0)),Scoring!$A$4:$N$51,5,FALSE()),0))+3*(IFERROR(VLOOKUP(INDEX(' Toto teams'!$D$4:$D$119,MATCH($B109,' Toto teams'!$A$4:$A$119,0)),Scoring!$A$4:$N$51,3,FALSE()),0)+IFERROR(VLOOKUP(INDEX(' Toto teams'!$D$4:$D$119,MATCH($B109,' Toto teams'!$A$4:$A$119,0)),Scoring!$A$4:$N$51,4,FALSE()),0)+IFERROR(VLOOKUP(INDEX(' Toto teams'!$D$4:$D$119,MATCH($B109,' Toto teams'!$A$4:$A$119,0)),Scoring!$A$4:$N$51,5,FALSE()),0))+2*(IFERROR(VLOOKUP(INDEX(' Toto teams'!$E$4:$E$119,MATCH($B109,' Toto teams'!$A$4:$A$119,0)),Scoring!$A$4:$N$51,3,FALSE()),0)+IFERROR(VLOOKUP(INDEX(' Toto teams'!$E$4:$E$119,MATCH($B109,' Toto teams'!$A$4:$A$119,0)),Scoring!$A$4:$N$51,4,FALSE()),0)+IFERROR(VLOOKUP(INDEX(' Toto teams'!$E$4:$E$119,MATCH($B109,' Toto teams'!$A$4:$A$119,0)),Scoring!$A$4:$N$51,5,FALSE()),0))+1*(IFERROR(VLOOKUP(INDEX(' Toto teams'!$F$4:$F$119,MATCH($B109,' Toto teams'!$A$4:$A$119,0)),Scoring!$A$4:$N$51,3,FALSE()),0)+IFERROR(VLOOKUP(INDEX(' Toto teams'!$F$4:$F$119,MATCH($B109,' Toto teams'!$A$4:$A$119,0)),Scoring!$A$4:$N$51,4,FALSE()),0)+IFERROR(VLOOKUP(INDEX(' Toto teams'!$F$4:$F$119,MATCH($B109,' Toto teams'!$A$4:$A$119,0)),Scoring!$A$4:$N$51,5,FALSE()),0))+1*(IFERROR(VLOOKUP(INDEX(' Toto teams'!$G$4:$G$119,MATCH($B109,' Toto teams'!$A$4:$A$119,0)),Scoring!$A$4:$N$51,3,FALSE()),0)+IFERROR(VLOOKUP(INDEX(' Toto teams'!$G$4:$G$119,MATCH($B109,' Toto teams'!$A$4:$A$119,0)),Scoring!$A$4:$N$51,4,FALSE()),0)+IFERROR(VLOOKUP(INDEX(' Toto teams'!$G$4:$G$119,MATCH($B109,' Toto teams'!$A$4:$A$119,0)),Scoring!$A$4:$N$51,5,FALSE()),0))+1*(IFERROR(VLOOKUP(INDEX(' Toto teams'!$H$4:$H$119,MATCH($B109,' Toto teams'!$A$4:$A$119,0)),Scoring!$A$4:$N$51,3,FALSE()),0)+IFERROR(VLOOKUP(INDEX(' Toto teams'!$H$4:$H$119,MATCH($B109,' Toto teams'!$A$4:$A$119,0)),Scoring!$A$4:$N$51,4,FALSE()),0)+IFERROR(VLOOKUP(INDEX(' Toto teams'!$H$4:$H$119,MATCH($B109,' Toto teams'!$A$4:$A$119,0)),Scoring!$A$4:$N$51,5,FALSE()),0))+IFERROR(INDEX(' Toto teams'!$Q$4:$Q$119,MATCH($B109,' Toto teams'!$A$4:$A$119,0))*1,0))</f>
        <v/>
      </c>
      <c r="D109" t="str">
        <f>IF($B109="","",6*IFERROR(VLOOKUP(INDEX(' Toto teams'!$B$4:$B$119,MATCH($B109,' Toto teams'!$A$4:$A$119,0)),Scoring!$A$4:$N$51,7,FALSE()),0)+4*IFERROR(VLOOKUP(INDEX(' Toto teams'!$C$4:$C$119,MATCH($B109,' Toto teams'!$A$4:$A$119,0)),Scoring!$A$4:$N$51,7,FALSE()),0)+3*IFERROR(VLOOKUP(INDEX(' Toto teams'!$D$4:$D$119,MATCH($B109,' Toto teams'!$A$4:$A$119,0)),Scoring!$A$4:$N$51,7,FALSE()),0)+2*IFERROR(VLOOKUP(INDEX(' Toto teams'!$E$4:$E$119,MATCH($B109,' Toto teams'!$A$4:$A$119,0)),Scoring!$A$4:$N$51,7,FALSE()),0)+1*IFERROR(VLOOKUP(INDEX(' Toto teams'!$F$4:$F$119,MATCH($B109,' Toto teams'!$A$4:$A$119,0)),Scoring!$A$4:$N$51,7,FALSE()),0)+1*IFERROR(VLOOKUP(INDEX(' Toto teams'!$G$4:$G$119,MATCH($B109,' Toto teams'!$A$4:$A$119,0)),Scoring!$A$4:$N$51,7,FALSE()),0)+1*IFERROR(VLOOKUP(INDEX(' Toto teams'!$H$4:$H$119,MATCH($B109,' Toto teams'!$A$4:$A$119,0)),Scoring!$A$4:$N$51,7,FALSE()),0))</f>
        <v/>
      </c>
      <c r="E109" t="str">
        <f>IF($B109="","",6*IFERROR(VLOOKUP(INDEX(' Toto teams'!$B$4:$B$119,MATCH($B109,' Toto teams'!$A$4:$A$119,0)),Scoring!$A$4:$N$51,8,FALSE()),0)+4*IFERROR(VLOOKUP(INDEX(' Toto teams'!$C$4:$C$119,MATCH($B109,' Toto teams'!$A$4:$A$119,0)),Scoring!$A$4:$N$51,8,FALSE()),0)+3*IFERROR(VLOOKUP(INDEX(' Toto teams'!$D$4:$D$119,MATCH($B109,' Toto teams'!$A$4:$A$119,0)),Scoring!$A$4:$N$51,8,FALSE()),0)+2*IFERROR(VLOOKUP(INDEX(' Toto teams'!$E$4:$E$119,MATCH($B109,' Toto teams'!$A$4:$A$119,0)),Scoring!$A$4:$N$51,8,FALSE()),0)+1*IFERROR(VLOOKUP(INDEX(' Toto teams'!$F$4:$F$119,MATCH($B109,' Toto teams'!$A$4:$A$119,0)),Scoring!$A$4:$N$51,8,FALSE()),0)+1*IFERROR(VLOOKUP(INDEX(' Toto teams'!$G$4:$G$119,MATCH($B109,' Toto teams'!$A$4:$A$119,0)),Scoring!$A$4:$N$51,8,FALSE()),0)+1*IFERROR(VLOOKUP(INDEX(' Toto teams'!$H$4:$H$119,MATCH($B109,' Toto teams'!$A$4:$A$119,0)),Scoring!$A$4:$N$51,8,FALSE()),0))</f>
        <v/>
      </c>
      <c r="F109" t="str">
        <f>IF($B109="","",6*IFERROR(VLOOKUP(INDEX(' Toto teams'!$B$4:$B$119,MATCH($B109,' Toto teams'!$A$4:$A$119,0)),Scoring!$A$4:$N$51,9,FALSE()),0)+4*IFERROR(VLOOKUP(INDEX(' Toto teams'!$C$4:$C$119,MATCH($B109,' Toto teams'!$A$4:$A$119,0)),Scoring!$A$4:$N$51,9,FALSE()),0)+3*IFERROR(VLOOKUP(INDEX(' Toto teams'!$D$4:$D$119,MATCH($B109,' Toto teams'!$A$4:$A$119,0)),Scoring!$A$4:$N$51,9,FALSE()),0)+2*IFERROR(VLOOKUP(INDEX(' Toto teams'!$E$4:$E$119,MATCH($B109,' Toto teams'!$A$4:$A$119,0)),Scoring!$A$4:$N$51,9,FALSE()),0)+1*IFERROR(VLOOKUP(INDEX(' Toto teams'!$F$4:$F$119,MATCH($B109,' Toto teams'!$A$4:$A$119,0)),Scoring!$A$4:$N$51,9,FALSE()),0)+1*IFERROR(VLOOKUP(INDEX(' Toto teams'!$G$4:$G$119,MATCH($B109,' Toto teams'!$A$4:$A$119,0)),Scoring!$A$4:$N$51,9,FALSE()),0)+1*IFERROR(VLOOKUP(INDEX(' Toto teams'!$H$4:$H$119,MATCH($B109,' Toto teams'!$A$4:$A$119,0)),Scoring!$A$4:$N$51,9,FALSE()),0))</f>
        <v/>
      </c>
      <c r="G109" t="str">
        <f>IF($B109="","",6*IFERROR(VLOOKUP(INDEX(' Toto teams'!$B$4:$B$119,MATCH($B109,' Toto teams'!$A$4:$A$119,0)),Scoring!$A$4:$N$51,10,FALSE()),0)+4*IFERROR(VLOOKUP(INDEX(' Toto teams'!$C$4:$C$119,MATCH($B109,' Toto teams'!$A$4:$A$119,0)),Scoring!$A$4:$N$51,10,FALSE()),0)+3*IFERROR(VLOOKUP(INDEX(' Toto teams'!$D$4:$D$119,MATCH($B109,' Toto teams'!$A$4:$A$119,0)),Scoring!$A$4:$N$51,10,FALSE()),0)+2*IFERROR(VLOOKUP(INDEX(' Toto teams'!$E$4:$E$119,MATCH($B109,' Toto teams'!$A$4:$A$119,0)),Scoring!$A$4:$N$51,10,FALSE()),0)+1*IFERROR(VLOOKUP(INDEX(' Toto teams'!$F$4:$F$119,MATCH($B109,' Toto teams'!$A$4:$A$119,0)),Scoring!$A$4:$N$51,10,FALSE()),0)+1*IFERROR(VLOOKUP(INDEX(' Toto teams'!$G$4:$G$119,MATCH($B109,' Toto teams'!$A$4:$A$119,0)),Scoring!$A$4:$N$51,10,FALSE()),0)+1*IFERROR(VLOOKUP(INDEX(' Toto teams'!$H$4:$H$119,MATCH($B109,' Toto teams'!$A$4:$A$119,0)),Scoring!$A$4:$N$51,10,FALSE()),0))</f>
        <v/>
      </c>
      <c r="H109" t="str">
        <f>IF($B109="","",6*IFERROR(VLOOKUP(INDEX(' Toto teams'!$B$4:$B$119,MATCH($B109,' Toto teams'!$A$4:$A$119,0)),Scoring!$A$4:$N$51,11,FALSE()),0)+4*IFERROR(VLOOKUP(INDEX(' Toto teams'!$C$4:$C$119,MATCH($B109,' Toto teams'!$A$4:$A$119,0)),Scoring!$A$4:$N$51,11,FALSE()),0)+3*IFERROR(VLOOKUP(INDEX(' Toto teams'!$D$4:$D$119,MATCH($B109,' Toto teams'!$A$4:$A$119,0)),Scoring!$A$4:$N$51,11,FALSE()),0)+2*IFERROR(VLOOKUP(INDEX(' Toto teams'!$E$4:$E$119,MATCH($B109,' Toto teams'!$A$4:$A$119,0)),Scoring!$A$4:$N$51,11,FALSE()),0)+1*IFERROR(VLOOKUP(INDEX(' Toto teams'!$F$4:$F$119,MATCH($B109,' Toto teams'!$A$4:$A$119,0)),Scoring!$A$4:$N$51,11,FALSE()),0)+1*IFERROR(VLOOKUP(INDEX(' Toto teams'!$G$4:$G$119,MATCH($B109,' Toto teams'!$A$4:$A$119,0)),Scoring!$A$4:$N$51,11,FALSE()),0)+1*IFERROR(VLOOKUP(INDEX(' Toto teams'!$H$4:$H$119,MATCH($B109,' Toto teams'!$A$4:$A$119,0)),Scoring!$A$4:$N$51,11,FALSE()),0))</f>
        <v/>
      </c>
      <c r="I109" t="str">
        <f>IF($B109="","",6*IFERROR(VLOOKUP(INDEX(' Toto teams'!$B$4:$B$119,MATCH($B109,' Toto teams'!$A$4:$A$119,0)),Scoring!$A$4:$O$51,15,FALSE()),0)+4*IFERROR(VLOOKUP(INDEX(' Toto teams'!$C$4:$C$119,MATCH($B109,' Toto teams'!$A$4:$A$119,0)),Scoring!$A$4:$O$51,15,FALSE()),0)+3*IFERROR(VLOOKUP(INDEX(' Toto teams'!$D$4:$D$119,MATCH($B109,' Toto teams'!$A$4:$A$119,0)),Scoring!$A$4:$O$51,15,FALSE()),0)+2*IFERROR(VLOOKUP(INDEX(' Toto teams'!$E$4:$E$119,MATCH($B109,' Toto teams'!$A$4:$A$119,0)),Scoring!$A$4:$O$51,15,FALSE()),0)+1*IFERROR(VLOOKUP(INDEX(' Toto teams'!$F$4:$F$119,MATCH($B109,' Toto teams'!$A$4:$A$119,0)),Scoring!$A$4:$O$51,15,FALSE()),0)+1*IFERROR(VLOOKUP(INDEX(' Toto teams'!$G$4:$G$119,MATCH($B109,' Toto teams'!$A$4:$A$119,0)),Scoring!$A$4:$O$51,15,FALSE()),0)+1*IFERROR(VLOOKUP(INDEX(' Toto teams'!$H$4:$H$119,MATCH($B109,' Toto teams'!$A$4:$A$119,0)),Scoring!$A$4:$O$51,15,FALSE()),0))</f>
        <v/>
      </c>
      <c r="J109" t="str">
        <f>IF($B109="","",6*IFERROR(VLOOKUP(INDEX(' Toto teams'!$B$4:$B$119,MATCH($B109,' Toto teams'!$A$4:$A$119,0)),Scoring!$A$4:$N$51,12,FALSE()),0)+4*IFERROR(VLOOKUP(INDEX(' Toto teams'!$C$4:$C$119,MATCH($B109,' Toto teams'!$A$4:$A$119,0)),Scoring!$A$4:$N$51,12,FALSE()),0)+3*IFERROR(VLOOKUP(INDEX(' Toto teams'!$D$4:$D$119,MATCH($B109,' Toto teams'!$A$4:$A$119,0)),Scoring!$A$4:$N$51,12,FALSE()),0)+2*IFERROR(VLOOKUP(INDEX(' Toto teams'!$E$4:$E$119,MATCH($B109,' Toto teams'!$A$4:$A$119,0)),Scoring!$A$4:$N$51,12,FALSE()),0)+1*IFERROR(VLOOKUP(INDEX(' Toto teams'!$F$4:$F$119,MATCH($B109,' Toto teams'!$A$4:$A$119,0)),Scoring!$A$4:$N$51,12,FALSE()),0)+1*IFERROR(VLOOKUP(INDEX(' Toto teams'!$G$4:$G$119,MATCH($B109,' Toto teams'!$A$4:$A$119,0)),Scoring!$A$4:$N$51,12,FALSE()),0)+1*IFERROR(VLOOKUP(INDEX(' Toto teams'!$H$4:$H$119,MATCH($B109,' Toto teams'!$A$4:$A$119,0)),Scoring!$A$4:$N$51,12,FALSE()),0))</f>
        <v/>
      </c>
      <c r="K109" t="str">
        <f>IF($B109="","",IFERROR(INDEX(' Toto teams'!$R$4:$R$119,MATCH($B109,' Toto teams'!$A$4:$A$119,0)),""))</f>
        <v/>
      </c>
      <c r="L109" t="str">
        <f t="shared" si="6"/>
        <v/>
      </c>
    </row>
    <row r="110" spans="1:12" ht="13.5" customHeight="1" x14ac:dyDescent="0.3">
      <c r="A110" t="str">
        <f>IF(107&gt;COUNTIF(' Toto teams'!$A$4:$A$119,"&lt;&gt;"),"",INDEX(' Toto teams'!$S$4:$S$119,MATCH(LARGE(' Toto teams'!$T$4:$T$119,107),' Toto teams'!$T$4:$T$119,0)))</f>
        <v/>
      </c>
      <c r="B110" t="str">
        <f>IF(107&gt;COUNTIF(' Toto teams'!$A$4:$A$119,"&lt;&gt;"),"",INDEX(' Toto teams'!$A$4:$A$119,MATCH(LARGE(' Toto teams'!$T$4:$T$119,107),' Toto teams'!$T$4:$T$119,0)))</f>
        <v/>
      </c>
      <c r="C110" t="str">
        <f>IF($B110="","",6*(IFERROR(VLOOKUP(INDEX(' Toto teams'!$B$4:$B$119,MATCH($B110,' Toto teams'!$A$4:$A$119,0)),Scoring!$A$4:$N$51,3,FALSE()),0)+IFERROR(VLOOKUP(INDEX(' Toto teams'!$B$4:$B$119,MATCH($B110,' Toto teams'!$A$4:$A$119,0)),Scoring!$A$4:$N$51,4,FALSE()),0)+IFERROR(VLOOKUP(INDEX(' Toto teams'!$B$4:$B$119,MATCH($B110,' Toto teams'!$A$4:$A$119,0)),Scoring!$A$4:$N$51,5,FALSE()),0))+4*(IFERROR(VLOOKUP(INDEX(' Toto teams'!$C$4:$C$119,MATCH($B110,' Toto teams'!$A$4:$A$119,0)),Scoring!$A$4:$N$51,3,FALSE()),0)+IFERROR(VLOOKUP(INDEX(' Toto teams'!$C$4:$C$119,MATCH($B110,' Toto teams'!$A$4:$A$119,0)),Scoring!$A$4:$N$51,4,FALSE()),0)+IFERROR(VLOOKUP(INDEX(' Toto teams'!$C$4:$C$119,MATCH($B110,' Toto teams'!$A$4:$A$119,0)),Scoring!$A$4:$N$51,5,FALSE()),0))+3*(IFERROR(VLOOKUP(INDEX(' Toto teams'!$D$4:$D$119,MATCH($B110,' Toto teams'!$A$4:$A$119,0)),Scoring!$A$4:$N$51,3,FALSE()),0)+IFERROR(VLOOKUP(INDEX(' Toto teams'!$D$4:$D$119,MATCH($B110,' Toto teams'!$A$4:$A$119,0)),Scoring!$A$4:$N$51,4,FALSE()),0)+IFERROR(VLOOKUP(INDEX(' Toto teams'!$D$4:$D$119,MATCH($B110,' Toto teams'!$A$4:$A$119,0)),Scoring!$A$4:$N$51,5,FALSE()),0))+2*(IFERROR(VLOOKUP(INDEX(' Toto teams'!$E$4:$E$119,MATCH($B110,' Toto teams'!$A$4:$A$119,0)),Scoring!$A$4:$N$51,3,FALSE()),0)+IFERROR(VLOOKUP(INDEX(' Toto teams'!$E$4:$E$119,MATCH($B110,' Toto teams'!$A$4:$A$119,0)),Scoring!$A$4:$N$51,4,FALSE()),0)+IFERROR(VLOOKUP(INDEX(' Toto teams'!$E$4:$E$119,MATCH($B110,' Toto teams'!$A$4:$A$119,0)),Scoring!$A$4:$N$51,5,FALSE()),0))+1*(IFERROR(VLOOKUP(INDEX(' Toto teams'!$F$4:$F$119,MATCH($B110,' Toto teams'!$A$4:$A$119,0)),Scoring!$A$4:$N$51,3,FALSE()),0)+IFERROR(VLOOKUP(INDEX(' Toto teams'!$F$4:$F$119,MATCH($B110,' Toto teams'!$A$4:$A$119,0)),Scoring!$A$4:$N$51,4,FALSE()),0)+IFERROR(VLOOKUP(INDEX(' Toto teams'!$F$4:$F$119,MATCH($B110,' Toto teams'!$A$4:$A$119,0)),Scoring!$A$4:$N$51,5,FALSE()),0))+1*(IFERROR(VLOOKUP(INDEX(' Toto teams'!$G$4:$G$119,MATCH($B110,' Toto teams'!$A$4:$A$119,0)),Scoring!$A$4:$N$51,3,FALSE()),0)+IFERROR(VLOOKUP(INDEX(' Toto teams'!$G$4:$G$119,MATCH($B110,' Toto teams'!$A$4:$A$119,0)),Scoring!$A$4:$N$51,4,FALSE()),0)+IFERROR(VLOOKUP(INDEX(' Toto teams'!$G$4:$G$119,MATCH($B110,' Toto teams'!$A$4:$A$119,0)),Scoring!$A$4:$N$51,5,FALSE()),0))+1*(IFERROR(VLOOKUP(INDEX(' Toto teams'!$H$4:$H$119,MATCH($B110,' Toto teams'!$A$4:$A$119,0)),Scoring!$A$4:$N$51,3,FALSE()),0)+IFERROR(VLOOKUP(INDEX(' Toto teams'!$H$4:$H$119,MATCH($B110,' Toto teams'!$A$4:$A$119,0)),Scoring!$A$4:$N$51,4,FALSE()),0)+IFERROR(VLOOKUP(INDEX(' Toto teams'!$H$4:$H$119,MATCH($B110,' Toto teams'!$A$4:$A$119,0)),Scoring!$A$4:$N$51,5,FALSE()),0))+IFERROR(INDEX(' Toto teams'!$Q$4:$Q$119,MATCH($B110,' Toto teams'!$A$4:$A$119,0))*1,0))</f>
        <v/>
      </c>
      <c r="D110" t="str">
        <f>IF($B110="","",6*IFERROR(VLOOKUP(INDEX(' Toto teams'!$B$4:$B$119,MATCH($B110,' Toto teams'!$A$4:$A$119,0)),Scoring!$A$4:$N$51,7,FALSE()),0)+4*IFERROR(VLOOKUP(INDEX(' Toto teams'!$C$4:$C$119,MATCH($B110,' Toto teams'!$A$4:$A$119,0)),Scoring!$A$4:$N$51,7,FALSE()),0)+3*IFERROR(VLOOKUP(INDEX(' Toto teams'!$D$4:$D$119,MATCH($B110,' Toto teams'!$A$4:$A$119,0)),Scoring!$A$4:$N$51,7,FALSE()),0)+2*IFERROR(VLOOKUP(INDEX(' Toto teams'!$E$4:$E$119,MATCH($B110,' Toto teams'!$A$4:$A$119,0)),Scoring!$A$4:$N$51,7,FALSE()),0)+1*IFERROR(VLOOKUP(INDEX(' Toto teams'!$F$4:$F$119,MATCH($B110,' Toto teams'!$A$4:$A$119,0)),Scoring!$A$4:$N$51,7,FALSE()),0)+1*IFERROR(VLOOKUP(INDEX(' Toto teams'!$G$4:$G$119,MATCH($B110,' Toto teams'!$A$4:$A$119,0)),Scoring!$A$4:$N$51,7,FALSE()),0)+1*IFERROR(VLOOKUP(INDEX(' Toto teams'!$H$4:$H$119,MATCH($B110,' Toto teams'!$A$4:$A$119,0)),Scoring!$A$4:$N$51,7,FALSE()),0))</f>
        <v/>
      </c>
      <c r="E110" t="str">
        <f>IF($B110="","",6*IFERROR(VLOOKUP(INDEX(' Toto teams'!$B$4:$B$119,MATCH($B110,' Toto teams'!$A$4:$A$119,0)),Scoring!$A$4:$N$51,8,FALSE()),0)+4*IFERROR(VLOOKUP(INDEX(' Toto teams'!$C$4:$C$119,MATCH($B110,' Toto teams'!$A$4:$A$119,0)),Scoring!$A$4:$N$51,8,FALSE()),0)+3*IFERROR(VLOOKUP(INDEX(' Toto teams'!$D$4:$D$119,MATCH($B110,' Toto teams'!$A$4:$A$119,0)),Scoring!$A$4:$N$51,8,FALSE()),0)+2*IFERROR(VLOOKUP(INDEX(' Toto teams'!$E$4:$E$119,MATCH($B110,' Toto teams'!$A$4:$A$119,0)),Scoring!$A$4:$N$51,8,FALSE()),0)+1*IFERROR(VLOOKUP(INDEX(' Toto teams'!$F$4:$F$119,MATCH($B110,' Toto teams'!$A$4:$A$119,0)),Scoring!$A$4:$N$51,8,FALSE()),0)+1*IFERROR(VLOOKUP(INDEX(' Toto teams'!$G$4:$G$119,MATCH($B110,' Toto teams'!$A$4:$A$119,0)),Scoring!$A$4:$N$51,8,FALSE()),0)+1*IFERROR(VLOOKUP(INDEX(' Toto teams'!$H$4:$H$119,MATCH($B110,' Toto teams'!$A$4:$A$119,0)),Scoring!$A$4:$N$51,8,FALSE()),0))</f>
        <v/>
      </c>
      <c r="F110" t="str">
        <f>IF($B110="","",6*IFERROR(VLOOKUP(INDEX(' Toto teams'!$B$4:$B$119,MATCH($B110,' Toto teams'!$A$4:$A$119,0)),Scoring!$A$4:$N$51,9,FALSE()),0)+4*IFERROR(VLOOKUP(INDEX(' Toto teams'!$C$4:$C$119,MATCH($B110,' Toto teams'!$A$4:$A$119,0)),Scoring!$A$4:$N$51,9,FALSE()),0)+3*IFERROR(VLOOKUP(INDEX(' Toto teams'!$D$4:$D$119,MATCH($B110,' Toto teams'!$A$4:$A$119,0)),Scoring!$A$4:$N$51,9,FALSE()),0)+2*IFERROR(VLOOKUP(INDEX(' Toto teams'!$E$4:$E$119,MATCH($B110,' Toto teams'!$A$4:$A$119,0)),Scoring!$A$4:$N$51,9,FALSE()),0)+1*IFERROR(VLOOKUP(INDEX(' Toto teams'!$F$4:$F$119,MATCH($B110,' Toto teams'!$A$4:$A$119,0)),Scoring!$A$4:$N$51,9,FALSE()),0)+1*IFERROR(VLOOKUP(INDEX(' Toto teams'!$G$4:$G$119,MATCH($B110,' Toto teams'!$A$4:$A$119,0)),Scoring!$A$4:$N$51,9,FALSE()),0)+1*IFERROR(VLOOKUP(INDEX(' Toto teams'!$H$4:$H$119,MATCH($B110,' Toto teams'!$A$4:$A$119,0)),Scoring!$A$4:$N$51,9,FALSE()),0))</f>
        <v/>
      </c>
      <c r="G110" t="str">
        <f>IF($B110="","",6*IFERROR(VLOOKUP(INDEX(' Toto teams'!$B$4:$B$119,MATCH($B110,' Toto teams'!$A$4:$A$119,0)),Scoring!$A$4:$N$51,10,FALSE()),0)+4*IFERROR(VLOOKUP(INDEX(' Toto teams'!$C$4:$C$119,MATCH($B110,' Toto teams'!$A$4:$A$119,0)),Scoring!$A$4:$N$51,10,FALSE()),0)+3*IFERROR(VLOOKUP(INDEX(' Toto teams'!$D$4:$D$119,MATCH($B110,' Toto teams'!$A$4:$A$119,0)),Scoring!$A$4:$N$51,10,FALSE()),0)+2*IFERROR(VLOOKUP(INDEX(' Toto teams'!$E$4:$E$119,MATCH($B110,' Toto teams'!$A$4:$A$119,0)),Scoring!$A$4:$N$51,10,FALSE()),0)+1*IFERROR(VLOOKUP(INDEX(' Toto teams'!$F$4:$F$119,MATCH($B110,' Toto teams'!$A$4:$A$119,0)),Scoring!$A$4:$N$51,10,FALSE()),0)+1*IFERROR(VLOOKUP(INDEX(' Toto teams'!$G$4:$G$119,MATCH($B110,' Toto teams'!$A$4:$A$119,0)),Scoring!$A$4:$N$51,10,FALSE()),0)+1*IFERROR(VLOOKUP(INDEX(' Toto teams'!$H$4:$H$119,MATCH($B110,' Toto teams'!$A$4:$A$119,0)),Scoring!$A$4:$N$51,10,FALSE()),0))</f>
        <v/>
      </c>
      <c r="H110" t="str">
        <f>IF($B110="","",6*IFERROR(VLOOKUP(INDEX(' Toto teams'!$B$4:$B$119,MATCH($B110,' Toto teams'!$A$4:$A$119,0)),Scoring!$A$4:$N$51,11,FALSE()),0)+4*IFERROR(VLOOKUP(INDEX(' Toto teams'!$C$4:$C$119,MATCH($B110,' Toto teams'!$A$4:$A$119,0)),Scoring!$A$4:$N$51,11,FALSE()),0)+3*IFERROR(VLOOKUP(INDEX(' Toto teams'!$D$4:$D$119,MATCH($B110,' Toto teams'!$A$4:$A$119,0)),Scoring!$A$4:$N$51,11,FALSE()),0)+2*IFERROR(VLOOKUP(INDEX(' Toto teams'!$E$4:$E$119,MATCH($B110,' Toto teams'!$A$4:$A$119,0)),Scoring!$A$4:$N$51,11,FALSE()),0)+1*IFERROR(VLOOKUP(INDEX(' Toto teams'!$F$4:$F$119,MATCH($B110,' Toto teams'!$A$4:$A$119,0)),Scoring!$A$4:$N$51,11,FALSE()),0)+1*IFERROR(VLOOKUP(INDEX(' Toto teams'!$G$4:$G$119,MATCH($B110,' Toto teams'!$A$4:$A$119,0)),Scoring!$A$4:$N$51,11,FALSE()),0)+1*IFERROR(VLOOKUP(INDEX(' Toto teams'!$H$4:$H$119,MATCH($B110,' Toto teams'!$A$4:$A$119,0)),Scoring!$A$4:$N$51,11,FALSE()),0))</f>
        <v/>
      </c>
      <c r="I110" t="str">
        <f>IF($B110="","",6*IFERROR(VLOOKUP(INDEX(' Toto teams'!$B$4:$B$119,MATCH($B110,' Toto teams'!$A$4:$A$119,0)),Scoring!$A$4:$O$51,15,FALSE()),0)+4*IFERROR(VLOOKUP(INDEX(' Toto teams'!$C$4:$C$119,MATCH($B110,' Toto teams'!$A$4:$A$119,0)),Scoring!$A$4:$O$51,15,FALSE()),0)+3*IFERROR(VLOOKUP(INDEX(' Toto teams'!$D$4:$D$119,MATCH($B110,' Toto teams'!$A$4:$A$119,0)),Scoring!$A$4:$O$51,15,FALSE()),0)+2*IFERROR(VLOOKUP(INDEX(' Toto teams'!$E$4:$E$119,MATCH($B110,' Toto teams'!$A$4:$A$119,0)),Scoring!$A$4:$O$51,15,FALSE()),0)+1*IFERROR(VLOOKUP(INDEX(' Toto teams'!$F$4:$F$119,MATCH($B110,' Toto teams'!$A$4:$A$119,0)),Scoring!$A$4:$O$51,15,FALSE()),0)+1*IFERROR(VLOOKUP(INDEX(' Toto teams'!$G$4:$G$119,MATCH($B110,' Toto teams'!$A$4:$A$119,0)),Scoring!$A$4:$O$51,15,FALSE()),0)+1*IFERROR(VLOOKUP(INDEX(' Toto teams'!$H$4:$H$119,MATCH($B110,' Toto teams'!$A$4:$A$119,0)),Scoring!$A$4:$O$51,15,FALSE()),0))</f>
        <v/>
      </c>
      <c r="J110" t="str">
        <f>IF($B110="","",6*IFERROR(VLOOKUP(INDEX(' Toto teams'!$B$4:$B$119,MATCH($B110,' Toto teams'!$A$4:$A$119,0)),Scoring!$A$4:$N$51,12,FALSE()),0)+4*IFERROR(VLOOKUP(INDEX(' Toto teams'!$C$4:$C$119,MATCH($B110,' Toto teams'!$A$4:$A$119,0)),Scoring!$A$4:$N$51,12,FALSE()),0)+3*IFERROR(VLOOKUP(INDEX(' Toto teams'!$D$4:$D$119,MATCH($B110,' Toto teams'!$A$4:$A$119,0)),Scoring!$A$4:$N$51,12,FALSE()),0)+2*IFERROR(VLOOKUP(INDEX(' Toto teams'!$E$4:$E$119,MATCH($B110,' Toto teams'!$A$4:$A$119,0)),Scoring!$A$4:$N$51,12,FALSE()),0)+1*IFERROR(VLOOKUP(INDEX(' Toto teams'!$F$4:$F$119,MATCH($B110,' Toto teams'!$A$4:$A$119,0)),Scoring!$A$4:$N$51,12,FALSE()),0)+1*IFERROR(VLOOKUP(INDEX(' Toto teams'!$G$4:$G$119,MATCH($B110,' Toto teams'!$A$4:$A$119,0)),Scoring!$A$4:$N$51,12,FALSE()),0)+1*IFERROR(VLOOKUP(INDEX(' Toto teams'!$H$4:$H$119,MATCH($B110,' Toto teams'!$A$4:$A$119,0)),Scoring!$A$4:$N$51,12,FALSE()),0))</f>
        <v/>
      </c>
      <c r="K110" t="str">
        <f>IF($B110="","",IFERROR(INDEX(' Toto teams'!$R$4:$R$119,MATCH($B110,' Toto teams'!$A$4:$A$119,0)),""))</f>
        <v/>
      </c>
      <c r="L110" t="str">
        <f t="shared" si="6"/>
        <v/>
      </c>
    </row>
    <row r="111" spans="1:12" ht="13.5" customHeight="1" x14ac:dyDescent="0.3">
      <c r="A111" t="str">
        <f>IF(108&gt;COUNTIF(' Toto teams'!$A$4:$A$119,"&lt;&gt;"),"",INDEX(' Toto teams'!$S$4:$S$119,MATCH(LARGE(' Toto teams'!$T$4:$T$119,108),' Toto teams'!$T$4:$T$119,0)))</f>
        <v/>
      </c>
      <c r="B111" t="str">
        <f>IF(108&gt;COUNTIF(' Toto teams'!$A$4:$A$119,"&lt;&gt;"),"",INDEX(' Toto teams'!$A$4:$A$119,MATCH(LARGE(' Toto teams'!$T$4:$T$119,108),' Toto teams'!$T$4:$T$119,0)))</f>
        <v/>
      </c>
      <c r="C111" t="str">
        <f>IF($B111="","",6*(IFERROR(VLOOKUP(INDEX(' Toto teams'!$B$4:$B$119,MATCH($B111,' Toto teams'!$A$4:$A$119,0)),Scoring!$A$4:$N$51,3,FALSE()),0)+IFERROR(VLOOKUP(INDEX(' Toto teams'!$B$4:$B$119,MATCH($B111,' Toto teams'!$A$4:$A$119,0)),Scoring!$A$4:$N$51,4,FALSE()),0)+IFERROR(VLOOKUP(INDEX(' Toto teams'!$B$4:$B$119,MATCH($B111,' Toto teams'!$A$4:$A$119,0)),Scoring!$A$4:$N$51,5,FALSE()),0))+4*(IFERROR(VLOOKUP(INDEX(' Toto teams'!$C$4:$C$119,MATCH($B111,' Toto teams'!$A$4:$A$119,0)),Scoring!$A$4:$N$51,3,FALSE()),0)+IFERROR(VLOOKUP(INDEX(' Toto teams'!$C$4:$C$119,MATCH($B111,' Toto teams'!$A$4:$A$119,0)),Scoring!$A$4:$N$51,4,FALSE()),0)+IFERROR(VLOOKUP(INDEX(' Toto teams'!$C$4:$C$119,MATCH($B111,' Toto teams'!$A$4:$A$119,0)),Scoring!$A$4:$N$51,5,FALSE()),0))+3*(IFERROR(VLOOKUP(INDEX(' Toto teams'!$D$4:$D$119,MATCH($B111,' Toto teams'!$A$4:$A$119,0)),Scoring!$A$4:$N$51,3,FALSE()),0)+IFERROR(VLOOKUP(INDEX(' Toto teams'!$D$4:$D$119,MATCH($B111,' Toto teams'!$A$4:$A$119,0)),Scoring!$A$4:$N$51,4,FALSE()),0)+IFERROR(VLOOKUP(INDEX(' Toto teams'!$D$4:$D$119,MATCH($B111,' Toto teams'!$A$4:$A$119,0)),Scoring!$A$4:$N$51,5,FALSE()),0))+2*(IFERROR(VLOOKUP(INDEX(' Toto teams'!$E$4:$E$119,MATCH($B111,' Toto teams'!$A$4:$A$119,0)),Scoring!$A$4:$N$51,3,FALSE()),0)+IFERROR(VLOOKUP(INDEX(' Toto teams'!$E$4:$E$119,MATCH($B111,' Toto teams'!$A$4:$A$119,0)),Scoring!$A$4:$N$51,4,FALSE()),0)+IFERROR(VLOOKUP(INDEX(' Toto teams'!$E$4:$E$119,MATCH($B111,' Toto teams'!$A$4:$A$119,0)),Scoring!$A$4:$N$51,5,FALSE()),0))+1*(IFERROR(VLOOKUP(INDEX(' Toto teams'!$F$4:$F$119,MATCH($B111,' Toto teams'!$A$4:$A$119,0)),Scoring!$A$4:$N$51,3,FALSE()),0)+IFERROR(VLOOKUP(INDEX(' Toto teams'!$F$4:$F$119,MATCH($B111,' Toto teams'!$A$4:$A$119,0)),Scoring!$A$4:$N$51,4,FALSE()),0)+IFERROR(VLOOKUP(INDEX(' Toto teams'!$F$4:$F$119,MATCH($B111,' Toto teams'!$A$4:$A$119,0)),Scoring!$A$4:$N$51,5,FALSE()),0))+1*(IFERROR(VLOOKUP(INDEX(' Toto teams'!$G$4:$G$119,MATCH($B111,' Toto teams'!$A$4:$A$119,0)),Scoring!$A$4:$N$51,3,FALSE()),0)+IFERROR(VLOOKUP(INDEX(' Toto teams'!$G$4:$G$119,MATCH($B111,' Toto teams'!$A$4:$A$119,0)),Scoring!$A$4:$N$51,4,FALSE()),0)+IFERROR(VLOOKUP(INDEX(' Toto teams'!$G$4:$G$119,MATCH($B111,' Toto teams'!$A$4:$A$119,0)),Scoring!$A$4:$N$51,5,FALSE()),0))+1*(IFERROR(VLOOKUP(INDEX(' Toto teams'!$H$4:$H$119,MATCH($B111,' Toto teams'!$A$4:$A$119,0)),Scoring!$A$4:$N$51,3,FALSE()),0)+IFERROR(VLOOKUP(INDEX(' Toto teams'!$H$4:$H$119,MATCH($B111,' Toto teams'!$A$4:$A$119,0)),Scoring!$A$4:$N$51,4,FALSE()),0)+IFERROR(VLOOKUP(INDEX(' Toto teams'!$H$4:$H$119,MATCH($B111,' Toto teams'!$A$4:$A$119,0)),Scoring!$A$4:$N$51,5,FALSE()),0))+IFERROR(INDEX(' Toto teams'!$Q$4:$Q$119,MATCH($B111,' Toto teams'!$A$4:$A$119,0))*1,0))</f>
        <v/>
      </c>
      <c r="D111" t="str">
        <f>IF($B111="","",6*IFERROR(VLOOKUP(INDEX(' Toto teams'!$B$4:$B$119,MATCH($B111,' Toto teams'!$A$4:$A$119,0)),Scoring!$A$4:$N$51,7,FALSE()),0)+4*IFERROR(VLOOKUP(INDEX(' Toto teams'!$C$4:$C$119,MATCH($B111,' Toto teams'!$A$4:$A$119,0)),Scoring!$A$4:$N$51,7,FALSE()),0)+3*IFERROR(VLOOKUP(INDEX(' Toto teams'!$D$4:$D$119,MATCH($B111,' Toto teams'!$A$4:$A$119,0)),Scoring!$A$4:$N$51,7,FALSE()),0)+2*IFERROR(VLOOKUP(INDEX(' Toto teams'!$E$4:$E$119,MATCH($B111,' Toto teams'!$A$4:$A$119,0)),Scoring!$A$4:$N$51,7,FALSE()),0)+1*IFERROR(VLOOKUP(INDEX(' Toto teams'!$F$4:$F$119,MATCH($B111,' Toto teams'!$A$4:$A$119,0)),Scoring!$A$4:$N$51,7,FALSE()),0)+1*IFERROR(VLOOKUP(INDEX(' Toto teams'!$G$4:$G$119,MATCH($B111,' Toto teams'!$A$4:$A$119,0)),Scoring!$A$4:$N$51,7,FALSE()),0)+1*IFERROR(VLOOKUP(INDEX(' Toto teams'!$H$4:$H$119,MATCH($B111,' Toto teams'!$A$4:$A$119,0)),Scoring!$A$4:$N$51,7,FALSE()),0))</f>
        <v/>
      </c>
      <c r="E111" t="str">
        <f>IF($B111="","",6*IFERROR(VLOOKUP(INDEX(' Toto teams'!$B$4:$B$119,MATCH($B111,' Toto teams'!$A$4:$A$119,0)),Scoring!$A$4:$N$51,8,FALSE()),0)+4*IFERROR(VLOOKUP(INDEX(' Toto teams'!$C$4:$C$119,MATCH($B111,' Toto teams'!$A$4:$A$119,0)),Scoring!$A$4:$N$51,8,FALSE()),0)+3*IFERROR(VLOOKUP(INDEX(' Toto teams'!$D$4:$D$119,MATCH($B111,' Toto teams'!$A$4:$A$119,0)),Scoring!$A$4:$N$51,8,FALSE()),0)+2*IFERROR(VLOOKUP(INDEX(' Toto teams'!$E$4:$E$119,MATCH($B111,' Toto teams'!$A$4:$A$119,0)),Scoring!$A$4:$N$51,8,FALSE()),0)+1*IFERROR(VLOOKUP(INDEX(' Toto teams'!$F$4:$F$119,MATCH($B111,' Toto teams'!$A$4:$A$119,0)),Scoring!$A$4:$N$51,8,FALSE()),0)+1*IFERROR(VLOOKUP(INDEX(' Toto teams'!$G$4:$G$119,MATCH($B111,' Toto teams'!$A$4:$A$119,0)),Scoring!$A$4:$N$51,8,FALSE()),0)+1*IFERROR(VLOOKUP(INDEX(' Toto teams'!$H$4:$H$119,MATCH($B111,' Toto teams'!$A$4:$A$119,0)),Scoring!$A$4:$N$51,8,FALSE()),0))</f>
        <v/>
      </c>
      <c r="F111" t="str">
        <f>IF($B111="","",6*IFERROR(VLOOKUP(INDEX(' Toto teams'!$B$4:$B$119,MATCH($B111,' Toto teams'!$A$4:$A$119,0)),Scoring!$A$4:$N$51,9,FALSE()),0)+4*IFERROR(VLOOKUP(INDEX(' Toto teams'!$C$4:$C$119,MATCH($B111,' Toto teams'!$A$4:$A$119,0)),Scoring!$A$4:$N$51,9,FALSE()),0)+3*IFERROR(VLOOKUP(INDEX(' Toto teams'!$D$4:$D$119,MATCH($B111,' Toto teams'!$A$4:$A$119,0)),Scoring!$A$4:$N$51,9,FALSE()),0)+2*IFERROR(VLOOKUP(INDEX(' Toto teams'!$E$4:$E$119,MATCH($B111,' Toto teams'!$A$4:$A$119,0)),Scoring!$A$4:$N$51,9,FALSE()),0)+1*IFERROR(VLOOKUP(INDEX(' Toto teams'!$F$4:$F$119,MATCH($B111,' Toto teams'!$A$4:$A$119,0)),Scoring!$A$4:$N$51,9,FALSE()),0)+1*IFERROR(VLOOKUP(INDEX(' Toto teams'!$G$4:$G$119,MATCH($B111,' Toto teams'!$A$4:$A$119,0)),Scoring!$A$4:$N$51,9,FALSE()),0)+1*IFERROR(VLOOKUP(INDEX(' Toto teams'!$H$4:$H$119,MATCH($B111,' Toto teams'!$A$4:$A$119,0)),Scoring!$A$4:$N$51,9,FALSE()),0))</f>
        <v/>
      </c>
      <c r="G111" t="str">
        <f>IF($B111="","",6*IFERROR(VLOOKUP(INDEX(' Toto teams'!$B$4:$B$119,MATCH($B111,' Toto teams'!$A$4:$A$119,0)),Scoring!$A$4:$N$51,10,FALSE()),0)+4*IFERROR(VLOOKUP(INDEX(' Toto teams'!$C$4:$C$119,MATCH($B111,' Toto teams'!$A$4:$A$119,0)),Scoring!$A$4:$N$51,10,FALSE()),0)+3*IFERROR(VLOOKUP(INDEX(' Toto teams'!$D$4:$D$119,MATCH($B111,' Toto teams'!$A$4:$A$119,0)),Scoring!$A$4:$N$51,10,FALSE()),0)+2*IFERROR(VLOOKUP(INDEX(' Toto teams'!$E$4:$E$119,MATCH($B111,' Toto teams'!$A$4:$A$119,0)),Scoring!$A$4:$N$51,10,FALSE()),0)+1*IFERROR(VLOOKUP(INDEX(' Toto teams'!$F$4:$F$119,MATCH($B111,' Toto teams'!$A$4:$A$119,0)),Scoring!$A$4:$N$51,10,FALSE()),0)+1*IFERROR(VLOOKUP(INDEX(' Toto teams'!$G$4:$G$119,MATCH($B111,' Toto teams'!$A$4:$A$119,0)),Scoring!$A$4:$N$51,10,FALSE()),0)+1*IFERROR(VLOOKUP(INDEX(' Toto teams'!$H$4:$H$119,MATCH($B111,' Toto teams'!$A$4:$A$119,0)),Scoring!$A$4:$N$51,10,FALSE()),0))</f>
        <v/>
      </c>
      <c r="H111" t="str">
        <f>IF($B111="","",6*IFERROR(VLOOKUP(INDEX(' Toto teams'!$B$4:$B$119,MATCH($B111,' Toto teams'!$A$4:$A$119,0)),Scoring!$A$4:$N$51,11,FALSE()),0)+4*IFERROR(VLOOKUP(INDEX(' Toto teams'!$C$4:$C$119,MATCH($B111,' Toto teams'!$A$4:$A$119,0)),Scoring!$A$4:$N$51,11,FALSE()),0)+3*IFERROR(VLOOKUP(INDEX(' Toto teams'!$D$4:$D$119,MATCH($B111,' Toto teams'!$A$4:$A$119,0)),Scoring!$A$4:$N$51,11,FALSE()),0)+2*IFERROR(VLOOKUP(INDEX(' Toto teams'!$E$4:$E$119,MATCH($B111,' Toto teams'!$A$4:$A$119,0)),Scoring!$A$4:$N$51,11,FALSE()),0)+1*IFERROR(VLOOKUP(INDEX(' Toto teams'!$F$4:$F$119,MATCH($B111,' Toto teams'!$A$4:$A$119,0)),Scoring!$A$4:$N$51,11,FALSE()),0)+1*IFERROR(VLOOKUP(INDEX(' Toto teams'!$G$4:$G$119,MATCH($B111,' Toto teams'!$A$4:$A$119,0)),Scoring!$A$4:$N$51,11,FALSE()),0)+1*IFERROR(VLOOKUP(INDEX(' Toto teams'!$H$4:$H$119,MATCH($B111,' Toto teams'!$A$4:$A$119,0)),Scoring!$A$4:$N$51,11,FALSE()),0))</f>
        <v/>
      </c>
      <c r="I111" t="str">
        <f>IF($B111="","",6*IFERROR(VLOOKUP(INDEX(' Toto teams'!$B$4:$B$119,MATCH($B111,' Toto teams'!$A$4:$A$119,0)),Scoring!$A$4:$O$51,15,FALSE()),0)+4*IFERROR(VLOOKUP(INDEX(' Toto teams'!$C$4:$C$119,MATCH($B111,' Toto teams'!$A$4:$A$119,0)),Scoring!$A$4:$O$51,15,FALSE()),0)+3*IFERROR(VLOOKUP(INDEX(' Toto teams'!$D$4:$D$119,MATCH($B111,' Toto teams'!$A$4:$A$119,0)),Scoring!$A$4:$O$51,15,FALSE()),0)+2*IFERROR(VLOOKUP(INDEX(' Toto teams'!$E$4:$E$119,MATCH($B111,' Toto teams'!$A$4:$A$119,0)),Scoring!$A$4:$O$51,15,FALSE()),0)+1*IFERROR(VLOOKUP(INDEX(' Toto teams'!$F$4:$F$119,MATCH($B111,' Toto teams'!$A$4:$A$119,0)),Scoring!$A$4:$O$51,15,FALSE()),0)+1*IFERROR(VLOOKUP(INDEX(' Toto teams'!$G$4:$G$119,MATCH($B111,' Toto teams'!$A$4:$A$119,0)),Scoring!$A$4:$O$51,15,FALSE()),0)+1*IFERROR(VLOOKUP(INDEX(' Toto teams'!$H$4:$H$119,MATCH($B111,' Toto teams'!$A$4:$A$119,0)),Scoring!$A$4:$O$51,15,FALSE()),0))</f>
        <v/>
      </c>
      <c r="J111" t="str">
        <f>IF($B111="","",6*IFERROR(VLOOKUP(INDEX(' Toto teams'!$B$4:$B$119,MATCH($B111,' Toto teams'!$A$4:$A$119,0)),Scoring!$A$4:$N$51,12,FALSE()),0)+4*IFERROR(VLOOKUP(INDEX(' Toto teams'!$C$4:$C$119,MATCH($B111,' Toto teams'!$A$4:$A$119,0)),Scoring!$A$4:$N$51,12,FALSE()),0)+3*IFERROR(VLOOKUP(INDEX(' Toto teams'!$D$4:$D$119,MATCH($B111,' Toto teams'!$A$4:$A$119,0)),Scoring!$A$4:$N$51,12,FALSE()),0)+2*IFERROR(VLOOKUP(INDEX(' Toto teams'!$E$4:$E$119,MATCH($B111,' Toto teams'!$A$4:$A$119,0)),Scoring!$A$4:$N$51,12,FALSE()),0)+1*IFERROR(VLOOKUP(INDEX(' Toto teams'!$F$4:$F$119,MATCH($B111,' Toto teams'!$A$4:$A$119,0)),Scoring!$A$4:$N$51,12,FALSE()),0)+1*IFERROR(VLOOKUP(INDEX(' Toto teams'!$G$4:$G$119,MATCH($B111,' Toto teams'!$A$4:$A$119,0)),Scoring!$A$4:$N$51,12,FALSE()),0)+1*IFERROR(VLOOKUP(INDEX(' Toto teams'!$H$4:$H$119,MATCH($B111,' Toto teams'!$A$4:$A$119,0)),Scoring!$A$4:$N$51,12,FALSE()),0))</f>
        <v/>
      </c>
      <c r="K111" t="str">
        <f>IF($B111="","",IFERROR(INDEX(' Toto teams'!$R$4:$R$119,MATCH($B111,' Toto teams'!$A$4:$A$119,0)),""))</f>
        <v/>
      </c>
      <c r="L111" t="str">
        <f t="shared" si="6"/>
        <v/>
      </c>
    </row>
    <row r="112" spans="1:12" ht="13.5" customHeight="1" x14ac:dyDescent="0.3">
      <c r="A112" t="str">
        <f>IF(109&gt;COUNTIF(' Toto teams'!$A$4:$A$119,"&lt;&gt;"),"",INDEX(' Toto teams'!$S$4:$S$119,MATCH(LARGE(' Toto teams'!$T$4:$T$119,109),' Toto teams'!$T$4:$T$119,0)))</f>
        <v/>
      </c>
      <c r="B112" t="str">
        <f>IF(109&gt;COUNTIF(' Toto teams'!$A$4:$A$119,"&lt;&gt;"),"",INDEX(' Toto teams'!$A$4:$A$119,MATCH(LARGE(' Toto teams'!$T$4:$T$119,109),' Toto teams'!$T$4:$T$119,0)))</f>
        <v/>
      </c>
      <c r="C112" t="str">
        <f>IF($B112="","",6*(IFERROR(VLOOKUP(INDEX(' Toto teams'!$B$4:$B$119,MATCH($B112,' Toto teams'!$A$4:$A$119,0)),Scoring!$A$4:$N$51,3,FALSE()),0)+IFERROR(VLOOKUP(INDEX(' Toto teams'!$B$4:$B$119,MATCH($B112,' Toto teams'!$A$4:$A$119,0)),Scoring!$A$4:$N$51,4,FALSE()),0)+IFERROR(VLOOKUP(INDEX(' Toto teams'!$B$4:$B$119,MATCH($B112,' Toto teams'!$A$4:$A$119,0)),Scoring!$A$4:$N$51,5,FALSE()),0))+4*(IFERROR(VLOOKUP(INDEX(' Toto teams'!$C$4:$C$119,MATCH($B112,' Toto teams'!$A$4:$A$119,0)),Scoring!$A$4:$N$51,3,FALSE()),0)+IFERROR(VLOOKUP(INDEX(' Toto teams'!$C$4:$C$119,MATCH($B112,' Toto teams'!$A$4:$A$119,0)),Scoring!$A$4:$N$51,4,FALSE()),0)+IFERROR(VLOOKUP(INDEX(' Toto teams'!$C$4:$C$119,MATCH($B112,' Toto teams'!$A$4:$A$119,0)),Scoring!$A$4:$N$51,5,FALSE()),0))+3*(IFERROR(VLOOKUP(INDEX(' Toto teams'!$D$4:$D$119,MATCH($B112,' Toto teams'!$A$4:$A$119,0)),Scoring!$A$4:$N$51,3,FALSE()),0)+IFERROR(VLOOKUP(INDEX(' Toto teams'!$D$4:$D$119,MATCH($B112,' Toto teams'!$A$4:$A$119,0)),Scoring!$A$4:$N$51,4,FALSE()),0)+IFERROR(VLOOKUP(INDEX(' Toto teams'!$D$4:$D$119,MATCH($B112,' Toto teams'!$A$4:$A$119,0)),Scoring!$A$4:$N$51,5,FALSE()),0))+2*(IFERROR(VLOOKUP(INDEX(' Toto teams'!$E$4:$E$119,MATCH($B112,' Toto teams'!$A$4:$A$119,0)),Scoring!$A$4:$N$51,3,FALSE()),0)+IFERROR(VLOOKUP(INDEX(' Toto teams'!$E$4:$E$119,MATCH($B112,' Toto teams'!$A$4:$A$119,0)),Scoring!$A$4:$N$51,4,FALSE()),0)+IFERROR(VLOOKUP(INDEX(' Toto teams'!$E$4:$E$119,MATCH($B112,' Toto teams'!$A$4:$A$119,0)),Scoring!$A$4:$N$51,5,FALSE()),0))+1*(IFERROR(VLOOKUP(INDEX(' Toto teams'!$F$4:$F$119,MATCH($B112,' Toto teams'!$A$4:$A$119,0)),Scoring!$A$4:$N$51,3,FALSE()),0)+IFERROR(VLOOKUP(INDEX(' Toto teams'!$F$4:$F$119,MATCH($B112,' Toto teams'!$A$4:$A$119,0)),Scoring!$A$4:$N$51,4,FALSE()),0)+IFERROR(VLOOKUP(INDEX(' Toto teams'!$F$4:$F$119,MATCH($B112,' Toto teams'!$A$4:$A$119,0)),Scoring!$A$4:$N$51,5,FALSE()),0))+1*(IFERROR(VLOOKUP(INDEX(' Toto teams'!$G$4:$G$119,MATCH($B112,' Toto teams'!$A$4:$A$119,0)),Scoring!$A$4:$N$51,3,FALSE()),0)+IFERROR(VLOOKUP(INDEX(' Toto teams'!$G$4:$G$119,MATCH($B112,' Toto teams'!$A$4:$A$119,0)),Scoring!$A$4:$N$51,4,FALSE()),0)+IFERROR(VLOOKUP(INDEX(' Toto teams'!$G$4:$G$119,MATCH($B112,' Toto teams'!$A$4:$A$119,0)),Scoring!$A$4:$N$51,5,FALSE()),0))+1*(IFERROR(VLOOKUP(INDEX(' Toto teams'!$H$4:$H$119,MATCH($B112,' Toto teams'!$A$4:$A$119,0)),Scoring!$A$4:$N$51,3,FALSE()),0)+IFERROR(VLOOKUP(INDEX(' Toto teams'!$H$4:$H$119,MATCH($B112,' Toto teams'!$A$4:$A$119,0)),Scoring!$A$4:$N$51,4,FALSE()),0)+IFERROR(VLOOKUP(INDEX(' Toto teams'!$H$4:$H$119,MATCH($B112,' Toto teams'!$A$4:$A$119,0)),Scoring!$A$4:$N$51,5,FALSE()),0))+IFERROR(INDEX(' Toto teams'!$Q$4:$Q$119,MATCH($B112,' Toto teams'!$A$4:$A$119,0))*1,0))</f>
        <v/>
      </c>
      <c r="D112" t="str">
        <f>IF($B112="","",6*IFERROR(VLOOKUP(INDEX(' Toto teams'!$B$4:$B$119,MATCH($B112,' Toto teams'!$A$4:$A$119,0)),Scoring!$A$4:$N$51,7,FALSE()),0)+4*IFERROR(VLOOKUP(INDEX(' Toto teams'!$C$4:$C$119,MATCH($B112,' Toto teams'!$A$4:$A$119,0)),Scoring!$A$4:$N$51,7,FALSE()),0)+3*IFERROR(VLOOKUP(INDEX(' Toto teams'!$D$4:$D$119,MATCH($B112,' Toto teams'!$A$4:$A$119,0)),Scoring!$A$4:$N$51,7,FALSE()),0)+2*IFERROR(VLOOKUP(INDEX(' Toto teams'!$E$4:$E$119,MATCH($B112,' Toto teams'!$A$4:$A$119,0)),Scoring!$A$4:$N$51,7,FALSE()),0)+1*IFERROR(VLOOKUP(INDEX(' Toto teams'!$F$4:$F$119,MATCH($B112,' Toto teams'!$A$4:$A$119,0)),Scoring!$A$4:$N$51,7,FALSE()),0)+1*IFERROR(VLOOKUP(INDEX(' Toto teams'!$G$4:$G$119,MATCH($B112,' Toto teams'!$A$4:$A$119,0)),Scoring!$A$4:$N$51,7,FALSE()),0)+1*IFERROR(VLOOKUP(INDEX(' Toto teams'!$H$4:$H$119,MATCH($B112,' Toto teams'!$A$4:$A$119,0)),Scoring!$A$4:$N$51,7,FALSE()),0))</f>
        <v/>
      </c>
      <c r="E112" t="str">
        <f>IF($B112="","",6*IFERROR(VLOOKUP(INDEX(' Toto teams'!$B$4:$B$119,MATCH($B112,' Toto teams'!$A$4:$A$119,0)),Scoring!$A$4:$N$51,8,FALSE()),0)+4*IFERROR(VLOOKUP(INDEX(' Toto teams'!$C$4:$C$119,MATCH($B112,' Toto teams'!$A$4:$A$119,0)),Scoring!$A$4:$N$51,8,FALSE()),0)+3*IFERROR(VLOOKUP(INDEX(' Toto teams'!$D$4:$D$119,MATCH($B112,' Toto teams'!$A$4:$A$119,0)),Scoring!$A$4:$N$51,8,FALSE()),0)+2*IFERROR(VLOOKUP(INDEX(' Toto teams'!$E$4:$E$119,MATCH($B112,' Toto teams'!$A$4:$A$119,0)),Scoring!$A$4:$N$51,8,FALSE()),0)+1*IFERROR(VLOOKUP(INDEX(' Toto teams'!$F$4:$F$119,MATCH($B112,' Toto teams'!$A$4:$A$119,0)),Scoring!$A$4:$N$51,8,FALSE()),0)+1*IFERROR(VLOOKUP(INDEX(' Toto teams'!$G$4:$G$119,MATCH($B112,' Toto teams'!$A$4:$A$119,0)),Scoring!$A$4:$N$51,8,FALSE()),0)+1*IFERROR(VLOOKUP(INDEX(' Toto teams'!$H$4:$H$119,MATCH($B112,' Toto teams'!$A$4:$A$119,0)),Scoring!$A$4:$N$51,8,FALSE()),0))</f>
        <v/>
      </c>
      <c r="F112" t="str">
        <f>IF($B112="","",6*IFERROR(VLOOKUP(INDEX(' Toto teams'!$B$4:$B$119,MATCH($B112,' Toto teams'!$A$4:$A$119,0)),Scoring!$A$4:$N$51,9,FALSE()),0)+4*IFERROR(VLOOKUP(INDEX(' Toto teams'!$C$4:$C$119,MATCH($B112,' Toto teams'!$A$4:$A$119,0)),Scoring!$A$4:$N$51,9,FALSE()),0)+3*IFERROR(VLOOKUP(INDEX(' Toto teams'!$D$4:$D$119,MATCH($B112,' Toto teams'!$A$4:$A$119,0)),Scoring!$A$4:$N$51,9,FALSE()),0)+2*IFERROR(VLOOKUP(INDEX(' Toto teams'!$E$4:$E$119,MATCH($B112,' Toto teams'!$A$4:$A$119,0)),Scoring!$A$4:$N$51,9,FALSE()),0)+1*IFERROR(VLOOKUP(INDEX(' Toto teams'!$F$4:$F$119,MATCH($B112,' Toto teams'!$A$4:$A$119,0)),Scoring!$A$4:$N$51,9,FALSE()),0)+1*IFERROR(VLOOKUP(INDEX(' Toto teams'!$G$4:$G$119,MATCH($B112,' Toto teams'!$A$4:$A$119,0)),Scoring!$A$4:$N$51,9,FALSE()),0)+1*IFERROR(VLOOKUP(INDEX(' Toto teams'!$H$4:$H$119,MATCH($B112,' Toto teams'!$A$4:$A$119,0)),Scoring!$A$4:$N$51,9,FALSE()),0))</f>
        <v/>
      </c>
      <c r="G112" t="str">
        <f>IF($B112="","",6*IFERROR(VLOOKUP(INDEX(' Toto teams'!$B$4:$B$119,MATCH($B112,' Toto teams'!$A$4:$A$119,0)),Scoring!$A$4:$N$51,10,FALSE()),0)+4*IFERROR(VLOOKUP(INDEX(' Toto teams'!$C$4:$C$119,MATCH($B112,' Toto teams'!$A$4:$A$119,0)),Scoring!$A$4:$N$51,10,FALSE()),0)+3*IFERROR(VLOOKUP(INDEX(' Toto teams'!$D$4:$D$119,MATCH($B112,' Toto teams'!$A$4:$A$119,0)),Scoring!$A$4:$N$51,10,FALSE()),0)+2*IFERROR(VLOOKUP(INDEX(' Toto teams'!$E$4:$E$119,MATCH($B112,' Toto teams'!$A$4:$A$119,0)),Scoring!$A$4:$N$51,10,FALSE()),0)+1*IFERROR(VLOOKUP(INDEX(' Toto teams'!$F$4:$F$119,MATCH($B112,' Toto teams'!$A$4:$A$119,0)),Scoring!$A$4:$N$51,10,FALSE()),0)+1*IFERROR(VLOOKUP(INDEX(' Toto teams'!$G$4:$G$119,MATCH($B112,' Toto teams'!$A$4:$A$119,0)),Scoring!$A$4:$N$51,10,FALSE()),0)+1*IFERROR(VLOOKUP(INDEX(' Toto teams'!$H$4:$H$119,MATCH($B112,' Toto teams'!$A$4:$A$119,0)),Scoring!$A$4:$N$51,10,FALSE()),0))</f>
        <v/>
      </c>
      <c r="H112" t="str">
        <f>IF($B112="","",6*IFERROR(VLOOKUP(INDEX(' Toto teams'!$B$4:$B$119,MATCH($B112,' Toto teams'!$A$4:$A$119,0)),Scoring!$A$4:$N$51,11,FALSE()),0)+4*IFERROR(VLOOKUP(INDEX(' Toto teams'!$C$4:$C$119,MATCH($B112,' Toto teams'!$A$4:$A$119,0)),Scoring!$A$4:$N$51,11,FALSE()),0)+3*IFERROR(VLOOKUP(INDEX(' Toto teams'!$D$4:$D$119,MATCH($B112,' Toto teams'!$A$4:$A$119,0)),Scoring!$A$4:$N$51,11,FALSE()),0)+2*IFERROR(VLOOKUP(INDEX(' Toto teams'!$E$4:$E$119,MATCH($B112,' Toto teams'!$A$4:$A$119,0)),Scoring!$A$4:$N$51,11,FALSE()),0)+1*IFERROR(VLOOKUP(INDEX(' Toto teams'!$F$4:$F$119,MATCH($B112,' Toto teams'!$A$4:$A$119,0)),Scoring!$A$4:$N$51,11,FALSE()),0)+1*IFERROR(VLOOKUP(INDEX(' Toto teams'!$G$4:$G$119,MATCH($B112,' Toto teams'!$A$4:$A$119,0)),Scoring!$A$4:$N$51,11,FALSE()),0)+1*IFERROR(VLOOKUP(INDEX(' Toto teams'!$H$4:$H$119,MATCH($B112,' Toto teams'!$A$4:$A$119,0)),Scoring!$A$4:$N$51,11,FALSE()),0))</f>
        <v/>
      </c>
      <c r="I112" t="str">
        <f>IF($B112="","",6*IFERROR(VLOOKUP(INDEX(' Toto teams'!$B$4:$B$119,MATCH($B112,' Toto teams'!$A$4:$A$119,0)),Scoring!$A$4:$O$51,15,FALSE()),0)+4*IFERROR(VLOOKUP(INDEX(' Toto teams'!$C$4:$C$119,MATCH($B112,' Toto teams'!$A$4:$A$119,0)),Scoring!$A$4:$O$51,15,FALSE()),0)+3*IFERROR(VLOOKUP(INDEX(' Toto teams'!$D$4:$D$119,MATCH($B112,' Toto teams'!$A$4:$A$119,0)),Scoring!$A$4:$O$51,15,FALSE()),0)+2*IFERROR(VLOOKUP(INDEX(' Toto teams'!$E$4:$E$119,MATCH($B112,' Toto teams'!$A$4:$A$119,0)),Scoring!$A$4:$O$51,15,FALSE()),0)+1*IFERROR(VLOOKUP(INDEX(' Toto teams'!$F$4:$F$119,MATCH($B112,' Toto teams'!$A$4:$A$119,0)),Scoring!$A$4:$O$51,15,FALSE()),0)+1*IFERROR(VLOOKUP(INDEX(' Toto teams'!$G$4:$G$119,MATCH($B112,' Toto teams'!$A$4:$A$119,0)),Scoring!$A$4:$O$51,15,FALSE()),0)+1*IFERROR(VLOOKUP(INDEX(' Toto teams'!$H$4:$H$119,MATCH($B112,' Toto teams'!$A$4:$A$119,0)),Scoring!$A$4:$O$51,15,FALSE()),0))</f>
        <v/>
      </c>
      <c r="J112" t="str">
        <f>IF($B112="","",6*IFERROR(VLOOKUP(INDEX(' Toto teams'!$B$4:$B$119,MATCH($B112,' Toto teams'!$A$4:$A$119,0)),Scoring!$A$4:$N$51,12,FALSE()),0)+4*IFERROR(VLOOKUP(INDEX(' Toto teams'!$C$4:$C$119,MATCH($B112,' Toto teams'!$A$4:$A$119,0)),Scoring!$A$4:$N$51,12,FALSE()),0)+3*IFERROR(VLOOKUP(INDEX(' Toto teams'!$D$4:$D$119,MATCH($B112,' Toto teams'!$A$4:$A$119,0)),Scoring!$A$4:$N$51,12,FALSE()),0)+2*IFERROR(VLOOKUP(INDEX(' Toto teams'!$E$4:$E$119,MATCH($B112,' Toto teams'!$A$4:$A$119,0)),Scoring!$A$4:$N$51,12,FALSE()),0)+1*IFERROR(VLOOKUP(INDEX(' Toto teams'!$F$4:$F$119,MATCH($B112,' Toto teams'!$A$4:$A$119,0)),Scoring!$A$4:$N$51,12,FALSE()),0)+1*IFERROR(VLOOKUP(INDEX(' Toto teams'!$G$4:$G$119,MATCH($B112,' Toto teams'!$A$4:$A$119,0)),Scoring!$A$4:$N$51,12,FALSE()),0)+1*IFERROR(VLOOKUP(INDEX(' Toto teams'!$H$4:$H$119,MATCH($B112,' Toto teams'!$A$4:$A$119,0)),Scoring!$A$4:$N$51,12,FALSE()),0))</f>
        <v/>
      </c>
      <c r="K112" t="str">
        <f>IF($B112="","",IFERROR(INDEX(' Toto teams'!$R$4:$R$119,MATCH($B112,' Toto teams'!$A$4:$A$119,0)),""))</f>
        <v/>
      </c>
      <c r="L112" t="str">
        <f t="shared" si="6"/>
        <v/>
      </c>
    </row>
    <row r="113" spans="1:12" ht="13.5" customHeight="1" x14ac:dyDescent="0.3">
      <c r="A113" t="str">
        <f>IF(110&gt;COUNTIF(' Toto teams'!$A$4:$A$119,"&lt;&gt;"),"",INDEX(' Toto teams'!$S$4:$S$119,MATCH(LARGE(' Toto teams'!$T$4:$T$119,110),' Toto teams'!$T$4:$T$119,0)))</f>
        <v/>
      </c>
      <c r="B113" t="str">
        <f>IF(110&gt;COUNTIF(' Toto teams'!$A$4:$A$119,"&lt;&gt;"),"",INDEX(' Toto teams'!$A$4:$A$119,MATCH(LARGE(' Toto teams'!$T$4:$T$119,110),' Toto teams'!$T$4:$T$119,0)))</f>
        <v/>
      </c>
      <c r="C113" t="str">
        <f>IF($B113="","",6*(IFERROR(VLOOKUP(INDEX(' Toto teams'!$B$4:$B$119,MATCH($B113,' Toto teams'!$A$4:$A$119,0)),Scoring!$A$4:$N$51,3,FALSE()),0)+IFERROR(VLOOKUP(INDEX(' Toto teams'!$B$4:$B$119,MATCH($B113,' Toto teams'!$A$4:$A$119,0)),Scoring!$A$4:$N$51,4,FALSE()),0)+IFERROR(VLOOKUP(INDEX(' Toto teams'!$B$4:$B$119,MATCH($B113,' Toto teams'!$A$4:$A$119,0)),Scoring!$A$4:$N$51,5,FALSE()),0))+4*(IFERROR(VLOOKUP(INDEX(' Toto teams'!$C$4:$C$119,MATCH($B113,' Toto teams'!$A$4:$A$119,0)),Scoring!$A$4:$N$51,3,FALSE()),0)+IFERROR(VLOOKUP(INDEX(' Toto teams'!$C$4:$C$119,MATCH($B113,' Toto teams'!$A$4:$A$119,0)),Scoring!$A$4:$N$51,4,FALSE()),0)+IFERROR(VLOOKUP(INDEX(' Toto teams'!$C$4:$C$119,MATCH($B113,' Toto teams'!$A$4:$A$119,0)),Scoring!$A$4:$N$51,5,FALSE()),0))+3*(IFERROR(VLOOKUP(INDEX(' Toto teams'!$D$4:$D$119,MATCH($B113,' Toto teams'!$A$4:$A$119,0)),Scoring!$A$4:$N$51,3,FALSE()),0)+IFERROR(VLOOKUP(INDEX(' Toto teams'!$D$4:$D$119,MATCH($B113,' Toto teams'!$A$4:$A$119,0)),Scoring!$A$4:$N$51,4,FALSE()),0)+IFERROR(VLOOKUP(INDEX(' Toto teams'!$D$4:$D$119,MATCH($B113,' Toto teams'!$A$4:$A$119,0)),Scoring!$A$4:$N$51,5,FALSE()),0))+2*(IFERROR(VLOOKUP(INDEX(' Toto teams'!$E$4:$E$119,MATCH($B113,' Toto teams'!$A$4:$A$119,0)),Scoring!$A$4:$N$51,3,FALSE()),0)+IFERROR(VLOOKUP(INDEX(' Toto teams'!$E$4:$E$119,MATCH($B113,' Toto teams'!$A$4:$A$119,0)),Scoring!$A$4:$N$51,4,FALSE()),0)+IFERROR(VLOOKUP(INDEX(' Toto teams'!$E$4:$E$119,MATCH($B113,' Toto teams'!$A$4:$A$119,0)),Scoring!$A$4:$N$51,5,FALSE()),0))+1*(IFERROR(VLOOKUP(INDEX(' Toto teams'!$F$4:$F$119,MATCH($B113,' Toto teams'!$A$4:$A$119,0)),Scoring!$A$4:$N$51,3,FALSE()),0)+IFERROR(VLOOKUP(INDEX(' Toto teams'!$F$4:$F$119,MATCH($B113,' Toto teams'!$A$4:$A$119,0)),Scoring!$A$4:$N$51,4,FALSE()),0)+IFERROR(VLOOKUP(INDEX(' Toto teams'!$F$4:$F$119,MATCH($B113,' Toto teams'!$A$4:$A$119,0)),Scoring!$A$4:$N$51,5,FALSE()),0))+1*(IFERROR(VLOOKUP(INDEX(' Toto teams'!$G$4:$G$119,MATCH($B113,' Toto teams'!$A$4:$A$119,0)),Scoring!$A$4:$N$51,3,FALSE()),0)+IFERROR(VLOOKUP(INDEX(' Toto teams'!$G$4:$G$119,MATCH($B113,' Toto teams'!$A$4:$A$119,0)),Scoring!$A$4:$N$51,4,FALSE()),0)+IFERROR(VLOOKUP(INDEX(' Toto teams'!$G$4:$G$119,MATCH($B113,' Toto teams'!$A$4:$A$119,0)),Scoring!$A$4:$N$51,5,FALSE()),0))+1*(IFERROR(VLOOKUP(INDEX(' Toto teams'!$H$4:$H$119,MATCH($B113,' Toto teams'!$A$4:$A$119,0)),Scoring!$A$4:$N$51,3,FALSE()),0)+IFERROR(VLOOKUP(INDEX(' Toto teams'!$H$4:$H$119,MATCH($B113,' Toto teams'!$A$4:$A$119,0)),Scoring!$A$4:$N$51,4,FALSE()),0)+IFERROR(VLOOKUP(INDEX(' Toto teams'!$H$4:$H$119,MATCH($B113,' Toto teams'!$A$4:$A$119,0)),Scoring!$A$4:$N$51,5,FALSE()),0))+IFERROR(INDEX(' Toto teams'!$Q$4:$Q$119,MATCH($B113,' Toto teams'!$A$4:$A$119,0))*1,0))</f>
        <v/>
      </c>
      <c r="D113" t="str">
        <f>IF($B113="","",6*IFERROR(VLOOKUP(INDEX(' Toto teams'!$B$4:$B$119,MATCH($B113,' Toto teams'!$A$4:$A$119,0)),Scoring!$A$4:$N$51,7,FALSE()),0)+4*IFERROR(VLOOKUP(INDEX(' Toto teams'!$C$4:$C$119,MATCH($B113,' Toto teams'!$A$4:$A$119,0)),Scoring!$A$4:$N$51,7,FALSE()),0)+3*IFERROR(VLOOKUP(INDEX(' Toto teams'!$D$4:$D$119,MATCH($B113,' Toto teams'!$A$4:$A$119,0)),Scoring!$A$4:$N$51,7,FALSE()),0)+2*IFERROR(VLOOKUP(INDEX(' Toto teams'!$E$4:$E$119,MATCH($B113,' Toto teams'!$A$4:$A$119,0)),Scoring!$A$4:$N$51,7,FALSE()),0)+1*IFERROR(VLOOKUP(INDEX(' Toto teams'!$F$4:$F$119,MATCH($B113,' Toto teams'!$A$4:$A$119,0)),Scoring!$A$4:$N$51,7,FALSE()),0)+1*IFERROR(VLOOKUP(INDEX(' Toto teams'!$G$4:$G$119,MATCH($B113,' Toto teams'!$A$4:$A$119,0)),Scoring!$A$4:$N$51,7,FALSE()),0)+1*IFERROR(VLOOKUP(INDEX(' Toto teams'!$H$4:$H$119,MATCH($B113,' Toto teams'!$A$4:$A$119,0)),Scoring!$A$4:$N$51,7,FALSE()),0))</f>
        <v/>
      </c>
      <c r="E113" t="str">
        <f>IF($B113="","",6*IFERROR(VLOOKUP(INDEX(' Toto teams'!$B$4:$B$119,MATCH($B113,' Toto teams'!$A$4:$A$119,0)),Scoring!$A$4:$N$51,8,FALSE()),0)+4*IFERROR(VLOOKUP(INDEX(' Toto teams'!$C$4:$C$119,MATCH($B113,' Toto teams'!$A$4:$A$119,0)),Scoring!$A$4:$N$51,8,FALSE()),0)+3*IFERROR(VLOOKUP(INDEX(' Toto teams'!$D$4:$D$119,MATCH($B113,' Toto teams'!$A$4:$A$119,0)),Scoring!$A$4:$N$51,8,FALSE()),0)+2*IFERROR(VLOOKUP(INDEX(' Toto teams'!$E$4:$E$119,MATCH($B113,' Toto teams'!$A$4:$A$119,0)),Scoring!$A$4:$N$51,8,FALSE()),0)+1*IFERROR(VLOOKUP(INDEX(' Toto teams'!$F$4:$F$119,MATCH($B113,' Toto teams'!$A$4:$A$119,0)),Scoring!$A$4:$N$51,8,FALSE()),0)+1*IFERROR(VLOOKUP(INDEX(' Toto teams'!$G$4:$G$119,MATCH($B113,' Toto teams'!$A$4:$A$119,0)),Scoring!$A$4:$N$51,8,FALSE()),0)+1*IFERROR(VLOOKUP(INDEX(' Toto teams'!$H$4:$H$119,MATCH($B113,' Toto teams'!$A$4:$A$119,0)),Scoring!$A$4:$N$51,8,FALSE()),0))</f>
        <v/>
      </c>
      <c r="F113" t="str">
        <f>IF($B113="","",6*IFERROR(VLOOKUP(INDEX(' Toto teams'!$B$4:$B$119,MATCH($B113,' Toto teams'!$A$4:$A$119,0)),Scoring!$A$4:$N$51,9,FALSE()),0)+4*IFERROR(VLOOKUP(INDEX(' Toto teams'!$C$4:$C$119,MATCH($B113,' Toto teams'!$A$4:$A$119,0)),Scoring!$A$4:$N$51,9,FALSE()),0)+3*IFERROR(VLOOKUP(INDEX(' Toto teams'!$D$4:$D$119,MATCH($B113,' Toto teams'!$A$4:$A$119,0)),Scoring!$A$4:$N$51,9,FALSE()),0)+2*IFERROR(VLOOKUP(INDEX(' Toto teams'!$E$4:$E$119,MATCH($B113,' Toto teams'!$A$4:$A$119,0)),Scoring!$A$4:$N$51,9,FALSE()),0)+1*IFERROR(VLOOKUP(INDEX(' Toto teams'!$F$4:$F$119,MATCH($B113,' Toto teams'!$A$4:$A$119,0)),Scoring!$A$4:$N$51,9,FALSE()),0)+1*IFERROR(VLOOKUP(INDEX(' Toto teams'!$G$4:$G$119,MATCH($B113,' Toto teams'!$A$4:$A$119,0)),Scoring!$A$4:$N$51,9,FALSE()),0)+1*IFERROR(VLOOKUP(INDEX(' Toto teams'!$H$4:$H$119,MATCH($B113,' Toto teams'!$A$4:$A$119,0)),Scoring!$A$4:$N$51,9,FALSE()),0))</f>
        <v/>
      </c>
      <c r="G113" t="str">
        <f>IF($B113="","",6*IFERROR(VLOOKUP(INDEX(' Toto teams'!$B$4:$B$119,MATCH($B113,' Toto teams'!$A$4:$A$119,0)),Scoring!$A$4:$N$51,10,FALSE()),0)+4*IFERROR(VLOOKUP(INDEX(' Toto teams'!$C$4:$C$119,MATCH($B113,' Toto teams'!$A$4:$A$119,0)),Scoring!$A$4:$N$51,10,FALSE()),0)+3*IFERROR(VLOOKUP(INDEX(' Toto teams'!$D$4:$D$119,MATCH($B113,' Toto teams'!$A$4:$A$119,0)),Scoring!$A$4:$N$51,10,FALSE()),0)+2*IFERROR(VLOOKUP(INDEX(' Toto teams'!$E$4:$E$119,MATCH($B113,' Toto teams'!$A$4:$A$119,0)),Scoring!$A$4:$N$51,10,FALSE()),0)+1*IFERROR(VLOOKUP(INDEX(' Toto teams'!$F$4:$F$119,MATCH($B113,' Toto teams'!$A$4:$A$119,0)),Scoring!$A$4:$N$51,10,FALSE()),0)+1*IFERROR(VLOOKUP(INDEX(' Toto teams'!$G$4:$G$119,MATCH($B113,' Toto teams'!$A$4:$A$119,0)),Scoring!$A$4:$N$51,10,FALSE()),0)+1*IFERROR(VLOOKUP(INDEX(' Toto teams'!$H$4:$H$119,MATCH($B113,' Toto teams'!$A$4:$A$119,0)),Scoring!$A$4:$N$51,10,FALSE()),0))</f>
        <v/>
      </c>
      <c r="H113" t="str">
        <f>IF($B113="","",6*IFERROR(VLOOKUP(INDEX(' Toto teams'!$B$4:$B$119,MATCH($B113,' Toto teams'!$A$4:$A$119,0)),Scoring!$A$4:$N$51,11,FALSE()),0)+4*IFERROR(VLOOKUP(INDEX(' Toto teams'!$C$4:$C$119,MATCH($B113,' Toto teams'!$A$4:$A$119,0)),Scoring!$A$4:$N$51,11,FALSE()),0)+3*IFERROR(VLOOKUP(INDEX(' Toto teams'!$D$4:$D$119,MATCH($B113,' Toto teams'!$A$4:$A$119,0)),Scoring!$A$4:$N$51,11,FALSE()),0)+2*IFERROR(VLOOKUP(INDEX(' Toto teams'!$E$4:$E$119,MATCH($B113,' Toto teams'!$A$4:$A$119,0)),Scoring!$A$4:$N$51,11,FALSE()),0)+1*IFERROR(VLOOKUP(INDEX(' Toto teams'!$F$4:$F$119,MATCH($B113,' Toto teams'!$A$4:$A$119,0)),Scoring!$A$4:$N$51,11,FALSE()),0)+1*IFERROR(VLOOKUP(INDEX(' Toto teams'!$G$4:$G$119,MATCH($B113,' Toto teams'!$A$4:$A$119,0)),Scoring!$A$4:$N$51,11,FALSE()),0)+1*IFERROR(VLOOKUP(INDEX(' Toto teams'!$H$4:$H$119,MATCH($B113,' Toto teams'!$A$4:$A$119,0)),Scoring!$A$4:$N$51,11,FALSE()),0))</f>
        <v/>
      </c>
      <c r="I113" t="str">
        <f>IF($B113="","",6*IFERROR(VLOOKUP(INDEX(' Toto teams'!$B$4:$B$119,MATCH($B113,' Toto teams'!$A$4:$A$119,0)),Scoring!$A$4:$O$51,15,FALSE()),0)+4*IFERROR(VLOOKUP(INDEX(' Toto teams'!$C$4:$C$119,MATCH($B113,' Toto teams'!$A$4:$A$119,0)),Scoring!$A$4:$O$51,15,FALSE()),0)+3*IFERROR(VLOOKUP(INDEX(' Toto teams'!$D$4:$D$119,MATCH($B113,' Toto teams'!$A$4:$A$119,0)),Scoring!$A$4:$O$51,15,FALSE()),0)+2*IFERROR(VLOOKUP(INDEX(' Toto teams'!$E$4:$E$119,MATCH($B113,' Toto teams'!$A$4:$A$119,0)),Scoring!$A$4:$O$51,15,FALSE()),0)+1*IFERROR(VLOOKUP(INDEX(' Toto teams'!$F$4:$F$119,MATCH($B113,' Toto teams'!$A$4:$A$119,0)),Scoring!$A$4:$O$51,15,FALSE()),0)+1*IFERROR(VLOOKUP(INDEX(' Toto teams'!$G$4:$G$119,MATCH($B113,' Toto teams'!$A$4:$A$119,0)),Scoring!$A$4:$O$51,15,FALSE()),0)+1*IFERROR(VLOOKUP(INDEX(' Toto teams'!$H$4:$H$119,MATCH($B113,' Toto teams'!$A$4:$A$119,0)),Scoring!$A$4:$O$51,15,FALSE()),0))</f>
        <v/>
      </c>
      <c r="J113" t="str">
        <f>IF($B113="","",6*IFERROR(VLOOKUP(INDEX(' Toto teams'!$B$4:$B$119,MATCH($B113,' Toto teams'!$A$4:$A$119,0)),Scoring!$A$4:$N$51,12,FALSE()),0)+4*IFERROR(VLOOKUP(INDEX(' Toto teams'!$C$4:$C$119,MATCH($B113,' Toto teams'!$A$4:$A$119,0)),Scoring!$A$4:$N$51,12,FALSE()),0)+3*IFERROR(VLOOKUP(INDEX(' Toto teams'!$D$4:$D$119,MATCH($B113,' Toto teams'!$A$4:$A$119,0)),Scoring!$A$4:$N$51,12,FALSE()),0)+2*IFERROR(VLOOKUP(INDEX(' Toto teams'!$E$4:$E$119,MATCH($B113,' Toto teams'!$A$4:$A$119,0)),Scoring!$A$4:$N$51,12,FALSE()),0)+1*IFERROR(VLOOKUP(INDEX(' Toto teams'!$F$4:$F$119,MATCH($B113,' Toto teams'!$A$4:$A$119,0)),Scoring!$A$4:$N$51,12,FALSE()),0)+1*IFERROR(VLOOKUP(INDEX(' Toto teams'!$G$4:$G$119,MATCH($B113,' Toto teams'!$A$4:$A$119,0)),Scoring!$A$4:$N$51,12,FALSE()),0)+1*IFERROR(VLOOKUP(INDEX(' Toto teams'!$H$4:$H$119,MATCH($B113,' Toto teams'!$A$4:$A$119,0)),Scoring!$A$4:$N$51,12,FALSE()),0))</f>
        <v/>
      </c>
      <c r="K113" t="str">
        <f>IF($B113="","",IFERROR(INDEX(' Toto teams'!$R$4:$R$119,MATCH($B113,' Toto teams'!$A$4:$A$119,0)),""))</f>
        <v/>
      </c>
      <c r="L113" t="str">
        <f t="shared" si="6"/>
        <v/>
      </c>
    </row>
    <row r="114" spans="1:12" ht="13.5" customHeight="1" x14ac:dyDescent="0.3">
      <c r="A114" t="str">
        <f>IF(111&gt;COUNTIF(' Toto teams'!$A$4:$A$119,"&lt;&gt;"),"",INDEX(' Toto teams'!$S$4:$S$119,MATCH(LARGE(' Toto teams'!$T$4:$T$119,111),' Toto teams'!$T$4:$T$119,0)))</f>
        <v/>
      </c>
      <c r="B114" t="str">
        <f>IF(111&gt;COUNTIF(' Toto teams'!$A$4:$A$119,"&lt;&gt;"),"",INDEX(' Toto teams'!$A$4:$A$119,MATCH(LARGE(' Toto teams'!$T$4:$T$119,111),' Toto teams'!$T$4:$T$119,0)))</f>
        <v/>
      </c>
      <c r="C114" t="str">
        <f>IF($B114="","",6*(IFERROR(VLOOKUP(INDEX(' Toto teams'!$B$4:$B$119,MATCH($B114,' Toto teams'!$A$4:$A$119,0)),Scoring!$A$4:$N$51,3,FALSE()),0)+IFERROR(VLOOKUP(INDEX(' Toto teams'!$B$4:$B$119,MATCH($B114,' Toto teams'!$A$4:$A$119,0)),Scoring!$A$4:$N$51,4,FALSE()),0)+IFERROR(VLOOKUP(INDEX(' Toto teams'!$B$4:$B$119,MATCH($B114,' Toto teams'!$A$4:$A$119,0)),Scoring!$A$4:$N$51,5,FALSE()),0))+4*(IFERROR(VLOOKUP(INDEX(' Toto teams'!$C$4:$C$119,MATCH($B114,' Toto teams'!$A$4:$A$119,0)),Scoring!$A$4:$N$51,3,FALSE()),0)+IFERROR(VLOOKUP(INDEX(' Toto teams'!$C$4:$C$119,MATCH($B114,' Toto teams'!$A$4:$A$119,0)),Scoring!$A$4:$N$51,4,FALSE()),0)+IFERROR(VLOOKUP(INDEX(' Toto teams'!$C$4:$C$119,MATCH($B114,' Toto teams'!$A$4:$A$119,0)),Scoring!$A$4:$N$51,5,FALSE()),0))+3*(IFERROR(VLOOKUP(INDEX(' Toto teams'!$D$4:$D$119,MATCH($B114,' Toto teams'!$A$4:$A$119,0)),Scoring!$A$4:$N$51,3,FALSE()),0)+IFERROR(VLOOKUP(INDEX(' Toto teams'!$D$4:$D$119,MATCH($B114,' Toto teams'!$A$4:$A$119,0)),Scoring!$A$4:$N$51,4,FALSE()),0)+IFERROR(VLOOKUP(INDEX(' Toto teams'!$D$4:$D$119,MATCH($B114,' Toto teams'!$A$4:$A$119,0)),Scoring!$A$4:$N$51,5,FALSE()),0))+2*(IFERROR(VLOOKUP(INDEX(' Toto teams'!$E$4:$E$119,MATCH($B114,' Toto teams'!$A$4:$A$119,0)),Scoring!$A$4:$N$51,3,FALSE()),0)+IFERROR(VLOOKUP(INDEX(' Toto teams'!$E$4:$E$119,MATCH($B114,' Toto teams'!$A$4:$A$119,0)),Scoring!$A$4:$N$51,4,FALSE()),0)+IFERROR(VLOOKUP(INDEX(' Toto teams'!$E$4:$E$119,MATCH($B114,' Toto teams'!$A$4:$A$119,0)),Scoring!$A$4:$N$51,5,FALSE()),0))+1*(IFERROR(VLOOKUP(INDEX(' Toto teams'!$F$4:$F$119,MATCH($B114,' Toto teams'!$A$4:$A$119,0)),Scoring!$A$4:$N$51,3,FALSE()),0)+IFERROR(VLOOKUP(INDEX(' Toto teams'!$F$4:$F$119,MATCH($B114,' Toto teams'!$A$4:$A$119,0)),Scoring!$A$4:$N$51,4,FALSE()),0)+IFERROR(VLOOKUP(INDEX(' Toto teams'!$F$4:$F$119,MATCH($B114,' Toto teams'!$A$4:$A$119,0)),Scoring!$A$4:$N$51,5,FALSE()),0))+1*(IFERROR(VLOOKUP(INDEX(' Toto teams'!$G$4:$G$119,MATCH($B114,' Toto teams'!$A$4:$A$119,0)),Scoring!$A$4:$N$51,3,FALSE()),0)+IFERROR(VLOOKUP(INDEX(' Toto teams'!$G$4:$G$119,MATCH($B114,' Toto teams'!$A$4:$A$119,0)),Scoring!$A$4:$N$51,4,FALSE()),0)+IFERROR(VLOOKUP(INDEX(' Toto teams'!$G$4:$G$119,MATCH($B114,' Toto teams'!$A$4:$A$119,0)),Scoring!$A$4:$N$51,5,FALSE()),0))+1*(IFERROR(VLOOKUP(INDEX(' Toto teams'!$H$4:$H$119,MATCH($B114,' Toto teams'!$A$4:$A$119,0)),Scoring!$A$4:$N$51,3,FALSE()),0)+IFERROR(VLOOKUP(INDEX(' Toto teams'!$H$4:$H$119,MATCH($B114,' Toto teams'!$A$4:$A$119,0)),Scoring!$A$4:$N$51,4,FALSE()),0)+IFERROR(VLOOKUP(INDEX(' Toto teams'!$H$4:$H$119,MATCH($B114,' Toto teams'!$A$4:$A$119,0)),Scoring!$A$4:$N$51,5,FALSE()),0))+IFERROR(INDEX(' Toto teams'!$Q$4:$Q$119,MATCH($B114,' Toto teams'!$A$4:$A$119,0))*1,0))</f>
        <v/>
      </c>
      <c r="D114" t="str">
        <f>IF($B114="","",6*IFERROR(VLOOKUP(INDEX(' Toto teams'!$B$4:$B$119,MATCH($B114,' Toto teams'!$A$4:$A$119,0)),Scoring!$A$4:$N$51,7,FALSE()),0)+4*IFERROR(VLOOKUP(INDEX(' Toto teams'!$C$4:$C$119,MATCH($B114,' Toto teams'!$A$4:$A$119,0)),Scoring!$A$4:$N$51,7,FALSE()),0)+3*IFERROR(VLOOKUP(INDEX(' Toto teams'!$D$4:$D$119,MATCH($B114,' Toto teams'!$A$4:$A$119,0)),Scoring!$A$4:$N$51,7,FALSE()),0)+2*IFERROR(VLOOKUP(INDEX(' Toto teams'!$E$4:$E$119,MATCH($B114,' Toto teams'!$A$4:$A$119,0)),Scoring!$A$4:$N$51,7,FALSE()),0)+1*IFERROR(VLOOKUP(INDEX(' Toto teams'!$F$4:$F$119,MATCH($B114,' Toto teams'!$A$4:$A$119,0)),Scoring!$A$4:$N$51,7,FALSE()),0)+1*IFERROR(VLOOKUP(INDEX(' Toto teams'!$G$4:$G$119,MATCH($B114,' Toto teams'!$A$4:$A$119,0)),Scoring!$A$4:$N$51,7,FALSE()),0)+1*IFERROR(VLOOKUP(INDEX(' Toto teams'!$H$4:$H$119,MATCH($B114,' Toto teams'!$A$4:$A$119,0)),Scoring!$A$4:$N$51,7,FALSE()),0))</f>
        <v/>
      </c>
      <c r="E114" t="str">
        <f>IF($B114="","",6*IFERROR(VLOOKUP(INDEX(' Toto teams'!$B$4:$B$119,MATCH($B114,' Toto teams'!$A$4:$A$119,0)),Scoring!$A$4:$N$51,8,FALSE()),0)+4*IFERROR(VLOOKUP(INDEX(' Toto teams'!$C$4:$C$119,MATCH($B114,' Toto teams'!$A$4:$A$119,0)),Scoring!$A$4:$N$51,8,FALSE()),0)+3*IFERROR(VLOOKUP(INDEX(' Toto teams'!$D$4:$D$119,MATCH($B114,' Toto teams'!$A$4:$A$119,0)),Scoring!$A$4:$N$51,8,FALSE()),0)+2*IFERROR(VLOOKUP(INDEX(' Toto teams'!$E$4:$E$119,MATCH($B114,' Toto teams'!$A$4:$A$119,0)),Scoring!$A$4:$N$51,8,FALSE()),0)+1*IFERROR(VLOOKUP(INDEX(' Toto teams'!$F$4:$F$119,MATCH($B114,' Toto teams'!$A$4:$A$119,0)),Scoring!$A$4:$N$51,8,FALSE()),0)+1*IFERROR(VLOOKUP(INDEX(' Toto teams'!$G$4:$G$119,MATCH($B114,' Toto teams'!$A$4:$A$119,0)),Scoring!$A$4:$N$51,8,FALSE()),0)+1*IFERROR(VLOOKUP(INDEX(' Toto teams'!$H$4:$H$119,MATCH($B114,' Toto teams'!$A$4:$A$119,0)),Scoring!$A$4:$N$51,8,FALSE()),0))</f>
        <v/>
      </c>
      <c r="F114" t="str">
        <f>IF($B114="","",6*IFERROR(VLOOKUP(INDEX(' Toto teams'!$B$4:$B$119,MATCH($B114,' Toto teams'!$A$4:$A$119,0)),Scoring!$A$4:$N$51,9,FALSE()),0)+4*IFERROR(VLOOKUP(INDEX(' Toto teams'!$C$4:$C$119,MATCH($B114,' Toto teams'!$A$4:$A$119,0)),Scoring!$A$4:$N$51,9,FALSE()),0)+3*IFERROR(VLOOKUP(INDEX(' Toto teams'!$D$4:$D$119,MATCH($B114,' Toto teams'!$A$4:$A$119,0)),Scoring!$A$4:$N$51,9,FALSE()),0)+2*IFERROR(VLOOKUP(INDEX(' Toto teams'!$E$4:$E$119,MATCH($B114,' Toto teams'!$A$4:$A$119,0)),Scoring!$A$4:$N$51,9,FALSE()),0)+1*IFERROR(VLOOKUP(INDEX(' Toto teams'!$F$4:$F$119,MATCH($B114,' Toto teams'!$A$4:$A$119,0)),Scoring!$A$4:$N$51,9,FALSE()),0)+1*IFERROR(VLOOKUP(INDEX(' Toto teams'!$G$4:$G$119,MATCH($B114,' Toto teams'!$A$4:$A$119,0)),Scoring!$A$4:$N$51,9,FALSE()),0)+1*IFERROR(VLOOKUP(INDEX(' Toto teams'!$H$4:$H$119,MATCH($B114,' Toto teams'!$A$4:$A$119,0)),Scoring!$A$4:$N$51,9,FALSE()),0))</f>
        <v/>
      </c>
      <c r="G114" t="str">
        <f>IF($B114="","",6*IFERROR(VLOOKUP(INDEX(' Toto teams'!$B$4:$B$119,MATCH($B114,' Toto teams'!$A$4:$A$119,0)),Scoring!$A$4:$N$51,10,FALSE()),0)+4*IFERROR(VLOOKUP(INDEX(' Toto teams'!$C$4:$C$119,MATCH($B114,' Toto teams'!$A$4:$A$119,0)),Scoring!$A$4:$N$51,10,FALSE()),0)+3*IFERROR(VLOOKUP(INDEX(' Toto teams'!$D$4:$D$119,MATCH($B114,' Toto teams'!$A$4:$A$119,0)),Scoring!$A$4:$N$51,10,FALSE()),0)+2*IFERROR(VLOOKUP(INDEX(' Toto teams'!$E$4:$E$119,MATCH($B114,' Toto teams'!$A$4:$A$119,0)),Scoring!$A$4:$N$51,10,FALSE()),0)+1*IFERROR(VLOOKUP(INDEX(' Toto teams'!$F$4:$F$119,MATCH($B114,' Toto teams'!$A$4:$A$119,0)),Scoring!$A$4:$N$51,10,FALSE()),0)+1*IFERROR(VLOOKUP(INDEX(' Toto teams'!$G$4:$G$119,MATCH($B114,' Toto teams'!$A$4:$A$119,0)),Scoring!$A$4:$N$51,10,FALSE()),0)+1*IFERROR(VLOOKUP(INDEX(' Toto teams'!$H$4:$H$119,MATCH($B114,' Toto teams'!$A$4:$A$119,0)),Scoring!$A$4:$N$51,10,FALSE()),0))</f>
        <v/>
      </c>
      <c r="H114" t="str">
        <f>IF($B114="","",6*IFERROR(VLOOKUP(INDEX(' Toto teams'!$B$4:$B$119,MATCH($B114,' Toto teams'!$A$4:$A$119,0)),Scoring!$A$4:$N$51,11,FALSE()),0)+4*IFERROR(VLOOKUP(INDEX(' Toto teams'!$C$4:$C$119,MATCH($B114,' Toto teams'!$A$4:$A$119,0)),Scoring!$A$4:$N$51,11,FALSE()),0)+3*IFERROR(VLOOKUP(INDEX(' Toto teams'!$D$4:$D$119,MATCH($B114,' Toto teams'!$A$4:$A$119,0)),Scoring!$A$4:$N$51,11,FALSE()),0)+2*IFERROR(VLOOKUP(INDEX(' Toto teams'!$E$4:$E$119,MATCH($B114,' Toto teams'!$A$4:$A$119,0)),Scoring!$A$4:$N$51,11,FALSE()),0)+1*IFERROR(VLOOKUP(INDEX(' Toto teams'!$F$4:$F$119,MATCH($B114,' Toto teams'!$A$4:$A$119,0)),Scoring!$A$4:$N$51,11,FALSE()),0)+1*IFERROR(VLOOKUP(INDEX(' Toto teams'!$G$4:$G$119,MATCH($B114,' Toto teams'!$A$4:$A$119,0)),Scoring!$A$4:$N$51,11,FALSE()),0)+1*IFERROR(VLOOKUP(INDEX(' Toto teams'!$H$4:$H$119,MATCH($B114,' Toto teams'!$A$4:$A$119,0)),Scoring!$A$4:$N$51,11,FALSE()),0))</f>
        <v/>
      </c>
      <c r="I114" t="str">
        <f>IF($B114="","",6*IFERROR(VLOOKUP(INDEX(' Toto teams'!$B$4:$B$119,MATCH($B114,' Toto teams'!$A$4:$A$119,0)),Scoring!$A$4:$O$51,15,FALSE()),0)+4*IFERROR(VLOOKUP(INDEX(' Toto teams'!$C$4:$C$119,MATCH($B114,' Toto teams'!$A$4:$A$119,0)),Scoring!$A$4:$O$51,15,FALSE()),0)+3*IFERROR(VLOOKUP(INDEX(' Toto teams'!$D$4:$D$119,MATCH($B114,' Toto teams'!$A$4:$A$119,0)),Scoring!$A$4:$O$51,15,FALSE()),0)+2*IFERROR(VLOOKUP(INDEX(' Toto teams'!$E$4:$E$119,MATCH($B114,' Toto teams'!$A$4:$A$119,0)),Scoring!$A$4:$O$51,15,FALSE()),0)+1*IFERROR(VLOOKUP(INDEX(' Toto teams'!$F$4:$F$119,MATCH($B114,' Toto teams'!$A$4:$A$119,0)),Scoring!$A$4:$O$51,15,FALSE()),0)+1*IFERROR(VLOOKUP(INDEX(' Toto teams'!$G$4:$G$119,MATCH($B114,' Toto teams'!$A$4:$A$119,0)),Scoring!$A$4:$O$51,15,FALSE()),0)+1*IFERROR(VLOOKUP(INDEX(' Toto teams'!$H$4:$H$119,MATCH($B114,' Toto teams'!$A$4:$A$119,0)),Scoring!$A$4:$O$51,15,FALSE()),0))</f>
        <v/>
      </c>
      <c r="J114" t="str">
        <f>IF($B114="","",6*IFERROR(VLOOKUP(INDEX(' Toto teams'!$B$4:$B$119,MATCH($B114,' Toto teams'!$A$4:$A$119,0)),Scoring!$A$4:$N$51,12,FALSE()),0)+4*IFERROR(VLOOKUP(INDEX(' Toto teams'!$C$4:$C$119,MATCH($B114,' Toto teams'!$A$4:$A$119,0)),Scoring!$A$4:$N$51,12,FALSE()),0)+3*IFERROR(VLOOKUP(INDEX(' Toto teams'!$D$4:$D$119,MATCH($B114,' Toto teams'!$A$4:$A$119,0)),Scoring!$A$4:$N$51,12,FALSE()),0)+2*IFERROR(VLOOKUP(INDEX(' Toto teams'!$E$4:$E$119,MATCH($B114,' Toto teams'!$A$4:$A$119,0)),Scoring!$A$4:$N$51,12,FALSE()),0)+1*IFERROR(VLOOKUP(INDEX(' Toto teams'!$F$4:$F$119,MATCH($B114,' Toto teams'!$A$4:$A$119,0)),Scoring!$A$4:$N$51,12,FALSE()),0)+1*IFERROR(VLOOKUP(INDEX(' Toto teams'!$G$4:$G$119,MATCH($B114,' Toto teams'!$A$4:$A$119,0)),Scoring!$A$4:$N$51,12,FALSE()),0)+1*IFERROR(VLOOKUP(INDEX(' Toto teams'!$H$4:$H$119,MATCH($B114,' Toto teams'!$A$4:$A$119,0)),Scoring!$A$4:$N$51,12,FALSE()),0))</f>
        <v/>
      </c>
      <c r="K114" t="str">
        <f>IF($B114="","",IFERROR(INDEX(' Toto teams'!$R$4:$R$119,MATCH($B114,' Toto teams'!$A$4:$A$119,0)),""))</f>
        <v/>
      </c>
      <c r="L114" t="str">
        <f t="shared" si="6"/>
        <v/>
      </c>
    </row>
    <row r="115" spans="1:12" ht="13.5" customHeight="1" x14ac:dyDescent="0.3">
      <c r="A115" t="str">
        <f>IF(112&gt;COUNTIF(' Toto teams'!$A$4:$A$119,"&lt;&gt;"),"",INDEX(' Toto teams'!$S$4:$S$119,MATCH(LARGE(' Toto teams'!$T$4:$T$119,112),' Toto teams'!$T$4:$T$119,0)))</f>
        <v/>
      </c>
      <c r="B115" t="str">
        <f>IF(112&gt;COUNTIF(' Toto teams'!$A$4:$A$119,"&lt;&gt;"),"",INDEX(' Toto teams'!$A$4:$A$119,MATCH(LARGE(' Toto teams'!$T$4:$T$119,112),' Toto teams'!$T$4:$T$119,0)))</f>
        <v/>
      </c>
      <c r="C115" t="str">
        <f>IF($B115="","",6*(IFERROR(VLOOKUP(INDEX(' Toto teams'!$B$4:$B$119,MATCH($B115,' Toto teams'!$A$4:$A$119,0)),Scoring!$A$4:$N$51,3,FALSE()),0)+IFERROR(VLOOKUP(INDEX(' Toto teams'!$B$4:$B$119,MATCH($B115,' Toto teams'!$A$4:$A$119,0)),Scoring!$A$4:$N$51,4,FALSE()),0)+IFERROR(VLOOKUP(INDEX(' Toto teams'!$B$4:$B$119,MATCH($B115,' Toto teams'!$A$4:$A$119,0)),Scoring!$A$4:$N$51,5,FALSE()),0))+4*(IFERROR(VLOOKUP(INDEX(' Toto teams'!$C$4:$C$119,MATCH($B115,' Toto teams'!$A$4:$A$119,0)),Scoring!$A$4:$N$51,3,FALSE()),0)+IFERROR(VLOOKUP(INDEX(' Toto teams'!$C$4:$C$119,MATCH($B115,' Toto teams'!$A$4:$A$119,0)),Scoring!$A$4:$N$51,4,FALSE()),0)+IFERROR(VLOOKUP(INDEX(' Toto teams'!$C$4:$C$119,MATCH($B115,' Toto teams'!$A$4:$A$119,0)),Scoring!$A$4:$N$51,5,FALSE()),0))+3*(IFERROR(VLOOKUP(INDEX(' Toto teams'!$D$4:$D$119,MATCH($B115,' Toto teams'!$A$4:$A$119,0)),Scoring!$A$4:$N$51,3,FALSE()),0)+IFERROR(VLOOKUP(INDEX(' Toto teams'!$D$4:$D$119,MATCH($B115,' Toto teams'!$A$4:$A$119,0)),Scoring!$A$4:$N$51,4,FALSE()),0)+IFERROR(VLOOKUP(INDEX(' Toto teams'!$D$4:$D$119,MATCH($B115,' Toto teams'!$A$4:$A$119,0)),Scoring!$A$4:$N$51,5,FALSE()),0))+2*(IFERROR(VLOOKUP(INDEX(' Toto teams'!$E$4:$E$119,MATCH($B115,' Toto teams'!$A$4:$A$119,0)),Scoring!$A$4:$N$51,3,FALSE()),0)+IFERROR(VLOOKUP(INDEX(' Toto teams'!$E$4:$E$119,MATCH($B115,' Toto teams'!$A$4:$A$119,0)),Scoring!$A$4:$N$51,4,FALSE()),0)+IFERROR(VLOOKUP(INDEX(' Toto teams'!$E$4:$E$119,MATCH($B115,' Toto teams'!$A$4:$A$119,0)),Scoring!$A$4:$N$51,5,FALSE()),0))+1*(IFERROR(VLOOKUP(INDEX(' Toto teams'!$F$4:$F$119,MATCH($B115,' Toto teams'!$A$4:$A$119,0)),Scoring!$A$4:$N$51,3,FALSE()),0)+IFERROR(VLOOKUP(INDEX(' Toto teams'!$F$4:$F$119,MATCH($B115,' Toto teams'!$A$4:$A$119,0)),Scoring!$A$4:$N$51,4,FALSE()),0)+IFERROR(VLOOKUP(INDEX(' Toto teams'!$F$4:$F$119,MATCH($B115,' Toto teams'!$A$4:$A$119,0)),Scoring!$A$4:$N$51,5,FALSE()),0))+1*(IFERROR(VLOOKUP(INDEX(' Toto teams'!$G$4:$G$119,MATCH($B115,' Toto teams'!$A$4:$A$119,0)),Scoring!$A$4:$N$51,3,FALSE()),0)+IFERROR(VLOOKUP(INDEX(' Toto teams'!$G$4:$G$119,MATCH($B115,' Toto teams'!$A$4:$A$119,0)),Scoring!$A$4:$N$51,4,FALSE()),0)+IFERROR(VLOOKUP(INDEX(' Toto teams'!$G$4:$G$119,MATCH($B115,' Toto teams'!$A$4:$A$119,0)),Scoring!$A$4:$N$51,5,FALSE()),0))+1*(IFERROR(VLOOKUP(INDEX(' Toto teams'!$H$4:$H$119,MATCH($B115,' Toto teams'!$A$4:$A$119,0)),Scoring!$A$4:$N$51,3,FALSE()),0)+IFERROR(VLOOKUP(INDEX(' Toto teams'!$H$4:$H$119,MATCH($B115,' Toto teams'!$A$4:$A$119,0)),Scoring!$A$4:$N$51,4,FALSE()),0)+IFERROR(VLOOKUP(INDEX(' Toto teams'!$H$4:$H$119,MATCH($B115,' Toto teams'!$A$4:$A$119,0)),Scoring!$A$4:$N$51,5,FALSE()),0))+IFERROR(INDEX(' Toto teams'!$Q$4:$Q$119,MATCH($B115,' Toto teams'!$A$4:$A$119,0))*1,0))</f>
        <v/>
      </c>
      <c r="D115" t="str">
        <f>IF($B115="","",6*IFERROR(VLOOKUP(INDEX(' Toto teams'!$B$4:$B$119,MATCH($B115,' Toto teams'!$A$4:$A$119,0)),Scoring!$A$4:$N$51,7,FALSE()),0)+4*IFERROR(VLOOKUP(INDEX(' Toto teams'!$C$4:$C$119,MATCH($B115,' Toto teams'!$A$4:$A$119,0)),Scoring!$A$4:$N$51,7,FALSE()),0)+3*IFERROR(VLOOKUP(INDEX(' Toto teams'!$D$4:$D$119,MATCH($B115,' Toto teams'!$A$4:$A$119,0)),Scoring!$A$4:$N$51,7,FALSE()),0)+2*IFERROR(VLOOKUP(INDEX(' Toto teams'!$E$4:$E$119,MATCH($B115,' Toto teams'!$A$4:$A$119,0)),Scoring!$A$4:$N$51,7,FALSE()),0)+1*IFERROR(VLOOKUP(INDEX(' Toto teams'!$F$4:$F$119,MATCH($B115,' Toto teams'!$A$4:$A$119,0)),Scoring!$A$4:$N$51,7,FALSE()),0)+1*IFERROR(VLOOKUP(INDEX(' Toto teams'!$G$4:$G$119,MATCH($B115,' Toto teams'!$A$4:$A$119,0)),Scoring!$A$4:$N$51,7,FALSE()),0)+1*IFERROR(VLOOKUP(INDEX(' Toto teams'!$H$4:$H$119,MATCH($B115,' Toto teams'!$A$4:$A$119,0)),Scoring!$A$4:$N$51,7,FALSE()),0))</f>
        <v/>
      </c>
      <c r="E115" t="str">
        <f>IF($B115="","",6*IFERROR(VLOOKUP(INDEX(' Toto teams'!$B$4:$B$119,MATCH($B115,' Toto teams'!$A$4:$A$119,0)),Scoring!$A$4:$N$51,8,FALSE()),0)+4*IFERROR(VLOOKUP(INDEX(' Toto teams'!$C$4:$C$119,MATCH($B115,' Toto teams'!$A$4:$A$119,0)),Scoring!$A$4:$N$51,8,FALSE()),0)+3*IFERROR(VLOOKUP(INDEX(' Toto teams'!$D$4:$D$119,MATCH($B115,' Toto teams'!$A$4:$A$119,0)),Scoring!$A$4:$N$51,8,FALSE()),0)+2*IFERROR(VLOOKUP(INDEX(' Toto teams'!$E$4:$E$119,MATCH($B115,' Toto teams'!$A$4:$A$119,0)),Scoring!$A$4:$N$51,8,FALSE()),0)+1*IFERROR(VLOOKUP(INDEX(' Toto teams'!$F$4:$F$119,MATCH($B115,' Toto teams'!$A$4:$A$119,0)),Scoring!$A$4:$N$51,8,FALSE()),0)+1*IFERROR(VLOOKUP(INDEX(' Toto teams'!$G$4:$G$119,MATCH($B115,' Toto teams'!$A$4:$A$119,0)),Scoring!$A$4:$N$51,8,FALSE()),0)+1*IFERROR(VLOOKUP(INDEX(' Toto teams'!$H$4:$H$119,MATCH($B115,' Toto teams'!$A$4:$A$119,0)),Scoring!$A$4:$N$51,8,FALSE()),0))</f>
        <v/>
      </c>
      <c r="F115" t="str">
        <f>IF($B115="","",6*IFERROR(VLOOKUP(INDEX(' Toto teams'!$B$4:$B$119,MATCH($B115,' Toto teams'!$A$4:$A$119,0)),Scoring!$A$4:$N$51,9,FALSE()),0)+4*IFERROR(VLOOKUP(INDEX(' Toto teams'!$C$4:$C$119,MATCH($B115,' Toto teams'!$A$4:$A$119,0)),Scoring!$A$4:$N$51,9,FALSE()),0)+3*IFERROR(VLOOKUP(INDEX(' Toto teams'!$D$4:$D$119,MATCH($B115,' Toto teams'!$A$4:$A$119,0)),Scoring!$A$4:$N$51,9,FALSE()),0)+2*IFERROR(VLOOKUP(INDEX(' Toto teams'!$E$4:$E$119,MATCH($B115,' Toto teams'!$A$4:$A$119,0)),Scoring!$A$4:$N$51,9,FALSE()),0)+1*IFERROR(VLOOKUP(INDEX(' Toto teams'!$F$4:$F$119,MATCH($B115,' Toto teams'!$A$4:$A$119,0)),Scoring!$A$4:$N$51,9,FALSE()),0)+1*IFERROR(VLOOKUP(INDEX(' Toto teams'!$G$4:$G$119,MATCH($B115,' Toto teams'!$A$4:$A$119,0)),Scoring!$A$4:$N$51,9,FALSE()),0)+1*IFERROR(VLOOKUP(INDEX(' Toto teams'!$H$4:$H$119,MATCH($B115,' Toto teams'!$A$4:$A$119,0)),Scoring!$A$4:$N$51,9,FALSE()),0))</f>
        <v/>
      </c>
      <c r="G115" t="str">
        <f>IF($B115="","",6*IFERROR(VLOOKUP(INDEX(' Toto teams'!$B$4:$B$119,MATCH($B115,' Toto teams'!$A$4:$A$119,0)),Scoring!$A$4:$N$51,10,FALSE()),0)+4*IFERROR(VLOOKUP(INDEX(' Toto teams'!$C$4:$C$119,MATCH($B115,' Toto teams'!$A$4:$A$119,0)),Scoring!$A$4:$N$51,10,FALSE()),0)+3*IFERROR(VLOOKUP(INDEX(' Toto teams'!$D$4:$D$119,MATCH($B115,' Toto teams'!$A$4:$A$119,0)),Scoring!$A$4:$N$51,10,FALSE()),0)+2*IFERROR(VLOOKUP(INDEX(' Toto teams'!$E$4:$E$119,MATCH($B115,' Toto teams'!$A$4:$A$119,0)),Scoring!$A$4:$N$51,10,FALSE()),0)+1*IFERROR(VLOOKUP(INDEX(' Toto teams'!$F$4:$F$119,MATCH($B115,' Toto teams'!$A$4:$A$119,0)),Scoring!$A$4:$N$51,10,FALSE()),0)+1*IFERROR(VLOOKUP(INDEX(' Toto teams'!$G$4:$G$119,MATCH($B115,' Toto teams'!$A$4:$A$119,0)),Scoring!$A$4:$N$51,10,FALSE()),0)+1*IFERROR(VLOOKUP(INDEX(' Toto teams'!$H$4:$H$119,MATCH($B115,' Toto teams'!$A$4:$A$119,0)),Scoring!$A$4:$N$51,10,FALSE()),0))</f>
        <v/>
      </c>
      <c r="H115" t="str">
        <f>IF($B115="","",6*IFERROR(VLOOKUP(INDEX(' Toto teams'!$B$4:$B$119,MATCH($B115,' Toto teams'!$A$4:$A$119,0)),Scoring!$A$4:$N$51,11,FALSE()),0)+4*IFERROR(VLOOKUP(INDEX(' Toto teams'!$C$4:$C$119,MATCH($B115,' Toto teams'!$A$4:$A$119,0)),Scoring!$A$4:$N$51,11,FALSE()),0)+3*IFERROR(VLOOKUP(INDEX(' Toto teams'!$D$4:$D$119,MATCH($B115,' Toto teams'!$A$4:$A$119,0)),Scoring!$A$4:$N$51,11,FALSE()),0)+2*IFERROR(VLOOKUP(INDEX(' Toto teams'!$E$4:$E$119,MATCH($B115,' Toto teams'!$A$4:$A$119,0)),Scoring!$A$4:$N$51,11,FALSE()),0)+1*IFERROR(VLOOKUP(INDEX(' Toto teams'!$F$4:$F$119,MATCH($B115,' Toto teams'!$A$4:$A$119,0)),Scoring!$A$4:$N$51,11,FALSE()),0)+1*IFERROR(VLOOKUP(INDEX(' Toto teams'!$G$4:$G$119,MATCH($B115,' Toto teams'!$A$4:$A$119,0)),Scoring!$A$4:$N$51,11,FALSE()),0)+1*IFERROR(VLOOKUP(INDEX(' Toto teams'!$H$4:$H$119,MATCH($B115,' Toto teams'!$A$4:$A$119,0)),Scoring!$A$4:$N$51,11,FALSE()),0))</f>
        <v/>
      </c>
      <c r="I115" t="str">
        <f>IF($B115="","",6*IFERROR(VLOOKUP(INDEX(' Toto teams'!$B$4:$B$119,MATCH($B115,' Toto teams'!$A$4:$A$119,0)),Scoring!$A$4:$O$51,15,FALSE()),0)+4*IFERROR(VLOOKUP(INDEX(' Toto teams'!$C$4:$C$119,MATCH($B115,' Toto teams'!$A$4:$A$119,0)),Scoring!$A$4:$O$51,15,FALSE()),0)+3*IFERROR(VLOOKUP(INDEX(' Toto teams'!$D$4:$D$119,MATCH($B115,' Toto teams'!$A$4:$A$119,0)),Scoring!$A$4:$O$51,15,FALSE()),0)+2*IFERROR(VLOOKUP(INDEX(' Toto teams'!$E$4:$E$119,MATCH($B115,' Toto teams'!$A$4:$A$119,0)),Scoring!$A$4:$O$51,15,FALSE()),0)+1*IFERROR(VLOOKUP(INDEX(' Toto teams'!$F$4:$F$119,MATCH($B115,' Toto teams'!$A$4:$A$119,0)),Scoring!$A$4:$O$51,15,FALSE()),0)+1*IFERROR(VLOOKUP(INDEX(' Toto teams'!$G$4:$G$119,MATCH($B115,' Toto teams'!$A$4:$A$119,0)),Scoring!$A$4:$O$51,15,FALSE()),0)+1*IFERROR(VLOOKUP(INDEX(' Toto teams'!$H$4:$H$119,MATCH($B115,' Toto teams'!$A$4:$A$119,0)),Scoring!$A$4:$O$51,15,FALSE()),0))</f>
        <v/>
      </c>
      <c r="J115" t="str">
        <f>IF($B115="","",6*IFERROR(VLOOKUP(INDEX(' Toto teams'!$B$4:$B$119,MATCH($B115,' Toto teams'!$A$4:$A$119,0)),Scoring!$A$4:$N$51,12,FALSE()),0)+4*IFERROR(VLOOKUP(INDEX(' Toto teams'!$C$4:$C$119,MATCH($B115,' Toto teams'!$A$4:$A$119,0)),Scoring!$A$4:$N$51,12,FALSE()),0)+3*IFERROR(VLOOKUP(INDEX(' Toto teams'!$D$4:$D$119,MATCH($B115,' Toto teams'!$A$4:$A$119,0)),Scoring!$A$4:$N$51,12,FALSE()),0)+2*IFERROR(VLOOKUP(INDEX(' Toto teams'!$E$4:$E$119,MATCH($B115,' Toto teams'!$A$4:$A$119,0)),Scoring!$A$4:$N$51,12,FALSE()),0)+1*IFERROR(VLOOKUP(INDEX(' Toto teams'!$F$4:$F$119,MATCH($B115,' Toto teams'!$A$4:$A$119,0)),Scoring!$A$4:$N$51,12,FALSE()),0)+1*IFERROR(VLOOKUP(INDEX(' Toto teams'!$G$4:$G$119,MATCH($B115,' Toto teams'!$A$4:$A$119,0)),Scoring!$A$4:$N$51,12,FALSE()),0)+1*IFERROR(VLOOKUP(INDEX(' Toto teams'!$H$4:$H$119,MATCH($B115,' Toto teams'!$A$4:$A$119,0)),Scoring!$A$4:$N$51,12,FALSE()),0))</f>
        <v/>
      </c>
      <c r="K115" t="str">
        <f>IF($B115="","",IFERROR(INDEX(' Toto teams'!$R$4:$R$119,MATCH($B115,' Toto teams'!$A$4:$A$119,0)),""))</f>
        <v/>
      </c>
      <c r="L115" t="str">
        <f t="shared" si="6"/>
        <v/>
      </c>
    </row>
    <row r="116" spans="1:12" ht="13.5" customHeight="1" x14ac:dyDescent="0.3">
      <c r="A116" t="str">
        <f>IF(113&gt;COUNTIF(' Toto teams'!$A$4:$A$119,"&lt;&gt;"),"",INDEX(' Toto teams'!$S$4:$S$119,MATCH(LARGE(' Toto teams'!$T$4:$T$119,113),' Toto teams'!$T$4:$T$119,0)))</f>
        <v/>
      </c>
      <c r="B116" t="str">
        <f>IF(113&gt;COUNTIF(' Toto teams'!$A$4:$A$119,"&lt;&gt;"),"",INDEX(' Toto teams'!$A$4:$A$119,MATCH(LARGE(' Toto teams'!$T$4:$T$119,113),' Toto teams'!$T$4:$T$119,0)))</f>
        <v/>
      </c>
      <c r="C116" t="str">
        <f>IF($B116="","",6*(IFERROR(VLOOKUP(INDEX(' Toto teams'!$B$4:$B$119,MATCH($B116,' Toto teams'!$A$4:$A$119,0)),Scoring!$A$4:$N$51,3,FALSE()),0)+IFERROR(VLOOKUP(INDEX(' Toto teams'!$B$4:$B$119,MATCH($B116,' Toto teams'!$A$4:$A$119,0)),Scoring!$A$4:$N$51,4,FALSE()),0)+IFERROR(VLOOKUP(INDEX(' Toto teams'!$B$4:$B$119,MATCH($B116,' Toto teams'!$A$4:$A$119,0)),Scoring!$A$4:$N$51,5,FALSE()),0))+4*(IFERROR(VLOOKUP(INDEX(' Toto teams'!$C$4:$C$119,MATCH($B116,' Toto teams'!$A$4:$A$119,0)),Scoring!$A$4:$N$51,3,FALSE()),0)+IFERROR(VLOOKUP(INDEX(' Toto teams'!$C$4:$C$119,MATCH($B116,' Toto teams'!$A$4:$A$119,0)),Scoring!$A$4:$N$51,4,FALSE()),0)+IFERROR(VLOOKUP(INDEX(' Toto teams'!$C$4:$C$119,MATCH($B116,' Toto teams'!$A$4:$A$119,0)),Scoring!$A$4:$N$51,5,FALSE()),0))+3*(IFERROR(VLOOKUP(INDEX(' Toto teams'!$D$4:$D$119,MATCH($B116,' Toto teams'!$A$4:$A$119,0)),Scoring!$A$4:$N$51,3,FALSE()),0)+IFERROR(VLOOKUP(INDEX(' Toto teams'!$D$4:$D$119,MATCH($B116,' Toto teams'!$A$4:$A$119,0)),Scoring!$A$4:$N$51,4,FALSE()),0)+IFERROR(VLOOKUP(INDEX(' Toto teams'!$D$4:$D$119,MATCH($B116,' Toto teams'!$A$4:$A$119,0)),Scoring!$A$4:$N$51,5,FALSE()),0))+2*(IFERROR(VLOOKUP(INDEX(' Toto teams'!$E$4:$E$119,MATCH($B116,' Toto teams'!$A$4:$A$119,0)),Scoring!$A$4:$N$51,3,FALSE()),0)+IFERROR(VLOOKUP(INDEX(' Toto teams'!$E$4:$E$119,MATCH($B116,' Toto teams'!$A$4:$A$119,0)),Scoring!$A$4:$N$51,4,FALSE()),0)+IFERROR(VLOOKUP(INDEX(' Toto teams'!$E$4:$E$119,MATCH($B116,' Toto teams'!$A$4:$A$119,0)),Scoring!$A$4:$N$51,5,FALSE()),0))+1*(IFERROR(VLOOKUP(INDEX(' Toto teams'!$F$4:$F$119,MATCH($B116,' Toto teams'!$A$4:$A$119,0)),Scoring!$A$4:$N$51,3,FALSE()),0)+IFERROR(VLOOKUP(INDEX(' Toto teams'!$F$4:$F$119,MATCH($B116,' Toto teams'!$A$4:$A$119,0)),Scoring!$A$4:$N$51,4,FALSE()),0)+IFERROR(VLOOKUP(INDEX(' Toto teams'!$F$4:$F$119,MATCH($B116,' Toto teams'!$A$4:$A$119,0)),Scoring!$A$4:$N$51,5,FALSE()),0))+1*(IFERROR(VLOOKUP(INDEX(' Toto teams'!$G$4:$G$119,MATCH($B116,' Toto teams'!$A$4:$A$119,0)),Scoring!$A$4:$N$51,3,FALSE()),0)+IFERROR(VLOOKUP(INDEX(' Toto teams'!$G$4:$G$119,MATCH($B116,' Toto teams'!$A$4:$A$119,0)),Scoring!$A$4:$N$51,4,FALSE()),0)+IFERROR(VLOOKUP(INDEX(' Toto teams'!$G$4:$G$119,MATCH($B116,' Toto teams'!$A$4:$A$119,0)),Scoring!$A$4:$N$51,5,FALSE()),0))+1*(IFERROR(VLOOKUP(INDEX(' Toto teams'!$H$4:$H$119,MATCH($B116,' Toto teams'!$A$4:$A$119,0)),Scoring!$A$4:$N$51,3,FALSE()),0)+IFERROR(VLOOKUP(INDEX(' Toto teams'!$H$4:$H$119,MATCH($B116,' Toto teams'!$A$4:$A$119,0)),Scoring!$A$4:$N$51,4,FALSE()),0)+IFERROR(VLOOKUP(INDEX(' Toto teams'!$H$4:$H$119,MATCH($B116,' Toto teams'!$A$4:$A$119,0)),Scoring!$A$4:$N$51,5,FALSE()),0))+IFERROR(INDEX(' Toto teams'!$Q$4:$Q$119,MATCH($B116,' Toto teams'!$A$4:$A$119,0))*1,0))</f>
        <v/>
      </c>
      <c r="D116" t="str">
        <f>IF($B116="","",6*IFERROR(VLOOKUP(INDEX(' Toto teams'!$B$4:$B$119,MATCH($B116,' Toto teams'!$A$4:$A$119,0)),Scoring!$A$4:$N$51,7,FALSE()),0)+4*IFERROR(VLOOKUP(INDEX(' Toto teams'!$C$4:$C$119,MATCH($B116,' Toto teams'!$A$4:$A$119,0)),Scoring!$A$4:$N$51,7,FALSE()),0)+3*IFERROR(VLOOKUP(INDEX(' Toto teams'!$D$4:$D$119,MATCH($B116,' Toto teams'!$A$4:$A$119,0)),Scoring!$A$4:$N$51,7,FALSE()),0)+2*IFERROR(VLOOKUP(INDEX(' Toto teams'!$E$4:$E$119,MATCH($B116,' Toto teams'!$A$4:$A$119,0)),Scoring!$A$4:$N$51,7,FALSE()),0)+1*IFERROR(VLOOKUP(INDEX(' Toto teams'!$F$4:$F$119,MATCH($B116,' Toto teams'!$A$4:$A$119,0)),Scoring!$A$4:$N$51,7,FALSE()),0)+1*IFERROR(VLOOKUP(INDEX(' Toto teams'!$G$4:$G$119,MATCH($B116,' Toto teams'!$A$4:$A$119,0)),Scoring!$A$4:$N$51,7,FALSE()),0)+1*IFERROR(VLOOKUP(INDEX(' Toto teams'!$H$4:$H$119,MATCH($B116,' Toto teams'!$A$4:$A$119,0)),Scoring!$A$4:$N$51,7,FALSE()),0))</f>
        <v/>
      </c>
      <c r="E116" t="str">
        <f>IF($B116="","",6*IFERROR(VLOOKUP(INDEX(' Toto teams'!$B$4:$B$119,MATCH($B116,' Toto teams'!$A$4:$A$119,0)),Scoring!$A$4:$N$51,8,FALSE()),0)+4*IFERROR(VLOOKUP(INDEX(' Toto teams'!$C$4:$C$119,MATCH($B116,' Toto teams'!$A$4:$A$119,0)),Scoring!$A$4:$N$51,8,FALSE()),0)+3*IFERROR(VLOOKUP(INDEX(' Toto teams'!$D$4:$D$119,MATCH($B116,' Toto teams'!$A$4:$A$119,0)),Scoring!$A$4:$N$51,8,FALSE()),0)+2*IFERROR(VLOOKUP(INDEX(' Toto teams'!$E$4:$E$119,MATCH($B116,' Toto teams'!$A$4:$A$119,0)),Scoring!$A$4:$N$51,8,FALSE()),0)+1*IFERROR(VLOOKUP(INDEX(' Toto teams'!$F$4:$F$119,MATCH($B116,' Toto teams'!$A$4:$A$119,0)),Scoring!$A$4:$N$51,8,FALSE()),0)+1*IFERROR(VLOOKUP(INDEX(' Toto teams'!$G$4:$G$119,MATCH($B116,' Toto teams'!$A$4:$A$119,0)),Scoring!$A$4:$N$51,8,FALSE()),0)+1*IFERROR(VLOOKUP(INDEX(' Toto teams'!$H$4:$H$119,MATCH($B116,' Toto teams'!$A$4:$A$119,0)),Scoring!$A$4:$N$51,8,FALSE()),0))</f>
        <v/>
      </c>
      <c r="F116" t="str">
        <f>IF($B116="","",6*IFERROR(VLOOKUP(INDEX(' Toto teams'!$B$4:$B$119,MATCH($B116,' Toto teams'!$A$4:$A$119,0)),Scoring!$A$4:$N$51,9,FALSE()),0)+4*IFERROR(VLOOKUP(INDEX(' Toto teams'!$C$4:$C$119,MATCH($B116,' Toto teams'!$A$4:$A$119,0)),Scoring!$A$4:$N$51,9,FALSE()),0)+3*IFERROR(VLOOKUP(INDEX(' Toto teams'!$D$4:$D$119,MATCH($B116,' Toto teams'!$A$4:$A$119,0)),Scoring!$A$4:$N$51,9,FALSE()),0)+2*IFERROR(VLOOKUP(INDEX(' Toto teams'!$E$4:$E$119,MATCH($B116,' Toto teams'!$A$4:$A$119,0)),Scoring!$A$4:$N$51,9,FALSE()),0)+1*IFERROR(VLOOKUP(INDEX(' Toto teams'!$F$4:$F$119,MATCH($B116,' Toto teams'!$A$4:$A$119,0)),Scoring!$A$4:$N$51,9,FALSE()),0)+1*IFERROR(VLOOKUP(INDEX(' Toto teams'!$G$4:$G$119,MATCH($B116,' Toto teams'!$A$4:$A$119,0)),Scoring!$A$4:$N$51,9,FALSE()),0)+1*IFERROR(VLOOKUP(INDEX(' Toto teams'!$H$4:$H$119,MATCH($B116,' Toto teams'!$A$4:$A$119,0)),Scoring!$A$4:$N$51,9,FALSE()),0))</f>
        <v/>
      </c>
      <c r="G116" t="str">
        <f>IF($B116="","",6*IFERROR(VLOOKUP(INDEX(' Toto teams'!$B$4:$B$119,MATCH($B116,' Toto teams'!$A$4:$A$119,0)),Scoring!$A$4:$N$51,10,FALSE()),0)+4*IFERROR(VLOOKUP(INDEX(' Toto teams'!$C$4:$C$119,MATCH($B116,' Toto teams'!$A$4:$A$119,0)),Scoring!$A$4:$N$51,10,FALSE()),0)+3*IFERROR(VLOOKUP(INDEX(' Toto teams'!$D$4:$D$119,MATCH($B116,' Toto teams'!$A$4:$A$119,0)),Scoring!$A$4:$N$51,10,FALSE()),0)+2*IFERROR(VLOOKUP(INDEX(' Toto teams'!$E$4:$E$119,MATCH($B116,' Toto teams'!$A$4:$A$119,0)),Scoring!$A$4:$N$51,10,FALSE()),0)+1*IFERROR(VLOOKUP(INDEX(' Toto teams'!$F$4:$F$119,MATCH($B116,' Toto teams'!$A$4:$A$119,0)),Scoring!$A$4:$N$51,10,FALSE()),0)+1*IFERROR(VLOOKUP(INDEX(' Toto teams'!$G$4:$G$119,MATCH($B116,' Toto teams'!$A$4:$A$119,0)),Scoring!$A$4:$N$51,10,FALSE()),0)+1*IFERROR(VLOOKUP(INDEX(' Toto teams'!$H$4:$H$119,MATCH($B116,' Toto teams'!$A$4:$A$119,0)),Scoring!$A$4:$N$51,10,FALSE()),0))</f>
        <v/>
      </c>
      <c r="H116" t="str">
        <f>IF($B116="","",6*IFERROR(VLOOKUP(INDEX(' Toto teams'!$B$4:$B$119,MATCH($B116,' Toto teams'!$A$4:$A$119,0)),Scoring!$A$4:$N$51,11,FALSE()),0)+4*IFERROR(VLOOKUP(INDEX(' Toto teams'!$C$4:$C$119,MATCH($B116,' Toto teams'!$A$4:$A$119,0)),Scoring!$A$4:$N$51,11,FALSE()),0)+3*IFERROR(VLOOKUP(INDEX(' Toto teams'!$D$4:$D$119,MATCH($B116,' Toto teams'!$A$4:$A$119,0)),Scoring!$A$4:$N$51,11,FALSE()),0)+2*IFERROR(VLOOKUP(INDEX(' Toto teams'!$E$4:$E$119,MATCH($B116,' Toto teams'!$A$4:$A$119,0)),Scoring!$A$4:$N$51,11,FALSE()),0)+1*IFERROR(VLOOKUP(INDEX(' Toto teams'!$F$4:$F$119,MATCH($B116,' Toto teams'!$A$4:$A$119,0)),Scoring!$A$4:$N$51,11,FALSE()),0)+1*IFERROR(VLOOKUP(INDEX(' Toto teams'!$G$4:$G$119,MATCH($B116,' Toto teams'!$A$4:$A$119,0)),Scoring!$A$4:$N$51,11,FALSE()),0)+1*IFERROR(VLOOKUP(INDEX(' Toto teams'!$H$4:$H$119,MATCH($B116,' Toto teams'!$A$4:$A$119,0)),Scoring!$A$4:$N$51,11,FALSE()),0))</f>
        <v/>
      </c>
      <c r="I116" t="str">
        <f>IF($B116="","",6*IFERROR(VLOOKUP(INDEX(' Toto teams'!$B$4:$B$119,MATCH($B116,' Toto teams'!$A$4:$A$119,0)),Scoring!$A$4:$O$51,15,FALSE()),0)+4*IFERROR(VLOOKUP(INDEX(' Toto teams'!$C$4:$C$119,MATCH($B116,' Toto teams'!$A$4:$A$119,0)),Scoring!$A$4:$O$51,15,FALSE()),0)+3*IFERROR(VLOOKUP(INDEX(' Toto teams'!$D$4:$D$119,MATCH($B116,' Toto teams'!$A$4:$A$119,0)),Scoring!$A$4:$O$51,15,FALSE()),0)+2*IFERROR(VLOOKUP(INDEX(' Toto teams'!$E$4:$E$119,MATCH($B116,' Toto teams'!$A$4:$A$119,0)),Scoring!$A$4:$O$51,15,FALSE()),0)+1*IFERROR(VLOOKUP(INDEX(' Toto teams'!$F$4:$F$119,MATCH($B116,' Toto teams'!$A$4:$A$119,0)),Scoring!$A$4:$O$51,15,FALSE()),0)+1*IFERROR(VLOOKUP(INDEX(' Toto teams'!$G$4:$G$119,MATCH($B116,' Toto teams'!$A$4:$A$119,0)),Scoring!$A$4:$O$51,15,FALSE()),0)+1*IFERROR(VLOOKUP(INDEX(' Toto teams'!$H$4:$H$119,MATCH($B116,' Toto teams'!$A$4:$A$119,0)),Scoring!$A$4:$O$51,15,FALSE()),0))</f>
        <v/>
      </c>
      <c r="J116" t="str">
        <f>IF($B116="","",6*IFERROR(VLOOKUP(INDEX(' Toto teams'!$B$4:$B$119,MATCH($B116,' Toto teams'!$A$4:$A$119,0)),Scoring!$A$4:$N$51,12,FALSE()),0)+4*IFERROR(VLOOKUP(INDEX(' Toto teams'!$C$4:$C$119,MATCH($B116,' Toto teams'!$A$4:$A$119,0)),Scoring!$A$4:$N$51,12,FALSE()),0)+3*IFERROR(VLOOKUP(INDEX(' Toto teams'!$D$4:$D$119,MATCH($B116,' Toto teams'!$A$4:$A$119,0)),Scoring!$A$4:$N$51,12,FALSE()),0)+2*IFERROR(VLOOKUP(INDEX(' Toto teams'!$E$4:$E$119,MATCH($B116,' Toto teams'!$A$4:$A$119,0)),Scoring!$A$4:$N$51,12,FALSE()),0)+1*IFERROR(VLOOKUP(INDEX(' Toto teams'!$F$4:$F$119,MATCH($B116,' Toto teams'!$A$4:$A$119,0)),Scoring!$A$4:$N$51,12,FALSE()),0)+1*IFERROR(VLOOKUP(INDEX(' Toto teams'!$G$4:$G$119,MATCH($B116,' Toto teams'!$A$4:$A$119,0)),Scoring!$A$4:$N$51,12,FALSE()),0)+1*IFERROR(VLOOKUP(INDEX(' Toto teams'!$H$4:$H$119,MATCH($B116,' Toto teams'!$A$4:$A$119,0)),Scoring!$A$4:$N$51,12,FALSE()),0))</f>
        <v/>
      </c>
      <c r="K116" t="str">
        <f>IF($B116="","",IFERROR(INDEX(' Toto teams'!$R$4:$R$119,MATCH($B116,' Toto teams'!$A$4:$A$119,0)),""))</f>
        <v/>
      </c>
      <c r="L116" t="str">
        <f t="shared" si="6"/>
        <v/>
      </c>
    </row>
    <row r="117" spans="1:12" ht="13.5" customHeight="1" x14ac:dyDescent="0.3">
      <c r="A117" t="str">
        <f>IF(114&gt;COUNTIF(' Toto teams'!$A$4:$A$119,"&lt;&gt;"),"",INDEX(' Toto teams'!$S$4:$S$119,MATCH(LARGE(' Toto teams'!$T$4:$T$119,114),' Toto teams'!$T$4:$T$119,0)))</f>
        <v/>
      </c>
      <c r="B117" t="str">
        <f>IF(114&gt;COUNTIF(' Toto teams'!$A$4:$A$119,"&lt;&gt;"),"",INDEX(' Toto teams'!$A$4:$A$119,MATCH(LARGE(' Toto teams'!$T$4:$T$119,114),' Toto teams'!$T$4:$T$119,0)))</f>
        <v/>
      </c>
      <c r="C117" t="str">
        <f>IF($B117="","",6*(IFERROR(VLOOKUP(INDEX(' Toto teams'!$B$4:$B$119,MATCH($B117,' Toto teams'!$A$4:$A$119,0)),Scoring!$A$4:$N$51,3,FALSE()),0)+IFERROR(VLOOKUP(INDEX(' Toto teams'!$B$4:$B$119,MATCH($B117,' Toto teams'!$A$4:$A$119,0)),Scoring!$A$4:$N$51,4,FALSE()),0)+IFERROR(VLOOKUP(INDEX(' Toto teams'!$B$4:$B$119,MATCH($B117,' Toto teams'!$A$4:$A$119,0)),Scoring!$A$4:$N$51,5,FALSE()),0))+4*(IFERROR(VLOOKUP(INDEX(' Toto teams'!$C$4:$C$119,MATCH($B117,' Toto teams'!$A$4:$A$119,0)),Scoring!$A$4:$N$51,3,FALSE()),0)+IFERROR(VLOOKUP(INDEX(' Toto teams'!$C$4:$C$119,MATCH($B117,' Toto teams'!$A$4:$A$119,0)),Scoring!$A$4:$N$51,4,FALSE()),0)+IFERROR(VLOOKUP(INDEX(' Toto teams'!$C$4:$C$119,MATCH($B117,' Toto teams'!$A$4:$A$119,0)),Scoring!$A$4:$N$51,5,FALSE()),0))+3*(IFERROR(VLOOKUP(INDEX(' Toto teams'!$D$4:$D$119,MATCH($B117,' Toto teams'!$A$4:$A$119,0)),Scoring!$A$4:$N$51,3,FALSE()),0)+IFERROR(VLOOKUP(INDEX(' Toto teams'!$D$4:$D$119,MATCH($B117,' Toto teams'!$A$4:$A$119,0)),Scoring!$A$4:$N$51,4,FALSE()),0)+IFERROR(VLOOKUP(INDEX(' Toto teams'!$D$4:$D$119,MATCH($B117,' Toto teams'!$A$4:$A$119,0)),Scoring!$A$4:$N$51,5,FALSE()),0))+2*(IFERROR(VLOOKUP(INDEX(' Toto teams'!$E$4:$E$119,MATCH($B117,' Toto teams'!$A$4:$A$119,0)),Scoring!$A$4:$N$51,3,FALSE()),0)+IFERROR(VLOOKUP(INDEX(' Toto teams'!$E$4:$E$119,MATCH($B117,' Toto teams'!$A$4:$A$119,0)),Scoring!$A$4:$N$51,4,FALSE()),0)+IFERROR(VLOOKUP(INDEX(' Toto teams'!$E$4:$E$119,MATCH($B117,' Toto teams'!$A$4:$A$119,0)),Scoring!$A$4:$N$51,5,FALSE()),0))+1*(IFERROR(VLOOKUP(INDEX(' Toto teams'!$F$4:$F$119,MATCH($B117,' Toto teams'!$A$4:$A$119,0)),Scoring!$A$4:$N$51,3,FALSE()),0)+IFERROR(VLOOKUP(INDEX(' Toto teams'!$F$4:$F$119,MATCH($B117,' Toto teams'!$A$4:$A$119,0)),Scoring!$A$4:$N$51,4,FALSE()),0)+IFERROR(VLOOKUP(INDEX(' Toto teams'!$F$4:$F$119,MATCH($B117,' Toto teams'!$A$4:$A$119,0)),Scoring!$A$4:$N$51,5,FALSE()),0))+1*(IFERROR(VLOOKUP(INDEX(' Toto teams'!$G$4:$G$119,MATCH($B117,' Toto teams'!$A$4:$A$119,0)),Scoring!$A$4:$N$51,3,FALSE()),0)+IFERROR(VLOOKUP(INDEX(' Toto teams'!$G$4:$G$119,MATCH($B117,' Toto teams'!$A$4:$A$119,0)),Scoring!$A$4:$N$51,4,FALSE()),0)+IFERROR(VLOOKUP(INDEX(' Toto teams'!$G$4:$G$119,MATCH($B117,' Toto teams'!$A$4:$A$119,0)),Scoring!$A$4:$N$51,5,FALSE()),0))+1*(IFERROR(VLOOKUP(INDEX(' Toto teams'!$H$4:$H$119,MATCH($B117,' Toto teams'!$A$4:$A$119,0)),Scoring!$A$4:$N$51,3,FALSE()),0)+IFERROR(VLOOKUP(INDEX(' Toto teams'!$H$4:$H$119,MATCH($B117,' Toto teams'!$A$4:$A$119,0)),Scoring!$A$4:$N$51,4,FALSE()),0)+IFERROR(VLOOKUP(INDEX(' Toto teams'!$H$4:$H$119,MATCH($B117,' Toto teams'!$A$4:$A$119,0)),Scoring!$A$4:$N$51,5,FALSE()),0))+IFERROR(INDEX(' Toto teams'!$Q$4:$Q$119,MATCH($B117,' Toto teams'!$A$4:$A$119,0))*1,0))</f>
        <v/>
      </c>
      <c r="D117" t="str">
        <f>IF($B117="","",6*IFERROR(VLOOKUP(INDEX(' Toto teams'!$B$4:$B$119,MATCH($B117,' Toto teams'!$A$4:$A$119,0)),Scoring!$A$4:$N$51,7,FALSE()),0)+4*IFERROR(VLOOKUP(INDEX(' Toto teams'!$C$4:$C$119,MATCH($B117,' Toto teams'!$A$4:$A$119,0)),Scoring!$A$4:$N$51,7,FALSE()),0)+3*IFERROR(VLOOKUP(INDEX(' Toto teams'!$D$4:$D$119,MATCH($B117,' Toto teams'!$A$4:$A$119,0)),Scoring!$A$4:$N$51,7,FALSE()),0)+2*IFERROR(VLOOKUP(INDEX(' Toto teams'!$E$4:$E$119,MATCH($B117,' Toto teams'!$A$4:$A$119,0)),Scoring!$A$4:$N$51,7,FALSE()),0)+1*IFERROR(VLOOKUP(INDEX(' Toto teams'!$F$4:$F$119,MATCH($B117,' Toto teams'!$A$4:$A$119,0)),Scoring!$A$4:$N$51,7,FALSE()),0)+1*IFERROR(VLOOKUP(INDEX(' Toto teams'!$G$4:$G$119,MATCH($B117,' Toto teams'!$A$4:$A$119,0)),Scoring!$A$4:$N$51,7,FALSE()),0)+1*IFERROR(VLOOKUP(INDEX(' Toto teams'!$H$4:$H$119,MATCH($B117,' Toto teams'!$A$4:$A$119,0)),Scoring!$A$4:$N$51,7,FALSE()),0))</f>
        <v/>
      </c>
      <c r="E117" t="str">
        <f>IF($B117="","",6*IFERROR(VLOOKUP(INDEX(' Toto teams'!$B$4:$B$119,MATCH($B117,' Toto teams'!$A$4:$A$119,0)),Scoring!$A$4:$N$51,8,FALSE()),0)+4*IFERROR(VLOOKUP(INDEX(' Toto teams'!$C$4:$C$119,MATCH($B117,' Toto teams'!$A$4:$A$119,0)),Scoring!$A$4:$N$51,8,FALSE()),0)+3*IFERROR(VLOOKUP(INDEX(' Toto teams'!$D$4:$D$119,MATCH($B117,' Toto teams'!$A$4:$A$119,0)),Scoring!$A$4:$N$51,8,FALSE()),0)+2*IFERROR(VLOOKUP(INDEX(' Toto teams'!$E$4:$E$119,MATCH($B117,' Toto teams'!$A$4:$A$119,0)),Scoring!$A$4:$N$51,8,FALSE()),0)+1*IFERROR(VLOOKUP(INDEX(' Toto teams'!$F$4:$F$119,MATCH($B117,' Toto teams'!$A$4:$A$119,0)),Scoring!$A$4:$N$51,8,FALSE()),0)+1*IFERROR(VLOOKUP(INDEX(' Toto teams'!$G$4:$G$119,MATCH($B117,' Toto teams'!$A$4:$A$119,0)),Scoring!$A$4:$N$51,8,FALSE()),0)+1*IFERROR(VLOOKUP(INDEX(' Toto teams'!$H$4:$H$119,MATCH($B117,' Toto teams'!$A$4:$A$119,0)),Scoring!$A$4:$N$51,8,FALSE()),0))</f>
        <v/>
      </c>
      <c r="F117" t="str">
        <f>IF($B117="","",6*IFERROR(VLOOKUP(INDEX(' Toto teams'!$B$4:$B$119,MATCH($B117,' Toto teams'!$A$4:$A$119,0)),Scoring!$A$4:$N$51,9,FALSE()),0)+4*IFERROR(VLOOKUP(INDEX(' Toto teams'!$C$4:$C$119,MATCH($B117,' Toto teams'!$A$4:$A$119,0)),Scoring!$A$4:$N$51,9,FALSE()),0)+3*IFERROR(VLOOKUP(INDEX(' Toto teams'!$D$4:$D$119,MATCH($B117,' Toto teams'!$A$4:$A$119,0)),Scoring!$A$4:$N$51,9,FALSE()),0)+2*IFERROR(VLOOKUP(INDEX(' Toto teams'!$E$4:$E$119,MATCH($B117,' Toto teams'!$A$4:$A$119,0)),Scoring!$A$4:$N$51,9,FALSE()),0)+1*IFERROR(VLOOKUP(INDEX(' Toto teams'!$F$4:$F$119,MATCH($B117,' Toto teams'!$A$4:$A$119,0)),Scoring!$A$4:$N$51,9,FALSE()),0)+1*IFERROR(VLOOKUP(INDEX(' Toto teams'!$G$4:$G$119,MATCH($B117,' Toto teams'!$A$4:$A$119,0)),Scoring!$A$4:$N$51,9,FALSE()),0)+1*IFERROR(VLOOKUP(INDEX(' Toto teams'!$H$4:$H$119,MATCH($B117,' Toto teams'!$A$4:$A$119,0)),Scoring!$A$4:$N$51,9,FALSE()),0))</f>
        <v/>
      </c>
      <c r="G117" t="str">
        <f>IF($B117="","",6*IFERROR(VLOOKUP(INDEX(' Toto teams'!$B$4:$B$119,MATCH($B117,' Toto teams'!$A$4:$A$119,0)),Scoring!$A$4:$N$51,10,FALSE()),0)+4*IFERROR(VLOOKUP(INDEX(' Toto teams'!$C$4:$C$119,MATCH($B117,' Toto teams'!$A$4:$A$119,0)),Scoring!$A$4:$N$51,10,FALSE()),0)+3*IFERROR(VLOOKUP(INDEX(' Toto teams'!$D$4:$D$119,MATCH($B117,' Toto teams'!$A$4:$A$119,0)),Scoring!$A$4:$N$51,10,FALSE()),0)+2*IFERROR(VLOOKUP(INDEX(' Toto teams'!$E$4:$E$119,MATCH($B117,' Toto teams'!$A$4:$A$119,0)),Scoring!$A$4:$N$51,10,FALSE()),0)+1*IFERROR(VLOOKUP(INDEX(' Toto teams'!$F$4:$F$119,MATCH($B117,' Toto teams'!$A$4:$A$119,0)),Scoring!$A$4:$N$51,10,FALSE()),0)+1*IFERROR(VLOOKUP(INDEX(' Toto teams'!$G$4:$G$119,MATCH($B117,' Toto teams'!$A$4:$A$119,0)),Scoring!$A$4:$N$51,10,FALSE()),0)+1*IFERROR(VLOOKUP(INDEX(' Toto teams'!$H$4:$H$119,MATCH($B117,' Toto teams'!$A$4:$A$119,0)),Scoring!$A$4:$N$51,10,FALSE()),0))</f>
        <v/>
      </c>
      <c r="H117" t="str">
        <f>IF($B117="","",6*IFERROR(VLOOKUP(INDEX(' Toto teams'!$B$4:$B$119,MATCH($B117,' Toto teams'!$A$4:$A$119,0)),Scoring!$A$4:$N$51,11,FALSE()),0)+4*IFERROR(VLOOKUP(INDEX(' Toto teams'!$C$4:$C$119,MATCH($B117,' Toto teams'!$A$4:$A$119,0)),Scoring!$A$4:$N$51,11,FALSE()),0)+3*IFERROR(VLOOKUP(INDEX(' Toto teams'!$D$4:$D$119,MATCH($B117,' Toto teams'!$A$4:$A$119,0)),Scoring!$A$4:$N$51,11,FALSE()),0)+2*IFERROR(VLOOKUP(INDEX(' Toto teams'!$E$4:$E$119,MATCH($B117,' Toto teams'!$A$4:$A$119,0)),Scoring!$A$4:$N$51,11,FALSE()),0)+1*IFERROR(VLOOKUP(INDEX(' Toto teams'!$F$4:$F$119,MATCH($B117,' Toto teams'!$A$4:$A$119,0)),Scoring!$A$4:$N$51,11,FALSE()),0)+1*IFERROR(VLOOKUP(INDEX(' Toto teams'!$G$4:$G$119,MATCH($B117,' Toto teams'!$A$4:$A$119,0)),Scoring!$A$4:$N$51,11,FALSE()),0)+1*IFERROR(VLOOKUP(INDEX(' Toto teams'!$H$4:$H$119,MATCH($B117,' Toto teams'!$A$4:$A$119,0)),Scoring!$A$4:$N$51,11,FALSE()),0))</f>
        <v/>
      </c>
      <c r="I117" t="str">
        <f>IF($B117="","",6*IFERROR(VLOOKUP(INDEX(' Toto teams'!$B$4:$B$119,MATCH($B117,' Toto teams'!$A$4:$A$119,0)),Scoring!$A$4:$O$51,15,FALSE()),0)+4*IFERROR(VLOOKUP(INDEX(' Toto teams'!$C$4:$C$119,MATCH($B117,' Toto teams'!$A$4:$A$119,0)),Scoring!$A$4:$O$51,15,FALSE()),0)+3*IFERROR(VLOOKUP(INDEX(' Toto teams'!$D$4:$D$119,MATCH($B117,' Toto teams'!$A$4:$A$119,0)),Scoring!$A$4:$O$51,15,FALSE()),0)+2*IFERROR(VLOOKUP(INDEX(' Toto teams'!$E$4:$E$119,MATCH($B117,' Toto teams'!$A$4:$A$119,0)),Scoring!$A$4:$O$51,15,FALSE()),0)+1*IFERROR(VLOOKUP(INDEX(' Toto teams'!$F$4:$F$119,MATCH($B117,' Toto teams'!$A$4:$A$119,0)),Scoring!$A$4:$O$51,15,FALSE()),0)+1*IFERROR(VLOOKUP(INDEX(' Toto teams'!$G$4:$G$119,MATCH($B117,' Toto teams'!$A$4:$A$119,0)),Scoring!$A$4:$O$51,15,FALSE()),0)+1*IFERROR(VLOOKUP(INDEX(' Toto teams'!$H$4:$H$119,MATCH($B117,' Toto teams'!$A$4:$A$119,0)),Scoring!$A$4:$O$51,15,FALSE()),0))</f>
        <v/>
      </c>
      <c r="J117" t="str">
        <f>IF($B117="","",6*IFERROR(VLOOKUP(INDEX(' Toto teams'!$B$4:$B$119,MATCH($B117,' Toto teams'!$A$4:$A$119,0)),Scoring!$A$4:$N$51,12,FALSE()),0)+4*IFERROR(VLOOKUP(INDEX(' Toto teams'!$C$4:$C$119,MATCH($B117,' Toto teams'!$A$4:$A$119,0)),Scoring!$A$4:$N$51,12,FALSE()),0)+3*IFERROR(VLOOKUP(INDEX(' Toto teams'!$D$4:$D$119,MATCH($B117,' Toto teams'!$A$4:$A$119,0)),Scoring!$A$4:$N$51,12,FALSE()),0)+2*IFERROR(VLOOKUP(INDEX(' Toto teams'!$E$4:$E$119,MATCH($B117,' Toto teams'!$A$4:$A$119,0)),Scoring!$A$4:$N$51,12,FALSE()),0)+1*IFERROR(VLOOKUP(INDEX(' Toto teams'!$F$4:$F$119,MATCH($B117,' Toto teams'!$A$4:$A$119,0)),Scoring!$A$4:$N$51,12,FALSE()),0)+1*IFERROR(VLOOKUP(INDEX(' Toto teams'!$G$4:$G$119,MATCH($B117,' Toto teams'!$A$4:$A$119,0)),Scoring!$A$4:$N$51,12,FALSE()),0)+1*IFERROR(VLOOKUP(INDEX(' Toto teams'!$H$4:$H$119,MATCH($B117,' Toto teams'!$A$4:$A$119,0)),Scoring!$A$4:$N$51,12,FALSE()),0))</f>
        <v/>
      </c>
      <c r="K117" t="str">
        <f>IF($B117="","",IFERROR(INDEX(' Toto teams'!$R$4:$R$119,MATCH($B117,' Toto teams'!$A$4:$A$119,0)),""))</f>
        <v/>
      </c>
      <c r="L117" t="str">
        <f t="shared" si="6"/>
        <v/>
      </c>
    </row>
    <row r="118" spans="1:12" ht="13.5" customHeight="1" x14ac:dyDescent="0.3">
      <c r="A118" t="str">
        <f>IF(115&gt;COUNTIF(' Toto teams'!$A$4:$A$119,"&lt;&gt;"),"",INDEX(' Toto teams'!$S$4:$S$119,MATCH(LARGE(' Toto teams'!$T$4:$T$119,115),' Toto teams'!$T$4:$T$119,0)))</f>
        <v/>
      </c>
      <c r="B118" t="str">
        <f>IF(115&gt;COUNTIF(' Toto teams'!$A$4:$A$119,"&lt;&gt;"),"",INDEX(' Toto teams'!$A$4:$A$119,MATCH(LARGE(' Toto teams'!$T$4:$T$119,115),' Toto teams'!$T$4:$T$119,0)))</f>
        <v/>
      </c>
      <c r="C118" t="str">
        <f>IF($B118="","",6*(IFERROR(VLOOKUP(INDEX(' Toto teams'!$B$4:$B$119,MATCH($B118,' Toto teams'!$A$4:$A$119,0)),Scoring!$A$4:$N$51,3,FALSE()),0)+IFERROR(VLOOKUP(INDEX(' Toto teams'!$B$4:$B$119,MATCH($B118,' Toto teams'!$A$4:$A$119,0)),Scoring!$A$4:$N$51,4,FALSE()),0)+IFERROR(VLOOKUP(INDEX(' Toto teams'!$B$4:$B$119,MATCH($B118,' Toto teams'!$A$4:$A$119,0)),Scoring!$A$4:$N$51,5,FALSE()),0))+4*(IFERROR(VLOOKUP(INDEX(' Toto teams'!$C$4:$C$119,MATCH($B118,' Toto teams'!$A$4:$A$119,0)),Scoring!$A$4:$N$51,3,FALSE()),0)+IFERROR(VLOOKUP(INDEX(' Toto teams'!$C$4:$C$119,MATCH($B118,' Toto teams'!$A$4:$A$119,0)),Scoring!$A$4:$N$51,4,FALSE()),0)+IFERROR(VLOOKUP(INDEX(' Toto teams'!$C$4:$C$119,MATCH($B118,' Toto teams'!$A$4:$A$119,0)),Scoring!$A$4:$N$51,5,FALSE()),0))+3*(IFERROR(VLOOKUP(INDEX(' Toto teams'!$D$4:$D$119,MATCH($B118,' Toto teams'!$A$4:$A$119,0)),Scoring!$A$4:$N$51,3,FALSE()),0)+IFERROR(VLOOKUP(INDEX(' Toto teams'!$D$4:$D$119,MATCH($B118,' Toto teams'!$A$4:$A$119,0)),Scoring!$A$4:$N$51,4,FALSE()),0)+IFERROR(VLOOKUP(INDEX(' Toto teams'!$D$4:$D$119,MATCH($B118,' Toto teams'!$A$4:$A$119,0)),Scoring!$A$4:$N$51,5,FALSE()),0))+2*(IFERROR(VLOOKUP(INDEX(' Toto teams'!$E$4:$E$119,MATCH($B118,' Toto teams'!$A$4:$A$119,0)),Scoring!$A$4:$N$51,3,FALSE()),0)+IFERROR(VLOOKUP(INDEX(' Toto teams'!$E$4:$E$119,MATCH($B118,' Toto teams'!$A$4:$A$119,0)),Scoring!$A$4:$N$51,4,FALSE()),0)+IFERROR(VLOOKUP(INDEX(' Toto teams'!$E$4:$E$119,MATCH($B118,' Toto teams'!$A$4:$A$119,0)),Scoring!$A$4:$N$51,5,FALSE()),0))+1*(IFERROR(VLOOKUP(INDEX(' Toto teams'!$F$4:$F$119,MATCH($B118,' Toto teams'!$A$4:$A$119,0)),Scoring!$A$4:$N$51,3,FALSE()),0)+IFERROR(VLOOKUP(INDEX(' Toto teams'!$F$4:$F$119,MATCH($B118,' Toto teams'!$A$4:$A$119,0)),Scoring!$A$4:$N$51,4,FALSE()),0)+IFERROR(VLOOKUP(INDEX(' Toto teams'!$F$4:$F$119,MATCH($B118,' Toto teams'!$A$4:$A$119,0)),Scoring!$A$4:$N$51,5,FALSE()),0))+1*(IFERROR(VLOOKUP(INDEX(' Toto teams'!$G$4:$G$119,MATCH($B118,' Toto teams'!$A$4:$A$119,0)),Scoring!$A$4:$N$51,3,FALSE()),0)+IFERROR(VLOOKUP(INDEX(' Toto teams'!$G$4:$G$119,MATCH($B118,' Toto teams'!$A$4:$A$119,0)),Scoring!$A$4:$N$51,4,FALSE()),0)+IFERROR(VLOOKUP(INDEX(' Toto teams'!$G$4:$G$119,MATCH($B118,' Toto teams'!$A$4:$A$119,0)),Scoring!$A$4:$N$51,5,FALSE()),0))+1*(IFERROR(VLOOKUP(INDEX(' Toto teams'!$H$4:$H$119,MATCH($B118,' Toto teams'!$A$4:$A$119,0)),Scoring!$A$4:$N$51,3,FALSE()),0)+IFERROR(VLOOKUP(INDEX(' Toto teams'!$H$4:$H$119,MATCH($B118,' Toto teams'!$A$4:$A$119,0)),Scoring!$A$4:$N$51,4,FALSE()),0)+IFERROR(VLOOKUP(INDEX(' Toto teams'!$H$4:$H$119,MATCH($B118,' Toto teams'!$A$4:$A$119,0)),Scoring!$A$4:$N$51,5,FALSE()),0))+IFERROR(INDEX(' Toto teams'!$Q$4:$Q$119,MATCH($B118,' Toto teams'!$A$4:$A$119,0))*1,0))</f>
        <v/>
      </c>
      <c r="D118" t="str">
        <f>IF($B118="","",6*IFERROR(VLOOKUP(INDEX(' Toto teams'!$B$4:$B$119,MATCH($B118,' Toto teams'!$A$4:$A$119,0)),Scoring!$A$4:$N$51,7,FALSE()),0)+4*IFERROR(VLOOKUP(INDEX(' Toto teams'!$C$4:$C$119,MATCH($B118,' Toto teams'!$A$4:$A$119,0)),Scoring!$A$4:$N$51,7,FALSE()),0)+3*IFERROR(VLOOKUP(INDEX(' Toto teams'!$D$4:$D$119,MATCH($B118,' Toto teams'!$A$4:$A$119,0)),Scoring!$A$4:$N$51,7,FALSE()),0)+2*IFERROR(VLOOKUP(INDEX(' Toto teams'!$E$4:$E$119,MATCH($B118,' Toto teams'!$A$4:$A$119,0)),Scoring!$A$4:$N$51,7,FALSE()),0)+1*IFERROR(VLOOKUP(INDEX(' Toto teams'!$F$4:$F$119,MATCH($B118,' Toto teams'!$A$4:$A$119,0)),Scoring!$A$4:$N$51,7,FALSE()),0)+1*IFERROR(VLOOKUP(INDEX(' Toto teams'!$G$4:$G$119,MATCH($B118,' Toto teams'!$A$4:$A$119,0)),Scoring!$A$4:$N$51,7,FALSE()),0)+1*IFERROR(VLOOKUP(INDEX(' Toto teams'!$H$4:$H$119,MATCH($B118,' Toto teams'!$A$4:$A$119,0)),Scoring!$A$4:$N$51,7,FALSE()),0))</f>
        <v/>
      </c>
      <c r="E118" t="str">
        <f>IF($B118="","",6*IFERROR(VLOOKUP(INDEX(' Toto teams'!$B$4:$B$119,MATCH($B118,' Toto teams'!$A$4:$A$119,0)),Scoring!$A$4:$N$51,8,FALSE()),0)+4*IFERROR(VLOOKUP(INDEX(' Toto teams'!$C$4:$C$119,MATCH($B118,' Toto teams'!$A$4:$A$119,0)),Scoring!$A$4:$N$51,8,FALSE()),0)+3*IFERROR(VLOOKUP(INDEX(' Toto teams'!$D$4:$D$119,MATCH($B118,' Toto teams'!$A$4:$A$119,0)),Scoring!$A$4:$N$51,8,FALSE()),0)+2*IFERROR(VLOOKUP(INDEX(' Toto teams'!$E$4:$E$119,MATCH($B118,' Toto teams'!$A$4:$A$119,0)),Scoring!$A$4:$N$51,8,FALSE()),0)+1*IFERROR(VLOOKUP(INDEX(' Toto teams'!$F$4:$F$119,MATCH($B118,' Toto teams'!$A$4:$A$119,0)),Scoring!$A$4:$N$51,8,FALSE()),0)+1*IFERROR(VLOOKUP(INDEX(' Toto teams'!$G$4:$G$119,MATCH($B118,' Toto teams'!$A$4:$A$119,0)),Scoring!$A$4:$N$51,8,FALSE()),0)+1*IFERROR(VLOOKUP(INDEX(' Toto teams'!$H$4:$H$119,MATCH($B118,' Toto teams'!$A$4:$A$119,0)),Scoring!$A$4:$N$51,8,FALSE()),0))</f>
        <v/>
      </c>
      <c r="F118" t="str">
        <f>IF($B118="","",6*IFERROR(VLOOKUP(INDEX(' Toto teams'!$B$4:$B$119,MATCH($B118,' Toto teams'!$A$4:$A$119,0)),Scoring!$A$4:$N$51,9,FALSE()),0)+4*IFERROR(VLOOKUP(INDEX(' Toto teams'!$C$4:$C$119,MATCH($B118,' Toto teams'!$A$4:$A$119,0)),Scoring!$A$4:$N$51,9,FALSE()),0)+3*IFERROR(VLOOKUP(INDEX(' Toto teams'!$D$4:$D$119,MATCH($B118,' Toto teams'!$A$4:$A$119,0)),Scoring!$A$4:$N$51,9,FALSE()),0)+2*IFERROR(VLOOKUP(INDEX(' Toto teams'!$E$4:$E$119,MATCH($B118,' Toto teams'!$A$4:$A$119,0)),Scoring!$A$4:$N$51,9,FALSE()),0)+1*IFERROR(VLOOKUP(INDEX(' Toto teams'!$F$4:$F$119,MATCH($B118,' Toto teams'!$A$4:$A$119,0)),Scoring!$A$4:$N$51,9,FALSE()),0)+1*IFERROR(VLOOKUP(INDEX(' Toto teams'!$G$4:$G$119,MATCH($B118,' Toto teams'!$A$4:$A$119,0)),Scoring!$A$4:$N$51,9,FALSE()),0)+1*IFERROR(VLOOKUP(INDEX(' Toto teams'!$H$4:$H$119,MATCH($B118,' Toto teams'!$A$4:$A$119,0)),Scoring!$A$4:$N$51,9,FALSE()),0))</f>
        <v/>
      </c>
      <c r="G118" t="str">
        <f>IF($B118="","",6*IFERROR(VLOOKUP(INDEX(' Toto teams'!$B$4:$B$119,MATCH($B118,' Toto teams'!$A$4:$A$119,0)),Scoring!$A$4:$N$51,10,FALSE()),0)+4*IFERROR(VLOOKUP(INDEX(' Toto teams'!$C$4:$C$119,MATCH($B118,' Toto teams'!$A$4:$A$119,0)),Scoring!$A$4:$N$51,10,FALSE()),0)+3*IFERROR(VLOOKUP(INDEX(' Toto teams'!$D$4:$D$119,MATCH($B118,' Toto teams'!$A$4:$A$119,0)),Scoring!$A$4:$N$51,10,FALSE()),0)+2*IFERROR(VLOOKUP(INDEX(' Toto teams'!$E$4:$E$119,MATCH($B118,' Toto teams'!$A$4:$A$119,0)),Scoring!$A$4:$N$51,10,FALSE()),0)+1*IFERROR(VLOOKUP(INDEX(' Toto teams'!$F$4:$F$119,MATCH($B118,' Toto teams'!$A$4:$A$119,0)),Scoring!$A$4:$N$51,10,FALSE()),0)+1*IFERROR(VLOOKUP(INDEX(' Toto teams'!$G$4:$G$119,MATCH($B118,' Toto teams'!$A$4:$A$119,0)),Scoring!$A$4:$N$51,10,FALSE()),0)+1*IFERROR(VLOOKUP(INDEX(' Toto teams'!$H$4:$H$119,MATCH($B118,' Toto teams'!$A$4:$A$119,0)),Scoring!$A$4:$N$51,10,FALSE()),0))</f>
        <v/>
      </c>
      <c r="H118" t="str">
        <f>IF($B118="","",6*IFERROR(VLOOKUP(INDEX(' Toto teams'!$B$4:$B$119,MATCH($B118,' Toto teams'!$A$4:$A$119,0)),Scoring!$A$4:$N$51,11,FALSE()),0)+4*IFERROR(VLOOKUP(INDEX(' Toto teams'!$C$4:$C$119,MATCH($B118,' Toto teams'!$A$4:$A$119,0)),Scoring!$A$4:$N$51,11,FALSE()),0)+3*IFERROR(VLOOKUP(INDEX(' Toto teams'!$D$4:$D$119,MATCH($B118,' Toto teams'!$A$4:$A$119,0)),Scoring!$A$4:$N$51,11,FALSE()),0)+2*IFERROR(VLOOKUP(INDEX(' Toto teams'!$E$4:$E$119,MATCH($B118,' Toto teams'!$A$4:$A$119,0)),Scoring!$A$4:$N$51,11,FALSE()),0)+1*IFERROR(VLOOKUP(INDEX(' Toto teams'!$F$4:$F$119,MATCH($B118,' Toto teams'!$A$4:$A$119,0)),Scoring!$A$4:$N$51,11,FALSE()),0)+1*IFERROR(VLOOKUP(INDEX(' Toto teams'!$G$4:$G$119,MATCH($B118,' Toto teams'!$A$4:$A$119,0)),Scoring!$A$4:$N$51,11,FALSE()),0)+1*IFERROR(VLOOKUP(INDEX(' Toto teams'!$H$4:$H$119,MATCH($B118,' Toto teams'!$A$4:$A$119,0)),Scoring!$A$4:$N$51,11,FALSE()),0))</f>
        <v/>
      </c>
      <c r="I118" t="str">
        <f>IF($B118="","",6*IFERROR(VLOOKUP(INDEX(' Toto teams'!$B$4:$B$119,MATCH($B118,' Toto teams'!$A$4:$A$119,0)),Scoring!$A$4:$O$51,15,FALSE()),0)+4*IFERROR(VLOOKUP(INDEX(' Toto teams'!$C$4:$C$119,MATCH($B118,' Toto teams'!$A$4:$A$119,0)),Scoring!$A$4:$O$51,15,FALSE()),0)+3*IFERROR(VLOOKUP(INDEX(' Toto teams'!$D$4:$D$119,MATCH($B118,' Toto teams'!$A$4:$A$119,0)),Scoring!$A$4:$O$51,15,FALSE()),0)+2*IFERROR(VLOOKUP(INDEX(' Toto teams'!$E$4:$E$119,MATCH($B118,' Toto teams'!$A$4:$A$119,0)),Scoring!$A$4:$O$51,15,FALSE()),0)+1*IFERROR(VLOOKUP(INDEX(' Toto teams'!$F$4:$F$119,MATCH($B118,' Toto teams'!$A$4:$A$119,0)),Scoring!$A$4:$O$51,15,FALSE()),0)+1*IFERROR(VLOOKUP(INDEX(' Toto teams'!$G$4:$G$119,MATCH($B118,' Toto teams'!$A$4:$A$119,0)),Scoring!$A$4:$O$51,15,FALSE()),0)+1*IFERROR(VLOOKUP(INDEX(' Toto teams'!$H$4:$H$119,MATCH($B118,' Toto teams'!$A$4:$A$119,0)),Scoring!$A$4:$O$51,15,FALSE()),0))</f>
        <v/>
      </c>
      <c r="J118" t="str">
        <f>IF($B118="","",6*IFERROR(VLOOKUP(INDEX(' Toto teams'!$B$4:$B$119,MATCH($B118,' Toto teams'!$A$4:$A$119,0)),Scoring!$A$4:$N$51,12,FALSE()),0)+4*IFERROR(VLOOKUP(INDEX(' Toto teams'!$C$4:$C$119,MATCH($B118,' Toto teams'!$A$4:$A$119,0)),Scoring!$A$4:$N$51,12,FALSE()),0)+3*IFERROR(VLOOKUP(INDEX(' Toto teams'!$D$4:$D$119,MATCH($B118,' Toto teams'!$A$4:$A$119,0)),Scoring!$A$4:$N$51,12,FALSE()),0)+2*IFERROR(VLOOKUP(INDEX(' Toto teams'!$E$4:$E$119,MATCH($B118,' Toto teams'!$A$4:$A$119,0)),Scoring!$A$4:$N$51,12,FALSE()),0)+1*IFERROR(VLOOKUP(INDEX(' Toto teams'!$F$4:$F$119,MATCH($B118,' Toto teams'!$A$4:$A$119,0)),Scoring!$A$4:$N$51,12,FALSE()),0)+1*IFERROR(VLOOKUP(INDEX(' Toto teams'!$G$4:$G$119,MATCH($B118,' Toto teams'!$A$4:$A$119,0)),Scoring!$A$4:$N$51,12,FALSE()),0)+1*IFERROR(VLOOKUP(INDEX(' Toto teams'!$H$4:$H$119,MATCH($B118,' Toto teams'!$A$4:$A$119,0)),Scoring!$A$4:$N$51,12,FALSE()),0))</f>
        <v/>
      </c>
      <c r="K118" t="str">
        <f>IF($B118="","",IFERROR(INDEX(' Toto teams'!$R$4:$R$119,MATCH($B118,' Toto teams'!$A$4:$A$119,0)),""))</f>
        <v/>
      </c>
      <c r="L118" t="str">
        <f t="shared" si="6"/>
        <v/>
      </c>
    </row>
    <row r="119" spans="1:12" ht="13.5" customHeight="1" x14ac:dyDescent="0.3">
      <c r="A119" t="str">
        <f>IF(116&gt;COUNTIF(' Toto teams'!$A$4:$A$119,"&lt;&gt;"),"",INDEX(' Toto teams'!$S$4:$S$119,MATCH(LARGE(' Toto teams'!$T$4:$T$119,116),' Toto teams'!$T$4:$T$119,0)))</f>
        <v/>
      </c>
      <c r="B119" t="str">
        <f>IF(116&gt;COUNTIF(' Toto teams'!$A$4:$A$119,"&lt;&gt;"),"",INDEX(' Toto teams'!$A$4:$A$119,MATCH(LARGE(' Toto teams'!$T$4:$T$119,116),' Toto teams'!$T$4:$T$119,0)))</f>
        <v/>
      </c>
      <c r="C119" t="str">
        <f>IF($B119="","",6*(IFERROR(VLOOKUP(INDEX(' Toto teams'!$B$4:$B$119,MATCH($B119,' Toto teams'!$A$4:$A$119,0)),Scoring!$A$4:$N$51,3,FALSE()),0)+IFERROR(VLOOKUP(INDEX(' Toto teams'!$B$4:$B$119,MATCH($B119,' Toto teams'!$A$4:$A$119,0)),Scoring!$A$4:$N$51,4,FALSE()),0)+IFERROR(VLOOKUP(INDEX(' Toto teams'!$B$4:$B$119,MATCH($B119,' Toto teams'!$A$4:$A$119,0)),Scoring!$A$4:$N$51,5,FALSE()),0))+4*(IFERROR(VLOOKUP(INDEX(' Toto teams'!$C$4:$C$119,MATCH($B119,' Toto teams'!$A$4:$A$119,0)),Scoring!$A$4:$N$51,3,FALSE()),0)+IFERROR(VLOOKUP(INDEX(' Toto teams'!$C$4:$C$119,MATCH($B119,' Toto teams'!$A$4:$A$119,0)),Scoring!$A$4:$N$51,4,FALSE()),0)+IFERROR(VLOOKUP(INDEX(' Toto teams'!$C$4:$C$119,MATCH($B119,' Toto teams'!$A$4:$A$119,0)),Scoring!$A$4:$N$51,5,FALSE()),0))+3*(IFERROR(VLOOKUP(INDEX(' Toto teams'!$D$4:$D$119,MATCH($B119,' Toto teams'!$A$4:$A$119,0)),Scoring!$A$4:$N$51,3,FALSE()),0)+IFERROR(VLOOKUP(INDEX(' Toto teams'!$D$4:$D$119,MATCH($B119,' Toto teams'!$A$4:$A$119,0)),Scoring!$A$4:$N$51,4,FALSE()),0)+IFERROR(VLOOKUP(INDEX(' Toto teams'!$D$4:$D$119,MATCH($B119,' Toto teams'!$A$4:$A$119,0)),Scoring!$A$4:$N$51,5,FALSE()),0))+2*(IFERROR(VLOOKUP(INDEX(' Toto teams'!$E$4:$E$119,MATCH($B119,' Toto teams'!$A$4:$A$119,0)),Scoring!$A$4:$N$51,3,FALSE()),0)+IFERROR(VLOOKUP(INDEX(' Toto teams'!$E$4:$E$119,MATCH($B119,' Toto teams'!$A$4:$A$119,0)),Scoring!$A$4:$N$51,4,FALSE()),0)+IFERROR(VLOOKUP(INDEX(' Toto teams'!$E$4:$E$119,MATCH($B119,' Toto teams'!$A$4:$A$119,0)),Scoring!$A$4:$N$51,5,FALSE()),0))+1*(IFERROR(VLOOKUP(INDEX(' Toto teams'!$F$4:$F$119,MATCH($B119,' Toto teams'!$A$4:$A$119,0)),Scoring!$A$4:$N$51,3,FALSE()),0)+IFERROR(VLOOKUP(INDEX(' Toto teams'!$F$4:$F$119,MATCH($B119,' Toto teams'!$A$4:$A$119,0)),Scoring!$A$4:$N$51,4,FALSE()),0)+IFERROR(VLOOKUP(INDEX(' Toto teams'!$F$4:$F$119,MATCH($B119,' Toto teams'!$A$4:$A$119,0)),Scoring!$A$4:$N$51,5,FALSE()),0))+1*(IFERROR(VLOOKUP(INDEX(' Toto teams'!$G$4:$G$119,MATCH($B119,' Toto teams'!$A$4:$A$119,0)),Scoring!$A$4:$N$51,3,FALSE()),0)+IFERROR(VLOOKUP(INDEX(' Toto teams'!$G$4:$G$119,MATCH($B119,' Toto teams'!$A$4:$A$119,0)),Scoring!$A$4:$N$51,4,FALSE()),0)+IFERROR(VLOOKUP(INDEX(' Toto teams'!$G$4:$G$119,MATCH($B119,' Toto teams'!$A$4:$A$119,0)),Scoring!$A$4:$N$51,5,FALSE()),0))+1*(IFERROR(VLOOKUP(INDEX(' Toto teams'!$H$4:$H$119,MATCH($B119,' Toto teams'!$A$4:$A$119,0)),Scoring!$A$4:$N$51,3,FALSE()),0)+IFERROR(VLOOKUP(INDEX(' Toto teams'!$H$4:$H$119,MATCH($B119,' Toto teams'!$A$4:$A$119,0)),Scoring!$A$4:$N$51,4,FALSE()),0)+IFERROR(VLOOKUP(INDEX(' Toto teams'!$H$4:$H$119,MATCH($B119,' Toto teams'!$A$4:$A$119,0)),Scoring!$A$4:$N$51,5,FALSE()),0))+IFERROR(INDEX(' Toto teams'!$Q$4:$Q$119,MATCH($B119,' Toto teams'!$A$4:$A$119,0))*1,0))</f>
        <v/>
      </c>
      <c r="D119" t="str">
        <f>IF($B119="","",6*IFERROR(VLOOKUP(INDEX(' Toto teams'!$B$4:$B$119,MATCH($B119,' Toto teams'!$A$4:$A$119,0)),Scoring!$A$4:$N$51,7,FALSE()),0)+4*IFERROR(VLOOKUP(INDEX(' Toto teams'!$C$4:$C$119,MATCH($B119,' Toto teams'!$A$4:$A$119,0)),Scoring!$A$4:$N$51,7,FALSE()),0)+3*IFERROR(VLOOKUP(INDEX(' Toto teams'!$D$4:$D$119,MATCH($B119,' Toto teams'!$A$4:$A$119,0)),Scoring!$A$4:$N$51,7,FALSE()),0)+2*IFERROR(VLOOKUP(INDEX(' Toto teams'!$E$4:$E$119,MATCH($B119,' Toto teams'!$A$4:$A$119,0)),Scoring!$A$4:$N$51,7,FALSE()),0)+1*IFERROR(VLOOKUP(INDEX(' Toto teams'!$F$4:$F$119,MATCH($B119,' Toto teams'!$A$4:$A$119,0)),Scoring!$A$4:$N$51,7,FALSE()),0)+1*IFERROR(VLOOKUP(INDEX(' Toto teams'!$G$4:$G$119,MATCH($B119,' Toto teams'!$A$4:$A$119,0)),Scoring!$A$4:$N$51,7,FALSE()),0)+1*IFERROR(VLOOKUP(INDEX(' Toto teams'!$H$4:$H$119,MATCH($B119,' Toto teams'!$A$4:$A$119,0)),Scoring!$A$4:$N$51,7,FALSE()),0))</f>
        <v/>
      </c>
      <c r="E119" t="str">
        <f>IF($B119="","",6*IFERROR(VLOOKUP(INDEX(' Toto teams'!$B$4:$B$119,MATCH($B119,' Toto teams'!$A$4:$A$119,0)),Scoring!$A$4:$N$51,8,FALSE()),0)+4*IFERROR(VLOOKUP(INDEX(' Toto teams'!$C$4:$C$119,MATCH($B119,' Toto teams'!$A$4:$A$119,0)),Scoring!$A$4:$N$51,8,FALSE()),0)+3*IFERROR(VLOOKUP(INDEX(' Toto teams'!$D$4:$D$119,MATCH($B119,' Toto teams'!$A$4:$A$119,0)),Scoring!$A$4:$N$51,8,FALSE()),0)+2*IFERROR(VLOOKUP(INDEX(' Toto teams'!$E$4:$E$119,MATCH($B119,' Toto teams'!$A$4:$A$119,0)),Scoring!$A$4:$N$51,8,FALSE()),0)+1*IFERROR(VLOOKUP(INDEX(' Toto teams'!$F$4:$F$119,MATCH($B119,' Toto teams'!$A$4:$A$119,0)),Scoring!$A$4:$N$51,8,FALSE()),0)+1*IFERROR(VLOOKUP(INDEX(' Toto teams'!$G$4:$G$119,MATCH($B119,' Toto teams'!$A$4:$A$119,0)),Scoring!$A$4:$N$51,8,FALSE()),0)+1*IFERROR(VLOOKUP(INDEX(' Toto teams'!$H$4:$H$119,MATCH($B119,' Toto teams'!$A$4:$A$119,0)),Scoring!$A$4:$N$51,8,FALSE()),0))</f>
        <v/>
      </c>
      <c r="F119" t="str">
        <f>IF($B119="","",6*IFERROR(VLOOKUP(INDEX(' Toto teams'!$B$4:$B$119,MATCH($B119,' Toto teams'!$A$4:$A$119,0)),Scoring!$A$4:$N$51,9,FALSE()),0)+4*IFERROR(VLOOKUP(INDEX(' Toto teams'!$C$4:$C$119,MATCH($B119,' Toto teams'!$A$4:$A$119,0)),Scoring!$A$4:$N$51,9,FALSE()),0)+3*IFERROR(VLOOKUP(INDEX(' Toto teams'!$D$4:$D$119,MATCH($B119,' Toto teams'!$A$4:$A$119,0)),Scoring!$A$4:$N$51,9,FALSE()),0)+2*IFERROR(VLOOKUP(INDEX(' Toto teams'!$E$4:$E$119,MATCH($B119,' Toto teams'!$A$4:$A$119,0)),Scoring!$A$4:$N$51,9,FALSE()),0)+1*IFERROR(VLOOKUP(INDEX(' Toto teams'!$F$4:$F$119,MATCH($B119,' Toto teams'!$A$4:$A$119,0)),Scoring!$A$4:$N$51,9,FALSE()),0)+1*IFERROR(VLOOKUP(INDEX(' Toto teams'!$G$4:$G$119,MATCH($B119,' Toto teams'!$A$4:$A$119,0)),Scoring!$A$4:$N$51,9,FALSE()),0)+1*IFERROR(VLOOKUP(INDEX(' Toto teams'!$H$4:$H$119,MATCH($B119,' Toto teams'!$A$4:$A$119,0)),Scoring!$A$4:$N$51,9,FALSE()),0))</f>
        <v/>
      </c>
      <c r="G119" t="str">
        <f>IF($B119="","",6*IFERROR(VLOOKUP(INDEX(' Toto teams'!$B$4:$B$119,MATCH($B119,' Toto teams'!$A$4:$A$119,0)),Scoring!$A$4:$N$51,10,FALSE()),0)+4*IFERROR(VLOOKUP(INDEX(' Toto teams'!$C$4:$C$119,MATCH($B119,' Toto teams'!$A$4:$A$119,0)),Scoring!$A$4:$N$51,10,FALSE()),0)+3*IFERROR(VLOOKUP(INDEX(' Toto teams'!$D$4:$D$119,MATCH($B119,' Toto teams'!$A$4:$A$119,0)),Scoring!$A$4:$N$51,10,FALSE()),0)+2*IFERROR(VLOOKUP(INDEX(' Toto teams'!$E$4:$E$119,MATCH($B119,' Toto teams'!$A$4:$A$119,0)),Scoring!$A$4:$N$51,10,FALSE()),0)+1*IFERROR(VLOOKUP(INDEX(' Toto teams'!$F$4:$F$119,MATCH($B119,' Toto teams'!$A$4:$A$119,0)),Scoring!$A$4:$N$51,10,FALSE()),0)+1*IFERROR(VLOOKUP(INDEX(' Toto teams'!$G$4:$G$119,MATCH($B119,' Toto teams'!$A$4:$A$119,0)),Scoring!$A$4:$N$51,10,FALSE()),0)+1*IFERROR(VLOOKUP(INDEX(' Toto teams'!$H$4:$H$119,MATCH($B119,' Toto teams'!$A$4:$A$119,0)),Scoring!$A$4:$N$51,10,FALSE()),0))</f>
        <v/>
      </c>
      <c r="H119" t="str">
        <f>IF($B119="","",6*IFERROR(VLOOKUP(INDEX(' Toto teams'!$B$4:$B$119,MATCH($B119,' Toto teams'!$A$4:$A$119,0)),Scoring!$A$4:$N$51,11,FALSE()),0)+4*IFERROR(VLOOKUP(INDEX(' Toto teams'!$C$4:$C$119,MATCH($B119,' Toto teams'!$A$4:$A$119,0)),Scoring!$A$4:$N$51,11,FALSE()),0)+3*IFERROR(VLOOKUP(INDEX(' Toto teams'!$D$4:$D$119,MATCH($B119,' Toto teams'!$A$4:$A$119,0)),Scoring!$A$4:$N$51,11,FALSE()),0)+2*IFERROR(VLOOKUP(INDEX(' Toto teams'!$E$4:$E$119,MATCH($B119,' Toto teams'!$A$4:$A$119,0)),Scoring!$A$4:$N$51,11,FALSE()),0)+1*IFERROR(VLOOKUP(INDEX(' Toto teams'!$F$4:$F$119,MATCH($B119,' Toto teams'!$A$4:$A$119,0)),Scoring!$A$4:$N$51,11,FALSE()),0)+1*IFERROR(VLOOKUP(INDEX(' Toto teams'!$G$4:$G$119,MATCH($B119,' Toto teams'!$A$4:$A$119,0)),Scoring!$A$4:$N$51,11,FALSE()),0)+1*IFERROR(VLOOKUP(INDEX(' Toto teams'!$H$4:$H$119,MATCH($B119,' Toto teams'!$A$4:$A$119,0)),Scoring!$A$4:$N$51,11,FALSE()),0))</f>
        <v/>
      </c>
      <c r="I119" t="str">
        <f>IF($B119="","",6*IFERROR(VLOOKUP(INDEX(' Toto teams'!$B$4:$B$119,MATCH($B119,' Toto teams'!$A$4:$A$119,0)),Scoring!$A$4:$O$51,15,FALSE()),0)+4*IFERROR(VLOOKUP(INDEX(' Toto teams'!$C$4:$C$119,MATCH($B119,' Toto teams'!$A$4:$A$119,0)),Scoring!$A$4:$O$51,15,FALSE()),0)+3*IFERROR(VLOOKUP(INDEX(' Toto teams'!$D$4:$D$119,MATCH($B119,' Toto teams'!$A$4:$A$119,0)),Scoring!$A$4:$O$51,15,FALSE()),0)+2*IFERROR(VLOOKUP(INDEX(' Toto teams'!$E$4:$E$119,MATCH($B119,' Toto teams'!$A$4:$A$119,0)),Scoring!$A$4:$O$51,15,FALSE()),0)+1*IFERROR(VLOOKUP(INDEX(' Toto teams'!$F$4:$F$119,MATCH($B119,' Toto teams'!$A$4:$A$119,0)),Scoring!$A$4:$O$51,15,FALSE()),0)+1*IFERROR(VLOOKUP(INDEX(' Toto teams'!$G$4:$G$119,MATCH($B119,' Toto teams'!$A$4:$A$119,0)),Scoring!$A$4:$O$51,15,FALSE()),0)+1*IFERROR(VLOOKUP(INDEX(' Toto teams'!$H$4:$H$119,MATCH($B119,' Toto teams'!$A$4:$A$119,0)),Scoring!$A$4:$O$51,15,FALSE()),0))</f>
        <v/>
      </c>
      <c r="J119" t="str">
        <f>IF($B119="","",6*IFERROR(VLOOKUP(INDEX(' Toto teams'!$B$4:$B$119,MATCH($B119,' Toto teams'!$A$4:$A$119,0)),Scoring!$A$4:$N$51,12,FALSE()),0)+4*IFERROR(VLOOKUP(INDEX(' Toto teams'!$C$4:$C$119,MATCH($B119,' Toto teams'!$A$4:$A$119,0)),Scoring!$A$4:$N$51,12,FALSE()),0)+3*IFERROR(VLOOKUP(INDEX(' Toto teams'!$D$4:$D$119,MATCH($B119,' Toto teams'!$A$4:$A$119,0)),Scoring!$A$4:$N$51,12,FALSE()),0)+2*IFERROR(VLOOKUP(INDEX(' Toto teams'!$E$4:$E$119,MATCH($B119,' Toto teams'!$A$4:$A$119,0)),Scoring!$A$4:$N$51,12,FALSE()),0)+1*IFERROR(VLOOKUP(INDEX(' Toto teams'!$F$4:$F$119,MATCH($B119,' Toto teams'!$A$4:$A$119,0)),Scoring!$A$4:$N$51,12,FALSE()),0)+1*IFERROR(VLOOKUP(INDEX(' Toto teams'!$G$4:$G$119,MATCH($B119,' Toto teams'!$A$4:$A$119,0)),Scoring!$A$4:$N$51,12,FALSE()),0)+1*IFERROR(VLOOKUP(INDEX(' Toto teams'!$H$4:$H$119,MATCH($B119,' Toto teams'!$A$4:$A$119,0)),Scoring!$A$4:$N$51,12,FALSE()),0))</f>
        <v/>
      </c>
      <c r="K119" t="str">
        <f>IF($B119="","",IFERROR(INDEX(' Toto teams'!$R$4:$R$119,MATCH($B119,' Toto teams'!$A$4:$A$119,0)),""))</f>
        <v/>
      </c>
      <c r="L119" t="str">
        <f t="shared" si="6"/>
        <v/>
      </c>
    </row>
  </sheetData>
  <mergeCells count="2">
    <mergeCell ref="A1:L1"/>
    <mergeCell ref="N1:R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19"/>
  <sheetViews>
    <sheetView zoomScale="112" zoomScaleNormal="60" workbookViewId="0">
      <pane ySplit="3" topLeftCell="A50" activePane="bottomLeft" state="frozen"/>
      <selection pane="bottomLeft" activeCell="D62" sqref="D62"/>
    </sheetView>
  </sheetViews>
  <sheetFormatPr defaultColWidth="11.3984375" defaultRowHeight="13" x14ac:dyDescent="0.3"/>
  <cols>
    <col min="1" max="1" width="36.59765625" customWidth="1"/>
    <col min="2" max="9" width="19.3984375" customWidth="1"/>
    <col min="10" max="13" width="5.59765625" customWidth="1"/>
    <col min="14" max="15" width="6.59765625" customWidth="1"/>
    <col min="16" max="16" width="4.59765625" customWidth="1"/>
    <col min="17" max="17" width="5.19921875" customWidth="1"/>
    <col min="18" max="18" width="6.19921875" customWidth="1"/>
    <col min="19" max="19" width="4.59765625" customWidth="1"/>
    <col min="20" max="20" width="14.3984375" hidden="1" customWidth="1"/>
    <col min="21" max="21" width="11.3984375" style="44"/>
    <col min="22" max="22" width="13.59765625" customWidth="1"/>
  </cols>
  <sheetData>
    <row r="1" spans="1:23" ht="21" customHeight="1" x14ac:dyDescent="0.5">
      <c r="A1" s="155" t="s">
        <v>112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</row>
    <row r="2" spans="1:23" ht="12.75" customHeight="1" x14ac:dyDescent="0.3">
      <c r="A2" s="37" t="s">
        <v>113</v>
      </c>
      <c r="B2" s="37" t="s">
        <v>114</v>
      </c>
      <c r="C2" s="37" t="s">
        <v>115</v>
      </c>
      <c r="D2" s="37" t="s">
        <v>116</v>
      </c>
      <c r="E2" s="37" t="s">
        <v>117</v>
      </c>
      <c r="F2" s="37" t="s">
        <v>118</v>
      </c>
      <c r="G2" s="37" t="s">
        <v>118</v>
      </c>
      <c r="H2" s="37" t="s">
        <v>118</v>
      </c>
      <c r="I2" s="38" t="s">
        <v>119</v>
      </c>
      <c r="J2" s="38"/>
      <c r="K2" s="38"/>
      <c r="L2" s="38"/>
      <c r="M2" s="38"/>
      <c r="N2" s="38"/>
      <c r="O2" s="38"/>
      <c r="P2" s="38"/>
      <c r="Q2" s="38"/>
      <c r="R2" s="39"/>
      <c r="S2" s="39"/>
      <c r="T2" s="39"/>
    </row>
    <row r="3" spans="1:23" ht="23.25" customHeight="1" x14ac:dyDescent="0.3">
      <c r="A3" s="40" t="s">
        <v>95</v>
      </c>
      <c r="B3" s="40" t="s">
        <v>120</v>
      </c>
      <c r="C3" s="40" t="s">
        <v>121</v>
      </c>
      <c r="D3" s="40" t="s">
        <v>122</v>
      </c>
      <c r="E3" s="40" t="s">
        <v>123</v>
      </c>
      <c r="F3" s="40" t="s">
        <v>124</v>
      </c>
      <c r="G3" s="40" t="s">
        <v>125</v>
      </c>
      <c r="H3" s="40" t="s">
        <v>126</v>
      </c>
      <c r="I3" s="40" t="s">
        <v>127</v>
      </c>
      <c r="J3" s="40" t="s">
        <v>128</v>
      </c>
      <c r="K3" s="40" t="s">
        <v>129</v>
      </c>
      <c r="L3" s="40" t="s">
        <v>130</v>
      </c>
      <c r="M3" s="40" t="s">
        <v>131</v>
      </c>
      <c r="N3" s="40" t="s">
        <v>132</v>
      </c>
      <c r="O3" s="40" t="s">
        <v>133</v>
      </c>
      <c r="P3" s="40" t="s">
        <v>134</v>
      </c>
      <c r="Q3" s="40" t="s">
        <v>135</v>
      </c>
      <c r="R3" s="41" t="s">
        <v>103</v>
      </c>
      <c r="S3" s="42" t="s">
        <v>94</v>
      </c>
      <c r="T3" s="42" t="s">
        <v>136</v>
      </c>
    </row>
    <row r="4" spans="1:23" ht="12.75" customHeight="1" x14ac:dyDescent="0.3">
      <c r="A4" s="27" t="s">
        <v>137</v>
      </c>
      <c r="B4" s="43" t="s">
        <v>60</v>
      </c>
      <c r="C4" s="43" t="s">
        <v>72</v>
      </c>
      <c r="D4" s="43" t="s">
        <v>84</v>
      </c>
      <c r="E4" s="43" t="s">
        <v>46</v>
      </c>
      <c r="F4" s="43" t="s">
        <v>83</v>
      </c>
      <c r="G4" s="43" t="s">
        <v>71</v>
      </c>
      <c r="H4" s="43" t="s">
        <v>87</v>
      </c>
      <c r="I4" s="28" t="s">
        <v>60</v>
      </c>
      <c r="J4" s="28">
        <f>IFERROR(VLOOKUP(B4,Scoring!$A$4:$N$51,14,FALSE())*6,"-")</f>
        <v>0</v>
      </c>
      <c r="K4" s="28">
        <f>IFERROR(VLOOKUP(C4,Scoring!$A$4:$N$51,14,FALSE())*4,"-")</f>
        <v>0</v>
      </c>
      <c r="L4" s="28">
        <f>IFERROR(VLOOKUP(D4,Scoring!$A$4:$N$51,14,FALSE())*3,"-")</f>
        <v>0</v>
      </c>
      <c r="M4" s="28">
        <f>IFERROR(VLOOKUP(E4,Scoring!$A$4:$N$51,14,FALSE())*2,"-")</f>
        <v>0</v>
      </c>
      <c r="N4" s="28">
        <f>IFERROR(VLOOKUP(F4,Scoring!$A$4:$N$51,14,FALSE()),"-")</f>
        <v>0</v>
      </c>
      <c r="O4" s="28">
        <f>IFERROR(VLOOKUP(G4,Scoring!$A$4:$N$51,14,FALSE()),"-")</f>
        <v>0</v>
      </c>
      <c r="P4" s="29">
        <f>IFERROR(VLOOKUP(H4,Scoring!$A$4:$N$51,14,FALSE()),"-")</f>
        <v>0</v>
      </c>
      <c r="Q4" s="29">
        <f>IFERROR(VLOOKUP(I4,Scoring!$A$4:$N$51,6,FALSE()),"-")</f>
        <v>0</v>
      </c>
      <c r="R4" s="36">
        <f t="shared" ref="R4:R35" si="0">IF(A4="","-",SUM(J4:Q4))</f>
        <v>0</v>
      </c>
      <c r="S4">
        <f t="shared" ref="S4:S35" si="1">IF(A4="","",RANK(R4,$R$4:$R$119))</f>
        <v>63</v>
      </c>
      <c r="T4">
        <f t="shared" ref="T4:T35" si="2">IF(A4="",-1,R4-ROW(R4)/1000000)</f>
        <v>-3.9999999999999998E-6</v>
      </c>
      <c r="U4" s="44" t="s">
        <v>138</v>
      </c>
      <c r="W4" s="44" t="s">
        <v>22</v>
      </c>
    </row>
    <row r="5" spans="1:23" ht="12.75" customHeight="1" x14ac:dyDescent="0.3">
      <c r="A5" s="27" t="s">
        <v>139</v>
      </c>
      <c r="B5" s="43" t="s">
        <v>66</v>
      </c>
      <c r="C5" s="43" t="s">
        <v>78</v>
      </c>
      <c r="D5" s="43" t="s">
        <v>84</v>
      </c>
      <c r="E5" s="43" t="s">
        <v>60</v>
      </c>
      <c r="F5" s="43" t="s">
        <v>65</v>
      </c>
      <c r="G5" s="43" t="s">
        <v>50</v>
      </c>
      <c r="H5" s="43" t="s">
        <v>87</v>
      </c>
      <c r="I5" s="28" t="s">
        <v>66</v>
      </c>
      <c r="J5" s="28">
        <f>IFERROR(VLOOKUP(B5,Scoring!$A$4:$N$51,14,FALSE())*6,"-")</f>
        <v>0</v>
      </c>
      <c r="K5" s="28">
        <f>IFERROR(VLOOKUP(C5,Scoring!$A$4:$N$51,14,FALSE())*4,"-")</f>
        <v>0</v>
      </c>
      <c r="L5" s="28">
        <f>IFERROR(VLOOKUP(D5,Scoring!$A$4:$N$51,14,FALSE())*3,"-")</f>
        <v>0</v>
      </c>
      <c r="M5" s="28">
        <f>IFERROR(VLOOKUP(E5,Scoring!$A$4:$N$51,14,FALSE())*2,"-")</f>
        <v>0</v>
      </c>
      <c r="N5" s="28">
        <f>IFERROR(VLOOKUP(F5,Scoring!$A$4:$N$51,14,FALSE()),"-")</f>
        <v>0</v>
      </c>
      <c r="O5" s="28">
        <f>IFERROR(VLOOKUP(G5,Scoring!$A$4:$N$51,14,FALSE()),"-")</f>
        <v>0</v>
      </c>
      <c r="P5" s="29">
        <f>IFERROR(VLOOKUP(H5,Scoring!$A$4:$N$51,14,FALSE()),"-")</f>
        <v>0</v>
      </c>
      <c r="Q5" s="29">
        <f>IFERROR(VLOOKUP(I5,Scoring!$A$4:$N$51,6,FALSE()),"-")</f>
        <v>0</v>
      </c>
      <c r="R5" s="36">
        <f t="shared" si="0"/>
        <v>0</v>
      </c>
      <c r="S5">
        <f t="shared" si="1"/>
        <v>63</v>
      </c>
      <c r="T5">
        <f t="shared" si="2"/>
        <v>-5.0000000000000004E-6</v>
      </c>
      <c r="U5" s="44" t="s">
        <v>140</v>
      </c>
      <c r="W5" s="44" t="s">
        <v>22</v>
      </c>
    </row>
    <row r="6" spans="1:23" ht="12.75" customHeight="1" x14ac:dyDescent="0.3">
      <c r="A6" s="27" t="s">
        <v>141</v>
      </c>
      <c r="B6" s="43" t="s">
        <v>66</v>
      </c>
      <c r="C6" s="43" t="s">
        <v>60</v>
      </c>
      <c r="D6" s="43" t="s">
        <v>72</v>
      </c>
      <c r="E6" s="43" t="s">
        <v>78</v>
      </c>
      <c r="F6" s="43" t="s">
        <v>83</v>
      </c>
      <c r="G6" s="43" t="s">
        <v>71</v>
      </c>
      <c r="H6" s="43" t="s">
        <v>82</v>
      </c>
      <c r="I6" s="28" t="s">
        <v>66</v>
      </c>
      <c r="J6" s="28">
        <f>IFERROR(VLOOKUP(B6,Scoring!$A$4:$N$51,14,FALSE())*6,"-")</f>
        <v>0</v>
      </c>
      <c r="K6" s="28">
        <f>IFERROR(VLOOKUP(C6,Scoring!$A$4:$N$51,14,FALSE())*4,"-")</f>
        <v>0</v>
      </c>
      <c r="L6" s="28">
        <f>IFERROR(VLOOKUP(D6,Scoring!$A$4:$N$51,14,FALSE())*3,"-")</f>
        <v>0</v>
      </c>
      <c r="M6" s="28">
        <f>IFERROR(VLOOKUP(E6,Scoring!$A$4:$N$51,14,FALSE())*2,"-")</f>
        <v>0</v>
      </c>
      <c r="N6" s="28">
        <f>IFERROR(VLOOKUP(F6,Scoring!$A$4:$N$51,14,FALSE()),"-")</f>
        <v>0</v>
      </c>
      <c r="O6" s="28">
        <f>IFERROR(VLOOKUP(G6,Scoring!$A$4:$N$51,14,FALSE()),"-")</f>
        <v>0</v>
      </c>
      <c r="P6" s="29">
        <f>IFERROR(VLOOKUP(H6,Scoring!$A$4:$N$51,14,FALSE()),"-")</f>
        <v>0</v>
      </c>
      <c r="Q6" s="29">
        <f>IFERROR(VLOOKUP(I6,Scoring!$A$4:$N$51,6,FALSE()),"-")</f>
        <v>0</v>
      </c>
      <c r="R6" s="36">
        <f t="shared" si="0"/>
        <v>0</v>
      </c>
      <c r="S6">
        <f t="shared" si="1"/>
        <v>63</v>
      </c>
      <c r="T6">
        <f t="shared" si="2"/>
        <v>-6.0000000000000002E-6</v>
      </c>
      <c r="U6" s="44" t="s">
        <v>142</v>
      </c>
      <c r="W6" s="44" t="s">
        <v>143</v>
      </c>
    </row>
    <row r="7" spans="1:23" ht="12.75" customHeight="1" x14ac:dyDescent="0.3">
      <c r="A7" s="27" t="s">
        <v>144</v>
      </c>
      <c r="B7" s="43" t="s">
        <v>60</v>
      </c>
      <c r="C7" s="43" t="s">
        <v>66</v>
      </c>
      <c r="D7" s="43" t="s">
        <v>84</v>
      </c>
      <c r="E7" s="43" t="s">
        <v>78</v>
      </c>
      <c r="F7" s="43" t="s">
        <v>47</v>
      </c>
      <c r="G7" s="43" t="s">
        <v>71</v>
      </c>
      <c r="H7" s="43" t="s">
        <v>82</v>
      </c>
      <c r="I7" s="28" t="s">
        <v>29</v>
      </c>
      <c r="J7" s="28">
        <f>IFERROR(VLOOKUP(B7,Scoring!$A$4:$N$51,14,FALSE())*6,"-")</f>
        <v>0</v>
      </c>
      <c r="K7" s="28">
        <f>IFERROR(VLOOKUP(C7,Scoring!$A$4:$N$51,14,FALSE())*4,"-")</f>
        <v>0</v>
      </c>
      <c r="L7" s="28">
        <f>IFERROR(VLOOKUP(D7,Scoring!$A$4:$N$51,14,FALSE())*3,"-")</f>
        <v>0</v>
      </c>
      <c r="M7" s="28">
        <f>IFERROR(VLOOKUP(E7,Scoring!$A$4:$N$51,14,FALSE())*2,"-")</f>
        <v>0</v>
      </c>
      <c r="N7" s="28">
        <f>IFERROR(VLOOKUP(F7,Scoring!$A$4:$N$51,14,FALSE()),"-")</f>
        <v>0</v>
      </c>
      <c r="O7" s="28">
        <f>IFERROR(VLOOKUP(G7,Scoring!$A$4:$N$51,14,FALSE()),"-")</f>
        <v>0</v>
      </c>
      <c r="P7" s="29">
        <f>IFERROR(VLOOKUP(H7,Scoring!$A$4:$N$51,14,FALSE()),"-")</f>
        <v>0</v>
      </c>
      <c r="Q7" s="29">
        <f>IFERROR(VLOOKUP(I7,Scoring!$A$4:$N$51,6,FALSE()),"-")</f>
        <v>0</v>
      </c>
      <c r="R7" s="36">
        <f t="shared" si="0"/>
        <v>0</v>
      </c>
      <c r="S7">
        <f t="shared" si="1"/>
        <v>63</v>
      </c>
      <c r="T7">
        <f t="shared" si="2"/>
        <v>-6.9999999999999999E-6</v>
      </c>
      <c r="U7" s="44" t="s">
        <v>145</v>
      </c>
      <c r="W7" s="44" t="s">
        <v>143</v>
      </c>
    </row>
    <row r="8" spans="1:23" ht="12.75" customHeight="1" x14ac:dyDescent="0.3">
      <c r="A8" s="27" t="s">
        <v>146</v>
      </c>
      <c r="B8" s="43" t="s">
        <v>60</v>
      </c>
      <c r="C8" s="43" t="s">
        <v>78</v>
      </c>
      <c r="D8" s="43" t="s">
        <v>66</v>
      </c>
      <c r="E8" s="43" t="s">
        <v>46</v>
      </c>
      <c r="F8" s="43" t="s">
        <v>83</v>
      </c>
      <c r="G8" s="43" t="s">
        <v>71</v>
      </c>
      <c r="H8" s="43" t="s">
        <v>24</v>
      </c>
      <c r="I8" s="28" t="s">
        <v>72</v>
      </c>
      <c r="J8" s="28">
        <f>IFERROR(VLOOKUP(B8,Scoring!$A$4:$N$51,14,FALSE())*6,"-")</f>
        <v>0</v>
      </c>
      <c r="K8" s="28">
        <f>IFERROR(VLOOKUP(C8,Scoring!$A$4:$N$51,14,FALSE())*4,"-")</f>
        <v>0</v>
      </c>
      <c r="L8" s="28">
        <f>IFERROR(VLOOKUP(D8,Scoring!$A$4:$N$51,14,FALSE())*3,"-")</f>
        <v>0</v>
      </c>
      <c r="M8" s="28">
        <f>IFERROR(VLOOKUP(E8,Scoring!$A$4:$N$51,14,FALSE())*2,"-")</f>
        <v>0</v>
      </c>
      <c r="N8" s="28">
        <f>IFERROR(VLOOKUP(F8,Scoring!$A$4:$N$51,14,FALSE()),"-")</f>
        <v>0</v>
      </c>
      <c r="O8" s="28">
        <f>IFERROR(VLOOKUP(G8,Scoring!$A$4:$N$51,14,FALSE()),"-")</f>
        <v>0</v>
      </c>
      <c r="P8" s="29">
        <f>IFERROR(VLOOKUP(H8,Scoring!$A$4:$N$51,14,FALSE()),"-")</f>
        <v>1</v>
      </c>
      <c r="Q8" s="29">
        <f>IFERROR(VLOOKUP(I8,Scoring!$A$4:$N$51,6,FALSE()),"-")</f>
        <v>0</v>
      </c>
      <c r="R8" s="36">
        <f t="shared" si="0"/>
        <v>1</v>
      </c>
      <c r="S8">
        <f t="shared" si="1"/>
        <v>36</v>
      </c>
      <c r="T8">
        <f t="shared" si="2"/>
        <v>0.99999199999999999</v>
      </c>
      <c r="U8" s="44" t="s">
        <v>147</v>
      </c>
      <c r="W8" s="44" t="s">
        <v>143</v>
      </c>
    </row>
    <row r="9" spans="1:23" ht="12.75" customHeight="1" x14ac:dyDescent="0.3">
      <c r="A9" s="27" t="s">
        <v>148</v>
      </c>
      <c r="B9" s="43" t="s">
        <v>46</v>
      </c>
      <c r="C9" s="43" t="s">
        <v>72</v>
      </c>
      <c r="D9" s="43" t="s">
        <v>66</v>
      </c>
      <c r="E9" s="43" t="s">
        <v>29</v>
      </c>
      <c r="F9" s="43" t="s">
        <v>47</v>
      </c>
      <c r="G9" s="43" t="s">
        <v>71</v>
      </c>
      <c r="H9" s="43" t="s">
        <v>87</v>
      </c>
      <c r="I9" s="28" t="s">
        <v>60</v>
      </c>
      <c r="J9" s="28">
        <f>IFERROR(VLOOKUP(B9,Scoring!$A$4:$N$51,14,FALSE())*6,"-")</f>
        <v>0</v>
      </c>
      <c r="K9" s="28">
        <f>IFERROR(VLOOKUP(C9,Scoring!$A$4:$N$51,14,FALSE())*4,"-")</f>
        <v>0</v>
      </c>
      <c r="L9" s="28">
        <f>IFERROR(VLOOKUP(D9,Scoring!$A$4:$N$51,14,FALSE())*3,"-")</f>
        <v>0</v>
      </c>
      <c r="M9" s="28">
        <f>IFERROR(VLOOKUP(E9,Scoring!$A$4:$N$51,14,FALSE())*2,"-")</f>
        <v>0</v>
      </c>
      <c r="N9" s="28">
        <f>IFERROR(VLOOKUP(F9,Scoring!$A$4:$N$51,14,FALSE()),"-")</f>
        <v>0</v>
      </c>
      <c r="O9" s="28">
        <f>IFERROR(VLOOKUP(G9,Scoring!$A$4:$N$51,14,FALSE()),"-")</f>
        <v>0</v>
      </c>
      <c r="P9" s="29">
        <f>IFERROR(VLOOKUP(H9,Scoring!$A$4:$N$51,14,FALSE()),"-")</f>
        <v>0</v>
      </c>
      <c r="Q9" s="29">
        <f>IFERROR(VLOOKUP(I9,Scoring!$A$4:$N$51,6,FALSE()),"-")</f>
        <v>0</v>
      </c>
      <c r="R9" s="36">
        <f t="shared" si="0"/>
        <v>0</v>
      </c>
      <c r="S9">
        <f t="shared" si="1"/>
        <v>63</v>
      </c>
      <c r="T9">
        <f t="shared" si="2"/>
        <v>-9.0000000000000002E-6</v>
      </c>
      <c r="U9" s="44" t="s">
        <v>149</v>
      </c>
      <c r="W9" s="44" t="s">
        <v>143</v>
      </c>
    </row>
    <row r="10" spans="1:23" ht="12.75" customHeight="1" x14ac:dyDescent="0.3">
      <c r="A10" s="27" t="s">
        <v>150</v>
      </c>
      <c r="B10" s="43" t="s">
        <v>78</v>
      </c>
      <c r="C10" s="43" t="s">
        <v>60</v>
      </c>
      <c r="D10" s="43" t="s">
        <v>66</v>
      </c>
      <c r="E10" s="43" t="s">
        <v>40</v>
      </c>
      <c r="F10" s="43" t="s">
        <v>83</v>
      </c>
      <c r="G10" s="43" t="s">
        <v>71</v>
      </c>
      <c r="H10" s="43" t="s">
        <v>82</v>
      </c>
      <c r="I10" s="28" t="s">
        <v>60</v>
      </c>
      <c r="J10" s="28">
        <f>IFERROR(VLOOKUP(B10,Scoring!$A$4:$N$51,14,FALSE())*6,"-")</f>
        <v>0</v>
      </c>
      <c r="K10" s="28">
        <f>IFERROR(VLOOKUP(C10,Scoring!$A$4:$N$51,14,FALSE())*4,"-")</f>
        <v>0</v>
      </c>
      <c r="L10" s="28">
        <f>IFERROR(VLOOKUP(D10,Scoring!$A$4:$N$51,14,FALSE())*3,"-")</f>
        <v>0</v>
      </c>
      <c r="M10" s="28">
        <f>IFERROR(VLOOKUP(E10,Scoring!$A$4:$N$51,14,FALSE())*2,"-")</f>
        <v>0</v>
      </c>
      <c r="N10" s="28">
        <f>IFERROR(VLOOKUP(F10,Scoring!$A$4:$N$51,14,FALSE()),"-")</f>
        <v>0</v>
      </c>
      <c r="O10" s="28">
        <f>IFERROR(VLOOKUP(G10,Scoring!$A$4:$N$51,14,FALSE()),"-")</f>
        <v>0</v>
      </c>
      <c r="P10" s="29">
        <f>IFERROR(VLOOKUP(H10,Scoring!$A$4:$N$51,14,FALSE()),"-")</f>
        <v>0</v>
      </c>
      <c r="Q10" s="29">
        <f>IFERROR(VLOOKUP(I10,Scoring!$A$4:$N$51,6,FALSE()),"-")</f>
        <v>0</v>
      </c>
      <c r="R10" s="36">
        <f t="shared" si="0"/>
        <v>0</v>
      </c>
      <c r="S10">
        <f t="shared" si="1"/>
        <v>63</v>
      </c>
      <c r="T10">
        <f t="shared" si="2"/>
        <v>-1.0000000000000001E-5</v>
      </c>
      <c r="U10" s="44" t="s">
        <v>151</v>
      </c>
      <c r="W10" s="44" t="s">
        <v>143</v>
      </c>
    </row>
    <row r="11" spans="1:23" ht="12.75" customHeight="1" x14ac:dyDescent="0.3">
      <c r="A11" s="27" t="s">
        <v>152</v>
      </c>
      <c r="B11" s="43" t="s">
        <v>29</v>
      </c>
      <c r="C11" s="43" t="s">
        <v>66</v>
      </c>
      <c r="D11" s="43" t="s">
        <v>78</v>
      </c>
      <c r="E11" s="43" t="s">
        <v>60</v>
      </c>
      <c r="F11" s="43" t="s">
        <v>35</v>
      </c>
      <c r="G11" s="43" t="s">
        <v>50</v>
      </c>
      <c r="H11" s="43" t="s">
        <v>24</v>
      </c>
      <c r="I11" s="28" t="s">
        <v>29</v>
      </c>
      <c r="J11" s="28">
        <f>IFERROR(VLOOKUP(B11,Scoring!$A$4:$N$51,14,FALSE())*6,"-")</f>
        <v>0</v>
      </c>
      <c r="K11" s="28">
        <f>IFERROR(VLOOKUP(C11,Scoring!$A$4:$N$51,14,FALSE())*4,"-")</f>
        <v>0</v>
      </c>
      <c r="L11" s="28">
        <f>IFERROR(VLOOKUP(D11,Scoring!$A$4:$N$51,14,FALSE())*3,"-")</f>
        <v>0</v>
      </c>
      <c r="M11" s="28">
        <f>IFERROR(VLOOKUP(E11,Scoring!$A$4:$N$51,14,FALSE())*2,"-")</f>
        <v>0</v>
      </c>
      <c r="N11" s="28">
        <f>IFERROR(VLOOKUP(F11,Scoring!$A$4:$N$51,14,FALSE()),"-")</f>
        <v>3</v>
      </c>
      <c r="O11" s="28">
        <f>IFERROR(VLOOKUP(G11,Scoring!$A$4:$N$51,14,FALSE()),"-")</f>
        <v>0</v>
      </c>
      <c r="P11" s="29">
        <f>IFERROR(VLOOKUP(H11,Scoring!$A$4:$N$51,14,FALSE()),"-")</f>
        <v>1</v>
      </c>
      <c r="Q11" s="29">
        <f>IFERROR(VLOOKUP(I11,Scoring!$A$4:$N$51,6,FALSE()),"-")</f>
        <v>0</v>
      </c>
      <c r="R11" s="36">
        <f t="shared" si="0"/>
        <v>4</v>
      </c>
      <c r="S11">
        <f t="shared" si="1"/>
        <v>5</v>
      </c>
      <c r="T11">
        <f t="shared" si="2"/>
        <v>3.9999889999999998</v>
      </c>
      <c r="U11" s="44" t="s">
        <v>153</v>
      </c>
      <c r="W11" s="44" t="s">
        <v>143</v>
      </c>
    </row>
    <row r="12" spans="1:23" ht="12.75" customHeight="1" x14ac:dyDescent="0.3">
      <c r="A12" s="27" t="s">
        <v>154</v>
      </c>
      <c r="B12" s="43" t="s">
        <v>66</v>
      </c>
      <c r="C12" s="43" t="s">
        <v>72</v>
      </c>
      <c r="D12" s="43" t="s">
        <v>60</v>
      </c>
      <c r="E12" s="43" t="s">
        <v>84</v>
      </c>
      <c r="F12" s="43" t="s">
        <v>39</v>
      </c>
      <c r="G12" s="43" t="s">
        <v>16</v>
      </c>
      <c r="H12" s="43" t="s">
        <v>12</v>
      </c>
      <c r="I12" s="28" t="s">
        <v>66</v>
      </c>
      <c r="J12" s="28">
        <f>IFERROR(VLOOKUP(B12,Scoring!$A$4:$N$51,14,FALSE())*6,"-")</f>
        <v>0</v>
      </c>
      <c r="K12" s="28">
        <f>IFERROR(VLOOKUP(C12,Scoring!$A$4:$N$51,14,FALSE())*4,"-")</f>
        <v>0</v>
      </c>
      <c r="L12" s="28">
        <f>IFERROR(VLOOKUP(D12,Scoring!$A$4:$N$51,14,FALSE())*3,"-")</f>
        <v>0</v>
      </c>
      <c r="M12" s="28">
        <f>IFERROR(VLOOKUP(E12,Scoring!$A$4:$N$51,14,FALSE())*2,"-")</f>
        <v>0</v>
      </c>
      <c r="N12" s="28">
        <f>IFERROR(VLOOKUP(F12,Scoring!$A$4:$N$51,14,FALSE()),"-")</f>
        <v>0</v>
      </c>
      <c r="O12" s="28">
        <f>IFERROR(VLOOKUP(G12,Scoring!$A$4:$N$51,14,FALSE()),"-")</f>
        <v>0</v>
      </c>
      <c r="P12" s="29">
        <f>IFERROR(VLOOKUP(H12,Scoring!$A$4:$N$51,14,FALSE()),"-")</f>
        <v>0</v>
      </c>
      <c r="Q12" s="29">
        <f>IFERROR(VLOOKUP(I12,Scoring!$A$4:$N$51,6,FALSE()),"-")</f>
        <v>0</v>
      </c>
      <c r="R12" s="36">
        <f t="shared" si="0"/>
        <v>0</v>
      </c>
      <c r="S12">
        <f t="shared" si="1"/>
        <v>63</v>
      </c>
      <c r="T12">
        <f t="shared" si="2"/>
        <v>-1.2E-5</v>
      </c>
      <c r="U12" s="44" t="s">
        <v>155</v>
      </c>
      <c r="W12" s="44" t="s">
        <v>143</v>
      </c>
    </row>
    <row r="13" spans="1:23" ht="12.75" customHeight="1" x14ac:dyDescent="0.3">
      <c r="A13" s="27" t="s">
        <v>156</v>
      </c>
      <c r="B13" s="43" t="s">
        <v>60</v>
      </c>
      <c r="C13" s="43" t="s">
        <v>84</v>
      </c>
      <c r="D13" s="43" t="s">
        <v>72</v>
      </c>
      <c r="E13" s="43" t="s">
        <v>46</v>
      </c>
      <c r="F13" s="43" t="s">
        <v>28</v>
      </c>
      <c r="G13" s="43" t="s">
        <v>23</v>
      </c>
      <c r="H13" s="43" t="s">
        <v>24</v>
      </c>
      <c r="I13" s="28" t="s">
        <v>84</v>
      </c>
      <c r="J13" s="28">
        <f>IFERROR(VLOOKUP(B13,Scoring!$A$4:$N$51,14,FALSE())*6,"-")</f>
        <v>0</v>
      </c>
      <c r="K13" s="28">
        <f>IFERROR(VLOOKUP(C13,Scoring!$A$4:$N$51,14,FALSE())*4,"-")</f>
        <v>0</v>
      </c>
      <c r="L13" s="28">
        <f>IFERROR(VLOOKUP(D13,Scoring!$A$4:$N$51,14,FALSE())*3,"-")</f>
        <v>0</v>
      </c>
      <c r="M13" s="28">
        <f>IFERROR(VLOOKUP(E13,Scoring!$A$4:$N$51,14,FALSE())*2,"-")</f>
        <v>0</v>
      </c>
      <c r="N13" s="28">
        <f>IFERROR(VLOOKUP(F13,Scoring!$A$4:$N$51,14,FALSE()),"-")</f>
        <v>0</v>
      </c>
      <c r="O13" s="28">
        <f>IFERROR(VLOOKUP(G13,Scoring!$A$4:$N$51,14,FALSE()),"-")</f>
        <v>1</v>
      </c>
      <c r="P13" s="29">
        <f>IFERROR(VLOOKUP(H13,Scoring!$A$4:$N$51,14,FALSE()),"-")</f>
        <v>1</v>
      </c>
      <c r="Q13" s="29">
        <f>IFERROR(VLOOKUP(I13,Scoring!$A$4:$N$51,6,FALSE()),"-")</f>
        <v>0</v>
      </c>
      <c r="R13" s="36">
        <f t="shared" si="0"/>
        <v>2</v>
      </c>
      <c r="S13">
        <f t="shared" si="1"/>
        <v>34</v>
      </c>
      <c r="T13">
        <f t="shared" si="2"/>
        <v>1.999987</v>
      </c>
      <c r="U13" s="44" t="s">
        <v>155</v>
      </c>
      <c r="W13" s="44" t="s">
        <v>143</v>
      </c>
    </row>
    <row r="14" spans="1:23" ht="12.75" customHeight="1" x14ac:dyDescent="0.3">
      <c r="A14" s="27" t="s">
        <v>157</v>
      </c>
      <c r="B14" s="43" t="s">
        <v>46</v>
      </c>
      <c r="C14" s="43" t="s">
        <v>60</v>
      </c>
      <c r="D14" s="43" t="s">
        <v>84</v>
      </c>
      <c r="E14" s="43" t="s">
        <v>78</v>
      </c>
      <c r="F14" s="43" t="s">
        <v>83</v>
      </c>
      <c r="G14" s="43" t="s">
        <v>36</v>
      </c>
      <c r="H14" s="43" t="s">
        <v>24</v>
      </c>
      <c r="I14" s="28" t="s">
        <v>46</v>
      </c>
      <c r="J14" s="28">
        <f>IFERROR(VLOOKUP(B14,Scoring!$A$4:$N$51,14,FALSE())*6,"-")</f>
        <v>0</v>
      </c>
      <c r="K14" s="28">
        <f>IFERROR(VLOOKUP(C14,Scoring!$A$4:$N$51,14,FALSE())*4,"-")</f>
        <v>0</v>
      </c>
      <c r="L14" s="28">
        <f>IFERROR(VLOOKUP(D14,Scoring!$A$4:$N$51,14,FALSE())*3,"-")</f>
        <v>0</v>
      </c>
      <c r="M14" s="28">
        <f>IFERROR(VLOOKUP(E14,Scoring!$A$4:$N$51,14,FALSE())*2,"-")</f>
        <v>0</v>
      </c>
      <c r="N14" s="28">
        <f>IFERROR(VLOOKUP(F14,Scoring!$A$4:$N$51,14,FALSE()),"-")</f>
        <v>0</v>
      </c>
      <c r="O14" s="28">
        <f>IFERROR(VLOOKUP(G14,Scoring!$A$4:$N$51,14,FALSE()),"-")</f>
        <v>0</v>
      </c>
      <c r="P14" s="29">
        <f>IFERROR(VLOOKUP(H14,Scoring!$A$4:$N$51,14,FALSE()),"-")</f>
        <v>1</v>
      </c>
      <c r="Q14" s="29">
        <f>IFERROR(VLOOKUP(I14,Scoring!$A$4:$N$51,6,FALSE()),"-")</f>
        <v>0</v>
      </c>
      <c r="R14" s="36">
        <f t="shared" si="0"/>
        <v>1</v>
      </c>
      <c r="S14">
        <f t="shared" si="1"/>
        <v>36</v>
      </c>
      <c r="T14">
        <f t="shared" si="2"/>
        <v>0.99998600000000004</v>
      </c>
      <c r="U14" s="44" t="s">
        <v>155</v>
      </c>
      <c r="W14" s="44" t="s">
        <v>143</v>
      </c>
    </row>
    <row r="15" spans="1:23" ht="12.75" customHeight="1" x14ac:dyDescent="0.3">
      <c r="A15" s="27" t="s">
        <v>158</v>
      </c>
      <c r="B15" s="43" t="s">
        <v>60</v>
      </c>
      <c r="C15" s="43" t="s">
        <v>29</v>
      </c>
      <c r="D15" s="43" t="s">
        <v>78</v>
      </c>
      <c r="E15" s="43" t="s">
        <v>84</v>
      </c>
      <c r="F15" s="43" t="s">
        <v>39</v>
      </c>
      <c r="G15" s="43" t="s">
        <v>71</v>
      </c>
      <c r="H15" s="43" t="s">
        <v>24</v>
      </c>
      <c r="I15" s="28" t="s">
        <v>60</v>
      </c>
      <c r="J15" s="28">
        <f>IFERROR(VLOOKUP(B15,Scoring!$A$4:$N$51,14,FALSE())*6,"-")</f>
        <v>0</v>
      </c>
      <c r="K15" s="28">
        <f>IFERROR(VLOOKUP(C15,Scoring!$A$4:$N$51,14,FALSE())*4,"-")</f>
        <v>0</v>
      </c>
      <c r="L15" s="28">
        <f>IFERROR(VLOOKUP(D15,Scoring!$A$4:$N$51,14,FALSE())*3,"-")</f>
        <v>0</v>
      </c>
      <c r="M15" s="28">
        <f>IFERROR(VLOOKUP(E15,Scoring!$A$4:$N$51,14,FALSE())*2,"-")</f>
        <v>0</v>
      </c>
      <c r="N15" s="28">
        <f>IFERROR(VLOOKUP(F15,Scoring!$A$4:$N$51,14,FALSE()),"-")</f>
        <v>0</v>
      </c>
      <c r="O15" s="28">
        <f>IFERROR(VLOOKUP(G15,Scoring!$A$4:$N$51,14,FALSE()),"-")</f>
        <v>0</v>
      </c>
      <c r="P15" s="29">
        <f>IFERROR(VLOOKUP(H15,Scoring!$A$4:$N$51,14,FALSE()),"-")</f>
        <v>1</v>
      </c>
      <c r="Q15" s="29">
        <f>IFERROR(VLOOKUP(I15,Scoring!$A$4:$N$51,6,FALSE()),"-")</f>
        <v>0</v>
      </c>
      <c r="R15" s="36">
        <f t="shared" si="0"/>
        <v>1</v>
      </c>
      <c r="S15">
        <f t="shared" si="1"/>
        <v>36</v>
      </c>
      <c r="T15">
        <f t="shared" si="2"/>
        <v>0.99998500000000001</v>
      </c>
      <c r="U15" s="44" t="s">
        <v>159</v>
      </c>
      <c r="W15" s="44" t="s">
        <v>143</v>
      </c>
    </row>
    <row r="16" spans="1:23" ht="12.75" customHeight="1" x14ac:dyDescent="0.3">
      <c r="A16" s="27" t="s">
        <v>160</v>
      </c>
      <c r="B16" s="43" t="s">
        <v>72</v>
      </c>
      <c r="C16" s="43" t="s">
        <v>60</v>
      </c>
      <c r="D16" s="43" t="s">
        <v>84</v>
      </c>
      <c r="E16" s="43" t="s">
        <v>66</v>
      </c>
      <c r="F16" s="43" t="s">
        <v>35</v>
      </c>
      <c r="G16" s="43" t="s">
        <v>23</v>
      </c>
      <c r="H16" s="43" t="s">
        <v>24</v>
      </c>
      <c r="I16" s="28" t="s">
        <v>60</v>
      </c>
      <c r="J16" s="28">
        <f>IFERROR(VLOOKUP(B16,Scoring!$A$4:$N$51,14,FALSE())*6,"-")</f>
        <v>0</v>
      </c>
      <c r="K16" s="28">
        <f>IFERROR(VLOOKUP(C16,Scoring!$A$4:$N$51,14,FALSE())*4,"-")</f>
        <v>0</v>
      </c>
      <c r="L16" s="28">
        <f>IFERROR(VLOOKUP(D16,Scoring!$A$4:$N$51,14,FALSE())*3,"-")</f>
        <v>0</v>
      </c>
      <c r="M16" s="28">
        <f>IFERROR(VLOOKUP(E16,Scoring!$A$4:$N$51,14,FALSE())*2,"-")</f>
        <v>0</v>
      </c>
      <c r="N16" s="28">
        <f>IFERROR(VLOOKUP(F16,Scoring!$A$4:$N$51,14,FALSE()),"-")</f>
        <v>3</v>
      </c>
      <c r="O16" s="28">
        <f>IFERROR(VLOOKUP(G16,Scoring!$A$4:$N$51,14,FALSE()),"-")</f>
        <v>1</v>
      </c>
      <c r="P16" s="29">
        <f>IFERROR(VLOOKUP(H16,Scoring!$A$4:$N$51,14,FALSE()),"-")</f>
        <v>1</v>
      </c>
      <c r="Q16" s="29">
        <f>IFERROR(VLOOKUP(I16,Scoring!$A$4:$N$51,6,FALSE()),"-")</f>
        <v>0</v>
      </c>
      <c r="R16" s="36">
        <f t="shared" si="0"/>
        <v>5</v>
      </c>
      <c r="S16">
        <f t="shared" si="1"/>
        <v>2</v>
      </c>
      <c r="T16">
        <f t="shared" si="2"/>
        <v>4.9999840000000004</v>
      </c>
      <c r="U16" s="44" t="s">
        <v>161</v>
      </c>
      <c r="W16" s="44" t="s">
        <v>143</v>
      </c>
    </row>
    <row r="17" spans="1:23" ht="12.75" customHeight="1" x14ac:dyDescent="0.3">
      <c r="A17" s="27" t="s">
        <v>162</v>
      </c>
      <c r="B17" s="43" t="s">
        <v>84</v>
      </c>
      <c r="C17" s="43" t="s">
        <v>30</v>
      </c>
      <c r="D17" s="43" t="s">
        <v>66</v>
      </c>
      <c r="E17" s="43" t="s">
        <v>60</v>
      </c>
      <c r="F17" s="43" t="s">
        <v>35</v>
      </c>
      <c r="G17" s="43" t="s">
        <v>71</v>
      </c>
      <c r="H17" s="43" t="s">
        <v>58</v>
      </c>
      <c r="I17" s="28" t="s">
        <v>72</v>
      </c>
      <c r="J17" s="28">
        <f>IFERROR(VLOOKUP(B17,Scoring!$A$4:$N$51,14,FALSE())*6,"-")</f>
        <v>0</v>
      </c>
      <c r="K17" s="28">
        <f>IFERROR(VLOOKUP(C17,Scoring!$A$4:$N$51,14,FALSE())*4,"-")</f>
        <v>0</v>
      </c>
      <c r="L17" s="28">
        <f>IFERROR(VLOOKUP(D17,Scoring!$A$4:$N$51,14,FALSE())*3,"-")</f>
        <v>0</v>
      </c>
      <c r="M17" s="28">
        <f>IFERROR(VLOOKUP(E17,Scoring!$A$4:$N$51,14,FALSE())*2,"-")</f>
        <v>0</v>
      </c>
      <c r="N17" s="28">
        <f>IFERROR(VLOOKUP(F17,Scoring!$A$4:$N$51,14,FALSE()),"-")</f>
        <v>3</v>
      </c>
      <c r="O17" s="28">
        <f>IFERROR(VLOOKUP(G17,Scoring!$A$4:$N$51,14,FALSE()),"-")</f>
        <v>0</v>
      </c>
      <c r="P17" s="29">
        <f>IFERROR(VLOOKUP(H17,Scoring!$A$4:$N$51,14,FALSE()),"-")</f>
        <v>0</v>
      </c>
      <c r="Q17" s="29">
        <f>IFERROR(VLOOKUP(I17,Scoring!$A$4:$N$51,6,FALSE()),"-")</f>
        <v>0</v>
      </c>
      <c r="R17" s="36">
        <f t="shared" si="0"/>
        <v>3</v>
      </c>
      <c r="S17">
        <f t="shared" si="1"/>
        <v>22</v>
      </c>
      <c r="T17">
        <f t="shared" si="2"/>
        <v>2.9999829999999998</v>
      </c>
      <c r="U17" s="44" t="s">
        <v>163</v>
      </c>
      <c r="W17" s="44" t="s">
        <v>143</v>
      </c>
    </row>
    <row r="18" spans="1:23" ht="12.75" customHeight="1" x14ac:dyDescent="0.3">
      <c r="A18" s="27" t="s">
        <v>164</v>
      </c>
      <c r="B18" s="43" t="s">
        <v>66</v>
      </c>
      <c r="C18" s="43" t="s">
        <v>78</v>
      </c>
      <c r="D18" s="43" t="s">
        <v>60</v>
      </c>
      <c r="E18" s="43" t="s">
        <v>72</v>
      </c>
      <c r="F18" s="43" t="s">
        <v>11</v>
      </c>
      <c r="G18" s="43" t="s">
        <v>54</v>
      </c>
      <c r="H18" s="43" t="s">
        <v>24</v>
      </c>
      <c r="I18" s="28" t="s">
        <v>60</v>
      </c>
      <c r="J18" s="28">
        <f>IFERROR(VLOOKUP(B18,Scoring!$A$4:$N$51,14,FALSE())*6,"-")</f>
        <v>0</v>
      </c>
      <c r="K18" s="28">
        <f>IFERROR(VLOOKUP(C18,Scoring!$A$4:$N$51,14,FALSE())*4,"-")</f>
        <v>0</v>
      </c>
      <c r="L18" s="28">
        <f>IFERROR(VLOOKUP(D18,Scoring!$A$4:$N$51,14,FALSE())*3,"-")</f>
        <v>0</v>
      </c>
      <c r="M18" s="28">
        <f>IFERROR(VLOOKUP(E18,Scoring!$A$4:$N$51,14,FALSE())*2,"-")</f>
        <v>0</v>
      </c>
      <c r="N18" s="28">
        <f>IFERROR(VLOOKUP(F18,Scoring!$A$4:$N$51,14,FALSE()),"-")</f>
        <v>3</v>
      </c>
      <c r="O18" s="28">
        <f>IFERROR(VLOOKUP(G18,Scoring!$A$4:$N$51,14,FALSE()),"-")</f>
        <v>0</v>
      </c>
      <c r="P18" s="29">
        <f>IFERROR(VLOOKUP(H18,Scoring!$A$4:$N$51,14,FALSE()),"-")</f>
        <v>1</v>
      </c>
      <c r="Q18" s="29">
        <f>IFERROR(VLOOKUP(I18,Scoring!$A$4:$N$51,6,FALSE()),"-")</f>
        <v>0</v>
      </c>
      <c r="R18" s="36">
        <f t="shared" si="0"/>
        <v>4</v>
      </c>
      <c r="S18">
        <f t="shared" si="1"/>
        <v>5</v>
      </c>
      <c r="T18">
        <f t="shared" si="2"/>
        <v>3.9999820000000001</v>
      </c>
      <c r="U18" s="44" t="s">
        <v>165</v>
      </c>
      <c r="W18" s="44" t="s">
        <v>143</v>
      </c>
    </row>
    <row r="19" spans="1:23" ht="12.75" customHeight="1" x14ac:dyDescent="0.3">
      <c r="A19" s="27" t="s">
        <v>166</v>
      </c>
      <c r="B19" s="43" t="s">
        <v>60</v>
      </c>
      <c r="C19" s="43" t="s">
        <v>66</v>
      </c>
      <c r="D19" s="43" t="s">
        <v>72</v>
      </c>
      <c r="E19" s="43" t="s">
        <v>53</v>
      </c>
      <c r="F19" s="43" t="s">
        <v>11</v>
      </c>
      <c r="G19" s="43" t="s">
        <v>71</v>
      </c>
      <c r="H19" s="43" t="s">
        <v>87</v>
      </c>
      <c r="I19" s="28" t="s">
        <v>60</v>
      </c>
      <c r="J19" s="28">
        <f>IFERROR(VLOOKUP(B19,Scoring!$A$4:$N$51,14,FALSE())*6,"-")</f>
        <v>0</v>
      </c>
      <c r="K19" s="28">
        <f>IFERROR(VLOOKUP(C19,Scoring!$A$4:$N$51,14,FALSE())*4,"-")</f>
        <v>0</v>
      </c>
      <c r="L19" s="28">
        <f>IFERROR(VLOOKUP(D19,Scoring!$A$4:$N$51,14,FALSE())*3,"-")</f>
        <v>0</v>
      </c>
      <c r="M19" s="28">
        <f>IFERROR(VLOOKUP(E19,Scoring!$A$4:$N$51,14,FALSE())*2,"-")</f>
        <v>0</v>
      </c>
      <c r="N19" s="28">
        <f>IFERROR(VLOOKUP(F19,Scoring!$A$4:$N$51,14,FALSE()),"-")</f>
        <v>3</v>
      </c>
      <c r="O19" s="28">
        <f>IFERROR(VLOOKUP(G19,Scoring!$A$4:$N$51,14,FALSE()),"-")</f>
        <v>0</v>
      </c>
      <c r="P19" s="29">
        <f>IFERROR(VLOOKUP(H19,Scoring!$A$4:$N$51,14,FALSE()),"-")</f>
        <v>0</v>
      </c>
      <c r="Q19" s="29">
        <f>IFERROR(VLOOKUP(I19,Scoring!$A$4:$N$51,6,FALSE()),"-")</f>
        <v>0</v>
      </c>
      <c r="R19" s="36">
        <f t="shared" si="0"/>
        <v>3</v>
      </c>
      <c r="S19">
        <f t="shared" si="1"/>
        <v>22</v>
      </c>
      <c r="T19">
        <f t="shared" si="2"/>
        <v>2.999981</v>
      </c>
      <c r="U19" s="44" t="s">
        <v>167</v>
      </c>
      <c r="W19" s="44" t="s">
        <v>143</v>
      </c>
    </row>
    <row r="20" spans="1:23" ht="12.75" customHeight="1" x14ac:dyDescent="0.3">
      <c r="A20" s="27" t="s">
        <v>168</v>
      </c>
      <c r="B20" s="43" t="s">
        <v>66</v>
      </c>
      <c r="C20" s="43" t="s">
        <v>78</v>
      </c>
      <c r="D20" s="43" t="s">
        <v>60</v>
      </c>
      <c r="E20" s="43" t="s">
        <v>84</v>
      </c>
      <c r="F20" s="43" t="s">
        <v>57</v>
      </c>
      <c r="G20" s="43" t="s">
        <v>23</v>
      </c>
      <c r="H20" s="43" t="s">
        <v>82</v>
      </c>
      <c r="I20" s="28" t="s">
        <v>60</v>
      </c>
      <c r="J20" s="28">
        <f>IFERROR(VLOOKUP(B20,Scoring!$A$4:$N$51,14,FALSE())*6,"-")</f>
        <v>0</v>
      </c>
      <c r="K20" s="28">
        <f>IFERROR(VLOOKUP(C20,Scoring!$A$4:$N$51,14,FALSE())*4,"-")</f>
        <v>0</v>
      </c>
      <c r="L20" s="28">
        <f>IFERROR(VLOOKUP(D20,Scoring!$A$4:$N$51,14,FALSE())*3,"-")</f>
        <v>0</v>
      </c>
      <c r="M20" s="28">
        <f>IFERROR(VLOOKUP(E20,Scoring!$A$4:$N$51,14,FALSE())*2,"-")</f>
        <v>0</v>
      </c>
      <c r="N20" s="28">
        <f>IFERROR(VLOOKUP(F20,Scoring!$A$4:$N$51,14,FALSE()),"-")</f>
        <v>0</v>
      </c>
      <c r="O20" s="28">
        <f>IFERROR(VLOOKUP(G20,Scoring!$A$4:$N$51,14,FALSE()),"-")</f>
        <v>1</v>
      </c>
      <c r="P20" s="29">
        <f>IFERROR(VLOOKUP(H20,Scoring!$A$4:$N$51,14,FALSE()),"-")</f>
        <v>0</v>
      </c>
      <c r="Q20" s="29">
        <f>IFERROR(VLOOKUP(I20,Scoring!$A$4:$N$51,6,FALSE()),"-")</f>
        <v>0</v>
      </c>
      <c r="R20" s="36">
        <f t="shared" si="0"/>
        <v>1</v>
      </c>
      <c r="S20">
        <f t="shared" si="1"/>
        <v>36</v>
      </c>
      <c r="T20">
        <f t="shared" si="2"/>
        <v>0.99997999999999998</v>
      </c>
      <c r="U20" s="143" t="s">
        <v>169</v>
      </c>
      <c r="W20" s="44" t="s">
        <v>143</v>
      </c>
    </row>
    <row r="21" spans="1:23" ht="12.75" customHeight="1" x14ac:dyDescent="0.3">
      <c r="A21" s="27" t="s">
        <v>170</v>
      </c>
      <c r="B21" s="43" t="s">
        <v>60</v>
      </c>
      <c r="C21" s="43" t="s">
        <v>29</v>
      </c>
      <c r="D21" s="43" t="s">
        <v>66</v>
      </c>
      <c r="E21" s="43" t="s">
        <v>78</v>
      </c>
      <c r="F21" s="43" t="s">
        <v>28</v>
      </c>
      <c r="G21" s="43" t="s">
        <v>71</v>
      </c>
      <c r="H21" s="43" t="s">
        <v>64</v>
      </c>
      <c r="I21" s="28" t="s">
        <v>60</v>
      </c>
      <c r="J21" s="28">
        <f>IFERROR(VLOOKUP(B21,Scoring!$A$4:$N$51,14,FALSE())*6,"-")</f>
        <v>0</v>
      </c>
      <c r="K21" s="28">
        <f>IFERROR(VLOOKUP(C21,Scoring!$A$4:$N$51,14,FALSE())*4,"-")</f>
        <v>0</v>
      </c>
      <c r="L21" s="28">
        <f>IFERROR(VLOOKUP(D21,Scoring!$A$4:$N$51,14,FALSE())*3,"-")</f>
        <v>0</v>
      </c>
      <c r="M21" s="28">
        <f>IFERROR(VLOOKUP(E21,Scoring!$A$4:$N$51,14,FALSE())*2,"-")</f>
        <v>0</v>
      </c>
      <c r="N21" s="28">
        <f>IFERROR(VLOOKUP(F21,Scoring!$A$4:$N$51,14,FALSE()),"-")</f>
        <v>0</v>
      </c>
      <c r="O21" s="28">
        <f>IFERROR(VLOOKUP(G21,Scoring!$A$4:$N$51,14,FALSE()),"-")</f>
        <v>0</v>
      </c>
      <c r="P21" s="29">
        <f>IFERROR(VLOOKUP(H21,Scoring!$A$4:$N$51,14,FALSE()),"-")</f>
        <v>0</v>
      </c>
      <c r="Q21" s="29">
        <f>IFERROR(VLOOKUP(I21,Scoring!$A$4:$N$51,6,FALSE()),"-")</f>
        <v>0</v>
      </c>
      <c r="R21" s="36">
        <f t="shared" si="0"/>
        <v>0</v>
      </c>
      <c r="S21">
        <f t="shared" si="1"/>
        <v>63</v>
      </c>
      <c r="T21">
        <f t="shared" si="2"/>
        <v>-2.0999999999999999E-5</v>
      </c>
      <c r="U21" s="143" t="s">
        <v>171</v>
      </c>
      <c r="W21" s="44" t="s">
        <v>143</v>
      </c>
    </row>
    <row r="22" spans="1:23" ht="12.75" customHeight="1" x14ac:dyDescent="0.3">
      <c r="A22" s="27" t="s">
        <v>172</v>
      </c>
      <c r="B22" s="43" t="s">
        <v>60</v>
      </c>
      <c r="C22" s="43" t="s">
        <v>84</v>
      </c>
      <c r="D22" s="43" t="s">
        <v>66</v>
      </c>
      <c r="E22" s="43" t="s">
        <v>78</v>
      </c>
      <c r="F22" s="43" t="s">
        <v>11</v>
      </c>
      <c r="G22" s="43" t="s">
        <v>71</v>
      </c>
      <c r="H22" s="43" t="s">
        <v>87</v>
      </c>
      <c r="I22" s="28" t="s">
        <v>60</v>
      </c>
      <c r="J22" s="28">
        <f>IFERROR(VLOOKUP(B22,Scoring!$A$4:$N$51,14,FALSE())*6,"-")</f>
        <v>0</v>
      </c>
      <c r="K22" s="28">
        <f>IFERROR(VLOOKUP(C22,Scoring!$A$4:$N$51,14,FALSE())*4,"-")</f>
        <v>0</v>
      </c>
      <c r="L22" s="28">
        <f>IFERROR(VLOOKUP(D22,Scoring!$A$4:$N$51,14,FALSE())*3,"-")</f>
        <v>0</v>
      </c>
      <c r="M22" s="28">
        <f>IFERROR(VLOOKUP(E22,Scoring!$A$4:$N$51,14,FALSE())*2,"-")</f>
        <v>0</v>
      </c>
      <c r="N22" s="28">
        <f>IFERROR(VLOOKUP(F22,Scoring!$A$4:$N$51,14,FALSE()),"-")</f>
        <v>3</v>
      </c>
      <c r="O22" s="28">
        <f>IFERROR(VLOOKUP(G22,Scoring!$A$4:$N$51,14,FALSE()),"-")</f>
        <v>0</v>
      </c>
      <c r="P22" s="29">
        <f>IFERROR(VLOOKUP(H22,Scoring!$A$4:$N$51,14,FALSE()),"-")</f>
        <v>0</v>
      </c>
      <c r="Q22" s="29">
        <f>IFERROR(VLOOKUP(I22,Scoring!$A$4:$N$51,6,FALSE()),"-")</f>
        <v>0</v>
      </c>
      <c r="R22" s="36">
        <f t="shared" si="0"/>
        <v>3</v>
      </c>
      <c r="S22">
        <f t="shared" si="1"/>
        <v>22</v>
      </c>
      <c r="T22">
        <f t="shared" si="2"/>
        <v>2.999978</v>
      </c>
      <c r="U22" s="143" t="s">
        <v>173</v>
      </c>
      <c r="W22" s="44" t="s">
        <v>143</v>
      </c>
    </row>
    <row r="23" spans="1:23" ht="12.75" customHeight="1" x14ac:dyDescent="0.3">
      <c r="A23" s="27" t="s">
        <v>174</v>
      </c>
      <c r="B23" s="43" t="s">
        <v>60</v>
      </c>
      <c r="C23" s="43" t="s">
        <v>78</v>
      </c>
      <c r="D23" s="43" t="s">
        <v>66</v>
      </c>
      <c r="E23" s="43" t="s">
        <v>72</v>
      </c>
      <c r="F23" s="43" t="s">
        <v>83</v>
      </c>
      <c r="G23" s="43" t="s">
        <v>71</v>
      </c>
      <c r="H23" s="43" t="s">
        <v>82</v>
      </c>
      <c r="I23" s="28" t="s">
        <v>60</v>
      </c>
      <c r="J23" s="28">
        <f>IFERROR(VLOOKUP(B23,Scoring!$A$4:$N$51,14,FALSE())*6,"-")</f>
        <v>0</v>
      </c>
      <c r="K23" s="28">
        <f>IFERROR(VLOOKUP(C23,Scoring!$A$4:$N$51,14,FALSE())*4,"-")</f>
        <v>0</v>
      </c>
      <c r="L23" s="28">
        <f>IFERROR(VLOOKUP(D23,Scoring!$A$4:$N$51,14,FALSE())*3,"-")</f>
        <v>0</v>
      </c>
      <c r="M23" s="28">
        <f>IFERROR(VLOOKUP(E23,Scoring!$A$4:$N$51,14,FALSE())*2,"-")</f>
        <v>0</v>
      </c>
      <c r="N23" s="28">
        <f>IFERROR(VLOOKUP(F23,Scoring!$A$4:$N$51,14,FALSE()),"-")</f>
        <v>0</v>
      </c>
      <c r="O23" s="28">
        <f>IFERROR(VLOOKUP(G23,Scoring!$A$4:$N$51,14,FALSE()),"-")</f>
        <v>0</v>
      </c>
      <c r="P23" s="29">
        <f>IFERROR(VLOOKUP(H23,Scoring!$A$4:$N$51,14,FALSE()),"-")</f>
        <v>0</v>
      </c>
      <c r="Q23" s="29">
        <f>IFERROR(VLOOKUP(I23,Scoring!$A$4:$N$51,6,FALSE()),"-")</f>
        <v>0</v>
      </c>
      <c r="R23" s="36">
        <f t="shared" si="0"/>
        <v>0</v>
      </c>
      <c r="S23">
        <f t="shared" si="1"/>
        <v>63</v>
      </c>
      <c r="T23">
        <f t="shared" si="2"/>
        <v>-2.3E-5</v>
      </c>
      <c r="U23" s="143" t="s">
        <v>175</v>
      </c>
      <c r="W23" s="44" t="s">
        <v>143</v>
      </c>
    </row>
    <row r="24" spans="1:23" ht="12.75" customHeight="1" x14ac:dyDescent="0.3">
      <c r="A24" s="27" t="s">
        <v>176</v>
      </c>
      <c r="B24" s="43" t="s">
        <v>66</v>
      </c>
      <c r="C24" s="43" t="s">
        <v>84</v>
      </c>
      <c r="D24" s="43" t="s">
        <v>60</v>
      </c>
      <c r="E24" s="43" t="s">
        <v>78</v>
      </c>
      <c r="F24" s="43" t="s">
        <v>45</v>
      </c>
      <c r="G24" s="43" t="s">
        <v>44</v>
      </c>
      <c r="H24" s="43" t="s">
        <v>87</v>
      </c>
      <c r="I24" s="28" t="s">
        <v>66</v>
      </c>
      <c r="J24" s="28">
        <f>IFERROR(VLOOKUP(B24,Scoring!$A$4:$N$51,14,FALSE())*6,"-")</f>
        <v>0</v>
      </c>
      <c r="K24" s="28">
        <f>IFERROR(VLOOKUP(C24,Scoring!$A$4:$N$51,14,FALSE())*4,"-")</f>
        <v>0</v>
      </c>
      <c r="L24" s="28">
        <f>IFERROR(VLOOKUP(D24,Scoring!$A$4:$N$51,14,FALSE())*3,"-")</f>
        <v>0</v>
      </c>
      <c r="M24" s="28">
        <f>IFERROR(VLOOKUP(E24,Scoring!$A$4:$N$51,14,FALSE())*2,"-")</f>
        <v>0</v>
      </c>
      <c r="N24" s="28">
        <f>IFERROR(VLOOKUP(F24,Scoring!$A$4:$N$51,14,FALSE()),"-")</f>
        <v>0</v>
      </c>
      <c r="O24" s="28">
        <f>IFERROR(VLOOKUP(G24,Scoring!$A$4:$N$51,14,FALSE()),"-")</f>
        <v>0</v>
      </c>
      <c r="P24" s="29">
        <f>IFERROR(VLOOKUP(H24,Scoring!$A$4:$N$51,14,FALSE()),"-")</f>
        <v>0</v>
      </c>
      <c r="Q24" s="29">
        <f>IFERROR(VLOOKUP(I24,Scoring!$A$4:$N$51,6,FALSE()),"-")</f>
        <v>0</v>
      </c>
      <c r="R24" s="36">
        <f t="shared" si="0"/>
        <v>0</v>
      </c>
      <c r="S24">
        <f t="shared" si="1"/>
        <v>63</v>
      </c>
      <c r="T24">
        <f t="shared" si="2"/>
        <v>-2.4000000000000001E-5</v>
      </c>
      <c r="U24" s="144" t="s">
        <v>177</v>
      </c>
      <c r="W24" s="44" t="s">
        <v>143</v>
      </c>
    </row>
    <row r="25" spans="1:23" ht="12.75" customHeight="1" x14ac:dyDescent="0.3">
      <c r="A25" s="27" t="s">
        <v>178</v>
      </c>
      <c r="B25" s="43" t="s">
        <v>40</v>
      </c>
      <c r="C25" s="43" t="s">
        <v>84</v>
      </c>
      <c r="D25" s="43" t="s">
        <v>78</v>
      </c>
      <c r="E25" s="43" t="s">
        <v>60</v>
      </c>
      <c r="F25" s="43" t="s">
        <v>35</v>
      </c>
      <c r="G25" s="43" t="s">
        <v>23</v>
      </c>
      <c r="H25" s="43" t="s">
        <v>24</v>
      </c>
      <c r="I25" s="28" t="s">
        <v>40</v>
      </c>
      <c r="J25" s="28">
        <f>IFERROR(VLOOKUP(B25,Scoring!$A$4:$N$51,14,FALSE())*6,"-")</f>
        <v>0</v>
      </c>
      <c r="K25" s="28">
        <f>IFERROR(VLOOKUP(C25,Scoring!$A$4:$N$51,14,FALSE())*4,"-")</f>
        <v>0</v>
      </c>
      <c r="L25" s="28">
        <f>IFERROR(VLOOKUP(D25,Scoring!$A$4:$N$51,14,FALSE())*3,"-")</f>
        <v>0</v>
      </c>
      <c r="M25" s="28">
        <f>IFERROR(VLOOKUP(E25,Scoring!$A$4:$N$51,14,FALSE())*2,"-")</f>
        <v>0</v>
      </c>
      <c r="N25" s="28">
        <f>IFERROR(VLOOKUP(F25,Scoring!$A$4:$N$51,14,FALSE()),"-")</f>
        <v>3</v>
      </c>
      <c r="O25" s="28">
        <f>IFERROR(VLOOKUP(G25,Scoring!$A$4:$N$51,14,FALSE()),"-")</f>
        <v>1</v>
      </c>
      <c r="P25" s="29">
        <f>IFERROR(VLOOKUP(H25,Scoring!$A$4:$N$51,14,FALSE()),"-")</f>
        <v>1</v>
      </c>
      <c r="Q25" s="29">
        <f>IFERROR(VLOOKUP(I25,Scoring!$A$4:$N$51,6,FALSE()),"-")</f>
        <v>0</v>
      </c>
      <c r="R25" s="36">
        <f t="shared" si="0"/>
        <v>5</v>
      </c>
      <c r="S25">
        <f t="shared" si="1"/>
        <v>2</v>
      </c>
      <c r="T25">
        <f t="shared" si="2"/>
        <v>4.9999750000000001</v>
      </c>
      <c r="U25" s="143" t="s">
        <v>179</v>
      </c>
      <c r="W25" s="44" t="s">
        <v>143</v>
      </c>
    </row>
    <row r="26" spans="1:23" ht="12.75" customHeight="1" x14ac:dyDescent="0.3">
      <c r="A26" s="27" t="s">
        <v>180</v>
      </c>
      <c r="B26" s="43" t="s">
        <v>60</v>
      </c>
      <c r="C26" s="43" t="s">
        <v>29</v>
      </c>
      <c r="D26" s="43" t="s">
        <v>72</v>
      </c>
      <c r="E26" s="43" t="s">
        <v>66</v>
      </c>
      <c r="F26" s="43" t="s">
        <v>35</v>
      </c>
      <c r="G26" s="43" t="s">
        <v>23</v>
      </c>
      <c r="H26" s="43" t="s">
        <v>12</v>
      </c>
      <c r="I26" s="28" t="s">
        <v>60</v>
      </c>
      <c r="J26" s="28">
        <f>IFERROR(VLOOKUP(B26,Scoring!$A$4:$N$51,14,FALSE())*6,"-")</f>
        <v>0</v>
      </c>
      <c r="K26" s="28">
        <f>IFERROR(VLOOKUP(C26,Scoring!$A$4:$N$51,14,FALSE())*4,"-")</f>
        <v>0</v>
      </c>
      <c r="L26" s="28">
        <f>IFERROR(VLOOKUP(D26,Scoring!$A$4:$N$51,14,FALSE())*3,"-")</f>
        <v>0</v>
      </c>
      <c r="M26" s="28">
        <f>IFERROR(VLOOKUP(E26,Scoring!$A$4:$N$51,14,FALSE())*2,"-")</f>
        <v>0</v>
      </c>
      <c r="N26" s="28">
        <f>IFERROR(VLOOKUP(F26,Scoring!$A$4:$N$51,14,FALSE()),"-")</f>
        <v>3</v>
      </c>
      <c r="O26" s="28">
        <f>IFERROR(VLOOKUP(G26,Scoring!$A$4:$N$51,14,FALSE()),"-")</f>
        <v>1</v>
      </c>
      <c r="P26" s="29">
        <f>IFERROR(VLOOKUP(H26,Scoring!$A$4:$N$51,14,FALSE()),"-")</f>
        <v>0</v>
      </c>
      <c r="Q26" s="29">
        <f>IFERROR(VLOOKUP(I26,Scoring!$A$4:$N$51,6,FALSE()),"-")</f>
        <v>0</v>
      </c>
      <c r="R26" s="36">
        <f t="shared" si="0"/>
        <v>4</v>
      </c>
      <c r="S26">
        <f t="shared" si="1"/>
        <v>5</v>
      </c>
      <c r="T26">
        <f t="shared" si="2"/>
        <v>3.9999739999999999</v>
      </c>
      <c r="U26" s="143" t="s">
        <v>179</v>
      </c>
      <c r="W26" s="44" t="s">
        <v>143</v>
      </c>
    </row>
    <row r="27" spans="1:23" ht="12.75" customHeight="1" x14ac:dyDescent="0.3">
      <c r="A27" s="27" t="s">
        <v>181</v>
      </c>
      <c r="B27" s="43" t="s">
        <v>66</v>
      </c>
      <c r="C27" s="43" t="s">
        <v>84</v>
      </c>
      <c r="D27" s="43" t="s">
        <v>29</v>
      </c>
      <c r="E27" s="43" t="s">
        <v>60</v>
      </c>
      <c r="F27" s="43" t="s">
        <v>47</v>
      </c>
      <c r="G27" s="43" t="s">
        <v>71</v>
      </c>
      <c r="H27" s="43" t="s">
        <v>82</v>
      </c>
      <c r="I27" s="28" t="s">
        <v>66</v>
      </c>
      <c r="J27" s="28">
        <f>IFERROR(VLOOKUP(B27,Scoring!$A$4:$N$51,14,FALSE())*6,"-")</f>
        <v>0</v>
      </c>
      <c r="K27" s="28">
        <f>IFERROR(VLOOKUP(C27,Scoring!$A$4:$N$51,14,FALSE())*4,"-")</f>
        <v>0</v>
      </c>
      <c r="L27" s="28">
        <f>IFERROR(VLOOKUP(D27,Scoring!$A$4:$N$51,14,FALSE())*3,"-")</f>
        <v>0</v>
      </c>
      <c r="M27" s="28">
        <f>IFERROR(VLOOKUP(E27,Scoring!$A$4:$N$51,14,FALSE())*2,"-")</f>
        <v>0</v>
      </c>
      <c r="N27" s="28">
        <f>IFERROR(VLOOKUP(F27,Scoring!$A$4:$N$51,14,FALSE()),"-")</f>
        <v>0</v>
      </c>
      <c r="O27" s="28">
        <f>IFERROR(VLOOKUP(G27,Scoring!$A$4:$N$51,14,FALSE()),"-")</f>
        <v>0</v>
      </c>
      <c r="P27" s="29">
        <f>IFERROR(VLOOKUP(H27,Scoring!$A$4:$N$51,14,FALSE()),"-")</f>
        <v>0</v>
      </c>
      <c r="Q27" s="29">
        <f>IFERROR(VLOOKUP(I27,Scoring!$A$4:$N$51,6,FALSE()),"-")</f>
        <v>0</v>
      </c>
      <c r="R27" s="36">
        <f t="shared" si="0"/>
        <v>0</v>
      </c>
      <c r="S27">
        <f t="shared" si="1"/>
        <v>63</v>
      </c>
      <c r="T27">
        <f t="shared" si="2"/>
        <v>-2.6999999999999999E-5</v>
      </c>
      <c r="U27" s="44" t="s">
        <v>182</v>
      </c>
      <c r="W27" s="44" t="s">
        <v>22</v>
      </c>
    </row>
    <row r="28" spans="1:23" ht="12.75" customHeight="1" x14ac:dyDescent="0.3">
      <c r="A28" s="27" t="s">
        <v>183</v>
      </c>
      <c r="B28" s="43" t="s">
        <v>60</v>
      </c>
      <c r="C28" s="43" t="s">
        <v>66</v>
      </c>
      <c r="D28" s="43" t="s">
        <v>84</v>
      </c>
      <c r="E28" s="43" t="s">
        <v>72</v>
      </c>
      <c r="F28" s="43" t="s">
        <v>11</v>
      </c>
      <c r="G28" s="43" t="s">
        <v>71</v>
      </c>
      <c r="H28" s="43" t="s">
        <v>87</v>
      </c>
      <c r="I28" s="28" t="s">
        <v>60</v>
      </c>
      <c r="J28" s="28">
        <f>IFERROR(VLOOKUP(B28,Scoring!$A$4:$N$51,14,FALSE())*6,"-")</f>
        <v>0</v>
      </c>
      <c r="K28" s="28">
        <f>IFERROR(VLOOKUP(C28,Scoring!$A$4:$N$51,14,FALSE())*4,"-")</f>
        <v>0</v>
      </c>
      <c r="L28" s="28">
        <f>IFERROR(VLOOKUP(D28,Scoring!$A$4:$N$51,14,FALSE())*3,"-")</f>
        <v>0</v>
      </c>
      <c r="M28" s="28">
        <f>IFERROR(VLOOKUP(E28,Scoring!$A$4:$N$51,14,FALSE())*2,"-")</f>
        <v>0</v>
      </c>
      <c r="N28" s="28">
        <f>IFERROR(VLOOKUP(F28,Scoring!$A$4:$N$51,14,FALSE()),"-")</f>
        <v>3</v>
      </c>
      <c r="O28" s="28">
        <f>IFERROR(VLOOKUP(G28,Scoring!$A$4:$N$51,14,FALSE()),"-")</f>
        <v>0</v>
      </c>
      <c r="P28" s="29">
        <f>IFERROR(VLOOKUP(H28,Scoring!$A$4:$N$51,14,FALSE()),"-")</f>
        <v>0</v>
      </c>
      <c r="Q28" s="29">
        <f>IFERROR(VLOOKUP(I28,Scoring!$A$4:$N$51,6,FALSE()),"-")</f>
        <v>0</v>
      </c>
      <c r="R28" s="36">
        <f t="shared" si="0"/>
        <v>3</v>
      </c>
      <c r="S28">
        <f t="shared" si="1"/>
        <v>22</v>
      </c>
      <c r="T28">
        <f t="shared" si="2"/>
        <v>2.9999720000000001</v>
      </c>
      <c r="U28" s="44" t="s">
        <v>184</v>
      </c>
      <c r="W28" s="44" t="s">
        <v>22</v>
      </c>
    </row>
    <row r="29" spans="1:23" ht="12.75" customHeight="1" x14ac:dyDescent="0.3">
      <c r="A29" s="27" t="s">
        <v>185</v>
      </c>
      <c r="B29" s="43" t="s">
        <v>46</v>
      </c>
      <c r="C29" s="43" t="s">
        <v>78</v>
      </c>
      <c r="D29" s="43" t="s">
        <v>66</v>
      </c>
      <c r="E29" s="43" t="s">
        <v>60</v>
      </c>
      <c r="F29" s="43" t="s">
        <v>47</v>
      </c>
      <c r="G29" s="43" t="s">
        <v>16</v>
      </c>
      <c r="H29" s="43" t="s">
        <v>87</v>
      </c>
      <c r="I29" s="28" t="s">
        <v>46</v>
      </c>
      <c r="J29" s="28">
        <f>IFERROR(VLOOKUP(B29,Scoring!$A$4:$N$51,14,FALSE())*6,"-")</f>
        <v>0</v>
      </c>
      <c r="K29" s="28">
        <f>IFERROR(VLOOKUP(C29,Scoring!$A$4:$N$51,14,FALSE())*4,"-")</f>
        <v>0</v>
      </c>
      <c r="L29" s="28">
        <f>IFERROR(VLOOKUP(D29,Scoring!$A$4:$N$51,14,FALSE())*3,"-")</f>
        <v>0</v>
      </c>
      <c r="M29" s="28">
        <f>IFERROR(VLOOKUP(E29,Scoring!$A$4:$N$51,14,FALSE())*2,"-")</f>
        <v>0</v>
      </c>
      <c r="N29" s="28">
        <f>IFERROR(VLOOKUP(F29,Scoring!$A$4:$N$51,14,FALSE()),"-")</f>
        <v>0</v>
      </c>
      <c r="O29" s="28">
        <f>IFERROR(VLOOKUP(G29,Scoring!$A$4:$N$51,14,FALSE()),"-")</f>
        <v>0</v>
      </c>
      <c r="P29" s="29">
        <f>IFERROR(VLOOKUP(H29,Scoring!$A$4:$N$51,14,FALSE()),"-")</f>
        <v>0</v>
      </c>
      <c r="Q29" s="29">
        <f>IFERROR(VLOOKUP(I29,Scoring!$A$4:$N$51,6,FALSE()),"-")</f>
        <v>0</v>
      </c>
      <c r="R29" s="36">
        <f t="shared" si="0"/>
        <v>0</v>
      </c>
      <c r="S29">
        <f t="shared" si="1"/>
        <v>63</v>
      </c>
      <c r="T29">
        <f t="shared" si="2"/>
        <v>-2.9E-5</v>
      </c>
      <c r="U29" s="44" t="s">
        <v>186</v>
      </c>
      <c r="W29" s="44" t="s">
        <v>143</v>
      </c>
    </row>
    <row r="30" spans="1:23" ht="12.75" customHeight="1" x14ac:dyDescent="0.3">
      <c r="A30" s="27" t="s">
        <v>187</v>
      </c>
      <c r="B30" s="43" t="s">
        <v>29</v>
      </c>
      <c r="C30" s="43" t="s">
        <v>60</v>
      </c>
      <c r="D30" s="43" t="s">
        <v>40</v>
      </c>
      <c r="E30" s="43" t="s">
        <v>84</v>
      </c>
      <c r="F30" s="43" t="s">
        <v>28</v>
      </c>
      <c r="G30" s="43" t="s">
        <v>71</v>
      </c>
      <c r="H30" s="43" t="s">
        <v>12</v>
      </c>
      <c r="I30" s="28" t="s">
        <v>29</v>
      </c>
      <c r="J30" s="28">
        <f>IFERROR(VLOOKUP(B30,Scoring!$A$4:$N$51,14,FALSE())*6,"-")</f>
        <v>0</v>
      </c>
      <c r="K30" s="28">
        <f>IFERROR(VLOOKUP(C30,Scoring!$A$4:$N$51,14,FALSE())*4,"-")</f>
        <v>0</v>
      </c>
      <c r="L30" s="28">
        <f>IFERROR(VLOOKUP(D30,Scoring!$A$4:$N$51,14,FALSE())*3,"-")</f>
        <v>0</v>
      </c>
      <c r="M30" s="28">
        <f>IFERROR(VLOOKUP(E30,Scoring!$A$4:$N$51,14,FALSE())*2,"-")</f>
        <v>0</v>
      </c>
      <c r="N30" s="28">
        <f>IFERROR(VLOOKUP(F30,Scoring!$A$4:$N$51,14,FALSE()),"-")</f>
        <v>0</v>
      </c>
      <c r="O30" s="28">
        <f>IFERROR(VLOOKUP(G30,Scoring!$A$4:$N$51,14,FALSE()),"-")</f>
        <v>0</v>
      </c>
      <c r="P30" s="29">
        <f>IFERROR(VLOOKUP(H30,Scoring!$A$4:$N$51,14,FALSE()),"-")</f>
        <v>0</v>
      </c>
      <c r="Q30" s="29">
        <f>IFERROR(VLOOKUP(I30,Scoring!$A$4:$N$51,6,FALSE()),"-")</f>
        <v>0</v>
      </c>
      <c r="R30" s="36">
        <f t="shared" si="0"/>
        <v>0</v>
      </c>
      <c r="S30">
        <f t="shared" si="1"/>
        <v>63</v>
      </c>
      <c r="T30">
        <f t="shared" si="2"/>
        <v>-3.0000000000000001E-5</v>
      </c>
      <c r="U30" s="44" t="s">
        <v>188</v>
      </c>
      <c r="W30" s="44" t="s">
        <v>143</v>
      </c>
    </row>
    <row r="31" spans="1:23" ht="12.75" customHeight="1" x14ac:dyDescent="0.3">
      <c r="A31" s="27" t="s">
        <v>189</v>
      </c>
      <c r="B31" s="43" t="s">
        <v>66</v>
      </c>
      <c r="C31" s="43" t="s">
        <v>78</v>
      </c>
      <c r="D31" s="43" t="s">
        <v>72</v>
      </c>
      <c r="E31" s="43" t="s">
        <v>46</v>
      </c>
      <c r="F31" s="43" t="s">
        <v>11</v>
      </c>
      <c r="G31" s="43" t="s">
        <v>34</v>
      </c>
      <c r="H31" s="43" t="s">
        <v>24</v>
      </c>
      <c r="I31" s="28" t="s">
        <v>78</v>
      </c>
      <c r="J31" s="28">
        <f>IFERROR(VLOOKUP(B31,Scoring!$A$4:$N$51,14,FALSE())*6,"-")</f>
        <v>0</v>
      </c>
      <c r="K31" s="28">
        <f>IFERROR(VLOOKUP(C31,Scoring!$A$4:$N$51,14,FALSE())*4,"-")</f>
        <v>0</v>
      </c>
      <c r="L31" s="28">
        <f>IFERROR(VLOOKUP(D31,Scoring!$A$4:$N$51,14,FALSE())*3,"-")</f>
        <v>0</v>
      </c>
      <c r="M31" s="28">
        <f>IFERROR(VLOOKUP(E31,Scoring!$A$4:$N$51,14,FALSE())*2,"-")</f>
        <v>0</v>
      </c>
      <c r="N31" s="28">
        <f>IFERROR(VLOOKUP(F31,Scoring!$A$4:$N$51,14,FALSE()),"-")</f>
        <v>3</v>
      </c>
      <c r="O31" s="28">
        <f>IFERROR(VLOOKUP(G31,Scoring!$A$4:$N$51,14,FALSE()),"-")</f>
        <v>0</v>
      </c>
      <c r="P31" s="29">
        <f>IFERROR(VLOOKUP(H31,Scoring!$A$4:$N$51,14,FALSE()),"-")</f>
        <v>1</v>
      </c>
      <c r="Q31" s="29">
        <f>IFERROR(VLOOKUP(I31,Scoring!$A$4:$N$51,6,FALSE()),"-")</f>
        <v>0</v>
      </c>
      <c r="R31" s="36">
        <f t="shared" si="0"/>
        <v>4</v>
      </c>
      <c r="S31">
        <f t="shared" si="1"/>
        <v>5</v>
      </c>
      <c r="T31">
        <f t="shared" si="2"/>
        <v>3.9999690000000001</v>
      </c>
      <c r="U31" s="44" t="s">
        <v>190</v>
      </c>
      <c r="W31" s="44" t="s">
        <v>143</v>
      </c>
    </row>
    <row r="32" spans="1:23" ht="12.75" customHeight="1" x14ac:dyDescent="0.3">
      <c r="A32" s="27" t="s">
        <v>191</v>
      </c>
      <c r="B32" s="43" t="s">
        <v>60</v>
      </c>
      <c r="C32" s="43" t="s">
        <v>72</v>
      </c>
      <c r="D32" s="43" t="s">
        <v>84</v>
      </c>
      <c r="E32" s="43" t="s">
        <v>66</v>
      </c>
      <c r="F32" s="43" t="s">
        <v>28</v>
      </c>
      <c r="G32" s="43" t="s">
        <v>16</v>
      </c>
      <c r="H32" s="43" t="s">
        <v>87</v>
      </c>
      <c r="I32" s="28" t="s">
        <v>60</v>
      </c>
      <c r="J32" s="28">
        <f>IFERROR(VLOOKUP(B32,Scoring!$A$4:$N$51,14,FALSE())*6,"-")</f>
        <v>0</v>
      </c>
      <c r="K32" s="28">
        <f>IFERROR(VLOOKUP(C32,Scoring!$A$4:$N$51,14,FALSE())*4,"-")</f>
        <v>0</v>
      </c>
      <c r="L32" s="28">
        <f>IFERROR(VLOOKUP(D32,Scoring!$A$4:$N$51,14,FALSE())*3,"-")</f>
        <v>0</v>
      </c>
      <c r="M32" s="28">
        <f>IFERROR(VLOOKUP(E32,Scoring!$A$4:$N$51,14,FALSE())*2,"-")</f>
        <v>0</v>
      </c>
      <c r="N32" s="28">
        <f>IFERROR(VLOOKUP(F32,Scoring!$A$4:$N$51,14,FALSE()),"-")</f>
        <v>0</v>
      </c>
      <c r="O32" s="28">
        <f>IFERROR(VLOOKUP(G32,Scoring!$A$4:$N$51,14,FALSE()),"-")</f>
        <v>0</v>
      </c>
      <c r="P32" s="29">
        <f>IFERROR(VLOOKUP(H32,Scoring!$A$4:$N$51,14,FALSE()),"-")</f>
        <v>0</v>
      </c>
      <c r="Q32" s="29">
        <f>IFERROR(VLOOKUP(I32,Scoring!$A$4:$N$51,6,FALSE()),"-")</f>
        <v>0</v>
      </c>
      <c r="R32" s="36">
        <f t="shared" si="0"/>
        <v>0</v>
      </c>
      <c r="S32">
        <f t="shared" si="1"/>
        <v>63</v>
      </c>
      <c r="T32">
        <f t="shared" si="2"/>
        <v>-3.1999999999999999E-5</v>
      </c>
      <c r="U32" s="44" t="s">
        <v>192</v>
      </c>
      <c r="W32" s="44" t="s">
        <v>22</v>
      </c>
    </row>
    <row r="33" spans="1:23" ht="12.75" customHeight="1" x14ac:dyDescent="0.3">
      <c r="A33" s="27" t="s">
        <v>193</v>
      </c>
      <c r="B33" s="43" t="s">
        <v>78</v>
      </c>
      <c r="C33" s="43" t="s">
        <v>40</v>
      </c>
      <c r="D33" s="43" t="s">
        <v>29</v>
      </c>
      <c r="E33" s="43" t="s">
        <v>60</v>
      </c>
      <c r="F33" s="43" t="s">
        <v>11</v>
      </c>
      <c r="G33" s="43" t="s">
        <v>38</v>
      </c>
      <c r="H33" s="43" t="s">
        <v>79</v>
      </c>
      <c r="I33" s="28" t="s">
        <v>40</v>
      </c>
      <c r="J33" s="28">
        <f>IFERROR(VLOOKUP(B33,Scoring!$A$4:$N$51,14,FALSE())*6,"-")</f>
        <v>0</v>
      </c>
      <c r="K33" s="28">
        <f>IFERROR(VLOOKUP(C33,Scoring!$A$4:$N$51,14,FALSE())*4,"-")</f>
        <v>0</v>
      </c>
      <c r="L33" s="28">
        <f>IFERROR(VLOOKUP(D33,Scoring!$A$4:$N$51,14,FALSE())*3,"-")</f>
        <v>0</v>
      </c>
      <c r="M33" s="28">
        <f>IFERROR(VLOOKUP(E33,Scoring!$A$4:$N$51,14,FALSE())*2,"-")</f>
        <v>0</v>
      </c>
      <c r="N33" s="28">
        <f>IFERROR(VLOOKUP(F33,Scoring!$A$4:$N$51,14,FALSE()),"-")</f>
        <v>3</v>
      </c>
      <c r="O33" s="28">
        <f>IFERROR(VLOOKUP(G33,Scoring!$A$4:$N$51,14,FALSE()),"-")</f>
        <v>0</v>
      </c>
      <c r="P33" s="29">
        <f>IFERROR(VLOOKUP(H33,Scoring!$A$4:$N$51,14,FALSE()),"-")</f>
        <v>0</v>
      </c>
      <c r="Q33" s="29">
        <f>IFERROR(VLOOKUP(I33,Scoring!$A$4:$N$51,6,FALSE()),"-")</f>
        <v>0</v>
      </c>
      <c r="R33" s="36">
        <f t="shared" si="0"/>
        <v>3</v>
      </c>
      <c r="S33">
        <f t="shared" si="1"/>
        <v>22</v>
      </c>
      <c r="T33">
        <f t="shared" si="2"/>
        <v>2.9999669999999998</v>
      </c>
      <c r="U33" s="143" t="s">
        <v>194</v>
      </c>
      <c r="W33" s="44" t="s">
        <v>143</v>
      </c>
    </row>
    <row r="34" spans="1:23" ht="12.75" customHeight="1" x14ac:dyDescent="0.3">
      <c r="A34" s="27" t="s">
        <v>195</v>
      </c>
      <c r="B34" s="43" t="s">
        <v>60</v>
      </c>
      <c r="C34" s="43" t="s">
        <v>29</v>
      </c>
      <c r="D34" s="43" t="s">
        <v>66</v>
      </c>
      <c r="E34" s="43" t="s">
        <v>72</v>
      </c>
      <c r="F34" s="43" t="s">
        <v>28</v>
      </c>
      <c r="G34" s="43" t="s">
        <v>71</v>
      </c>
      <c r="H34" s="43" t="s">
        <v>87</v>
      </c>
      <c r="I34" s="28" t="s">
        <v>60</v>
      </c>
      <c r="J34" s="28">
        <f>IFERROR(VLOOKUP(B34,Scoring!$A$4:$N$51,14,FALSE())*6,"-")</f>
        <v>0</v>
      </c>
      <c r="K34" s="28">
        <f>IFERROR(VLOOKUP(C34,Scoring!$A$4:$N$51,14,FALSE())*4,"-")</f>
        <v>0</v>
      </c>
      <c r="L34" s="28">
        <f>IFERROR(VLOOKUP(D34,Scoring!$A$4:$N$51,14,FALSE())*3,"-")</f>
        <v>0</v>
      </c>
      <c r="M34" s="28">
        <f>IFERROR(VLOOKUP(E34,Scoring!$A$4:$N$51,14,FALSE())*2,"-")</f>
        <v>0</v>
      </c>
      <c r="N34" s="28">
        <f>IFERROR(VLOOKUP(F34,Scoring!$A$4:$N$51,14,FALSE()),"-")</f>
        <v>0</v>
      </c>
      <c r="O34" s="28">
        <f>IFERROR(VLOOKUP(G34,Scoring!$A$4:$N$51,14,FALSE()),"-")</f>
        <v>0</v>
      </c>
      <c r="P34" s="29">
        <f>IFERROR(VLOOKUP(H34,Scoring!$A$4:$N$51,14,FALSE()),"-")</f>
        <v>0</v>
      </c>
      <c r="Q34" s="29">
        <f>IFERROR(VLOOKUP(I34,Scoring!$A$4:$N$51,6,FALSE()),"-")</f>
        <v>0</v>
      </c>
      <c r="R34" s="36">
        <f t="shared" si="0"/>
        <v>0</v>
      </c>
      <c r="S34">
        <f t="shared" si="1"/>
        <v>63</v>
      </c>
      <c r="T34">
        <f t="shared" si="2"/>
        <v>-3.4E-5</v>
      </c>
      <c r="U34" s="143" t="s">
        <v>196</v>
      </c>
      <c r="W34" s="44" t="s">
        <v>143</v>
      </c>
    </row>
    <row r="35" spans="1:23" ht="12.75" customHeight="1" x14ac:dyDescent="0.3">
      <c r="A35" s="27" t="s">
        <v>197</v>
      </c>
      <c r="B35" s="43" t="s">
        <v>60</v>
      </c>
      <c r="C35" s="43" t="s">
        <v>72</v>
      </c>
      <c r="D35" s="43" t="s">
        <v>40</v>
      </c>
      <c r="E35" s="43" t="s">
        <v>29</v>
      </c>
      <c r="F35" s="43" t="s">
        <v>28</v>
      </c>
      <c r="G35" s="43" t="s">
        <v>71</v>
      </c>
      <c r="H35" s="43" t="s">
        <v>79</v>
      </c>
      <c r="I35" s="28" t="s">
        <v>60</v>
      </c>
      <c r="J35" s="28">
        <f>IFERROR(VLOOKUP(B35,Scoring!$A$4:$N$51,14,FALSE())*6,"-")</f>
        <v>0</v>
      </c>
      <c r="K35" s="28">
        <f>IFERROR(VLOOKUP(C35,Scoring!$A$4:$N$51,14,FALSE())*4,"-")</f>
        <v>0</v>
      </c>
      <c r="L35" s="28">
        <f>IFERROR(VLOOKUP(D35,Scoring!$A$4:$N$51,14,FALSE())*3,"-")</f>
        <v>0</v>
      </c>
      <c r="M35" s="28">
        <f>IFERROR(VLOOKUP(E35,Scoring!$A$4:$N$51,14,FALSE())*2,"-")</f>
        <v>0</v>
      </c>
      <c r="N35" s="28">
        <f>IFERROR(VLOOKUP(F35,Scoring!$A$4:$N$51,14,FALSE()),"-")</f>
        <v>0</v>
      </c>
      <c r="O35" s="28">
        <f>IFERROR(VLOOKUP(G35,Scoring!$A$4:$N$51,14,FALSE()),"-")</f>
        <v>0</v>
      </c>
      <c r="P35" s="29">
        <f>IFERROR(VLOOKUP(H35,Scoring!$A$4:$N$51,14,FALSE()),"-")</f>
        <v>0</v>
      </c>
      <c r="Q35" s="29">
        <f>IFERROR(VLOOKUP(I35,Scoring!$A$4:$N$51,6,FALSE()),"-")</f>
        <v>0</v>
      </c>
      <c r="R35" s="36">
        <f t="shared" si="0"/>
        <v>0</v>
      </c>
      <c r="S35">
        <f t="shared" si="1"/>
        <v>63</v>
      </c>
      <c r="T35">
        <f t="shared" si="2"/>
        <v>-3.4999999999999997E-5</v>
      </c>
      <c r="U35" s="143" t="s">
        <v>196</v>
      </c>
      <c r="W35" s="44" t="s">
        <v>143</v>
      </c>
    </row>
    <row r="36" spans="1:23" ht="12.75" customHeight="1" x14ac:dyDescent="0.3">
      <c r="A36" s="27" t="s">
        <v>198</v>
      </c>
      <c r="B36" s="43" t="s">
        <v>66</v>
      </c>
      <c r="C36" s="43" t="s">
        <v>40</v>
      </c>
      <c r="D36" s="43" t="s">
        <v>84</v>
      </c>
      <c r="E36" s="43" t="s">
        <v>65</v>
      </c>
      <c r="F36" s="43" t="s">
        <v>47</v>
      </c>
      <c r="G36" s="43" t="s">
        <v>71</v>
      </c>
      <c r="H36" s="43" t="s">
        <v>64</v>
      </c>
      <c r="I36" s="28" t="s">
        <v>40</v>
      </c>
      <c r="J36" s="28">
        <f>IFERROR(VLOOKUP(B36,Scoring!$A$4:$N$51,14,FALSE())*6,"-")</f>
        <v>0</v>
      </c>
      <c r="K36" s="28">
        <f>IFERROR(VLOOKUP(C36,Scoring!$A$4:$N$51,14,FALSE())*4,"-")</f>
        <v>0</v>
      </c>
      <c r="L36" s="28">
        <f>IFERROR(VLOOKUP(D36,Scoring!$A$4:$N$51,14,FALSE())*3,"-")</f>
        <v>0</v>
      </c>
      <c r="M36" s="28">
        <f>IFERROR(VLOOKUP(E36,Scoring!$A$4:$N$51,14,FALSE())*2,"-")</f>
        <v>0</v>
      </c>
      <c r="N36" s="28">
        <f>IFERROR(VLOOKUP(F36,Scoring!$A$4:$N$51,14,FALSE()),"-")</f>
        <v>0</v>
      </c>
      <c r="O36" s="28">
        <f>IFERROR(VLOOKUP(G36,Scoring!$A$4:$N$51,14,FALSE()),"-")</f>
        <v>0</v>
      </c>
      <c r="P36" s="29">
        <f>IFERROR(VLOOKUP(H36,Scoring!$A$4:$N$51,14,FALSE()),"-")</f>
        <v>0</v>
      </c>
      <c r="Q36" s="29">
        <f>IFERROR(VLOOKUP(I36,Scoring!$A$4:$N$51,6,FALSE()),"-")</f>
        <v>0</v>
      </c>
      <c r="R36" s="36">
        <f t="shared" ref="R36:R67" si="3">IF(A36="","-",SUM(J36:Q36))</f>
        <v>0</v>
      </c>
      <c r="S36">
        <f t="shared" ref="S36:S67" si="4">IF(A36="","",RANK(R36,$R$4:$R$119))</f>
        <v>63</v>
      </c>
      <c r="T36">
        <f t="shared" ref="T36:T67" si="5">IF(A36="",-1,R36-ROW(R36)/1000000)</f>
        <v>-3.6000000000000001E-5</v>
      </c>
      <c r="U36" s="143" t="s">
        <v>199</v>
      </c>
      <c r="W36" s="44" t="s">
        <v>143</v>
      </c>
    </row>
    <row r="37" spans="1:23" ht="12.75" customHeight="1" x14ac:dyDescent="0.3">
      <c r="A37" s="27" t="s">
        <v>200</v>
      </c>
      <c r="B37" s="43" t="s">
        <v>29</v>
      </c>
      <c r="C37" s="43" t="s">
        <v>66</v>
      </c>
      <c r="D37" s="43" t="s">
        <v>60</v>
      </c>
      <c r="E37" s="43" t="s">
        <v>72</v>
      </c>
      <c r="F37" s="43" t="s">
        <v>11</v>
      </c>
      <c r="G37" s="43" t="s">
        <v>71</v>
      </c>
      <c r="H37" s="43" t="s">
        <v>87</v>
      </c>
      <c r="I37" s="28" t="s">
        <v>29</v>
      </c>
      <c r="J37" s="28">
        <f>IFERROR(VLOOKUP(B37,Scoring!$A$4:$N$51,14,FALSE())*6,"-")</f>
        <v>0</v>
      </c>
      <c r="K37" s="28">
        <f>IFERROR(VLOOKUP(C37,Scoring!$A$4:$N$51,14,FALSE())*4,"-")</f>
        <v>0</v>
      </c>
      <c r="L37" s="28">
        <f>IFERROR(VLOOKUP(D37,Scoring!$A$4:$N$51,14,FALSE())*3,"-")</f>
        <v>0</v>
      </c>
      <c r="M37" s="28">
        <f>IFERROR(VLOOKUP(E37,Scoring!$A$4:$N$51,14,FALSE())*2,"-")</f>
        <v>0</v>
      </c>
      <c r="N37" s="28">
        <f>IFERROR(VLOOKUP(F37,Scoring!$A$4:$N$51,14,FALSE()),"-")</f>
        <v>3</v>
      </c>
      <c r="O37" s="28">
        <f>IFERROR(VLOOKUP(G37,Scoring!$A$4:$N$51,14,FALSE()),"-")</f>
        <v>0</v>
      </c>
      <c r="P37" s="29">
        <f>IFERROR(VLOOKUP(H37,Scoring!$A$4:$N$51,14,FALSE()),"-")</f>
        <v>0</v>
      </c>
      <c r="Q37" s="29">
        <f>IFERROR(VLOOKUP(I37,Scoring!$A$4:$N$51,6,FALSE()),"-")</f>
        <v>0</v>
      </c>
      <c r="R37" s="36">
        <f t="shared" si="3"/>
        <v>3</v>
      </c>
      <c r="S37">
        <f t="shared" si="4"/>
        <v>22</v>
      </c>
      <c r="T37">
        <f t="shared" si="5"/>
        <v>2.9999630000000002</v>
      </c>
      <c r="U37" s="143" t="s">
        <v>201</v>
      </c>
      <c r="W37" s="44" t="s">
        <v>143</v>
      </c>
    </row>
    <row r="38" spans="1:23" ht="12.75" customHeight="1" x14ac:dyDescent="0.3">
      <c r="A38" s="27" t="s">
        <v>202</v>
      </c>
      <c r="B38" s="43" t="s">
        <v>60</v>
      </c>
      <c r="C38" s="43" t="s">
        <v>78</v>
      </c>
      <c r="D38" s="43" t="s">
        <v>29</v>
      </c>
      <c r="E38" s="43" t="s">
        <v>30</v>
      </c>
      <c r="F38" s="43" t="s">
        <v>47</v>
      </c>
      <c r="G38" s="43" t="s">
        <v>73</v>
      </c>
      <c r="H38" s="43" t="s">
        <v>79</v>
      </c>
      <c r="I38" s="28" t="s">
        <v>29</v>
      </c>
      <c r="J38" s="28">
        <f>IFERROR(VLOOKUP(B38,Scoring!$A$4:$N$51,14,FALSE())*6,"-")</f>
        <v>0</v>
      </c>
      <c r="K38" s="28">
        <f>IFERROR(VLOOKUP(C38,Scoring!$A$4:$N$51,14,FALSE())*4,"-")</f>
        <v>0</v>
      </c>
      <c r="L38" s="28">
        <f>IFERROR(VLOOKUP(D38,Scoring!$A$4:$N$51,14,FALSE())*3,"-")</f>
        <v>0</v>
      </c>
      <c r="M38" s="28">
        <f>IFERROR(VLOOKUP(E38,Scoring!$A$4:$N$51,14,FALSE())*2,"-")</f>
        <v>0</v>
      </c>
      <c r="N38" s="28">
        <f>IFERROR(VLOOKUP(F38,Scoring!$A$4:$N$51,14,FALSE()),"-")</f>
        <v>0</v>
      </c>
      <c r="O38" s="28">
        <f>IFERROR(VLOOKUP(G38,Scoring!$A$4:$N$51,14,FALSE()),"-")</f>
        <v>0</v>
      </c>
      <c r="P38" s="29">
        <f>IFERROR(VLOOKUP(H38,Scoring!$A$4:$N$51,14,FALSE()),"-")</f>
        <v>0</v>
      </c>
      <c r="Q38" s="29">
        <f>IFERROR(VLOOKUP(I38,Scoring!$A$4:$N$51,6,FALSE()),"-")</f>
        <v>0</v>
      </c>
      <c r="R38" s="36">
        <f t="shared" si="3"/>
        <v>0</v>
      </c>
      <c r="S38">
        <f t="shared" si="4"/>
        <v>63</v>
      </c>
      <c r="T38">
        <f t="shared" si="5"/>
        <v>-3.8000000000000002E-5</v>
      </c>
      <c r="U38" s="143" t="s">
        <v>203</v>
      </c>
      <c r="W38" s="44" t="s">
        <v>143</v>
      </c>
    </row>
    <row r="39" spans="1:23" ht="12.75" customHeight="1" x14ac:dyDescent="0.3">
      <c r="A39" s="27" t="s">
        <v>204</v>
      </c>
      <c r="B39" s="43" t="s">
        <v>60</v>
      </c>
      <c r="C39" s="43" t="s">
        <v>66</v>
      </c>
      <c r="D39" s="43" t="s">
        <v>72</v>
      </c>
      <c r="E39" s="43" t="s">
        <v>29</v>
      </c>
      <c r="F39" s="43" t="s">
        <v>28</v>
      </c>
      <c r="G39" s="43" t="s">
        <v>50</v>
      </c>
      <c r="H39" s="43" t="s">
        <v>87</v>
      </c>
      <c r="I39" s="28" t="s">
        <v>60</v>
      </c>
      <c r="J39" s="28">
        <f>IFERROR(VLOOKUP(B39,Scoring!$A$4:$N$51,14,FALSE())*6,"-")</f>
        <v>0</v>
      </c>
      <c r="K39" s="28">
        <f>IFERROR(VLOOKUP(C39,Scoring!$A$4:$N$51,14,FALSE())*4,"-")</f>
        <v>0</v>
      </c>
      <c r="L39" s="28">
        <f>IFERROR(VLOOKUP(D39,Scoring!$A$4:$N$51,14,FALSE())*3,"-")</f>
        <v>0</v>
      </c>
      <c r="M39" s="28">
        <f>IFERROR(VLOOKUP(E39,Scoring!$A$4:$N$51,14,FALSE())*2,"-")</f>
        <v>0</v>
      </c>
      <c r="N39" s="28">
        <f>IFERROR(VLOOKUP(F39,Scoring!$A$4:$N$51,14,FALSE()),"-")</f>
        <v>0</v>
      </c>
      <c r="O39" s="28">
        <f>IFERROR(VLOOKUP(G39,Scoring!$A$4:$N$51,14,FALSE()),"-")</f>
        <v>0</v>
      </c>
      <c r="P39" s="29">
        <f>IFERROR(VLOOKUP(H39,Scoring!$A$4:$N$51,14,FALSE()),"-")</f>
        <v>0</v>
      </c>
      <c r="Q39" s="29">
        <f>IFERROR(VLOOKUP(I39,Scoring!$A$4:$N$51,6,FALSE()),"-")</f>
        <v>0</v>
      </c>
      <c r="R39" s="36">
        <f t="shared" si="3"/>
        <v>0</v>
      </c>
      <c r="S39">
        <f t="shared" si="4"/>
        <v>63</v>
      </c>
      <c r="T39">
        <f t="shared" si="5"/>
        <v>-3.8999999999999999E-5</v>
      </c>
      <c r="U39" s="143" t="s">
        <v>205</v>
      </c>
      <c r="W39" s="44" t="s">
        <v>143</v>
      </c>
    </row>
    <row r="40" spans="1:23" ht="12.75" customHeight="1" x14ac:dyDescent="0.3">
      <c r="A40" s="27" t="s">
        <v>206</v>
      </c>
      <c r="B40" s="43" t="s">
        <v>66</v>
      </c>
      <c r="C40" s="43" t="s">
        <v>60</v>
      </c>
      <c r="D40" s="43" t="s">
        <v>29</v>
      </c>
      <c r="E40" s="43" t="s">
        <v>78</v>
      </c>
      <c r="F40" s="43" t="s">
        <v>39</v>
      </c>
      <c r="G40" s="43" t="s">
        <v>50</v>
      </c>
      <c r="H40" s="43" t="s">
        <v>24</v>
      </c>
      <c r="I40" s="28" t="s">
        <v>40</v>
      </c>
      <c r="J40" s="28">
        <f>IFERROR(VLOOKUP(B40,Scoring!$A$4:$N$51,14,FALSE())*6,"-")</f>
        <v>0</v>
      </c>
      <c r="K40" s="28">
        <f>IFERROR(VLOOKUP(C40,Scoring!$A$4:$N$51,14,FALSE())*4,"-")</f>
        <v>0</v>
      </c>
      <c r="L40" s="28">
        <f>IFERROR(VLOOKUP(D40,Scoring!$A$4:$N$51,14,FALSE())*3,"-")</f>
        <v>0</v>
      </c>
      <c r="M40" s="28">
        <f>IFERROR(VLOOKUP(E40,Scoring!$A$4:$N$51,14,FALSE())*2,"-")</f>
        <v>0</v>
      </c>
      <c r="N40" s="28">
        <f>IFERROR(VLOOKUP(F40,Scoring!$A$4:$N$51,14,FALSE()),"-")</f>
        <v>0</v>
      </c>
      <c r="O40" s="28">
        <f>IFERROR(VLOOKUP(G40,Scoring!$A$4:$N$51,14,FALSE()),"-")</f>
        <v>0</v>
      </c>
      <c r="P40" s="29">
        <f>IFERROR(VLOOKUP(H40,Scoring!$A$4:$N$51,14,FALSE()),"-")</f>
        <v>1</v>
      </c>
      <c r="Q40" s="29">
        <f>IFERROR(VLOOKUP(I40,Scoring!$A$4:$N$51,6,FALSE()),"-")</f>
        <v>0</v>
      </c>
      <c r="R40" s="36">
        <f t="shared" si="3"/>
        <v>1</v>
      </c>
      <c r="S40">
        <f t="shared" si="4"/>
        <v>36</v>
      </c>
      <c r="T40">
        <f t="shared" si="5"/>
        <v>0.99995999999999996</v>
      </c>
      <c r="U40" s="143" t="s">
        <v>207</v>
      </c>
      <c r="W40" s="44" t="s">
        <v>143</v>
      </c>
    </row>
    <row r="41" spans="1:23" ht="12.75" customHeight="1" x14ac:dyDescent="0.3">
      <c r="A41" s="27" t="s">
        <v>208</v>
      </c>
      <c r="B41" s="43" t="s">
        <v>29</v>
      </c>
      <c r="C41" s="43" t="s">
        <v>60</v>
      </c>
      <c r="D41" s="43" t="s">
        <v>72</v>
      </c>
      <c r="E41" s="43" t="s">
        <v>66</v>
      </c>
      <c r="F41" s="43" t="s">
        <v>28</v>
      </c>
      <c r="G41" s="43" t="s">
        <v>71</v>
      </c>
      <c r="H41" s="43" t="s">
        <v>87</v>
      </c>
      <c r="I41" s="28" t="s">
        <v>66</v>
      </c>
      <c r="J41" s="28">
        <f>IFERROR(VLOOKUP(B41,Scoring!$A$4:$N$51,14,FALSE())*6,"-")</f>
        <v>0</v>
      </c>
      <c r="K41" s="28">
        <f>IFERROR(VLOOKUP(C41,Scoring!$A$4:$N$51,14,FALSE())*4,"-")</f>
        <v>0</v>
      </c>
      <c r="L41" s="28">
        <f>IFERROR(VLOOKUP(D41,Scoring!$A$4:$N$51,14,FALSE())*3,"-")</f>
        <v>0</v>
      </c>
      <c r="M41" s="28">
        <f>IFERROR(VLOOKUP(E41,Scoring!$A$4:$N$51,14,FALSE())*2,"-")</f>
        <v>0</v>
      </c>
      <c r="N41" s="28">
        <f>IFERROR(VLOOKUP(F41,Scoring!$A$4:$N$51,14,FALSE()),"-")</f>
        <v>0</v>
      </c>
      <c r="O41" s="28">
        <f>IFERROR(VLOOKUP(G41,Scoring!$A$4:$N$51,14,FALSE()),"-")</f>
        <v>0</v>
      </c>
      <c r="P41" s="29">
        <f>IFERROR(VLOOKUP(H41,Scoring!$A$4:$N$51,14,FALSE()),"-")</f>
        <v>0</v>
      </c>
      <c r="Q41" s="29">
        <f>IFERROR(VLOOKUP(I41,Scoring!$A$4:$N$51,6,FALSE()),"-")</f>
        <v>0</v>
      </c>
      <c r="R41" s="36">
        <f t="shared" si="3"/>
        <v>0</v>
      </c>
      <c r="S41">
        <f t="shared" si="4"/>
        <v>63</v>
      </c>
      <c r="T41">
        <f t="shared" si="5"/>
        <v>-4.1E-5</v>
      </c>
      <c r="U41" s="143" t="s">
        <v>209</v>
      </c>
      <c r="W41" s="44" t="s">
        <v>143</v>
      </c>
    </row>
    <row r="42" spans="1:23" ht="12.75" customHeight="1" x14ac:dyDescent="0.3">
      <c r="A42" s="27" t="s">
        <v>210</v>
      </c>
      <c r="B42" s="43" t="s">
        <v>60</v>
      </c>
      <c r="C42" s="43" t="s">
        <v>78</v>
      </c>
      <c r="D42" s="43" t="s">
        <v>66</v>
      </c>
      <c r="E42" s="43" t="s">
        <v>72</v>
      </c>
      <c r="F42" s="43" t="s">
        <v>11</v>
      </c>
      <c r="G42" s="43" t="s">
        <v>71</v>
      </c>
      <c r="H42" s="43" t="s">
        <v>82</v>
      </c>
      <c r="I42" s="28" t="s">
        <v>60</v>
      </c>
      <c r="J42" s="28">
        <f>IFERROR(VLOOKUP(B42,Scoring!$A$4:$N$51,14,FALSE())*6,"-")</f>
        <v>0</v>
      </c>
      <c r="K42" s="28">
        <f>IFERROR(VLOOKUP(C42,Scoring!$A$4:$N$51,14,FALSE())*4,"-")</f>
        <v>0</v>
      </c>
      <c r="L42" s="28">
        <f>IFERROR(VLOOKUP(D42,Scoring!$A$4:$N$51,14,FALSE())*3,"-")</f>
        <v>0</v>
      </c>
      <c r="M42" s="28">
        <f>IFERROR(VLOOKUP(E42,Scoring!$A$4:$N$51,14,FALSE())*2,"-")</f>
        <v>0</v>
      </c>
      <c r="N42" s="28">
        <f>IFERROR(VLOOKUP(F42,Scoring!$A$4:$N$51,14,FALSE()),"-")</f>
        <v>3</v>
      </c>
      <c r="O42" s="28">
        <f>IFERROR(VLOOKUP(G42,Scoring!$A$4:$N$51,14,FALSE()),"-")</f>
        <v>0</v>
      </c>
      <c r="P42" s="29">
        <f>IFERROR(VLOOKUP(H42,Scoring!$A$4:$N$51,14,FALSE()),"-")</f>
        <v>0</v>
      </c>
      <c r="Q42" s="29">
        <f>IFERROR(VLOOKUP(I42,Scoring!$A$4:$N$51,6,FALSE()),"-")</f>
        <v>0</v>
      </c>
      <c r="R42" s="36">
        <f t="shared" si="3"/>
        <v>3</v>
      </c>
      <c r="S42">
        <f t="shared" si="4"/>
        <v>22</v>
      </c>
      <c r="T42">
        <f t="shared" si="5"/>
        <v>2.9999579999999999</v>
      </c>
      <c r="U42" s="143" t="s">
        <v>211</v>
      </c>
    </row>
    <row r="43" spans="1:23" ht="12.75" customHeight="1" x14ac:dyDescent="0.3">
      <c r="A43" s="27" t="s">
        <v>212</v>
      </c>
      <c r="B43" s="43" t="s">
        <v>66</v>
      </c>
      <c r="C43" s="43" t="s">
        <v>84</v>
      </c>
      <c r="D43" s="43" t="s">
        <v>60</v>
      </c>
      <c r="E43" s="43" t="s">
        <v>72</v>
      </c>
      <c r="F43" s="43" t="s">
        <v>47</v>
      </c>
      <c r="G43" s="43" t="s">
        <v>71</v>
      </c>
      <c r="H43" s="43" t="s">
        <v>24</v>
      </c>
      <c r="I43" s="28" t="s">
        <v>66</v>
      </c>
      <c r="J43" s="28">
        <f>IFERROR(VLOOKUP(B43,Scoring!$A$4:$N$51,14,FALSE())*6,"-")</f>
        <v>0</v>
      </c>
      <c r="K43" s="28">
        <f>IFERROR(VLOOKUP(C43,Scoring!$A$4:$N$51,14,FALSE())*4,"-")</f>
        <v>0</v>
      </c>
      <c r="L43" s="28">
        <f>IFERROR(VLOOKUP(D43,Scoring!$A$4:$N$51,14,FALSE())*3,"-")</f>
        <v>0</v>
      </c>
      <c r="M43" s="28">
        <f>IFERROR(VLOOKUP(E43,Scoring!$A$4:$N$51,14,FALSE())*2,"-")</f>
        <v>0</v>
      </c>
      <c r="N43" s="28">
        <f>IFERROR(VLOOKUP(F43,Scoring!$A$4:$N$51,14,FALSE()),"-")</f>
        <v>0</v>
      </c>
      <c r="O43" s="28">
        <f>IFERROR(VLOOKUP(G43,Scoring!$A$4:$N$51,14,FALSE()),"-")</f>
        <v>0</v>
      </c>
      <c r="P43" s="29">
        <f>IFERROR(VLOOKUP(H43,Scoring!$A$4:$N$51,14,FALSE()),"-")</f>
        <v>1</v>
      </c>
      <c r="Q43" s="29">
        <f>IFERROR(VLOOKUP(I43,Scoring!$A$4:$N$51,6,FALSE()),"-")</f>
        <v>0</v>
      </c>
      <c r="R43" s="36">
        <f t="shared" si="3"/>
        <v>1</v>
      </c>
      <c r="S43">
        <f t="shared" si="4"/>
        <v>36</v>
      </c>
      <c r="T43">
        <f t="shared" si="5"/>
        <v>0.99995699999999998</v>
      </c>
      <c r="U43" s="143" t="s">
        <v>213</v>
      </c>
      <c r="W43" s="44" t="s">
        <v>143</v>
      </c>
    </row>
    <row r="44" spans="1:23" ht="12.75" customHeight="1" x14ac:dyDescent="0.3">
      <c r="A44" s="27" t="s">
        <v>214</v>
      </c>
      <c r="B44" s="43" t="s">
        <v>60</v>
      </c>
      <c r="C44" s="43" t="s">
        <v>72</v>
      </c>
      <c r="D44" s="43" t="s">
        <v>66</v>
      </c>
      <c r="E44" s="43" t="s">
        <v>84</v>
      </c>
      <c r="F44" s="43" t="s">
        <v>47</v>
      </c>
      <c r="G44" s="43" t="s">
        <v>71</v>
      </c>
      <c r="H44" s="43" t="s">
        <v>24</v>
      </c>
      <c r="I44" s="28" t="s">
        <v>60</v>
      </c>
      <c r="J44" s="28">
        <f>IFERROR(VLOOKUP(B44,Scoring!$A$4:$N$51,14,FALSE())*6,"-")</f>
        <v>0</v>
      </c>
      <c r="K44" s="28">
        <f>IFERROR(VLOOKUP(C44,Scoring!$A$4:$N$51,14,FALSE())*4,"-")</f>
        <v>0</v>
      </c>
      <c r="L44" s="28">
        <f>IFERROR(VLOOKUP(D44,Scoring!$A$4:$N$51,14,FALSE())*3,"-")</f>
        <v>0</v>
      </c>
      <c r="M44" s="28">
        <f>IFERROR(VLOOKUP(E44,Scoring!$A$4:$N$51,14,FALSE())*2,"-")</f>
        <v>0</v>
      </c>
      <c r="N44" s="28">
        <f>IFERROR(VLOOKUP(F44,Scoring!$A$4:$N$51,14,FALSE()),"-")</f>
        <v>0</v>
      </c>
      <c r="O44" s="28">
        <f>IFERROR(VLOOKUP(G44,Scoring!$A$4:$N$51,14,FALSE()),"-")</f>
        <v>0</v>
      </c>
      <c r="P44" s="29">
        <f>IFERROR(VLOOKUP(H44,Scoring!$A$4:$N$51,14,FALSE()),"-")</f>
        <v>1</v>
      </c>
      <c r="Q44" s="29">
        <f>IFERROR(VLOOKUP(I44,Scoring!$A$4:$N$51,6,FALSE()),"-")</f>
        <v>0</v>
      </c>
      <c r="R44" s="36">
        <f t="shared" si="3"/>
        <v>1</v>
      </c>
      <c r="S44">
        <f t="shared" si="4"/>
        <v>36</v>
      </c>
      <c r="T44">
        <f t="shared" si="5"/>
        <v>0.99995599999999996</v>
      </c>
      <c r="U44" s="143" t="s">
        <v>213</v>
      </c>
      <c r="W44" s="44" t="s">
        <v>143</v>
      </c>
    </row>
    <row r="45" spans="1:23" ht="12.75" customHeight="1" x14ac:dyDescent="0.3">
      <c r="A45" s="27" t="s">
        <v>215</v>
      </c>
      <c r="B45" s="43" t="s">
        <v>84</v>
      </c>
      <c r="C45" s="43" t="s">
        <v>60</v>
      </c>
      <c r="D45" s="43" t="s">
        <v>78</v>
      </c>
      <c r="E45" s="43" t="s">
        <v>66</v>
      </c>
      <c r="F45" s="43" t="s">
        <v>39</v>
      </c>
      <c r="G45" s="43" t="s">
        <v>71</v>
      </c>
      <c r="H45" s="43" t="s">
        <v>24</v>
      </c>
      <c r="I45" s="28" t="s">
        <v>84</v>
      </c>
      <c r="J45" s="28">
        <f>IFERROR(VLOOKUP(B45,Scoring!$A$4:$N$51,14,FALSE())*6,"-")</f>
        <v>0</v>
      </c>
      <c r="K45" s="28">
        <f>IFERROR(VLOOKUP(C45,Scoring!$A$4:$N$51,14,FALSE())*4,"-")</f>
        <v>0</v>
      </c>
      <c r="L45" s="28">
        <f>IFERROR(VLOOKUP(D45,Scoring!$A$4:$N$51,14,FALSE())*3,"-")</f>
        <v>0</v>
      </c>
      <c r="M45" s="28">
        <f>IFERROR(VLOOKUP(E45,Scoring!$A$4:$N$51,14,FALSE())*2,"-")</f>
        <v>0</v>
      </c>
      <c r="N45" s="28">
        <f>IFERROR(VLOOKUP(F45,Scoring!$A$4:$N$51,14,FALSE()),"-")</f>
        <v>0</v>
      </c>
      <c r="O45" s="28">
        <f>IFERROR(VLOOKUP(G45,Scoring!$A$4:$N$51,14,FALSE()),"-")</f>
        <v>0</v>
      </c>
      <c r="P45" s="29">
        <f>IFERROR(VLOOKUP(H45,Scoring!$A$4:$N$51,14,FALSE()),"-")</f>
        <v>1</v>
      </c>
      <c r="Q45" s="29">
        <f>IFERROR(VLOOKUP(I45,Scoring!$A$4:$N$51,6,FALSE()),"-")</f>
        <v>0</v>
      </c>
      <c r="R45" s="36">
        <f t="shared" si="3"/>
        <v>1</v>
      </c>
      <c r="S45">
        <f t="shared" si="4"/>
        <v>36</v>
      </c>
      <c r="T45">
        <f t="shared" si="5"/>
        <v>0.99995500000000004</v>
      </c>
      <c r="U45" s="143" t="s">
        <v>216</v>
      </c>
      <c r="W45" s="44" t="s">
        <v>143</v>
      </c>
    </row>
    <row r="46" spans="1:23" ht="12.75" customHeight="1" x14ac:dyDescent="0.3">
      <c r="A46" s="27" t="s">
        <v>217</v>
      </c>
      <c r="B46" s="43" t="s">
        <v>60</v>
      </c>
      <c r="C46" s="43" t="s">
        <v>84</v>
      </c>
      <c r="D46" s="43" t="s">
        <v>66</v>
      </c>
      <c r="E46" s="43" t="s">
        <v>72</v>
      </c>
      <c r="F46" s="43" t="s">
        <v>83</v>
      </c>
      <c r="G46" s="43" t="s">
        <v>71</v>
      </c>
      <c r="H46" s="43" t="s">
        <v>24</v>
      </c>
      <c r="I46" s="28" t="s">
        <v>60</v>
      </c>
      <c r="J46" s="28">
        <f>IFERROR(VLOOKUP(B46,Scoring!$A$4:$N$51,14,FALSE())*6,"-")</f>
        <v>0</v>
      </c>
      <c r="K46" s="28">
        <f>IFERROR(VLOOKUP(C46,Scoring!$A$4:$N$51,14,FALSE())*4,"-")</f>
        <v>0</v>
      </c>
      <c r="L46" s="28">
        <f>IFERROR(VLOOKUP(D46,Scoring!$A$4:$N$51,14,FALSE())*3,"-")</f>
        <v>0</v>
      </c>
      <c r="M46" s="28">
        <f>IFERROR(VLOOKUP(E46,Scoring!$A$4:$N$51,14,FALSE())*2,"-")</f>
        <v>0</v>
      </c>
      <c r="N46" s="28">
        <f>IFERROR(VLOOKUP(F46,Scoring!$A$4:$N$51,14,FALSE()),"-")</f>
        <v>0</v>
      </c>
      <c r="O46" s="28">
        <f>IFERROR(VLOOKUP(G46,Scoring!$A$4:$N$51,14,FALSE()),"-")</f>
        <v>0</v>
      </c>
      <c r="P46" s="29">
        <f>IFERROR(VLOOKUP(H46,Scoring!$A$4:$N$51,14,FALSE()),"-")</f>
        <v>1</v>
      </c>
      <c r="Q46" s="29">
        <f>IFERROR(VLOOKUP(I46,Scoring!$A$4:$N$51,6,FALSE()),"-")</f>
        <v>0</v>
      </c>
      <c r="R46" s="36">
        <f t="shared" si="3"/>
        <v>1</v>
      </c>
      <c r="S46">
        <f t="shared" si="4"/>
        <v>36</v>
      </c>
      <c r="T46">
        <f t="shared" si="5"/>
        <v>0.99995400000000001</v>
      </c>
      <c r="U46" s="143" t="s">
        <v>218</v>
      </c>
      <c r="W46" s="44" t="s">
        <v>143</v>
      </c>
    </row>
    <row r="47" spans="1:23" ht="12.75" customHeight="1" x14ac:dyDescent="0.3">
      <c r="A47" s="27" t="s">
        <v>219</v>
      </c>
      <c r="B47" s="43" t="s">
        <v>78</v>
      </c>
      <c r="C47" s="43" t="s">
        <v>66</v>
      </c>
      <c r="D47" s="43" t="s">
        <v>29</v>
      </c>
      <c r="E47" s="43" t="s">
        <v>60</v>
      </c>
      <c r="F47" s="43" t="s">
        <v>83</v>
      </c>
      <c r="G47" s="43" t="s">
        <v>71</v>
      </c>
      <c r="H47" s="43" t="s">
        <v>77</v>
      </c>
      <c r="I47" s="28" t="s">
        <v>29</v>
      </c>
      <c r="J47" s="28">
        <f>IFERROR(VLOOKUP(B47,Scoring!$A$4:$N$51,14,FALSE())*6,"-")</f>
        <v>0</v>
      </c>
      <c r="K47" s="28">
        <f>IFERROR(VLOOKUP(C47,Scoring!$A$4:$N$51,14,FALSE())*4,"-")</f>
        <v>0</v>
      </c>
      <c r="L47" s="28">
        <f>IFERROR(VLOOKUP(D47,Scoring!$A$4:$N$51,14,FALSE())*3,"-")</f>
        <v>0</v>
      </c>
      <c r="M47" s="28">
        <f>IFERROR(VLOOKUP(E47,Scoring!$A$4:$N$51,14,FALSE())*2,"-")</f>
        <v>0</v>
      </c>
      <c r="N47" s="28">
        <f>IFERROR(VLOOKUP(F47,Scoring!$A$4:$N$51,14,FALSE()),"-")</f>
        <v>0</v>
      </c>
      <c r="O47" s="28">
        <f>IFERROR(VLOOKUP(G47,Scoring!$A$4:$N$51,14,FALSE()),"-")</f>
        <v>0</v>
      </c>
      <c r="P47" s="29">
        <f>IFERROR(VLOOKUP(H47,Scoring!$A$4:$N$51,14,FALSE()),"-")</f>
        <v>0</v>
      </c>
      <c r="Q47" s="29">
        <f>IFERROR(VLOOKUP(I47,Scoring!$A$4:$N$51,6,FALSE()),"-")</f>
        <v>0</v>
      </c>
      <c r="R47" s="36">
        <f t="shared" si="3"/>
        <v>0</v>
      </c>
      <c r="S47">
        <f t="shared" si="4"/>
        <v>63</v>
      </c>
      <c r="T47">
        <f t="shared" si="5"/>
        <v>-4.6999999999999997E-5</v>
      </c>
      <c r="U47" s="143" t="s">
        <v>220</v>
      </c>
      <c r="W47" s="44" t="s">
        <v>143</v>
      </c>
    </row>
    <row r="48" spans="1:23" ht="12.75" customHeight="1" x14ac:dyDescent="0.3">
      <c r="A48" s="27" t="s">
        <v>221</v>
      </c>
      <c r="B48" s="43" t="s">
        <v>60</v>
      </c>
      <c r="C48" s="43" t="s">
        <v>66</v>
      </c>
      <c r="D48" s="43" t="s">
        <v>84</v>
      </c>
      <c r="E48" s="43" t="s">
        <v>78</v>
      </c>
      <c r="F48" s="43" t="s">
        <v>65</v>
      </c>
      <c r="G48" s="43" t="s">
        <v>71</v>
      </c>
      <c r="H48" s="43" t="s">
        <v>82</v>
      </c>
      <c r="I48" s="28" t="s">
        <v>60</v>
      </c>
      <c r="J48" s="28">
        <f>IFERROR(VLOOKUP(B48,Scoring!$A$4:$N$51,14,FALSE())*6,"-")</f>
        <v>0</v>
      </c>
      <c r="K48" s="28">
        <f>IFERROR(VLOOKUP(C48,Scoring!$A$4:$N$51,14,FALSE())*4,"-")</f>
        <v>0</v>
      </c>
      <c r="L48" s="28">
        <f>IFERROR(VLOOKUP(D48,Scoring!$A$4:$N$51,14,FALSE())*3,"-")</f>
        <v>0</v>
      </c>
      <c r="M48" s="28">
        <f>IFERROR(VLOOKUP(E48,Scoring!$A$4:$N$51,14,FALSE())*2,"-")</f>
        <v>0</v>
      </c>
      <c r="N48" s="28">
        <f>IFERROR(VLOOKUP(F48,Scoring!$A$4:$N$51,14,FALSE()),"-")</f>
        <v>0</v>
      </c>
      <c r="O48" s="28">
        <f>IFERROR(VLOOKUP(G48,Scoring!$A$4:$N$51,14,FALSE()),"-")</f>
        <v>0</v>
      </c>
      <c r="P48" s="29">
        <f>IFERROR(VLOOKUP(H48,Scoring!$A$4:$N$51,14,FALSE()),"-")</f>
        <v>0</v>
      </c>
      <c r="Q48" s="29">
        <f>IFERROR(VLOOKUP(I48,Scoring!$A$4:$N$51,6,FALSE()),"-")</f>
        <v>0</v>
      </c>
      <c r="R48" s="36">
        <f t="shared" si="3"/>
        <v>0</v>
      </c>
      <c r="S48">
        <f t="shared" si="4"/>
        <v>63</v>
      </c>
      <c r="T48">
        <f t="shared" si="5"/>
        <v>-4.8000000000000001E-5</v>
      </c>
      <c r="U48" s="143" t="s">
        <v>222</v>
      </c>
      <c r="W48" s="44" t="s">
        <v>143</v>
      </c>
    </row>
    <row r="49" spans="1:23" ht="12.75" customHeight="1" x14ac:dyDescent="0.3">
      <c r="A49" s="27" t="s">
        <v>223</v>
      </c>
      <c r="B49" s="43" t="s">
        <v>40</v>
      </c>
      <c r="C49" s="43" t="s">
        <v>29</v>
      </c>
      <c r="D49" s="43" t="s">
        <v>60</v>
      </c>
      <c r="E49" s="43" t="s">
        <v>72</v>
      </c>
      <c r="F49" s="43" t="s">
        <v>35</v>
      </c>
      <c r="G49" s="43" t="s">
        <v>71</v>
      </c>
      <c r="H49" s="43" t="s">
        <v>24</v>
      </c>
      <c r="I49" s="28" t="s">
        <v>40</v>
      </c>
      <c r="J49" s="28">
        <f>IFERROR(VLOOKUP(B49,Scoring!$A$4:$N$51,14,FALSE())*6,"-")</f>
        <v>0</v>
      </c>
      <c r="K49" s="28">
        <f>IFERROR(VLOOKUP(C49,Scoring!$A$4:$N$51,14,FALSE())*4,"-")</f>
        <v>0</v>
      </c>
      <c r="L49" s="28">
        <f>IFERROR(VLOOKUP(D49,Scoring!$A$4:$N$51,14,FALSE())*3,"-")</f>
        <v>0</v>
      </c>
      <c r="M49" s="28">
        <f>IFERROR(VLOOKUP(E49,Scoring!$A$4:$N$51,14,FALSE())*2,"-")</f>
        <v>0</v>
      </c>
      <c r="N49" s="28">
        <f>IFERROR(VLOOKUP(F49,Scoring!$A$4:$N$51,14,FALSE()),"-")</f>
        <v>3</v>
      </c>
      <c r="O49" s="28">
        <f>IFERROR(VLOOKUP(G49,Scoring!$A$4:$N$51,14,FALSE()),"-")</f>
        <v>0</v>
      </c>
      <c r="P49" s="29">
        <f>IFERROR(VLOOKUP(H49,Scoring!$A$4:$N$51,14,FALSE()),"-")</f>
        <v>1</v>
      </c>
      <c r="Q49" s="29">
        <f>IFERROR(VLOOKUP(I49,Scoring!$A$4:$N$51,6,FALSE()),"-")</f>
        <v>0</v>
      </c>
      <c r="R49" s="36">
        <f t="shared" si="3"/>
        <v>4</v>
      </c>
      <c r="S49">
        <f t="shared" si="4"/>
        <v>5</v>
      </c>
      <c r="T49">
        <f t="shared" si="5"/>
        <v>3.9999509999999998</v>
      </c>
      <c r="U49" s="143" t="s">
        <v>222</v>
      </c>
      <c r="W49" s="44" t="s">
        <v>143</v>
      </c>
    </row>
    <row r="50" spans="1:23" ht="12.75" customHeight="1" x14ac:dyDescent="0.3">
      <c r="A50" s="27" t="s">
        <v>224</v>
      </c>
      <c r="B50" s="43" t="s">
        <v>84</v>
      </c>
      <c r="C50" s="43" t="s">
        <v>60</v>
      </c>
      <c r="D50" s="43" t="s">
        <v>29</v>
      </c>
      <c r="E50" s="43" t="s">
        <v>66</v>
      </c>
      <c r="F50" s="43" t="s">
        <v>83</v>
      </c>
      <c r="G50" s="43" t="s">
        <v>71</v>
      </c>
      <c r="H50" s="43" t="s">
        <v>87</v>
      </c>
      <c r="I50" s="28" t="s">
        <v>29</v>
      </c>
      <c r="J50" s="28">
        <f>IFERROR(VLOOKUP(B50,Scoring!$A$4:$N$51,14,FALSE())*6,"-")</f>
        <v>0</v>
      </c>
      <c r="K50" s="28">
        <f>IFERROR(VLOOKUP(C50,Scoring!$A$4:$N$51,14,FALSE())*4,"-")</f>
        <v>0</v>
      </c>
      <c r="L50" s="28">
        <f>IFERROR(VLOOKUP(D50,Scoring!$A$4:$N$51,14,FALSE())*3,"-")</f>
        <v>0</v>
      </c>
      <c r="M50" s="28">
        <f>IFERROR(VLOOKUP(E50,Scoring!$A$4:$N$51,14,FALSE())*2,"-")</f>
        <v>0</v>
      </c>
      <c r="N50" s="28">
        <f>IFERROR(VLOOKUP(F50,Scoring!$A$4:$N$51,14,FALSE()),"-")</f>
        <v>0</v>
      </c>
      <c r="O50" s="28">
        <f>IFERROR(VLOOKUP(G50,Scoring!$A$4:$N$51,14,FALSE()),"-")</f>
        <v>0</v>
      </c>
      <c r="P50" s="29">
        <f>IFERROR(VLOOKUP(H50,Scoring!$A$4:$N$51,14,FALSE()),"-")</f>
        <v>0</v>
      </c>
      <c r="Q50" s="29">
        <f>IFERROR(VLOOKUP(I50,Scoring!$A$4:$N$51,6,FALSE()),"-")</f>
        <v>0</v>
      </c>
      <c r="R50" s="36">
        <f t="shared" si="3"/>
        <v>0</v>
      </c>
      <c r="S50">
        <f t="shared" si="4"/>
        <v>63</v>
      </c>
      <c r="T50">
        <f t="shared" si="5"/>
        <v>-5.0000000000000002E-5</v>
      </c>
      <c r="U50" s="143" t="s">
        <v>225</v>
      </c>
      <c r="W50" s="44" t="s">
        <v>143</v>
      </c>
    </row>
    <row r="51" spans="1:23" ht="12.75" customHeight="1" x14ac:dyDescent="0.3">
      <c r="A51" s="27" t="s">
        <v>226</v>
      </c>
      <c r="B51" s="43" t="s">
        <v>60</v>
      </c>
      <c r="C51" s="43" t="s">
        <v>29</v>
      </c>
      <c r="D51" s="43" t="s">
        <v>84</v>
      </c>
      <c r="E51" s="43" t="s">
        <v>78</v>
      </c>
      <c r="F51" s="43" t="s">
        <v>11</v>
      </c>
      <c r="G51" s="43" t="s">
        <v>71</v>
      </c>
      <c r="H51" s="43" t="s">
        <v>24</v>
      </c>
      <c r="I51" s="28" t="s">
        <v>29</v>
      </c>
      <c r="J51" s="28">
        <f>IFERROR(VLOOKUP(B51,Scoring!$A$4:$N$51,14,FALSE())*6,"-")</f>
        <v>0</v>
      </c>
      <c r="K51" s="28">
        <f>IFERROR(VLOOKUP(C51,Scoring!$A$4:$N$51,14,FALSE())*4,"-")</f>
        <v>0</v>
      </c>
      <c r="L51" s="28">
        <f>IFERROR(VLOOKUP(D51,Scoring!$A$4:$N$51,14,FALSE())*3,"-")</f>
        <v>0</v>
      </c>
      <c r="M51" s="28">
        <f>IFERROR(VLOOKUP(E51,Scoring!$A$4:$N$51,14,FALSE())*2,"-")</f>
        <v>0</v>
      </c>
      <c r="N51" s="28">
        <f>IFERROR(VLOOKUP(F51,Scoring!$A$4:$N$51,14,FALSE()),"-")</f>
        <v>3</v>
      </c>
      <c r="O51" s="28">
        <f>IFERROR(VLOOKUP(G51,Scoring!$A$4:$N$51,14,FALSE()),"-")</f>
        <v>0</v>
      </c>
      <c r="P51" s="29">
        <f>IFERROR(VLOOKUP(H51,Scoring!$A$4:$N$51,14,FALSE()),"-")</f>
        <v>1</v>
      </c>
      <c r="Q51" s="29">
        <f>IFERROR(VLOOKUP(I51,Scoring!$A$4:$N$51,6,FALSE()),"-")</f>
        <v>0</v>
      </c>
      <c r="R51" s="36">
        <f t="shared" si="3"/>
        <v>4</v>
      </c>
      <c r="S51">
        <f t="shared" si="4"/>
        <v>5</v>
      </c>
      <c r="T51">
        <f t="shared" si="5"/>
        <v>3.999949</v>
      </c>
      <c r="U51" s="143" t="s">
        <v>227</v>
      </c>
      <c r="W51" s="44" t="s">
        <v>143</v>
      </c>
    </row>
    <row r="52" spans="1:23" ht="12.75" customHeight="1" x14ac:dyDescent="0.3">
      <c r="A52" s="27" t="s">
        <v>228</v>
      </c>
      <c r="B52" s="43" t="s">
        <v>60</v>
      </c>
      <c r="C52" s="43" t="s">
        <v>66</v>
      </c>
      <c r="D52" s="43" t="s">
        <v>84</v>
      </c>
      <c r="E52" s="43" t="s">
        <v>72</v>
      </c>
      <c r="F52" s="43" t="s">
        <v>47</v>
      </c>
      <c r="G52" s="43" t="s">
        <v>38</v>
      </c>
      <c r="H52" s="43" t="s">
        <v>24</v>
      </c>
      <c r="I52" s="28" t="s">
        <v>60</v>
      </c>
      <c r="J52" s="28">
        <f>IFERROR(VLOOKUP(B52,Scoring!$A$4:$N$51,14,FALSE())*6,"-")</f>
        <v>0</v>
      </c>
      <c r="K52" s="28">
        <f>IFERROR(VLOOKUP(C52,Scoring!$A$4:$N$51,14,FALSE())*4,"-")</f>
        <v>0</v>
      </c>
      <c r="L52" s="28">
        <f>IFERROR(VLOOKUP(D52,Scoring!$A$4:$N$51,14,FALSE())*3,"-")</f>
        <v>0</v>
      </c>
      <c r="M52" s="28">
        <f>IFERROR(VLOOKUP(E52,Scoring!$A$4:$N$51,14,FALSE())*2,"-")</f>
        <v>0</v>
      </c>
      <c r="N52" s="28">
        <f>IFERROR(VLOOKUP(F52,Scoring!$A$4:$N$51,14,FALSE()),"-")</f>
        <v>0</v>
      </c>
      <c r="O52" s="28">
        <f>IFERROR(VLOOKUP(G52,Scoring!$A$4:$N$51,14,FALSE()),"-")</f>
        <v>0</v>
      </c>
      <c r="P52" s="29">
        <f>IFERROR(VLOOKUP(H52,Scoring!$A$4:$N$51,14,FALSE()),"-")</f>
        <v>1</v>
      </c>
      <c r="Q52" s="29">
        <f>IFERROR(VLOOKUP(I52,Scoring!$A$4:$N$51,6,FALSE()),"-")</f>
        <v>0</v>
      </c>
      <c r="R52" s="36">
        <f t="shared" si="3"/>
        <v>1</v>
      </c>
      <c r="S52">
        <f t="shared" si="4"/>
        <v>36</v>
      </c>
      <c r="T52">
        <f t="shared" si="5"/>
        <v>0.99994799999999995</v>
      </c>
      <c r="U52" s="143" t="s">
        <v>229</v>
      </c>
      <c r="W52" s="44" t="s">
        <v>143</v>
      </c>
    </row>
    <row r="53" spans="1:23" ht="12.75" customHeight="1" x14ac:dyDescent="0.3">
      <c r="A53" s="27" t="s">
        <v>230</v>
      </c>
      <c r="B53" s="43" t="s">
        <v>29</v>
      </c>
      <c r="C53" s="43" t="s">
        <v>84</v>
      </c>
      <c r="D53" s="43" t="s">
        <v>66</v>
      </c>
      <c r="E53" s="43" t="s">
        <v>60</v>
      </c>
      <c r="F53" s="43" t="s">
        <v>65</v>
      </c>
      <c r="G53" s="43" t="s">
        <v>71</v>
      </c>
      <c r="H53" s="43" t="s">
        <v>24</v>
      </c>
      <c r="I53" s="28" t="s">
        <v>29</v>
      </c>
      <c r="J53" s="28">
        <f>IFERROR(VLOOKUP(B53,Scoring!$A$4:$N$51,14,FALSE())*6,"-")</f>
        <v>0</v>
      </c>
      <c r="K53" s="28">
        <f>IFERROR(VLOOKUP(C53,Scoring!$A$4:$N$51,14,FALSE())*4,"-")</f>
        <v>0</v>
      </c>
      <c r="L53" s="28">
        <f>IFERROR(VLOOKUP(D53,Scoring!$A$4:$N$51,14,FALSE())*3,"-")</f>
        <v>0</v>
      </c>
      <c r="M53" s="28">
        <f>IFERROR(VLOOKUP(E53,Scoring!$A$4:$N$51,14,FALSE())*2,"-")</f>
        <v>0</v>
      </c>
      <c r="N53" s="28">
        <f>IFERROR(VLOOKUP(F53,Scoring!$A$4:$N$51,14,FALSE()),"-")</f>
        <v>0</v>
      </c>
      <c r="O53" s="28">
        <f>IFERROR(VLOOKUP(G53,Scoring!$A$4:$N$51,14,FALSE()),"-")</f>
        <v>0</v>
      </c>
      <c r="P53" s="29">
        <f>IFERROR(VLOOKUP(H53,Scoring!$A$4:$N$51,14,FALSE()),"-")</f>
        <v>1</v>
      </c>
      <c r="Q53" s="29">
        <f>IFERROR(VLOOKUP(I53,Scoring!$A$4:$N$51,6,FALSE()),"-")</f>
        <v>0</v>
      </c>
      <c r="R53" s="36">
        <f t="shared" si="3"/>
        <v>1</v>
      </c>
      <c r="S53">
        <f t="shared" si="4"/>
        <v>36</v>
      </c>
      <c r="T53">
        <f t="shared" si="5"/>
        <v>0.99994700000000003</v>
      </c>
      <c r="U53" s="143" t="s">
        <v>231</v>
      </c>
      <c r="W53" s="44" t="s">
        <v>143</v>
      </c>
    </row>
    <row r="54" spans="1:23" ht="12.75" customHeight="1" x14ac:dyDescent="0.3">
      <c r="A54" s="27" t="s">
        <v>232</v>
      </c>
      <c r="B54" s="43" t="s">
        <v>78</v>
      </c>
      <c r="C54" s="43" t="s">
        <v>60</v>
      </c>
      <c r="D54" s="43" t="s">
        <v>29</v>
      </c>
      <c r="E54" s="43" t="s">
        <v>66</v>
      </c>
      <c r="F54" s="43" t="s">
        <v>65</v>
      </c>
      <c r="G54" s="43" t="s">
        <v>54</v>
      </c>
      <c r="H54" s="43" t="s">
        <v>87</v>
      </c>
      <c r="I54" s="28" t="s">
        <v>78</v>
      </c>
      <c r="J54" s="28">
        <f>IFERROR(VLOOKUP(B54,Scoring!$A$4:$N$51,14,FALSE())*6,"-")</f>
        <v>0</v>
      </c>
      <c r="K54" s="28">
        <f>IFERROR(VLOOKUP(C54,Scoring!$A$4:$N$51,14,FALSE())*4,"-")</f>
        <v>0</v>
      </c>
      <c r="L54" s="28">
        <f>IFERROR(VLOOKUP(D54,Scoring!$A$4:$N$51,14,FALSE())*3,"-")</f>
        <v>0</v>
      </c>
      <c r="M54" s="28">
        <f>IFERROR(VLOOKUP(E54,Scoring!$A$4:$N$51,14,FALSE())*2,"-")</f>
        <v>0</v>
      </c>
      <c r="N54" s="28">
        <f>IFERROR(VLOOKUP(F54,Scoring!$A$4:$N$51,14,FALSE()),"-")</f>
        <v>0</v>
      </c>
      <c r="O54" s="28">
        <f>IFERROR(VLOOKUP(G54,Scoring!$A$4:$N$51,14,FALSE()),"-")</f>
        <v>0</v>
      </c>
      <c r="P54" s="29">
        <f>IFERROR(VLOOKUP(H54,Scoring!$A$4:$N$51,14,FALSE()),"-")</f>
        <v>0</v>
      </c>
      <c r="Q54" s="29">
        <f>IFERROR(VLOOKUP(I54,Scoring!$A$4:$N$51,6,FALSE()),"-")</f>
        <v>0</v>
      </c>
      <c r="R54" s="36">
        <f t="shared" si="3"/>
        <v>0</v>
      </c>
      <c r="S54">
        <f t="shared" si="4"/>
        <v>63</v>
      </c>
      <c r="T54">
        <f t="shared" si="5"/>
        <v>-5.3999999999999998E-5</v>
      </c>
      <c r="U54" s="44" t="s">
        <v>233</v>
      </c>
      <c r="W54" s="44" t="s">
        <v>143</v>
      </c>
    </row>
    <row r="55" spans="1:23" ht="12.75" customHeight="1" x14ac:dyDescent="0.3">
      <c r="A55" s="27" t="s">
        <v>234</v>
      </c>
      <c r="B55" s="43" t="s">
        <v>29</v>
      </c>
      <c r="C55" s="43" t="s">
        <v>66</v>
      </c>
      <c r="D55" s="43" t="s">
        <v>60</v>
      </c>
      <c r="E55" s="43" t="s">
        <v>84</v>
      </c>
      <c r="F55" s="43" t="s">
        <v>11</v>
      </c>
      <c r="G55" s="43" t="s">
        <v>38</v>
      </c>
      <c r="H55" s="43" t="s">
        <v>79</v>
      </c>
      <c r="I55" s="28" t="s">
        <v>66</v>
      </c>
      <c r="J55" s="28">
        <f>IFERROR(VLOOKUP(B55,Scoring!$A$4:$N$51,14,FALSE())*6,"-")</f>
        <v>0</v>
      </c>
      <c r="K55" s="28">
        <f>IFERROR(VLOOKUP(C55,Scoring!$A$4:$N$51,14,FALSE())*4,"-")</f>
        <v>0</v>
      </c>
      <c r="L55" s="28">
        <f>IFERROR(VLOOKUP(D55,Scoring!$A$4:$N$51,14,FALSE())*3,"-")</f>
        <v>0</v>
      </c>
      <c r="M55" s="28">
        <f>IFERROR(VLOOKUP(E55,Scoring!$A$4:$N$51,14,FALSE())*2,"-")</f>
        <v>0</v>
      </c>
      <c r="N55" s="28">
        <f>IFERROR(VLOOKUP(F55,Scoring!$A$4:$N$51,14,FALSE()),"-")</f>
        <v>3</v>
      </c>
      <c r="O55" s="28">
        <f>IFERROR(VLOOKUP(G55,Scoring!$A$4:$N$51,14,FALSE()),"-")</f>
        <v>0</v>
      </c>
      <c r="P55" s="29">
        <f>IFERROR(VLOOKUP(H55,Scoring!$A$4:$N$51,14,FALSE()),"-")</f>
        <v>0</v>
      </c>
      <c r="Q55" s="29">
        <f>IFERROR(VLOOKUP(I55,Scoring!$A$4:$N$51,6,FALSE()),"-")</f>
        <v>0</v>
      </c>
      <c r="R55" s="36">
        <f t="shared" si="3"/>
        <v>3</v>
      </c>
      <c r="S55">
        <f t="shared" si="4"/>
        <v>22</v>
      </c>
      <c r="T55">
        <f t="shared" si="5"/>
        <v>2.9999449999999999</v>
      </c>
      <c r="U55" s="44" t="s">
        <v>235</v>
      </c>
      <c r="W55" s="44" t="s">
        <v>143</v>
      </c>
    </row>
    <row r="56" spans="1:23" ht="12.75" customHeight="1" x14ac:dyDescent="0.3">
      <c r="A56" s="27" t="s">
        <v>236</v>
      </c>
      <c r="B56" s="43" t="s">
        <v>60</v>
      </c>
      <c r="C56" s="43" t="s">
        <v>66</v>
      </c>
      <c r="D56" s="43" t="s">
        <v>29</v>
      </c>
      <c r="E56" s="43" t="s">
        <v>72</v>
      </c>
      <c r="F56" s="43" t="s">
        <v>65</v>
      </c>
      <c r="G56" s="43" t="s">
        <v>71</v>
      </c>
      <c r="H56" s="43" t="s">
        <v>58</v>
      </c>
      <c r="I56" s="28" t="s">
        <v>60</v>
      </c>
      <c r="J56" s="28">
        <f>IFERROR(VLOOKUP(B56,Scoring!$A$4:$N$51,14,FALSE())*6,"-")</f>
        <v>0</v>
      </c>
      <c r="K56" s="28">
        <f>IFERROR(VLOOKUP(C56,Scoring!$A$4:$N$51,14,FALSE())*4,"-")</f>
        <v>0</v>
      </c>
      <c r="L56" s="28">
        <f>IFERROR(VLOOKUP(D56,Scoring!$A$4:$N$51,14,FALSE())*3,"-")</f>
        <v>0</v>
      </c>
      <c r="M56" s="28">
        <f>IFERROR(VLOOKUP(E56,Scoring!$A$4:$N$51,14,FALSE())*2,"-")</f>
        <v>0</v>
      </c>
      <c r="N56" s="28">
        <f>IFERROR(VLOOKUP(F56,Scoring!$A$4:$N$51,14,FALSE()),"-")</f>
        <v>0</v>
      </c>
      <c r="O56" s="28">
        <f>IFERROR(VLOOKUP(G56,Scoring!$A$4:$N$51,14,FALSE()),"-")</f>
        <v>0</v>
      </c>
      <c r="P56" s="29">
        <f>IFERROR(VLOOKUP(H56,Scoring!$A$4:$N$51,14,FALSE()),"-")</f>
        <v>0</v>
      </c>
      <c r="Q56" s="29">
        <f>IFERROR(VLOOKUP(I56,Scoring!$A$4:$N$51,6,FALSE()),"-")</f>
        <v>0</v>
      </c>
      <c r="R56" s="36">
        <f t="shared" si="3"/>
        <v>0</v>
      </c>
      <c r="S56">
        <f t="shared" si="4"/>
        <v>63</v>
      </c>
      <c r="T56">
        <f t="shared" si="5"/>
        <v>-5.5999999999999999E-5</v>
      </c>
      <c r="U56" s="44" t="s">
        <v>237</v>
      </c>
      <c r="W56" s="44" t="s">
        <v>143</v>
      </c>
    </row>
    <row r="57" spans="1:23" ht="12.75" customHeight="1" x14ac:dyDescent="0.3">
      <c r="A57" s="27" t="s">
        <v>238</v>
      </c>
      <c r="B57" s="43" t="s">
        <v>66</v>
      </c>
      <c r="C57" s="43" t="s">
        <v>84</v>
      </c>
      <c r="D57" s="43" t="s">
        <v>60</v>
      </c>
      <c r="E57" s="43" t="s">
        <v>72</v>
      </c>
      <c r="F57" s="43" t="s">
        <v>28</v>
      </c>
      <c r="G57" s="43" t="s">
        <v>54</v>
      </c>
      <c r="H57" s="43" t="s">
        <v>87</v>
      </c>
      <c r="I57" s="28" t="s">
        <v>66</v>
      </c>
      <c r="J57" s="28">
        <f>IFERROR(VLOOKUP(B57,Scoring!$A$4:$N$51,14,FALSE())*6,"-")</f>
        <v>0</v>
      </c>
      <c r="K57" s="28">
        <f>IFERROR(VLOOKUP(C57,Scoring!$A$4:$N$51,14,FALSE())*4,"-")</f>
        <v>0</v>
      </c>
      <c r="L57" s="28">
        <f>IFERROR(VLOOKUP(D57,Scoring!$A$4:$N$51,14,FALSE())*3,"-")</f>
        <v>0</v>
      </c>
      <c r="M57" s="28">
        <f>IFERROR(VLOOKUP(E57,Scoring!$A$4:$N$51,14,FALSE())*2,"-")</f>
        <v>0</v>
      </c>
      <c r="N57" s="28">
        <f>IFERROR(VLOOKUP(F57,Scoring!$A$4:$N$51,14,FALSE()),"-")</f>
        <v>0</v>
      </c>
      <c r="O57" s="28">
        <f>IFERROR(VLOOKUP(G57,Scoring!$A$4:$N$51,14,FALSE()),"-")</f>
        <v>0</v>
      </c>
      <c r="P57" s="29">
        <f>IFERROR(VLOOKUP(H57,Scoring!$A$4:$N$51,14,FALSE()),"-")</f>
        <v>0</v>
      </c>
      <c r="Q57" s="29">
        <f>IFERROR(VLOOKUP(I57,Scoring!$A$4:$N$51,6,FALSE()),"-")</f>
        <v>0</v>
      </c>
      <c r="R57" s="36">
        <f t="shared" si="3"/>
        <v>0</v>
      </c>
      <c r="S57">
        <f t="shared" si="4"/>
        <v>63</v>
      </c>
      <c r="T57">
        <f t="shared" si="5"/>
        <v>-5.7000000000000003E-5</v>
      </c>
      <c r="U57" s="44" t="s">
        <v>239</v>
      </c>
      <c r="W57" s="44" t="s">
        <v>143</v>
      </c>
    </row>
    <row r="58" spans="1:23" ht="12.75" customHeight="1" x14ac:dyDescent="0.3">
      <c r="A58" s="27" t="s">
        <v>240</v>
      </c>
      <c r="B58" s="43" t="s">
        <v>66</v>
      </c>
      <c r="C58" s="43" t="s">
        <v>60</v>
      </c>
      <c r="D58" s="43" t="s">
        <v>72</v>
      </c>
      <c r="E58" s="43" t="s">
        <v>84</v>
      </c>
      <c r="F58" s="43" t="s">
        <v>11</v>
      </c>
      <c r="G58" s="43" t="s">
        <v>23</v>
      </c>
      <c r="H58" s="43" t="s">
        <v>87</v>
      </c>
      <c r="I58" s="28" t="s">
        <v>60</v>
      </c>
      <c r="J58" s="28">
        <f>IFERROR(VLOOKUP(B58,Scoring!$A$4:$N$51,14,FALSE())*6,"-")</f>
        <v>0</v>
      </c>
      <c r="K58" s="28">
        <f>IFERROR(VLOOKUP(C58,Scoring!$A$4:$N$51,14,FALSE())*4,"-")</f>
        <v>0</v>
      </c>
      <c r="L58" s="28">
        <f>IFERROR(VLOOKUP(D58,Scoring!$A$4:$N$51,14,FALSE())*3,"-")</f>
        <v>0</v>
      </c>
      <c r="M58" s="28">
        <f>IFERROR(VLOOKUP(E58,Scoring!$A$4:$N$51,14,FALSE())*2,"-")</f>
        <v>0</v>
      </c>
      <c r="N58" s="28">
        <f>IFERROR(VLOOKUP(F58,Scoring!$A$4:$N$51,14,FALSE()),"-")</f>
        <v>3</v>
      </c>
      <c r="O58" s="28">
        <f>IFERROR(VLOOKUP(G58,Scoring!$A$4:$N$51,14,FALSE()),"-")</f>
        <v>1</v>
      </c>
      <c r="P58" s="29">
        <f>IFERROR(VLOOKUP(H58,Scoring!$A$4:$N$51,14,FALSE()),"-")</f>
        <v>0</v>
      </c>
      <c r="Q58" s="29">
        <f>IFERROR(VLOOKUP(I58,Scoring!$A$4:$N$51,6,FALSE()),"-")</f>
        <v>0</v>
      </c>
      <c r="R58" s="36">
        <f t="shared" si="3"/>
        <v>4</v>
      </c>
      <c r="S58">
        <f t="shared" si="4"/>
        <v>5</v>
      </c>
      <c r="T58">
        <f t="shared" si="5"/>
        <v>3.9999419999999999</v>
      </c>
      <c r="U58" s="143" t="s">
        <v>241</v>
      </c>
      <c r="W58" s="44" t="s">
        <v>143</v>
      </c>
    </row>
    <row r="59" spans="1:23" ht="12.75" customHeight="1" x14ac:dyDescent="0.3">
      <c r="A59" s="27" t="s">
        <v>242</v>
      </c>
      <c r="B59" s="43" t="s">
        <v>66</v>
      </c>
      <c r="C59" s="43" t="s">
        <v>60</v>
      </c>
      <c r="D59" s="43" t="s">
        <v>84</v>
      </c>
      <c r="E59" s="43" t="s">
        <v>78</v>
      </c>
      <c r="F59" s="43" t="s">
        <v>47</v>
      </c>
      <c r="G59" s="43" t="s">
        <v>50</v>
      </c>
      <c r="H59" s="43" t="s">
        <v>58</v>
      </c>
      <c r="I59" s="28" t="s">
        <v>60</v>
      </c>
      <c r="J59" s="28">
        <f>IFERROR(VLOOKUP(B59,Scoring!$A$4:$N$51,14,FALSE())*6,"-")</f>
        <v>0</v>
      </c>
      <c r="K59" s="28">
        <f>IFERROR(VLOOKUP(C59,Scoring!$A$4:$N$51,14,FALSE())*4,"-")</f>
        <v>0</v>
      </c>
      <c r="L59" s="28">
        <f>IFERROR(VLOOKUP(D59,Scoring!$A$4:$N$51,14,FALSE())*3,"-")</f>
        <v>0</v>
      </c>
      <c r="M59" s="28">
        <f>IFERROR(VLOOKUP(E59,Scoring!$A$4:$N$51,14,FALSE())*2,"-")</f>
        <v>0</v>
      </c>
      <c r="N59" s="28">
        <f>IFERROR(VLOOKUP(F59,Scoring!$A$4:$N$51,14,FALSE()),"-")</f>
        <v>0</v>
      </c>
      <c r="O59" s="28">
        <f>IFERROR(VLOOKUP(G59,Scoring!$A$4:$N$51,14,FALSE()),"-")</f>
        <v>0</v>
      </c>
      <c r="P59" s="29">
        <f>IFERROR(VLOOKUP(H59,Scoring!$A$4:$N$51,14,FALSE()),"-")</f>
        <v>0</v>
      </c>
      <c r="Q59" s="29">
        <f>IFERROR(VLOOKUP(I59,Scoring!$A$4:$N$51,6,FALSE()),"-")</f>
        <v>0</v>
      </c>
      <c r="R59" s="36">
        <f t="shared" si="3"/>
        <v>0</v>
      </c>
      <c r="S59">
        <f t="shared" si="4"/>
        <v>63</v>
      </c>
      <c r="T59">
        <f t="shared" si="5"/>
        <v>-5.8999999999999998E-5</v>
      </c>
      <c r="U59" s="44" t="s">
        <v>243</v>
      </c>
      <c r="W59" s="44" t="s">
        <v>143</v>
      </c>
    </row>
    <row r="60" spans="1:23" ht="12.75" customHeight="1" x14ac:dyDescent="0.3">
      <c r="A60" s="27" t="s">
        <v>244</v>
      </c>
      <c r="B60" s="43" t="s">
        <v>29</v>
      </c>
      <c r="C60" s="43" t="s">
        <v>60</v>
      </c>
      <c r="D60" s="43" t="s">
        <v>40</v>
      </c>
      <c r="E60" s="43" t="s">
        <v>78</v>
      </c>
      <c r="F60" s="43" t="s">
        <v>11</v>
      </c>
      <c r="G60" s="43" t="s">
        <v>71</v>
      </c>
      <c r="H60" s="43" t="s">
        <v>24</v>
      </c>
      <c r="I60" s="28" t="s">
        <v>29</v>
      </c>
      <c r="J60" s="28">
        <f>IFERROR(VLOOKUP(B60,Scoring!$A$4:$N$51,14,FALSE())*6,"-")</f>
        <v>0</v>
      </c>
      <c r="K60" s="28">
        <f>IFERROR(VLOOKUP(C60,Scoring!$A$4:$N$51,14,FALSE())*4,"-")</f>
        <v>0</v>
      </c>
      <c r="L60" s="28">
        <f>IFERROR(VLOOKUP(D60,Scoring!$A$4:$N$51,14,FALSE())*3,"-")</f>
        <v>0</v>
      </c>
      <c r="M60" s="28">
        <f>IFERROR(VLOOKUP(E60,Scoring!$A$4:$N$51,14,FALSE())*2,"-")</f>
        <v>0</v>
      </c>
      <c r="N60" s="28">
        <f>IFERROR(VLOOKUP(F60,Scoring!$A$4:$N$51,14,FALSE()),"-")</f>
        <v>3</v>
      </c>
      <c r="O60" s="28">
        <f>IFERROR(VLOOKUP(G60,Scoring!$A$4:$N$51,14,FALSE()),"-")</f>
        <v>0</v>
      </c>
      <c r="P60" s="29">
        <f>IFERROR(VLOOKUP(H60,Scoring!$A$4:$N$51,14,FALSE()),"-")</f>
        <v>1</v>
      </c>
      <c r="Q60" s="29">
        <f>IFERROR(VLOOKUP(I60,Scoring!$A$4:$N$51,6,FALSE()),"-")</f>
        <v>0</v>
      </c>
      <c r="R60" s="36">
        <f t="shared" si="3"/>
        <v>4</v>
      </c>
      <c r="S60">
        <f t="shared" si="4"/>
        <v>5</v>
      </c>
      <c r="T60">
        <f t="shared" si="5"/>
        <v>3.9999400000000001</v>
      </c>
      <c r="U60" s="44" t="s">
        <v>245</v>
      </c>
      <c r="W60" s="44" t="s">
        <v>143</v>
      </c>
    </row>
    <row r="61" spans="1:23" ht="12.75" customHeight="1" x14ac:dyDescent="0.3">
      <c r="A61" s="27" t="s">
        <v>246</v>
      </c>
      <c r="B61" s="43" t="s">
        <v>78</v>
      </c>
      <c r="C61" s="43" t="s">
        <v>66</v>
      </c>
      <c r="D61" s="43" t="s">
        <v>60</v>
      </c>
      <c r="E61" s="43" t="s">
        <v>29</v>
      </c>
      <c r="F61" s="43" t="s">
        <v>39</v>
      </c>
      <c r="G61" s="43" t="s">
        <v>23</v>
      </c>
      <c r="H61" s="43" t="s">
        <v>87</v>
      </c>
      <c r="I61" s="28" t="s">
        <v>60</v>
      </c>
      <c r="J61" s="28">
        <f>IFERROR(VLOOKUP(B61,Scoring!$A$4:$N$51,14,FALSE())*6,"-")</f>
        <v>0</v>
      </c>
      <c r="K61" s="28">
        <f>IFERROR(VLOOKUP(C61,Scoring!$A$4:$N$51,14,FALSE())*4,"-")</f>
        <v>0</v>
      </c>
      <c r="L61" s="28">
        <f>IFERROR(VLOOKUP(D61,Scoring!$A$4:$N$51,14,FALSE())*3,"-")</f>
        <v>0</v>
      </c>
      <c r="M61" s="28">
        <f>IFERROR(VLOOKUP(E61,Scoring!$A$4:$N$51,14,FALSE())*2,"-")</f>
        <v>0</v>
      </c>
      <c r="N61" s="28">
        <f>IFERROR(VLOOKUP(F61,Scoring!$A$4:$N$51,14,FALSE()),"-")</f>
        <v>0</v>
      </c>
      <c r="O61" s="28">
        <f>IFERROR(VLOOKUP(G61,Scoring!$A$4:$N$51,14,FALSE()),"-")</f>
        <v>1</v>
      </c>
      <c r="P61" s="29">
        <f>IFERROR(VLOOKUP(H61,Scoring!$A$4:$N$51,14,FALSE()),"-")</f>
        <v>0</v>
      </c>
      <c r="Q61" s="29">
        <f>IFERROR(VLOOKUP(I61,Scoring!$A$4:$N$51,6,FALSE()),"-")</f>
        <v>0</v>
      </c>
      <c r="R61" s="36">
        <f t="shared" si="3"/>
        <v>1</v>
      </c>
      <c r="S61">
        <f t="shared" si="4"/>
        <v>36</v>
      </c>
      <c r="T61">
        <f t="shared" si="5"/>
        <v>0.99993900000000002</v>
      </c>
      <c r="U61" s="44" t="s">
        <v>247</v>
      </c>
      <c r="W61" s="44" t="s">
        <v>143</v>
      </c>
    </row>
    <row r="62" spans="1:23" ht="12.75" customHeight="1" x14ac:dyDescent="0.3">
      <c r="A62" s="27" t="s">
        <v>248</v>
      </c>
      <c r="B62" s="43" t="s">
        <v>83</v>
      </c>
      <c r="C62" s="43" t="s">
        <v>40</v>
      </c>
      <c r="D62" s="43" t="s">
        <v>11</v>
      </c>
      <c r="E62" s="43" t="s">
        <v>65</v>
      </c>
      <c r="F62" s="43" t="s">
        <v>83</v>
      </c>
      <c r="G62" s="43" t="s">
        <v>23</v>
      </c>
      <c r="H62" s="43" t="s">
        <v>24</v>
      </c>
      <c r="I62" s="28" t="s">
        <v>29</v>
      </c>
      <c r="J62" s="28">
        <f>IFERROR(VLOOKUP(B62,Scoring!$A$4:$N$51,14,FALSE())*6,"-")</f>
        <v>0</v>
      </c>
      <c r="K62" s="28">
        <f>IFERROR(VLOOKUP(C62,Scoring!$A$4:$N$51,14,FALSE())*4,"-")</f>
        <v>0</v>
      </c>
      <c r="L62" s="28">
        <f>IFERROR(VLOOKUP(D62,Scoring!$A$4:$N$51,14,FALSE())*3,"-")</f>
        <v>9</v>
      </c>
      <c r="M62" s="28">
        <f>IFERROR(VLOOKUP(E62,Scoring!$A$4:$N$51,14,FALSE())*2,"-")</f>
        <v>0</v>
      </c>
      <c r="N62" s="28">
        <f>IFERROR(VLOOKUP(F62,Scoring!$A$4:$N$51,14,FALSE()),"-")</f>
        <v>0</v>
      </c>
      <c r="O62" s="28">
        <f>IFERROR(VLOOKUP(G62,Scoring!$A$4:$N$51,14,FALSE()),"-")</f>
        <v>1</v>
      </c>
      <c r="P62" s="29">
        <f>IFERROR(VLOOKUP(H62,Scoring!$A$4:$N$51,14,FALSE()),"-")</f>
        <v>1</v>
      </c>
      <c r="Q62" s="29">
        <f>IFERROR(VLOOKUP(I62,Scoring!$A$4:$N$51,6,FALSE()),"-")</f>
        <v>0</v>
      </c>
      <c r="R62" s="36">
        <f t="shared" si="3"/>
        <v>11</v>
      </c>
      <c r="S62">
        <f t="shared" si="4"/>
        <v>1</v>
      </c>
      <c r="T62">
        <f t="shared" si="5"/>
        <v>10.999938</v>
      </c>
      <c r="U62" s="143" t="s">
        <v>249</v>
      </c>
      <c r="W62" s="44" t="s">
        <v>143</v>
      </c>
    </row>
    <row r="63" spans="1:23" ht="12.75" customHeight="1" x14ac:dyDescent="0.3">
      <c r="A63" s="27" t="s">
        <v>250</v>
      </c>
      <c r="B63" s="43" t="s">
        <v>66</v>
      </c>
      <c r="C63" s="43" t="s">
        <v>29</v>
      </c>
      <c r="D63" s="43" t="s">
        <v>60</v>
      </c>
      <c r="E63" s="43" t="s">
        <v>84</v>
      </c>
      <c r="F63" s="43" t="s">
        <v>65</v>
      </c>
      <c r="G63" s="43" t="s">
        <v>54</v>
      </c>
      <c r="H63" s="43" t="s">
        <v>27</v>
      </c>
      <c r="I63" s="28" t="s">
        <v>66</v>
      </c>
      <c r="J63" s="28">
        <f>IFERROR(VLOOKUP(B63,Scoring!$A$4:$N$51,14,FALSE())*6,"-")</f>
        <v>0</v>
      </c>
      <c r="K63" s="28">
        <f>IFERROR(VLOOKUP(C63,Scoring!$A$4:$N$51,14,FALSE())*4,"-")</f>
        <v>0</v>
      </c>
      <c r="L63" s="28">
        <f>IFERROR(VLOOKUP(D63,Scoring!$A$4:$N$51,14,FALSE())*3,"-")</f>
        <v>0</v>
      </c>
      <c r="M63" s="28">
        <f>IFERROR(VLOOKUP(E63,Scoring!$A$4:$N$51,14,FALSE())*2,"-")</f>
        <v>0</v>
      </c>
      <c r="N63" s="28">
        <f>IFERROR(VLOOKUP(F63,Scoring!$A$4:$N$51,14,FALSE()),"-")</f>
        <v>0</v>
      </c>
      <c r="O63" s="28">
        <f>IFERROR(VLOOKUP(G63,Scoring!$A$4:$N$51,14,FALSE()),"-")</f>
        <v>0</v>
      </c>
      <c r="P63" s="29">
        <f>IFERROR(VLOOKUP(H63,Scoring!$A$4:$N$51,14,FALSE()),"-")</f>
        <v>0</v>
      </c>
      <c r="Q63" s="29">
        <f>IFERROR(VLOOKUP(I63,Scoring!$A$4:$N$51,6,FALSE()),"-")</f>
        <v>0</v>
      </c>
      <c r="R63" s="36">
        <f t="shared" si="3"/>
        <v>0</v>
      </c>
      <c r="S63">
        <f t="shared" si="4"/>
        <v>63</v>
      </c>
      <c r="T63">
        <f t="shared" si="5"/>
        <v>-6.3E-5</v>
      </c>
      <c r="U63" s="143" t="s">
        <v>251</v>
      </c>
      <c r="W63" s="44" t="s">
        <v>143</v>
      </c>
    </row>
    <row r="64" spans="1:23" ht="12.75" customHeight="1" x14ac:dyDescent="0.3">
      <c r="A64" s="27" t="s">
        <v>252</v>
      </c>
      <c r="B64" s="43" t="s">
        <v>66</v>
      </c>
      <c r="C64" s="43" t="s">
        <v>60</v>
      </c>
      <c r="D64" s="43" t="s">
        <v>29</v>
      </c>
      <c r="E64" s="43" t="s">
        <v>84</v>
      </c>
      <c r="F64" s="43" t="s">
        <v>47</v>
      </c>
      <c r="G64" s="43" t="s">
        <v>71</v>
      </c>
      <c r="H64" s="43" t="s">
        <v>87</v>
      </c>
      <c r="I64" s="28" t="s">
        <v>66</v>
      </c>
      <c r="J64" s="28">
        <f>IFERROR(VLOOKUP(B64,Scoring!$A$4:$N$51,14,FALSE())*6,"-")</f>
        <v>0</v>
      </c>
      <c r="K64" s="28">
        <f>IFERROR(VLOOKUP(C64,Scoring!$A$4:$N$51,14,FALSE())*4,"-")</f>
        <v>0</v>
      </c>
      <c r="L64" s="28">
        <f>IFERROR(VLOOKUP(D64,Scoring!$A$4:$N$51,14,FALSE())*3,"-")</f>
        <v>0</v>
      </c>
      <c r="M64" s="28">
        <f>IFERROR(VLOOKUP(E64,Scoring!$A$4:$N$51,14,FALSE())*2,"-")</f>
        <v>0</v>
      </c>
      <c r="N64" s="28">
        <f>IFERROR(VLOOKUP(F64,Scoring!$A$4:$N$51,14,FALSE()),"-")</f>
        <v>0</v>
      </c>
      <c r="O64" s="28">
        <f>IFERROR(VLOOKUP(G64,Scoring!$A$4:$N$51,14,FALSE()),"-")</f>
        <v>0</v>
      </c>
      <c r="P64" s="29">
        <f>IFERROR(VLOOKUP(H64,Scoring!$A$4:$N$51,14,FALSE()),"-")</f>
        <v>0</v>
      </c>
      <c r="Q64" s="29">
        <f>IFERROR(VLOOKUP(I64,Scoring!$A$4:$N$51,6,FALSE()),"-")</f>
        <v>0</v>
      </c>
      <c r="R64" s="36">
        <f t="shared" si="3"/>
        <v>0</v>
      </c>
      <c r="S64">
        <f t="shared" si="4"/>
        <v>63</v>
      </c>
      <c r="T64">
        <f t="shared" si="5"/>
        <v>-6.3999999999999997E-5</v>
      </c>
      <c r="U64" s="143" t="s">
        <v>253</v>
      </c>
      <c r="W64" s="44" t="s">
        <v>143</v>
      </c>
    </row>
    <row r="65" spans="1:23" ht="12.75" customHeight="1" x14ac:dyDescent="0.3">
      <c r="A65" s="27" t="s">
        <v>254</v>
      </c>
      <c r="B65" s="43" t="s">
        <v>78</v>
      </c>
      <c r="C65" s="43" t="s">
        <v>66</v>
      </c>
      <c r="D65" s="43" t="s">
        <v>60</v>
      </c>
      <c r="E65" s="43" t="s">
        <v>29</v>
      </c>
      <c r="F65" s="43" t="s">
        <v>83</v>
      </c>
      <c r="G65" s="43" t="s">
        <v>71</v>
      </c>
      <c r="H65" s="43" t="s">
        <v>82</v>
      </c>
      <c r="I65" s="28" t="s">
        <v>66</v>
      </c>
      <c r="J65" s="28">
        <f>IFERROR(VLOOKUP(B65,Scoring!$A$4:$N$51,14,FALSE())*6,"-")</f>
        <v>0</v>
      </c>
      <c r="K65" s="28">
        <f>IFERROR(VLOOKUP(C65,Scoring!$A$4:$N$51,14,FALSE())*4,"-")</f>
        <v>0</v>
      </c>
      <c r="L65" s="28">
        <f>IFERROR(VLOOKUP(D65,Scoring!$A$4:$N$51,14,FALSE())*3,"-")</f>
        <v>0</v>
      </c>
      <c r="M65" s="28">
        <f>IFERROR(VLOOKUP(E65,Scoring!$A$4:$N$51,14,FALSE())*2,"-")</f>
        <v>0</v>
      </c>
      <c r="N65" s="28">
        <f>IFERROR(VLOOKUP(F65,Scoring!$A$4:$N$51,14,FALSE()),"-")</f>
        <v>0</v>
      </c>
      <c r="O65" s="28">
        <f>IFERROR(VLOOKUP(G65,Scoring!$A$4:$N$51,14,FALSE()),"-")</f>
        <v>0</v>
      </c>
      <c r="P65" s="29">
        <f>IFERROR(VLOOKUP(H65,Scoring!$A$4:$N$51,14,FALSE()),"-")</f>
        <v>0</v>
      </c>
      <c r="Q65" s="29">
        <f>IFERROR(VLOOKUP(I65,Scoring!$A$4:$N$51,6,FALSE()),"-")</f>
        <v>0</v>
      </c>
      <c r="R65" s="36">
        <f t="shared" si="3"/>
        <v>0</v>
      </c>
      <c r="S65">
        <f t="shared" si="4"/>
        <v>63</v>
      </c>
      <c r="T65">
        <f t="shared" si="5"/>
        <v>-6.4999999999999994E-5</v>
      </c>
      <c r="U65" s="143" t="s">
        <v>255</v>
      </c>
      <c r="W65" s="44" t="s">
        <v>143</v>
      </c>
    </row>
    <row r="66" spans="1:23" ht="12.75" customHeight="1" x14ac:dyDescent="0.3">
      <c r="A66" s="27" t="s">
        <v>256</v>
      </c>
      <c r="B66" s="43" t="s">
        <v>60</v>
      </c>
      <c r="C66" s="43" t="s">
        <v>29</v>
      </c>
      <c r="D66" s="43" t="s">
        <v>40</v>
      </c>
      <c r="E66" s="43" t="s">
        <v>46</v>
      </c>
      <c r="F66" s="43" t="s">
        <v>76</v>
      </c>
      <c r="G66" s="43" t="s">
        <v>71</v>
      </c>
      <c r="H66" s="43" t="s">
        <v>61</v>
      </c>
      <c r="I66" s="28" t="s">
        <v>29</v>
      </c>
      <c r="J66" s="28">
        <f>IFERROR(VLOOKUP(B66,Scoring!$A$4:$N$51,14,FALSE())*6,"-")</f>
        <v>0</v>
      </c>
      <c r="K66" s="28">
        <f>IFERROR(VLOOKUP(C66,Scoring!$A$4:$N$51,14,FALSE())*4,"-")</f>
        <v>0</v>
      </c>
      <c r="L66" s="28">
        <f>IFERROR(VLOOKUP(D66,Scoring!$A$4:$N$51,14,FALSE())*3,"-")</f>
        <v>0</v>
      </c>
      <c r="M66" s="28">
        <f>IFERROR(VLOOKUP(E66,Scoring!$A$4:$N$51,14,FALSE())*2,"-")</f>
        <v>0</v>
      </c>
      <c r="N66" s="28">
        <f>IFERROR(VLOOKUP(F66,Scoring!$A$4:$N$51,14,FALSE()),"-")</f>
        <v>0</v>
      </c>
      <c r="O66" s="28">
        <f>IFERROR(VLOOKUP(G66,Scoring!$A$4:$N$51,14,FALSE()),"-")</f>
        <v>0</v>
      </c>
      <c r="P66" s="29">
        <f>IFERROR(VLOOKUP(H66,Scoring!$A$4:$N$51,14,FALSE()),"-")</f>
        <v>0</v>
      </c>
      <c r="Q66" s="29">
        <f>IFERROR(VLOOKUP(I66,Scoring!$A$4:$N$51,6,FALSE()),"-")</f>
        <v>0</v>
      </c>
      <c r="R66" s="36">
        <f t="shared" si="3"/>
        <v>0</v>
      </c>
      <c r="S66">
        <f t="shared" si="4"/>
        <v>63</v>
      </c>
      <c r="T66">
        <f t="shared" si="5"/>
        <v>-6.6000000000000005E-5</v>
      </c>
      <c r="U66" s="143" t="s">
        <v>257</v>
      </c>
      <c r="W66" s="44" t="s">
        <v>143</v>
      </c>
    </row>
    <row r="67" spans="1:23" ht="12.75" customHeight="1" x14ac:dyDescent="0.3">
      <c r="A67" s="27" t="s">
        <v>258</v>
      </c>
      <c r="B67" s="43" t="s">
        <v>60</v>
      </c>
      <c r="C67" s="43" t="s">
        <v>72</v>
      </c>
      <c r="D67" s="43" t="s">
        <v>66</v>
      </c>
      <c r="E67" s="43" t="s">
        <v>84</v>
      </c>
      <c r="F67" s="43" t="s">
        <v>47</v>
      </c>
      <c r="G67" s="43" t="s">
        <v>71</v>
      </c>
      <c r="H67" s="43" t="s">
        <v>82</v>
      </c>
      <c r="I67" s="28" t="s">
        <v>60</v>
      </c>
      <c r="J67" s="28">
        <f>IFERROR(VLOOKUP(B67,Scoring!$A$4:$N$51,14,FALSE())*6,"-")</f>
        <v>0</v>
      </c>
      <c r="K67" s="28">
        <f>IFERROR(VLOOKUP(C67,Scoring!$A$4:$N$51,14,FALSE())*4,"-")</f>
        <v>0</v>
      </c>
      <c r="L67" s="28">
        <f>IFERROR(VLOOKUP(D67,Scoring!$A$4:$N$51,14,FALSE())*3,"-")</f>
        <v>0</v>
      </c>
      <c r="M67" s="28">
        <f>IFERROR(VLOOKUP(E67,Scoring!$A$4:$N$51,14,FALSE())*2,"-")</f>
        <v>0</v>
      </c>
      <c r="N67" s="28">
        <f>IFERROR(VLOOKUP(F67,Scoring!$A$4:$N$51,14,FALSE()),"-")</f>
        <v>0</v>
      </c>
      <c r="O67" s="28">
        <f>IFERROR(VLOOKUP(G67,Scoring!$A$4:$N$51,14,FALSE()),"-")</f>
        <v>0</v>
      </c>
      <c r="P67" s="29">
        <f>IFERROR(VLOOKUP(H67,Scoring!$A$4:$N$51,14,FALSE()),"-")</f>
        <v>0</v>
      </c>
      <c r="Q67" s="29">
        <f>IFERROR(VLOOKUP(I67,Scoring!$A$4:$N$51,6,FALSE()),"-")</f>
        <v>0</v>
      </c>
      <c r="R67" s="36">
        <f t="shared" si="3"/>
        <v>0</v>
      </c>
      <c r="S67">
        <f t="shared" si="4"/>
        <v>63</v>
      </c>
      <c r="T67">
        <f t="shared" si="5"/>
        <v>-6.7000000000000002E-5</v>
      </c>
      <c r="U67" s="143" t="s">
        <v>257</v>
      </c>
      <c r="W67" s="44" t="s">
        <v>143</v>
      </c>
    </row>
    <row r="68" spans="1:23" ht="12.75" customHeight="1" x14ac:dyDescent="0.3">
      <c r="A68" s="27" t="s">
        <v>259</v>
      </c>
      <c r="B68" s="43" t="s">
        <v>29</v>
      </c>
      <c r="C68" s="43" t="s">
        <v>60</v>
      </c>
      <c r="D68" s="43" t="s">
        <v>66</v>
      </c>
      <c r="E68" s="43" t="s">
        <v>84</v>
      </c>
      <c r="F68" s="43" t="s">
        <v>47</v>
      </c>
      <c r="G68" s="43" t="s">
        <v>34</v>
      </c>
      <c r="H68" s="43" t="s">
        <v>24</v>
      </c>
      <c r="I68" s="28" t="s">
        <v>29</v>
      </c>
      <c r="J68" s="28">
        <f>IFERROR(VLOOKUP(B68,Scoring!$A$4:$N$51,14,FALSE())*6,"-")</f>
        <v>0</v>
      </c>
      <c r="K68" s="28">
        <f>IFERROR(VLOOKUP(C68,Scoring!$A$4:$N$51,14,FALSE())*4,"-")</f>
        <v>0</v>
      </c>
      <c r="L68" s="28">
        <f>IFERROR(VLOOKUP(D68,Scoring!$A$4:$N$51,14,FALSE())*3,"-")</f>
        <v>0</v>
      </c>
      <c r="M68" s="28">
        <f>IFERROR(VLOOKUP(E68,Scoring!$A$4:$N$51,14,FALSE())*2,"-")</f>
        <v>0</v>
      </c>
      <c r="N68" s="28">
        <f>IFERROR(VLOOKUP(F68,Scoring!$A$4:$N$51,14,FALSE()),"-")</f>
        <v>0</v>
      </c>
      <c r="O68" s="28">
        <f>IFERROR(VLOOKUP(G68,Scoring!$A$4:$N$51,14,FALSE()),"-")</f>
        <v>0</v>
      </c>
      <c r="P68" s="29">
        <f>IFERROR(VLOOKUP(H68,Scoring!$A$4:$N$51,14,FALSE()),"-")</f>
        <v>1</v>
      </c>
      <c r="Q68" s="29">
        <f>IFERROR(VLOOKUP(I68,Scoring!$A$4:$N$51,6,FALSE()),"-")</f>
        <v>0</v>
      </c>
      <c r="R68" s="36">
        <f t="shared" ref="R68:R99" si="6">IF(A68="","-",SUM(J68:Q68))</f>
        <v>1</v>
      </c>
      <c r="S68">
        <f t="shared" ref="S68:S99" si="7">IF(A68="","",RANK(R68,$R$4:$R$119))</f>
        <v>36</v>
      </c>
      <c r="T68">
        <f t="shared" ref="T68:T99" si="8">IF(A68="",-1,R68-ROW(R68)/1000000)</f>
        <v>0.99993200000000004</v>
      </c>
      <c r="U68" s="143" t="s">
        <v>260</v>
      </c>
      <c r="W68" s="44" t="s">
        <v>143</v>
      </c>
    </row>
    <row r="69" spans="1:23" ht="12.75" customHeight="1" x14ac:dyDescent="0.3">
      <c r="A69" s="27" t="s">
        <v>261</v>
      </c>
      <c r="B69" s="43" t="s">
        <v>66</v>
      </c>
      <c r="C69" s="43" t="s">
        <v>78</v>
      </c>
      <c r="D69" s="43" t="s">
        <v>60</v>
      </c>
      <c r="E69" s="43" t="s">
        <v>72</v>
      </c>
      <c r="F69" s="43" t="s">
        <v>11</v>
      </c>
      <c r="G69" s="43" t="s">
        <v>54</v>
      </c>
      <c r="H69" s="43" t="s">
        <v>87</v>
      </c>
      <c r="I69" s="28" t="s">
        <v>60</v>
      </c>
      <c r="J69" s="28">
        <f>IFERROR(VLOOKUP(B69,Scoring!$A$4:$N$51,14,FALSE())*6,"-")</f>
        <v>0</v>
      </c>
      <c r="K69" s="28">
        <f>IFERROR(VLOOKUP(C69,Scoring!$A$4:$N$51,14,FALSE())*4,"-")</f>
        <v>0</v>
      </c>
      <c r="L69" s="28">
        <f>IFERROR(VLOOKUP(D69,Scoring!$A$4:$N$51,14,FALSE())*3,"-")</f>
        <v>0</v>
      </c>
      <c r="M69" s="28">
        <f>IFERROR(VLOOKUP(E69,Scoring!$A$4:$N$51,14,FALSE())*2,"-")</f>
        <v>0</v>
      </c>
      <c r="N69" s="28">
        <f>IFERROR(VLOOKUP(F69,Scoring!$A$4:$N$51,14,FALSE()),"-")</f>
        <v>3</v>
      </c>
      <c r="O69" s="28">
        <f>IFERROR(VLOOKUP(G69,Scoring!$A$4:$N$51,14,FALSE()),"-")</f>
        <v>0</v>
      </c>
      <c r="P69" s="29">
        <f>IFERROR(VLOOKUP(H69,Scoring!$A$4:$N$51,14,FALSE()),"-")</f>
        <v>0</v>
      </c>
      <c r="Q69" s="29">
        <f>IFERROR(VLOOKUP(I69,Scoring!$A$4:$N$51,6,FALSE()),"-")</f>
        <v>0</v>
      </c>
      <c r="R69" s="36">
        <f t="shared" si="6"/>
        <v>3</v>
      </c>
      <c r="S69">
        <f t="shared" si="7"/>
        <v>22</v>
      </c>
      <c r="T69">
        <f t="shared" si="8"/>
        <v>2.9999310000000001</v>
      </c>
      <c r="U69" s="44" t="s">
        <v>262</v>
      </c>
      <c r="W69" s="44" t="s">
        <v>143</v>
      </c>
    </row>
    <row r="70" spans="1:23" ht="12.75" customHeight="1" x14ac:dyDescent="0.3">
      <c r="A70" s="27" t="s">
        <v>263</v>
      </c>
      <c r="B70" s="43" t="s">
        <v>72</v>
      </c>
      <c r="C70" s="43" t="s">
        <v>66</v>
      </c>
      <c r="D70" s="43" t="s">
        <v>29</v>
      </c>
      <c r="E70" s="43" t="s">
        <v>60</v>
      </c>
      <c r="F70" s="43" t="s">
        <v>83</v>
      </c>
      <c r="G70" s="43" t="s">
        <v>54</v>
      </c>
      <c r="H70" s="43" t="s">
        <v>82</v>
      </c>
      <c r="I70" s="28" t="s">
        <v>66</v>
      </c>
      <c r="J70" s="28">
        <f>IFERROR(VLOOKUP(B70,Scoring!$A$4:$N$51,14,FALSE())*6,"-")</f>
        <v>0</v>
      </c>
      <c r="K70" s="28">
        <f>IFERROR(VLOOKUP(C70,Scoring!$A$4:$N$51,14,FALSE())*4,"-")</f>
        <v>0</v>
      </c>
      <c r="L70" s="28">
        <f>IFERROR(VLOOKUP(D70,Scoring!$A$4:$N$51,14,FALSE())*3,"-")</f>
        <v>0</v>
      </c>
      <c r="M70" s="28">
        <f>IFERROR(VLOOKUP(E70,Scoring!$A$4:$N$51,14,FALSE())*2,"-")</f>
        <v>0</v>
      </c>
      <c r="N70" s="28">
        <f>IFERROR(VLOOKUP(F70,Scoring!$A$4:$N$51,14,FALSE()),"-")</f>
        <v>0</v>
      </c>
      <c r="O70" s="28">
        <f>IFERROR(VLOOKUP(G70,Scoring!$A$4:$N$51,14,FALSE()),"-")</f>
        <v>0</v>
      </c>
      <c r="P70" s="29">
        <f>IFERROR(VLOOKUP(H70,Scoring!$A$4:$N$51,14,FALSE()),"-")</f>
        <v>0</v>
      </c>
      <c r="Q70" s="29">
        <f>IFERROR(VLOOKUP(I70,Scoring!$A$4:$N$51,6,FALSE()),"-")</f>
        <v>0</v>
      </c>
      <c r="R70" s="36">
        <f t="shared" si="6"/>
        <v>0</v>
      </c>
      <c r="S70">
        <f t="shared" si="7"/>
        <v>63</v>
      </c>
      <c r="T70">
        <f t="shared" si="8"/>
        <v>-6.9999999999999994E-5</v>
      </c>
      <c r="U70" s="143" t="s">
        <v>264</v>
      </c>
    </row>
    <row r="71" spans="1:23" ht="12.75" customHeight="1" x14ac:dyDescent="0.3">
      <c r="A71" s="27" t="s">
        <v>265</v>
      </c>
      <c r="B71" s="43" t="s">
        <v>60</v>
      </c>
      <c r="C71" s="43" t="s">
        <v>46</v>
      </c>
      <c r="D71" s="43" t="s">
        <v>66</v>
      </c>
      <c r="E71" s="43" t="s">
        <v>72</v>
      </c>
      <c r="F71" s="43" t="s">
        <v>35</v>
      </c>
      <c r="G71" s="43" t="s">
        <v>71</v>
      </c>
      <c r="H71" s="43" t="s">
        <v>79</v>
      </c>
      <c r="I71" s="28" t="s">
        <v>60</v>
      </c>
      <c r="J71" s="28">
        <f>IFERROR(VLOOKUP(B71,Scoring!$A$4:$N$51,14,FALSE())*6,"-")</f>
        <v>0</v>
      </c>
      <c r="K71" s="28">
        <f>IFERROR(VLOOKUP(C71,Scoring!$A$4:$N$51,14,FALSE())*4,"-")</f>
        <v>0</v>
      </c>
      <c r="L71" s="28">
        <f>IFERROR(VLOOKUP(D71,Scoring!$A$4:$N$51,14,FALSE())*3,"-")</f>
        <v>0</v>
      </c>
      <c r="M71" s="28">
        <f>IFERROR(VLOOKUP(E71,Scoring!$A$4:$N$51,14,FALSE())*2,"-")</f>
        <v>0</v>
      </c>
      <c r="N71" s="28">
        <f>IFERROR(VLOOKUP(F71,Scoring!$A$4:$N$51,14,FALSE()),"-")</f>
        <v>3</v>
      </c>
      <c r="O71" s="28">
        <f>IFERROR(VLOOKUP(G71,Scoring!$A$4:$N$51,14,FALSE()),"-")</f>
        <v>0</v>
      </c>
      <c r="P71" s="29">
        <f>IFERROR(VLOOKUP(H71,Scoring!$A$4:$N$51,14,FALSE()),"-")</f>
        <v>0</v>
      </c>
      <c r="Q71" s="29">
        <f>IFERROR(VLOOKUP(I71,Scoring!$A$4:$N$51,6,FALSE()),"-")</f>
        <v>0</v>
      </c>
      <c r="R71" s="36">
        <f t="shared" si="6"/>
        <v>3</v>
      </c>
      <c r="S71">
        <f t="shared" si="7"/>
        <v>22</v>
      </c>
      <c r="T71">
        <f t="shared" si="8"/>
        <v>2.9999289999999998</v>
      </c>
      <c r="U71" s="44" t="s">
        <v>266</v>
      </c>
      <c r="W71" s="44" t="s">
        <v>143</v>
      </c>
    </row>
    <row r="72" spans="1:23" ht="12.75" customHeight="1" x14ac:dyDescent="0.3">
      <c r="A72" s="27" t="s">
        <v>267</v>
      </c>
      <c r="B72" s="43" t="s">
        <v>60</v>
      </c>
      <c r="C72" s="43" t="s">
        <v>66</v>
      </c>
      <c r="D72" s="43" t="s">
        <v>29</v>
      </c>
      <c r="E72" s="43" t="s">
        <v>72</v>
      </c>
      <c r="F72" s="43" t="s">
        <v>83</v>
      </c>
      <c r="G72" s="43" t="s">
        <v>50</v>
      </c>
      <c r="H72" s="43" t="s">
        <v>24</v>
      </c>
      <c r="I72" s="28" t="s">
        <v>60</v>
      </c>
      <c r="J72" s="28">
        <f>IFERROR(VLOOKUP(B72,Scoring!$A$4:$N$51,14,FALSE())*6,"-")</f>
        <v>0</v>
      </c>
      <c r="K72" s="28">
        <f>IFERROR(VLOOKUP(C72,Scoring!$A$4:$N$51,14,FALSE())*4,"-")</f>
        <v>0</v>
      </c>
      <c r="L72" s="28">
        <f>IFERROR(VLOOKUP(D72,Scoring!$A$4:$N$51,14,FALSE())*3,"-")</f>
        <v>0</v>
      </c>
      <c r="M72" s="28">
        <f>IFERROR(VLOOKUP(E72,Scoring!$A$4:$N$51,14,FALSE())*2,"-")</f>
        <v>0</v>
      </c>
      <c r="N72" s="28">
        <f>IFERROR(VLOOKUP(F72,Scoring!$A$4:$N$51,14,FALSE()),"-")</f>
        <v>0</v>
      </c>
      <c r="O72" s="28">
        <f>IFERROR(VLOOKUP(G72,Scoring!$A$4:$N$51,14,FALSE()),"-")</f>
        <v>0</v>
      </c>
      <c r="P72" s="29">
        <f>IFERROR(VLOOKUP(H72,Scoring!$A$4:$N$51,14,FALSE()),"-")</f>
        <v>1</v>
      </c>
      <c r="Q72" s="29">
        <f>IFERROR(VLOOKUP(I72,Scoring!$A$4:$N$51,6,FALSE()),"-")</f>
        <v>0</v>
      </c>
      <c r="R72" s="36">
        <f t="shared" si="6"/>
        <v>1</v>
      </c>
      <c r="S72">
        <f t="shared" si="7"/>
        <v>36</v>
      </c>
      <c r="T72">
        <f t="shared" si="8"/>
        <v>0.99992800000000004</v>
      </c>
      <c r="U72" s="143" t="s">
        <v>268</v>
      </c>
      <c r="W72" s="44" t="s">
        <v>143</v>
      </c>
    </row>
    <row r="73" spans="1:23" ht="12.75" customHeight="1" x14ac:dyDescent="0.3">
      <c r="A73" s="27" t="s">
        <v>269</v>
      </c>
      <c r="B73" s="43" t="s">
        <v>46</v>
      </c>
      <c r="C73" s="43" t="s">
        <v>60</v>
      </c>
      <c r="D73" s="43" t="s">
        <v>53</v>
      </c>
      <c r="E73" s="43" t="s">
        <v>72</v>
      </c>
      <c r="F73" s="43" t="s">
        <v>11</v>
      </c>
      <c r="G73" s="43" t="s">
        <v>50</v>
      </c>
      <c r="H73" s="43" t="s">
        <v>24</v>
      </c>
      <c r="I73" s="28" t="s">
        <v>66</v>
      </c>
      <c r="J73" s="28">
        <f>IFERROR(VLOOKUP(B73,Scoring!$A$4:$N$51,14,FALSE())*6,"-")</f>
        <v>0</v>
      </c>
      <c r="K73" s="28">
        <f>IFERROR(VLOOKUP(C73,Scoring!$A$4:$N$51,14,FALSE())*4,"-")</f>
        <v>0</v>
      </c>
      <c r="L73" s="28">
        <f>IFERROR(VLOOKUP(D73,Scoring!$A$4:$N$51,14,FALSE())*3,"-")</f>
        <v>0</v>
      </c>
      <c r="M73" s="28">
        <f>IFERROR(VLOOKUP(E73,Scoring!$A$4:$N$51,14,FALSE())*2,"-")</f>
        <v>0</v>
      </c>
      <c r="N73" s="28">
        <f>IFERROR(VLOOKUP(F73,Scoring!$A$4:$N$51,14,FALSE()),"-")</f>
        <v>3</v>
      </c>
      <c r="O73" s="28">
        <f>IFERROR(VLOOKUP(G73,Scoring!$A$4:$N$51,14,FALSE()),"-")</f>
        <v>0</v>
      </c>
      <c r="P73" s="29">
        <f>IFERROR(VLOOKUP(H73,Scoring!$A$4:$N$51,14,FALSE()),"-")</f>
        <v>1</v>
      </c>
      <c r="Q73" s="29">
        <f>IFERROR(VLOOKUP(I73,Scoring!$A$4:$N$51,6,FALSE()),"-")</f>
        <v>0</v>
      </c>
      <c r="R73" s="36">
        <f t="shared" si="6"/>
        <v>4</v>
      </c>
      <c r="S73">
        <f t="shared" si="7"/>
        <v>5</v>
      </c>
      <c r="T73">
        <f t="shared" si="8"/>
        <v>3.999927</v>
      </c>
      <c r="U73" s="44" t="s">
        <v>270</v>
      </c>
      <c r="W73" s="44" t="s">
        <v>143</v>
      </c>
    </row>
    <row r="74" spans="1:23" ht="12.75" customHeight="1" x14ac:dyDescent="0.3">
      <c r="A74" s="27" t="s">
        <v>271</v>
      </c>
      <c r="B74" s="43" t="s">
        <v>60</v>
      </c>
      <c r="C74" s="43" t="s">
        <v>66</v>
      </c>
      <c r="D74" s="43" t="s">
        <v>72</v>
      </c>
      <c r="E74" s="43" t="s">
        <v>78</v>
      </c>
      <c r="F74" s="43" t="s">
        <v>28</v>
      </c>
      <c r="G74" s="43" t="s">
        <v>71</v>
      </c>
      <c r="H74" s="43" t="s">
        <v>24</v>
      </c>
      <c r="I74" s="28" t="s">
        <v>84</v>
      </c>
      <c r="J74" s="28">
        <f>IFERROR(VLOOKUP(B74,Scoring!$A$4:$N$51,14,FALSE())*6,"-")</f>
        <v>0</v>
      </c>
      <c r="K74" s="28">
        <f>IFERROR(VLOOKUP(C74,Scoring!$A$4:$N$51,14,FALSE())*4,"-")</f>
        <v>0</v>
      </c>
      <c r="L74" s="28">
        <f>IFERROR(VLOOKUP(D74,Scoring!$A$4:$N$51,14,FALSE())*3,"-")</f>
        <v>0</v>
      </c>
      <c r="M74" s="28">
        <f>IFERROR(VLOOKUP(E74,Scoring!$A$4:$N$51,14,FALSE())*2,"-")</f>
        <v>0</v>
      </c>
      <c r="N74" s="28">
        <f>IFERROR(VLOOKUP(F74,Scoring!$A$4:$N$51,14,FALSE()),"-")</f>
        <v>0</v>
      </c>
      <c r="O74" s="28">
        <f>IFERROR(VLOOKUP(G74,Scoring!$A$4:$N$51,14,FALSE()),"-")</f>
        <v>0</v>
      </c>
      <c r="P74" s="29">
        <f>IFERROR(VLOOKUP(H74,Scoring!$A$4:$N$51,14,FALSE()),"-")</f>
        <v>1</v>
      </c>
      <c r="Q74" s="29">
        <f>IFERROR(VLOOKUP(I74,Scoring!$A$4:$N$51,6,FALSE()),"-")</f>
        <v>0</v>
      </c>
      <c r="R74" s="36">
        <f t="shared" si="6"/>
        <v>1</v>
      </c>
      <c r="S74">
        <f t="shared" si="7"/>
        <v>36</v>
      </c>
      <c r="T74">
        <f t="shared" si="8"/>
        <v>0.99992599999999998</v>
      </c>
      <c r="U74" s="143" t="s">
        <v>272</v>
      </c>
      <c r="W74" s="44" t="s">
        <v>143</v>
      </c>
    </row>
    <row r="75" spans="1:23" ht="12.75" customHeight="1" x14ac:dyDescent="0.3">
      <c r="A75" s="27" t="s">
        <v>273</v>
      </c>
      <c r="B75" s="43" t="s">
        <v>66</v>
      </c>
      <c r="C75" s="43" t="s">
        <v>60</v>
      </c>
      <c r="D75" s="43" t="s">
        <v>29</v>
      </c>
      <c r="E75" s="43" t="s">
        <v>84</v>
      </c>
      <c r="F75" s="43" t="s">
        <v>39</v>
      </c>
      <c r="G75" s="43" t="s">
        <v>44</v>
      </c>
      <c r="H75" s="43" t="s">
        <v>79</v>
      </c>
      <c r="I75" s="28" t="s">
        <v>60</v>
      </c>
      <c r="J75" s="28">
        <f>IFERROR(VLOOKUP(B75,Scoring!$A$4:$N$51,14,FALSE())*6,"-")</f>
        <v>0</v>
      </c>
      <c r="K75" s="28">
        <f>IFERROR(VLOOKUP(C75,Scoring!$A$4:$N$51,14,FALSE())*4,"-")</f>
        <v>0</v>
      </c>
      <c r="L75" s="28">
        <f>IFERROR(VLOOKUP(D75,Scoring!$A$4:$N$51,14,FALSE())*3,"-")</f>
        <v>0</v>
      </c>
      <c r="M75" s="28">
        <f>IFERROR(VLOOKUP(E75,Scoring!$A$4:$N$51,14,FALSE())*2,"-")</f>
        <v>0</v>
      </c>
      <c r="N75" s="28">
        <f>IFERROR(VLOOKUP(F75,Scoring!$A$4:$N$51,14,FALSE()),"-")</f>
        <v>0</v>
      </c>
      <c r="O75" s="28">
        <f>IFERROR(VLOOKUP(G75,Scoring!$A$4:$N$51,14,FALSE()),"-")</f>
        <v>0</v>
      </c>
      <c r="P75" s="29">
        <f>IFERROR(VLOOKUP(H75,Scoring!$A$4:$N$51,14,FALSE()),"-")</f>
        <v>0</v>
      </c>
      <c r="Q75" s="29">
        <f>IFERROR(VLOOKUP(I75,Scoring!$A$4:$N$51,6,FALSE()),"-")</f>
        <v>0</v>
      </c>
      <c r="R75" s="36">
        <f t="shared" si="6"/>
        <v>0</v>
      </c>
      <c r="S75">
        <f t="shared" si="7"/>
        <v>63</v>
      </c>
      <c r="T75">
        <f t="shared" si="8"/>
        <v>-7.4999999999999993E-5</v>
      </c>
      <c r="U75" s="143" t="s">
        <v>272</v>
      </c>
      <c r="W75" s="44" t="s">
        <v>143</v>
      </c>
    </row>
    <row r="76" spans="1:23" ht="12.75" customHeight="1" x14ac:dyDescent="0.3">
      <c r="A76" s="27" t="s">
        <v>274</v>
      </c>
      <c r="B76" s="43" t="s">
        <v>78</v>
      </c>
      <c r="C76" s="43" t="s">
        <v>84</v>
      </c>
      <c r="D76" s="43" t="s">
        <v>66</v>
      </c>
      <c r="E76" s="43" t="s">
        <v>71</v>
      </c>
      <c r="F76" s="43" t="s">
        <v>11</v>
      </c>
      <c r="G76" s="43" t="s">
        <v>23</v>
      </c>
      <c r="H76" s="43" t="s">
        <v>87</v>
      </c>
      <c r="I76" s="28" t="s">
        <v>66</v>
      </c>
      <c r="J76" s="28">
        <f>IFERROR(VLOOKUP(B76,Scoring!$A$4:$N$51,14,FALSE())*6,"-")</f>
        <v>0</v>
      </c>
      <c r="K76" s="28">
        <f>IFERROR(VLOOKUP(C76,Scoring!$A$4:$N$51,14,FALSE())*4,"-")</f>
        <v>0</v>
      </c>
      <c r="L76" s="28">
        <f>IFERROR(VLOOKUP(D76,Scoring!$A$4:$N$51,14,FALSE())*3,"-")</f>
        <v>0</v>
      </c>
      <c r="M76" s="28">
        <f>IFERROR(VLOOKUP(E76,Scoring!$A$4:$N$51,14,FALSE())*2,"-")</f>
        <v>0</v>
      </c>
      <c r="N76" s="28">
        <f>IFERROR(VLOOKUP(F76,Scoring!$A$4:$N$51,14,FALSE()),"-")</f>
        <v>3</v>
      </c>
      <c r="O76" s="28">
        <f>IFERROR(VLOOKUP(G76,Scoring!$A$4:$N$51,14,FALSE()),"-")</f>
        <v>1</v>
      </c>
      <c r="P76" s="29">
        <f>IFERROR(VLOOKUP(H76,Scoring!$A$4:$N$51,14,FALSE()),"-")</f>
        <v>0</v>
      </c>
      <c r="Q76" s="29">
        <f>IFERROR(VLOOKUP(I76,Scoring!$A$4:$N$51,6,FALSE()),"-")</f>
        <v>0</v>
      </c>
      <c r="R76" s="36">
        <f t="shared" si="6"/>
        <v>4</v>
      </c>
      <c r="S76">
        <f t="shared" si="7"/>
        <v>5</v>
      </c>
      <c r="T76">
        <f t="shared" si="8"/>
        <v>3.999924</v>
      </c>
      <c r="U76" s="143" t="s">
        <v>272</v>
      </c>
      <c r="W76" s="44" t="s">
        <v>143</v>
      </c>
    </row>
    <row r="77" spans="1:23" ht="12.75" customHeight="1" x14ac:dyDescent="0.3">
      <c r="A77" s="27" t="s">
        <v>275</v>
      </c>
      <c r="B77" s="43" t="s">
        <v>60</v>
      </c>
      <c r="C77" s="43" t="s">
        <v>72</v>
      </c>
      <c r="D77" s="43" t="s">
        <v>84</v>
      </c>
      <c r="E77" s="43" t="s">
        <v>78</v>
      </c>
      <c r="F77" s="43" t="s">
        <v>11</v>
      </c>
      <c r="G77" s="43" t="s">
        <v>23</v>
      </c>
      <c r="H77" s="43" t="s">
        <v>12</v>
      </c>
      <c r="I77" s="28" t="s">
        <v>60</v>
      </c>
      <c r="J77" s="28">
        <f>IFERROR(VLOOKUP(B77,Scoring!$A$4:$N$51,14,FALSE())*6,"-")</f>
        <v>0</v>
      </c>
      <c r="K77" s="28">
        <f>IFERROR(VLOOKUP(C77,Scoring!$A$4:$N$51,14,FALSE())*4,"-")</f>
        <v>0</v>
      </c>
      <c r="L77" s="28">
        <f>IFERROR(VLOOKUP(D77,Scoring!$A$4:$N$51,14,FALSE())*3,"-")</f>
        <v>0</v>
      </c>
      <c r="M77" s="28">
        <f>IFERROR(VLOOKUP(E77,Scoring!$A$4:$N$51,14,FALSE())*2,"-")</f>
        <v>0</v>
      </c>
      <c r="N77" s="28">
        <f>IFERROR(VLOOKUP(F77,Scoring!$A$4:$N$51,14,FALSE()),"-")</f>
        <v>3</v>
      </c>
      <c r="O77" s="28">
        <f>IFERROR(VLOOKUP(G77,Scoring!$A$4:$N$51,14,FALSE()),"-")</f>
        <v>1</v>
      </c>
      <c r="P77" s="29">
        <f>IFERROR(VLOOKUP(H77,Scoring!$A$4:$N$51,14,FALSE()),"-")</f>
        <v>0</v>
      </c>
      <c r="Q77" s="29">
        <f>IFERROR(VLOOKUP(I77,Scoring!$A$4:$N$51,6,FALSE()),"-")</f>
        <v>0</v>
      </c>
      <c r="R77" s="36">
        <f t="shared" si="6"/>
        <v>4</v>
      </c>
      <c r="S77">
        <f t="shared" si="7"/>
        <v>5</v>
      </c>
      <c r="T77">
        <f t="shared" si="8"/>
        <v>3.9999229999999999</v>
      </c>
      <c r="U77" s="143" t="s">
        <v>276</v>
      </c>
      <c r="W77" s="44" t="s">
        <v>143</v>
      </c>
    </row>
    <row r="78" spans="1:23" ht="12.75" customHeight="1" x14ac:dyDescent="0.3">
      <c r="A78" s="27" t="s">
        <v>277</v>
      </c>
      <c r="B78" s="43" t="s">
        <v>84</v>
      </c>
      <c r="C78" s="43" t="s">
        <v>60</v>
      </c>
      <c r="D78" s="43" t="s">
        <v>66</v>
      </c>
      <c r="E78" s="43" t="s">
        <v>72</v>
      </c>
      <c r="F78" s="43" t="s">
        <v>28</v>
      </c>
      <c r="G78" s="43" t="s">
        <v>71</v>
      </c>
      <c r="H78" s="43" t="s">
        <v>24</v>
      </c>
      <c r="I78" s="28" t="s">
        <v>60</v>
      </c>
      <c r="J78" s="28">
        <f>IFERROR(VLOOKUP(B78,Scoring!$A$4:$N$51,14,FALSE())*6,"-")</f>
        <v>0</v>
      </c>
      <c r="K78" s="28">
        <f>IFERROR(VLOOKUP(C78,Scoring!$A$4:$N$51,14,FALSE())*4,"-")</f>
        <v>0</v>
      </c>
      <c r="L78" s="28">
        <f>IFERROR(VLOOKUP(D78,Scoring!$A$4:$N$51,14,FALSE())*3,"-")</f>
        <v>0</v>
      </c>
      <c r="M78" s="28">
        <f>IFERROR(VLOOKUP(E78,Scoring!$A$4:$N$51,14,FALSE())*2,"-")</f>
        <v>0</v>
      </c>
      <c r="N78" s="28">
        <f>IFERROR(VLOOKUP(F78,Scoring!$A$4:$N$51,14,FALSE()),"-")</f>
        <v>0</v>
      </c>
      <c r="O78" s="28">
        <f>IFERROR(VLOOKUP(G78,Scoring!$A$4:$N$51,14,FALSE()),"-")</f>
        <v>0</v>
      </c>
      <c r="P78" s="29">
        <f>IFERROR(VLOOKUP(H78,Scoring!$A$4:$N$51,14,FALSE()),"-")</f>
        <v>1</v>
      </c>
      <c r="Q78" s="29">
        <f>IFERROR(VLOOKUP(I78,Scoring!$A$4:$N$51,6,FALSE()),"-")</f>
        <v>0</v>
      </c>
      <c r="R78" s="36">
        <f t="shared" si="6"/>
        <v>1</v>
      </c>
      <c r="S78">
        <f t="shared" si="7"/>
        <v>36</v>
      </c>
      <c r="T78">
        <f t="shared" si="8"/>
        <v>0.99992199999999998</v>
      </c>
      <c r="U78" s="143" t="s">
        <v>278</v>
      </c>
      <c r="W78" s="44" t="s">
        <v>143</v>
      </c>
    </row>
    <row r="79" spans="1:23" ht="12.75" customHeight="1" x14ac:dyDescent="0.3">
      <c r="A79" s="27" t="s">
        <v>279</v>
      </c>
      <c r="B79" s="43" t="s">
        <v>78</v>
      </c>
      <c r="C79" s="43" t="s">
        <v>60</v>
      </c>
      <c r="D79" s="43" t="s">
        <v>29</v>
      </c>
      <c r="E79" s="43" t="s">
        <v>72</v>
      </c>
      <c r="F79" s="43" t="s">
        <v>45</v>
      </c>
      <c r="G79" s="43" t="s">
        <v>23</v>
      </c>
      <c r="H79" s="43" t="s">
        <v>87</v>
      </c>
      <c r="I79" s="28" t="s">
        <v>66</v>
      </c>
      <c r="J79" s="28">
        <f>IFERROR(VLOOKUP(B79,Scoring!$A$4:$N$51,14,FALSE())*6,"-")</f>
        <v>0</v>
      </c>
      <c r="K79" s="28">
        <f>IFERROR(VLOOKUP(C79,Scoring!$A$4:$N$51,14,FALSE())*4,"-")</f>
        <v>0</v>
      </c>
      <c r="L79" s="28">
        <f>IFERROR(VLOOKUP(D79,Scoring!$A$4:$N$51,14,FALSE())*3,"-")</f>
        <v>0</v>
      </c>
      <c r="M79" s="28">
        <f>IFERROR(VLOOKUP(E79,Scoring!$A$4:$N$51,14,FALSE())*2,"-")</f>
        <v>0</v>
      </c>
      <c r="N79" s="28">
        <f>IFERROR(VLOOKUP(F79,Scoring!$A$4:$N$51,14,FALSE()),"-")</f>
        <v>0</v>
      </c>
      <c r="O79" s="28">
        <f>IFERROR(VLOOKUP(G79,Scoring!$A$4:$N$51,14,FALSE()),"-")</f>
        <v>1</v>
      </c>
      <c r="P79" s="29">
        <f>IFERROR(VLOOKUP(H79,Scoring!$A$4:$N$51,14,FALSE()),"-")</f>
        <v>0</v>
      </c>
      <c r="Q79" s="29">
        <f>IFERROR(VLOOKUP(I79,Scoring!$A$4:$N$51,6,FALSE()),"-")</f>
        <v>0</v>
      </c>
      <c r="R79" s="36">
        <f t="shared" si="6"/>
        <v>1</v>
      </c>
      <c r="S79">
        <f t="shared" si="7"/>
        <v>36</v>
      </c>
      <c r="T79">
        <f t="shared" si="8"/>
        <v>0.99992099999999995</v>
      </c>
      <c r="U79" s="143" t="s">
        <v>280</v>
      </c>
      <c r="W79" s="44" t="s">
        <v>143</v>
      </c>
    </row>
    <row r="80" spans="1:23" ht="12.75" customHeight="1" x14ac:dyDescent="0.3">
      <c r="A80" s="27" t="s">
        <v>281</v>
      </c>
      <c r="B80" s="43" t="s">
        <v>60</v>
      </c>
      <c r="C80" s="43" t="s">
        <v>29</v>
      </c>
      <c r="D80" s="43" t="s">
        <v>66</v>
      </c>
      <c r="E80" s="43" t="s">
        <v>78</v>
      </c>
      <c r="F80" s="43" t="s">
        <v>28</v>
      </c>
      <c r="G80" s="43" t="s">
        <v>23</v>
      </c>
      <c r="H80" s="43" t="s">
        <v>24</v>
      </c>
      <c r="I80" s="28" t="s">
        <v>60</v>
      </c>
      <c r="J80" s="28">
        <f>IFERROR(VLOOKUP(B80,Scoring!$A$4:$N$51,14,FALSE())*6,"-")</f>
        <v>0</v>
      </c>
      <c r="K80" s="28">
        <f>IFERROR(VLOOKUP(C80,Scoring!$A$4:$N$51,14,FALSE())*4,"-")</f>
        <v>0</v>
      </c>
      <c r="L80" s="28">
        <f>IFERROR(VLOOKUP(D80,Scoring!$A$4:$N$51,14,FALSE())*3,"-")</f>
        <v>0</v>
      </c>
      <c r="M80" s="28">
        <f>IFERROR(VLOOKUP(E80,Scoring!$A$4:$N$51,14,FALSE())*2,"-")</f>
        <v>0</v>
      </c>
      <c r="N80" s="28">
        <f>IFERROR(VLOOKUP(F80,Scoring!$A$4:$N$51,14,FALSE()),"-")</f>
        <v>0</v>
      </c>
      <c r="O80" s="28">
        <f>IFERROR(VLOOKUP(G80,Scoring!$A$4:$N$51,14,FALSE()),"-")</f>
        <v>1</v>
      </c>
      <c r="P80" s="29">
        <f>IFERROR(VLOOKUP(H80,Scoring!$A$4:$N$51,14,FALSE()),"-")</f>
        <v>1</v>
      </c>
      <c r="Q80" s="29">
        <f>IFERROR(VLOOKUP(I80,Scoring!$A$4:$N$51,6,FALSE()),"-")</f>
        <v>0</v>
      </c>
      <c r="R80" s="36">
        <f t="shared" si="6"/>
        <v>2</v>
      </c>
      <c r="S80">
        <f t="shared" si="7"/>
        <v>34</v>
      </c>
      <c r="T80">
        <f t="shared" si="8"/>
        <v>1.9999199999999999</v>
      </c>
      <c r="U80" s="143" t="s">
        <v>282</v>
      </c>
      <c r="W80" s="44" t="s">
        <v>143</v>
      </c>
    </row>
    <row r="81" spans="1:23" ht="12.75" customHeight="1" x14ac:dyDescent="0.3">
      <c r="A81" s="27" t="s">
        <v>283</v>
      </c>
      <c r="B81" s="43" t="s">
        <v>66</v>
      </c>
      <c r="C81" s="43" t="s">
        <v>78</v>
      </c>
      <c r="D81" s="43" t="s">
        <v>60</v>
      </c>
      <c r="E81" s="43" t="s">
        <v>84</v>
      </c>
      <c r="F81" s="43" t="s">
        <v>83</v>
      </c>
      <c r="G81" s="43" t="s">
        <v>71</v>
      </c>
      <c r="H81" s="43" t="s">
        <v>79</v>
      </c>
      <c r="I81" s="28" t="s">
        <v>66</v>
      </c>
      <c r="J81" s="28">
        <f>IFERROR(VLOOKUP(B81,Scoring!$A$4:$N$51,14,FALSE())*6,"-")</f>
        <v>0</v>
      </c>
      <c r="K81" s="28">
        <f>IFERROR(VLOOKUP(C81,Scoring!$A$4:$N$51,14,FALSE())*4,"-")</f>
        <v>0</v>
      </c>
      <c r="L81" s="28">
        <f>IFERROR(VLOOKUP(D81,Scoring!$A$4:$N$51,14,FALSE())*3,"-")</f>
        <v>0</v>
      </c>
      <c r="M81" s="28">
        <f>IFERROR(VLOOKUP(E81,Scoring!$A$4:$N$51,14,FALSE())*2,"-")</f>
        <v>0</v>
      </c>
      <c r="N81" s="28">
        <f>IFERROR(VLOOKUP(F81,Scoring!$A$4:$N$51,14,FALSE()),"-")</f>
        <v>0</v>
      </c>
      <c r="O81" s="28">
        <f>IFERROR(VLOOKUP(G81,Scoring!$A$4:$N$51,14,FALSE()),"-")</f>
        <v>0</v>
      </c>
      <c r="P81" s="29">
        <f>IFERROR(VLOOKUP(H81,Scoring!$A$4:$N$51,14,FALSE()),"-")</f>
        <v>0</v>
      </c>
      <c r="Q81" s="29">
        <f>IFERROR(VLOOKUP(I81,Scoring!$A$4:$N$51,6,FALSE()),"-")</f>
        <v>0</v>
      </c>
      <c r="R81" s="36">
        <f t="shared" si="6"/>
        <v>0</v>
      </c>
      <c r="S81">
        <f t="shared" si="7"/>
        <v>63</v>
      </c>
      <c r="T81">
        <f t="shared" si="8"/>
        <v>-8.1000000000000004E-5</v>
      </c>
      <c r="U81" s="143" t="s">
        <v>282</v>
      </c>
      <c r="W81" s="44" t="s">
        <v>143</v>
      </c>
    </row>
    <row r="82" spans="1:23" ht="12.75" customHeight="1" x14ac:dyDescent="0.3">
      <c r="A82" s="27" t="s">
        <v>284</v>
      </c>
      <c r="B82" s="43" t="s">
        <v>60</v>
      </c>
      <c r="C82" s="43" t="s">
        <v>40</v>
      </c>
      <c r="D82" s="43" t="s">
        <v>72</v>
      </c>
      <c r="E82" s="43" t="s">
        <v>78</v>
      </c>
      <c r="F82" s="43" t="s">
        <v>76</v>
      </c>
      <c r="G82" s="43" t="s">
        <v>23</v>
      </c>
      <c r="H82" s="43" t="s">
        <v>58</v>
      </c>
      <c r="I82" s="28" t="s">
        <v>84</v>
      </c>
      <c r="J82" s="28">
        <f>IFERROR(VLOOKUP(B82,Scoring!$A$4:$N$51,14,FALSE())*6,"-")</f>
        <v>0</v>
      </c>
      <c r="K82" s="28">
        <f>IFERROR(VLOOKUP(C82,Scoring!$A$4:$N$51,14,FALSE())*4,"-")</f>
        <v>0</v>
      </c>
      <c r="L82" s="28">
        <f>IFERROR(VLOOKUP(D82,Scoring!$A$4:$N$51,14,FALSE())*3,"-")</f>
        <v>0</v>
      </c>
      <c r="M82" s="28">
        <f>IFERROR(VLOOKUP(E82,Scoring!$A$4:$N$51,14,FALSE())*2,"-")</f>
        <v>0</v>
      </c>
      <c r="N82" s="28">
        <f>IFERROR(VLOOKUP(F82,Scoring!$A$4:$N$51,14,FALSE()),"-")</f>
        <v>0</v>
      </c>
      <c r="O82" s="28">
        <f>IFERROR(VLOOKUP(G82,Scoring!$A$4:$N$51,14,FALSE()),"-")</f>
        <v>1</v>
      </c>
      <c r="P82" s="29">
        <f>IFERROR(VLOOKUP(H82,Scoring!$A$4:$N$51,14,FALSE()),"-")</f>
        <v>0</v>
      </c>
      <c r="Q82" s="29">
        <f>IFERROR(VLOOKUP(I82,Scoring!$A$4:$N$51,6,FALSE()),"-")</f>
        <v>0</v>
      </c>
      <c r="R82" s="36">
        <f t="shared" si="6"/>
        <v>1</v>
      </c>
      <c r="S82">
        <f t="shared" si="7"/>
        <v>36</v>
      </c>
      <c r="T82">
        <f t="shared" si="8"/>
        <v>0.99991799999999997</v>
      </c>
      <c r="U82" s="143" t="s">
        <v>285</v>
      </c>
      <c r="W82" s="44" t="s">
        <v>22</v>
      </c>
    </row>
    <row r="83" spans="1:23" ht="12.75" customHeight="1" x14ac:dyDescent="0.3">
      <c r="A83" s="27" t="s">
        <v>286</v>
      </c>
      <c r="B83" s="43" t="s">
        <v>78</v>
      </c>
      <c r="C83" s="43" t="s">
        <v>66</v>
      </c>
      <c r="D83" s="43" t="s">
        <v>60</v>
      </c>
      <c r="E83" s="43" t="s">
        <v>84</v>
      </c>
      <c r="F83" s="43" t="s">
        <v>39</v>
      </c>
      <c r="G83" s="43" t="s">
        <v>71</v>
      </c>
      <c r="H83" s="43" t="s">
        <v>12</v>
      </c>
      <c r="I83" s="28" t="s">
        <v>78</v>
      </c>
      <c r="J83" s="28">
        <f>IFERROR(VLOOKUP(B83,Scoring!$A$4:$N$51,14,FALSE())*6,"-")</f>
        <v>0</v>
      </c>
      <c r="K83" s="28">
        <f>IFERROR(VLOOKUP(C83,Scoring!$A$4:$N$51,14,FALSE())*4,"-")</f>
        <v>0</v>
      </c>
      <c r="L83" s="28">
        <f>IFERROR(VLOOKUP(D83,Scoring!$A$4:$N$51,14,FALSE())*3,"-")</f>
        <v>0</v>
      </c>
      <c r="M83" s="28">
        <f>IFERROR(VLOOKUP(E83,Scoring!$A$4:$N$51,14,FALSE())*2,"-")</f>
        <v>0</v>
      </c>
      <c r="N83" s="28">
        <f>IFERROR(VLOOKUP(F83,Scoring!$A$4:$N$51,14,FALSE()),"-")</f>
        <v>0</v>
      </c>
      <c r="O83" s="28">
        <f>IFERROR(VLOOKUP(G83,Scoring!$A$4:$N$51,14,FALSE()),"-")</f>
        <v>0</v>
      </c>
      <c r="P83" s="29">
        <f>IFERROR(VLOOKUP(H83,Scoring!$A$4:$N$51,14,FALSE()),"-")</f>
        <v>0</v>
      </c>
      <c r="Q83" s="29">
        <f>IFERROR(VLOOKUP(I83,Scoring!$A$4:$N$51,6,FALSE()),"-")</f>
        <v>0</v>
      </c>
      <c r="R83" s="36">
        <f t="shared" si="6"/>
        <v>0</v>
      </c>
      <c r="S83">
        <f t="shared" si="7"/>
        <v>63</v>
      </c>
      <c r="T83">
        <f t="shared" si="8"/>
        <v>-8.2999999999999998E-5</v>
      </c>
      <c r="U83" s="143" t="s">
        <v>287</v>
      </c>
      <c r="W83" s="44" t="s">
        <v>143</v>
      </c>
    </row>
    <row r="84" spans="1:23" ht="12.75" customHeight="1" x14ac:dyDescent="0.3">
      <c r="A84" s="27" t="s">
        <v>288</v>
      </c>
      <c r="B84" s="43" t="s">
        <v>60</v>
      </c>
      <c r="C84" s="43" t="s">
        <v>72</v>
      </c>
      <c r="D84" s="43" t="s">
        <v>66</v>
      </c>
      <c r="E84" s="43" t="s">
        <v>84</v>
      </c>
      <c r="F84" s="43" t="s">
        <v>83</v>
      </c>
      <c r="G84" s="43" t="s">
        <v>38</v>
      </c>
      <c r="H84" s="43" t="s">
        <v>27</v>
      </c>
      <c r="I84" s="28" t="s">
        <v>60</v>
      </c>
      <c r="J84" s="28">
        <f>IFERROR(VLOOKUP(B84,Scoring!$A$4:$N$51,14,FALSE())*6,"-")</f>
        <v>0</v>
      </c>
      <c r="K84" s="28">
        <f>IFERROR(VLOOKUP(C84,Scoring!$A$4:$N$51,14,FALSE())*4,"-")</f>
        <v>0</v>
      </c>
      <c r="L84" s="28">
        <f>IFERROR(VLOOKUP(D84,Scoring!$A$4:$N$51,14,FALSE())*3,"-")</f>
        <v>0</v>
      </c>
      <c r="M84" s="28">
        <f>IFERROR(VLOOKUP(E84,Scoring!$A$4:$N$51,14,FALSE())*2,"-")</f>
        <v>0</v>
      </c>
      <c r="N84" s="28">
        <f>IFERROR(VLOOKUP(F84,Scoring!$A$4:$N$51,14,FALSE()),"-")</f>
        <v>0</v>
      </c>
      <c r="O84" s="28">
        <f>IFERROR(VLOOKUP(G84,Scoring!$A$4:$N$51,14,FALSE()),"-")</f>
        <v>0</v>
      </c>
      <c r="P84" s="29">
        <f>IFERROR(VLOOKUP(H84,Scoring!$A$4:$N$51,14,FALSE()),"-")</f>
        <v>0</v>
      </c>
      <c r="Q84" s="29">
        <f>IFERROR(VLOOKUP(I84,Scoring!$A$4:$N$51,6,FALSE()),"-")</f>
        <v>0</v>
      </c>
      <c r="R84" s="36">
        <f t="shared" si="6"/>
        <v>0</v>
      </c>
      <c r="S84">
        <f t="shared" si="7"/>
        <v>63</v>
      </c>
      <c r="T84">
        <f t="shared" si="8"/>
        <v>-8.3999999999999995E-5</v>
      </c>
      <c r="U84" s="143" t="s">
        <v>289</v>
      </c>
      <c r="W84" s="44" t="s">
        <v>143</v>
      </c>
    </row>
    <row r="85" spans="1:23" ht="12.75" customHeight="1" x14ac:dyDescent="0.3">
      <c r="A85" s="27" t="s">
        <v>290</v>
      </c>
      <c r="B85" s="43" t="s">
        <v>60</v>
      </c>
      <c r="C85" s="43" t="s">
        <v>78</v>
      </c>
      <c r="D85" s="43" t="s">
        <v>66</v>
      </c>
      <c r="E85" s="43" t="s">
        <v>29</v>
      </c>
      <c r="F85" s="43" t="s">
        <v>39</v>
      </c>
      <c r="G85" s="43" t="s">
        <v>16</v>
      </c>
      <c r="H85" s="43" t="s">
        <v>24</v>
      </c>
      <c r="I85" s="28" t="s">
        <v>60</v>
      </c>
      <c r="J85" s="28">
        <f>IFERROR(VLOOKUP(B85,Scoring!$A$4:$N$51,14,FALSE())*6,"-")</f>
        <v>0</v>
      </c>
      <c r="K85" s="28">
        <f>IFERROR(VLOOKUP(C85,Scoring!$A$4:$N$51,14,FALSE())*4,"-")</f>
        <v>0</v>
      </c>
      <c r="L85" s="28">
        <f>IFERROR(VLOOKUP(D85,Scoring!$A$4:$N$51,14,FALSE())*3,"-")</f>
        <v>0</v>
      </c>
      <c r="M85" s="28">
        <f>IFERROR(VLOOKUP(E85,Scoring!$A$4:$N$51,14,FALSE())*2,"-")</f>
        <v>0</v>
      </c>
      <c r="N85" s="28">
        <f>IFERROR(VLOOKUP(F85,Scoring!$A$4:$N$51,14,FALSE()),"-")</f>
        <v>0</v>
      </c>
      <c r="O85" s="28">
        <f>IFERROR(VLOOKUP(G85,Scoring!$A$4:$N$51,14,FALSE()),"-")</f>
        <v>0</v>
      </c>
      <c r="P85" s="29">
        <f>IFERROR(VLOOKUP(H85,Scoring!$A$4:$N$51,14,FALSE()),"-")</f>
        <v>1</v>
      </c>
      <c r="Q85" s="29">
        <f>IFERROR(VLOOKUP(I85,Scoring!$A$4:$N$51,6,FALSE()),"-")</f>
        <v>0</v>
      </c>
      <c r="R85" s="36">
        <f t="shared" si="6"/>
        <v>1</v>
      </c>
      <c r="S85">
        <f t="shared" si="7"/>
        <v>36</v>
      </c>
      <c r="T85">
        <f t="shared" si="8"/>
        <v>0.999915</v>
      </c>
      <c r="U85" s="143" t="s">
        <v>291</v>
      </c>
      <c r="W85" s="44" t="s">
        <v>143</v>
      </c>
    </row>
    <row r="86" spans="1:23" ht="12.75" customHeight="1" x14ac:dyDescent="0.3">
      <c r="A86" s="27" t="s">
        <v>292</v>
      </c>
      <c r="B86" s="43" t="s">
        <v>60</v>
      </c>
      <c r="C86" s="43" t="s">
        <v>72</v>
      </c>
      <c r="D86" s="43" t="s">
        <v>40</v>
      </c>
      <c r="E86" s="43" t="s">
        <v>84</v>
      </c>
      <c r="F86" s="43" t="s">
        <v>35</v>
      </c>
      <c r="G86" s="43" t="s">
        <v>16</v>
      </c>
      <c r="H86" s="43" t="s">
        <v>24</v>
      </c>
      <c r="I86" s="28" t="s">
        <v>60</v>
      </c>
      <c r="J86" s="28">
        <f>IFERROR(VLOOKUP(B86,Scoring!$A$4:$N$51,14,FALSE())*6,"-")</f>
        <v>0</v>
      </c>
      <c r="K86" s="28">
        <f>IFERROR(VLOOKUP(C86,Scoring!$A$4:$N$51,14,FALSE())*4,"-")</f>
        <v>0</v>
      </c>
      <c r="L86" s="28">
        <f>IFERROR(VLOOKUP(D86,Scoring!$A$4:$N$51,14,FALSE())*3,"-")</f>
        <v>0</v>
      </c>
      <c r="M86" s="28">
        <f>IFERROR(VLOOKUP(E86,Scoring!$A$4:$N$51,14,FALSE())*2,"-")</f>
        <v>0</v>
      </c>
      <c r="N86" s="28">
        <f>IFERROR(VLOOKUP(F86,Scoring!$A$4:$N$51,14,FALSE()),"-")</f>
        <v>3</v>
      </c>
      <c r="O86" s="28">
        <f>IFERROR(VLOOKUP(G86,Scoring!$A$4:$N$51,14,FALSE()),"-")</f>
        <v>0</v>
      </c>
      <c r="P86" s="29">
        <f>IFERROR(VLOOKUP(H86,Scoring!$A$4:$N$51,14,FALSE()),"-")</f>
        <v>1</v>
      </c>
      <c r="Q86" s="29">
        <f>IFERROR(VLOOKUP(I86,Scoring!$A$4:$N$51,6,FALSE()),"-")</f>
        <v>0</v>
      </c>
      <c r="R86" s="36">
        <f t="shared" si="6"/>
        <v>4</v>
      </c>
      <c r="S86">
        <f t="shared" si="7"/>
        <v>5</v>
      </c>
      <c r="T86">
        <f t="shared" si="8"/>
        <v>3.999914</v>
      </c>
      <c r="U86" s="143" t="s">
        <v>293</v>
      </c>
      <c r="W86" s="44" t="s">
        <v>143</v>
      </c>
    </row>
    <row r="87" spans="1:23" ht="12.75" customHeight="1" x14ac:dyDescent="0.3">
      <c r="A87" s="27" t="s">
        <v>294</v>
      </c>
      <c r="B87" s="43" t="s">
        <v>66</v>
      </c>
      <c r="C87" s="43" t="s">
        <v>72</v>
      </c>
      <c r="D87" s="43" t="s">
        <v>60</v>
      </c>
      <c r="E87" s="43" t="s">
        <v>29</v>
      </c>
      <c r="F87" s="43" t="s">
        <v>11</v>
      </c>
      <c r="G87" s="43" t="s">
        <v>23</v>
      </c>
      <c r="H87" s="43" t="s">
        <v>27</v>
      </c>
      <c r="I87" s="28" t="s">
        <v>66</v>
      </c>
      <c r="J87" s="28">
        <f>IFERROR(VLOOKUP(B87,Scoring!$A$4:$N$51,14,FALSE())*6,"-")</f>
        <v>0</v>
      </c>
      <c r="K87" s="28">
        <f>IFERROR(VLOOKUP(C87,Scoring!$A$4:$N$51,14,FALSE())*4,"-")</f>
        <v>0</v>
      </c>
      <c r="L87" s="28">
        <f>IFERROR(VLOOKUP(D87,Scoring!$A$4:$N$51,14,FALSE())*3,"-")</f>
        <v>0</v>
      </c>
      <c r="M87" s="28">
        <f>IFERROR(VLOOKUP(E87,Scoring!$A$4:$N$51,14,FALSE())*2,"-")</f>
        <v>0</v>
      </c>
      <c r="N87" s="28">
        <f>IFERROR(VLOOKUP(F87,Scoring!$A$4:$N$51,14,FALSE()),"-")</f>
        <v>3</v>
      </c>
      <c r="O87" s="28">
        <f>IFERROR(VLOOKUP(G87,Scoring!$A$4:$N$51,14,FALSE()),"-")</f>
        <v>1</v>
      </c>
      <c r="P87" s="29">
        <f>IFERROR(VLOOKUP(H87,Scoring!$A$4:$N$51,14,FALSE()),"-")</f>
        <v>0</v>
      </c>
      <c r="Q87" s="29">
        <f>IFERROR(VLOOKUP(I87,Scoring!$A$4:$N$51,6,FALSE()),"-")</f>
        <v>0</v>
      </c>
      <c r="R87" s="36">
        <f t="shared" si="6"/>
        <v>4</v>
      </c>
      <c r="S87">
        <f t="shared" si="7"/>
        <v>5</v>
      </c>
      <c r="T87">
        <f t="shared" si="8"/>
        <v>3.9999129999999998</v>
      </c>
      <c r="U87" s="143" t="s">
        <v>295</v>
      </c>
      <c r="W87" s="44" t="s">
        <v>143</v>
      </c>
    </row>
    <row r="88" spans="1:23" ht="12.75" customHeight="1" x14ac:dyDescent="0.3">
      <c r="A88" s="27" t="s">
        <v>296</v>
      </c>
      <c r="B88" s="43" t="s">
        <v>66</v>
      </c>
      <c r="C88" s="43" t="s">
        <v>29</v>
      </c>
      <c r="D88" s="43" t="s">
        <v>60</v>
      </c>
      <c r="E88" s="43" t="s">
        <v>72</v>
      </c>
      <c r="F88" s="43" t="s">
        <v>39</v>
      </c>
      <c r="G88" s="43" t="s">
        <v>71</v>
      </c>
      <c r="H88" s="43" t="s">
        <v>24</v>
      </c>
      <c r="I88" s="28" t="s">
        <v>29</v>
      </c>
      <c r="J88" s="28">
        <f>IFERROR(VLOOKUP(B88,Scoring!$A$4:$N$51,14,FALSE())*6,"-")</f>
        <v>0</v>
      </c>
      <c r="K88" s="28">
        <f>IFERROR(VLOOKUP(C88,Scoring!$A$4:$N$51,14,FALSE())*4,"-")</f>
        <v>0</v>
      </c>
      <c r="L88" s="28">
        <f>IFERROR(VLOOKUP(D88,Scoring!$A$4:$N$51,14,FALSE())*3,"-")</f>
        <v>0</v>
      </c>
      <c r="M88" s="28">
        <f>IFERROR(VLOOKUP(E88,Scoring!$A$4:$N$51,14,FALSE())*2,"-")</f>
        <v>0</v>
      </c>
      <c r="N88" s="28">
        <f>IFERROR(VLOOKUP(F88,Scoring!$A$4:$N$51,14,FALSE()),"-")</f>
        <v>0</v>
      </c>
      <c r="O88" s="28">
        <f>IFERROR(VLOOKUP(G88,Scoring!$A$4:$N$51,14,FALSE()),"-")</f>
        <v>0</v>
      </c>
      <c r="P88" s="29">
        <f>IFERROR(VLOOKUP(H88,Scoring!$A$4:$N$51,14,FALSE()),"-")</f>
        <v>1</v>
      </c>
      <c r="Q88" s="29">
        <f>IFERROR(VLOOKUP(I88,Scoring!$A$4:$N$51,6,FALSE()),"-")</f>
        <v>0</v>
      </c>
      <c r="R88" s="36">
        <f t="shared" si="6"/>
        <v>1</v>
      </c>
      <c r="S88">
        <f t="shared" si="7"/>
        <v>36</v>
      </c>
      <c r="T88">
        <f t="shared" si="8"/>
        <v>0.99991200000000002</v>
      </c>
      <c r="U88" s="143" t="s">
        <v>297</v>
      </c>
      <c r="W88" s="44" t="s">
        <v>143</v>
      </c>
    </row>
    <row r="89" spans="1:23" ht="12.75" customHeight="1" x14ac:dyDescent="0.3">
      <c r="A89" s="27" t="s">
        <v>298</v>
      </c>
      <c r="B89" s="43" t="s">
        <v>66</v>
      </c>
      <c r="C89" s="43" t="s">
        <v>29</v>
      </c>
      <c r="D89" s="43" t="s">
        <v>60</v>
      </c>
      <c r="E89" s="43" t="s">
        <v>78</v>
      </c>
      <c r="F89" s="43" t="s">
        <v>39</v>
      </c>
      <c r="G89" s="43" t="s">
        <v>50</v>
      </c>
      <c r="H89" s="43" t="s">
        <v>24</v>
      </c>
      <c r="I89" s="28" t="s">
        <v>60</v>
      </c>
      <c r="J89" s="28">
        <f>IFERROR(VLOOKUP(B89,Scoring!$A$4:$N$51,14,FALSE())*6,"-")</f>
        <v>0</v>
      </c>
      <c r="K89" s="28">
        <f>IFERROR(VLOOKUP(C89,Scoring!$A$4:$N$51,14,FALSE())*4,"-")</f>
        <v>0</v>
      </c>
      <c r="L89" s="28">
        <f>IFERROR(VLOOKUP(D89,Scoring!$A$4:$N$51,14,FALSE())*3,"-")</f>
        <v>0</v>
      </c>
      <c r="M89" s="28">
        <f>IFERROR(VLOOKUP(E89,Scoring!$A$4:$N$51,14,FALSE())*2,"-")</f>
        <v>0</v>
      </c>
      <c r="N89" s="28">
        <f>IFERROR(VLOOKUP(F89,Scoring!$A$4:$N$51,14,FALSE()),"-")</f>
        <v>0</v>
      </c>
      <c r="O89" s="28">
        <f>IFERROR(VLOOKUP(G89,Scoring!$A$4:$N$51,14,FALSE()),"-")</f>
        <v>0</v>
      </c>
      <c r="P89" s="29">
        <f>IFERROR(VLOOKUP(H89,Scoring!$A$4:$N$51,14,FALSE()),"-")</f>
        <v>1</v>
      </c>
      <c r="Q89" s="29">
        <f>IFERROR(VLOOKUP(I89,Scoring!$A$4:$N$51,6,FALSE()),"-")</f>
        <v>0</v>
      </c>
      <c r="R89" s="36">
        <f t="shared" si="6"/>
        <v>1</v>
      </c>
      <c r="S89">
        <f t="shared" si="7"/>
        <v>36</v>
      </c>
      <c r="T89">
        <f t="shared" si="8"/>
        <v>0.99991099999999999</v>
      </c>
      <c r="U89" s="143" t="s">
        <v>299</v>
      </c>
      <c r="W89" s="44" t="s">
        <v>143</v>
      </c>
    </row>
    <row r="90" spans="1:23" ht="12.75" customHeight="1" x14ac:dyDescent="0.3">
      <c r="A90" s="27" t="s">
        <v>300</v>
      </c>
      <c r="B90" s="43" t="s">
        <v>66</v>
      </c>
      <c r="C90" s="43" t="s">
        <v>60</v>
      </c>
      <c r="D90" s="43" t="s">
        <v>72</v>
      </c>
      <c r="E90" s="43" t="s">
        <v>78</v>
      </c>
      <c r="F90" s="43" t="s">
        <v>65</v>
      </c>
      <c r="G90" s="43" t="s">
        <v>71</v>
      </c>
      <c r="H90" s="43" t="s">
        <v>61</v>
      </c>
      <c r="I90" s="28" t="s">
        <v>66</v>
      </c>
      <c r="J90" s="28">
        <f>IFERROR(VLOOKUP(B90,Scoring!$A$4:$N$51,14,FALSE())*6,"-")</f>
        <v>0</v>
      </c>
      <c r="K90" s="28">
        <f>IFERROR(VLOOKUP(C90,Scoring!$A$4:$N$51,14,FALSE())*4,"-")</f>
        <v>0</v>
      </c>
      <c r="L90" s="28">
        <f>IFERROR(VLOOKUP(D90,Scoring!$A$4:$N$51,14,FALSE())*3,"-")</f>
        <v>0</v>
      </c>
      <c r="M90" s="28">
        <f>IFERROR(VLOOKUP(E90,Scoring!$A$4:$N$51,14,FALSE())*2,"-")</f>
        <v>0</v>
      </c>
      <c r="N90" s="28">
        <f>IFERROR(VLOOKUP(F90,Scoring!$A$4:$N$51,14,FALSE()),"-")</f>
        <v>0</v>
      </c>
      <c r="O90" s="28">
        <f>IFERROR(VLOOKUP(G90,Scoring!$A$4:$N$51,14,FALSE()),"-")</f>
        <v>0</v>
      </c>
      <c r="P90" s="29">
        <f>IFERROR(VLOOKUP(H90,Scoring!$A$4:$N$51,14,FALSE()),"-")</f>
        <v>0</v>
      </c>
      <c r="Q90" s="29">
        <f>IFERROR(VLOOKUP(I90,Scoring!$A$4:$N$51,6,FALSE()),"-")</f>
        <v>0</v>
      </c>
      <c r="R90" s="36">
        <f t="shared" si="6"/>
        <v>0</v>
      </c>
      <c r="S90">
        <f t="shared" si="7"/>
        <v>63</v>
      </c>
      <c r="T90">
        <f t="shared" si="8"/>
        <v>-9.0000000000000006E-5</v>
      </c>
      <c r="U90" s="143" t="s">
        <v>301</v>
      </c>
      <c r="W90" s="44" t="s">
        <v>143</v>
      </c>
    </row>
    <row r="91" spans="1:23" ht="12.75" customHeight="1" x14ac:dyDescent="0.3">
      <c r="A91" s="27" t="s">
        <v>302</v>
      </c>
      <c r="B91" s="43" t="s">
        <v>60</v>
      </c>
      <c r="C91" s="43" t="s">
        <v>66</v>
      </c>
      <c r="D91" s="43" t="s">
        <v>84</v>
      </c>
      <c r="E91" s="43" t="s">
        <v>29</v>
      </c>
      <c r="F91" s="43" t="s">
        <v>83</v>
      </c>
      <c r="G91" s="43" t="s">
        <v>71</v>
      </c>
      <c r="H91" s="43" t="s">
        <v>87</v>
      </c>
      <c r="I91" s="28" t="s">
        <v>60</v>
      </c>
      <c r="J91" s="28">
        <f>IFERROR(VLOOKUP(B91,Scoring!$A$4:$N$51,14,FALSE())*6,"-")</f>
        <v>0</v>
      </c>
      <c r="K91" s="28">
        <f>IFERROR(VLOOKUP(C91,Scoring!$A$4:$N$51,14,FALSE())*4,"-")</f>
        <v>0</v>
      </c>
      <c r="L91" s="28">
        <f>IFERROR(VLOOKUP(D91,Scoring!$A$4:$N$51,14,FALSE())*3,"-")</f>
        <v>0</v>
      </c>
      <c r="M91" s="28">
        <f>IFERROR(VLOOKUP(E91,Scoring!$A$4:$N$51,14,FALSE())*2,"-")</f>
        <v>0</v>
      </c>
      <c r="N91" s="28">
        <f>IFERROR(VLOOKUP(F91,Scoring!$A$4:$N$51,14,FALSE()),"-")</f>
        <v>0</v>
      </c>
      <c r="O91" s="28">
        <f>IFERROR(VLOOKUP(G91,Scoring!$A$4:$N$51,14,FALSE()),"-")</f>
        <v>0</v>
      </c>
      <c r="P91" s="29">
        <f>IFERROR(VLOOKUP(H91,Scoring!$A$4:$N$51,14,FALSE()),"-")</f>
        <v>0</v>
      </c>
      <c r="Q91" s="29">
        <f>IFERROR(VLOOKUP(I91,Scoring!$A$4:$N$51,6,FALSE()),"-")</f>
        <v>0</v>
      </c>
      <c r="R91" s="36">
        <f t="shared" si="6"/>
        <v>0</v>
      </c>
      <c r="S91">
        <f t="shared" si="7"/>
        <v>63</v>
      </c>
      <c r="T91">
        <f t="shared" si="8"/>
        <v>-9.1000000000000003E-5</v>
      </c>
      <c r="U91" s="143" t="s">
        <v>301</v>
      </c>
      <c r="W91" s="44" t="s">
        <v>143</v>
      </c>
    </row>
    <row r="92" spans="1:23" ht="12.75" customHeight="1" x14ac:dyDescent="0.3">
      <c r="A92" s="27" t="s">
        <v>303</v>
      </c>
      <c r="B92" s="43" t="s">
        <v>78</v>
      </c>
      <c r="C92" s="43" t="s">
        <v>66</v>
      </c>
      <c r="D92" s="43" t="s">
        <v>60</v>
      </c>
      <c r="E92" s="43" t="s">
        <v>30</v>
      </c>
      <c r="F92" s="43" t="s">
        <v>11</v>
      </c>
      <c r="G92" s="43" t="s">
        <v>71</v>
      </c>
      <c r="H92" s="43" t="s">
        <v>24</v>
      </c>
      <c r="I92" s="28" t="s">
        <v>66</v>
      </c>
      <c r="J92" s="28">
        <f>IFERROR(VLOOKUP(B92,Scoring!$A$4:$N$51,14,FALSE())*6,"-")</f>
        <v>0</v>
      </c>
      <c r="K92" s="28">
        <f>IFERROR(VLOOKUP(C92,Scoring!$A$4:$N$51,14,FALSE())*4,"-")</f>
        <v>0</v>
      </c>
      <c r="L92" s="28">
        <f>IFERROR(VLOOKUP(D92,Scoring!$A$4:$N$51,14,FALSE())*3,"-")</f>
        <v>0</v>
      </c>
      <c r="M92" s="28">
        <f>IFERROR(VLOOKUP(E92,Scoring!$A$4:$N$51,14,FALSE())*2,"-")</f>
        <v>0</v>
      </c>
      <c r="N92" s="28">
        <f>IFERROR(VLOOKUP(F92,Scoring!$A$4:$N$51,14,FALSE()),"-")</f>
        <v>3</v>
      </c>
      <c r="O92" s="28">
        <f>IFERROR(VLOOKUP(G92,Scoring!$A$4:$N$51,14,FALSE()),"-")</f>
        <v>0</v>
      </c>
      <c r="P92" s="29">
        <f>IFERROR(VLOOKUP(H92,Scoring!$A$4:$N$51,14,FALSE()),"-")</f>
        <v>1</v>
      </c>
      <c r="Q92" s="29">
        <f>IFERROR(VLOOKUP(I92,Scoring!$A$4:$N$51,6,FALSE()),"-")</f>
        <v>0</v>
      </c>
      <c r="R92" s="36">
        <f t="shared" si="6"/>
        <v>4</v>
      </c>
      <c r="S92">
        <f t="shared" si="7"/>
        <v>5</v>
      </c>
      <c r="T92">
        <f t="shared" si="8"/>
        <v>3.999908</v>
      </c>
      <c r="U92" s="143" t="s">
        <v>301</v>
      </c>
      <c r="W92" s="44" t="s">
        <v>143</v>
      </c>
    </row>
    <row r="93" spans="1:23" ht="12.75" customHeight="1" x14ac:dyDescent="0.3">
      <c r="A93" s="27" t="s">
        <v>304</v>
      </c>
      <c r="B93" s="43" t="s">
        <v>60</v>
      </c>
      <c r="C93" s="43" t="s">
        <v>84</v>
      </c>
      <c r="D93" s="43" t="s">
        <v>72</v>
      </c>
      <c r="E93" s="43" t="s">
        <v>29</v>
      </c>
      <c r="F93" s="43" t="s">
        <v>11</v>
      </c>
      <c r="G93" s="43" t="s">
        <v>71</v>
      </c>
      <c r="H93" s="43" t="s">
        <v>61</v>
      </c>
      <c r="I93" s="28" t="s">
        <v>60</v>
      </c>
      <c r="J93" s="28">
        <f>IFERROR(VLOOKUP(B93,Scoring!$A$4:$N$51,14,FALSE())*6,"-")</f>
        <v>0</v>
      </c>
      <c r="K93" s="28">
        <f>IFERROR(VLOOKUP(C93,Scoring!$A$4:$N$51,14,FALSE())*4,"-")</f>
        <v>0</v>
      </c>
      <c r="L93" s="28">
        <f>IFERROR(VLOOKUP(D93,Scoring!$A$4:$N$51,14,FALSE())*3,"-")</f>
        <v>0</v>
      </c>
      <c r="M93" s="28">
        <f>IFERROR(VLOOKUP(E93,Scoring!$A$4:$N$51,14,FALSE())*2,"-")</f>
        <v>0</v>
      </c>
      <c r="N93" s="28">
        <f>IFERROR(VLOOKUP(F93,Scoring!$A$4:$N$51,14,FALSE()),"-")</f>
        <v>3</v>
      </c>
      <c r="O93" s="28">
        <f>IFERROR(VLOOKUP(G93,Scoring!$A$4:$N$51,14,FALSE()),"-")</f>
        <v>0</v>
      </c>
      <c r="P93" s="29">
        <f>IFERROR(VLOOKUP(H93,Scoring!$A$4:$N$51,14,FALSE()),"-")</f>
        <v>0</v>
      </c>
      <c r="Q93" s="29">
        <f>IFERROR(VLOOKUP(I93,Scoring!$A$4:$N$51,6,FALSE()),"-")</f>
        <v>0</v>
      </c>
      <c r="R93" s="36">
        <f t="shared" si="6"/>
        <v>3</v>
      </c>
      <c r="S93">
        <f t="shared" si="7"/>
        <v>22</v>
      </c>
      <c r="T93">
        <f t="shared" si="8"/>
        <v>2.9999069999999999</v>
      </c>
      <c r="U93" s="143" t="s">
        <v>305</v>
      </c>
      <c r="W93" s="44" t="s">
        <v>143</v>
      </c>
    </row>
    <row r="94" spans="1:23" ht="12.75" customHeight="1" x14ac:dyDescent="0.3">
      <c r="A94" s="27" t="s">
        <v>306</v>
      </c>
      <c r="B94" s="43" t="s">
        <v>60</v>
      </c>
      <c r="C94" s="43" t="s">
        <v>66</v>
      </c>
      <c r="D94" s="43" t="s">
        <v>84</v>
      </c>
      <c r="E94" s="43" t="s">
        <v>78</v>
      </c>
      <c r="F94" s="43" t="s">
        <v>11</v>
      </c>
      <c r="G94" s="43" t="s">
        <v>71</v>
      </c>
      <c r="H94" s="43" t="s">
        <v>24</v>
      </c>
      <c r="I94" s="28" t="s">
        <v>29</v>
      </c>
      <c r="J94" s="28">
        <f>IFERROR(VLOOKUP(B94,Scoring!$A$4:$N$51,14,FALSE())*6,"-")</f>
        <v>0</v>
      </c>
      <c r="K94" s="28">
        <f>IFERROR(VLOOKUP(C94,Scoring!$A$4:$N$51,14,FALSE())*4,"-")</f>
        <v>0</v>
      </c>
      <c r="L94" s="28">
        <f>IFERROR(VLOOKUP(D94,Scoring!$A$4:$N$51,14,FALSE())*3,"-")</f>
        <v>0</v>
      </c>
      <c r="M94" s="28">
        <f>IFERROR(VLOOKUP(E94,Scoring!$A$4:$N$51,14,FALSE())*2,"-")</f>
        <v>0</v>
      </c>
      <c r="N94" s="28">
        <f>IFERROR(VLOOKUP(F94,Scoring!$A$4:$N$51,14,FALSE()),"-")</f>
        <v>3</v>
      </c>
      <c r="O94" s="28">
        <f>IFERROR(VLOOKUP(G94,Scoring!$A$4:$N$51,14,FALSE()),"-")</f>
        <v>0</v>
      </c>
      <c r="P94" s="29">
        <f>IFERROR(VLOOKUP(H94,Scoring!$A$4:$N$51,14,FALSE()),"-")</f>
        <v>1</v>
      </c>
      <c r="Q94" s="29">
        <f>IFERROR(VLOOKUP(I94,Scoring!$A$4:$N$51,6,FALSE()),"-")</f>
        <v>0</v>
      </c>
      <c r="R94" s="36">
        <f t="shared" si="6"/>
        <v>4</v>
      </c>
      <c r="S94">
        <f t="shared" si="7"/>
        <v>5</v>
      </c>
      <c r="T94">
        <f t="shared" si="8"/>
        <v>3.9999060000000002</v>
      </c>
      <c r="U94" s="143" t="s">
        <v>307</v>
      </c>
      <c r="W94" s="44" t="s">
        <v>143</v>
      </c>
    </row>
    <row r="95" spans="1:23" ht="12.75" customHeight="1" x14ac:dyDescent="0.3">
      <c r="A95" s="27" t="s">
        <v>308</v>
      </c>
      <c r="B95" s="43" t="s">
        <v>72</v>
      </c>
      <c r="C95" s="43" t="s">
        <v>40</v>
      </c>
      <c r="D95" s="43" t="s">
        <v>60</v>
      </c>
      <c r="E95" s="43" t="s">
        <v>84</v>
      </c>
      <c r="F95" s="43" t="s">
        <v>11</v>
      </c>
      <c r="G95" s="43" t="s">
        <v>71</v>
      </c>
      <c r="H95" s="43" t="s">
        <v>87</v>
      </c>
      <c r="I95" s="28" t="s">
        <v>60</v>
      </c>
      <c r="J95" s="28">
        <f>IFERROR(VLOOKUP(B95,Scoring!$A$4:$N$51,14,FALSE())*6,"-")</f>
        <v>0</v>
      </c>
      <c r="K95" s="28">
        <f>IFERROR(VLOOKUP(C95,Scoring!$A$4:$N$51,14,FALSE())*4,"-")</f>
        <v>0</v>
      </c>
      <c r="L95" s="28">
        <f>IFERROR(VLOOKUP(D95,Scoring!$A$4:$N$51,14,FALSE())*3,"-")</f>
        <v>0</v>
      </c>
      <c r="M95" s="28">
        <f>IFERROR(VLOOKUP(E95,Scoring!$A$4:$N$51,14,FALSE())*2,"-")</f>
        <v>0</v>
      </c>
      <c r="N95" s="28">
        <f>IFERROR(VLOOKUP(F95,Scoring!$A$4:$N$51,14,FALSE()),"-")</f>
        <v>3</v>
      </c>
      <c r="O95" s="28">
        <f>IFERROR(VLOOKUP(G95,Scoring!$A$4:$N$51,14,FALSE()),"-")</f>
        <v>0</v>
      </c>
      <c r="P95" s="29">
        <f>IFERROR(VLOOKUP(H95,Scoring!$A$4:$N$51,14,FALSE()),"-")</f>
        <v>0</v>
      </c>
      <c r="Q95" s="29">
        <f>IFERROR(VLOOKUP(I95,Scoring!$A$4:$N$51,6,FALSE()),"-")</f>
        <v>0</v>
      </c>
      <c r="R95" s="36">
        <f t="shared" si="6"/>
        <v>3</v>
      </c>
      <c r="S95">
        <f t="shared" si="7"/>
        <v>22</v>
      </c>
      <c r="T95">
        <f t="shared" si="8"/>
        <v>2.999905</v>
      </c>
      <c r="U95" s="44" t="s">
        <v>309</v>
      </c>
      <c r="W95" s="44" t="s">
        <v>143</v>
      </c>
    </row>
    <row r="96" spans="1:23" ht="12.75" customHeight="1" x14ac:dyDescent="0.3">
      <c r="A96" s="27" t="s">
        <v>310</v>
      </c>
      <c r="B96" s="43" t="s">
        <v>66</v>
      </c>
      <c r="C96" s="43" t="s">
        <v>60</v>
      </c>
      <c r="D96" s="43" t="s">
        <v>29</v>
      </c>
      <c r="E96" s="43" t="s">
        <v>84</v>
      </c>
      <c r="F96" s="43" t="s">
        <v>83</v>
      </c>
      <c r="G96" s="43" t="s">
        <v>71</v>
      </c>
      <c r="H96" s="43" t="s">
        <v>24</v>
      </c>
      <c r="I96" s="28" t="s">
        <v>60</v>
      </c>
      <c r="J96" s="28">
        <f>IFERROR(VLOOKUP(B96,Scoring!$A$4:$N$51,14,FALSE())*6,"-")</f>
        <v>0</v>
      </c>
      <c r="K96" s="28">
        <f>IFERROR(VLOOKUP(C96,Scoring!$A$4:$N$51,14,FALSE())*4,"-")</f>
        <v>0</v>
      </c>
      <c r="L96" s="28">
        <f>IFERROR(VLOOKUP(D96,Scoring!$A$4:$N$51,14,FALSE())*3,"-")</f>
        <v>0</v>
      </c>
      <c r="M96" s="28">
        <f>IFERROR(VLOOKUP(E96,Scoring!$A$4:$N$51,14,FALSE())*2,"-")</f>
        <v>0</v>
      </c>
      <c r="N96" s="28">
        <f>IFERROR(VLOOKUP(F96,Scoring!$A$4:$N$51,14,FALSE()),"-")</f>
        <v>0</v>
      </c>
      <c r="O96" s="28">
        <f>IFERROR(VLOOKUP(G96,Scoring!$A$4:$N$51,14,FALSE()),"-")</f>
        <v>0</v>
      </c>
      <c r="P96" s="29">
        <f>IFERROR(VLOOKUP(H96,Scoring!$A$4:$N$51,14,FALSE()),"-")</f>
        <v>1</v>
      </c>
      <c r="Q96" s="29">
        <f>IFERROR(VLOOKUP(I96,Scoring!$A$4:$N$51,6,FALSE()),"-")</f>
        <v>0</v>
      </c>
      <c r="R96" s="36">
        <f t="shared" si="6"/>
        <v>1</v>
      </c>
      <c r="S96">
        <f t="shared" si="7"/>
        <v>36</v>
      </c>
      <c r="T96">
        <f t="shared" si="8"/>
        <v>0.99990400000000002</v>
      </c>
      <c r="U96" s="143" t="s">
        <v>311</v>
      </c>
      <c r="W96" s="44" t="s">
        <v>143</v>
      </c>
    </row>
    <row r="97" spans="1:23" ht="12.75" customHeight="1" x14ac:dyDescent="0.3">
      <c r="A97" s="27" t="s">
        <v>312</v>
      </c>
      <c r="B97" s="43" t="s">
        <v>66</v>
      </c>
      <c r="C97" s="43" t="s">
        <v>29</v>
      </c>
      <c r="D97" s="43" t="s">
        <v>60</v>
      </c>
      <c r="E97" s="43" t="s">
        <v>78</v>
      </c>
      <c r="F97" s="43" t="s">
        <v>67</v>
      </c>
      <c r="G97" s="43" t="s">
        <v>54</v>
      </c>
      <c r="H97" s="43" t="s">
        <v>24</v>
      </c>
      <c r="I97" s="28" t="s">
        <v>66</v>
      </c>
      <c r="J97" s="28">
        <f>IFERROR(VLOOKUP(B97,Scoring!$A$4:$N$51,14,FALSE())*6,"-")</f>
        <v>0</v>
      </c>
      <c r="K97" s="28">
        <f>IFERROR(VLOOKUP(C97,Scoring!$A$4:$N$51,14,FALSE())*4,"-")</f>
        <v>0</v>
      </c>
      <c r="L97" s="28">
        <f>IFERROR(VLOOKUP(D97,Scoring!$A$4:$N$51,14,FALSE())*3,"-")</f>
        <v>0</v>
      </c>
      <c r="M97" s="28">
        <f>IFERROR(VLOOKUP(E97,Scoring!$A$4:$N$51,14,FALSE())*2,"-")</f>
        <v>0</v>
      </c>
      <c r="N97" s="28">
        <f>IFERROR(VLOOKUP(F97,Scoring!$A$4:$N$51,14,FALSE()),"-")</f>
        <v>0</v>
      </c>
      <c r="O97" s="28">
        <f>IFERROR(VLOOKUP(G97,Scoring!$A$4:$N$51,14,FALSE()),"-")</f>
        <v>0</v>
      </c>
      <c r="P97" s="29">
        <f>IFERROR(VLOOKUP(H97,Scoring!$A$4:$N$51,14,FALSE()),"-")</f>
        <v>1</v>
      </c>
      <c r="Q97" s="29">
        <f>IFERROR(VLOOKUP(I97,Scoring!$A$4:$N$51,6,FALSE()),"-")</f>
        <v>0</v>
      </c>
      <c r="R97" s="36">
        <f t="shared" si="6"/>
        <v>1</v>
      </c>
      <c r="S97">
        <f t="shared" si="7"/>
        <v>36</v>
      </c>
      <c r="T97">
        <f t="shared" si="8"/>
        <v>0.99990299999999999</v>
      </c>
      <c r="U97" s="143" t="s">
        <v>313</v>
      </c>
      <c r="W97" s="44" t="s">
        <v>143</v>
      </c>
    </row>
    <row r="98" spans="1:23" ht="12.75" customHeight="1" x14ac:dyDescent="0.3">
      <c r="A98" s="27" t="s">
        <v>314</v>
      </c>
      <c r="B98" s="43" t="s">
        <v>84</v>
      </c>
      <c r="C98" s="43" t="s">
        <v>60</v>
      </c>
      <c r="D98" s="43" t="s">
        <v>72</v>
      </c>
      <c r="E98" s="43" t="s">
        <v>66</v>
      </c>
      <c r="F98" s="43" t="s">
        <v>83</v>
      </c>
      <c r="G98" s="43" t="s">
        <v>71</v>
      </c>
      <c r="H98" s="43" t="s">
        <v>24</v>
      </c>
      <c r="I98" s="28" t="s">
        <v>60</v>
      </c>
      <c r="J98" s="28">
        <f>IFERROR(VLOOKUP(B98,Scoring!$A$4:$N$51,14,FALSE())*6,"-")</f>
        <v>0</v>
      </c>
      <c r="K98" s="28">
        <f>IFERROR(VLOOKUP(C98,Scoring!$A$4:$N$51,14,FALSE())*4,"-")</f>
        <v>0</v>
      </c>
      <c r="L98" s="28">
        <f>IFERROR(VLOOKUP(D98,Scoring!$A$4:$N$51,14,FALSE())*3,"-")</f>
        <v>0</v>
      </c>
      <c r="M98" s="28">
        <f>IFERROR(VLOOKUP(E98,Scoring!$A$4:$N$51,14,FALSE())*2,"-")</f>
        <v>0</v>
      </c>
      <c r="N98" s="28">
        <f>IFERROR(VLOOKUP(F98,Scoring!$A$4:$N$51,14,FALSE()),"-")</f>
        <v>0</v>
      </c>
      <c r="O98" s="28">
        <f>IFERROR(VLOOKUP(G98,Scoring!$A$4:$N$51,14,FALSE()),"-")</f>
        <v>0</v>
      </c>
      <c r="P98" s="29">
        <f>IFERROR(VLOOKUP(H98,Scoring!$A$4:$N$51,14,FALSE()),"-")</f>
        <v>1</v>
      </c>
      <c r="Q98" s="29">
        <f>IFERROR(VLOOKUP(I98,Scoring!$A$4:$N$51,6,FALSE()),"-")</f>
        <v>0</v>
      </c>
      <c r="R98" s="36">
        <f t="shared" si="6"/>
        <v>1</v>
      </c>
      <c r="S98">
        <f t="shared" si="7"/>
        <v>36</v>
      </c>
      <c r="T98">
        <f t="shared" si="8"/>
        <v>0.99990199999999996</v>
      </c>
      <c r="U98" s="44" t="s">
        <v>315</v>
      </c>
      <c r="W98" s="44" t="s">
        <v>143</v>
      </c>
    </row>
    <row r="99" spans="1:23" ht="12.75" customHeight="1" x14ac:dyDescent="0.3">
      <c r="A99" s="27" t="s">
        <v>316</v>
      </c>
      <c r="B99" s="43" t="s">
        <v>66</v>
      </c>
      <c r="C99" s="43" t="s">
        <v>29</v>
      </c>
      <c r="D99" s="43" t="s">
        <v>60</v>
      </c>
      <c r="E99" s="43" t="s">
        <v>72</v>
      </c>
      <c r="F99" s="43" t="s">
        <v>39</v>
      </c>
      <c r="G99" s="43" t="s">
        <v>54</v>
      </c>
      <c r="H99" s="43" t="s">
        <v>24</v>
      </c>
      <c r="I99" s="28" t="s">
        <v>29</v>
      </c>
      <c r="J99" s="28">
        <f>IFERROR(VLOOKUP(B99,Scoring!$A$4:$N$51,14,FALSE())*6,"-")</f>
        <v>0</v>
      </c>
      <c r="K99" s="28">
        <f>IFERROR(VLOOKUP(C99,Scoring!$A$4:$N$51,14,FALSE())*4,"-")</f>
        <v>0</v>
      </c>
      <c r="L99" s="28">
        <f>IFERROR(VLOOKUP(D99,Scoring!$A$4:$N$51,14,FALSE())*3,"-")</f>
        <v>0</v>
      </c>
      <c r="M99" s="28">
        <f>IFERROR(VLOOKUP(E99,Scoring!$A$4:$N$51,14,FALSE())*2,"-")</f>
        <v>0</v>
      </c>
      <c r="N99" s="28">
        <f>IFERROR(VLOOKUP(F99,Scoring!$A$4:$N$51,14,FALSE()),"-")</f>
        <v>0</v>
      </c>
      <c r="O99" s="28">
        <f>IFERROR(VLOOKUP(G99,Scoring!$A$4:$N$51,14,FALSE()),"-")</f>
        <v>0</v>
      </c>
      <c r="P99" s="29">
        <f>IFERROR(VLOOKUP(H99,Scoring!$A$4:$N$51,14,FALSE()),"-")</f>
        <v>1</v>
      </c>
      <c r="Q99" s="29">
        <f>IFERROR(VLOOKUP(I99,Scoring!$A$4:$N$51,6,FALSE()),"-")</f>
        <v>0</v>
      </c>
      <c r="R99" s="36">
        <f t="shared" si="6"/>
        <v>1</v>
      </c>
      <c r="S99">
        <f t="shared" si="7"/>
        <v>36</v>
      </c>
      <c r="T99">
        <f t="shared" si="8"/>
        <v>0.99990100000000004</v>
      </c>
      <c r="U99" s="44" t="s">
        <v>317</v>
      </c>
      <c r="W99" s="44" t="s">
        <v>143</v>
      </c>
    </row>
    <row r="100" spans="1:23" ht="12.75" customHeight="1" x14ac:dyDescent="0.3">
      <c r="A100" s="27" t="s">
        <v>318</v>
      </c>
      <c r="B100" s="43" t="s">
        <v>60</v>
      </c>
      <c r="C100" s="43" t="s">
        <v>29</v>
      </c>
      <c r="D100" s="43" t="s">
        <v>66</v>
      </c>
      <c r="E100" s="43" t="s">
        <v>78</v>
      </c>
      <c r="F100" s="43" t="s">
        <v>47</v>
      </c>
      <c r="G100" s="43" t="s">
        <v>54</v>
      </c>
      <c r="H100" s="43" t="s">
        <v>82</v>
      </c>
      <c r="I100" s="28" t="s">
        <v>60</v>
      </c>
      <c r="J100" s="28">
        <f>IFERROR(VLOOKUP(B100,Scoring!$A$4:$N$51,14,FALSE())*6,"-")</f>
        <v>0</v>
      </c>
      <c r="K100" s="28">
        <f>IFERROR(VLOOKUP(C100,Scoring!$A$4:$N$51,14,FALSE())*4,"-")</f>
        <v>0</v>
      </c>
      <c r="L100" s="28">
        <f>IFERROR(VLOOKUP(D100,Scoring!$A$4:$N$51,14,FALSE())*3,"-")</f>
        <v>0</v>
      </c>
      <c r="M100" s="28">
        <f>IFERROR(VLOOKUP(E100,Scoring!$A$4:$N$51,14,FALSE())*2,"-")</f>
        <v>0</v>
      </c>
      <c r="N100" s="28">
        <f>IFERROR(VLOOKUP(F100,Scoring!$A$4:$N$51,14,FALSE()),"-")</f>
        <v>0</v>
      </c>
      <c r="O100" s="28">
        <f>IFERROR(VLOOKUP(G100,Scoring!$A$4:$N$51,14,FALSE()),"-")</f>
        <v>0</v>
      </c>
      <c r="P100" s="29">
        <f>IFERROR(VLOOKUP(H100,Scoring!$A$4:$N$51,14,FALSE()),"-")</f>
        <v>0</v>
      </c>
      <c r="Q100" s="29">
        <f>IFERROR(VLOOKUP(I100,Scoring!$A$4:$N$51,6,FALSE()),"-")</f>
        <v>0</v>
      </c>
      <c r="R100" s="36">
        <f t="shared" ref="R100:R119" si="9">IF(A100="","-",SUM(J100:Q100))</f>
        <v>0</v>
      </c>
      <c r="S100">
        <f t="shared" ref="S100:S119" si="10">IF(A100="","",RANK(R100,$R$4:$R$119))</f>
        <v>63</v>
      </c>
      <c r="T100">
        <f t="shared" ref="T100:T119" si="11">IF(A100="",-1,R100-ROW(R100)/1000000)</f>
        <v>-1E-4</v>
      </c>
      <c r="U100" s="44" t="s">
        <v>319</v>
      </c>
      <c r="W100" s="44" t="s">
        <v>143</v>
      </c>
    </row>
    <row r="101" spans="1:23" ht="12.75" customHeight="1" x14ac:dyDescent="0.3">
      <c r="A101" s="27" t="s">
        <v>320</v>
      </c>
      <c r="B101" s="43" t="s">
        <v>72</v>
      </c>
      <c r="C101" s="43" t="s">
        <v>60</v>
      </c>
      <c r="D101" s="43" t="s">
        <v>29</v>
      </c>
      <c r="E101" s="43" t="s">
        <v>66</v>
      </c>
      <c r="F101" s="43" t="s">
        <v>39</v>
      </c>
      <c r="G101" s="43" t="s">
        <v>54</v>
      </c>
      <c r="H101" s="43" t="s">
        <v>24</v>
      </c>
      <c r="I101" s="28" t="s">
        <v>72</v>
      </c>
      <c r="J101" s="28">
        <f>IFERROR(VLOOKUP(B101,Scoring!$A$4:$N$51,14,FALSE())*6,"-")</f>
        <v>0</v>
      </c>
      <c r="K101" s="28">
        <f>IFERROR(VLOOKUP(C101,Scoring!$A$4:$N$51,14,FALSE())*4,"-")</f>
        <v>0</v>
      </c>
      <c r="L101" s="28">
        <f>IFERROR(VLOOKUP(D101,Scoring!$A$4:$N$51,14,FALSE())*3,"-")</f>
        <v>0</v>
      </c>
      <c r="M101" s="28">
        <f>IFERROR(VLOOKUP(E101,Scoring!$A$4:$N$51,14,FALSE())*2,"-")</f>
        <v>0</v>
      </c>
      <c r="N101" s="28">
        <f>IFERROR(VLOOKUP(F101,Scoring!$A$4:$N$51,14,FALSE()),"-")</f>
        <v>0</v>
      </c>
      <c r="O101" s="28">
        <f>IFERROR(VLOOKUP(G101,Scoring!$A$4:$N$51,14,FALSE()),"-")</f>
        <v>0</v>
      </c>
      <c r="P101" s="29">
        <f>IFERROR(VLOOKUP(H101,Scoring!$A$4:$N$51,14,FALSE()),"-")</f>
        <v>1</v>
      </c>
      <c r="Q101" s="29">
        <f>IFERROR(VLOOKUP(I101,Scoring!$A$4:$N$51,6,FALSE()),"-")</f>
        <v>0</v>
      </c>
      <c r="R101" s="36">
        <f t="shared" si="9"/>
        <v>1</v>
      </c>
      <c r="S101">
        <f t="shared" si="10"/>
        <v>36</v>
      </c>
      <c r="T101">
        <f t="shared" si="11"/>
        <v>0.99989899999999998</v>
      </c>
      <c r="U101" s="44" t="s">
        <v>321</v>
      </c>
      <c r="W101" s="44" t="s">
        <v>143</v>
      </c>
    </row>
    <row r="102" spans="1:23" ht="13.5" customHeight="1" x14ac:dyDescent="0.3">
      <c r="A102" s="27" t="s">
        <v>322</v>
      </c>
      <c r="B102" s="43" t="s">
        <v>60</v>
      </c>
      <c r="C102" s="43" t="s">
        <v>72</v>
      </c>
      <c r="D102" s="45" t="s">
        <v>84</v>
      </c>
      <c r="E102" s="43" t="s">
        <v>66</v>
      </c>
      <c r="F102" s="43" t="s">
        <v>11</v>
      </c>
      <c r="G102" s="43" t="s">
        <v>71</v>
      </c>
      <c r="H102" s="43" t="s">
        <v>24</v>
      </c>
      <c r="I102" s="28" t="s">
        <v>60</v>
      </c>
      <c r="J102" s="28">
        <f>IFERROR(VLOOKUP(B102,Scoring!$A$4:$N$51,14,FALSE())*6,"-")</f>
        <v>0</v>
      </c>
      <c r="K102" s="28">
        <f>IFERROR(VLOOKUP(C102,Scoring!$A$4:$N$51,14,FALSE())*4,"-")</f>
        <v>0</v>
      </c>
      <c r="L102" s="28">
        <f>IFERROR(VLOOKUP(D102,Scoring!$A$4:$N$51,14,FALSE())*3,"-")</f>
        <v>0</v>
      </c>
      <c r="M102" s="28">
        <f>IFERROR(VLOOKUP(E102,Scoring!$A$4:$N$51,14,FALSE())*2,"-")</f>
        <v>0</v>
      </c>
      <c r="N102" s="28">
        <f>IFERROR(VLOOKUP(F102,Scoring!$A$4:$N$51,14,FALSE()),"-")</f>
        <v>3</v>
      </c>
      <c r="O102" s="28">
        <f>IFERROR(VLOOKUP(G102,Scoring!$A$4:$N$51,14,FALSE()),"-")</f>
        <v>0</v>
      </c>
      <c r="P102" s="29">
        <f>IFERROR(VLOOKUP(H102,Scoring!$A$4:$N$51,14,FALSE()),"-")</f>
        <v>1</v>
      </c>
      <c r="Q102" s="29">
        <f>IFERROR(VLOOKUP(I102,Scoring!$A$4:$N$51,6,FALSE()),"-")</f>
        <v>0</v>
      </c>
      <c r="R102" s="36">
        <f t="shared" si="9"/>
        <v>4</v>
      </c>
      <c r="S102">
        <f t="shared" si="10"/>
        <v>5</v>
      </c>
      <c r="T102">
        <f t="shared" si="11"/>
        <v>3.999898</v>
      </c>
      <c r="U102" s="44" t="s">
        <v>323</v>
      </c>
      <c r="W102" s="44" t="s">
        <v>143</v>
      </c>
    </row>
    <row r="103" spans="1:23" ht="13.5" customHeight="1" x14ac:dyDescent="0.3">
      <c r="A103" s="27" t="s">
        <v>324</v>
      </c>
      <c r="B103" s="43" t="s">
        <v>78</v>
      </c>
      <c r="C103" s="43" t="s">
        <v>60</v>
      </c>
      <c r="D103" s="43" t="s">
        <v>84</v>
      </c>
      <c r="E103" s="43" t="s">
        <v>66</v>
      </c>
      <c r="F103" s="43" t="s">
        <v>28</v>
      </c>
      <c r="G103" s="43" t="s">
        <v>54</v>
      </c>
      <c r="H103" s="43" t="s">
        <v>87</v>
      </c>
      <c r="I103" s="28" t="s">
        <v>60</v>
      </c>
      <c r="J103" s="28">
        <f>IFERROR(VLOOKUP(B103,Scoring!$A$4:$N$51,14,FALSE())*6,"-")</f>
        <v>0</v>
      </c>
      <c r="K103" s="28">
        <f>IFERROR(VLOOKUP(C103,Scoring!$A$4:$N$51,14,FALSE())*4,"-")</f>
        <v>0</v>
      </c>
      <c r="L103" s="28">
        <f>IFERROR(VLOOKUP(D103,Scoring!$A$4:$N$51,14,FALSE())*3,"-")</f>
        <v>0</v>
      </c>
      <c r="M103" s="28">
        <f>IFERROR(VLOOKUP(E103,Scoring!$A$4:$N$51,14,FALSE())*2,"-")</f>
        <v>0</v>
      </c>
      <c r="N103" s="28">
        <f>IFERROR(VLOOKUP(F103,Scoring!$A$4:$N$51,14,FALSE()),"-")</f>
        <v>0</v>
      </c>
      <c r="O103" s="28">
        <f>IFERROR(VLOOKUP(G103,Scoring!$A$4:$N$51,14,FALSE()),"-")</f>
        <v>0</v>
      </c>
      <c r="P103" s="29">
        <f>IFERROR(VLOOKUP(H103,Scoring!$A$4:$N$51,14,FALSE()),"-")</f>
        <v>0</v>
      </c>
      <c r="Q103" s="29">
        <f>IFERROR(VLOOKUP(I103,Scoring!$A$4:$N$51,6,FALSE()),"-")</f>
        <v>0</v>
      </c>
      <c r="R103" s="36">
        <f t="shared" si="9"/>
        <v>0</v>
      </c>
      <c r="S103">
        <f t="shared" si="10"/>
        <v>63</v>
      </c>
      <c r="T103">
        <f t="shared" si="11"/>
        <v>-1.03E-4</v>
      </c>
      <c r="U103" s="143" t="s">
        <v>325</v>
      </c>
      <c r="W103" s="44" t="s">
        <v>143</v>
      </c>
    </row>
    <row r="104" spans="1:23" ht="13.5" customHeight="1" x14ac:dyDescent="0.3">
      <c r="A104" s="27" t="s">
        <v>326</v>
      </c>
      <c r="B104" s="43" t="s">
        <v>60</v>
      </c>
      <c r="C104" s="43" t="s">
        <v>72</v>
      </c>
      <c r="D104" s="43" t="s">
        <v>29</v>
      </c>
      <c r="E104" s="43" t="s">
        <v>40</v>
      </c>
      <c r="F104" s="43" t="s">
        <v>65</v>
      </c>
      <c r="G104" s="43" t="s">
        <v>71</v>
      </c>
      <c r="H104" s="43" t="s">
        <v>27</v>
      </c>
      <c r="I104" s="28" t="s">
        <v>29</v>
      </c>
      <c r="J104" s="28">
        <f>IFERROR(VLOOKUP(B104,Scoring!$A$4:$N$51,14,FALSE())*6,"-")</f>
        <v>0</v>
      </c>
      <c r="K104" s="28">
        <f>IFERROR(VLOOKUP(C104,Scoring!$A$4:$N$51,14,FALSE())*4,"-")</f>
        <v>0</v>
      </c>
      <c r="L104" s="28">
        <f>IFERROR(VLOOKUP(D104,Scoring!$A$4:$N$51,14,FALSE())*3,"-")</f>
        <v>0</v>
      </c>
      <c r="M104" s="28">
        <f>IFERROR(VLOOKUP(E104,Scoring!$A$4:$N$51,14,FALSE())*2,"-")</f>
        <v>0</v>
      </c>
      <c r="N104" s="28">
        <f>IFERROR(VLOOKUP(F104,Scoring!$A$4:$N$51,14,FALSE()),"-")</f>
        <v>0</v>
      </c>
      <c r="O104" s="28">
        <f>IFERROR(VLOOKUP(G104,Scoring!$A$4:$N$51,14,FALSE()),"-")</f>
        <v>0</v>
      </c>
      <c r="P104" s="29">
        <f>IFERROR(VLOOKUP(H104,Scoring!$A$4:$N$51,14,FALSE()),"-")</f>
        <v>0</v>
      </c>
      <c r="Q104" s="29">
        <f>IFERROR(VLOOKUP(I104,Scoring!$A$4:$N$51,6,FALSE()),"-")</f>
        <v>0</v>
      </c>
      <c r="R104" s="36">
        <f t="shared" si="9"/>
        <v>0</v>
      </c>
      <c r="S104">
        <f t="shared" si="10"/>
        <v>63</v>
      </c>
      <c r="T104">
        <f t="shared" si="11"/>
        <v>-1.0399999999999999E-4</v>
      </c>
      <c r="U104" s="44" t="s">
        <v>327</v>
      </c>
      <c r="W104" s="44" t="s">
        <v>143</v>
      </c>
    </row>
    <row r="105" spans="1:23" ht="13.5" customHeight="1" x14ac:dyDescent="0.3">
      <c r="A105" s="27" t="s">
        <v>328</v>
      </c>
      <c r="B105" s="43" t="s">
        <v>66</v>
      </c>
      <c r="C105" s="43" t="s">
        <v>60</v>
      </c>
      <c r="D105" s="43" t="s">
        <v>78</v>
      </c>
      <c r="E105" s="43" t="s">
        <v>72</v>
      </c>
      <c r="F105" s="43" t="s">
        <v>65</v>
      </c>
      <c r="G105" s="43" t="s">
        <v>54</v>
      </c>
      <c r="H105" s="43" t="s">
        <v>24</v>
      </c>
      <c r="I105" s="28" t="s">
        <v>66</v>
      </c>
      <c r="J105" s="28">
        <f>IFERROR(VLOOKUP(B105,Scoring!$A$4:$N$51,14,FALSE())*6,"-")</f>
        <v>0</v>
      </c>
      <c r="K105" s="28">
        <f>IFERROR(VLOOKUP(C105,Scoring!$A$4:$N$51,14,FALSE())*4,"-")</f>
        <v>0</v>
      </c>
      <c r="L105" s="28">
        <f>IFERROR(VLOOKUP(D105,Scoring!$A$4:$N$51,14,FALSE())*3,"-")</f>
        <v>0</v>
      </c>
      <c r="M105" s="28">
        <f>IFERROR(VLOOKUP(E105,Scoring!$A$4:$N$51,14,FALSE())*2,"-")</f>
        <v>0</v>
      </c>
      <c r="N105" s="28">
        <f>IFERROR(VLOOKUP(F105,Scoring!$A$4:$N$51,14,FALSE()),"-")</f>
        <v>0</v>
      </c>
      <c r="O105" s="28">
        <f>IFERROR(VLOOKUP(G105,Scoring!$A$4:$N$51,14,FALSE()),"-")</f>
        <v>0</v>
      </c>
      <c r="P105" s="29">
        <f>IFERROR(VLOOKUP(H105,Scoring!$A$4:$N$51,14,FALSE()),"-")</f>
        <v>1</v>
      </c>
      <c r="Q105" s="29">
        <f>IFERROR(VLOOKUP(I105,Scoring!$A$4:$N$51,6,FALSE()),"-")</f>
        <v>0</v>
      </c>
      <c r="R105" s="36">
        <f t="shared" si="9"/>
        <v>1</v>
      </c>
      <c r="S105">
        <f t="shared" si="10"/>
        <v>36</v>
      </c>
      <c r="T105">
        <f t="shared" si="11"/>
        <v>0.99989499999999998</v>
      </c>
      <c r="U105" s="44" t="s">
        <v>329</v>
      </c>
      <c r="W105" s="44" t="s">
        <v>143</v>
      </c>
    </row>
    <row r="106" spans="1:23" ht="13.5" customHeight="1" x14ac:dyDescent="0.3">
      <c r="A106" s="27" t="s">
        <v>330</v>
      </c>
      <c r="B106" s="43" t="s">
        <v>60</v>
      </c>
      <c r="C106" s="43" t="s">
        <v>66</v>
      </c>
      <c r="D106" s="43" t="s">
        <v>84</v>
      </c>
      <c r="E106" s="43" t="s">
        <v>72</v>
      </c>
      <c r="F106" s="43" t="s">
        <v>11</v>
      </c>
      <c r="G106" s="43" t="s">
        <v>23</v>
      </c>
      <c r="H106" s="43" t="s">
        <v>87</v>
      </c>
      <c r="I106" s="28" t="s">
        <v>66</v>
      </c>
      <c r="J106" s="28">
        <f>IFERROR(VLOOKUP(B106,Scoring!$A$4:$N$51,14,FALSE())*6,"-")</f>
        <v>0</v>
      </c>
      <c r="K106" s="28">
        <f>IFERROR(VLOOKUP(C106,Scoring!$A$4:$N$51,14,FALSE())*4,"-")</f>
        <v>0</v>
      </c>
      <c r="L106" s="28">
        <f>IFERROR(VLOOKUP(D106,Scoring!$A$4:$N$51,14,FALSE())*3,"-")</f>
        <v>0</v>
      </c>
      <c r="M106" s="28">
        <f>IFERROR(VLOOKUP(E106,Scoring!$A$4:$N$51,14,FALSE())*2,"-")</f>
        <v>0</v>
      </c>
      <c r="N106" s="28">
        <f>IFERROR(VLOOKUP(F106,Scoring!$A$4:$N$51,14,FALSE()),"-")</f>
        <v>3</v>
      </c>
      <c r="O106" s="28">
        <f>IFERROR(VLOOKUP(G106,Scoring!$A$4:$N$51,14,FALSE()),"-")</f>
        <v>1</v>
      </c>
      <c r="P106" s="29">
        <f>IFERROR(VLOOKUP(H106,Scoring!$A$4:$N$51,14,FALSE()),"-")</f>
        <v>0</v>
      </c>
      <c r="Q106" s="29">
        <f>IFERROR(VLOOKUP(I106,Scoring!$A$4:$N$51,6,FALSE()),"-")</f>
        <v>0</v>
      </c>
      <c r="R106" s="36">
        <f t="shared" si="9"/>
        <v>4</v>
      </c>
      <c r="S106">
        <f t="shared" si="10"/>
        <v>5</v>
      </c>
      <c r="T106">
        <f t="shared" si="11"/>
        <v>3.9998939999999998</v>
      </c>
      <c r="U106" s="44" t="s">
        <v>331</v>
      </c>
      <c r="W106" s="44" t="s">
        <v>143</v>
      </c>
    </row>
    <row r="107" spans="1:23" ht="13.5" customHeight="1" x14ac:dyDescent="0.3">
      <c r="A107" s="27" t="s">
        <v>332</v>
      </c>
      <c r="B107" s="45" t="s">
        <v>78</v>
      </c>
      <c r="C107" s="43" t="s">
        <v>39</v>
      </c>
      <c r="D107" s="43" t="s">
        <v>66</v>
      </c>
      <c r="E107" s="43" t="s">
        <v>29</v>
      </c>
      <c r="F107" s="43" t="s">
        <v>67</v>
      </c>
      <c r="G107" s="43" t="s">
        <v>71</v>
      </c>
      <c r="H107" s="43" t="s">
        <v>70</v>
      </c>
      <c r="I107" s="28" t="s">
        <v>40</v>
      </c>
      <c r="J107" s="28">
        <f>IFERROR(VLOOKUP(B107,Scoring!$A$4:$N$51,14,FALSE())*6,"-")</f>
        <v>0</v>
      </c>
      <c r="K107" s="28">
        <f>IFERROR(VLOOKUP(C107,Scoring!$A$4:$N$51,14,FALSE())*4,"-")</f>
        <v>0</v>
      </c>
      <c r="L107" s="28">
        <f>IFERROR(VLOOKUP(D107,Scoring!$A$4:$N$51,14,FALSE())*3,"-")</f>
        <v>0</v>
      </c>
      <c r="M107" s="28">
        <f>IFERROR(VLOOKUP(E107,Scoring!$A$4:$N$51,14,FALSE())*2,"-")</f>
        <v>0</v>
      </c>
      <c r="N107" s="28">
        <f>IFERROR(VLOOKUP(F107,Scoring!$A$4:$N$51,14,FALSE()),"-")</f>
        <v>0</v>
      </c>
      <c r="O107" s="28">
        <f>IFERROR(VLOOKUP(G107,Scoring!$A$4:$N$51,14,FALSE()),"-")</f>
        <v>0</v>
      </c>
      <c r="P107" s="29">
        <f>IFERROR(VLOOKUP(H107,Scoring!$A$4:$N$51,14,FALSE()),"-")</f>
        <v>0</v>
      </c>
      <c r="Q107" s="29">
        <f>IFERROR(VLOOKUP(I107,Scoring!$A$4:$N$51,6,FALSE()),"-")</f>
        <v>0</v>
      </c>
      <c r="R107" s="36">
        <f t="shared" si="9"/>
        <v>0</v>
      </c>
      <c r="S107">
        <f t="shared" si="10"/>
        <v>63</v>
      </c>
      <c r="T107">
        <f t="shared" si="11"/>
        <v>-1.07E-4</v>
      </c>
      <c r="U107" s="143" t="s">
        <v>333</v>
      </c>
      <c r="W107" s="44" t="s">
        <v>143</v>
      </c>
    </row>
    <row r="108" spans="1:23" ht="13.5" customHeight="1" x14ac:dyDescent="0.3">
      <c r="A108" s="27" t="s">
        <v>334</v>
      </c>
      <c r="B108" s="43" t="s">
        <v>66</v>
      </c>
      <c r="C108" s="43" t="s">
        <v>84</v>
      </c>
      <c r="D108" s="43" t="s">
        <v>60</v>
      </c>
      <c r="E108" s="43" t="s">
        <v>78</v>
      </c>
      <c r="F108" s="43" t="s">
        <v>11</v>
      </c>
      <c r="G108" s="43" t="s">
        <v>23</v>
      </c>
      <c r="H108" s="43" t="s">
        <v>24</v>
      </c>
      <c r="I108" s="28" t="s">
        <v>66</v>
      </c>
      <c r="J108" s="28">
        <f>IFERROR(VLOOKUP(B108,Scoring!$A$4:$N$51,14,FALSE())*6,"-")</f>
        <v>0</v>
      </c>
      <c r="K108" s="28">
        <f>IFERROR(VLOOKUP(C108,Scoring!$A$4:$N$51,14,FALSE())*4,"-")</f>
        <v>0</v>
      </c>
      <c r="L108" s="28">
        <f>IFERROR(VLOOKUP(D108,Scoring!$A$4:$N$51,14,FALSE())*3,"-")</f>
        <v>0</v>
      </c>
      <c r="M108" s="28">
        <f>IFERROR(VLOOKUP(E108,Scoring!$A$4:$N$51,14,FALSE())*2,"-")</f>
        <v>0</v>
      </c>
      <c r="N108" s="28">
        <f>IFERROR(VLOOKUP(F108,Scoring!$A$4:$N$51,14,FALSE()),"-")</f>
        <v>3</v>
      </c>
      <c r="O108" s="28">
        <f>IFERROR(VLOOKUP(G108,Scoring!$A$4:$N$51,14,FALSE()),"-")</f>
        <v>1</v>
      </c>
      <c r="P108" s="29">
        <f>IFERROR(VLOOKUP(H108,Scoring!$A$4:$N$51,14,FALSE()),"-")</f>
        <v>1</v>
      </c>
      <c r="Q108" s="29">
        <f>IFERROR(VLOOKUP(I108,Scoring!$A$4:$N$51,6,FALSE()),"-")</f>
        <v>0</v>
      </c>
      <c r="R108" s="36">
        <f t="shared" si="9"/>
        <v>5</v>
      </c>
      <c r="S108">
        <f t="shared" si="10"/>
        <v>2</v>
      </c>
      <c r="T108">
        <f t="shared" si="11"/>
        <v>4.999892</v>
      </c>
      <c r="U108" s="143" t="s">
        <v>335</v>
      </c>
      <c r="W108" s="44" t="s">
        <v>143</v>
      </c>
    </row>
    <row r="109" spans="1:23" ht="13.5" customHeight="1" x14ac:dyDescent="0.3">
      <c r="A109" s="27"/>
      <c r="B109" s="43"/>
      <c r="C109" s="43"/>
      <c r="D109" s="43"/>
      <c r="E109" s="43"/>
      <c r="F109" s="43"/>
      <c r="G109" s="43"/>
      <c r="H109" s="43"/>
      <c r="I109" s="28"/>
      <c r="J109" s="28" t="str">
        <f>IFERROR(VLOOKUP(B109,Scoring!$A$4:$N$51,14,FALSE())*6,"-")</f>
        <v>-</v>
      </c>
      <c r="K109" s="28" t="str">
        <f>IFERROR(VLOOKUP(C109,Scoring!$A$4:$N$51,14,FALSE())*4,"-")</f>
        <v>-</v>
      </c>
      <c r="L109" s="28" t="str">
        <f>IFERROR(VLOOKUP(D109,Scoring!$A$4:$N$51,14,FALSE())*3,"-")</f>
        <v>-</v>
      </c>
      <c r="M109" s="28" t="str">
        <f>IFERROR(VLOOKUP(E109,Scoring!$A$4:$N$51,14,FALSE())*2,"-")</f>
        <v>-</v>
      </c>
      <c r="N109" s="28" t="str">
        <f>IFERROR(VLOOKUP(F109,Scoring!$A$4:$N$51,14,FALSE()),"-")</f>
        <v>-</v>
      </c>
      <c r="O109" s="28" t="str">
        <f>IFERROR(VLOOKUP(G109,Scoring!$A$4:$N$51,14,FALSE()),"-")</f>
        <v>-</v>
      </c>
      <c r="P109" s="29" t="str">
        <f>IFERROR(VLOOKUP(H109,Scoring!$A$4:$N$51,14,FALSE()),"-")</f>
        <v>-</v>
      </c>
      <c r="Q109" s="29" t="str">
        <f>IFERROR(VLOOKUP(I109,Scoring!$A$4:$N$51,6,FALSE()),"-")</f>
        <v>-</v>
      </c>
      <c r="R109" s="36" t="str">
        <f t="shared" si="9"/>
        <v>-</v>
      </c>
      <c r="S109" t="str">
        <f t="shared" si="10"/>
        <v/>
      </c>
      <c r="T109">
        <f t="shared" si="11"/>
        <v>-1</v>
      </c>
    </row>
    <row r="110" spans="1:23" ht="13.5" customHeight="1" x14ac:dyDescent="0.3">
      <c r="A110" s="27"/>
      <c r="B110" s="43"/>
      <c r="C110" s="43"/>
      <c r="D110" s="43"/>
      <c r="E110" s="43"/>
      <c r="F110" s="43"/>
      <c r="G110" s="43"/>
      <c r="H110" s="43"/>
      <c r="I110" s="28"/>
      <c r="J110" s="28" t="str">
        <f>IFERROR(VLOOKUP(B110,Scoring!$A$4:$N$51,14,FALSE())*6,"-")</f>
        <v>-</v>
      </c>
      <c r="K110" s="28" t="str">
        <f>IFERROR(VLOOKUP(C110,Scoring!$A$4:$N$51,14,FALSE())*4,"-")</f>
        <v>-</v>
      </c>
      <c r="L110" s="28" t="str">
        <f>IFERROR(VLOOKUP(D110,Scoring!$A$4:$N$51,14,FALSE())*3,"-")</f>
        <v>-</v>
      </c>
      <c r="M110" s="28" t="str">
        <f>IFERROR(VLOOKUP(E110,Scoring!$A$4:$N$51,14,FALSE())*2,"-")</f>
        <v>-</v>
      </c>
      <c r="N110" s="28" t="str">
        <f>IFERROR(VLOOKUP(F110,Scoring!$A$4:$N$51,14,FALSE()),"-")</f>
        <v>-</v>
      </c>
      <c r="O110" s="28" t="str">
        <f>IFERROR(VLOOKUP(G110,Scoring!$A$4:$N$51,14,FALSE()),"-")</f>
        <v>-</v>
      </c>
      <c r="P110" s="29" t="str">
        <f>IFERROR(VLOOKUP(H110,Scoring!$A$4:$N$51,14,FALSE()),"-")</f>
        <v>-</v>
      </c>
      <c r="Q110" s="29" t="str">
        <f>IFERROR(VLOOKUP(I110,Scoring!$A$4:$N$51,6,FALSE()),"-")</f>
        <v>-</v>
      </c>
      <c r="R110" s="36" t="str">
        <f t="shared" si="9"/>
        <v>-</v>
      </c>
      <c r="S110" t="str">
        <f t="shared" si="10"/>
        <v/>
      </c>
      <c r="T110">
        <f t="shared" si="11"/>
        <v>-1</v>
      </c>
    </row>
    <row r="111" spans="1:23" ht="13.5" customHeight="1" x14ac:dyDescent="0.3">
      <c r="A111" s="27"/>
      <c r="B111" s="43"/>
      <c r="C111" s="43"/>
      <c r="D111" s="43"/>
      <c r="E111" s="43"/>
      <c r="F111" s="43"/>
      <c r="G111" s="43"/>
      <c r="H111" s="43"/>
      <c r="I111" s="28"/>
      <c r="J111" s="28" t="str">
        <f>IFERROR(VLOOKUP(B111,Scoring!$A$4:$N$51,14,FALSE())*6,"-")</f>
        <v>-</v>
      </c>
      <c r="K111" s="28" t="str">
        <f>IFERROR(VLOOKUP(C111,Scoring!$A$4:$N$51,14,FALSE())*4,"-")</f>
        <v>-</v>
      </c>
      <c r="L111" s="28" t="str">
        <f>IFERROR(VLOOKUP(D111,Scoring!$A$4:$N$51,14,FALSE())*3,"-")</f>
        <v>-</v>
      </c>
      <c r="M111" s="28" t="str">
        <f>IFERROR(VLOOKUP(E111,Scoring!$A$4:$N$51,14,FALSE())*2,"-")</f>
        <v>-</v>
      </c>
      <c r="N111" s="28" t="str">
        <f>IFERROR(VLOOKUP(F111,Scoring!$A$4:$N$51,14,FALSE()),"-")</f>
        <v>-</v>
      </c>
      <c r="O111" s="28" t="str">
        <f>IFERROR(VLOOKUP(G111,Scoring!$A$4:$N$51,14,FALSE()),"-")</f>
        <v>-</v>
      </c>
      <c r="P111" s="29" t="str">
        <f>IFERROR(VLOOKUP(H111,Scoring!$A$4:$N$51,14,FALSE()),"-")</f>
        <v>-</v>
      </c>
      <c r="Q111" s="29" t="str">
        <f>IFERROR(VLOOKUP(I111,Scoring!$A$4:$N$51,6,FALSE()),"-")</f>
        <v>-</v>
      </c>
      <c r="R111" s="36" t="str">
        <f t="shared" si="9"/>
        <v>-</v>
      </c>
      <c r="S111" t="str">
        <f t="shared" si="10"/>
        <v/>
      </c>
      <c r="T111">
        <f t="shared" si="11"/>
        <v>-1</v>
      </c>
    </row>
    <row r="112" spans="1:23" ht="13.5" customHeight="1" x14ac:dyDescent="0.3">
      <c r="A112" s="27"/>
      <c r="B112" s="43"/>
      <c r="C112" s="43"/>
      <c r="D112" s="43"/>
      <c r="E112" s="43"/>
      <c r="F112" s="43"/>
      <c r="G112" s="43"/>
      <c r="H112" s="43"/>
      <c r="I112" s="28"/>
      <c r="J112" s="28" t="str">
        <f>IFERROR(VLOOKUP(B112,Scoring!$A$4:$N$51,14,FALSE())*6,"-")</f>
        <v>-</v>
      </c>
      <c r="K112" s="28" t="str">
        <f>IFERROR(VLOOKUP(C112,Scoring!$A$4:$N$51,14,FALSE())*4,"-")</f>
        <v>-</v>
      </c>
      <c r="L112" s="28" t="str">
        <f>IFERROR(VLOOKUP(D112,Scoring!$A$4:$N$51,14,FALSE())*3,"-")</f>
        <v>-</v>
      </c>
      <c r="M112" s="28" t="str">
        <f>IFERROR(VLOOKUP(E112,Scoring!$A$4:$N$51,14,FALSE())*2,"-")</f>
        <v>-</v>
      </c>
      <c r="N112" s="28" t="str">
        <f>IFERROR(VLOOKUP(F112,Scoring!$A$4:$N$51,14,FALSE()),"-")</f>
        <v>-</v>
      </c>
      <c r="O112" s="28" t="str">
        <f>IFERROR(VLOOKUP(G112,Scoring!$A$4:$N$51,14,FALSE()),"-")</f>
        <v>-</v>
      </c>
      <c r="P112" s="29" t="str">
        <f>IFERROR(VLOOKUP(H112,Scoring!$A$4:$N$51,14,FALSE()),"-")</f>
        <v>-</v>
      </c>
      <c r="Q112" s="29" t="str">
        <f>IFERROR(VLOOKUP(I112,Scoring!$A$4:$N$51,6,FALSE()),"-")</f>
        <v>-</v>
      </c>
      <c r="R112" s="36" t="str">
        <f t="shared" si="9"/>
        <v>-</v>
      </c>
      <c r="S112" t="str">
        <f t="shared" si="10"/>
        <v/>
      </c>
      <c r="T112">
        <f t="shared" si="11"/>
        <v>-1</v>
      </c>
    </row>
    <row r="113" spans="1:20" ht="13.5" customHeight="1" x14ac:dyDescent="0.3">
      <c r="A113" s="27"/>
      <c r="B113" s="43"/>
      <c r="C113" s="43"/>
      <c r="D113" s="43"/>
      <c r="E113" s="43"/>
      <c r="F113" s="43"/>
      <c r="G113" s="43"/>
      <c r="H113" s="43"/>
      <c r="I113" s="28"/>
      <c r="J113" s="28" t="str">
        <f>IFERROR(VLOOKUP(B113,Scoring!$A$4:$N$51,14,FALSE())*6,"-")</f>
        <v>-</v>
      </c>
      <c r="K113" s="28" t="str">
        <f>IFERROR(VLOOKUP(C113,Scoring!$A$4:$N$51,14,FALSE())*4,"-")</f>
        <v>-</v>
      </c>
      <c r="L113" s="28" t="str">
        <f>IFERROR(VLOOKUP(D113,Scoring!$A$4:$N$51,14,FALSE())*3,"-")</f>
        <v>-</v>
      </c>
      <c r="M113" s="28" t="str">
        <f>IFERROR(VLOOKUP(E113,Scoring!$A$4:$N$51,14,FALSE())*2,"-")</f>
        <v>-</v>
      </c>
      <c r="N113" s="28" t="str">
        <f>IFERROR(VLOOKUP(F113,Scoring!$A$4:$N$51,14,FALSE()),"-")</f>
        <v>-</v>
      </c>
      <c r="O113" s="28" t="str">
        <f>IFERROR(VLOOKUP(G113,Scoring!$A$4:$N$51,14,FALSE()),"-")</f>
        <v>-</v>
      </c>
      <c r="P113" s="29" t="str">
        <f>IFERROR(VLOOKUP(H113,Scoring!$A$4:$N$51,14,FALSE()),"-")</f>
        <v>-</v>
      </c>
      <c r="Q113" s="29" t="str">
        <f>IFERROR(VLOOKUP(I113,Scoring!$A$4:$N$51,6,FALSE()),"-")</f>
        <v>-</v>
      </c>
      <c r="R113" s="36" t="str">
        <f t="shared" si="9"/>
        <v>-</v>
      </c>
      <c r="S113" t="str">
        <f t="shared" si="10"/>
        <v/>
      </c>
      <c r="T113">
        <f t="shared" si="11"/>
        <v>-1</v>
      </c>
    </row>
    <row r="114" spans="1:20" ht="13.5" customHeight="1" x14ac:dyDescent="0.3">
      <c r="A114" s="27"/>
      <c r="B114" s="43"/>
      <c r="C114" s="43"/>
      <c r="D114" s="43"/>
      <c r="E114" s="43"/>
      <c r="F114" s="43"/>
      <c r="G114" s="43"/>
      <c r="H114" s="43"/>
      <c r="I114" s="28"/>
      <c r="J114" s="28" t="str">
        <f>IFERROR(VLOOKUP(B114,Scoring!$A$4:$N$51,14,FALSE())*6,"-")</f>
        <v>-</v>
      </c>
      <c r="K114" s="28" t="str">
        <f>IFERROR(VLOOKUP(C114,Scoring!$A$4:$N$51,14,FALSE())*4,"-")</f>
        <v>-</v>
      </c>
      <c r="L114" s="28" t="str">
        <f>IFERROR(VLOOKUP(D114,Scoring!$A$4:$N$51,14,FALSE())*3,"-")</f>
        <v>-</v>
      </c>
      <c r="M114" s="28" t="str">
        <f>IFERROR(VLOOKUP(E114,Scoring!$A$4:$N$51,14,FALSE())*2,"-")</f>
        <v>-</v>
      </c>
      <c r="N114" s="28" t="str">
        <f>IFERROR(VLOOKUP(F114,Scoring!$A$4:$N$51,14,FALSE()),"-")</f>
        <v>-</v>
      </c>
      <c r="O114" s="28" t="str">
        <f>IFERROR(VLOOKUP(G114,Scoring!$A$4:$N$51,14,FALSE()),"-")</f>
        <v>-</v>
      </c>
      <c r="P114" s="29" t="str">
        <f>IFERROR(VLOOKUP(H114,Scoring!$A$4:$N$51,14,FALSE()),"-")</f>
        <v>-</v>
      </c>
      <c r="Q114" s="29" t="str">
        <f>IFERROR(VLOOKUP(I114,Scoring!$A$4:$N$51,6,FALSE()),"-")</f>
        <v>-</v>
      </c>
      <c r="R114" s="36" t="str">
        <f t="shared" si="9"/>
        <v>-</v>
      </c>
      <c r="S114" t="str">
        <f t="shared" si="10"/>
        <v/>
      </c>
      <c r="T114">
        <f t="shared" si="11"/>
        <v>-1</v>
      </c>
    </row>
    <row r="115" spans="1:20" ht="13.5" customHeight="1" x14ac:dyDescent="0.3">
      <c r="A115" s="27"/>
      <c r="B115" s="43"/>
      <c r="C115" s="43"/>
      <c r="D115" s="43"/>
      <c r="E115" s="43"/>
      <c r="F115" s="43"/>
      <c r="G115" s="43"/>
      <c r="H115" s="43"/>
      <c r="I115" s="28"/>
      <c r="J115" s="28" t="str">
        <f>IFERROR(VLOOKUP(B115,Scoring!$A$4:$N$51,14,FALSE())*6,"-")</f>
        <v>-</v>
      </c>
      <c r="K115" s="28" t="str">
        <f>IFERROR(VLOOKUP(C115,Scoring!$A$4:$N$51,14,FALSE())*4,"-")</f>
        <v>-</v>
      </c>
      <c r="L115" s="28" t="str">
        <f>IFERROR(VLOOKUP(D115,Scoring!$A$4:$N$51,14,FALSE())*3,"-")</f>
        <v>-</v>
      </c>
      <c r="M115" s="28" t="str">
        <f>IFERROR(VLOOKUP(E115,Scoring!$A$4:$N$51,14,FALSE())*2,"-")</f>
        <v>-</v>
      </c>
      <c r="N115" s="28" t="str">
        <f>IFERROR(VLOOKUP(F115,Scoring!$A$4:$N$51,14,FALSE()),"-")</f>
        <v>-</v>
      </c>
      <c r="O115" s="28" t="str">
        <f>IFERROR(VLOOKUP(G115,Scoring!$A$4:$N$51,14,FALSE()),"-")</f>
        <v>-</v>
      </c>
      <c r="P115" s="29" t="str">
        <f>IFERROR(VLOOKUP(H115,Scoring!$A$4:$N$51,14,FALSE()),"-")</f>
        <v>-</v>
      </c>
      <c r="Q115" s="29" t="str">
        <f>IFERROR(VLOOKUP(I115,Scoring!$A$4:$N$51,6,FALSE()),"-")</f>
        <v>-</v>
      </c>
      <c r="R115" s="36" t="str">
        <f t="shared" si="9"/>
        <v>-</v>
      </c>
      <c r="S115" t="str">
        <f t="shared" si="10"/>
        <v/>
      </c>
      <c r="T115">
        <f t="shared" si="11"/>
        <v>-1</v>
      </c>
    </row>
    <row r="116" spans="1:20" ht="13.5" customHeight="1" x14ac:dyDescent="0.3">
      <c r="A116" s="27"/>
      <c r="B116" s="43"/>
      <c r="C116" s="43"/>
      <c r="D116" s="43"/>
      <c r="E116" s="43"/>
      <c r="F116" s="43"/>
      <c r="G116" s="43"/>
      <c r="H116" s="43"/>
      <c r="I116" s="28"/>
      <c r="J116" s="28" t="str">
        <f>IFERROR(VLOOKUP(B116,Scoring!$A$4:$N$51,14,FALSE())*6,"-")</f>
        <v>-</v>
      </c>
      <c r="K116" s="28" t="str">
        <f>IFERROR(VLOOKUP(C116,Scoring!$A$4:$N$51,14,FALSE())*4,"-")</f>
        <v>-</v>
      </c>
      <c r="L116" s="28" t="str">
        <f>IFERROR(VLOOKUP(D116,Scoring!$A$4:$N$51,14,FALSE())*3,"-")</f>
        <v>-</v>
      </c>
      <c r="M116" s="28" t="str">
        <f>IFERROR(VLOOKUP(E116,Scoring!$A$4:$N$51,14,FALSE())*2,"-")</f>
        <v>-</v>
      </c>
      <c r="N116" s="28" t="str">
        <f>IFERROR(VLOOKUP(F116,Scoring!$A$4:$N$51,14,FALSE()),"-")</f>
        <v>-</v>
      </c>
      <c r="O116" s="28" t="str">
        <f>IFERROR(VLOOKUP(G116,Scoring!$A$4:$N$51,14,FALSE()),"-")</f>
        <v>-</v>
      </c>
      <c r="P116" s="29" t="str">
        <f>IFERROR(VLOOKUP(H116,Scoring!$A$4:$N$51,14,FALSE()),"-")</f>
        <v>-</v>
      </c>
      <c r="Q116" s="29" t="str">
        <f>IFERROR(VLOOKUP(I116,Scoring!$A$4:$N$51,6,FALSE()),"-")</f>
        <v>-</v>
      </c>
      <c r="R116" s="36" t="str">
        <f t="shared" si="9"/>
        <v>-</v>
      </c>
      <c r="S116" t="str">
        <f t="shared" si="10"/>
        <v/>
      </c>
      <c r="T116">
        <f t="shared" si="11"/>
        <v>-1</v>
      </c>
    </row>
    <row r="117" spans="1:20" ht="13.5" customHeight="1" x14ac:dyDescent="0.3">
      <c r="A117" s="27"/>
      <c r="B117" s="43"/>
      <c r="C117" s="43"/>
      <c r="D117" s="43"/>
      <c r="E117" s="43"/>
      <c r="F117" s="43"/>
      <c r="G117" s="43"/>
      <c r="H117" s="43"/>
      <c r="I117" s="28"/>
      <c r="J117" s="28" t="str">
        <f>IFERROR(VLOOKUP(B117,Scoring!$A$4:$N$51,14,FALSE())*6,"-")</f>
        <v>-</v>
      </c>
      <c r="K117" s="28" t="str">
        <f>IFERROR(VLOOKUP(C117,Scoring!$A$4:$N$51,14,FALSE())*4,"-")</f>
        <v>-</v>
      </c>
      <c r="L117" s="28" t="str">
        <f>IFERROR(VLOOKUP(D117,Scoring!$A$4:$N$51,14,FALSE())*3,"-")</f>
        <v>-</v>
      </c>
      <c r="M117" s="28" t="str">
        <f>IFERROR(VLOOKUP(E117,Scoring!$A$4:$N$51,14,FALSE())*2,"-")</f>
        <v>-</v>
      </c>
      <c r="N117" s="28" t="str">
        <f>IFERROR(VLOOKUP(F117,Scoring!$A$4:$N$51,14,FALSE()),"-")</f>
        <v>-</v>
      </c>
      <c r="O117" s="28" t="str">
        <f>IFERROR(VLOOKUP(G117,Scoring!$A$4:$N$51,14,FALSE()),"-")</f>
        <v>-</v>
      </c>
      <c r="P117" s="29" t="str">
        <f>IFERROR(VLOOKUP(H117,Scoring!$A$4:$N$51,14,FALSE()),"-")</f>
        <v>-</v>
      </c>
      <c r="Q117" s="29" t="str">
        <f>IFERROR(VLOOKUP(I117,Scoring!$A$4:$N$51,6,FALSE()),"-")</f>
        <v>-</v>
      </c>
      <c r="R117" s="36" t="str">
        <f t="shared" si="9"/>
        <v>-</v>
      </c>
      <c r="S117" t="str">
        <f t="shared" si="10"/>
        <v/>
      </c>
      <c r="T117">
        <f t="shared" si="11"/>
        <v>-1</v>
      </c>
    </row>
    <row r="118" spans="1:20" ht="13.5" customHeight="1" x14ac:dyDescent="0.3">
      <c r="A118" s="27"/>
      <c r="B118" s="43"/>
      <c r="C118" s="43"/>
      <c r="D118" s="43"/>
      <c r="E118" s="43"/>
      <c r="F118" s="43"/>
      <c r="G118" s="43"/>
      <c r="H118" s="43"/>
      <c r="I118" s="28"/>
      <c r="J118" s="28" t="str">
        <f>IFERROR(VLOOKUP(B118,Scoring!$A$4:$N$51,14,FALSE())*6,"-")</f>
        <v>-</v>
      </c>
      <c r="K118" s="28" t="str">
        <f>IFERROR(VLOOKUP(C118,Scoring!$A$4:$N$51,14,FALSE())*4,"-")</f>
        <v>-</v>
      </c>
      <c r="L118" s="28" t="str">
        <f>IFERROR(VLOOKUP(D118,Scoring!$A$4:$N$51,14,FALSE())*3,"-")</f>
        <v>-</v>
      </c>
      <c r="M118" s="28" t="str">
        <f>IFERROR(VLOOKUP(E118,Scoring!$A$4:$N$51,14,FALSE())*2,"-")</f>
        <v>-</v>
      </c>
      <c r="N118" s="28" t="str">
        <f>IFERROR(VLOOKUP(F118,Scoring!$A$4:$N$51,14,FALSE()),"-")</f>
        <v>-</v>
      </c>
      <c r="O118" s="28" t="str">
        <f>IFERROR(VLOOKUP(G118,Scoring!$A$4:$N$51,14,FALSE()),"-")</f>
        <v>-</v>
      </c>
      <c r="P118" s="29" t="str">
        <f>IFERROR(VLOOKUP(H118,Scoring!$A$4:$N$51,14,FALSE()),"-")</f>
        <v>-</v>
      </c>
      <c r="Q118" s="29" t="str">
        <f>IFERROR(VLOOKUP(I118,Scoring!$A$4:$N$51,6,FALSE()),"-")</f>
        <v>-</v>
      </c>
      <c r="R118" s="36" t="str">
        <f t="shared" si="9"/>
        <v>-</v>
      </c>
      <c r="S118" t="str">
        <f t="shared" si="10"/>
        <v/>
      </c>
      <c r="T118">
        <f t="shared" si="11"/>
        <v>-1</v>
      </c>
    </row>
    <row r="119" spans="1:20" ht="13.5" customHeight="1" x14ac:dyDescent="0.3">
      <c r="A119" s="27"/>
      <c r="B119" s="43"/>
      <c r="C119" s="43"/>
      <c r="D119" s="43"/>
      <c r="E119" s="43"/>
      <c r="F119" s="43"/>
      <c r="G119" s="43"/>
      <c r="H119" s="43"/>
      <c r="I119" s="28"/>
      <c r="J119" s="28" t="str">
        <f>IFERROR(VLOOKUP(B119,Scoring!$A$4:$N$51,14,FALSE())*6,"-")</f>
        <v>-</v>
      </c>
      <c r="K119" s="28" t="str">
        <f>IFERROR(VLOOKUP(C119,Scoring!$A$4:$N$51,14,FALSE())*4,"-")</f>
        <v>-</v>
      </c>
      <c r="L119" s="28" t="str">
        <f>IFERROR(VLOOKUP(D119,Scoring!$A$4:$N$51,14,FALSE())*3,"-")</f>
        <v>-</v>
      </c>
      <c r="M119" s="28" t="str">
        <f>IFERROR(VLOOKUP(E119,Scoring!$A$4:$N$51,14,FALSE())*2,"-")</f>
        <v>-</v>
      </c>
      <c r="N119" s="28" t="str">
        <f>IFERROR(VLOOKUP(F119,Scoring!$A$4:$N$51,14,FALSE()),"-")</f>
        <v>-</v>
      </c>
      <c r="O119" s="28" t="str">
        <f>IFERROR(VLOOKUP(G119,Scoring!$A$4:$N$51,14,FALSE()),"-")</f>
        <v>-</v>
      </c>
      <c r="P119" s="29" t="str">
        <f>IFERROR(VLOOKUP(H119,Scoring!$A$4:$N$51,14,FALSE()),"-")</f>
        <v>-</v>
      </c>
      <c r="Q119" s="29" t="str">
        <f>IFERROR(VLOOKUP(I119,Scoring!$A$4:$N$51,6,FALSE()),"-")</f>
        <v>-</v>
      </c>
      <c r="R119" s="36" t="str">
        <f t="shared" si="9"/>
        <v>-</v>
      </c>
      <c r="S119" t="str">
        <f t="shared" si="10"/>
        <v/>
      </c>
      <c r="T119">
        <f t="shared" si="11"/>
        <v>-1</v>
      </c>
    </row>
  </sheetData>
  <mergeCells count="1">
    <mergeCell ref="A1:T1"/>
  </mergeCells>
  <hyperlinks>
    <hyperlink ref="U24" r:id="rId1" xr:uid="{00000000-0004-0000-0200-000000000000}"/>
    <hyperlink ref="U54" r:id="rId2" xr:uid="{00000000-0004-0000-0200-000001000000}"/>
    <hyperlink ref="U55" r:id="rId3" xr:uid="{00000000-0004-0000-0200-000002000000}"/>
    <hyperlink ref="U56" r:id="rId4" xr:uid="{00000000-0004-0000-0200-000003000000}"/>
    <hyperlink ref="U57" r:id="rId5" xr:uid="{00000000-0004-0000-0200-000004000000}"/>
    <hyperlink ref="U59" r:id="rId6" xr:uid="{00000000-0004-0000-0200-000005000000}"/>
    <hyperlink ref="U60" r:id="rId7" xr:uid="{00000000-0004-0000-0200-000006000000}"/>
    <hyperlink ref="U61" r:id="rId8" xr:uid="{00000000-0004-0000-0200-000007000000}"/>
    <hyperlink ref="U69" r:id="rId9" xr:uid="{00000000-0004-0000-0200-000008000000}"/>
    <hyperlink ref="U71" r:id="rId10" xr:uid="{00000000-0004-0000-0200-000009000000}"/>
    <hyperlink ref="U73" r:id="rId11" xr:uid="{00000000-0004-0000-0200-00000A000000}"/>
    <hyperlink ref="U95" r:id="rId12" xr:uid="{00000000-0004-0000-0200-00000B000000}"/>
    <hyperlink ref="U99" r:id="rId13" xr:uid="{00000000-0004-0000-0200-00000C000000}"/>
    <hyperlink ref="U102" r:id="rId14" xr:uid="{00000000-0004-0000-0200-00000D000000}"/>
    <hyperlink ref="U104" r:id="rId15" xr:uid="{00000000-0004-0000-0200-00000E000000}"/>
    <hyperlink ref="U105" r:id="rId16" xr:uid="{00000000-0004-0000-0200-00000F000000}"/>
    <hyperlink ref="U106" r:id="rId17" xr:uid="{00000000-0004-0000-0200-000010000000}"/>
  </hyperlink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200-000000000000}">
          <x14:formula1>
            <xm:f>Settings!$H$9:$H$20</xm:f>
          </x14:formula1>
          <xm:sqref>G4:G9</xm:sqref>
        </x14:dataValidation>
        <x14:dataValidation type="list" allowBlank="1" showInputMessage="1" showErrorMessage="1" errorTitle="Invalid Wild pick" error="Wild pick must be one of the 8 lowest-ranked teams (Settings sheet, E15:E22)." xr:uid="{00000000-0002-0000-0200-000001000000}">
          <x14:formula1>
            <xm:f>Settings!$I$9:$I$21</xm:f>
          </x14:formula1>
          <xm:sqref>H4:H119</xm:sqref>
        </x14:dataValidation>
        <x14:dataValidation type="list" allowBlank="1" showInputMessage="1" showErrorMessage="1" errorTitle="Invalid team" error="Pick must be one of the 48 World Cup teams." xr:uid="{00000000-0002-0000-0200-000002000000}">
          <x14:formula1>
            <xm:f>Settings!$H$9:$H$20</xm:f>
          </x14:formula1>
          <xm:sqref>G10:G119</xm:sqref>
        </x14:dataValidation>
        <x14:dataValidation type="list" allowBlank="1" showInputMessage="1" showErrorMessage="1" errorTitle="Invalid team" error="Pick must be one of the 48 World Cup teams." xr:uid="{00000000-0002-0000-0200-000003000000}">
          <x14:formula1>
            <xm:f>Settings!$B$9:$B$56</xm:f>
          </x14:formula1>
          <xm:sqref>B4:E119</xm:sqref>
        </x14:dataValidation>
        <x14:dataValidation type="list" allowBlank="1" showInputMessage="1" showErrorMessage="1" errorTitle="Invalid team" error="Pick must be one of the 48 World Cup teams." xr:uid="{00000000-0002-0000-0200-000004000000}">
          <x14:formula1>
            <xm:f>Settings!$G$9:$G$20</xm:f>
          </x14:formula1>
          <xm:sqref>F4:F119</xm:sqref>
        </x14:dataValidation>
        <x14:dataValidation type="list" allowBlank="1" showInputMessage="1" showErrorMessage="1" xr:uid="{00000000-0002-0000-0200-000005000000}">
          <x14:formula1>
            <xm:f>Settings!$B$9:$B$56</xm:f>
          </x14:formula1>
          <xm:sqref>I4:I119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5"/>
  <sheetViews>
    <sheetView topLeftCell="A50" zoomScaleNormal="100" workbookViewId="0">
      <selection activeCell="E43" sqref="E43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43.398437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337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338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339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hidden="1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341</v>
      </c>
      <c r="C27" s="83" t="s">
        <v>342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86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345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346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46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6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347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348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349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 t="s">
        <v>350</v>
      </c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351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89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352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353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354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355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356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357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358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359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/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 t="s">
        <v>360</v>
      </c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/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361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 t="s">
        <v>362</v>
      </c>
      <c r="B53" s="64"/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363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 t="s">
        <v>364</v>
      </c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365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 t="s">
        <v>366</v>
      </c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 t="s">
        <v>367</v>
      </c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/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 t="s">
        <v>368</v>
      </c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/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369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370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80" t="s">
        <v>371</v>
      </c>
      <c r="B64" s="64"/>
      <c r="C64" s="64"/>
      <c r="D64" s="65"/>
      <c r="E64" s="66"/>
      <c r="F64" s="66"/>
      <c r="G64" s="67"/>
      <c r="H64" s="68"/>
      <c r="I64" s="68"/>
      <c r="J64" s="68"/>
      <c r="K64" s="68"/>
      <c r="L64" s="66"/>
      <c r="M64" s="66"/>
      <c r="N64" s="66"/>
      <c r="O64" s="66"/>
      <c r="P64" s="66"/>
      <c r="Q64" s="54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90"/>
      <c r="B65" s="91"/>
      <c r="C65" s="91"/>
      <c r="D65" s="91"/>
      <c r="E65" s="91"/>
      <c r="F65" s="91"/>
      <c r="G65" s="92"/>
      <c r="H65" s="91"/>
      <c r="I65" s="91"/>
      <c r="J65" s="91"/>
      <c r="K65" s="91"/>
      <c r="L65" s="93"/>
      <c r="M65" s="93"/>
      <c r="N65" s="93"/>
      <c r="O65" s="93"/>
      <c r="P65" s="93"/>
      <c r="Q65" s="62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46"/>
      <c r="B66" s="46"/>
      <c r="C66" s="46"/>
      <c r="D66" s="46"/>
      <c r="E66" s="46"/>
      <c r="F66" s="46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46"/>
      <c r="B67" s="46"/>
      <c r="C67" s="46"/>
      <c r="D67" s="46"/>
      <c r="E67" s="46"/>
      <c r="F67" s="46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46"/>
      <c r="B68" s="46"/>
      <c r="C68" s="46"/>
      <c r="D68" s="46"/>
      <c r="E68" s="46"/>
      <c r="F68" s="46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96"/>
      <c r="B69" s="97"/>
      <c r="C69" s="98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70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  <row r="1001" spans="1:26" ht="12.75" customHeight="1" x14ac:dyDescent="0.3">
      <c r="A1001" s="100"/>
      <c r="B1001" s="101"/>
      <c r="C1001" s="102"/>
      <c r="D1001" s="99"/>
      <c r="E1001" s="95"/>
      <c r="F1001" s="95"/>
      <c r="G1001" s="94"/>
      <c r="H1001" s="46"/>
      <c r="I1001" s="46"/>
      <c r="J1001" s="46"/>
      <c r="K1001" s="46"/>
      <c r="L1001" s="95"/>
      <c r="M1001" s="95"/>
      <c r="N1001" s="95"/>
      <c r="O1001" s="95"/>
      <c r="P1001" s="95"/>
      <c r="Q1001" s="46"/>
      <c r="R1001" s="46"/>
      <c r="S1001" s="46"/>
      <c r="T1001" s="46"/>
      <c r="U1001" s="46"/>
      <c r="V1001" s="46"/>
      <c r="W1001" s="46"/>
      <c r="X1001" s="46"/>
      <c r="Y1001" s="46"/>
      <c r="Z1001" s="46"/>
    </row>
    <row r="1002" spans="1:26" ht="12.75" customHeight="1" x14ac:dyDescent="0.3">
      <c r="A1002" s="100"/>
      <c r="B1002" s="101"/>
      <c r="C1002" s="102"/>
      <c r="D1002" s="99"/>
      <c r="E1002" s="95"/>
      <c r="F1002" s="95"/>
      <c r="G1002" s="94"/>
      <c r="H1002" s="46"/>
      <c r="I1002" s="46"/>
      <c r="J1002" s="46"/>
      <c r="K1002" s="46"/>
      <c r="L1002" s="95"/>
      <c r="M1002" s="95"/>
      <c r="N1002" s="95"/>
      <c r="O1002" s="95"/>
      <c r="P1002" s="95"/>
      <c r="Q1002" s="46"/>
      <c r="R1002" s="46"/>
      <c r="S1002" s="46"/>
      <c r="T1002" s="46"/>
      <c r="U1002" s="46"/>
      <c r="V1002" s="46"/>
      <c r="W1002" s="46"/>
      <c r="X1002" s="46"/>
      <c r="Y1002" s="46"/>
      <c r="Z1002" s="46"/>
    </row>
    <row r="1003" spans="1:26" ht="12.75" customHeight="1" x14ac:dyDescent="0.3">
      <c r="A1003" s="100"/>
      <c r="B1003" s="101"/>
      <c r="C1003" s="102"/>
      <c r="D1003" s="99"/>
      <c r="E1003" s="95"/>
      <c r="F1003" s="95"/>
      <c r="G1003" s="94"/>
      <c r="H1003" s="46"/>
      <c r="I1003" s="46"/>
      <c r="J1003" s="46"/>
      <c r="K1003" s="46"/>
      <c r="L1003" s="95"/>
      <c r="M1003" s="95"/>
      <c r="N1003" s="95"/>
      <c r="O1003" s="95"/>
      <c r="P1003" s="95"/>
      <c r="Q1003" s="46"/>
      <c r="R1003" s="46"/>
      <c r="S1003" s="46"/>
      <c r="T1003" s="46"/>
      <c r="U1003" s="46"/>
      <c r="V1003" s="46"/>
      <c r="W1003" s="46"/>
      <c r="X1003" s="46"/>
      <c r="Y1003" s="46"/>
      <c r="Z1003" s="46"/>
    </row>
    <row r="1004" spans="1:26" ht="12.75" customHeight="1" x14ac:dyDescent="0.3">
      <c r="A1004" s="100"/>
      <c r="B1004" s="101"/>
      <c r="C1004" s="102"/>
      <c r="D1004" s="99"/>
      <c r="E1004" s="95"/>
      <c r="F1004" s="95"/>
      <c r="G1004" s="94"/>
      <c r="H1004" s="46"/>
      <c r="I1004" s="46"/>
      <c r="J1004" s="46"/>
      <c r="K1004" s="46"/>
      <c r="L1004" s="95"/>
      <c r="M1004" s="95"/>
      <c r="N1004" s="95"/>
      <c r="O1004" s="95"/>
      <c r="P1004" s="95"/>
      <c r="Q1004" s="46"/>
      <c r="R1004" s="46"/>
      <c r="S1004" s="46"/>
      <c r="T1004" s="46"/>
      <c r="U1004" s="46"/>
      <c r="V1004" s="46"/>
      <c r="W1004" s="46"/>
      <c r="X1004" s="46"/>
      <c r="Y1004" s="46"/>
      <c r="Z1004" s="46"/>
    </row>
    <row r="1005" spans="1:26" ht="12.75" customHeight="1" x14ac:dyDescent="0.3">
      <c r="A1005" s="100"/>
      <c r="B1005" s="101"/>
      <c r="C1005" s="102"/>
      <c r="D1005" s="99"/>
      <c r="E1005" s="95"/>
      <c r="F1005" s="95"/>
      <c r="G1005" s="94"/>
      <c r="H1005" s="46"/>
      <c r="I1005" s="46"/>
      <c r="J1005" s="46"/>
      <c r="K1005" s="46"/>
      <c r="L1005" s="95"/>
      <c r="M1005" s="95"/>
      <c r="N1005" s="95"/>
      <c r="O1005" s="95"/>
      <c r="P1005" s="95"/>
      <c r="Q1005" s="46"/>
      <c r="R1005" s="46"/>
      <c r="S1005" s="46"/>
      <c r="T1005" s="46"/>
      <c r="U1005" s="46"/>
      <c r="V1005" s="46"/>
      <c r="W1005" s="46"/>
      <c r="X1005" s="46"/>
      <c r="Y1005" s="46"/>
      <c r="Z1005" s="46"/>
    </row>
    <row r="1006" spans="1:26" ht="12.75" customHeight="1" x14ac:dyDescent="0.3">
      <c r="A1006" s="100"/>
      <c r="B1006" s="101"/>
      <c r="C1006" s="102"/>
      <c r="D1006" s="99"/>
      <c r="E1006" s="95"/>
      <c r="F1006" s="95"/>
      <c r="G1006" s="94"/>
      <c r="H1006" s="46"/>
      <c r="I1006" s="46"/>
      <c r="J1006" s="46"/>
      <c r="K1006" s="46"/>
      <c r="L1006" s="95"/>
      <c r="M1006" s="95"/>
      <c r="N1006" s="95"/>
      <c r="O1006" s="95"/>
      <c r="P1006" s="95"/>
      <c r="Q1006" s="46"/>
      <c r="R1006" s="46"/>
      <c r="S1006" s="46"/>
      <c r="T1006" s="46"/>
      <c r="U1006" s="46"/>
      <c r="V1006" s="46"/>
      <c r="W1006" s="46"/>
      <c r="X1006" s="46"/>
      <c r="Y1006" s="46"/>
      <c r="Z1006" s="46"/>
    </row>
    <row r="1007" spans="1:26" ht="12.75" customHeight="1" x14ac:dyDescent="0.3">
      <c r="A1007" s="100"/>
      <c r="B1007" s="101"/>
      <c r="C1007" s="102"/>
      <c r="D1007" s="99"/>
      <c r="E1007" s="95"/>
      <c r="F1007" s="95"/>
      <c r="G1007" s="94"/>
      <c r="H1007" s="46"/>
      <c r="I1007" s="46"/>
      <c r="J1007" s="46"/>
      <c r="K1007" s="46"/>
      <c r="L1007" s="95"/>
      <c r="M1007" s="95"/>
      <c r="N1007" s="95"/>
      <c r="O1007" s="95"/>
      <c r="P1007" s="95"/>
      <c r="Q1007" s="46"/>
      <c r="R1007" s="46"/>
      <c r="S1007" s="46"/>
      <c r="T1007" s="46"/>
      <c r="U1007" s="46"/>
      <c r="V1007" s="46"/>
      <c r="W1007" s="46"/>
      <c r="X1007" s="46"/>
      <c r="Y1007" s="46"/>
      <c r="Z1007" s="46"/>
    </row>
    <row r="1008" spans="1:26" ht="12.75" customHeight="1" x14ac:dyDescent="0.3">
      <c r="A1008" s="100"/>
      <c r="B1008" s="101"/>
      <c r="C1008" s="102"/>
      <c r="D1008" s="99"/>
      <c r="E1008" s="95"/>
      <c r="F1008" s="95"/>
      <c r="G1008" s="94"/>
      <c r="H1008" s="46"/>
      <c r="I1008" s="46"/>
      <c r="J1008" s="46"/>
      <c r="K1008" s="46"/>
      <c r="L1008" s="95"/>
      <c r="M1008" s="95"/>
      <c r="N1008" s="95"/>
      <c r="O1008" s="95"/>
      <c r="P1008" s="95"/>
      <c r="Q1008" s="46"/>
      <c r="R1008" s="46"/>
      <c r="S1008" s="46"/>
      <c r="T1008" s="46"/>
      <c r="U1008" s="46"/>
      <c r="V1008" s="46"/>
      <c r="W1008" s="46"/>
      <c r="X1008" s="46"/>
      <c r="Y1008" s="46"/>
      <c r="Z1008" s="46"/>
    </row>
    <row r="1009" spans="1:26" ht="12.75" customHeight="1" x14ac:dyDescent="0.3">
      <c r="A1009" s="100"/>
      <c r="B1009" s="101"/>
      <c r="C1009" s="102"/>
      <c r="D1009" s="99"/>
      <c r="E1009" s="95"/>
      <c r="F1009" s="95"/>
      <c r="G1009" s="94"/>
      <c r="H1009" s="46"/>
      <c r="I1009" s="46"/>
      <c r="J1009" s="46"/>
      <c r="K1009" s="46"/>
      <c r="L1009" s="95"/>
      <c r="M1009" s="95"/>
      <c r="N1009" s="95"/>
      <c r="O1009" s="95"/>
      <c r="P1009" s="95"/>
      <c r="Q1009" s="46"/>
      <c r="R1009" s="46"/>
      <c r="S1009" s="46"/>
      <c r="T1009" s="46"/>
      <c r="U1009" s="46"/>
      <c r="V1009" s="46"/>
      <c r="W1009" s="46"/>
      <c r="X1009" s="46"/>
      <c r="Y1009" s="46"/>
      <c r="Z1009" s="46"/>
    </row>
    <row r="1010" spans="1:26" ht="12.75" customHeight="1" x14ac:dyDescent="0.3">
      <c r="A1010" s="100"/>
      <c r="B1010" s="101"/>
      <c r="C1010" s="102"/>
      <c r="D1010" s="99"/>
      <c r="E1010" s="95"/>
      <c r="F1010" s="95"/>
      <c r="G1010" s="94"/>
      <c r="H1010" s="46"/>
      <c r="I1010" s="46"/>
      <c r="J1010" s="46"/>
      <c r="K1010" s="46"/>
      <c r="L1010" s="95"/>
      <c r="M1010" s="95"/>
      <c r="N1010" s="95"/>
      <c r="O1010" s="95"/>
      <c r="P1010" s="95"/>
      <c r="Q1010" s="46"/>
      <c r="R1010" s="46"/>
      <c r="S1010" s="46"/>
      <c r="T1010" s="46"/>
      <c r="U1010" s="46"/>
      <c r="V1010" s="46"/>
      <c r="W1010" s="46"/>
      <c r="X1010" s="46"/>
      <c r="Y1010" s="46"/>
      <c r="Z1010" s="46"/>
    </row>
    <row r="1011" spans="1:26" ht="12.75" customHeight="1" x14ac:dyDescent="0.3">
      <c r="A1011" s="100"/>
      <c r="B1011" s="101"/>
      <c r="C1011" s="102"/>
      <c r="D1011" s="99"/>
      <c r="E1011" s="95"/>
      <c r="F1011" s="95"/>
      <c r="G1011" s="94"/>
      <c r="H1011" s="46"/>
      <c r="I1011" s="46"/>
      <c r="J1011" s="46"/>
      <c r="K1011" s="46"/>
      <c r="L1011" s="95"/>
      <c r="M1011" s="95"/>
      <c r="N1011" s="95"/>
      <c r="O1011" s="95"/>
      <c r="P1011" s="95"/>
      <c r="Q1011" s="46"/>
      <c r="R1011" s="46"/>
      <c r="S1011" s="46"/>
      <c r="T1011" s="46"/>
      <c r="U1011" s="46"/>
      <c r="V1011" s="46"/>
      <c r="W1011" s="46"/>
      <c r="X1011" s="46"/>
      <c r="Y1011" s="46"/>
      <c r="Z1011" s="46"/>
    </row>
    <row r="1012" spans="1:26" ht="12.75" customHeight="1" x14ac:dyDescent="0.3">
      <c r="A1012" s="100"/>
      <c r="B1012" s="101"/>
      <c r="C1012" s="102"/>
      <c r="D1012" s="99"/>
      <c r="E1012" s="95"/>
      <c r="F1012" s="95"/>
      <c r="G1012" s="94"/>
      <c r="H1012" s="46"/>
      <c r="I1012" s="46"/>
      <c r="J1012" s="46"/>
      <c r="K1012" s="46"/>
      <c r="L1012" s="95"/>
      <c r="M1012" s="95"/>
      <c r="N1012" s="95"/>
      <c r="O1012" s="95"/>
      <c r="P1012" s="95"/>
      <c r="Q1012" s="46"/>
      <c r="R1012" s="46"/>
      <c r="S1012" s="46"/>
      <c r="T1012" s="46"/>
      <c r="U1012" s="46"/>
      <c r="V1012" s="46"/>
      <c r="W1012" s="46"/>
      <c r="X1012" s="46"/>
      <c r="Y1012" s="46"/>
      <c r="Z1012" s="46"/>
    </row>
    <row r="1013" spans="1:26" ht="12.75" customHeight="1" x14ac:dyDescent="0.3">
      <c r="A1013" s="100"/>
      <c r="B1013" s="101"/>
      <c r="C1013" s="102"/>
      <c r="D1013" s="99"/>
      <c r="E1013" s="95"/>
      <c r="F1013" s="95"/>
      <c r="G1013" s="94"/>
      <c r="H1013" s="46"/>
      <c r="I1013" s="46"/>
      <c r="J1013" s="46"/>
      <c r="K1013" s="46"/>
      <c r="L1013" s="95"/>
      <c r="M1013" s="95"/>
      <c r="N1013" s="95"/>
      <c r="O1013" s="95"/>
      <c r="P1013" s="95"/>
      <c r="Q1013" s="46"/>
      <c r="R1013" s="46"/>
      <c r="S1013" s="46"/>
      <c r="T1013" s="46"/>
      <c r="U1013" s="46"/>
      <c r="V1013" s="46"/>
      <c r="W1013" s="46"/>
      <c r="X1013" s="46"/>
      <c r="Y1013" s="46"/>
      <c r="Z1013" s="46"/>
    </row>
    <row r="1014" spans="1:26" ht="12.75" customHeight="1" x14ac:dyDescent="0.3">
      <c r="A1014" s="100"/>
      <c r="B1014" s="101"/>
      <c r="C1014" s="102"/>
      <c r="D1014" s="99"/>
      <c r="E1014" s="95"/>
      <c r="F1014" s="95"/>
      <c r="G1014" s="94"/>
      <c r="H1014" s="46"/>
      <c r="I1014" s="46"/>
      <c r="J1014" s="46"/>
      <c r="K1014" s="46"/>
      <c r="L1014" s="95"/>
      <c r="M1014" s="95"/>
      <c r="N1014" s="95"/>
      <c r="O1014" s="95"/>
      <c r="P1014" s="95"/>
      <c r="Q1014" s="46"/>
      <c r="R1014" s="46"/>
      <c r="S1014" s="46"/>
      <c r="T1014" s="46"/>
      <c r="U1014" s="46"/>
      <c r="V1014" s="46"/>
      <c r="W1014" s="46"/>
      <c r="X1014" s="46"/>
      <c r="Y1014" s="46"/>
      <c r="Z1014" s="46"/>
    </row>
    <row r="1015" spans="1:26" ht="12.75" customHeight="1" x14ac:dyDescent="0.3">
      <c r="A1015" s="100"/>
      <c r="B1015" s="101"/>
      <c r="C1015" s="102"/>
      <c r="D1015" s="99"/>
      <c r="E1015" s="95"/>
      <c r="F1015" s="95"/>
      <c r="G1015" s="94"/>
      <c r="H1015" s="46"/>
      <c r="I1015" s="46"/>
      <c r="J1015" s="46"/>
      <c r="K1015" s="46"/>
      <c r="L1015" s="95"/>
      <c r="M1015" s="95"/>
      <c r="N1015" s="95"/>
      <c r="O1015" s="95"/>
      <c r="P1015" s="95"/>
      <c r="Q1015" s="46"/>
      <c r="R1015" s="46"/>
      <c r="S1015" s="46"/>
      <c r="T1015" s="46"/>
      <c r="U1015" s="46"/>
      <c r="V1015" s="46"/>
      <c r="W1015" s="46"/>
      <c r="X1015" s="46"/>
      <c r="Y1015" s="46"/>
      <c r="Z1015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44" zoomScaleNormal="100" workbookViewId="0">
      <selection activeCell="F71" sqref="F71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39.5976562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372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373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46"/>
      <c r="S9" s="46"/>
      <c r="T9" s="46"/>
      <c r="U9" s="46"/>
      <c r="V9" s="46"/>
      <c r="W9" s="46"/>
      <c r="X9" s="46"/>
      <c r="Y9" s="46"/>
      <c r="Z9" s="46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.75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hidden="1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374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375</v>
      </c>
      <c r="C27" s="83" t="s">
        <v>376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103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377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378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89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379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380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381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382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/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383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46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384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385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386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387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388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389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390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391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B48" s="64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 t="s">
        <v>392</v>
      </c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/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 t="s">
        <v>393</v>
      </c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394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/>
      <c r="B53" s="64" t="s">
        <v>395</v>
      </c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396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/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397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/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/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 t="s">
        <v>398</v>
      </c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/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 t="s">
        <v>399</v>
      </c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370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371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90"/>
      <c r="B64" s="91"/>
      <c r="C64" s="91"/>
      <c r="D64" s="91"/>
      <c r="E64" s="91"/>
      <c r="F64" s="91"/>
      <c r="G64" s="92"/>
      <c r="H64" s="91"/>
      <c r="I64" s="91"/>
      <c r="J64" s="91"/>
      <c r="K64" s="91"/>
      <c r="L64" s="93"/>
      <c r="M64" s="93"/>
      <c r="N64" s="93"/>
      <c r="O64" s="93"/>
      <c r="P64" s="93"/>
      <c r="Q64" s="62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100"/>
      <c r="B65" s="101"/>
      <c r="C65" s="102"/>
      <c r="D65" s="99"/>
      <c r="E65" s="95"/>
      <c r="F65" s="95"/>
      <c r="G65" s="94"/>
      <c r="H65" s="46"/>
      <c r="I65" s="46"/>
      <c r="J65" s="46"/>
      <c r="K65" s="46"/>
      <c r="L65" s="95"/>
      <c r="M65" s="95"/>
      <c r="N65" s="95"/>
      <c r="O65" s="95"/>
      <c r="P65" s="95"/>
      <c r="Q65" s="46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100"/>
      <c r="B66" s="101"/>
      <c r="C66" s="102"/>
      <c r="D66" s="99"/>
      <c r="E66" s="95"/>
      <c r="F66" s="95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100"/>
      <c r="B67" s="101"/>
      <c r="C67" s="102"/>
      <c r="D67" s="99"/>
      <c r="E67" s="95"/>
      <c r="F67" s="95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100"/>
      <c r="B68" s="101"/>
      <c r="C68" s="102"/>
      <c r="D68" s="99"/>
      <c r="E68" s="95"/>
      <c r="F68" s="95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100"/>
      <c r="B69" s="101"/>
      <c r="C69" s="102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99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51"/>
  <sheetViews>
    <sheetView zoomScaleNormal="100" workbookViewId="0">
      <selection activeCell="G15" sqref="G15"/>
    </sheetView>
  </sheetViews>
  <sheetFormatPr defaultColWidth="11.3984375" defaultRowHeight="13" x14ac:dyDescent="0.3"/>
  <cols>
    <col min="1" max="1" width="35" customWidth="1"/>
    <col min="2" max="2" width="7" customWidth="1"/>
    <col min="3" max="5" width="7.59765625" customWidth="1"/>
    <col min="6" max="6" width="12" customWidth="1"/>
    <col min="11" max="11" width="12" customWidth="1"/>
    <col min="12" max="13" width="13" customWidth="1"/>
    <col min="14" max="14" width="16" customWidth="1"/>
  </cols>
  <sheetData>
    <row r="1" spans="1:15" ht="18.75" customHeight="1" x14ac:dyDescent="0.3">
      <c r="A1" s="153" t="s">
        <v>400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</row>
    <row r="3" spans="1:15" s="105" customFormat="1" ht="31.5" customHeight="1" x14ac:dyDescent="0.3">
      <c r="A3" s="104" t="s">
        <v>7</v>
      </c>
      <c r="B3" s="104" t="s">
        <v>401</v>
      </c>
      <c r="C3" s="104" t="s">
        <v>402</v>
      </c>
      <c r="D3" s="104" t="s">
        <v>403</v>
      </c>
      <c r="E3" s="104" t="s">
        <v>404</v>
      </c>
      <c r="F3" s="104" t="s">
        <v>405</v>
      </c>
      <c r="G3" s="104" t="s">
        <v>406</v>
      </c>
      <c r="H3" s="104" t="s">
        <v>407</v>
      </c>
      <c r="I3" s="104" t="s">
        <v>408</v>
      </c>
      <c r="J3" s="104" t="s">
        <v>409</v>
      </c>
      <c r="K3" s="104" t="s">
        <v>410</v>
      </c>
      <c r="L3" s="104" t="s">
        <v>411</v>
      </c>
      <c r="M3" s="104" t="s">
        <v>103</v>
      </c>
      <c r="N3" s="104" t="s">
        <v>412</v>
      </c>
      <c r="O3" s="105" t="s">
        <v>413</v>
      </c>
    </row>
    <row r="4" spans="1:15" ht="12.75" customHeight="1" x14ac:dyDescent="0.3">
      <c r="A4" s="106" t="s">
        <v>11</v>
      </c>
      <c r="B4" s="107" t="s">
        <v>13</v>
      </c>
      <c r="C4" s="108">
        <f t="array" ref="C4">3*(SUMPRODUCT((MOD(INT((ROW('FIFA WC 2026'!$E$5:$E$76)-4)/2),3)=0)*('FIFA WC 2026'!$E$5:$E$76=A4)*ISNUMBER('FIFA WC 2026'!$F$5:$F$76)*ISNUMBER('FIFA WC 2026'!$G$5:$G$76)*('FIFA WC 2026'!$F$5:$F$76&gt;'FIFA WC 2026'!$G$5:$G$76))+SUMPRODUCT((MOD(INT((ROW('FIFA WC 2026'!$E$5:$E$76)-4)/2),3)=0)*('FIFA WC 2026'!$H$5:$H$76=A4)*ISNUMBER('FIFA WC 2026'!$F$5:$F$76)*ISNUMBER('FIFA WC 2026'!$G$5:$G$76)*('FIFA WC 2026'!$G$5:$G$76&gt;'FIFA WC 2026'!$F$5:$F$76)))+(SUMPRODUCT((MOD(INT((ROW('FIFA WC 2026'!$E$5:$E$76)-4)/2),3)=0)*((('FIFA WC 2026'!$E$5:$E$76=A4)+('FIFA WC 2026'!$H$5:$H$76=A4))&gt;0)*ISNUMBER('FIFA WC 2026'!$F$5:$F$76)*ISNUMBER('FIFA WC 2026'!$G$5:$G$76)*('FIFA WC 2026'!$F$5:$F$76='FIFA WC 2026'!$G$5:$G$76)))</f>
        <v>3</v>
      </c>
      <c r="D4" s="108">
        <f t="array" ref="D4">3*(SUMPRODUCT((MOD(INT((ROW('FIFA WC 2026'!$E$5:$E$76)-4)/2),3)=1)*('FIFA WC 2026'!$E$5:$E$76=A4)*ISNUMBER('FIFA WC 2026'!$F$5:$F$76)*ISNUMBER('FIFA WC 2026'!$G$5:$G$76)*('FIFA WC 2026'!$F$5:$F$76&gt;'FIFA WC 2026'!$G$5:$G$76))+SUMPRODUCT((MOD(INT((ROW('FIFA WC 2026'!$E$5:$E$76)-4)/2),3)=1)*('FIFA WC 2026'!$H$5:$H$76=A4)*ISNUMBER('FIFA WC 2026'!$F$5:$F$76)*ISNUMBER('FIFA WC 2026'!$G$5:$G$76)*('FIFA WC 2026'!$G$5:$G$76&gt;'FIFA WC 2026'!$F$5:$F$76)))+(SUMPRODUCT((MOD(INT((ROW('FIFA WC 2026'!$E$5:$E$76)-4)/2),3)=1)*((('FIFA WC 2026'!$E$5:$E$76=A4)+('FIFA WC 2026'!$H$5:$H$76=A4))&gt;0)*ISNUMBER('FIFA WC 2026'!$F$5:$F$76)*ISNUMBER('FIFA WC 2026'!$G$5:$G$76)*('FIFA WC 2026'!$F$5:$F$76='FIFA WC 2026'!$G$5:$G$76)))</f>
        <v>0</v>
      </c>
      <c r="E4" s="108">
        <f t="array" ref="E4">3*(SUMPRODUCT((MOD(INT((ROW('FIFA WC 2026'!$E$5:$E$76)-4)/2),3)=2)*('FIFA WC 2026'!$E$5:$E$76=A4)*ISNUMBER('FIFA WC 2026'!$F$5:$F$76)*ISNUMBER('FIFA WC 2026'!$G$5:$G$76)*('FIFA WC 2026'!$F$5:$F$76&gt;'FIFA WC 2026'!$G$5:$G$76))+SUMPRODUCT((MOD(INT((ROW('FIFA WC 2026'!$E$5:$E$76)-4)/2),3)=2)*('FIFA WC 2026'!$H$5:$H$76=A4)*ISNUMBER('FIFA WC 2026'!$F$5:$F$76)*ISNUMBER('FIFA WC 2026'!$G$5:$G$76)*('FIFA WC 2026'!$G$5:$G$76&gt;'FIFA WC 2026'!$F$5:$F$76)))+(SUMPRODUCT((MOD(INT((ROW('FIFA WC 2026'!$E$5:$E$76)-4)/2),3)=2)*((('FIFA WC 2026'!$E$5:$E$76=A4)+('FIFA WC 2026'!$H$5:$H$76=A4))&gt;0)*ISNUMBER('FIFA WC 2026'!$F$5:$F$76)*ISNUMBER('FIFA WC 2026'!$G$5:$G$76)*('FIFA WC 2026'!$F$5:$F$76='FIFA WC 2026'!$G$5:$G$76)))</f>
        <v>0</v>
      </c>
      <c r="F4" s="108">
        <f t="array" ref="F4">0.5*(SUMPRODUCT(('FIFA WC 2026'!$E$5:$E$76=A4)*IFERROR('FIFA WC 2026'!$F$5:$F$76,0))+SUMPRODUCT(('FIFA WC 2026'!$H$5:$H$76=A4)*IFERROR('FIFA WC 2026'!$G$5:$G$76,0))+SUMPRODUCT(('FIFA WC 2026'!$S$5:$S$66=A4)*IFERROR('FIFA WC 2026'!$T$5:$T$66,0))+SUMPRODUCT(('FIFA WC 2026'!$W$7:$W$64=A4)*IFERROR('FIFA WC 2026'!$X$7:$X$64,0))+SUMPRODUCT(('FIFA WC 2026'!$AA$11:$AA$66=A4)*IFERROR('FIFA WC 2026'!$AB$11:$AB$66,0))+SUMPRODUCT(('FIFA WC 2026'!$AE$19:$AE$52=A4)*IFERROR('FIFA WC 2026'!$AF$19:$AF$52,0))+SUMPRODUCT(('FIFA WC 2026'!$AI$35:$AI$44=A4)*IFERROR('FIFA WC 2026'!$AJ$35:$AJ$44,0)))</f>
        <v>1</v>
      </c>
      <c r="G4" s="108">
        <f>IF(COUNTIF('FIFA WC 2026'!$S$5:$S$66,A4)&gt;0,4,0)</f>
        <v>0</v>
      </c>
      <c r="H4" s="108">
        <f>IF(COUNTIF('FIFA WC 2026'!$W$7:$W$64,A4)&gt;0,6,0)</f>
        <v>0</v>
      </c>
      <c r="I4" s="108">
        <f>IF(COUNTIF('FIFA WC 2026'!$AA$11:$AA$60,A4)&gt;0,8,0)</f>
        <v>0</v>
      </c>
      <c r="J4" s="108">
        <f>IF(COUNTIF('FIFA WC 2026'!$AE$19:$AE$52,A4)&gt;0,10,0)</f>
        <v>0</v>
      </c>
      <c r="K4" s="108">
        <f>IF(COUNTIF('FIFA WC 2026'!$AI$35:$AI$36,A4)&gt;0,13,0)</f>
        <v>0</v>
      </c>
      <c r="L4" s="108">
        <f>IF('FIFA WC 2026'!$AI$40=A4,16,0)</f>
        <v>0</v>
      </c>
      <c r="M4" s="109">
        <f t="shared" ref="M4:M51" si="0">SUM(C4:L4)+O4</f>
        <v>4</v>
      </c>
      <c r="N4" s="110">
        <f t="shared" ref="N4:N51" si="1">M4-F4</f>
        <v>3</v>
      </c>
      <c r="O4">
        <f>IF('FIFA WC 2026'!$AI$41=$A4,5,0)</f>
        <v>0</v>
      </c>
    </row>
    <row r="5" spans="1:15" ht="12.75" customHeight="1" x14ac:dyDescent="0.3">
      <c r="A5" s="106" t="s">
        <v>12</v>
      </c>
      <c r="B5" s="107" t="s">
        <v>13</v>
      </c>
      <c r="C5" s="108">
        <f t="array" ref="C5">3*(SUMPRODUCT((MOD(INT((ROW('FIFA WC 2026'!$E$5:$E$76)-4)/2),3)=0)*('FIFA WC 2026'!$E$5:$E$76=A5)*ISNUMBER('FIFA WC 2026'!$F$5:$F$76)*ISNUMBER('FIFA WC 2026'!$G$5:$G$76)*('FIFA WC 2026'!$F$5:$F$76&gt;'FIFA WC 2026'!$G$5:$G$76))+SUMPRODUCT((MOD(INT((ROW('FIFA WC 2026'!$E$5:$E$76)-4)/2),3)=0)*('FIFA WC 2026'!$H$5:$H$76=A5)*ISNUMBER('FIFA WC 2026'!$F$5:$F$76)*ISNUMBER('FIFA WC 2026'!$G$5:$G$76)*('FIFA WC 2026'!$G$5:$G$76&gt;'FIFA WC 2026'!$F$5:$F$76)))+(SUMPRODUCT((MOD(INT((ROW('FIFA WC 2026'!$E$5:$E$76)-4)/2),3)=0)*((('FIFA WC 2026'!$E$5:$E$76=A5)+('FIFA WC 2026'!$H$5:$H$76=A5))&gt;0)*ISNUMBER('FIFA WC 2026'!$F$5:$F$76)*ISNUMBER('FIFA WC 2026'!$G$5:$G$76)*('FIFA WC 2026'!$F$5:$F$76='FIFA WC 2026'!$G$5:$G$76)))</f>
        <v>0</v>
      </c>
      <c r="D5" s="108">
        <f t="array" ref="D5">3*(SUMPRODUCT((MOD(INT((ROW('FIFA WC 2026'!$E$5:$E$76)-4)/2),3)=1)*('FIFA WC 2026'!$E$5:$E$76=A5)*ISNUMBER('FIFA WC 2026'!$F$5:$F$76)*ISNUMBER('FIFA WC 2026'!$G$5:$G$76)*('FIFA WC 2026'!$F$5:$F$76&gt;'FIFA WC 2026'!$G$5:$G$76))+SUMPRODUCT((MOD(INT((ROW('FIFA WC 2026'!$E$5:$E$76)-4)/2),3)=1)*('FIFA WC 2026'!$H$5:$H$76=A5)*ISNUMBER('FIFA WC 2026'!$F$5:$F$76)*ISNUMBER('FIFA WC 2026'!$G$5:$G$76)*('FIFA WC 2026'!$G$5:$G$76&gt;'FIFA WC 2026'!$F$5:$F$76)))+(SUMPRODUCT((MOD(INT((ROW('FIFA WC 2026'!$E$5:$E$76)-4)/2),3)=1)*((('FIFA WC 2026'!$E$5:$E$76=A5)+('FIFA WC 2026'!$H$5:$H$76=A5))&gt;0)*ISNUMBER('FIFA WC 2026'!$F$5:$F$76)*ISNUMBER('FIFA WC 2026'!$G$5:$G$76)*('FIFA WC 2026'!$F$5:$F$76='FIFA WC 2026'!$G$5:$G$76)))</f>
        <v>0</v>
      </c>
      <c r="E5" s="108">
        <f t="array" ref="E5">3*(SUMPRODUCT((MOD(INT((ROW('FIFA WC 2026'!$E$5:$E$76)-4)/2),3)=2)*('FIFA WC 2026'!$E$5:$E$76=A5)*ISNUMBER('FIFA WC 2026'!$F$5:$F$76)*ISNUMBER('FIFA WC 2026'!$G$5:$G$76)*('FIFA WC 2026'!$F$5:$F$76&gt;'FIFA WC 2026'!$G$5:$G$76))+SUMPRODUCT((MOD(INT((ROW('FIFA WC 2026'!$E$5:$E$76)-4)/2),3)=2)*('FIFA WC 2026'!$H$5:$H$76=A5)*ISNUMBER('FIFA WC 2026'!$F$5:$F$76)*ISNUMBER('FIFA WC 2026'!$G$5:$G$76)*('FIFA WC 2026'!$G$5:$G$76&gt;'FIFA WC 2026'!$F$5:$F$76)))+(SUMPRODUCT((MOD(INT((ROW('FIFA WC 2026'!$E$5:$E$76)-4)/2),3)=2)*((('FIFA WC 2026'!$E$5:$E$76=A5)+('FIFA WC 2026'!$H$5:$H$76=A5))&gt;0)*ISNUMBER('FIFA WC 2026'!$F$5:$F$76)*ISNUMBER('FIFA WC 2026'!$G$5:$G$76)*('FIFA WC 2026'!$F$5:$F$76='FIFA WC 2026'!$G$5:$G$76)))</f>
        <v>0</v>
      </c>
      <c r="F5" s="108">
        <f t="array" ref="F5">0.5*(SUMPRODUCT(('FIFA WC 2026'!$E$5:$E$76=A5)*IFERROR('FIFA WC 2026'!$F$5:$F$76,0))+SUMPRODUCT(('FIFA WC 2026'!$H$5:$H$76=A5)*IFERROR('FIFA WC 2026'!$G$5:$G$76,0))+SUMPRODUCT(('FIFA WC 2026'!$S$5:$S$66=A5)*IFERROR('FIFA WC 2026'!$T$5:$T$66,0))+SUMPRODUCT(('FIFA WC 2026'!$W$7:$W$64=A5)*IFERROR('FIFA WC 2026'!$X$7:$X$64,0))+SUMPRODUCT(('FIFA WC 2026'!$AA$11:$AA$66=A5)*IFERROR('FIFA WC 2026'!$AB$11:$AB$66,0))+SUMPRODUCT(('FIFA WC 2026'!$AE$19:$AE$52=A5)*IFERROR('FIFA WC 2026'!$AF$19:$AF$52,0))+SUMPRODUCT(('FIFA WC 2026'!$AI$35:$AI$44=A5)*IFERROR('FIFA WC 2026'!$AJ$35:$AJ$44,0)))</f>
        <v>0</v>
      </c>
      <c r="G5" s="108">
        <f>IF(COUNTIF('FIFA WC 2026'!$S$5:$S$66,A5)&gt;0,4,0)</f>
        <v>0</v>
      </c>
      <c r="H5" s="108">
        <f>IF(COUNTIF('FIFA WC 2026'!$W$7:$W$64,A5)&gt;0,6,0)</f>
        <v>0</v>
      </c>
      <c r="I5" s="108">
        <f>IF(COUNTIF('FIFA WC 2026'!$AA$11:$AA$60,A5)&gt;0,8,0)</f>
        <v>0</v>
      </c>
      <c r="J5" s="108">
        <f>IF(COUNTIF('FIFA WC 2026'!$AE$19:$AE$52,A5)&gt;0,10,0)</f>
        <v>0</v>
      </c>
      <c r="K5" s="108">
        <f>IF(COUNTIF('FIFA WC 2026'!$AI$35:$AI$36,A5)&gt;0,13,0)</f>
        <v>0</v>
      </c>
      <c r="L5" s="108">
        <f>IF('FIFA WC 2026'!$AI$40=A5,16,0)</f>
        <v>0</v>
      </c>
      <c r="M5" s="109">
        <f t="shared" si="0"/>
        <v>0</v>
      </c>
      <c r="N5" s="110">
        <f t="shared" si="1"/>
        <v>0</v>
      </c>
      <c r="O5">
        <f>IF('FIFA WC 2026'!$AI$41=$A5,5,0)</f>
        <v>0</v>
      </c>
    </row>
    <row r="6" spans="1:15" ht="12.75" customHeight="1" x14ac:dyDescent="0.3">
      <c r="A6" s="106" t="s">
        <v>15</v>
      </c>
      <c r="B6" s="107" t="s">
        <v>13</v>
      </c>
      <c r="C6" s="108">
        <f t="array" ref="C6">3*(SUMPRODUCT((MOD(INT((ROW('FIFA WC 2026'!$E$5:$E$76)-4)/2),3)=0)*('FIFA WC 2026'!$E$5:$E$76=A6)*ISNUMBER('FIFA WC 2026'!$F$5:$F$76)*ISNUMBER('FIFA WC 2026'!$G$5:$G$76)*('FIFA WC 2026'!$F$5:$F$76&gt;'FIFA WC 2026'!$G$5:$G$76))+SUMPRODUCT((MOD(INT((ROW('FIFA WC 2026'!$E$5:$E$76)-4)/2),3)=0)*('FIFA WC 2026'!$H$5:$H$76=A6)*ISNUMBER('FIFA WC 2026'!$F$5:$F$76)*ISNUMBER('FIFA WC 2026'!$G$5:$G$76)*('FIFA WC 2026'!$G$5:$G$76&gt;'FIFA WC 2026'!$F$5:$F$76)))+(SUMPRODUCT((MOD(INT((ROW('FIFA WC 2026'!$E$5:$E$76)-4)/2),3)=0)*((('FIFA WC 2026'!$E$5:$E$76=A6)+('FIFA WC 2026'!$H$5:$H$76=A6))&gt;0)*ISNUMBER('FIFA WC 2026'!$F$5:$F$76)*ISNUMBER('FIFA WC 2026'!$G$5:$G$76)*('FIFA WC 2026'!$F$5:$F$76='FIFA WC 2026'!$G$5:$G$76)))</f>
        <v>0</v>
      </c>
      <c r="D6" s="108">
        <f t="array" ref="D6">3*(SUMPRODUCT((MOD(INT((ROW('FIFA WC 2026'!$E$5:$E$76)-4)/2),3)=1)*('FIFA WC 2026'!$E$5:$E$76=A6)*ISNUMBER('FIFA WC 2026'!$F$5:$F$76)*ISNUMBER('FIFA WC 2026'!$G$5:$G$76)*('FIFA WC 2026'!$F$5:$F$76&gt;'FIFA WC 2026'!$G$5:$G$76))+SUMPRODUCT((MOD(INT((ROW('FIFA WC 2026'!$E$5:$E$76)-4)/2),3)=1)*('FIFA WC 2026'!$H$5:$H$76=A6)*ISNUMBER('FIFA WC 2026'!$F$5:$F$76)*ISNUMBER('FIFA WC 2026'!$G$5:$G$76)*('FIFA WC 2026'!$G$5:$G$76&gt;'FIFA WC 2026'!$F$5:$F$76)))+(SUMPRODUCT((MOD(INT((ROW('FIFA WC 2026'!$E$5:$E$76)-4)/2),3)=1)*((('FIFA WC 2026'!$E$5:$E$76=A6)+('FIFA WC 2026'!$H$5:$H$76=A6))&gt;0)*ISNUMBER('FIFA WC 2026'!$F$5:$F$76)*ISNUMBER('FIFA WC 2026'!$G$5:$G$76)*('FIFA WC 2026'!$F$5:$F$76='FIFA WC 2026'!$G$5:$G$76)))</f>
        <v>3</v>
      </c>
      <c r="E6" s="108">
        <f t="array" ref="E6">3*(SUMPRODUCT((MOD(INT((ROW('FIFA WC 2026'!$E$5:$E$76)-4)/2),3)=2)*('FIFA WC 2026'!$E$5:$E$76=A6)*ISNUMBER('FIFA WC 2026'!$F$5:$F$76)*ISNUMBER('FIFA WC 2026'!$G$5:$G$76)*('FIFA WC 2026'!$F$5:$F$76&gt;'FIFA WC 2026'!$G$5:$G$76))+SUMPRODUCT((MOD(INT((ROW('FIFA WC 2026'!$E$5:$E$76)-4)/2),3)=2)*('FIFA WC 2026'!$H$5:$H$76=A6)*ISNUMBER('FIFA WC 2026'!$F$5:$F$76)*ISNUMBER('FIFA WC 2026'!$G$5:$G$76)*('FIFA WC 2026'!$G$5:$G$76&gt;'FIFA WC 2026'!$F$5:$F$76)))+(SUMPRODUCT((MOD(INT((ROW('FIFA WC 2026'!$E$5:$E$76)-4)/2),3)=2)*((('FIFA WC 2026'!$E$5:$E$76=A6)+('FIFA WC 2026'!$H$5:$H$76=A6))&gt;0)*ISNUMBER('FIFA WC 2026'!$F$5:$F$76)*ISNUMBER('FIFA WC 2026'!$G$5:$G$76)*('FIFA WC 2026'!$F$5:$F$76='FIFA WC 2026'!$G$5:$G$76)))</f>
        <v>0</v>
      </c>
      <c r="F6" s="108">
        <f t="array" ref="F6">0.5*(SUMPRODUCT(('FIFA WC 2026'!$E$5:$E$76=A6)*IFERROR('FIFA WC 2026'!$F$5:$F$76,0))+SUMPRODUCT(('FIFA WC 2026'!$H$5:$H$76=A6)*IFERROR('FIFA WC 2026'!$G$5:$G$76,0))+SUMPRODUCT(('FIFA WC 2026'!$S$5:$S$66=A6)*IFERROR('FIFA WC 2026'!$T$5:$T$66,0))+SUMPRODUCT(('FIFA WC 2026'!$W$7:$W$64=A6)*IFERROR('FIFA WC 2026'!$X$7:$X$64,0))+SUMPRODUCT(('FIFA WC 2026'!$AA$11:$AA$66=A6)*IFERROR('FIFA WC 2026'!$AB$11:$AB$66,0))+SUMPRODUCT(('FIFA WC 2026'!$AE$19:$AE$52=A6)*IFERROR('FIFA WC 2026'!$AF$19:$AF$52,0))+SUMPRODUCT(('FIFA WC 2026'!$AI$35:$AI$44=A6)*IFERROR('FIFA WC 2026'!$AJ$35:$AJ$44,0)))</f>
        <v>1</v>
      </c>
      <c r="G6" s="108">
        <f>IF(COUNTIF('FIFA WC 2026'!$S$5:$S$66,A6)&gt;0,4,0)</f>
        <v>0</v>
      </c>
      <c r="H6" s="108">
        <f>IF(COUNTIF('FIFA WC 2026'!$W$7:$W$64,A6)&gt;0,6,0)</f>
        <v>0</v>
      </c>
      <c r="I6" s="108">
        <f>IF(COUNTIF('FIFA WC 2026'!$AA$11:$AA$60,A6)&gt;0,8,0)</f>
        <v>0</v>
      </c>
      <c r="J6" s="108">
        <f>IF(COUNTIF('FIFA WC 2026'!$AE$19:$AE$52,A6)&gt;0,10,0)</f>
        <v>0</v>
      </c>
      <c r="K6" s="108">
        <f>IF(COUNTIF('FIFA WC 2026'!$AI$35:$AI$36,A6)&gt;0,13,0)</f>
        <v>0</v>
      </c>
      <c r="L6" s="108">
        <f>IF('FIFA WC 2026'!$AI$40=A6,16,0)</f>
        <v>0</v>
      </c>
      <c r="M6" s="109">
        <f t="shared" si="0"/>
        <v>4</v>
      </c>
      <c r="N6" s="110">
        <f t="shared" si="1"/>
        <v>3</v>
      </c>
      <c r="O6">
        <f>IF('FIFA WC 2026'!$AI$41=$A6,5,0)</f>
        <v>0</v>
      </c>
    </row>
    <row r="7" spans="1:15" ht="12.75" customHeight="1" x14ac:dyDescent="0.3">
      <c r="A7" s="106" t="s">
        <v>16</v>
      </c>
      <c r="B7" s="107" t="s">
        <v>13</v>
      </c>
      <c r="C7" s="108">
        <f t="array" ref="C7">3*(SUMPRODUCT((MOD(INT((ROW('FIFA WC 2026'!$E$5:$E$76)-4)/2),3)=0)*('FIFA WC 2026'!$E$5:$E$76=A7)*ISNUMBER('FIFA WC 2026'!$F$5:$F$76)*ISNUMBER('FIFA WC 2026'!$G$5:$G$76)*('FIFA WC 2026'!$F$5:$F$76&gt;'FIFA WC 2026'!$G$5:$G$76))+SUMPRODUCT((MOD(INT((ROW('FIFA WC 2026'!$E$5:$E$76)-4)/2),3)=0)*('FIFA WC 2026'!$H$5:$H$76=A7)*ISNUMBER('FIFA WC 2026'!$F$5:$F$76)*ISNUMBER('FIFA WC 2026'!$G$5:$G$76)*('FIFA WC 2026'!$G$5:$G$76&gt;'FIFA WC 2026'!$F$5:$F$76)))+(SUMPRODUCT((MOD(INT((ROW('FIFA WC 2026'!$E$5:$E$76)-4)/2),3)=0)*((('FIFA WC 2026'!$E$5:$E$76=A7)+('FIFA WC 2026'!$H$5:$H$76=A7))&gt;0)*ISNUMBER('FIFA WC 2026'!$F$5:$F$76)*ISNUMBER('FIFA WC 2026'!$G$5:$G$76)*('FIFA WC 2026'!$F$5:$F$76='FIFA WC 2026'!$G$5:$G$76)))</f>
        <v>0</v>
      </c>
      <c r="D7" s="108">
        <f t="array" ref="D7">3*(SUMPRODUCT((MOD(INT((ROW('FIFA WC 2026'!$E$5:$E$76)-4)/2),3)=1)*('FIFA WC 2026'!$E$5:$E$76=A7)*ISNUMBER('FIFA WC 2026'!$F$5:$F$76)*ISNUMBER('FIFA WC 2026'!$G$5:$G$76)*('FIFA WC 2026'!$F$5:$F$76&gt;'FIFA WC 2026'!$G$5:$G$76))+SUMPRODUCT((MOD(INT((ROW('FIFA WC 2026'!$E$5:$E$76)-4)/2),3)=1)*('FIFA WC 2026'!$H$5:$H$76=A7)*ISNUMBER('FIFA WC 2026'!$F$5:$F$76)*ISNUMBER('FIFA WC 2026'!$G$5:$G$76)*('FIFA WC 2026'!$G$5:$G$76&gt;'FIFA WC 2026'!$F$5:$F$76)))+(SUMPRODUCT((MOD(INT((ROW('FIFA WC 2026'!$E$5:$E$76)-4)/2),3)=1)*((('FIFA WC 2026'!$E$5:$E$76=A7)+('FIFA WC 2026'!$H$5:$H$76=A7))&gt;0)*ISNUMBER('FIFA WC 2026'!$F$5:$F$76)*ISNUMBER('FIFA WC 2026'!$G$5:$G$76)*('FIFA WC 2026'!$F$5:$F$76='FIFA WC 2026'!$G$5:$G$76)))</f>
        <v>0</v>
      </c>
      <c r="E7" s="108">
        <f t="array" ref="E7">3*(SUMPRODUCT((MOD(INT((ROW('FIFA WC 2026'!$E$5:$E$76)-4)/2),3)=2)*('FIFA WC 2026'!$E$5:$E$76=A7)*ISNUMBER('FIFA WC 2026'!$F$5:$F$76)*ISNUMBER('FIFA WC 2026'!$G$5:$G$76)*('FIFA WC 2026'!$F$5:$F$76&gt;'FIFA WC 2026'!$G$5:$G$76))+SUMPRODUCT((MOD(INT((ROW('FIFA WC 2026'!$E$5:$E$76)-4)/2),3)=2)*('FIFA WC 2026'!$H$5:$H$76=A7)*ISNUMBER('FIFA WC 2026'!$F$5:$F$76)*ISNUMBER('FIFA WC 2026'!$G$5:$G$76)*('FIFA WC 2026'!$G$5:$G$76&gt;'FIFA WC 2026'!$F$5:$F$76)))+(SUMPRODUCT((MOD(INT((ROW('FIFA WC 2026'!$E$5:$E$76)-4)/2),3)=2)*((('FIFA WC 2026'!$E$5:$E$76=A7)+('FIFA WC 2026'!$H$5:$H$76=A7))&gt;0)*ISNUMBER('FIFA WC 2026'!$F$5:$F$76)*ISNUMBER('FIFA WC 2026'!$G$5:$G$76)*('FIFA WC 2026'!$F$5:$F$76='FIFA WC 2026'!$G$5:$G$76)))</f>
        <v>0</v>
      </c>
      <c r="F7" s="108">
        <f t="array" ref="F7">0.5*(SUMPRODUCT(('FIFA WC 2026'!$E$5:$E$76=A7)*IFERROR('FIFA WC 2026'!$F$5:$F$76,0))+SUMPRODUCT(('FIFA WC 2026'!$H$5:$H$76=A7)*IFERROR('FIFA WC 2026'!$G$5:$G$76,0))+SUMPRODUCT(('FIFA WC 2026'!$S$5:$S$66=A7)*IFERROR('FIFA WC 2026'!$T$5:$T$66,0))+SUMPRODUCT(('FIFA WC 2026'!$W$7:$W$64=A7)*IFERROR('FIFA WC 2026'!$X$7:$X$64,0))+SUMPRODUCT(('FIFA WC 2026'!$AA$11:$AA$66=A7)*IFERROR('FIFA WC 2026'!$AB$11:$AB$66,0))+SUMPRODUCT(('FIFA WC 2026'!$AE$19:$AE$52=A7)*IFERROR('FIFA WC 2026'!$AF$19:$AF$52,0))+SUMPRODUCT(('FIFA WC 2026'!$AI$35:$AI$44=A7)*IFERROR('FIFA WC 2026'!$AJ$35:$AJ$44,0)))</f>
        <v>0.5</v>
      </c>
      <c r="G7" s="108">
        <f>IF(COUNTIF('FIFA WC 2026'!$S$5:$S$66,A7)&gt;0,4,0)</f>
        <v>0</v>
      </c>
      <c r="H7" s="108">
        <f>IF(COUNTIF('FIFA WC 2026'!$W$7:$W$64,A7)&gt;0,6,0)</f>
        <v>0</v>
      </c>
      <c r="I7" s="108">
        <f>IF(COUNTIF('FIFA WC 2026'!$AA$11:$AA$60,A7)&gt;0,8,0)</f>
        <v>0</v>
      </c>
      <c r="J7" s="108">
        <f>IF(COUNTIF('FIFA WC 2026'!$AE$19:$AE$52,A7)&gt;0,10,0)</f>
        <v>0</v>
      </c>
      <c r="K7" s="108">
        <f>IF(COUNTIF('FIFA WC 2026'!$AI$35:$AI$36,A7)&gt;0,13,0)</f>
        <v>0</v>
      </c>
      <c r="L7" s="108">
        <f>IF('FIFA WC 2026'!$AI$40=A7,16,0)</f>
        <v>0</v>
      </c>
      <c r="M7" s="109">
        <f t="shared" si="0"/>
        <v>0.5</v>
      </c>
      <c r="N7" s="110">
        <f t="shared" si="1"/>
        <v>0</v>
      </c>
      <c r="O7">
        <f>IF('FIFA WC 2026'!$AI$41=$A7,5,0)</f>
        <v>0</v>
      </c>
    </row>
    <row r="8" spans="1:15" ht="12.75" customHeight="1" x14ac:dyDescent="0.3">
      <c r="A8" s="27" t="s">
        <v>23</v>
      </c>
      <c r="B8" s="26" t="s">
        <v>25</v>
      </c>
      <c r="C8" s="28">
        <f t="array" ref="C8">3*(SUMPRODUCT((MOD(INT((ROW('FIFA WC 2026'!$E$5:$E$76)-4)/2),3)=0)*('FIFA WC 2026'!$E$5:$E$76=A8)*ISNUMBER('FIFA WC 2026'!$F$5:$F$76)*ISNUMBER('FIFA WC 2026'!$G$5:$G$76)*('FIFA WC 2026'!$F$5:$F$76&gt;'FIFA WC 2026'!$G$5:$G$76))+SUMPRODUCT((MOD(INT((ROW('FIFA WC 2026'!$E$5:$E$76)-4)/2),3)=0)*('FIFA WC 2026'!$H$5:$H$76=A8)*ISNUMBER('FIFA WC 2026'!$F$5:$F$76)*ISNUMBER('FIFA WC 2026'!$G$5:$G$76)*('FIFA WC 2026'!$G$5:$G$76&gt;'FIFA WC 2026'!$F$5:$F$76)))+(SUMPRODUCT((MOD(INT((ROW('FIFA WC 2026'!$E$5:$E$76)-4)/2),3)=0)*((('FIFA WC 2026'!$E$5:$E$76=A8)+('FIFA WC 2026'!$H$5:$H$76=A8))&gt;0)*ISNUMBER('FIFA WC 2026'!$F$5:$F$76)*ISNUMBER('FIFA WC 2026'!$G$5:$G$76)*('FIFA WC 2026'!$F$5:$F$76='FIFA WC 2026'!$G$5:$G$76)))</f>
        <v>1</v>
      </c>
      <c r="D8" s="28">
        <f t="array" ref="D8">3*(SUMPRODUCT((MOD(INT((ROW('FIFA WC 2026'!$E$5:$E$76)-4)/2),3)=1)*('FIFA WC 2026'!$E$5:$E$76=A8)*ISNUMBER('FIFA WC 2026'!$F$5:$F$76)*ISNUMBER('FIFA WC 2026'!$G$5:$G$76)*('FIFA WC 2026'!$F$5:$F$76&gt;'FIFA WC 2026'!$G$5:$G$76))+SUMPRODUCT((MOD(INT((ROW('FIFA WC 2026'!$E$5:$E$76)-4)/2),3)=1)*('FIFA WC 2026'!$H$5:$H$76=A8)*ISNUMBER('FIFA WC 2026'!$F$5:$F$76)*ISNUMBER('FIFA WC 2026'!$G$5:$G$76)*('FIFA WC 2026'!$G$5:$G$76&gt;'FIFA WC 2026'!$F$5:$F$76)))+(SUMPRODUCT((MOD(INT((ROW('FIFA WC 2026'!$E$5:$E$76)-4)/2),3)=1)*((('FIFA WC 2026'!$E$5:$E$76=A8)+('FIFA WC 2026'!$H$5:$H$76=A8))&gt;0)*ISNUMBER('FIFA WC 2026'!$F$5:$F$76)*ISNUMBER('FIFA WC 2026'!$G$5:$G$76)*('FIFA WC 2026'!$F$5:$F$76='FIFA WC 2026'!$G$5:$G$76)))</f>
        <v>0</v>
      </c>
      <c r="E8" s="28">
        <f t="array" ref="E8">3*(SUMPRODUCT((MOD(INT((ROW('FIFA WC 2026'!$E$5:$E$76)-4)/2),3)=2)*('FIFA WC 2026'!$E$5:$E$76=A8)*ISNUMBER('FIFA WC 2026'!$F$5:$F$76)*ISNUMBER('FIFA WC 2026'!$G$5:$G$76)*('FIFA WC 2026'!$F$5:$F$76&gt;'FIFA WC 2026'!$G$5:$G$76))+SUMPRODUCT((MOD(INT((ROW('FIFA WC 2026'!$E$5:$E$76)-4)/2),3)=2)*('FIFA WC 2026'!$H$5:$H$76=A8)*ISNUMBER('FIFA WC 2026'!$F$5:$F$76)*ISNUMBER('FIFA WC 2026'!$G$5:$G$76)*('FIFA WC 2026'!$G$5:$G$76&gt;'FIFA WC 2026'!$F$5:$F$76)))+(SUMPRODUCT((MOD(INT((ROW('FIFA WC 2026'!$E$5:$E$76)-4)/2),3)=2)*((('FIFA WC 2026'!$E$5:$E$76=A8)+('FIFA WC 2026'!$H$5:$H$76=A8))&gt;0)*ISNUMBER('FIFA WC 2026'!$F$5:$F$76)*ISNUMBER('FIFA WC 2026'!$G$5:$G$76)*('FIFA WC 2026'!$F$5:$F$76='FIFA WC 2026'!$G$5:$G$76)))</f>
        <v>0</v>
      </c>
      <c r="F8" s="28">
        <f t="array" ref="F8">0.5*(SUMPRODUCT(('FIFA WC 2026'!$E$5:$E$76=A8)*IFERROR('FIFA WC 2026'!$F$5:$F$76,0))+SUMPRODUCT(('FIFA WC 2026'!$H$5:$H$76=A8)*IFERROR('FIFA WC 2026'!$G$5:$G$76,0))+SUMPRODUCT(('FIFA WC 2026'!$S$5:$S$66=A8)*IFERROR('FIFA WC 2026'!$T$5:$T$66,0))+SUMPRODUCT(('FIFA WC 2026'!$W$7:$W$64=A8)*IFERROR('FIFA WC 2026'!$X$7:$X$64,0))+SUMPRODUCT(('FIFA WC 2026'!$AA$11:$AA$66=A8)*IFERROR('FIFA WC 2026'!$AB$11:$AB$66,0))+SUMPRODUCT(('FIFA WC 2026'!$AE$19:$AE$52=A8)*IFERROR('FIFA WC 2026'!$AF$19:$AF$52,0))+SUMPRODUCT(('FIFA WC 2026'!$AI$35:$AI$44=A8)*IFERROR('FIFA WC 2026'!$AJ$35:$AJ$44,0)))</f>
        <v>0.5</v>
      </c>
      <c r="G8" s="28">
        <f>IF(COUNTIF('FIFA WC 2026'!$S$5:$S$66,A8)&gt;0,4,0)</f>
        <v>0</v>
      </c>
      <c r="H8" s="28">
        <f>IF(COUNTIF('FIFA WC 2026'!$W$7:$W$64,A8)&gt;0,6,0)</f>
        <v>0</v>
      </c>
      <c r="I8" s="28">
        <f>IF(COUNTIF('FIFA WC 2026'!$AA$11:$AA$60,A8)&gt;0,8,0)</f>
        <v>0</v>
      </c>
      <c r="J8" s="28">
        <f>IF(COUNTIF('FIFA WC 2026'!$AE$19:$AE$52,A8)&gt;0,10,0)</f>
        <v>0</v>
      </c>
      <c r="K8" s="28">
        <f>IF(COUNTIF('FIFA WC 2026'!$AI$35:$AI$36,A8)&gt;0,13,0)</f>
        <v>0</v>
      </c>
      <c r="L8" s="28">
        <f>IF('FIFA WC 2026'!$AI$40=A8,16,0)</f>
        <v>0</v>
      </c>
      <c r="M8" s="111">
        <f t="shared" si="0"/>
        <v>1.5</v>
      </c>
      <c r="N8" s="110">
        <f t="shared" si="1"/>
        <v>1</v>
      </c>
      <c r="O8">
        <f>IF('FIFA WC 2026'!$AI$41=$A8,5,0)</f>
        <v>0</v>
      </c>
    </row>
    <row r="9" spans="1:15" ht="12.75" customHeight="1" x14ac:dyDescent="0.3">
      <c r="A9" s="27" t="s">
        <v>24</v>
      </c>
      <c r="B9" s="26" t="s">
        <v>25</v>
      </c>
      <c r="C9" s="28">
        <f t="array" ref="C9">3*(SUMPRODUCT((MOD(INT((ROW('FIFA WC 2026'!$E$5:$E$76)-4)/2),3)=0)*('FIFA WC 2026'!$E$5:$E$76=A9)*ISNUMBER('FIFA WC 2026'!$F$5:$F$76)*ISNUMBER('FIFA WC 2026'!$G$5:$G$76)*('FIFA WC 2026'!$F$5:$F$76&gt;'FIFA WC 2026'!$G$5:$G$76))+SUMPRODUCT((MOD(INT((ROW('FIFA WC 2026'!$E$5:$E$76)-4)/2),3)=0)*('FIFA WC 2026'!$H$5:$H$76=A9)*ISNUMBER('FIFA WC 2026'!$F$5:$F$76)*ISNUMBER('FIFA WC 2026'!$G$5:$G$76)*('FIFA WC 2026'!$G$5:$G$76&gt;'FIFA WC 2026'!$F$5:$F$76)))+(SUMPRODUCT((MOD(INT((ROW('FIFA WC 2026'!$E$5:$E$76)-4)/2),3)=0)*((('FIFA WC 2026'!$E$5:$E$76=A9)+('FIFA WC 2026'!$H$5:$H$76=A9))&gt;0)*ISNUMBER('FIFA WC 2026'!$F$5:$F$76)*ISNUMBER('FIFA WC 2026'!$G$5:$G$76)*('FIFA WC 2026'!$F$5:$F$76='FIFA WC 2026'!$G$5:$G$76)))</f>
        <v>1</v>
      </c>
      <c r="D9" s="28">
        <f t="array" ref="D9">3*(SUMPRODUCT((MOD(INT((ROW('FIFA WC 2026'!$E$5:$E$76)-4)/2),3)=1)*('FIFA WC 2026'!$E$5:$E$76=A9)*ISNUMBER('FIFA WC 2026'!$F$5:$F$76)*ISNUMBER('FIFA WC 2026'!$G$5:$G$76)*('FIFA WC 2026'!$F$5:$F$76&gt;'FIFA WC 2026'!$G$5:$G$76))+SUMPRODUCT((MOD(INT((ROW('FIFA WC 2026'!$E$5:$E$76)-4)/2),3)=1)*('FIFA WC 2026'!$H$5:$H$76=A9)*ISNUMBER('FIFA WC 2026'!$F$5:$F$76)*ISNUMBER('FIFA WC 2026'!$G$5:$G$76)*('FIFA WC 2026'!$G$5:$G$76&gt;'FIFA WC 2026'!$F$5:$F$76)))+(SUMPRODUCT((MOD(INT((ROW('FIFA WC 2026'!$E$5:$E$76)-4)/2),3)=1)*((('FIFA WC 2026'!$E$5:$E$76=A9)+('FIFA WC 2026'!$H$5:$H$76=A9))&gt;0)*ISNUMBER('FIFA WC 2026'!$F$5:$F$76)*ISNUMBER('FIFA WC 2026'!$G$5:$G$76)*('FIFA WC 2026'!$F$5:$F$76='FIFA WC 2026'!$G$5:$G$76)))</f>
        <v>0</v>
      </c>
      <c r="E9" s="28">
        <f t="array" ref="E9">3*(SUMPRODUCT((MOD(INT((ROW('FIFA WC 2026'!$E$5:$E$76)-4)/2),3)=2)*('FIFA WC 2026'!$E$5:$E$76=A9)*ISNUMBER('FIFA WC 2026'!$F$5:$F$76)*ISNUMBER('FIFA WC 2026'!$G$5:$G$76)*('FIFA WC 2026'!$F$5:$F$76&gt;'FIFA WC 2026'!$G$5:$G$76))+SUMPRODUCT((MOD(INT((ROW('FIFA WC 2026'!$E$5:$E$76)-4)/2),3)=2)*('FIFA WC 2026'!$H$5:$H$76=A9)*ISNUMBER('FIFA WC 2026'!$F$5:$F$76)*ISNUMBER('FIFA WC 2026'!$G$5:$G$76)*('FIFA WC 2026'!$G$5:$G$76&gt;'FIFA WC 2026'!$F$5:$F$76)))+(SUMPRODUCT((MOD(INT((ROW('FIFA WC 2026'!$E$5:$E$76)-4)/2),3)=2)*((('FIFA WC 2026'!$E$5:$E$76=A9)+('FIFA WC 2026'!$H$5:$H$76=A9))&gt;0)*ISNUMBER('FIFA WC 2026'!$F$5:$F$76)*ISNUMBER('FIFA WC 2026'!$G$5:$G$76)*('FIFA WC 2026'!$F$5:$F$76='FIFA WC 2026'!$G$5:$G$76)))</f>
        <v>0</v>
      </c>
      <c r="F9" s="28">
        <f t="array" ref="F9">0.5*(SUMPRODUCT(('FIFA WC 2026'!$E$5:$E$76=A9)*IFERROR('FIFA WC 2026'!$F$5:$F$76,0))+SUMPRODUCT(('FIFA WC 2026'!$H$5:$H$76=A9)*IFERROR('FIFA WC 2026'!$G$5:$G$76,0))+SUMPRODUCT(('FIFA WC 2026'!$S$5:$S$66=A9)*IFERROR('FIFA WC 2026'!$T$5:$T$66,0))+SUMPRODUCT(('FIFA WC 2026'!$W$7:$W$64=A9)*IFERROR('FIFA WC 2026'!$X$7:$X$64,0))+SUMPRODUCT(('FIFA WC 2026'!$AA$11:$AA$66=A9)*IFERROR('FIFA WC 2026'!$AB$11:$AB$66,0))+SUMPRODUCT(('FIFA WC 2026'!$AE$19:$AE$52=A9)*IFERROR('FIFA WC 2026'!$AF$19:$AF$52,0))+SUMPRODUCT(('FIFA WC 2026'!$AI$35:$AI$44=A9)*IFERROR('FIFA WC 2026'!$AJ$35:$AJ$44,0)))</f>
        <v>0.5</v>
      </c>
      <c r="G9" s="28">
        <f>IF(COUNTIF('FIFA WC 2026'!$S$5:$S$66,A9)&gt;0,4,0)</f>
        <v>0</v>
      </c>
      <c r="H9" s="28">
        <f>IF(COUNTIF('FIFA WC 2026'!$W$7:$W$64,A9)&gt;0,6,0)</f>
        <v>0</v>
      </c>
      <c r="I9" s="28">
        <f>IF(COUNTIF('FIFA WC 2026'!$AA$11:$AA$60,A9)&gt;0,8,0)</f>
        <v>0</v>
      </c>
      <c r="J9" s="28">
        <f>IF(COUNTIF('FIFA WC 2026'!$AE$19:$AE$52,A9)&gt;0,10,0)</f>
        <v>0</v>
      </c>
      <c r="K9" s="28">
        <f>IF(COUNTIF('FIFA WC 2026'!$AI$35:$AI$36,A9)&gt;0,13,0)</f>
        <v>0</v>
      </c>
      <c r="L9" s="28">
        <f>IF('FIFA WC 2026'!$AI$40=A9,16,0)</f>
        <v>0</v>
      </c>
      <c r="M9" s="111">
        <f t="shared" si="0"/>
        <v>1.5</v>
      </c>
      <c r="N9" s="110">
        <f t="shared" si="1"/>
        <v>1</v>
      </c>
      <c r="O9">
        <f>IF('FIFA WC 2026'!$AI$41=$A9,5,0)</f>
        <v>0</v>
      </c>
    </row>
    <row r="10" spans="1:15" ht="12.75" customHeight="1" x14ac:dyDescent="0.3">
      <c r="A10" s="27" t="s">
        <v>27</v>
      </c>
      <c r="B10" s="26" t="s">
        <v>25</v>
      </c>
      <c r="C10" s="28">
        <f t="array" ref="C10">3*(SUMPRODUCT((MOD(INT((ROW('FIFA WC 2026'!$E$5:$E$76)-4)/2),3)=0)*('FIFA WC 2026'!$E$5:$E$76=A10)*ISNUMBER('FIFA WC 2026'!$F$5:$F$76)*ISNUMBER('FIFA WC 2026'!$G$5:$G$76)*('FIFA WC 2026'!$F$5:$F$76&gt;'FIFA WC 2026'!$G$5:$G$76))+SUMPRODUCT((MOD(INT((ROW('FIFA WC 2026'!$E$5:$E$76)-4)/2),3)=0)*('FIFA WC 2026'!$H$5:$H$76=A10)*ISNUMBER('FIFA WC 2026'!$F$5:$F$76)*ISNUMBER('FIFA WC 2026'!$G$5:$G$76)*('FIFA WC 2026'!$G$5:$G$76&gt;'FIFA WC 2026'!$F$5:$F$76)))+(SUMPRODUCT((MOD(INT((ROW('FIFA WC 2026'!$E$5:$E$76)-4)/2),3)=0)*((('FIFA WC 2026'!$E$5:$E$76=A10)+('FIFA WC 2026'!$H$5:$H$76=A10))&gt;0)*ISNUMBER('FIFA WC 2026'!$F$5:$F$76)*ISNUMBER('FIFA WC 2026'!$G$5:$G$76)*('FIFA WC 2026'!$F$5:$F$76='FIFA WC 2026'!$G$5:$G$76)))</f>
        <v>0</v>
      </c>
      <c r="D10" s="28">
        <f t="array" ref="D10">3*(SUMPRODUCT((MOD(INT((ROW('FIFA WC 2026'!$E$5:$E$76)-4)/2),3)=1)*('FIFA WC 2026'!$E$5:$E$76=A10)*ISNUMBER('FIFA WC 2026'!$F$5:$F$76)*ISNUMBER('FIFA WC 2026'!$G$5:$G$76)*('FIFA WC 2026'!$F$5:$F$76&gt;'FIFA WC 2026'!$G$5:$G$76))+SUMPRODUCT((MOD(INT((ROW('FIFA WC 2026'!$E$5:$E$76)-4)/2),3)=1)*('FIFA WC 2026'!$H$5:$H$76=A10)*ISNUMBER('FIFA WC 2026'!$F$5:$F$76)*ISNUMBER('FIFA WC 2026'!$G$5:$G$76)*('FIFA WC 2026'!$G$5:$G$76&gt;'FIFA WC 2026'!$F$5:$F$76)))+(SUMPRODUCT((MOD(INT((ROW('FIFA WC 2026'!$E$5:$E$76)-4)/2),3)=1)*((('FIFA WC 2026'!$E$5:$E$76=A10)+('FIFA WC 2026'!$H$5:$H$76=A10))&gt;0)*ISNUMBER('FIFA WC 2026'!$F$5:$F$76)*ISNUMBER('FIFA WC 2026'!$G$5:$G$76)*('FIFA WC 2026'!$F$5:$F$76='FIFA WC 2026'!$G$5:$G$76)))</f>
        <v>0</v>
      </c>
      <c r="E10" s="28">
        <f t="array" ref="E10">3*(SUMPRODUCT((MOD(INT((ROW('FIFA WC 2026'!$E$5:$E$76)-4)/2),3)=2)*('FIFA WC 2026'!$E$5:$E$76=A10)*ISNUMBER('FIFA WC 2026'!$F$5:$F$76)*ISNUMBER('FIFA WC 2026'!$G$5:$G$76)*('FIFA WC 2026'!$F$5:$F$76&gt;'FIFA WC 2026'!$G$5:$G$76))+SUMPRODUCT((MOD(INT((ROW('FIFA WC 2026'!$E$5:$E$76)-4)/2),3)=2)*('FIFA WC 2026'!$H$5:$H$76=A10)*ISNUMBER('FIFA WC 2026'!$F$5:$F$76)*ISNUMBER('FIFA WC 2026'!$G$5:$G$76)*('FIFA WC 2026'!$G$5:$G$76&gt;'FIFA WC 2026'!$F$5:$F$76)))+(SUMPRODUCT((MOD(INT((ROW('FIFA WC 2026'!$E$5:$E$76)-4)/2),3)=2)*((('FIFA WC 2026'!$E$5:$E$76=A10)+('FIFA WC 2026'!$H$5:$H$76=A10))&gt;0)*ISNUMBER('FIFA WC 2026'!$F$5:$F$76)*ISNUMBER('FIFA WC 2026'!$G$5:$G$76)*('FIFA WC 2026'!$F$5:$F$76='FIFA WC 2026'!$G$5:$G$76)))</f>
        <v>0</v>
      </c>
      <c r="F10" s="28">
        <f t="array" ref="F10">0.5*(SUMPRODUCT(('FIFA WC 2026'!$E$5:$E$76=A10)*IFERROR('FIFA WC 2026'!$F$5:$F$76,0))+SUMPRODUCT(('FIFA WC 2026'!$H$5:$H$76=A10)*IFERROR('FIFA WC 2026'!$G$5:$G$76,0))+SUMPRODUCT(('FIFA WC 2026'!$S$5:$S$66=A10)*IFERROR('FIFA WC 2026'!$T$5:$T$66,0))+SUMPRODUCT(('FIFA WC 2026'!$W$7:$W$64=A10)*IFERROR('FIFA WC 2026'!$X$7:$X$64,0))+SUMPRODUCT(('FIFA WC 2026'!$AA$11:$AA$66=A10)*IFERROR('FIFA WC 2026'!$AB$11:$AB$66,0))+SUMPRODUCT(('FIFA WC 2026'!$AE$19:$AE$52=A10)*IFERROR('FIFA WC 2026'!$AF$19:$AF$52,0))+SUMPRODUCT(('FIFA WC 2026'!$AI$35:$AI$44=A10)*IFERROR('FIFA WC 2026'!$AJ$35:$AJ$44,0)))</f>
        <v>0</v>
      </c>
      <c r="G10" s="28">
        <f>IF(COUNTIF('FIFA WC 2026'!$S$5:$S$66,A10)&gt;0,4,0)</f>
        <v>0</v>
      </c>
      <c r="H10" s="28">
        <f>IF(COUNTIF('FIFA WC 2026'!$W$7:$W$64,A10)&gt;0,6,0)</f>
        <v>0</v>
      </c>
      <c r="I10" s="28">
        <f>IF(COUNTIF('FIFA WC 2026'!$AA$11:$AA$60,A10)&gt;0,8,0)</f>
        <v>0</v>
      </c>
      <c r="J10" s="28">
        <f>IF(COUNTIF('FIFA WC 2026'!$AE$19:$AE$52,A10)&gt;0,10,0)</f>
        <v>0</v>
      </c>
      <c r="K10" s="28">
        <f>IF(COUNTIF('FIFA WC 2026'!$AI$35:$AI$36,A10)&gt;0,13,0)</f>
        <v>0</v>
      </c>
      <c r="L10" s="28">
        <f>IF('FIFA WC 2026'!$AI$40=A10,16,0)</f>
        <v>0</v>
      </c>
      <c r="M10" s="111">
        <f t="shared" si="0"/>
        <v>0</v>
      </c>
      <c r="N10" s="110">
        <f t="shared" si="1"/>
        <v>0</v>
      </c>
      <c r="O10">
        <f>IF('FIFA WC 2026'!$AI$41=$A10,5,0)</f>
        <v>0</v>
      </c>
    </row>
    <row r="11" spans="1:15" ht="12.75" customHeight="1" x14ac:dyDescent="0.3">
      <c r="A11" s="27" t="s">
        <v>28</v>
      </c>
      <c r="B11" s="26" t="s">
        <v>25</v>
      </c>
      <c r="C11" s="28">
        <f t="array" ref="C11">3*(SUMPRODUCT((MOD(INT((ROW('FIFA WC 2026'!$E$5:$E$76)-4)/2),3)=0)*('FIFA WC 2026'!$E$5:$E$76=A11)*ISNUMBER('FIFA WC 2026'!$F$5:$F$76)*ISNUMBER('FIFA WC 2026'!$G$5:$G$76)*('FIFA WC 2026'!$F$5:$F$76&gt;'FIFA WC 2026'!$G$5:$G$76))+SUMPRODUCT((MOD(INT((ROW('FIFA WC 2026'!$E$5:$E$76)-4)/2),3)=0)*('FIFA WC 2026'!$H$5:$H$76=A11)*ISNUMBER('FIFA WC 2026'!$F$5:$F$76)*ISNUMBER('FIFA WC 2026'!$G$5:$G$76)*('FIFA WC 2026'!$G$5:$G$76&gt;'FIFA WC 2026'!$F$5:$F$76)))+(SUMPRODUCT((MOD(INT((ROW('FIFA WC 2026'!$E$5:$E$76)-4)/2),3)=0)*((('FIFA WC 2026'!$E$5:$E$76=A11)+('FIFA WC 2026'!$H$5:$H$76=A11))&gt;0)*ISNUMBER('FIFA WC 2026'!$F$5:$F$76)*ISNUMBER('FIFA WC 2026'!$G$5:$G$76)*('FIFA WC 2026'!$F$5:$F$76='FIFA WC 2026'!$G$5:$G$76)))</f>
        <v>0</v>
      </c>
      <c r="D11" s="28">
        <f t="array" ref="D11">3*(SUMPRODUCT((MOD(INT((ROW('FIFA WC 2026'!$E$5:$E$76)-4)/2),3)=1)*('FIFA WC 2026'!$E$5:$E$76=A11)*ISNUMBER('FIFA WC 2026'!$F$5:$F$76)*ISNUMBER('FIFA WC 2026'!$G$5:$G$76)*('FIFA WC 2026'!$F$5:$F$76&gt;'FIFA WC 2026'!$G$5:$G$76))+SUMPRODUCT((MOD(INT((ROW('FIFA WC 2026'!$E$5:$E$76)-4)/2),3)=1)*('FIFA WC 2026'!$H$5:$H$76=A11)*ISNUMBER('FIFA WC 2026'!$F$5:$F$76)*ISNUMBER('FIFA WC 2026'!$G$5:$G$76)*('FIFA WC 2026'!$G$5:$G$76&gt;'FIFA WC 2026'!$F$5:$F$76)))+(SUMPRODUCT((MOD(INT((ROW('FIFA WC 2026'!$E$5:$E$76)-4)/2),3)=1)*((('FIFA WC 2026'!$E$5:$E$76=A11)+('FIFA WC 2026'!$H$5:$H$76=A11))&gt;0)*ISNUMBER('FIFA WC 2026'!$F$5:$F$76)*ISNUMBER('FIFA WC 2026'!$G$5:$G$76)*('FIFA WC 2026'!$F$5:$F$76='FIFA WC 2026'!$G$5:$G$76)))</f>
        <v>0</v>
      </c>
      <c r="E11" s="28">
        <f t="array" ref="E11">3*(SUMPRODUCT((MOD(INT((ROW('FIFA WC 2026'!$E$5:$E$76)-4)/2),3)=2)*('FIFA WC 2026'!$E$5:$E$76=A11)*ISNUMBER('FIFA WC 2026'!$F$5:$F$76)*ISNUMBER('FIFA WC 2026'!$G$5:$G$76)*('FIFA WC 2026'!$F$5:$F$76&gt;'FIFA WC 2026'!$G$5:$G$76))+SUMPRODUCT((MOD(INT((ROW('FIFA WC 2026'!$E$5:$E$76)-4)/2),3)=2)*('FIFA WC 2026'!$H$5:$H$76=A11)*ISNUMBER('FIFA WC 2026'!$F$5:$F$76)*ISNUMBER('FIFA WC 2026'!$G$5:$G$76)*('FIFA WC 2026'!$G$5:$G$76&gt;'FIFA WC 2026'!$F$5:$F$76)))+(SUMPRODUCT((MOD(INT((ROW('FIFA WC 2026'!$E$5:$E$76)-4)/2),3)=2)*((('FIFA WC 2026'!$E$5:$E$76=A11)+('FIFA WC 2026'!$H$5:$H$76=A11))&gt;0)*ISNUMBER('FIFA WC 2026'!$F$5:$F$76)*ISNUMBER('FIFA WC 2026'!$G$5:$G$76)*('FIFA WC 2026'!$F$5:$F$76='FIFA WC 2026'!$G$5:$G$76)))</f>
        <v>0</v>
      </c>
      <c r="F11" s="28">
        <f t="array" ref="F11">0.5*(SUMPRODUCT(('FIFA WC 2026'!$E$5:$E$76=A11)*IFERROR('FIFA WC 2026'!$F$5:$F$76,0))+SUMPRODUCT(('FIFA WC 2026'!$H$5:$H$76=A11)*IFERROR('FIFA WC 2026'!$G$5:$G$76,0))+SUMPRODUCT(('FIFA WC 2026'!$S$5:$S$66=A11)*IFERROR('FIFA WC 2026'!$T$5:$T$66,0))+SUMPRODUCT(('FIFA WC 2026'!$W$7:$W$64=A11)*IFERROR('FIFA WC 2026'!$X$7:$X$64,0))+SUMPRODUCT(('FIFA WC 2026'!$AA$11:$AA$66=A11)*IFERROR('FIFA WC 2026'!$AB$11:$AB$66,0))+SUMPRODUCT(('FIFA WC 2026'!$AE$19:$AE$52=A11)*IFERROR('FIFA WC 2026'!$AF$19:$AF$52,0))+SUMPRODUCT(('FIFA WC 2026'!$AI$35:$AI$44=A11)*IFERROR('FIFA WC 2026'!$AJ$35:$AJ$44,0)))</f>
        <v>0</v>
      </c>
      <c r="G11" s="28">
        <f>IF(COUNTIF('FIFA WC 2026'!$S$5:$S$66,A11)&gt;0,4,0)</f>
        <v>0</v>
      </c>
      <c r="H11" s="28">
        <f>IF(COUNTIF('FIFA WC 2026'!$W$7:$W$64,A11)&gt;0,6,0)</f>
        <v>0</v>
      </c>
      <c r="I11" s="28">
        <f>IF(COUNTIF('FIFA WC 2026'!$AA$11:$AA$60,A11)&gt;0,8,0)</f>
        <v>0</v>
      </c>
      <c r="J11" s="28">
        <f>IF(COUNTIF('FIFA WC 2026'!$AE$19:$AE$52,A11)&gt;0,10,0)</f>
        <v>0</v>
      </c>
      <c r="K11" s="28">
        <f>IF(COUNTIF('FIFA WC 2026'!$AI$35:$AI$36,A11)&gt;0,13,0)</f>
        <v>0</v>
      </c>
      <c r="L11" s="28">
        <f>IF('FIFA WC 2026'!$AI$40=A11,16,0)</f>
        <v>0</v>
      </c>
      <c r="M11" s="111">
        <f t="shared" si="0"/>
        <v>0</v>
      </c>
      <c r="N11" s="110">
        <f t="shared" si="1"/>
        <v>0</v>
      </c>
      <c r="O11">
        <f>IF('FIFA WC 2026'!$AI$41=$A11,5,0)</f>
        <v>0</v>
      </c>
    </row>
    <row r="12" spans="1:15" ht="12.75" customHeight="1" x14ac:dyDescent="0.3">
      <c r="A12" s="106" t="s">
        <v>29</v>
      </c>
      <c r="B12" s="107" t="s">
        <v>31</v>
      </c>
      <c r="C12" s="108">
        <f t="array" ref="C12">3*(SUMPRODUCT((MOD(INT((ROW('FIFA WC 2026'!$E$5:$E$76)-4)/2),3)=0)*('FIFA WC 2026'!$E$5:$E$76=A12)*ISNUMBER('FIFA WC 2026'!$F$5:$F$76)*ISNUMBER('FIFA WC 2026'!$G$5:$G$76)*('FIFA WC 2026'!$F$5:$F$76&gt;'FIFA WC 2026'!$G$5:$G$76))+SUMPRODUCT((MOD(INT((ROW('FIFA WC 2026'!$E$5:$E$76)-4)/2),3)=0)*('FIFA WC 2026'!$H$5:$H$76=A12)*ISNUMBER('FIFA WC 2026'!$F$5:$F$76)*ISNUMBER('FIFA WC 2026'!$G$5:$G$76)*('FIFA WC 2026'!$G$5:$G$76&gt;'FIFA WC 2026'!$F$5:$F$76)))+(SUMPRODUCT((MOD(INT((ROW('FIFA WC 2026'!$E$5:$E$76)-4)/2),3)=0)*((('FIFA WC 2026'!$E$5:$E$76=A12)+('FIFA WC 2026'!$H$5:$H$76=A12))&gt;0)*ISNUMBER('FIFA WC 2026'!$F$5:$F$76)*ISNUMBER('FIFA WC 2026'!$G$5:$G$76)*('FIFA WC 2026'!$F$5:$F$76='FIFA WC 2026'!$G$5:$G$76)))</f>
        <v>0</v>
      </c>
      <c r="D12" s="108">
        <f t="array" ref="D12">3*(SUMPRODUCT((MOD(INT((ROW('FIFA WC 2026'!$E$5:$E$76)-4)/2),3)=1)*('FIFA WC 2026'!$E$5:$E$76=A12)*ISNUMBER('FIFA WC 2026'!$F$5:$F$76)*ISNUMBER('FIFA WC 2026'!$G$5:$G$76)*('FIFA WC 2026'!$F$5:$F$76&gt;'FIFA WC 2026'!$G$5:$G$76))+SUMPRODUCT((MOD(INT((ROW('FIFA WC 2026'!$E$5:$E$76)-4)/2),3)=1)*('FIFA WC 2026'!$H$5:$H$76=A12)*ISNUMBER('FIFA WC 2026'!$F$5:$F$76)*ISNUMBER('FIFA WC 2026'!$G$5:$G$76)*('FIFA WC 2026'!$G$5:$G$76&gt;'FIFA WC 2026'!$F$5:$F$76)))+(SUMPRODUCT((MOD(INT((ROW('FIFA WC 2026'!$E$5:$E$76)-4)/2),3)=1)*((('FIFA WC 2026'!$E$5:$E$76=A12)+('FIFA WC 2026'!$H$5:$H$76=A12))&gt;0)*ISNUMBER('FIFA WC 2026'!$F$5:$F$76)*ISNUMBER('FIFA WC 2026'!$G$5:$G$76)*('FIFA WC 2026'!$F$5:$F$76='FIFA WC 2026'!$G$5:$G$76)))</f>
        <v>0</v>
      </c>
      <c r="E12" s="108">
        <f t="array" ref="E12">3*(SUMPRODUCT((MOD(INT((ROW('FIFA WC 2026'!$E$5:$E$76)-4)/2),3)=2)*('FIFA WC 2026'!$E$5:$E$76=A12)*ISNUMBER('FIFA WC 2026'!$F$5:$F$76)*ISNUMBER('FIFA WC 2026'!$G$5:$G$76)*('FIFA WC 2026'!$F$5:$F$76&gt;'FIFA WC 2026'!$G$5:$G$76))+SUMPRODUCT((MOD(INT((ROW('FIFA WC 2026'!$E$5:$E$76)-4)/2),3)=2)*('FIFA WC 2026'!$H$5:$H$76=A12)*ISNUMBER('FIFA WC 2026'!$F$5:$F$76)*ISNUMBER('FIFA WC 2026'!$G$5:$G$76)*('FIFA WC 2026'!$G$5:$G$76&gt;'FIFA WC 2026'!$F$5:$F$76)))+(SUMPRODUCT((MOD(INT((ROW('FIFA WC 2026'!$E$5:$E$76)-4)/2),3)=2)*((('FIFA WC 2026'!$E$5:$E$76=A12)+('FIFA WC 2026'!$H$5:$H$76=A12))&gt;0)*ISNUMBER('FIFA WC 2026'!$F$5:$F$76)*ISNUMBER('FIFA WC 2026'!$G$5:$G$76)*('FIFA WC 2026'!$F$5:$F$76='FIFA WC 2026'!$G$5:$G$76)))</f>
        <v>0</v>
      </c>
      <c r="F12" s="108">
        <f t="array" ref="F12">0.5*(SUMPRODUCT(('FIFA WC 2026'!$E$5:$E$76=A12)*IFERROR('FIFA WC 2026'!$F$5:$F$76,0))+SUMPRODUCT(('FIFA WC 2026'!$H$5:$H$76=A12)*IFERROR('FIFA WC 2026'!$G$5:$G$76,0))+SUMPRODUCT(('FIFA WC 2026'!$S$5:$S$66=A12)*IFERROR('FIFA WC 2026'!$T$5:$T$66,0))+SUMPRODUCT(('FIFA WC 2026'!$W$7:$W$64=A12)*IFERROR('FIFA WC 2026'!$X$7:$X$64,0))+SUMPRODUCT(('FIFA WC 2026'!$AA$11:$AA$66=A12)*IFERROR('FIFA WC 2026'!$AB$11:$AB$66,0))+SUMPRODUCT(('FIFA WC 2026'!$AE$19:$AE$52=A12)*IFERROR('FIFA WC 2026'!$AF$19:$AF$52,0))+SUMPRODUCT(('FIFA WC 2026'!$AI$35:$AI$44=A12)*IFERROR('FIFA WC 2026'!$AJ$35:$AJ$44,0)))</f>
        <v>0</v>
      </c>
      <c r="G12" s="108">
        <f>IF(COUNTIF('FIFA WC 2026'!$S$5:$S$66,A12)&gt;0,4,0)</f>
        <v>0</v>
      </c>
      <c r="H12" s="108">
        <f>IF(COUNTIF('FIFA WC 2026'!$W$7:$W$64,A12)&gt;0,6,0)</f>
        <v>0</v>
      </c>
      <c r="I12" s="108">
        <f>IF(COUNTIF('FIFA WC 2026'!$AA$11:$AA$60,A12)&gt;0,8,0)</f>
        <v>0</v>
      </c>
      <c r="J12" s="108">
        <f>IF(COUNTIF('FIFA WC 2026'!$AE$19:$AE$52,A12)&gt;0,10,0)</f>
        <v>0</v>
      </c>
      <c r="K12" s="108">
        <f>IF(COUNTIF('FIFA WC 2026'!$AI$35:$AI$36,A12)&gt;0,13,0)</f>
        <v>0</v>
      </c>
      <c r="L12" s="108">
        <f>IF('FIFA WC 2026'!$AI$40=A12,16,0)</f>
        <v>0</v>
      </c>
      <c r="M12" s="109">
        <f t="shared" si="0"/>
        <v>0</v>
      </c>
      <c r="N12" s="110">
        <f t="shared" si="1"/>
        <v>0</v>
      </c>
      <c r="O12">
        <f>IF('FIFA WC 2026'!$AI$41=$A12,5,0)</f>
        <v>0</v>
      </c>
    </row>
    <row r="13" spans="1:15" ht="12.75" customHeight="1" x14ac:dyDescent="0.3">
      <c r="A13" s="106" t="s">
        <v>30</v>
      </c>
      <c r="B13" s="107" t="s">
        <v>31</v>
      </c>
      <c r="C13" s="108">
        <f t="array" ref="C13">3*(SUMPRODUCT((MOD(INT((ROW('FIFA WC 2026'!$E$5:$E$76)-4)/2),3)=0)*('FIFA WC 2026'!$E$5:$E$76=A13)*ISNUMBER('FIFA WC 2026'!$F$5:$F$76)*ISNUMBER('FIFA WC 2026'!$G$5:$G$76)*('FIFA WC 2026'!$F$5:$F$76&gt;'FIFA WC 2026'!$G$5:$G$76))+SUMPRODUCT((MOD(INT((ROW('FIFA WC 2026'!$E$5:$E$76)-4)/2),3)=0)*('FIFA WC 2026'!$H$5:$H$76=A13)*ISNUMBER('FIFA WC 2026'!$F$5:$F$76)*ISNUMBER('FIFA WC 2026'!$G$5:$G$76)*('FIFA WC 2026'!$G$5:$G$76&gt;'FIFA WC 2026'!$F$5:$F$76)))+(SUMPRODUCT((MOD(INT((ROW('FIFA WC 2026'!$E$5:$E$76)-4)/2),3)=0)*((('FIFA WC 2026'!$E$5:$E$76=A13)+('FIFA WC 2026'!$H$5:$H$76=A13))&gt;0)*ISNUMBER('FIFA WC 2026'!$F$5:$F$76)*ISNUMBER('FIFA WC 2026'!$G$5:$G$76)*('FIFA WC 2026'!$F$5:$F$76='FIFA WC 2026'!$G$5:$G$76)))</f>
        <v>0</v>
      </c>
      <c r="D13" s="108">
        <f t="array" ref="D13">3*(SUMPRODUCT((MOD(INT((ROW('FIFA WC 2026'!$E$5:$E$76)-4)/2),3)=1)*('FIFA WC 2026'!$E$5:$E$76=A13)*ISNUMBER('FIFA WC 2026'!$F$5:$F$76)*ISNUMBER('FIFA WC 2026'!$G$5:$G$76)*('FIFA WC 2026'!$F$5:$F$76&gt;'FIFA WC 2026'!$G$5:$G$76))+SUMPRODUCT((MOD(INT((ROW('FIFA WC 2026'!$E$5:$E$76)-4)/2),3)=1)*('FIFA WC 2026'!$H$5:$H$76=A13)*ISNUMBER('FIFA WC 2026'!$F$5:$F$76)*ISNUMBER('FIFA WC 2026'!$G$5:$G$76)*('FIFA WC 2026'!$G$5:$G$76&gt;'FIFA WC 2026'!$F$5:$F$76)))+(SUMPRODUCT((MOD(INT((ROW('FIFA WC 2026'!$E$5:$E$76)-4)/2),3)=1)*((('FIFA WC 2026'!$E$5:$E$76=A13)+('FIFA WC 2026'!$H$5:$H$76=A13))&gt;0)*ISNUMBER('FIFA WC 2026'!$F$5:$F$76)*ISNUMBER('FIFA WC 2026'!$G$5:$G$76)*('FIFA WC 2026'!$F$5:$F$76='FIFA WC 2026'!$G$5:$G$76)))</f>
        <v>0</v>
      </c>
      <c r="E13" s="108">
        <f t="array" ref="E13">3*(SUMPRODUCT((MOD(INT((ROW('FIFA WC 2026'!$E$5:$E$76)-4)/2),3)=2)*('FIFA WC 2026'!$E$5:$E$76=A13)*ISNUMBER('FIFA WC 2026'!$F$5:$F$76)*ISNUMBER('FIFA WC 2026'!$G$5:$G$76)*('FIFA WC 2026'!$F$5:$F$76&gt;'FIFA WC 2026'!$G$5:$G$76))+SUMPRODUCT((MOD(INT((ROW('FIFA WC 2026'!$E$5:$E$76)-4)/2),3)=2)*('FIFA WC 2026'!$H$5:$H$76=A13)*ISNUMBER('FIFA WC 2026'!$F$5:$F$76)*ISNUMBER('FIFA WC 2026'!$G$5:$G$76)*('FIFA WC 2026'!$G$5:$G$76&gt;'FIFA WC 2026'!$F$5:$F$76)))+(SUMPRODUCT((MOD(INT((ROW('FIFA WC 2026'!$E$5:$E$76)-4)/2),3)=2)*((('FIFA WC 2026'!$E$5:$E$76=A13)+('FIFA WC 2026'!$H$5:$H$76=A13))&gt;0)*ISNUMBER('FIFA WC 2026'!$F$5:$F$76)*ISNUMBER('FIFA WC 2026'!$G$5:$G$76)*('FIFA WC 2026'!$F$5:$F$76='FIFA WC 2026'!$G$5:$G$76)))</f>
        <v>0</v>
      </c>
      <c r="F13" s="108">
        <f t="array" ref="F13">0.5*(SUMPRODUCT(('FIFA WC 2026'!$E$5:$E$76=A13)*IFERROR('FIFA WC 2026'!$F$5:$F$76,0))+SUMPRODUCT(('FIFA WC 2026'!$H$5:$H$76=A13)*IFERROR('FIFA WC 2026'!$G$5:$G$76,0))+SUMPRODUCT(('FIFA WC 2026'!$S$5:$S$66=A13)*IFERROR('FIFA WC 2026'!$T$5:$T$66,0))+SUMPRODUCT(('FIFA WC 2026'!$W$7:$W$64=A13)*IFERROR('FIFA WC 2026'!$X$7:$X$64,0))+SUMPRODUCT(('FIFA WC 2026'!$AA$11:$AA$66=A13)*IFERROR('FIFA WC 2026'!$AB$11:$AB$66,0))+SUMPRODUCT(('FIFA WC 2026'!$AE$19:$AE$52=A13)*IFERROR('FIFA WC 2026'!$AF$19:$AF$52,0))+SUMPRODUCT(('FIFA WC 2026'!$AI$35:$AI$44=A13)*IFERROR('FIFA WC 2026'!$AJ$35:$AJ$44,0)))</f>
        <v>0</v>
      </c>
      <c r="G13" s="108">
        <f>IF(COUNTIF('FIFA WC 2026'!$S$5:$S$66,A13)&gt;0,4,0)</f>
        <v>0</v>
      </c>
      <c r="H13" s="108">
        <f>IF(COUNTIF('FIFA WC 2026'!$W$7:$W$64,A13)&gt;0,6,0)</f>
        <v>0</v>
      </c>
      <c r="I13" s="108">
        <f>IF(COUNTIF('FIFA WC 2026'!$AA$11:$AA$60,A13)&gt;0,8,0)</f>
        <v>0</v>
      </c>
      <c r="J13" s="108">
        <f>IF(COUNTIF('FIFA WC 2026'!$AE$19:$AE$52,A13)&gt;0,10,0)</f>
        <v>0</v>
      </c>
      <c r="K13" s="108">
        <f>IF(COUNTIF('FIFA WC 2026'!$AI$35:$AI$36,A13)&gt;0,13,0)</f>
        <v>0</v>
      </c>
      <c r="L13" s="108">
        <f>IF('FIFA WC 2026'!$AI$40=A13,16,0)</f>
        <v>0</v>
      </c>
      <c r="M13" s="109">
        <f t="shared" si="0"/>
        <v>0</v>
      </c>
      <c r="N13" s="110">
        <f t="shared" si="1"/>
        <v>0</v>
      </c>
      <c r="O13">
        <f>IF('FIFA WC 2026'!$AI$41=$A13,5,0)</f>
        <v>0</v>
      </c>
    </row>
    <row r="14" spans="1:15" ht="12.75" customHeight="1" x14ac:dyDescent="0.3">
      <c r="A14" s="106" t="s">
        <v>33</v>
      </c>
      <c r="B14" s="107" t="s">
        <v>31</v>
      </c>
      <c r="C14" s="108">
        <f t="array" ref="C14">3*(SUMPRODUCT((MOD(INT((ROW('FIFA WC 2026'!$E$5:$E$76)-4)/2),3)=0)*('FIFA WC 2026'!$E$5:$E$76=A14)*ISNUMBER('FIFA WC 2026'!$F$5:$F$76)*ISNUMBER('FIFA WC 2026'!$G$5:$G$76)*('FIFA WC 2026'!$F$5:$F$76&gt;'FIFA WC 2026'!$G$5:$G$76))+SUMPRODUCT((MOD(INT((ROW('FIFA WC 2026'!$E$5:$E$76)-4)/2),3)=0)*('FIFA WC 2026'!$H$5:$H$76=A14)*ISNUMBER('FIFA WC 2026'!$F$5:$F$76)*ISNUMBER('FIFA WC 2026'!$G$5:$G$76)*('FIFA WC 2026'!$G$5:$G$76&gt;'FIFA WC 2026'!$F$5:$F$76)))+(SUMPRODUCT((MOD(INT((ROW('FIFA WC 2026'!$E$5:$E$76)-4)/2),3)=0)*((('FIFA WC 2026'!$E$5:$E$76=A14)+('FIFA WC 2026'!$H$5:$H$76=A14))&gt;0)*ISNUMBER('FIFA WC 2026'!$F$5:$F$76)*ISNUMBER('FIFA WC 2026'!$G$5:$G$76)*('FIFA WC 2026'!$F$5:$F$76='FIFA WC 2026'!$G$5:$G$76)))</f>
        <v>0</v>
      </c>
      <c r="D14" s="108">
        <f t="array" ref="D14">3*(SUMPRODUCT((MOD(INT((ROW('FIFA WC 2026'!$E$5:$E$76)-4)/2),3)=1)*('FIFA WC 2026'!$E$5:$E$76=A14)*ISNUMBER('FIFA WC 2026'!$F$5:$F$76)*ISNUMBER('FIFA WC 2026'!$G$5:$G$76)*('FIFA WC 2026'!$F$5:$F$76&gt;'FIFA WC 2026'!$G$5:$G$76))+SUMPRODUCT((MOD(INT((ROW('FIFA WC 2026'!$E$5:$E$76)-4)/2),3)=1)*('FIFA WC 2026'!$H$5:$H$76=A14)*ISNUMBER('FIFA WC 2026'!$F$5:$F$76)*ISNUMBER('FIFA WC 2026'!$G$5:$G$76)*('FIFA WC 2026'!$G$5:$G$76&gt;'FIFA WC 2026'!$F$5:$F$76)))+(SUMPRODUCT((MOD(INT((ROW('FIFA WC 2026'!$E$5:$E$76)-4)/2),3)=1)*((('FIFA WC 2026'!$E$5:$E$76=A14)+('FIFA WC 2026'!$H$5:$H$76=A14))&gt;0)*ISNUMBER('FIFA WC 2026'!$F$5:$F$76)*ISNUMBER('FIFA WC 2026'!$G$5:$G$76)*('FIFA WC 2026'!$F$5:$F$76='FIFA WC 2026'!$G$5:$G$76)))</f>
        <v>0</v>
      </c>
      <c r="E14" s="108">
        <f t="array" ref="E14">3*(SUMPRODUCT((MOD(INT((ROW('FIFA WC 2026'!$E$5:$E$76)-4)/2),3)=2)*('FIFA WC 2026'!$E$5:$E$76=A14)*ISNUMBER('FIFA WC 2026'!$F$5:$F$76)*ISNUMBER('FIFA WC 2026'!$G$5:$G$76)*('FIFA WC 2026'!$F$5:$F$76&gt;'FIFA WC 2026'!$G$5:$G$76))+SUMPRODUCT((MOD(INT((ROW('FIFA WC 2026'!$E$5:$E$76)-4)/2),3)=2)*('FIFA WC 2026'!$H$5:$H$76=A14)*ISNUMBER('FIFA WC 2026'!$F$5:$F$76)*ISNUMBER('FIFA WC 2026'!$G$5:$G$76)*('FIFA WC 2026'!$G$5:$G$76&gt;'FIFA WC 2026'!$F$5:$F$76)))+(SUMPRODUCT((MOD(INT((ROW('FIFA WC 2026'!$E$5:$E$76)-4)/2),3)=2)*((('FIFA WC 2026'!$E$5:$E$76=A14)+('FIFA WC 2026'!$H$5:$H$76=A14))&gt;0)*ISNUMBER('FIFA WC 2026'!$F$5:$F$76)*ISNUMBER('FIFA WC 2026'!$G$5:$G$76)*('FIFA WC 2026'!$F$5:$F$76='FIFA WC 2026'!$G$5:$G$76)))</f>
        <v>0</v>
      </c>
      <c r="F14" s="108">
        <f t="array" ref="F14">0.5*(SUMPRODUCT(('FIFA WC 2026'!$E$5:$E$76=A14)*IFERROR('FIFA WC 2026'!$F$5:$F$76,0))+SUMPRODUCT(('FIFA WC 2026'!$H$5:$H$76=A14)*IFERROR('FIFA WC 2026'!$G$5:$G$76,0))+SUMPRODUCT(('FIFA WC 2026'!$S$5:$S$66=A14)*IFERROR('FIFA WC 2026'!$T$5:$T$66,0))+SUMPRODUCT(('FIFA WC 2026'!$W$7:$W$64=A14)*IFERROR('FIFA WC 2026'!$X$7:$X$64,0))+SUMPRODUCT(('FIFA WC 2026'!$AA$11:$AA$66=A14)*IFERROR('FIFA WC 2026'!$AB$11:$AB$66,0))+SUMPRODUCT(('FIFA WC 2026'!$AE$19:$AE$52=A14)*IFERROR('FIFA WC 2026'!$AF$19:$AF$52,0))+SUMPRODUCT(('FIFA WC 2026'!$AI$35:$AI$44=A14)*IFERROR('FIFA WC 2026'!$AJ$35:$AJ$44,0)))</f>
        <v>0</v>
      </c>
      <c r="G14" s="108">
        <f>IF(COUNTIF('FIFA WC 2026'!$S$5:$S$66,A14)&gt;0,4,0)</f>
        <v>0</v>
      </c>
      <c r="H14" s="108">
        <f>IF(COUNTIF('FIFA WC 2026'!$W$7:$W$64,A14)&gt;0,6,0)</f>
        <v>0</v>
      </c>
      <c r="I14" s="108">
        <f>IF(COUNTIF('FIFA WC 2026'!$AA$11:$AA$60,A14)&gt;0,8,0)</f>
        <v>0</v>
      </c>
      <c r="J14" s="108">
        <f>IF(COUNTIF('FIFA WC 2026'!$AE$19:$AE$52,A14)&gt;0,10,0)</f>
        <v>0</v>
      </c>
      <c r="K14" s="108">
        <f>IF(COUNTIF('FIFA WC 2026'!$AI$35:$AI$36,A14)&gt;0,13,0)</f>
        <v>0</v>
      </c>
      <c r="L14" s="108">
        <f>IF('FIFA WC 2026'!$AI$40=A14,16,0)</f>
        <v>0</v>
      </c>
      <c r="M14" s="109">
        <f t="shared" si="0"/>
        <v>0</v>
      </c>
      <c r="N14" s="110">
        <f t="shared" si="1"/>
        <v>0</v>
      </c>
      <c r="O14">
        <f>IF('FIFA WC 2026'!$AI$41=$A14,5,0)</f>
        <v>0</v>
      </c>
    </row>
    <row r="15" spans="1:15" ht="12.75" customHeight="1" x14ac:dyDescent="0.3">
      <c r="A15" s="106" t="s">
        <v>34</v>
      </c>
      <c r="B15" s="107" t="s">
        <v>31</v>
      </c>
      <c r="C15" s="108">
        <f t="array" ref="C15">3*(SUMPRODUCT((MOD(INT((ROW('FIFA WC 2026'!$E$5:$E$76)-4)/2),3)=0)*('FIFA WC 2026'!$E$5:$E$76=A15)*ISNUMBER('FIFA WC 2026'!$F$5:$F$76)*ISNUMBER('FIFA WC 2026'!$G$5:$G$76)*('FIFA WC 2026'!$F$5:$F$76&gt;'FIFA WC 2026'!$G$5:$G$76))+SUMPRODUCT((MOD(INT((ROW('FIFA WC 2026'!$E$5:$E$76)-4)/2),3)=0)*('FIFA WC 2026'!$H$5:$H$76=A15)*ISNUMBER('FIFA WC 2026'!$F$5:$F$76)*ISNUMBER('FIFA WC 2026'!$G$5:$G$76)*('FIFA WC 2026'!$G$5:$G$76&gt;'FIFA WC 2026'!$F$5:$F$76)))+(SUMPRODUCT((MOD(INT((ROW('FIFA WC 2026'!$E$5:$E$76)-4)/2),3)=0)*((('FIFA WC 2026'!$E$5:$E$76=A15)+('FIFA WC 2026'!$H$5:$H$76=A15))&gt;0)*ISNUMBER('FIFA WC 2026'!$F$5:$F$76)*ISNUMBER('FIFA WC 2026'!$G$5:$G$76)*('FIFA WC 2026'!$F$5:$F$76='FIFA WC 2026'!$G$5:$G$76)))</f>
        <v>0</v>
      </c>
      <c r="D15" s="108">
        <f t="array" ref="D15">3*(SUMPRODUCT((MOD(INT((ROW('FIFA WC 2026'!$E$5:$E$76)-4)/2),3)=1)*('FIFA WC 2026'!$E$5:$E$76=A15)*ISNUMBER('FIFA WC 2026'!$F$5:$F$76)*ISNUMBER('FIFA WC 2026'!$G$5:$G$76)*('FIFA WC 2026'!$F$5:$F$76&gt;'FIFA WC 2026'!$G$5:$G$76))+SUMPRODUCT((MOD(INT((ROW('FIFA WC 2026'!$E$5:$E$76)-4)/2),3)=1)*('FIFA WC 2026'!$H$5:$H$76=A15)*ISNUMBER('FIFA WC 2026'!$F$5:$F$76)*ISNUMBER('FIFA WC 2026'!$G$5:$G$76)*('FIFA WC 2026'!$G$5:$G$76&gt;'FIFA WC 2026'!$F$5:$F$76)))+(SUMPRODUCT((MOD(INT((ROW('FIFA WC 2026'!$E$5:$E$76)-4)/2),3)=1)*((('FIFA WC 2026'!$E$5:$E$76=A15)+('FIFA WC 2026'!$H$5:$H$76=A15))&gt;0)*ISNUMBER('FIFA WC 2026'!$F$5:$F$76)*ISNUMBER('FIFA WC 2026'!$G$5:$G$76)*('FIFA WC 2026'!$F$5:$F$76='FIFA WC 2026'!$G$5:$G$76)))</f>
        <v>0</v>
      </c>
      <c r="E15" s="108">
        <f t="array" ref="E15">3*(SUMPRODUCT((MOD(INT((ROW('FIFA WC 2026'!$E$5:$E$76)-4)/2),3)=2)*('FIFA WC 2026'!$E$5:$E$76=A15)*ISNUMBER('FIFA WC 2026'!$F$5:$F$76)*ISNUMBER('FIFA WC 2026'!$G$5:$G$76)*('FIFA WC 2026'!$F$5:$F$76&gt;'FIFA WC 2026'!$G$5:$G$76))+SUMPRODUCT((MOD(INT((ROW('FIFA WC 2026'!$E$5:$E$76)-4)/2),3)=2)*('FIFA WC 2026'!$H$5:$H$76=A15)*ISNUMBER('FIFA WC 2026'!$F$5:$F$76)*ISNUMBER('FIFA WC 2026'!$G$5:$G$76)*('FIFA WC 2026'!$G$5:$G$76&gt;'FIFA WC 2026'!$F$5:$F$76)))+(SUMPRODUCT((MOD(INT((ROW('FIFA WC 2026'!$E$5:$E$76)-4)/2),3)=2)*((('FIFA WC 2026'!$E$5:$E$76=A15)+('FIFA WC 2026'!$H$5:$H$76=A15))&gt;0)*ISNUMBER('FIFA WC 2026'!$F$5:$F$76)*ISNUMBER('FIFA WC 2026'!$G$5:$G$76)*('FIFA WC 2026'!$F$5:$F$76='FIFA WC 2026'!$G$5:$G$76)))</f>
        <v>0</v>
      </c>
      <c r="F15" s="108">
        <f t="array" ref="F15">0.5*(SUMPRODUCT(('FIFA WC 2026'!$E$5:$E$76=A15)*IFERROR('FIFA WC 2026'!$F$5:$F$76,0))+SUMPRODUCT(('FIFA WC 2026'!$H$5:$H$76=A15)*IFERROR('FIFA WC 2026'!$G$5:$G$76,0))+SUMPRODUCT(('FIFA WC 2026'!$S$5:$S$66=A15)*IFERROR('FIFA WC 2026'!$T$5:$T$66,0))+SUMPRODUCT(('FIFA WC 2026'!$W$7:$W$64=A15)*IFERROR('FIFA WC 2026'!$X$7:$X$64,0))+SUMPRODUCT(('FIFA WC 2026'!$AA$11:$AA$66=A15)*IFERROR('FIFA WC 2026'!$AB$11:$AB$66,0))+SUMPRODUCT(('FIFA WC 2026'!$AE$19:$AE$52=A15)*IFERROR('FIFA WC 2026'!$AF$19:$AF$52,0))+SUMPRODUCT(('FIFA WC 2026'!$AI$35:$AI$44=A15)*IFERROR('FIFA WC 2026'!$AJ$35:$AJ$44,0)))</f>
        <v>0</v>
      </c>
      <c r="G15" s="108">
        <f>IF(COUNTIF('FIFA WC 2026'!$S$5:$S$66,A15)&gt;0,4,0)</f>
        <v>0</v>
      </c>
      <c r="H15" s="108">
        <f>IF(COUNTIF('FIFA WC 2026'!$W$7:$W$64,A15)&gt;0,6,0)</f>
        <v>0</v>
      </c>
      <c r="I15" s="108">
        <f>IF(COUNTIF('FIFA WC 2026'!$AA$11:$AA$60,A15)&gt;0,8,0)</f>
        <v>0</v>
      </c>
      <c r="J15" s="108">
        <f>IF(COUNTIF('FIFA WC 2026'!$AE$19:$AE$52,A15)&gt;0,10,0)</f>
        <v>0</v>
      </c>
      <c r="K15" s="108">
        <f>IF(COUNTIF('FIFA WC 2026'!$AI$35:$AI$36,A15)&gt;0,13,0)</f>
        <v>0</v>
      </c>
      <c r="L15" s="108">
        <f>IF('FIFA WC 2026'!$AI$40=A15,16,0)</f>
        <v>0</v>
      </c>
      <c r="M15" s="109">
        <f t="shared" si="0"/>
        <v>0</v>
      </c>
      <c r="N15" s="110">
        <f t="shared" si="1"/>
        <v>0</v>
      </c>
      <c r="O15">
        <f>IF('FIFA WC 2026'!$AI$41=$A15,5,0)</f>
        <v>0</v>
      </c>
    </row>
    <row r="16" spans="1:15" ht="12.75" customHeight="1" x14ac:dyDescent="0.3">
      <c r="A16" s="27" t="s">
        <v>35</v>
      </c>
      <c r="B16" s="26" t="s">
        <v>19</v>
      </c>
      <c r="C16" s="28">
        <f t="array" ref="C16">3*(SUMPRODUCT((MOD(INT((ROW('FIFA WC 2026'!$E$5:$E$76)-4)/2),3)=0)*('FIFA WC 2026'!$E$5:$E$76=A16)*ISNUMBER('FIFA WC 2026'!$F$5:$F$76)*ISNUMBER('FIFA WC 2026'!$G$5:$G$76)*('FIFA WC 2026'!$F$5:$F$76&gt;'FIFA WC 2026'!$G$5:$G$76))+SUMPRODUCT((MOD(INT((ROW('FIFA WC 2026'!$E$5:$E$76)-4)/2),3)=0)*('FIFA WC 2026'!$H$5:$H$76=A16)*ISNUMBER('FIFA WC 2026'!$F$5:$F$76)*ISNUMBER('FIFA WC 2026'!$G$5:$G$76)*('FIFA WC 2026'!$G$5:$G$76&gt;'FIFA WC 2026'!$F$5:$F$76)))+(SUMPRODUCT((MOD(INT((ROW('FIFA WC 2026'!$E$5:$E$76)-4)/2),3)=0)*((('FIFA WC 2026'!$E$5:$E$76=A16)+('FIFA WC 2026'!$H$5:$H$76=A16))&gt;0)*ISNUMBER('FIFA WC 2026'!$F$5:$F$76)*ISNUMBER('FIFA WC 2026'!$G$5:$G$76)*('FIFA WC 2026'!$F$5:$F$76='FIFA WC 2026'!$G$5:$G$76)))</f>
        <v>3</v>
      </c>
      <c r="D16" s="28">
        <f t="array" ref="D16">3*(SUMPRODUCT((MOD(INT((ROW('FIFA WC 2026'!$E$5:$E$76)-4)/2),3)=1)*('FIFA WC 2026'!$E$5:$E$76=A16)*ISNUMBER('FIFA WC 2026'!$F$5:$F$76)*ISNUMBER('FIFA WC 2026'!$G$5:$G$76)*('FIFA WC 2026'!$F$5:$F$76&gt;'FIFA WC 2026'!$G$5:$G$76))+SUMPRODUCT((MOD(INT((ROW('FIFA WC 2026'!$E$5:$E$76)-4)/2),3)=1)*('FIFA WC 2026'!$H$5:$H$76=A16)*ISNUMBER('FIFA WC 2026'!$F$5:$F$76)*ISNUMBER('FIFA WC 2026'!$G$5:$G$76)*('FIFA WC 2026'!$G$5:$G$76&gt;'FIFA WC 2026'!$F$5:$F$76)))+(SUMPRODUCT((MOD(INT((ROW('FIFA WC 2026'!$E$5:$E$76)-4)/2),3)=1)*((('FIFA WC 2026'!$E$5:$E$76=A16)+('FIFA WC 2026'!$H$5:$H$76=A16))&gt;0)*ISNUMBER('FIFA WC 2026'!$F$5:$F$76)*ISNUMBER('FIFA WC 2026'!$G$5:$G$76)*('FIFA WC 2026'!$F$5:$F$76='FIFA WC 2026'!$G$5:$G$76)))</f>
        <v>0</v>
      </c>
      <c r="E16" s="28">
        <f t="array" ref="E16">3*(SUMPRODUCT((MOD(INT((ROW('FIFA WC 2026'!$E$5:$E$76)-4)/2),3)=2)*('FIFA WC 2026'!$E$5:$E$76=A16)*ISNUMBER('FIFA WC 2026'!$F$5:$F$76)*ISNUMBER('FIFA WC 2026'!$G$5:$G$76)*('FIFA WC 2026'!$F$5:$F$76&gt;'FIFA WC 2026'!$G$5:$G$76))+SUMPRODUCT((MOD(INT((ROW('FIFA WC 2026'!$E$5:$E$76)-4)/2),3)=2)*('FIFA WC 2026'!$H$5:$H$76=A16)*ISNUMBER('FIFA WC 2026'!$F$5:$F$76)*ISNUMBER('FIFA WC 2026'!$G$5:$G$76)*('FIFA WC 2026'!$G$5:$G$76&gt;'FIFA WC 2026'!$F$5:$F$76)))+(SUMPRODUCT((MOD(INT((ROW('FIFA WC 2026'!$E$5:$E$76)-4)/2),3)=2)*((('FIFA WC 2026'!$E$5:$E$76=A16)+('FIFA WC 2026'!$H$5:$H$76=A16))&gt;0)*ISNUMBER('FIFA WC 2026'!$F$5:$F$76)*ISNUMBER('FIFA WC 2026'!$G$5:$G$76)*('FIFA WC 2026'!$F$5:$F$76='FIFA WC 2026'!$G$5:$G$76)))</f>
        <v>0</v>
      </c>
      <c r="F16" s="28">
        <f t="array" ref="F16">0.5*(SUMPRODUCT(('FIFA WC 2026'!$E$5:$E$76=A16)*IFERROR('FIFA WC 2026'!$F$5:$F$76,0))+SUMPRODUCT(('FIFA WC 2026'!$H$5:$H$76=A16)*IFERROR('FIFA WC 2026'!$G$5:$G$76,0))+SUMPRODUCT(('FIFA WC 2026'!$S$5:$S$66=A16)*IFERROR('FIFA WC 2026'!$T$5:$T$66,0))+SUMPRODUCT(('FIFA WC 2026'!$W$7:$W$64=A16)*IFERROR('FIFA WC 2026'!$X$7:$X$64,0))+SUMPRODUCT(('FIFA WC 2026'!$AA$11:$AA$66=A16)*IFERROR('FIFA WC 2026'!$AB$11:$AB$66,0))+SUMPRODUCT(('FIFA WC 2026'!$AE$19:$AE$52=A16)*IFERROR('FIFA WC 2026'!$AF$19:$AF$52,0))+SUMPRODUCT(('FIFA WC 2026'!$AI$35:$AI$44=A16)*IFERROR('FIFA WC 2026'!$AJ$35:$AJ$44,0)))</f>
        <v>2</v>
      </c>
      <c r="G16" s="28">
        <f>IF(COUNTIF('FIFA WC 2026'!$S$5:$S$66,A16)&gt;0,4,0)</f>
        <v>0</v>
      </c>
      <c r="H16" s="28">
        <f>IF(COUNTIF('FIFA WC 2026'!$W$7:$W$64,A16)&gt;0,6,0)</f>
        <v>0</v>
      </c>
      <c r="I16" s="28">
        <f>IF(COUNTIF('FIFA WC 2026'!$AA$11:$AA$60,A16)&gt;0,8,0)</f>
        <v>0</v>
      </c>
      <c r="J16" s="28">
        <f>IF(COUNTIF('FIFA WC 2026'!$AE$19:$AE$52,A16)&gt;0,10,0)</f>
        <v>0</v>
      </c>
      <c r="K16" s="28">
        <f>IF(COUNTIF('FIFA WC 2026'!$AI$35:$AI$36,A16)&gt;0,13,0)</f>
        <v>0</v>
      </c>
      <c r="L16" s="28">
        <f>IF('FIFA WC 2026'!$AI$40=A16,16,0)</f>
        <v>0</v>
      </c>
      <c r="M16" s="111">
        <f t="shared" si="0"/>
        <v>5</v>
      </c>
      <c r="N16" s="110">
        <f t="shared" si="1"/>
        <v>3</v>
      </c>
      <c r="O16">
        <f>IF('FIFA WC 2026'!$AI$41=$A16,5,0)</f>
        <v>0</v>
      </c>
    </row>
    <row r="17" spans="1:15" ht="12.75" customHeight="1" x14ac:dyDescent="0.3">
      <c r="A17" s="27" t="s">
        <v>36</v>
      </c>
      <c r="B17" s="26" t="s">
        <v>19</v>
      </c>
      <c r="C17" s="28">
        <f t="array" ref="C17">3*(SUMPRODUCT((MOD(INT((ROW('FIFA WC 2026'!$E$5:$E$76)-4)/2),3)=0)*('FIFA WC 2026'!$E$5:$E$76=A17)*ISNUMBER('FIFA WC 2026'!$F$5:$F$76)*ISNUMBER('FIFA WC 2026'!$G$5:$G$76)*('FIFA WC 2026'!$F$5:$F$76&gt;'FIFA WC 2026'!$G$5:$G$76))+SUMPRODUCT((MOD(INT((ROW('FIFA WC 2026'!$E$5:$E$76)-4)/2),3)=0)*('FIFA WC 2026'!$H$5:$H$76=A17)*ISNUMBER('FIFA WC 2026'!$F$5:$F$76)*ISNUMBER('FIFA WC 2026'!$G$5:$G$76)*('FIFA WC 2026'!$G$5:$G$76&gt;'FIFA WC 2026'!$F$5:$F$76)))+(SUMPRODUCT((MOD(INT((ROW('FIFA WC 2026'!$E$5:$E$76)-4)/2),3)=0)*((('FIFA WC 2026'!$E$5:$E$76=A17)+('FIFA WC 2026'!$H$5:$H$76=A17))&gt;0)*ISNUMBER('FIFA WC 2026'!$F$5:$F$76)*ISNUMBER('FIFA WC 2026'!$G$5:$G$76)*('FIFA WC 2026'!$F$5:$F$76='FIFA WC 2026'!$G$5:$G$76)))</f>
        <v>0</v>
      </c>
      <c r="D17" s="28">
        <f t="array" ref="D17">3*(SUMPRODUCT((MOD(INT((ROW('FIFA WC 2026'!$E$5:$E$76)-4)/2),3)=1)*('FIFA WC 2026'!$E$5:$E$76=A17)*ISNUMBER('FIFA WC 2026'!$F$5:$F$76)*ISNUMBER('FIFA WC 2026'!$G$5:$G$76)*('FIFA WC 2026'!$F$5:$F$76&gt;'FIFA WC 2026'!$G$5:$G$76))+SUMPRODUCT((MOD(INT((ROW('FIFA WC 2026'!$E$5:$E$76)-4)/2),3)=1)*('FIFA WC 2026'!$H$5:$H$76=A17)*ISNUMBER('FIFA WC 2026'!$F$5:$F$76)*ISNUMBER('FIFA WC 2026'!$G$5:$G$76)*('FIFA WC 2026'!$G$5:$G$76&gt;'FIFA WC 2026'!$F$5:$F$76)))+(SUMPRODUCT((MOD(INT((ROW('FIFA WC 2026'!$E$5:$E$76)-4)/2),3)=1)*((('FIFA WC 2026'!$E$5:$E$76=A17)+('FIFA WC 2026'!$H$5:$H$76=A17))&gt;0)*ISNUMBER('FIFA WC 2026'!$F$5:$F$76)*ISNUMBER('FIFA WC 2026'!$G$5:$G$76)*('FIFA WC 2026'!$F$5:$F$76='FIFA WC 2026'!$G$5:$G$76)))</f>
        <v>0</v>
      </c>
      <c r="E17" s="28">
        <f t="array" ref="E17">3*(SUMPRODUCT((MOD(INT((ROW('FIFA WC 2026'!$E$5:$E$76)-4)/2),3)=2)*('FIFA WC 2026'!$E$5:$E$76=A17)*ISNUMBER('FIFA WC 2026'!$F$5:$F$76)*ISNUMBER('FIFA WC 2026'!$G$5:$G$76)*('FIFA WC 2026'!$F$5:$F$76&gt;'FIFA WC 2026'!$G$5:$G$76))+SUMPRODUCT((MOD(INT((ROW('FIFA WC 2026'!$E$5:$E$76)-4)/2),3)=2)*('FIFA WC 2026'!$H$5:$H$76=A17)*ISNUMBER('FIFA WC 2026'!$F$5:$F$76)*ISNUMBER('FIFA WC 2026'!$G$5:$G$76)*('FIFA WC 2026'!$G$5:$G$76&gt;'FIFA WC 2026'!$F$5:$F$76)))+(SUMPRODUCT((MOD(INT((ROW('FIFA WC 2026'!$E$5:$E$76)-4)/2),3)=2)*((('FIFA WC 2026'!$E$5:$E$76=A17)+('FIFA WC 2026'!$H$5:$H$76=A17))&gt;0)*ISNUMBER('FIFA WC 2026'!$F$5:$F$76)*ISNUMBER('FIFA WC 2026'!$G$5:$G$76)*('FIFA WC 2026'!$F$5:$F$76='FIFA WC 2026'!$G$5:$G$76)))</f>
        <v>0</v>
      </c>
      <c r="F17" s="28">
        <f t="array" ref="F17">0.5*(SUMPRODUCT(('FIFA WC 2026'!$E$5:$E$76=A17)*IFERROR('FIFA WC 2026'!$F$5:$F$76,0))+SUMPRODUCT(('FIFA WC 2026'!$H$5:$H$76=A17)*IFERROR('FIFA WC 2026'!$G$5:$G$76,0))+SUMPRODUCT(('FIFA WC 2026'!$S$5:$S$66=A17)*IFERROR('FIFA WC 2026'!$T$5:$T$66,0))+SUMPRODUCT(('FIFA WC 2026'!$W$7:$W$64=A17)*IFERROR('FIFA WC 2026'!$X$7:$X$64,0))+SUMPRODUCT(('FIFA WC 2026'!$AA$11:$AA$66=A17)*IFERROR('FIFA WC 2026'!$AB$11:$AB$66,0))+SUMPRODUCT(('FIFA WC 2026'!$AE$19:$AE$52=A17)*IFERROR('FIFA WC 2026'!$AF$19:$AF$52,0))+SUMPRODUCT(('FIFA WC 2026'!$AI$35:$AI$44=A17)*IFERROR('FIFA WC 2026'!$AJ$35:$AJ$44,0)))</f>
        <v>0.5</v>
      </c>
      <c r="G17" s="28">
        <f>IF(COUNTIF('FIFA WC 2026'!$S$5:$S$66,A17)&gt;0,4,0)</f>
        <v>0</v>
      </c>
      <c r="H17" s="28">
        <f>IF(COUNTIF('FIFA WC 2026'!$W$7:$W$64,A17)&gt;0,6,0)</f>
        <v>0</v>
      </c>
      <c r="I17" s="28">
        <f>IF(COUNTIF('FIFA WC 2026'!$AA$11:$AA$60,A17)&gt;0,8,0)</f>
        <v>0</v>
      </c>
      <c r="J17" s="28">
        <f>IF(COUNTIF('FIFA WC 2026'!$AE$19:$AE$52,A17)&gt;0,10,0)</f>
        <v>0</v>
      </c>
      <c r="K17" s="28">
        <f>IF(COUNTIF('FIFA WC 2026'!$AI$35:$AI$36,A17)&gt;0,13,0)</f>
        <v>0</v>
      </c>
      <c r="L17" s="28">
        <f>IF('FIFA WC 2026'!$AI$40=A17,16,0)</f>
        <v>0</v>
      </c>
      <c r="M17" s="111">
        <f t="shared" si="0"/>
        <v>0.5</v>
      </c>
      <c r="N17" s="110">
        <f t="shared" si="1"/>
        <v>0</v>
      </c>
      <c r="O17">
        <f>IF('FIFA WC 2026'!$AI$41=$A17,5,0)</f>
        <v>0</v>
      </c>
    </row>
    <row r="18" spans="1:15" ht="12.75" customHeight="1" x14ac:dyDescent="0.3">
      <c r="A18" s="27" t="s">
        <v>38</v>
      </c>
      <c r="B18" s="26" t="s">
        <v>19</v>
      </c>
      <c r="C18" s="28">
        <f t="array" ref="C18">3*(SUMPRODUCT((MOD(INT((ROW('FIFA WC 2026'!$E$5:$E$76)-4)/2),3)=0)*('FIFA WC 2026'!$E$5:$E$76=A18)*ISNUMBER('FIFA WC 2026'!$F$5:$F$76)*ISNUMBER('FIFA WC 2026'!$G$5:$G$76)*('FIFA WC 2026'!$F$5:$F$76&gt;'FIFA WC 2026'!$G$5:$G$76))+SUMPRODUCT((MOD(INT((ROW('FIFA WC 2026'!$E$5:$E$76)-4)/2),3)=0)*('FIFA WC 2026'!$H$5:$H$76=A18)*ISNUMBER('FIFA WC 2026'!$F$5:$F$76)*ISNUMBER('FIFA WC 2026'!$G$5:$G$76)*('FIFA WC 2026'!$G$5:$G$76&gt;'FIFA WC 2026'!$F$5:$F$76)))+(SUMPRODUCT((MOD(INT((ROW('FIFA WC 2026'!$E$5:$E$76)-4)/2),3)=0)*((('FIFA WC 2026'!$E$5:$E$76=A18)+('FIFA WC 2026'!$H$5:$H$76=A18))&gt;0)*ISNUMBER('FIFA WC 2026'!$F$5:$F$76)*ISNUMBER('FIFA WC 2026'!$G$5:$G$76)*('FIFA WC 2026'!$F$5:$F$76='FIFA WC 2026'!$G$5:$G$76)))</f>
        <v>0</v>
      </c>
      <c r="D18" s="28">
        <f t="array" ref="D18">3*(SUMPRODUCT((MOD(INT((ROW('FIFA WC 2026'!$E$5:$E$76)-4)/2),3)=1)*('FIFA WC 2026'!$E$5:$E$76=A18)*ISNUMBER('FIFA WC 2026'!$F$5:$F$76)*ISNUMBER('FIFA WC 2026'!$G$5:$G$76)*('FIFA WC 2026'!$F$5:$F$76&gt;'FIFA WC 2026'!$G$5:$G$76))+SUMPRODUCT((MOD(INT((ROW('FIFA WC 2026'!$E$5:$E$76)-4)/2),3)=1)*('FIFA WC 2026'!$H$5:$H$76=A18)*ISNUMBER('FIFA WC 2026'!$F$5:$F$76)*ISNUMBER('FIFA WC 2026'!$G$5:$G$76)*('FIFA WC 2026'!$G$5:$G$76&gt;'FIFA WC 2026'!$F$5:$F$76)))+(SUMPRODUCT((MOD(INT((ROW('FIFA WC 2026'!$E$5:$E$76)-4)/2),3)=1)*((('FIFA WC 2026'!$E$5:$E$76=A18)+('FIFA WC 2026'!$H$5:$H$76=A18))&gt;0)*ISNUMBER('FIFA WC 2026'!$F$5:$F$76)*ISNUMBER('FIFA WC 2026'!$G$5:$G$76)*('FIFA WC 2026'!$F$5:$F$76='FIFA WC 2026'!$G$5:$G$76)))</f>
        <v>0</v>
      </c>
      <c r="E18" s="28">
        <f t="array" ref="E18">3*(SUMPRODUCT((MOD(INT((ROW('FIFA WC 2026'!$E$5:$E$76)-4)/2),3)=2)*('FIFA WC 2026'!$E$5:$E$76=A18)*ISNUMBER('FIFA WC 2026'!$F$5:$F$76)*ISNUMBER('FIFA WC 2026'!$G$5:$G$76)*('FIFA WC 2026'!$F$5:$F$76&gt;'FIFA WC 2026'!$G$5:$G$76))+SUMPRODUCT((MOD(INT((ROW('FIFA WC 2026'!$E$5:$E$76)-4)/2),3)=2)*('FIFA WC 2026'!$H$5:$H$76=A18)*ISNUMBER('FIFA WC 2026'!$F$5:$F$76)*ISNUMBER('FIFA WC 2026'!$G$5:$G$76)*('FIFA WC 2026'!$G$5:$G$76&gt;'FIFA WC 2026'!$F$5:$F$76)))+(SUMPRODUCT((MOD(INT((ROW('FIFA WC 2026'!$E$5:$E$76)-4)/2),3)=2)*((('FIFA WC 2026'!$E$5:$E$76=A18)+('FIFA WC 2026'!$H$5:$H$76=A18))&gt;0)*ISNUMBER('FIFA WC 2026'!$F$5:$F$76)*ISNUMBER('FIFA WC 2026'!$G$5:$G$76)*('FIFA WC 2026'!$F$5:$F$76='FIFA WC 2026'!$G$5:$G$76)))</f>
        <v>0</v>
      </c>
      <c r="F18" s="28">
        <f t="array" ref="F18">0.5*(SUMPRODUCT(('FIFA WC 2026'!$E$5:$E$76=A18)*IFERROR('FIFA WC 2026'!$F$5:$F$76,0))+SUMPRODUCT(('FIFA WC 2026'!$H$5:$H$76=A18)*IFERROR('FIFA WC 2026'!$G$5:$G$76,0))+SUMPRODUCT(('FIFA WC 2026'!$S$5:$S$66=A18)*IFERROR('FIFA WC 2026'!$T$5:$T$66,0))+SUMPRODUCT(('FIFA WC 2026'!$W$7:$W$64=A18)*IFERROR('FIFA WC 2026'!$X$7:$X$64,0))+SUMPRODUCT(('FIFA WC 2026'!$AA$11:$AA$66=A18)*IFERROR('FIFA WC 2026'!$AB$11:$AB$66,0))+SUMPRODUCT(('FIFA WC 2026'!$AE$19:$AE$52=A18)*IFERROR('FIFA WC 2026'!$AF$19:$AF$52,0))+SUMPRODUCT(('FIFA WC 2026'!$AI$35:$AI$44=A18)*IFERROR('FIFA WC 2026'!$AJ$35:$AJ$44,0)))</f>
        <v>0</v>
      </c>
      <c r="G18" s="28">
        <f>IF(COUNTIF('FIFA WC 2026'!$S$5:$S$66,A18)&gt;0,4,0)</f>
        <v>0</v>
      </c>
      <c r="H18" s="28">
        <f>IF(COUNTIF('FIFA WC 2026'!$W$7:$W$64,A18)&gt;0,6,0)</f>
        <v>0</v>
      </c>
      <c r="I18" s="28">
        <f>IF(COUNTIF('FIFA WC 2026'!$AA$11:$AA$60,A18)&gt;0,8,0)</f>
        <v>0</v>
      </c>
      <c r="J18" s="28">
        <f>IF(COUNTIF('FIFA WC 2026'!$AE$19:$AE$52,A18)&gt;0,10,0)</f>
        <v>0</v>
      </c>
      <c r="K18" s="28">
        <f>IF(COUNTIF('FIFA WC 2026'!$AI$35:$AI$36,A18)&gt;0,13,0)</f>
        <v>0</v>
      </c>
      <c r="L18" s="28">
        <f>IF('FIFA WC 2026'!$AI$40=A18,16,0)</f>
        <v>0</v>
      </c>
      <c r="M18" s="111">
        <f t="shared" si="0"/>
        <v>0</v>
      </c>
      <c r="N18" s="110">
        <f t="shared" si="1"/>
        <v>0</v>
      </c>
      <c r="O18">
        <f>IF('FIFA WC 2026'!$AI$41=$A18,5,0)</f>
        <v>0</v>
      </c>
    </row>
    <row r="19" spans="1:15" ht="12.75" customHeight="1" x14ac:dyDescent="0.3">
      <c r="A19" s="27" t="s">
        <v>39</v>
      </c>
      <c r="B19" s="26" t="s">
        <v>19</v>
      </c>
      <c r="C19" s="28">
        <f t="array" ref="C19">3*(SUMPRODUCT((MOD(INT((ROW('FIFA WC 2026'!$E$5:$E$76)-4)/2),3)=0)*('FIFA WC 2026'!$E$5:$E$76=A19)*ISNUMBER('FIFA WC 2026'!$F$5:$F$76)*ISNUMBER('FIFA WC 2026'!$G$5:$G$76)*('FIFA WC 2026'!$F$5:$F$76&gt;'FIFA WC 2026'!$G$5:$G$76))+SUMPRODUCT((MOD(INT((ROW('FIFA WC 2026'!$E$5:$E$76)-4)/2),3)=0)*('FIFA WC 2026'!$H$5:$H$76=A19)*ISNUMBER('FIFA WC 2026'!$F$5:$F$76)*ISNUMBER('FIFA WC 2026'!$G$5:$G$76)*('FIFA WC 2026'!$G$5:$G$76&gt;'FIFA WC 2026'!$F$5:$F$76)))+(SUMPRODUCT((MOD(INT((ROW('FIFA WC 2026'!$E$5:$E$76)-4)/2),3)=0)*((('FIFA WC 2026'!$E$5:$E$76=A19)+('FIFA WC 2026'!$H$5:$H$76=A19))&gt;0)*ISNUMBER('FIFA WC 2026'!$F$5:$F$76)*ISNUMBER('FIFA WC 2026'!$G$5:$G$76)*('FIFA WC 2026'!$F$5:$F$76='FIFA WC 2026'!$G$5:$G$76)))</f>
        <v>0</v>
      </c>
      <c r="D19" s="28">
        <f t="array" ref="D19">3*(SUMPRODUCT((MOD(INT((ROW('FIFA WC 2026'!$E$5:$E$76)-4)/2),3)=1)*('FIFA WC 2026'!$E$5:$E$76=A19)*ISNUMBER('FIFA WC 2026'!$F$5:$F$76)*ISNUMBER('FIFA WC 2026'!$G$5:$G$76)*('FIFA WC 2026'!$F$5:$F$76&gt;'FIFA WC 2026'!$G$5:$G$76))+SUMPRODUCT((MOD(INT((ROW('FIFA WC 2026'!$E$5:$E$76)-4)/2),3)=1)*('FIFA WC 2026'!$H$5:$H$76=A19)*ISNUMBER('FIFA WC 2026'!$F$5:$F$76)*ISNUMBER('FIFA WC 2026'!$G$5:$G$76)*('FIFA WC 2026'!$G$5:$G$76&gt;'FIFA WC 2026'!$F$5:$F$76)))+(SUMPRODUCT((MOD(INT((ROW('FIFA WC 2026'!$E$5:$E$76)-4)/2),3)=1)*((('FIFA WC 2026'!$E$5:$E$76=A19)+('FIFA WC 2026'!$H$5:$H$76=A19))&gt;0)*ISNUMBER('FIFA WC 2026'!$F$5:$F$76)*ISNUMBER('FIFA WC 2026'!$G$5:$G$76)*('FIFA WC 2026'!$F$5:$F$76='FIFA WC 2026'!$G$5:$G$76)))</f>
        <v>0</v>
      </c>
      <c r="E19" s="28">
        <f t="array" ref="E19">3*(SUMPRODUCT((MOD(INT((ROW('FIFA WC 2026'!$E$5:$E$76)-4)/2),3)=2)*('FIFA WC 2026'!$E$5:$E$76=A19)*ISNUMBER('FIFA WC 2026'!$F$5:$F$76)*ISNUMBER('FIFA WC 2026'!$G$5:$G$76)*('FIFA WC 2026'!$F$5:$F$76&gt;'FIFA WC 2026'!$G$5:$G$76))+SUMPRODUCT((MOD(INT((ROW('FIFA WC 2026'!$E$5:$E$76)-4)/2),3)=2)*('FIFA WC 2026'!$H$5:$H$76=A19)*ISNUMBER('FIFA WC 2026'!$F$5:$F$76)*ISNUMBER('FIFA WC 2026'!$G$5:$G$76)*('FIFA WC 2026'!$G$5:$G$76&gt;'FIFA WC 2026'!$F$5:$F$76)))+(SUMPRODUCT((MOD(INT((ROW('FIFA WC 2026'!$E$5:$E$76)-4)/2),3)=2)*((('FIFA WC 2026'!$E$5:$E$76=A19)+('FIFA WC 2026'!$H$5:$H$76=A19))&gt;0)*ISNUMBER('FIFA WC 2026'!$F$5:$F$76)*ISNUMBER('FIFA WC 2026'!$G$5:$G$76)*('FIFA WC 2026'!$F$5:$F$76='FIFA WC 2026'!$G$5:$G$76)))</f>
        <v>0</v>
      </c>
      <c r="F19" s="28">
        <f t="array" ref="F19">0.5*(SUMPRODUCT(('FIFA WC 2026'!$E$5:$E$76=A19)*IFERROR('FIFA WC 2026'!$F$5:$F$76,0))+SUMPRODUCT(('FIFA WC 2026'!$H$5:$H$76=A19)*IFERROR('FIFA WC 2026'!$G$5:$G$76,0))+SUMPRODUCT(('FIFA WC 2026'!$S$5:$S$66=A19)*IFERROR('FIFA WC 2026'!$T$5:$T$66,0))+SUMPRODUCT(('FIFA WC 2026'!$W$7:$W$64=A19)*IFERROR('FIFA WC 2026'!$X$7:$X$64,0))+SUMPRODUCT(('FIFA WC 2026'!$AA$11:$AA$66=A19)*IFERROR('FIFA WC 2026'!$AB$11:$AB$66,0))+SUMPRODUCT(('FIFA WC 2026'!$AE$19:$AE$52=A19)*IFERROR('FIFA WC 2026'!$AF$19:$AF$52,0))+SUMPRODUCT(('FIFA WC 2026'!$AI$35:$AI$44=A19)*IFERROR('FIFA WC 2026'!$AJ$35:$AJ$44,0)))</f>
        <v>0</v>
      </c>
      <c r="G19" s="28">
        <f>IF(COUNTIF('FIFA WC 2026'!$S$5:$S$66,A19)&gt;0,4,0)</f>
        <v>0</v>
      </c>
      <c r="H19" s="28">
        <f>IF(COUNTIF('FIFA WC 2026'!$W$7:$W$64,A19)&gt;0,6,0)</f>
        <v>0</v>
      </c>
      <c r="I19" s="28">
        <f>IF(COUNTIF('FIFA WC 2026'!$AA$11:$AA$60,A19)&gt;0,8,0)</f>
        <v>0</v>
      </c>
      <c r="J19" s="28">
        <f>IF(COUNTIF('FIFA WC 2026'!$AE$19:$AE$52,A19)&gt;0,10,0)</f>
        <v>0</v>
      </c>
      <c r="K19" s="28">
        <f>IF(COUNTIF('FIFA WC 2026'!$AI$35:$AI$36,A19)&gt;0,13,0)</f>
        <v>0</v>
      </c>
      <c r="L19" s="28">
        <f>IF('FIFA WC 2026'!$AI$40=A19,16,0)</f>
        <v>0</v>
      </c>
      <c r="M19" s="111">
        <f t="shared" si="0"/>
        <v>0</v>
      </c>
      <c r="N19" s="110">
        <f t="shared" si="1"/>
        <v>0</v>
      </c>
      <c r="O19">
        <f>IF('FIFA WC 2026'!$AI$41=$A19,5,0)</f>
        <v>0</v>
      </c>
    </row>
    <row r="20" spans="1:15" ht="12.75" customHeight="1" x14ac:dyDescent="0.3">
      <c r="A20" s="106" t="s">
        <v>40</v>
      </c>
      <c r="B20" s="107" t="s">
        <v>42</v>
      </c>
      <c r="C20" s="108">
        <f t="array" ref="C20">3*(SUMPRODUCT((MOD(INT((ROW('FIFA WC 2026'!$E$5:$E$76)-4)/2),3)=0)*('FIFA WC 2026'!$E$5:$E$76=A20)*ISNUMBER('FIFA WC 2026'!$F$5:$F$76)*ISNUMBER('FIFA WC 2026'!$G$5:$G$76)*('FIFA WC 2026'!$F$5:$F$76&gt;'FIFA WC 2026'!$G$5:$G$76))+SUMPRODUCT((MOD(INT((ROW('FIFA WC 2026'!$E$5:$E$76)-4)/2),3)=0)*('FIFA WC 2026'!$H$5:$H$76=A20)*ISNUMBER('FIFA WC 2026'!$F$5:$F$76)*ISNUMBER('FIFA WC 2026'!$G$5:$G$76)*('FIFA WC 2026'!$G$5:$G$76&gt;'FIFA WC 2026'!$F$5:$F$76)))+(SUMPRODUCT((MOD(INT((ROW('FIFA WC 2026'!$E$5:$E$76)-4)/2),3)=0)*((('FIFA WC 2026'!$E$5:$E$76=A20)+('FIFA WC 2026'!$H$5:$H$76=A20))&gt;0)*ISNUMBER('FIFA WC 2026'!$F$5:$F$76)*ISNUMBER('FIFA WC 2026'!$G$5:$G$76)*('FIFA WC 2026'!$F$5:$F$76='FIFA WC 2026'!$G$5:$G$76)))</f>
        <v>0</v>
      </c>
      <c r="D20" s="108">
        <f t="array" ref="D20">3*(SUMPRODUCT((MOD(INT((ROW('FIFA WC 2026'!$E$5:$E$76)-4)/2),3)=1)*('FIFA WC 2026'!$E$5:$E$76=A20)*ISNUMBER('FIFA WC 2026'!$F$5:$F$76)*ISNUMBER('FIFA WC 2026'!$G$5:$G$76)*('FIFA WC 2026'!$F$5:$F$76&gt;'FIFA WC 2026'!$G$5:$G$76))+SUMPRODUCT((MOD(INT((ROW('FIFA WC 2026'!$E$5:$E$76)-4)/2),3)=1)*('FIFA WC 2026'!$H$5:$H$76=A20)*ISNUMBER('FIFA WC 2026'!$F$5:$F$76)*ISNUMBER('FIFA WC 2026'!$G$5:$G$76)*('FIFA WC 2026'!$G$5:$G$76&gt;'FIFA WC 2026'!$F$5:$F$76)))+(SUMPRODUCT((MOD(INT((ROW('FIFA WC 2026'!$E$5:$E$76)-4)/2),3)=1)*((('FIFA WC 2026'!$E$5:$E$76=A20)+('FIFA WC 2026'!$H$5:$H$76=A20))&gt;0)*ISNUMBER('FIFA WC 2026'!$F$5:$F$76)*ISNUMBER('FIFA WC 2026'!$G$5:$G$76)*('FIFA WC 2026'!$F$5:$F$76='FIFA WC 2026'!$G$5:$G$76)))</f>
        <v>0</v>
      </c>
      <c r="E20" s="108">
        <f t="array" ref="E20">3*(SUMPRODUCT((MOD(INT((ROW('FIFA WC 2026'!$E$5:$E$76)-4)/2),3)=2)*('FIFA WC 2026'!$E$5:$E$76=A20)*ISNUMBER('FIFA WC 2026'!$F$5:$F$76)*ISNUMBER('FIFA WC 2026'!$G$5:$G$76)*('FIFA WC 2026'!$F$5:$F$76&gt;'FIFA WC 2026'!$G$5:$G$76))+SUMPRODUCT((MOD(INT((ROW('FIFA WC 2026'!$E$5:$E$76)-4)/2),3)=2)*('FIFA WC 2026'!$H$5:$H$76=A20)*ISNUMBER('FIFA WC 2026'!$F$5:$F$76)*ISNUMBER('FIFA WC 2026'!$G$5:$G$76)*('FIFA WC 2026'!$G$5:$G$76&gt;'FIFA WC 2026'!$F$5:$F$76)))+(SUMPRODUCT((MOD(INT((ROW('FIFA WC 2026'!$E$5:$E$76)-4)/2),3)=2)*((('FIFA WC 2026'!$E$5:$E$76=A20)+('FIFA WC 2026'!$H$5:$H$76=A20))&gt;0)*ISNUMBER('FIFA WC 2026'!$F$5:$F$76)*ISNUMBER('FIFA WC 2026'!$G$5:$G$76)*('FIFA WC 2026'!$F$5:$F$76='FIFA WC 2026'!$G$5:$G$76)))</f>
        <v>0</v>
      </c>
      <c r="F20" s="108">
        <f t="array" ref="F20">0.5*(SUMPRODUCT(('FIFA WC 2026'!$E$5:$E$76=A20)*IFERROR('FIFA WC 2026'!$F$5:$F$76,0))+SUMPRODUCT(('FIFA WC 2026'!$H$5:$H$76=A20)*IFERROR('FIFA WC 2026'!$G$5:$G$76,0))+SUMPRODUCT(('FIFA WC 2026'!$S$5:$S$66=A20)*IFERROR('FIFA WC 2026'!$T$5:$T$66,0))+SUMPRODUCT(('FIFA WC 2026'!$W$7:$W$64=A20)*IFERROR('FIFA WC 2026'!$X$7:$X$64,0))+SUMPRODUCT(('FIFA WC 2026'!$AA$11:$AA$66=A20)*IFERROR('FIFA WC 2026'!$AB$11:$AB$66,0))+SUMPRODUCT(('FIFA WC 2026'!$AE$19:$AE$52=A20)*IFERROR('FIFA WC 2026'!$AF$19:$AF$52,0))+SUMPRODUCT(('FIFA WC 2026'!$AI$35:$AI$44=A20)*IFERROR('FIFA WC 2026'!$AJ$35:$AJ$44,0)))</f>
        <v>0</v>
      </c>
      <c r="G20" s="108">
        <f>IF(COUNTIF('FIFA WC 2026'!$S$5:$S$66,A20)&gt;0,4,0)</f>
        <v>0</v>
      </c>
      <c r="H20" s="108">
        <f>IF(COUNTIF('FIFA WC 2026'!$W$7:$W$64,A20)&gt;0,6,0)</f>
        <v>0</v>
      </c>
      <c r="I20" s="108">
        <f>IF(COUNTIF('FIFA WC 2026'!$AA$11:$AA$60,A20)&gt;0,8,0)</f>
        <v>0</v>
      </c>
      <c r="J20" s="108">
        <f>IF(COUNTIF('FIFA WC 2026'!$AE$19:$AE$52,A20)&gt;0,10,0)</f>
        <v>0</v>
      </c>
      <c r="K20" s="108">
        <f>IF(COUNTIF('FIFA WC 2026'!$AI$35:$AI$36,A20)&gt;0,13,0)</f>
        <v>0</v>
      </c>
      <c r="L20" s="108">
        <f>IF('FIFA WC 2026'!$AI$40=A20,16,0)</f>
        <v>0</v>
      </c>
      <c r="M20" s="109">
        <f t="shared" si="0"/>
        <v>0</v>
      </c>
      <c r="N20" s="110">
        <f t="shared" si="1"/>
        <v>0</v>
      </c>
      <c r="O20">
        <f>IF('FIFA WC 2026'!$AI$41=$A20,5,0)</f>
        <v>0</v>
      </c>
    </row>
    <row r="21" spans="1:15" ht="12.75" customHeight="1" x14ac:dyDescent="0.3">
      <c r="A21" s="106" t="s">
        <v>41</v>
      </c>
      <c r="B21" s="107" t="s">
        <v>42</v>
      </c>
      <c r="C21" s="108">
        <f t="array" ref="C21">3*(SUMPRODUCT((MOD(INT((ROW('FIFA WC 2026'!$E$5:$E$76)-4)/2),3)=0)*('FIFA WC 2026'!$E$5:$E$76=A21)*ISNUMBER('FIFA WC 2026'!$F$5:$F$76)*ISNUMBER('FIFA WC 2026'!$G$5:$G$76)*('FIFA WC 2026'!$F$5:$F$76&gt;'FIFA WC 2026'!$G$5:$G$76))+SUMPRODUCT((MOD(INT((ROW('FIFA WC 2026'!$E$5:$E$76)-4)/2),3)=0)*('FIFA WC 2026'!$H$5:$H$76=A21)*ISNUMBER('FIFA WC 2026'!$F$5:$F$76)*ISNUMBER('FIFA WC 2026'!$G$5:$G$76)*('FIFA WC 2026'!$G$5:$G$76&gt;'FIFA WC 2026'!$F$5:$F$76)))+(SUMPRODUCT((MOD(INT((ROW('FIFA WC 2026'!$E$5:$E$76)-4)/2),3)=0)*((('FIFA WC 2026'!$E$5:$E$76=A21)+('FIFA WC 2026'!$H$5:$H$76=A21))&gt;0)*ISNUMBER('FIFA WC 2026'!$F$5:$F$76)*ISNUMBER('FIFA WC 2026'!$G$5:$G$76)*('FIFA WC 2026'!$F$5:$F$76='FIFA WC 2026'!$G$5:$G$76)))</f>
        <v>0</v>
      </c>
      <c r="D21" s="108">
        <f t="array" ref="D21">3*(SUMPRODUCT((MOD(INT((ROW('FIFA WC 2026'!$E$5:$E$76)-4)/2),3)=1)*('FIFA WC 2026'!$E$5:$E$76=A21)*ISNUMBER('FIFA WC 2026'!$F$5:$F$76)*ISNUMBER('FIFA WC 2026'!$G$5:$G$76)*('FIFA WC 2026'!$F$5:$F$76&gt;'FIFA WC 2026'!$G$5:$G$76))+SUMPRODUCT((MOD(INT((ROW('FIFA WC 2026'!$E$5:$E$76)-4)/2),3)=1)*('FIFA WC 2026'!$H$5:$H$76=A21)*ISNUMBER('FIFA WC 2026'!$F$5:$F$76)*ISNUMBER('FIFA WC 2026'!$G$5:$G$76)*('FIFA WC 2026'!$G$5:$G$76&gt;'FIFA WC 2026'!$F$5:$F$76)))+(SUMPRODUCT((MOD(INT((ROW('FIFA WC 2026'!$E$5:$E$76)-4)/2),3)=1)*((('FIFA WC 2026'!$E$5:$E$76=A21)+('FIFA WC 2026'!$H$5:$H$76=A21))&gt;0)*ISNUMBER('FIFA WC 2026'!$F$5:$F$76)*ISNUMBER('FIFA WC 2026'!$G$5:$G$76)*('FIFA WC 2026'!$F$5:$F$76='FIFA WC 2026'!$G$5:$G$76)))</f>
        <v>0</v>
      </c>
      <c r="E21" s="108">
        <f t="array" ref="E21">3*(SUMPRODUCT((MOD(INT((ROW('FIFA WC 2026'!$E$5:$E$76)-4)/2),3)=2)*('FIFA WC 2026'!$E$5:$E$76=A21)*ISNUMBER('FIFA WC 2026'!$F$5:$F$76)*ISNUMBER('FIFA WC 2026'!$G$5:$G$76)*('FIFA WC 2026'!$F$5:$F$76&gt;'FIFA WC 2026'!$G$5:$G$76))+SUMPRODUCT((MOD(INT((ROW('FIFA WC 2026'!$E$5:$E$76)-4)/2),3)=2)*('FIFA WC 2026'!$H$5:$H$76=A21)*ISNUMBER('FIFA WC 2026'!$F$5:$F$76)*ISNUMBER('FIFA WC 2026'!$G$5:$G$76)*('FIFA WC 2026'!$G$5:$G$76&gt;'FIFA WC 2026'!$F$5:$F$76)))+(SUMPRODUCT((MOD(INT((ROW('FIFA WC 2026'!$E$5:$E$76)-4)/2),3)=2)*((('FIFA WC 2026'!$E$5:$E$76=A21)+('FIFA WC 2026'!$H$5:$H$76=A21))&gt;0)*ISNUMBER('FIFA WC 2026'!$F$5:$F$76)*ISNUMBER('FIFA WC 2026'!$G$5:$G$76)*('FIFA WC 2026'!$F$5:$F$76='FIFA WC 2026'!$G$5:$G$76)))</f>
        <v>0</v>
      </c>
      <c r="F21" s="108">
        <f t="array" ref="F21">0.5*(SUMPRODUCT(('FIFA WC 2026'!$E$5:$E$76=A21)*IFERROR('FIFA WC 2026'!$F$5:$F$76,0))+SUMPRODUCT(('FIFA WC 2026'!$H$5:$H$76=A21)*IFERROR('FIFA WC 2026'!$G$5:$G$76,0))+SUMPRODUCT(('FIFA WC 2026'!$S$5:$S$66=A21)*IFERROR('FIFA WC 2026'!$T$5:$T$66,0))+SUMPRODUCT(('FIFA WC 2026'!$W$7:$W$64=A21)*IFERROR('FIFA WC 2026'!$X$7:$X$64,0))+SUMPRODUCT(('FIFA WC 2026'!$AA$11:$AA$66=A21)*IFERROR('FIFA WC 2026'!$AB$11:$AB$66,0))+SUMPRODUCT(('FIFA WC 2026'!$AE$19:$AE$52=A21)*IFERROR('FIFA WC 2026'!$AF$19:$AF$52,0))+SUMPRODUCT(('FIFA WC 2026'!$AI$35:$AI$44=A21)*IFERROR('FIFA WC 2026'!$AJ$35:$AJ$44,0)))</f>
        <v>0</v>
      </c>
      <c r="G21" s="108">
        <f>IF(COUNTIF('FIFA WC 2026'!$S$5:$S$66,A21)&gt;0,4,0)</f>
        <v>0</v>
      </c>
      <c r="H21" s="108">
        <f>IF(COUNTIF('FIFA WC 2026'!$W$7:$W$64,A21)&gt;0,6,0)</f>
        <v>0</v>
      </c>
      <c r="I21" s="108">
        <f>IF(COUNTIF('FIFA WC 2026'!$AA$11:$AA$60,A21)&gt;0,8,0)</f>
        <v>0</v>
      </c>
      <c r="J21" s="108">
        <f>IF(COUNTIF('FIFA WC 2026'!$AE$19:$AE$52,A21)&gt;0,10,0)</f>
        <v>0</v>
      </c>
      <c r="K21" s="108">
        <f>IF(COUNTIF('FIFA WC 2026'!$AI$35:$AI$36,A21)&gt;0,13,0)</f>
        <v>0</v>
      </c>
      <c r="L21" s="108">
        <f>IF('FIFA WC 2026'!$AI$40=A21,16,0)</f>
        <v>0</v>
      </c>
      <c r="M21" s="109">
        <f t="shared" si="0"/>
        <v>0</v>
      </c>
      <c r="N21" s="110">
        <f t="shared" si="1"/>
        <v>0</v>
      </c>
      <c r="O21">
        <f>IF('FIFA WC 2026'!$AI$41=$A21,5,0)</f>
        <v>0</v>
      </c>
    </row>
    <row r="22" spans="1:15" ht="12.75" customHeight="1" x14ac:dyDescent="0.3">
      <c r="A22" s="106" t="s">
        <v>44</v>
      </c>
      <c r="B22" s="107" t="s">
        <v>42</v>
      </c>
      <c r="C22" s="108">
        <f t="array" ref="C22">3*(SUMPRODUCT((MOD(INT((ROW('FIFA WC 2026'!$E$5:$E$76)-4)/2),3)=0)*('FIFA WC 2026'!$E$5:$E$76=A22)*ISNUMBER('FIFA WC 2026'!$F$5:$F$76)*ISNUMBER('FIFA WC 2026'!$G$5:$G$76)*('FIFA WC 2026'!$F$5:$F$76&gt;'FIFA WC 2026'!$G$5:$G$76))+SUMPRODUCT((MOD(INT((ROW('FIFA WC 2026'!$E$5:$E$76)-4)/2),3)=0)*('FIFA WC 2026'!$H$5:$H$76=A22)*ISNUMBER('FIFA WC 2026'!$F$5:$F$76)*ISNUMBER('FIFA WC 2026'!$G$5:$G$76)*('FIFA WC 2026'!$G$5:$G$76&gt;'FIFA WC 2026'!$F$5:$F$76)))+(SUMPRODUCT((MOD(INT((ROW('FIFA WC 2026'!$E$5:$E$76)-4)/2),3)=0)*((('FIFA WC 2026'!$E$5:$E$76=A22)+('FIFA WC 2026'!$H$5:$H$76=A22))&gt;0)*ISNUMBER('FIFA WC 2026'!$F$5:$F$76)*ISNUMBER('FIFA WC 2026'!$G$5:$G$76)*('FIFA WC 2026'!$F$5:$F$76='FIFA WC 2026'!$G$5:$G$76)))</f>
        <v>0</v>
      </c>
      <c r="D22" s="108">
        <f t="array" ref="D22">3*(SUMPRODUCT((MOD(INT((ROW('FIFA WC 2026'!$E$5:$E$76)-4)/2),3)=1)*('FIFA WC 2026'!$E$5:$E$76=A22)*ISNUMBER('FIFA WC 2026'!$F$5:$F$76)*ISNUMBER('FIFA WC 2026'!$G$5:$G$76)*('FIFA WC 2026'!$F$5:$F$76&gt;'FIFA WC 2026'!$G$5:$G$76))+SUMPRODUCT((MOD(INT((ROW('FIFA WC 2026'!$E$5:$E$76)-4)/2),3)=1)*('FIFA WC 2026'!$H$5:$H$76=A22)*ISNUMBER('FIFA WC 2026'!$F$5:$F$76)*ISNUMBER('FIFA WC 2026'!$G$5:$G$76)*('FIFA WC 2026'!$G$5:$G$76&gt;'FIFA WC 2026'!$F$5:$F$76)))+(SUMPRODUCT((MOD(INT((ROW('FIFA WC 2026'!$E$5:$E$76)-4)/2),3)=1)*((('FIFA WC 2026'!$E$5:$E$76=A22)+('FIFA WC 2026'!$H$5:$H$76=A22))&gt;0)*ISNUMBER('FIFA WC 2026'!$F$5:$F$76)*ISNUMBER('FIFA WC 2026'!$G$5:$G$76)*('FIFA WC 2026'!$F$5:$F$76='FIFA WC 2026'!$G$5:$G$76)))</f>
        <v>0</v>
      </c>
      <c r="E22" s="108">
        <f t="array" ref="E22">3*(SUMPRODUCT((MOD(INT((ROW('FIFA WC 2026'!$E$5:$E$76)-4)/2),3)=2)*('FIFA WC 2026'!$E$5:$E$76=A22)*ISNUMBER('FIFA WC 2026'!$F$5:$F$76)*ISNUMBER('FIFA WC 2026'!$G$5:$G$76)*('FIFA WC 2026'!$F$5:$F$76&gt;'FIFA WC 2026'!$G$5:$G$76))+SUMPRODUCT((MOD(INT((ROW('FIFA WC 2026'!$E$5:$E$76)-4)/2),3)=2)*('FIFA WC 2026'!$H$5:$H$76=A22)*ISNUMBER('FIFA WC 2026'!$F$5:$F$76)*ISNUMBER('FIFA WC 2026'!$G$5:$G$76)*('FIFA WC 2026'!$G$5:$G$76&gt;'FIFA WC 2026'!$F$5:$F$76)))+(SUMPRODUCT((MOD(INT((ROW('FIFA WC 2026'!$E$5:$E$76)-4)/2),3)=2)*((('FIFA WC 2026'!$E$5:$E$76=A22)+('FIFA WC 2026'!$H$5:$H$76=A22))&gt;0)*ISNUMBER('FIFA WC 2026'!$F$5:$F$76)*ISNUMBER('FIFA WC 2026'!$G$5:$G$76)*('FIFA WC 2026'!$F$5:$F$76='FIFA WC 2026'!$G$5:$G$76)))</f>
        <v>0</v>
      </c>
      <c r="F22" s="108">
        <f t="array" ref="F22">0.5*(SUMPRODUCT(('FIFA WC 2026'!$E$5:$E$76=A22)*IFERROR('FIFA WC 2026'!$F$5:$F$76,0))+SUMPRODUCT(('FIFA WC 2026'!$H$5:$H$76=A22)*IFERROR('FIFA WC 2026'!$G$5:$G$76,0))+SUMPRODUCT(('FIFA WC 2026'!$S$5:$S$66=A22)*IFERROR('FIFA WC 2026'!$T$5:$T$66,0))+SUMPRODUCT(('FIFA WC 2026'!$W$7:$W$64=A22)*IFERROR('FIFA WC 2026'!$X$7:$X$64,0))+SUMPRODUCT(('FIFA WC 2026'!$AA$11:$AA$66=A22)*IFERROR('FIFA WC 2026'!$AB$11:$AB$66,0))+SUMPRODUCT(('FIFA WC 2026'!$AE$19:$AE$52=A22)*IFERROR('FIFA WC 2026'!$AF$19:$AF$52,0))+SUMPRODUCT(('FIFA WC 2026'!$AI$35:$AI$44=A22)*IFERROR('FIFA WC 2026'!$AJ$35:$AJ$44,0)))</f>
        <v>0</v>
      </c>
      <c r="G22" s="108">
        <f>IF(COUNTIF('FIFA WC 2026'!$S$5:$S$66,A22)&gt;0,4,0)</f>
        <v>0</v>
      </c>
      <c r="H22" s="108">
        <f>IF(COUNTIF('FIFA WC 2026'!$W$7:$W$64,A22)&gt;0,6,0)</f>
        <v>0</v>
      </c>
      <c r="I22" s="108">
        <f>IF(COUNTIF('FIFA WC 2026'!$AA$11:$AA$60,A22)&gt;0,8,0)</f>
        <v>0</v>
      </c>
      <c r="J22" s="108">
        <f>IF(COUNTIF('FIFA WC 2026'!$AE$19:$AE$52,A22)&gt;0,10,0)</f>
        <v>0</v>
      </c>
      <c r="K22" s="108">
        <f>IF(COUNTIF('FIFA WC 2026'!$AI$35:$AI$36,A22)&gt;0,13,0)</f>
        <v>0</v>
      </c>
      <c r="L22" s="108">
        <f>IF('FIFA WC 2026'!$AI$40=A22,16,0)</f>
        <v>0</v>
      </c>
      <c r="M22" s="109">
        <f t="shared" si="0"/>
        <v>0</v>
      </c>
      <c r="N22" s="110">
        <f t="shared" si="1"/>
        <v>0</v>
      </c>
      <c r="O22">
        <f>IF('FIFA WC 2026'!$AI$41=$A22,5,0)</f>
        <v>0</v>
      </c>
    </row>
    <row r="23" spans="1:15" ht="12.75" customHeight="1" x14ac:dyDescent="0.3">
      <c r="A23" s="106" t="s">
        <v>45</v>
      </c>
      <c r="B23" s="107" t="s">
        <v>42</v>
      </c>
      <c r="C23" s="108">
        <f t="array" ref="C23">3*(SUMPRODUCT((MOD(INT((ROW('FIFA WC 2026'!$E$5:$E$76)-4)/2),3)=0)*('FIFA WC 2026'!$E$5:$E$76=A23)*ISNUMBER('FIFA WC 2026'!$F$5:$F$76)*ISNUMBER('FIFA WC 2026'!$G$5:$G$76)*('FIFA WC 2026'!$F$5:$F$76&gt;'FIFA WC 2026'!$G$5:$G$76))+SUMPRODUCT((MOD(INT((ROW('FIFA WC 2026'!$E$5:$E$76)-4)/2),3)=0)*('FIFA WC 2026'!$H$5:$H$76=A23)*ISNUMBER('FIFA WC 2026'!$F$5:$F$76)*ISNUMBER('FIFA WC 2026'!$G$5:$G$76)*('FIFA WC 2026'!$G$5:$G$76&gt;'FIFA WC 2026'!$F$5:$F$76)))+(SUMPRODUCT((MOD(INT((ROW('FIFA WC 2026'!$E$5:$E$76)-4)/2),3)=0)*((('FIFA WC 2026'!$E$5:$E$76=A23)+('FIFA WC 2026'!$H$5:$H$76=A23))&gt;0)*ISNUMBER('FIFA WC 2026'!$F$5:$F$76)*ISNUMBER('FIFA WC 2026'!$G$5:$G$76)*('FIFA WC 2026'!$F$5:$F$76='FIFA WC 2026'!$G$5:$G$76)))</f>
        <v>0</v>
      </c>
      <c r="D23" s="108">
        <f t="array" ref="D23">3*(SUMPRODUCT((MOD(INT((ROW('FIFA WC 2026'!$E$5:$E$76)-4)/2),3)=1)*('FIFA WC 2026'!$E$5:$E$76=A23)*ISNUMBER('FIFA WC 2026'!$F$5:$F$76)*ISNUMBER('FIFA WC 2026'!$G$5:$G$76)*('FIFA WC 2026'!$F$5:$F$76&gt;'FIFA WC 2026'!$G$5:$G$76))+SUMPRODUCT((MOD(INT((ROW('FIFA WC 2026'!$E$5:$E$76)-4)/2),3)=1)*('FIFA WC 2026'!$H$5:$H$76=A23)*ISNUMBER('FIFA WC 2026'!$F$5:$F$76)*ISNUMBER('FIFA WC 2026'!$G$5:$G$76)*('FIFA WC 2026'!$G$5:$G$76&gt;'FIFA WC 2026'!$F$5:$F$76)))+(SUMPRODUCT((MOD(INT((ROW('FIFA WC 2026'!$E$5:$E$76)-4)/2),3)=1)*((('FIFA WC 2026'!$E$5:$E$76=A23)+('FIFA WC 2026'!$H$5:$H$76=A23))&gt;0)*ISNUMBER('FIFA WC 2026'!$F$5:$F$76)*ISNUMBER('FIFA WC 2026'!$G$5:$G$76)*('FIFA WC 2026'!$F$5:$F$76='FIFA WC 2026'!$G$5:$G$76)))</f>
        <v>0</v>
      </c>
      <c r="E23" s="108">
        <f t="array" ref="E23">3*(SUMPRODUCT((MOD(INT((ROW('FIFA WC 2026'!$E$5:$E$76)-4)/2),3)=2)*('FIFA WC 2026'!$E$5:$E$76=A23)*ISNUMBER('FIFA WC 2026'!$F$5:$F$76)*ISNUMBER('FIFA WC 2026'!$G$5:$G$76)*('FIFA WC 2026'!$F$5:$F$76&gt;'FIFA WC 2026'!$G$5:$G$76))+SUMPRODUCT((MOD(INT((ROW('FIFA WC 2026'!$E$5:$E$76)-4)/2),3)=2)*('FIFA WC 2026'!$H$5:$H$76=A23)*ISNUMBER('FIFA WC 2026'!$F$5:$F$76)*ISNUMBER('FIFA WC 2026'!$G$5:$G$76)*('FIFA WC 2026'!$G$5:$G$76&gt;'FIFA WC 2026'!$F$5:$F$76)))+(SUMPRODUCT((MOD(INT((ROW('FIFA WC 2026'!$E$5:$E$76)-4)/2),3)=2)*((('FIFA WC 2026'!$E$5:$E$76=A23)+('FIFA WC 2026'!$H$5:$H$76=A23))&gt;0)*ISNUMBER('FIFA WC 2026'!$F$5:$F$76)*ISNUMBER('FIFA WC 2026'!$G$5:$G$76)*('FIFA WC 2026'!$F$5:$F$76='FIFA WC 2026'!$G$5:$G$76)))</f>
        <v>0</v>
      </c>
      <c r="F23" s="108">
        <f t="array" ref="F23">0.5*(SUMPRODUCT(('FIFA WC 2026'!$E$5:$E$76=A23)*IFERROR('FIFA WC 2026'!$F$5:$F$76,0))+SUMPRODUCT(('FIFA WC 2026'!$H$5:$H$76=A23)*IFERROR('FIFA WC 2026'!$G$5:$G$76,0))+SUMPRODUCT(('FIFA WC 2026'!$S$5:$S$66=A23)*IFERROR('FIFA WC 2026'!$T$5:$T$66,0))+SUMPRODUCT(('FIFA WC 2026'!$W$7:$W$64=A23)*IFERROR('FIFA WC 2026'!$X$7:$X$64,0))+SUMPRODUCT(('FIFA WC 2026'!$AA$11:$AA$66=A23)*IFERROR('FIFA WC 2026'!$AB$11:$AB$66,0))+SUMPRODUCT(('FIFA WC 2026'!$AE$19:$AE$52=A23)*IFERROR('FIFA WC 2026'!$AF$19:$AF$52,0))+SUMPRODUCT(('FIFA WC 2026'!$AI$35:$AI$44=A23)*IFERROR('FIFA WC 2026'!$AJ$35:$AJ$44,0)))</f>
        <v>0</v>
      </c>
      <c r="G23" s="108">
        <f>IF(COUNTIF('FIFA WC 2026'!$S$5:$S$66,A23)&gt;0,4,0)</f>
        <v>0</v>
      </c>
      <c r="H23" s="108">
        <f>IF(COUNTIF('FIFA WC 2026'!$W$7:$W$64,A23)&gt;0,6,0)</f>
        <v>0</v>
      </c>
      <c r="I23" s="108">
        <f>IF(COUNTIF('FIFA WC 2026'!$AA$11:$AA$60,A23)&gt;0,8,0)</f>
        <v>0</v>
      </c>
      <c r="J23" s="108">
        <f>IF(COUNTIF('FIFA WC 2026'!$AE$19:$AE$52,A23)&gt;0,10,0)</f>
        <v>0</v>
      </c>
      <c r="K23" s="108">
        <f>IF(COUNTIF('FIFA WC 2026'!$AI$35:$AI$36,A23)&gt;0,13,0)</f>
        <v>0</v>
      </c>
      <c r="L23" s="108">
        <f>IF('FIFA WC 2026'!$AI$40=A23,16,0)</f>
        <v>0</v>
      </c>
      <c r="M23" s="109">
        <f t="shared" si="0"/>
        <v>0</v>
      </c>
      <c r="N23" s="110">
        <f t="shared" si="1"/>
        <v>0</v>
      </c>
      <c r="O23">
        <f>IF('FIFA WC 2026'!$AI$41=$A23,5,0)</f>
        <v>0</v>
      </c>
    </row>
    <row r="24" spans="1:15" ht="12.75" customHeight="1" x14ac:dyDescent="0.3">
      <c r="A24" s="27" t="s">
        <v>46</v>
      </c>
      <c r="B24" s="26" t="s">
        <v>48</v>
      </c>
      <c r="C24" s="28">
        <f t="array" ref="C24">3*(SUMPRODUCT((MOD(INT((ROW('FIFA WC 2026'!$E$5:$E$76)-4)/2),3)=0)*('FIFA WC 2026'!$E$5:$E$76=A24)*ISNUMBER('FIFA WC 2026'!$F$5:$F$76)*ISNUMBER('FIFA WC 2026'!$G$5:$G$76)*('FIFA WC 2026'!$F$5:$F$76&gt;'FIFA WC 2026'!$G$5:$G$76))+SUMPRODUCT((MOD(INT((ROW('FIFA WC 2026'!$E$5:$E$76)-4)/2),3)=0)*('FIFA WC 2026'!$H$5:$H$76=A24)*ISNUMBER('FIFA WC 2026'!$F$5:$F$76)*ISNUMBER('FIFA WC 2026'!$G$5:$G$76)*('FIFA WC 2026'!$G$5:$G$76&gt;'FIFA WC 2026'!$F$5:$F$76)))+(SUMPRODUCT((MOD(INT((ROW('FIFA WC 2026'!$E$5:$E$76)-4)/2),3)=0)*((('FIFA WC 2026'!$E$5:$E$76=A24)+('FIFA WC 2026'!$H$5:$H$76=A24))&gt;0)*ISNUMBER('FIFA WC 2026'!$F$5:$F$76)*ISNUMBER('FIFA WC 2026'!$G$5:$G$76)*('FIFA WC 2026'!$F$5:$F$76='FIFA WC 2026'!$G$5:$G$76)))</f>
        <v>0</v>
      </c>
      <c r="D24" s="28">
        <f t="array" ref="D24">3*(SUMPRODUCT((MOD(INT((ROW('FIFA WC 2026'!$E$5:$E$76)-4)/2),3)=1)*('FIFA WC 2026'!$E$5:$E$76=A24)*ISNUMBER('FIFA WC 2026'!$F$5:$F$76)*ISNUMBER('FIFA WC 2026'!$G$5:$G$76)*('FIFA WC 2026'!$F$5:$F$76&gt;'FIFA WC 2026'!$G$5:$G$76))+SUMPRODUCT((MOD(INT((ROW('FIFA WC 2026'!$E$5:$E$76)-4)/2),3)=1)*('FIFA WC 2026'!$H$5:$H$76=A24)*ISNUMBER('FIFA WC 2026'!$F$5:$F$76)*ISNUMBER('FIFA WC 2026'!$G$5:$G$76)*('FIFA WC 2026'!$G$5:$G$76&gt;'FIFA WC 2026'!$F$5:$F$76)))+(SUMPRODUCT((MOD(INT((ROW('FIFA WC 2026'!$E$5:$E$76)-4)/2),3)=1)*((('FIFA WC 2026'!$E$5:$E$76=A24)+('FIFA WC 2026'!$H$5:$H$76=A24))&gt;0)*ISNUMBER('FIFA WC 2026'!$F$5:$F$76)*ISNUMBER('FIFA WC 2026'!$G$5:$G$76)*('FIFA WC 2026'!$F$5:$F$76='FIFA WC 2026'!$G$5:$G$76)))</f>
        <v>0</v>
      </c>
      <c r="E24" s="28">
        <f t="array" ref="E24">3*(SUMPRODUCT((MOD(INT((ROW('FIFA WC 2026'!$E$5:$E$76)-4)/2),3)=2)*('FIFA WC 2026'!$E$5:$E$76=A24)*ISNUMBER('FIFA WC 2026'!$F$5:$F$76)*ISNUMBER('FIFA WC 2026'!$G$5:$G$76)*('FIFA WC 2026'!$F$5:$F$76&gt;'FIFA WC 2026'!$G$5:$G$76))+SUMPRODUCT((MOD(INT((ROW('FIFA WC 2026'!$E$5:$E$76)-4)/2),3)=2)*('FIFA WC 2026'!$H$5:$H$76=A24)*ISNUMBER('FIFA WC 2026'!$F$5:$F$76)*ISNUMBER('FIFA WC 2026'!$G$5:$G$76)*('FIFA WC 2026'!$G$5:$G$76&gt;'FIFA WC 2026'!$F$5:$F$76)))+(SUMPRODUCT((MOD(INT((ROW('FIFA WC 2026'!$E$5:$E$76)-4)/2),3)=2)*((('FIFA WC 2026'!$E$5:$E$76=A24)+('FIFA WC 2026'!$H$5:$H$76=A24))&gt;0)*ISNUMBER('FIFA WC 2026'!$F$5:$F$76)*ISNUMBER('FIFA WC 2026'!$G$5:$G$76)*('FIFA WC 2026'!$F$5:$F$76='FIFA WC 2026'!$G$5:$G$76)))</f>
        <v>0</v>
      </c>
      <c r="F24" s="28">
        <f t="array" ref="F24">0.5*(SUMPRODUCT(('FIFA WC 2026'!$E$5:$E$76=A24)*IFERROR('FIFA WC 2026'!$F$5:$F$76,0))+SUMPRODUCT(('FIFA WC 2026'!$H$5:$H$76=A24)*IFERROR('FIFA WC 2026'!$G$5:$G$76,0))+SUMPRODUCT(('FIFA WC 2026'!$S$5:$S$66=A24)*IFERROR('FIFA WC 2026'!$T$5:$T$66,0))+SUMPRODUCT(('FIFA WC 2026'!$W$7:$W$64=A24)*IFERROR('FIFA WC 2026'!$X$7:$X$64,0))+SUMPRODUCT(('FIFA WC 2026'!$AA$11:$AA$66=A24)*IFERROR('FIFA WC 2026'!$AB$11:$AB$66,0))+SUMPRODUCT(('FIFA WC 2026'!$AE$19:$AE$52=A24)*IFERROR('FIFA WC 2026'!$AF$19:$AF$52,0))+SUMPRODUCT(('FIFA WC 2026'!$AI$35:$AI$44=A24)*IFERROR('FIFA WC 2026'!$AJ$35:$AJ$44,0)))</f>
        <v>0</v>
      </c>
      <c r="G24" s="28">
        <f>IF(COUNTIF('FIFA WC 2026'!$S$5:$S$66,A24)&gt;0,4,0)</f>
        <v>0</v>
      </c>
      <c r="H24" s="28">
        <f>IF(COUNTIF('FIFA WC 2026'!$W$7:$W$64,A24)&gt;0,6,0)</f>
        <v>0</v>
      </c>
      <c r="I24" s="28">
        <f>IF(COUNTIF('FIFA WC 2026'!$AA$11:$AA$60,A24)&gt;0,8,0)</f>
        <v>0</v>
      </c>
      <c r="J24" s="28">
        <f>IF(COUNTIF('FIFA WC 2026'!$AE$19:$AE$52,A24)&gt;0,10,0)</f>
        <v>0</v>
      </c>
      <c r="K24" s="28">
        <f>IF(COUNTIF('FIFA WC 2026'!$AI$35:$AI$36,A24)&gt;0,13,0)</f>
        <v>0</v>
      </c>
      <c r="L24" s="28">
        <f>IF('FIFA WC 2026'!$AI$40=A24,16,0)</f>
        <v>0</v>
      </c>
      <c r="M24" s="111">
        <f t="shared" si="0"/>
        <v>0</v>
      </c>
      <c r="N24" s="110">
        <f t="shared" si="1"/>
        <v>0</v>
      </c>
      <c r="O24">
        <f>IF('FIFA WC 2026'!$AI$41=$A24,5,0)</f>
        <v>0</v>
      </c>
    </row>
    <row r="25" spans="1:15" ht="12.75" customHeight="1" x14ac:dyDescent="0.3">
      <c r="A25" s="27" t="s">
        <v>47</v>
      </c>
      <c r="B25" s="26" t="s">
        <v>48</v>
      </c>
      <c r="C25" s="28">
        <f t="array" ref="C25">3*(SUMPRODUCT((MOD(INT((ROW('FIFA WC 2026'!$E$5:$E$76)-4)/2),3)=0)*('FIFA WC 2026'!$E$5:$E$76=A25)*ISNUMBER('FIFA WC 2026'!$F$5:$F$76)*ISNUMBER('FIFA WC 2026'!$G$5:$G$76)*('FIFA WC 2026'!$F$5:$F$76&gt;'FIFA WC 2026'!$G$5:$G$76))+SUMPRODUCT((MOD(INT((ROW('FIFA WC 2026'!$E$5:$E$76)-4)/2),3)=0)*('FIFA WC 2026'!$H$5:$H$76=A25)*ISNUMBER('FIFA WC 2026'!$F$5:$F$76)*ISNUMBER('FIFA WC 2026'!$G$5:$G$76)*('FIFA WC 2026'!$G$5:$G$76&gt;'FIFA WC 2026'!$F$5:$F$76)))+(SUMPRODUCT((MOD(INT((ROW('FIFA WC 2026'!$E$5:$E$76)-4)/2),3)=0)*((('FIFA WC 2026'!$E$5:$E$76=A25)+('FIFA WC 2026'!$H$5:$H$76=A25))&gt;0)*ISNUMBER('FIFA WC 2026'!$F$5:$F$76)*ISNUMBER('FIFA WC 2026'!$G$5:$G$76)*('FIFA WC 2026'!$F$5:$F$76='FIFA WC 2026'!$G$5:$G$76)))</f>
        <v>0</v>
      </c>
      <c r="D25" s="28">
        <f t="array" ref="D25">3*(SUMPRODUCT((MOD(INT((ROW('FIFA WC 2026'!$E$5:$E$76)-4)/2),3)=1)*('FIFA WC 2026'!$E$5:$E$76=A25)*ISNUMBER('FIFA WC 2026'!$F$5:$F$76)*ISNUMBER('FIFA WC 2026'!$G$5:$G$76)*('FIFA WC 2026'!$F$5:$F$76&gt;'FIFA WC 2026'!$G$5:$G$76))+SUMPRODUCT((MOD(INT((ROW('FIFA WC 2026'!$E$5:$E$76)-4)/2),3)=1)*('FIFA WC 2026'!$H$5:$H$76=A25)*ISNUMBER('FIFA WC 2026'!$F$5:$F$76)*ISNUMBER('FIFA WC 2026'!$G$5:$G$76)*('FIFA WC 2026'!$G$5:$G$76&gt;'FIFA WC 2026'!$F$5:$F$76)))+(SUMPRODUCT((MOD(INT((ROW('FIFA WC 2026'!$E$5:$E$76)-4)/2),3)=1)*((('FIFA WC 2026'!$E$5:$E$76=A25)+('FIFA WC 2026'!$H$5:$H$76=A25))&gt;0)*ISNUMBER('FIFA WC 2026'!$F$5:$F$76)*ISNUMBER('FIFA WC 2026'!$G$5:$G$76)*('FIFA WC 2026'!$F$5:$F$76='FIFA WC 2026'!$G$5:$G$76)))</f>
        <v>0</v>
      </c>
      <c r="E25" s="28">
        <f t="array" ref="E25">3*(SUMPRODUCT((MOD(INT((ROW('FIFA WC 2026'!$E$5:$E$76)-4)/2),3)=2)*('FIFA WC 2026'!$E$5:$E$76=A25)*ISNUMBER('FIFA WC 2026'!$F$5:$F$76)*ISNUMBER('FIFA WC 2026'!$G$5:$G$76)*('FIFA WC 2026'!$F$5:$F$76&gt;'FIFA WC 2026'!$G$5:$G$76))+SUMPRODUCT((MOD(INT((ROW('FIFA WC 2026'!$E$5:$E$76)-4)/2),3)=2)*('FIFA WC 2026'!$H$5:$H$76=A25)*ISNUMBER('FIFA WC 2026'!$F$5:$F$76)*ISNUMBER('FIFA WC 2026'!$G$5:$G$76)*('FIFA WC 2026'!$G$5:$G$76&gt;'FIFA WC 2026'!$F$5:$F$76)))+(SUMPRODUCT((MOD(INT((ROW('FIFA WC 2026'!$E$5:$E$76)-4)/2),3)=2)*((('FIFA WC 2026'!$E$5:$E$76=A25)+('FIFA WC 2026'!$H$5:$H$76=A25))&gt;0)*ISNUMBER('FIFA WC 2026'!$F$5:$F$76)*ISNUMBER('FIFA WC 2026'!$G$5:$G$76)*('FIFA WC 2026'!$F$5:$F$76='FIFA WC 2026'!$G$5:$G$76)))</f>
        <v>0</v>
      </c>
      <c r="F25" s="28">
        <f t="array" ref="F25">0.5*(SUMPRODUCT(('FIFA WC 2026'!$E$5:$E$76=A25)*IFERROR('FIFA WC 2026'!$F$5:$F$76,0))+SUMPRODUCT(('FIFA WC 2026'!$H$5:$H$76=A25)*IFERROR('FIFA WC 2026'!$G$5:$G$76,0))+SUMPRODUCT(('FIFA WC 2026'!$S$5:$S$66=A25)*IFERROR('FIFA WC 2026'!$T$5:$T$66,0))+SUMPRODUCT(('FIFA WC 2026'!$W$7:$W$64=A25)*IFERROR('FIFA WC 2026'!$X$7:$X$64,0))+SUMPRODUCT(('FIFA WC 2026'!$AA$11:$AA$66=A25)*IFERROR('FIFA WC 2026'!$AB$11:$AB$66,0))+SUMPRODUCT(('FIFA WC 2026'!$AE$19:$AE$52=A25)*IFERROR('FIFA WC 2026'!$AF$19:$AF$52,0))+SUMPRODUCT(('FIFA WC 2026'!$AI$35:$AI$44=A25)*IFERROR('FIFA WC 2026'!$AJ$35:$AJ$44,0)))</f>
        <v>0</v>
      </c>
      <c r="G25" s="28">
        <f>IF(COUNTIF('FIFA WC 2026'!$S$5:$S$66,A25)&gt;0,4,0)</f>
        <v>0</v>
      </c>
      <c r="H25" s="28">
        <f>IF(COUNTIF('FIFA WC 2026'!$W$7:$W$64,A25)&gt;0,6,0)</f>
        <v>0</v>
      </c>
      <c r="I25" s="28">
        <f>IF(COUNTIF('FIFA WC 2026'!$AA$11:$AA$60,A25)&gt;0,8,0)</f>
        <v>0</v>
      </c>
      <c r="J25" s="28">
        <f>IF(COUNTIF('FIFA WC 2026'!$AE$19:$AE$52,A25)&gt;0,10,0)</f>
        <v>0</v>
      </c>
      <c r="K25" s="28">
        <f>IF(COUNTIF('FIFA WC 2026'!$AI$35:$AI$36,A25)&gt;0,13,0)</f>
        <v>0</v>
      </c>
      <c r="L25" s="28">
        <f>IF('FIFA WC 2026'!$AI$40=A25,16,0)</f>
        <v>0</v>
      </c>
      <c r="M25" s="111">
        <f t="shared" si="0"/>
        <v>0</v>
      </c>
      <c r="N25" s="110">
        <f t="shared" si="1"/>
        <v>0</v>
      </c>
      <c r="O25">
        <f>IF('FIFA WC 2026'!$AI$41=$A25,5,0)</f>
        <v>0</v>
      </c>
    </row>
    <row r="26" spans="1:15" ht="12.75" customHeight="1" x14ac:dyDescent="0.3">
      <c r="A26" s="27" t="s">
        <v>50</v>
      </c>
      <c r="B26" s="26" t="s">
        <v>48</v>
      </c>
      <c r="C26" s="28">
        <f t="array" ref="C26">3*(SUMPRODUCT((MOD(INT((ROW('FIFA WC 2026'!$E$5:$E$76)-4)/2),3)=0)*('FIFA WC 2026'!$E$5:$E$76=A26)*ISNUMBER('FIFA WC 2026'!$F$5:$F$76)*ISNUMBER('FIFA WC 2026'!$G$5:$G$76)*('FIFA WC 2026'!$F$5:$F$76&gt;'FIFA WC 2026'!$G$5:$G$76))+SUMPRODUCT((MOD(INT((ROW('FIFA WC 2026'!$E$5:$E$76)-4)/2),3)=0)*('FIFA WC 2026'!$H$5:$H$76=A26)*ISNUMBER('FIFA WC 2026'!$F$5:$F$76)*ISNUMBER('FIFA WC 2026'!$G$5:$G$76)*('FIFA WC 2026'!$G$5:$G$76&gt;'FIFA WC 2026'!$F$5:$F$76)))+(SUMPRODUCT((MOD(INT((ROW('FIFA WC 2026'!$E$5:$E$76)-4)/2),3)=0)*((('FIFA WC 2026'!$E$5:$E$76=A26)+('FIFA WC 2026'!$H$5:$H$76=A26))&gt;0)*ISNUMBER('FIFA WC 2026'!$F$5:$F$76)*ISNUMBER('FIFA WC 2026'!$G$5:$G$76)*('FIFA WC 2026'!$F$5:$F$76='FIFA WC 2026'!$G$5:$G$76)))</f>
        <v>0</v>
      </c>
      <c r="D26" s="28">
        <f t="array" ref="D26">3*(SUMPRODUCT((MOD(INT((ROW('FIFA WC 2026'!$E$5:$E$76)-4)/2),3)=1)*('FIFA WC 2026'!$E$5:$E$76=A26)*ISNUMBER('FIFA WC 2026'!$F$5:$F$76)*ISNUMBER('FIFA WC 2026'!$G$5:$G$76)*('FIFA WC 2026'!$F$5:$F$76&gt;'FIFA WC 2026'!$G$5:$G$76))+SUMPRODUCT((MOD(INT((ROW('FIFA WC 2026'!$E$5:$E$76)-4)/2),3)=1)*('FIFA WC 2026'!$H$5:$H$76=A26)*ISNUMBER('FIFA WC 2026'!$F$5:$F$76)*ISNUMBER('FIFA WC 2026'!$G$5:$G$76)*('FIFA WC 2026'!$G$5:$G$76&gt;'FIFA WC 2026'!$F$5:$F$76)))+(SUMPRODUCT((MOD(INT((ROW('FIFA WC 2026'!$E$5:$E$76)-4)/2),3)=1)*((('FIFA WC 2026'!$E$5:$E$76=A26)+('FIFA WC 2026'!$H$5:$H$76=A26))&gt;0)*ISNUMBER('FIFA WC 2026'!$F$5:$F$76)*ISNUMBER('FIFA WC 2026'!$G$5:$G$76)*('FIFA WC 2026'!$F$5:$F$76='FIFA WC 2026'!$G$5:$G$76)))</f>
        <v>0</v>
      </c>
      <c r="E26" s="28">
        <f t="array" ref="E26">3*(SUMPRODUCT((MOD(INT((ROW('FIFA WC 2026'!$E$5:$E$76)-4)/2),3)=2)*('FIFA WC 2026'!$E$5:$E$76=A26)*ISNUMBER('FIFA WC 2026'!$F$5:$F$76)*ISNUMBER('FIFA WC 2026'!$G$5:$G$76)*('FIFA WC 2026'!$F$5:$F$76&gt;'FIFA WC 2026'!$G$5:$G$76))+SUMPRODUCT((MOD(INT((ROW('FIFA WC 2026'!$E$5:$E$76)-4)/2),3)=2)*('FIFA WC 2026'!$H$5:$H$76=A26)*ISNUMBER('FIFA WC 2026'!$F$5:$F$76)*ISNUMBER('FIFA WC 2026'!$G$5:$G$76)*('FIFA WC 2026'!$G$5:$G$76&gt;'FIFA WC 2026'!$F$5:$F$76)))+(SUMPRODUCT((MOD(INT((ROW('FIFA WC 2026'!$E$5:$E$76)-4)/2),3)=2)*((('FIFA WC 2026'!$E$5:$E$76=A26)+('FIFA WC 2026'!$H$5:$H$76=A26))&gt;0)*ISNUMBER('FIFA WC 2026'!$F$5:$F$76)*ISNUMBER('FIFA WC 2026'!$G$5:$G$76)*('FIFA WC 2026'!$F$5:$F$76='FIFA WC 2026'!$G$5:$G$76)))</f>
        <v>0</v>
      </c>
      <c r="F26" s="28">
        <f t="array" ref="F26">0.5*(SUMPRODUCT(('FIFA WC 2026'!$E$5:$E$76=A26)*IFERROR('FIFA WC 2026'!$F$5:$F$76,0))+SUMPRODUCT(('FIFA WC 2026'!$H$5:$H$76=A26)*IFERROR('FIFA WC 2026'!$G$5:$G$76,0))+SUMPRODUCT(('FIFA WC 2026'!$S$5:$S$66=A26)*IFERROR('FIFA WC 2026'!$T$5:$T$66,0))+SUMPRODUCT(('FIFA WC 2026'!$W$7:$W$64=A26)*IFERROR('FIFA WC 2026'!$X$7:$X$64,0))+SUMPRODUCT(('FIFA WC 2026'!$AA$11:$AA$66=A26)*IFERROR('FIFA WC 2026'!$AB$11:$AB$66,0))+SUMPRODUCT(('FIFA WC 2026'!$AE$19:$AE$52=A26)*IFERROR('FIFA WC 2026'!$AF$19:$AF$52,0))+SUMPRODUCT(('FIFA WC 2026'!$AI$35:$AI$44=A26)*IFERROR('FIFA WC 2026'!$AJ$35:$AJ$44,0)))</f>
        <v>0</v>
      </c>
      <c r="G26" s="28">
        <f>IF(COUNTIF('FIFA WC 2026'!$S$5:$S$66,A26)&gt;0,4,0)</f>
        <v>0</v>
      </c>
      <c r="H26" s="28">
        <f>IF(COUNTIF('FIFA WC 2026'!$W$7:$W$64,A26)&gt;0,6,0)</f>
        <v>0</v>
      </c>
      <c r="I26" s="28">
        <f>IF(COUNTIF('FIFA WC 2026'!$AA$11:$AA$60,A26)&gt;0,8,0)</f>
        <v>0</v>
      </c>
      <c r="J26" s="28">
        <f>IF(COUNTIF('FIFA WC 2026'!$AE$19:$AE$52,A26)&gt;0,10,0)</f>
        <v>0</v>
      </c>
      <c r="K26" s="28">
        <f>IF(COUNTIF('FIFA WC 2026'!$AI$35:$AI$36,A26)&gt;0,13,0)</f>
        <v>0</v>
      </c>
      <c r="L26" s="28">
        <f>IF('FIFA WC 2026'!$AI$40=A26,16,0)</f>
        <v>0</v>
      </c>
      <c r="M26" s="111">
        <f t="shared" si="0"/>
        <v>0</v>
      </c>
      <c r="N26" s="110">
        <f t="shared" si="1"/>
        <v>0</v>
      </c>
      <c r="O26">
        <f>IF('FIFA WC 2026'!$AI$41=$A26,5,0)</f>
        <v>0</v>
      </c>
    </row>
    <row r="27" spans="1:15" ht="12.75" customHeight="1" x14ac:dyDescent="0.3">
      <c r="A27" s="27" t="s">
        <v>51</v>
      </c>
      <c r="B27" s="26" t="s">
        <v>48</v>
      </c>
      <c r="C27" s="28">
        <f t="array" ref="C27">3*(SUMPRODUCT((MOD(INT((ROW('FIFA WC 2026'!$E$5:$E$76)-4)/2),3)=0)*('FIFA WC 2026'!$E$5:$E$76=A27)*ISNUMBER('FIFA WC 2026'!$F$5:$F$76)*ISNUMBER('FIFA WC 2026'!$G$5:$G$76)*('FIFA WC 2026'!$F$5:$F$76&gt;'FIFA WC 2026'!$G$5:$G$76))+SUMPRODUCT((MOD(INT((ROW('FIFA WC 2026'!$E$5:$E$76)-4)/2),3)=0)*('FIFA WC 2026'!$H$5:$H$76=A27)*ISNUMBER('FIFA WC 2026'!$F$5:$F$76)*ISNUMBER('FIFA WC 2026'!$G$5:$G$76)*('FIFA WC 2026'!$G$5:$G$76&gt;'FIFA WC 2026'!$F$5:$F$76)))+(SUMPRODUCT((MOD(INT((ROW('FIFA WC 2026'!$E$5:$E$76)-4)/2),3)=0)*((('FIFA WC 2026'!$E$5:$E$76=A27)+('FIFA WC 2026'!$H$5:$H$76=A27))&gt;0)*ISNUMBER('FIFA WC 2026'!$F$5:$F$76)*ISNUMBER('FIFA WC 2026'!$G$5:$G$76)*('FIFA WC 2026'!$F$5:$F$76='FIFA WC 2026'!$G$5:$G$76)))</f>
        <v>0</v>
      </c>
      <c r="D27" s="28">
        <f t="array" ref="D27">3*(SUMPRODUCT((MOD(INT((ROW('FIFA WC 2026'!$E$5:$E$76)-4)/2),3)=1)*('FIFA WC 2026'!$E$5:$E$76=A27)*ISNUMBER('FIFA WC 2026'!$F$5:$F$76)*ISNUMBER('FIFA WC 2026'!$G$5:$G$76)*('FIFA WC 2026'!$F$5:$F$76&gt;'FIFA WC 2026'!$G$5:$G$76))+SUMPRODUCT((MOD(INT((ROW('FIFA WC 2026'!$E$5:$E$76)-4)/2),3)=1)*('FIFA WC 2026'!$H$5:$H$76=A27)*ISNUMBER('FIFA WC 2026'!$F$5:$F$76)*ISNUMBER('FIFA WC 2026'!$G$5:$G$76)*('FIFA WC 2026'!$G$5:$G$76&gt;'FIFA WC 2026'!$F$5:$F$76)))+(SUMPRODUCT((MOD(INT((ROW('FIFA WC 2026'!$E$5:$E$76)-4)/2),3)=1)*((('FIFA WC 2026'!$E$5:$E$76=A27)+('FIFA WC 2026'!$H$5:$H$76=A27))&gt;0)*ISNUMBER('FIFA WC 2026'!$F$5:$F$76)*ISNUMBER('FIFA WC 2026'!$G$5:$G$76)*('FIFA WC 2026'!$F$5:$F$76='FIFA WC 2026'!$G$5:$G$76)))</f>
        <v>0</v>
      </c>
      <c r="E27" s="28">
        <f t="array" ref="E27">3*(SUMPRODUCT((MOD(INT((ROW('FIFA WC 2026'!$E$5:$E$76)-4)/2),3)=2)*('FIFA WC 2026'!$E$5:$E$76=A27)*ISNUMBER('FIFA WC 2026'!$F$5:$F$76)*ISNUMBER('FIFA WC 2026'!$G$5:$G$76)*('FIFA WC 2026'!$F$5:$F$76&gt;'FIFA WC 2026'!$G$5:$G$76))+SUMPRODUCT((MOD(INT((ROW('FIFA WC 2026'!$E$5:$E$76)-4)/2),3)=2)*('FIFA WC 2026'!$H$5:$H$76=A27)*ISNUMBER('FIFA WC 2026'!$F$5:$F$76)*ISNUMBER('FIFA WC 2026'!$G$5:$G$76)*('FIFA WC 2026'!$G$5:$G$76&gt;'FIFA WC 2026'!$F$5:$F$76)))+(SUMPRODUCT((MOD(INT((ROW('FIFA WC 2026'!$E$5:$E$76)-4)/2),3)=2)*((('FIFA WC 2026'!$E$5:$E$76=A27)+('FIFA WC 2026'!$H$5:$H$76=A27))&gt;0)*ISNUMBER('FIFA WC 2026'!$F$5:$F$76)*ISNUMBER('FIFA WC 2026'!$G$5:$G$76)*('FIFA WC 2026'!$F$5:$F$76='FIFA WC 2026'!$G$5:$G$76)))</f>
        <v>0</v>
      </c>
      <c r="F27" s="28">
        <f t="array" ref="F27">0.5*(SUMPRODUCT(('FIFA WC 2026'!$E$5:$E$76=A27)*IFERROR('FIFA WC 2026'!$F$5:$F$76,0))+SUMPRODUCT(('FIFA WC 2026'!$H$5:$H$76=A27)*IFERROR('FIFA WC 2026'!$G$5:$G$76,0))+SUMPRODUCT(('FIFA WC 2026'!$S$5:$S$66=A27)*IFERROR('FIFA WC 2026'!$T$5:$T$66,0))+SUMPRODUCT(('FIFA WC 2026'!$W$7:$W$64=A27)*IFERROR('FIFA WC 2026'!$X$7:$X$64,0))+SUMPRODUCT(('FIFA WC 2026'!$AA$11:$AA$66=A27)*IFERROR('FIFA WC 2026'!$AB$11:$AB$66,0))+SUMPRODUCT(('FIFA WC 2026'!$AE$19:$AE$52=A27)*IFERROR('FIFA WC 2026'!$AF$19:$AF$52,0))+SUMPRODUCT(('FIFA WC 2026'!$AI$35:$AI$44=A27)*IFERROR('FIFA WC 2026'!$AJ$35:$AJ$44,0)))</f>
        <v>0</v>
      </c>
      <c r="G27" s="28">
        <f>IF(COUNTIF('FIFA WC 2026'!$S$5:$S$66,A27)&gt;0,4,0)</f>
        <v>0</v>
      </c>
      <c r="H27" s="28">
        <f>IF(COUNTIF('FIFA WC 2026'!$W$7:$W$64,A27)&gt;0,6,0)</f>
        <v>0</v>
      </c>
      <c r="I27" s="28">
        <f>IF(COUNTIF('FIFA WC 2026'!$AA$11:$AA$60,A27)&gt;0,8,0)</f>
        <v>0</v>
      </c>
      <c r="J27" s="28">
        <f>IF(COUNTIF('FIFA WC 2026'!$AE$19:$AE$52,A27)&gt;0,10,0)</f>
        <v>0</v>
      </c>
      <c r="K27" s="28">
        <f>IF(COUNTIF('FIFA WC 2026'!$AI$35:$AI$36,A27)&gt;0,13,0)</f>
        <v>0</v>
      </c>
      <c r="L27" s="28">
        <f>IF('FIFA WC 2026'!$AI$40=A27,16,0)</f>
        <v>0</v>
      </c>
      <c r="M27" s="111">
        <f t="shared" si="0"/>
        <v>0</v>
      </c>
      <c r="N27" s="110">
        <f t="shared" si="1"/>
        <v>0</v>
      </c>
      <c r="O27">
        <f>IF('FIFA WC 2026'!$AI$41=$A27,5,0)</f>
        <v>0</v>
      </c>
    </row>
    <row r="28" spans="1:15" ht="12.75" customHeight="1" x14ac:dyDescent="0.3">
      <c r="A28" s="106" t="s">
        <v>53</v>
      </c>
      <c r="B28" s="107" t="s">
        <v>55</v>
      </c>
      <c r="C28" s="108">
        <f t="array" ref="C28">3*(SUMPRODUCT((MOD(INT((ROW('FIFA WC 2026'!$E$5:$E$76)-4)/2),3)=0)*('FIFA WC 2026'!$E$5:$E$76=A28)*ISNUMBER('FIFA WC 2026'!$F$5:$F$76)*ISNUMBER('FIFA WC 2026'!$G$5:$G$76)*('FIFA WC 2026'!$F$5:$F$76&gt;'FIFA WC 2026'!$G$5:$G$76))+SUMPRODUCT((MOD(INT((ROW('FIFA WC 2026'!$E$5:$E$76)-4)/2),3)=0)*('FIFA WC 2026'!$H$5:$H$76=A28)*ISNUMBER('FIFA WC 2026'!$F$5:$F$76)*ISNUMBER('FIFA WC 2026'!$G$5:$G$76)*('FIFA WC 2026'!$G$5:$G$76&gt;'FIFA WC 2026'!$F$5:$F$76)))+(SUMPRODUCT((MOD(INT((ROW('FIFA WC 2026'!$E$5:$E$76)-4)/2),3)=0)*((('FIFA WC 2026'!$E$5:$E$76=A28)+('FIFA WC 2026'!$H$5:$H$76=A28))&gt;0)*ISNUMBER('FIFA WC 2026'!$F$5:$F$76)*ISNUMBER('FIFA WC 2026'!$G$5:$G$76)*('FIFA WC 2026'!$F$5:$F$76='FIFA WC 2026'!$G$5:$G$76)))</f>
        <v>0</v>
      </c>
      <c r="D28" s="108">
        <f t="array" ref="D28">3*(SUMPRODUCT((MOD(INT((ROW('FIFA WC 2026'!$E$5:$E$76)-4)/2),3)=1)*('FIFA WC 2026'!$E$5:$E$76=A28)*ISNUMBER('FIFA WC 2026'!$F$5:$F$76)*ISNUMBER('FIFA WC 2026'!$G$5:$G$76)*('FIFA WC 2026'!$F$5:$F$76&gt;'FIFA WC 2026'!$G$5:$G$76))+SUMPRODUCT((MOD(INT((ROW('FIFA WC 2026'!$E$5:$E$76)-4)/2),3)=1)*('FIFA WC 2026'!$H$5:$H$76=A28)*ISNUMBER('FIFA WC 2026'!$F$5:$F$76)*ISNUMBER('FIFA WC 2026'!$G$5:$G$76)*('FIFA WC 2026'!$G$5:$G$76&gt;'FIFA WC 2026'!$F$5:$F$76)))+(SUMPRODUCT((MOD(INT((ROW('FIFA WC 2026'!$E$5:$E$76)-4)/2),3)=1)*((('FIFA WC 2026'!$E$5:$E$76=A28)+('FIFA WC 2026'!$H$5:$H$76=A28))&gt;0)*ISNUMBER('FIFA WC 2026'!$F$5:$F$76)*ISNUMBER('FIFA WC 2026'!$G$5:$G$76)*('FIFA WC 2026'!$F$5:$F$76='FIFA WC 2026'!$G$5:$G$76)))</f>
        <v>0</v>
      </c>
      <c r="E28" s="108">
        <f t="array" ref="E28">3*(SUMPRODUCT((MOD(INT((ROW('FIFA WC 2026'!$E$5:$E$76)-4)/2),3)=2)*('FIFA WC 2026'!$E$5:$E$76=A28)*ISNUMBER('FIFA WC 2026'!$F$5:$F$76)*ISNUMBER('FIFA WC 2026'!$G$5:$G$76)*('FIFA WC 2026'!$F$5:$F$76&gt;'FIFA WC 2026'!$G$5:$G$76))+SUMPRODUCT((MOD(INT((ROW('FIFA WC 2026'!$E$5:$E$76)-4)/2),3)=2)*('FIFA WC 2026'!$H$5:$H$76=A28)*ISNUMBER('FIFA WC 2026'!$F$5:$F$76)*ISNUMBER('FIFA WC 2026'!$G$5:$G$76)*('FIFA WC 2026'!$G$5:$G$76&gt;'FIFA WC 2026'!$F$5:$F$76)))+(SUMPRODUCT((MOD(INT((ROW('FIFA WC 2026'!$E$5:$E$76)-4)/2),3)=2)*((('FIFA WC 2026'!$E$5:$E$76=A28)+('FIFA WC 2026'!$H$5:$H$76=A28))&gt;0)*ISNUMBER('FIFA WC 2026'!$F$5:$F$76)*ISNUMBER('FIFA WC 2026'!$G$5:$G$76)*('FIFA WC 2026'!$F$5:$F$76='FIFA WC 2026'!$G$5:$G$76)))</f>
        <v>0</v>
      </c>
      <c r="F28" s="108">
        <f t="array" ref="F28">0.5*(SUMPRODUCT(('FIFA WC 2026'!$E$5:$E$76=A28)*IFERROR('FIFA WC 2026'!$F$5:$F$76,0))+SUMPRODUCT(('FIFA WC 2026'!$H$5:$H$76=A28)*IFERROR('FIFA WC 2026'!$G$5:$G$76,0))+SUMPRODUCT(('FIFA WC 2026'!$S$5:$S$66=A28)*IFERROR('FIFA WC 2026'!$T$5:$T$66,0))+SUMPRODUCT(('FIFA WC 2026'!$W$7:$W$64=A28)*IFERROR('FIFA WC 2026'!$X$7:$X$64,0))+SUMPRODUCT(('FIFA WC 2026'!$AA$11:$AA$66=A28)*IFERROR('FIFA WC 2026'!$AB$11:$AB$66,0))+SUMPRODUCT(('FIFA WC 2026'!$AE$19:$AE$52=A28)*IFERROR('FIFA WC 2026'!$AF$19:$AF$52,0))+SUMPRODUCT(('FIFA WC 2026'!$AI$35:$AI$44=A28)*IFERROR('FIFA WC 2026'!$AJ$35:$AJ$44,0)))</f>
        <v>0</v>
      </c>
      <c r="G28" s="108">
        <f>IF(COUNTIF('FIFA WC 2026'!$S$5:$S$66,A28)&gt;0,4,0)</f>
        <v>0</v>
      </c>
      <c r="H28" s="108">
        <f>IF(COUNTIF('FIFA WC 2026'!$W$7:$W$64,A28)&gt;0,6,0)</f>
        <v>0</v>
      </c>
      <c r="I28" s="108">
        <f>IF(COUNTIF('FIFA WC 2026'!$AA$11:$AA$60,A28)&gt;0,8,0)</f>
        <v>0</v>
      </c>
      <c r="J28" s="108">
        <f>IF(COUNTIF('FIFA WC 2026'!$AE$19:$AE$52,A28)&gt;0,10,0)</f>
        <v>0</v>
      </c>
      <c r="K28" s="108">
        <f>IF(COUNTIF('FIFA WC 2026'!$AI$35:$AI$36,A28)&gt;0,13,0)</f>
        <v>0</v>
      </c>
      <c r="L28" s="108">
        <f>IF('FIFA WC 2026'!$AI$40=A28,16,0)</f>
        <v>0</v>
      </c>
      <c r="M28" s="109">
        <f t="shared" si="0"/>
        <v>0</v>
      </c>
      <c r="N28" s="110">
        <f t="shared" si="1"/>
        <v>0</v>
      </c>
      <c r="O28">
        <f>IF('FIFA WC 2026'!$AI$41=$A28,5,0)</f>
        <v>0</v>
      </c>
    </row>
    <row r="29" spans="1:15" ht="12.75" customHeight="1" x14ac:dyDescent="0.3">
      <c r="A29" s="106" t="s">
        <v>54</v>
      </c>
      <c r="B29" s="107" t="s">
        <v>55</v>
      </c>
      <c r="C29" s="108">
        <f t="array" ref="C29">3*(SUMPRODUCT((MOD(INT((ROW('FIFA WC 2026'!$E$5:$E$76)-4)/2),3)=0)*('FIFA WC 2026'!$E$5:$E$76=A29)*ISNUMBER('FIFA WC 2026'!$F$5:$F$76)*ISNUMBER('FIFA WC 2026'!$G$5:$G$76)*('FIFA WC 2026'!$F$5:$F$76&gt;'FIFA WC 2026'!$G$5:$G$76))+SUMPRODUCT((MOD(INT((ROW('FIFA WC 2026'!$E$5:$E$76)-4)/2),3)=0)*('FIFA WC 2026'!$H$5:$H$76=A29)*ISNUMBER('FIFA WC 2026'!$F$5:$F$76)*ISNUMBER('FIFA WC 2026'!$G$5:$G$76)*('FIFA WC 2026'!$G$5:$G$76&gt;'FIFA WC 2026'!$F$5:$F$76)))+(SUMPRODUCT((MOD(INT((ROW('FIFA WC 2026'!$E$5:$E$76)-4)/2),3)=0)*((('FIFA WC 2026'!$E$5:$E$76=A29)+('FIFA WC 2026'!$H$5:$H$76=A29))&gt;0)*ISNUMBER('FIFA WC 2026'!$F$5:$F$76)*ISNUMBER('FIFA WC 2026'!$G$5:$G$76)*('FIFA WC 2026'!$F$5:$F$76='FIFA WC 2026'!$G$5:$G$76)))</f>
        <v>0</v>
      </c>
      <c r="D29" s="108">
        <f t="array" ref="D29">3*(SUMPRODUCT((MOD(INT((ROW('FIFA WC 2026'!$E$5:$E$76)-4)/2),3)=1)*('FIFA WC 2026'!$E$5:$E$76=A29)*ISNUMBER('FIFA WC 2026'!$F$5:$F$76)*ISNUMBER('FIFA WC 2026'!$G$5:$G$76)*('FIFA WC 2026'!$F$5:$F$76&gt;'FIFA WC 2026'!$G$5:$G$76))+SUMPRODUCT((MOD(INT((ROW('FIFA WC 2026'!$E$5:$E$76)-4)/2),3)=1)*('FIFA WC 2026'!$H$5:$H$76=A29)*ISNUMBER('FIFA WC 2026'!$F$5:$F$76)*ISNUMBER('FIFA WC 2026'!$G$5:$G$76)*('FIFA WC 2026'!$G$5:$G$76&gt;'FIFA WC 2026'!$F$5:$F$76)))+(SUMPRODUCT((MOD(INT((ROW('FIFA WC 2026'!$E$5:$E$76)-4)/2),3)=1)*((('FIFA WC 2026'!$E$5:$E$76=A29)+('FIFA WC 2026'!$H$5:$H$76=A29))&gt;0)*ISNUMBER('FIFA WC 2026'!$F$5:$F$76)*ISNUMBER('FIFA WC 2026'!$G$5:$G$76)*('FIFA WC 2026'!$F$5:$F$76='FIFA WC 2026'!$G$5:$G$76)))</f>
        <v>0</v>
      </c>
      <c r="E29" s="108">
        <f t="array" ref="E29">3*(SUMPRODUCT((MOD(INT((ROW('FIFA WC 2026'!$E$5:$E$76)-4)/2),3)=2)*('FIFA WC 2026'!$E$5:$E$76=A29)*ISNUMBER('FIFA WC 2026'!$F$5:$F$76)*ISNUMBER('FIFA WC 2026'!$G$5:$G$76)*('FIFA WC 2026'!$F$5:$F$76&gt;'FIFA WC 2026'!$G$5:$G$76))+SUMPRODUCT((MOD(INT((ROW('FIFA WC 2026'!$E$5:$E$76)-4)/2),3)=2)*('FIFA WC 2026'!$H$5:$H$76=A29)*ISNUMBER('FIFA WC 2026'!$F$5:$F$76)*ISNUMBER('FIFA WC 2026'!$G$5:$G$76)*('FIFA WC 2026'!$G$5:$G$76&gt;'FIFA WC 2026'!$F$5:$F$76)))+(SUMPRODUCT((MOD(INT((ROW('FIFA WC 2026'!$E$5:$E$76)-4)/2),3)=2)*((('FIFA WC 2026'!$E$5:$E$76=A29)+('FIFA WC 2026'!$H$5:$H$76=A29))&gt;0)*ISNUMBER('FIFA WC 2026'!$F$5:$F$76)*ISNUMBER('FIFA WC 2026'!$G$5:$G$76)*('FIFA WC 2026'!$F$5:$F$76='FIFA WC 2026'!$G$5:$G$76)))</f>
        <v>0</v>
      </c>
      <c r="F29" s="108">
        <f t="array" ref="F29">0.5*(SUMPRODUCT(('FIFA WC 2026'!$E$5:$E$76=A29)*IFERROR('FIFA WC 2026'!$F$5:$F$76,0))+SUMPRODUCT(('FIFA WC 2026'!$H$5:$H$76=A29)*IFERROR('FIFA WC 2026'!$G$5:$G$76,0))+SUMPRODUCT(('FIFA WC 2026'!$S$5:$S$66=A29)*IFERROR('FIFA WC 2026'!$T$5:$T$66,0))+SUMPRODUCT(('FIFA WC 2026'!$W$7:$W$64=A29)*IFERROR('FIFA WC 2026'!$X$7:$X$64,0))+SUMPRODUCT(('FIFA WC 2026'!$AA$11:$AA$66=A29)*IFERROR('FIFA WC 2026'!$AB$11:$AB$66,0))+SUMPRODUCT(('FIFA WC 2026'!$AE$19:$AE$52=A29)*IFERROR('FIFA WC 2026'!$AF$19:$AF$52,0))+SUMPRODUCT(('FIFA WC 2026'!$AI$35:$AI$44=A29)*IFERROR('FIFA WC 2026'!$AJ$35:$AJ$44,0)))</f>
        <v>0</v>
      </c>
      <c r="G29" s="108">
        <f>IF(COUNTIF('FIFA WC 2026'!$S$5:$S$66,A29)&gt;0,4,0)</f>
        <v>0</v>
      </c>
      <c r="H29" s="108">
        <f>IF(COUNTIF('FIFA WC 2026'!$W$7:$W$64,A29)&gt;0,6,0)</f>
        <v>0</v>
      </c>
      <c r="I29" s="108">
        <f>IF(COUNTIF('FIFA WC 2026'!$AA$11:$AA$60,A29)&gt;0,8,0)</f>
        <v>0</v>
      </c>
      <c r="J29" s="108">
        <f>IF(COUNTIF('FIFA WC 2026'!$AE$19:$AE$52,A29)&gt;0,10,0)</f>
        <v>0</v>
      </c>
      <c r="K29" s="108">
        <f>IF(COUNTIF('FIFA WC 2026'!$AI$35:$AI$36,A29)&gt;0,13,0)</f>
        <v>0</v>
      </c>
      <c r="L29" s="108">
        <f>IF('FIFA WC 2026'!$AI$40=A29,16,0)</f>
        <v>0</v>
      </c>
      <c r="M29" s="109">
        <f t="shared" si="0"/>
        <v>0</v>
      </c>
      <c r="N29" s="110">
        <f t="shared" si="1"/>
        <v>0</v>
      </c>
      <c r="O29">
        <f>IF('FIFA WC 2026'!$AI$41=$A29,5,0)</f>
        <v>0</v>
      </c>
    </row>
    <row r="30" spans="1:15" ht="12.75" customHeight="1" x14ac:dyDescent="0.3">
      <c r="A30" s="106" t="s">
        <v>57</v>
      </c>
      <c r="B30" s="107" t="s">
        <v>55</v>
      </c>
      <c r="C30" s="108">
        <f t="array" ref="C30">3*(SUMPRODUCT((MOD(INT((ROW('FIFA WC 2026'!$E$5:$E$76)-4)/2),3)=0)*('FIFA WC 2026'!$E$5:$E$76=A30)*ISNUMBER('FIFA WC 2026'!$F$5:$F$76)*ISNUMBER('FIFA WC 2026'!$G$5:$G$76)*('FIFA WC 2026'!$F$5:$F$76&gt;'FIFA WC 2026'!$G$5:$G$76))+SUMPRODUCT((MOD(INT((ROW('FIFA WC 2026'!$E$5:$E$76)-4)/2),3)=0)*('FIFA WC 2026'!$H$5:$H$76=A30)*ISNUMBER('FIFA WC 2026'!$F$5:$F$76)*ISNUMBER('FIFA WC 2026'!$G$5:$G$76)*('FIFA WC 2026'!$G$5:$G$76&gt;'FIFA WC 2026'!$F$5:$F$76)))+(SUMPRODUCT((MOD(INT((ROW('FIFA WC 2026'!$E$5:$E$76)-4)/2),3)=0)*((('FIFA WC 2026'!$E$5:$E$76=A30)+('FIFA WC 2026'!$H$5:$H$76=A30))&gt;0)*ISNUMBER('FIFA WC 2026'!$F$5:$F$76)*ISNUMBER('FIFA WC 2026'!$G$5:$G$76)*('FIFA WC 2026'!$F$5:$F$76='FIFA WC 2026'!$G$5:$G$76)))</f>
        <v>0</v>
      </c>
      <c r="D30" s="108">
        <f t="array" ref="D30">3*(SUMPRODUCT((MOD(INT((ROW('FIFA WC 2026'!$E$5:$E$76)-4)/2),3)=1)*('FIFA WC 2026'!$E$5:$E$76=A30)*ISNUMBER('FIFA WC 2026'!$F$5:$F$76)*ISNUMBER('FIFA WC 2026'!$G$5:$G$76)*('FIFA WC 2026'!$F$5:$F$76&gt;'FIFA WC 2026'!$G$5:$G$76))+SUMPRODUCT((MOD(INT((ROW('FIFA WC 2026'!$E$5:$E$76)-4)/2),3)=1)*('FIFA WC 2026'!$H$5:$H$76=A30)*ISNUMBER('FIFA WC 2026'!$F$5:$F$76)*ISNUMBER('FIFA WC 2026'!$G$5:$G$76)*('FIFA WC 2026'!$G$5:$G$76&gt;'FIFA WC 2026'!$F$5:$F$76)))+(SUMPRODUCT((MOD(INT((ROW('FIFA WC 2026'!$E$5:$E$76)-4)/2),3)=1)*((('FIFA WC 2026'!$E$5:$E$76=A30)+('FIFA WC 2026'!$H$5:$H$76=A30))&gt;0)*ISNUMBER('FIFA WC 2026'!$F$5:$F$76)*ISNUMBER('FIFA WC 2026'!$G$5:$G$76)*('FIFA WC 2026'!$F$5:$F$76='FIFA WC 2026'!$G$5:$G$76)))</f>
        <v>0</v>
      </c>
      <c r="E30" s="108">
        <f t="array" ref="E30">3*(SUMPRODUCT((MOD(INT((ROW('FIFA WC 2026'!$E$5:$E$76)-4)/2),3)=2)*('FIFA WC 2026'!$E$5:$E$76=A30)*ISNUMBER('FIFA WC 2026'!$F$5:$F$76)*ISNUMBER('FIFA WC 2026'!$G$5:$G$76)*('FIFA WC 2026'!$F$5:$F$76&gt;'FIFA WC 2026'!$G$5:$G$76))+SUMPRODUCT((MOD(INT((ROW('FIFA WC 2026'!$E$5:$E$76)-4)/2),3)=2)*('FIFA WC 2026'!$H$5:$H$76=A30)*ISNUMBER('FIFA WC 2026'!$F$5:$F$76)*ISNUMBER('FIFA WC 2026'!$G$5:$G$76)*('FIFA WC 2026'!$G$5:$G$76&gt;'FIFA WC 2026'!$F$5:$F$76)))+(SUMPRODUCT((MOD(INT((ROW('FIFA WC 2026'!$E$5:$E$76)-4)/2),3)=2)*((('FIFA WC 2026'!$E$5:$E$76=A30)+('FIFA WC 2026'!$H$5:$H$76=A30))&gt;0)*ISNUMBER('FIFA WC 2026'!$F$5:$F$76)*ISNUMBER('FIFA WC 2026'!$G$5:$G$76)*('FIFA WC 2026'!$F$5:$F$76='FIFA WC 2026'!$G$5:$G$76)))</f>
        <v>0</v>
      </c>
      <c r="F30" s="108">
        <f t="array" ref="F30">0.5*(SUMPRODUCT(('FIFA WC 2026'!$E$5:$E$76=A30)*IFERROR('FIFA WC 2026'!$F$5:$F$76,0))+SUMPRODUCT(('FIFA WC 2026'!$H$5:$H$76=A30)*IFERROR('FIFA WC 2026'!$G$5:$G$76,0))+SUMPRODUCT(('FIFA WC 2026'!$S$5:$S$66=A30)*IFERROR('FIFA WC 2026'!$T$5:$T$66,0))+SUMPRODUCT(('FIFA WC 2026'!$W$7:$W$64=A30)*IFERROR('FIFA WC 2026'!$X$7:$X$64,0))+SUMPRODUCT(('FIFA WC 2026'!$AA$11:$AA$66=A30)*IFERROR('FIFA WC 2026'!$AB$11:$AB$66,0))+SUMPRODUCT(('FIFA WC 2026'!$AE$19:$AE$52=A30)*IFERROR('FIFA WC 2026'!$AF$19:$AF$52,0))+SUMPRODUCT(('FIFA WC 2026'!$AI$35:$AI$44=A30)*IFERROR('FIFA WC 2026'!$AJ$35:$AJ$44,0)))</f>
        <v>0</v>
      </c>
      <c r="G30" s="108">
        <f>IF(COUNTIF('FIFA WC 2026'!$S$5:$S$66,A30)&gt;0,4,0)</f>
        <v>0</v>
      </c>
      <c r="H30" s="108">
        <f>IF(COUNTIF('FIFA WC 2026'!$W$7:$W$64,A30)&gt;0,6,0)</f>
        <v>0</v>
      </c>
      <c r="I30" s="108">
        <f>IF(COUNTIF('FIFA WC 2026'!$AA$11:$AA$60,A30)&gt;0,8,0)</f>
        <v>0</v>
      </c>
      <c r="J30" s="108">
        <f>IF(COUNTIF('FIFA WC 2026'!$AE$19:$AE$52,A30)&gt;0,10,0)</f>
        <v>0</v>
      </c>
      <c r="K30" s="108">
        <f>IF(COUNTIF('FIFA WC 2026'!$AI$35:$AI$36,A30)&gt;0,13,0)</f>
        <v>0</v>
      </c>
      <c r="L30" s="108">
        <f>IF('FIFA WC 2026'!$AI$40=A30,16,0)</f>
        <v>0</v>
      </c>
      <c r="M30" s="109">
        <f t="shared" si="0"/>
        <v>0</v>
      </c>
      <c r="N30" s="110">
        <f t="shared" si="1"/>
        <v>0</v>
      </c>
      <c r="O30">
        <f>IF('FIFA WC 2026'!$AI$41=$A30,5,0)</f>
        <v>0</v>
      </c>
    </row>
    <row r="31" spans="1:15" ht="12.75" customHeight="1" x14ac:dyDescent="0.3">
      <c r="A31" s="106" t="s">
        <v>58</v>
      </c>
      <c r="B31" s="107" t="s">
        <v>55</v>
      </c>
      <c r="C31" s="108">
        <f t="array" ref="C31">3*(SUMPRODUCT((MOD(INT((ROW('FIFA WC 2026'!$E$5:$E$76)-4)/2),3)=0)*('FIFA WC 2026'!$E$5:$E$76=A31)*ISNUMBER('FIFA WC 2026'!$F$5:$F$76)*ISNUMBER('FIFA WC 2026'!$G$5:$G$76)*('FIFA WC 2026'!$F$5:$F$76&gt;'FIFA WC 2026'!$G$5:$G$76))+SUMPRODUCT((MOD(INT((ROW('FIFA WC 2026'!$E$5:$E$76)-4)/2),3)=0)*('FIFA WC 2026'!$H$5:$H$76=A31)*ISNUMBER('FIFA WC 2026'!$F$5:$F$76)*ISNUMBER('FIFA WC 2026'!$G$5:$G$76)*('FIFA WC 2026'!$G$5:$G$76&gt;'FIFA WC 2026'!$F$5:$F$76)))+(SUMPRODUCT((MOD(INT((ROW('FIFA WC 2026'!$E$5:$E$76)-4)/2),3)=0)*((('FIFA WC 2026'!$E$5:$E$76=A31)+('FIFA WC 2026'!$H$5:$H$76=A31))&gt;0)*ISNUMBER('FIFA WC 2026'!$F$5:$F$76)*ISNUMBER('FIFA WC 2026'!$G$5:$G$76)*('FIFA WC 2026'!$F$5:$F$76='FIFA WC 2026'!$G$5:$G$76)))</f>
        <v>0</v>
      </c>
      <c r="D31" s="108">
        <f t="array" ref="D31">3*(SUMPRODUCT((MOD(INT((ROW('FIFA WC 2026'!$E$5:$E$76)-4)/2),3)=1)*('FIFA WC 2026'!$E$5:$E$76=A31)*ISNUMBER('FIFA WC 2026'!$F$5:$F$76)*ISNUMBER('FIFA WC 2026'!$G$5:$G$76)*('FIFA WC 2026'!$F$5:$F$76&gt;'FIFA WC 2026'!$G$5:$G$76))+SUMPRODUCT((MOD(INT((ROW('FIFA WC 2026'!$E$5:$E$76)-4)/2),3)=1)*('FIFA WC 2026'!$H$5:$H$76=A31)*ISNUMBER('FIFA WC 2026'!$F$5:$F$76)*ISNUMBER('FIFA WC 2026'!$G$5:$G$76)*('FIFA WC 2026'!$G$5:$G$76&gt;'FIFA WC 2026'!$F$5:$F$76)))+(SUMPRODUCT((MOD(INT((ROW('FIFA WC 2026'!$E$5:$E$76)-4)/2),3)=1)*((('FIFA WC 2026'!$E$5:$E$76=A31)+('FIFA WC 2026'!$H$5:$H$76=A31))&gt;0)*ISNUMBER('FIFA WC 2026'!$F$5:$F$76)*ISNUMBER('FIFA WC 2026'!$G$5:$G$76)*('FIFA WC 2026'!$F$5:$F$76='FIFA WC 2026'!$G$5:$G$76)))</f>
        <v>0</v>
      </c>
      <c r="E31" s="108">
        <f t="array" ref="E31">3*(SUMPRODUCT((MOD(INT((ROW('FIFA WC 2026'!$E$5:$E$76)-4)/2),3)=2)*('FIFA WC 2026'!$E$5:$E$76=A31)*ISNUMBER('FIFA WC 2026'!$F$5:$F$76)*ISNUMBER('FIFA WC 2026'!$G$5:$G$76)*('FIFA WC 2026'!$F$5:$F$76&gt;'FIFA WC 2026'!$G$5:$G$76))+SUMPRODUCT((MOD(INT((ROW('FIFA WC 2026'!$E$5:$E$76)-4)/2),3)=2)*('FIFA WC 2026'!$H$5:$H$76=A31)*ISNUMBER('FIFA WC 2026'!$F$5:$F$76)*ISNUMBER('FIFA WC 2026'!$G$5:$G$76)*('FIFA WC 2026'!$G$5:$G$76&gt;'FIFA WC 2026'!$F$5:$F$76)))+(SUMPRODUCT((MOD(INT((ROW('FIFA WC 2026'!$E$5:$E$76)-4)/2),3)=2)*((('FIFA WC 2026'!$E$5:$E$76=A31)+('FIFA WC 2026'!$H$5:$H$76=A31))&gt;0)*ISNUMBER('FIFA WC 2026'!$F$5:$F$76)*ISNUMBER('FIFA WC 2026'!$G$5:$G$76)*('FIFA WC 2026'!$F$5:$F$76='FIFA WC 2026'!$G$5:$G$76)))</f>
        <v>0</v>
      </c>
      <c r="F31" s="108">
        <f t="array" ref="F31">0.5*(SUMPRODUCT(('FIFA WC 2026'!$E$5:$E$76=A31)*IFERROR('FIFA WC 2026'!$F$5:$F$76,0))+SUMPRODUCT(('FIFA WC 2026'!$H$5:$H$76=A31)*IFERROR('FIFA WC 2026'!$G$5:$G$76,0))+SUMPRODUCT(('FIFA WC 2026'!$S$5:$S$66=A31)*IFERROR('FIFA WC 2026'!$T$5:$T$66,0))+SUMPRODUCT(('FIFA WC 2026'!$W$7:$W$64=A31)*IFERROR('FIFA WC 2026'!$X$7:$X$64,0))+SUMPRODUCT(('FIFA WC 2026'!$AA$11:$AA$66=A31)*IFERROR('FIFA WC 2026'!$AB$11:$AB$66,0))+SUMPRODUCT(('FIFA WC 2026'!$AE$19:$AE$52=A31)*IFERROR('FIFA WC 2026'!$AF$19:$AF$52,0))+SUMPRODUCT(('FIFA WC 2026'!$AI$35:$AI$44=A31)*IFERROR('FIFA WC 2026'!$AJ$35:$AJ$44,0)))</f>
        <v>0</v>
      </c>
      <c r="G31" s="108">
        <f>IF(COUNTIF('FIFA WC 2026'!$S$5:$S$66,A31)&gt;0,4,0)</f>
        <v>0</v>
      </c>
      <c r="H31" s="108">
        <f>IF(COUNTIF('FIFA WC 2026'!$W$7:$W$64,A31)&gt;0,6,0)</f>
        <v>0</v>
      </c>
      <c r="I31" s="108">
        <f>IF(COUNTIF('FIFA WC 2026'!$AA$11:$AA$60,A31)&gt;0,8,0)</f>
        <v>0</v>
      </c>
      <c r="J31" s="108">
        <f>IF(COUNTIF('FIFA WC 2026'!$AE$19:$AE$52,A31)&gt;0,10,0)</f>
        <v>0</v>
      </c>
      <c r="K31" s="108">
        <f>IF(COUNTIF('FIFA WC 2026'!$AI$35:$AI$36,A31)&gt;0,13,0)</f>
        <v>0</v>
      </c>
      <c r="L31" s="108">
        <f>IF('FIFA WC 2026'!$AI$40=A31,16,0)</f>
        <v>0</v>
      </c>
      <c r="M31" s="109">
        <f t="shared" si="0"/>
        <v>0</v>
      </c>
      <c r="N31" s="110">
        <f t="shared" si="1"/>
        <v>0</v>
      </c>
      <c r="O31">
        <f>IF('FIFA WC 2026'!$AI$41=$A31,5,0)</f>
        <v>0</v>
      </c>
    </row>
    <row r="32" spans="1:15" ht="12.75" customHeight="1" x14ac:dyDescent="0.3">
      <c r="A32" s="27" t="s">
        <v>60</v>
      </c>
      <c r="B32" s="26" t="s">
        <v>62</v>
      </c>
      <c r="C32" s="28">
        <f t="array" ref="C32">3*(SUMPRODUCT((MOD(INT((ROW('FIFA WC 2026'!$E$5:$E$76)-4)/2),3)=0)*('FIFA WC 2026'!$E$5:$E$76=A32)*ISNUMBER('FIFA WC 2026'!$F$5:$F$76)*ISNUMBER('FIFA WC 2026'!$G$5:$G$76)*('FIFA WC 2026'!$F$5:$F$76&gt;'FIFA WC 2026'!$G$5:$G$76))+SUMPRODUCT((MOD(INT((ROW('FIFA WC 2026'!$E$5:$E$76)-4)/2),3)=0)*('FIFA WC 2026'!$H$5:$H$76=A32)*ISNUMBER('FIFA WC 2026'!$F$5:$F$76)*ISNUMBER('FIFA WC 2026'!$G$5:$G$76)*('FIFA WC 2026'!$G$5:$G$76&gt;'FIFA WC 2026'!$F$5:$F$76)))+(SUMPRODUCT((MOD(INT((ROW('FIFA WC 2026'!$E$5:$E$76)-4)/2),3)=0)*((('FIFA WC 2026'!$E$5:$E$76=A32)+('FIFA WC 2026'!$H$5:$H$76=A32))&gt;0)*ISNUMBER('FIFA WC 2026'!$F$5:$F$76)*ISNUMBER('FIFA WC 2026'!$G$5:$G$76)*('FIFA WC 2026'!$F$5:$F$76='FIFA WC 2026'!$G$5:$G$76)))</f>
        <v>0</v>
      </c>
      <c r="D32" s="28">
        <f t="array" ref="D32">3*(SUMPRODUCT((MOD(INT((ROW('FIFA WC 2026'!$E$5:$E$76)-4)/2),3)=1)*('FIFA WC 2026'!$E$5:$E$76=A32)*ISNUMBER('FIFA WC 2026'!$F$5:$F$76)*ISNUMBER('FIFA WC 2026'!$G$5:$G$76)*('FIFA WC 2026'!$F$5:$F$76&gt;'FIFA WC 2026'!$G$5:$G$76))+SUMPRODUCT((MOD(INT((ROW('FIFA WC 2026'!$E$5:$E$76)-4)/2),3)=1)*('FIFA WC 2026'!$H$5:$H$76=A32)*ISNUMBER('FIFA WC 2026'!$F$5:$F$76)*ISNUMBER('FIFA WC 2026'!$G$5:$G$76)*('FIFA WC 2026'!$G$5:$G$76&gt;'FIFA WC 2026'!$F$5:$F$76)))+(SUMPRODUCT((MOD(INT((ROW('FIFA WC 2026'!$E$5:$E$76)-4)/2),3)=1)*((('FIFA WC 2026'!$E$5:$E$76=A32)+('FIFA WC 2026'!$H$5:$H$76=A32))&gt;0)*ISNUMBER('FIFA WC 2026'!$F$5:$F$76)*ISNUMBER('FIFA WC 2026'!$G$5:$G$76)*('FIFA WC 2026'!$F$5:$F$76='FIFA WC 2026'!$G$5:$G$76)))</f>
        <v>0</v>
      </c>
      <c r="E32" s="28">
        <f t="array" ref="E32">3*(SUMPRODUCT((MOD(INT((ROW('FIFA WC 2026'!$E$5:$E$76)-4)/2),3)=2)*('FIFA WC 2026'!$E$5:$E$76=A32)*ISNUMBER('FIFA WC 2026'!$F$5:$F$76)*ISNUMBER('FIFA WC 2026'!$G$5:$G$76)*('FIFA WC 2026'!$F$5:$F$76&gt;'FIFA WC 2026'!$G$5:$G$76))+SUMPRODUCT((MOD(INT((ROW('FIFA WC 2026'!$E$5:$E$76)-4)/2),3)=2)*('FIFA WC 2026'!$H$5:$H$76=A32)*ISNUMBER('FIFA WC 2026'!$F$5:$F$76)*ISNUMBER('FIFA WC 2026'!$G$5:$G$76)*('FIFA WC 2026'!$G$5:$G$76&gt;'FIFA WC 2026'!$F$5:$F$76)))+(SUMPRODUCT((MOD(INT((ROW('FIFA WC 2026'!$E$5:$E$76)-4)/2),3)=2)*((('FIFA WC 2026'!$E$5:$E$76=A32)+('FIFA WC 2026'!$H$5:$H$76=A32))&gt;0)*ISNUMBER('FIFA WC 2026'!$F$5:$F$76)*ISNUMBER('FIFA WC 2026'!$G$5:$G$76)*('FIFA WC 2026'!$F$5:$F$76='FIFA WC 2026'!$G$5:$G$76)))</f>
        <v>0</v>
      </c>
      <c r="F32" s="28">
        <f t="array" ref="F32">0.5*(SUMPRODUCT(('FIFA WC 2026'!$E$5:$E$76=A32)*IFERROR('FIFA WC 2026'!$F$5:$F$76,0))+SUMPRODUCT(('FIFA WC 2026'!$H$5:$H$76=A32)*IFERROR('FIFA WC 2026'!$G$5:$G$76,0))+SUMPRODUCT(('FIFA WC 2026'!$S$5:$S$66=A32)*IFERROR('FIFA WC 2026'!$T$5:$T$66,0))+SUMPRODUCT(('FIFA WC 2026'!$W$7:$W$64=A32)*IFERROR('FIFA WC 2026'!$X$7:$X$64,0))+SUMPRODUCT(('FIFA WC 2026'!$AA$11:$AA$66=A32)*IFERROR('FIFA WC 2026'!$AB$11:$AB$66,0))+SUMPRODUCT(('FIFA WC 2026'!$AE$19:$AE$52=A32)*IFERROR('FIFA WC 2026'!$AF$19:$AF$52,0))+SUMPRODUCT(('FIFA WC 2026'!$AI$35:$AI$44=A32)*IFERROR('FIFA WC 2026'!$AJ$35:$AJ$44,0)))</f>
        <v>0</v>
      </c>
      <c r="G32" s="28">
        <f>IF(COUNTIF('FIFA WC 2026'!$S$5:$S$66,A32)&gt;0,4,0)</f>
        <v>0</v>
      </c>
      <c r="H32" s="28">
        <f>IF(COUNTIF('FIFA WC 2026'!$W$7:$W$64,A32)&gt;0,6,0)</f>
        <v>0</v>
      </c>
      <c r="I32" s="28">
        <f>IF(COUNTIF('FIFA WC 2026'!$AA$11:$AA$60,A32)&gt;0,8,0)</f>
        <v>0</v>
      </c>
      <c r="J32" s="28">
        <f>IF(COUNTIF('FIFA WC 2026'!$AE$19:$AE$52,A32)&gt;0,10,0)</f>
        <v>0</v>
      </c>
      <c r="K32" s="28">
        <f>IF(COUNTIF('FIFA WC 2026'!$AI$35:$AI$36,A32)&gt;0,13,0)</f>
        <v>0</v>
      </c>
      <c r="L32" s="28">
        <f>IF('FIFA WC 2026'!$AI$40=A32,16,0)</f>
        <v>0</v>
      </c>
      <c r="M32" s="111">
        <f t="shared" si="0"/>
        <v>0</v>
      </c>
      <c r="N32" s="110">
        <f t="shared" si="1"/>
        <v>0</v>
      </c>
      <c r="O32">
        <f>IF('FIFA WC 2026'!$AI$41=$A32,5,0)</f>
        <v>0</v>
      </c>
    </row>
    <row r="33" spans="1:15" ht="12.75" customHeight="1" x14ac:dyDescent="0.3">
      <c r="A33" s="27" t="s">
        <v>61</v>
      </c>
      <c r="B33" s="26" t="s">
        <v>62</v>
      </c>
      <c r="C33" s="28">
        <f t="array" ref="C33">3*(SUMPRODUCT((MOD(INT((ROW('FIFA WC 2026'!$E$5:$E$76)-4)/2),3)=0)*('FIFA WC 2026'!$E$5:$E$76=A33)*ISNUMBER('FIFA WC 2026'!$F$5:$F$76)*ISNUMBER('FIFA WC 2026'!$G$5:$G$76)*('FIFA WC 2026'!$F$5:$F$76&gt;'FIFA WC 2026'!$G$5:$G$76))+SUMPRODUCT((MOD(INT((ROW('FIFA WC 2026'!$E$5:$E$76)-4)/2),3)=0)*('FIFA WC 2026'!$H$5:$H$76=A33)*ISNUMBER('FIFA WC 2026'!$F$5:$F$76)*ISNUMBER('FIFA WC 2026'!$G$5:$G$76)*('FIFA WC 2026'!$G$5:$G$76&gt;'FIFA WC 2026'!$F$5:$F$76)))+(SUMPRODUCT((MOD(INT((ROW('FIFA WC 2026'!$E$5:$E$76)-4)/2),3)=0)*((('FIFA WC 2026'!$E$5:$E$76=A33)+('FIFA WC 2026'!$H$5:$H$76=A33))&gt;0)*ISNUMBER('FIFA WC 2026'!$F$5:$F$76)*ISNUMBER('FIFA WC 2026'!$G$5:$G$76)*('FIFA WC 2026'!$F$5:$F$76='FIFA WC 2026'!$G$5:$G$76)))</f>
        <v>0</v>
      </c>
      <c r="D33" s="28">
        <f t="array" ref="D33">3*(SUMPRODUCT((MOD(INT((ROW('FIFA WC 2026'!$E$5:$E$76)-4)/2),3)=1)*('FIFA WC 2026'!$E$5:$E$76=A33)*ISNUMBER('FIFA WC 2026'!$F$5:$F$76)*ISNUMBER('FIFA WC 2026'!$G$5:$G$76)*('FIFA WC 2026'!$F$5:$F$76&gt;'FIFA WC 2026'!$G$5:$G$76))+SUMPRODUCT((MOD(INT((ROW('FIFA WC 2026'!$E$5:$E$76)-4)/2),3)=1)*('FIFA WC 2026'!$H$5:$H$76=A33)*ISNUMBER('FIFA WC 2026'!$F$5:$F$76)*ISNUMBER('FIFA WC 2026'!$G$5:$G$76)*('FIFA WC 2026'!$G$5:$G$76&gt;'FIFA WC 2026'!$F$5:$F$76)))+(SUMPRODUCT((MOD(INT((ROW('FIFA WC 2026'!$E$5:$E$76)-4)/2),3)=1)*((('FIFA WC 2026'!$E$5:$E$76=A33)+('FIFA WC 2026'!$H$5:$H$76=A33))&gt;0)*ISNUMBER('FIFA WC 2026'!$F$5:$F$76)*ISNUMBER('FIFA WC 2026'!$G$5:$G$76)*('FIFA WC 2026'!$F$5:$F$76='FIFA WC 2026'!$G$5:$G$76)))</f>
        <v>0</v>
      </c>
      <c r="E33" s="28">
        <f t="array" ref="E33">3*(SUMPRODUCT((MOD(INT((ROW('FIFA WC 2026'!$E$5:$E$76)-4)/2),3)=2)*('FIFA WC 2026'!$E$5:$E$76=A33)*ISNUMBER('FIFA WC 2026'!$F$5:$F$76)*ISNUMBER('FIFA WC 2026'!$G$5:$G$76)*('FIFA WC 2026'!$F$5:$F$76&gt;'FIFA WC 2026'!$G$5:$G$76))+SUMPRODUCT((MOD(INT((ROW('FIFA WC 2026'!$E$5:$E$76)-4)/2),3)=2)*('FIFA WC 2026'!$H$5:$H$76=A33)*ISNUMBER('FIFA WC 2026'!$F$5:$F$76)*ISNUMBER('FIFA WC 2026'!$G$5:$G$76)*('FIFA WC 2026'!$G$5:$G$76&gt;'FIFA WC 2026'!$F$5:$F$76)))+(SUMPRODUCT((MOD(INT((ROW('FIFA WC 2026'!$E$5:$E$76)-4)/2),3)=2)*((('FIFA WC 2026'!$E$5:$E$76=A33)+('FIFA WC 2026'!$H$5:$H$76=A33))&gt;0)*ISNUMBER('FIFA WC 2026'!$F$5:$F$76)*ISNUMBER('FIFA WC 2026'!$G$5:$G$76)*('FIFA WC 2026'!$F$5:$F$76='FIFA WC 2026'!$G$5:$G$76)))</f>
        <v>0</v>
      </c>
      <c r="F33" s="28">
        <f t="array" ref="F33">0.5*(SUMPRODUCT(('FIFA WC 2026'!$E$5:$E$76=A33)*IFERROR('FIFA WC 2026'!$F$5:$F$76,0))+SUMPRODUCT(('FIFA WC 2026'!$H$5:$H$76=A33)*IFERROR('FIFA WC 2026'!$G$5:$G$76,0))+SUMPRODUCT(('FIFA WC 2026'!$S$5:$S$66=A33)*IFERROR('FIFA WC 2026'!$T$5:$T$66,0))+SUMPRODUCT(('FIFA WC 2026'!$W$7:$W$64=A33)*IFERROR('FIFA WC 2026'!$X$7:$X$64,0))+SUMPRODUCT(('FIFA WC 2026'!$AA$11:$AA$66=A33)*IFERROR('FIFA WC 2026'!$AB$11:$AB$66,0))+SUMPRODUCT(('FIFA WC 2026'!$AE$19:$AE$52=A33)*IFERROR('FIFA WC 2026'!$AF$19:$AF$52,0))+SUMPRODUCT(('FIFA WC 2026'!$AI$35:$AI$44=A33)*IFERROR('FIFA WC 2026'!$AJ$35:$AJ$44,0)))</f>
        <v>0</v>
      </c>
      <c r="G33" s="28">
        <f>IF(COUNTIF('FIFA WC 2026'!$S$5:$S$66,A33)&gt;0,4,0)</f>
        <v>0</v>
      </c>
      <c r="H33" s="28">
        <f>IF(COUNTIF('FIFA WC 2026'!$W$7:$W$64,A33)&gt;0,6,0)</f>
        <v>0</v>
      </c>
      <c r="I33" s="28">
        <f>IF(COUNTIF('FIFA WC 2026'!$AA$11:$AA$60,A33)&gt;0,8,0)</f>
        <v>0</v>
      </c>
      <c r="J33" s="28">
        <f>IF(COUNTIF('FIFA WC 2026'!$AE$19:$AE$52,A33)&gt;0,10,0)</f>
        <v>0</v>
      </c>
      <c r="K33" s="28">
        <f>IF(COUNTIF('FIFA WC 2026'!$AI$35:$AI$36,A33)&gt;0,13,0)</f>
        <v>0</v>
      </c>
      <c r="L33" s="28">
        <f>IF('FIFA WC 2026'!$AI$40=A33,16,0)</f>
        <v>0</v>
      </c>
      <c r="M33" s="111">
        <f t="shared" si="0"/>
        <v>0</v>
      </c>
      <c r="N33" s="110">
        <f t="shared" si="1"/>
        <v>0</v>
      </c>
      <c r="O33">
        <f>IF('FIFA WC 2026'!$AI$41=$A33,5,0)</f>
        <v>0</v>
      </c>
    </row>
    <row r="34" spans="1:15" ht="12.75" customHeight="1" x14ac:dyDescent="0.3">
      <c r="A34" s="27" t="s">
        <v>64</v>
      </c>
      <c r="B34" s="26" t="s">
        <v>62</v>
      </c>
      <c r="C34" s="28">
        <f t="array" ref="C34">3*(SUMPRODUCT((MOD(INT((ROW('FIFA WC 2026'!$E$5:$E$76)-4)/2),3)=0)*('FIFA WC 2026'!$E$5:$E$76=A34)*ISNUMBER('FIFA WC 2026'!$F$5:$F$76)*ISNUMBER('FIFA WC 2026'!$G$5:$G$76)*('FIFA WC 2026'!$F$5:$F$76&gt;'FIFA WC 2026'!$G$5:$G$76))+SUMPRODUCT((MOD(INT((ROW('FIFA WC 2026'!$E$5:$E$76)-4)/2),3)=0)*('FIFA WC 2026'!$H$5:$H$76=A34)*ISNUMBER('FIFA WC 2026'!$F$5:$F$76)*ISNUMBER('FIFA WC 2026'!$G$5:$G$76)*('FIFA WC 2026'!$G$5:$G$76&gt;'FIFA WC 2026'!$F$5:$F$76)))+(SUMPRODUCT((MOD(INT((ROW('FIFA WC 2026'!$E$5:$E$76)-4)/2),3)=0)*((('FIFA WC 2026'!$E$5:$E$76=A34)+('FIFA WC 2026'!$H$5:$H$76=A34))&gt;0)*ISNUMBER('FIFA WC 2026'!$F$5:$F$76)*ISNUMBER('FIFA WC 2026'!$G$5:$G$76)*('FIFA WC 2026'!$F$5:$F$76='FIFA WC 2026'!$G$5:$G$76)))</f>
        <v>0</v>
      </c>
      <c r="D34" s="28">
        <f t="array" ref="D34">3*(SUMPRODUCT((MOD(INT((ROW('FIFA WC 2026'!$E$5:$E$76)-4)/2),3)=1)*('FIFA WC 2026'!$E$5:$E$76=A34)*ISNUMBER('FIFA WC 2026'!$F$5:$F$76)*ISNUMBER('FIFA WC 2026'!$G$5:$G$76)*('FIFA WC 2026'!$F$5:$F$76&gt;'FIFA WC 2026'!$G$5:$G$76))+SUMPRODUCT((MOD(INT((ROW('FIFA WC 2026'!$E$5:$E$76)-4)/2),3)=1)*('FIFA WC 2026'!$H$5:$H$76=A34)*ISNUMBER('FIFA WC 2026'!$F$5:$F$76)*ISNUMBER('FIFA WC 2026'!$G$5:$G$76)*('FIFA WC 2026'!$G$5:$G$76&gt;'FIFA WC 2026'!$F$5:$F$76)))+(SUMPRODUCT((MOD(INT((ROW('FIFA WC 2026'!$E$5:$E$76)-4)/2),3)=1)*((('FIFA WC 2026'!$E$5:$E$76=A34)+('FIFA WC 2026'!$H$5:$H$76=A34))&gt;0)*ISNUMBER('FIFA WC 2026'!$F$5:$F$76)*ISNUMBER('FIFA WC 2026'!$G$5:$G$76)*('FIFA WC 2026'!$F$5:$F$76='FIFA WC 2026'!$G$5:$G$76)))</f>
        <v>0</v>
      </c>
      <c r="E34" s="28">
        <f t="array" ref="E34">3*(SUMPRODUCT((MOD(INT((ROW('FIFA WC 2026'!$E$5:$E$76)-4)/2),3)=2)*('FIFA WC 2026'!$E$5:$E$76=A34)*ISNUMBER('FIFA WC 2026'!$F$5:$F$76)*ISNUMBER('FIFA WC 2026'!$G$5:$G$76)*('FIFA WC 2026'!$F$5:$F$76&gt;'FIFA WC 2026'!$G$5:$G$76))+SUMPRODUCT((MOD(INT((ROW('FIFA WC 2026'!$E$5:$E$76)-4)/2),3)=2)*('FIFA WC 2026'!$H$5:$H$76=A34)*ISNUMBER('FIFA WC 2026'!$F$5:$F$76)*ISNUMBER('FIFA WC 2026'!$G$5:$G$76)*('FIFA WC 2026'!$G$5:$G$76&gt;'FIFA WC 2026'!$F$5:$F$76)))+(SUMPRODUCT((MOD(INT((ROW('FIFA WC 2026'!$E$5:$E$76)-4)/2),3)=2)*((('FIFA WC 2026'!$E$5:$E$76=A34)+('FIFA WC 2026'!$H$5:$H$76=A34))&gt;0)*ISNUMBER('FIFA WC 2026'!$F$5:$F$76)*ISNUMBER('FIFA WC 2026'!$G$5:$G$76)*('FIFA WC 2026'!$F$5:$F$76='FIFA WC 2026'!$G$5:$G$76)))</f>
        <v>0</v>
      </c>
      <c r="F34" s="28">
        <f t="array" ref="F34">0.5*(SUMPRODUCT(('FIFA WC 2026'!$E$5:$E$76=A34)*IFERROR('FIFA WC 2026'!$F$5:$F$76,0))+SUMPRODUCT(('FIFA WC 2026'!$H$5:$H$76=A34)*IFERROR('FIFA WC 2026'!$G$5:$G$76,0))+SUMPRODUCT(('FIFA WC 2026'!$S$5:$S$66=A34)*IFERROR('FIFA WC 2026'!$T$5:$T$66,0))+SUMPRODUCT(('FIFA WC 2026'!$W$7:$W$64=A34)*IFERROR('FIFA WC 2026'!$X$7:$X$64,0))+SUMPRODUCT(('FIFA WC 2026'!$AA$11:$AA$66=A34)*IFERROR('FIFA WC 2026'!$AB$11:$AB$66,0))+SUMPRODUCT(('FIFA WC 2026'!$AE$19:$AE$52=A34)*IFERROR('FIFA WC 2026'!$AF$19:$AF$52,0))+SUMPRODUCT(('FIFA WC 2026'!$AI$35:$AI$44=A34)*IFERROR('FIFA WC 2026'!$AJ$35:$AJ$44,0)))</f>
        <v>0</v>
      </c>
      <c r="G34" s="28">
        <f>IF(COUNTIF('FIFA WC 2026'!$S$5:$S$66,A34)&gt;0,4,0)</f>
        <v>0</v>
      </c>
      <c r="H34" s="28">
        <f>IF(COUNTIF('FIFA WC 2026'!$W$7:$W$64,A34)&gt;0,6,0)</f>
        <v>0</v>
      </c>
      <c r="I34" s="28">
        <f>IF(COUNTIF('FIFA WC 2026'!$AA$11:$AA$60,A34)&gt;0,8,0)</f>
        <v>0</v>
      </c>
      <c r="J34" s="28">
        <f>IF(COUNTIF('FIFA WC 2026'!$AE$19:$AE$52,A34)&gt;0,10,0)</f>
        <v>0</v>
      </c>
      <c r="K34" s="28">
        <f>IF(COUNTIF('FIFA WC 2026'!$AI$35:$AI$36,A34)&gt;0,13,0)</f>
        <v>0</v>
      </c>
      <c r="L34" s="28">
        <f>IF('FIFA WC 2026'!$AI$40=A34,16,0)</f>
        <v>0</v>
      </c>
      <c r="M34" s="111">
        <f t="shared" si="0"/>
        <v>0</v>
      </c>
      <c r="N34" s="110">
        <f t="shared" si="1"/>
        <v>0</v>
      </c>
      <c r="O34">
        <f>IF('FIFA WC 2026'!$AI$41=$A34,5,0)</f>
        <v>0</v>
      </c>
    </row>
    <row r="35" spans="1:15" ht="12.75" customHeight="1" x14ac:dyDescent="0.3">
      <c r="A35" s="27" t="s">
        <v>65</v>
      </c>
      <c r="B35" s="26" t="s">
        <v>62</v>
      </c>
      <c r="C35" s="28">
        <f t="array" ref="C35">3*(SUMPRODUCT((MOD(INT((ROW('FIFA WC 2026'!$E$5:$E$76)-4)/2),3)=0)*('FIFA WC 2026'!$E$5:$E$76=A35)*ISNUMBER('FIFA WC 2026'!$F$5:$F$76)*ISNUMBER('FIFA WC 2026'!$G$5:$G$76)*('FIFA WC 2026'!$F$5:$F$76&gt;'FIFA WC 2026'!$G$5:$G$76))+SUMPRODUCT((MOD(INT((ROW('FIFA WC 2026'!$E$5:$E$76)-4)/2),3)=0)*('FIFA WC 2026'!$H$5:$H$76=A35)*ISNUMBER('FIFA WC 2026'!$F$5:$F$76)*ISNUMBER('FIFA WC 2026'!$G$5:$G$76)*('FIFA WC 2026'!$G$5:$G$76&gt;'FIFA WC 2026'!$F$5:$F$76)))+(SUMPRODUCT((MOD(INT((ROW('FIFA WC 2026'!$E$5:$E$76)-4)/2),3)=0)*((('FIFA WC 2026'!$E$5:$E$76=A35)+('FIFA WC 2026'!$H$5:$H$76=A35))&gt;0)*ISNUMBER('FIFA WC 2026'!$F$5:$F$76)*ISNUMBER('FIFA WC 2026'!$G$5:$G$76)*('FIFA WC 2026'!$F$5:$F$76='FIFA WC 2026'!$G$5:$G$76)))</f>
        <v>0</v>
      </c>
      <c r="D35" s="28">
        <f t="array" ref="D35">3*(SUMPRODUCT((MOD(INT((ROW('FIFA WC 2026'!$E$5:$E$76)-4)/2),3)=1)*('FIFA WC 2026'!$E$5:$E$76=A35)*ISNUMBER('FIFA WC 2026'!$F$5:$F$76)*ISNUMBER('FIFA WC 2026'!$G$5:$G$76)*('FIFA WC 2026'!$F$5:$F$76&gt;'FIFA WC 2026'!$G$5:$G$76))+SUMPRODUCT((MOD(INT((ROW('FIFA WC 2026'!$E$5:$E$76)-4)/2),3)=1)*('FIFA WC 2026'!$H$5:$H$76=A35)*ISNUMBER('FIFA WC 2026'!$F$5:$F$76)*ISNUMBER('FIFA WC 2026'!$G$5:$G$76)*('FIFA WC 2026'!$G$5:$G$76&gt;'FIFA WC 2026'!$F$5:$F$76)))+(SUMPRODUCT((MOD(INT((ROW('FIFA WC 2026'!$E$5:$E$76)-4)/2),3)=1)*((('FIFA WC 2026'!$E$5:$E$76=A35)+('FIFA WC 2026'!$H$5:$H$76=A35))&gt;0)*ISNUMBER('FIFA WC 2026'!$F$5:$F$76)*ISNUMBER('FIFA WC 2026'!$G$5:$G$76)*('FIFA WC 2026'!$F$5:$F$76='FIFA WC 2026'!$G$5:$G$76)))</f>
        <v>0</v>
      </c>
      <c r="E35" s="28">
        <f t="array" ref="E35">3*(SUMPRODUCT((MOD(INT((ROW('FIFA WC 2026'!$E$5:$E$76)-4)/2),3)=2)*('FIFA WC 2026'!$E$5:$E$76=A35)*ISNUMBER('FIFA WC 2026'!$F$5:$F$76)*ISNUMBER('FIFA WC 2026'!$G$5:$G$76)*('FIFA WC 2026'!$F$5:$F$76&gt;'FIFA WC 2026'!$G$5:$G$76))+SUMPRODUCT((MOD(INT((ROW('FIFA WC 2026'!$E$5:$E$76)-4)/2),3)=2)*('FIFA WC 2026'!$H$5:$H$76=A35)*ISNUMBER('FIFA WC 2026'!$F$5:$F$76)*ISNUMBER('FIFA WC 2026'!$G$5:$G$76)*('FIFA WC 2026'!$G$5:$G$76&gt;'FIFA WC 2026'!$F$5:$F$76)))+(SUMPRODUCT((MOD(INT((ROW('FIFA WC 2026'!$E$5:$E$76)-4)/2),3)=2)*((('FIFA WC 2026'!$E$5:$E$76=A35)+('FIFA WC 2026'!$H$5:$H$76=A35))&gt;0)*ISNUMBER('FIFA WC 2026'!$F$5:$F$76)*ISNUMBER('FIFA WC 2026'!$G$5:$G$76)*('FIFA WC 2026'!$F$5:$F$76='FIFA WC 2026'!$G$5:$G$76)))</f>
        <v>0</v>
      </c>
      <c r="F35" s="28">
        <f t="array" ref="F35">0.5*(SUMPRODUCT(('FIFA WC 2026'!$E$5:$E$76=A35)*IFERROR('FIFA WC 2026'!$F$5:$F$76,0))+SUMPRODUCT(('FIFA WC 2026'!$H$5:$H$76=A35)*IFERROR('FIFA WC 2026'!$G$5:$G$76,0))+SUMPRODUCT(('FIFA WC 2026'!$S$5:$S$66=A35)*IFERROR('FIFA WC 2026'!$T$5:$T$66,0))+SUMPRODUCT(('FIFA WC 2026'!$W$7:$W$64=A35)*IFERROR('FIFA WC 2026'!$X$7:$X$64,0))+SUMPRODUCT(('FIFA WC 2026'!$AA$11:$AA$66=A35)*IFERROR('FIFA WC 2026'!$AB$11:$AB$66,0))+SUMPRODUCT(('FIFA WC 2026'!$AE$19:$AE$52=A35)*IFERROR('FIFA WC 2026'!$AF$19:$AF$52,0))+SUMPRODUCT(('FIFA WC 2026'!$AI$35:$AI$44=A35)*IFERROR('FIFA WC 2026'!$AJ$35:$AJ$44,0)))</f>
        <v>0</v>
      </c>
      <c r="G35" s="28">
        <f>IF(COUNTIF('FIFA WC 2026'!$S$5:$S$66,A35)&gt;0,4,0)</f>
        <v>0</v>
      </c>
      <c r="H35" s="28">
        <f>IF(COUNTIF('FIFA WC 2026'!$W$7:$W$64,A35)&gt;0,6,0)</f>
        <v>0</v>
      </c>
      <c r="I35" s="28">
        <f>IF(COUNTIF('FIFA WC 2026'!$AA$11:$AA$60,A35)&gt;0,8,0)</f>
        <v>0</v>
      </c>
      <c r="J35" s="28">
        <f>IF(COUNTIF('FIFA WC 2026'!$AE$19:$AE$52,A35)&gt;0,10,0)</f>
        <v>0</v>
      </c>
      <c r="K35" s="28">
        <f>IF(COUNTIF('FIFA WC 2026'!$AI$35:$AI$36,A35)&gt;0,13,0)</f>
        <v>0</v>
      </c>
      <c r="L35" s="28">
        <f>IF('FIFA WC 2026'!$AI$40=A35,16,0)</f>
        <v>0</v>
      </c>
      <c r="M35" s="111">
        <f t="shared" si="0"/>
        <v>0</v>
      </c>
      <c r="N35" s="110">
        <f t="shared" si="1"/>
        <v>0</v>
      </c>
      <c r="O35">
        <f>IF('FIFA WC 2026'!$AI$41=$A35,5,0)</f>
        <v>0</v>
      </c>
    </row>
    <row r="36" spans="1:15" ht="12.75" customHeight="1" x14ac:dyDescent="0.3">
      <c r="A36" s="106" t="s">
        <v>66</v>
      </c>
      <c r="B36" s="107" t="s">
        <v>68</v>
      </c>
      <c r="C36" s="108">
        <f t="array" ref="C36">3*(SUMPRODUCT((MOD(INT((ROW('FIFA WC 2026'!$E$5:$E$76)-4)/2),3)=0)*('FIFA WC 2026'!$E$5:$E$76=A36)*ISNUMBER('FIFA WC 2026'!$F$5:$F$76)*ISNUMBER('FIFA WC 2026'!$G$5:$G$76)*('FIFA WC 2026'!$F$5:$F$76&gt;'FIFA WC 2026'!$G$5:$G$76))+SUMPRODUCT((MOD(INT((ROW('FIFA WC 2026'!$E$5:$E$76)-4)/2),3)=0)*('FIFA WC 2026'!$H$5:$H$76=A36)*ISNUMBER('FIFA WC 2026'!$F$5:$F$76)*ISNUMBER('FIFA WC 2026'!$G$5:$G$76)*('FIFA WC 2026'!$G$5:$G$76&gt;'FIFA WC 2026'!$F$5:$F$76)))+(SUMPRODUCT((MOD(INT((ROW('FIFA WC 2026'!$E$5:$E$76)-4)/2),3)=0)*((('FIFA WC 2026'!$E$5:$E$76=A36)+('FIFA WC 2026'!$H$5:$H$76=A36))&gt;0)*ISNUMBER('FIFA WC 2026'!$F$5:$F$76)*ISNUMBER('FIFA WC 2026'!$G$5:$G$76)*('FIFA WC 2026'!$F$5:$F$76='FIFA WC 2026'!$G$5:$G$76)))</f>
        <v>0</v>
      </c>
      <c r="D36" s="108">
        <f t="array" ref="D36">3*(SUMPRODUCT((MOD(INT((ROW('FIFA WC 2026'!$E$5:$E$76)-4)/2),3)=1)*('FIFA WC 2026'!$E$5:$E$76=A36)*ISNUMBER('FIFA WC 2026'!$F$5:$F$76)*ISNUMBER('FIFA WC 2026'!$G$5:$G$76)*('FIFA WC 2026'!$F$5:$F$76&gt;'FIFA WC 2026'!$G$5:$G$76))+SUMPRODUCT((MOD(INT((ROW('FIFA WC 2026'!$E$5:$E$76)-4)/2),3)=1)*('FIFA WC 2026'!$H$5:$H$76=A36)*ISNUMBER('FIFA WC 2026'!$F$5:$F$76)*ISNUMBER('FIFA WC 2026'!$G$5:$G$76)*('FIFA WC 2026'!$G$5:$G$76&gt;'FIFA WC 2026'!$F$5:$F$76)))+(SUMPRODUCT((MOD(INT((ROW('FIFA WC 2026'!$E$5:$E$76)-4)/2),3)=1)*((('FIFA WC 2026'!$E$5:$E$76=A36)+('FIFA WC 2026'!$H$5:$H$76=A36))&gt;0)*ISNUMBER('FIFA WC 2026'!$F$5:$F$76)*ISNUMBER('FIFA WC 2026'!$G$5:$G$76)*('FIFA WC 2026'!$F$5:$F$76='FIFA WC 2026'!$G$5:$G$76)))</f>
        <v>0</v>
      </c>
      <c r="E36" s="108">
        <f t="array" ref="E36">3*(SUMPRODUCT((MOD(INT((ROW('FIFA WC 2026'!$E$5:$E$76)-4)/2),3)=2)*('FIFA WC 2026'!$E$5:$E$76=A36)*ISNUMBER('FIFA WC 2026'!$F$5:$F$76)*ISNUMBER('FIFA WC 2026'!$G$5:$G$76)*('FIFA WC 2026'!$F$5:$F$76&gt;'FIFA WC 2026'!$G$5:$G$76))+SUMPRODUCT((MOD(INT((ROW('FIFA WC 2026'!$E$5:$E$76)-4)/2),3)=2)*('FIFA WC 2026'!$H$5:$H$76=A36)*ISNUMBER('FIFA WC 2026'!$F$5:$F$76)*ISNUMBER('FIFA WC 2026'!$G$5:$G$76)*('FIFA WC 2026'!$G$5:$G$76&gt;'FIFA WC 2026'!$F$5:$F$76)))+(SUMPRODUCT((MOD(INT((ROW('FIFA WC 2026'!$E$5:$E$76)-4)/2),3)=2)*((('FIFA WC 2026'!$E$5:$E$76=A36)+('FIFA WC 2026'!$H$5:$H$76=A36))&gt;0)*ISNUMBER('FIFA WC 2026'!$F$5:$F$76)*ISNUMBER('FIFA WC 2026'!$G$5:$G$76)*('FIFA WC 2026'!$F$5:$F$76='FIFA WC 2026'!$G$5:$G$76)))</f>
        <v>0</v>
      </c>
      <c r="F36" s="108">
        <f t="array" ref="F36">0.5*(SUMPRODUCT(('FIFA WC 2026'!$E$5:$E$76=A36)*IFERROR('FIFA WC 2026'!$F$5:$F$76,0))+SUMPRODUCT(('FIFA WC 2026'!$H$5:$H$76=A36)*IFERROR('FIFA WC 2026'!$G$5:$G$76,0))+SUMPRODUCT(('FIFA WC 2026'!$S$5:$S$66=A36)*IFERROR('FIFA WC 2026'!$T$5:$T$66,0))+SUMPRODUCT(('FIFA WC 2026'!$W$7:$W$64=A36)*IFERROR('FIFA WC 2026'!$X$7:$X$64,0))+SUMPRODUCT(('FIFA WC 2026'!$AA$11:$AA$66=A36)*IFERROR('FIFA WC 2026'!$AB$11:$AB$66,0))+SUMPRODUCT(('FIFA WC 2026'!$AE$19:$AE$52=A36)*IFERROR('FIFA WC 2026'!$AF$19:$AF$52,0))+SUMPRODUCT(('FIFA WC 2026'!$AI$35:$AI$44=A36)*IFERROR('FIFA WC 2026'!$AJ$35:$AJ$44,0)))</f>
        <v>0</v>
      </c>
      <c r="G36" s="108">
        <f>IF(COUNTIF('FIFA WC 2026'!$S$5:$S$66,A36)&gt;0,4,0)</f>
        <v>0</v>
      </c>
      <c r="H36" s="108">
        <f>IF(COUNTIF('FIFA WC 2026'!$W$7:$W$64,A36)&gt;0,6,0)</f>
        <v>0</v>
      </c>
      <c r="I36" s="108">
        <f>IF(COUNTIF('FIFA WC 2026'!$AA$11:$AA$60,A36)&gt;0,8,0)</f>
        <v>0</v>
      </c>
      <c r="J36" s="108">
        <f>IF(COUNTIF('FIFA WC 2026'!$AE$19:$AE$52,A36)&gt;0,10,0)</f>
        <v>0</v>
      </c>
      <c r="K36" s="108">
        <f>IF(COUNTIF('FIFA WC 2026'!$AI$35:$AI$36,A36)&gt;0,13,0)</f>
        <v>0</v>
      </c>
      <c r="L36" s="108">
        <f>IF('FIFA WC 2026'!$AI$40=A36,16,0)</f>
        <v>0</v>
      </c>
      <c r="M36" s="109">
        <f t="shared" si="0"/>
        <v>0</v>
      </c>
      <c r="N36" s="110">
        <f t="shared" si="1"/>
        <v>0</v>
      </c>
      <c r="O36">
        <f>IF('FIFA WC 2026'!$AI$41=$A36,5,0)</f>
        <v>0</v>
      </c>
    </row>
    <row r="37" spans="1:15" ht="12.75" customHeight="1" x14ac:dyDescent="0.3">
      <c r="A37" s="106" t="s">
        <v>67</v>
      </c>
      <c r="B37" s="107" t="s">
        <v>68</v>
      </c>
      <c r="C37" s="108">
        <f t="array" ref="C37">3*(SUMPRODUCT((MOD(INT((ROW('FIFA WC 2026'!$E$5:$E$76)-4)/2),3)=0)*('FIFA WC 2026'!$E$5:$E$76=A37)*ISNUMBER('FIFA WC 2026'!$F$5:$F$76)*ISNUMBER('FIFA WC 2026'!$G$5:$G$76)*('FIFA WC 2026'!$F$5:$F$76&gt;'FIFA WC 2026'!$G$5:$G$76))+SUMPRODUCT((MOD(INT((ROW('FIFA WC 2026'!$E$5:$E$76)-4)/2),3)=0)*('FIFA WC 2026'!$H$5:$H$76=A37)*ISNUMBER('FIFA WC 2026'!$F$5:$F$76)*ISNUMBER('FIFA WC 2026'!$G$5:$G$76)*('FIFA WC 2026'!$G$5:$G$76&gt;'FIFA WC 2026'!$F$5:$F$76)))+(SUMPRODUCT((MOD(INT((ROW('FIFA WC 2026'!$E$5:$E$76)-4)/2),3)=0)*((('FIFA WC 2026'!$E$5:$E$76=A37)+('FIFA WC 2026'!$H$5:$H$76=A37))&gt;0)*ISNUMBER('FIFA WC 2026'!$F$5:$F$76)*ISNUMBER('FIFA WC 2026'!$G$5:$G$76)*('FIFA WC 2026'!$F$5:$F$76='FIFA WC 2026'!$G$5:$G$76)))</f>
        <v>0</v>
      </c>
      <c r="D37" s="108">
        <f t="array" ref="D37">3*(SUMPRODUCT((MOD(INT((ROW('FIFA WC 2026'!$E$5:$E$76)-4)/2),3)=1)*('FIFA WC 2026'!$E$5:$E$76=A37)*ISNUMBER('FIFA WC 2026'!$F$5:$F$76)*ISNUMBER('FIFA WC 2026'!$G$5:$G$76)*('FIFA WC 2026'!$F$5:$F$76&gt;'FIFA WC 2026'!$G$5:$G$76))+SUMPRODUCT((MOD(INT((ROW('FIFA WC 2026'!$E$5:$E$76)-4)/2),3)=1)*('FIFA WC 2026'!$H$5:$H$76=A37)*ISNUMBER('FIFA WC 2026'!$F$5:$F$76)*ISNUMBER('FIFA WC 2026'!$G$5:$G$76)*('FIFA WC 2026'!$G$5:$G$76&gt;'FIFA WC 2026'!$F$5:$F$76)))+(SUMPRODUCT((MOD(INT((ROW('FIFA WC 2026'!$E$5:$E$76)-4)/2),3)=1)*((('FIFA WC 2026'!$E$5:$E$76=A37)+('FIFA WC 2026'!$H$5:$H$76=A37))&gt;0)*ISNUMBER('FIFA WC 2026'!$F$5:$F$76)*ISNUMBER('FIFA WC 2026'!$G$5:$G$76)*('FIFA WC 2026'!$F$5:$F$76='FIFA WC 2026'!$G$5:$G$76)))</f>
        <v>0</v>
      </c>
      <c r="E37" s="108">
        <f t="array" ref="E37">3*(SUMPRODUCT((MOD(INT((ROW('FIFA WC 2026'!$E$5:$E$76)-4)/2),3)=2)*('FIFA WC 2026'!$E$5:$E$76=A37)*ISNUMBER('FIFA WC 2026'!$F$5:$F$76)*ISNUMBER('FIFA WC 2026'!$G$5:$G$76)*('FIFA WC 2026'!$F$5:$F$76&gt;'FIFA WC 2026'!$G$5:$G$76))+SUMPRODUCT((MOD(INT((ROW('FIFA WC 2026'!$E$5:$E$76)-4)/2),3)=2)*('FIFA WC 2026'!$H$5:$H$76=A37)*ISNUMBER('FIFA WC 2026'!$F$5:$F$76)*ISNUMBER('FIFA WC 2026'!$G$5:$G$76)*('FIFA WC 2026'!$G$5:$G$76&gt;'FIFA WC 2026'!$F$5:$F$76)))+(SUMPRODUCT((MOD(INT((ROW('FIFA WC 2026'!$E$5:$E$76)-4)/2),3)=2)*((('FIFA WC 2026'!$E$5:$E$76=A37)+('FIFA WC 2026'!$H$5:$H$76=A37))&gt;0)*ISNUMBER('FIFA WC 2026'!$F$5:$F$76)*ISNUMBER('FIFA WC 2026'!$G$5:$G$76)*('FIFA WC 2026'!$F$5:$F$76='FIFA WC 2026'!$G$5:$G$76)))</f>
        <v>0</v>
      </c>
      <c r="F37" s="108">
        <f t="array" ref="F37">0.5*(SUMPRODUCT(('FIFA WC 2026'!$E$5:$E$76=A37)*IFERROR('FIFA WC 2026'!$F$5:$F$76,0))+SUMPRODUCT(('FIFA WC 2026'!$H$5:$H$76=A37)*IFERROR('FIFA WC 2026'!$G$5:$G$76,0))+SUMPRODUCT(('FIFA WC 2026'!$S$5:$S$66=A37)*IFERROR('FIFA WC 2026'!$T$5:$T$66,0))+SUMPRODUCT(('FIFA WC 2026'!$W$7:$W$64=A37)*IFERROR('FIFA WC 2026'!$X$7:$X$64,0))+SUMPRODUCT(('FIFA WC 2026'!$AA$11:$AA$66=A37)*IFERROR('FIFA WC 2026'!$AB$11:$AB$66,0))+SUMPRODUCT(('FIFA WC 2026'!$AE$19:$AE$52=A37)*IFERROR('FIFA WC 2026'!$AF$19:$AF$52,0))+SUMPRODUCT(('FIFA WC 2026'!$AI$35:$AI$44=A37)*IFERROR('FIFA WC 2026'!$AJ$35:$AJ$44,0)))</f>
        <v>0</v>
      </c>
      <c r="G37" s="108">
        <f>IF(COUNTIF('FIFA WC 2026'!$S$5:$S$66,A37)&gt;0,4,0)</f>
        <v>0</v>
      </c>
      <c r="H37" s="108">
        <f>IF(COUNTIF('FIFA WC 2026'!$W$7:$W$64,A37)&gt;0,6,0)</f>
        <v>0</v>
      </c>
      <c r="I37" s="108">
        <f>IF(COUNTIF('FIFA WC 2026'!$AA$11:$AA$60,A37)&gt;0,8,0)</f>
        <v>0</v>
      </c>
      <c r="J37" s="108">
        <f>IF(COUNTIF('FIFA WC 2026'!$AE$19:$AE$52,A37)&gt;0,10,0)</f>
        <v>0</v>
      </c>
      <c r="K37" s="108">
        <f>IF(COUNTIF('FIFA WC 2026'!$AI$35:$AI$36,A37)&gt;0,13,0)</f>
        <v>0</v>
      </c>
      <c r="L37" s="108">
        <f>IF('FIFA WC 2026'!$AI$40=A37,16,0)</f>
        <v>0</v>
      </c>
      <c r="M37" s="109">
        <f t="shared" si="0"/>
        <v>0</v>
      </c>
      <c r="N37" s="110">
        <f t="shared" si="1"/>
        <v>0</v>
      </c>
      <c r="O37">
        <f>IF('FIFA WC 2026'!$AI$41=$A37,5,0)</f>
        <v>0</v>
      </c>
    </row>
    <row r="38" spans="1:15" ht="12.75" customHeight="1" x14ac:dyDescent="0.3">
      <c r="A38" s="106" t="s">
        <v>70</v>
      </c>
      <c r="B38" s="107" t="s">
        <v>68</v>
      </c>
      <c r="C38" s="108">
        <f t="array" ref="C38">3*(SUMPRODUCT((MOD(INT((ROW('FIFA WC 2026'!$E$5:$E$76)-4)/2),3)=0)*('FIFA WC 2026'!$E$5:$E$76=A38)*ISNUMBER('FIFA WC 2026'!$F$5:$F$76)*ISNUMBER('FIFA WC 2026'!$G$5:$G$76)*('FIFA WC 2026'!$F$5:$F$76&gt;'FIFA WC 2026'!$G$5:$G$76))+SUMPRODUCT((MOD(INT((ROW('FIFA WC 2026'!$E$5:$E$76)-4)/2),3)=0)*('FIFA WC 2026'!$H$5:$H$76=A38)*ISNUMBER('FIFA WC 2026'!$F$5:$F$76)*ISNUMBER('FIFA WC 2026'!$G$5:$G$76)*('FIFA WC 2026'!$G$5:$G$76&gt;'FIFA WC 2026'!$F$5:$F$76)))+(SUMPRODUCT((MOD(INT((ROW('FIFA WC 2026'!$E$5:$E$76)-4)/2),3)=0)*((('FIFA WC 2026'!$E$5:$E$76=A38)+('FIFA WC 2026'!$H$5:$H$76=A38))&gt;0)*ISNUMBER('FIFA WC 2026'!$F$5:$F$76)*ISNUMBER('FIFA WC 2026'!$G$5:$G$76)*('FIFA WC 2026'!$F$5:$F$76='FIFA WC 2026'!$G$5:$G$76)))</f>
        <v>0</v>
      </c>
      <c r="D38" s="108">
        <f t="array" ref="D38">3*(SUMPRODUCT((MOD(INT((ROW('FIFA WC 2026'!$E$5:$E$76)-4)/2),3)=1)*('FIFA WC 2026'!$E$5:$E$76=A38)*ISNUMBER('FIFA WC 2026'!$F$5:$F$76)*ISNUMBER('FIFA WC 2026'!$G$5:$G$76)*('FIFA WC 2026'!$F$5:$F$76&gt;'FIFA WC 2026'!$G$5:$G$76))+SUMPRODUCT((MOD(INT((ROW('FIFA WC 2026'!$E$5:$E$76)-4)/2),3)=1)*('FIFA WC 2026'!$H$5:$H$76=A38)*ISNUMBER('FIFA WC 2026'!$F$5:$F$76)*ISNUMBER('FIFA WC 2026'!$G$5:$G$76)*('FIFA WC 2026'!$G$5:$G$76&gt;'FIFA WC 2026'!$F$5:$F$76)))+(SUMPRODUCT((MOD(INT((ROW('FIFA WC 2026'!$E$5:$E$76)-4)/2),3)=1)*((('FIFA WC 2026'!$E$5:$E$76=A38)+('FIFA WC 2026'!$H$5:$H$76=A38))&gt;0)*ISNUMBER('FIFA WC 2026'!$F$5:$F$76)*ISNUMBER('FIFA WC 2026'!$G$5:$G$76)*('FIFA WC 2026'!$F$5:$F$76='FIFA WC 2026'!$G$5:$G$76)))</f>
        <v>0</v>
      </c>
      <c r="E38" s="108">
        <f t="array" ref="E38">3*(SUMPRODUCT((MOD(INT((ROW('FIFA WC 2026'!$E$5:$E$76)-4)/2),3)=2)*('FIFA WC 2026'!$E$5:$E$76=A38)*ISNUMBER('FIFA WC 2026'!$F$5:$F$76)*ISNUMBER('FIFA WC 2026'!$G$5:$G$76)*('FIFA WC 2026'!$F$5:$F$76&gt;'FIFA WC 2026'!$G$5:$G$76))+SUMPRODUCT((MOD(INT((ROW('FIFA WC 2026'!$E$5:$E$76)-4)/2),3)=2)*('FIFA WC 2026'!$H$5:$H$76=A38)*ISNUMBER('FIFA WC 2026'!$F$5:$F$76)*ISNUMBER('FIFA WC 2026'!$G$5:$G$76)*('FIFA WC 2026'!$G$5:$G$76&gt;'FIFA WC 2026'!$F$5:$F$76)))+(SUMPRODUCT((MOD(INT((ROW('FIFA WC 2026'!$E$5:$E$76)-4)/2),3)=2)*((('FIFA WC 2026'!$E$5:$E$76=A38)+('FIFA WC 2026'!$H$5:$H$76=A38))&gt;0)*ISNUMBER('FIFA WC 2026'!$F$5:$F$76)*ISNUMBER('FIFA WC 2026'!$G$5:$G$76)*('FIFA WC 2026'!$F$5:$F$76='FIFA WC 2026'!$G$5:$G$76)))</f>
        <v>0</v>
      </c>
      <c r="F38" s="108">
        <f t="array" ref="F38">0.5*(SUMPRODUCT(('FIFA WC 2026'!$E$5:$E$76=A38)*IFERROR('FIFA WC 2026'!$F$5:$F$76,0))+SUMPRODUCT(('FIFA WC 2026'!$H$5:$H$76=A38)*IFERROR('FIFA WC 2026'!$G$5:$G$76,0))+SUMPRODUCT(('FIFA WC 2026'!$S$5:$S$66=A38)*IFERROR('FIFA WC 2026'!$T$5:$T$66,0))+SUMPRODUCT(('FIFA WC 2026'!$W$7:$W$64=A38)*IFERROR('FIFA WC 2026'!$X$7:$X$64,0))+SUMPRODUCT(('FIFA WC 2026'!$AA$11:$AA$66=A38)*IFERROR('FIFA WC 2026'!$AB$11:$AB$66,0))+SUMPRODUCT(('FIFA WC 2026'!$AE$19:$AE$52=A38)*IFERROR('FIFA WC 2026'!$AF$19:$AF$52,0))+SUMPRODUCT(('FIFA WC 2026'!$AI$35:$AI$44=A38)*IFERROR('FIFA WC 2026'!$AJ$35:$AJ$44,0)))</f>
        <v>0</v>
      </c>
      <c r="G38" s="108">
        <f>IF(COUNTIF('FIFA WC 2026'!$S$5:$S$66,A38)&gt;0,4,0)</f>
        <v>0</v>
      </c>
      <c r="H38" s="108">
        <f>IF(COUNTIF('FIFA WC 2026'!$W$7:$W$64,A38)&gt;0,6,0)</f>
        <v>0</v>
      </c>
      <c r="I38" s="108">
        <f>IF(COUNTIF('FIFA WC 2026'!$AA$11:$AA$60,A38)&gt;0,8,0)</f>
        <v>0</v>
      </c>
      <c r="J38" s="108">
        <f>IF(COUNTIF('FIFA WC 2026'!$AE$19:$AE$52,A38)&gt;0,10,0)</f>
        <v>0</v>
      </c>
      <c r="K38" s="108">
        <f>IF(COUNTIF('FIFA WC 2026'!$AI$35:$AI$36,A38)&gt;0,13,0)</f>
        <v>0</v>
      </c>
      <c r="L38" s="108">
        <f>IF('FIFA WC 2026'!$AI$40=A38,16,0)</f>
        <v>0</v>
      </c>
      <c r="M38" s="109">
        <f t="shared" si="0"/>
        <v>0</v>
      </c>
      <c r="N38" s="110">
        <f t="shared" si="1"/>
        <v>0</v>
      </c>
      <c r="O38">
        <f>IF('FIFA WC 2026'!$AI$41=$A38,5,0)</f>
        <v>0</v>
      </c>
    </row>
    <row r="39" spans="1:15" ht="12.75" customHeight="1" x14ac:dyDescent="0.3">
      <c r="A39" s="106" t="s">
        <v>71</v>
      </c>
      <c r="B39" s="107" t="s">
        <v>68</v>
      </c>
      <c r="C39" s="108">
        <f t="array" ref="C39">3*(SUMPRODUCT((MOD(INT((ROW('FIFA WC 2026'!$E$5:$E$76)-4)/2),3)=0)*('FIFA WC 2026'!$E$5:$E$76=A39)*ISNUMBER('FIFA WC 2026'!$F$5:$F$76)*ISNUMBER('FIFA WC 2026'!$G$5:$G$76)*('FIFA WC 2026'!$F$5:$F$76&gt;'FIFA WC 2026'!$G$5:$G$76))+SUMPRODUCT((MOD(INT((ROW('FIFA WC 2026'!$E$5:$E$76)-4)/2),3)=0)*('FIFA WC 2026'!$H$5:$H$76=A39)*ISNUMBER('FIFA WC 2026'!$F$5:$F$76)*ISNUMBER('FIFA WC 2026'!$G$5:$G$76)*('FIFA WC 2026'!$G$5:$G$76&gt;'FIFA WC 2026'!$F$5:$F$76)))+(SUMPRODUCT((MOD(INT((ROW('FIFA WC 2026'!$E$5:$E$76)-4)/2),3)=0)*((('FIFA WC 2026'!$E$5:$E$76=A39)+('FIFA WC 2026'!$H$5:$H$76=A39))&gt;0)*ISNUMBER('FIFA WC 2026'!$F$5:$F$76)*ISNUMBER('FIFA WC 2026'!$G$5:$G$76)*('FIFA WC 2026'!$F$5:$F$76='FIFA WC 2026'!$G$5:$G$76)))</f>
        <v>0</v>
      </c>
      <c r="D39" s="108">
        <f t="array" ref="D39">3*(SUMPRODUCT((MOD(INT((ROW('FIFA WC 2026'!$E$5:$E$76)-4)/2),3)=1)*('FIFA WC 2026'!$E$5:$E$76=A39)*ISNUMBER('FIFA WC 2026'!$F$5:$F$76)*ISNUMBER('FIFA WC 2026'!$G$5:$G$76)*('FIFA WC 2026'!$F$5:$F$76&gt;'FIFA WC 2026'!$G$5:$G$76))+SUMPRODUCT((MOD(INT((ROW('FIFA WC 2026'!$E$5:$E$76)-4)/2),3)=1)*('FIFA WC 2026'!$H$5:$H$76=A39)*ISNUMBER('FIFA WC 2026'!$F$5:$F$76)*ISNUMBER('FIFA WC 2026'!$G$5:$G$76)*('FIFA WC 2026'!$G$5:$G$76&gt;'FIFA WC 2026'!$F$5:$F$76)))+(SUMPRODUCT((MOD(INT((ROW('FIFA WC 2026'!$E$5:$E$76)-4)/2),3)=1)*((('FIFA WC 2026'!$E$5:$E$76=A39)+('FIFA WC 2026'!$H$5:$H$76=A39))&gt;0)*ISNUMBER('FIFA WC 2026'!$F$5:$F$76)*ISNUMBER('FIFA WC 2026'!$G$5:$G$76)*('FIFA WC 2026'!$F$5:$F$76='FIFA WC 2026'!$G$5:$G$76)))</f>
        <v>0</v>
      </c>
      <c r="E39" s="108">
        <f t="array" ref="E39">3*(SUMPRODUCT((MOD(INT((ROW('FIFA WC 2026'!$E$5:$E$76)-4)/2),3)=2)*('FIFA WC 2026'!$E$5:$E$76=A39)*ISNUMBER('FIFA WC 2026'!$F$5:$F$76)*ISNUMBER('FIFA WC 2026'!$G$5:$G$76)*('FIFA WC 2026'!$F$5:$F$76&gt;'FIFA WC 2026'!$G$5:$G$76))+SUMPRODUCT((MOD(INT((ROW('FIFA WC 2026'!$E$5:$E$76)-4)/2),3)=2)*('FIFA WC 2026'!$H$5:$H$76=A39)*ISNUMBER('FIFA WC 2026'!$F$5:$F$76)*ISNUMBER('FIFA WC 2026'!$G$5:$G$76)*('FIFA WC 2026'!$G$5:$G$76&gt;'FIFA WC 2026'!$F$5:$F$76)))+(SUMPRODUCT((MOD(INT((ROW('FIFA WC 2026'!$E$5:$E$76)-4)/2),3)=2)*((('FIFA WC 2026'!$E$5:$E$76=A39)+('FIFA WC 2026'!$H$5:$H$76=A39))&gt;0)*ISNUMBER('FIFA WC 2026'!$F$5:$F$76)*ISNUMBER('FIFA WC 2026'!$G$5:$G$76)*('FIFA WC 2026'!$F$5:$F$76='FIFA WC 2026'!$G$5:$G$76)))</f>
        <v>0</v>
      </c>
      <c r="F39" s="108">
        <f t="array" ref="F39">0.5*(SUMPRODUCT(('FIFA WC 2026'!$E$5:$E$76=A39)*IFERROR('FIFA WC 2026'!$F$5:$F$76,0))+SUMPRODUCT(('FIFA WC 2026'!$H$5:$H$76=A39)*IFERROR('FIFA WC 2026'!$G$5:$G$76,0))+SUMPRODUCT(('FIFA WC 2026'!$S$5:$S$66=A39)*IFERROR('FIFA WC 2026'!$T$5:$T$66,0))+SUMPRODUCT(('FIFA WC 2026'!$W$7:$W$64=A39)*IFERROR('FIFA WC 2026'!$X$7:$X$64,0))+SUMPRODUCT(('FIFA WC 2026'!$AA$11:$AA$66=A39)*IFERROR('FIFA WC 2026'!$AB$11:$AB$66,0))+SUMPRODUCT(('FIFA WC 2026'!$AE$19:$AE$52=A39)*IFERROR('FIFA WC 2026'!$AF$19:$AF$52,0))+SUMPRODUCT(('FIFA WC 2026'!$AI$35:$AI$44=A39)*IFERROR('FIFA WC 2026'!$AJ$35:$AJ$44,0)))</f>
        <v>0</v>
      </c>
      <c r="G39" s="108">
        <f>IF(COUNTIF('FIFA WC 2026'!$S$5:$S$66,A39)&gt;0,4,0)</f>
        <v>0</v>
      </c>
      <c r="H39" s="108">
        <f>IF(COUNTIF('FIFA WC 2026'!$W$7:$W$64,A39)&gt;0,6,0)</f>
        <v>0</v>
      </c>
      <c r="I39" s="108">
        <f>IF(COUNTIF('FIFA WC 2026'!$AA$11:$AA$60,A39)&gt;0,8,0)</f>
        <v>0</v>
      </c>
      <c r="J39" s="108">
        <f>IF(COUNTIF('FIFA WC 2026'!$AE$19:$AE$52,A39)&gt;0,10,0)</f>
        <v>0</v>
      </c>
      <c r="K39" s="108">
        <f>IF(COUNTIF('FIFA WC 2026'!$AI$35:$AI$36,A39)&gt;0,13,0)</f>
        <v>0</v>
      </c>
      <c r="L39" s="108">
        <f>IF('FIFA WC 2026'!$AI$40=A39,16,0)</f>
        <v>0</v>
      </c>
      <c r="M39" s="109">
        <f t="shared" si="0"/>
        <v>0</v>
      </c>
      <c r="N39" s="110">
        <f t="shared" si="1"/>
        <v>0</v>
      </c>
      <c r="O39">
        <f>IF('FIFA WC 2026'!$AI$41=$A39,5,0)</f>
        <v>0</v>
      </c>
    </row>
    <row r="40" spans="1:15" ht="12.75" customHeight="1" x14ac:dyDescent="0.3">
      <c r="A40" s="27" t="s">
        <v>72</v>
      </c>
      <c r="B40" s="26" t="s">
        <v>74</v>
      </c>
      <c r="C40" s="28">
        <f t="array" ref="C40">3*(SUMPRODUCT((MOD(INT((ROW('FIFA WC 2026'!$E$5:$E$76)-4)/2),3)=0)*('FIFA WC 2026'!$E$5:$E$76=A40)*ISNUMBER('FIFA WC 2026'!$F$5:$F$76)*ISNUMBER('FIFA WC 2026'!$G$5:$G$76)*('FIFA WC 2026'!$F$5:$F$76&gt;'FIFA WC 2026'!$G$5:$G$76))+SUMPRODUCT((MOD(INT((ROW('FIFA WC 2026'!$E$5:$E$76)-4)/2),3)=0)*('FIFA WC 2026'!$H$5:$H$76=A40)*ISNUMBER('FIFA WC 2026'!$F$5:$F$76)*ISNUMBER('FIFA WC 2026'!$G$5:$G$76)*('FIFA WC 2026'!$G$5:$G$76&gt;'FIFA WC 2026'!$F$5:$F$76)))+(SUMPRODUCT((MOD(INT((ROW('FIFA WC 2026'!$E$5:$E$76)-4)/2),3)=0)*((('FIFA WC 2026'!$E$5:$E$76=A40)+('FIFA WC 2026'!$H$5:$H$76=A40))&gt;0)*ISNUMBER('FIFA WC 2026'!$F$5:$F$76)*ISNUMBER('FIFA WC 2026'!$G$5:$G$76)*('FIFA WC 2026'!$F$5:$F$76='FIFA WC 2026'!$G$5:$G$76)))</f>
        <v>0</v>
      </c>
      <c r="D40" s="28">
        <f t="array" ref="D40">3*(SUMPRODUCT((MOD(INT((ROW('FIFA WC 2026'!$E$5:$E$76)-4)/2),3)=1)*('FIFA WC 2026'!$E$5:$E$76=A40)*ISNUMBER('FIFA WC 2026'!$F$5:$F$76)*ISNUMBER('FIFA WC 2026'!$G$5:$G$76)*('FIFA WC 2026'!$F$5:$F$76&gt;'FIFA WC 2026'!$G$5:$G$76))+SUMPRODUCT((MOD(INT((ROW('FIFA WC 2026'!$E$5:$E$76)-4)/2),3)=1)*('FIFA WC 2026'!$H$5:$H$76=A40)*ISNUMBER('FIFA WC 2026'!$F$5:$F$76)*ISNUMBER('FIFA WC 2026'!$G$5:$G$76)*('FIFA WC 2026'!$G$5:$G$76&gt;'FIFA WC 2026'!$F$5:$F$76)))+(SUMPRODUCT((MOD(INT((ROW('FIFA WC 2026'!$E$5:$E$76)-4)/2),3)=1)*((('FIFA WC 2026'!$E$5:$E$76=A40)+('FIFA WC 2026'!$H$5:$H$76=A40))&gt;0)*ISNUMBER('FIFA WC 2026'!$F$5:$F$76)*ISNUMBER('FIFA WC 2026'!$G$5:$G$76)*('FIFA WC 2026'!$F$5:$F$76='FIFA WC 2026'!$G$5:$G$76)))</f>
        <v>0</v>
      </c>
      <c r="E40" s="28">
        <f t="array" ref="E40">3*(SUMPRODUCT((MOD(INT((ROW('FIFA WC 2026'!$E$5:$E$76)-4)/2),3)=2)*('FIFA WC 2026'!$E$5:$E$76=A40)*ISNUMBER('FIFA WC 2026'!$F$5:$F$76)*ISNUMBER('FIFA WC 2026'!$G$5:$G$76)*('FIFA WC 2026'!$F$5:$F$76&gt;'FIFA WC 2026'!$G$5:$G$76))+SUMPRODUCT((MOD(INT((ROW('FIFA WC 2026'!$E$5:$E$76)-4)/2),3)=2)*('FIFA WC 2026'!$H$5:$H$76=A40)*ISNUMBER('FIFA WC 2026'!$F$5:$F$76)*ISNUMBER('FIFA WC 2026'!$G$5:$G$76)*('FIFA WC 2026'!$G$5:$G$76&gt;'FIFA WC 2026'!$F$5:$F$76)))+(SUMPRODUCT((MOD(INT((ROW('FIFA WC 2026'!$E$5:$E$76)-4)/2),3)=2)*((('FIFA WC 2026'!$E$5:$E$76=A40)+('FIFA WC 2026'!$H$5:$H$76=A40))&gt;0)*ISNUMBER('FIFA WC 2026'!$F$5:$F$76)*ISNUMBER('FIFA WC 2026'!$G$5:$G$76)*('FIFA WC 2026'!$F$5:$F$76='FIFA WC 2026'!$G$5:$G$76)))</f>
        <v>0</v>
      </c>
      <c r="F40" s="28">
        <f t="array" ref="F40">0.5*(SUMPRODUCT(('FIFA WC 2026'!$E$5:$E$76=A40)*IFERROR('FIFA WC 2026'!$F$5:$F$76,0))+SUMPRODUCT(('FIFA WC 2026'!$H$5:$H$76=A40)*IFERROR('FIFA WC 2026'!$G$5:$G$76,0))+SUMPRODUCT(('FIFA WC 2026'!$S$5:$S$66=A40)*IFERROR('FIFA WC 2026'!$T$5:$T$66,0))+SUMPRODUCT(('FIFA WC 2026'!$W$7:$W$64=A40)*IFERROR('FIFA WC 2026'!$X$7:$X$64,0))+SUMPRODUCT(('FIFA WC 2026'!$AA$11:$AA$66=A40)*IFERROR('FIFA WC 2026'!$AB$11:$AB$66,0))+SUMPRODUCT(('FIFA WC 2026'!$AE$19:$AE$52=A40)*IFERROR('FIFA WC 2026'!$AF$19:$AF$52,0))+SUMPRODUCT(('FIFA WC 2026'!$AI$35:$AI$44=A40)*IFERROR('FIFA WC 2026'!$AJ$35:$AJ$44,0)))</f>
        <v>0</v>
      </c>
      <c r="G40" s="28">
        <f>IF(COUNTIF('FIFA WC 2026'!$S$5:$S$66,A40)&gt;0,4,0)</f>
        <v>0</v>
      </c>
      <c r="H40" s="28">
        <f>IF(COUNTIF('FIFA WC 2026'!$W$7:$W$64,A40)&gt;0,6,0)</f>
        <v>0</v>
      </c>
      <c r="I40" s="28">
        <f>IF(COUNTIF('FIFA WC 2026'!$AA$11:$AA$60,A40)&gt;0,8,0)</f>
        <v>0</v>
      </c>
      <c r="J40" s="28">
        <f>IF(COUNTIF('FIFA WC 2026'!$AE$19:$AE$52,A40)&gt;0,10,0)</f>
        <v>0</v>
      </c>
      <c r="K40" s="28">
        <f>IF(COUNTIF('FIFA WC 2026'!$AI$35:$AI$36,A40)&gt;0,13,0)</f>
        <v>0</v>
      </c>
      <c r="L40" s="28">
        <f>IF('FIFA WC 2026'!$AI$40=A40,16,0)</f>
        <v>0</v>
      </c>
      <c r="M40" s="111">
        <f t="shared" si="0"/>
        <v>0</v>
      </c>
      <c r="N40" s="110">
        <f t="shared" si="1"/>
        <v>0</v>
      </c>
      <c r="O40">
        <f>IF('FIFA WC 2026'!$AI$41=$A40,5,0)</f>
        <v>0</v>
      </c>
    </row>
    <row r="41" spans="1:15" ht="12.75" customHeight="1" x14ac:dyDescent="0.3">
      <c r="A41" s="27" t="s">
        <v>73</v>
      </c>
      <c r="B41" s="26" t="s">
        <v>74</v>
      </c>
      <c r="C41" s="28">
        <f t="array" ref="C41">3*(SUMPRODUCT((MOD(INT((ROW('FIFA WC 2026'!$E$5:$E$76)-4)/2),3)=0)*('FIFA WC 2026'!$E$5:$E$76=A41)*ISNUMBER('FIFA WC 2026'!$F$5:$F$76)*ISNUMBER('FIFA WC 2026'!$G$5:$G$76)*('FIFA WC 2026'!$F$5:$F$76&gt;'FIFA WC 2026'!$G$5:$G$76))+SUMPRODUCT((MOD(INT((ROW('FIFA WC 2026'!$E$5:$E$76)-4)/2),3)=0)*('FIFA WC 2026'!$H$5:$H$76=A41)*ISNUMBER('FIFA WC 2026'!$F$5:$F$76)*ISNUMBER('FIFA WC 2026'!$G$5:$G$76)*('FIFA WC 2026'!$G$5:$G$76&gt;'FIFA WC 2026'!$F$5:$F$76)))+(SUMPRODUCT((MOD(INT((ROW('FIFA WC 2026'!$E$5:$E$76)-4)/2),3)=0)*((('FIFA WC 2026'!$E$5:$E$76=A41)+('FIFA WC 2026'!$H$5:$H$76=A41))&gt;0)*ISNUMBER('FIFA WC 2026'!$F$5:$F$76)*ISNUMBER('FIFA WC 2026'!$G$5:$G$76)*('FIFA WC 2026'!$F$5:$F$76='FIFA WC 2026'!$G$5:$G$76)))</f>
        <v>0</v>
      </c>
      <c r="D41" s="28">
        <f t="array" ref="D41">3*(SUMPRODUCT((MOD(INT((ROW('FIFA WC 2026'!$E$5:$E$76)-4)/2),3)=1)*('FIFA WC 2026'!$E$5:$E$76=A41)*ISNUMBER('FIFA WC 2026'!$F$5:$F$76)*ISNUMBER('FIFA WC 2026'!$G$5:$G$76)*('FIFA WC 2026'!$F$5:$F$76&gt;'FIFA WC 2026'!$G$5:$G$76))+SUMPRODUCT((MOD(INT((ROW('FIFA WC 2026'!$E$5:$E$76)-4)/2),3)=1)*('FIFA WC 2026'!$H$5:$H$76=A41)*ISNUMBER('FIFA WC 2026'!$F$5:$F$76)*ISNUMBER('FIFA WC 2026'!$G$5:$G$76)*('FIFA WC 2026'!$G$5:$G$76&gt;'FIFA WC 2026'!$F$5:$F$76)))+(SUMPRODUCT((MOD(INT((ROW('FIFA WC 2026'!$E$5:$E$76)-4)/2),3)=1)*((('FIFA WC 2026'!$E$5:$E$76=A41)+('FIFA WC 2026'!$H$5:$H$76=A41))&gt;0)*ISNUMBER('FIFA WC 2026'!$F$5:$F$76)*ISNUMBER('FIFA WC 2026'!$G$5:$G$76)*('FIFA WC 2026'!$F$5:$F$76='FIFA WC 2026'!$G$5:$G$76)))</f>
        <v>0</v>
      </c>
      <c r="E41" s="28">
        <f t="array" ref="E41">3*(SUMPRODUCT((MOD(INT((ROW('FIFA WC 2026'!$E$5:$E$76)-4)/2),3)=2)*('FIFA WC 2026'!$E$5:$E$76=A41)*ISNUMBER('FIFA WC 2026'!$F$5:$F$76)*ISNUMBER('FIFA WC 2026'!$G$5:$G$76)*('FIFA WC 2026'!$F$5:$F$76&gt;'FIFA WC 2026'!$G$5:$G$76))+SUMPRODUCT((MOD(INT((ROW('FIFA WC 2026'!$E$5:$E$76)-4)/2),3)=2)*('FIFA WC 2026'!$H$5:$H$76=A41)*ISNUMBER('FIFA WC 2026'!$F$5:$F$76)*ISNUMBER('FIFA WC 2026'!$G$5:$G$76)*('FIFA WC 2026'!$G$5:$G$76&gt;'FIFA WC 2026'!$F$5:$F$76)))+(SUMPRODUCT((MOD(INT((ROW('FIFA WC 2026'!$E$5:$E$76)-4)/2),3)=2)*((('FIFA WC 2026'!$E$5:$E$76=A41)+('FIFA WC 2026'!$H$5:$H$76=A41))&gt;0)*ISNUMBER('FIFA WC 2026'!$F$5:$F$76)*ISNUMBER('FIFA WC 2026'!$G$5:$G$76)*('FIFA WC 2026'!$F$5:$F$76='FIFA WC 2026'!$G$5:$G$76)))</f>
        <v>0</v>
      </c>
      <c r="F41" s="28">
        <f t="array" ref="F41">0.5*(SUMPRODUCT(('FIFA WC 2026'!$E$5:$E$76=A41)*IFERROR('FIFA WC 2026'!$F$5:$F$76,0))+SUMPRODUCT(('FIFA WC 2026'!$H$5:$H$76=A41)*IFERROR('FIFA WC 2026'!$G$5:$G$76,0))+SUMPRODUCT(('FIFA WC 2026'!$S$5:$S$66=A41)*IFERROR('FIFA WC 2026'!$T$5:$T$66,0))+SUMPRODUCT(('FIFA WC 2026'!$W$7:$W$64=A41)*IFERROR('FIFA WC 2026'!$X$7:$X$64,0))+SUMPRODUCT(('FIFA WC 2026'!$AA$11:$AA$66=A41)*IFERROR('FIFA WC 2026'!$AB$11:$AB$66,0))+SUMPRODUCT(('FIFA WC 2026'!$AE$19:$AE$52=A41)*IFERROR('FIFA WC 2026'!$AF$19:$AF$52,0))+SUMPRODUCT(('FIFA WC 2026'!$AI$35:$AI$44=A41)*IFERROR('FIFA WC 2026'!$AJ$35:$AJ$44,0)))</f>
        <v>0</v>
      </c>
      <c r="G41" s="28">
        <f>IF(COUNTIF('FIFA WC 2026'!$S$5:$S$66,A41)&gt;0,4,0)</f>
        <v>0</v>
      </c>
      <c r="H41" s="28">
        <f>IF(COUNTIF('FIFA WC 2026'!$W$7:$W$64,A41)&gt;0,6,0)</f>
        <v>0</v>
      </c>
      <c r="I41" s="28">
        <f>IF(COUNTIF('FIFA WC 2026'!$AA$11:$AA$60,A41)&gt;0,8,0)</f>
        <v>0</v>
      </c>
      <c r="J41" s="28">
        <f>IF(COUNTIF('FIFA WC 2026'!$AE$19:$AE$52,A41)&gt;0,10,0)</f>
        <v>0</v>
      </c>
      <c r="K41" s="28">
        <f>IF(COUNTIF('FIFA WC 2026'!$AI$35:$AI$36,A41)&gt;0,13,0)</f>
        <v>0</v>
      </c>
      <c r="L41" s="28">
        <f>IF('FIFA WC 2026'!$AI$40=A41,16,0)</f>
        <v>0</v>
      </c>
      <c r="M41" s="111">
        <f t="shared" si="0"/>
        <v>0</v>
      </c>
      <c r="N41" s="110">
        <f t="shared" si="1"/>
        <v>0</v>
      </c>
      <c r="O41">
        <f>IF('FIFA WC 2026'!$AI$41=$A41,5,0)</f>
        <v>0</v>
      </c>
    </row>
    <row r="42" spans="1:15" ht="12.75" customHeight="1" x14ac:dyDescent="0.3">
      <c r="A42" s="27" t="s">
        <v>76</v>
      </c>
      <c r="B42" s="26" t="s">
        <v>74</v>
      </c>
      <c r="C42" s="28">
        <f t="array" ref="C42">3*(SUMPRODUCT((MOD(INT((ROW('FIFA WC 2026'!$E$5:$E$76)-4)/2),3)=0)*('FIFA WC 2026'!$E$5:$E$76=A42)*ISNUMBER('FIFA WC 2026'!$F$5:$F$76)*ISNUMBER('FIFA WC 2026'!$G$5:$G$76)*('FIFA WC 2026'!$F$5:$F$76&gt;'FIFA WC 2026'!$G$5:$G$76))+SUMPRODUCT((MOD(INT((ROW('FIFA WC 2026'!$E$5:$E$76)-4)/2),3)=0)*('FIFA WC 2026'!$H$5:$H$76=A42)*ISNUMBER('FIFA WC 2026'!$F$5:$F$76)*ISNUMBER('FIFA WC 2026'!$G$5:$G$76)*('FIFA WC 2026'!$G$5:$G$76&gt;'FIFA WC 2026'!$F$5:$F$76)))+(SUMPRODUCT((MOD(INT((ROW('FIFA WC 2026'!$E$5:$E$76)-4)/2),3)=0)*((('FIFA WC 2026'!$E$5:$E$76=A42)+('FIFA WC 2026'!$H$5:$H$76=A42))&gt;0)*ISNUMBER('FIFA WC 2026'!$F$5:$F$76)*ISNUMBER('FIFA WC 2026'!$G$5:$G$76)*('FIFA WC 2026'!$F$5:$F$76='FIFA WC 2026'!$G$5:$G$76)))</f>
        <v>0</v>
      </c>
      <c r="D42" s="28">
        <f t="array" ref="D42">3*(SUMPRODUCT((MOD(INT((ROW('FIFA WC 2026'!$E$5:$E$76)-4)/2),3)=1)*('FIFA WC 2026'!$E$5:$E$76=A42)*ISNUMBER('FIFA WC 2026'!$F$5:$F$76)*ISNUMBER('FIFA WC 2026'!$G$5:$G$76)*('FIFA WC 2026'!$F$5:$F$76&gt;'FIFA WC 2026'!$G$5:$G$76))+SUMPRODUCT((MOD(INT((ROW('FIFA WC 2026'!$E$5:$E$76)-4)/2),3)=1)*('FIFA WC 2026'!$H$5:$H$76=A42)*ISNUMBER('FIFA WC 2026'!$F$5:$F$76)*ISNUMBER('FIFA WC 2026'!$G$5:$G$76)*('FIFA WC 2026'!$G$5:$G$76&gt;'FIFA WC 2026'!$F$5:$F$76)))+(SUMPRODUCT((MOD(INT((ROW('FIFA WC 2026'!$E$5:$E$76)-4)/2),3)=1)*((('FIFA WC 2026'!$E$5:$E$76=A42)+('FIFA WC 2026'!$H$5:$H$76=A42))&gt;0)*ISNUMBER('FIFA WC 2026'!$F$5:$F$76)*ISNUMBER('FIFA WC 2026'!$G$5:$G$76)*('FIFA WC 2026'!$F$5:$F$76='FIFA WC 2026'!$G$5:$G$76)))</f>
        <v>0</v>
      </c>
      <c r="E42" s="28">
        <f t="array" ref="E42">3*(SUMPRODUCT((MOD(INT((ROW('FIFA WC 2026'!$E$5:$E$76)-4)/2),3)=2)*('FIFA WC 2026'!$E$5:$E$76=A42)*ISNUMBER('FIFA WC 2026'!$F$5:$F$76)*ISNUMBER('FIFA WC 2026'!$G$5:$G$76)*('FIFA WC 2026'!$F$5:$F$76&gt;'FIFA WC 2026'!$G$5:$G$76))+SUMPRODUCT((MOD(INT((ROW('FIFA WC 2026'!$E$5:$E$76)-4)/2),3)=2)*('FIFA WC 2026'!$H$5:$H$76=A42)*ISNUMBER('FIFA WC 2026'!$F$5:$F$76)*ISNUMBER('FIFA WC 2026'!$G$5:$G$76)*('FIFA WC 2026'!$G$5:$G$76&gt;'FIFA WC 2026'!$F$5:$F$76)))+(SUMPRODUCT((MOD(INT((ROW('FIFA WC 2026'!$E$5:$E$76)-4)/2),3)=2)*((('FIFA WC 2026'!$E$5:$E$76=A42)+('FIFA WC 2026'!$H$5:$H$76=A42))&gt;0)*ISNUMBER('FIFA WC 2026'!$F$5:$F$76)*ISNUMBER('FIFA WC 2026'!$G$5:$G$76)*('FIFA WC 2026'!$F$5:$F$76='FIFA WC 2026'!$G$5:$G$76)))</f>
        <v>0</v>
      </c>
      <c r="F42" s="28">
        <f t="array" ref="F42">0.5*(SUMPRODUCT(('FIFA WC 2026'!$E$5:$E$76=A42)*IFERROR('FIFA WC 2026'!$F$5:$F$76,0))+SUMPRODUCT(('FIFA WC 2026'!$H$5:$H$76=A42)*IFERROR('FIFA WC 2026'!$G$5:$G$76,0))+SUMPRODUCT(('FIFA WC 2026'!$S$5:$S$66=A42)*IFERROR('FIFA WC 2026'!$T$5:$T$66,0))+SUMPRODUCT(('FIFA WC 2026'!$W$7:$W$64=A42)*IFERROR('FIFA WC 2026'!$X$7:$X$64,0))+SUMPRODUCT(('FIFA WC 2026'!$AA$11:$AA$66=A42)*IFERROR('FIFA WC 2026'!$AB$11:$AB$66,0))+SUMPRODUCT(('FIFA WC 2026'!$AE$19:$AE$52=A42)*IFERROR('FIFA WC 2026'!$AF$19:$AF$52,0))+SUMPRODUCT(('FIFA WC 2026'!$AI$35:$AI$44=A42)*IFERROR('FIFA WC 2026'!$AJ$35:$AJ$44,0)))</f>
        <v>0</v>
      </c>
      <c r="G42" s="28">
        <f>IF(COUNTIF('FIFA WC 2026'!$S$5:$S$66,A42)&gt;0,4,0)</f>
        <v>0</v>
      </c>
      <c r="H42" s="28">
        <f>IF(COUNTIF('FIFA WC 2026'!$W$7:$W$64,A42)&gt;0,6,0)</f>
        <v>0</v>
      </c>
      <c r="I42" s="28">
        <f>IF(COUNTIF('FIFA WC 2026'!$AA$11:$AA$60,A42)&gt;0,8,0)</f>
        <v>0</v>
      </c>
      <c r="J42" s="28">
        <f>IF(COUNTIF('FIFA WC 2026'!$AE$19:$AE$52,A42)&gt;0,10,0)</f>
        <v>0</v>
      </c>
      <c r="K42" s="28">
        <f>IF(COUNTIF('FIFA WC 2026'!$AI$35:$AI$36,A42)&gt;0,13,0)</f>
        <v>0</v>
      </c>
      <c r="L42" s="28">
        <f>IF('FIFA WC 2026'!$AI$40=A42,16,0)</f>
        <v>0</v>
      </c>
      <c r="M42" s="111">
        <f t="shared" si="0"/>
        <v>0</v>
      </c>
      <c r="N42" s="110">
        <f t="shared" si="1"/>
        <v>0</v>
      </c>
      <c r="O42">
        <f>IF('FIFA WC 2026'!$AI$41=$A42,5,0)</f>
        <v>0</v>
      </c>
    </row>
    <row r="43" spans="1:15" ht="12.75" customHeight="1" x14ac:dyDescent="0.3">
      <c r="A43" s="27" t="s">
        <v>77</v>
      </c>
      <c r="B43" s="26" t="s">
        <v>74</v>
      </c>
      <c r="C43" s="28">
        <f t="array" ref="C43">3*(SUMPRODUCT((MOD(INT((ROW('FIFA WC 2026'!$E$5:$E$76)-4)/2),3)=0)*('FIFA WC 2026'!$E$5:$E$76=A43)*ISNUMBER('FIFA WC 2026'!$F$5:$F$76)*ISNUMBER('FIFA WC 2026'!$G$5:$G$76)*('FIFA WC 2026'!$F$5:$F$76&gt;'FIFA WC 2026'!$G$5:$G$76))+SUMPRODUCT((MOD(INT((ROW('FIFA WC 2026'!$E$5:$E$76)-4)/2),3)=0)*('FIFA WC 2026'!$H$5:$H$76=A43)*ISNUMBER('FIFA WC 2026'!$F$5:$F$76)*ISNUMBER('FIFA WC 2026'!$G$5:$G$76)*('FIFA WC 2026'!$G$5:$G$76&gt;'FIFA WC 2026'!$F$5:$F$76)))+(SUMPRODUCT((MOD(INT((ROW('FIFA WC 2026'!$E$5:$E$76)-4)/2),3)=0)*((('FIFA WC 2026'!$E$5:$E$76=A43)+('FIFA WC 2026'!$H$5:$H$76=A43))&gt;0)*ISNUMBER('FIFA WC 2026'!$F$5:$F$76)*ISNUMBER('FIFA WC 2026'!$G$5:$G$76)*('FIFA WC 2026'!$F$5:$F$76='FIFA WC 2026'!$G$5:$G$76)))</f>
        <v>0</v>
      </c>
      <c r="D43" s="28">
        <f t="array" ref="D43">3*(SUMPRODUCT((MOD(INT((ROW('FIFA WC 2026'!$E$5:$E$76)-4)/2),3)=1)*('FIFA WC 2026'!$E$5:$E$76=A43)*ISNUMBER('FIFA WC 2026'!$F$5:$F$76)*ISNUMBER('FIFA WC 2026'!$G$5:$G$76)*('FIFA WC 2026'!$F$5:$F$76&gt;'FIFA WC 2026'!$G$5:$G$76))+SUMPRODUCT((MOD(INT((ROW('FIFA WC 2026'!$E$5:$E$76)-4)/2),3)=1)*('FIFA WC 2026'!$H$5:$H$76=A43)*ISNUMBER('FIFA WC 2026'!$F$5:$F$76)*ISNUMBER('FIFA WC 2026'!$G$5:$G$76)*('FIFA WC 2026'!$G$5:$G$76&gt;'FIFA WC 2026'!$F$5:$F$76)))+(SUMPRODUCT((MOD(INT((ROW('FIFA WC 2026'!$E$5:$E$76)-4)/2),3)=1)*((('FIFA WC 2026'!$E$5:$E$76=A43)+('FIFA WC 2026'!$H$5:$H$76=A43))&gt;0)*ISNUMBER('FIFA WC 2026'!$F$5:$F$76)*ISNUMBER('FIFA WC 2026'!$G$5:$G$76)*('FIFA WC 2026'!$F$5:$F$76='FIFA WC 2026'!$G$5:$G$76)))</f>
        <v>0</v>
      </c>
      <c r="E43" s="28">
        <f t="array" ref="E43">3*(SUMPRODUCT((MOD(INT((ROW('FIFA WC 2026'!$E$5:$E$76)-4)/2),3)=2)*('FIFA WC 2026'!$E$5:$E$76=A43)*ISNUMBER('FIFA WC 2026'!$F$5:$F$76)*ISNUMBER('FIFA WC 2026'!$G$5:$G$76)*('FIFA WC 2026'!$F$5:$F$76&gt;'FIFA WC 2026'!$G$5:$G$76))+SUMPRODUCT((MOD(INT((ROW('FIFA WC 2026'!$E$5:$E$76)-4)/2),3)=2)*('FIFA WC 2026'!$H$5:$H$76=A43)*ISNUMBER('FIFA WC 2026'!$F$5:$F$76)*ISNUMBER('FIFA WC 2026'!$G$5:$G$76)*('FIFA WC 2026'!$G$5:$G$76&gt;'FIFA WC 2026'!$F$5:$F$76)))+(SUMPRODUCT((MOD(INT((ROW('FIFA WC 2026'!$E$5:$E$76)-4)/2),3)=2)*((('FIFA WC 2026'!$E$5:$E$76=A43)+('FIFA WC 2026'!$H$5:$H$76=A43))&gt;0)*ISNUMBER('FIFA WC 2026'!$F$5:$F$76)*ISNUMBER('FIFA WC 2026'!$G$5:$G$76)*('FIFA WC 2026'!$F$5:$F$76='FIFA WC 2026'!$G$5:$G$76)))</f>
        <v>0</v>
      </c>
      <c r="F43" s="28">
        <f t="array" ref="F43">0.5*(SUMPRODUCT(('FIFA WC 2026'!$E$5:$E$76=A43)*IFERROR('FIFA WC 2026'!$F$5:$F$76,0))+SUMPRODUCT(('FIFA WC 2026'!$H$5:$H$76=A43)*IFERROR('FIFA WC 2026'!$G$5:$G$76,0))+SUMPRODUCT(('FIFA WC 2026'!$S$5:$S$66=A43)*IFERROR('FIFA WC 2026'!$T$5:$T$66,0))+SUMPRODUCT(('FIFA WC 2026'!$W$7:$W$64=A43)*IFERROR('FIFA WC 2026'!$X$7:$X$64,0))+SUMPRODUCT(('FIFA WC 2026'!$AA$11:$AA$66=A43)*IFERROR('FIFA WC 2026'!$AB$11:$AB$66,0))+SUMPRODUCT(('FIFA WC 2026'!$AE$19:$AE$52=A43)*IFERROR('FIFA WC 2026'!$AF$19:$AF$52,0))+SUMPRODUCT(('FIFA WC 2026'!$AI$35:$AI$44=A43)*IFERROR('FIFA WC 2026'!$AJ$35:$AJ$44,0)))</f>
        <v>0</v>
      </c>
      <c r="G43" s="28">
        <f>IF(COUNTIF('FIFA WC 2026'!$S$5:$S$66,A43)&gt;0,4,0)</f>
        <v>0</v>
      </c>
      <c r="H43" s="28">
        <f>IF(COUNTIF('FIFA WC 2026'!$W$7:$W$64,A43)&gt;0,6,0)</f>
        <v>0</v>
      </c>
      <c r="I43" s="28">
        <f>IF(COUNTIF('FIFA WC 2026'!$AA$11:$AA$60,A43)&gt;0,8,0)</f>
        <v>0</v>
      </c>
      <c r="J43" s="28">
        <f>IF(COUNTIF('FIFA WC 2026'!$AE$19:$AE$52,A43)&gt;0,10,0)</f>
        <v>0</v>
      </c>
      <c r="K43" s="28">
        <f>IF(COUNTIF('FIFA WC 2026'!$AI$35:$AI$36,A43)&gt;0,13,0)</f>
        <v>0</v>
      </c>
      <c r="L43" s="28">
        <f>IF('FIFA WC 2026'!$AI$40=A43,16,0)</f>
        <v>0</v>
      </c>
      <c r="M43" s="111">
        <f t="shared" si="0"/>
        <v>0</v>
      </c>
      <c r="N43" s="110">
        <f t="shared" si="1"/>
        <v>0</v>
      </c>
      <c r="O43">
        <f>IF('FIFA WC 2026'!$AI$41=$A43,5,0)</f>
        <v>0</v>
      </c>
    </row>
    <row r="44" spans="1:15" ht="12.75" customHeight="1" x14ac:dyDescent="0.3">
      <c r="A44" s="106" t="s">
        <v>78</v>
      </c>
      <c r="B44" s="107" t="s">
        <v>80</v>
      </c>
      <c r="C44" s="108">
        <f t="array" ref="C44">3*(SUMPRODUCT((MOD(INT((ROW('FIFA WC 2026'!$E$5:$E$76)-4)/2),3)=0)*('FIFA WC 2026'!$E$5:$E$76=A44)*ISNUMBER('FIFA WC 2026'!$F$5:$F$76)*ISNUMBER('FIFA WC 2026'!$G$5:$G$76)*('FIFA WC 2026'!$F$5:$F$76&gt;'FIFA WC 2026'!$G$5:$G$76))+SUMPRODUCT((MOD(INT((ROW('FIFA WC 2026'!$E$5:$E$76)-4)/2),3)=0)*('FIFA WC 2026'!$H$5:$H$76=A44)*ISNUMBER('FIFA WC 2026'!$F$5:$F$76)*ISNUMBER('FIFA WC 2026'!$G$5:$G$76)*('FIFA WC 2026'!$G$5:$G$76&gt;'FIFA WC 2026'!$F$5:$F$76)))+(SUMPRODUCT((MOD(INT((ROW('FIFA WC 2026'!$E$5:$E$76)-4)/2),3)=0)*((('FIFA WC 2026'!$E$5:$E$76=A44)+('FIFA WC 2026'!$H$5:$H$76=A44))&gt;0)*ISNUMBER('FIFA WC 2026'!$F$5:$F$76)*ISNUMBER('FIFA WC 2026'!$G$5:$G$76)*('FIFA WC 2026'!$F$5:$F$76='FIFA WC 2026'!$G$5:$G$76)))</f>
        <v>0</v>
      </c>
      <c r="D44" s="108">
        <f t="array" ref="D44">3*(SUMPRODUCT((MOD(INT((ROW('FIFA WC 2026'!$E$5:$E$76)-4)/2),3)=1)*('FIFA WC 2026'!$E$5:$E$76=A44)*ISNUMBER('FIFA WC 2026'!$F$5:$F$76)*ISNUMBER('FIFA WC 2026'!$G$5:$G$76)*('FIFA WC 2026'!$F$5:$F$76&gt;'FIFA WC 2026'!$G$5:$G$76))+SUMPRODUCT((MOD(INT((ROW('FIFA WC 2026'!$E$5:$E$76)-4)/2),3)=1)*('FIFA WC 2026'!$H$5:$H$76=A44)*ISNUMBER('FIFA WC 2026'!$F$5:$F$76)*ISNUMBER('FIFA WC 2026'!$G$5:$G$76)*('FIFA WC 2026'!$G$5:$G$76&gt;'FIFA WC 2026'!$F$5:$F$76)))+(SUMPRODUCT((MOD(INT((ROW('FIFA WC 2026'!$E$5:$E$76)-4)/2),3)=1)*((('FIFA WC 2026'!$E$5:$E$76=A44)+('FIFA WC 2026'!$H$5:$H$76=A44))&gt;0)*ISNUMBER('FIFA WC 2026'!$F$5:$F$76)*ISNUMBER('FIFA WC 2026'!$G$5:$G$76)*('FIFA WC 2026'!$F$5:$F$76='FIFA WC 2026'!$G$5:$G$76)))</f>
        <v>0</v>
      </c>
      <c r="E44" s="108">
        <f t="array" ref="E44">3*(SUMPRODUCT((MOD(INT((ROW('FIFA WC 2026'!$E$5:$E$76)-4)/2),3)=2)*('FIFA WC 2026'!$E$5:$E$76=A44)*ISNUMBER('FIFA WC 2026'!$F$5:$F$76)*ISNUMBER('FIFA WC 2026'!$G$5:$G$76)*('FIFA WC 2026'!$F$5:$F$76&gt;'FIFA WC 2026'!$G$5:$G$76))+SUMPRODUCT((MOD(INT((ROW('FIFA WC 2026'!$E$5:$E$76)-4)/2),3)=2)*('FIFA WC 2026'!$H$5:$H$76=A44)*ISNUMBER('FIFA WC 2026'!$F$5:$F$76)*ISNUMBER('FIFA WC 2026'!$G$5:$G$76)*('FIFA WC 2026'!$G$5:$G$76&gt;'FIFA WC 2026'!$F$5:$F$76)))+(SUMPRODUCT((MOD(INT((ROW('FIFA WC 2026'!$E$5:$E$76)-4)/2),3)=2)*((('FIFA WC 2026'!$E$5:$E$76=A44)+('FIFA WC 2026'!$H$5:$H$76=A44))&gt;0)*ISNUMBER('FIFA WC 2026'!$F$5:$F$76)*ISNUMBER('FIFA WC 2026'!$G$5:$G$76)*('FIFA WC 2026'!$F$5:$F$76='FIFA WC 2026'!$G$5:$G$76)))</f>
        <v>0</v>
      </c>
      <c r="F44" s="108">
        <f t="array" ref="F44">0.5*(SUMPRODUCT(('FIFA WC 2026'!$E$5:$E$76=A44)*IFERROR('FIFA WC 2026'!$F$5:$F$76,0))+SUMPRODUCT(('FIFA WC 2026'!$H$5:$H$76=A44)*IFERROR('FIFA WC 2026'!$G$5:$G$76,0))+SUMPRODUCT(('FIFA WC 2026'!$S$5:$S$66=A44)*IFERROR('FIFA WC 2026'!$T$5:$T$66,0))+SUMPRODUCT(('FIFA WC 2026'!$W$7:$W$64=A44)*IFERROR('FIFA WC 2026'!$X$7:$X$64,0))+SUMPRODUCT(('FIFA WC 2026'!$AA$11:$AA$66=A44)*IFERROR('FIFA WC 2026'!$AB$11:$AB$66,0))+SUMPRODUCT(('FIFA WC 2026'!$AE$19:$AE$52=A44)*IFERROR('FIFA WC 2026'!$AF$19:$AF$52,0))+SUMPRODUCT(('FIFA WC 2026'!$AI$35:$AI$44=A44)*IFERROR('FIFA WC 2026'!$AJ$35:$AJ$44,0)))</f>
        <v>0</v>
      </c>
      <c r="G44" s="108">
        <f>IF(COUNTIF('FIFA WC 2026'!$S$5:$S$66,A44)&gt;0,4,0)</f>
        <v>0</v>
      </c>
      <c r="H44" s="108">
        <f>IF(COUNTIF('FIFA WC 2026'!$W$7:$W$64,A44)&gt;0,6,0)</f>
        <v>0</v>
      </c>
      <c r="I44" s="108">
        <f>IF(COUNTIF('FIFA WC 2026'!$AA$11:$AA$60,A44)&gt;0,8,0)</f>
        <v>0</v>
      </c>
      <c r="J44" s="108">
        <f>IF(COUNTIF('FIFA WC 2026'!$AE$19:$AE$52,A44)&gt;0,10,0)</f>
        <v>0</v>
      </c>
      <c r="K44" s="108">
        <f>IF(COUNTIF('FIFA WC 2026'!$AI$35:$AI$36,A44)&gt;0,13,0)</f>
        <v>0</v>
      </c>
      <c r="L44" s="108">
        <f>IF('FIFA WC 2026'!$AI$40=A44,16,0)</f>
        <v>0</v>
      </c>
      <c r="M44" s="109">
        <f t="shared" si="0"/>
        <v>0</v>
      </c>
      <c r="N44" s="110">
        <f t="shared" si="1"/>
        <v>0</v>
      </c>
      <c r="O44">
        <f>IF('FIFA WC 2026'!$AI$41=$A44,5,0)</f>
        <v>0</v>
      </c>
    </row>
    <row r="45" spans="1:15" ht="12.75" customHeight="1" x14ac:dyDescent="0.3">
      <c r="A45" s="106" t="s">
        <v>79</v>
      </c>
      <c r="B45" s="107" t="s">
        <v>80</v>
      </c>
      <c r="C45" s="108">
        <f t="array" ref="C45">3*(SUMPRODUCT((MOD(INT((ROW('FIFA WC 2026'!$E$5:$E$76)-4)/2),3)=0)*('FIFA WC 2026'!$E$5:$E$76=A45)*ISNUMBER('FIFA WC 2026'!$F$5:$F$76)*ISNUMBER('FIFA WC 2026'!$G$5:$G$76)*('FIFA WC 2026'!$F$5:$F$76&gt;'FIFA WC 2026'!$G$5:$G$76))+SUMPRODUCT((MOD(INT((ROW('FIFA WC 2026'!$E$5:$E$76)-4)/2),3)=0)*('FIFA WC 2026'!$H$5:$H$76=A45)*ISNUMBER('FIFA WC 2026'!$F$5:$F$76)*ISNUMBER('FIFA WC 2026'!$G$5:$G$76)*('FIFA WC 2026'!$G$5:$G$76&gt;'FIFA WC 2026'!$F$5:$F$76)))+(SUMPRODUCT((MOD(INT((ROW('FIFA WC 2026'!$E$5:$E$76)-4)/2),3)=0)*((('FIFA WC 2026'!$E$5:$E$76=A45)+('FIFA WC 2026'!$H$5:$H$76=A45))&gt;0)*ISNUMBER('FIFA WC 2026'!$F$5:$F$76)*ISNUMBER('FIFA WC 2026'!$G$5:$G$76)*('FIFA WC 2026'!$F$5:$F$76='FIFA WC 2026'!$G$5:$G$76)))</f>
        <v>0</v>
      </c>
      <c r="D45" s="108">
        <f t="array" ref="D45">3*(SUMPRODUCT((MOD(INT((ROW('FIFA WC 2026'!$E$5:$E$76)-4)/2),3)=1)*('FIFA WC 2026'!$E$5:$E$76=A45)*ISNUMBER('FIFA WC 2026'!$F$5:$F$76)*ISNUMBER('FIFA WC 2026'!$G$5:$G$76)*('FIFA WC 2026'!$F$5:$F$76&gt;'FIFA WC 2026'!$G$5:$G$76))+SUMPRODUCT((MOD(INT((ROW('FIFA WC 2026'!$E$5:$E$76)-4)/2),3)=1)*('FIFA WC 2026'!$H$5:$H$76=A45)*ISNUMBER('FIFA WC 2026'!$F$5:$F$76)*ISNUMBER('FIFA WC 2026'!$G$5:$G$76)*('FIFA WC 2026'!$G$5:$G$76&gt;'FIFA WC 2026'!$F$5:$F$76)))+(SUMPRODUCT((MOD(INT((ROW('FIFA WC 2026'!$E$5:$E$76)-4)/2),3)=1)*((('FIFA WC 2026'!$E$5:$E$76=A45)+('FIFA WC 2026'!$H$5:$H$76=A45))&gt;0)*ISNUMBER('FIFA WC 2026'!$F$5:$F$76)*ISNUMBER('FIFA WC 2026'!$G$5:$G$76)*('FIFA WC 2026'!$F$5:$F$76='FIFA WC 2026'!$G$5:$G$76)))</f>
        <v>0</v>
      </c>
      <c r="E45" s="108">
        <f t="array" ref="E45">3*(SUMPRODUCT((MOD(INT((ROW('FIFA WC 2026'!$E$5:$E$76)-4)/2),3)=2)*('FIFA WC 2026'!$E$5:$E$76=A45)*ISNUMBER('FIFA WC 2026'!$F$5:$F$76)*ISNUMBER('FIFA WC 2026'!$G$5:$G$76)*('FIFA WC 2026'!$F$5:$F$76&gt;'FIFA WC 2026'!$G$5:$G$76))+SUMPRODUCT((MOD(INT((ROW('FIFA WC 2026'!$E$5:$E$76)-4)/2),3)=2)*('FIFA WC 2026'!$H$5:$H$76=A45)*ISNUMBER('FIFA WC 2026'!$F$5:$F$76)*ISNUMBER('FIFA WC 2026'!$G$5:$G$76)*('FIFA WC 2026'!$G$5:$G$76&gt;'FIFA WC 2026'!$F$5:$F$76)))+(SUMPRODUCT((MOD(INT((ROW('FIFA WC 2026'!$E$5:$E$76)-4)/2),3)=2)*((('FIFA WC 2026'!$E$5:$E$76=A45)+('FIFA WC 2026'!$H$5:$H$76=A45))&gt;0)*ISNUMBER('FIFA WC 2026'!$F$5:$F$76)*ISNUMBER('FIFA WC 2026'!$G$5:$G$76)*('FIFA WC 2026'!$F$5:$F$76='FIFA WC 2026'!$G$5:$G$76)))</f>
        <v>0</v>
      </c>
      <c r="F45" s="108">
        <f t="array" ref="F45">0.5*(SUMPRODUCT(('FIFA WC 2026'!$E$5:$E$76=A45)*IFERROR('FIFA WC 2026'!$F$5:$F$76,0))+SUMPRODUCT(('FIFA WC 2026'!$H$5:$H$76=A45)*IFERROR('FIFA WC 2026'!$G$5:$G$76,0))+SUMPRODUCT(('FIFA WC 2026'!$S$5:$S$66=A45)*IFERROR('FIFA WC 2026'!$T$5:$T$66,0))+SUMPRODUCT(('FIFA WC 2026'!$W$7:$W$64=A45)*IFERROR('FIFA WC 2026'!$X$7:$X$64,0))+SUMPRODUCT(('FIFA WC 2026'!$AA$11:$AA$66=A45)*IFERROR('FIFA WC 2026'!$AB$11:$AB$66,0))+SUMPRODUCT(('FIFA WC 2026'!$AE$19:$AE$52=A45)*IFERROR('FIFA WC 2026'!$AF$19:$AF$52,0))+SUMPRODUCT(('FIFA WC 2026'!$AI$35:$AI$44=A45)*IFERROR('FIFA WC 2026'!$AJ$35:$AJ$44,0)))</f>
        <v>0</v>
      </c>
      <c r="G45" s="108">
        <f>IF(COUNTIF('FIFA WC 2026'!$S$5:$S$66,A45)&gt;0,4,0)</f>
        <v>0</v>
      </c>
      <c r="H45" s="108">
        <f>IF(COUNTIF('FIFA WC 2026'!$W$7:$W$64,A45)&gt;0,6,0)</f>
        <v>0</v>
      </c>
      <c r="I45" s="108">
        <f>IF(COUNTIF('FIFA WC 2026'!$AA$11:$AA$60,A45)&gt;0,8,0)</f>
        <v>0</v>
      </c>
      <c r="J45" s="108">
        <f>IF(COUNTIF('FIFA WC 2026'!$AE$19:$AE$52,A45)&gt;0,10,0)</f>
        <v>0</v>
      </c>
      <c r="K45" s="108">
        <f>IF(COUNTIF('FIFA WC 2026'!$AI$35:$AI$36,A45)&gt;0,13,0)</f>
        <v>0</v>
      </c>
      <c r="L45" s="108">
        <f>IF('FIFA WC 2026'!$AI$40=A45,16,0)</f>
        <v>0</v>
      </c>
      <c r="M45" s="109">
        <f t="shared" si="0"/>
        <v>0</v>
      </c>
      <c r="N45" s="110">
        <f t="shared" si="1"/>
        <v>0</v>
      </c>
      <c r="O45">
        <f>IF('FIFA WC 2026'!$AI$41=$A45,5,0)</f>
        <v>0</v>
      </c>
    </row>
    <row r="46" spans="1:15" ht="12.75" customHeight="1" x14ac:dyDescent="0.3">
      <c r="A46" s="106" t="s">
        <v>82</v>
      </c>
      <c r="B46" s="107" t="s">
        <v>80</v>
      </c>
      <c r="C46" s="108">
        <f t="array" ref="C46">3*(SUMPRODUCT((MOD(INT((ROW('FIFA WC 2026'!$E$5:$E$76)-4)/2),3)=0)*('FIFA WC 2026'!$E$5:$E$76=A46)*ISNUMBER('FIFA WC 2026'!$F$5:$F$76)*ISNUMBER('FIFA WC 2026'!$G$5:$G$76)*('FIFA WC 2026'!$F$5:$F$76&gt;'FIFA WC 2026'!$G$5:$G$76))+SUMPRODUCT((MOD(INT((ROW('FIFA WC 2026'!$E$5:$E$76)-4)/2),3)=0)*('FIFA WC 2026'!$H$5:$H$76=A46)*ISNUMBER('FIFA WC 2026'!$F$5:$F$76)*ISNUMBER('FIFA WC 2026'!$G$5:$G$76)*('FIFA WC 2026'!$G$5:$G$76&gt;'FIFA WC 2026'!$F$5:$F$76)))+(SUMPRODUCT((MOD(INT((ROW('FIFA WC 2026'!$E$5:$E$76)-4)/2),3)=0)*((('FIFA WC 2026'!$E$5:$E$76=A46)+('FIFA WC 2026'!$H$5:$H$76=A46))&gt;0)*ISNUMBER('FIFA WC 2026'!$F$5:$F$76)*ISNUMBER('FIFA WC 2026'!$G$5:$G$76)*('FIFA WC 2026'!$F$5:$F$76='FIFA WC 2026'!$G$5:$G$76)))</f>
        <v>0</v>
      </c>
      <c r="D46" s="108">
        <f t="array" ref="D46">3*(SUMPRODUCT((MOD(INT((ROW('FIFA WC 2026'!$E$5:$E$76)-4)/2),3)=1)*('FIFA WC 2026'!$E$5:$E$76=A46)*ISNUMBER('FIFA WC 2026'!$F$5:$F$76)*ISNUMBER('FIFA WC 2026'!$G$5:$G$76)*('FIFA WC 2026'!$F$5:$F$76&gt;'FIFA WC 2026'!$G$5:$G$76))+SUMPRODUCT((MOD(INT((ROW('FIFA WC 2026'!$E$5:$E$76)-4)/2),3)=1)*('FIFA WC 2026'!$H$5:$H$76=A46)*ISNUMBER('FIFA WC 2026'!$F$5:$F$76)*ISNUMBER('FIFA WC 2026'!$G$5:$G$76)*('FIFA WC 2026'!$G$5:$G$76&gt;'FIFA WC 2026'!$F$5:$F$76)))+(SUMPRODUCT((MOD(INT((ROW('FIFA WC 2026'!$E$5:$E$76)-4)/2),3)=1)*((('FIFA WC 2026'!$E$5:$E$76=A46)+('FIFA WC 2026'!$H$5:$H$76=A46))&gt;0)*ISNUMBER('FIFA WC 2026'!$F$5:$F$76)*ISNUMBER('FIFA WC 2026'!$G$5:$G$76)*('FIFA WC 2026'!$F$5:$F$76='FIFA WC 2026'!$G$5:$G$76)))</f>
        <v>0</v>
      </c>
      <c r="E46" s="108">
        <f t="array" ref="E46">3*(SUMPRODUCT((MOD(INT((ROW('FIFA WC 2026'!$E$5:$E$76)-4)/2),3)=2)*('FIFA WC 2026'!$E$5:$E$76=A46)*ISNUMBER('FIFA WC 2026'!$F$5:$F$76)*ISNUMBER('FIFA WC 2026'!$G$5:$G$76)*('FIFA WC 2026'!$F$5:$F$76&gt;'FIFA WC 2026'!$G$5:$G$76))+SUMPRODUCT((MOD(INT((ROW('FIFA WC 2026'!$E$5:$E$76)-4)/2),3)=2)*('FIFA WC 2026'!$H$5:$H$76=A46)*ISNUMBER('FIFA WC 2026'!$F$5:$F$76)*ISNUMBER('FIFA WC 2026'!$G$5:$G$76)*('FIFA WC 2026'!$G$5:$G$76&gt;'FIFA WC 2026'!$F$5:$F$76)))+(SUMPRODUCT((MOD(INT((ROW('FIFA WC 2026'!$E$5:$E$76)-4)/2),3)=2)*((('FIFA WC 2026'!$E$5:$E$76=A46)+('FIFA WC 2026'!$H$5:$H$76=A46))&gt;0)*ISNUMBER('FIFA WC 2026'!$F$5:$F$76)*ISNUMBER('FIFA WC 2026'!$G$5:$G$76)*('FIFA WC 2026'!$F$5:$F$76='FIFA WC 2026'!$G$5:$G$76)))</f>
        <v>0</v>
      </c>
      <c r="F46" s="108">
        <f t="array" ref="F46">0.5*(SUMPRODUCT(('FIFA WC 2026'!$E$5:$E$76=A46)*IFERROR('FIFA WC 2026'!$F$5:$F$76,0))+SUMPRODUCT(('FIFA WC 2026'!$H$5:$H$76=A46)*IFERROR('FIFA WC 2026'!$G$5:$G$76,0))+SUMPRODUCT(('FIFA WC 2026'!$S$5:$S$66=A46)*IFERROR('FIFA WC 2026'!$T$5:$T$66,0))+SUMPRODUCT(('FIFA WC 2026'!$W$7:$W$64=A46)*IFERROR('FIFA WC 2026'!$X$7:$X$64,0))+SUMPRODUCT(('FIFA WC 2026'!$AA$11:$AA$66=A46)*IFERROR('FIFA WC 2026'!$AB$11:$AB$66,0))+SUMPRODUCT(('FIFA WC 2026'!$AE$19:$AE$52=A46)*IFERROR('FIFA WC 2026'!$AF$19:$AF$52,0))+SUMPRODUCT(('FIFA WC 2026'!$AI$35:$AI$44=A46)*IFERROR('FIFA WC 2026'!$AJ$35:$AJ$44,0)))</f>
        <v>0</v>
      </c>
      <c r="G46" s="108">
        <f>IF(COUNTIF('FIFA WC 2026'!$S$5:$S$66,A46)&gt;0,4,0)</f>
        <v>0</v>
      </c>
      <c r="H46" s="108">
        <f>IF(COUNTIF('FIFA WC 2026'!$W$7:$W$64,A46)&gt;0,6,0)</f>
        <v>0</v>
      </c>
      <c r="I46" s="108">
        <f>IF(COUNTIF('FIFA WC 2026'!$AA$11:$AA$60,A46)&gt;0,8,0)</f>
        <v>0</v>
      </c>
      <c r="J46" s="108">
        <f>IF(COUNTIF('FIFA WC 2026'!$AE$19:$AE$52,A46)&gt;0,10,0)</f>
        <v>0</v>
      </c>
      <c r="K46" s="108">
        <f>IF(COUNTIF('FIFA WC 2026'!$AI$35:$AI$36,A46)&gt;0,13,0)</f>
        <v>0</v>
      </c>
      <c r="L46" s="108">
        <f>IF('FIFA WC 2026'!$AI$40=A46,16,0)</f>
        <v>0</v>
      </c>
      <c r="M46" s="109">
        <f t="shared" si="0"/>
        <v>0</v>
      </c>
      <c r="N46" s="110">
        <f t="shared" si="1"/>
        <v>0</v>
      </c>
      <c r="O46">
        <f>IF('FIFA WC 2026'!$AI$41=$A46,5,0)</f>
        <v>0</v>
      </c>
    </row>
    <row r="47" spans="1:15" ht="12.75" customHeight="1" x14ac:dyDescent="0.3">
      <c r="A47" s="106" t="s">
        <v>83</v>
      </c>
      <c r="B47" s="107" t="s">
        <v>80</v>
      </c>
      <c r="C47" s="108">
        <f t="array" ref="C47">3*(SUMPRODUCT((MOD(INT((ROW('FIFA WC 2026'!$E$5:$E$76)-4)/2),3)=0)*('FIFA WC 2026'!$E$5:$E$76=A47)*ISNUMBER('FIFA WC 2026'!$F$5:$F$76)*ISNUMBER('FIFA WC 2026'!$G$5:$G$76)*('FIFA WC 2026'!$F$5:$F$76&gt;'FIFA WC 2026'!$G$5:$G$76))+SUMPRODUCT((MOD(INT((ROW('FIFA WC 2026'!$E$5:$E$76)-4)/2),3)=0)*('FIFA WC 2026'!$H$5:$H$76=A47)*ISNUMBER('FIFA WC 2026'!$F$5:$F$76)*ISNUMBER('FIFA WC 2026'!$G$5:$G$76)*('FIFA WC 2026'!$G$5:$G$76&gt;'FIFA WC 2026'!$F$5:$F$76)))+(SUMPRODUCT((MOD(INT((ROW('FIFA WC 2026'!$E$5:$E$76)-4)/2),3)=0)*((('FIFA WC 2026'!$E$5:$E$76=A47)+('FIFA WC 2026'!$H$5:$H$76=A47))&gt;0)*ISNUMBER('FIFA WC 2026'!$F$5:$F$76)*ISNUMBER('FIFA WC 2026'!$G$5:$G$76)*('FIFA WC 2026'!$F$5:$F$76='FIFA WC 2026'!$G$5:$G$76)))</f>
        <v>0</v>
      </c>
      <c r="D47" s="108">
        <f t="array" ref="D47">3*(SUMPRODUCT((MOD(INT((ROW('FIFA WC 2026'!$E$5:$E$76)-4)/2),3)=1)*('FIFA WC 2026'!$E$5:$E$76=A47)*ISNUMBER('FIFA WC 2026'!$F$5:$F$76)*ISNUMBER('FIFA WC 2026'!$G$5:$G$76)*('FIFA WC 2026'!$F$5:$F$76&gt;'FIFA WC 2026'!$G$5:$G$76))+SUMPRODUCT((MOD(INT((ROW('FIFA WC 2026'!$E$5:$E$76)-4)/2),3)=1)*('FIFA WC 2026'!$H$5:$H$76=A47)*ISNUMBER('FIFA WC 2026'!$F$5:$F$76)*ISNUMBER('FIFA WC 2026'!$G$5:$G$76)*('FIFA WC 2026'!$G$5:$G$76&gt;'FIFA WC 2026'!$F$5:$F$76)))+(SUMPRODUCT((MOD(INT((ROW('FIFA WC 2026'!$E$5:$E$76)-4)/2),3)=1)*((('FIFA WC 2026'!$E$5:$E$76=A47)+('FIFA WC 2026'!$H$5:$H$76=A47))&gt;0)*ISNUMBER('FIFA WC 2026'!$F$5:$F$76)*ISNUMBER('FIFA WC 2026'!$G$5:$G$76)*('FIFA WC 2026'!$F$5:$F$76='FIFA WC 2026'!$G$5:$G$76)))</f>
        <v>0</v>
      </c>
      <c r="E47" s="108">
        <f t="array" ref="E47">3*(SUMPRODUCT((MOD(INT((ROW('FIFA WC 2026'!$E$5:$E$76)-4)/2),3)=2)*('FIFA WC 2026'!$E$5:$E$76=A47)*ISNUMBER('FIFA WC 2026'!$F$5:$F$76)*ISNUMBER('FIFA WC 2026'!$G$5:$G$76)*('FIFA WC 2026'!$F$5:$F$76&gt;'FIFA WC 2026'!$G$5:$G$76))+SUMPRODUCT((MOD(INT((ROW('FIFA WC 2026'!$E$5:$E$76)-4)/2),3)=2)*('FIFA WC 2026'!$H$5:$H$76=A47)*ISNUMBER('FIFA WC 2026'!$F$5:$F$76)*ISNUMBER('FIFA WC 2026'!$G$5:$G$76)*('FIFA WC 2026'!$G$5:$G$76&gt;'FIFA WC 2026'!$F$5:$F$76)))+(SUMPRODUCT((MOD(INT((ROW('FIFA WC 2026'!$E$5:$E$76)-4)/2),3)=2)*((('FIFA WC 2026'!$E$5:$E$76=A47)+('FIFA WC 2026'!$H$5:$H$76=A47))&gt;0)*ISNUMBER('FIFA WC 2026'!$F$5:$F$76)*ISNUMBER('FIFA WC 2026'!$G$5:$G$76)*('FIFA WC 2026'!$F$5:$F$76='FIFA WC 2026'!$G$5:$G$76)))</f>
        <v>0</v>
      </c>
      <c r="F47" s="108">
        <f t="array" ref="F47">0.5*(SUMPRODUCT(('FIFA WC 2026'!$E$5:$E$76=A47)*IFERROR('FIFA WC 2026'!$F$5:$F$76,0))+SUMPRODUCT(('FIFA WC 2026'!$H$5:$H$76=A47)*IFERROR('FIFA WC 2026'!$G$5:$G$76,0))+SUMPRODUCT(('FIFA WC 2026'!$S$5:$S$66=A47)*IFERROR('FIFA WC 2026'!$T$5:$T$66,0))+SUMPRODUCT(('FIFA WC 2026'!$W$7:$W$64=A47)*IFERROR('FIFA WC 2026'!$X$7:$X$64,0))+SUMPRODUCT(('FIFA WC 2026'!$AA$11:$AA$66=A47)*IFERROR('FIFA WC 2026'!$AB$11:$AB$66,0))+SUMPRODUCT(('FIFA WC 2026'!$AE$19:$AE$52=A47)*IFERROR('FIFA WC 2026'!$AF$19:$AF$52,0))+SUMPRODUCT(('FIFA WC 2026'!$AI$35:$AI$44=A47)*IFERROR('FIFA WC 2026'!$AJ$35:$AJ$44,0)))</f>
        <v>0</v>
      </c>
      <c r="G47" s="108">
        <f>IF(COUNTIF('FIFA WC 2026'!$S$5:$S$66,A47)&gt;0,4,0)</f>
        <v>0</v>
      </c>
      <c r="H47" s="108">
        <f>IF(COUNTIF('FIFA WC 2026'!$W$7:$W$64,A47)&gt;0,6,0)</f>
        <v>0</v>
      </c>
      <c r="I47" s="108">
        <f>IF(COUNTIF('FIFA WC 2026'!$AA$11:$AA$60,A47)&gt;0,8,0)</f>
        <v>0</v>
      </c>
      <c r="J47" s="108">
        <f>IF(COUNTIF('FIFA WC 2026'!$AE$19:$AE$52,A47)&gt;0,10,0)</f>
        <v>0</v>
      </c>
      <c r="K47" s="108">
        <f>IF(COUNTIF('FIFA WC 2026'!$AI$35:$AI$36,A47)&gt;0,13,0)</f>
        <v>0</v>
      </c>
      <c r="L47" s="108">
        <f>IF('FIFA WC 2026'!$AI$40=A47,16,0)</f>
        <v>0</v>
      </c>
      <c r="M47" s="109">
        <f t="shared" si="0"/>
        <v>0</v>
      </c>
      <c r="N47" s="110">
        <f t="shared" si="1"/>
        <v>0</v>
      </c>
      <c r="O47">
        <f>IF('FIFA WC 2026'!$AI$41=$A47,5,0)</f>
        <v>0</v>
      </c>
    </row>
    <row r="48" spans="1:15" ht="12.75" customHeight="1" x14ac:dyDescent="0.3">
      <c r="A48" s="27" t="s">
        <v>84</v>
      </c>
      <c r="B48" s="26" t="s">
        <v>20</v>
      </c>
      <c r="C48" s="28">
        <f t="array" ref="C48">3*(SUMPRODUCT((MOD(INT((ROW('FIFA WC 2026'!$E$5:$E$76)-4)/2),3)=0)*('FIFA WC 2026'!$E$5:$E$76=A48)*ISNUMBER('FIFA WC 2026'!$F$5:$F$76)*ISNUMBER('FIFA WC 2026'!$G$5:$G$76)*('FIFA WC 2026'!$F$5:$F$76&gt;'FIFA WC 2026'!$G$5:$G$76))+SUMPRODUCT((MOD(INT((ROW('FIFA WC 2026'!$E$5:$E$76)-4)/2),3)=0)*('FIFA WC 2026'!$H$5:$H$76=A48)*ISNUMBER('FIFA WC 2026'!$F$5:$F$76)*ISNUMBER('FIFA WC 2026'!$G$5:$G$76)*('FIFA WC 2026'!$G$5:$G$76&gt;'FIFA WC 2026'!$F$5:$F$76)))+(SUMPRODUCT((MOD(INT((ROW('FIFA WC 2026'!$E$5:$E$76)-4)/2),3)=0)*((('FIFA WC 2026'!$E$5:$E$76=A48)+('FIFA WC 2026'!$H$5:$H$76=A48))&gt;0)*ISNUMBER('FIFA WC 2026'!$F$5:$F$76)*ISNUMBER('FIFA WC 2026'!$G$5:$G$76)*('FIFA WC 2026'!$F$5:$F$76='FIFA WC 2026'!$G$5:$G$76)))</f>
        <v>0</v>
      </c>
      <c r="D48" s="28">
        <f t="array" ref="D48">3*(SUMPRODUCT((MOD(INT((ROW('FIFA WC 2026'!$E$5:$E$76)-4)/2),3)=1)*('FIFA WC 2026'!$E$5:$E$76=A48)*ISNUMBER('FIFA WC 2026'!$F$5:$F$76)*ISNUMBER('FIFA WC 2026'!$G$5:$G$76)*('FIFA WC 2026'!$F$5:$F$76&gt;'FIFA WC 2026'!$G$5:$G$76))+SUMPRODUCT((MOD(INT((ROW('FIFA WC 2026'!$E$5:$E$76)-4)/2),3)=1)*('FIFA WC 2026'!$H$5:$H$76=A48)*ISNUMBER('FIFA WC 2026'!$F$5:$F$76)*ISNUMBER('FIFA WC 2026'!$G$5:$G$76)*('FIFA WC 2026'!$G$5:$G$76&gt;'FIFA WC 2026'!$F$5:$F$76)))+(SUMPRODUCT((MOD(INT((ROW('FIFA WC 2026'!$E$5:$E$76)-4)/2),3)=1)*((('FIFA WC 2026'!$E$5:$E$76=A48)+('FIFA WC 2026'!$H$5:$H$76=A48))&gt;0)*ISNUMBER('FIFA WC 2026'!$F$5:$F$76)*ISNUMBER('FIFA WC 2026'!$G$5:$G$76)*('FIFA WC 2026'!$F$5:$F$76='FIFA WC 2026'!$G$5:$G$76)))</f>
        <v>0</v>
      </c>
      <c r="E48" s="28">
        <f t="array" ref="E48">3*(SUMPRODUCT((MOD(INT((ROW('FIFA WC 2026'!$E$5:$E$76)-4)/2),3)=2)*('FIFA WC 2026'!$E$5:$E$76=A48)*ISNUMBER('FIFA WC 2026'!$F$5:$F$76)*ISNUMBER('FIFA WC 2026'!$G$5:$G$76)*('FIFA WC 2026'!$F$5:$F$76&gt;'FIFA WC 2026'!$G$5:$G$76))+SUMPRODUCT((MOD(INT((ROW('FIFA WC 2026'!$E$5:$E$76)-4)/2),3)=2)*('FIFA WC 2026'!$H$5:$H$76=A48)*ISNUMBER('FIFA WC 2026'!$F$5:$F$76)*ISNUMBER('FIFA WC 2026'!$G$5:$G$76)*('FIFA WC 2026'!$G$5:$G$76&gt;'FIFA WC 2026'!$F$5:$F$76)))+(SUMPRODUCT((MOD(INT((ROW('FIFA WC 2026'!$E$5:$E$76)-4)/2),3)=2)*((('FIFA WC 2026'!$E$5:$E$76=A48)+('FIFA WC 2026'!$H$5:$H$76=A48))&gt;0)*ISNUMBER('FIFA WC 2026'!$F$5:$F$76)*ISNUMBER('FIFA WC 2026'!$G$5:$G$76)*('FIFA WC 2026'!$F$5:$F$76='FIFA WC 2026'!$G$5:$G$76)))</f>
        <v>0</v>
      </c>
      <c r="F48" s="28">
        <f t="array" ref="F48">0.5*(SUMPRODUCT(('FIFA WC 2026'!$E$5:$E$76=A48)*IFERROR('FIFA WC 2026'!$F$5:$F$76,0))+SUMPRODUCT(('FIFA WC 2026'!$H$5:$H$76=A48)*IFERROR('FIFA WC 2026'!$G$5:$G$76,0))+SUMPRODUCT(('FIFA WC 2026'!$S$5:$S$66=A48)*IFERROR('FIFA WC 2026'!$T$5:$T$66,0))+SUMPRODUCT(('FIFA WC 2026'!$W$7:$W$64=A48)*IFERROR('FIFA WC 2026'!$X$7:$X$64,0))+SUMPRODUCT(('FIFA WC 2026'!$AA$11:$AA$66=A48)*IFERROR('FIFA WC 2026'!$AB$11:$AB$66,0))+SUMPRODUCT(('FIFA WC 2026'!$AE$19:$AE$52=A48)*IFERROR('FIFA WC 2026'!$AF$19:$AF$52,0))+SUMPRODUCT(('FIFA WC 2026'!$AI$35:$AI$44=A48)*IFERROR('FIFA WC 2026'!$AJ$35:$AJ$44,0)))</f>
        <v>0</v>
      </c>
      <c r="G48" s="28">
        <f>IF(COUNTIF('FIFA WC 2026'!$S$5:$S$66,A48)&gt;0,4,0)</f>
        <v>0</v>
      </c>
      <c r="H48" s="28">
        <f>IF(COUNTIF('FIFA WC 2026'!$W$7:$W$64,A48)&gt;0,6,0)</f>
        <v>0</v>
      </c>
      <c r="I48" s="28">
        <f>IF(COUNTIF('FIFA WC 2026'!$AA$11:$AA$60,A48)&gt;0,8,0)</f>
        <v>0</v>
      </c>
      <c r="J48" s="28">
        <f>IF(COUNTIF('FIFA WC 2026'!$AE$19:$AE$52,A48)&gt;0,10,0)</f>
        <v>0</v>
      </c>
      <c r="K48" s="28">
        <f>IF(COUNTIF('FIFA WC 2026'!$AI$35:$AI$36,A48)&gt;0,13,0)</f>
        <v>0</v>
      </c>
      <c r="L48" s="28">
        <f>IF('FIFA WC 2026'!$AI$40=A48,16,0)</f>
        <v>0</v>
      </c>
      <c r="M48" s="111">
        <f t="shared" si="0"/>
        <v>0</v>
      </c>
      <c r="N48" s="110">
        <f t="shared" si="1"/>
        <v>0</v>
      </c>
      <c r="O48">
        <f>IF('FIFA WC 2026'!$AI$41=$A48,5,0)</f>
        <v>0</v>
      </c>
    </row>
    <row r="49" spans="1:15" ht="12.75" customHeight="1" x14ac:dyDescent="0.3">
      <c r="A49" s="27" t="s">
        <v>85</v>
      </c>
      <c r="B49" s="26" t="s">
        <v>20</v>
      </c>
      <c r="C49" s="28">
        <f t="array" ref="C49">3*(SUMPRODUCT((MOD(INT((ROW('FIFA WC 2026'!$E$5:$E$76)-4)/2),3)=0)*('FIFA WC 2026'!$E$5:$E$76=A49)*ISNUMBER('FIFA WC 2026'!$F$5:$F$76)*ISNUMBER('FIFA WC 2026'!$G$5:$G$76)*('FIFA WC 2026'!$F$5:$F$76&gt;'FIFA WC 2026'!$G$5:$G$76))+SUMPRODUCT((MOD(INT((ROW('FIFA WC 2026'!$E$5:$E$76)-4)/2),3)=0)*('FIFA WC 2026'!$H$5:$H$76=A49)*ISNUMBER('FIFA WC 2026'!$F$5:$F$76)*ISNUMBER('FIFA WC 2026'!$G$5:$G$76)*('FIFA WC 2026'!$G$5:$G$76&gt;'FIFA WC 2026'!$F$5:$F$76)))+(SUMPRODUCT((MOD(INT((ROW('FIFA WC 2026'!$E$5:$E$76)-4)/2),3)=0)*((('FIFA WC 2026'!$E$5:$E$76=A49)+('FIFA WC 2026'!$H$5:$H$76=A49))&gt;0)*ISNUMBER('FIFA WC 2026'!$F$5:$F$76)*ISNUMBER('FIFA WC 2026'!$G$5:$G$76)*('FIFA WC 2026'!$F$5:$F$76='FIFA WC 2026'!$G$5:$G$76)))</f>
        <v>0</v>
      </c>
      <c r="D49" s="28">
        <f t="array" ref="D49">3*(SUMPRODUCT((MOD(INT((ROW('FIFA WC 2026'!$E$5:$E$76)-4)/2),3)=1)*('FIFA WC 2026'!$E$5:$E$76=A49)*ISNUMBER('FIFA WC 2026'!$F$5:$F$76)*ISNUMBER('FIFA WC 2026'!$G$5:$G$76)*('FIFA WC 2026'!$F$5:$F$76&gt;'FIFA WC 2026'!$G$5:$G$76))+SUMPRODUCT((MOD(INT((ROW('FIFA WC 2026'!$E$5:$E$76)-4)/2),3)=1)*('FIFA WC 2026'!$H$5:$H$76=A49)*ISNUMBER('FIFA WC 2026'!$F$5:$F$76)*ISNUMBER('FIFA WC 2026'!$G$5:$G$76)*('FIFA WC 2026'!$G$5:$G$76&gt;'FIFA WC 2026'!$F$5:$F$76)))+(SUMPRODUCT((MOD(INT((ROW('FIFA WC 2026'!$E$5:$E$76)-4)/2),3)=1)*((('FIFA WC 2026'!$E$5:$E$76=A49)+('FIFA WC 2026'!$H$5:$H$76=A49))&gt;0)*ISNUMBER('FIFA WC 2026'!$F$5:$F$76)*ISNUMBER('FIFA WC 2026'!$G$5:$G$76)*('FIFA WC 2026'!$F$5:$F$76='FIFA WC 2026'!$G$5:$G$76)))</f>
        <v>0</v>
      </c>
      <c r="E49" s="28">
        <f t="array" ref="E49">3*(SUMPRODUCT((MOD(INT((ROW('FIFA WC 2026'!$E$5:$E$76)-4)/2),3)=2)*('FIFA WC 2026'!$E$5:$E$76=A49)*ISNUMBER('FIFA WC 2026'!$F$5:$F$76)*ISNUMBER('FIFA WC 2026'!$G$5:$G$76)*('FIFA WC 2026'!$F$5:$F$76&gt;'FIFA WC 2026'!$G$5:$G$76))+SUMPRODUCT((MOD(INT((ROW('FIFA WC 2026'!$E$5:$E$76)-4)/2),3)=2)*('FIFA WC 2026'!$H$5:$H$76=A49)*ISNUMBER('FIFA WC 2026'!$F$5:$F$76)*ISNUMBER('FIFA WC 2026'!$G$5:$G$76)*('FIFA WC 2026'!$G$5:$G$76&gt;'FIFA WC 2026'!$F$5:$F$76)))+(SUMPRODUCT((MOD(INT((ROW('FIFA WC 2026'!$E$5:$E$76)-4)/2),3)=2)*((('FIFA WC 2026'!$E$5:$E$76=A49)+('FIFA WC 2026'!$H$5:$H$76=A49))&gt;0)*ISNUMBER('FIFA WC 2026'!$F$5:$F$76)*ISNUMBER('FIFA WC 2026'!$G$5:$G$76)*('FIFA WC 2026'!$F$5:$F$76='FIFA WC 2026'!$G$5:$G$76)))</f>
        <v>0</v>
      </c>
      <c r="F49" s="28">
        <f t="array" ref="F49">0.5*(SUMPRODUCT(('FIFA WC 2026'!$E$5:$E$76=A49)*IFERROR('FIFA WC 2026'!$F$5:$F$76,0))+SUMPRODUCT(('FIFA WC 2026'!$H$5:$H$76=A49)*IFERROR('FIFA WC 2026'!$G$5:$G$76,0))+SUMPRODUCT(('FIFA WC 2026'!$S$5:$S$66=A49)*IFERROR('FIFA WC 2026'!$T$5:$T$66,0))+SUMPRODUCT(('FIFA WC 2026'!$W$7:$W$64=A49)*IFERROR('FIFA WC 2026'!$X$7:$X$64,0))+SUMPRODUCT(('FIFA WC 2026'!$AA$11:$AA$66=A49)*IFERROR('FIFA WC 2026'!$AB$11:$AB$66,0))+SUMPRODUCT(('FIFA WC 2026'!$AE$19:$AE$52=A49)*IFERROR('FIFA WC 2026'!$AF$19:$AF$52,0))+SUMPRODUCT(('FIFA WC 2026'!$AI$35:$AI$44=A49)*IFERROR('FIFA WC 2026'!$AJ$35:$AJ$44,0)))</f>
        <v>0</v>
      </c>
      <c r="G49" s="28">
        <f>IF(COUNTIF('FIFA WC 2026'!$S$5:$S$66,A49)&gt;0,4,0)</f>
        <v>0</v>
      </c>
      <c r="H49" s="28">
        <f>IF(COUNTIF('FIFA WC 2026'!$W$7:$W$64,A49)&gt;0,6,0)</f>
        <v>0</v>
      </c>
      <c r="I49" s="28">
        <f>IF(COUNTIF('FIFA WC 2026'!$AA$11:$AA$60,A49)&gt;0,8,0)</f>
        <v>0</v>
      </c>
      <c r="J49" s="28">
        <f>IF(COUNTIF('FIFA WC 2026'!$AE$19:$AE$52,A49)&gt;0,10,0)</f>
        <v>0</v>
      </c>
      <c r="K49" s="28">
        <f>IF(COUNTIF('FIFA WC 2026'!$AI$35:$AI$36,A49)&gt;0,13,0)</f>
        <v>0</v>
      </c>
      <c r="L49" s="28">
        <f>IF('FIFA WC 2026'!$AI$40=A49,16,0)</f>
        <v>0</v>
      </c>
      <c r="M49" s="111">
        <f t="shared" si="0"/>
        <v>0</v>
      </c>
      <c r="N49" s="110">
        <f t="shared" si="1"/>
        <v>0</v>
      </c>
      <c r="O49">
        <f>IF('FIFA WC 2026'!$AI$41=$A49,5,0)</f>
        <v>0</v>
      </c>
    </row>
    <row r="50" spans="1:15" ht="12.75" customHeight="1" x14ac:dyDescent="0.3">
      <c r="A50" s="27" t="s">
        <v>87</v>
      </c>
      <c r="B50" s="26" t="s">
        <v>20</v>
      </c>
      <c r="C50" s="28">
        <f t="array" ref="C50">3*(SUMPRODUCT((MOD(INT((ROW('FIFA WC 2026'!$E$5:$E$76)-4)/2),3)=0)*('FIFA WC 2026'!$E$5:$E$76=A50)*ISNUMBER('FIFA WC 2026'!$F$5:$F$76)*ISNUMBER('FIFA WC 2026'!$G$5:$G$76)*('FIFA WC 2026'!$F$5:$F$76&gt;'FIFA WC 2026'!$G$5:$G$76))+SUMPRODUCT((MOD(INT((ROW('FIFA WC 2026'!$E$5:$E$76)-4)/2),3)=0)*('FIFA WC 2026'!$H$5:$H$76=A50)*ISNUMBER('FIFA WC 2026'!$F$5:$F$76)*ISNUMBER('FIFA WC 2026'!$G$5:$G$76)*('FIFA WC 2026'!$G$5:$G$76&gt;'FIFA WC 2026'!$F$5:$F$76)))+(SUMPRODUCT((MOD(INT((ROW('FIFA WC 2026'!$E$5:$E$76)-4)/2),3)=0)*((('FIFA WC 2026'!$E$5:$E$76=A50)+('FIFA WC 2026'!$H$5:$H$76=A50))&gt;0)*ISNUMBER('FIFA WC 2026'!$F$5:$F$76)*ISNUMBER('FIFA WC 2026'!$G$5:$G$76)*('FIFA WC 2026'!$F$5:$F$76='FIFA WC 2026'!$G$5:$G$76)))</f>
        <v>0</v>
      </c>
      <c r="D50" s="28">
        <f t="array" ref="D50">3*(SUMPRODUCT((MOD(INT((ROW('FIFA WC 2026'!$E$5:$E$76)-4)/2),3)=1)*('FIFA WC 2026'!$E$5:$E$76=A50)*ISNUMBER('FIFA WC 2026'!$F$5:$F$76)*ISNUMBER('FIFA WC 2026'!$G$5:$G$76)*('FIFA WC 2026'!$F$5:$F$76&gt;'FIFA WC 2026'!$G$5:$G$76))+SUMPRODUCT((MOD(INT((ROW('FIFA WC 2026'!$E$5:$E$76)-4)/2),3)=1)*('FIFA WC 2026'!$H$5:$H$76=A50)*ISNUMBER('FIFA WC 2026'!$F$5:$F$76)*ISNUMBER('FIFA WC 2026'!$G$5:$G$76)*('FIFA WC 2026'!$G$5:$G$76&gt;'FIFA WC 2026'!$F$5:$F$76)))+(SUMPRODUCT((MOD(INT((ROW('FIFA WC 2026'!$E$5:$E$76)-4)/2),3)=1)*((('FIFA WC 2026'!$E$5:$E$76=A50)+('FIFA WC 2026'!$H$5:$H$76=A50))&gt;0)*ISNUMBER('FIFA WC 2026'!$F$5:$F$76)*ISNUMBER('FIFA WC 2026'!$G$5:$G$76)*('FIFA WC 2026'!$F$5:$F$76='FIFA WC 2026'!$G$5:$G$76)))</f>
        <v>0</v>
      </c>
      <c r="E50" s="28">
        <f t="array" ref="E50">3*(SUMPRODUCT((MOD(INT((ROW('FIFA WC 2026'!$E$5:$E$76)-4)/2),3)=2)*('FIFA WC 2026'!$E$5:$E$76=A50)*ISNUMBER('FIFA WC 2026'!$F$5:$F$76)*ISNUMBER('FIFA WC 2026'!$G$5:$G$76)*('FIFA WC 2026'!$F$5:$F$76&gt;'FIFA WC 2026'!$G$5:$G$76))+SUMPRODUCT((MOD(INT((ROW('FIFA WC 2026'!$E$5:$E$76)-4)/2),3)=2)*('FIFA WC 2026'!$H$5:$H$76=A50)*ISNUMBER('FIFA WC 2026'!$F$5:$F$76)*ISNUMBER('FIFA WC 2026'!$G$5:$G$76)*('FIFA WC 2026'!$G$5:$G$76&gt;'FIFA WC 2026'!$F$5:$F$76)))+(SUMPRODUCT((MOD(INT((ROW('FIFA WC 2026'!$E$5:$E$76)-4)/2),3)=2)*((('FIFA WC 2026'!$E$5:$E$76=A50)+('FIFA WC 2026'!$H$5:$H$76=A50))&gt;0)*ISNUMBER('FIFA WC 2026'!$F$5:$F$76)*ISNUMBER('FIFA WC 2026'!$G$5:$G$76)*('FIFA WC 2026'!$F$5:$F$76='FIFA WC 2026'!$G$5:$G$76)))</f>
        <v>0</v>
      </c>
      <c r="F50" s="28">
        <f t="array" ref="F50">0.5*(SUMPRODUCT(('FIFA WC 2026'!$E$5:$E$76=A50)*IFERROR('FIFA WC 2026'!$F$5:$F$76,0))+SUMPRODUCT(('FIFA WC 2026'!$H$5:$H$76=A50)*IFERROR('FIFA WC 2026'!$G$5:$G$76,0))+SUMPRODUCT(('FIFA WC 2026'!$S$5:$S$66=A50)*IFERROR('FIFA WC 2026'!$T$5:$T$66,0))+SUMPRODUCT(('FIFA WC 2026'!$W$7:$W$64=A50)*IFERROR('FIFA WC 2026'!$X$7:$X$64,0))+SUMPRODUCT(('FIFA WC 2026'!$AA$11:$AA$66=A50)*IFERROR('FIFA WC 2026'!$AB$11:$AB$66,0))+SUMPRODUCT(('FIFA WC 2026'!$AE$19:$AE$52=A50)*IFERROR('FIFA WC 2026'!$AF$19:$AF$52,0))+SUMPRODUCT(('FIFA WC 2026'!$AI$35:$AI$44=A50)*IFERROR('FIFA WC 2026'!$AJ$35:$AJ$44,0)))</f>
        <v>0</v>
      </c>
      <c r="G50" s="28">
        <f>IF(COUNTIF('FIFA WC 2026'!$S$5:$S$66,A50)&gt;0,4,0)</f>
        <v>0</v>
      </c>
      <c r="H50" s="28">
        <f>IF(COUNTIF('FIFA WC 2026'!$W$7:$W$64,A50)&gt;0,6,0)</f>
        <v>0</v>
      </c>
      <c r="I50" s="28">
        <f>IF(COUNTIF('FIFA WC 2026'!$AA$11:$AA$60,A50)&gt;0,8,0)</f>
        <v>0</v>
      </c>
      <c r="J50" s="28">
        <f>IF(COUNTIF('FIFA WC 2026'!$AE$19:$AE$52,A50)&gt;0,10,0)</f>
        <v>0</v>
      </c>
      <c r="K50" s="28">
        <f>IF(COUNTIF('FIFA WC 2026'!$AI$35:$AI$36,A50)&gt;0,13,0)</f>
        <v>0</v>
      </c>
      <c r="L50" s="28">
        <f>IF('FIFA WC 2026'!$AI$40=A50,16,0)</f>
        <v>0</v>
      </c>
      <c r="M50" s="111">
        <f t="shared" si="0"/>
        <v>0</v>
      </c>
      <c r="N50" s="110">
        <f t="shared" si="1"/>
        <v>0</v>
      </c>
      <c r="O50">
        <f>IF('FIFA WC 2026'!$AI$41=$A50,5,0)</f>
        <v>0</v>
      </c>
    </row>
    <row r="51" spans="1:15" ht="12.75" customHeight="1" x14ac:dyDescent="0.3">
      <c r="A51" s="27" t="s">
        <v>88</v>
      </c>
      <c r="B51" s="26" t="s">
        <v>20</v>
      </c>
      <c r="C51" s="28">
        <f t="array" ref="C51">3*(SUMPRODUCT((MOD(INT((ROW('FIFA WC 2026'!$E$5:$E$76)-4)/2),3)=0)*('FIFA WC 2026'!$E$5:$E$76=A51)*ISNUMBER('FIFA WC 2026'!$F$5:$F$76)*ISNUMBER('FIFA WC 2026'!$G$5:$G$76)*('FIFA WC 2026'!$F$5:$F$76&gt;'FIFA WC 2026'!$G$5:$G$76))+SUMPRODUCT((MOD(INT((ROW('FIFA WC 2026'!$E$5:$E$76)-4)/2),3)=0)*('FIFA WC 2026'!$H$5:$H$76=A51)*ISNUMBER('FIFA WC 2026'!$F$5:$F$76)*ISNUMBER('FIFA WC 2026'!$G$5:$G$76)*('FIFA WC 2026'!$G$5:$G$76&gt;'FIFA WC 2026'!$F$5:$F$76)))+(SUMPRODUCT((MOD(INT((ROW('FIFA WC 2026'!$E$5:$E$76)-4)/2),3)=0)*((('FIFA WC 2026'!$E$5:$E$76=A51)+('FIFA WC 2026'!$H$5:$H$76=A51))&gt;0)*ISNUMBER('FIFA WC 2026'!$F$5:$F$76)*ISNUMBER('FIFA WC 2026'!$G$5:$G$76)*('FIFA WC 2026'!$F$5:$F$76='FIFA WC 2026'!$G$5:$G$76)))</f>
        <v>0</v>
      </c>
      <c r="D51" s="28">
        <f t="array" ref="D51">3*(SUMPRODUCT((MOD(INT((ROW('FIFA WC 2026'!$E$5:$E$76)-4)/2),3)=1)*('FIFA WC 2026'!$E$5:$E$76=A51)*ISNUMBER('FIFA WC 2026'!$F$5:$F$76)*ISNUMBER('FIFA WC 2026'!$G$5:$G$76)*('FIFA WC 2026'!$F$5:$F$76&gt;'FIFA WC 2026'!$G$5:$G$76))+SUMPRODUCT((MOD(INT((ROW('FIFA WC 2026'!$E$5:$E$76)-4)/2),3)=1)*('FIFA WC 2026'!$H$5:$H$76=A51)*ISNUMBER('FIFA WC 2026'!$F$5:$F$76)*ISNUMBER('FIFA WC 2026'!$G$5:$G$76)*('FIFA WC 2026'!$G$5:$G$76&gt;'FIFA WC 2026'!$F$5:$F$76)))+(SUMPRODUCT((MOD(INT((ROW('FIFA WC 2026'!$E$5:$E$76)-4)/2),3)=1)*((('FIFA WC 2026'!$E$5:$E$76=A51)+('FIFA WC 2026'!$H$5:$H$76=A51))&gt;0)*ISNUMBER('FIFA WC 2026'!$F$5:$F$76)*ISNUMBER('FIFA WC 2026'!$G$5:$G$76)*('FIFA WC 2026'!$F$5:$F$76='FIFA WC 2026'!$G$5:$G$76)))</f>
        <v>0</v>
      </c>
      <c r="E51" s="28">
        <f t="array" ref="E51">3*(SUMPRODUCT((MOD(INT((ROW('FIFA WC 2026'!$E$5:$E$76)-4)/2),3)=2)*('FIFA WC 2026'!$E$5:$E$76=A51)*ISNUMBER('FIFA WC 2026'!$F$5:$F$76)*ISNUMBER('FIFA WC 2026'!$G$5:$G$76)*('FIFA WC 2026'!$F$5:$F$76&gt;'FIFA WC 2026'!$G$5:$G$76))+SUMPRODUCT((MOD(INT((ROW('FIFA WC 2026'!$E$5:$E$76)-4)/2),3)=2)*('FIFA WC 2026'!$H$5:$H$76=A51)*ISNUMBER('FIFA WC 2026'!$F$5:$F$76)*ISNUMBER('FIFA WC 2026'!$G$5:$G$76)*('FIFA WC 2026'!$G$5:$G$76&gt;'FIFA WC 2026'!$F$5:$F$76)))+(SUMPRODUCT((MOD(INT((ROW('FIFA WC 2026'!$E$5:$E$76)-4)/2),3)=2)*((('FIFA WC 2026'!$E$5:$E$76=A51)+('FIFA WC 2026'!$H$5:$H$76=A51))&gt;0)*ISNUMBER('FIFA WC 2026'!$F$5:$F$76)*ISNUMBER('FIFA WC 2026'!$G$5:$G$76)*('FIFA WC 2026'!$F$5:$F$76='FIFA WC 2026'!$G$5:$G$76)))</f>
        <v>0</v>
      </c>
      <c r="F51" s="28">
        <f t="array" ref="F51">0.5*(SUMPRODUCT(('FIFA WC 2026'!$E$5:$E$76=A51)*IFERROR('FIFA WC 2026'!$F$5:$F$76,0))+SUMPRODUCT(('FIFA WC 2026'!$H$5:$H$76=A51)*IFERROR('FIFA WC 2026'!$G$5:$G$76,0))+SUMPRODUCT(('FIFA WC 2026'!$S$5:$S$66=A51)*IFERROR('FIFA WC 2026'!$T$5:$T$66,0))+SUMPRODUCT(('FIFA WC 2026'!$W$7:$W$64=A51)*IFERROR('FIFA WC 2026'!$X$7:$X$64,0))+SUMPRODUCT(('FIFA WC 2026'!$AA$11:$AA$66=A51)*IFERROR('FIFA WC 2026'!$AB$11:$AB$66,0))+SUMPRODUCT(('FIFA WC 2026'!$AE$19:$AE$52=A51)*IFERROR('FIFA WC 2026'!$AF$19:$AF$52,0))+SUMPRODUCT(('FIFA WC 2026'!$AI$35:$AI$44=A51)*IFERROR('FIFA WC 2026'!$AJ$35:$AJ$44,0)))</f>
        <v>0</v>
      </c>
      <c r="G51" s="28">
        <f>IF(COUNTIF('FIFA WC 2026'!$S$5:$S$66,A51)&gt;0,4,0)</f>
        <v>0</v>
      </c>
      <c r="H51" s="28">
        <f>IF(COUNTIF('FIFA WC 2026'!$W$7:$W$64,A51)&gt;0,6,0)</f>
        <v>0</v>
      </c>
      <c r="I51" s="28">
        <f>IF(COUNTIF('FIFA WC 2026'!$AA$11:$AA$60,A51)&gt;0,8,0)</f>
        <v>0</v>
      </c>
      <c r="J51" s="28">
        <f>IF(COUNTIF('FIFA WC 2026'!$AE$19:$AE$52,A51)&gt;0,10,0)</f>
        <v>0</v>
      </c>
      <c r="K51" s="28">
        <f>IF(COUNTIF('FIFA WC 2026'!$AI$35:$AI$36,A51)&gt;0,13,0)</f>
        <v>0</v>
      </c>
      <c r="L51" s="28">
        <f>IF('FIFA WC 2026'!$AI$40=A51,16,0)</f>
        <v>0</v>
      </c>
      <c r="M51" s="111">
        <f t="shared" si="0"/>
        <v>0</v>
      </c>
      <c r="N51" s="110">
        <f t="shared" si="1"/>
        <v>0</v>
      </c>
      <c r="O51">
        <f>IF('FIFA WC 2026'!$AI$41=$A51,5,0)</f>
        <v>0</v>
      </c>
    </row>
  </sheetData>
  <mergeCells count="1">
    <mergeCell ref="A1:M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B2:I57"/>
  <sheetViews>
    <sheetView showGridLines="0" zoomScale="150" zoomScaleNormal="150" workbookViewId="0">
      <selection activeCell="J19" sqref="J19"/>
    </sheetView>
  </sheetViews>
  <sheetFormatPr defaultColWidth="9.19921875" defaultRowHeight="13" x14ac:dyDescent="0.3"/>
  <cols>
    <col min="1" max="1" width="1.796875" style="112" customWidth="1"/>
    <col min="2" max="2" width="18.3984375" style="112" customWidth="1"/>
    <col min="3" max="3" width="18.59765625" style="113" customWidth="1"/>
    <col min="4" max="4" width="2.59765625" style="112" customWidth="1"/>
    <col min="5" max="5" width="16.3984375" style="112" customWidth="1"/>
    <col min="6" max="6" width="2.59765625" style="112" customWidth="1"/>
    <col min="7" max="7" width="11.59765625" style="112" customWidth="1"/>
    <col min="8" max="8" width="10.59765625" style="112" customWidth="1"/>
    <col min="9" max="9" width="18.3984375" style="112" customWidth="1"/>
    <col min="10" max="16384" width="9.19921875" style="112"/>
  </cols>
  <sheetData>
    <row r="2" spans="2:9" ht="16.5" customHeight="1" x14ac:dyDescent="0.3">
      <c r="B2" s="114" t="s">
        <v>414</v>
      </c>
      <c r="C2" s="115"/>
      <c r="D2" s="116"/>
    </row>
    <row r="3" spans="2:9" ht="12.75" customHeight="1" x14ac:dyDescent="0.3">
      <c r="B3" s="117" t="s">
        <v>415</v>
      </c>
      <c r="C3" s="118" t="s">
        <v>416</v>
      </c>
      <c r="D3" s="119"/>
    </row>
    <row r="4" spans="2:9" ht="12.75" customHeight="1" x14ac:dyDescent="0.3">
      <c r="B4" s="117" t="s">
        <v>417</v>
      </c>
      <c r="C4" s="120">
        <v>2</v>
      </c>
      <c r="D4" s="119"/>
    </row>
    <row r="5" spans="2:9" ht="12.75" customHeight="1" x14ac:dyDescent="0.3">
      <c r="B5" s="121"/>
      <c r="C5" s="122"/>
      <c r="D5" s="123"/>
    </row>
    <row r="6" spans="2:9" ht="12.75" customHeight="1" x14ac:dyDescent="0.3">
      <c r="B6" s="124"/>
      <c r="C6" s="124"/>
      <c r="D6" s="124"/>
    </row>
    <row r="7" spans="2:9" ht="12.75" customHeight="1" x14ac:dyDescent="0.3">
      <c r="B7" s="125"/>
      <c r="C7" s="126"/>
      <c r="D7" s="127"/>
      <c r="E7" s="128" t="s">
        <v>418</v>
      </c>
      <c r="F7" s="129"/>
    </row>
    <row r="8" spans="2:9" ht="15.75" customHeight="1" x14ac:dyDescent="0.3">
      <c r="B8" s="130" t="s">
        <v>419</v>
      </c>
      <c r="C8" s="131" t="s">
        <v>420</v>
      </c>
      <c r="D8" s="119"/>
      <c r="F8" s="129"/>
      <c r="G8" s="132" t="s">
        <v>421</v>
      </c>
      <c r="H8" s="132" t="s">
        <v>422</v>
      </c>
      <c r="I8" s="132" t="s">
        <v>423</v>
      </c>
    </row>
    <row r="9" spans="2:9" ht="12.75" customHeight="1" x14ac:dyDescent="0.3">
      <c r="B9" s="117" t="s">
        <v>66</v>
      </c>
      <c r="C9" s="133">
        <v>1</v>
      </c>
      <c r="D9" s="119"/>
      <c r="E9" s="134">
        <v>85</v>
      </c>
      <c r="F9" s="129"/>
      <c r="G9" s="112" t="s">
        <v>83</v>
      </c>
      <c r="H9" s="112" t="s">
        <v>38</v>
      </c>
      <c r="I9" s="112" t="s">
        <v>79</v>
      </c>
    </row>
    <row r="10" spans="2:9" ht="12.75" customHeight="1" x14ac:dyDescent="0.3">
      <c r="B10" s="117" t="s">
        <v>60</v>
      </c>
      <c r="C10" s="135">
        <v>2</v>
      </c>
      <c r="D10" s="119"/>
      <c r="E10" s="134">
        <v>84</v>
      </c>
      <c r="F10" s="129"/>
      <c r="G10" s="112" t="s">
        <v>67</v>
      </c>
      <c r="H10" s="112" t="s">
        <v>73</v>
      </c>
      <c r="I10" s="112" t="s">
        <v>82</v>
      </c>
    </row>
    <row r="11" spans="2:9" ht="12.75" customHeight="1" x14ac:dyDescent="0.3">
      <c r="B11" s="117" t="s">
        <v>72</v>
      </c>
      <c r="C11" s="135">
        <v>3</v>
      </c>
      <c r="D11" s="119"/>
      <c r="E11" s="134">
        <v>82</v>
      </c>
      <c r="F11" s="129"/>
      <c r="G11" s="112" t="s">
        <v>11</v>
      </c>
      <c r="H11" s="112" t="s">
        <v>54</v>
      </c>
      <c r="I11" s="112" t="s">
        <v>27</v>
      </c>
    </row>
    <row r="12" spans="2:9" ht="12.75" customHeight="1" x14ac:dyDescent="0.3">
      <c r="B12" s="117" t="s">
        <v>84</v>
      </c>
      <c r="C12" s="135">
        <v>4</v>
      </c>
      <c r="D12" s="119"/>
      <c r="E12" s="134">
        <v>75</v>
      </c>
      <c r="F12" s="129"/>
      <c r="G12" s="112" t="s">
        <v>35</v>
      </c>
      <c r="H12" s="112" t="s">
        <v>23</v>
      </c>
      <c r="I12" s="112" t="s">
        <v>70</v>
      </c>
    </row>
    <row r="13" spans="2:9" ht="12.75" customHeight="1" x14ac:dyDescent="0.3">
      <c r="B13" s="117" t="s">
        <v>78</v>
      </c>
      <c r="C13" s="135">
        <v>5</v>
      </c>
      <c r="D13" s="119"/>
      <c r="E13" s="134">
        <v>72</v>
      </c>
      <c r="F13" s="129"/>
      <c r="G13" s="112" t="s">
        <v>65</v>
      </c>
      <c r="H13" s="112" t="s">
        <v>71</v>
      </c>
      <c r="I13" s="112" t="s">
        <v>12</v>
      </c>
    </row>
    <row r="14" spans="2:9" ht="12.75" customHeight="1" x14ac:dyDescent="0.3">
      <c r="B14" s="117" t="s">
        <v>29</v>
      </c>
      <c r="C14" s="135">
        <v>6</v>
      </c>
      <c r="D14" s="119"/>
      <c r="E14" s="134">
        <v>68</v>
      </c>
      <c r="F14" s="129"/>
      <c r="G14" s="112" t="s">
        <v>47</v>
      </c>
      <c r="H14" s="112" t="s">
        <v>88</v>
      </c>
      <c r="I14" s="112" t="s">
        <v>64</v>
      </c>
    </row>
    <row r="15" spans="2:9" ht="12.75" customHeight="1" x14ac:dyDescent="0.3">
      <c r="B15" s="117" t="s">
        <v>46</v>
      </c>
      <c r="C15" s="135">
        <v>7</v>
      </c>
      <c r="D15" s="119"/>
      <c r="E15" s="134">
        <v>66</v>
      </c>
      <c r="F15" s="129"/>
      <c r="G15" s="112" t="s">
        <v>28</v>
      </c>
      <c r="H15" s="112" t="s">
        <v>44</v>
      </c>
      <c r="I15" s="112" t="s">
        <v>77</v>
      </c>
    </row>
    <row r="16" spans="2:9" ht="12.75" customHeight="1" x14ac:dyDescent="0.3">
      <c r="B16" s="117" t="s">
        <v>30</v>
      </c>
      <c r="C16" s="135">
        <v>8</v>
      </c>
      <c r="D16" s="119"/>
      <c r="E16" s="134">
        <v>60</v>
      </c>
      <c r="F16" s="129"/>
      <c r="G16" s="112" t="s">
        <v>57</v>
      </c>
      <c r="H16" s="112" t="s">
        <v>50</v>
      </c>
      <c r="I16" s="112" t="s">
        <v>24</v>
      </c>
    </row>
    <row r="17" spans="2:9" ht="12.75" customHeight="1" x14ac:dyDescent="0.3">
      <c r="B17" s="117" t="s">
        <v>53</v>
      </c>
      <c r="C17" s="135">
        <v>9</v>
      </c>
      <c r="D17" s="119"/>
      <c r="E17" s="128" t="s">
        <v>424</v>
      </c>
      <c r="F17" s="129"/>
      <c r="G17" s="112" t="s">
        <v>39</v>
      </c>
      <c r="H17" s="112" t="s">
        <v>36</v>
      </c>
      <c r="I17" s="112" t="s">
        <v>61</v>
      </c>
    </row>
    <row r="18" spans="2:9" ht="12.75" customHeight="1" x14ac:dyDescent="0.3">
      <c r="B18" s="117" t="s">
        <v>40</v>
      </c>
      <c r="C18" s="135">
        <v>10</v>
      </c>
      <c r="D18" s="119"/>
      <c r="E18" s="128" t="s">
        <v>425</v>
      </c>
      <c r="F18" s="129"/>
      <c r="G18" s="112" t="s">
        <v>45</v>
      </c>
      <c r="H18" s="112" t="s">
        <v>16</v>
      </c>
      <c r="I18" s="112" t="s">
        <v>87</v>
      </c>
    </row>
    <row r="19" spans="2:9" ht="12.75" customHeight="1" x14ac:dyDescent="0.3">
      <c r="B19" s="117" t="s">
        <v>85</v>
      </c>
      <c r="C19" s="135">
        <v>11</v>
      </c>
      <c r="D19" s="119"/>
      <c r="E19" s="128" t="s">
        <v>426</v>
      </c>
      <c r="F19" s="129"/>
      <c r="G19" s="112" t="s">
        <v>76</v>
      </c>
      <c r="H19" s="112" t="s">
        <v>34</v>
      </c>
      <c r="I19" s="112" t="s">
        <v>41</v>
      </c>
    </row>
    <row r="20" spans="2:9" ht="12.75" customHeight="1" x14ac:dyDescent="0.3">
      <c r="B20" s="117" t="s">
        <v>83</v>
      </c>
      <c r="C20" s="135">
        <v>13</v>
      </c>
      <c r="D20" s="119"/>
      <c r="E20" s="128" t="s">
        <v>427</v>
      </c>
      <c r="F20" s="129"/>
      <c r="G20" s="112" t="s">
        <v>15</v>
      </c>
      <c r="H20" s="112" t="s">
        <v>51</v>
      </c>
      <c r="I20" s="112" t="s">
        <v>33</v>
      </c>
    </row>
    <row r="21" spans="2:9" ht="12.75" customHeight="1" x14ac:dyDescent="0.3">
      <c r="B21" s="117" t="s">
        <v>67</v>
      </c>
      <c r="C21" s="135">
        <v>14</v>
      </c>
      <c r="D21" s="119"/>
      <c r="E21" s="128" t="s">
        <v>428</v>
      </c>
      <c r="F21" s="129"/>
      <c r="I21" s="112" t="s">
        <v>58</v>
      </c>
    </row>
    <row r="22" spans="2:9" ht="12.75" customHeight="1" x14ac:dyDescent="0.3">
      <c r="B22" s="117" t="s">
        <v>11</v>
      </c>
      <c r="C22" s="135">
        <v>15</v>
      </c>
      <c r="D22" s="119"/>
      <c r="E22" s="128" t="s">
        <v>429</v>
      </c>
      <c r="F22" s="129"/>
    </row>
    <row r="23" spans="2:9" ht="12.75" customHeight="1" x14ac:dyDescent="0.3">
      <c r="B23" s="117" t="s">
        <v>35</v>
      </c>
      <c r="C23" s="135">
        <v>16</v>
      </c>
      <c r="D23" s="119"/>
      <c r="E23" s="128" t="s">
        <v>430</v>
      </c>
      <c r="F23" s="129"/>
    </row>
    <row r="24" spans="2:9" ht="12.75" customHeight="1" x14ac:dyDescent="0.3">
      <c r="B24" s="117" t="s">
        <v>65</v>
      </c>
      <c r="C24" s="135">
        <v>17</v>
      </c>
      <c r="D24" s="119"/>
      <c r="E24" s="128" t="s">
        <v>431</v>
      </c>
      <c r="F24" s="129"/>
    </row>
    <row r="25" spans="2:9" ht="12.75" customHeight="1" x14ac:dyDescent="0.3">
      <c r="B25" s="117" t="s">
        <v>47</v>
      </c>
      <c r="C25" s="135">
        <v>18</v>
      </c>
      <c r="D25" s="119"/>
      <c r="E25" s="128" t="s">
        <v>432</v>
      </c>
      <c r="F25" s="129"/>
    </row>
    <row r="26" spans="2:9" ht="12.75" customHeight="1" x14ac:dyDescent="0.3">
      <c r="B26" s="117" t="s">
        <v>28</v>
      </c>
      <c r="C26" s="135">
        <v>19</v>
      </c>
      <c r="D26" s="119"/>
      <c r="E26" s="128" t="s">
        <v>433</v>
      </c>
      <c r="F26" s="129"/>
    </row>
    <row r="27" spans="2:9" ht="12.75" customHeight="1" x14ac:dyDescent="0.3">
      <c r="B27" s="117" t="s">
        <v>57</v>
      </c>
      <c r="C27" s="135">
        <v>21</v>
      </c>
      <c r="D27" s="119"/>
      <c r="E27" s="128" t="s">
        <v>434</v>
      </c>
      <c r="F27" s="129"/>
    </row>
    <row r="28" spans="2:9" ht="12.75" customHeight="1" x14ac:dyDescent="0.3">
      <c r="B28" s="117" t="s">
        <v>39</v>
      </c>
      <c r="C28" s="135">
        <v>22</v>
      </c>
      <c r="D28" s="119"/>
      <c r="E28" s="128" t="s">
        <v>435</v>
      </c>
      <c r="F28" s="129"/>
    </row>
    <row r="29" spans="2:9" ht="12.75" customHeight="1" x14ac:dyDescent="0.3">
      <c r="B29" s="117" t="s">
        <v>45</v>
      </c>
      <c r="C29" s="135">
        <v>23</v>
      </c>
      <c r="D29" s="119"/>
      <c r="E29" s="128" t="s">
        <v>436</v>
      </c>
      <c r="F29" s="129"/>
    </row>
    <row r="30" spans="2:9" ht="12.75" customHeight="1" x14ac:dyDescent="0.3">
      <c r="B30" s="117" t="s">
        <v>76</v>
      </c>
      <c r="C30" s="135">
        <v>24</v>
      </c>
      <c r="D30" s="119"/>
      <c r="E30" s="128" t="s">
        <v>437</v>
      </c>
      <c r="F30" s="129"/>
    </row>
    <row r="31" spans="2:9" ht="12.75" customHeight="1" x14ac:dyDescent="0.3">
      <c r="B31" s="117" t="s">
        <v>15</v>
      </c>
      <c r="C31" s="135">
        <v>25</v>
      </c>
      <c r="D31" s="119"/>
      <c r="E31" s="128" t="s">
        <v>438</v>
      </c>
      <c r="F31" s="129"/>
    </row>
    <row r="32" spans="2:9" ht="12.75" customHeight="1" x14ac:dyDescent="0.3">
      <c r="B32" s="117" t="s">
        <v>38</v>
      </c>
      <c r="C32" s="135">
        <v>27</v>
      </c>
      <c r="D32" s="119"/>
      <c r="E32" s="128" t="s">
        <v>439</v>
      </c>
      <c r="F32" s="129"/>
    </row>
    <row r="33" spans="2:6" ht="12.75" customHeight="1" x14ac:dyDescent="0.3">
      <c r="B33" s="117" t="s">
        <v>73</v>
      </c>
      <c r="C33" s="136">
        <v>28</v>
      </c>
      <c r="D33" s="119"/>
      <c r="E33" s="128" t="s">
        <v>440</v>
      </c>
      <c r="F33" s="129"/>
    </row>
    <row r="34" spans="2:6" ht="12.75" customHeight="1" x14ac:dyDescent="0.3">
      <c r="B34" s="117" t="s">
        <v>54</v>
      </c>
      <c r="C34" s="136">
        <v>29</v>
      </c>
      <c r="D34" s="119"/>
      <c r="E34" s="128"/>
      <c r="F34" s="129"/>
    </row>
    <row r="35" spans="2:6" ht="12.75" customHeight="1" x14ac:dyDescent="0.3">
      <c r="B35" s="117" t="s">
        <v>23</v>
      </c>
      <c r="C35" s="136">
        <v>30</v>
      </c>
      <c r="D35" s="119"/>
      <c r="E35" s="128" t="s">
        <v>441</v>
      </c>
      <c r="F35" s="129"/>
    </row>
    <row r="36" spans="2:6" ht="12.75" customHeight="1" x14ac:dyDescent="0.3">
      <c r="B36" s="117" t="s">
        <v>71</v>
      </c>
      <c r="C36" s="136">
        <v>31</v>
      </c>
      <c r="D36" s="119"/>
      <c r="E36" s="128" t="s">
        <v>442</v>
      </c>
      <c r="F36" s="129"/>
    </row>
    <row r="37" spans="2:6" ht="12.75" customHeight="1" x14ac:dyDescent="0.3">
      <c r="B37" s="117" t="s">
        <v>88</v>
      </c>
      <c r="C37" s="136">
        <v>33</v>
      </c>
      <c r="D37" s="119"/>
      <c r="E37" s="128" t="s">
        <v>443</v>
      </c>
      <c r="F37" s="129"/>
    </row>
    <row r="38" spans="2:6" ht="12.75" customHeight="1" x14ac:dyDescent="0.3">
      <c r="B38" s="117" t="s">
        <v>44</v>
      </c>
      <c r="C38" s="136">
        <v>34</v>
      </c>
      <c r="D38" s="119"/>
      <c r="E38" s="128" t="s">
        <v>444</v>
      </c>
      <c r="F38" s="129"/>
    </row>
    <row r="39" spans="2:6" ht="12.75" customHeight="1" x14ac:dyDescent="0.3">
      <c r="B39" s="117" t="s">
        <v>50</v>
      </c>
      <c r="C39" s="136">
        <v>38</v>
      </c>
      <c r="D39" s="119"/>
      <c r="E39" s="128"/>
      <c r="F39" s="129"/>
    </row>
    <row r="40" spans="2:6" ht="12.75" customHeight="1" x14ac:dyDescent="0.3">
      <c r="B40" s="117" t="s">
        <v>36</v>
      </c>
      <c r="C40" s="135">
        <v>40</v>
      </c>
      <c r="D40" s="137"/>
      <c r="E40" s="129" t="s">
        <v>445</v>
      </c>
      <c r="F40" s="129"/>
    </row>
    <row r="41" spans="2:6" ht="12.75" customHeight="1" x14ac:dyDescent="0.3">
      <c r="B41" s="117" t="s">
        <v>16</v>
      </c>
      <c r="C41" s="135">
        <v>41</v>
      </c>
      <c r="D41" s="137"/>
      <c r="E41" s="129"/>
      <c r="F41" s="129"/>
    </row>
    <row r="42" spans="2:6" ht="12.75" customHeight="1" x14ac:dyDescent="0.3">
      <c r="B42" s="117" t="s">
        <v>34</v>
      </c>
      <c r="C42" s="135">
        <v>43</v>
      </c>
      <c r="D42" s="137"/>
    </row>
    <row r="43" spans="2:6" ht="12.75" customHeight="1" x14ac:dyDescent="0.3">
      <c r="B43" s="117" t="s">
        <v>51</v>
      </c>
      <c r="C43" s="135">
        <v>44</v>
      </c>
      <c r="D43" s="137"/>
    </row>
    <row r="44" spans="2:6" ht="12.75" customHeight="1" x14ac:dyDescent="0.3">
      <c r="B44" s="117" t="s">
        <v>79</v>
      </c>
      <c r="C44" s="135">
        <v>46</v>
      </c>
      <c r="D44" s="137"/>
    </row>
    <row r="45" spans="2:6" ht="12.75" customHeight="1" x14ac:dyDescent="0.3">
      <c r="B45" s="117" t="s">
        <v>82</v>
      </c>
      <c r="C45" s="135">
        <v>50</v>
      </c>
      <c r="D45" s="137"/>
    </row>
    <row r="46" spans="2:6" ht="12.75" customHeight="1" x14ac:dyDescent="0.3">
      <c r="B46" s="117" t="s">
        <v>27</v>
      </c>
      <c r="C46" s="135">
        <v>55</v>
      </c>
      <c r="D46" s="137"/>
    </row>
    <row r="47" spans="2:6" ht="12.75" customHeight="1" x14ac:dyDescent="0.3">
      <c r="B47" s="117" t="s">
        <v>70</v>
      </c>
      <c r="C47" s="135">
        <v>57</v>
      </c>
      <c r="D47" s="137"/>
    </row>
    <row r="48" spans="2:6" ht="12.75" customHeight="1" x14ac:dyDescent="0.3">
      <c r="B48" s="117" t="s">
        <v>12</v>
      </c>
      <c r="C48" s="135">
        <v>60</v>
      </c>
      <c r="D48" s="137"/>
    </row>
    <row r="49" spans="2:4" ht="12.75" customHeight="1" x14ac:dyDescent="0.3">
      <c r="B49" s="117" t="s">
        <v>64</v>
      </c>
      <c r="C49" s="135">
        <v>61</v>
      </c>
      <c r="D49" s="137"/>
    </row>
    <row r="50" spans="2:4" ht="12.75" customHeight="1" x14ac:dyDescent="0.3">
      <c r="B50" s="117" t="s">
        <v>77</v>
      </c>
      <c r="C50" s="135">
        <v>63</v>
      </c>
      <c r="D50" s="137"/>
    </row>
    <row r="51" spans="2:4" ht="12.75" customHeight="1" x14ac:dyDescent="0.3">
      <c r="B51" s="117" t="s">
        <v>24</v>
      </c>
      <c r="C51" s="135">
        <v>65</v>
      </c>
      <c r="D51" s="137"/>
    </row>
    <row r="52" spans="2:4" ht="12.75" customHeight="1" x14ac:dyDescent="0.3">
      <c r="B52" s="117" t="s">
        <v>61</v>
      </c>
      <c r="C52" s="135">
        <v>69</v>
      </c>
      <c r="D52" s="137"/>
    </row>
    <row r="53" spans="2:4" ht="12.75" customHeight="1" x14ac:dyDescent="0.3">
      <c r="B53" s="117" t="s">
        <v>87</v>
      </c>
      <c r="C53" s="135">
        <v>74</v>
      </c>
      <c r="D53" s="137"/>
    </row>
    <row r="54" spans="2:4" ht="12.75" customHeight="1" x14ac:dyDescent="0.3">
      <c r="B54" s="117" t="s">
        <v>41</v>
      </c>
      <c r="C54" s="135">
        <v>82</v>
      </c>
      <c r="D54" s="137"/>
    </row>
    <row r="55" spans="2:4" ht="12.75" customHeight="1" x14ac:dyDescent="0.3">
      <c r="B55" s="117" t="s">
        <v>33</v>
      </c>
      <c r="C55" s="135">
        <v>84</v>
      </c>
      <c r="D55" s="137"/>
    </row>
    <row r="56" spans="2:4" ht="12.75" customHeight="1" x14ac:dyDescent="0.3">
      <c r="B56" s="117" t="s">
        <v>58</v>
      </c>
      <c r="C56" s="138">
        <v>86</v>
      </c>
      <c r="D56" s="137"/>
    </row>
    <row r="57" spans="2:4" ht="12.75" customHeight="1" x14ac:dyDescent="0.3">
      <c r="B57" s="139"/>
      <c r="C57" s="140"/>
      <c r="D57" s="12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zoomScaleNormal="100" workbookViewId="0"/>
  </sheetViews>
  <sheetFormatPr defaultColWidth="11.3984375" defaultRowHeight="13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96"/>
  <sheetViews>
    <sheetView zoomScaleNormal="100" workbookViewId="0">
      <pane ySplit="1" topLeftCell="A371" activePane="bottomLeft" state="frozen"/>
      <selection pane="bottomLeft"/>
    </sheetView>
  </sheetViews>
  <sheetFormatPr defaultColWidth="9" defaultRowHeight="13" x14ac:dyDescent="0.3"/>
  <cols>
    <col min="1" max="1" width="9" style="141"/>
    <col min="2" max="2" width="12" style="141" customWidth="1"/>
    <col min="3" max="3" width="24" style="141" customWidth="1"/>
    <col min="4" max="11" width="22" style="141" customWidth="1"/>
    <col min="12" max="16384" width="9" style="141"/>
  </cols>
  <sheetData>
    <row r="1" spans="1:11" ht="25.5" customHeight="1" x14ac:dyDescent="0.3">
      <c r="A1" s="142" t="s">
        <v>446</v>
      </c>
      <c r="B1" s="142" t="s">
        <v>447</v>
      </c>
      <c r="C1" s="142" t="s">
        <v>448</v>
      </c>
      <c r="D1" s="142" t="s">
        <v>449</v>
      </c>
      <c r="E1" s="142" t="s">
        <v>450</v>
      </c>
      <c r="F1" s="142" t="s">
        <v>451</v>
      </c>
      <c r="G1" s="142" t="s">
        <v>452</v>
      </c>
      <c r="H1" s="142" t="s">
        <v>453</v>
      </c>
      <c r="I1" s="142" t="s">
        <v>454</v>
      </c>
      <c r="J1" s="142" t="s">
        <v>455</v>
      </c>
      <c r="K1" s="142" t="s">
        <v>456</v>
      </c>
    </row>
    <row r="2" spans="1:11" ht="12.75" customHeight="1" x14ac:dyDescent="0.3">
      <c r="A2" s="141">
        <v>1</v>
      </c>
      <c r="B2" s="141" t="s">
        <v>457</v>
      </c>
      <c r="C2" s="141" t="s">
        <v>458</v>
      </c>
      <c r="D2" s="141" t="s">
        <v>48</v>
      </c>
      <c r="E2" s="141" t="s">
        <v>55</v>
      </c>
      <c r="F2" s="141" t="s">
        <v>42</v>
      </c>
      <c r="G2" s="141" t="s">
        <v>80</v>
      </c>
      <c r="H2" s="141" t="s">
        <v>68</v>
      </c>
      <c r="I2" s="141" t="s">
        <v>62</v>
      </c>
      <c r="J2" s="141" t="s">
        <v>74</v>
      </c>
      <c r="K2" s="141" t="s">
        <v>20</v>
      </c>
    </row>
    <row r="3" spans="1:11" ht="12.75" customHeight="1" x14ac:dyDescent="0.3">
      <c r="A3" s="141">
        <v>2</v>
      </c>
      <c r="B3" s="141" t="s">
        <v>459</v>
      </c>
      <c r="C3" s="141" t="s">
        <v>460</v>
      </c>
      <c r="D3" s="141" t="s">
        <v>19</v>
      </c>
      <c r="E3" s="141" t="s">
        <v>48</v>
      </c>
      <c r="F3" s="141" t="s">
        <v>62</v>
      </c>
      <c r="G3" s="141" t="s">
        <v>80</v>
      </c>
      <c r="H3" s="141" t="s">
        <v>68</v>
      </c>
      <c r="I3" s="141" t="s">
        <v>74</v>
      </c>
      <c r="J3" s="141" t="s">
        <v>55</v>
      </c>
      <c r="K3" s="141" t="s">
        <v>20</v>
      </c>
    </row>
    <row r="4" spans="1:11" ht="12.75" customHeight="1" x14ac:dyDescent="0.3">
      <c r="A4" s="141">
        <v>3</v>
      </c>
      <c r="B4" s="141" t="s">
        <v>461</v>
      </c>
      <c r="C4" s="141" t="s">
        <v>462</v>
      </c>
      <c r="D4" s="141" t="s">
        <v>19</v>
      </c>
      <c r="E4" s="141" t="s">
        <v>55</v>
      </c>
      <c r="F4" s="141" t="s">
        <v>42</v>
      </c>
      <c r="G4" s="141" t="s">
        <v>80</v>
      </c>
      <c r="H4" s="141" t="s">
        <v>68</v>
      </c>
      <c r="I4" s="141" t="s">
        <v>62</v>
      </c>
      <c r="J4" s="141" t="s">
        <v>74</v>
      </c>
      <c r="K4" s="141" t="s">
        <v>20</v>
      </c>
    </row>
    <row r="5" spans="1:11" ht="12.75" customHeight="1" x14ac:dyDescent="0.3">
      <c r="A5" s="141">
        <v>4</v>
      </c>
      <c r="B5" s="141" t="s">
        <v>463</v>
      </c>
      <c r="C5" s="141" t="s">
        <v>464</v>
      </c>
      <c r="D5" s="141" t="s">
        <v>19</v>
      </c>
      <c r="E5" s="141" t="s">
        <v>48</v>
      </c>
      <c r="F5" s="141" t="s">
        <v>42</v>
      </c>
      <c r="G5" s="141" t="s">
        <v>80</v>
      </c>
      <c r="H5" s="141" t="s">
        <v>68</v>
      </c>
      <c r="I5" s="141" t="s">
        <v>62</v>
      </c>
      <c r="J5" s="141" t="s">
        <v>74</v>
      </c>
      <c r="K5" s="141" t="s">
        <v>20</v>
      </c>
    </row>
    <row r="6" spans="1:11" ht="12.75" customHeight="1" x14ac:dyDescent="0.3">
      <c r="A6" s="141">
        <v>5</v>
      </c>
      <c r="B6" s="141" t="s">
        <v>465</v>
      </c>
      <c r="C6" s="141" t="s">
        <v>466</v>
      </c>
      <c r="D6" s="141" t="s">
        <v>19</v>
      </c>
      <c r="E6" s="141" t="s">
        <v>48</v>
      </c>
      <c r="F6" s="141" t="s">
        <v>42</v>
      </c>
      <c r="G6" s="141" t="s">
        <v>80</v>
      </c>
      <c r="H6" s="141" t="s">
        <v>68</v>
      </c>
      <c r="I6" s="141" t="s">
        <v>74</v>
      </c>
      <c r="J6" s="141" t="s">
        <v>55</v>
      </c>
      <c r="K6" s="141" t="s">
        <v>20</v>
      </c>
    </row>
    <row r="7" spans="1:11" ht="12.75" customHeight="1" x14ac:dyDescent="0.3">
      <c r="A7" s="141">
        <v>6</v>
      </c>
      <c r="B7" s="141" t="s">
        <v>467</v>
      </c>
      <c r="C7" s="141" t="s">
        <v>468</v>
      </c>
      <c r="D7" s="141" t="s">
        <v>19</v>
      </c>
      <c r="E7" s="141" t="s">
        <v>48</v>
      </c>
      <c r="F7" s="141" t="s">
        <v>42</v>
      </c>
      <c r="G7" s="141" t="s">
        <v>80</v>
      </c>
      <c r="H7" s="141" t="s">
        <v>74</v>
      </c>
      <c r="I7" s="141" t="s">
        <v>62</v>
      </c>
      <c r="J7" s="141" t="s">
        <v>55</v>
      </c>
      <c r="K7" s="141" t="s">
        <v>20</v>
      </c>
    </row>
    <row r="8" spans="1:11" ht="12.75" customHeight="1" x14ac:dyDescent="0.3">
      <c r="A8" s="141">
        <v>7</v>
      </c>
      <c r="B8" s="141" t="s">
        <v>469</v>
      </c>
      <c r="C8" s="141" t="s">
        <v>470</v>
      </c>
      <c r="D8" s="141" t="s">
        <v>19</v>
      </c>
      <c r="E8" s="141" t="s">
        <v>48</v>
      </c>
      <c r="F8" s="141" t="s">
        <v>42</v>
      </c>
      <c r="G8" s="141" t="s">
        <v>80</v>
      </c>
      <c r="H8" s="141" t="s">
        <v>68</v>
      </c>
      <c r="I8" s="141" t="s">
        <v>62</v>
      </c>
      <c r="J8" s="141" t="s">
        <v>55</v>
      </c>
      <c r="K8" s="141" t="s">
        <v>20</v>
      </c>
    </row>
    <row r="9" spans="1:11" ht="12.75" customHeight="1" x14ac:dyDescent="0.3">
      <c r="A9" s="141">
        <v>8</v>
      </c>
      <c r="B9" s="141" t="s">
        <v>471</v>
      </c>
      <c r="C9" s="141" t="s">
        <v>472</v>
      </c>
      <c r="D9" s="141" t="s">
        <v>19</v>
      </c>
      <c r="E9" s="141" t="s">
        <v>48</v>
      </c>
      <c r="F9" s="141" t="s">
        <v>42</v>
      </c>
      <c r="G9" s="141" t="s">
        <v>68</v>
      </c>
      <c r="H9" s="141" t="s">
        <v>74</v>
      </c>
      <c r="I9" s="141" t="s">
        <v>62</v>
      </c>
      <c r="J9" s="141" t="s">
        <v>55</v>
      </c>
      <c r="K9" s="141" t="s">
        <v>20</v>
      </c>
    </row>
    <row r="10" spans="1:11" ht="12.75" customHeight="1" x14ac:dyDescent="0.3">
      <c r="A10" s="141">
        <v>9</v>
      </c>
      <c r="B10" s="141" t="s">
        <v>473</v>
      </c>
      <c r="C10" s="141" t="s">
        <v>474</v>
      </c>
      <c r="D10" s="141" t="s">
        <v>19</v>
      </c>
      <c r="E10" s="141" t="s">
        <v>48</v>
      </c>
      <c r="F10" s="141" t="s">
        <v>42</v>
      </c>
      <c r="G10" s="141" t="s">
        <v>80</v>
      </c>
      <c r="H10" s="141" t="s">
        <v>74</v>
      </c>
      <c r="I10" s="141" t="s">
        <v>62</v>
      </c>
      <c r="J10" s="141" t="s">
        <v>55</v>
      </c>
      <c r="K10" s="141" t="s">
        <v>68</v>
      </c>
    </row>
    <row r="11" spans="1:11" ht="12.75" customHeight="1" x14ac:dyDescent="0.3">
      <c r="A11" s="141">
        <v>10</v>
      </c>
      <c r="B11" s="141" t="s">
        <v>475</v>
      </c>
      <c r="C11" s="141" t="s">
        <v>476</v>
      </c>
      <c r="D11" s="141" t="s">
        <v>31</v>
      </c>
      <c r="E11" s="141" t="s">
        <v>48</v>
      </c>
      <c r="F11" s="141" t="s">
        <v>62</v>
      </c>
      <c r="G11" s="141" t="s">
        <v>80</v>
      </c>
      <c r="H11" s="141" t="s">
        <v>68</v>
      </c>
      <c r="I11" s="141" t="s">
        <v>74</v>
      </c>
      <c r="J11" s="141" t="s">
        <v>55</v>
      </c>
      <c r="K11" s="141" t="s">
        <v>20</v>
      </c>
    </row>
    <row r="12" spans="1:11" ht="12.75" customHeight="1" x14ac:dyDescent="0.3">
      <c r="A12" s="141">
        <v>11</v>
      </c>
      <c r="B12" s="141" t="s">
        <v>477</v>
      </c>
      <c r="C12" s="141" t="s">
        <v>478</v>
      </c>
      <c r="D12" s="141" t="s">
        <v>31</v>
      </c>
      <c r="E12" s="141" t="s">
        <v>55</v>
      </c>
      <c r="F12" s="141" t="s">
        <v>42</v>
      </c>
      <c r="G12" s="141" t="s">
        <v>80</v>
      </c>
      <c r="H12" s="141" t="s">
        <v>68</v>
      </c>
      <c r="I12" s="141" t="s">
        <v>62</v>
      </c>
      <c r="J12" s="141" t="s">
        <v>74</v>
      </c>
      <c r="K12" s="141" t="s">
        <v>20</v>
      </c>
    </row>
    <row r="13" spans="1:11" ht="12.75" customHeight="1" x14ac:dyDescent="0.3">
      <c r="A13" s="141">
        <v>12</v>
      </c>
      <c r="B13" s="141" t="s">
        <v>479</v>
      </c>
      <c r="C13" s="141" t="s">
        <v>480</v>
      </c>
      <c r="D13" s="141" t="s">
        <v>31</v>
      </c>
      <c r="E13" s="141" t="s">
        <v>48</v>
      </c>
      <c r="F13" s="141" t="s">
        <v>42</v>
      </c>
      <c r="G13" s="141" t="s">
        <v>80</v>
      </c>
      <c r="H13" s="141" t="s">
        <v>68</v>
      </c>
      <c r="I13" s="141" t="s">
        <v>62</v>
      </c>
      <c r="J13" s="141" t="s">
        <v>74</v>
      </c>
      <c r="K13" s="141" t="s">
        <v>20</v>
      </c>
    </row>
    <row r="14" spans="1:11" ht="12.75" customHeight="1" x14ac:dyDescent="0.3">
      <c r="A14" s="141">
        <v>13</v>
      </c>
      <c r="B14" s="141" t="s">
        <v>481</v>
      </c>
      <c r="C14" s="141" t="s">
        <v>482</v>
      </c>
      <c r="D14" s="141" t="s">
        <v>31</v>
      </c>
      <c r="E14" s="141" t="s">
        <v>48</v>
      </c>
      <c r="F14" s="141" t="s">
        <v>42</v>
      </c>
      <c r="G14" s="141" t="s">
        <v>80</v>
      </c>
      <c r="H14" s="141" t="s">
        <v>68</v>
      </c>
      <c r="I14" s="141" t="s">
        <v>74</v>
      </c>
      <c r="J14" s="141" t="s">
        <v>55</v>
      </c>
      <c r="K14" s="141" t="s">
        <v>20</v>
      </c>
    </row>
    <row r="15" spans="1:11" ht="12.75" customHeight="1" x14ac:dyDescent="0.3">
      <c r="A15" s="141">
        <v>14</v>
      </c>
      <c r="B15" s="141" t="s">
        <v>483</v>
      </c>
      <c r="C15" s="141" t="s">
        <v>484</v>
      </c>
      <c r="D15" s="141" t="s">
        <v>31</v>
      </c>
      <c r="E15" s="141" t="s">
        <v>48</v>
      </c>
      <c r="F15" s="141" t="s">
        <v>42</v>
      </c>
      <c r="G15" s="141" t="s">
        <v>80</v>
      </c>
      <c r="H15" s="141" t="s">
        <v>74</v>
      </c>
      <c r="I15" s="141" t="s">
        <v>62</v>
      </c>
      <c r="J15" s="141" t="s">
        <v>55</v>
      </c>
      <c r="K15" s="141" t="s">
        <v>20</v>
      </c>
    </row>
    <row r="16" spans="1:11" ht="12.75" customHeight="1" x14ac:dyDescent="0.3">
      <c r="A16" s="141">
        <v>15</v>
      </c>
      <c r="B16" s="141" t="s">
        <v>485</v>
      </c>
      <c r="C16" s="141" t="s">
        <v>486</v>
      </c>
      <c r="D16" s="141" t="s">
        <v>31</v>
      </c>
      <c r="E16" s="141" t="s">
        <v>48</v>
      </c>
      <c r="F16" s="141" t="s">
        <v>42</v>
      </c>
      <c r="G16" s="141" t="s">
        <v>80</v>
      </c>
      <c r="H16" s="141" t="s">
        <v>68</v>
      </c>
      <c r="I16" s="141" t="s">
        <v>62</v>
      </c>
      <c r="J16" s="141" t="s">
        <v>55</v>
      </c>
      <c r="K16" s="141" t="s">
        <v>20</v>
      </c>
    </row>
    <row r="17" spans="1:11" ht="12.75" customHeight="1" x14ac:dyDescent="0.3">
      <c r="A17" s="141">
        <v>16</v>
      </c>
      <c r="B17" s="141" t="s">
        <v>487</v>
      </c>
      <c r="C17" s="141" t="s">
        <v>488</v>
      </c>
      <c r="D17" s="141" t="s">
        <v>31</v>
      </c>
      <c r="E17" s="141" t="s">
        <v>48</v>
      </c>
      <c r="F17" s="141" t="s">
        <v>42</v>
      </c>
      <c r="G17" s="141" t="s">
        <v>68</v>
      </c>
      <c r="H17" s="141" t="s">
        <v>74</v>
      </c>
      <c r="I17" s="141" t="s">
        <v>62</v>
      </c>
      <c r="J17" s="141" t="s">
        <v>55</v>
      </c>
      <c r="K17" s="141" t="s">
        <v>20</v>
      </c>
    </row>
    <row r="18" spans="1:11" ht="12.75" customHeight="1" x14ac:dyDescent="0.3">
      <c r="A18" s="141">
        <v>17</v>
      </c>
      <c r="B18" s="141" t="s">
        <v>489</v>
      </c>
      <c r="C18" s="141" t="s">
        <v>490</v>
      </c>
      <c r="D18" s="141" t="s">
        <v>31</v>
      </c>
      <c r="E18" s="141" t="s">
        <v>48</v>
      </c>
      <c r="F18" s="141" t="s">
        <v>42</v>
      </c>
      <c r="G18" s="141" t="s">
        <v>80</v>
      </c>
      <c r="H18" s="141" t="s">
        <v>74</v>
      </c>
      <c r="I18" s="141" t="s">
        <v>62</v>
      </c>
      <c r="J18" s="141" t="s">
        <v>55</v>
      </c>
      <c r="K18" s="141" t="s">
        <v>68</v>
      </c>
    </row>
    <row r="19" spans="1:11" ht="12.75" customHeight="1" x14ac:dyDescent="0.3">
      <c r="A19" s="141">
        <v>18</v>
      </c>
      <c r="B19" s="141" t="s">
        <v>491</v>
      </c>
      <c r="C19" s="141" t="s">
        <v>492</v>
      </c>
      <c r="D19" s="141" t="s">
        <v>31</v>
      </c>
      <c r="E19" s="141" t="s">
        <v>19</v>
      </c>
      <c r="F19" s="141" t="s">
        <v>62</v>
      </c>
      <c r="G19" s="141" t="s">
        <v>80</v>
      </c>
      <c r="H19" s="141" t="s">
        <v>68</v>
      </c>
      <c r="I19" s="141" t="s">
        <v>74</v>
      </c>
      <c r="J19" s="141" t="s">
        <v>55</v>
      </c>
      <c r="K19" s="141" t="s">
        <v>20</v>
      </c>
    </row>
    <row r="20" spans="1:11" ht="12.75" customHeight="1" x14ac:dyDescent="0.3">
      <c r="A20" s="141">
        <v>19</v>
      </c>
      <c r="B20" s="141" t="s">
        <v>493</v>
      </c>
      <c r="C20" s="141" t="s">
        <v>494</v>
      </c>
      <c r="D20" s="141" t="s">
        <v>19</v>
      </c>
      <c r="E20" s="141" t="s">
        <v>48</v>
      </c>
      <c r="F20" s="141" t="s">
        <v>31</v>
      </c>
      <c r="G20" s="141" t="s">
        <v>80</v>
      </c>
      <c r="H20" s="141" t="s">
        <v>68</v>
      </c>
      <c r="I20" s="141" t="s">
        <v>62</v>
      </c>
      <c r="J20" s="141" t="s">
        <v>74</v>
      </c>
      <c r="K20" s="141" t="s">
        <v>20</v>
      </c>
    </row>
    <row r="21" spans="1:11" ht="12.75" customHeight="1" x14ac:dyDescent="0.3">
      <c r="A21" s="141">
        <v>20</v>
      </c>
      <c r="B21" s="141" t="s">
        <v>495</v>
      </c>
      <c r="C21" s="141" t="s">
        <v>496</v>
      </c>
      <c r="D21" s="141" t="s">
        <v>19</v>
      </c>
      <c r="E21" s="141" t="s">
        <v>48</v>
      </c>
      <c r="F21" s="141" t="s">
        <v>31</v>
      </c>
      <c r="G21" s="141" t="s">
        <v>80</v>
      </c>
      <c r="H21" s="141" t="s">
        <v>68</v>
      </c>
      <c r="I21" s="141" t="s">
        <v>74</v>
      </c>
      <c r="J21" s="141" t="s">
        <v>55</v>
      </c>
      <c r="K21" s="141" t="s">
        <v>20</v>
      </c>
    </row>
    <row r="22" spans="1:11" ht="12.75" customHeight="1" x14ac:dyDescent="0.3">
      <c r="A22" s="141">
        <v>21</v>
      </c>
      <c r="B22" s="141" t="s">
        <v>497</v>
      </c>
      <c r="C22" s="141" t="s">
        <v>498</v>
      </c>
      <c r="D22" s="141" t="s">
        <v>19</v>
      </c>
      <c r="E22" s="141" t="s">
        <v>48</v>
      </c>
      <c r="F22" s="141" t="s">
        <v>31</v>
      </c>
      <c r="G22" s="141" t="s">
        <v>80</v>
      </c>
      <c r="H22" s="141" t="s">
        <v>74</v>
      </c>
      <c r="I22" s="141" t="s">
        <v>62</v>
      </c>
      <c r="J22" s="141" t="s">
        <v>55</v>
      </c>
      <c r="K22" s="141" t="s">
        <v>20</v>
      </c>
    </row>
    <row r="23" spans="1:11" ht="12.75" customHeight="1" x14ac:dyDescent="0.3">
      <c r="A23" s="141">
        <v>22</v>
      </c>
      <c r="B23" s="141" t="s">
        <v>499</v>
      </c>
      <c r="C23" s="141" t="s">
        <v>500</v>
      </c>
      <c r="D23" s="141" t="s">
        <v>19</v>
      </c>
      <c r="E23" s="141" t="s">
        <v>48</v>
      </c>
      <c r="F23" s="141" t="s">
        <v>31</v>
      </c>
      <c r="G23" s="141" t="s">
        <v>80</v>
      </c>
      <c r="H23" s="141" t="s">
        <v>68</v>
      </c>
      <c r="I23" s="141" t="s">
        <v>62</v>
      </c>
      <c r="J23" s="141" t="s">
        <v>55</v>
      </c>
      <c r="K23" s="141" t="s">
        <v>20</v>
      </c>
    </row>
    <row r="24" spans="1:11" ht="12.75" customHeight="1" x14ac:dyDescent="0.3">
      <c r="A24" s="141">
        <v>23</v>
      </c>
      <c r="B24" s="141" t="s">
        <v>501</v>
      </c>
      <c r="C24" s="141" t="s">
        <v>502</v>
      </c>
      <c r="D24" s="141" t="s">
        <v>19</v>
      </c>
      <c r="E24" s="141" t="s">
        <v>48</v>
      </c>
      <c r="F24" s="141" t="s">
        <v>31</v>
      </c>
      <c r="G24" s="141" t="s">
        <v>68</v>
      </c>
      <c r="H24" s="141" t="s">
        <v>74</v>
      </c>
      <c r="I24" s="141" t="s">
        <v>62</v>
      </c>
      <c r="J24" s="141" t="s">
        <v>55</v>
      </c>
      <c r="K24" s="141" t="s">
        <v>20</v>
      </c>
    </row>
    <row r="25" spans="1:11" ht="12.75" customHeight="1" x14ac:dyDescent="0.3">
      <c r="A25" s="141">
        <v>24</v>
      </c>
      <c r="B25" s="141" t="s">
        <v>503</v>
      </c>
      <c r="C25" s="141" t="s">
        <v>504</v>
      </c>
      <c r="D25" s="141" t="s">
        <v>19</v>
      </c>
      <c r="E25" s="141" t="s">
        <v>48</v>
      </c>
      <c r="F25" s="141" t="s">
        <v>31</v>
      </c>
      <c r="G25" s="141" t="s">
        <v>80</v>
      </c>
      <c r="H25" s="141" t="s">
        <v>74</v>
      </c>
      <c r="I25" s="141" t="s">
        <v>62</v>
      </c>
      <c r="J25" s="141" t="s">
        <v>55</v>
      </c>
      <c r="K25" s="141" t="s">
        <v>68</v>
      </c>
    </row>
    <row r="26" spans="1:11" ht="12.75" customHeight="1" x14ac:dyDescent="0.3">
      <c r="A26" s="141">
        <v>25</v>
      </c>
      <c r="B26" s="141" t="s">
        <v>505</v>
      </c>
      <c r="C26" s="141" t="s">
        <v>506</v>
      </c>
      <c r="D26" s="141" t="s">
        <v>31</v>
      </c>
      <c r="E26" s="141" t="s">
        <v>19</v>
      </c>
      <c r="F26" s="141" t="s">
        <v>42</v>
      </c>
      <c r="G26" s="141" t="s">
        <v>80</v>
      </c>
      <c r="H26" s="141" t="s">
        <v>68</v>
      </c>
      <c r="I26" s="141" t="s">
        <v>62</v>
      </c>
      <c r="J26" s="141" t="s">
        <v>74</v>
      </c>
      <c r="K26" s="141" t="s">
        <v>20</v>
      </c>
    </row>
    <row r="27" spans="1:11" ht="12.75" customHeight="1" x14ac:dyDescent="0.3">
      <c r="A27" s="141">
        <v>26</v>
      </c>
      <c r="B27" s="141" t="s">
        <v>507</v>
      </c>
      <c r="C27" s="141" t="s">
        <v>508</v>
      </c>
      <c r="D27" s="141" t="s">
        <v>31</v>
      </c>
      <c r="E27" s="141" t="s">
        <v>19</v>
      </c>
      <c r="F27" s="141" t="s">
        <v>42</v>
      </c>
      <c r="G27" s="141" t="s">
        <v>80</v>
      </c>
      <c r="H27" s="141" t="s">
        <v>68</v>
      </c>
      <c r="I27" s="141" t="s">
        <v>74</v>
      </c>
      <c r="J27" s="141" t="s">
        <v>55</v>
      </c>
      <c r="K27" s="141" t="s">
        <v>20</v>
      </c>
    </row>
    <row r="28" spans="1:11" ht="12.75" customHeight="1" x14ac:dyDescent="0.3">
      <c r="A28" s="141">
        <v>27</v>
      </c>
      <c r="B28" s="141" t="s">
        <v>509</v>
      </c>
      <c r="C28" s="141" t="s">
        <v>510</v>
      </c>
      <c r="D28" s="141" t="s">
        <v>31</v>
      </c>
      <c r="E28" s="141" t="s">
        <v>19</v>
      </c>
      <c r="F28" s="141" t="s">
        <v>42</v>
      </c>
      <c r="G28" s="141" t="s">
        <v>80</v>
      </c>
      <c r="H28" s="141" t="s">
        <v>74</v>
      </c>
      <c r="I28" s="141" t="s">
        <v>62</v>
      </c>
      <c r="J28" s="141" t="s">
        <v>55</v>
      </c>
      <c r="K28" s="141" t="s">
        <v>20</v>
      </c>
    </row>
    <row r="29" spans="1:11" ht="12.75" customHeight="1" x14ac:dyDescent="0.3">
      <c r="A29" s="141">
        <v>28</v>
      </c>
      <c r="B29" s="141" t="s">
        <v>511</v>
      </c>
      <c r="C29" s="141" t="s">
        <v>512</v>
      </c>
      <c r="D29" s="141" t="s">
        <v>31</v>
      </c>
      <c r="E29" s="141" t="s">
        <v>19</v>
      </c>
      <c r="F29" s="141" t="s">
        <v>42</v>
      </c>
      <c r="G29" s="141" t="s">
        <v>80</v>
      </c>
      <c r="H29" s="141" t="s">
        <v>68</v>
      </c>
      <c r="I29" s="141" t="s">
        <v>62</v>
      </c>
      <c r="J29" s="141" t="s">
        <v>55</v>
      </c>
      <c r="K29" s="141" t="s">
        <v>20</v>
      </c>
    </row>
    <row r="30" spans="1:11" ht="12.75" customHeight="1" x14ac:dyDescent="0.3">
      <c r="A30" s="141">
        <v>29</v>
      </c>
      <c r="B30" s="141" t="s">
        <v>513</v>
      </c>
      <c r="C30" s="141" t="s">
        <v>514</v>
      </c>
      <c r="D30" s="141" t="s">
        <v>31</v>
      </c>
      <c r="E30" s="141" t="s">
        <v>19</v>
      </c>
      <c r="F30" s="141" t="s">
        <v>42</v>
      </c>
      <c r="G30" s="141" t="s">
        <v>68</v>
      </c>
      <c r="H30" s="141" t="s">
        <v>74</v>
      </c>
      <c r="I30" s="141" t="s">
        <v>62</v>
      </c>
      <c r="J30" s="141" t="s">
        <v>55</v>
      </c>
      <c r="K30" s="141" t="s">
        <v>20</v>
      </c>
    </row>
    <row r="31" spans="1:11" ht="12.75" customHeight="1" x14ac:dyDescent="0.3">
      <c r="A31" s="141">
        <v>30</v>
      </c>
      <c r="B31" s="141" t="s">
        <v>515</v>
      </c>
      <c r="C31" s="141" t="s">
        <v>516</v>
      </c>
      <c r="D31" s="141" t="s">
        <v>31</v>
      </c>
      <c r="E31" s="141" t="s">
        <v>19</v>
      </c>
      <c r="F31" s="141" t="s">
        <v>42</v>
      </c>
      <c r="G31" s="141" t="s">
        <v>80</v>
      </c>
      <c r="H31" s="141" t="s">
        <v>74</v>
      </c>
      <c r="I31" s="141" t="s">
        <v>62</v>
      </c>
      <c r="J31" s="141" t="s">
        <v>55</v>
      </c>
      <c r="K31" s="141" t="s">
        <v>68</v>
      </c>
    </row>
    <row r="32" spans="1:11" ht="12.75" customHeight="1" x14ac:dyDescent="0.3">
      <c r="A32" s="141">
        <v>31</v>
      </c>
      <c r="B32" s="141" t="s">
        <v>517</v>
      </c>
      <c r="C32" s="141" t="s">
        <v>518</v>
      </c>
      <c r="D32" s="141" t="s">
        <v>19</v>
      </c>
      <c r="E32" s="141" t="s">
        <v>48</v>
      </c>
      <c r="F32" s="141" t="s">
        <v>31</v>
      </c>
      <c r="G32" s="141" t="s">
        <v>80</v>
      </c>
      <c r="H32" s="141" t="s">
        <v>42</v>
      </c>
      <c r="I32" s="141" t="s">
        <v>68</v>
      </c>
      <c r="J32" s="141" t="s">
        <v>74</v>
      </c>
      <c r="K32" s="141" t="s">
        <v>20</v>
      </c>
    </row>
    <row r="33" spans="1:11" ht="12.75" customHeight="1" x14ac:dyDescent="0.3">
      <c r="A33" s="141">
        <v>32</v>
      </c>
      <c r="B33" s="141" t="s">
        <v>519</v>
      </c>
      <c r="C33" s="141" t="s">
        <v>520</v>
      </c>
      <c r="D33" s="141" t="s">
        <v>19</v>
      </c>
      <c r="E33" s="141" t="s">
        <v>48</v>
      </c>
      <c r="F33" s="141" t="s">
        <v>31</v>
      </c>
      <c r="G33" s="141" t="s">
        <v>80</v>
      </c>
      <c r="H33" s="141" t="s">
        <v>42</v>
      </c>
      <c r="I33" s="141" t="s">
        <v>62</v>
      </c>
      <c r="J33" s="141" t="s">
        <v>74</v>
      </c>
      <c r="K33" s="141" t="s">
        <v>20</v>
      </c>
    </row>
    <row r="34" spans="1:11" ht="12.75" customHeight="1" x14ac:dyDescent="0.3">
      <c r="A34" s="141">
        <v>33</v>
      </c>
      <c r="B34" s="141" t="s">
        <v>521</v>
      </c>
      <c r="C34" s="141" t="s">
        <v>522</v>
      </c>
      <c r="D34" s="141" t="s">
        <v>19</v>
      </c>
      <c r="E34" s="141" t="s">
        <v>48</v>
      </c>
      <c r="F34" s="141" t="s">
        <v>31</v>
      </c>
      <c r="G34" s="141" t="s">
        <v>80</v>
      </c>
      <c r="H34" s="141" t="s">
        <v>68</v>
      </c>
      <c r="I34" s="141" t="s">
        <v>62</v>
      </c>
      <c r="J34" s="141" t="s">
        <v>42</v>
      </c>
      <c r="K34" s="141" t="s">
        <v>20</v>
      </c>
    </row>
    <row r="35" spans="1:11" ht="12.75" customHeight="1" x14ac:dyDescent="0.3">
      <c r="A35" s="141">
        <v>34</v>
      </c>
      <c r="B35" s="141" t="s">
        <v>523</v>
      </c>
      <c r="C35" s="141" t="s">
        <v>524</v>
      </c>
      <c r="D35" s="141" t="s">
        <v>19</v>
      </c>
      <c r="E35" s="141" t="s">
        <v>48</v>
      </c>
      <c r="F35" s="141" t="s">
        <v>31</v>
      </c>
      <c r="G35" s="141" t="s">
        <v>68</v>
      </c>
      <c r="H35" s="141" t="s">
        <v>42</v>
      </c>
      <c r="I35" s="141" t="s">
        <v>62</v>
      </c>
      <c r="J35" s="141" t="s">
        <v>74</v>
      </c>
      <c r="K35" s="141" t="s">
        <v>20</v>
      </c>
    </row>
    <row r="36" spans="1:11" ht="12.75" customHeight="1" x14ac:dyDescent="0.3">
      <c r="A36" s="141">
        <v>35</v>
      </c>
      <c r="B36" s="141" t="s">
        <v>525</v>
      </c>
      <c r="C36" s="141" t="s">
        <v>526</v>
      </c>
      <c r="D36" s="141" t="s">
        <v>19</v>
      </c>
      <c r="E36" s="141" t="s">
        <v>48</v>
      </c>
      <c r="F36" s="141" t="s">
        <v>31</v>
      </c>
      <c r="G36" s="141" t="s">
        <v>80</v>
      </c>
      <c r="H36" s="141" t="s">
        <v>42</v>
      </c>
      <c r="I36" s="141" t="s">
        <v>62</v>
      </c>
      <c r="J36" s="141" t="s">
        <v>74</v>
      </c>
      <c r="K36" s="141" t="s">
        <v>68</v>
      </c>
    </row>
    <row r="37" spans="1:11" ht="12.75" customHeight="1" x14ac:dyDescent="0.3">
      <c r="A37" s="141">
        <v>36</v>
      </c>
      <c r="B37" s="141" t="s">
        <v>527</v>
      </c>
      <c r="C37" s="141" t="s">
        <v>528</v>
      </c>
      <c r="D37" s="141" t="s">
        <v>19</v>
      </c>
      <c r="E37" s="141" t="s">
        <v>48</v>
      </c>
      <c r="F37" s="141" t="s">
        <v>31</v>
      </c>
      <c r="G37" s="141" t="s">
        <v>80</v>
      </c>
      <c r="H37" s="141" t="s">
        <v>42</v>
      </c>
      <c r="I37" s="141" t="s">
        <v>74</v>
      </c>
      <c r="J37" s="141" t="s">
        <v>55</v>
      </c>
      <c r="K37" s="141" t="s">
        <v>20</v>
      </c>
    </row>
    <row r="38" spans="1:11" ht="12.75" customHeight="1" x14ac:dyDescent="0.3">
      <c r="A38" s="141">
        <v>37</v>
      </c>
      <c r="B38" s="141" t="s">
        <v>529</v>
      </c>
      <c r="C38" s="141" t="s">
        <v>530</v>
      </c>
      <c r="D38" s="141" t="s">
        <v>19</v>
      </c>
      <c r="E38" s="141" t="s">
        <v>48</v>
      </c>
      <c r="F38" s="141" t="s">
        <v>31</v>
      </c>
      <c r="G38" s="141" t="s">
        <v>80</v>
      </c>
      <c r="H38" s="141" t="s">
        <v>42</v>
      </c>
      <c r="I38" s="141" t="s">
        <v>68</v>
      </c>
      <c r="J38" s="141" t="s">
        <v>55</v>
      </c>
      <c r="K38" s="141" t="s">
        <v>20</v>
      </c>
    </row>
    <row r="39" spans="1:11" ht="12.75" customHeight="1" x14ac:dyDescent="0.3">
      <c r="A39" s="141">
        <v>38</v>
      </c>
      <c r="B39" s="141" t="s">
        <v>531</v>
      </c>
      <c r="C39" s="141" t="s">
        <v>532</v>
      </c>
      <c r="D39" s="141" t="s">
        <v>19</v>
      </c>
      <c r="E39" s="141" t="s">
        <v>48</v>
      </c>
      <c r="F39" s="141" t="s">
        <v>31</v>
      </c>
      <c r="G39" s="141" t="s">
        <v>68</v>
      </c>
      <c r="H39" s="141" t="s">
        <v>42</v>
      </c>
      <c r="I39" s="141" t="s">
        <v>74</v>
      </c>
      <c r="J39" s="141" t="s">
        <v>55</v>
      </c>
      <c r="K39" s="141" t="s">
        <v>20</v>
      </c>
    </row>
    <row r="40" spans="1:11" ht="12.75" customHeight="1" x14ac:dyDescent="0.3">
      <c r="A40" s="141">
        <v>39</v>
      </c>
      <c r="B40" s="141" t="s">
        <v>533</v>
      </c>
      <c r="C40" s="141" t="s">
        <v>534</v>
      </c>
      <c r="D40" s="141" t="s">
        <v>19</v>
      </c>
      <c r="E40" s="141" t="s">
        <v>48</v>
      </c>
      <c r="F40" s="141" t="s">
        <v>31</v>
      </c>
      <c r="G40" s="141" t="s">
        <v>80</v>
      </c>
      <c r="H40" s="141" t="s">
        <v>42</v>
      </c>
      <c r="I40" s="141" t="s">
        <v>74</v>
      </c>
      <c r="J40" s="141" t="s">
        <v>55</v>
      </c>
      <c r="K40" s="141" t="s">
        <v>68</v>
      </c>
    </row>
    <row r="41" spans="1:11" ht="12.75" customHeight="1" x14ac:dyDescent="0.3">
      <c r="A41" s="141">
        <v>40</v>
      </c>
      <c r="B41" s="141" t="s">
        <v>535</v>
      </c>
      <c r="C41" s="141" t="s">
        <v>536</v>
      </c>
      <c r="D41" s="141" t="s">
        <v>19</v>
      </c>
      <c r="E41" s="141" t="s">
        <v>48</v>
      </c>
      <c r="F41" s="141" t="s">
        <v>31</v>
      </c>
      <c r="G41" s="141" t="s">
        <v>80</v>
      </c>
      <c r="H41" s="141" t="s">
        <v>42</v>
      </c>
      <c r="I41" s="141" t="s">
        <v>62</v>
      </c>
      <c r="J41" s="141" t="s">
        <v>55</v>
      </c>
      <c r="K41" s="141" t="s">
        <v>20</v>
      </c>
    </row>
    <row r="42" spans="1:11" ht="12.75" customHeight="1" x14ac:dyDescent="0.3">
      <c r="A42" s="141">
        <v>41</v>
      </c>
      <c r="B42" s="141" t="s">
        <v>537</v>
      </c>
      <c r="C42" s="141" t="s">
        <v>538</v>
      </c>
      <c r="D42" s="141" t="s">
        <v>19</v>
      </c>
      <c r="E42" s="141" t="s">
        <v>48</v>
      </c>
      <c r="F42" s="141" t="s">
        <v>31</v>
      </c>
      <c r="G42" s="141" t="s">
        <v>42</v>
      </c>
      <c r="H42" s="141" t="s">
        <v>74</v>
      </c>
      <c r="I42" s="141" t="s">
        <v>62</v>
      </c>
      <c r="J42" s="141" t="s">
        <v>55</v>
      </c>
      <c r="K42" s="141" t="s">
        <v>20</v>
      </c>
    </row>
    <row r="43" spans="1:11" ht="12.75" customHeight="1" x14ac:dyDescent="0.3">
      <c r="A43" s="141">
        <v>42</v>
      </c>
      <c r="B43" s="141" t="s">
        <v>539</v>
      </c>
      <c r="C43" s="141" t="s">
        <v>540</v>
      </c>
      <c r="D43" s="141" t="s">
        <v>19</v>
      </c>
      <c r="E43" s="141" t="s">
        <v>48</v>
      </c>
      <c r="F43" s="141" t="s">
        <v>31</v>
      </c>
      <c r="G43" s="141" t="s">
        <v>80</v>
      </c>
      <c r="H43" s="141" t="s">
        <v>74</v>
      </c>
      <c r="I43" s="141" t="s">
        <v>62</v>
      </c>
      <c r="J43" s="141" t="s">
        <v>55</v>
      </c>
      <c r="K43" s="141" t="s">
        <v>42</v>
      </c>
    </row>
    <row r="44" spans="1:11" ht="12.75" customHeight="1" x14ac:dyDescent="0.3">
      <c r="A44" s="141">
        <v>43</v>
      </c>
      <c r="B44" s="141" t="s">
        <v>541</v>
      </c>
      <c r="C44" s="141" t="s">
        <v>542</v>
      </c>
      <c r="D44" s="141" t="s">
        <v>19</v>
      </c>
      <c r="E44" s="141" t="s">
        <v>48</v>
      </c>
      <c r="F44" s="141" t="s">
        <v>31</v>
      </c>
      <c r="G44" s="141" t="s">
        <v>68</v>
      </c>
      <c r="H44" s="141" t="s">
        <v>42</v>
      </c>
      <c r="I44" s="141" t="s">
        <v>62</v>
      </c>
      <c r="J44" s="141" t="s">
        <v>55</v>
      </c>
      <c r="K44" s="141" t="s">
        <v>20</v>
      </c>
    </row>
    <row r="45" spans="1:11" ht="12.75" customHeight="1" x14ac:dyDescent="0.3">
      <c r="A45" s="141">
        <v>44</v>
      </c>
      <c r="B45" s="141" t="s">
        <v>543</v>
      </c>
      <c r="C45" s="141" t="s">
        <v>544</v>
      </c>
      <c r="D45" s="141" t="s">
        <v>19</v>
      </c>
      <c r="E45" s="141" t="s">
        <v>48</v>
      </c>
      <c r="F45" s="141" t="s">
        <v>31</v>
      </c>
      <c r="G45" s="141" t="s">
        <v>80</v>
      </c>
      <c r="H45" s="141" t="s">
        <v>42</v>
      </c>
      <c r="I45" s="141" t="s">
        <v>62</v>
      </c>
      <c r="J45" s="141" t="s">
        <v>55</v>
      </c>
      <c r="K45" s="141" t="s">
        <v>68</v>
      </c>
    </row>
    <row r="46" spans="1:11" ht="12.75" customHeight="1" x14ac:dyDescent="0.3">
      <c r="A46" s="141">
        <v>45</v>
      </c>
      <c r="B46" s="141" t="s">
        <v>545</v>
      </c>
      <c r="C46" s="141" t="s">
        <v>546</v>
      </c>
      <c r="D46" s="141" t="s">
        <v>19</v>
      </c>
      <c r="E46" s="141" t="s">
        <v>48</v>
      </c>
      <c r="F46" s="141" t="s">
        <v>31</v>
      </c>
      <c r="G46" s="141" t="s">
        <v>68</v>
      </c>
      <c r="H46" s="141" t="s">
        <v>74</v>
      </c>
      <c r="I46" s="141" t="s">
        <v>62</v>
      </c>
      <c r="J46" s="141" t="s">
        <v>55</v>
      </c>
      <c r="K46" s="141" t="s">
        <v>42</v>
      </c>
    </row>
    <row r="47" spans="1:11" ht="12.75" customHeight="1" x14ac:dyDescent="0.3">
      <c r="A47" s="141">
        <v>46</v>
      </c>
      <c r="B47" s="141" t="s">
        <v>547</v>
      </c>
      <c r="C47" s="141" t="s">
        <v>548</v>
      </c>
      <c r="D47" s="141" t="s">
        <v>48</v>
      </c>
      <c r="E47" s="141" t="s">
        <v>55</v>
      </c>
      <c r="F47" s="141" t="s">
        <v>62</v>
      </c>
      <c r="G47" s="141" t="s">
        <v>80</v>
      </c>
      <c r="H47" s="141" t="s">
        <v>25</v>
      </c>
      <c r="I47" s="141" t="s">
        <v>68</v>
      </c>
      <c r="J47" s="141" t="s">
        <v>74</v>
      </c>
      <c r="K47" s="141" t="s">
        <v>20</v>
      </c>
    </row>
    <row r="48" spans="1:11" ht="12.75" customHeight="1" x14ac:dyDescent="0.3">
      <c r="A48" s="141">
        <v>47</v>
      </c>
      <c r="B48" s="141" t="s">
        <v>549</v>
      </c>
      <c r="C48" s="141" t="s">
        <v>550</v>
      </c>
      <c r="D48" s="141" t="s">
        <v>25</v>
      </c>
      <c r="E48" s="141" t="s">
        <v>55</v>
      </c>
      <c r="F48" s="141" t="s">
        <v>42</v>
      </c>
      <c r="G48" s="141" t="s">
        <v>80</v>
      </c>
      <c r="H48" s="141" t="s">
        <v>68</v>
      </c>
      <c r="I48" s="141" t="s">
        <v>62</v>
      </c>
      <c r="J48" s="141" t="s">
        <v>74</v>
      </c>
      <c r="K48" s="141" t="s">
        <v>20</v>
      </c>
    </row>
    <row r="49" spans="1:11" ht="12.75" customHeight="1" x14ac:dyDescent="0.3">
      <c r="A49" s="141">
        <v>48</v>
      </c>
      <c r="B49" s="141" t="s">
        <v>551</v>
      </c>
      <c r="C49" s="141" t="s">
        <v>552</v>
      </c>
      <c r="D49" s="141" t="s">
        <v>48</v>
      </c>
      <c r="E49" s="141" t="s">
        <v>62</v>
      </c>
      <c r="F49" s="141" t="s">
        <v>42</v>
      </c>
      <c r="G49" s="141" t="s">
        <v>80</v>
      </c>
      <c r="H49" s="141" t="s">
        <v>25</v>
      </c>
      <c r="I49" s="141" t="s">
        <v>68</v>
      </c>
      <c r="J49" s="141" t="s">
        <v>74</v>
      </c>
      <c r="K49" s="141" t="s">
        <v>20</v>
      </c>
    </row>
    <row r="50" spans="1:11" ht="12.75" customHeight="1" x14ac:dyDescent="0.3">
      <c r="A50" s="141">
        <v>49</v>
      </c>
      <c r="B50" s="141" t="s">
        <v>553</v>
      </c>
      <c r="C50" s="141" t="s">
        <v>554</v>
      </c>
      <c r="D50" s="141" t="s">
        <v>48</v>
      </c>
      <c r="E50" s="141" t="s">
        <v>55</v>
      </c>
      <c r="F50" s="141" t="s">
        <v>42</v>
      </c>
      <c r="G50" s="141" t="s">
        <v>80</v>
      </c>
      <c r="H50" s="141" t="s">
        <v>25</v>
      </c>
      <c r="I50" s="141" t="s">
        <v>68</v>
      </c>
      <c r="J50" s="141" t="s">
        <v>74</v>
      </c>
      <c r="K50" s="141" t="s">
        <v>20</v>
      </c>
    </row>
    <row r="51" spans="1:11" ht="12.75" customHeight="1" x14ac:dyDescent="0.3">
      <c r="A51" s="141">
        <v>50</v>
      </c>
      <c r="B51" s="141" t="s">
        <v>555</v>
      </c>
      <c r="C51" s="141" t="s">
        <v>556</v>
      </c>
      <c r="D51" s="141" t="s">
        <v>48</v>
      </c>
      <c r="E51" s="141" t="s">
        <v>55</v>
      </c>
      <c r="F51" s="141" t="s">
        <v>42</v>
      </c>
      <c r="G51" s="141" t="s">
        <v>80</v>
      </c>
      <c r="H51" s="141" t="s">
        <v>25</v>
      </c>
      <c r="I51" s="141" t="s">
        <v>62</v>
      </c>
      <c r="J51" s="141" t="s">
        <v>74</v>
      </c>
      <c r="K51" s="141" t="s">
        <v>20</v>
      </c>
    </row>
    <row r="52" spans="1:11" ht="12.75" customHeight="1" x14ac:dyDescent="0.3">
      <c r="A52" s="141">
        <v>51</v>
      </c>
      <c r="B52" s="141" t="s">
        <v>557</v>
      </c>
      <c r="C52" s="141" t="s">
        <v>558</v>
      </c>
      <c r="D52" s="141" t="s">
        <v>48</v>
      </c>
      <c r="E52" s="141" t="s">
        <v>62</v>
      </c>
      <c r="F52" s="141" t="s">
        <v>42</v>
      </c>
      <c r="G52" s="141" t="s">
        <v>80</v>
      </c>
      <c r="H52" s="141" t="s">
        <v>25</v>
      </c>
      <c r="I52" s="141" t="s">
        <v>68</v>
      </c>
      <c r="J52" s="141" t="s">
        <v>55</v>
      </c>
      <c r="K52" s="141" t="s">
        <v>20</v>
      </c>
    </row>
    <row r="53" spans="1:11" ht="12.75" customHeight="1" x14ac:dyDescent="0.3">
      <c r="A53" s="141">
        <v>52</v>
      </c>
      <c r="B53" s="141" t="s">
        <v>559</v>
      </c>
      <c r="C53" s="141" t="s">
        <v>560</v>
      </c>
      <c r="D53" s="141" t="s">
        <v>48</v>
      </c>
      <c r="E53" s="141" t="s">
        <v>55</v>
      </c>
      <c r="F53" s="141" t="s">
        <v>42</v>
      </c>
      <c r="G53" s="141" t="s">
        <v>68</v>
      </c>
      <c r="H53" s="141" t="s">
        <v>25</v>
      </c>
      <c r="I53" s="141" t="s">
        <v>62</v>
      </c>
      <c r="J53" s="141" t="s">
        <v>74</v>
      </c>
      <c r="K53" s="141" t="s">
        <v>20</v>
      </c>
    </row>
    <row r="54" spans="1:11" ht="12.75" customHeight="1" x14ac:dyDescent="0.3">
      <c r="A54" s="141">
        <v>53</v>
      </c>
      <c r="B54" s="141" t="s">
        <v>561</v>
      </c>
      <c r="C54" s="141" t="s">
        <v>562</v>
      </c>
      <c r="D54" s="141" t="s">
        <v>48</v>
      </c>
      <c r="E54" s="141" t="s">
        <v>55</v>
      </c>
      <c r="F54" s="141" t="s">
        <v>42</v>
      </c>
      <c r="G54" s="141" t="s">
        <v>80</v>
      </c>
      <c r="H54" s="141" t="s">
        <v>25</v>
      </c>
      <c r="I54" s="141" t="s">
        <v>62</v>
      </c>
      <c r="J54" s="141" t="s">
        <v>74</v>
      </c>
      <c r="K54" s="141" t="s">
        <v>68</v>
      </c>
    </row>
    <row r="55" spans="1:11" ht="12.75" customHeight="1" x14ac:dyDescent="0.3">
      <c r="A55" s="141">
        <v>54</v>
      </c>
      <c r="B55" s="141" t="s">
        <v>563</v>
      </c>
      <c r="C55" s="141" t="s">
        <v>564</v>
      </c>
      <c r="D55" s="141" t="s">
        <v>19</v>
      </c>
      <c r="E55" s="141" t="s">
        <v>55</v>
      </c>
      <c r="F55" s="141" t="s">
        <v>62</v>
      </c>
      <c r="G55" s="141" t="s">
        <v>80</v>
      </c>
      <c r="H55" s="141" t="s">
        <v>25</v>
      </c>
      <c r="I55" s="141" t="s">
        <v>68</v>
      </c>
      <c r="J55" s="141" t="s">
        <v>74</v>
      </c>
      <c r="K55" s="141" t="s">
        <v>20</v>
      </c>
    </row>
    <row r="56" spans="1:11" ht="12.75" customHeight="1" x14ac:dyDescent="0.3">
      <c r="A56" s="141">
        <v>55</v>
      </c>
      <c r="B56" s="141" t="s">
        <v>565</v>
      </c>
      <c r="C56" s="141" t="s">
        <v>566</v>
      </c>
      <c r="D56" s="141" t="s">
        <v>19</v>
      </c>
      <c r="E56" s="141" t="s">
        <v>48</v>
      </c>
      <c r="F56" s="141" t="s">
        <v>62</v>
      </c>
      <c r="G56" s="141" t="s">
        <v>80</v>
      </c>
      <c r="H56" s="141" t="s">
        <v>25</v>
      </c>
      <c r="I56" s="141" t="s">
        <v>68</v>
      </c>
      <c r="J56" s="141" t="s">
        <v>74</v>
      </c>
      <c r="K56" s="141" t="s">
        <v>20</v>
      </c>
    </row>
    <row r="57" spans="1:11" ht="12.75" customHeight="1" x14ac:dyDescent="0.3">
      <c r="A57" s="141">
        <v>56</v>
      </c>
      <c r="B57" s="141" t="s">
        <v>567</v>
      </c>
      <c r="C57" s="141" t="s">
        <v>568</v>
      </c>
      <c r="D57" s="141" t="s">
        <v>19</v>
      </c>
      <c r="E57" s="141" t="s">
        <v>48</v>
      </c>
      <c r="F57" s="141" t="s">
        <v>68</v>
      </c>
      <c r="G57" s="141" t="s">
        <v>80</v>
      </c>
      <c r="H57" s="141" t="s">
        <v>25</v>
      </c>
      <c r="I57" s="141" t="s">
        <v>74</v>
      </c>
      <c r="J57" s="141" t="s">
        <v>55</v>
      </c>
      <c r="K57" s="141" t="s">
        <v>20</v>
      </c>
    </row>
    <row r="58" spans="1:11" ht="12.75" customHeight="1" x14ac:dyDescent="0.3">
      <c r="A58" s="141">
        <v>57</v>
      </c>
      <c r="B58" s="141" t="s">
        <v>569</v>
      </c>
      <c r="C58" s="141" t="s">
        <v>570</v>
      </c>
      <c r="D58" s="141" t="s">
        <v>19</v>
      </c>
      <c r="E58" s="141" t="s">
        <v>48</v>
      </c>
      <c r="F58" s="141" t="s">
        <v>62</v>
      </c>
      <c r="G58" s="141" t="s">
        <v>80</v>
      </c>
      <c r="H58" s="141" t="s">
        <v>25</v>
      </c>
      <c r="I58" s="141" t="s">
        <v>74</v>
      </c>
      <c r="J58" s="141" t="s">
        <v>55</v>
      </c>
      <c r="K58" s="141" t="s">
        <v>20</v>
      </c>
    </row>
    <row r="59" spans="1:11" ht="12.75" customHeight="1" x14ac:dyDescent="0.3">
      <c r="A59" s="141">
        <v>58</v>
      </c>
      <c r="B59" s="141" t="s">
        <v>571</v>
      </c>
      <c r="C59" s="141" t="s">
        <v>572</v>
      </c>
      <c r="D59" s="141" t="s">
        <v>19</v>
      </c>
      <c r="E59" s="141" t="s">
        <v>48</v>
      </c>
      <c r="F59" s="141" t="s">
        <v>62</v>
      </c>
      <c r="G59" s="141" t="s">
        <v>80</v>
      </c>
      <c r="H59" s="141" t="s">
        <v>25</v>
      </c>
      <c r="I59" s="141" t="s">
        <v>68</v>
      </c>
      <c r="J59" s="141" t="s">
        <v>55</v>
      </c>
      <c r="K59" s="141" t="s">
        <v>20</v>
      </c>
    </row>
    <row r="60" spans="1:11" ht="12.75" customHeight="1" x14ac:dyDescent="0.3">
      <c r="A60" s="141">
        <v>59</v>
      </c>
      <c r="B60" s="141" t="s">
        <v>573</v>
      </c>
      <c r="C60" s="141" t="s">
        <v>574</v>
      </c>
      <c r="D60" s="141" t="s">
        <v>19</v>
      </c>
      <c r="E60" s="141" t="s">
        <v>48</v>
      </c>
      <c r="F60" s="141" t="s">
        <v>62</v>
      </c>
      <c r="G60" s="141" t="s">
        <v>68</v>
      </c>
      <c r="H60" s="141" t="s">
        <v>25</v>
      </c>
      <c r="I60" s="141" t="s">
        <v>74</v>
      </c>
      <c r="J60" s="141" t="s">
        <v>55</v>
      </c>
      <c r="K60" s="141" t="s">
        <v>20</v>
      </c>
    </row>
    <row r="61" spans="1:11" ht="12.75" customHeight="1" x14ac:dyDescent="0.3">
      <c r="A61" s="141">
        <v>60</v>
      </c>
      <c r="B61" s="141" t="s">
        <v>575</v>
      </c>
      <c r="C61" s="141" t="s">
        <v>576</v>
      </c>
      <c r="D61" s="141" t="s">
        <v>19</v>
      </c>
      <c r="E61" s="141" t="s">
        <v>48</v>
      </c>
      <c r="F61" s="141" t="s">
        <v>62</v>
      </c>
      <c r="G61" s="141" t="s">
        <v>80</v>
      </c>
      <c r="H61" s="141" t="s">
        <v>25</v>
      </c>
      <c r="I61" s="141" t="s">
        <v>74</v>
      </c>
      <c r="J61" s="141" t="s">
        <v>55</v>
      </c>
      <c r="K61" s="141" t="s">
        <v>68</v>
      </c>
    </row>
    <row r="62" spans="1:11" ht="12.75" customHeight="1" x14ac:dyDescent="0.3">
      <c r="A62" s="141">
        <v>61</v>
      </c>
      <c r="B62" s="141" t="s">
        <v>577</v>
      </c>
      <c r="C62" s="141" t="s">
        <v>578</v>
      </c>
      <c r="D62" s="141" t="s">
        <v>19</v>
      </c>
      <c r="E62" s="141" t="s">
        <v>62</v>
      </c>
      <c r="F62" s="141" t="s">
        <v>42</v>
      </c>
      <c r="G62" s="141" t="s">
        <v>80</v>
      </c>
      <c r="H62" s="141" t="s">
        <v>25</v>
      </c>
      <c r="I62" s="141" t="s">
        <v>68</v>
      </c>
      <c r="J62" s="141" t="s">
        <v>74</v>
      </c>
      <c r="K62" s="141" t="s">
        <v>20</v>
      </c>
    </row>
    <row r="63" spans="1:11" ht="12.75" customHeight="1" x14ac:dyDescent="0.3">
      <c r="A63" s="141">
        <v>62</v>
      </c>
      <c r="B63" s="141" t="s">
        <v>579</v>
      </c>
      <c r="C63" s="141" t="s">
        <v>580</v>
      </c>
      <c r="D63" s="141" t="s">
        <v>19</v>
      </c>
      <c r="E63" s="141" t="s">
        <v>55</v>
      </c>
      <c r="F63" s="141" t="s">
        <v>42</v>
      </c>
      <c r="G63" s="141" t="s">
        <v>80</v>
      </c>
      <c r="H63" s="141" t="s">
        <v>25</v>
      </c>
      <c r="I63" s="141" t="s">
        <v>68</v>
      </c>
      <c r="J63" s="141" t="s">
        <v>74</v>
      </c>
      <c r="K63" s="141" t="s">
        <v>20</v>
      </c>
    </row>
    <row r="64" spans="1:11" ht="12.75" customHeight="1" x14ac:dyDescent="0.3">
      <c r="A64" s="141">
        <v>63</v>
      </c>
      <c r="B64" s="141" t="s">
        <v>581</v>
      </c>
      <c r="C64" s="141" t="s">
        <v>582</v>
      </c>
      <c r="D64" s="141" t="s">
        <v>19</v>
      </c>
      <c r="E64" s="141" t="s">
        <v>55</v>
      </c>
      <c r="F64" s="141" t="s">
        <v>42</v>
      </c>
      <c r="G64" s="141" t="s">
        <v>80</v>
      </c>
      <c r="H64" s="141" t="s">
        <v>25</v>
      </c>
      <c r="I64" s="141" t="s">
        <v>62</v>
      </c>
      <c r="J64" s="141" t="s">
        <v>74</v>
      </c>
      <c r="K64" s="141" t="s">
        <v>20</v>
      </c>
    </row>
    <row r="65" spans="1:11" ht="12.75" customHeight="1" x14ac:dyDescent="0.3">
      <c r="A65" s="141">
        <v>64</v>
      </c>
      <c r="B65" s="141" t="s">
        <v>583</v>
      </c>
      <c r="C65" s="141" t="s">
        <v>584</v>
      </c>
      <c r="D65" s="141" t="s">
        <v>19</v>
      </c>
      <c r="E65" s="141" t="s">
        <v>62</v>
      </c>
      <c r="F65" s="141" t="s">
        <v>42</v>
      </c>
      <c r="G65" s="141" t="s">
        <v>80</v>
      </c>
      <c r="H65" s="141" t="s">
        <v>25</v>
      </c>
      <c r="I65" s="141" t="s">
        <v>68</v>
      </c>
      <c r="J65" s="141" t="s">
        <v>55</v>
      </c>
      <c r="K65" s="141" t="s">
        <v>20</v>
      </c>
    </row>
    <row r="66" spans="1:11" ht="12.75" customHeight="1" x14ac:dyDescent="0.3">
      <c r="A66" s="141">
        <v>65</v>
      </c>
      <c r="B66" s="141" t="s">
        <v>585</v>
      </c>
      <c r="C66" s="141" t="s">
        <v>586</v>
      </c>
      <c r="D66" s="141" t="s">
        <v>19</v>
      </c>
      <c r="E66" s="141" t="s">
        <v>55</v>
      </c>
      <c r="F66" s="141" t="s">
        <v>42</v>
      </c>
      <c r="G66" s="141" t="s">
        <v>68</v>
      </c>
      <c r="H66" s="141" t="s">
        <v>25</v>
      </c>
      <c r="I66" s="141" t="s">
        <v>62</v>
      </c>
      <c r="J66" s="141" t="s">
        <v>74</v>
      </c>
      <c r="K66" s="141" t="s">
        <v>20</v>
      </c>
    </row>
    <row r="67" spans="1:11" ht="12.75" customHeight="1" x14ac:dyDescent="0.3">
      <c r="A67" s="141">
        <v>66</v>
      </c>
      <c r="B67" s="141" t="s">
        <v>587</v>
      </c>
      <c r="C67" s="141" t="s">
        <v>588</v>
      </c>
      <c r="D67" s="141" t="s">
        <v>19</v>
      </c>
      <c r="E67" s="141" t="s">
        <v>55</v>
      </c>
      <c r="F67" s="141" t="s">
        <v>42</v>
      </c>
      <c r="G67" s="141" t="s">
        <v>80</v>
      </c>
      <c r="H67" s="141" t="s">
        <v>25</v>
      </c>
      <c r="I67" s="141" t="s">
        <v>62</v>
      </c>
      <c r="J67" s="141" t="s">
        <v>74</v>
      </c>
      <c r="K67" s="141" t="s">
        <v>68</v>
      </c>
    </row>
    <row r="68" spans="1:11" ht="12.75" customHeight="1" x14ac:dyDescent="0.3">
      <c r="A68" s="141">
        <v>67</v>
      </c>
      <c r="B68" s="141" t="s">
        <v>589</v>
      </c>
      <c r="C68" s="141" t="s">
        <v>590</v>
      </c>
      <c r="D68" s="141" t="s">
        <v>19</v>
      </c>
      <c r="E68" s="141" t="s">
        <v>48</v>
      </c>
      <c r="F68" s="141" t="s">
        <v>42</v>
      </c>
      <c r="G68" s="141" t="s">
        <v>80</v>
      </c>
      <c r="H68" s="141" t="s">
        <v>25</v>
      </c>
      <c r="I68" s="141" t="s">
        <v>68</v>
      </c>
      <c r="J68" s="141" t="s">
        <v>74</v>
      </c>
      <c r="K68" s="141" t="s">
        <v>20</v>
      </c>
    </row>
    <row r="69" spans="1:11" ht="12.75" customHeight="1" x14ac:dyDescent="0.3">
      <c r="A69" s="141">
        <v>68</v>
      </c>
      <c r="B69" s="141" t="s">
        <v>591</v>
      </c>
      <c r="C69" s="141" t="s">
        <v>592</v>
      </c>
      <c r="D69" s="141" t="s">
        <v>19</v>
      </c>
      <c r="E69" s="141" t="s">
        <v>48</v>
      </c>
      <c r="F69" s="141" t="s">
        <v>42</v>
      </c>
      <c r="G69" s="141" t="s">
        <v>80</v>
      </c>
      <c r="H69" s="141" t="s">
        <v>25</v>
      </c>
      <c r="I69" s="141" t="s">
        <v>62</v>
      </c>
      <c r="J69" s="141" t="s">
        <v>74</v>
      </c>
      <c r="K69" s="141" t="s">
        <v>20</v>
      </c>
    </row>
    <row r="70" spans="1:11" ht="12.75" customHeight="1" x14ac:dyDescent="0.3">
      <c r="A70" s="141">
        <v>69</v>
      </c>
      <c r="B70" s="141" t="s">
        <v>593</v>
      </c>
      <c r="C70" s="141" t="s">
        <v>594</v>
      </c>
      <c r="D70" s="141" t="s">
        <v>19</v>
      </c>
      <c r="E70" s="141" t="s">
        <v>48</v>
      </c>
      <c r="F70" s="141" t="s">
        <v>42</v>
      </c>
      <c r="G70" s="141" t="s">
        <v>80</v>
      </c>
      <c r="H70" s="141" t="s">
        <v>25</v>
      </c>
      <c r="I70" s="141" t="s">
        <v>62</v>
      </c>
      <c r="J70" s="141" t="s">
        <v>68</v>
      </c>
      <c r="K70" s="141" t="s">
        <v>20</v>
      </c>
    </row>
    <row r="71" spans="1:11" ht="12.75" customHeight="1" x14ac:dyDescent="0.3">
      <c r="A71" s="141">
        <v>70</v>
      </c>
      <c r="B71" s="141" t="s">
        <v>595</v>
      </c>
      <c r="C71" s="141" t="s">
        <v>596</v>
      </c>
      <c r="D71" s="141" t="s">
        <v>19</v>
      </c>
      <c r="E71" s="141" t="s">
        <v>48</v>
      </c>
      <c r="F71" s="141" t="s">
        <v>42</v>
      </c>
      <c r="G71" s="141" t="s">
        <v>68</v>
      </c>
      <c r="H71" s="141" t="s">
        <v>25</v>
      </c>
      <c r="I71" s="141" t="s">
        <v>62</v>
      </c>
      <c r="J71" s="141" t="s">
        <v>74</v>
      </c>
      <c r="K71" s="141" t="s">
        <v>20</v>
      </c>
    </row>
    <row r="72" spans="1:11" ht="12.75" customHeight="1" x14ac:dyDescent="0.3">
      <c r="A72" s="141">
        <v>71</v>
      </c>
      <c r="B72" s="141" t="s">
        <v>597</v>
      </c>
      <c r="C72" s="141" t="s">
        <v>598</v>
      </c>
      <c r="D72" s="141" t="s">
        <v>19</v>
      </c>
      <c r="E72" s="141" t="s">
        <v>48</v>
      </c>
      <c r="F72" s="141" t="s">
        <v>42</v>
      </c>
      <c r="G72" s="141" t="s">
        <v>80</v>
      </c>
      <c r="H72" s="141" t="s">
        <v>25</v>
      </c>
      <c r="I72" s="141" t="s">
        <v>62</v>
      </c>
      <c r="J72" s="141" t="s">
        <v>74</v>
      </c>
      <c r="K72" s="141" t="s">
        <v>68</v>
      </c>
    </row>
    <row r="73" spans="1:11" ht="12.75" customHeight="1" x14ac:dyDescent="0.3">
      <c r="A73" s="141">
        <v>72</v>
      </c>
      <c r="B73" s="141" t="s">
        <v>599</v>
      </c>
      <c r="C73" s="141" t="s">
        <v>600</v>
      </c>
      <c r="D73" s="141" t="s">
        <v>19</v>
      </c>
      <c r="E73" s="141" t="s">
        <v>48</v>
      </c>
      <c r="F73" s="141" t="s">
        <v>42</v>
      </c>
      <c r="G73" s="141" t="s">
        <v>80</v>
      </c>
      <c r="H73" s="141" t="s">
        <v>25</v>
      </c>
      <c r="I73" s="141" t="s">
        <v>74</v>
      </c>
      <c r="J73" s="141" t="s">
        <v>55</v>
      </c>
      <c r="K73" s="141" t="s">
        <v>20</v>
      </c>
    </row>
    <row r="74" spans="1:11" ht="12.75" customHeight="1" x14ac:dyDescent="0.3">
      <c r="A74" s="141">
        <v>73</v>
      </c>
      <c r="B74" s="141" t="s">
        <v>601</v>
      </c>
      <c r="C74" s="141" t="s">
        <v>602</v>
      </c>
      <c r="D74" s="141" t="s">
        <v>19</v>
      </c>
      <c r="E74" s="141" t="s">
        <v>48</v>
      </c>
      <c r="F74" s="141" t="s">
        <v>42</v>
      </c>
      <c r="G74" s="141" t="s">
        <v>80</v>
      </c>
      <c r="H74" s="141" t="s">
        <v>25</v>
      </c>
      <c r="I74" s="141" t="s">
        <v>68</v>
      </c>
      <c r="J74" s="141" t="s">
        <v>55</v>
      </c>
      <c r="K74" s="141" t="s">
        <v>20</v>
      </c>
    </row>
    <row r="75" spans="1:11" ht="12.75" customHeight="1" x14ac:dyDescent="0.3">
      <c r="A75" s="141">
        <v>74</v>
      </c>
      <c r="B75" s="141" t="s">
        <v>603</v>
      </c>
      <c r="C75" s="141" t="s">
        <v>604</v>
      </c>
      <c r="D75" s="141" t="s">
        <v>19</v>
      </c>
      <c r="E75" s="141" t="s">
        <v>48</v>
      </c>
      <c r="F75" s="141" t="s">
        <v>42</v>
      </c>
      <c r="G75" s="141" t="s">
        <v>68</v>
      </c>
      <c r="H75" s="141" t="s">
        <v>25</v>
      </c>
      <c r="I75" s="141" t="s">
        <v>74</v>
      </c>
      <c r="J75" s="141" t="s">
        <v>55</v>
      </c>
      <c r="K75" s="141" t="s">
        <v>20</v>
      </c>
    </row>
    <row r="76" spans="1:11" ht="12.75" customHeight="1" x14ac:dyDescent="0.3">
      <c r="A76" s="141">
        <v>75</v>
      </c>
      <c r="B76" s="141" t="s">
        <v>605</v>
      </c>
      <c r="C76" s="141" t="s">
        <v>606</v>
      </c>
      <c r="D76" s="141" t="s">
        <v>19</v>
      </c>
      <c r="E76" s="141" t="s">
        <v>48</v>
      </c>
      <c r="F76" s="141" t="s">
        <v>42</v>
      </c>
      <c r="G76" s="141" t="s">
        <v>80</v>
      </c>
      <c r="H76" s="141" t="s">
        <v>25</v>
      </c>
      <c r="I76" s="141" t="s">
        <v>74</v>
      </c>
      <c r="J76" s="141" t="s">
        <v>55</v>
      </c>
      <c r="K76" s="141" t="s">
        <v>68</v>
      </c>
    </row>
    <row r="77" spans="1:11" ht="12.75" customHeight="1" x14ac:dyDescent="0.3">
      <c r="A77" s="141">
        <v>76</v>
      </c>
      <c r="B77" s="141" t="s">
        <v>607</v>
      </c>
      <c r="C77" s="141" t="s">
        <v>608</v>
      </c>
      <c r="D77" s="141" t="s">
        <v>19</v>
      </c>
      <c r="E77" s="141" t="s">
        <v>48</v>
      </c>
      <c r="F77" s="141" t="s">
        <v>42</v>
      </c>
      <c r="G77" s="141" t="s">
        <v>80</v>
      </c>
      <c r="H77" s="141" t="s">
        <v>25</v>
      </c>
      <c r="I77" s="141" t="s">
        <v>62</v>
      </c>
      <c r="J77" s="141" t="s">
        <v>55</v>
      </c>
      <c r="K77" s="141" t="s">
        <v>20</v>
      </c>
    </row>
    <row r="78" spans="1:11" ht="12.75" customHeight="1" x14ac:dyDescent="0.3">
      <c r="A78" s="141">
        <v>77</v>
      </c>
      <c r="B78" s="141" t="s">
        <v>609</v>
      </c>
      <c r="C78" s="141" t="s">
        <v>610</v>
      </c>
      <c r="D78" s="141" t="s">
        <v>19</v>
      </c>
      <c r="E78" s="141" t="s">
        <v>48</v>
      </c>
      <c r="F78" s="141" t="s">
        <v>62</v>
      </c>
      <c r="G78" s="141" t="s">
        <v>42</v>
      </c>
      <c r="H78" s="141" t="s">
        <v>25</v>
      </c>
      <c r="I78" s="141" t="s">
        <v>74</v>
      </c>
      <c r="J78" s="141" t="s">
        <v>55</v>
      </c>
      <c r="K78" s="141" t="s">
        <v>20</v>
      </c>
    </row>
    <row r="79" spans="1:11" ht="12.75" customHeight="1" x14ac:dyDescent="0.3">
      <c r="A79" s="141">
        <v>78</v>
      </c>
      <c r="B79" s="141" t="s">
        <v>611</v>
      </c>
      <c r="C79" s="141" t="s">
        <v>612</v>
      </c>
      <c r="D79" s="141" t="s">
        <v>19</v>
      </c>
      <c r="E79" s="141" t="s">
        <v>48</v>
      </c>
      <c r="F79" s="141" t="s">
        <v>62</v>
      </c>
      <c r="G79" s="141" t="s">
        <v>80</v>
      </c>
      <c r="H79" s="141" t="s">
        <v>25</v>
      </c>
      <c r="I79" s="141" t="s">
        <v>74</v>
      </c>
      <c r="J79" s="141" t="s">
        <v>55</v>
      </c>
      <c r="K79" s="141" t="s">
        <v>42</v>
      </c>
    </row>
    <row r="80" spans="1:11" ht="12.75" customHeight="1" x14ac:dyDescent="0.3">
      <c r="A80" s="141">
        <v>79</v>
      </c>
      <c r="B80" s="141" t="s">
        <v>613</v>
      </c>
      <c r="C80" s="141" t="s">
        <v>614</v>
      </c>
      <c r="D80" s="141" t="s">
        <v>19</v>
      </c>
      <c r="E80" s="141" t="s">
        <v>48</v>
      </c>
      <c r="F80" s="141" t="s">
        <v>42</v>
      </c>
      <c r="G80" s="141" t="s">
        <v>68</v>
      </c>
      <c r="H80" s="141" t="s">
        <v>25</v>
      </c>
      <c r="I80" s="141" t="s">
        <v>62</v>
      </c>
      <c r="J80" s="141" t="s">
        <v>55</v>
      </c>
      <c r="K80" s="141" t="s">
        <v>20</v>
      </c>
    </row>
    <row r="81" spans="1:11" ht="12.75" customHeight="1" x14ac:dyDescent="0.3">
      <c r="A81" s="141">
        <v>80</v>
      </c>
      <c r="B81" s="141" t="s">
        <v>615</v>
      </c>
      <c r="C81" s="141" t="s">
        <v>616</v>
      </c>
      <c r="D81" s="141" t="s">
        <v>19</v>
      </c>
      <c r="E81" s="141" t="s">
        <v>48</v>
      </c>
      <c r="F81" s="141" t="s">
        <v>42</v>
      </c>
      <c r="G81" s="141" t="s">
        <v>80</v>
      </c>
      <c r="H81" s="141" t="s">
        <v>25</v>
      </c>
      <c r="I81" s="141" t="s">
        <v>62</v>
      </c>
      <c r="J81" s="141" t="s">
        <v>55</v>
      </c>
      <c r="K81" s="141" t="s">
        <v>68</v>
      </c>
    </row>
    <row r="82" spans="1:11" ht="12.75" customHeight="1" x14ac:dyDescent="0.3">
      <c r="A82" s="141">
        <v>81</v>
      </c>
      <c r="B82" s="141" t="s">
        <v>617</v>
      </c>
      <c r="C82" s="141" t="s">
        <v>618</v>
      </c>
      <c r="D82" s="141" t="s">
        <v>19</v>
      </c>
      <c r="E82" s="141" t="s">
        <v>48</v>
      </c>
      <c r="F82" s="141" t="s">
        <v>62</v>
      </c>
      <c r="G82" s="141" t="s">
        <v>68</v>
      </c>
      <c r="H82" s="141" t="s">
        <v>25</v>
      </c>
      <c r="I82" s="141" t="s">
        <v>74</v>
      </c>
      <c r="J82" s="141" t="s">
        <v>55</v>
      </c>
      <c r="K82" s="141" t="s">
        <v>42</v>
      </c>
    </row>
    <row r="83" spans="1:11" ht="12.75" customHeight="1" x14ac:dyDescent="0.3">
      <c r="A83" s="141">
        <v>82</v>
      </c>
      <c r="B83" s="141" t="s">
        <v>619</v>
      </c>
      <c r="C83" s="141" t="s">
        <v>620</v>
      </c>
      <c r="D83" s="141" t="s">
        <v>31</v>
      </c>
      <c r="E83" s="141" t="s">
        <v>55</v>
      </c>
      <c r="F83" s="141" t="s">
        <v>62</v>
      </c>
      <c r="G83" s="141" t="s">
        <v>80</v>
      </c>
      <c r="H83" s="141" t="s">
        <v>25</v>
      </c>
      <c r="I83" s="141" t="s">
        <v>68</v>
      </c>
      <c r="J83" s="141" t="s">
        <v>74</v>
      </c>
      <c r="K83" s="141" t="s">
        <v>20</v>
      </c>
    </row>
    <row r="84" spans="1:11" ht="12.75" customHeight="1" x14ac:dyDescent="0.3">
      <c r="A84" s="141">
        <v>83</v>
      </c>
      <c r="B84" s="141" t="s">
        <v>621</v>
      </c>
      <c r="C84" s="141" t="s">
        <v>622</v>
      </c>
      <c r="D84" s="141" t="s">
        <v>31</v>
      </c>
      <c r="E84" s="141" t="s">
        <v>48</v>
      </c>
      <c r="F84" s="141" t="s">
        <v>62</v>
      </c>
      <c r="G84" s="141" t="s">
        <v>80</v>
      </c>
      <c r="H84" s="141" t="s">
        <v>25</v>
      </c>
      <c r="I84" s="141" t="s">
        <v>68</v>
      </c>
      <c r="J84" s="141" t="s">
        <v>74</v>
      </c>
      <c r="K84" s="141" t="s">
        <v>20</v>
      </c>
    </row>
    <row r="85" spans="1:11" ht="12.75" customHeight="1" x14ac:dyDescent="0.3">
      <c r="A85" s="141">
        <v>84</v>
      </c>
      <c r="B85" s="141" t="s">
        <v>623</v>
      </c>
      <c r="C85" s="141" t="s">
        <v>624</v>
      </c>
      <c r="D85" s="141" t="s">
        <v>31</v>
      </c>
      <c r="E85" s="141" t="s">
        <v>48</v>
      </c>
      <c r="F85" s="141" t="s">
        <v>68</v>
      </c>
      <c r="G85" s="141" t="s">
        <v>80</v>
      </c>
      <c r="H85" s="141" t="s">
        <v>25</v>
      </c>
      <c r="I85" s="141" t="s">
        <v>74</v>
      </c>
      <c r="J85" s="141" t="s">
        <v>55</v>
      </c>
      <c r="K85" s="141" t="s">
        <v>20</v>
      </c>
    </row>
    <row r="86" spans="1:11" ht="12.75" customHeight="1" x14ac:dyDescent="0.3">
      <c r="A86" s="141">
        <v>85</v>
      </c>
      <c r="B86" s="141" t="s">
        <v>625</v>
      </c>
      <c r="C86" s="141" t="s">
        <v>626</v>
      </c>
      <c r="D86" s="141" t="s">
        <v>31</v>
      </c>
      <c r="E86" s="141" t="s">
        <v>48</v>
      </c>
      <c r="F86" s="141" t="s">
        <v>62</v>
      </c>
      <c r="G86" s="141" t="s">
        <v>80</v>
      </c>
      <c r="H86" s="141" t="s">
        <v>25</v>
      </c>
      <c r="I86" s="141" t="s">
        <v>74</v>
      </c>
      <c r="J86" s="141" t="s">
        <v>55</v>
      </c>
      <c r="K86" s="141" t="s">
        <v>20</v>
      </c>
    </row>
    <row r="87" spans="1:11" ht="12.75" customHeight="1" x14ac:dyDescent="0.3">
      <c r="A87" s="141">
        <v>86</v>
      </c>
      <c r="B87" s="141" t="s">
        <v>627</v>
      </c>
      <c r="C87" s="141" t="s">
        <v>628</v>
      </c>
      <c r="D87" s="141" t="s">
        <v>31</v>
      </c>
      <c r="E87" s="141" t="s">
        <v>48</v>
      </c>
      <c r="F87" s="141" t="s">
        <v>62</v>
      </c>
      <c r="G87" s="141" t="s">
        <v>80</v>
      </c>
      <c r="H87" s="141" t="s">
        <v>25</v>
      </c>
      <c r="I87" s="141" t="s">
        <v>68</v>
      </c>
      <c r="J87" s="141" t="s">
        <v>55</v>
      </c>
      <c r="K87" s="141" t="s">
        <v>20</v>
      </c>
    </row>
    <row r="88" spans="1:11" ht="12.75" customHeight="1" x14ac:dyDescent="0.3">
      <c r="A88" s="141">
        <v>87</v>
      </c>
      <c r="B88" s="141" t="s">
        <v>629</v>
      </c>
      <c r="C88" s="141" t="s">
        <v>630</v>
      </c>
      <c r="D88" s="141" t="s">
        <v>31</v>
      </c>
      <c r="E88" s="141" t="s">
        <v>48</v>
      </c>
      <c r="F88" s="141" t="s">
        <v>62</v>
      </c>
      <c r="G88" s="141" t="s">
        <v>68</v>
      </c>
      <c r="H88" s="141" t="s">
        <v>25</v>
      </c>
      <c r="I88" s="141" t="s">
        <v>74</v>
      </c>
      <c r="J88" s="141" t="s">
        <v>55</v>
      </c>
      <c r="K88" s="141" t="s">
        <v>20</v>
      </c>
    </row>
    <row r="89" spans="1:11" ht="12.75" customHeight="1" x14ac:dyDescent="0.3">
      <c r="A89" s="141">
        <v>88</v>
      </c>
      <c r="B89" s="141" t="s">
        <v>631</v>
      </c>
      <c r="C89" s="141" t="s">
        <v>632</v>
      </c>
      <c r="D89" s="141" t="s">
        <v>31</v>
      </c>
      <c r="E89" s="141" t="s">
        <v>48</v>
      </c>
      <c r="F89" s="141" t="s">
        <v>62</v>
      </c>
      <c r="G89" s="141" t="s">
        <v>80</v>
      </c>
      <c r="H89" s="141" t="s">
        <v>25</v>
      </c>
      <c r="I89" s="141" t="s">
        <v>74</v>
      </c>
      <c r="J89" s="141" t="s">
        <v>55</v>
      </c>
      <c r="K89" s="141" t="s">
        <v>68</v>
      </c>
    </row>
    <row r="90" spans="1:11" ht="12.75" customHeight="1" x14ac:dyDescent="0.3">
      <c r="A90" s="141">
        <v>89</v>
      </c>
      <c r="B90" s="141" t="s">
        <v>633</v>
      </c>
      <c r="C90" s="141" t="s">
        <v>634</v>
      </c>
      <c r="D90" s="141" t="s">
        <v>31</v>
      </c>
      <c r="E90" s="141" t="s">
        <v>62</v>
      </c>
      <c r="F90" s="141" t="s">
        <v>42</v>
      </c>
      <c r="G90" s="141" t="s">
        <v>80</v>
      </c>
      <c r="H90" s="141" t="s">
        <v>25</v>
      </c>
      <c r="I90" s="141" t="s">
        <v>68</v>
      </c>
      <c r="J90" s="141" t="s">
        <v>74</v>
      </c>
      <c r="K90" s="141" t="s">
        <v>20</v>
      </c>
    </row>
    <row r="91" spans="1:11" ht="12.75" customHeight="1" x14ac:dyDescent="0.3">
      <c r="A91" s="141">
        <v>90</v>
      </c>
      <c r="B91" s="141" t="s">
        <v>635</v>
      </c>
      <c r="C91" s="141" t="s">
        <v>636</v>
      </c>
      <c r="D91" s="141" t="s">
        <v>31</v>
      </c>
      <c r="E91" s="141" t="s">
        <v>55</v>
      </c>
      <c r="F91" s="141" t="s">
        <v>42</v>
      </c>
      <c r="G91" s="141" t="s">
        <v>80</v>
      </c>
      <c r="H91" s="141" t="s">
        <v>25</v>
      </c>
      <c r="I91" s="141" t="s">
        <v>68</v>
      </c>
      <c r="J91" s="141" t="s">
        <v>74</v>
      </c>
      <c r="K91" s="141" t="s">
        <v>20</v>
      </c>
    </row>
    <row r="92" spans="1:11" ht="12.75" customHeight="1" x14ac:dyDescent="0.3">
      <c r="A92" s="141">
        <v>91</v>
      </c>
      <c r="B92" s="141" t="s">
        <v>637</v>
      </c>
      <c r="C92" s="141" t="s">
        <v>638</v>
      </c>
      <c r="D92" s="141" t="s">
        <v>31</v>
      </c>
      <c r="E92" s="141" t="s">
        <v>55</v>
      </c>
      <c r="F92" s="141" t="s">
        <v>42</v>
      </c>
      <c r="G92" s="141" t="s">
        <v>80</v>
      </c>
      <c r="H92" s="141" t="s">
        <v>25</v>
      </c>
      <c r="I92" s="141" t="s">
        <v>62</v>
      </c>
      <c r="J92" s="141" t="s">
        <v>74</v>
      </c>
      <c r="K92" s="141" t="s">
        <v>20</v>
      </c>
    </row>
    <row r="93" spans="1:11" ht="12.75" customHeight="1" x14ac:dyDescent="0.3">
      <c r="A93" s="141">
        <v>92</v>
      </c>
      <c r="B93" s="141" t="s">
        <v>639</v>
      </c>
      <c r="C93" s="141" t="s">
        <v>640</v>
      </c>
      <c r="D93" s="141" t="s">
        <v>31</v>
      </c>
      <c r="E93" s="141" t="s">
        <v>62</v>
      </c>
      <c r="F93" s="141" t="s">
        <v>42</v>
      </c>
      <c r="G93" s="141" t="s">
        <v>80</v>
      </c>
      <c r="H93" s="141" t="s">
        <v>25</v>
      </c>
      <c r="I93" s="141" t="s">
        <v>68</v>
      </c>
      <c r="J93" s="141" t="s">
        <v>55</v>
      </c>
      <c r="K93" s="141" t="s">
        <v>20</v>
      </c>
    </row>
    <row r="94" spans="1:11" ht="12.75" customHeight="1" x14ac:dyDescent="0.3">
      <c r="A94" s="141">
        <v>93</v>
      </c>
      <c r="B94" s="141" t="s">
        <v>641</v>
      </c>
      <c r="C94" s="141" t="s">
        <v>642</v>
      </c>
      <c r="D94" s="141" t="s">
        <v>31</v>
      </c>
      <c r="E94" s="141" t="s">
        <v>55</v>
      </c>
      <c r="F94" s="141" t="s">
        <v>42</v>
      </c>
      <c r="G94" s="141" t="s">
        <v>68</v>
      </c>
      <c r="H94" s="141" t="s">
        <v>25</v>
      </c>
      <c r="I94" s="141" t="s">
        <v>62</v>
      </c>
      <c r="J94" s="141" t="s">
        <v>74</v>
      </c>
      <c r="K94" s="141" t="s">
        <v>20</v>
      </c>
    </row>
    <row r="95" spans="1:11" ht="12.75" customHeight="1" x14ac:dyDescent="0.3">
      <c r="A95" s="141">
        <v>94</v>
      </c>
      <c r="B95" s="141" t="s">
        <v>643</v>
      </c>
      <c r="C95" s="141" t="s">
        <v>644</v>
      </c>
      <c r="D95" s="141" t="s">
        <v>31</v>
      </c>
      <c r="E95" s="141" t="s">
        <v>55</v>
      </c>
      <c r="F95" s="141" t="s">
        <v>42</v>
      </c>
      <c r="G95" s="141" t="s">
        <v>80</v>
      </c>
      <c r="H95" s="141" t="s">
        <v>25</v>
      </c>
      <c r="I95" s="141" t="s">
        <v>62</v>
      </c>
      <c r="J95" s="141" t="s">
        <v>74</v>
      </c>
      <c r="K95" s="141" t="s">
        <v>68</v>
      </c>
    </row>
    <row r="96" spans="1:11" ht="12.75" customHeight="1" x14ac:dyDescent="0.3">
      <c r="A96" s="141">
        <v>95</v>
      </c>
      <c r="B96" s="141" t="s">
        <v>645</v>
      </c>
      <c r="C96" s="141" t="s">
        <v>646</v>
      </c>
      <c r="D96" s="141" t="s">
        <v>31</v>
      </c>
      <c r="E96" s="141" t="s">
        <v>48</v>
      </c>
      <c r="F96" s="141" t="s">
        <v>42</v>
      </c>
      <c r="G96" s="141" t="s">
        <v>80</v>
      </c>
      <c r="H96" s="141" t="s">
        <v>25</v>
      </c>
      <c r="I96" s="141" t="s">
        <v>68</v>
      </c>
      <c r="J96" s="141" t="s">
        <v>74</v>
      </c>
      <c r="K96" s="141" t="s">
        <v>20</v>
      </c>
    </row>
    <row r="97" spans="1:11" ht="12.75" customHeight="1" x14ac:dyDescent="0.3">
      <c r="A97" s="141">
        <v>96</v>
      </c>
      <c r="B97" s="141" t="s">
        <v>647</v>
      </c>
      <c r="C97" s="141" t="s">
        <v>648</v>
      </c>
      <c r="D97" s="141" t="s">
        <v>31</v>
      </c>
      <c r="E97" s="141" t="s">
        <v>48</v>
      </c>
      <c r="F97" s="141" t="s">
        <v>42</v>
      </c>
      <c r="G97" s="141" t="s">
        <v>80</v>
      </c>
      <c r="H97" s="141" t="s">
        <v>25</v>
      </c>
      <c r="I97" s="141" t="s">
        <v>62</v>
      </c>
      <c r="J97" s="141" t="s">
        <v>74</v>
      </c>
      <c r="K97" s="141" t="s">
        <v>20</v>
      </c>
    </row>
    <row r="98" spans="1:11" ht="12.75" customHeight="1" x14ac:dyDescent="0.3">
      <c r="A98" s="141">
        <v>97</v>
      </c>
      <c r="B98" s="141" t="s">
        <v>649</v>
      </c>
      <c r="C98" s="141" t="s">
        <v>650</v>
      </c>
      <c r="D98" s="141" t="s">
        <v>31</v>
      </c>
      <c r="E98" s="141" t="s">
        <v>48</v>
      </c>
      <c r="F98" s="141" t="s">
        <v>42</v>
      </c>
      <c r="G98" s="141" t="s">
        <v>80</v>
      </c>
      <c r="H98" s="141" t="s">
        <v>25</v>
      </c>
      <c r="I98" s="141" t="s">
        <v>62</v>
      </c>
      <c r="J98" s="141" t="s">
        <v>68</v>
      </c>
      <c r="K98" s="141" t="s">
        <v>20</v>
      </c>
    </row>
    <row r="99" spans="1:11" ht="12.75" customHeight="1" x14ac:dyDescent="0.3">
      <c r="A99" s="141">
        <v>98</v>
      </c>
      <c r="B99" s="141" t="s">
        <v>651</v>
      </c>
      <c r="C99" s="141" t="s">
        <v>652</v>
      </c>
      <c r="D99" s="141" t="s">
        <v>31</v>
      </c>
      <c r="E99" s="141" t="s">
        <v>48</v>
      </c>
      <c r="F99" s="141" t="s">
        <v>42</v>
      </c>
      <c r="G99" s="141" t="s">
        <v>68</v>
      </c>
      <c r="H99" s="141" t="s">
        <v>25</v>
      </c>
      <c r="I99" s="141" t="s">
        <v>62</v>
      </c>
      <c r="J99" s="141" t="s">
        <v>74</v>
      </c>
      <c r="K99" s="141" t="s">
        <v>20</v>
      </c>
    </row>
    <row r="100" spans="1:11" ht="12.75" customHeight="1" x14ac:dyDescent="0.3">
      <c r="A100" s="141">
        <v>99</v>
      </c>
      <c r="B100" s="141" t="s">
        <v>653</v>
      </c>
      <c r="C100" s="141" t="s">
        <v>654</v>
      </c>
      <c r="D100" s="141" t="s">
        <v>31</v>
      </c>
      <c r="E100" s="141" t="s">
        <v>48</v>
      </c>
      <c r="F100" s="141" t="s">
        <v>42</v>
      </c>
      <c r="G100" s="141" t="s">
        <v>80</v>
      </c>
      <c r="H100" s="141" t="s">
        <v>25</v>
      </c>
      <c r="I100" s="141" t="s">
        <v>62</v>
      </c>
      <c r="J100" s="141" t="s">
        <v>74</v>
      </c>
      <c r="K100" s="141" t="s">
        <v>68</v>
      </c>
    </row>
    <row r="101" spans="1:11" ht="12.75" customHeight="1" x14ac:dyDescent="0.3">
      <c r="A101" s="141">
        <v>100</v>
      </c>
      <c r="B101" s="141" t="s">
        <v>655</v>
      </c>
      <c r="C101" s="141" t="s">
        <v>656</v>
      </c>
      <c r="D101" s="141" t="s">
        <v>31</v>
      </c>
      <c r="E101" s="141" t="s">
        <v>48</v>
      </c>
      <c r="F101" s="141" t="s">
        <v>42</v>
      </c>
      <c r="G101" s="141" t="s">
        <v>80</v>
      </c>
      <c r="H101" s="141" t="s">
        <v>25</v>
      </c>
      <c r="I101" s="141" t="s">
        <v>74</v>
      </c>
      <c r="J101" s="141" t="s">
        <v>55</v>
      </c>
      <c r="K101" s="141" t="s">
        <v>20</v>
      </c>
    </row>
    <row r="102" spans="1:11" ht="12.75" customHeight="1" x14ac:dyDescent="0.3">
      <c r="A102" s="141">
        <v>101</v>
      </c>
      <c r="B102" s="141" t="s">
        <v>657</v>
      </c>
      <c r="C102" s="141" t="s">
        <v>658</v>
      </c>
      <c r="D102" s="141" t="s">
        <v>31</v>
      </c>
      <c r="E102" s="141" t="s">
        <v>48</v>
      </c>
      <c r="F102" s="141" t="s">
        <v>42</v>
      </c>
      <c r="G102" s="141" t="s">
        <v>80</v>
      </c>
      <c r="H102" s="141" t="s">
        <v>25</v>
      </c>
      <c r="I102" s="141" t="s">
        <v>68</v>
      </c>
      <c r="J102" s="141" t="s">
        <v>55</v>
      </c>
      <c r="K102" s="141" t="s">
        <v>20</v>
      </c>
    </row>
    <row r="103" spans="1:11" ht="12.75" customHeight="1" x14ac:dyDescent="0.3">
      <c r="A103" s="141">
        <v>102</v>
      </c>
      <c r="B103" s="141" t="s">
        <v>659</v>
      </c>
      <c r="C103" s="141" t="s">
        <v>660</v>
      </c>
      <c r="D103" s="141" t="s">
        <v>31</v>
      </c>
      <c r="E103" s="141" t="s">
        <v>48</v>
      </c>
      <c r="F103" s="141" t="s">
        <v>42</v>
      </c>
      <c r="G103" s="141" t="s">
        <v>68</v>
      </c>
      <c r="H103" s="141" t="s">
        <v>25</v>
      </c>
      <c r="I103" s="141" t="s">
        <v>74</v>
      </c>
      <c r="J103" s="141" t="s">
        <v>55</v>
      </c>
      <c r="K103" s="141" t="s">
        <v>20</v>
      </c>
    </row>
    <row r="104" spans="1:11" ht="12.75" customHeight="1" x14ac:dyDescent="0.3">
      <c r="A104" s="141">
        <v>103</v>
      </c>
      <c r="B104" s="141" t="s">
        <v>661</v>
      </c>
      <c r="C104" s="141" t="s">
        <v>662</v>
      </c>
      <c r="D104" s="141" t="s">
        <v>31</v>
      </c>
      <c r="E104" s="141" t="s">
        <v>48</v>
      </c>
      <c r="F104" s="141" t="s">
        <v>42</v>
      </c>
      <c r="G104" s="141" t="s">
        <v>80</v>
      </c>
      <c r="H104" s="141" t="s">
        <v>25</v>
      </c>
      <c r="I104" s="141" t="s">
        <v>74</v>
      </c>
      <c r="J104" s="141" t="s">
        <v>55</v>
      </c>
      <c r="K104" s="141" t="s">
        <v>68</v>
      </c>
    </row>
    <row r="105" spans="1:11" ht="12.75" customHeight="1" x14ac:dyDescent="0.3">
      <c r="A105" s="141">
        <v>104</v>
      </c>
      <c r="B105" s="141" t="s">
        <v>663</v>
      </c>
      <c r="C105" s="141" t="s">
        <v>664</v>
      </c>
      <c r="D105" s="141" t="s">
        <v>31</v>
      </c>
      <c r="E105" s="141" t="s">
        <v>48</v>
      </c>
      <c r="F105" s="141" t="s">
        <v>42</v>
      </c>
      <c r="G105" s="141" t="s">
        <v>80</v>
      </c>
      <c r="H105" s="141" t="s">
        <v>25</v>
      </c>
      <c r="I105" s="141" t="s">
        <v>62</v>
      </c>
      <c r="J105" s="141" t="s">
        <v>55</v>
      </c>
      <c r="K105" s="141" t="s">
        <v>20</v>
      </c>
    </row>
    <row r="106" spans="1:11" ht="12.75" customHeight="1" x14ac:dyDescent="0.3">
      <c r="A106" s="141">
        <v>105</v>
      </c>
      <c r="B106" s="141" t="s">
        <v>665</v>
      </c>
      <c r="C106" s="141" t="s">
        <v>666</v>
      </c>
      <c r="D106" s="141" t="s">
        <v>31</v>
      </c>
      <c r="E106" s="141" t="s">
        <v>48</v>
      </c>
      <c r="F106" s="141" t="s">
        <v>62</v>
      </c>
      <c r="G106" s="141" t="s">
        <v>42</v>
      </c>
      <c r="H106" s="141" t="s">
        <v>25</v>
      </c>
      <c r="I106" s="141" t="s">
        <v>74</v>
      </c>
      <c r="J106" s="141" t="s">
        <v>55</v>
      </c>
      <c r="K106" s="141" t="s">
        <v>20</v>
      </c>
    </row>
    <row r="107" spans="1:11" ht="12.75" customHeight="1" x14ac:dyDescent="0.3">
      <c r="A107" s="141">
        <v>106</v>
      </c>
      <c r="B107" s="141" t="s">
        <v>667</v>
      </c>
      <c r="C107" s="141" t="s">
        <v>668</v>
      </c>
      <c r="D107" s="141" t="s">
        <v>31</v>
      </c>
      <c r="E107" s="141" t="s">
        <v>48</v>
      </c>
      <c r="F107" s="141" t="s">
        <v>62</v>
      </c>
      <c r="G107" s="141" t="s">
        <v>80</v>
      </c>
      <c r="H107" s="141" t="s">
        <v>25</v>
      </c>
      <c r="I107" s="141" t="s">
        <v>74</v>
      </c>
      <c r="J107" s="141" t="s">
        <v>55</v>
      </c>
      <c r="K107" s="141" t="s">
        <v>42</v>
      </c>
    </row>
    <row r="108" spans="1:11" ht="12.75" customHeight="1" x14ac:dyDescent="0.3">
      <c r="A108" s="141">
        <v>107</v>
      </c>
      <c r="B108" s="141" t="s">
        <v>669</v>
      </c>
      <c r="C108" s="141" t="s">
        <v>670</v>
      </c>
      <c r="D108" s="141" t="s">
        <v>31</v>
      </c>
      <c r="E108" s="141" t="s">
        <v>48</v>
      </c>
      <c r="F108" s="141" t="s">
        <v>42</v>
      </c>
      <c r="G108" s="141" t="s">
        <v>68</v>
      </c>
      <c r="H108" s="141" t="s">
        <v>25</v>
      </c>
      <c r="I108" s="141" t="s">
        <v>62</v>
      </c>
      <c r="J108" s="141" t="s">
        <v>55</v>
      </c>
      <c r="K108" s="141" t="s">
        <v>20</v>
      </c>
    </row>
    <row r="109" spans="1:11" ht="12.75" customHeight="1" x14ac:dyDescent="0.3">
      <c r="A109" s="141">
        <v>108</v>
      </c>
      <c r="B109" s="141" t="s">
        <v>671</v>
      </c>
      <c r="C109" s="141" t="s">
        <v>672</v>
      </c>
      <c r="D109" s="141" t="s">
        <v>31</v>
      </c>
      <c r="E109" s="141" t="s">
        <v>48</v>
      </c>
      <c r="F109" s="141" t="s">
        <v>42</v>
      </c>
      <c r="G109" s="141" t="s">
        <v>80</v>
      </c>
      <c r="H109" s="141" t="s">
        <v>25</v>
      </c>
      <c r="I109" s="141" t="s">
        <v>62</v>
      </c>
      <c r="J109" s="141" t="s">
        <v>55</v>
      </c>
      <c r="K109" s="141" t="s">
        <v>68</v>
      </c>
    </row>
    <row r="110" spans="1:11" ht="12.75" customHeight="1" x14ac:dyDescent="0.3">
      <c r="A110" s="141">
        <v>109</v>
      </c>
      <c r="B110" s="141" t="s">
        <v>673</v>
      </c>
      <c r="C110" s="141" t="s">
        <v>674</v>
      </c>
      <c r="D110" s="141" t="s">
        <v>31</v>
      </c>
      <c r="E110" s="141" t="s">
        <v>48</v>
      </c>
      <c r="F110" s="141" t="s">
        <v>62</v>
      </c>
      <c r="G110" s="141" t="s">
        <v>68</v>
      </c>
      <c r="H110" s="141" t="s">
        <v>25</v>
      </c>
      <c r="I110" s="141" t="s">
        <v>74</v>
      </c>
      <c r="J110" s="141" t="s">
        <v>55</v>
      </c>
      <c r="K110" s="141" t="s">
        <v>42</v>
      </c>
    </row>
    <row r="111" spans="1:11" ht="12.75" customHeight="1" x14ac:dyDescent="0.3">
      <c r="A111" s="141">
        <v>110</v>
      </c>
      <c r="B111" s="141" t="s">
        <v>675</v>
      </c>
      <c r="C111" s="141" t="s">
        <v>676</v>
      </c>
      <c r="D111" s="141" t="s">
        <v>31</v>
      </c>
      <c r="E111" s="141" t="s">
        <v>19</v>
      </c>
      <c r="F111" s="141" t="s">
        <v>62</v>
      </c>
      <c r="G111" s="141" t="s">
        <v>80</v>
      </c>
      <c r="H111" s="141" t="s">
        <v>25</v>
      </c>
      <c r="I111" s="141" t="s">
        <v>68</v>
      </c>
      <c r="J111" s="141" t="s">
        <v>74</v>
      </c>
      <c r="K111" s="141" t="s">
        <v>20</v>
      </c>
    </row>
    <row r="112" spans="1:11" ht="12.75" customHeight="1" x14ac:dyDescent="0.3">
      <c r="A112" s="141">
        <v>111</v>
      </c>
      <c r="B112" s="141" t="s">
        <v>677</v>
      </c>
      <c r="C112" s="141" t="s">
        <v>678</v>
      </c>
      <c r="D112" s="141" t="s">
        <v>31</v>
      </c>
      <c r="E112" s="141" t="s">
        <v>19</v>
      </c>
      <c r="F112" s="141" t="s">
        <v>68</v>
      </c>
      <c r="G112" s="141" t="s">
        <v>80</v>
      </c>
      <c r="H112" s="141" t="s">
        <v>25</v>
      </c>
      <c r="I112" s="141" t="s">
        <v>74</v>
      </c>
      <c r="J112" s="141" t="s">
        <v>55</v>
      </c>
      <c r="K112" s="141" t="s">
        <v>20</v>
      </c>
    </row>
    <row r="113" spans="1:11" ht="12.75" customHeight="1" x14ac:dyDescent="0.3">
      <c r="A113" s="141">
        <v>112</v>
      </c>
      <c r="B113" s="141" t="s">
        <v>679</v>
      </c>
      <c r="C113" s="141" t="s">
        <v>680</v>
      </c>
      <c r="D113" s="141" t="s">
        <v>31</v>
      </c>
      <c r="E113" s="141" t="s">
        <v>19</v>
      </c>
      <c r="F113" s="141" t="s">
        <v>62</v>
      </c>
      <c r="G113" s="141" t="s">
        <v>80</v>
      </c>
      <c r="H113" s="141" t="s">
        <v>25</v>
      </c>
      <c r="I113" s="141" t="s">
        <v>74</v>
      </c>
      <c r="J113" s="141" t="s">
        <v>55</v>
      </c>
      <c r="K113" s="141" t="s">
        <v>20</v>
      </c>
    </row>
    <row r="114" spans="1:11" ht="12.75" customHeight="1" x14ac:dyDescent="0.3">
      <c r="A114" s="141">
        <v>113</v>
      </c>
      <c r="B114" s="141" t="s">
        <v>681</v>
      </c>
      <c r="C114" s="141" t="s">
        <v>682</v>
      </c>
      <c r="D114" s="141" t="s">
        <v>31</v>
      </c>
      <c r="E114" s="141" t="s">
        <v>19</v>
      </c>
      <c r="F114" s="141" t="s">
        <v>62</v>
      </c>
      <c r="G114" s="141" t="s">
        <v>80</v>
      </c>
      <c r="H114" s="141" t="s">
        <v>25</v>
      </c>
      <c r="I114" s="141" t="s">
        <v>68</v>
      </c>
      <c r="J114" s="141" t="s">
        <v>55</v>
      </c>
      <c r="K114" s="141" t="s">
        <v>20</v>
      </c>
    </row>
    <row r="115" spans="1:11" ht="12.75" customHeight="1" x14ac:dyDescent="0.3">
      <c r="A115" s="141">
        <v>114</v>
      </c>
      <c r="B115" s="141" t="s">
        <v>683</v>
      </c>
      <c r="C115" s="141" t="s">
        <v>684</v>
      </c>
      <c r="D115" s="141" t="s">
        <v>31</v>
      </c>
      <c r="E115" s="141" t="s">
        <v>19</v>
      </c>
      <c r="F115" s="141" t="s">
        <v>62</v>
      </c>
      <c r="G115" s="141" t="s">
        <v>68</v>
      </c>
      <c r="H115" s="141" t="s">
        <v>25</v>
      </c>
      <c r="I115" s="141" t="s">
        <v>74</v>
      </c>
      <c r="J115" s="141" t="s">
        <v>55</v>
      </c>
      <c r="K115" s="141" t="s">
        <v>20</v>
      </c>
    </row>
    <row r="116" spans="1:11" ht="12.75" customHeight="1" x14ac:dyDescent="0.3">
      <c r="A116" s="141">
        <v>115</v>
      </c>
      <c r="B116" s="141" t="s">
        <v>685</v>
      </c>
      <c r="C116" s="141" t="s">
        <v>686</v>
      </c>
      <c r="D116" s="141" t="s">
        <v>31</v>
      </c>
      <c r="E116" s="141" t="s">
        <v>19</v>
      </c>
      <c r="F116" s="141" t="s">
        <v>62</v>
      </c>
      <c r="G116" s="141" t="s">
        <v>80</v>
      </c>
      <c r="H116" s="141" t="s">
        <v>25</v>
      </c>
      <c r="I116" s="141" t="s">
        <v>74</v>
      </c>
      <c r="J116" s="141" t="s">
        <v>55</v>
      </c>
      <c r="K116" s="141" t="s">
        <v>68</v>
      </c>
    </row>
    <row r="117" spans="1:11" ht="12.75" customHeight="1" x14ac:dyDescent="0.3">
      <c r="A117" s="141">
        <v>116</v>
      </c>
      <c r="B117" s="141" t="s">
        <v>687</v>
      </c>
      <c r="C117" s="141" t="s">
        <v>688</v>
      </c>
      <c r="D117" s="141" t="s">
        <v>19</v>
      </c>
      <c r="E117" s="141" t="s">
        <v>48</v>
      </c>
      <c r="F117" s="141" t="s">
        <v>31</v>
      </c>
      <c r="G117" s="141" t="s">
        <v>80</v>
      </c>
      <c r="H117" s="141" t="s">
        <v>25</v>
      </c>
      <c r="I117" s="141" t="s">
        <v>68</v>
      </c>
      <c r="J117" s="141" t="s">
        <v>74</v>
      </c>
      <c r="K117" s="141" t="s">
        <v>20</v>
      </c>
    </row>
    <row r="118" spans="1:11" ht="12.75" customHeight="1" x14ac:dyDescent="0.3">
      <c r="A118" s="141">
        <v>117</v>
      </c>
      <c r="B118" s="141" t="s">
        <v>689</v>
      </c>
      <c r="C118" s="141" t="s">
        <v>690</v>
      </c>
      <c r="D118" s="141" t="s">
        <v>19</v>
      </c>
      <c r="E118" s="141" t="s">
        <v>48</v>
      </c>
      <c r="F118" s="141" t="s">
        <v>31</v>
      </c>
      <c r="G118" s="141" t="s">
        <v>80</v>
      </c>
      <c r="H118" s="141" t="s">
        <v>25</v>
      </c>
      <c r="I118" s="141" t="s">
        <v>62</v>
      </c>
      <c r="J118" s="141" t="s">
        <v>74</v>
      </c>
      <c r="K118" s="141" t="s">
        <v>20</v>
      </c>
    </row>
    <row r="119" spans="1:11" ht="12.75" customHeight="1" x14ac:dyDescent="0.3">
      <c r="A119" s="141">
        <v>118</v>
      </c>
      <c r="B119" s="141" t="s">
        <v>691</v>
      </c>
      <c r="C119" s="141" t="s">
        <v>692</v>
      </c>
      <c r="D119" s="141" t="s">
        <v>19</v>
      </c>
      <c r="E119" s="141" t="s">
        <v>48</v>
      </c>
      <c r="F119" s="141" t="s">
        <v>31</v>
      </c>
      <c r="G119" s="141" t="s">
        <v>80</v>
      </c>
      <c r="H119" s="141" t="s">
        <v>25</v>
      </c>
      <c r="I119" s="141" t="s">
        <v>62</v>
      </c>
      <c r="J119" s="141" t="s">
        <v>68</v>
      </c>
      <c r="K119" s="141" t="s">
        <v>20</v>
      </c>
    </row>
    <row r="120" spans="1:11" ht="12.75" customHeight="1" x14ac:dyDescent="0.3">
      <c r="A120" s="141">
        <v>119</v>
      </c>
      <c r="B120" s="141" t="s">
        <v>693</v>
      </c>
      <c r="C120" s="141" t="s">
        <v>694</v>
      </c>
      <c r="D120" s="141" t="s">
        <v>19</v>
      </c>
      <c r="E120" s="141" t="s">
        <v>48</v>
      </c>
      <c r="F120" s="141" t="s">
        <v>31</v>
      </c>
      <c r="G120" s="141" t="s">
        <v>68</v>
      </c>
      <c r="H120" s="141" t="s">
        <v>25</v>
      </c>
      <c r="I120" s="141" t="s">
        <v>62</v>
      </c>
      <c r="J120" s="141" t="s">
        <v>74</v>
      </c>
      <c r="K120" s="141" t="s">
        <v>20</v>
      </c>
    </row>
    <row r="121" spans="1:11" ht="12.75" customHeight="1" x14ac:dyDescent="0.3">
      <c r="A121" s="141">
        <v>120</v>
      </c>
      <c r="B121" s="141" t="s">
        <v>695</v>
      </c>
      <c r="C121" s="141" t="s">
        <v>696</v>
      </c>
      <c r="D121" s="141" t="s">
        <v>19</v>
      </c>
      <c r="E121" s="141" t="s">
        <v>48</v>
      </c>
      <c r="F121" s="141" t="s">
        <v>31</v>
      </c>
      <c r="G121" s="141" t="s">
        <v>80</v>
      </c>
      <c r="H121" s="141" t="s">
        <v>25</v>
      </c>
      <c r="I121" s="141" t="s">
        <v>62</v>
      </c>
      <c r="J121" s="141" t="s">
        <v>74</v>
      </c>
      <c r="K121" s="141" t="s">
        <v>68</v>
      </c>
    </row>
    <row r="122" spans="1:11" ht="12.75" customHeight="1" x14ac:dyDescent="0.3">
      <c r="A122" s="141">
        <v>121</v>
      </c>
      <c r="B122" s="141" t="s">
        <v>697</v>
      </c>
      <c r="C122" s="141" t="s">
        <v>698</v>
      </c>
      <c r="D122" s="141" t="s">
        <v>19</v>
      </c>
      <c r="E122" s="141" t="s">
        <v>48</v>
      </c>
      <c r="F122" s="141" t="s">
        <v>31</v>
      </c>
      <c r="G122" s="141" t="s">
        <v>80</v>
      </c>
      <c r="H122" s="141" t="s">
        <v>25</v>
      </c>
      <c r="I122" s="141" t="s">
        <v>74</v>
      </c>
      <c r="J122" s="141" t="s">
        <v>55</v>
      </c>
      <c r="K122" s="141" t="s">
        <v>20</v>
      </c>
    </row>
    <row r="123" spans="1:11" ht="12.75" customHeight="1" x14ac:dyDescent="0.3">
      <c r="A123" s="141">
        <v>122</v>
      </c>
      <c r="B123" s="141" t="s">
        <v>699</v>
      </c>
      <c r="C123" s="141" t="s">
        <v>700</v>
      </c>
      <c r="D123" s="141" t="s">
        <v>19</v>
      </c>
      <c r="E123" s="141" t="s">
        <v>48</v>
      </c>
      <c r="F123" s="141" t="s">
        <v>31</v>
      </c>
      <c r="G123" s="141" t="s">
        <v>80</v>
      </c>
      <c r="H123" s="141" t="s">
        <v>25</v>
      </c>
      <c r="I123" s="141" t="s">
        <v>68</v>
      </c>
      <c r="J123" s="141" t="s">
        <v>55</v>
      </c>
      <c r="K123" s="141" t="s">
        <v>20</v>
      </c>
    </row>
    <row r="124" spans="1:11" ht="12.75" customHeight="1" x14ac:dyDescent="0.3">
      <c r="A124" s="141">
        <v>123</v>
      </c>
      <c r="B124" s="141" t="s">
        <v>701</v>
      </c>
      <c r="C124" s="141" t="s">
        <v>702</v>
      </c>
      <c r="D124" s="141" t="s">
        <v>19</v>
      </c>
      <c r="E124" s="141" t="s">
        <v>48</v>
      </c>
      <c r="F124" s="141" t="s">
        <v>31</v>
      </c>
      <c r="G124" s="141" t="s">
        <v>68</v>
      </c>
      <c r="H124" s="141" t="s">
        <v>25</v>
      </c>
      <c r="I124" s="141" t="s">
        <v>74</v>
      </c>
      <c r="J124" s="141" t="s">
        <v>55</v>
      </c>
      <c r="K124" s="141" t="s">
        <v>20</v>
      </c>
    </row>
    <row r="125" spans="1:11" ht="12.75" customHeight="1" x14ac:dyDescent="0.3">
      <c r="A125" s="141">
        <v>124</v>
      </c>
      <c r="B125" s="141" t="s">
        <v>703</v>
      </c>
      <c r="C125" s="141" t="s">
        <v>704</v>
      </c>
      <c r="D125" s="141" t="s">
        <v>19</v>
      </c>
      <c r="E125" s="141" t="s">
        <v>48</v>
      </c>
      <c r="F125" s="141" t="s">
        <v>31</v>
      </c>
      <c r="G125" s="141" t="s">
        <v>80</v>
      </c>
      <c r="H125" s="141" t="s">
        <v>25</v>
      </c>
      <c r="I125" s="141" t="s">
        <v>74</v>
      </c>
      <c r="J125" s="141" t="s">
        <v>55</v>
      </c>
      <c r="K125" s="141" t="s">
        <v>68</v>
      </c>
    </row>
    <row r="126" spans="1:11" ht="12.75" customHeight="1" x14ac:dyDescent="0.3">
      <c r="A126" s="141">
        <v>125</v>
      </c>
      <c r="B126" s="141" t="s">
        <v>705</v>
      </c>
      <c r="C126" s="141" t="s">
        <v>706</v>
      </c>
      <c r="D126" s="141" t="s">
        <v>19</v>
      </c>
      <c r="E126" s="141" t="s">
        <v>48</v>
      </c>
      <c r="F126" s="141" t="s">
        <v>31</v>
      </c>
      <c r="G126" s="141" t="s">
        <v>80</v>
      </c>
      <c r="H126" s="141" t="s">
        <v>25</v>
      </c>
      <c r="I126" s="141" t="s">
        <v>62</v>
      </c>
      <c r="J126" s="141" t="s">
        <v>55</v>
      </c>
      <c r="K126" s="141" t="s">
        <v>20</v>
      </c>
    </row>
    <row r="127" spans="1:11" ht="12.75" customHeight="1" x14ac:dyDescent="0.3">
      <c r="A127" s="141">
        <v>126</v>
      </c>
      <c r="B127" s="141" t="s">
        <v>707</v>
      </c>
      <c r="C127" s="141" t="s">
        <v>708</v>
      </c>
      <c r="D127" s="141" t="s">
        <v>19</v>
      </c>
      <c r="E127" s="141" t="s">
        <v>48</v>
      </c>
      <c r="F127" s="141" t="s">
        <v>31</v>
      </c>
      <c r="G127" s="141" t="s">
        <v>74</v>
      </c>
      <c r="H127" s="141" t="s">
        <v>25</v>
      </c>
      <c r="I127" s="141" t="s">
        <v>62</v>
      </c>
      <c r="J127" s="141" t="s">
        <v>55</v>
      </c>
      <c r="K127" s="141" t="s">
        <v>20</v>
      </c>
    </row>
    <row r="128" spans="1:11" ht="12.75" customHeight="1" x14ac:dyDescent="0.3">
      <c r="A128" s="141">
        <v>127</v>
      </c>
      <c r="B128" s="141" t="s">
        <v>709</v>
      </c>
      <c r="C128" s="141" t="s">
        <v>710</v>
      </c>
      <c r="D128" s="141" t="s">
        <v>31</v>
      </c>
      <c r="E128" s="141" t="s">
        <v>48</v>
      </c>
      <c r="F128" s="141" t="s">
        <v>62</v>
      </c>
      <c r="G128" s="141" t="s">
        <v>80</v>
      </c>
      <c r="H128" s="141" t="s">
        <v>25</v>
      </c>
      <c r="I128" s="141" t="s">
        <v>74</v>
      </c>
      <c r="J128" s="141" t="s">
        <v>55</v>
      </c>
      <c r="K128" s="141" t="s">
        <v>19</v>
      </c>
    </row>
    <row r="129" spans="1:11" ht="12.75" customHeight="1" x14ac:dyDescent="0.3">
      <c r="A129" s="141">
        <v>128</v>
      </c>
      <c r="B129" s="141" t="s">
        <v>711</v>
      </c>
      <c r="C129" s="141" t="s">
        <v>712</v>
      </c>
      <c r="D129" s="141" t="s">
        <v>19</v>
      </c>
      <c r="E129" s="141" t="s">
        <v>48</v>
      </c>
      <c r="F129" s="141" t="s">
        <v>31</v>
      </c>
      <c r="G129" s="141" t="s">
        <v>68</v>
      </c>
      <c r="H129" s="141" t="s">
        <v>25</v>
      </c>
      <c r="I129" s="141" t="s">
        <v>62</v>
      </c>
      <c r="J129" s="141" t="s">
        <v>55</v>
      </c>
      <c r="K129" s="141" t="s">
        <v>20</v>
      </c>
    </row>
    <row r="130" spans="1:11" ht="12.75" customHeight="1" x14ac:dyDescent="0.3">
      <c r="A130" s="141">
        <v>129</v>
      </c>
      <c r="B130" s="141" t="s">
        <v>713</v>
      </c>
      <c r="C130" s="141" t="s">
        <v>714</v>
      </c>
      <c r="D130" s="141" t="s">
        <v>19</v>
      </c>
      <c r="E130" s="141" t="s">
        <v>48</v>
      </c>
      <c r="F130" s="141" t="s">
        <v>31</v>
      </c>
      <c r="G130" s="141" t="s">
        <v>80</v>
      </c>
      <c r="H130" s="141" t="s">
        <v>25</v>
      </c>
      <c r="I130" s="141" t="s">
        <v>62</v>
      </c>
      <c r="J130" s="141" t="s">
        <v>55</v>
      </c>
      <c r="K130" s="141" t="s">
        <v>68</v>
      </c>
    </row>
    <row r="131" spans="1:11" ht="12.75" customHeight="1" x14ac:dyDescent="0.3">
      <c r="A131" s="141">
        <v>130</v>
      </c>
      <c r="B131" s="141" t="s">
        <v>715</v>
      </c>
      <c r="C131" s="141" t="s">
        <v>716</v>
      </c>
      <c r="D131" s="141" t="s">
        <v>31</v>
      </c>
      <c r="E131" s="141" t="s">
        <v>48</v>
      </c>
      <c r="F131" s="141" t="s">
        <v>62</v>
      </c>
      <c r="G131" s="141" t="s">
        <v>68</v>
      </c>
      <c r="H131" s="141" t="s">
        <v>25</v>
      </c>
      <c r="I131" s="141" t="s">
        <v>74</v>
      </c>
      <c r="J131" s="141" t="s">
        <v>55</v>
      </c>
      <c r="K131" s="141" t="s">
        <v>19</v>
      </c>
    </row>
    <row r="132" spans="1:11" ht="12.75" customHeight="1" x14ac:dyDescent="0.3">
      <c r="A132" s="141">
        <v>131</v>
      </c>
      <c r="B132" s="141" t="s">
        <v>717</v>
      </c>
      <c r="C132" s="141" t="s">
        <v>718</v>
      </c>
      <c r="D132" s="141" t="s">
        <v>31</v>
      </c>
      <c r="E132" s="141" t="s">
        <v>19</v>
      </c>
      <c r="F132" s="141" t="s">
        <v>42</v>
      </c>
      <c r="G132" s="141" t="s">
        <v>80</v>
      </c>
      <c r="H132" s="141" t="s">
        <v>25</v>
      </c>
      <c r="I132" s="141" t="s">
        <v>68</v>
      </c>
      <c r="J132" s="141" t="s">
        <v>74</v>
      </c>
      <c r="K132" s="141" t="s">
        <v>20</v>
      </c>
    </row>
    <row r="133" spans="1:11" ht="12.75" customHeight="1" x14ac:dyDescent="0.3">
      <c r="A133" s="141">
        <v>132</v>
      </c>
      <c r="B133" s="141" t="s">
        <v>719</v>
      </c>
      <c r="C133" s="141" t="s">
        <v>720</v>
      </c>
      <c r="D133" s="141" t="s">
        <v>31</v>
      </c>
      <c r="E133" s="141" t="s">
        <v>19</v>
      </c>
      <c r="F133" s="141" t="s">
        <v>42</v>
      </c>
      <c r="G133" s="141" t="s">
        <v>80</v>
      </c>
      <c r="H133" s="141" t="s">
        <v>25</v>
      </c>
      <c r="I133" s="141" t="s">
        <v>62</v>
      </c>
      <c r="J133" s="141" t="s">
        <v>74</v>
      </c>
      <c r="K133" s="141" t="s">
        <v>20</v>
      </c>
    </row>
    <row r="134" spans="1:11" ht="12.75" customHeight="1" x14ac:dyDescent="0.3">
      <c r="A134" s="141">
        <v>133</v>
      </c>
      <c r="B134" s="141" t="s">
        <v>721</v>
      </c>
      <c r="C134" s="141" t="s">
        <v>722</v>
      </c>
      <c r="D134" s="141" t="s">
        <v>31</v>
      </c>
      <c r="E134" s="141" t="s">
        <v>19</v>
      </c>
      <c r="F134" s="141" t="s">
        <v>42</v>
      </c>
      <c r="G134" s="141" t="s">
        <v>80</v>
      </c>
      <c r="H134" s="141" t="s">
        <v>25</v>
      </c>
      <c r="I134" s="141" t="s">
        <v>62</v>
      </c>
      <c r="J134" s="141" t="s">
        <v>68</v>
      </c>
      <c r="K134" s="141" t="s">
        <v>20</v>
      </c>
    </row>
    <row r="135" spans="1:11" ht="12.75" customHeight="1" x14ac:dyDescent="0.3">
      <c r="A135" s="141">
        <v>134</v>
      </c>
      <c r="B135" s="141" t="s">
        <v>723</v>
      </c>
      <c r="C135" s="141" t="s">
        <v>724</v>
      </c>
      <c r="D135" s="141" t="s">
        <v>31</v>
      </c>
      <c r="E135" s="141" t="s">
        <v>19</v>
      </c>
      <c r="F135" s="141" t="s">
        <v>42</v>
      </c>
      <c r="G135" s="141" t="s">
        <v>68</v>
      </c>
      <c r="H135" s="141" t="s">
        <v>25</v>
      </c>
      <c r="I135" s="141" t="s">
        <v>62</v>
      </c>
      <c r="J135" s="141" t="s">
        <v>74</v>
      </c>
      <c r="K135" s="141" t="s">
        <v>20</v>
      </c>
    </row>
    <row r="136" spans="1:11" ht="12.75" customHeight="1" x14ac:dyDescent="0.3">
      <c r="A136" s="141">
        <v>135</v>
      </c>
      <c r="B136" s="141" t="s">
        <v>725</v>
      </c>
      <c r="C136" s="141" t="s">
        <v>726</v>
      </c>
      <c r="D136" s="141" t="s">
        <v>31</v>
      </c>
      <c r="E136" s="141" t="s">
        <v>19</v>
      </c>
      <c r="F136" s="141" t="s">
        <v>42</v>
      </c>
      <c r="G136" s="141" t="s">
        <v>80</v>
      </c>
      <c r="H136" s="141" t="s">
        <v>25</v>
      </c>
      <c r="I136" s="141" t="s">
        <v>62</v>
      </c>
      <c r="J136" s="141" t="s">
        <v>74</v>
      </c>
      <c r="K136" s="141" t="s">
        <v>68</v>
      </c>
    </row>
    <row r="137" spans="1:11" ht="12.75" customHeight="1" x14ac:dyDescent="0.3">
      <c r="A137" s="141">
        <v>136</v>
      </c>
      <c r="B137" s="141" t="s">
        <v>727</v>
      </c>
      <c r="C137" s="141" t="s">
        <v>728</v>
      </c>
      <c r="D137" s="141" t="s">
        <v>31</v>
      </c>
      <c r="E137" s="141" t="s">
        <v>19</v>
      </c>
      <c r="F137" s="141" t="s">
        <v>42</v>
      </c>
      <c r="G137" s="141" t="s">
        <v>80</v>
      </c>
      <c r="H137" s="141" t="s">
        <v>25</v>
      </c>
      <c r="I137" s="141" t="s">
        <v>74</v>
      </c>
      <c r="J137" s="141" t="s">
        <v>55</v>
      </c>
      <c r="K137" s="141" t="s">
        <v>20</v>
      </c>
    </row>
    <row r="138" spans="1:11" ht="12.75" customHeight="1" x14ac:dyDescent="0.3">
      <c r="A138" s="141">
        <v>137</v>
      </c>
      <c r="B138" s="141" t="s">
        <v>729</v>
      </c>
      <c r="C138" s="141" t="s">
        <v>730</v>
      </c>
      <c r="D138" s="141" t="s">
        <v>31</v>
      </c>
      <c r="E138" s="141" t="s">
        <v>19</v>
      </c>
      <c r="F138" s="141" t="s">
        <v>42</v>
      </c>
      <c r="G138" s="141" t="s">
        <v>80</v>
      </c>
      <c r="H138" s="141" t="s">
        <v>25</v>
      </c>
      <c r="I138" s="141" t="s">
        <v>68</v>
      </c>
      <c r="J138" s="141" t="s">
        <v>55</v>
      </c>
      <c r="K138" s="141" t="s">
        <v>20</v>
      </c>
    </row>
    <row r="139" spans="1:11" ht="12.75" customHeight="1" x14ac:dyDescent="0.3">
      <c r="A139" s="141">
        <v>138</v>
      </c>
      <c r="B139" s="141" t="s">
        <v>731</v>
      </c>
      <c r="C139" s="141" t="s">
        <v>732</v>
      </c>
      <c r="D139" s="141" t="s">
        <v>31</v>
      </c>
      <c r="E139" s="141" t="s">
        <v>19</v>
      </c>
      <c r="F139" s="141" t="s">
        <v>42</v>
      </c>
      <c r="G139" s="141" t="s">
        <v>68</v>
      </c>
      <c r="H139" s="141" t="s">
        <v>25</v>
      </c>
      <c r="I139" s="141" t="s">
        <v>74</v>
      </c>
      <c r="J139" s="141" t="s">
        <v>55</v>
      </c>
      <c r="K139" s="141" t="s">
        <v>20</v>
      </c>
    </row>
    <row r="140" spans="1:11" ht="12.75" customHeight="1" x14ac:dyDescent="0.3">
      <c r="A140" s="141">
        <v>139</v>
      </c>
      <c r="B140" s="141" t="s">
        <v>733</v>
      </c>
      <c r="C140" s="141" t="s">
        <v>734</v>
      </c>
      <c r="D140" s="141" t="s">
        <v>31</v>
      </c>
      <c r="E140" s="141" t="s">
        <v>19</v>
      </c>
      <c r="F140" s="141" t="s">
        <v>42</v>
      </c>
      <c r="G140" s="141" t="s">
        <v>80</v>
      </c>
      <c r="H140" s="141" t="s">
        <v>25</v>
      </c>
      <c r="I140" s="141" t="s">
        <v>74</v>
      </c>
      <c r="J140" s="141" t="s">
        <v>55</v>
      </c>
      <c r="K140" s="141" t="s">
        <v>68</v>
      </c>
    </row>
    <row r="141" spans="1:11" ht="12.75" customHeight="1" x14ac:dyDescent="0.3">
      <c r="A141" s="141">
        <v>140</v>
      </c>
      <c r="B141" s="141" t="s">
        <v>735</v>
      </c>
      <c r="C141" s="141" t="s">
        <v>736</v>
      </c>
      <c r="D141" s="141" t="s">
        <v>31</v>
      </c>
      <c r="E141" s="141" t="s">
        <v>19</v>
      </c>
      <c r="F141" s="141" t="s">
        <v>42</v>
      </c>
      <c r="G141" s="141" t="s">
        <v>80</v>
      </c>
      <c r="H141" s="141" t="s">
        <v>25</v>
      </c>
      <c r="I141" s="141" t="s">
        <v>62</v>
      </c>
      <c r="J141" s="141" t="s">
        <v>55</v>
      </c>
      <c r="K141" s="141" t="s">
        <v>20</v>
      </c>
    </row>
    <row r="142" spans="1:11" ht="12.75" customHeight="1" x14ac:dyDescent="0.3">
      <c r="A142" s="141">
        <v>141</v>
      </c>
      <c r="B142" s="141" t="s">
        <v>737</v>
      </c>
      <c r="C142" s="141" t="s">
        <v>738</v>
      </c>
      <c r="D142" s="141" t="s">
        <v>31</v>
      </c>
      <c r="E142" s="141" t="s">
        <v>19</v>
      </c>
      <c r="F142" s="141" t="s">
        <v>62</v>
      </c>
      <c r="G142" s="141" t="s">
        <v>42</v>
      </c>
      <c r="H142" s="141" t="s">
        <v>25</v>
      </c>
      <c r="I142" s="141" t="s">
        <v>74</v>
      </c>
      <c r="J142" s="141" t="s">
        <v>55</v>
      </c>
      <c r="K142" s="141" t="s">
        <v>20</v>
      </c>
    </row>
    <row r="143" spans="1:11" ht="12.75" customHeight="1" x14ac:dyDescent="0.3">
      <c r="A143" s="141">
        <v>142</v>
      </c>
      <c r="B143" s="141" t="s">
        <v>739</v>
      </c>
      <c r="C143" s="141" t="s">
        <v>740</v>
      </c>
      <c r="D143" s="141" t="s">
        <v>31</v>
      </c>
      <c r="E143" s="141" t="s">
        <v>19</v>
      </c>
      <c r="F143" s="141" t="s">
        <v>62</v>
      </c>
      <c r="G143" s="141" t="s">
        <v>80</v>
      </c>
      <c r="H143" s="141" t="s">
        <v>25</v>
      </c>
      <c r="I143" s="141" t="s">
        <v>74</v>
      </c>
      <c r="J143" s="141" t="s">
        <v>55</v>
      </c>
      <c r="K143" s="141" t="s">
        <v>42</v>
      </c>
    </row>
    <row r="144" spans="1:11" ht="12.75" customHeight="1" x14ac:dyDescent="0.3">
      <c r="A144" s="141">
        <v>143</v>
      </c>
      <c r="B144" s="141" t="s">
        <v>741</v>
      </c>
      <c r="C144" s="141" t="s">
        <v>742</v>
      </c>
      <c r="D144" s="141" t="s">
        <v>31</v>
      </c>
      <c r="E144" s="141" t="s">
        <v>19</v>
      </c>
      <c r="F144" s="141" t="s">
        <v>42</v>
      </c>
      <c r="G144" s="141" t="s">
        <v>68</v>
      </c>
      <c r="H144" s="141" t="s">
        <v>25</v>
      </c>
      <c r="I144" s="141" t="s">
        <v>62</v>
      </c>
      <c r="J144" s="141" t="s">
        <v>55</v>
      </c>
      <c r="K144" s="141" t="s">
        <v>20</v>
      </c>
    </row>
    <row r="145" spans="1:11" ht="12.75" customHeight="1" x14ac:dyDescent="0.3">
      <c r="A145" s="141">
        <v>144</v>
      </c>
      <c r="B145" s="141" t="s">
        <v>743</v>
      </c>
      <c r="C145" s="141" t="s">
        <v>744</v>
      </c>
      <c r="D145" s="141" t="s">
        <v>31</v>
      </c>
      <c r="E145" s="141" t="s">
        <v>19</v>
      </c>
      <c r="F145" s="141" t="s">
        <v>42</v>
      </c>
      <c r="G145" s="141" t="s">
        <v>80</v>
      </c>
      <c r="H145" s="141" t="s">
        <v>25</v>
      </c>
      <c r="I145" s="141" t="s">
        <v>62</v>
      </c>
      <c r="J145" s="141" t="s">
        <v>55</v>
      </c>
      <c r="K145" s="141" t="s">
        <v>68</v>
      </c>
    </row>
    <row r="146" spans="1:11" ht="12.75" customHeight="1" x14ac:dyDescent="0.3">
      <c r="A146" s="141">
        <v>145</v>
      </c>
      <c r="B146" s="141" t="s">
        <v>745</v>
      </c>
      <c r="C146" s="141" t="s">
        <v>746</v>
      </c>
      <c r="D146" s="141" t="s">
        <v>31</v>
      </c>
      <c r="E146" s="141" t="s">
        <v>19</v>
      </c>
      <c r="F146" s="141" t="s">
        <v>62</v>
      </c>
      <c r="G146" s="141" t="s">
        <v>68</v>
      </c>
      <c r="H146" s="141" t="s">
        <v>25</v>
      </c>
      <c r="I146" s="141" t="s">
        <v>74</v>
      </c>
      <c r="J146" s="141" t="s">
        <v>55</v>
      </c>
      <c r="K146" s="141" t="s">
        <v>42</v>
      </c>
    </row>
    <row r="147" spans="1:11" ht="12.75" customHeight="1" x14ac:dyDescent="0.3">
      <c r="A147" s="141">
        <v>146</v>
      </c>
      <c r="B147" s="141" t="s">
        <v>747</v>
      </c>
      <c r="C147" s="141" t="s">
        <v>748</v>
      </c>
      <c r="D147" s="141" t="s">
        <v>19</v>
      </c>
      <c r="E147" s="141" t="s">
        <v>48</v>
      </c>
      <c r="F147" s="141" t="s">
        <v>31</v>
      </c>
      <c r="G147" s="141" t="s">
        <v>80</v>
      </c>
      <c r="H147" s="141" t="s">
        <v>25</v>
      </c>
      <c r="I147" s="141" t="s">
        <v>42</v>
      </c>
      <c r="J147" s="141" t="s">
        <v>74</v>
      </c>
      <c r="K147" s="141" t="s">
        <v>20</v>
      </c>
    </row>
    <row r="148" spans="1:11" ht="12.75" customHeight="1" x14ac:dyDescent="0.3">
      <c r="A148" s="141">
        <v>147</v>
      </c>
      <c r="B148" s="141" t="s">
        <v>749</v>
      </c>
      <c r="C148" s="141" t="s">
        <v>750</v>
      </c>
      <c r="D148" s="141" t="s">
        <v>19</v>
      </c>
      <c r="E148" s="141" t="s">
        <v>48</v>
      </c>
      <c r="F148" s="141" t="s">
        <v>31</v>
      </c>
      <c r="G148" s="141" t="s">
        <v>80</v>
      </c>
      <c r="H148" s="141" t="s">
        <v>25</v>
      </c>
      <c r="I148" s="141" t="s">
        <v>68</v>
      </c>
      <c r="J148" s="141" t="s">
        <v>42</v>
      </c>
      <c r="K148" s="141" t="s">
        <v>20</v>
      </c>
    </row>
    <row r="149" spans="1:11" ht="12.75" customHeight="1" x14ac:dyDescent="0.3">
      <c r="A149" s="141">
        <v>148</v>
      </c>
      <c r="B149" s="141" t="s">
        <v>751</v>
      </c>
      <c r="C149" s="141" t="s">
        <v>752</v>
      </c>
      <c r="D149" s="141" t="s">
        <v>19</v>
      </c>
      <c r="E149" s="141" t="s">
        <v>48</v>
      </c>
      <c r="F149" s="141" t="s">
        <v>31</v>
      </c>
      <c r="G149" s="141" t="s">
        <v>68</v>
      </c>
      <c r="H149" s="141" t="s">
        <v>25</v>
      </c>
      <c r="I149" s="141" t="s">
        <v>42</v>
      </c>
      <c r="J149" s="141" t="s">
        <v>74</v>
      </c>
      <c r="K149" s="141" t="s">
        <v>20</v>
      </c>
    </row>
    <row r="150" spans="1:11" ht="12.75" customHeight="1" x14ac:dyDescent="0.3">
      <c r="A150" s="141">
        <v>149</v>
      </c>
      <c r="B150" s="141" t="s">
        <v>753</v>
      </c>
      <c r="C150" s="141" t="s">
        <v>754</v>
      </c>
      <c r="D150" s="141" t="s">
        <v>19</v>
      </c>
      <c r="E150" s="141" t="s">
        <v>48</v>
      </c>
      <c r="F150" s="141" t="s">
        <v>31</v>
      </c>
      <c r="G150" s="141" t="s">
        <v>80</v>
      </c>
      <c r="H150" s="141" t="s">
        <v>25</v>
      </c>
      <c r="I150" s="141" t="s">
        <v>42</v>
      </c>
      <c r="J150" s="141" t="s">
        <v>74</v>
      </c>
      <c r="K150" s="141" t="s">
        <v>68</v>
      </c>
    </row>
    <row r="151" spans="1:11" ht="12.75" customHeight="1" x14ac:dyDescent="0.3">
      <c r="A151" s="141">
        <v>150</v>
      </c>
      <c r="B151" s="141" t="s">
        <v>755</v>
      </c>
      <c r="C151" s="141" t="s">
        <v>756</v>
      </c>
      <c r="D151" s="141" t="s">
        <v>19</v>
      </c>
      <c r="E151" s="141" t="s">
        <v>48</v>
      </c>
      <c r="F151" s="141" t="s">
        <v>31</v>
      </c>
      <c r="G151" s="141" t="s">
        <v>80</v>
      </c>
      <c r="H151" s="141" t="s">
        <v>25</v>
      </c>
      <c r="I151" s="141" t="s">
        <v>62</v>
      </c>
      <c r="J151" s="141" t="s">
        <v>42</v>
      </c>
      <c r="K151" s="141" t="s">
        <v>20</v>
      </c>
    </row>
    <row r="152" spans="1:11" ht="12.75" customHeight="1" x14ac:dyDescent="0.3">
      <c r="A152" s="141">
        <v>151</v>
      </c>
      <c r="B152" s="141" t="s">
        <v>757</v>
      </c>
      <c r="C152" s="141" t="s">
        <v>758</v>
      </c>
      <c r="D152" s="141" t="s">
        <v>19</v>
      </c>
      <c r="E152" s="141" t="s">
        <v>48</v>
      </c>
      <c r="F152" s="141" t="s">
        <v>31</v>
      </c>
      <c r="G152" s="141" t="s">
        <v>42</v>
      </c>
      <c r="H152" s="141" t="s">
        <v>25</v>
      </c>
      <c r="I152" s="141" t="s">
        <v>62</v>
      </c>
      <c r="J152" s="141" t="s">
        <v>74</v>
      </c>
      <c r="K152" s="141" t="s">
        <v>20</v>
      </c>
    </row>
    <row r="153" spans="1:11" ht="12.75" customHeight="1" x14ac:dyDescent="0.3">
      <c r="A153" s="141">
        <v>152</v>
      </c>
      <c r="B153" s="141" t="s">
        <v>759</v>
      </c>
      <c r="C153" s="141" t="s">
        <v>760</v>
      </c>
      <c r="D153" s="141" t="s">
        <v>19</v>
      </c>
      <c r="E153" s="141" t="s">
        <v>48</v>
      </c>
      <c r="F153" s="141" t="s">
        <v>31</v>
      </c>
      <c r="G153" s="141" t="s">
        <v>80</v>
      </c>
      <c r="H153" s="141" t="s">
        <v>25</v>
      </c>
      <c r="I153" s="141" t="s">
        <v>62</v>
      </c>
      <c r="J153" s="141" t="s">
        <v>74</v>
      </c>
      <c r="K153" s="141" t="s">
        <v>42</v>
      </c>
    </row>
    <row r="154" spans="1:11" ht="12.75" customHeight="1" x14ac:dyDescent="0.3">
      <c r="A154" s="141">
        <v>153</v>
      </c>
      <c r="B154" s="141" t="s">
        <v>761</v>
      </c>
      <c r="C154" s="141" t="s">
        <v>762</v>
      </c>
      <c r="D154" s="141" t="s">
        <v>19</v>
      </c>
      <c r="E154" s="141" t="s">
        <v>48</v>
      </c>
      <c r="F154" s="141" t="s">
        <v>31</v>
      </c>
      <c r="G154" s="141" t="s">
        <v>68</v>
      </c>
      <c r="H154" s="141" t="s">
        <v>25</v>
      </c>
      <c r="I154" s="141" t="s">
        <v>62</v>
      </c>
      <c r="J154" s="141" t="s">
        <v>42</v>
      </c>
      <c r="K154" s="141" t="s">
        <v>20</v>
      </c>
    </row>
    <row r="155" spans="1:11" ht="12.75" customHeight="1" x14ac:dyDescent="0.3">
      <c r="A155" s="141">
        <v>154</v>
      </c>
      <c r="B155" s="141" t="s">
        <v>763</v>
      </c>
      <c r="C155" s="141" t="s">
        <v>764</v>
      </c>
      <c r="D155" s="141" t="s">
        <v>19</v>
      </c>
      <c r="E155" s="141" t="s">
        <v>48</v>
      </c>
      <c r="F155" s="141" t="s">
        <v>31</v>
      </c>
      <c r="G155" s="141" t="s">
        <v>80</v>
      </c>
      <c r="H155" s="141" t="s">
        <v>25</v>
      </c>
      <c r="I155" s="141" t="s">
        <v>62</v>
      </c>
      <c r="J155" s="141" t="s">
        <v>42</v>
      </c>
      <c r="K155" s="141" t="s">
        <v>68</v>
      </c>
    </row>
    <row r="156" spans="1:11" ht="12.75" customHeight="1" x14ac:dyDescent="0.3">
      <c r="A156" s="141">
        <v>155</v>
      </c>
      <c r="B156" s="141" t="s">
        <v>765</v>
      </c>
      <c r="C156" s="141" t="s">
        <v>766</v>
      </c>
      <c r="D156" s="141" t="s">
        <v>19</v>
      </c>
      <c r="E156" s="141" t="s">
        <v>48</v>
      </c>
      <c r="F156" s="141" t="s">
        <v>31</v>
      </c>
      <c r="G156" s="141" t="s">
        <v>68</v>
      </c>
      <c r="H156" s="141" t="s">
        <v>25</v>
      </c>
      <c r="I156" s="141" t="s">
        <v>62</v>
      </c>
      <c r="J156" s="141" t="s">
        <v>74</v>
      </c>
      <c r="K156" s="141" t="s">
        <v>42</v>
      </c>
    </row>
    <row r="157" spans="1:11" ht="12.75" customHeight="1" x14ac:dyDescent="0.3">
      <c r="A157" s="141">
        <v>156</v>
      </c>
      <c r="B157" s="141" t="s">
        <v>767</v>
      </c>
      <c r="C157" s="141" t="s">
        <v>768</v>
      </c>
      <c r="D157" s="141" t="s">
        <v>19</v>
      </c>
      <c r="E157" s="141" t="s">
        <v>48</v>
      </c>
      <c r="F157" s="141" t="s">
        <v>31</v>
      </c>
      <c r="G157" s="141" t="s">
        <v>80</v>
      </c>
      <c r="H157" s="141" t="s">
        <v>25</v>
      </c>
      <c r="I157" s="141" t="s">
        <v>42</v>
      </c>
      <c r="J157" s="141" t="s">
        <v>55</v>
      </c>
      <c r="K157" s="141" t="s">
        <v>20</v>
      </c>
    </row>
    <row r="158" spans="1:11" ht="12.75" customHeight="1" x14ac:dyDescent="0.3">
      <c r="A158" s="141">
        <v>157</v>
      </c>
      <c r="B158" s="141" t="s">
        <v>769</v>
      </c>
      <c r="C158" s="141" t="s">
        <v>770</v>
      </c>
      <c r="D158" s="141" t="s">
        <v>19</v>
      </c>
      <c r="E158" s="141" t="s">
        <v>48</v>
      </c>
      <c r="F158" s="141" t="s">
        <v>31</v>
      </c>
      <c r="G158" s="141" t="s">
        <v>42</v>
      </c>
      <c r="H158" s="141" t="s">
        <v>25</v>
      </c>
      <c r="I158" s="141" t="s">
        <v>74</v>
      </c>
      <c r="J158" s="141" t="s">
        <v>55</v>
      </c>
      <c r="K158" s="141" t="s">
        <v>20</v>
      </c>
    </row>
    <row r="159" spans="1:11" ht="12.75" customHeight="1" x14ac:dyDescent="0.3">
      <c r="A159" s="141">
        <v>158</v>
      </c>
      <c r="B159" s="141" t="s">
        <v>771</v>
      </c>
      <c r="C159" s="141" t="s">
        <v>772</v>
      </c>
      <c r="D159" s="141" t="s">
        <v>19</v>
      </c>
      <c r="E159" s="141" t="s">
        <v>48</v>
      </c>
      <c r="F159" s="141" t="s">
        <v>31</v>
      </c>
      <c r="G159" s="141" t="s">
        <v>80</v>
      </c>
      <c r="H159" s="141" t="s">
        <v>25</v>
      </c>
      <c r="I159" s="141" t="s">
        <v>74</v>
      </c>
      <c r="J159" s="141" t="s">
        <v>55</v>
      </c>
      <c r="K159" s="141" t="s">
        <v>42</v>
      </c>
    </row>
    <row r="160" spans="1:11" ht="12.75" customHeight="1" x14ac:dyDescent="0.3">
      <c r="A160" s="141">
        <v>159</v>
      </c>
      <c r="B160" s="141" t="s">
        <v>773</v>
      </c>
      <c r="C160" s="141" t="s">
        <v>774</v>
      </c>
      <c r="D160" s="141" t="s">
        <v>19</v>
      </c>
      <c r="E160" s="141" t="s">
        <v>48</v>
      </c>
      <c r="F160" s="141" t="s">
        <v>31</v>
      </c>
      <c r="G160" s="141" t="s">
        <v>68</v>
      </c>
      <c r="H160" s="141" t="s">
        <v>25</v>
      </c>
      <c r="I160" s="141" t="s">
        <v>42</v>
      </c>
      <c r="J160" s="141" t="s">
        <v>55</v>
      </c>
      <c r="K160" s="141" t="s">
        <v>20</v>
      </c>
    </row>
    <row r="161" spans="1:11" ht="12.75" customHeight="1" x14ac:dyDescent="0.3">
      <c r="A161" s="141">
        <v>160</v>
      </c>
      <c r="B161" s="141" t="s">
        <v>775</v>
      </c>
      <c r="C161" s="141" t="s">
        <v>776</v>
      </c>
      <c r="D161" s="141" t="s">
        <v>19</v>
      </c>
      <c r="E161" s="141" t="s">
        <v>48</v>
      </c>
      <c r="F161" s="141" t="s">
        <v>31</v>
      </c>
      <c r="G161" s="141" t="s">
        <v>80</v>
      </c>
      <c r="H161" s="141" t="s">
        <v>25</v>
      </c>
      <c r="I161" s="141" t="s">
        <v>42</v>
      </c>
      <c r="J161" s="141" t="s">
        <v>55</v>
      </c>
      <c r="K161" s="141" t="s">
        <v>68</v>
      </c>
    </row>
    <row r="162" spans="1:11" ht="12.75" customHeight="1" x14ac:dyDescent="0.3">
      <c r="A162" s="141">
        <v>161</v>
      </c>
      <c r="B162" s="141" t="s">
        <v>777</v>
      </c>
      <c r="C162" s="141" t="s">
        <v>778</v>
      </c>
      <c r="D162" s="141" t="s">
        <v>19</v>
      </c>
      <c r="E162" s="141" t="s">
        <v>48</v>
      </c>
      <c r="F162" s="141" t="s">
        <v>31</v>
      </c>
      <c r="G162" s="141" t="s">
        <v>68</v>
      </c>
      <c r="H162" s="141" t="s">
        <v>25</v>
      </c>
      <c r="I162" s="141" t="s">
        <v>74</v>
      </c>
      <c r="J162" s="141" t="s">
        <v>55</v>
      </c>
      <c r="K162" s="141" t="s">
        <v>42</v>
      </c>
    </row>
    <row r="163" spans="1:11" ht="12.75" customHeight="1" x14ac:dyDescent="0.3">
      <c r="A163" s="141">
        <v>162</v>
      </c>
      <c r="B163" s="141" t="s">
        <v>779</v>
      </c>
      <c r="C163" s="141" t="s">
        <v>780</v>
      </c>
      <c r="D163" s="141" t="s">
        <v>19</v>
      </c>
      <c r="E163" s="141" t="s">
        <v>48</v>
      </c>
      <c r="F163" s="141" t="s">
        <v>31</v>
      </c>
      <c r="G163" s="141" t="s">
        <v>42</v>
      </c>
      <c r="H163" s="141" t="s">
        <v>25</v>
      </c>
      <c r="I163" s="141" t="s">
        <v>62</v>
      </c>
      <c r="J163" s="141" t="s">
        <v>55</v>
      </c>
      <c r="K163" s="141" t="s">
        <v>20</v>
      </c>
    </row>
    <row r="164" spans="1:11" ht="12.75" customHeight="1" x14ac:dyDescent="0.3">
      <c r="A164" s="141">
        <v>163</v>
      </c>
      <c r="B164" s="141" t="s">
        <v>781</v>
      </c>
      <c r="C164" s="141" t="s">
        <v>782</v>
      </c>
      <c r="D164" s="141" t="s">
        <v>19</v>
      </c>
      <c r="E164" s="141" t="s">
        <v>48</v>
      </c>
      <c r="F164" s="141" t="s">
        <v>31</v>
      </c>
      <c r="G164" s="141" t="s">
        <v>80</v>
      </c>
      <c r="H164" s="141" t="s">
        <v>25</v>
      </c>
      <c r="I164" s="141" t="s">
        <v>62</v>
      </c>
      <c r="J164" s="141" t="s">
        <v>55</v>
      </c>
      <c r="K164" s="141" t="s">
        <v>42</v>
      </c>
    </row>
    <row r="165" spans="1:11" ht="12.75" customHeight="1" x14ac:dyDescent="0.3">
      <c r="A165" s="141">
        <v>164</v>
      </c>
      <c r="B165" s="141" t="s">
        <v>783</v>
      </c>
      <c r="C165" s="141" t="s">
        <v>784</v>
      </c>
      <c r="D165" s="141" t="s">
        <v>31</v>
      </c>
      <c r="E165" s="141" t="s">
        <v>48</v>
      </c>
      <c r="F165" s="141" t="s">
        <v>62</v>
      </c>
      <c r="G165" s="141" t="s">
        <v>42</v>
      </c>
      <c r="H165" s="141" t="s">
        <v>25</v>
      </c>
      <c r="I165" s="141" t="s">
        <v>74</v>
      </c>
      <c r="J165" s="141" t="s">
        <v>55</v>
      </c>
      <c r="K165" s="141" t="s">
        <v>19</v>
      </c>
    </row>
    <row r="166" spans="1:11" ht="12.75" customHeight="1" x14ac:dyDescent="0.3">
      <c r="A166" s="141">
        <v>165</v>
      </c>
      <c r="B166" s="141" t="s">
        <v>785</v>
      </c>
      <c r="C166" s="141" t="s">
        <v>786</v>
      </c>
      <c r="D166" s="141" t="s">
        <v>19</v>
      </c>
      <c r="E166" s="141" t="s">
        <v>48</v>
      </c>
      <c r="F166" s="141" t="s">
        <v>31</v>
      </c>
      <c r="G166" s="141" t="s">
        <v>68</v>
      </c>
      <c r="H166" s="141" t="s">
        <v>25</v>
      </c>
      <c r="I166" s="141" t="s">
        <v>62</v>
      </c>
      <c r="J166" s="141" t="s">
        <v>55</v>
      </c>
      <c r="K166" s="141" t="s">
        <v>42</v>
      </c>
    </row>
    <row r="167" spans="1:11" ht="12.75" customHeight="1" x14ac:dyDescent="0.3">
      <c r="A167" s="141">
        <v>166</v>
      </c>
      <c r="B167" s="141" t="s">
        <v>787</v>
      </c>
      <c r="C167" s="141" t="s">
        <v>788</v>
      </c>
      <c r="D167" s="141" t="s">
        <v>48</v>
      </c>
      <c r="E167" s="141" t="s">
        <v>55</v>
      </c>
      <c r="F167" s="141" t="s">
        <v>62</v>
      </c>
      <c r="G167" s="141" t="s">
        <v>80</v>
      </c>
      <c r="H167" s="141" t="s">
        <v>68</v>
      </c>
      <c r="I167" s="141" t="s">
        <v>13</v>
      </c>
      <c r="J167" s="141" t="s">
        <v>74</v>
      </c>
      <c r="K167" s="141" t="s">
        <v>20</v>
      </c>
    </row>
    <row r="168" spans="1:11" ht="12.75" customHeight="1" x14ac:dyDescent="0.3">
      <c r="A168" s="141">
        <v>167</v>
      </c>
      <c r="B168" s="141" t="s">
        <v>789</v>
      </c>
      <c r="C168" s="141" t="s">
        <v>790</v>
      </c>
      <c r="D168" s="141" t="s">
        <v>13</v>
      </c>
      <c r="E168" s="141" t="s">
        <v>55</v>
      </c>
      <c r="F168" s="141" t="s">
        <v>42</v>
      </c>
      <c r="G168" s="141" t="s">
        <v>80</v>
      </c>
      <c r="H168" s="141" t="s">
        <v>68</v>
      </c>
      <c r="I168" s="141" t="s">
        <v>62</v>
      </c>
      <c r="J168" s="141" t="s">
        <v>74</v>
      </c>
      <c r="K168" s="141" t="s">
        <v>20</v>
      </c>
    </row>
    <row r="169" spans="1:11" ht="12.75" customHeight="1" x14ac:dyDescent="0.3">
      <c r="A169" s="141">
        <v>168</v>
      </c>
      <c r="B169" s="141" t="s">
        <v>791</v>
      </c>
      <c r="C169" s="141" t="s">
        <v>792</v>
      </c>
      <c r="D169" s="141" t="s">
        <v>48</v>
      </c>
      <c r="E169" s="141" t="s">
        <v>62</v>
      </c>
      <c r="F169" s="141" t="s">
        <v>42</v>
      </c>
      <c r="G169" s="141" t="s">
        <v>80</v>
      </c>
      <c r="H169" s="141" t="s">
        <v>68</v>
      </c>
      <c r="I169" s="141" t="s">
        <v>13</v>
      </c>
      <c r="J169" s="141" t="s">
        <v>74</v>
      </c>
      <c r="K169" s="141" t="s">
        <v>20</v>
      </c>
    </row>
    <row r="170" spans="1:11" ht="12.75" customHeight="1" x14ac:dyDescent="0.3">
      <c r="A170" s="141">
        <v>169</v>
      </c>
      <c r="B170" s="141" t="s">
        <v>793</v>
      </c>
      <c r="C170" s="141" t="s">
        <v>794</v>
      </c>
      <c r="D170" s="141" t="s">
        <v>48</v>
      </c>
      <c r="E170" s="141" t="s">
        <v>55</v>
      </c>
      <c r="F170" s="141" t="s">
        <v>42</v>
      </c>
      <c r="G170" s="141" t="s">
        <v>80</v>
      </c>
      <c r="H170" s="141" t="s">
        <v>68</v>
      </c>
      <c r="I170" s="141" t="s">
        <v>13</v>
      </c>
      <c r="J170" s="141" t="s">
        <v>74</v>
      </c>
      <c r="K170" s="141" t="s">
        <v>20</v>
      </c>
    </row>
    <row r="171" spans="1:11" ht="12.75" customHeight="1" x14ac:dyDescent="0.3">
      <c r="A171" s="141">
        <v>170</v>
      </c>
      <c r="B171" s="141" t="s">
        <v>795</v>
      </c>
      <c r="C171" s="141" t="s">
        <v>796</v>
      </c>
      <c r="D171" s="141" t="s">
        <v>48</v>
      </c>
      <c r="E171" s="141" t="s">
        <v>62</v>
      </c>
      <c r="F171" s="141" t="s">
        <v>42</v>
      </c>
      <c r="G171" s="141" t="s">
        <v>80</v>
      </c>
      <c r="H171" s="141" t="s">
        <v>74</v>
      </c>
      <c r="I171" s="141" t="s">
        <v>13</v>
      </c>
      <c r="J171" s="141" t="s">
        <v>55</v>
      </c>
      <c r="K171" s="141" t="s">
        <v>20</v>
      </c>
    </row>
    <row r="172" spans="1:11" ht="12.75" customHeight="1" x14ac:dyDescent="0.3">
      <c r="A172" s="141">
        <v>171</v>
      </c>
      <c r="B172" s="141" t="s">
        <v>797</v>
      </c>
      <c r="C172" s="141" t="s">
        <v>798</v>
      </c>
      <c r="D172" s="141" t="s">
        <v>48</v>
      </c>
      <c r="E172" s="141" t="s">
        <v>62</v>
      </c>
      <c r="F172" s="141" t="s">
        <v>42</v>
      </c>
      <c r="G172" s="141" t="s">
        <v>80</v>
      </c>
      <c r="H172" s="141" t="s">
        <v>68</v>
      </c>
      <c r="I172" s="141" t="s">
        <v>13</v>
      </c>
      <c r="J172" s="141" t="s">
        <v>55</v>
      </c>
      <c r="K172" s="141" t="s">
        <v>20</v>
      </c>
    </row>
    <row r="173" spans="1:11" ht="12.75" customHeight="1" x14ac:dyDescent="0.3">
      <c r="A173" s="141">
        <v>172</v>
      </c>
      <c r="B173" s="141" t="s">
        <v>799</v>
      </c>
      <c r="C173" s="141" t="s">
        <v>800</v>
      </c>
      <c r="D173" s="141" t="s">
        <v>48</v>
      </c>
      <c r="E173" s="141" t="s">
        <v>62</v>
      </c>
      <c r="F173" s="141" t="s">
        <v>42</v>
      </c>
      <c r="G173" s="141" t="s">
        <v>68</v>
      </c>
      <c r="H173" s="141" t="s">
        <v>74</v>
      </c>
      <c r="I173" s="141" t="s">
        <v>13</v>
      </c>
      <c r="J173" s="141" t="s">
        <v>55</v>
      </c>
      <c r="K173" s="141" t="s">
        <v>20</v>
      </c>
    </row>
    <row r="174" spans="1:11" ht="12.75" customHeight="1" x14ac:dyDescent="0.3">
      <c r="A174" s="141">
        <v>173</v>
      </c>
      <c r="B174" s="141" t="s">
        <v>801</v>
      </c>
      <c r="C174" s="141" t="s">
        <v>802</v>
      </c>
      <c r="D174" s="141" t="s">
        <v>48</v>
      </c>
      <c r="E174" s="141" t="s">
        <v>62</v>
      </c>
      <c r="F174" s="141" t="s">
        <v>42</v>
      </c>
      <c r="G174" s="141" t="s">
        <v>80</v>
      </c>
      <c r="H174" s="141" t="s">
        <v>74</v>
      </c>
      <c r="I174" s="141" t="s">
        <v>13</v>
      </c>
      <c r="J174" s="141" t="s">
        <v>55</v>
      </c>
      <c r="K174" s="141" t="s">
        <v>68</v>
      </c>
    </row>
    <row r="175" spans="1:11" ht="12.75" customHeight="1" x14ac:dyDescent="0.3">
      <c r="A175" s="141">
        <v>174</v>
      </c>
      <c r="B175" s="141" t="s">
        <v>803</v>
      </c>
      <c r="C175" s="141" t="s">
        <v>804</v>
      </c>
      <c r="D175" s="141" t="s">
        <v>19</v>
      </c>
      <c r="E175" s="141" t="s">
        <v>55</v>
      </c>
      <c r="F175" s="141" t="s">
        <v>62</v>
      </c>
      <c r="G175" s="141" t="s">
        <v>80</v>
      </c>
      <c r="H175" s="141" t="s">
        <v>68</v>
      </c>
      <c r="I175" s="141" t="s">
        <v>13</v>
      </c>
      <c r="J175" s="141" t="s">
        <v>74</v>
      </c>
      <c r="K175" s="141" t="s">
        <v>20</v>
      </c>
    </row>
    <row r="176" spans="1:11" ht="12.75" customHeight="1" x14ac:dyDescent="0.3">
      <c r="A176" s="141">
        <v>175</v>
      </c>
      <c r="B176" s="141" t="s">
        <v>805</v>
      </c>
      <c r="C176" s="141" t="s">
        <v>806</v>
      </c>
      <c r="D176" s="141" t="s">
        <v>19</v>
      </c>
      <c r="E176" s="141" t="s">
        <v>48</v>
      </c>
      <c r="F176" s="141" t="s">
        <v>62</v>
      </c>
      <c r="G176" s="141" t="s">
        <v>80</v>
      </c>
      <c r="H176" s="141" t="s">
        <v>68</v>
      </c>
      <c r="I176" s="141" t="s">
        <v>13</v>
      </c>
      <c r="J176" s="141" t="s">
        <v>74</v>
      </c>
      <c r="K176" s="141" t="s">
        <v>20</v>
      </c>
    </row>
    <row r="177" spans="1:11" ht="12.75" customHeight="1" x14ac:dyDescent="0.3">
      <c r="A177" s="141">
        <v>176</v>
      </c>
      <c r="B177" s="141" t="s">
        <v>807</v>
      </c>
      <c r="C177" s="141" t="s">
        <v>808</v>
      </c>
      <c r="D177" s="141" t="s">
        <v>19</v>
      </c>
      <c r="E177" s="141" t="s">
        <v>48</v>
      </c>
      <c r="F177" s="141" t="s">
        <v>68</v>
      </c>
      <c r="G177" s="141" t="s">
        <v>80</v>
      </c>
      <c r="H177" s="141" t="s">
        <v>74</v>
      </c>
      <c r="I177" s="141" t="s">
        <v>13</v>
      </c>
      <c r="J177" s="141" t="s">
        <v>55</v>
      </c>
      <c r="K177" s="141" t="s">
        <v>20</v>
      </c>
    </row>
    <row r="178" spans="1:11" ht="12.75" customHeight="1" x14ac:dyDescent="0.3">
      <c r="A178" s="141">
        <v>177</v>
      </c>
      <c r="B178" s="141" t="s">
        <v>809</v>
      </c>
      <c r="C178" s="141" t="s">
        <v>810</v>
      </c>
      <c r="D178" s="141" t="s">
        <v>19</v>
      </c>
      <c r="E178" s="141" t="s">
        <v>48</v>
      </c>
      <c r="F178" s="141" t="s">
        <v>62</v>
      </c>
      <c r="G178" s="141" t="s">
        <v>80</v>
      </c>
      <c r="H178" s="141" t="s">
        <v>74</v>
      </c>
      <c r="I178" s="141" t="s">
        <v>13</v>
      </c>
      <c r="J178" s="141" t="s">
        <v>55</v>
      </c>
      <c r="K178" s="141" t="s">
        <v>20</v>
      </c>
    </row>
    <row r="179" spans="1:11" ht="12.75" customHeight="1" x14ac:dyDescent="0.3">
      <c r="A179" s="141">
        <v>178</v>
      </c>
      <c r="B179" s="141" t="s">
        <v>811</v>
      </c>
      <c r="C179" s="141" t="s">
        <v>812</v>
      </c>
      <c r="D179" s="141" t="s">
        <v>19</v>
      </c>
      <c r="E179" s="141" t="s">
        <v>48</v>
      </c>
      <c r="F179" s="141" t="s">
        <v>62</v>
      </c>
      <c r="G179" s="141" t="s">
        <v>80</v>
      </c>
      <c r="H179" s="141" t="s">
        <v>68</v>
      </c>
      <c r="I179" s="141" t="s">
        <v>13</v>
      </c>
      <c r="J179" s="141" t="s">
        <v>55</v>
      </c>
      <c r="K179" s="141" t="s">
        <v>20</v>
      </c>
    </row>
    <row r="180" spans="1:11" ht="12.75" customHeight="1" x14ac:dyDescent="0.3">
      <c r="A180" s="141">
        <v>179</v>
      </c>
      <c r="B180" s="141" t="s">
        <v>813</v>
      </c>
      <c r="C180" s="141" t="s">
        <v>814</v>
      </c>
      <c r="D180" s="141" t="s">
        <v>19</v>
      </c>
      <c r="E180" s="141" t="s">
        <v>48</v>
      </c>
      <c r="F180" s="141" t="s">
        <v>62</v>
      </c>
      <c r="G180" s="141" t="s">
        <v>68</v>
      </c>
      <c r="H180" s="141" t="s">
        <v>74</v>
      </c>
      <c r="I180" s="141" t="s">
        <v>13</v>
      </c>
      <c r="J180" s="141" t="s">
        <v>55</v>
      </c>
      <c r="K180" s="141" t="s">
        <v>20</v>
      </c>
    </row>
    <row r="181" spans="1:11" ht="12.75" customHeight="1" x14ac:dyDescent="0.3">
      <c r="A181" s="141">
        <v>180</v>
      </c>
      <c r="B181" s="141" t="s">
        <v>815</v>
      </c>
      <c r="C181" s="141" t="s">
        <v>816</v>
      </c>
      <c r="D181" s="141" t="s">
        <v>19</v>
      </c>
      <c r="E181" s="141" t="s">
        <v>48</v>
      </c>
      <c r="F181" s="141" t="s">
        <v>62</v>
      </c>
      <c r="G181" s="141" t="s">
        <v>80</v>
      </c>
      <c r="H181" s="141" t="s">
        <v>74</v>
      </c>
      <c r="I181" s="141" t="s">
        <v>13</v>
      </c>
      <c r="J181" s="141" t="s">
        <v>55</v>
      </c>
      <c r="K181" s="141" t="s">
        <v>68</v>
      </c>
    </row>
    <row r="182" spans="1:11" ht="12.75" customHeight="1" x14ac:dyDescent="0.3">
      <c r="A182" s="141">
        <v>181</v>
      </c>
      <c r="B182" s="141" t="s">
        <v>817</v>
      </c>
      <c r="C182" s="141" t="s">
        <v>818</v>
      </c>
      <c r="D182" s="141" t="s">
        <v>19</v>
      </c>
      <c r="E182" s="141" t="s">
        <v>62</v>
      </c>
      <c r="F182" s="141" t="s">
        <v>42</v>
      </c>
      <c r="G182" s="141" t="s">
        <v>80</v>
      </c>
      <c r="H182" s="141" t="s">
        <v>68</v>
      </c>
      <c r="I182" s="141" t="s">
        <v>13</v>
      </c>
      <c r="J182" s="141" t="s">
        <v>74</v>
      </c>
      <c r="K182" s="141" t="s">
        <v>20</v>
      </c>
    </row>
    <row r="183" spans="1:11" ht="12.75" customHeight="1" x14ac:dyDescent="0.3">
      <c r="A183" s="141">
        <v>182</v>
      </c>
      <c r="B183" s="141" t="s">
        <v>819</v>
      </c>
      <c r="C183" s="141" t="s">
        <v>820</v>
      </c>
      <c r="D183" s="141" t="s">
        <v>19</v>
      </c>
      <c r="E183" s="141" t="s">
        <v>55</v>
      </c>
      <c r="F183" s="141" t="s">
        <v>42</v>
      </c>
      <c r="G183" s="141" t="s">
        <v>80</v>
      </c>
      <c r="H183" s="141" t="s">
        <v>68</v>
      </c>
      <c r="I183" s="141" t="s">
        <v>13</v>
      </c>
      <c r="J183" s="141" t="s">
        <v>74</v>
      </c>
      <c r="K183" s="141" t="s">
        <v>20</v>
      </c>
    </row>
    <row r="184" spans="1:11" ht="12.75" customHeight="1" x14ac:dyDescent="0.3">
      <c r="A184" s="141">
        <v>183</v>
      </c>
      <c r="B184" s="141" t="s">
        <v>821</v>
      </c>
      <c r="C184" s="141" t="s">
        <v>822</v>
      </c>
      <c r="D184" s="141" t="s">
        <v>19</v>
      </c>
      <c r="E184" s="141" t="s">
        <v>62</v>
      </c>
      <c r="F184" s="141" t="s">
        <v>42</v>
      </c>
      <c r="G184" s="141" t="s">
        <v>80</v>
      </c>
      <c r="H184" s="141" t="s">
        <v>74</v>
      </c>
      <c r="I184" s="141" t="s">
        <v>13</v>
      </c>
      <c r="J184" s="141" t="s">
        <v>55</v>
      </c>
      <c r="K184" s="141" t="s">
        <v>20</v>
      </c>
    </row>
    <row r="185" spans="1:11" ht="12.75" customHeight="1" x14ac:dyDescent="0.3">
      <c r="A185" s="141">
        <v>184</v>
      </c>
      <c r="B185" s="141" t="s">
        <v>823</v>
      </c>
      <c r="C185" s="141" t="s">
        <v>824</v>
      </c>
      <c r="D185" s="141" t="s">
        <v>19</v>
      </c>
      <c r="E185" s="141" t="s">
        <v>62</v>
      </c>
      <c r="F185" s="141" t="s">
        <v>42</v>
      </c>
      <c r="G185" s="141" t="s">
        <v>80</v>
      </c>
      <c r="H185" s="141" t="s">
        <v>68</v>
      </c>
      <c r="I185" s="141" t="s">
        <v>13</v>
      </c>
      <c r="J185" s="141" t="s">
        <v>55</v>
      </c>
      <c r="K185" s="141" t="s">
        <v>20</v>
      </c>
    </row>
    <row r="186" spans="1:11" ht="12.75" customHeight="1" x14ac:dyDescent="0.3">
      <c r="A186" s="141">
        <v>185</v>
      </c>
      <c r="B186" s="141" t="s">
        <v>825</v>
      </c>
      <c r="C186" s="141" t="s">
        <v>826</v>
      </c>
      <c r="D186" s="141" t="s">
        <v>19</v>
      </c>
      <c r="E186" s="141" t="s">
        <v>62</v>
      </c>
      <c r="F186" s="141" t="s">
        <v>42</v>
      </c>
      <c r="G186" s="141" t="s">
        <v>68</v>
      </c>
      <c r="H186" s="141" t="s">
        <v>74</v>
      </c>
      <c r="I186" s="141" t="s">
        <v>13</v>
      </c>
      <c r="J186" s="141" t="s">
        <v>55</v>
      </c>
      <c r="K186" s="141" t="s">
        <v>20</v>
      </c>
    </row>
    <row r="187" spans="1:11" ht="12.75" customHeight="1" x14ac:dyDescent="0.3">
      <c r="A187" s="141">
        <v>186</v>
      </c>
      <c r="B187" s="141" t="s">
        <v>827</v>
      </c>
      <c r="C187" s="141" t="s">
        <v>828</v>
      </c>
      <c r="D187" s="141" t="s">
        <v>19</v>
      </c>
      <c r="E187" s="141" t="s">
        <v>62</v>
      </c>
      <c r="F187" s="141" t="s">
        <v>42</v>
      </c>
      <c r="G187" s="141" t="s">
        <v>80</v>
      </c>
      <c r="H187" s="141" t="s">
        <v>74</v>
      </c>
      <c r="I187" s="141" t="s">
        <v>13</v>
      </c>
      <c r="J187" s="141" t="s">
        <v>55</v>
      </c>
      <c r="K187" s="141" t="s">
        <v>68</v>
      </c>
    </row>
    <row r="188" spans="1:11" ht="12.75" customHeight="1" x14ac:dyDescent="0.3">
      <c r="A188" s="141">
        <v>187</v>
      </c>
      <c r="B188" s="141" t="s">
        <v>829</v>
      </c>
      <c r="C188" s="141" t="s">
        <v>830</v>
      </c>
      <c r="D188" s="141" t="s">
        <v>19</v>
      </c>
      <c r="E188" s="141" t="s">
        <v>48</v>
      </c>
      <c r="F188" s="141" t="s">
        <v>42</v>
      </c>
      <c r="G188" s="141" t="s">
        <v>80</v>
      </c>
      <c r="H188" s="141" t="s">
        <v>68</v>
      </c>
      <c r="I188" s="141" t="s">
        <v>13</v>
      </c>
      <c r="J188" s="141" t="s">
        <v>74</v>
      </c>
      <c r="K188" s="141" t="s">
        <v>20</v>
      </c>
    </row>
    <row r="189" spans="1:11" ht="12.75" customHeight="1" x14ac:dyDescent="0.3">
      <c r="A189" s="141">
        <v>188</v>
      </c>
      <c r="B189" s="141" t="s">
        <v>831</v>
      </c>
      <c r="C189" s="141" t="s">
        <v>832</v>
      </c>
      <c r="D189" s="141" t="s">
        <v>19</v>
      </c>
      <c r="E189" s="141" t="s">
        <v>48</v>
      </c>
      <c r="F189" s="141" t="s">
        <v>62</v>
      </c>
      <c r="G189" s="141" t="s">
        <v>80</v>
      </c>
      <c r="H189" s="141" t="s">
        <v>42</v>
      </c>
      <c r="I189" s="141" t="s">
        <v>13</v>
      </c>
      <c r="J189" s="141" t="s">
        <v>74</v>
      </c>
      <c r="K189" s="141" t="s">
        <v>20</v>
      </c>
    </row>
    <row r="190" spans="1:11" ht="12.75" customHeight="1" x14ac:dyDescent="0.3">
      <c r="A190" s="141">
        <v>189</v>
      </c>
      <c r="B190" s="141" t="s">
        <v>833</v>
      </c>
      <c r="C190" s="141" t="s">
        <v>834</v>
      </c>
      <c r="D190" s="141" t="s">
        <v>19</v>
      </c>
      <c r="E190" s="141" t="s">
        <v>48</v>
      </c>
      <c r="F190" s="141" t="s">
        <v>62</v>
      </c>
      <c r="G190" s="141" t="s">
        <v>80</v>
      </c>
      <c r="H190" s="141" t="s">
        <v>68</v>
      </c>
      <c r="I190" s="141" t="s">
        <v>13</v>
      </c>
      <c r="J190" s="141" t="s">
        <v>42</v>
      </c>
      <c r="K190" s="141" t="s">
        <v>20</v>
      </c>
    </row>
    <row r="191" spans="1:11" ht="12.75" customHeight="1" x14ac:dyDescent="0.3">
      <c r="A191" s="141">
        <v>190</v>
      </c>
      <c r="B191" s="141" t="s">
        <v>835</v>
      </c>
      <c r="C191" s="141" t="s">
        <v>836</v>
      </c>
      <c r="D191" s="141" t="s">
        <v>19</v>
      </c>
      <c r="E191" s="141" t="s">
        <v>48</v>
      </c>
      <c r="F191" s="141" t="s">
        <v>62</v>
      </c>
      <c r="G191" s="141" t="s">
        <v>68</v>
      </c>
      <c r="H191" s="141" t="s">
        <v>42</v>
      </c>
      <c r="I191" s="141" t="s">
        <v>13</v>
      </c>
      <c r="J191" s="141" t="s">
        <v>74</v>
      </c>
      <c r="K191" s="141" t="s">
        <v>20</v>
      </c>
    </row>
    <row r="192" spans="1:11" ht="12.75" customHeight="1" x14ac:dyDescent="0.3">
      <c r="A192" s="141">
        <v>191</v>
      </c>
      <c r="B192" s="141" t="s">
        <v>837</v>
      </c>
      <c r="C192" s="141" t="s">
        <v>838</v>
      </c>
      <c r="D192" s="141" t="s">
        <v>19</v>
      </c>
      <c r="E192" s="141" t="s">
        <v>48</v>
      </c>
      <c r="F192" s="141" t="s">
        <v>62</v>
      </c>
      <c r="G192" s="141" t="s">
        <v>80</v>
      </c>
      <c r="H192" s="141" t="s">
        <v>42</v>
      </c>
      <c r="I192" s="141" t="s">
        <v>13</v>
      </c>
      <c r="J192" s="141" t="s">
        <v>74</v>
      </c>
      <c r="K192" s="141" t="s">
        <v>68</v>
      </c>
    </row>
    <row r="193" spans="1:11" ht="12.75" customHeight="1" x14ac:dyDescent="0.3">
      <c r="A193" s="141">
        <v>192</v>
      </c>
      <c r="B193" s="141" t="s">
        <v>839</v>
      </c>
      <c r="C193" s="141" t="s">
        <v>840</v>
      </c>
      <c r="D193" s="141" t="s">
        <v>19</v>
      </c>
      <c r="E193" s="141" t="s">
        <v>48</v>
      </c>
      <c r="F193" s="141" t="s">
        <v>42</v>
      </c>
      <c r="G193" s="141" t="s">
        <v>80</v>
      </c>
      <c r="H193" s="141" t="s">
        <v>74</v>
      </c>
      <c r="I193" s="141" t="s">
        <v>13</v>
      </c>
      <c r="J193" s="141" t="s">
        <v>55</v>
      </c>
      <c r="K193" s="141" t="s">
        <v>20</v>
      </c>
    </row>
    <row r="194" spans="1:11" ht="12.75" customHeight="1" x14ac:dyDescent="0.3">
      <c r="A194" s="141">
        <v>193</v>
      </c>
      <c r="B194" s="141" t="s">
        <v>841</v>
      </c>
      <c r="C194" s="141" t="s">
        <v>842</v>
      </c>
      <c r="D194" s="141" t="s">
        <v>19</v>
      </c>
      <c r="E194" s="141" t="s">
        <v>48</v>
      </c>
      <c r="F194" s="141" t="s">
        <v>42</v>
      </c>
      <c r="G194" s="141" t="s">
        <v>80</v>
      </c>
      <c r="H194" s="141" t="s">
        <v>68</v>
      </c>
      <c r="I194" s="141" t="s">
        <v>13</v>
      </c>
      <c r="J194" s="141" t="s">
        <v>55</v>
      </c>
      <c r="K194" s="141" t="s">
        <v>20</v>
      </c>
    </row>
    <row r="195" spans="1:11" ht="12.75" customHeight="1" x14ac:dyDescent="0.3">
      <c r="A195" s="141">
        <v>194</v>
      </c>
      <c r="B195" s="141" t="s">
        <v>843</v>
      </c>
      <c r="C195" s="141" t="s">
        <v>844</v>
      </c>
      <c r="D195" s="141" t="s">
        <v>19</v>
      </c>
      <c r="E195" s="141" t="s">
        <v>48</v>
      </c>
      <c r="F195" s="141" t="s">
        <v>42</v>
      </c>
      <c r="G195" s="141" t="s">
        <v>68</v>
      </c>
      <c r="H195" s="141" t="s">
        <v>74</v>
      </c>
      <c r="I195" s="141" t="s">
        <v>13</v>
      </c>
      <c r="J195" s="141" t="s">
        <v>55</v>
      </c>
      <c r="K195" s="141" t="s">
        <v>20</v>
      </c>
    </row>
    <row r="196" spans="1:11" ht="12.75" customHeight="1" x14ac:dyDescent="0.3">
      <c r="A196" s="141">
        <v>195</v>
      </c>
      <c r="B196" s="141" t="s">
        <v>845</v>
      </c>
      <c r="C196" s="141" t="s">
        <v>846</v>
      </c>
      <c r="D196" s="141" t="s">
        <v>19</v>
      </c>
      <c r="E196" s="141" t="s">
        <v>48</v>
      </c>
      <c r="F196" s="141" t="s">
        <v>42</v>
      </c>
      <c r="G196" s="141" t="s">
        <v>80</v>
      </c>
      <c r="H196" s="141" t="s">
        <v>74</v>
      </c>
      <c r="I196" s="141" t="s">
        <v>13</v>
      </c>
      <c r="J196" s="141" t="s">
        <v>55</v>
      </c>
      <c r="K196" s="141" t="s">
        <v>68</v>
      </c>
    </row>
    <row r="197" spans="1:11" ht="12.75" customHeight="1" x14ac:dyDescent="0.3">
      <c r="A197" s="141">
        <v>196</v>
      </c>
      <c r="B197" s="141" t="s">
        <v>847</v>
      </c>
      <c r="C197" s="141" t="s">
        <v>848</v>
      </c>
      <c r="D197" s="141" t="s">
        <v>19</v>
      </c>
      <c r="E197" s="141" t="s">
        <v>48</v>
      </c>
      <c r="F197" s="141" t="s">
        <v>62</v>
      </c>
      <c r="G197" s="141" t="s">
        <v>80</v>
      </c>
      <c r="H197" s="141" t="s">
        <v>42</v>
      </c>
      <c r="I197" s="141" t="s">
        <v>13</v>
      </c>
      <c r="J197" s="141" t="s">
        <v>55</v>
      </c>
      <c r="K197" s="141" t="s">
        <v>20</v>
      </c>
    </row>
    <row r="198" spans="1:11" ht="12.75" customHeight="1" x14ac:dyDescent="0.3">
      <c r="A198" s="141">
        <v>197</v>
      </c>
      <c r="B198" s="141" t="s">
        <v>849</v>
      </c>
      <c r="C198" s="141" t="s">
        <v>850</v>
      </c>
      <c r="D198" s="141" t="s">
        <v>19</v>
      </c>
      <c r="E198" s="141" t="s">
        <v>48</v>
      </c>
      <c r="F198" s="141" t="s">
        <v>62</v>
      </c>
      <c r="G198" s="141" t="s">
        <v>42</v>
      </c>
      <c r="H198" s="141" t="s">
        <v>74</v>
      </c>
      <c r="I198" s="141" t="s">
        <v>13</v>
      </c>
      <c r="J198" s="141" t="s">
        <v>55</v>
      </c>
      <c r="K198" s="141" t="s">
        <v>20</v>
      </c>
    </row>
    <row r="199" spans="1:11" ht="12.75" customHeight="1" x14ac:dyDescent="0.3">
      <c r="A199" s="141">
        <v>198</v>
      </c>
      <c r="B199" s="141" t="s">
        <v>851</v>
      </c>
      <c r="C199" s="141" t="s">
        <v>852</v>
      </c>
      <c r="D199" s="141" t="s">
        <v>19</v>
      </c>
      <c r="E199" s="141" t="s">
        <v>48</v>
      </c>
      <c r="F199" s="141" t="s">
        <v>62</v>
      </c>
      <c r="G199" s="141" t="s">
        <v>80</v>
      </c>
      <c r="H199" s="141" t="s">
        <v>74</v>
      </c>
      <c r="I199" s="141" t="s">
        <v>13</v>
      </c>
      <c r="J199" s="141" t="s">
        <v>55</v>
      </c>
      <c r="K199" s="141" t="s">
        <v>42</v>
      </c>
    </row>
    <row r="200" spans="1:11" ht="12.75" customHeight="1" x14ac:dyDescent="0.3">
      <c r="A200" s="141">
        <v>199</v>
      </c>
      <c r="B200" s="141" t="s">
        <v>853</v>
      </c>
      <c r="C200" s="141" t="s">
        <v>854</v>
      </c>
      <c r="D200" s="141" t="s">
        <v>19</v>
      </c>
      <c r="E200" s="141" t="s">
        <v>48</v>
      </c>
      <c r="F200" s="141" t="s">
        <v>62</v>
      </c>
      <c r="G200" s="141" t="s">
        <v>68</v>
      </c>
      <c r="H200" s="141" t="s">
        <v>42</v>
      </c>
      <c r="I200" s="141" t="s">
        <v>13</v>
      </c>
      <c r="J200" s="141" t="s">
        <v>55</v>
      </c>
      <c r="K200" s="141" t="s">
        <v>20</v>
      </c>
    </row>
    <row r="201" spans="1:11" ht="12.75" customHeight="1" x14ac:dyDescent="0.3">
      <c r="A201" s="141">
        <v>200</v>
      </c>
      <c r="B201" s="141" t="s">
        <v>855</v>
      </c>
      <c r="C201" s="141" t="s">
        <v>856</v>
      </c>
      <c r="D201" s="141" t="s">
        <v>19</v>
      </c>
      <c r="E201" s="141" t="s">
        <v>48</v>
      </c>
      <c r="F201" s="141" t="s">
        <v>62</v>
      </c>
      <c r="G201" s="141" t="s">
        <v>80</v>
      </c>
      <c r="H201" s="141" t="s">
        <v>42</v>
      </c>
      <c r="I201" s="141" t="s">
        <v>13</v>
      </c>
      <c r="J201" s="141" t="s">
        <v>55</v>
      </c>
      <c r="K201" s="141" t="s">
        <v>68</v>
      </c>
    </row>
    <row r="202" spans="1:11" ht="12.75" customHeight="1" x14ac:dyDescent="0.3">
      <c r="A202" s="141">
        <v>201</v>
      </c>
      <c r="B202" s="141" t="s">
        <v>857</v>
      </c>
      <c r="C202" s="141" t="s">
        <v>858</v>
      </c>
      <c r="D202" s="141" t="s">
        <v>19</v>
      </c>
      <c r="E202" s="141" t="s">
        <v>48</v>
      </c>
      <c r="F202" s="141" t="s">
        <v>62</v>
      </c>
      <c r="G202" s="141" t="s">
        <v>68</v>
      </c>
      <c r="H202" s="141" t="s">
        <v>74</v>
      </c>
      <c r="I202" s="141" t="s">
        <v>13</v>
      </c>
      <c r="J202" s="141" t="s">
        <v>55</v>
      </c>
      <c r="K202" s="141" t="s">
        <v>42</v>
      </c>
    </row>
    <row r="203" spans="1:11" ht="12.75" customHeight="1" x14ac:dyDescent="0.3">
      <c r="A203" s="141">
        <v>202</v>
      </c>
      <c r="B203" s="141" t="s">
        <v>859</v>
      </c>
      <c r="C203" s="141" t="s">
        <v>860</v>
      </c>
      <c r="D203" s="141" t="s">
        <v>31</v>
      </c>
      <c r="E203" s="141" t="s">
        <v>55</v>
      </c>
      <c r="F203" s="141" t="s">
        <v>62</v>
      </c>
      <c r="G203" s="141" t="s">
        <v>80</v>
      </c>
      <c r="H203" s="141" t="s">
        <v>68</v>
      </c>
      <c r="I203" s="141" t="s">
        <v>13</v>
      </c>
      <c r="J203" s="141" t="s">
        <v>74</v>
      </c>
      <c r="K203" s="141" t="s">
        <v>20</v>
      </c>
    </row>
    <row r="204" spans="1:11" ht="12.75" customHeight="1" x14ac:dyDescent="0.3">
      <c r="A204" s="141">
        <v>203</v>
      </c>
      <c r="B204" s="141" t="s">
        <v>861</v>
      </c>
      <c r="C204" s="141" t="s">
        <v>862</v>
      </c>
      <c r="D204" s="141" t="s">
        <v>31</v>
      </c>
      <c r="E204" s="141" t="s">
        <v>48</v>
      </c>
      <c r="F204" s="141" t="s">
        <v>62</v>
      </c>
      <c r="G204" s="141" t="s">
        <v>80</v>
      </c>
      <c r="H204" s="141" t="s">
        <v>68</v>
      </c>
      <c r="I204" s="141" t="s">
        <v>13</v>
      </c>
      <c r="J204" s="141" t="s">
        <v>74</v>
      </c>
      <c r="K204" s="141" t="s">
        <v>20</v>
      </c>
    </row>
    <row r="205" spans="1:11" ht="12.75" customHeight="1" x14ac:dyDescent="0.3">
      <c r="A205" s="141">
        <v>204</v>
      </c>
      <c r="B205" s="141" t="s">
        <v>863</v>
      </c>
      <c r="C205" s="141" t="s">
        <v>864</v>
      </c>
      <c r="D205" s="141" t="s">
        <v>31</v>
      </c>
      <c r="E205" s="141" t="s">
        <v>48</v>
      </c>
      <c r="F205" s="141" t="s">
        <v>68</v>
      </c>
      <c r="G205" s="141" t="s">
        <v>80</v>
      </c>
      <c r="H205" s="141" t="s">
        <v>74</v>
      </c>
      <c r="I205" s="141" t="s">
        <v>13</v>
      </c>
      <c r="J205" s="141" t="s">
        <v>55</v>
      </c>
      <c r="K205" s="141" t="s">
        <v>20</v>
      </c>
    </row>
    <row r="206" spans="1:11" ht="12.75" customHeight="1" x14ac:dyDescent="0.3">
      <c r="A206" s="141">
        <v>205</v>
      </c>
      <c r="B206" s="141" t="s">
        <v>865</v>
      </c>
      <c r="C206" s="141" t="s">
        <v>866</v>
      </c>
      <c r="D206" s="141" t="s">
        <v>31</v>
      </c>
      <c r="E206" s="141" t="s">
        <v>48</v>
      </c>
      <c r="F206" s="141" t="s">
        <v>62</v>
      </c>
      <c r="G206" s="141" t="s">
        <v>80</v>
      </c>
      <c r="H206" s="141" t="s">
        <v>74</v>
      </c>
      <c r="I206" s="141" t="s">
        <v>13</v>
      </c>
      <c r="J206" s="141" t="s">
        <v>55</v>
      </c>
      <c r="K206" s="141" t="s">
        <v>20</v>
      </c>
    </row>
    <row r="207" spans="1:11" ht="12.75" customHeight="1" x14ac:dyDescent="0.3">
      <c r="A207" s="141">
        <v>206</v>
      </c>
      <c r="B207" s="141" t="s">
        <v>867</v>
      </c>
      <c r="C207" s="141" t="s">
        <v>868</v>
      </c>
      <c r="D207" s="141" t="s">
        <v>31</v>
      </c>
      <c r="E207" s="141" t="s">
        <v>48</v>
      </c>
      <c r="F207" s="141" t="s">
        <v>62</v>
      </c>
      <c r="G207" s="141" t="s">
        <v>80</v>
      </c>
      <c r="H207" s="141" t="s">
        <v>68</v>
      </c>
      <c r="I207" s="141" t="s">
        <v>13</v>
      </c>
      <c r="J207" s="141" t="s">
        <v>55</v>
      </c>
      <c r="K207" s="141" t="s">
        <v>20</v>
      </c>
    </row>
    <row r="208" spans="1:11" ht="12.75" customHeight="1" x14ac:dyDescent="0.3">
      <c r="A208" s="141">
        <v>207</v>
      </c>
      <c r="B208" s="141" t="s">
        <v>869</v>
      </c>
      <c r="C208" s="141" t="s">
        <v>870</v>
      </c>
      <c r="D208" s="141" t="s">
        <v>31</v>
      </c>
      <c r="E208" s="141" t="s">
        <v>48</v>
      </c>
      <c r="F208" s="141" t="s">
        <v>62</v>
      </c>
      <c r="G208" s="141" t="s">
        <v>68</v>
      </c>
      <c r="H208" s="141" t="s">
        <v>74</v>
      </c>
      <c r="I208" s="141" t="s">
        <v>13</v>
      </c>
      <c r="J208" s="141" t="s">
        <v>55</v>
      </c>
      <c r="K208" s="141" t="s">
        <v>20</v>
      </c>
    </row>
    <row r="209" spans="1:11" ht="12.75" customHeight="1" x14ac:dyDescent="0.3">
      <c r="A209" s="141">
        <v>208</v>
      </c>
      <c r="B209" s="141" t="s">
        <v>871</v>
      </c>
      <c r="C209" s="141" t="s">
        <v>872</v>
      </c>
      <c r="D209" s="141" t="s">
        <v>31</v>
      </c>
      <c r="E209" s="141" t="s">
        <v>48</v>
      </c>
      <c r="F209" s="141" t="s">
        <v>62</v>
      </c>
      <c r="G209" s="141" t="s">
        <v>80</v>
      </c>
      <c r="H209" s="141" t="s">
        <v>74</v>
      </c>
      <c r="I209" s="141" t="s">
        <v>13</v>
      </c>
      <c r="J209" s="141" t="s">
        <v>55</v>
      </c>
      <c r="K209" s="141" t="s">
        <v>68</v>
      </c>
    </row>
    <row r="210" spans="1:11" ht="12.75" customHeight="1" x14ac:dyDescent="0.3">
      <c r="A210" s="141">
        <v>209</v>
      </c>
      <c r="B210" s="141" t="s">
        <v>873</v>
      </c>
      <c r="C210" s="141" t="s">
        <v>874</v>
      </c>
      <c r="D210" s="141" t="s">
        <v>31</v>
      </c>
      <c r="E210" s="141" t="s">
        <v>62</v>
      </c>
      <c r="F210" s="141" t="s">
        <v>42</v>
      </c>
      <c r="G210" s="141" t="s">
        <v>80</v>
      </c>
      <c r="H210" s="141" t="s">
        <v>68</v>
      </c>
      <c r="I210" s="141" t="s">
        <v>13</v>
      </c>
      <c r="J210" s="141" t="s">
        <v>74</v>
      </c>
      <c r="K210" s="141" t="s">
        <v>20</v>
      </c>
    </row>
    <row r="211" spans="1:11" ht="12.75" customHeight="1" x14ac:dyDescent="0.3">
      <c r="A211" s="141">
        <v>210</v>
      </c>
      <c r="B211" s="141" t="s">
        <v>875</v>
      </c>
      <c r="C211" s="141" t="s">
        <v>876</v>
      </c>
      <c r="D211" s="141" t="s">
        <v>31</v>
      </c>
      <c r="E211" s="141" t="s">
        <v>55</v>
      </c>
      <c r="F211" s="141" t="s">
        <v>42</v>
      </c>
      <c r="G211" s="141" t="s">
        <v>80</v>
      </c>
      <c r="H211" s="141" t="s">
        <v>68</v>
      </c>
      <c r="I211" s="141" t="s">
        <v>13</v>
      </c>
      <c r="J211" s="141" t="s">
        <v>74</v>
      </c>
      <c r="K211" s="141" t="s">
        <v>20</v>
      </c>
    </row>
    <row r="212" spans="1:11" ht="12.75" customHeight="1" x14ac:dyDescent="0.3">
      <c r="A212" s="141">
        <v>211</v>
      </c>
      <c r="B212" s="141" t="s">
        <v>877</v>
      </c>
      <c r="C212" s="141" t="s">
        <v>878</v>
      </c>
      <c r="D212" s="141" t="s">
        <v>31</v>
      </c>
      <c r="E212" s="141" t="s">
        <v>62</v>
      </c>
      <c r="F212" s="141" t="s">
        <v>42</v>
      </c>
      <c r="G212" s="141" t="s">
        <v>80</v>
      </c>
      <c r="H212" s="141" t="s">
        <v>74</v>
      </c>
      <c r="I212" s="141" t="s">
        <v>13</v>
      </c>
      <c r="J212" s="141" t="s">
        <v>55</v>
      </c>
      <c r="K212" s="141" t="s">
        <v>20</v>
      </c>
    </row>
    <row r="213" spans="1:11" ht="12.75" customHeight="1" x14ac:dyDescent="0.3">
      <c r="A213" s="141">
        <v>212</v>
      </c>
      <c r="B213" s="141" t="s">
        <v>879</v>
      </c>
      <c r="C213" s="141" t="s">
        <v>880</v>
      </c>
      <c r="D213" s="141" t="s">
        <v>31</v>
      </c>
      <c r="E213" s="141" t="s">
        <v>62</v>
      </c>
      <c r="F213" s="141" t="s">
        <v>42</v>
      </c>
      <c r="G213" s="141" t="s">
        <v>80</v>
      </c>
      <c r="H213" s="141" t="s">
        <v>68</v>
      </c>
      <c r="I213" s="141" t="s">
        <v>13</v>
      </c>
      <c r="J213" s="141" t="s">
        <v>55</v>
      </c>
      <c r="K213" s="141" t="s">
        <v>20</v>
      </c>
    </row>
    <row r="214" spans="1:11" ht="12.75" customHeight="1" x14ac:dyDescent="0.3">
      <c r="A214" s="141">
        <v>213</v>
      </c>
      <c r="B214" s="141" t="s">
        <v>881</v>
      </c>
      <c r="C214" s="141" t="s">
        <v>882</v>
      </c>
      <c r="D214" s="141" t="s">
        <v>31</v>
      </c>
      <c r="E214" s="141" t="s">
        <v>62</v>
      </c>
      <c r="F214" s="141" t="s">
        <v>42</v>
      </c>
      <c r="G214" s="141" t="s">
        <v>68</v>
      </c>
      <c r="H214" s="141" t="s">
        <v>74</v>
      </c>
      <c r="I214" s="141" t="s">
        <v>13</v>
      </c>
      <c r="J214" s="141" t="s">
        <v>55</v>
      </c>
      <c r="K214" s="141" t="s">
        <v>20</v>
      </c>
    </row>
    <row r="215" spans="1:11" ht="12.75" customHeight="1" x14ac:dyDescent="0.3">
      <c r="A215" s="141">
        <v>214</v>
      </c>
      <c r="B215" s="141" t="s">
        <v>883</v>
      </c>
      <c r="C215" s="141" t="s">
        <v>884</v>
      </c>
      <c r="D215" s="141" t="s">
        <v>31</v>
      </c>
      <c r="E215" s="141" t="s">
        <v>62</v>
      </c>
      <c r="F215" s="141" t="s">
        <v>42</v>
      </c>
      <c r="G215" s="141" t="s">
        <v>80</v>
      </c>
      <c r="H215" s="141" t="s">
        <v>74</v>
      </c>
      <c r="I215" s="141" t="s">
        <v>13</v>
      </c>
      <c r="J215" s="141" t="s">
        <v>55</v>
      </c>
      <c r="K215" s="141" t="s">
        <v>68</v>
      </c>
    </row>
    <row r="216" spans="1:11" ht="12.75" customHeight="1" x14ac:dyDescent="0.3">
      <c r="A216" s="141">
        <v>215</v>
      </c>
      <c r="B216" s="141" t="s">
        <v>885</v>
      </c>
      <c r="C216" s="141" t="s">
        <v>886</v>
      </c>
      <c r="D216" s="141" t="s">
        <v>31</v>
      </c>
      <c r="E216" s="141" t="s">
        <v>48</v>
      </c>
      <c r="F216" s="141" t="s">
        <v>42</v>
      </c>
      <c r="G216" s="141" t="s">
        <v>80</v>
      </c>
      <c r="H216" s="141" t="s">
        <v>68</v>
      </c>
      <c r="I216" s="141" t="s">
        <v>13</v>
      </c>
      <c r="J216" s="141" t="s">
        <v>74</v>
      </c>
      <c r="K216" s="141" t="s">
        <v>20</v>
      </c>
    </row>
    <row r="217" spans="1:11" ht="12.75" customHeight="1" x14ac:dyDescent="0.3">
      <c r="A217" s="141">
        <v>216</v>
      </c>
      <c r="B217" s="141" t="s">
        <v>887</v>
      </c>
      <c r="C217" s="141" t="s">
        <v>888</v>
      </c>
      <c r="D217" s="141" t="s">
        <v>31</v>
      </c>
      <c r="E217" s="141" t="s">
        <v>48</v>
      </c>
      <c r="F217" s="141" t="s">
        <v>62</v>
      </c>
      <c r="G217" s="141" t="s">
        <v>80</v>
      </c>
      <c r="H217" s="141" t="s">
        <v>42</v>
      </c>
      <c r="I217" s="141" t="s">
        <v>13</v>
      </c>
      <c r="J217" s="141" t="s">
        <v>74</v>
      </c>
      <c r="K217" s="141" t="s">
        <v>20</v>
      </c>
    </row>
    <row r="218" spans="1:11" ht="12.75" customHeight="1" x14ac:dyDescent="0.3">
      <c r="A218" s="141">
        <v>217</v>
      </c>
      <c r="B218" s="141" t="s">
        <v>889</v>
      </c>
      <c r="C218" s="141" t="s">
        <v>890</v>
      </c>
      <c r="D218" s="141" t="s">
        <v>31</v>
      </c>
      <c r="E218" s="141" t="s">
        <v>48</v>
      </c>
      <c r="F218" s="141" t="s">
        <v>62</v>
      </c>
      <c r="G218" s="141" t="s">
        <v>80</v>
      </c>
      <c r="H218" s="141" t="s">
        <v>68</v>
      </c>
      <c r="I218" s="141" t="s">
        <v>13</v>
      </c>
      <c r="J218" s="141" t="s">
        <v>42</v>
      </c>
      <c r="K218" s="141" t="s">
        <v>20</v>
      </c>
    </row>
    <row r="219" spans="1:11" ht="12.75" customHeight="1" x14ac:dyDescent="0.3">
      <c r="A219" s="141">
        <v>218</v>
      </c>
      <c r="B219" s="141" t="s">
        <v>891</v>
      </c>
      <c r="C219" s="141" t="s">
        <v>892</v>
      </c>
      <c r="D219" s="141" t="s">
        <v>31</v>
      </c>
      <c r="E219" s="141" t="s">
        <v>48</v>
      </c>
      <c r="F219" s="141" t="s">
        <v>62</v>
      </c>
      <c r="G219" s="141" t="s">
        <v>68</v>
      </c>
      <c r="H219" s="141" t="s">
        <v>42</v>
      </c>
      <c r="I219" s="141" t="s">
        <v>13</v>
      </c>
      <c r="J219" s="141" t="s">
        <v>74</v>
      </c>
      <c r="K219" s="141" t="s">
        <v>20</v>
      </c>
    </row>
    <row r="220" spans="1:11" ht="12.75" customHeight="1" x14ac:dyDescent="0.3">
      <c r="A220" s="141">
        <v>219</v>
      </c>
      <c r="B220" s="141" t="s">
        <v>893</v>
      </c>
      <c r="C220" s="141" t="s">
        <v>894</v>
      </c>
      <c r="D220" s="141" t="s">
        <v>31</v>
      </c>
      <c r="E220" s="141" t="s">
        <v>48</v>
      </c>
      <c r="F220" s="141" t="s">
        <v>62</v>
      </c>
      <c r="G220" s="141" t="s">
        <v>80</v>
      </c>
      <c r="H220" s="141" t="s">
        <v>42</v>
      </c>
      <c r="I220" s="141" t="s">
        <v>13</v>
      </c>
      <c r="J220" s="141" t="s">
        <v>74</v>
      </c>
      <c r="K220" s="141" t="s">
        <v>68</v>
      </c>
    </row>
    <row r="221" spans="1:11" ht="12.75" customHeight="1" x14ac:dyDescent="0.3">
      <c r="A221" s="141">
        <v>220</v>
      </c>
      <c r="B221" s="141" t="s">
        <v>895</v>
      </c>
      <c r="C221" s="141" t="s">
        <v>896</v>
      </c>
      <c r="D221" s="141" t="s">
        <v>31</v>
      </c>
      <c r="E221" s="141" t="s">
        <v>48</v>
      </c>
      <c r="F221" s="141" t="s">
        <v>42</v>
      </c>
      <c r="G221" s="141" t="s">
        <v>80</v>
      </c>
      <c r="H221" s="141" t="s">
        <v>74</v>
      </c>
      <c r="I221" s="141" t="s">
        <v>13</v>
      </c>
      <c r="J221" s="141" t="s">
        <v>55</v>
      </c>
      <c r="K221" s="141" t="s">
        <v>20</v>
      </c>
    </row>
    <row r="222" spans="1:11" ht="12.75" customHeight="1" x14ac:dyDescent="0.3">
      <c r="A222" s="141">
        <v>221</v>
      </c>
      <c r="B222" s="141" t="s">
        <v>897</v>
      </c>
      <c r="C222" s="141" t="s">
        <v>898</v>
      </c>
      <c r="D222" s="141" t="s">
        <v>31</v>
      </c>
      <c r="E222" s="141" t="s">
        <v>48</v>
      </c>
      <c r="F222" s="141" t="s">
        <v>42</v>
      </c>
      <c r="G222" s="141" t="s">
        <v>80</v>
      </c>
      <c r="H222" s="141" t="s">
        <v>68</v>
      </c>
      <c r="I222" s="141" t="s">
        <v>13</v>
      </c>
      <c r="J222" s="141" t="s">
        <v>55</v>
      </c>
      <c r="K222" s="141" t="s">
        <v>20</v>
      </c>
    </row>
    <row r="223" spans="1:11" ht="12.75" customHeight="1" x14ac:dyDescent="0.3">
      <c r="A223" s="141">
        <v>222</v>
      </c>
      <c r="B223" s="141" t="s">
        <v>899</v>
      </c>
      <c r="C223" s="141" t="s">
        <v>900</v>
      </c>
      <c r="D223" s="141" t="s">
        <v>31</v>
      </c>
      <c r="E223" s="141" t="s">
        <v>48</v>
      </c>
      <c r="F223" s="141" t="s">
        <v>42</v>
      </c>
      <c r="G223" s="141" t="s">
        <v>68</v>
      </c>
      <c r="H223" s="141" t="s">
        <v>74</v>
      </c>
      <c r="I223" s="141" t="s">
        <v>13</v>
      </c>
      <c r="J223" s="141" t="s">
        <v>55</v>
      </c>
      <c r="K223" s="141" t="s">
        <v>20</v>
      </c>
    </row>
    <row r="224" spans="1:11" ht="12.75" customHeight="1" x14ac:dyDescent="0.3">
      <c r="A224" s="141">
        <v>223</v>
      </c>
      <c r="B224" s="141" t="s">
        <v>901</v>
      </c>
      <c r="C224" s="141" t="s">
        <v>902</v>
      </c>
      <c r="D224" s="141" t="s">
        <v>31</v>
      </c>
      <c r="E224" s="141" t="s">
        <v>48</v>
      </c>
      <c r="F224" s="141" t="s">
        <v>42</v>
      </c>
      <c r="G224" s="141" t="s">
        <v>80</v>
      </c>
      <c r="H224" s="141" t="s">
        <v>74</v>
      </c>
      <c r="I224" s="141" t="s">
        <v>13</v>
      </c>
      <c r="J224" s="141" t="s">
        <v>55</v>
      </c>
      <c r="K224" s="141" t="s">
        <v>68</v>
      </c>
    </row>
    <row r="225" spans="1:11" ht="12.75" customHeight="1" x14ac:dyDescent="0.3">
      <c r="A225" s="141">
        <v>224</v>
      </c>
      <c r="B225" s="141" t="s">
        <v>903</v>
      </c>
      <c r="C225" s="141" t="s">
        <v>904</v>
      </c>
      <c r="D225" s="141" t="s">
        <v>31</v>
      </c>
      <c r="E225" s="141" t="s">
        <v>48</v>
      </c>
      <c r="F225" s="141" t="s">
        <v>62</v>
      </c>
      <c r="G225" s="141" t="s">
        <v>80</v>
      </c>
      <c r="H225" s="141" t="s">
        <v>42</v>
      </c>
      <c r="I225" s="141" t="s">
        <v>13</v>
      </c>
      <c r="J225" s="141" t="s">
        <v>55</v>
      </c>
      <c r="K225" s="141" t="s">
        <v>20</v>
      </c>
    </row>
    <row r="226" spans="1:11" ht="12.75" customHeight="1" x14ac:dyDescent="0.3">
      <c r="A226" s="141">
        <v>225</v>
      </c>
      <c r="B226" s="141" t="s">
        <v>905</v>
      </c>
      <c r="C226" s="141" t="s">
        <v>906</v>
      </c>
      <c r="D226" s="141" t="s">
        <v>31</v>
      </c>
      <c r="E226" s="141" t="s">
        <v>48</v>
      </c>
      <c r="F226" s="141" t="s">
        <v>62</v>
      </c>
      <c r="G226" s="141" t="s">
        <v>42</v>
      </c>
      <c r="H226" s="141" t="s">
        <v>74</v>
      </c>
      <c r="I226" s="141" t="s">
        <v>13</v>
      </c>
      <c r="J226" s="141" t="s">
        <v>55</v>
      </c>
      <c r="K226" s="141" t="s">
        <v>20</v>
      </c>
    </row>
    <row r="227" spans="1:11" ht="12.75" customHeight="1" x14ac:dyDescent="0.3">
      <c r="A227" s="141">
        <v>226</v>
      </c>
      <c r="B227" s="141" t="s">
        <v>907</v>
      </c>
      <c r="C227" s="141" t="s">
        <v>908</v>
      </c>
      <c r="D227" s="141" t="s">
        <v>31</v>
      </c>
      <c r="E227" s="141" t="s">
        <v>48</v>
      </c>
      <c r="F227" s="141" t="s">
        <v>62</v>
      </c>
      <c r="G227" s="141" t="s">
        <v>80</v>
      </c>
      <c r="H227" s="141" t="s">
        <v>74</v>
      </c>
      <c r="I227" s="141" t="s">
        <v>13</v>
      </c>
      <c r="J227" s="141" t="s">
        <v>55</v>
      </c>
      <c r="K227" s="141" t="s">
        <v>42</v>
      </c>
    </row>
    <row r="228" spans="1:11" ht="12.75" customHeight="1" x14ac:dyDescent="0.3">
      <c r="A228" s="141">
        <v>227</v>
      </c>
      <c r="B228" s="141" t="s">
        <v>909</v>
      </c>
      <c r="C228" s="141" t="s">
        <v>910</v>
      </c>
      <c r="D228" s="141" t="s">
        <v>31</v>
      </c>
      <c r="E228" s="141" t="s">
        <v>48</v>
      </c>
      <c r="F228" s="141" t="s">
        <v>62</v>
      </c>
      <c r="G228" s="141" t="s">
        <v>68</v>
      </c>
      <c r="H228" s="141" t="s">
        <v>42</v>
      </c>
      <c r="I228" s="141" t="s">
        <v>13</v>
      </c>
      <c r="J228" s="141" t="s">
        <v>55</v>
      </c>
      <c r="K228" s="141" t="s">
        <v>20</v>
      </c>
    </row>
    <row r="229" spans="1:11" ht="12.75" customHeight="1" x14ac:dyDescent="0.3">
      <c r="A229" s="141">
        <v>228</v>
      </c>
      <c r="B229" s="141" t="s">
        <v>911</v>
      </c>
      <c r="C229" s="141" t="s">
        <v>912</v>
      </c>
      <c r="D229" s="141" t="s">
        <v>31</v>
      </c>
      <c r="E229" s="141" t="s">
        <v>48</v>
      </c>
      <c r="F229" s="141" t="s">
        <v>62</v>
      </c>
      <c r="G229" s="141" t="s">
        <v>80</v>
      </c>
      <c r="H229" s="141" t="s">
        <v>42</v>
      </c>
      <c r="I229" s="141" t="s">
        <v>13</v>
      </c>
      <c r="J229" s="141" t="s">
        <v>55</v>
      </c>
      <c r="K229" s="141" t="s">
        <v>68</v>
      </c>
    </row>
    <row r="230" spans="1:11" ht="12.75" customHeight="1" x14ac:dyDescent="0.3">
      <c r="A230" s="141">
        <v>229</v>
      </c>
      <c r="B230" s="141" t="s">
        <v>913</v>
      </c>
      <c r="C230" s="141" t="s">
        <v>914</v>
      </c>
      <c r="D230" s="141" t="s">
        <v>31</v>
      </c>
      <c r="E230" s="141" t="s">
        <v>48</v>
      </c>
      <c r="F230" s="141" t="s">
        <v>62</v>
      </c>
      <c r="G230" s="141" t="s">
        <v>68</v>
      </c>
      <c r="H230" s="141" t="s">
        <v>74</v>
      </c>
      <c r="I230" s="141" t="s">
        <v>13</v>
      </c>
      <c r="J230" s="141" t="s">
        <v>55</v>
      </c>
      <c r="K230" s="141" t="s">
        <v>42</v>
      </c>
    </row>
    <row r="231" spans="1:11" ht="12.75" customHeight="1" x14ac:dyDescent="0.3">
      <c r="A231" s="141">
        <v>230</v>
      </c>
      <c r="B231" s="141" t="s">
        <v>915</v>
      </c>
      <c r="C231" s="141" t="s">
        <v>916</v>
      </c>
      <c r="D231" s="141" t="s">
        <v>31</v>
      </c>
      <c r="E231" s="141" t="s">
        <v>19</v>
      </c>
      <c r="F231" s="141" t="s">
        <v>62</v>
      </c>
      <c r="G231" s="141" t="s">
        <v>80</v>
      </c>
      <c r="H231" s="141" t="s">
        <v>68</v>
      </c>
      <c r="I231" s="141" t="s">
        <v>13</v>
      </c>
      <c r="J231" s="141" t="s">
        <v>74</v>
      </c>
      <c r="K231" s="141" t="s">
        <v>20</v>
      </c>
    </row>
    <row r="232" spans="1:11" ht="12.75" customHeight="1" x14ac:dyDescent="0.3">
      <c r="A232" s="141">
        <v>231</v>
      </c>
      <c r="B232" s="141" t="s">
        <v>917</v>
      </c>
      <c r="C232" s="141" t="s">
        <v>918</v>
      </c>
      <c r="D232" s="141" t="s">
        <v>31</v>
      </c>
      <c r="E232" s="141" t="s">
        <v>19</v>
      </c>
      <c r="F232" s="141" t="s">
        <v>68</v>
      </c>
      <c r="G232" s="141" t="s">
        <v>80</v>
      </c>
      <c r="H232" s="141" t="s">
        <v>74</v>
      </c>
      <c r="I232" s="141" t="s">
        <v>13</v>
      </c>
      <c r="J232" s="141" t="s">
        <v>55</v>
      </c>
      <c r="K232" s="141" t="s">
        <v>20</v>
      </c>
    </row>
    <row r="233" spans="1:11" ht="12.75" customHeight="1" x14ac:dyDescent="0.3">
      <c r="A233" s="141">
        <v>232</v>
      </c>
      <c r="B233" s="141" t="s">
        <v>919</v>
      </c>
      <c r="C233" s="141" t="s">
        <v>920</v>
      </c>
      <c r="D233" s="141" t="s">
        <v>31</v>
      </c>
      <c r="E233" s="141" t="s">
        <v>19</v>
      </c>
      <c r="F233" s="141" t="s">
        <v>62</v>
      </c>
      <c r="G233" s="141" t="s">
        <v>80</v>
      </c>
      <c r="H233" s="141" t="s">
        <v>74</v>
      </c>
      <c r="I233" s="141" t="s">
        <v>13</v>
      </c>
      <c r="J233" s="141" t="s">
        <v>55</v>
      </c>
      <c r="K233" s="141" t="s">
        <v>20</v>
      </c>
    </row>
    <row r="234" spans="1:11" ht="12.75" customHeight="1" x14ac:dyDescent="0.3">
      <c r="A234" s="141">
        <v>233</v>
      </c>
      <c r="B234" s="141" t="s">
        <v>921</v>
      </c>
      <c r="C234" s="141" t="s">
        <v>922</v>
      </c>
      <c r="D234" s="141" t="s">
        <v>31</v>
      </c>
      <c r="E234" s="141" t="s">
        <v>19</v>
      </c>
      <c r="F234" s="141" t="s">
        <v>62</v>
      </c>
      <c r="G234" s="141" t="s">
        <v>80</v>
      </c>
      <c r="H234" s="141" t="s">
        <v>68</v>
      </c>
      <c r="I234" s="141" t="s">
        <v>13</v>
      </c>
      <c r="J234" s="141" t="s">
        <v>55</v>
      </c>
      <c r="K234" s="141" t="s">
        <v>20</v>
      </c>
    </row>
    <row r="235" spans="1:11" ht="12.75" customHeight="1" x14ac:dyDescent="0.3">
      <c r="A235" s="141">
        <v>234</v>
      </c>
      <c r="B235" s="141" t="s">
        <v>923</v>
      </c>
      <c r="C235" s="141" t="s">
        <v>924</v>
      </c>
      <c r="D235" s="141" t="s">
        <v>31</v>
      </c>
      <c r="E235" s="141" t="s">
        <v>19</v>
      </c>
      <c r="F235" s="141" t="s">
        <v>62</v>
      </c>
      <c r="G235" s="141" t="s">
        <v>68</v>
      </c>
      <c r="H235" s="141" t="s">
        <v>74</v>
      </c>
      <c r="I235" s="141" t="s">
        <v>13</v>
      </c>
      <c r="J235" s="141" t="s">
        <v>55</v>
      </c>
      <c r="K235" s="141" t="s">
        <v>20</v>
      </c>
    </row>
    <row r="236" spans="1:11" ht="12.75" customHeight="1" x14ac:dyDescent="0.3">
      <c r="A236" s="141">
        <v>235</v>
      </c>
      <c r="B236" s="141" t="s">
        <v>925</v>
      </c>
      <c r="C236" s="141" t="s">
        <v>926</v>
      </c>
      <c r="D236" s="141" t="s">
        <v>31</v>
      </c>
      <c r="E236" s="141" t="s">
        <v>19</v>
      </c>
      <c r="F236" s="141" t="s">
        <v>62</v>
      </c>
      <c r="G236" s="141" t="s">
        <v>80</v>
      </c>
      <c r="H236" s="141" t="s">
        <v>74</v>
      </c>
      <c r="I236" s="141" t="s">
        <v>13</v>
      </c>
      <c r="J236" s="141" t="s">
        <v>55</v>
      </c>
      <c r="K236" s="141" t="s">
        <v>68</v>
      </c>
    </row>
    <row r="237" spans="1:11" ht="12.75" customHeight="1" x14ac:dyDescent="0.3">
      <c r="A237" s="141">
        <v>236</v>
      </c>
      <c r="B237" s="141" t="s">
        <v>927</v>
      </c>
      <c r="C237" s="141" t="s">
        <v>928</v>
      </c>
      <c r="D237" s="141" t="s">
        <v>19</v>
      </c>
      <c r="E237" s="141" t="s">
        <v>48</v>
      </c>
      <c r="F237" s="141" t="s">
        <v>31</v>
      </c>
      <c r="G237" s="141" t="s">
        <v>80</v>
      </c>
      <c r="H237" s="141" t="s">
        <v>68</v>
      </c>
      <c r="I237" s="141" t="s">
        <v>13</v>
      </c>
      <c r="J237" s="141" t="s">
        <v>74</v>
      </c>
      <c r="K237" s="141" t="s">
        <v>20</v>
      </c>
    </row>
    <row r="238" spans="1:11" ht="12.75" customHeight="1" x14ac:dyDescent="0.3">
      <c r="A238" s="141">
        <v>237</v>
      </c>
      <c r="B238" s="141" t="s">
        <v>929</v>
      </c>
      <c r="C238" s="141" t="s">
        <v>930</v>
      </c>
      <c r="D238" s="141" t="s">
        <v>31</v>
      </c>
      <c r="E238" s="141" t="s">
        <v>19</v>
      </c>
      <c r="F238" s="141" t="s">
        <v>62</v>
      </c>
      <c r="G238" s="141" t="s">
        <v>80</v>
      </c>
      <c r="H238" s="141" t="s">
        <v>48</v>
      </c>
      <c r="I238" s="141" t="s">
        <v>13</v>
      </c>
      <c r="J238" s="141" t="s">
        <v>74</v>
      </c>
      <c r="K238" s="141" t="s">
        <v>20</v>
      </c>
    </row>
    <row r="239" spans="1:11" ht="12.75" customHeight="1" x14ac:dyDescent="0.3">
      <c r="A239" s="141">
        <v>238</v>
      </c>
      <c r="B239" s="141" t="s">
        <v>931</v>
      </c>
      <c r="C239" s="141" t="s">
        <v>932</v>
      </c>
      <c r="D239" s="141" t="s">
        <v>31</v>
      </c>
      <c r="E239" s="141" t="s">
        <v>19</v>
      </c>
      <c r="F239" s="141" t="s">
        <v>62</v>
      </c>
      <c r="G239" s="141" t="s">
        <v>80</v>
      </c>
      <c r="H239" s="141" t="s">
        <v>68</v>
      </c>
      <c r="I239" s="141" t="s">
        <v>13</v>
      </c>
      <c r="J239" s="141" t="s">
        <v>48</v>
      </c>
      <c r="K239" s="141" t="s">
        <v>20</v>
      </c>
    </row>
    <row r="240" spans="1:11" ht="12.75" customHeight="1" x14ac:dyDescent="0.3">
      <c r="A240" s="141">
        <v>239</v>
      </c>
      <c r="B240" s="141" t="s">
        <v>933</v>
      </c>
      <c r="C240" s="141" t="s">
        <v>934</v>
      </c>
      <c r="D240" s="141" t="s">
        <v>31</v>
      </c>
      <c r="E240" s="141" t="s">
        <v>19</v>
      </c>
      <c r="F240" s="141" t="s">
        <v>62</v>
      </c>
      <c r="G240" s="141" t="s">
        <v>68</v>
      </c>
      <c r="H240" s="141" t="s">
        <v>48</v>
      </c>
      <c r="I240" s="141" t="s">
        <v>13</v>
      </c>
      <c r="J240" s="141" t="s">
        <v>74</v>
      </c>
      <c r="K240" s="141" t="s">
        <v>20</v>
      </c>
    </row>
    <row r="241" spans="1:11" ht="12.75" customHeight="1" x14ac:dyDescent="0.3">
      <c r="A241" s="141">
        <v>240</v>
      </c>
      <c r="B241" s="141" t="s">
        <v>935</v>
      </c>
      <c r="C241" s="141" t="s">
        <v>936</v>
      </c>
      <c r="D241" s="141" t="s">
        <v>31</v>
      </c>
      <c r="E241" s="141" t="s">
        <v>19</v>
      </c>
      <c r="F241" s="141" t="s">
        <v>62</v>
      </c>
      <c r="G241" s="141" t="s">
        <v>80</v>
      </c>
      <c r="H241" s="141" t="s">
        <v>48</v>
      </c>
      <c r="I241" s="141" t="s">
        <v>13</v>
      </c>
      <c r="J241" s="141" t="s">
        <v>74</v>
      </c>
      <c r="K241" s="141" t="s">
        <v>68</v>
      </c>
    </row>
    <row r="242" spans="1:11" ht="12.75" customHeight="1" x14ac:dyDescent="0.3">
      <c r="A242" s="141">
        <v>241</v>
      </c>
      <c r="B242" s="141" t="s">
        <v>937</v>
      </c>
      <c r="C242" s="141" t="s">
        <v>938</v>
      </c>
      <c r="D242" s="141" t="s">
        <v>19</v>
      </c>
      <c r="E242" s="141" t="s">
        <v>48</v>
      </c>
      <c r="F242" s="141" t="s">
        <v>31</v>
      </c>
      <c r="G242" s="141" t="s">
        <v>80</v>
      </c>
      <c r="H242" s="141" t="s">
        <v>74</v>
      </c>
      <c r="I242" s="141" t="s">
        <v>13</v>
      </c>
      <c r="J242" s="141" t="s">
        <v>55</v>
      </c>
      <c r="K242" s="141" t="s">
        <v>20</v>
      </c>
    </row>
    <row r="243" spans="1:11" ht="12.75" customHeight="1" x14ac:dyDescent="0.3">
      <c r="A243" s="141">
        <v>242</v>
      </c>
      <c r="B243" s="141" t="s">
        <v>939</v>
      </c>
      <c r="C243" s="141" t="s">
        <v>940</v>
      </c>
      <c r="D243" s="141" t="s">
        <v>19</v>
      </c>
      <c r="E243" s="141" t="s">
        <v>48</v>
      </c>
      <c r="F243" s="141" t="s">
        <v>31</v>
      </c>
      <c r="G243" s="141" t="s">
        <v>80</v>
      </c>
      <c r="H243" s="141" t="s">
        <v>68</v>
      </c>
      <c r="I243" s="141" t="s">
        <v>13</v>
      </c>
      <c r="J243" s="141" t="s">
        <v>55</v>
      </c>
      <c r="K243" s="141" t="s">
        <v>20</v>
      </c>
    </row>
    <row r="244" spans="1:11" ht="12.75" customHeight="1" x14ac:dyDescent="0.3">
      <c r="A244" s="141">
        <v>243</v>
      </c>
      <c r="B244" s="141" t="s">
        <v>941</v>
      </c>
      <c r="C244" s="141" t="s">
        <v>942</v>
      </c>
      <c r="D244" s="141" t="s">
        <v>19</v>
      </c>
      <c r="E244" s="141" t="s">
        <v>48</v>
      </c>
      <c r="F244" s="141" t="s">
        <v>31</v>
      </c>
      <c r="G244" s="141" t="s">
        <v>68</v>
      </c>
      <c r="H244" s="141" t="s">
        <v>74</v>
      </c>
      <c r="I244" s="141" t="s">
        <v>13</v>
      </c>
      <c r="J244" s="141" t="s">
        <v>55</v>
      </c>
      <c r="K244" s="141" t="s">
        <v>20</v>
      </c>
    </row>
    <row r="245" spans="1:11" ht="12.75" customHeight="1" x14ac:dyDescent="0.3">
      <c r="A245" s="141">
        <v>244</v>
      </c>
      <c r="B245" s="141" t="s">
        <v>943</v>
      </c>
      <c r="C245" s="141" t="s">
        <v>944</v>
      </c>
      <c r="D245" s="141" t="s">
        <v>19</v>
      </c>
      <c r="E245" s="141" t="s">
        <v>48</v>
      </c>
      <c r="F245" s="141" t="s">
        <v>31</v>
      </c>
      <c r="G245" s="141" t="s">
        <v>80</v>
      </c>
      <c r="H245" s="141" t="s">
        <v>74</v>
      </c>
      <c r="I245" s="141" t="s">
        <v>13</v>
      </c>
      <c r="J245" s="141" t="s">
        <v>55</v>
      </c>
      <c r="K245" s="141" t="s">
        <v>68</v>
      </c>
    </row>
    <row r="246" spans="1:11" ht="12.75" customHeight="1" x14ac:dyDescent="0.3">
      <c r="A246" s="141">
        <v>245</v>
      </c>
      <c r="B246" s="141" t="s">
        <v>945</v>
      </c>
      <c r="C246" s="141" t="s">
        <v>946</v>
      </c>
      <c r="D246" s="141" t="s">
        <v>31</v>
      </c>
      <c r="E246" s="141" t="s">
        <v>19</v>
      </c>
      <c r="F246" s="141" t="s">
        <v>62</v>
      </c>
      <c r="G246" s="141" t="s">
        <v>80</v>
      </c>
      <c r="H246" s="141" t="s">
        <v>48</v>
      </c>
      <c r="I246" s="141" t="s">
        <v>13</v>
      </c>
      <c r="J246" s="141" t="s">
        <v>55</v>
      </c>
      <c r="K246" s="141" t="s">
        <v>20</v>
      </c>
    </row>
    <row r="247" spans="1:11" ht="12.75" customHeight="1" x14ac:dyDescent="0.3">
      <c r="A247" s="141">
        <v>246</v>
      </c>
      <c r="B247" s="141" t="s">
        <v>947</v>
      </c>
      <c r="C247" s="141" t="s">
        <v>948</v>
      </c>
      <c r="D247" s="141" t="s">
        <v>19</v>
      </c>
      <c r="E247" s="141" t="s">
        <v>48</v>
      </c>
      <c r="F247" s="141" t="s">
        <v>31</v>
      </c>
      <c r="G247" s="141" t="s">
        <v>62</v>
      </c>
      <c r="H247" s="141" t="s">
        <v>74</v>
      </c>
      <c r="I247" s="141" t="s">
        <v>13</v>
      </c>
      <c r="J247" s="141" t="s">
        <v>55</v>
      </c>
      <c r="K247" s="141" t="s">
        <v>20</v>
      </c>
    </row>
    <row r="248" spans="1:11" ht="12.75" customHeight="1" x14ac:dyDescent="0.3">
      <c r="A248" s="141">
        <v>247</v>
      </c>
      <c r="B248" s="141" t="s">
        <v>949</v>
      </c>
      <c r="C248" s="141" t="s">
        <v>950</v>
      </c>
      <c r="D248" s="141" t="s">
        <v>31</v>
      </c>
      <c r="E248" s="141" t="s">
        <v>48</v>
      </c>
      <c r="F248" s="141" t="s">
        <v>62</v>
      </c>
      <c r="G248" s="141" t="s">
        <v>80</v>
      </c>
      <c r="H248" s="141" t="s">
        <v>74</v>
      </c>
      <c r="I248" s="141" t="s">
        <v>13</v>
      </c>
      <c r="J248" s="141" t="s">
        <v>55</v>
      </c>
      <c r="K248" s="141" t="s">
        <v>19</v>
      </c>
    </row>
    <row r="249" spans="1:11" ht="12.75" customHeight="1" x14ac:dyDescent="0.3">
      <c r="A249" s="141">
        <v>248</v>
      </c>
      <c r="B249" s="141" t="s">
        <v>951</v>
      </c>
      <c r="C249" s="141" t="s">
        <v>952</v>
      </c>
      <c r="D249" s="141" t="s">
        <v>31</v>
      </c>
      <c r="E249" s="141" t="s">
        <v>19</v>
      </c>
      <c r="F249" s="141" t="s">
        <v>62</v>
      </c>
      <c r="G249" s="141" t="s">
        <v>68</v>
      </c>
      <c r="H249" s="141" t="s">
        <v>48</v>
      </c>
      <c r="I249" s="141" t="s">
        <v>13</v>
      </c>
      <c r="J249" s="141" t="s">
        <v>55</v>
      </c>
      <c r="K249" s="141" t="s">
        <v>20</v>
      </c>
    </row>
    <row r="250" spans="1:11" ht="12.75" customHeight="1" x14ac:dyDescent="0.3">
      <c r="A250" s="141">
        <v>249</v>
      </c>
      <c r="B250" s="141" t="s">
        <v>953</v>
      </c>
      <c r="C250" s="141" t="s">
        <v>954</v>
      </c>
      <c r="D250" s="141" t="s">
        <v>31</v>
      </c>
      <c r="E250" s="141" t="s">
        <v>19</v>
      </c>
      <c r="F250" s="141" t="s">
        <v>62</v>
      </c>
      <c r="G250" s="141" t="s">
        <v>80</v>
      </c>
      <c r="H250" s="141" t="s">
        <v>48</v>
      </c>
      <c r="I250" s="141" t="s">
        <v>13</v>
      </c>
      <c r="J250" s="141" t="s">
        <v>55</v>
      </c>
      <c r="K250" s="141" t="s">
        <v>68</v>
      </c>
    </row>
    <row r="251" spans="1:11" ht="12.75" customHeight="1" x14ac:dyDescent="0.3">
      <c r="A251" s="141">
        <v>250</v>
      </c>
      <c r="B251" s="141" t="s">
        <v>955</v>
      </c>
      <c r="C251" s="141" t="s">
        <v>956</v>
      </c>
      <c r="D251" s="141" t="s">
        <v>31</v>
      </c>
      <c r="E251" s="141" t="s">
        <v>48</v>
      </c>
      <c r="F251" s="141" t="s">
        <v>62</v>
      </c>
      <c r="G251" s="141" t="s">
        <v>68</v>
      </c>
      <c r="H251" s="141" t="s">
        <v>74</v>
      </c>
      <c r="I251" s="141" t="s">
        <v>13</v>
      </c>
      <c r="J251" s="141" t="s">
        <v>55</v>
      </c>
      <c r="K251" s="141" t="s">
        <v>19</v>
      </c>
    </row>
    <row r="252" spans="1:11" ht="12.75" customHeight="1" x14ac:dyDescent="0.3">
      <c r="A252" s="141">
        <v>251</v>
      </c>
      <c r="B252" s="141" t="s">
        <v>957</v>
      </c>
      <c r="C252" s="141" t="s">
        <v>958</v>
      </c>
      <c r="D252" s="141" t="s">
        <v>31</v>
      </c>
      <c r="E252" s="141" t="s">
        <v>19</v>
      </c>
      <c r="F252" s="141" t="s">
        <v>42</v>
      </c>
      <c r="G252" s="141" t="s">
        <v>80</v>
      </c>
      <c r="H252" s="141" t="s">
        <v>68</v>
      </c>
      <c r="I252" s="141" t="s">
        <v>13</v>
      </c>
      <c r="J252" s="141" t="s">
        <v>74</v>
      </c>
      <c r="K252" s="141" t="s">
        <v>20</v>
      </c>
    </row>
    <row r="253" spans="1:11" ht="12.75" customHeight="1" x14ac:dyDescent="0.3">
      <c r="A253" s="141">
        <v>252</v>
      </c>
      <c r="B253" s="141" t="s">
        <v>959</v>
      </c>
      <c r="C253" s="141" t="s">
        <v>960</v>
      </c>
      <c r="D253" s="141" t="s">
        <v>31</v>
      </c>
      <c r="E253" s="141" t="s">
        <v>19</v>
      </c>
      <c r="F253" s="141" t="s">
        <v>62</v>
      </c>
      <c r="G253" s="141" t="s">
        <v>80</v>
      </c>
      <c r="H253" s="141" t="s">
        <v>42</v>
      </c>
      <c r="I253" s="141" t="s">
        <v>13</v>
      </c>
      <c r="J253" s="141" t="s">
        <v>74</v>
      </c>
      <c r="K253" s="141" t="s">
        <v>20</v>
      </c>
    </row>
    <row r="254" spans="1:11" ht="12.75" customHeight="1" x14ac:dyDescent="0.3">
      <c r="A254" s="141">
        <v>253</v>
      </c>
      <c r="B254" s="141" t="s">
        <v>961</v>
      </c>
      <c r="C254" s="141" t="s">
        <v>962</v>
      </c>
      <c r="D254" s="141" t="s">
        <v>31</v>
      </c>
      <c r="E254" s="141" t="s">
        <v>19</v>
      </c>
      <c r="F254" s="141" t="s">
        <v>62</v>
      </c>
      <c r="G254" s="141" t="s">
        <v>80</v>
      </c>
      <c r="H254" s="141" t="s">
        <v>68</v>
      </c>
      <c r="I254" s="141" t="s">
        <v>13</v>
      </c>
      <c r="J254" s="141" t="s">
        <v>42</v>
      </c>
      <c r="K254" s="141" t="s">
        <v>20</v>
      </c>
    </row>
    <row r="255" spans="1:11" ht="12.75" customHeight="1" x14ac:dyDescent="0.3">
      <c r="A255" s="141">
        <v>254</v>
      </c>
      <c r="B255" s="141" t="s">
        <v>963</v>
      </c>
      <c r="C255" s="141" t="s">
        <v>964</v>
      </c>
      <c r="D255" s="141" t="s">
        <v>31</v>
      </c>
      <c r="E255" s="141" t="s">
        <v>19</v>
      </c>
      <c r="F255" s="141" t="s">
        <v>62</v>
      </c>
      <c r="G255" s="141" t="s">
        <v>68</v>
      </c>
      <c r="H255" s="141" t="s">
        <v>42</v>
      </c>
      <c r="I255" s="141" t="s">
        <v>13</v>
      </c>
      <c r="J255" s="141" t="s">
        <v>74</v>
      </c>
      <c r="K255" s="141" t="s">
        <v>20</v>
      </c>
    </row>
    <row r="256" spans="1:11" ht="12.75" customHeight="1" x14ac:dyDescent="0.3">
      <c r="A256" s="141">
        <v>255</v>
      </c>
      <c r="B256" s="141" t="s">
        <v>965</v>
      </c>
      <c r="C256" s="141" t="s">
        <v>966</v>
      </c>
      <c r="D256" s="141" t="s">
        <v>31</v>
      </c>
      <c r="E256" s="141" t="s">
        <v>19</v>
      </c>
      <c r="F256" s="141" t="s">
        <v>62</v>
      </c>
      <c r="G256" s="141" t="s">
        <v>80</v>
      </c>
      <c r="H256" s="141" t="s">
        <v>42</v>
      </c>
      <c r="I256" s="141" t="s">
        <v>13</v>
      </c>
      <c r="J256" s="141" t="s">
        <v>74</v>
      </c>
      <c r="K256" s="141" t="s">
        <v>68</v>
      </c>
    </row>
    <row r="257" spans="1:11" ht="12.75" customHeight="1" x14ac:dyDescent="0.3">
      <c r="A257" s="141">
        <v>256</v>
      </c>
      <c r="B257" s="141" t="s">
        <v>967</v>
      </c>
      <c r="C257" s="141" t="s">
        <v>968</v>
      </c>
      <c r="D257" s="141" t="s">
        <v>31</v>
      </c>
      <c r="E257" s="141" t="s">
        <v>19</v>
      </c>
      <c r="F257" s="141" t="s">
        <v>42</v>
      </c>
      <c r="G257" s="141" t="s">
        <v>80</v>
      </c>
      <c r="H257" s="141" t="s">
        <v>74</v>
      </c>
      <c r="I257" s="141" t="s">
        <v>13</v>
      </c>
      <c r="J257" s="141" t="s">
        <v>55</v>
      </c>
      <c r="K257" s="141" t="s">
        <v>20</v>
      </c>
    </row>
    <row r="258" spans="1:11" ht="12.75" customHeight="1" x14ac:dyDescent="0.3">
      <c r="A258" s="141">
        <v>257</v>
      </c>
      <c r="B258" s="141" t="s">
        <v>969</v>
      </c>
      <c r="C258" s="141" t="s">
        <v>970</v>
      </c>
      <c r="D258" s="141" t="s">
        <v>31</v>
      </c>
      <c r="E258" s="141" t="s">
        <v>19</v>
      </c>
      <c r="F258" s="141" t="s">
        <v>42</v>
      </c>
      <c r="G258" s="141" t="s">
        <v>80</v>
      </c>
      <c r="H258" s="141" t="s">
        <v>68</v>
      </c>
      <c r="I258" s="141" t="s">
        <v>13</v>
      </c>
      <c r="J258" s="141" t="s">
        <v>55</v>
      </c>
      <c r="K258" s="141" t="s">
        <v>20</v>
      </c>
    </row>
    <row r="259" spans="1:11" ht="12.75" customHeight="1" x14ac:dyDescent="0.3">
      <c r="A259" s="141">
        <v>258</v>
      </c>
      <c r="B259" s="141" t="s">
        <v>971</v>
      </c>
      <c r="C259" s="141" t="s">
        <v>972</v>
      </c>
      <c r="D259" s="141" t="s">
        <v>31</v>
      </c>
      <c r="E259" s="141" t="s">
        <v>19</v>
      </c>
      <c r="F259" s="141" t="s">
        <v>42</v>
      </c>
      <c r="G259" s="141" t="s">
        <v>68</v>
      </c>
      <c r="H259" s="141" t="s">
        <v>74</v>
      </c>
      <c r="I259" s="141" t="s">
        <v>13</v>
      </c>
      <c r="J259" s="141" t="s">
        <v>55</v>
      </c>
      <c r="K259" s="141" t="s">
        <v>20</v>
      </c>
    </row>
    <row r="260" spans="1:11" ht="12.75" customHeight="1" x14ac:dyDescent="0.3">
      <c r="A260" s="141">
        <v>259</v>
      </c>
      <c r="B260" s="141" t="s">
        <v>973</v>
      </c>
      <c r="C260" s="141" t="s">
        <v>974</v>
      </c>
      <c r="D260" s="141" t="s">
        <v>31</v>
      </c>
      <c r="E260" s="141" t="s">
        <v>19</v>
      </c>
      <c r="F260" s="141" t="s">
        <v>42</v>
      </c>
      <c r="G260" s="141" t="s">
        <v>80</v>
      </c>
      <c r="H260" s="141" t="s">
        <v>74</v>
      </c>
      <c r="I260" s="141" t="s">
        <v>13</v>
      </c>
      <c r="J260" s="141" t="s">
        <v>55</v>
      </c>
      <c r="K260" s="141" t="s">
        <v>68</v>
      </c>
    </row>
    <row r="261" spans="1:11" ht="12.75" customHeight="1" x14ac:dyDescent="0.3">
      <c r="A261" s="141">
        <v>260</v>
      </c>
      <c r="B261" s="141" t="s">
        <v>975</v>
      </c>
      <c r="C261" s="141" t="s">
        <v>976</v>
      </c>
      <c r="D261" s="141" t="s">
        <v>31</v>
      </c>
      <c r="E261" s="141" t="s">
        <v>19</v>
      </c>
      <c r="F261" s="141" t="s">
        <v>62</v>
      </c>
      <c r="G261" s="141" t="s">
        <v>80</v>
      </c>
      <c r="H261" s="141" t="s">
        <v>42</v>
      </c>
      <c r="I261" s="141" t="s">
        <v>13</v>
      </c>
      <c r="J261" s="141" t="s">
        <v>55</v>
      </c>
      <c r="K261" s="141" t="s">
        <v>20</v>
      </c>
    </row>
    <row r="262" spans="1:11" ht="12.75" customHeight="1" x14ac:dyDescent="0.3">
      <c r="A262" s="141">
        <v>261</v>
      </c>
      <c r="B262" s="141" t="s">
        <v>977</v>
      </c>
      <c r="C262" s="141" t="s">
        <v>978</v>
      </c>
      <c r="D262" s="141" t="s">
        <v>31</v>
      </c>
      <c r="E262" s="141" t="s">
        <v>19</v>
      </c>
      <c r="F262" s="141" t="s">
        <v>62</v>
      </c>
      <c r="G262" s="141" t="s">
        <v>42</v>
      </c>
      <c r="H262" s="141" t="s">
        <v>74</v>
      </c>
      <c r="I262" s="141" t="s">
        <v>13</v>
      </c>
      <c r="J262" s="141" t="s">
        <v>55</v>
      </c>
      <c r="K262" s="141" t="s">
        <v>20</v>
      </c>
    </row>
    <row r="263" spans="1:11" ht="12.75" customHeight="1" x14ac:dyDescent="0.3">
      <c r="A263" s="141">
        <v>262</v>
      </c>
      <c r="B263" s="141" t="s">
        <v>979</v>
      </c>
      <c r="C263" s="141" t="s">
        <v>980</v>
      </c>
      <c r="D263" s="141" t="s">
        <v>31</v>
      </c>
      <c r="E263" s="141" t="s">
        <v>19</v>
      </c>
      <c r="F263" s="141" t="s">
        <v>62</v>
      </c>
      <c r="G263" s="141" t="s">
        <v>80</v>
      </c>
      <c r="H263" s="141" t="s">
        <v>74</v>
      </c>
      <c r="I263" s="141" t="s">
        <v>13</v>
      </c>
      <c r="J263" s="141" t="s">
        <v>55</v>
      </c>
      <c r="K263" s="141" t="s">
        <v>42</v>
      </c>
    </row>
    <row r="264" spans="1:11" ht="12.75" customHeight="1" x14ac:dyDescent="0.3">
      <c r="A264" s="141">
        <v>263</v>
      </c>
      <c r="B264" s="141" t="s">
        <v>981</v>
      </c>
      <c r="C264" s="141" t="s">
        <v>982</v>
      </c>
      <c r="D264" s="141" t="s">
        <v>31</v>
      </c>
      <c r="E264" s="141" t="s">
        <v>19</v>
      </c>
      <c r="F264" s="141" t="s">
        <v>62</v>
      </c>
      <c r="G264" s="141" t="s">
        <v>68</v>
      </c>
      <c r="H264" s="141" t="s">
        <v>42</v>
      </c>
      <c r="I264" s="141" t="s">
        <v>13</v>
      </c>
      <c r="J264" s="141" t="s">
        <v>55</v>
      </c>
      <c r="K264" s="141" t="s">
        <v>20</v>
      </c>
    </row>
    <row r="265" spans="1:11" ht="12.75" customHeight="1" x14ac:dyDescent="0.3">
      <c r="A265" s="141">
        <v>264</v>
      </c>
      <c r="B265" s="141" t="s">
        <v>983</v>
      </c>
      <c r="C265" s="141" t="s">
        <v>984</v>
      </c>
      <c r="D265" s="141" t="s">
        <v>31</v>
      </c>
      <c r="E265" s="141" t="s">
        <v>19</v>
      </c>
      <c r="F265" s="141" t="s">
        <v>62</v>
      </c>
      <c r="G265" s="141" t="s">
        <v>80</v>
      </c>
      <c r="H265" s="141" t="s">
        <v>42</v>
      </c>
      <c r="I265" s="141" t="s">
        <v>13</v>
      </c>
      <c r="J265" s="141" t="s">
        <v>55</v>
      </c>
      <c r="K265" s="141" t="s">
        <v>68</v>
      </c>
    </row>
    <row r="266" spans="1:11" ht="12.75" customHeight="1" x14ac:dyDescent="0.3">
      <c r="A266" s="141">
        <v>265</v>
      </c>
      <c r="B266" s="141" t="s">
        <v>985</v>
      </c>
      <c r="C266" s="141" t="s">
        <v>986</v>
      </c>
      <c r="D266" s="141" t="s">
        <v>31</v>
      </c>
      <c r="E266" s="141" t="s">
        <v>19</v>
      </c>
      <c r="F266" s="141" t="s">
        <v>62</v>
      </c>
      <c r="G266" s="141" t="s">
        <v>68</v>
      </c>
      <c r="H266" s="141" t="s">
        <v>74</v>
      </c>
      <c r="I266" s="141" t="s">
        <v>13</v>
      </c>
      <c r="J266" s="141" t="s">
        <v>55</v>
      </c>
      <c r="K266" s="141" t="s">
        <v>42</v>
      </c>
    </row>
    <row r="267" spans="1:11" ht="12.75" customHeight="1" x14ac:dyDescent="0.3">
      <c r="A267" s="141">
        <v>266</v>
      </c>
      <c r="B267" s="141" t="s">
        <v>987</v>
      </c>
      <c r="C267" s="141" t="s">
        <v>988</v>
      </c>
      <c r="D267" s="141" t="s">
        <v>19</v>
      </c>
      <c r="E267" s="141" t="s">
        <v>48</v>
      </c>
      <c r="F267" s="141" t="s">
        <v>31</v>
      </c>
      <c r="G267" s="141" t="s">
        <v>80</v>
      </c>
      <c r="H267" s="141" t="s">
        <v>42</v>
      </c>
      <c r="I267" s="141" t="s">
        <v>13</v>
      </c>
      <c r="J267" s="141" t="s">
        <v>74</v>
      </c>
      <c r="K267" s="141" t="s">
        <v>20</v>
      </c>
    </row>
    <row r="268" spans="1:11" ht="12.75" customHeight="1" x14ac:dyDescent="0.3">
      <c r="A268" s="141">
        <v>267</v>
      </c>
      <c r="B268" s="141" t="s">
        <v>989</v>
      </c>
      <c r="C268" s="141" t="s">
        <v>990</v>
      </c>
      <c r="D268" s="141" t="s">
        <v>19</v>
      </c>
      <c r="E268" s="141" t="s">
        <v>48</v>
      </c>
      <c r="F268" s="141" t="s">
        <v>31</v>
      </c>
      <c r="G268" s="141" t="s">
        <v>80</v>
      </c>
      <c r="H268" s="141" t="s">
        <v>68</v>
      </c>
      <c r="I268" s="141" t="s">
        <v>13</v>
      </c>
      <c r="J268" s="141" t="s">
        <v>42</v>
      </c>
      <c r="K268" s="141" t="s">
        <v>20</v>
      </c>
    </row>
    <row r="269" spans="1:11" ht="12.75" customHeight="1" x14ac:dyDescent="0.3">
      <c r="A269" s="141">
        <v>268</v>
      </c>
      <c r="B269" s="141" t="s">
        <v>991</v>
      </c>
      <c r="C269" s="141" t="s">
        <v>992</v>
      </c>
      <c r="D269" s="141" t="s">
        <v>19</v>
      </c>
      <c r="E269" s="141" t="s">
        <v>48</v>
      </c>
      <c r="F269" s="141" t="s">
        <v>31</v>
      </c>
      <c r="G269" s="141" t="s">
        <v>68</v>
      </c>
      <c r="H269" s="141" t="s">
        <v>42</v>
      </c>
      <c r="I269" s="141" t="s">
        <v>13</v>
      </c>
      <c r="J269" s="141" t="s">
        <v>74</v>
      </c>
      <c r="K269" s="141" t="s">
        <v>20</v>
      </c>
    </row>
    <row r="270" spans="1:11" ht="12.75" customHeight="1" x14ac:dyDescent="0.3">
      <c r="A270" s="141">
        <v>269</v>
      </c>
      <c r="B270" s="141" t="s">
        <v>993</v>
      </c>
      <c r="C270" s="141" t="s">
        <v>994</v>
      </c>
      <c r="D270" s="141" t="s">
        <v>19</v>
      </c>
      <c r="E270" s="141" t="s">
        <v>48</v>
      </c>
      <c r="F270" s="141" t="s">
        <v>31</v>
      </c>
      <c r="G270" s="141" t="s">
        <v>80</v>
      </c>
      <c r="H270" s="141" t="s">
        <v>42</v>
      </c>
      <c r="I270" s="141" t="s">
        <v>13</v>
      </c>
      <c r="J270" s="141" t="s">
        <v>74</v>
      </c>
      <c r="K270" s="141" t="s">
        <v>68</v>
      </c>
    </row>
    <row r="271" spans="1:11" ht="12.75" customHeight="1" x14ac:dyDescent="0.3">
      <c r="A271" s="141">
        <v>270</v>
      </c>
      <c r="B271" s="141" t="s">
        <v>995</v>
      </c>
      <c r="C271" s="141" t="s">
        <v>996</v>
      </c>
      <c r="D271" s="141" t="s">
        <v>31</v>
      </c>
      <c r="E271" s="141" t="s">
        <v>19</v>
      </c>
      <c r="F271" s="141" t="s">
        <v>62</v>
      </c>
      <c r="G271" s="141" t="s">
        <v>80</v>
      </c>
      <c r="H271" s="141" t="s">
        <v>48</v>
      </c>
      <c r="I271" s="141" t="s">
        <v>13</v>
      </c>
      <c r="J271" s="141" t="s">
        <v>42</v>
      </c>
      <c r="K271" s="141" t="s">
        <v>20</v>
      </c>
    </row>
    <row r="272" spans="1:11" ht="12.75" customHeight="1" x14ac:dyDescent="0.3">
      <c r="A272" s="141">
        <v>271</v>
      </c>
      <c r="B272" s="141" t="s">
        <v>997</v>
      </c>
      <c r="C272" s="141" t="s">
        <v>998</v>
      </c>
      <c r="D272" s="141" t="s">
        <v>31</v>
      </c>
      <c r="E272" s="141" t="s">
        <v>19</v>
      </c>
      <c r="F272" s="141" t="s">
        <v>62</v>
      </c>
      <c r="G272" s="141" t="s">
        <v>42</v>
      </c>
      <c r="H272" s="141" t="s">
        <v>48</v>
      </c>
      <c r="I272" s="141" t="s">
        <v>13</v>
      </c>
      <c r="J272" s="141" t="s">
        <v>74</v>
      </c>
      <c r="K272" s="141" t="s">
        <v>20</v>
      </c>
    </row>
    <row r="273" spans="1:11" ht="12.75" customHeight="1" x14ac:dyDescent="0.3">
      <c r="A273" s="141">
        <v>272</v>
      </c>
      <c r="B273" s="141" t="s">
        <v>999</v>
      </c>
      <c r="C273" s="141" t="s">
        <v>1000</v>
      </c>
      <c r="D273" s="141" t="s">
        <v>31</v>
      </c>
      <c r="E273" s="141" t="s">
        <v>48</v>
      </c>
      <c r="F273" s="141" t="s">
        <v>62</v>
      </c>
      <c r="G273" s="141" t="s">
        <v>80</v>
      </c>
      <c r="H273" s="141" t="s">
        <v>42</v>
      </c>
      <c r="I273" s="141" t="s">
        <v>13</v>
      </c>
      <c r="J273" s="141" t="s">
        <v>74</v>
      </c>
      <c r="K273" s="141" t="s">
        <v>19</v>
      </c>
    </row>
    <row r="274" spans="1:11" ht="12.75" customHeight="1" x14ac:dyDescent="0.3">
      <c r="A274" s="141">
        <v>273</v>
      </c>
      <c r="B274" s="141" t="s">
        <v>1001</v>
      </c>
      <c r="C274" s="141" t="s">
        <v>1002</v>
      </c>
      <c r="D274" s="141" t="s">
        <v>31</v>
      </c>
      <c r="E274" s="141" t="s">
        <v>19</v>
      </c>
      <c r="F274" s="141" t="s">
        <v>62</v>
      </c>
      <c r="G274" s="141" t="s">
        <v>68</v>
      </c>
      <c r="H274" s="141" t="s">
        <v>48</v>
      </c>
      <c r="I274" s="141" t="s">
        <v>13</v>
      </c>
      <c r="J274" s="141" t="s">
        <v>42</v>
      </c>
      <c r="K274" s="141" t="s">
        <v>20</v>
      </c>
    </row>
    <row r="275" spans="1:11" ht="12.75" customHeight="1" x14ac:dyDescent="0.3">
      <c r="A275" s="141">
        <v>274</v>
      </c>
      <c r="B275" s="141" t="s">
        <v>1003</v>
      </c>
      <c r="C275" s="141" t="s">
        <v>1004</v>
      </c>
      <c r="D275" s="141" t="s">
        <v>31</v>
      </c>
      <c r="E275" s="141" t="s">
        <v>19</v>
      </c>
      <c r="F275" s="141" t="s">
        <v>62</v>
      </c>
      <c r="G275" s="141" t="s">
        <v>80</v>
      </c>
      <c r="H275" s="141" t="s">
        <v>48</v>
      </c>
      <c r="I275" s="141" t="s">
        <v>13</v>
      </c>
      <c r="J275" s="141" t="s">
        <v>42</v>
      </c>
      <c r="K275" s="141" t="s">
        <v>68</v>
      </c>
    </row>
    <row r="276" spans="1:11" ht="12.75" customHeight="1" x14ac:dyDescent="0.3">
      <c r="A276" s="141">
        <v>275</v>
      </c>
      <c r="B276" s="141" t="s">
        <v>1005</v>
      </c>
      <c r="C276" s="141" t="s">
        <v>1006</v>
      </c>
      <c r="D276" s="141" t="s">
        <v>31</v>
      </c>
      <c r="E276" s="141" t="s">
        <v>48</v>
      </c>
      <c r="F276" s="141" t="s">
        <v>62</v>
      </c>
      <c r="G276" s="141" t="s">
        <v>68</v>
      </c>
      <c r="H276" s="141" t="s">
        <v>42</v>
      </c>
      <c r="I276" s="141" t="s">
        <v>13</v>
      </c>
      <c r="J276" s="141" t="s">
        <v>74</v>
      </c>
      <c r="K276" s="141" t="s">
        <v>19</v>
      </c>
    </row>
    <row r="277" spans="1:11" ht="12.75" customHeight="1" x14ac:dyDescent="0.3">
      <c r="A277" s="141">
        <v>276</v>
      </c>
      <c r="B277" s="141" t="s">
        <v>1007</v>
      </c>
      <c r="C277" s="141" t="s">
        <v>1008</v>
      </c>
      <c r="D277" s="141" t="s">
        <v>19</v>
      </c>
      <c r="E277" s="141" t="s">
        <v>48</v>
      </c>
      <c r="F277" s="141" t="s">
        <v>31</v>
      </c>
      <c r="G277" s="141" t="s">
        <v>80</v>
      </c>
      <c r="H277" s="141" t="s">
        <v>42</v>
      </c>
      <c r="I277" s="141" t="s">
        <v>13</v>
      </c>
      <c r="J277" s="141" t="s">
        <v>55</v>
      </c>
      <c r="K277" s="141" t="s">
        <v>20</v>
      </c>
    </row>
    <row r="278" spans="1:11" ht="12.75" customHeight="1" x14ac:dyDescent="0.3">
      <c r="A278" s="141">
        <v>277</v>
      </c>
      <c r="B278" s="141" t="s">
        <v>1009</v>
      </c>
      <c r="C278" s="141" t="s">
        <v>1010</v>
      </c>
      <c r="D278" s="141" t="s">
        <v>19</v>
      </c>
      <c r="E278" s="141" t="s">
        <v>48</v>
      </c>
      <c r="F278" s="141" t="s">
        <v>31</v>
      </c>
      <c r="G278" s="141" t="s">
        <v>42</v>
      </c>
      <c r="H278" s="141" t="s">
        <v>74</v>
      </c>
      <c r="I278" s="141" t="s">
        <v>13</v>
      </c>
      <c r="J278" s="141" t="s">
        <v>55</v>
      </c>
      <c r="K278" s="141" t="s">
        <v>20</v>
      </c>
    </row>
    <row r="279" spans="1:11" ht="12.75" customHeight="1" x14ac:dyDescent="0.3">
      <c r="A279" s="141">
        <v>278</v>
      </c>
      <c r="B279" s="141" t="s">
        <v>1011</v>
      </c>
      <c r="C279" s="141" t="s">
        <v>1012</v>
      </c>
      <c r="D279" s="141" t="s">
        <v>19</v>
      </c>
      <c r="E279" s="141" t="s">
        <v>48</v>
      </c>
      <c r="F279" s="141" t="s">
        <v>31</v>
      </c>
      <c r="G279" s="141" t="s">
        <v>80</v>
      </c>
      <c r="H279" s="141" t="s">
        <v>74</v>
      </c>
      <c r="I279" s="141" t="s">
        <v>13</v>
      </c>
      <c r="J279" s="141" t="s">
        <v>55</v>
      </c>
      <c r="K279" s="141" t="s">
        <v>42</v>
      </c>
    </row>
    <row r="280" spans="1:11" ht="12.75" customHeight="1" x14ac:dyDescent="0.3">
      <c r="A280" s="141">
        <v>279</v>
      </c>
      <c r="B280" s="141" t="s">
        <v>1013</v>
      </c>
      <c r="C280" s="141" t="s">
        <v>1014</v>
      </c>
      <c r="D280" s="141" t="s">
        <v>19</v>
      </c>
      <c r="E280" s="141" t="s">
        <v>48</v>
      </c>
      <c r="F280" s="141" t="s">
        <v>31</v>
      </c>
      <c r="G280" s="141" t="s">
        <v>68</v>
      </c>
      <c r="H280" s="141" t="s">
        <v>42</v>
      </c>
      <c r="I280" s="141" t="s">
        <v>13</v>
      </c>
      <c r="J280" s="141" t="s">
        <v>55</v>
      </c>
      <c r="K280" s="141" t="s">
        <v>20</v>
      </c>
    </row>
    <row r="281" spans="1:11" ht="12.75" customHeight="1" x14ac:dyDescent="0.3">
      <c r="A281" s="141">
        <v>280</v>
      </c>
      <c r="B281" s="141" t="s">
        <v>1015</v>
      </c>
      <c r="C281" s="141" t="s">
        <v>1016</v>
      </c>
      <c r="D281" s="141" t="s">
        <v>19</v>
      </c>
      <c r="E281" s="141" t="s">
        <v>48</v>
      </c>
      <c r="F281" s="141" t="s">
        <v>31</v>
      </c>
      <c r="G281" s="141" t="s">
        <v>80</v>
      </c>
      <c r="H281" s="141" t="s">
        <v>42</v>
      </c>
      <c r="I281" s="141" t="s">
        <v>13</v>
      </c>
      <c r="J281" s="141" t="s">
        <v>55</v>
      </c>
      <c r="K281" s="141" t="s">
        <v>68</v>
      </c>
    </row>
    <row r="282" spans="1:11" ht="12.75" customHeight="1" x14ac:dyDescent="0.3">
      <c r="A282" s="141">
        <v>281</v>
      </c>
      <c r="B282" s="141" t="s">
        <v>1017</v>
      </c>
      <c r="C282" s="141" t="s">
        <v>1018</v>
      </c>
      <c r="D282" s="141" t="s">
        <v>19</v>
      </c>
      <c r="E282" s="141" t="s">
        <v>48</v>
      </c>
      <c r="F282" s="141" t="s">
        <v>31</v>
      </c>
      <c r="G282" s="141" t="s">
        <v>68</v>
      </c>
      <c r="H282" s="141" t="s">
        <v>74</v>
      </c>
      <c r="I282" s="141" t="s">
        <v>13</v>
      </c>
      <c r="J282" s="141" t="s">
        <v>55</v>
      </c>
      <c r="K282" s="141" t="s">
        <v>42</v>
      </c>
    </row>
    <row r="283" spans="1:11" ht="12.75" customHeight="1" x14ac:dyDescent="0.3">
      <c r="A283" s="141">
        <v>282</v>
      </c>
      <c r="B283" s="141" t="s">
        <v>1019</v>
      </c>
      <c r="C283" s="141" t="s">
        <v>1020</v>
      </c>
      <c r="D283" s="141" t="s">
        <v>31</v>
      </c>
      <c r="E283" s="141" t="s">
        <v>19</v>
      </c>
      <c r="F283" s="141" t="s">
        <v>62</v>
      </c>
      <c r="G283" s="141" t="s">
        <v>42</v>
      </c>
      <c r="H283" s="141" t="s">
        <v>48</v>
      </c>
      <c r="I283" s="141" t="s">
        <v>13</v>
      </c>
      <c r="J283" s="141" t="s">
        <v>55</v>
      </c>
      <c r="K283" s="141" t="s">
        <v>20</v>
      </c>
    </row>
    <row r="284" spans="1:11" ht="12.75" customHeight="1" x14ac:dyDescent="0.3">
      <c r="A284" s="141">
        <v>283</v>
      </c>
      <c r="B284" s="141" t="s">
        <v>1021</v>
      </c>
      <c r="C284" s="141" t="s">
        <v>1022</v>
      </c>
      <c r="D284" s="141" t="s">
        <v>31</v>
      </c>
      <c r="E284" s="141" t="s">
        <v>48</v>
      </c>
      <c r="F284" s="141" t="s">
        <v>62</v>
      </c>
      <c r="G284" s="141" t="s">
        <v>80</v>
      </c>
      <c r="H284" s="141" t="s">
        <v>42</v>
      </c>
      <c r="I284" s="141" t="s">
        <v>13</v>
      </c>
      <c r="J284" s="141" t="s">
        <v>55</v>
      </c>
      <c r="K284" s="141" t="s">
        <v>19</v>
      </c>
    </row>
    <row r="285" spans="1:11" ht="12.75" customHeight="1" x14ac:dyDescent="0.3">
      <c r="A285" s="141">
        <v>284</v>
      </c>
      <c r="B285" s="141" t="s">
        <v>1023</v>
      </c>
      <c r="C285" s="141" t="s">
        <v>1024</v>
      </c>
      <c r="D285" s="141" t="s">
        <v>31</v>
      </c>
      <c r="E285" s="141" t="s">
        <v>48</v>
      </c>
      <c r="F285" s="141" t="s">
        <v>62</v>
      </c>
      <c r="G285" s="141" t="s">
        <v>42</v>
      </c>
      <c r="H285" s="141" t="s">
        <v>74</v>
      </c>
      <c r="I285" s="141" t="s">
        <v>13</v>
      </c>
      <c r="J285" s="141" t="s">
        <v>55</v>
      </c>
      <c r="K285" s="141" t="s">
        <v>19</v>
      </c>
    </row>
    <row r="286" spans="1:11" ht="12.75" customHeight="1" x14ac:dyDescent="0.3">
      <c r="A286" s="141">
        <v>285</v>
      </c>
      <c r="B286" s="141" t="s">
        <v>1025</v>
      </c>
      <c r="C286" s="141" t="s">
        <v>1026</v>
      </c>
      <c r="D286" s="141" t="s">
        <v>31</v>
      </c>
      <c r="E286" s="141" t="s">
        <v>48</v>
      </c>
      <c r="F286" s="141" t="s">
        <v>62</v>
      </c>
      <c r="G286" s="141" t="s">
        <v>68</v>
      </c>
      <c r="H286" s="141" t="s">
        <v>42</v>
      </c>
      <c r="I286" s="141" t="s">
        <v>13</v>
      </c>
      <c r="J286" s="141" t="s">
        <v>55</v>
      </c>
      <c r="K286" s="141" t="s">
        <v>19</v>
      </c>
    </row>
    <row r="287" spans="1:11" ht="12.75" customHeight="1" x14ac:dyDescent="0.3">
      <c r="A287" s="141">
        <v>286</v>
      </c>
      <c r="B287" s="141" t="s">
        <v>1027</v>
      </c>
      <c r="C287" s="141" t="s">
        <v>1028</v>
      </c>
      <c r="D287" s="141" t="s">
        <v>13</v>
      </c>
      <c r="E287" s="141" t="s">
        <v>55</v>
      </c>
      <c r="F287" s="141" t="s">
        <v>62</v>
      </c>
      <c r="G287" s="141" t="s">
        <v>80</v>
      </c>
      <c r="H287" s="141" t="s">
        <v>25</v>
      </c>
      <c r="I287" s="141" t="s">
        <v>68</v>
      </c>
      <c r="J287" s="141" t="s">
        <v>74</v>
      </c>
      <c r="K287" s="141" t="s">
        <v>20</v>
      </c>
    </row>
    <row r="288" spans="1:11" ht="12.75" customHeight="1" x14ac:dyDescent="0.3">
      <c r="A288" s="141">
        <v>287</v>
      </c>
      <c r="B288" s="141" t="s">
        <v>1029</v>
      </c>
      <c r="C288" s="141" t="s">
        <v>1030</v>
      </c>
      <c r="D288" s="141" t="s">
        <v>13</v>
      </c>
      <c r="E288" s="141" t="s">
        <v>48</v>
      </c>
      <c r="F288" s="141" t="s">
        <v>62</v>
      </c>
      <c r="G288" s="141" t="s">
        <v>80</v>
      </c>
      <c r="H288" s="141" t="s">
        <v>25</v>
      </c>
      <c r="I288" s="141" t="s">
        <v>68</v>
      </c>
      <c r="J288" s="141" t="s">
        <v>74</v>
      </c>
      <c r="K288" s="141" t="s">
        <v>20</v>
      </c>
    </row>
    <row r="289" spans="1:11" ht="12.75" customHeight="1" x14ac:dyDescent="0.3">
      <c r="A289" s="141">
        <v>288</v>
      </c>
      <c r="B289" s="141" t="s">
        <v>1031</v>
      </c>
      <c r="C289" s="141" t="s">
        <v>1032</v>
      </c>
      <c r="D289" s="141" t="s">
        <v>48</v>
      </c>
      <c r="E289" s="141" t="s">
        <v>55</v>
      </c>
      <c r="F289" s="141" t="s">
        <v>68</v>
      </c>
      <c r="G289" s="141" t="s">
        <v>80</v>
      </c>
      <c r="H289" s="141" t="s">
        <v>25</v>
      </c>
      <c r="I289" s="141" t="s">
        <v>13</v>
      </c>
      <c r="J289" s="141" t="s">
        <v>74</v>
      </c>
      <c r="K289" s="141" t="s">
        <v>20</v>
      </c>
    </row>
    <row r="290" spans="1:11" ht="12.75" customHeight="1" x14ac:dyDescent="0.3">
      <c r="A290" s="141">
        <v>289</v>
      </c>
      <c r="B290" s="141" t="s">
        <v>1033</v>
      </c>
      <c r="C290" s="141" t="s">
        <v>1034</v>
      </c>
      <c r="D290" s="141" t="s">
        <v>48</v>
      </c>
      <c r="E290" s="141" t="s">
        <v>55</v>
      </c>
      <c r="F290" s="141" t="s">
        <v>62</v>
      </c>
      <c r="G290" s="141" t="s">
        <v>80</v>
      </c>
      <c r="H290" s="141" t="s">
        <v>25</v>
      </c>
      <c r="I290" s="141" t="s">
        <v>13</v>
      </c>
      <c r="J290" s="141" t="s">
        <v>74</v>
      </c>
      <c r="K290" s="141" t="s">
        <v>20</v>
      </c>
    </row>
    <row r="291" spans="1:11" ht="12.75" customHeight="1" x14ac:dyDescent="0.3">
      <c r="A291" s="141">
        <v>290</v>
      </c>
      <c r="B291" s="141" t="s">
        <v>1035</v>
      </c>
      <c r="C291" s="141" t="s">
        <v>1036</v>
      </c>
      <c r="D291" s="141" t="s">
        <v>13</v>
      </c>
      <c r="E291" s="141" t="s">
        <v>48</v>
      </c>
      <c r="F291" s="141" t="s">
        <v>62</v>
      </c>
      <c r="G291" s="141" t="s">
        <v>80</v>
      </c>
      <c r="H291" s="141" t="s">
        <v>25</v>
      </c>
      <c r="I291" s="141" t="s">
        <v>68</v>
      </c>
      <c r="J291" s="141" t="s">
        <v>55</v>
      </c>
      <c r="K291" s="141" t="s">
        <v>20</v>
      </c>
    </row>
    <row r="292" spans="1:11" ht="12.75" customHeight="1" x14ac:dyDescent="0.3">
      <c r="A292" s="141">
        <v>291</v>
      </c>
      <c r="B292" s="141" t="s">
        <v>1037</v>
      </c>
      <c r="C292" s="141" t="s">
        <v>1038</v>
      </c>
      <c r="D292" s="141" t="s">
        <v>48</v>
      </c>
      <c r="E292" s="141" t="s">
        <v>55</v>
      </c>
      <c r="F292" s="141" t="s">
        <v>62</v>
      </c>
      <c r="G292" s="141" t="s">
        <v>68</v>
      </c>
      <c r="H292" s="141" t="s">
        <v>25</v>
      </c>
      <c r="I292" s="141" t="s">
        <v>13</v>
      </c>
      <c r="J292" s="141" t="s">
        <v>74</v>
      </c>
      <c r="K292" s="141" t="s">
        <v>20</v>
      </c>
    </row>
    <row r="293" spans="1:11" ht="12.75" customHeight="1" x14ac:dyDescent="0.3">
      <c r="A293" s="141">
        <v>292</v>
      </c>
      <c r="B293" s="141" t="s">
        <v>1039</v>
      </c>
      <c r="C293" s="141" t="s">
        <v>1040</v>
      </c>
      <c r="D293" s="141" t="s">
        <v>48</v>
      </c>
      <c r="E293" s="141" t="s">
        <v>55</v>
      </c>
      <c r="F293" s="141" t="s">
        <v>62</v>
      </c>
      <c r="G293" s="141" t="s">
        <v>80</v>
      </c>
      <c r="H293" s="141" t="s">
        <v>25</v>
      </c>
      <c r="I293" s="141" t="s">
        <v>13</v>
      </c>
      <c r="J293" s="141" t="s">
        <v>74</v>
      </c>
      <c r="K293" s="141" t="s">
        <v>68</v>
      </c>
    </row>
    <row r="294" spans="1:11" ht="12.75" customHeight="1" x14ac:dyDescent="0.3">
      <c r="A294" s="141">
        <v>293</v>
      </c>
      <c r="B294" s="141" t="s">
        <v>1041</v>
      </c>
      <c r="C294" s="141" t="s">
        <v>1042</v>
      </c>
      <c r="D294" s="141" t="s">
        <v>13</v>
      </c>
      <c r="E294" s="141" t="s">
        <v>62</v>
      </c>
      <c r="F294" s="141" t="s">
        <v>42</v>
      </c>
      <c r="G294" s="141" t="s">
        <v>80</v>
      </c>
      <c r="H294" s="141" t="s">
        <v>25</v>
      </c>
      <c r="I294" s="141" t="s">
        <v>68</v>
      </c>
      <c r="J294" s="141" t="s">
        <v>74</v>
      </c>
      <c r="K294" s="141" t="s">
        <v>20</v>
      </c>
    </row>
    <row r="295" spans="1:11" ht="12.75" customHeight="1" x14ac:dyDescent="0.3">
      <c r="A295" s="141">
        <v>294</v>
      </c>
      <c r="B295" s="141" t="s">
        <v>1043</v>
      </c>
      <c r="C295" s="141" t="s">
        <v>1044</v>
      </c>
      <c r="D295" s="141" t="s">
        <v>13</v>
      </c>
      <c r="E295" s="141" t="s">
        <v>55</v>
      </c>
      <c r="F295" s="141" t="s">
        <v>42</v>
      </c>
      <c r="G295" s="141" t="s">
        <v>80</v>
      </c>
      <c r="H295" s="141" t="s">
        <v>25</v>
      </c>
      <c r="I295" s="141" t="s">
        <v>68</v>
      </c>
      <c r="J295" s="141" t="s">
        <v>74</v>
      </c>
      <c r="K295" s="141" t="s">
        <v>20</v>
      </c>
    </row>
    <row r="296" spans="1:11" ht="12.75" customHeight="1" x14ac:dyDescent="0.3">
      <c r="A296" s="141">
        <v>295</v>
      </c>
      <c r="B296" s="141" t="s">
        <v>1045</v>
      </c>
      <c r="C296" s="141" t="s">
        <v>1046</v>
      </c>
      <c r="D296" s="141" t="s">
        <v>13</v>
      </c>
      <c r="E296" s="141" t="s">
        <v>55</v>
      </c>
      <c r="F296" s="141" t="s">
        <v>42</v>
      </c>
      <c r="G296" s="141" t="s">
        <v>80</v>
      </c>
      <c r="H296" s="141" t="s">
        <v>25</v>
      </c>
      <c r="I296" s="141" t="s">
        <v>62</v>
      </c>
      <c r="J296" s="141" t="s">
        <v>74</v>
      </c>
      <c r="K296" s="141" t="s">
        <v>20</v>
      </c>
    </row>
    <row r="297" spans="1:11" ht="12.75" customHeight="1" x14ac:dyDescent="0.3">
      <c r="A297" s="141">
        <v>296</v>
      </c>
      <c r="B297" s="141" t="s">
        <v>1047</v>
      </c>
      <c r="C297" s="141" t="s">
        <v>1048</v>
      </c>
      <c r="D297" s="141" t="s">
        <v>13</v>
      </c>
      <c r="E297" s="141" t="s">
        <v>62</v>
      </c>
      <c r="F297" s="141" t="s">
        <v>42</v>
      </c>
      <c r="G297" s="141" t="s">
        <v>80</v>
      </c>
      <c r="H297" s="141" t="s">
        <v>25</v>
      </c>
      <c r="I297" s="141" t="s">
        <v>68</v>
      </c>
      <c r="J297" s="141" t="s">
        <v>55</v>
      </c>
      <c r="K297" s="141" t="s">
        <v>20</v>
      </c>
    </row>
    <row r="298" spans="1:11" ht="12.75" customHeight="1" x14ac:dyDescent="0.3">
      <c r="A298" s="141">
        <v>297</v>
      </c>
      <c r="B298" s="141" t="s">
        <v>1049</v>
      </c>
      <c r="C298" s="141" t="s">
        <v>1050</v>
      </c>
      <c r="D298" s="141" t="s">
        <v>13</v>
      </c>
      <c r="E298" s="141" t="s">
        <v>55</v>
      </c>
      <c r="F298" s="141" t="s">
        <v>42</v>
      </c>
      <c r="G298" s="141" t="s">
        <v>68</v>
      </c>
      <c r="H298" s="141" t="s">
        <v>25</v>
      </c>
      <c r="I298" s="141" t="s">
        <v>62</v>
      </c>
      <c r="J298" s="141" t="s">
        <v>74</v>
      </c>
      <c r="K298" s="141" t="s">
        <v>20</v>
      </c>
    </row>
    <row r="299" spans="1:11" ht="12.75" customHeight="1" x14ac:dyDescent="0.3">
      <c r="A299" s="141">
        <v>298</v>
      </c>
      <c r="B299" s="141" t="s">
        <v>1051</v>
      </c>
      <c r="C299" s="141" t="s">
        <v>1052</v>
      </c>
      <c r="D299" s="141" t="s">
        <v>13</v>
      </c>
      <c r="E299" s="141" t="s">
        <v>55</v>
      </c>
      <c r="F299" s="141" t="s">
        <v>42</v>
      </c>
      <c r="G299" s="141" t="s">
        <v>80</v>
      </c>
      <c r="H299" s="141" t="s">
        <v>25</v>
      </c>
      <c r="I299" s="141" t="s">
        <v>62</v>
      </c>
      <c r="J299" s="141" t="s">
        <v>74</v>
      </c>
      <c r="K299" s="141" t="s">
        <v>68</v>
      </c>
    </row>
    <row r="300" spans="1:11" ht="12.75" customHeight="1" x14ac:dyDescent="0.3">
      <c r="A300" s="141">
        <v>299</v>
      </c>
      <c r="B300" s="141" t="s">
        <v>1053</v>
      </c>
      <c r="C300" s="141" t="s">
        <v>1054</v>
      </c>
      <c r="D300" s="141" t="s">
        <v>13</v>
      </c>
      <c r="E300" s="141" t="s">
        <v>48</v>
      </c>
      <c r="F300" s="141" t="s">
        <v>42</v>
      </c>
      <c r="G300" s="141" t="s">
        <v>80</v>
      </c>
      <c r="H300" s="141" t="s">
        <v>25</v>
      </c>
      <c r="I300" s="141" t="s">
        <v>68</v>
      </c>
      <c r="J300" s="141" t="s">
        <v>74</v>
      </c>
      <c r="K300" s="141" t="s">
        <v>20</v>
      </c>
    </row>
    <row r="301" spans="1:11" ht="12.75" customHeight="1" x14ac:dyDescent="0.3">
      <c r="A301" s="141">
        <v>300</v>
      </c>
      <c r="B301" s="141" t="s">
        <v>1055</v>
      </c>
      <c r="C301" s="141" t="s">
        <v>1056</v>
      </c>
      <c r="D301" s="141" t="s">
        <v>48</v>
      </c>
      <c r="E301" s="141" t="s">
        <v>62</v>
      </c>
      <c r="F301" s="141" t="s">
        <v>42</v>
      </c>
      <c r="G301" s="141" t="s">
        <v>80</v>
      </c>
      <c r="H301" s="141" t="s">
        <v>25</v>
      </c>
      <c r="I301" s="141" t="s">
        <v>13</v>
      </c>
      <c r="J301" s="141" t="s">
        <v>74</v>
      </c>
      <c r="K301" s="141" t="s">
        <v>20</v>
      </c>
    </row>
    <row r="302" spans="1:11" ht="12.75" customHeight="1" x14ac:dyDescent="0.3">
      <c r="A302" s="141">
        <v>301</v>
      </c>
      <c r="B302" s="141" t="s">
        <v>1057</v>
      </c>
      <c r="C302" s="141" t="s">
        <v>1058</v>
      </c>
      <c r="D302" s="141" t="s">
        <v>48</v>
      </c>
      <c r="E302" s="141" t="s">
        <v>62</v>
      </c>
      <c r="F302" s="141" t="s">
        <v>42</v>
      </c>
      <c r="G302" s="141" t="s">
        <v>80</v>
      </c>
      <c r="H302" s="141" t="s">
        <v>25</v>
      </c>
      <c r="I302" s="141" t="s">
        <v>13</v>
      </c>
      <c r="J302" s="141" t="s">
        <v>68</v>
      </c>
      <c r="K302" s="141" t="s">
        <v>20</v>
      </c>
    </row>
    <row r="303" spans="1:11" ht="12.75" customHeight="1" x14ac:dyDescent="0.3">
      <c r="A303" s="141">
        <v>302</v>
      </c>
      <c r="B303" s="141" t="s">
        <v>1059</v>
      </c>
      <c r="C303" s="141" t="s">
        <v>1060</v>
      </c>
      <c r="D303" s="141" t="s">
        <v>48</v>
      </c>
      <c r="E303" s="141" t="s">
        <v>62</v>
      </c>
      <c r="F303" s="141" t="s">
        <v>42</v>
      </c>
      <c r="G303" s="141" t="s">
        <v>68</v>
      </c>
      <c r="H303" s="141" t="s">
        <v>25</v>
      </c>
      <c r="I303" s="141" t="s">
        <v>13</v>
      </c>
      <c r="J303" s="141" t="s">
        <v>74</v>
      </c>
      <c r="K303" s="141" t="s">
        <v>20</v>
      </c>
    </row>
    <row r="304" spans="1:11" ht="12.75" customHeight="1" x14ac:dyDescent="0.3">
      <c r="A304" s="141">
        <v>303</v>
      </c>
      <c r="B304" s="141" t="s">
        <v>1061</v>
      </c>
      <c r="C304" s="141" t="s">
        <v>1062</v>
      </c>
      <c r="D304" s="141" t="s">
        <v>48</v>
      </c>
      <c r="E304" s="141" t="s">
        <v>62</v>
      </c>
      <c r="F304" s="141" t="s">
        <v>42</v>
      </c>
      <c r="G304" s="141" t="s">
        <v>80</v>
      </c>
      <c r="H304" s="141" t="s">
        <v>25</v>
      </c>
      <c r="I304" s="141" t="s">
        <v>13</v>
      </c>
      <c r="J304" s="141" t="s">
        <v>74</v>
      </c>
      <c r="K304" s="141" t="s">
        <v>68</v>
      </c>
    </row>
    <row r="305" spans="1:11" ht="12.75" customHeight="1" x14ac:dyDescent="0.3">
      <c r="A305" s="141">
        <v>304</v>
      </c>
      <c r="B305" s="141" t="s">
        <v>1063</v>
      </c>
      <c r="C305" s="141" t="s">
        <v>1064</v>
      </c>
      <c r="D305" s="141" t="s">
        <v>48</v>
      </c>
      <c r="E305" s="141" t="s">
        <v>55</v>
      </c>
      <c r="F305" s="141" t="s">
        <v>42</v>
      </c>
      <c r="G305" s="141" t="s">
        <v>80</v>
      </c>
      <c r="H305" s="141" t="s">
        <v>25</v>
      </c>
      <c r="I305" s="141" t="s">
        <v>13</v>
      </c>
      <c r="J305" s="141" t="s">
        <v>74</v>
      </c>
      <c r="K305" s="141" t="s">
        <v>20</v>
      </c>
    </row>
    <row r="306" spans="1:11" ht="12.75" customHeight="1" x14ac:dyDescent="0.3">
      <c r="A306" s="141">
        <v>305</v>
      </c>
      <c r="B306" s="141" t="s">
        <v>1065</v>
      </c>
      <c r="C306" s="141" t="s">
        <v>1066</v>
      </c>
      <c r="D306" s="141" t="s">
        <v>13</v>
      </c>
      <c r="E306" s="141" t="s">
        <v>48</v>
      </c>
      <c r="F306" s="141" t="s">
        <v>42</v>
      </c>
      <c r="G306" s="141" t="s">
        <v>80</v>
      </c>
      <c r="H306" s="141" t="s">
        <v>25</v>
      </c>
      <c r="I306" s="141" t="s">
        <v>68</v>
      </c>
      <c r="J306" s="141" t="s">
        <v>55</v>
      </c>
      <c r="K306" s="141" t="s">
        <v>20</v>
      </c>
    </row>
    <row r="307" spans="1:11" ht="12.75" customHeight="1" x14ac:dyDescent="0.3">
      <c r="A307" s="141">
        <v>306</v>
      </c>
      <c r="B307" s="141" t="s">
        <v>1067</v>
      </c>
      <c r="C307" s="141" t="s">
        <v>1068</v>
      </c>
      <c r="D307" s="141" t="s">
        <v>48</v>
      </c>
      <c r="E307" s="141" t="s">
        <v>55</v>
      </c>
      <c r="F307" s="141" t="s">
        <v>42</v>
      </c>
      <c r="G307" s="141" t="s">
        <v>68</v>
      </c>
      <c r="H307" s="141" t="s">
        <v>25</v>
      </c>
      <c r="I307" s="141" t="s">
        <v>13</v>
      </c>
      <c r="J307" s="141" t="s">
        <v>74</v>
      </c>
      <c r="K307" s="141" t="s">
        <v>20</v>
      </c>
    </row>
    <row r="308" spans="1:11" ht="12.75" customHeight="1" x14ac:dyDescent="0.3">
      <c r="A308" s="141">
        <v>307</v>
      </c>
      <c r="B308" s="141" t="s">
        <v>1069</v>
      </c>
      <c r="C308" s="141" t="s">
        <v>1070</v>
      </c>
      <c r="D308" s="141" t="s">
        <v>48</v>
      </c>
      <c r="E308" s="141" t="s">
        <v>55</v>
      </c>
      <c r="F308" s="141" t="s">
        <v>42</v>
      </c>
      <c r="G308" s="141" t="s">
        <v>80</v>
      </c>
      <c r="H308" s="141" t="s">
        <v>25</v>
      </c>
      <c r="I308" s="141" t="s">
        <v>13</v>
      </c>
      <c r="J308" s="141" t="s">
        <v>74</v>
      </c>
      <c r="K308" s="141" t="s">
        <v>68</v>
      </c>
    </row>
    <row r="309" spans="1:11" ht="12.75" customHeight="1" x14ac:dyDescent="0.3">
      <c r="A309" s="141">
        <v>308</v>
      </c>
      <c r="B309" s="141" t="s">
        <v>1071</v>
      </c>
      <c r="C309" s="141" t="s">
        <v>1072</v>
      </c>
      <c r="D309" s="141" t="s">
        <v>48</v>
      </c>
      <c r="E309" s="141" t="s">
        <v>62</v>
      </c>
      <c r="F309" s="141" t="s">
        <v>42</v>
      </c>
      <c r="G309" s="141" t="s">
        <v>80</v>
      </c>
      <c r="H309" s="141" t="s">
        <v>25</v>
      </c>
      <c r="I309" s="141" t="s">
        <v>13</v>
      </c>
      <c r="J309" s="141" t="s">
        <v>55</v>
      </c>
      <c r="K309" s="141" t="s">
        <v>20</v>
      </c>
    </row>
    <row r="310" spans="1:11" ht="12.75" customHeight="1" x14ac:dyDescent="0.3">
      <c r="A310" s="141">
        <v>309</v>
      </c>
      <c r="B310" s="141" t="s">
        <v>1073</v>
      </c>
      <c r="C310" s="141" t="s">
        <v>1074</v>
      </c>
      <c r="D310" s="141" t="s">
        <v>48</v>
      </c>
      <c r="E310" s="141" t="s">
        <v>55</v>
      </c>
      <c r="F310" s="141" t="s">
        <v>62</v>
      </c>
      <c r="G310" s="141" t="s">
        <v>42</v>
      </c>
      <c r="H310" s="141" t="s">
        <v>25</v>
      </c>
      <c r="I310" s="141" t="s">
        <v>13</v>
      </c>
      <c r="J310" s="141" t="s">
        <v>74</v>
      </c>
      <c r="K310" s="141" t="s">
        <v>20</v>
      </c>
    </row>
    <row r="311" spans="1:11" ht="12.75" customHeight="1" x14ac:dyDescent="0.3">
      <c r="A311" s="141">
        <v>310</v>
      </c>
      <c r="B311" s="141" t="s">
        <v>1075</v>
      </c>
      <c r="C311" s="141" t="s">
        <v>1076</v>
      </c>
      <c r="D311" s="141" t="s">
        <v>48</v>
      </c>
      <c r="E311" s="141" t="s">
        <v>55</v>
      </c>
      <c r="F311" s="141" t="s">
        <v>62</v>
      </c>
      <c r="G311" s="141" t="s">
        <v>80</v>
      </c>
      <c r="H311" s="141" t="s">
        <v>25</v>
      </c>
      <c r="I311" s="141" t="s">
        <v>13</v>
      </c>
      <c r="J311" s="141" t="s">
        <v>74</v>
      </c>
      <c r="K311" s="141" t="s">
        <v>42</v>
      </c>
    </row>
    <row r="312" spans="1:11" ht="12.75" customHeight="1" x14ac:dyDescent="0.3">
      <c r="A312" s="141">
        <v>311</v>
      </c>
      <c r="B312" s="141" t="s">
        <v>1077</v>
      </c>
      <c r="C312" s="141" t="s">
        <v>1078</v>
      </c>
      <c r="D312" s="141" t="s">
        <v>48</v>
      </c>
      <c r="E312" s="141" t="s">
        <v>62</v>
      </c>
      <c r="F312" s="141" t="s">
        <v>42</v>
      </c>
      <c r="G312" s="141" t="s">
        <v>68</v>
      </c>
      <c r="H312" s="141" t="s">
        <v>25</v>
      </c>
      <c r="I312" s="141" t="s">
        <v>13</v>
      </c>
      <c r="J312" s="141" t="s">
        <v>55</v>
      </c>
      <c r="K312" s="141" t="s">
        <v>20</v>
      </c>
    </row>
    <row r="313" spans="1:11" ht="12.75" customHeight="1" x14ac:dyDescent="0.3">
      <c r="A313" s="141">
        <v>312</v>
      </c>
      <c r="B313" s="141" t="s">
        <v>1079</v>
      </c>
      <c r="C313" s="141" t="s">
        <v>1080</v>
      </c>
      <c r="D313" s="141" t="s">
        <v>48</v>
      </c>
      <c r="E313" s="141" t="s">
        <v>62</v>
      </c>
      <c r="F313" s="141" t="s">
        <v>42</v>
      </c>
      <c r="G313" s="141" t="s">
        <v>80</v>
      </c>
      <c r="H313" s="141" t="s">
        <v>25</v>
      </c>
      <c r="I313" s="141" t="s">
        <v>13</v>
      </c>
      <c r="J313" s="141" t="s">
        <v>55</v>
      </c>
      <c r="K313" s="141" t="s">
        <v>68</v>
      </c>
    </row>
    <row r="314" spans="1:11" ht="12.75" customHeight="1" x14ac:dyDescent="0.3">
      <c r="A314" s="141">
        <v>313</v>
      </c>
      <c r="B314" s="141" t="s">
        <v>1081</v>
      </c>
      <c r="C314" s="141" t="s">
        <v>1082</v>
      </c>
      <c r="D314" s="141" t="s">
        <v>48</v>
      </c>
      <c r="E314" s="141" t="s">
        <v>55</v>
      </c>
      <c r="F314" s="141" t="s">
        <v>62</v>
      </c>
      <c r="G314" s="141" t="s">
        <v>68</v>
      </c>
      <c r="H314" s="141" t="s">
        <v>25</v>
      </c>
      <c r="I314" s="141" t="s">
        <v>13</v>
      </c>
      <c r="J314" s="141" t="s">
        <v>74</v>
      </c>
      <c r="K314" s="141" t="s">
        <v>42</v>
      </c>
    </row>
    <row r="315" spans="1:11" ht="12.75" customHeight="1" x14ac:dyDescent="0.3">
      <c r="A315" s="141">
        <v>314</v>
      </c>
      <c r="B315" s="141" t="s">
        <v>1083</v>
      </c>
      <c r="C315" s="141" t="s">
        <v>1084</v>
      </c>
      <c r="D315" s="141" t="s">
        <v>19</v>
      </c>
      <c r="E315" s="141" t="s">
        <v>62</v>
      </c>
      <c r="F315" s="141" t="s">
        <v>68</v>
      </c>
      <c r="G315" s="141" t="s">
        <v>80</v>
      </c>
      <c r="H315" s="141" t="s">
        <v>25</v>
      </c>
      <c r="I315" s="141" t="s">
        <v>13</v>
      </c>
      <c r="J315" s="141" t="s">
        <v>74</v>
      </c>
      <c r="K315" s="141" t="s">
        <v>20</v>
      </c>
    </row>
    <row r="316" spans="1:11" ht="12.75" customHeight="1" x14ac:dyDescent="0.3">
      <c r="A316" s="141">
        <v>315</v>
      </c>
      <c r="B316" s="141" t="s">
        <v>1085</v>
      </c>
      <c r="C316" s="141" t="s">
        <v>1086</v>
      </c>
      <c r="D316" s="141" t="s">
        <v>19</v>
      </c>
      <c r="E316" s="141" t="s">
        <v>55</v>
      </c>
      <c r="F316" s="141" t="s">
        <v>68</v>
      </c>
      <c r="G316" s="141" t="s">
        <v>80</v>
      </c>
      <c r="H316" s="141" t="s">
        <v>25</v>
      </c>
      <c r="I316" s="141" t="s">
        <v>13</v>
      </c>
      <c r="J316" s="141" t="s">
        <v>74</v>
      </c>
      <c r="K316" s="141" t="s">
        <v>20</v>
      </c>
    </row>
    <row r="317" spans="1:11" ht="12.75" customHeight="1" x14ac:dyDescent="0.3">
      <c r="A317" s="141">
        <v>316</v>
      </c>
      <c r="B317" s="141" t="s">
        <v>1087</v>
      </c>
      <c r="C317" s="141" t="s">
        <v>1088</v>
      </c>
      <c r="D317" s="141" t="s">
        <v>19</v>
      </c>
      <c r="E317" s="141" t="s">
        <v>55</v>
      </c>
      <c r="F317" s="141" t="s">
        <v>62</v>
      </c>
      <c r="G317" s="141" t="s">
        <v>80</v>
      </c>
      <c r="H317" s="141" t="s">
        <v>25</v>
      </c>
      <c r="I317" s="141" t="s">
        <v>13</v>
      </c>
      <c r="J317" s="141" t="s">
        <v>74</v>
      </c>
      <c r="K317" s="141" t="s">
        <v>20</v>
      </c>
    </row>
    <row r="318" spans="1:11" ht="12.75" customHeight="1" x14ac:dyDescent="0.3">
      <c r="A318" s="141">
        <v>317</v>
      </c>
      <c r="B318" s="141" t="s">
        <v>1089</v>
      </c>
      <c r="C318" s="141" t="s">
        <v>1090</v>
      </c>
      <c r="D318" s="141" t="s">
        <v>19</v>
      </c>
      <c r="E318" s="141" t="s">
        <v>62</v>
      </c>
      <c r="F318" s="141" t="s">
        <v>68</v>
      </c>
      <c r="G318" s="141" t="s">
        <v>80</v>
      </c>
      <c r="H318" s="141" t="s">
        <v>25</v>
      </c>
      <c r="I318" s="141" t="s">
        <v>13</v>
      </c>
      <c r="J318" s="141" t="s">
        <v>55</v>
      </c>
      <c r="K318" s="141" t="s">
        <v>20</v>
      </c>
    </row>
    <row r="319" spans="1:11" ht="12.75" customHeight="1" x14ac:dyDescent="0.3">
      <c r="A319" s="141">
        <v>318</v>
      </c>
      <c r="B319" s="141" t="s">
        <v>1091</v>
      </c>
      <c r="C319" s="141" t="s">
        <v>1092</v>
      </c>
      <c r="D319" s="141" t="s">
        <v>19</v>
      </c>
      <c r="E319" s="141" t="s">
        <v>55</v>
      </c>
      <c r="F319" s="141" t="s">
        <v>62</v>
      </c>
      <c r="G319" s="141" t="s">
        <v>68</v>
      </c>
      <c r="H319" s="141" t="s">
        <v>25</v>
      </c>
      <c r="I319" s="141" t="s">
        <v>13</v>
      </c>
      <c r="J319" s="141" t="s">
        <v>74</v>
      </c>
      <c r="K319" s="141" t="s">
        <v>20</v>
      </c>
    </row>
    <row r="320" spans="1:11" ht="12.75" customHeight="1" x14ac:dyDescent="0.3">
      <c r="A320" s="141">
        <v>319</v>
      </c>
      <c r="B320" s="141" t="s">
        <v>1093</v>
      </c>
      <c r="C320" s="141" t="s">
        <v>1094</v>
      </c>
      <c r="D320" s="141" t="s">
        <v>19</v>
      </c>
      <c r="E320" s="141" t="s">
        <v>55</v>
      </c>
      <c r="F320" s="141" t="s">
        <v>62</v>
      </c>
      <c r="G320" s="141" t="s">
        <v>80</v>
      </c>
      <c r="H320" s="141" t="s">
        <v>25</v>
      </c>
      <c r="I320" s="141" t="s">
        <v>13</v>
      </c>
      <c r="J320" s="141" t="s">
        <v>74</v>
      </c>
      <c r="K320" s="141" t="s">
        <v>68</v>
      </c>
    </row>
    <row r="321" spans="1:11" ht="12.75" customHeight="1" x14ac:dyDescent="0.3">
      <c r="A321" s="141">
        <v>320</v>
      </c>
      <c r="B321" s="141" t="s">
        <v>1095</v>
      </c>
      <c r="C321" s="141" t="s">
        <v>1096</v>
      </c>
      <c r="D321" s="141" t="s">
        <v>19</v>
      </c>
      <c r="E321" s="141" t="s">
        <v>48</v>
      </c>
      <c r="F321" s="141" t="s">
        <v>68</v>
      </c>
      <c r="G321" s="141" t="s">
        <v>80</v>
      </c>
      <c r="H321" s="141" t="s">
        <v>25</v>
      </c>
      <c r="I321" s="141" t="s">
        <v>13</v>
      </c>
      <c r="J321" s="141" t="s">
        <v>74</v>
      </c>
      <c r="K321" s="141" t="s">
        <v>20</v>
      </c>
    </row>
    <row r="322" spans="1:11" ht="12.75" customHeight="1" x14ac:dyDescent="0.3">
      <c r="A322" s="141">
        <v>321</v>
      </c>
      <c r="B322" s="141" t="s">
        <v>1097</v>
      </c>
      <c r="C322" s="141" t="s">
        <v>1098</v>
      </c>
      <c r="D322" s="141" t="s">
        <v>19</v>
      </c>
      <c r="E322" s="141" t="s">
        <v>48</v>
      </c>
      <c r="F322" s="141" t="s">
        <v>62</v>
      </c>
      <c r="G322" s="141" t="s">
        <v>80</v>
      </c>
      <c r="H322" s="141" t="s">
        <v>25</v>
      </c>
      <c r="I322" s="141" t="s">
        <v>13</v>
      </c>
      <c r="J322" s="141" t="s">
        <v>74</v>
      </c>
      <c r="K322" s="141" t="s">
        <v>20</v>
      </c>
    </row>
    <row r="323" spans="1:11" ht="12.75" customHeight="1" x14ac:dyDescent="0.3">
      <c r="A323" s="141">
        <v>322</v>
      </c>
      <c r="B323" s="141" t="s">
        <v>1099</v>
      </c>
      <c r="C323" s="141" t="s">
        <v>1100</v>
      </c>
      <c r="D323" s="141" t="s">
        <v>19</v>
      </c>
      <c r="E323" s="141" t="s">
        <v>48</v>
      </c>
      <c r="F323" s="141" t="s">
        <v>62</v>
      </c>
      <c r="G323" s="141" t="s">
        <v>80</v>
      </c>
      <c r="H323" s="141" t="s">
        <v>25</v>
      </c>
      <c r="I323" s="141" t="s">
        <v>13</v>
      </c>
      <c r="J323" s="141" t="s">
        <v>68</v>
      </c>
      <c r="K323" s="141" t="s">
        <v>20</v>
      </c>
    </row>
    <row r="324" spans="1:11" ht="12.75" customHeight="1" x14ac:dyDescent="0.3">
      <c r="A324" s="141">
        <v>323</v>
      </c>
      <c r="B324" s="141" t="s">
        <v>1101</v>
      </c>
      <c r="C324" s="141" t="s">
        <v>1102</v>
      </c>
      <c r="D324" s="141" t="s">
        <v>19</v>
      </c>
      <c r="E324" s="141" t="s">
        <v>48</v>
      </c>
      <c r="F324" s="141" t="s">
        <v>62</v>
      </c>
      <c r="G324" s="141" t="s">
        <v>68</v>
      </c>
      <c r="H324" s="141" t="s">
        <v>25</v>
      </c>
      <c r="I324" s="141" t="s">
        <v>13</v>
      </c>
      <c r="J324" s="141" t="s">
        <v>74</v>
      </c>
      <c r="K324" s="141" t="s">
        <v>20</v>
      </c>
    </row>
    <row r="325" spans="1:11" ht="12.75" customHeight="1" x14ac:dyDescent="0.3">
      <c r="A325" s="141">
        <v>324</v>
      </c>
      <c r="B325" s="141" t="s">
        <v>1103</v>
      </c>
      <c r="C325" s="141" t="s">
        <v>1104</v>
      </c>
      <c r="D325" s="141" t="s">
        <v>19</v>
      </c>
      <c r="E325" s="141" t="s">
        <v>48</v>
      </c>
      <c r="F325" s="141" t="s">
        <v>62</v>
      </c>
      <c r="G325" s="141" t="s">
        <v>80</v>
      </c>
      <c r="H325" s="141" t="s">
        <v>25</v>
      </c>
      <c r="I325" s="141" t="s">
        <v>13</v>
      </c>
      <c r="J325" s="141" t="s">
        <v>74</v>
      </c>
      <c r="K325" s="141" t="s">
        <v>68</v>
      </c>
    </row>
    <row r="326" spans="1:11" ht="12.75" customHeight="1" x14ac:dyDescent="0.3">
      <c r="A326" s="141">
        <v>325</v>
      </c>
      <c r="B326" s="141" t="s">
        <v>1105</v>
      </c>
      <c r="C326" s="141" t="s">
        <v>1106</v>
      </c>
      <c r="D326" s="141" t="s">
        <v>19</v>
      </c>
      <c r="E326" s="141" t="s">
        <v>55</v>
      </c>
      <c r="F326" s="141" t="s">
        <v>48</v>
      </c>
      <c r="G326" s="141" t="s">
        <v>80</v>
      </c>
      <c r="H326" s="141" t="s">
        <v>25</v>
      </c>
      <c r="I326" s="141" t="s">
        <v>13</v>
      </c>
      <c r="J326" s="141" t="s">
        <v>74</v>
      </c>
      <c r="K326" s="141" t="s">
        <v>20</v>
      </c>
    </row>
    <row r="327" spans="1:11" ht="12.75" customHeight="1" x14ac:dyDescent="0.3">
      <c r="A327" s="141">
        <v>326</v>
      </c>
      <c r="B327" s="141" t="s">
        <v>1107</v>
      </c>
      <c r="C327" s="141" t="s">
        <v>1108</v>
      </c>
      <c r="D327" s="141" t="s">
        <v>19</v>
      </c>
      <c r="E327" s="141" t="s">
        <v>48</v>
      </c>
      <c r="F327" s="141" t="s">
        <v>68</v>
      </c>
      <c r="G327" s="141" t="s">
        <v>80</v>
      </c>
      <c r="H327" s="141" t="s">
        <v>25</v>
      </c>
      <c r="I327" s="141" t="s">
        <v>13</v>
      </c>
      <c r="J327" s="141" t="s">
        <v>55</v>
      </c>
      <c r="K327" s="141" t="s">
        <v>20</v>
      </c>
    </row>
    <row r="328" spans="1:11" ht="12.75" customHeight="1" x14ac:dyDescent="0.3">
      <c r="A328" s="141">
        <v>327</v>
      </c>
      <c r="B328" s="141" t="s">
        <v>1109</v>
      </c>
      <c r="C328" s="141" t="s">
        <v>1110</v>
      </c>
      <c r="D328" s="141" t="s">
        <v>19</v>
      </c>
      <c r="E328" s="141" t="s">
        <v>55</v>
      </c>
      <c r="F328" s="141" t="s">
        <v>48</v>
      </c>
      <c r="G328" s="141" t="s">
        <v>68</v>
      </c>
      <c r="H328" s="141" t="s">
        <v>25</v>
      </c>
      <c r="I328" s="141" t="s">
        <v>13</v>
      </c>
      <c r="J328" s="141" t="s">
        <v>74</v>
      </c>
      <c r="K328" s="141" t="s">
        <v>20</v>
      </c>
    </row>
    <row r="329" spans="1:11" ht="12.75" customHeight="1" x14ac:dyDescent="0.3">
      <c r="A329" s="141">
        <v>328</v>
      </c>
      <c r="B329" s="141" t="s">
        <v>1111</v>
      </c>
      <c r="C329" s="141" t="s">
        <v>1112</v>
      </c>
      <c r="D329" s="141" t="s">
        <v>19</v>
      </c>
      <c r="E329" s="141" t="s">
        <v>55</v>
      </c>
      <c r="F329" s="141" t="s">
        <v>48</v>
      </c>
      <c r="G329" s="141" t="s">
        <v>80</v>
      </c>
      <c r="H329" s="141" t="s">
        <v>25</v>
      </c>
      <c r="I329" s="141" t="s">
        <v>13</v>
      </c>
      <c r="J329" s="141" t="s">
        <v>74</v>
      </c>
      <c r="K329" s="141" t="s">
        <v>68</v>
      </c>
    </row>
    <row r="330" spans="1:11" ht="12.75" customHeight="1" x14ac:dyDescent="0.3">
      <c r="A330" s="141">
        <v>329</v>
      </c>
      <c r="B330" s="141" t="s">
        <v>1113</v>
      </c>
      <c r="C330" s="141" t="s">
        <v>1114</v>
      </c>
      <c r="D330" s="141" t="s">
        <v>19</v>
      </c>
      <c r="E330" s="141" t="s">
        <v>48</v>
      </c>
      <c r="F330" s="141" t="s">
        <v>62</v>
      </c>
      <c r="G330" s="141" t="s">
        <v>80</v>
      </c>
      <c r="H330" s="141" t="s">
        <v>25</v>
      </c>
      <c r="I330" s="141" t="s">
        <v>13</v>
      </c>
      <c r="J330" s="141" t="s">
        <v>55</v>
      </c>
      <c r="K330" s="141" t="s">
        <v>20</v>
      </c>
    </row>
    <row r="331" spans="1:11" ht="12.75" customHeight="1" x14ac:dyDescent="0.3">
      <c r="A331" s="141">
        <v>330</v>
      </c>
      <c r="B331" s="141" t="s">
        <v>1115</v>
      </c>
      <c r="C331" s="141" t="s">
        <v>1116</v>
      </c>
      <c r="D331" s="141" t="s">
        <v>19</v>
      </c>
      <c r="E331" s="141" t="s">
        <v>48</v>
      </c>
      <c r="F331" s="141" t="s">
        <v>62</v>
      </c>
      <c r="G331" s="141" t="s">
        <v>74</v>
      </c>
      <c r="H331" s="141" t="s">
        <v>25</v>
      </c>
      <c r="I331" s="141" t="s">
        <v>13</v>
      </c>
      <c r="J331" s="141" t="s">
        <v>55</v>
      </c>
      <c r="K331" s="141" t="s">
        <v>20</v>
      </c>
    </row>
    <row r="332" spans="1:11" ht="12.75" customHeight="1" x14ac:dyDescent="0.3">
      <c r="A332" s="141">
        <v>331</v>
      </c>
      <c r="B332" s="141" t="s">
        <v>1117</v>
      </c>
      <c r="C332" s="141" t="s">
        <v>1118</v>
      </c>
      <c r="D332" s="141" t="s">
        <v>19</v>
      </c>
      <c r="E332" s="141" t="s">
        <v>48</v>
      </c>
      <c r="F332" s="141" t="s">
        <v>62</v>
      </c>
      <c r="G332" s="141" t="s">
        <v>80</v>
      </c>
      <c r="H332" s="141" t="s">
        <v>25</v>
      </c>
      <c r="I332" s="141" t="s">
        <v>13</v>
      </c>
      <c r="J332" s="141" t="s">
        <v>55</v>
      </c>
      <c r="K332" s="141" t="s">
        <v>74</v>
      </c>
    </row>
    <row r="333" spans="1:11" ht="12.75" customHeight="1" x14ac:dyDescent="0.3">
      <c r="A333" s="141">
        <v>332</v>
      </c>
      <c r="B333" s="141" t="s">
        <v>1119</v>
      </c>
      <c r="C333" s="141" t="s">
        <v>1120</v>
      </c>
      <c r="D333" s="141" t="s">
        <v>19</v>
      </c>
      <c r="E333" s="141" t="s">
        <v>48</v>
      </c>
      <c r="F333" s="141" t="s">
        <v>62</v>
      </c>
      <c r="G333" s="141" t="s">
        <v>68</v>
      </c>
      <c r="H333" s="141" t="s">
        <v>25</v>
      </c>
      <c r="I333" s="141" t="s">
        <v>13</v>
      </c>
      <c r="J333" s="141" t="s">
        <v>55</v>
      </c>
      <c r="K333" s="141" t="s">
        <v>20</v>
      </c>
    </row>
    <row r="334" spans="1:11" ht="12.75" customHeight="1" x14ac:dyDescent="0.3">
      <c r="A334" s="141">
        <v>333</v>
      </c>
      <c r="B334" s="141" t="s">
        <v>1121</v>
      </c>
      <c r="C334" s="141" t="s">
        <v>1122</v>
      </c>
      <c r="D334" s="141" t="s">
        <v>19</v>
      </c>
      <c r="E334" s="141" t="s">
        <v>48</v>
      </c>
      <c r="F334" s="141" t="s">
        <v>62</v>
      </c>
      <c r="G334" s="141" t="s">
        <v>80</v>
      </c>
      <c r="H334" s="141" t="s">
        <v>25</v>
      </c>
      <c r="I334" s="141" t="s">
        <v>13</v>
      </c>
      <c r="J334" s="141" t="s">
        <v>55</v>
      </c>
      <c r="K334" s="141" t="s">
        <v>68</v>
      </c>
    </row>
    <row r="335" spans="1:11" ht="12.75" customHeight="1" x14ac:dyDescent="0.3">
      <c r="A335" s="141">
        <v>334</v>
      </c>
      <c r="B335" s="141" t="s">
        <v>1123</v>
      </c>
      <c r="C335" s="141" t="s">
        <v>1124</v>
      </c>
      <c r="D335" s="141" t="s">
        <v>19</v>
      </c>
      <c r="E335" s="141" t="s">
        <v>48</v>
      </c>
      <c r="F335" s="141" t="s">
        <v>62</v>
      </c>
      <c r="G335" s="141" t="s">
        <v>74</v>
      </c>
      <c r="H335" s="141" t="s">
        <v>25</v>
      </c>
      <c r="I335" s="141" t="s">
        <v>13</v>
      </c>
      <c r="J335" s="141" t="s">
        <v>55</v>
      </c>
      <c r="K335" s="141" t="s">
        <v>68</v>
      </c>
    </row>
    <row r="336" spans="1:11" ht="12.75" customHeight="1" x14ac:dyDescent="0.3">
      <c r="A336" s="141">
        <v>335</v>
      </c>
      <c r="B336" s="141" t="s">
        <v>1125</v>
      </c>
      <c r="C336" s="141" t="s">
        <v>1126</v>
      </c>
      <c r="D336" s="141" t="s">
        <v>13</v>
      </c>
      <c r="E336" s="141" t="s">
        <v>19</v>
      </c>
      <c r="F336" s="141" t="s">
        <v>42</v>
      </c>
      <c r="G336" s="141" t="s">
        <v>80</v>
      </c>
      <c r="H336" s="141" t="s">
        <v>25</v>
      </c>
      <c r="I336" s="141" t="s">
        <v>68</v>
      </c>
      <c r="J336" s="141" t="s">
        <v>74</v>
      </c>
      <c r="K336" s="141" t="s">
        <v>20</v>
      </c>
    </row>
    <row r="337" spans="1:11" ht="12.75" customHeight="1" x14ac:dyDescent="0.3">
      <c r="A337" s="141">
        <v>336</v>
      </c>
      <c r="B337" s="141" t="s">
        <v>1127</v>
      </c>
      <c r="C337" s="141" t="s">
        <v>1128</v>
      </c>
      <c r="D337" s="141" t="s">
        <v>19</v>
      </c>
      <c r="E337" s="141" t="s">
        <v>62</v>
      </c>
      <c r="F337" s="141" t="s">
        <v>42</v>
      </c>
      <c r="G337" s="141" t="s">
        <v>80</v>
      </c>
      <c r="H337" s="141" t="s">
        <v>25</v>
      </c>
      <c r="I337" s="141" t="s">
        <v>13</v>
      </c>
      <c r="J337" s="141" t="s">
        <v>74</v>
      </c>
      <c r="K337" s="141" t="s">
        <v>20</v>
      </c>
    </row>
    <row r="338" spans="1:11" ht="12.75" customHeight="1" x14ac:dyDescent="0.3">
      <c r="A338" s="141">
        <v>337</v>
      </c>
      <c r="B338" s="141" t="s">
        <v>1129</v>
      </c>
      <c r="C338" s="141" t="s">
        <v>1130</v>
      </c>
      <c r="D338" s="141" t="s">
        <v>19</v>
      </c>
      <c r="E338" s="141" t="s">
        <v>62</v>
      </c>
      <c r="F338" s="141" t="s">
        <v>42</v>
      </c>
      <c r="G338" s="141" t="s">
        <v>80</v>
      </c>
      <c r="H338" s="141" t="s">
        <v>25</v>
      </c>
      <c r="I338" s="141" t="s">
        <v>13</v>
      </c>
      <c r="J338" s="141" t="s">
        <v>68</v>
      </c>
      <c r="K338" s="141" t="s">
        <v>20</v>
      </c>
    </row>
    <row r="339" spans="1:11" ht="12.75" customHeight="1" x14ac:dyDescent="0.3">
      <c r="A339" s="141">
        <v>338</v>
      </c>
      <c r="B339" s="141" t="s">
        <v>1131</v>
      </c>
      <c r="C339" s="141" t="s">
        <v>1132</v>
      </c>
      <c r="D339" s="141" t="s">
        <v>19</v>
      </c>
      <c r="E339" s="141" t="s">
        <v>62</v>
      </c>
      <c r="F339" s="141" t="s">
        <v>42</v>
      </c>
      <c r="G339" s="141" t="s">
        <v>68</v>
      </c>
      <c r="H339" s="141" t="s">
        <v>25</v>
      </c>
      <c r="I339" s="141" t="s">
        <v>13</v>
      </c>
      <c r="J339" s="141" t="s">
        <v>74</v>
      </c>
      <c r="K339" s="141" t="s">
        <v>20</v>
      </c>
    </row>
    <row r="340" spans="1:11" ht="12.75" customHeight="1" x14ac:dyDescent="0.3">
      <c r="A340" s="141">
        <v>339</v>
      </c>
      <c r="B340" s="141" t="s">
        <v>1133</v>
      </c>
      <c r="C340" s="141" t="s">
        <v>1134</v>
      </c>
      <c r="D340" s="141" t="s">
        <v>19</v>
      </c>
      <c r="E340" s="141" t="s">
        <v>62</v>
      </c>
      <c r="F340" s="141" t="s">
        <v>42</v>
      </c>
      <c r="G340" s="141" t="s">
        <v>80</v>
      </c>
      <c r="H340" s="141" t="s">
        <v>25</v>
      </c>
      <c r="I340" s="141" t="s">
        <v>13</v>
      </c>
      <c r="J340" s="141" t="s">
        <v>74</v>
      </c>
      <c r="K340" s="141" t="s">
        <v>68</v>
      </c>
    </row>
    <row r="341" spans="1:11" ht="12.75" customHeight="1" x14ac:dyDescent="0.3">
      <c r="A341" s="141">
        <v>340</v>
      </c>
      <c r="B341" s="141" t="s">
        <v>1135</v>
      </c>
      <c r="C341" s="141" t="s">
        <v>1136</v>
      </c>
      <c r="D341" s="141" t="s">
        <v>19</v>
      </c>
      <c r="E341" s="141" t="s">
        <v>55</v>
      </c>
      <c r="F341" s="141" t="s">
        <v>42</v>
      </c>
      <c r="G341" s="141" t="s">
        <v>80</v>
      </c>
      <c r="H341" s="141" t="s">
        <v>25</v>
      </c>
      <c r="I341" s="141" t="s">
        <v>13</v>
      </c>
      <c r="J341" s="141" t="s">
        <v>74</v>
      </c>
      <c r="K341" s="141" t="s">
        <v>20</v>
      </c>
    </row>
    <row r="342" spans="1:11" ht="12.75" customHeight="1" x14ac:dyDescent="0.3">
      <c r="A342" s="141">
        <v>341</v>
      </c>
      <c r="B342" s="141" t="s">
        <v>1137</v>
      </c>
      <c r="C342" s="141" t="s">
        <v>1138</v>
      </c>
      <c r="D342" s="141" t="s">
        <v>13</v>
      </c>
      <c r="E342" s="141" t="s">
        <v>19</v>
      </c>
      <c r="F342" s="141" t="s">
        <v>42</v>
      </c>
      <c r="G342" s="141" t="s">
        <v>80</v>
      </c>
      <c r="H342" s="141" t="s">
        <v>25</v>
      </c>
      <c r="I342" s="141" t="s">
        <v>68</v>
      </c>
      <c r="J342" s="141" t="s">
        <v>55</v>
      </c>
      <c r="K342" s="141" t="s">
        <v>20</v>
      </c>
    </row>
    <row r="343" spans="1:11" ht="12.75" customHeight="1" x14ac:dyDescent="0.3">
      <c r="A343" s="141">
        <v>342</v>
      </c>
      <c r="B343" s="141" t="s">
        <v>1139</v>
      </c>
      <c r="C343" s="141" t="s">
        <v>1140</v>
      </c>
      <c r="D343" s="141" t="s">
        <v>19</v>
      </c>
      <c r="E343" s="141" t="s">
        <v>55</v>
      </c>
      <c r="F343" s="141" t="s">
        <v>42</v>
      </c>
      <c r="G343" s="141" t="s">
        <v>68</v>
      </c>
      <c r="H343" s="141" t="s">
        <v>25</v>
      </c>
      <c r="I343" s="141" t="s">
        <v>13</v>
      </c>
      <c r="J343" s="141" t="s">
        <v>74</v>
      </c>
      <c r="K343" s="141" t="s">
        <v>20</v>
      </c>
    </row>
    <row r="344" spans="1:11" ht="12.75" customHeight="1" x14ac:dyDescent="0.3">
      <c r="A344" s="141">
        <v>343</v>
      </c>
      <c r="B344" s="141" t="s">
        <v>1141</v>
      </c>
      <c r="C344" s="141" t="s">
        <v>1142</v>
      </c>
      <c r="D344" s="141" t="s">
        <v>19</v>
      </c>
      <c r="E344" s="141" t="s">
        <v>55</v>
      </c>
      <c r="F344" s="141" t="s">
        <v>42</v>
      </c>
      <c r="G344" s="141" t="s">
        <v>80</v>
      </c>
      <c r="H344" s="141" t="s">
        <v>25</v>
      </c>
      <c r="I344" s="141" t="s">
        <v>13</v>
      </c>
      <c r="J344" s="141" t="s">
        <v>74</v>
      </c>
      <c r="K344" s="141" t="s">
        <v>68</v>
      </c>
    </row>
    <row r="345" spans="1:11" ht="12.75" customHeight="1" x14ac:dyDescent="0.3">
      <c r="A345" s="141">
        <v>344</v>
      </c>
      <c r="B345" s="141" t="s">
        <v>1143</v>
      </c>
      <c r="C345" s="141" t="s">
        <v>1144</v>
      </c>
      <c r="D345" s="141" t="s">
        <v>19</v>
      </c>
      <c r="E345" s="141" t="s">
        <v>62</v>
      </c>
      <c r="F345" s="141" t="s">
        <v>42</v>
      </c>
      <c r="G345" s="141" t="s">
        <v>80</v>
      </c>
      <c r="H345" s="141" t="s">
        <v>25</v>
      </c>
      <c r="I345" s="141" t="s">
        <v>13</v>
      </c>
      <c r="J345" s="141" t="s">
        <v>55</v>
      </c>
      <c r="K345" s="141" t="s">
        <v>20</v>
      </c>
    </row>
    <row r="346" spans="1:11" ht="12.75" customHeight="1" x14ac:dyDescent="0.3">
      <c r="A346" s="141">
        <v>345</v>
      </c>
      <c r="B346" s="141" t="s">
        <v>1145</v>
      </c>
      <c r="C346" s="141" t="s">
        <v>1146</v>
      </c>
      <c r="D346" s="141" t="s">
        <v>19</v>
      </c>
      <c r="E346" s="141" t="s">
        <v>55</v>
      </c>
      <c r="F346" s="141" t="s">
        <v>62</v>
      </c>
      <c r="G346" s="141" t="s">
        <v>42</v>
      </c>
      <c r="H346" s="141" t="s">
        <v>25</v>
      </c>
      <c r="I346" s="141" t="s">
        <v>13</v>
      </c>
      <c r="J346" s="141" t="s">
        <v>74</v>
      </c>
      <c r="K346" s="141" t="s">
        <v>20</v>
      </c>
    </row>
    <row r="347" spans="1:11" ht="12.75" customHeight="1" x14ac:dyDescent="0.3">
      <c r="A347" s="141">
        <v>346</v>
      </c>
      <c r="B347" s="141" t="s">
        <v>1147</v>
      </c>
      <c r="C347" s="141" t="s">
        <v>1148</v>
      </c>
      <c r="D347" s="141" t="s">
        <v>19</v>
      </c>
      <c r="E347" s="141" t="s">
        <v>55</v>
      </c>
      <c r="F347" s="141" t="s">
        <v>62</v>
      </c>
      <c r="G347" s="141" t="s">
        <v>80</v>
      </c>
      <c r="H347" s="141" t="s">
        <v>25</v>
      </c>
      <c r="I347" s="141" t="s">
        <v>13</v>
      </c>
      <c r="J347" s="141" t="s">
        <v>74</v>
      </c>
      <c r="K347" s="141" t="s">
        <v>42</v>
      </c>
    </row>
    <row r="348" spans="1:11" ht="12.75" customHeight="1" x14ac:dyDescent="0.3">
      <c r="A348" s="141">
        <v>347</v>
      </c>
      <c r="B348" s="141" t="s">
        <v>1149</v>
      </c>
      <c r="C348" s="141" t="s">
        <v>1150</v>
      </c>
      <c r="D348" s="141" t="s">
        <v>19</v>
      </c>
      <c r="E348" s="141" t="s">
        <v>62</v>
      </c>
      <c r="F348" s="141" t="s">
        <v>42</v>
      </c>
      <c r="G348" s="141" t="s">
        <v>68</v>
      </c>
      <c r="H348" s="141" t="s">
        <v>25</v>
      </c>
      <c r="I348" s="141" t="s">
        <v>13</v>
      </c>
      <c r="J348" s="141" t="s">
        <v>55</v>
      </c>
      <c r="K348" s="141" t="s">
        <v>20</v>
      </c>
    </row>
    <row r="349" spans="1:11" ht="12.75" customHeight="1" x14ac:dyDescent="0.3">
      <c r="A349" s="141">
        <v>348</v>
      </c>
      <c r="B349" s="141" t="s">
        <v>1151</v>
      </c>
      <c r="C349" s="141" t="s">
        <v>1152</v>
      </c>
      <c r="D349" s="141" t="s">
        <v>19</v>
      </c>
      <c r="E349" s="141" t="s">
        <v>62</v>
      </c>
      <c r="F349" s="141" t="s">
        <v>42</v>
      </c>
      <c r="G349" s="141" t="s">
        <v>80</v>
      </c>
      <c r="H349" s="141" t="s">
        <v>25</v>
      </c>
      <c r="I349" s="141" t="s">
        <v>13</v>
      </c>
      <c r="J349" s="141" t="s">
        <v>55</v>
      </c>
      <c r="K349" s="141" t="s">
        <v>68</v>
      </c>
    </row>
    <row r="350" spans="1:11" ht="12.75" customHeight="1" x14ac:dyDescent="0.3">
      <c r="A350" s="141">
        <v>349</v>
      </c>
      <c r="B350" s="141" t="s">
        <v>1153</v>
      </c>
      <c r="C350" s="141" t="s">
        <v>1154</v>
      </c>
      <c r="D350" s="141" t="s">
        <v>19</v>
      </c>
      <c r="E350" s="141" t="s">
        <v>55</v>
      </c>
      <c r="F350" s="141" t="s">
        <v>62</v>
      </c>
      <c r="G350" s="141" t="s">
        <v>68</v>
      </c>
      <c r="H350" s="141" t="s">
        <v>25</v>
      </c>
      <c r="I350" s="141" t="s">
        <v>13</v>
      </c>
      <c r="J350" s="141" t="s">
        <v>74</v>
      </c>
      <c r="K350" s="141" t="s">
        <v>42</v>
      </c>
    </row>
    <row r="351" spans="1:11" ht="12.75" customHeight="1" x14ac:dyDescent="0.3">
      <c r="A351" s="141">
        <v>350</v>
      </c>
      <c r="B351" s="141" t="s">
        <v>1155</v>
      </c>
      <c r="C351" s="141" t="s">
        <v>1156</v>
      </c>
      <c r="D351" s="141" t="s">
        <v>19</v>
      </c>
      <c r="E351" s="141" t="s">
        <v>48</v>
      </c>
      <c r="F351" s="141" t="s">
        <v>42</v>
      </c>
      <c r="G351" s="141" t="s">
        <v>80</v>
      </c>
      <c r="H351" s="141" t="s">
        <v>25</v>
      </c>
      <c r="I351" s="141" t="s">
        <v>13</v>
      </c>
      <c r="J351" s="141" t="s">
        <v>74</v>
      </c>
      <c r="K351" s="141" t="s">
        <v>20</v>
      </c>
    </row>
    <row r="352" spans="1:11" ht="12.75" customHeight="1" x14ac:dyDescent="0.3">
      <c r="A352" s="141">
        <v>351</v>
      </c>
      <c r="B352" s="141" t="s">
        <v>1157</v>
      </c>
      <c r="C352" s="141" t="s">
        <v>1158</v>
      </c>
      <c r="D352" s="141" t="s">
        <v>19</v>
      </c>
      <c r="E352" s="141" t="s">
        <v>48</v>
      </c>
      <c r="F352" s="141" t="s">
        <v>42</v>
      </c>
      <c r="G352" s="141" t="s">
        <v>80</v>
      </c>
      <c r="H352" s="141" t="s">
        <v>25</v>
      </c>
      <c r="I352" s="141" t="s">
        <v>13</v>
      </c>
      <c r="J352" s="141" t="s">
        <v>68</v>
      </c>
      <c r="K352" s="141" t="s">
        <v>20</v>
      </c>
    </row>
    <row r="353" spans="1:11" ht="12.75" customHeight="1" x14ac:dyDescent="0.3">
      <c r="A353" s="141">
        <v>352</v>
      </c>
      <c r="B353" s="141" t="s">
        <v>1159</v>
      </c>
      <c r="C353" s="141" t="s">
        <v>1160</v>
      </c>
      <c r="D353" s="141" t="s">
        <v>19</v>
      </c>
      <c r="E353" s="141" t="s">
        <v>48</v>
      </c>
      <c r="F353" s="141" t="s">
        <v>42</v>
      </c>
      <c r="G353" s="141" t="s">
        <v>68</v>
      </c>
      <c r="H353" s="141" t="s">
        <v>25</v>
      </c>
      <c r="I353" s="141" t="s">
        <v>13</v>
      </c>
      <c r="J353" s="141" t="s">
        <v>74</v>
      </c>
      <c r="K353" s="141" t="s">
        <v>20</v>
      </c>
    </row>
    <row r="354" spans="1:11" ht="12.75" customHeight="1" x14ac:dyDescent="0.3">
      <c r="A354" s="141">
        <v>353</v>
      </c>
      <c r="B354" s="141" t="s">
        <v>1161</v>
      </c>
      <c r="C354" s="141" t="s">
        <v>1162</v>
      </c>
      <c r="D354" s="141" t="s">
        <v>19</v>
      </c>
      <c r="E354" s="141" t="s">
        <v>48</v>
      </c>
      <c r="F354" s="141" t="s">
        <v>42</v>
      </c>
      <c r="G354" s="141" t="s">
        <v>80</v>
      </c>
      <c r="H354" s="141" t="s">
        <v>25</v>
      </c>
      <c r="I354" s="141" t="s">
        <v>13</v>
      </c>
      <c r="J354" s="141" t="s">
        <v>74</v>
      </c>
      <c r="K354" s="141" t="s">
        <v>68</v>
      </c>
    </row>
    <row r="355" spans="1:11" ht="12.75" customHeight="1" x14ac:dyDescent="0.3">
      <c r="A355" s="141">
        <v>354</v>
      </c>
      <c r="B355" s="141" t="s">
        <v>1163</v>
      </c>
      <c r="C355" s="141" t="s">
        <v>1164</v>
      </c>
      <c r="D355" s="141" t="s">
        <v>19</v>
      </c>
      <c r="E355" s="141" t="s">
        <v>48</v>
      </c>
      <c r="F355" s="141" t="s">
        <v>62</v>
      </c>
      <c r="G355" s="141" t="s">
        <v>80</v>
      </c>
      <c r="H355" s="141" t="s">
        <v>25</v>
      </c>
      <c r="I355" s="141" t="s">
        <v>13</v>
      </c>
      <c r="J355" s="141" t="s">
        <v>42</v>
      </c>
      <c r="K355" s="141" t="s">
        <v>20</v>
      </c>
    </row>
    <row r="356" spans="1:11" ht="12.75" customHeight="1" x14ac:dyDescent="0.3">
      <c r="A356" s="141">
        <v>355</v>
      </c>
      <c r="B356" s="141" t="s">
        <v>1165</v>
      </c>
      <c r="C356" s="141" t="s">
        <v>1166</v>
      </c>
      <c r="D356" s="141" t="s">
        <v>19</v>
      </c>
      <c r="E356" s="141" t="s">
        <v>48</v>
      </c>
      <c r="F356" s="141" t="s">
        <v>62</v>
      </c>
      <c r="G356" s="141" t="s">
        <v>42</v>
      </c>
      <c r="H356" s="141" t="s">
        <v>25</v>
      </c>
      <c r="I356" s="141" t="s">
        <v>13</v>
      </c>
      <c r="J356" s="141" t="s">
        <v>74</v>
      </c>
      <c r="K356" s="141" t="s">
        <v>20</v>
      </c>
    </row>
    <row r="357" spans="1:11" ht="12.75" customHeight="1" x14ac:dyDescent="0.3">
      <c r="A357" s="141">
        <v>356</v>
      </c>
      <c r="B357" s="141" t="s">
        <v>1167</v>
      </c>
      <c r="C357" s="141" t="s">
        <v>1168</v>
      </c>
      <c r="D357" s="141" t="s">
        <v>19</v>
      </c>
      <c r="E357" s="141" t="s">
        <v>48</v>
      </c>
      <c r="F357" s="141" t="s">
        <v>62</v>
      </c>
      <c r="G357" s="141" t="s">
        <v>80</v>
      </c>
      <c r="H357" s="141" t="s">
        <v>25</v>
      </c>
      <c r="I357" s="141" t="s">
        <v>13</v>
      </c>
      <c r="J357" s="141" t="s">
        <v>74</v>
      </c>
      <c r="K357" s="141" t="s">
        <v>42</v>
      </c>
    </row>
    <row r="358" spans="1:11" ht="12.75" customHeight="1" x14ac:dyDescent="0.3">
      <c r="A358" s="141">
        <v>357</v>
      </c>
      <c r="B358" s="141" t="s">
        <v>1169</v>
      </c>
      <c r="C358" s="141" t="s">
        <v>1170</v>
      </c>
      <c r="D358" s="141" t="s">
        <v>19</v>
      </c>
      <c r="E358" s="141" t="s">
        <v>48</v>
      </c>
      <c r="F358" s="141" t="s">
        <v>62</v>
      </c>
      <c r="G358" s="141" t="s">
        <v>68</v>
      </c>
      <c r="H358" s="141" t="s">
        <v>25</v>
      </c>
      <c r="I358" s="141" t="s">
        <v>13</v>
      </c>
      <c r="J358" s="141" t="s">
        <v>42</v>
      </c>
      <c r="K358" s="141" t="s">
        <v>20</v>
      </c>
    </row>
    <row r="359" spans="1:11" ht="12.75" customHeight="1" x14ac:dyDescent="0.3">
      <c r="A359" s="141">
        <v>358</v>
      </c>
      <c r="B359" s="141" t="s">
        <v>1171</v>
      </c>
      <c r="C359" s="141" t="s">
        <v>1172</v>
      </c>
      <c r="D359" s="141" t="s">
        <v>19</v>
      </c>
      <c r="E359" s="141" t="s">
        <v>48</v>
      </c>
      <c r="F359" s="141" t="s">
        <v>62</v>
      </c>
      <c r="G359" s="141" t="s">
        <v>80</v>
      </c>
      <c r="H359" s="141" t="s">
        <v>25</v>
      </c>
      <c r="I359" s="141" t="s">
        <v>13</v>
      </c>
      <c r="J359" s="141" t="s">
        <v>42</v>
      </c>
      <c r="K359" s="141" t="s">
        <v>68</v>
      </c>
    </row>
    <row r="360" spans="1:11" ht="12.75" customHeight="1" x14ac:dyDescent="0.3">
      <c r="A360" s="141">
        <v>359</v>
      </c>
      <c r="B360" s="141" t="s">
        <v>1173</v>
      </c>
      <c r="C360" s="141" t="s">
        <v>1174</v>
      </c>
      <c r="D360" s="141" t="s">
        <v>19</v>
      </c>
      <c r="E360" s="141" t="s">
        <v>48</v>
      </c>
      <c r="F360" s="141" t="s">
        <v>62</v>
      </c>
      <c r="G360" s="141" t="s">
        <v>68</v>
      </c>
      <c r="H360" s="141" t="s">
        <v>25</v>
      </c>
      <c r="I360" s="141" t="s">
        <v>13</v>
      </c>
      <c r="J360" s="141" t="s">
        <v>74</v>
      </c>
      <c r="K360" s="141" t="s">
        <v>42</v>
      </c>
    </row>
    <row r="361" spans="1:11" ht="12.75" customHeight="1" x14ac:dyDescent="0.3">
      <c r="A361" s="141">
        <v>360</v>
      </c>
      <c r="B361" s="141" t="s">
        <v>1175</v>
      </c>
      <c r="C361" s="141" t="s">
        <v>1176</v>
      </c>
      <c r="D361" s="141" t="s">
        <v>19</v>
      </c>
      <c r="E361" s="141" t="s">
        <v>48</v>
      </c>
      <c r="F361" s="141" t="s">
        <v>42</v>
      </c>
      <c r="G361" s="141" t="s">
        <v>80</v>
      </c>
      <c r="H361" s="141" t="s">
        <v>25</v>
      </c>
      <c r="I361" s="141" t="s">
        <v>13</v>
      </c>
      <c r="J361" s="141" t="s">
        <v>55</v>
      </c>
      <c r="K361" s="141" t="s">
        <v>20</v>
      </c>
    </row>
    <row r="362" spans="1:11" ht="12.75" customHeight="1" x14ac:dyDescent="0.3">
      <c r="A362" s="141">
        <v>361</v>
      </c>
      <c r="B362" s="141" t="s">
        <v>1177</v>
      </c>
      <c r="C362" s="141" t="s">
        <v>1178</v>
      </c>
      <c r="D362" s="141" t="s">
        <v>19</v>
      </c>
      <c r="E362" s="141" t="s">
        <v>48</v>
      </c>
      <c r="F362" s="141" t="s">
        <v>42</v>
      </c>
      <c r="G362" s="141" t="s">
        <v>74</v>
      </c>
      <c r="H362" s="141" t="s">
        <v>25</v>
      </c>
      <c r="I362" s="141" t="s">
        <v>13</v>
      </c>
      <c r="J362" s="141" t="s">
        <v>55</v>
      </c>
      <c r="K362" s="141" t="s">
        <v>20</v>
      </c>
    </row>
    <row r="363" spans="1:11" ht="12.75" customHeight="1" x14ac:dyDescent="0.3">
      <c r="A363" s="141">
        <v>362</v>
      </c>
      <c r="B363" s="141" t="s">
        <v>1179</v>
      </c>
      <c r="C363" s="141" t="s">
        <v>1180</v>
      </c>
      <c r="D363" s="141" t="s">
        <v>19</v>
      </c>
      <c r="E363" s="141" t="s">
        <v>48</v>
      </c>
      <c r="F363" s="141" t="s">
        <v>42</v>
      </c>
      <c r="G363" s="141" t="s">
        <v>80</v>
      </c>
      <c r="H363" s="141" t="s">
        <v>25</v>
      </c>
      <c r="I363" s="141" t="s">
        <v>13</v>
      </c>
      <c r="J363" s="141" t="s">
        <v>55</v>
      </c>
      <c r="K363" s="141" t="s">
        <v>74</v>
      </c>
    </row>
    <row r="364" spans="1:11" ht="12.75" customHeight="1" x14ac:dyDescent="0.3">
      <c r="A364" s="141">
        <v>363</v>
      </c>
      <c r="B364" s="141" t="s">
        <v>1181</v>
      </c>
      <c r="C364" s="141" t="s">
        <v>1182</v>
      </c>
      <c r="D364" s="141" t="s">
        <v>19</v>
      </c>
      <c r="E364" s="141" t="s">
        <v>48</v>
      </c>
      <c r="F364" s="141" t="s">
        <v>42</v>
      </c>
      <c r="G364" s="141" t="s">
        <v>68</v>
      </c>
      <c r="H364" s="141" t="s">
        <v>25</v>
      </c>
      <c r="I364" s="141" t="s">
        <v>13</v>
      </c>
      <c r="J364" s="141" t="s">
        <v>55</v>
      </c>
      <c r="K364" s="141" t="s">
        <v>20</v>
      </c>
    </row>
    <row r="365" spans="1:11" ht="12.75" customHeight="1" x14ac:dyDescent="0.3">
      <c r="A365" s="141">
        <v>364</v>
      </c>
      <c r="B365" s="141" t="s">
        <v>1183</v>
      </c>
      <c r="C365" s="141" t="s">
        <v>1184</v>
      </c>
      <c r="D365" s="141" t="s">
        <v>19</v>
      </c>
      <c r="E365" s="141" t="s">
        <v>48</v>
      </c>
      <c r="F365" s="141" t="s">
        <v>42</v>
      </c>
      <c r="G365" s="141" t="s">
        <v>80</v>
      </c>
      <c r="H365" s="141" t="s">
        <v>25</v>
      </c>
      <c r="I365" s="141" t="s">
        <v>13</v>
      </c>
      <c r="J365" s="141" t="s">
        <v>55</v>
      </c>
      <c r="K365" s="141" t="s">
        <v>68</v>
      </c>
    </row>
    <row r="366" spans="1:11" ht="12.75" customHeight="1" x14ac:dyDescent="0.3">
      <c r="A366" s="141">
        <v>365</v>
      </c>
      <c r="B366" s="141" t="s">
        <v>1185</v>
      </c>
      <c r="C366" s="141" t="s">
        <v>1186</v>
      </c>
      <c r="D366" s="141" t="s">
        <v>19</v>
      </c>
      <c r="E366" s="141" t="s">
        <v>48</v>
      </c>
      <c r="F366" s="141" t="s">
        <v>42</v>
      </c>
      <c r="G366" s="141" t="s">
        <v>74</v>
      </c>
      <c r="H366" s="141" t="s">
        <v>25</v>
      </c>
      <c r="I366" s="141" t="s">
        <v>13</v>
      </c>
      <c r="J366" s="141" t="s">
        <v>55</v>
      </c>
      <c r="K366" s="141" t="s">
        <v>68</v>
      </c>
    </row>
    <row r="367" spans="1:11" ht="12.75" customHeight="1" x14ac:dyDescent="0.3">
      <c r="A367" s="141">
        <v>366</v>
      </c>
      <c r="B367" s="141" t="s">
        <v>1187</v>
      </c>
      <c r="C367" s="141" t="s">
        <v>1188</v>
      </c>
      <c r="D367" s="141" t="s">
        <v>19</v>
      </c>
      <c r="E367" s="141" t="s">
        <v>48</v>
      </c>
      <c r="F367" s="141" t="s">
        <v>62</v>
      </c>
      <c r="G367" s="141" t="s">
        <v>42</v>
      </c>
      <c r="H367" s="141" t="s">
        <v>25</v>
      </c>
      <c r="I367" s="141" t="s">
        <v>13</v>
      </c>
      <c r="J367" s="141" t="s">
        <v>55</v>
      </c>
      <c r="K367" s="141" t="s">
        <v>20</v>
      </c>
    </row>
    <row r="368" spans="1:11" ht="12.75" customHeight="1" x14ac:dyDescent="0.3">
      <c r="A368" s="141">
        <v>367</v>
      </c>
      <c r="B368" s="141" t="s">
        <v>1189</v>
      </c>
      <c r="C368" s="141" t="s">
        <v>1190</v>
      </c>
      <c r="D368" s="141" t="s">
        <v>19</v>
      </c>
      <c r="E368" s="141" t="s">
        <v>48</v>
      </c>
      <c r="F368" s="141" t="s">
        <v>62</v>
      </c>
      <c r="G368" s="141" t="s">
        <v>80</v>
      </c>
      <c r="H368" s="141" t="s">
        <v>25</v>
      </c>
      <c r="I368" s="141" t="s">
        <v>13</v>
      </c>
      <c r="J368" s="141" t="s">
        <v>55</v>
      </c>
      <c r="K368" s="141" t="s">
        <v>42</v>
      </c>
    </row>
    <row r="369" spans="1:11" ht="12.75" customHeight="1" x14ac:dyDescent="0.3">
      <c r="A369" s="141">
        <v>368</v>
      </c>
      <c r="B369" s="141" t="s">
        <v>1191</v>
      </c>
      <c r="C369" s="141" t="s">
        <v>1192</v>
      </c>
      <c r="D369" s="141" t="s">
        <v>19</v>
      </c>
      <c r="E369" s="141" t="s">
        <v>48</v>
      </c>
      <c r="F369" s="141" t="s">
        <v>62</v>
      </c>
      <c r="G369" s="141" t="s">
        <v>74</v>
      </c>
      <c r="H369" s="141" t="s">
        <v>25</v>
      </c>
      <c r="I369" s="141" t="s">
        <v>13</v>
      </c>
      <c r="J369" s="141" t="s">
        <v>55</v>
      </c>
      <c r="K369" s="141" t="s">
        <v>42</v>
      </c>
    </row>
    <row r="370" spans="1:11" ht="12.75" customHeight="1" x14ac:dyDescent="0.3">
      <c r="A370" s="141">
        <v>369</v>
      </c>
      <c r="B370" s="141" t="s">
        <v>1193</v>
      </c>
      <c r="C370" s="141" t="s">
        <v>1194</v>
      </c>
      <c r="D370" s="141" t="s">
        <v>19</v>
      </c>
      <c r="E370" s="141" t="s">
        <v>48</v>
      </c>
      <c r="F370" s="141" t="s">
        <v>62</v>
      </c>
      <c r="G370" s="141" t="s">
        <v>68</v>
      </c>
      <c r="H370" s="141" t="s">
        <v>25</v>
      </c>
      <c r="I370" s="141" t="s">
        <v>13</v>
      </c>
      <c r="J370" s="141" t="s">
        <v>55</v>
      </c>
      <c r="K370" s="141" t="s">
        <v>42</v>
      </c>
    </row>
    <row r="371" spans="1:11" ht="12.75" customHeight="1" x14ac:dyDescent="0.3">
      <c r="A371" s="141">
        <v>370</v>
      </c>
      <c r="B371" s="141" t="s">
        <v>1195</v>
      </c>
      <c r="C371" s="141" t="s">
        <v>1196</v>
      </c>
      <c r="D371" s="141" t="s">
        <v>31</v>
      </c>
      <c r="E371" s="141" t="s">
        <v>62</v>
      </c>
      <c r="F371" s="141" t="s">
        <v>68</v>
      </c>
      <c r="G371" s="141" t="s">
        <v>80</v>
      </c>
      <c r="H371" s="141" t="s">
        <v>25</v>
      </c>
      <c r="I371" s="141" t="s">
        <v>13</v>
      </c>
      <c r="J371" s="141" t="s">
        <v>74</v>
      </c>
      <c r="K371" s="141" t="s">
        <v>20</v>
      </c>
    </row>
    <row r="372" spans="1:11" ht="12.75" customHeight="1" x14ac:dyDescent="0.3">
      <c r="A372" s="141">
        <v>371</v>
      </c>
      <c r="B372" s="141" t="s">
        <v>1197</v>
      </c>
      <c r="C372" s="141" t="s">
        <v>1198</v>
      </c>
      <c r="D372" s="141" t="s">
        <v>31</v>
      </c>
      <c r="E372" s="141" t="s">
        <v>55</v>
      </c>
      <c r="F372" s="141" t="s">
        <v>68</v>
      </c>
      <c r="G372" s="141" t="s">
        <v>80</v>
      </c>
      <c r="H372" s="141" t="s">
        <v>25</v>
      </c>
      <c r="I372" s="141" t="s">
        <v>13</v>
      </c>
      <c r="J372" s="141" t="s">
        <v>74</v>
      </c>
      <c r="K372" s="141" t="s">
        <v>20</v>
      </c>
    </row>
    <row r="373" spans="1:11" ht="12.75" customHeight="1" x14ac:dyDescent="0.3">
      <c r="A373" s="141">
        <v>372</v>
      </c>
      <c r="B373" s="141" t="s">
        <v>1199</v>
      </c>
      <c r="C373" s="141" t="s">
        <v>1200</v>
      </c>
      <c r="D373" s="141" t="s">
        <v>31</v>
      </c>
      <c r="E373" s="141" t="s">
        <v>55</v>
      </c>
      <c r="F373" s="141" t="s">
        <v>62</v>
      </c>
      <c r="G373" s="141" t="s">
        <v>80</v>
      </c>
      <c r="H373" s="141" t="s">
        <v>25</v>
      </c>
      <c r="I373" s="141" t="s">
        <v>13</v>
      </c>
      <c r="J373" s="141" t="s">
        <v>74</v>
      </c>
      <c r="K373" s="141" t="s">
        <v>20</v>
      </c>
    </row>
    <row r="374" spans="1:11" ht="12.75" customHeight="1" x14ac:dyDescent="0.3">
      <c r="A374" s="141">
        <v>373</v>
      </c>
      <c r="B374" s="141" t="s">
        <v>1201</v>
      </c>
      <c r="C374" s="141" t="s">
        <v>1202</v>
      </c>
      <c r="D374" s="141" t="s">
        <v>31</v>
      </c>
      <c r="E374" s="141" t="s">
        <v>62</v>
      </c>
      <c r="F374" s="141" t="s">
        <v>68</v>
      </c>
      <c r="G374" s="141" t="s">
        <v>80</v>
      </c>
      <c r="H374" s="141" t="s">
        <v>25</v>
      </c>
      <c r="I374" s="141" t="s">
        <v>13</v>
      </c>
      <c r="J374" s="141" t="s">
        <v>55</v>
      </c>
      <c r="K374" s="141" t="s">
        <v>20</v>
      </c>
    </row>
    <row r="375" spans="1:11" ht="12.75" customHeight="1" x14ac:dyDescent="0.3">
      <c r="A375" s="141">
        <v>374</v>
      </c>
      <c r="B375" s="141" t="s">
        <v>1203</v>
      </c>
      <c r="C375" s="141" t="s">
        <v>1204</v>
      </c>
      <c r="D375" s="141" t="s">
        <v>31</v>
      </c>
      <c r="E375" s="141" t="s">
        <v>55</v>
      </c>
      <c r="F375" s="141" t="s">
        <v>62</v>
      </c>
      <c r="G375" s="141" t="s">
        <v>68</v>
      </c>
      <c r="H375" s="141" t="s">
        <v>25</v>
      </c>
      <c r="I375" s="141" t="s">
        <v>13</v>
      </c>
      <c r="J375" s="141" t="s">
        <v>74</v>
      </c>
      <c r="K375" s="141" t="s">
        <v>20</v>
      </c>
    </row>
    <row r="376" spans="1:11" ht="12.75" customHeight="1" x14ac:dyDescent="0.3">
      <c r="A376" s="141">
        <v>375</v>
      </c>
      <c r="B376" s="141" t="s">
        <v>1205</v>
      </c>
      <c r="C376" s="141" t="s">
        <v>1206</v>
      </c>
      <c r="D376" s="141" t="s">
        <v>31</v>
      </c>
      <c r="E376" s="141" t="s">
        <v>55</v>
      </c>
      <c r="F376" s="141" t="s">
        <v>62</v>
      </c>
      <c r="G376" s="141" t="s">
        <v>80</v>
      </c>
      <c r="H376" s="141" t="s">
        <v>25</v>
      </c>
      <c r="I376" s="141" t="s">
        <v>13</v>
      </c>
      <c r="J376" s="141" t="s">
        <v>74</v>
      </c>
      <c r="K376" s="141" t="s">
        <v>68</v>
      </c>
    </row>
    <row r="377" spans="1:11" ht="12.75" customHeight="1" x14ac:dyDescent="0.3">
      <c r="A377" s="141">
        <v>376</v>
      </c>
      <c r="B377" s="141" t="s">
        <v>1207</v>
      </c>
      <c r="C377" s="141" t="s">
        <v>1208</v>
      </c>
      <c r="D377" s="141" t="s">
        <v>31</v>
      </c>
      <c r="E377" s="141" t="s">
        <v>48</v>
      </c>
      <c r="F377" s="141" t="s">
        <v>68</v>
      </c>
      <c r="G377" s="141" t="s">
        <v>80</v>
      </c>
      <c r="H377" s="141" t="s">
        <v>25</v>
      </c>
      <c r="I377" s="141" t="s">
        <v>13</v>
      </c>
      <c r="J377" s="141" t="s">
        <v>74</v>
      </c>
      <c r="K377" s="141" t="s">
        <v>20</v>
      </c>
    </row>
    <row r="378" spans="1:11" ht="12.75" customHeight="1" x14ac:dyDescent="0.3">
      <c r="A378" s="141">
        <v>377</v>
      </c>
      <c r="B378" s="141" t="s">
        <v>1209</v>
      </c>
      <c r="C378" s="141" t="s">
        <v>1210</v>
      </c>
      <c r="D378" s="141" t="s">
        <v>31</v>
      </c>
      <c r="E378" s="141" t="s">
        <v>48</v>
      </c>
      <c r="F378" s="141" t="s">
        <v>62</v>
      </c>
      <c r="G378" s="141" t="s">
        <v>80</v>
      </c>
      <c r="H378" s="141" t="s">
        <v>25</v>
      </c>
      <c r="I378" s="141" t="s">
        <v>13</v>
      </c>
      <c r="J378" s="141" t="s">
        <v>74</v>
      </c>
      <c r="K378" s="141" t="s">
        <v>20</v>
      </c>
    </row>
    <row r="379" spans="1:11" ht="12.75" customHeight="1" x14ac:dyDescent="0.3">
      <c r="A379" s="141">
        <v>378</v>
      </c>
      <c r="B379" s="141" t="s">
        <v>1211</v>
      </c>
      <c r="C379" s="141" t="s">
        <v>1212</v>
      </c>
      <c r="D379" s="141" t="s">
        <v>31</v>
      </c>
      <c r="E379" s="141" t="s">
        <v>48</v>
      </c>
      <c r="F379" s="141" t="s">
        <v>62</v>
      </c>
      <c r="G379" s="141" t="s">
        <v>80</v>
      </c>
      <c r="H379" s="141" t="s">
        <v>25</v>
      </c>
      <c r="I379" s="141" t="s">
        <v>13</v>
      </c>
      <c r="J379" s="141" t="s">
        <v>68</v>
      </c>
      <c r="K379" s="141" t="s">
        <v>20</v>
      </c>
    </row>
    <row r="380" spans="1:11" ht="12.75" customHeight="1" x14ac:dyDescent="0.3">
      <c r="A380" s="141">
        <v>379</v>
      </c>
      <c r="B380" s="141" t="s">
        <v>1213</v>
      </c>
      <c r="C380" s="141" t="s">
        <v>1214</v>
      </c>
      <c r="D380" s="141" t="s">
        <v>31</v>
      </c>
      <c r="E380" s="141" t="s">
        <v>48</v>
      </c>
      <c r="F380" s="141" t="s">
        <v>62</v>
      </c>
      <c r="G380" s="141" t="s">
        <v>68</v>
      </c>
      <c r="H380" s="141" t="s">
        <v>25</v>
      </c>
      <c r="I380" s="141" t="s">
        <v>13</v>
      </c>
      <c r="J380" s="141" t="s">
        <v>74</v>
      </c>
      <c r="K380" s="141" t="s">
        <v>20</v>
      </c>
    </row>
    <row r="381" spans="1:11" ht="12.75" customHeight="1" x14ac:dyDescent="0.3">
      <c r="A381" s="141">
        <v>380</v>
      </c>
      <c r="B381" s="141" t="s">
        <v>1215</v>
      </c>
      <c r="C381" s="141" t="s">
        <v>1216</v>
      </c>
      <c r="D381" s="141" t="s">
        <v>31</v>
      </c>
      <c r="E381" s="141" t="s">
        <v>48</v>
      </c>
      <c r="F381" s="141" t="s">
        <v>62</v>
      </c>
      <c r="G381" s="141" t="s">
        <v>80</v>
      </c>
      <c r="H381" s="141" t="s">
        <v>25</v>
      </c>
      <c r="I381" s="141" t="s">
        <v>13</v>
      </c>
      <c r="J381" s="141" t="s">
        <v>74</v>
      </c>
      <c r="K381" s="141" t="s">
        <v>68</v>
      </c>
    </row>
    <row r="382" spans="1:11" ht="12.75" customHeight="1" x14ac:dyDescent="0.3">
      <c r="A382" s="141">
        <v>381</v>
      </c>
      <c r="B382" s="141" t="s">
        <v>1217</v>
      </c>
      <c r="C382" s="141" t="s">
        <v>1218</v>
      </c>
      <c r="D382" s="141" t="s">
        <v>48</v>
      </c>
      <c r="E382" s="141" t="s">
        <v>55</v>
      </c>
      <c r="F382" s="141" t="s">
        <v>31</v>
      </c>
      <c r="G382" s="141" t="s">
        <v>80</v>
      </c>
      <c r="H382" s="141" t="s">
        <v>25</v>
      </c>
      <c r="I382" s="141" t="s">
        <v>13</v>
      </c>
      <c r="J382" s="141" t="s">
        <v>74</v>
      </c>
      <c r="K382" s="141" t="s">
        <v>20</v>
      </c>
    </row>
    <row r="383" spans="1:11" ht="12.75" customHeight="1" x14ac:dyDescent="0.3">
      <c r="A383" s="141">
        <v>382</v>
      </c>
      <c r="B383" s="141" t="s">
        <v>1219</v>
      </c>
      <c r="C383" s="141" t="s">
        <v>1220</v>
      </c>
      <c r="D383" s="141" t="s">
        <v>31</v>
      </c>
      <c r="E383" s="141" t="s">
        <v>48</v>
      </c>
      <c r="F383" s="141" t="s">
        <v>68</v>
      </c>
      <c r="G383" s="141" t="s">
        <v>80</v>
      </c>
      <c r="H383" s="141" t="s">
        <v>25</v>
      </c>
      <c r="I383" s="141" t="s">
        <v>13</v>
      </c>
      <c r="J383" s="141" t="s">
        <v>55</v>
      </c>
      <c r="K383" s="141" t="s">
        <v>20</v>
      </c>
    </row>
    <row r="384" spans="1:11" ht="12.75" customHeight="1" x14ac:dyDescent="0.3">
      <c r="A384" s="141">
        <v>383</v>
      </c>
      <c r="B384" s="141" t="s">
        <v>1221</v>
      </c>
      <c r="C384" s="141" t="s">
        <v>1222</v>
      </c>
      <c r="D384" s="141" t="s">
        <v>48</v>
      </c>
      <c r="E384" s="141" t="s">
        <v>55</v>
      </c>
      <c r="F384" s="141" t="s">
        <v>31</v>
      </c>
      <c r="G384" s="141" t="s">
        <v>68</v>
      </c>
      <c r="H384" s="141" t="s">
        <v>25</v>
      </c>
      <c r="I384" s="141" t="s">
        <v>13</v>
      </c>
      <c r="J384" s="141" t="s">
        <v>74</v>
      </c>
      <c r="K384" s="141" t="s">
        <v>20</v>
      </c>
    </row>
    <row r="385" spans="1:11" ht="12.75" customHeight="1" x14ac:dyDescent="0.3">
      <c r="A385" s="141">
        <v>384</v>
      </c>
      <c r="B385" s="141" t="s">
        <v>1223</v>
      </c>
      <c r="C385" s="141" t="s">
        <v>1224</v>
      </c>
      <c r="D385" s="141" t="s">
        <v>48</v>
      </c>
      <c r="E385" s="141" t="s">
        <v>55</v>
      </c>
      <c r="F385" s="141" t="s">
        <v>31</v>
      </c>
      <c r="G385" s="141" t="s">
        <v>80</v>
      </c>
      <c r="H385" s="141" t="s">
        <v>25</v>
      </c>
      <c r="I385" s="141" t="s">
        <v>13</v>
      </c>
      <c r="J385" s="141" t="s">
        <v>74</v>
      </c>
      <c r="K385" s="141" t="s">
        <v>68</v>
      </c>
    </row>
    <row r="386" spans="1:11" ht="12.75" customHeight="1" x14ac:dyDescent="0.3">
      <c r="A386" s="141">
        <v>385</v>
      </c>
      <c r="B386" s="141" t="s">
        <v>1225</v>
      </c>
      <c r="C386" s="141" t="s">
        <v>1226</v>
      </c>
      <c r="D386" s="141" t="s">
        <v>31</v>
      </c>
      <c r="E386" s="141" t="s">
        <v>48</v>
      </c>
      <c r="F386" s="141" t="s">
        <v>62</v>
      </c>
      <c r="G386" s="141" t="s">
        <v>80</v>
      </c>
      <c r="H386" s="141" t="s">
        <v>25</v>
      </c>
      <c r="I386" s="141" t="s">
        <v>13</v>
      </c>
      <c r="J386" s="141" t="s">
        <v>55</v>
      </c>
      <c r="K386" s="141" t="s">
        <v>20</v>
      </c>
    </row>
    <row r="387" spans="1:11" ht="12.75" customHeight="1" x14ac:dyDescent="0.3">
      <c r="A387" s="141">
        <v>386</v>
      </c>
      <c r="B387" s="141" t="s">
        <v>1227</v>
      </c>
      <c r="C387" s="141" t="s">
        <v>1228</v>
      </c>
      <c r="D387" s="141" t="s">
        <v>31</v>
      </c>
      <c r="E387" s="141" t="s">
        <v>48</v>
      </c>
      <c r="F387" s="141" t="s">
        <v>62</v>
      </c>
      <c r="G387" s="141" t="s">
        <v>74</v>
      </c>
      <c r="H387" s="141" t="s">
        <v>25</v>
      </c>
      <c r="I387" s="141" t="s">
        <v>13</v>
      </c>
      <c r="J387" s="141" t="s">
        <v>55</v>
      </c>
      <c r="K387" s="141" t="s">
        <v>20</v>
      </c>
    </row>
    <row r="388" spans="1:11" ht="12.75" customHeight="1" x14ac:dyDescent="0.3">
      <c r="A388" s="141">
        <v>387</v>
      </c>
      <c r="B388" s="141" t="s">
        <v>1229</v>
      </c>
      <c r="C388" s="141" t="s">
        <v>1230</v>
      </c>
      <c r="D388" s="141" t="s">
        <v>31</v>
      </c>
      <c r="E388" s="141" t="s">
        <v>48</v>
      </c>
      <c r="F388" s="141" t="s">
        <v>62</v>
      </c>
      <c r="G388" s="141" t="s">
        <v>80</v>
      </c>
      <c r="H388" s="141" t="s">
        <v>25</v>
      </c>
      <c r="I388" s="141" t="s">
        <v>13</v>
      </c>
      <c r="J388" s="141" t="s">
        <v>55</v>
      </c>
      <c r="K388" s="141" t="s">
        <v>74</v>
      </c>
    </row>
    <row r="389" spans="1:11" ht="12.75" customHeight="1" x14ac:dyDescent="0.3">
      <c r="A389" s="141">
        <v>388</v>
      </c>
      <c r="B389" s="141" t="s">
        <v>1231</v>
      </c>
      <c r="C389" s="141" t="s">
        <v>1232</v>
      </c>
      <c r="D389" s="141" t="s">
        <v>31</v>
      </c>
      <c r="E389" s="141" t="s">
        <v>48</v>
      </c>
      <c r="F389" s="141" t="s">
        <v>62</v>
      </c>
      <c r="G389" s="141" t="s">
        <v>68</v>
      </c>
      <c r="H389" s="141" t="s">
        <v>25</v>
      </c>
      <c r="I389" s="141" t="s">
        <v>13</v>
      </c>
      <c r="J389" s="141" t="s">
        <v>55</v>
      </c>
      <c r="K389" s="141" t="s">
        <v>20</v>
      </c>
    </row>
    <row r="390" spans="1:11" ht="12.75" customHeight="1" x14ac:dyDescent="0.3">
      <c r="A390" s="141">
        <v>389</v>
      </c>
      <c r="B390" s="141" t="s">
        <v>1233</v>
      </c>
      <c r="C390" s="141" t="s">
        <v>1234</v>
      </c>
      <c r="D390" s="141" t="s">
        <v>31</v>
      </c>
      <c r="E390" s="141" t="s">
        <v>48</v>
      </c>
      <c r="F390" s="141" t="s">
        <v>62</v>
      </c>
      <c r="G390" s="141" t="s">
        <v>80</v>
      </c>
      <c r="H390" s="141" t="s">
        <v>25</v>
      </c>
      <c r="I390" s="141" t="s">
        <v>13</v>
      </c>
      <c r="J390" s="141" t="s">
        <v>55</v>
      </c>
      <c r="K390" s="141" t="s">
        <v>68</v>
      </c>
    </row>
    <row r="391" spans="1:11" ht="12.75" customHeight="1" x14ac:dyDescent="0.3">
      <c r="A391" s="141">
        <v>390</v>
      </c>
      <c r="B391" s="141" t="s">
        <v>1235</v>
      </c>
      <c r="C391" s="141" t="s">
        <v>1236</v>
      </c>
      <c r="D391" s="141" t="s">
        <v>31</v>
      </c>
      <c r="E391" s="141" t="s">
        <v>48</v>
      </c>
      <c r="F391" s="141" t="s">
        <v>62</v>
      </c>
      <c r="G391" s="141" t="s">
        <v>74</v>
      </c>
      <c r="H391" s="141" t="s">
        <v>25</v>
      </c>
      <c r="I391" s="141" t="s">
        <v>13</v>
      </c>
      <c r="J391" s="141" t="s">
        <v>55</v>
      </c>
      <c r="K391" s="141" t="s">
        <v>68</v>
      </c>
    </row>
    <row r="392" spans="1:11" ht="12.75" customHeight="1" x14ac:dyDescent="0.3">
      <c r="A392" s="141">
        <v>391</v>
      </c>
      <c r="B392" s="141" t="s">
        <v>1237</v>
      </c>
      <c r="C392" s="141" t="s">
        <v>1238</v>
      </c>
      <c r="D392" s="141" t="s">
        <v>13</v>
      </c>
      <c r="E392" s="141" t="s">
        <v>31</v>
      </c>
      <c r="F392" s="141" t="s">
        <v>42</v>
      </c>
      <c r="G392" s="141" t="s">
        <v>80</v>
      </c>
      <c r="H392" s="141" t="s">
        <v>25</v>
      </c>
      <c r="I392" s="141" t="s">
        <v>68</v>
      </c>
      <c r="J392" s="141" t="s">
        <v>74</v>
      </c>
      <c r="K392" s="141" t="s">
        <v>20</v>
      </c>
    </row>
    <row r="393" spans="1:11" ht="12.75" customHeight="1" x14ac:dyDescent="0.3">
      <c r="A393" s="141">
        <v>392</v>
      </c>
      <c r="B393" s="141" t="s">
        <v>1239</v>
      </c>
      <c r="C393" s="141" t="s">
        <v>1240</v>
      </c>
      <c r="D393" s="141" t="s">
        <v>31</v>
      </c>
      <c r="E393" s="141" t="s">
        <v>62</v>
      </c>
      <c r="F393" s="141" t="s">
        <v>42</v>
      </c>
      <c r="G393" s="141" t="s">
        <v>80</v>
      </c>
      <c r="H393" s="141" t="s">
        <v>25</v>
      </c>
      <c r="I393" s="141" t="s">
        <v>13</v>
      </c>
      <c r="J393" s="141" t="s">
        <v>74</v>
      </c>
      <c r="K393" s="141" t="s">
        <v>20</v>
      </c>
    </row>
    <row r="394" spans="1:11" ht="12.75" customHeight="1" x14ac:dyDescent="0.3">
      <c r="A394" s="141">
        <v>393</v>
      </c>
      <c r="B394" s="141" t="s">
        <v>1241</v>
      </c>
      <c r="C394" s="141" t="s">
        <v>1242</v>
      </c>
      <c r="D394" s="141" t="s">
        <v>31</v>
      </c>
      <c r="E394" s="141" t="s">
        <v>62</v>
      </c>
      <c r="F394" s="141" t="s">
        <v>42</v>
      </c>
      <c r="G394" s="141" t="s">
        <v>80</v>
      </c>
      <c r="H394" s="141" t="s">
        <v>25</v>
      </c>
      <c r="I394" s="141" t="s">
        <v>13</v>
      </c>
      <c r="J394" s="141" t="s">
        <v>68</v>
      </c>
      <c r="K394" s="141" t="s">
        <v>20</v>
      </c>
    </row>
    <row r="395" spans="1:11" ht="12.75" customHeight="1" x14ac:dyDescent="0.3">
      <c r="A395" s="141">
        <v>394</v>
      </c>
      <c r="B395" s="141" t="s">
        <v>1243</v>
      </c>
      <c r="C395" s="141" t="s">
        <v>1244</v>
      </c>
      <c r="D395" s="141" t="s">
        <v>31</v>
      </c>
      <c r="E395" s="141" t="s">
        <v>62</v>
      </c>
      <c r="F395" s="141" t="s">
        <v>42</v>
      </c>
      <c r="G395" s="141" t="s">
        <v>68</v>
      </c>
      <c r="H395" s="141" t="s">
        <v>25</v>
      </c>
      <c r="I395" s="141" t="s">
        <v>13</v>
      </c>
      <c r="J395" s="141" t="s">
        <v>74</v>
      </c>
      <c r="K395" s="141" t="s">
        <v>20</v>
      </c>
    </row>
    <row r="396" spans="1:11" ht="12.75" customHeight="1" x14ac:dyDescent="0.3">
      <c r="A396" s="141">
        <v>395</v>
      </c>
      <c r="B396" s="141" t="s">
        <v>1245</v>
      </c>
      <c r="C396" s="141" t="s">
        <v>1246</v>
      </c>
      <c r="D396" s="141" t="s">
        <v>31</v>
      </c>
      <c r="E396" s="141" t="s">
        <v>62</v>
      </c>
      <c r="F396" s="141" t="s">
        <v>42</v>
      </c>
      <c r="G396" s="141" t="s">
        <v>80</v>
      </c>
      <c r="H396" s="141" t="s">
        <v>25</v>
      </c>
      <c r="I396" s="141" t="s">
        <v>13</v>
      </c>
      <c r="J396" s="141" t="s">
        <v>74</v>
      </c>
      <c r="K396" s="141" t="s">
        <v>68</v>
      </c>
    </row>
    <row r="397" spans="1:11" ht="12.75" customHeight="1" x14ac:dyDescent="0.3">
      <c r="A397" s="141">
        <v>396</v>
      </c>
      <c r="B397" s="141" t="s">
        <v>1247</v>
      </c>
      <c r="C397" s="141" t="s">
        <v>1248</v>
      </c>
      <c r="D397" s="141" t="s">
        <v>31</v>
      </c>
      <c r="E397" s="141" t="s">
        <v>55</v>
      </c>
      <c r="F397" s="141" t="s">
        <v>42</v>
      </c>
      <c r="G397" s="141" t="s">
        <v>80</v>
      </c>
      <c r="H397" s="141" t="s">
        <v>25</v>
      </c>
      <c r="I397" s="141" t="s">
        <v>13</v>
      </c>
      <c r="J397" s="141" t="s">
        <v>74</v>
      </c>
      <c r="K397" s="141" t="s">
        <v>20</v>
      </c>
    </row>
    <row r="398" spans="1:11" ht="12.75" customHeight="1" x14ac:dyDescent="0.3">
      <c r="A398" s="141">
        <v>397</v>
      </c>
      <c r="B398" s="141" t="s">
        <v>1249</v>
      </c>
      <c r="C398" s="141" t="s">
        <v>1250</v>
      </c>
      <c r="D398" s="141" t="s">
        <v>13</v>
      </c>
      <c r="E398" s="141" t="s">
        <v>31</v>
      </c>
      <c r="F398" s="141" t="s">
        <v>42</v>
      </c>
      <c r="G398" s="141" t="s">
        <v>80</v>
      </c>
      <c r="H398" s="141" t="s">
        <v>25</v>
      </c>
      <c r="I398" s="141" t="s">
        <v>68</v>
      </c>
      <c r="J398" s="141" t="s">
        <v>55</v>
      </c>
      <c r="K398" s="141" t="s">
        <v>20</v>
      </c>
    </row>
    <row r="399" spans="1:11" ht="12.75" customHeight="1" x14ac:dyDescent="0.3">
      <c r="A399" s="141">
        <v>398</v>
      </c>
      <c r="B399" s="141" t="s">
        <v>1251</v>
      </c>
      <c r="C399" s="141" t="s">
        <v>1252</v>
      </c>
      <c r="D399" s="141" t="s">
        <v>31</v>
      </c>
      <c r="E399" s="141" t="s">
        <v>55</v>
      </c>
      <c r="F399" s="141" t="s">
        <v>42</v>
      </c>
      <c r="G399" s="141" t="s">
        <v>68</v>
      </c>
      <c r="H399" s="141" t="s">
        <v>25</v>
      </c>
      <c r="I399" s="141" t="s">
        <v>13</v>
      </c>
      <c r="J399" s="141" t="s">
        <v>74</v>
      </c>
      <c r="K399" s="141" t="s">
        <v>20</v>
      </c>
    </row>
    <row r="400" spans="1:11" ht="12.75" customHeight="1" x14ac:dyDescent="0.3">
      <c r="A400" s="141">
        <v>399</v>
      </c>
      <c r="B400" s="141" t="s">
        <v>1253</v>
      </c>
      <c r="C400" s="141" t="s">
        <v>1254</v>
      </c>
      <c r="D400" s="141" t="s">
        <v>31</v>
      </c>
      <c r="E400" s="141" t="s">
        <v>55</v>
      </c>
      <c r="F400" s="141" t="s">
        <v>42</v>
      </c>
      <c r="G400" s="141" t="s">
        <v>80</v>
      </c>
      <c r="H400" s="141" t="s">
        <v>25</v>
      </c>
      <c r="I400" s="141" t="s">
        <v>13</v>
      </c>
      <c r="J400" s="141" t="s">
        <v>74</v>
      </c>
      <c r="K400" s="141" t="s">
        <v>68</v>
      </c>
    </row>
    <row r="401" spans="1:11" ht="12.75" customHeight="1" x14ac:dyDescent="0.3">
      <c r="A401" s="141">
        <v>400</v>
      </c>
      <c r="B401" s="141" t="s">
        <v>1255</v>
      </c>
      <c r="C401" s="141" t="s">
        <v>1256</v>
      </c>
      <c r="D401" s="141" t="s">
        <v>31</v>
      </c>
      <c r="E401" s="141" t="s">
        <v>62</v>
      </c>
      <c r="F401" s="141" t="s">
        <v>42</v>
      </c>
      <c r="G401" s="141" t="s">
        <v>80</v>
      </c>
      <c r="H401" s="141" t="s">
        <v>25</v>
      </c>
      <c r="I401" s="141" t="s">
        <v>13</v>
      </c>
      <c r="J401" s="141" t="s">
        <v>55</v>
      </c>
      <c r="K401" s="141" t="s">
        <v>20</v>
      </c>
    </row>
    <row r="402" spans="1:11" ht="12.75" customHeight="1" x14ac:dyDescent="0.3">
      <c r="A402" s="141">
        <v>401</v>
      </c>
      <c r="B402" s="141" t="s">
        <v>1257</v>
      </c>
      <c r="C402" s="141" t="s">
        <v>1258</v>
      </c>
      <c r="D402" s="141" t="s">
        <v>31</v>
      </c>
      <c r="E402" s="141" t="s">
        <v>55</v>
      </c>
      <c r="F402" s="141" t="s">
        <v>62</v>
      </c>
      <c r="G402" s="141" t="s">
        <v>42</v>
      </c>
      <c r="H402" s="141" t="s">
        <v>25</v>
      </c>
      <c r="I402" s="141" t="s">
        <v>13</v>
      </c>
      <c r="J402" s="141" t="s">
        <v>74</v>
      </c>
      <c r="K402" s="141" t="s">
        <v>20</v>
      </c>
    </row>
    <row r="403" spans="1:11" ht="12.75" customHeight="1" x14ac:dyDescent="0.3">
      <c r="A403" s="141">
        <v>402</v>
      </c>
      <c r="B403" s="141" t="s">
        <v>1259</v>
      </c>
      <c r="C403" s="141" t="s">
        <v>1260</v>
      </c>
      <c r="D403" s="141" t="s">
        <v>31</v>
      </c>
      <c r="E403" s="141" t="s">
        <v>55</v>
      </c>
      <c r="F403" s="141" t="s">
        <v>62</v>
      </c>
      <c r="G403" s="141" t="s">
        <v>80</v>
      </c>
      <c r="H403" s="141" t="s">
        <v>25</v>
      </c>
      <c r="I403" s="141" t="s">
        <v>13</v>
      </c>
      <c r="J403" s="141" t="s">
        <v>74</v>
      </c>
      <c r="K403" s="141" t="s">
        <v>42</v>
      </c>
    </row>
    <row r="404" spans="1:11" ht="12.75" customHeight="1" x14ac:dyDescent="0.3">
      <c r="A404" s="141">
        <v>403</v>
      </c>
      <c r="B404" s="141" t="s">
        <v>1261</v>
      </c>
      <c r="C404" s="141" t="s">
        <v>1262</v>
      </c>
      <c r="D404" s="141" t="s">
        <v>31</v>
      </c>
      <c r="E404" s="141" t="s">
        <v>62</v>
      </c>
      <c r="F404" s="141" t="s">
        <v>42</v>
      </c>
      <c r="G404" s="141" t="s">
        <v>68</v>
      </c>
      <c r="H404" s="141" t="s">
        <v>25</v>
      </c>
      <c r="I404" s="141" t="s">
        <v>13</v>
      </c>
      <c r="J404" s="141" t="s">
        <v>55</v>
      </c>
      <c r="K404" s="141" t="s">
        <v>20</v>
      </c>
    </row>
    <row r="405" spans="1:11" ht="12.75" customHeight="1" x14ac:dyDescent="0.3">
      <c r="A405" s="141">
        <v>404</v>
      </c>
      <c r="B405" s="141" t="s">
        <v>1263</v>
      </c>
      <c r="C405" s="141" t="s">
        <v>1264</v>
      </c>
      <c r="D405" s="141" t="s">
        <v>31</v>
      </c>
      <c r="E405" s="141" t="s">
        <v>62</v>
      </c>
      <c r="F405" s="141" t="s">
        <v>42</v>
      </c>
      <c r="G405" s="141" t="s">
        <v>80</v>
      </c>
      <c r="H405" s="141" t="s">
        <v>25</v>
      </c>
      <c r="I405" s="141" t="s">
        <v>13</v>
      </c>
      <c r="J405" s="141" t="s">
        <v>55</v>
      </c>
      <c r="K405" s="141" t="s">
        <v>68</v>
      </c>
    </row>
    <row r="406" spans="1:11" ht="12.75" customHeight="1" x14ac:dyDescent="0.3">
      <c r="A406" s="141">
        <v>405</v>
      </c>
      <c r="B406" s="141" t="s">
        <v>1265</v>
      </c>
      <c r="C406" s="141" t="s">
        <v>1266</v>
      </c>
      <c r="D406" s="141" t="s">
        <v>31</v>
      </c>
      <c r="E406" s="141" t="s">
        <v>55</v>
      </c>
      <c r="F406" s="141" t="s">
        <v>62</v>
      </c>
      <c r="G406" s="141" t="s">
        <v>68</v>
      </c>
      <c r="H406" s="141" t="s">
        <v>25</v>
      </c>
      <c r="I406" s="141" t="s">
        <v>13</v>
      </c>
      <c r="J406" s="141" t="s">
        <v>74</v>
      </c>
      <c r="K406" s="141" t="s">
        <v>42</v>
      </c>
    </row>
    <row r="407" spans="1:11" ht="12.75" customHeight="1" x14ac:dyDescent="0.3">
      <c r="A407" s="141">
        <v>406</v>
      </c>
      <c r="B407" s="141" t="s">
        <v>1267</v>
      </c>
      <c r="C407" s="141" t="s">
        <v>1268</v>
      </c>
      <c r="D407" s="141" t="s">
        <v>31</v>
      </c>
      <c r="E407" s="141" t="s">
        <v>48</v>
      </c>
      <c r="F407" s="141" t="s">
        <v>42</v>
      </c>
      <c r="G407" s="141" t="s">
        <v>80</v>
      </c>
      <c r="H407" s="141" t="s">
        <v>25</v>
      </c>
      <c r="I407" s="141" t="s">
        <v>13</v>
      </c>
      <c r="J407" s="141" t="s">
        <v>74</v>
      </c>
      <c r="K407" s="141" t="s">
        <v>20</v>
      </c>
    </row>
    <row r="408" spans="1:11" ht="12.75" customHeight="1" x14ac:dyDescent="0.3">
      <c r="A408" s="141">
        <v>407</v>
      </c>
      <c r="B408" s="141" t="s">
        <v>1269</v>
      </c>
      <c r="C408" s="141" t="s">
        <v>1270</v>
      </c>
      <c r="D408" s="141" t="s">
        <v>31</v>
      </c>
      <c r="E408" s="141" t="s">
        <v>48</v>
      </c>
      <c r="F408" s="141" t="s">
        <v>42</v>
      </c>
      <c r="G408" s="141" t="s">
        <v>80</v>
      </c>
      <c r="H408" s="141" t="s">
        <v>25</v>
      </c>
      <c r="I408" s="141" t="s">
        <v>13</v>
      </c>
      <c r="J408" s="141" t="s">
        <v>68</v>
      </c>
      <c r="K408" s="141" t="s">
        <v>20</v>
      </c>
    </row>
    <row r="409" spans="1:11" ht="12.75" customHeight="1" x14ac:dyDescent="0.3">
      <c r="A409" s="141">
        <v>408</v>
      </c>
      <c r="B409" s="141" t="s">
        <v>1271</v>
      </c>
      <c r="C409" s="141" t="s">
        <v>1272</v>
      </c>
      <c r="D409" s="141" t="s">
        <v>31</v>
      </c>
      <c r="E409" s="141" t="s">
        <v>48</v>
      </c>
      <c r="F409" s="141" t="s">
        <v>42</v>
      </c>
      <c r="G409" s="141" t="s">
        <v>68</v>
      </c>
      <c r="H409" s="141" t="s">
        <v>25</v>
      </c>
      <c r="I409" s="141" t="s">
        <v>13</v>
      </c>
      <c r="J409" s="141" t="s">
        <v>74</v>
      </c>
      <c r="K409" s="141" t="s">
        <v>20</v>
      </c>
    </row>
    <row r="410" spans="1:11" ht="12.75" customHeight="1" x14ac:dyDescent="0.3">
      <c r="A410" s="141">
        <v>409</v>
      </c>
      <c r="B410" s="141" t="s">
        <v>1273</v>
      </c>
      <c r="C410" s="141" t="s">
        <v>1274</v>
      </c>
      <c r="D410" s="141" t="s">
        <v>31</v>
      </c>
      <c r="E410" s="141" t="s">
        <v>48</v>
      </c>
      <c r="F410" s="141" t="s">
        <v>42</v>
      </c>
      <c r="G410" s="141" t="s">
        <v>80</v>
      </c>
      <c r="H410" s="141" t="s">
        <v>25</v>
      </c>
      <c r="I410" s="141" t="s">
        <v>13</v>
      </c>
      <c r="J410" s="141" t="s">
        <v>74</v>
      </c>
      <c r="K410" s="141" t="s">
        <v>68</v>
      </c>
    </row>
    <row r="411" spans="1:11" ht="12.75" customHeight="1" x14ac:dyDescent="0.3">
      <c r="A411" s="141">
        <v>410</v>
      </c>
      <c r="B411" s="141" t="s">
        <v>1275</v>
      </c>
      <c r="C411" s="141" t="s">
        <v>1276</v>
      </c>
      <c r="D411" s="141" t="s">
        <v>31</v>
      </c>
      <c r="E411" s="141" t="s">
        <v>48</v>
      </c>
      <c r="F411" s="141" t="s">
        <v>62</v>
      </c>
      <c r="G411" s="141" t="s">
        <v>80</v>
      </c>
      <c r="H411" s="141" t="s">
        <v>25</v>
      </c>
      <c r="I411" s="141" t="s">
        <v>13</v>
      </c>
      <c r="J411" s="141" t="s">
        <v>42</v>
      </c>
      <c r="K411" s="141" t="s">
        <v>20</v>
      </c>
    </row>
    <row r="412" spans="1:11" ht="12.75" customHeight="1" x14ac:dyDescent="0.3">
      <c r="A412" s="141">
        <v>411</v>
      </c>
      <c r="B412" s="141" t="s">
        <v>1277</v>
      </c>
      <c r="C412" s="141" t="s">
        <v>1278</v>
      </c>
      <c r="D412" s="141" t="s">
        <v>31</v>
      </c>
      <c r="E412" s="141" t="s">
        <v>48</v>
      </c>
      <c r="F412" s="141" t="s">
        <v>62</v>
      </c>
      <c r="G412" s="141" t="s">
        <v>42</v>
      </c>
      <c r="H412" s="141" t="s">
        <v>25</v>
      </c>
      <c r="I412" s="141" t="s">
        <v>13</v>
      </c>
      <c r="J412" s="141" t="s">
        <v>74</v>
      </c>
      <c r="K412" s="141" t="s">
        <v>20</v>
      </c>
    </row>
    <row r="413" spans="1:11" ht="12.75" customHeight="1" x14ac:dyDescent="0.3">
      <c r="A413" s="141">
        <v>412</v>
      </c>
      <c r="B413" s="141" t="s">
        <v>1279</v>
      </c>
      <c r="C413" s="141" t="s">
        <v>1280</v>
      </c>
      <c r="D413" s="141" t="s">
        <v>31</v>
      </c>
      <c r="E413" s="141" t="s">
        <v>48</v>
      </c>
      <c r="F413" s="141" t="s">
        <v>62</v>
      </c>
      <c r="G413" s="141" t="s">
        <v>80</v>
      </c>
      <c r="H413" s="141" t="s">
        <v>25</v>
      </c>
      <c r="I413" s="141" t="s">
        <v>13</v>
      </c>
      <c r="J413" s="141" t="s">
        <v>74</v>
      </c>
      <c r="K413" s="141" t="s">
        <v>42</v>
      </c>
    </row>
    <row r="414" spans="1:11" ht="12.75" customHeight="1" x14ac:dyDescent="0.3">
      <c r="A414" s="141">
        <v>413</v>
      </c>
      <c r="B414" s="141" t="s">
        <v>1281</v>
      </c>
      <c r="C414" s="141" t="s">
        <v>1282</v>
      </c>
      <c r="D414" s="141" t="s">
        <v>31</v>
      </c>
      <c r="E414" s="141" t="s">
        <v>48</v>
      </c>
      <c r="F414" s="141" t="s">
        <v>62</v>
      </c>
      <c r="G414" s="141" t="s">
        <v>68</v>
      </c>
      <c r="H414" s="141" t="s">
        <v>25</v>
      </c>
      <c r="I414" s="141" t="s">
        <v>13</v>
      </c>
      <c r="J414" s="141" t="s">
        <v>42</v>
      </c>
      <c r="K414" s="141" t="s">
        <v>20</v>
      </c>
    </row>
    <row r="415" spans="1:11" ht="12.75" customHeight="1" x14ac:dyDescent="0.3">
      <c r="A415" s="141">
        <v>414</v>
      </c>
      <c r="B415" s="141" t="s">
        <v>1283</v>
      </c>
      <c r="C415" s="141" t="s">
        <v>1284</v>
      </c>
      <c r="D415" s="141" t="s">
        <v>31</v>
      </c>
      <c r="E415" s="141" t="s">
        <v>48</v>
      </c>
      <c r="F415" s="141" t="s">
        <v>62</v>
      </c>
      <c r="G415" s="141" t="s">
        <v>80</v>
      </c>
      <c r="H415" s="141" t="s">
        <v>25</v>
      </c>
      <c r="I415" s="141" t="s">
        <v>13</v>
      </c>
      <c r="J415" s="141" t="s">
        <v>42</v>
      </c>
      <c r="K415" s="141" t="s">
        <v>68</v>
      </c>
    </row>
    <row r="416" spans="1:11" ht="12.75" customHeight="1" x14ac:dyDescent="0.3">
      <c r="A416" s="141">
        <v>415</v>
      </c>
      <c r="B416" s="141" t="s">
        <v>1285</v>
      </c>
      <c r="C416" s="141" t="s">
        <v>1286</v>
      </c>
      <c r="D416" s="141" t="s">
        <v>31</v>
      </c>
      <c r="E416" s="141" t="s">
        <v>48</v>
      </c>
      <c r="F416" s="141" t="s">
        <v>62</v>
      </c>
      <c r="G416" s="141" t="s">
        <v>68</v>
      </c>
      <c r="H416" s="141" t="s">
        <v>25</v>
      </c>
      <c r="I416" s="141" t="s">
        <v>13</v>
      </c>
      <c r="J416" s="141" t="s">
        <v>74</v>
      </c>
      <c r="K416" s="141" t="s">
        <v>42</v>
      </c>
    </row>
    <row r="417" spans="1:11" ht="12.75" customHeight="1" x14ac:dyDescent="0.3">
      <c r="A417" s="141">
        <v>416</v>
      </c>
      <c r="B417" s="141" t="s">
        <v>1287</v>
      </c>
      <c r="C417" s="141" t="s">
        <v>1288</v>
      </c>
      <c r="D417" s="141" t="s">
        <v>31</v>
      </c>
      <c r="E417" s="141" t="s">
        <v>48</v>
      </c>
      <c r="F417" s="141" t="s">
        <v>42</v>
      </c>
      <c r="G417" s="141" t="s">
        <v>80</v>
      </c>
      <c r="H417" s="141" t="s">
        <v>25</v>
      </c>
      <c r="I417" s="141" t="s">
        <v>13</v>
      </c>
      <c r="J417" s="141" t="s">
        <v>55</v>
      </c>
      <c r="K417" s="141" t="s">
        <v>20</v>
      </c>
    </row>
    <row r="418" spans="1:11" ht="12.75" customHeight="1" x14ac:dyDescent="0.3">
      <c r="A418" s="141">
        <v>417</v>
      </c>
      <c r="B418" s="141" t="s">
        <v>1289</v>
      </c>
      <c r="C418" s="141" t="s">
        <v>1290</v>
      </c>
      <c r="D418" s="141" t="s">
        <v>31</v>
      </c>
      <c r="E418" s="141" t="s">
        <v>48</v>
      </c>
      <c r="F418" s="141" t="s">
        <v>42</v>
      </c>
      <c r="G418" s="141" t="s">
        <v>74</v>
      </c>
      <c r="H418" s="141" t="s">
        <v>25</v>
      </c>
      <c r="I418" s="141" t="s">
        <v>13</v>
      </c>
      <c r="J418" s="141" t="s">
        <v>55</v>
      </c>
      <c r="K418" s="141" t="s">
        <v>20</v>
      </c>
    </row>
    <row r="419" spans="1:11" ht="12.75" customHeight="1" x14ac:dyDescent="0.3">
      <c r="A419" s="141">
        <v>418</v>
      </c>
      <c r="B419" s="141" t="s">
        <v>1291</v>
      </c>
      <c r="C419" s="141" t="s">
        <v>1292</v>
      </c>
      <c r="D419" s="141" t="s">
        <v>31</v>
      </c>
      <c r="E419" s="141" t="s">
        <v>48</v>
      </c>
      <c r="F419" s="141" t="s">
        <v>42</v>
      </c>
      <c r="G419" s="141" t="s">
        <v>80</v>
      </c>
      <c r="H419" s="141" t="s">
        <v>25</v>
      </c>
      <c r="I419" s="141" t="s">
        <v>13</v>
      </c>
      <c r="J419" s="141" t="s">
        <v>55</v>
      </c>
      <c r="K419" s="141" t="s">
        <v>74</v>
      </c>
    </row>
    <row r="420" spans="1:11" ht="12.75" customHeight="1" x14ac:dyDescent="0.3">
      <c r="A420" s="141">
        <v>419</v>
      </c>
      <c r="B420" s="141" t="s">
        <v>1293</v>
      </c>
      <c r="C420" s="141" t="s">
        <v>1294</v>
      </c>
      <c r="D420" s="141" t="s">
        <v>31</v>
      </c>
      <c r="E420" s="141" t="s">
        <v>48</v>
      </c>
      <c r="F420" s="141" t="s">
        <v>42</v>
      </c>
      <c r="G420" s="141" t="s">
        <v>68</v>
      </c>
      <c r="H420" s="141" t="s">
        <v>25</v>
      </c>
      <c r="I420" s="141" t="s">
        <v>13</v>
      </c>
      <c r="J420" s="141" t="s">
        <v>55</v>
      </c>
      <c r="K420" s="141" t="s">
        <v>20</v>
      </c>
    </row>
    <row r="421" spans="1:11" ht="12.75" customHeight="1" x14ac:dyDescent="0.3">
      <c r="A421" s="141">
        <v>420</v>
      </c>
      <c r="B421" s="141" t="s">
        <v>1295</v>
      </c>
      <c r="C421" s="141" t="s">
        <v>1296</v>
      </c>
      <c r="D421" s="141" t="s">
        <v>31</v>
      </c>
      <c r="E421" s="141" t="s">
        <v>48</v>
      </c>
      <c r="F421" s="141" t="s">
        <v>42</v>
      </c>
      <c r="G421" s="141" t="s">
        <v>80</v>
      </c>
      <c r="H421" s="141" t="s">
        <v>25</v>
      </c>
      <c r="I421" s="141" t="s">
        <v>13</v>
      </c>
      <c r="J421" s="141" t="s">
        <v>55</v>
      </c>
      <c r="K421" s="141" t="s">
        <v>68</v>
      </c>
    </row>
    <row r="422" spans="1:11" ht="12.75" customHeight="1" x14ac:dyDescent="0.3">
      <c r="A422" s="141">
        <v>421</v>
      </c>
      <c r="B422" s="141" t="s">
        <v>1297</v>
      </c>
      <c r="C422" s="141" t="s">
        <v>1298</v>
      </c>
      <c r="D422" s="141" t="s">
        <v>31</v>
      </c>
      <c r="E422" s="141" t="s">
        <v>48</v>
      </c>
      <c r="F422" s="141" t="s">
        <v>42</v>
      </c>
      <c r="G422" s="141" t="s">
        <v>74</v>
      </c>
      <c r="H422" s="141" t="s">
        <v>25</v>
      </c>
      <c r="I422" s="141" t="s">
        <v>13</v>
      </c>
      <c r="J422" s="141" t="s">
        <v>55</v>
      </c>
      <c r="K422" s="141" t="s">
        <v>68</v>
      </c>
    </row>
    <row r="423" spans="1:11" ht="12.75" customHeight="1" x14ac:dyDescent="0.3">
      <c r="A423" s="141">
        <v>422</v>
      </c>
      <c r="B423" s="141" t="s">
        <v>1299</v>
      </c>
      <c r="C423" s="141" t="s">
        <v>1300</v>
      </c>
      <c r="D423" s="141" t="s">
        <v>31</v>
      </c>
      <c r="E423" s="141" t="s">
        <v>48</v>
      </c>
      <c r="F423" s="141" t="s">
        <v>62</v>
      </c>
      <c r="G423" s="141" t="s">
        <v>42</v>
      </c>
      <c r="H423" s="141" t="s">
        <v>25</v>
      </c>
      <c r="I423" s="141" t="s">
        <v>13</v>
      </c>
      <c r="J423" s="141" t="s">
        <v>55</v>
      </c>
      <c r="K423" s="141" t="s">
        <v>20</v>
      </c>
    </row>
    <row r="424" spans="1:11" ht="12.75" customHeight="1" x14ac:dyDescent="0.3">
      <c r="A424" s="141">
        <v>423</v>
      </c>
      <c r="B424" s="141" t="s">
        <v>1301</v>
      </c>
      <c r="C424" s="141" t="s">
        <v>1302</v>
      </c>
      <c r="D424" s="141" t="s">
        <v>31</v>
      </c>
      <c r="E424" s="141" t="s">
        <v>48</v>
      </c>
      <c r="F424" s="141" t="s">
        <v>62</v>
      </c>
      <c r="G424" s="141" t="s">
        <v>80</v>
      </c>
      <c r="H424" s="141" t="s">
        <v>25</v>
      </c>
      <c r="I424" s="141" t="s">
        <v>13</v>
      </c>
      <c r="J424" s="141" t="s">
        <v>55</v>
      </c>
      <c r="K424" s="141" t="s">
        <v>42</v>
      </c>
    </row>
    <row r="425" spans="1:11" ht="12.75" customHeight="1" x14ac:dyDescent="0.3">
      <c r="A425" s="141">
        <v>424</v>
      </c>
      <c r="B425" s="141" t="s">
        <v>1303</v>
      </c>
      <c r="C425" s="141" t="s">
        <v>1304</v>
      </c>
      <c r="D425" s="141" t="s">
        <v>31</v>
      </c>
      <c r="E425" s="141" t="s">
        <v>48</v>
      </c>
      <c r="F425" s="141" t="s">
        <v>62</v>
      </c>
      <c r="G425" s="141" t="s">
        <v>74</v>
      </c>
      <c r="H425" s="141" t="s">
        <v>25</v>
      </c>
      <c r="I425" s="141" t="s">
        <v>13</v>
      </c>
      <c r="J425" s="141" t="s">
        <v>55</v>
      </c>
      <c r="K425" s="141" t="s">
        <v>42</v>
      </c>
    </row>
    <row r="426" spans="1:11" ht="12.75" customHeight="1" x14ac:dyDescent="0.3">
      <c r="A426" s="141">
        <v>425</v>
      </c>
      <c r="B426" s="141" t="s">
        <v>1305</v>
      </c>
      <c r="C426" s="141" t="s">
        <v>1306</v>
      </c>
      <c r="D426" s="141" t="s">
        <v>31</v>
      </c>
      <c r="E426" s="141" t="s">
        <v>48</v>
      </c>
      <c r="F426" s="141" t="s">
        <v>62</v>
      </c>
      <c r="G426" s="141" t="s">
        <v>68</v>
      </c>
      <c r="H426" s="141" t="s">
        <v>25</v>
      </c>
      <c r="I426" s="141" t="s">
        <v>13</v>
      </c>
      <c r="J426" s="141" t="s">
        <v>55</v>
      </c>
      <c r="K426" s="141" t="s">
        <v>42</v>
      </c>
    </row>
    <row r="427" spans="1:11" ht="12.75" customHeight="1" x14ac:dyDescent="0.3">
      <c r="A427" s="141">
        <v>426</v>
      </c>
      <c r="B427" s="141" t="s">
        <v>1307</v>
      </c>
      <c r="C427" s="141" t="s">
        <v>1308</v>
      </c>
      <c r="D427" s="141" t="s">
        <v>31</v>
      </c>
      <c r="E427" s="141" t="s">
        <v>19</v>
      </c>
      <c r="F427" s="141" t="s">
        <v>68</v>
      </c>
      <c r="G427" s="141" t="s">
        <v>80</v>
      </c>
      <c r="H427" s="141" t="s">
        <v>25</v>
      </c>
      <c r="I427" s="141" t="s">
        <v>13</v>
      </c>
      <c r="J427" s="141" t="s">
        <v>74</v>
      </c>
      <c r="K427" s="141" t="s">
        <v>20</v>
      </c>
    </row>
    <row r="428" spans="1:11" ht="12.75" customHeight="1" x14ac:dyDescent="0.3">
      <c r="A428" s="141">
        <v>427</v>
      </c>
      <c r="B428" s="141" t="s">
        <v>1309</v>
      </c>
      <c r="C428" s="141" t="s">
        <v>1310</v>
      </c>
      <c r="D428" s="141" t="s">
        <v>31</v>
      </c>
      <c r="E428" s="141" t="s">
        <v>19</v>
      </c>
      <c r="F428" s="141" t="s">
        <v>62</v>
      </c>
      <c r="G428" s="141" t="s">
        <v>80</v>
      </c>
      <c r="H428" s="141" t="s">
        <v>25</v>
      </c>
      <c r="I428" s="141" t="s">
        <v>13</v>
      </c>
      <c r="J428" s="141" t="s">
        <v>74</v>
      </c>
      <c r="K428" s="141" t="s">
        <v>20</v>
      </c>
    </row>
    <row r="429" spans="1:11" ht="12.75" customHeight="1" x14ac:dyDescent="0.3">
      <c r="A429" s="141">
        <v>428</v>
      </c>
      <c r="B429" s="141" t="s">
        <v>1311</v>
      </c>
      <c r="C429" s="141" t="s">
        <v>1312</v>
      </c>
      <c r="D429" s="141" t="s">
        <v>31</v>
      </c>
      <c r="E429" s="141" t="s">
        <v>19</v>
      </c>
      <c r="F429" s="141" t="s">
        <v>62</v>
      </c>
      <c r="G429" s="141" t="s">
        <v>80</v>
      </c>
      <c r="H429" s="141" t="s">
        <v>25</v>
      </c>
      <c r="I429" s="141" t="s">
        <v>13</v>
      </c>
      <c r="J429" s="141" t="s">
        <v>68</v>
      </c>
      <c r="K429" s="141" t="s">
        <v>20</v>
      </c>
    </row>
    <row r="430" spans="1:11" ht="12.75" customHeight="1" x14ac:dyDescent="0.3">
      <c r="A430" s="141">
        <v>429</v>
      </c>
      <c r="B430" s="141" t="s">
        <v>1313</v>
      </c>
      <c r="C430" s="141" t="s">
        <v>1314</v>
      </c>
      <c r="D430" s="141" t="s">
        <v>31</v>
      </c>
      <c r="E430" s="141" t="s">
        <v>19</v>
      </c>
      <c r="F430" s="141" t="s">
        <v>62</v>
      </c>
      <c r="G430" s="141" t="s">
        <v>68</v>
      </c>
      <c r="H430" s="141" t="s">
        <v>25</v>
      </c>
      <c r="I430" s="141" t="s">
        <v>13</v>
      </c>
      <c r="J430" s="141" t="s">
        <v>74</v>
      </c>
      <c r="K430" s="141" t="s">
        <v>20</v>
      </c>
    </row>
    <row r="431" spans="1:11" ht="12.75" customHeight="1" x14ac:dyDescent="0.3">
      <c r="A431" s="141">
        <v>430</v>
      </c>
      <c r="B431" s="141" t="s">
        <v>1315</v>
      </c>
      <c r="C431" s="141" t="s">
        <v>1316</v>
      </c>
      <c r="D431" s="141" t="s">
        <v>31</v>
      </c>
      <c r="E431" s="141" t="s">
        <v>19</v>
      </c>
      <c r="F431" s="141" t="s">
        <v>62</v>
      </c>
      <c r="G431" s="141" t="s">
        <v>80</v>
      </c>
      <c r="H431" s="141" t="s">
        <v>25</v>
      </c>
      <c r="I431" s="141" t="s">
        <v>13</v>
      </c>
      <c r="J431" s="141" t="s">
        <v>74</v>
      </c>
      <c r="K431" s="141" t="s">
        <v>68</v>
      </c>
    </row>
    <row r="432" spans="1:11" ht="12.75" customHeight="1" x14ac:dyDescent="0.3">
      <c r="A432" s="141">
        <v>431</v>
      </c>
      <c r="B432" s="141" t="s">
        <v>1317</v>
      </c>
      <c r="C432" s="141" t="s">
        <v>1318</v>
      </c>
      <c r="D432" s="141" t="s">
        <v>19</v>
      </c>
      <c r="E432" s="141" t="s">
        <v>55</v>
      </c>
      <c r="F432" s="141" t="s">
        <v>31</v>
      </c>
      <c r="G432" s="141" t="s">
        <v>80</v>
      </c>
      <c r="H432" s="141" t="s">
        <v>25</v>
      </c>
      <c r="I432" s="141" t="s">
        <v>13</v>
      </c>
      <c r="J432" s="141" t="s">
        <v>74</v>
      </c>
      <c r="K432" s="141" t="s">
        <v>20</v>
      </c>
    </row>
    <row r="433" spans="1:11" ht="12.75" customHeight="1" x14ac:dyDescent="0.3">
      <c r="A433" s="141">
        <v>432</v>
      </c>
      <c r="B433" s="141" t="s">
        <v>1319</v>
      </c>
      <c r="C433" s="141" t="s">
        <v>1320</v>
      </c>
      <c r="D433" s="141" t="s">
        <v>31</v>
      </c>
      <c r="E433" s="141" t="s">
        <v>19</v>
      </c>
      <c r="F433" s="141" t="s">
        <v>68</v>
      </c>
      <c r="G433" s="141" t="s">
        <v>80</v>
      </c>
      <c r="H433" s="141" t="s">
        <v>25</v>
      </c>
      <c r="I433" s="141" t="s">
        <v>13</v>
      </c>
      <c r="J433" s="141" t="s">
        <v>55</v>
      </c>
      <c r="K433" s="141" t="s">
        <v>20</v>
      </c>
    </row>
    <row r="434" spans="1:11" ht="12.75" customHeight="1" x14ac:dyDescent="0.3">
      <c r="A434" s="141">
        <v>433</v>
      </c>
      <c r="B434" s="141" t="s">
        <v>1321</v>
      </c>
      <c r="C434" s="141" t="s">
        <v>1322</v>
      </c>
      <c r="D434" s="141" t="s">
        <v>19</v>
      </c>
      <c r="E434" s="141" t="s">
        <v>55</v>
      </c>
      <c r="F434" s="141" t="s">
        <v>31</v>
      </c>
      <c r="G434" s="141" t="s">
        <v>68</v>
      </c>
      <c r="H434" s="141" t="s">
        <v>25</v>
      </c>
      <c r="I434" s="141" t="s">
        <v>13</v>
      </c>
      <c r="J434" s="141" t="s">
        <v>74</v>
      </c>
      <c r="K434" s="141" t="s">
        <v>20</v>
      </c>
    </row>
    <row r="435" spans="1:11" ht="12.75" customHeight="1" x14ac:dyDescent="0.3">
      <c r="A435" s="141">
        <v>434</v>
      </c>
      <c r="B435" s="141" t="s">
        <v>1323</v>
      </c>
      <c r="C435" s="141" t="s">
        <v>1324</v>
      </c>
      <c r="D435" s="141" t="s">
        <v>19</v>
      </c>
      <c r="E435" s="141" t="s">
        <v>55</v>
      </c>
      <c r="F435" s="141" t="s">
        <v>31</v>
      </c>
      <c r="G435" s="141" t="s">
        <v>80</v>
      </c>
      <c r="H435" s="141" t="s">
        <v>25</v>
      </c>
      <c r="I435" s="141" t="s">
        <v>13</v>
      </c>
      <c r="J435" s="141" t="s">
        <v>74</v>
      </c>
      <c r="K435" s="141" t="s">
        <v>68</v>
      </c>
    </row>
    <row r="436" spans="1:11" ht="12.75" customHeight="1" x14ac:dyDescent="0.3">
      <c r="A436" s="141">
        <v>435</v>
      </c>
      <c r="B436" s="141" t="s">
        <v>1325</v>
      </c>
      <c r="C436" s="141" t="s">
        <v>1326</v>
      </c>
      <c r="D436" s="141" t="s">
        <v>31</v>
      </c>
      <c r="E436" s="141" t="s">
        <v>19</v>
      </c>
      <c r="F436" s="141" t="s">
        <v>62</v>
      </c>
      <c r="G436" s="141" t="s">
        <v>80</v>
      </c>
      <c r="H436" s="141" t="s">
        <v>25</v>
      </c>
      <c r="I436" s="141" t="s">
        <v>13</v>
      </c>
      <c r="J436" s="141" t="s">
        <v>55</v>
      </c>
      <c r="K436" s="141" t="s">
        <v>20</v>
      </c>
    </row>
    <row r="437" spans="1:11" ht="12.75" customHeight="1" x14ac:dyDescent="0.3">
      <c r="A437" s="141">
        <v>436</v>
      </c>
      <c r="B437" s="141" t="s">
        <v>1327</v>
      </c>
      <c r="C437" s="141" t="s">
        <v>1328</v>
      </c>
      <c r="D437" s="141" t="s">
        <v>31</v>
      </c>
      <c r="E437" s="141" t="s">
        <v>19</v>
      </c>
      <c r="F437" s="141" t="s">
        <v>62</v>
      </c>
      <c r="G437" s="141" t="s">
        <v>74</v>
      </c>
      <c r="H437" s="141" t="s">
        <v>25</v>
      </c>
      <c r="I437" s="141" t="s">
        <v>13</v>
      </c>
      <c r="J437" s="141" t="s">
        <v>55</v>
      </c>
      <c r="K437" s="141" t="s">
        <v>20</v>
      </c>
    </row>
    <row r="438" spans="1:11" ht="12.75" customHeight="1" x14ac:dyDescent="0.3">
      <c r="A438" s="141">
        <v>437</v>
      </c>
      <c r="B438" s="141" t="s">
        <v>1329</v>
      </c>
      <c r="C438" s="141" t="s">
        <v>1330</v>
      </c>
      <c r="D438" s="141" t="s">
        <v>31</v>
      </c>
      <c r="E438" s="141" t="s">
        <v>19</v>
      </c>
      <c r="F438" s="141" t="s">
        <v>62</v>
      </c>
      <c r="G438" s="141" t="s">
        <v>80</v>
      </c>
      <c r="H438" s="141" t="s">
        <v>25</v>
      </c>
      <c r="I438" s="141" t="s">
        <v>13</v>
      </c>
      <c r="J438" s="141" t="s">
        <v>55</v>
      </c>
      <c r="K438" s="141" t="s">
        <v>74</v>
      </c>
    </row>
    <row r="439" spans="1:11" ht="12.75" customHeight="1" x14ac:dyDescent="0.3">
      <c r="A439" s="141">
        <v>438</v>
      </c>
      <c r="B439" s="141" t="s">
        <v>1331</v>
      </c>
      <c r="C439" s="141" t="s">
        <v>1332</v>
      </c>
      <c r="D439" s="141" t="s">
        <v>31</v>
      </c>
      <c r="E439" s="141" t="s">
        <v>19</v>
      </c>
      <c r="F439" s="141" t="s">
        <v>62</v>
      </c>
      <c r="G439" s="141" t="s">
        <v>68</v>
      </c>
      <c r="H439" s="141" t="s">
        <v>25</v>
      </c>
      <c r="I439" s="141" t="s">
        <v>13</v>
      </c>
      <c r="J439" s="141" t="s">
        <v>55</v>
      </c>
      <c r="K439" s="141" t="s">
        <v>20</v>
      </c>
    </row>
    <row r="440" spans="1:11" ht="12.75" customHeight="1" x14ac:dyDescent="0.3">
      <c r="A440" s="141">
        <v>439</v>
      </c>
      <c r="B440" s="141" t="s">
        <v>1333</v>
      </c>
      <c r="C440" s="141" t="s">
        <v>1334</v>
      </c>
      <c r="D440" s="141" t="s">
        <v>31</v>
      </c>
      <c r="E440" s="141" t="s">
        <v>19</v>
      </c>
      <c r="F440" s="141" t="s">
        <v>62</v>
      </c>
      <c r="G440" s="141" t="s">
        <v>80</v>
      </c>
      <c r="H440" s="141" t="s">
        <v>25</v>
      </c>
      <c r="I440" s="141" t="s">
        <v>13</v>
      </c>
      <c r="J440" s="141" t="s">
        <v>55</v>
      </c>
      <c r="K440" s="141" t="s">
        <v>68</v>
      </c>
    </row>
    <row r="441" spans="1:11" ht="12.75" customHeight="1" x14ac:dyDescent="0.3">
      <c r="A441" s="141">
        <v>440</v>
      </c>
      <c r="B441" s="141" t="s">
        <v>1335</v>
      </c>
      <c r="C441" s="141" t="s">
        <v>1336</v>
      </c>
      <c r="D441" s="141" t="s">
        <v>31</v>
      </c>
      <c r="E441" s="141" t="s">
        <v>19</v>
      </c>
      <c r="F441" s="141" t="s">
        <v>62</v>
      </c>
      <c r="G441" s="141" t="s">
        <v>74</v>
      </c>
      <c r="H441" s="141" t="s">
        <v>25</v>
      </c>
      <c r="I441" s="141" t="s">
        <v>13</v>
      </c>
      <c r="J441" s="141" t="s">
        <v>55</v>
      </c>
      <c r="K441" s="141" t="s">
        <v>68</v>
      </c>
    </row>
    <row r="442" spans="1:11" ht="12.75" customHeight="1" x14ac:dyDescent="0.3">
      <c r="A442" s="141">
        <v>441</v>
      </c>
      <c r="B442" s="141" t="s">
        <v>1337</v>
      </c>
      <c r="C442" s="141" t="s">
        <v>1338</v>
      </c>
      <c r="D442" s="141" t="s">
        <v>19</v>
      </c>
      <c r="E442" s="141" t="s">
        <v>48</v>
      </c>
      <c r="F442" s="141" t="s">
        <v>31</v>
      </c>
      <c r="G442" s="141" t="s">
        <v>80</v>
      </c>
      <c r="H442" s="141" t="s">
        <v>25</v>
      </c>
      <c r="I442" s="141" t="s">
        <v>13</v>
      </c>
      <c r="J442" s="141" t="s">
        <v>74</v>
      </c>
      <c r="K442" s="141" t="s">
        <v>20</v>
      </c>
    </row>
    <row r="443" spans="1:11" ht="12.75" customHeight="1" x14ac:dyDescent="0.3">
      <c r="A443" s="141">
        <v>442</v>
      </c>
      <c r="B443" s="141" t="s">
        <v>1339</v>
      </c>
      <c r="C443" s="141" t="s">
        <v>1340</v>
      </c>
      <c r="D443" s="141" t="s">
        <v>19</v>
      </c>
      <c r="E443" s="141" t="s">
        <v>48</v>
      </c>
      <c r="F443" s="141" t="s">
        <v>31</v>
      </c>
      <c r="G443" s="141" t="s">
        <v>80</v>
      </c>
      <c r="H443" s="141" t="s">
        <v>25</v>
      </c>
      <c r="I443" s="141" t="s">
        <v>13</v>
      </c>
      <c r="J443" s="141" t="s">
        <v>68</v>
      </c>
      <c r="K443" s="141" t="s">
        <v>20</v>
      </c>
    </row>
    <row r="444" spans="1:11" ht="12.75" customHeight="1" x14ac:dyDescent="0.3">
      <c r="A444" s="141">
        <v>443</v>
      </c>
      <c r="B444" s="141" t="s">
        <v>1341</v>
      </c>
      <c r="C444" s="141" t="s">
        <v>1342</v>
      </c>
      <c r="D444" s="141" t="s">
        <v>19</v>
      </c>
      <c r="E444" s="141" t="s">
        <v>48</v>
      </c>
      <c r="F444" s="141" t="s">
        <v>31</v>
      </c>
      <c r="G444" s="141" t="s">
        <v>68</v>
      </c>
      <c r="H444" s="141" t="s">
        <v>25</v>
      </c>
      <c r="I444" s="141" t="s">
        <v>13</v>
      </c>
      <c r="J444" s="141" t="s">
        <v>74</v>
      </c>
      <c r="K444" s="141" t="s">
        <v>20</v>
      </c>
    </row>
    <row r="445" spans="1:11" ht="12.75" customHeight="1" x14ac:dyDescent="0.3">
      <c r="A445" s="141">
        <v>444</v>
      </c>
      <c r="B445" s="141" t="s">
        <v>1343</v>
      </c>
      <c r="C445" s="141" t="s">
        <v>1344</v>
      </c>
      <c r="D445" s="141" t="s">
        <v>19</v>
      </c>
      <c r="E445" s="141" t="s">
        <v>48</v>
      </c>
      <c r="F445" s="141" t="s">
        <v>31</v>
      </c>
      <c r="G445" s="141" t="s">
        <v>80</v>
      </c>
      <c r="H445" s="141" t="s">
        <v>25</v>
      </c>
      <c r="I445" s="141" t="s">
        <v>13</v>
      </c>
      <c r="J445" s="141" t="s">
        <v>74</v>
      </c>
      <c r="K445" s="141" t="s">
        <v>68</v>
      </c>
    </row>
    <row r="446" spans="1:11" ht="12.75" customHeight="1" x14ac:dyDescent="0.3">
      <c r="A446" s="141">
        <v>445</v>
      </c>
      <c r="B446" s="141" t="s">
        <v>1345</v>
      </c>
      <c r="C446" s="141" t="s">
        <v>1346</v>
      </c>
      <c r="D446" s="141" t="s">
        <v>31</v>
      </c>
      <c r="E446" s="141" t="s">
        <v>19</v>
      </c>
      <c r="F446" s="141" t="s">
        <v>62</v>
      </c>
      <c r="G446" s="141" t="s">
        <v>80</v>
      </c>
      <c r="H446" s="141" t="s">
        <v>25</v>
      </c>
      <c r="I446" s="141" t="s">
        <v>13</v>
      </c>
      <c r="J446" s="141" t="s">
        <v>48</v>
      </c>
      <c r="K446" s="141" t="s">
        <v>20</v>
      </c>
    </row>
    <row r="447" spans="1:11" ht="12.75" customHeight="1" x14ac:dyDescent="0.3">
      <c r="A447" s="141">
        <v>446</v>
      </c>
      <c r="B447" s="141" t="s">
        <v>1347</v>
      </c>
      <c r="C447" s="141" t="s">
        <v>1348</v>
      </c>
      <c r="D447" s="141" t="s">
        <v>19</v>
      </c>
      <c r="E447" s="141" t="s">
        <v>48</v>
      </c>
      <c r="F447" s="141" t="s">
        <v>31</v>
      </c>
      <c r="G447" s="141" t="s">
        <v>62</v>
      </c>
      <c r="H447" s="141" t="s">
        <v>25</v>
      </c>
      <c r="I447" s="141" t="s">
        <v>13</v>
      </c>
      <c r="J447" s="141" t="s">
        <v>74</v>
      </c>
      <c r="K447" s="141" t="s">
        <v>20</v>
      </c>
    </row>
    <row r="448" spans="1:11" ht="12.75" customHeight="1" x14ac:dyDescent="0.3">
      <c r="A448" s="141">
        <v>447</v>
      </c>
      <c r="B448" s="141" t="s">
        <v>1349</v>
      </c>
      <c r="C448" s="141" t="s">
        <v>1350</v>
      </c>
      <c r="D448" s="141" t="s">
        <v>31</v>
      </c>
      <c r="E448" s="141" t="s">
        <v>48</v>
      </c>
      <c r="F448" s="141" t="s">
        <v>62</v>
      </c>
      <c r="G448" s="141" t="s">
        <v>80</v>
      </c>
      <c r="H448" s="141" t="s">
        <v>25</v>
      </c>
      <c r="I448" s="141" t="s">
        <v>13</v>
      </c>
      <c r="J448" s="141" t="s">
        <v>74</v>
      </c>
      <c r="K448" s="141" t="s">
        <v>19</v>
      </c>
    </row>
    <row r="449" spans="1:11" ht="12.75" customHeight="1" x14ac:dyDescent="0.3">
      <c r="A449" s="141">
        <v>448</v>
      </c>
      <c r="B449" s="141" t="s">
        <v>1351</v>
      </c>
      <c r="C449" s="141" t="s">
        <v>1352</v>
      </c>
      <c r="D449" s="141" t="s">
        <v>31</v>
      </c>
      <c r="E449" s="141" t="s">
        <v>19</v>
      </c>
      <c r="F449" s="141" t="s">
        <v>62</v>
      </c>
      <c r="G449" s="141" t="s">
        <v>68</v>
      </c>
      <c r="H449" s="141" t="s">
        <v>25</v>
      </c>
      <c r="I449" s="141" t="s">
        <v>13</v>
      </c>
      <c r="J449" s="141" t="s">
        <v>48</v>
      </c>
      <c r="K449" s="141" t="s">
        <v>20</v>
      </c>
    </row>
    <row r="450" spans="1:11" ht="12.75" customHeight="1" x14ac:dyDescent="0.3">
      <c r="A450" s="141">
        <v>449</v>
      </c>
      <c r="B450" s="141" t="s">
        <v>1353</v>
      </c>
      <c r="C450" s="141" t="s">
        <v>1354</v>
      </c>
      <c r="D450" s="141" t="s">
        <v>31</v>
      </c>
      <c r="E450" s="141" t="s">
        <v>19</v>
      </c>
      <c r="F450" s="141" t="s">
        <v>62</v>
      </c>
      <c r="G450" s="141" t="s">
        <v>80</v>
      </c>
      <c r="H450" s="141" t="s">
        <v>25</v>
      </c>
      <c r="I450" s="141" t="s">
        <v>13</v>
      </c>
      <c r="J450" s="141" t="s">
        <v>48</v>
      </c>
      <c r="K450" s="141" t="s">
        <v>68</v>
      </c>
    </row>
    <row r="451" spans="1:11" ht="12.75" customHeight="1" x14ac:dyDescent="0.3">
      <c r="A451" s="141">
        <v>450</v>
      </c>
      <c r="B451" s="141" t="s">
        <v>1355</v>
      </c>
      <c r="C451" s="141" t="s">
        <v>1356</v>
      </c>
      <c r="D451" s="141" t="s">
        <v>31</v>
      </c>
      <c r="E451" s="141" t="s">
        <v>48</v>
      </c>
      <c r="F451" s="141" t="s">
        <v>62</v>
      </c>
      <c r="G451" s="141" t="s">
        <v>68</v>
      </c>
      <c r="H451" s="141" t="s">
        <v>25</v>
      </c>
      <c r="I451" s="141" t="s">
        <v>13</v>
      </c>
      <c r="J451" s="141" t="s">
        <v>74</v>
      </c>
      <c r="K451" s="141" t="s">
        <v>19</v>
      </c>
    </row>
    <row r="452" spans="1:11" ht="12.75" customHeight="1" x14ac:dyDescent="0.3">
      <c r="A452" s="141">
        <v>451</v>
      </c>
      <c r="B452" s="141" t="s">
        <v>1357</v>
      </c>
      <c r="C452" s="141" t="s">
        <v>1358</v>
      </c>
      <c r="D452" s="141" t="s">
        <v>19</v>
      </c>
      <c r="E452" s="141" t="s">
        <v>48</v>
      </c>
      <c r="F452" s="141" t="s">
        <v>31</v>
      </c>
      <c r="G452" s="141" t="s">
        <v>80</v>
      </c>
      <c r="H452" s="141" t="s">
        <v>25</v>
      </c>
      <c r="I452" s="141" t="s">
        <v>13</v>
      </c>
      <c r="J452" s="141" t="s">
        <v>55</v>
      </c>
      <c r="K452" s="141" t="s">
        <v>20</v>
      </c>
    </row>
    <row r="453" spans="1:11" ht="12.75" customHeight="1" x14ac:dyDescent="0.3">
      <c r="A453" s="141">
        <v>452</v>
      </c>
      <c r="B453" s="141" t="s">
        <v>1359</v>
      </c>
      <c r="C453" s="141" t="s">
        <v>1360</v>
      </c>
      <c r="D453" s="141" t="s">
        <v>19</v>
      </c>
      <c r="E453" s="141" t="s">
        <v>48</v>
      </c>
      <c r="F453" s="141" t="s">
        <v>31</v>
      </c>
      <c r="G453" s="141" t="s">
        <v>74</v>
      </c>
      <c r="H453" s="141" t="s">
        <v>25</v>
      </c>
      <c r="I453" s="141" t="s">
        <v>13</v>
      </c>
      <c r="J453" s="141" t="s">
        <v>55</v>
      </c>
      <c r="K453" s="141" t="s">
        <v>20</v>
      </c>
    </row>
    <row r="454" spans="1:11" ht="12.75" customHeight="1" x14ac:dyDescent="0.3">
      <c r="A454" s="141">
        <v>453</v>
      </c>
      <c r="B454" s="141" t="s">
        <v>1361</v>
      </c>
      <c r="C454" s="141" t="s">
        <v>1362</v>
      </c>
      <c r="D454" s="141" t="s">
        <v>19</v>
      </c>
      <c r="E454" s="141" t="s">
        <v>48</v>
      </c>
      <c r="F454" s="141" t="s">
        <v>31</v>
      </c>
      <c r="G454" s="141" t="s">
        <v>80</v>
      </c>
      <c r="H454" s="141" t="s">
        <v>25</v>
      </c>
      <c r="I454" s="141" t="s">
        <v>13</v>
      </c>
      <c r="J454" s="141" t="s">
        <v>55</v>
      </c>
      <c r="K454" s="141" t="s">
        <v>74</v>
      </c>
    </row>
    <row r="455" spans="1:11" ht="12.75" customHeight="1" x14ac:dyDescent="0.3">
      <c r="A455" s="141">
        <v>454</v>
      </c>
      <c r="B455" s="141" t="s">
        <v>1363</v>
      </c>
      <c r="C455" s="141" t="s">
        <v>1364</v>
      </c>
      <c r="D455" s="141" t="s">
        <v>19</v>
      </c>
      <c r="E455" s="141" t="s">
        <v>48</v>
      </c>
      <c r="F455" s="141" t="s">
        <v>31</v>
      </c>
      <c r="G455" s="141" t="s">
        <v>68</v>
      </c>
      <c r="H455" s="141" t="s">
        <v>25</v>
      </c>
      <c r="I455" s="141" t="s">
        <v>13</v>
      </c>
      <c r="J455" s="141" t="s">
        <v>55</v>
      </c>
      <c r="K455" s="141" t="s">
        <v>20</v>
      </c>
    </row>
    <row r="456" spans="1:11" ht="12.75" customHeight="1" x14ac:dyDescent="0.3">
      <c r="A456" s="141">
        <v>455</v>
      </c>
      <c r="B456" s="141" t="s">
        <v>1365</v>
      </c>
      <c r="C456" s="141" t="s">
        <v>1366</v>
      </c>
      <c r="D456" s="141" t="s">
        <v>19</v>
      </c>
      <c r="E456" s="141" t="s">
        <v>48</v>
      </c>
      <c r="F456" s="141" t="s">
        <v>31</v>
      </c>
      <c r="G456" s="141" t="s">
        <v>80</v>
      </c>
      <c r="H456" s="141" t="s">
        <v>25</v>
      </c>
      <c r="I456" s="141" t="s">
        <v>13</v>
      </c>
      <c r="J456" s="141" t="s">
        <v>55</v>
      </c>
      <c r="K456" s="141" t="s">
        <v>68</v>
      </c>
    </row>
    <row r="457" spans="1:11" ht="12.75" customHeight="1" x14ac:dyDescent="0.3">
      <c r="A457" s="141">
        <v>456</v>
      </c>
      <c r="B457" s="141" t="s">
        <v>1367</v>
      </c>
      <c r="C457" s="141" t="s">
        <v>1368</v>
      </c>
      <c r="D457" s="141" t="s">
        <v>19</v>
      </c>
      <c r="E457" s="141" t="s">
        <v>48</v>
      </c>
      <c r="F457" s="141" t="s">
        <v>31</v>
      </c>
      <c r="G457" s="141" t="s">
        <v>74</v>
      </c>
      <c r="H457" s="141" t="s">
        <v>25</v>
      </c>
      <c r="I457" s="141" t="s">
        <v>13</v>
      </c>
      <c r="J457" s="141" t="s">
        <v>55</v>
      </c>
      <c r="K457" s="141" t="s">
        <v>68</v>
      </c>
    </row>
    <row r="458" spans="1:11" ht="12.75" customHeight="1" x14ac:dyDescent="0.3">
      <c r="A458" s="141">
        <v>457</v>
      </c>
      <c r="B458" s="141" t="s">
        <v>1369</v>
      </c>
      <c r="C458" s="141" t="s">
        <v>1370</v>
      </c>
      <c r="D458" s="141" t="s">
        <v>19</v>
      </c>
      <c r="E458" s="141" t="s">
        <v>48</v>
      </c>
      <c r="F458" s="141" t="s">
        <v>31</v>
      </c>
      <c r="G458" s="141" t="s">
        <v>62</v>
      </c>
      <c r="H458" s="141" t="s">
        <v>25</v>
      </c>
      <c r="I458" s="141" t="s">
        <v>13</v>
      </c>
      <c r="J458" s="141" t="s">
        <v>55</v>
      </c>
      <c r="K458" s="141" t="s">
        <v>20</v>
      </c>
    </row>
    <row r="459" spans="1:11" ht="12.75" customHeight="1" x14ac:dyDescent="0.3">
      <c r="A459" s="141">
        <v>458</v>
      </c>
      <c r="B459" s="141" t="s">
        <v>1371</v>
      </c>
      <c r="C459" s="141" t="s">
        <v>1372</v>
      </c>
      <c r="D459" s="141" t="s">
        <v>31</v>
      </c>
      <c r="E459" s="141" t="s">
        <v>48</v>
      </c>
      <c r="F459" s="141" t="s">
        <v>62</v>
      </c>
      <c r="G459" s="141" t="s">
        <v>80</v>
      </c>
      <c r="H459" s="141" t="s">
        <v>25</v>
      </c>
      <c r="I459" s="141" t="s">
        <v>13</v>
      </c>
      <c r="J459" s="141" t="s">
        <v>55</v>
      </c>
      <c r="K459" s="141" t="s">
        <v>19</v>
      </c>
    </row>
    <row r="460" spans="1:11" ht="12.75" customHeight="1" x14ac:dyDescent="0.3">
      <c r="A460" s="141">
        <v>459</v>
      </c>
      <c r="B460" s="141" t="s">
        <v>1373</v>
      </c>
      <c r="C460" s="141" t="s">
        <v>1374</v>
      </c>
      <c r="D460" s="141" t="s">
        <v>31</v>
      </c>
      <c r="E460" s="141" t="s">
        <v>48</v>
      </c>
      <c r="F460" s="141" t="s">
        <v>62</v>
      </c>
      <c r="G460" s="141" t="s">
        <v>74</v>
      </c>
      <c r="H460" s="141" t="s">
        <v>25</v>
      </c>
      <c r="I460" s="141" t="s">
        <v>13</v>
      </c>
      <c r="J460" s="141" t="s">
        <v>55</v>
      </c>
      <c r="K460" s="141" t="s">
        <v>19</v>
      </c>
    </row>
    <row r="461" spans="1:11" ht="12.75" customHeight="1" x14ac:dyDescent="0.3">
      <c r="A461" s="141">
        <v>460</v>
      </c>
      <c r="B461" s="141" t="s">
        <v>1375</v>
      </c>
      <c r="C461" s="141" t="s">
        <v>1376</v>
      </c>
      <c r="D461" s="141" t="s">
        <v>31</v>
      </c>
      <c r="E461" s="141" t="s">
        <v>48</v>
      </c>
      <c r="F461" s="141" t="s">
        <v>62</v>
      </c>
      <c r="G461" s="141" t="s">
        <v>68</v>
      </c>
      <c r="H461" s="141" t="s">
        <v>25</v>
      </c>
      <c r="I461" s="141" t="s">
        <v>13</v>
      </c>
      <c r="J461" s="141" t="s">
        <v>55</v>
      </c>
      <c r="K461" s="141" t="s">
        <v>19</v>
      </c>
    </row>
    <row r="462" spans="1:11" ht="12.75" customHeight="1" x14ac:dyDescent="0.3">
      <c r="A462" s="141">
        <v>461</v>
      </c>
      <c r="B462" s="141" t="s">
        <v>1377</v>
      </c>
      <c r="C462" s="141" t="s">
        <v>1378</v>
      </c>
      <c r="D462" s="141" t="s">
        <v>31</v>
      </c>
      <c r="E462" s="141" t="s">
        <v>19</v>
      </c>
      <c r="F462" s="141" t="s">
        <v>42</v>
      </c>
      <c r="G462" s="141" t="s">
        <v>80</v>
      </c>
      <c r="H462" s="141" t="s">
        <v>25</v>
      </c>
      <c r="I462" s="141" t="s">
        <v>13</v>
      </c>
      <c r="J462" s="141" t="s">
        <v>74</v>
      </c>
      <c r="K462" s="141" t="s">
        <v>20</v>
      </c>
    </row>
    <row r="463" spans="1:11" ht="12.75" customHeight="1" x14ac:dyDescent="0.3">
      <c r="A463" s="141">
        <v>462</v>
      </c>
      <c r="B463" s="141" t="s">
        <v>1379</v>
      </c>
      <c r="C463" s="141" t="s">
        <v>1380</v>
      </c>
      <c r="D463" s="141" t="s">
        <v>31</v>
      </c>
      <c r="E463" s="141" t="s">
        <v>19</v>
      </c>
      <c r="F463" s="141" t="s">
        <v>42</v>
      </c>
      <c r="G463" s="141" t="s">
        <v>80</v>
      </c>
      <c r="H463" s="141" t="s">
        <v>25</v>
      </c>
      <c r="I463" s="141" t="s">
        <v>13</v>
      </c>
      <c r="J463" s="141" t="s">
        <v>68</v>
      </c>
      <c r="K463" s="141" t="s">
        <v>20</v>
      </c>
    </row>
    <row r="464" spans="1:11" ht="12.75" customHeight="1" x14ac:dyDescent="0.3">
      <c r="A464" s="141">
        <v>463</v>
      </c>
      <c r="B464" s="141" t="s">
        <v>1381</v>
      </c>
      <c r="C464" s="141" t="s">
        <v>1382</v>
      </c>
      <c r="D464" s="141" t="s">
        <v>31</v>
      </c>
      <c r="E464" s="141" t="s">
        <v>19</v>
      </c>
      <c r="F464" s="141" t="s">
        <v>42</v>
      </c>
      <c r="G464" s="141" t="s">
        <v>68</v>
      </c>
      <c r="H464" s="141" t="s">
        <v>25</v>
      </c>
      <c r="I464" s="141" t="s">
        <v>13</v>
      </c>
      <c r="J464" s="141" t="s">
        <v>74</v>
      </c>
      <c r="K464" s="141" t="s">
        <v>20</v>
      </c>
    </row>
    <row r="465" spans="1:11" ht="12.75" customHeight="1" x14ac:dyDescent="0.3">
      <c r="A465" s="141">
        <v>464</v>
      </c>
      <c r="B465" s="141" t="s">
        <v>1383</v>
      </c>
      <c r="C465" s="141" t="s">
        <v>1384</v>
      </c>
      <c r="D465" s="141" t="s">
        <v>31</v>
      </c>
      <c r="E465" s="141" t="s">
        <v>19</v>
      </c>
      <c r="F465" s="141" t="s">
        <v>42</v>
      </c>
      <c r="G465" s="141" t="s">
        <v>80</v>
      </c>
      <c r="H465" s="141" t="s">
        <v>25</v>
      </c>
      <c r="I465" s="141" t="s">
        <v>13</v>
      </c>
      <c r="J465" s="141" t="s">
        <v>74</v>
      </c>
      <c r="K465" s="141" t="s">
        <v>68</v>
      </c>
    </row>
    <row r="466" spans="1:11" ht="12.75" customHeight="1" x14ac:dyDescent="0.3">
      <c r="A466" s="141">
        <v>465</v>
      </c>
      <c r="B466" s="141" t="s">
        <v>1385</v>
      </c>
      <c r="C466" s="141" t="s">
        <v>1386</v>
      </c>
      <c r="D466" s="141" t="s">
        <v>31</v>
      </c>
      <c r="E466" s="141" t="s">
        <v>19</v>
      </c>
      <c r="F466" s="141" t="s">
        <v>62</v>
      </c>
      <c r="G466" s="141" t="s">
        <v>80</v>
      </c>
      <c r="H466" s="141" t="s">
        <v>25</v>
      </c>
      <c r="I466" s="141" t="s">
        <v>13</v>
      </c>
      <c r="J466" s="141" t="s">
        <v>42</v>
      </c>
      <c r="K466" s="141" t="s">
        <v>20</v>
      </c>
    </row>
    <row r="467" spans="1:11" ht="12.75" customHeight="1" x14ac:dyDescent="0.3">
      <c r="A467" s="141">
        <v>466</v>
      </c>
      <c r="B467" s="141" t="s">
        <v>1387</v>
      </c>
      <c r="C467" s="141" t="s">
        <v>1388</v>
      </c>
      <c r="D467" s="141" t="s">
        <v>31</v>
      </c>
      <c r="E467" s="141" t="s">
        <v>19</v>
      </c>
      <c r="F467" s="141" t="s">
        <v>62</v>
      </c>
      <c r="G467" s="141" t="s">
        <v>42</v>
      </c>
      <c r="H467" s="141" t="s">
        <v>25</v>
      </c>
      <c r="I467" s="141" t="s">
        <v>13</v>
      </c>
      <c r="J467" s="141" t="s">
        <v>74</v>
      </c>
      <c r="K467" s="141" t="s">
        <v>20</v>
      </c>
    </row>
    <row r="468" spans="1:11" ht="12.75" customHeight="1" x14ac:dyDescent="0.3">
      <c r="A468" s="141">
        <v>467</v>
      </c>
      <c r="B468" s="141" t="s">
        <v>1389</v>
      </c>
      <c r="C468" s="141" t="s">
        <v>1390</v>
      </c>
      <c r="D468" s="141" t="s">
        <v>31</v>
      </c>
      <c r="E468" s="141" t="s">
        <v>19</v>
      </c>
      <c r="F468" s="141" t="s">
        <v>62</v>
      </c>
      <c r="G468" s="141" t="s">
        <v>80</v>
      </c>
      <c r="H468" s="141" t="s">
        <v>25</v>
      </c>
      <c r="I468" s="141" t="s">
        <v>13</v>
      </c>
      <c r="J468" s="141" t="s">
        <v>74</v>
      </c>
      <c r="K468" s="141" t="s">
        <v>42</v>
      </c>
    </row>
    <row r="469" spans="1:11" ht="12.75" customHeight="1" x14ac:dyDescent="0.3">
      <c r="A469" s="141">
        <v>468</v>
      </c>
      <c r="B469" s="141" t="s">
        <v>1391</v>
      </c>
      <c r="C469" s="141" t="s">
        <v>1392</v>
      </c>
      <c r="D469" s="141" t="s">
        <v>31</v>
      </c>
      <c r="E469" s="141" t="s">
        <v>19</v>
      </c>
      <c r="F469" s="141" t="s">
        <v>62</v>
      </c>
      <c r="G469" s="141" t="s">
        <v>68</v>
      </c>
      <c r="H469" s="141" t="s">
        <v>25</v>
      </c>
      <c r="I469" s="141" t="s">
        <v>13</v>
      </c>
      <c r="J469" s="141" t="s">
        <v>42</v>
      </c>
      <c r="K469" s="141" t="s">
        <v>20</v>
      </c>
    </row>
    <row r="470" spans="1:11" ht="12.75" customHeight="1" x14ac:dyDescent="0.3">
      <c r="A470" s="141">
        <v>469</v>
      </c>
      <c r="B470" s="141" t="s">
        <v>1393</v>
      </c>
      <c r="C470" s="141" t="s">
        <v>1394</v>
      </c>
      <c r="D470" s="141" t="s">
        <v>31</v>
      </c>
      <c r="E470" s="141" t="s">
        <v>19</v>
      </c>
      <c r="F470" s="141" t="s">
        <v>62</v>
      </c>
      <c r="G470" s="141" t="s">
        <v>80</v>
      </c>
      <c r="H470" s="141" t="s">
        <v>25</v>
      </c>
      <c r="I470" s="141" t="s">
        <v>13</v>
      </c>
      <c r="J470" s="141" t="s">
        <v>42</v>
      </c>
      <c r="K470" s="141" t="s">
        <v>68</v>
      </c>
    </row>
    <row r="471" spans="1:11" ht="12.75" customHeight="1" x14ac:dyDescent="0.3">
      <c r="A471" s="141">
        <v>470</v>
      </c>
      <c r="B471" s="141" t="s">
        <v>1395</v>
      </c>
      <c r="C471" s="141" t="s">
        <v>1396</v>
      </c>
      <c r="D471" s="141" t="s">
        <v>31</v>
      </c>
      <c r="E471" s="141" t="s">
        <v>19</v>
      </c>
      <c r="F471" s="141" t="s">
        <v>62</v>
      </c>
      <c r="G471" s="141" t="s">
        <v>68</v>
      </c>
      <c r="H471" s="141" t="s">
        <v>25</v>
      </c>
      <c r="I471" s="141" t="s">
        <v>13</v>
      </c>
      <c r="J471" s="141" t="s">
        <v>74</v>
      </c>
      <c r="K471" s="141" t="s">
        <v>42</v>
      </c>
    </row>
    <row r="472" spans="1:11" ht="12.75" customHeight="1" x14ac:dyDescent="0.3">
      <c r="A472" s="141">
        <v>471</v>
      </c>
      <c r="B472" s="141" t="s">
        <v>1397</v>
      </c>
      <c r="C472" s="141" t="s">
        <v>1398</v>
      </c>
      <c r="D472" s="141" t="s">
        <v>31</v>
      </c>
      <c r="E472" s="141" t="s">
        <v>19</v>
      </c>
      <c r="F472" s="141" t="s">
        <v>42</v>
      </c>
      <c r="G472" s="141" t="s">
        <v>80</v>
      </c>
      <c r="H472" s="141" t="s">
        <v>25</v>
      </c>
      <c r="I472" s="141" t="s">
        <v>13</v>
      </c>
      <c r="J472" s="141" t="s">
        <v>55</v>
      </c>
      <c r="K472" s="141" t="s">
        <v>20</v>
      </c>
    </row>
    <row r="473" spans="1:11" ht="12.75" customHeight="1" x14ac:dyDescent="0.3">
      <c r="A473" s="141">
        <v>472</v>
      </c>
      <c r="B473" s="141" t="s">
        <v>1399</v>
      </c>
      <c r="C473" s="141" t="s">
        <v>1400</v>
      </c>
      <c r="D473" s="141" t="s">
        <v>31</v>
      </c>
      <c r="E473" s="141" t="s">
        <v>19</v>
      </c>
      <c r="F473" s="141" t="s">
        <v>42</v>
      </c>
      <c r="G473" s="141" t="s">
        <v>74</v>
      </c>
      <c r="H473" s="141" t="s">
        <v>25</v>
      </c>
      <c r="I473" s="141" t="s">
        <v>13</v>
      </c>
      <c r="J473" s="141" t="s">
        <v>55</v>
      </c>
      <c r="K473" s="141" t="s">
        <v>20</v>
      </c>
    </row>
    <row r="474" spans="1:11" ht="12.75" customHeight="1" x14ac:dyDescent="0.3">
      <c r="A474" s="141">
        <v>473</v>
      </c>
      <c r="B474" s="141" t="s">
        <v>1401</v>
      </c>
      <c r="C474" s="141" t="s">
        <v>1402</v>
      </c>
      <c r="D474" s="141" t="s">
        <v>31</v>
      </c>
      <c r="E474" s="141" t="s">
        <v>19</v>
      </c>
      <c r="F474" s="141" t="s">
        <v>42</v>
      </c>
      <c r="G474" s="141" t="s">
        <v>80</v>
      </c>
      <c r="H474" s="141" t="s">
        <v>25</v>
      </c>
      <c r="I474" s="141" t="s">
        <v>13</v>
      </c>
      <c r="J474" s="141" t="s">
        <v>55</v>
      </c>
      <c r="K474" s="141" t="s">
        <v>74</v>
      </c>
    </row>
    <row r="475" spans="1:11" ht="12.75" customHeight="1" x14ac:dyDescent="0.3">
      <c r="A475" s="141">
        <v>474</v>
      </c>
      <c r="B475" s="141" t="s">
        <v>1403</v>
      </c>
      <c r="C475" s="141" t="s">
        <v>1404</v>
      </c>
      <c r="D475" s="141" t="s">
        <v>31</v>
      </c>
      <c r="E475" s="141" t="s">
        <v>19</v>
      </c>
      <c r="F475" s="141" t="s">
        <v>42</v>
      </c>
      <c r="G475" s="141" t="s">
        <v>68</v>
      </c>
      <c r="H475" s="141" t="s">
        <v>25</v>
      </c>
      <c r="I475" s="141" t="s">
        <v>13</v>
      </c>
      <c r="J475" s="141" t="s">
        <v>55</v>
      </c>
      <c r="K475" s="141" t="s">
        <v>20</v>
      </c>
    </row>
    <row r="476" spans="1:11" ht="12.75" customHeight="1" x14ac:dyDescent="0.3">
      <c r="A476" s="141">
        <v>475</v>
      </c>
      <c r="B476" s="141" t="s">
        <v>1405</v>
      </c>
      <c r="C476" s="141" t="s">
        <v>1406</v>
      </c>
      <c r="D476" s="141" t="s">
        <v>31</v>
      </c>
      <c r="E476" s="141" t="s">
        <v>19</v>
      </c>
      <c r="F476" s="141" t="s">
        <v>42</v>
      </c>
      <c r="G476" s="141" t="s">
        <v>80</v>
      </c>
      <c r="H476" s="141" t="s">
        <v>25</v>
      </c>
      <c r="I476" s="141" t="s">
        <v>13</v>
      </c>
      <c r="J476" s="141" t="s">
        <v>55</v>
      </c>
      <c r="K476" s="141" t="s">
        <v>68</v>
      </c>
    </row>
    <row r="477" spans="1:11" ht="12.75" customHeight="1" x14ac:dyDescent="0.3">
      <c r="A477" s="141">
        <v>476</v>
      </c>
      <c r="B477" s="141" t="s">
        <v>1407</v>
      </c>
      <c r="C477" s="141" t="s">
        <v>1408</v>
      </c>
      <c r="D477" s="141" t="s">
        <v>31</v>
      </c>
      <c r="E477" s="141" t="s">
        <v>19</v>
      </c>
      <c r="F477" s="141" t="s">
        <v>42</v>
      </c>
      <c r="G477" s="141" t="s">
        <v>74</v>
      </c>
      <c r="H477" s="141" t="s">
        <v>25</v>
      </c>
      <c r="I477" s="141" t="s">
        <v>13</v>
      </c>
      <c r="J477" s="141" t="s">
        <v>55</v>
      </c>
      <c r="K477" s="141" t="s">
        <v>68</v>
      </c>
    </row>
    <row r="478" spans="1:11" ht="12.75" customHeight="1" x14ac:dyDescent="0.3">
      <c r="A478" s="141">
        <v>477</v>
      </c>
      <c r="B478" s="141" t="s">
        <v>1409</v>
      </c>
      <c r="C478" s="141" t="s">
        <v>1410</v>
      </c>
      <c r="D478" s="141" t="s">
        <v>31</v>
      </c>
      <c r="E478" s="141" t="s">
        <v>19</v>
      </c>
      <c r="F478" s="141" t="s">
        <v>62</v>
      </c>
      <c r="G478" s="141" t="s">
        <v>42</v>
      </c>
      <c r="H478" s="141" t="s">
        <v>25</v>
      </c>
      <c r="I478" s="141" t="s">
        <v>13</v>
      </c>
      <c r="J478" s="141" t="s">
        <v>55</v>
      </c>
      <c r="K478" s="141" t="s">
        <v>20</v>
      </c>
    </row>
    <row r="479" spans="1:11" ht="12.75" customHeight="1" x14ac:dyDescent="0.3">
      <c r="A479" s="141">
        <v>478</v>
      </c>
      <c r="B479" s="141" t="s">
        <v>1411</v>
      </c>
      <c r="C479" s="141" t="s">
        <v>1412</v>
      </c>
      <c r="D479" s="141" t="s">
        <v>31</v>
      </c>
      <c r="E479" s="141" t="s">
        <v>19</v>
      </c>
      <c r="F479" s="141" t="s">
        <v>62</v>
      </c>
      <c r="G479" s="141" t="s">
        <v>80</v>
      </c>
      <c r="H479" s="141" t="s">
        <v>25</v>
      </c>
      <c r="I479" s="141" t="s">
        <v>13</v>
      </c>
      <c r="J479" s="141" t="s">
        <v>55</v>
      </c>
      <c r="K479" s="141" t="s">
        <v>42</v>
      </c>
    </row>
    <row r="480" spans="1:11" ht="12.75" customHeight="1" x14ac:dyDescent="0.3">
      <c r="A480" s="141">
        <v>479</v>
      </c>
      <c r="B480" s="141" t="s">
        <v>1413</v>
      </c>
      <c r="C480" s="141" t="s">
        <v>1414</v>
      </c>
      <c r="D480" s="141" t="s">
        <v>31</v>
      </c>
      <c r="E480" s="141" t="s">
        <v>19</v>
      </c>
      <c r="F480" s="141" t="s">
        <v>62</v>
      </c>
      <c r="G480" s="141" t="s">
        <v>74</v>
      </c>
      <c r="H480" s="141" t="s">
        <v>25</v>
      </c>
      <c r="I480" s="141" t="s">
        <v>13</v>
      </c>
      <c r="J480" s="141" t="s">
        <v>55</v>
      </c>
      <c r="K480" s="141" t="s">
        <v>42</v>
      </c>
    </row>
    <row r="481" spans="1:11" ht="12.75" customHeight="1" x14ac:dyDescent="0.3">
      <c r="A481" s="141">
        <v>480</v>
      </c>
      <c r="B481" s="141" t="s">
        <v>1415</v>
      </c>
      <c r="C481" s="141" t="s">
        <v>1416</v>
      </c>
      <c r="D481" s="141" t="s">
        <v>31</v>
      </c>
      <c r="E481" s="141" t="s">
        <v>19</v>
      </c>
      <c r="F481" s="141" t="s">
        <v>62</v>
      </c>
      <c r="G481" s="141" t="s">
        <v>68</v>
      </c>
      <c r="H481" s="141" t="s">
        <v>25</v>
      </c>
      <c r="I481" s="141" t="s">
        <v>13</v>
      </c>
      <c r="J481" s="141" t="s">
        <v>55</v>
      </c>
      <c r="K481" s="141" t="s">
        <v>42</v>
      </c>
    </row>
    <row r="482" spans="1:11" ht="12.75" customHeight="1" x14ac:dyDescent="0.3">
      <c r="A482" s="141">
        <v>481</v>
      </c>
      <c r="B482" s="141" t="s">
        <v>1417</v>
      </c>
      <c r="C482" s="141" t="s">
        <v>1418</v>
      </c>
      <c r="D482" s="141" t="s">
        <v>19</v>
      </c>
      <c r="E482" s="141" t="s">
        <v>48</v>
      </c>
      <c r="F482" s="141" t="s">
        <v>31</v>
      </c>
      <c r="G482" s="141" t="s">
        <v>80</v>
      </c>
      <c r="H482" s="141" t="s">
        <v>25</v>
      </c>
      <c r="I482" s="141" t="s">
        <v>13</v>
      </c>
      <c r="J482" s="141" t="s">
        <v>42</v>
      </c>
      <c r="K482" s="141" t="s">
        <v>20</v>
      </c>
    </row>
    <row r="483" spans="1:11" ht="12.75" customHeight="1" x14ac:dyDescent="0.3">
      <c r="A483" s="141">
        <v>482</v>
      </c>
      <c r="B483" s="141" t="s">
        <v>1419</v>
      </c>
      <c r="C483" s="141" t="s">
        <v>1420</v>
      </c>
      <c r="D483" s="141" t="s">
        <v>19</v>
      </c>
      <c r="E483" s="141" t="s">
        <v>48</v>
      </c>
      <c r="F483" s="141" t="s">
        <v>31</v>
      </c>
      <c r="G483" s="141" t="s">
        <v>42</v>
      </c>
      <c r="H483" s="141" t="s">
        <v>25</v>
      </c>
      <c r="I483" s="141" t="s">
        <v>13</v>
      </c>
      <c r="J483" s="141" t="s">
        <v>74</v>
      </c>
      <c r="K483" s="141" t="s">
        <v>20</v>
      </c>
    </row>
    <row r="484" spans="1:11" ht="12.75" customHeight="1" x14ac:dyDescent="0.3">
      <c r="A484" s="141">
        <v>483</v>
      </c>
      <c r="B484" s="141" t="s">
        <v>1421</v>
      </c>
      <c r="C484" s="141" t="s">
        <v>1422</v>
      </c>
      <c r="D484" s="141" t="s">
        <v>19</v>
      </c>
      <c r="E484" s="141" t="s">
        <v>48</v>
      </c>
      <c r="F484" s="141" t="s">
        <v>31</v>
      </c>
      <c r="G484" s="141" t="s">
        <v>80</v>
      </c>
      <c r="H484" s="141" t="s">
        <v>25</v>
      </c>
      <c r="I484" s="141" t="s">
        <v>13</v>
      </c>
      <c r="J484" s="141" t="s">
        <v>74</v>
      </c>
      <c r="K484" s="141" t="s">
        <v>42</v>
      </c>
    </row>
    <row r="485" spans="1:11" ht="12.75" customHeight="1" x14ac:dyDescent="0.3">
      <c r="A485" s="141">
        <v>484</v>
      </c>
      <c r="B485" s="141" t="s">
        <v>1423</v>
      </c>
      <c r="C485" s="141" t="s">
        <v>1424</v>
      </c>
      <c r="D485" s="141" t="s">
        <v>19</v>
      </c>
      <c r="E485" s="141" t="s">
        <v>48</v>
      </c>
      <c r="F485" s="141" t="s">
        <v>31</v>
      </c>
      <c r="G485" s="141" t="s">
        <v>68</v>
      </c>
      <c r="H485" s="141" t="s">
        <v>25</v>
      </c>
      <c r="I485" s="141" t="s">
        <v>13</v>
      </c>
      <c r="J485" s="141" t="s">
        <v>42</v>
      </c>
      <c r="K485" s="141" t="s">
        <v>20</v>
      </c>
    </row>
    <row r="486" spans="1:11" ht="12.75" customHeight="1" x14ac:dyDescent="0.3">
      <c r="A486" s="141">
        <v>485</v>
      </c>
      <c r="B486" s="141" t="s">
        <v>1425</v>
      </c>
      <c r="C486" s="141" t="s">
        <v>1426</v>
      </c>
      <c r="D486" s="141" t="s">
        <v>19</v>
      </c>
      <c r="E486" s="141" t="s">
        <v>48</v>
      </c>
      <c r="F486" s="141" t="s">
        <v>31</v>
      </c>
      <c r="G486" s="141" t="s">
        <v>80</v>
      </c>
      <c r="H486" s="141" t="s">
        <v>25</v>
      </c>
      <c r="I486" s="141" t="s">
        <v>13</v>
      </c>
      <c r="J486" s="141" t="s">
        <v>42</v>
      </c>
      <c r="K486" s="141" t="s">
        <v>68</v>
      </c>
    </row>
    <row r="487" spans="1:11" ht="12.75" customHeight="1" x14ac:dyDescent="0.3">
      <c r="A487" s="141">
        <v>486</v>
      </c>
      <c r="B487" s="141" t="s">
        <v>1427</v>
      </c>
      <c r="C487" s="141" t="s">
        <v>1428</v>
      </c>
      <c r="D487" s="141" t="s">
        <v>19</v>
      </c>
      <c r="E487" s="141" t="s">
        <v>48</v>
      </c>
      <c r="F487" s="141" t="s">
        <v>31</v>
      </c>
      <c r="G487" s="141" t="s">
        <v>68</v>
      </c>
      <c r="H487" s="141" t="s">
        <v>25</v>
      </c>
      <c r="I487" s="141" t="s">
        <v>13</v>
      </c>
      <c r="J487" s="141" t="s">
        <v>74</v>
      </c>
      <c r="K487" s="141" t="s">
        <v>42</v>
      </c>
    </row>
    <row r="488" spans="1:11" ht="12.75" customHeight="1" x14ac:dyDescent="0.3">
      <c r="A488" s="141">
        <v>487</v>
      </c>
      <c r="B488" s="141" t="s">
        <v>1429</v>
      </c>
      <c r="C488" s="141" t="s">
        <v>1430</v>
      </c>
      <c r="D488" s="141" t="s">
        <v>31</v>
      </c>
      <c r="E488" s="141" t="s">
        <v>19</v>
      </c>
      <c r="F488" s="141" t="s">
        <v>62</v>
      </c>
      <c r="G488" s="141" t="s">
        <v>42</v>
      </c>
      <c r="H488" s="141" t="s">
        <v>25</v>
      </c>
      <c r="I488" s="141" t="s">
        <v>13</v>
      </c>
      <c r="J488" s="141" t="s">
        <v>48</v>
      </c>
      <c r="K488" s="141" t="s">
        <v>20</v>
      </c>
    </row>
    <row r="489" spans="1:11" ht="12.75" customHeight="1" x14ac:dyDescent="0.3">
      <c r="A489" s="141">
        <v>488</v>
      </c>
      <c r="B489" s="141" t="s">
        <v>1431</v>
      </c>
      <c r="C489" s="141" t="s">
        <v>1432</v>
      </c>
      <c r="D489" s="141" t="s">
        <v>31</v>
      </c>
      <c r="E489" s="141" t="s">
        <v>48</v>
      </c>
      <c r="F489" s="141" t="s">
        <v>62</v>
      </c>
      <c r="G489" s="141" t="s">
        <v>80</v>
      </c>
      <c r="H489" s="141" t="s">
        <v>25</v>
      </c>
      <c r="I489" s="141" t="s">
        <v>13</v>
      </c>
      <c r="J489" s="141" t="s">
        <v>42</v>
      </c>
      <c r="K489" s="141" t="s">
        <v>19</v>
      </c>
    </row>
    <row r="490" spans="1:11" ht="12.75" customHeight="1" x14ac:dyDescent="0.3">
      <c r="A490" s="141">
        <v>489</v>
      </c>
      <c r="B490" s="141" t="s">
        <v>1433</v>
      </c>
      <c r="C490" s="141" t="s">
        <v>1434</v>
      </c>
      <c r="D490" s="141" t="s">
        <v>31</v>
      </c>
      <c r="E490" s="141" t="s">
        <v>48</v>
      </c>
      <c r="F490" s="141" t="s">
        <v>62</v>
      </c>
      <c r="G490" s="141" t="s">
        <v>42</v>
      </c>
      <c r="H490" s="141" t="s">
        <v>25</v>
      </c>
      <c r="I490" s="141" t="s">
        <v>13</v>
      </c>
      <c r="J490" s="141" t="s">
        <v>74</v>
      </c>
      <c r="K490" s="141" t="s">
        <v>19</v>
      </c>
    </row>
    <row r="491" spans="1:11" ht="12.75" customHeight="1" x14ac:dyDescent="0.3">
      <c r="A491" s="141">
        <v>490</v>
      </c>
      <c r="B491" s="141" t="s">
        <v>1435</v>
      </c>
      <c r="C491" s="141" t="s">
        <v>1436</v>
      </c>
      <c r="D491" s="141" t="s">
        <v>31</v>
      </c>
      <c r="E491" s="141" t="s">
        <v>48</v>
      </c>
      <c r="F491" s="141" t="s">
        <v>62</v>
      </c>
      <c r="G491" s="141" t="s">
        <v>68</v>
      </c>
      <c r="H491" s="141" t="s">
        <v>25</v>
      </c>
      <c r="I491" s="141" t="s">
        <v>13</v>
      </c>
      <c r="J491" s="141" t="s">
        <v>42</v>
      </c>
      <c r="K491" s="141" t="s">
        <v>19</v>
      </c>
    </row>
    <row r="492" spans="1:11" ht="12.75" customHeight="1" x14ac:dyDescent="0.3">
      <c r="A492" s="141">
        <v>491</v>
      </c>
      <c r="B492" s="141" t="s">
        <v>1437</v>
      </c>
      <c r="C492" s="141" t="s">
        <v>1438</v>
      </c>
      <c r="D492" s="141" t="s">
        <v>19</v>
      </c>
      <c r="E492" s="141" t="s">
        <v>48</v>
      </c>
      <c r="F492" s="141" t="s">
        <v>31</v>
      </c>
      <c r="G492" s="141" t="s">
        <v>42</v>
      </c>
      <c r="H492" s="141" t="s">
        <v>25</v>
      </c>
      <c r="I492" s="141" t="s">
        <v>13</v>
      </c>
      <c r="J492" s="141" t="s">
        <v>55</v>
      </c>
      <c r="K492" s="141" t="s">
        <v>20</v>
      </c>
    </row>
    <row r="493" spans="1:11" ht="12.75" customHeight="1" x14ac:dyDescent="0.3">
      <c r="A493" s="141">
        <v>492</v>
      </c>
      <c r="B493" s="141" t="s">
        <v>1439</v>
      </c>
      <c r="C493" s="141" t="s">
        <v>1440</v>
      </c>
      <c r="D493" s="141" t="s">
        <v>19</v>
      </c>
      <c r="E493" s="141" t="s">
        <v>48</v>
      </c>
      <c r="F493" s="141" t="s">
        <v>31</v>
      </c>
      <c r="G493" s="141" t="s">
        <v>80</v>
      </c>
      <c r="H493" s="141" t="s">
        <v>25</v>
      </c>
      <c r="I493" s="141" t="s">
        <v>13</v>
      </c>
      <c r="J493" s="141" t="s">
        <v>55</v>
      </c>
      <c r="K493" s="141" t="s">
        <v>42</v>
      </c>
    </row>
    <row r="494" spans="1:11" ht="12.75" customHeight="1" x14ac:dyDescent="0.3">
      <c r="A494" s="141">
        <v>493</v>
      </c>
      <c r="B494" s="141" t="s">
        <v>1441</v>
      </c>
      <c r="C494" s="141" t="s">
        <v>1442</v>
      </c>
      <c r="D494" s="141" t="s">
        <v>19</v>
      </c>
      <c r="E494" s="141" t="s">
        <v>48</v>
      </c>
      <c r="F494" s="141" t="s">
        <v>31</v>
      </c>
      <c r="G494" s="141" t="s">
        <v>74</v>
      </c>
      <c r="H494" s="141" t="s">
        <v>25</v>
      </c>
      <c r="I494" s="141" t="s">
        <v>13</v>
      </c>
      <c r="J494" s="141" t="s">
        <v>55</v>
      </c>
      <c r="K494" s="141" t="s">
        <v>42</v>
      </c>
    </row>
    <row r="495" spans="1:11" ht="12.75" customHeight="1" x14ac:dyDescent="0.3">
      <c r="A495" s="141">
        <v>494</v>
      </c>
      <c r="B495" s="141" t="s">
        <v>1443</v>
      </c>
      <c r="C495" s="141" t="s">
        <v>1444</v>
      </c>
      <c r="D495" s="141" t="s">
        <v>19</v>
      </c>
      <c r="E495" s="141" t="s">
        <v>48</v>
      </c>
      <c r="F495" s="141" t="s">
        <v>31</v>
      </c>
      <c r="G495" s="141" t="s">
        <v>68</v>
      </c>
      <c r="H495" s="141" t="s">
        <v>25</v>
      </c>
      <c r="I495" s="141" t="s">
        <v>13</v>
      </c>
      <c r="J495" s="141" t="s">
        <v>55</v>
      </c>
      <c r="K495" s="141" t="s">
        <v>42</v>
      </c>
    </row>
    <row r="496" spans="1:11" ht="12.75" customHeight="1" x14ac:dyDescent="0.3">
      <c r="A496" s="141">
        <v>495</v>
      </c>
      <c r="B496" s="141" t="s">
        <v>1445</v>
      </c>
      <c r="C496" s="141" t="s">
        <v>1446</v>
      </c>
      <c r="D496" s="141" t="s">
        <v>31</v>
      </c>
      <c r="E496" s="141" t="s">
        <v>48</v>
      </c>
      <c r="F496" s="141" t="s">
        <v>62</v>
      </c>
      <c r="G496" s="141" t="s">
        <v>42</v>
      </c>
      <c r="H496" s="141" t="s">
        <v>25</v>
      </c>
      <c r="I496" s="141" t="s">
        <v>13</v>
      </c>
      <c r="J496" s="141" t="s">
        <v>55</v>
      </c>
      <c r="K496" s="141" t="s">
        <v>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f0567998-807e-4087-8532-8572478b1acb}" enabled="1" method="Standard" siteId="{882d47f6-50f4-4554-9aa6-43a46416b0f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FIFA WC 2026</vt:lpstr>
      <vt:lpstr>Results</vt:lpstr>
      <vt:lpstr> Toto teams</vt:lpstr>
      <vt:lpstr>Rules EN</vt:lpstr>
      <vt:lpstr>Taisyklės LT</vt:lpstr>
      <vt:lpstr>Scoring</vt:lpstr>
      <vt:lpstr>Settings</vt:lpstr>
      <vt:lpstr>Helpers</vt:lpstr>
      <vt:lpstr>Annex C (generated)</vt:lpstr>
      <vt:lpstr>AllTeams</vt:lpstr>
      <vt:lpstr>db_fifarank</vt:lpstr>
      <vt:lpstr>FifaRank13_24</vt:lpstr>
      <vt:lpstr>FifaRank25_36</vt:lpstr>
      <vt:lpstr>FifaRank37Plus</vt:lpstr>
      <vt:lpstr>GmtOffset</vt:lpstr>
      <vt:lpstr>WeakTeams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Eufa Euro 2016 Schedule</dc:title>
  <dc:subject/>
  <dc:creator>Denys Kozyr</dc:creator>
  <dc:description/>
  <cp:lastModifiedBy>Tihomir Chakarov</cp:lastModifiedBy>
  <cp:revision>12</cp:revision>
  <cp:lastPrinted>2016-04-03T12:59:36Z</cp:lastPrinted>
  <dcterms:created xsi:type="dcterms:W3CDTF">2008-09-24T12:14:29Z</dcterms:created>
  <dcterms:modified xsi:type="dcterms:W3CDTF">2026-06-13T04:22:22Z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  <property fmtid="{D5CDD505-2E9C-101B-9397-08002B2CF9AE}" pid="6" name="SV_QUERY_LIST_4F35BF76-6C0D-4D9B-82B2-816C12CF3733">
    <vt:lpwstr>empty_477D106A-C0D6-4607-AEBD-E2C9D60EA279</vt:lpwstr>
  </property>
  <property fmtid="{D5CDD505-2E9C-101B-9397-08002B2CF9AE}" pid="7" name="SV_HIDDEN_GRID_QUERY_LIST_4F35BF76-6C0D-4D9B-82B2-816C12CF3733">
    <vt:lpwstr>empty_477D106A-C0D6-4607-AEBD-E2C9D60EA279</vt:lpwstr>
  </property>
</Properties>
</file>