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552501AC-3943-4F05-8777-DDDBFEC0CC9E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50" i="1" l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N50" i="1" l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19" i="1" l="1"/>
  <c r="BL74" i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BL50" i="1"/>
  <c r="BL49" i="1"/>
  <c r="BL39" i="1"/>
  <c r="BL37" i="1"/>
  <c r="L39" i="1" s="1"/>
  <c r="BL36" i="1"/>
  <c r="BL38" i="1"/>
  <c r="AO86" i="1" s="1"/>
  <c r="J29" i="3"/>
  <c r="N16" i="3"/>
  <c r="BL31" i="1"/>
  <c r="BL33" i="1"/>
  <c r="BL32" i="1"/>
  <c r="BL30" i="1"/>
  <c r="BL20" i="1"/>
  <c r="BL21" i="1"/>
  <c r="BL18" i="1"/>
  <c r="L21" i="1" s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L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N49" i="1" l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<sst xmlns="http://schemas.openxmlformats.org/spreadsheetml/2006/main" count="6931" uniqueCount="1447">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</sst>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36" activePane="bottomLeft" state="frozen"/>
      <selection pane="bottomLeft" activeCell="F43" sqref="F43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2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1</v>
      </c>
      <c r="BJ7">
        <f t="array" ref="BJ7">SUMPRODUCT((E5:E10=BD7)*IFERROR(G5:G10,0))+SUMPRODUCT((H5:H10=BD7)*IFERROR(F5:F10,0))</f>
        <v>3</v>
      </c>
      <c r="BK7">
        <f>BF7*3+BG7</f>
        <v>1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1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1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2</v>
      </c>
      <c r="M9" s="11">
        <f>INDEX(BF6:BF9,MATCH(3,BL6:BL9,0))</f>
        <v>0</v>
      </c>
      <c r="N9" s="11">
        <f>INDEX(BG6:BG9,MATCH(3,BL6:BL9,0))</f>
        <v>1</v>
      </c>
      <c r="O9" s="11">
        <f>INDEX(BH6:BH9,MATCH(3,BL6:BL9,0))</f>
        <v>1</v>
      </c>
      <c r="P9" s="11" t="str">
        <f>INDEX(BI6:BI9,MATCH(3,BL6:BL9,0))&amp;" - "&amp;INDEX(BJ6:BJ9,MATCH(3,BL6:BL9,0))</f>
        <v>2 - 3</v>
      </c>
      <c r="Q9" s="14">
        <f>INDEX(BK6:BK9,MATCH(3,BL6:BL9,0))</f>
        <v>1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2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1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3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1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1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2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1</v>
      </c>
      <c r="P10" s="18" t="str">
        <f>INDEX(BI6:BI9,MATCH(4,BL6:BL9,0))&amp;" - "&amp;INDEX(BJ6:BJ9,MATCH(4,BL6:BL9,0))</f>
        <v>1 - 3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2</v>
      </c>
      <c r="BF18">
        <f t="array" ref="BF18">SUMPRODUCT((E17:E22=BD18)*ISNUMBER(F17:F22)*ISNUMBER(G17:G22)*(F17:F22&gt;G17:G22))+SUMPRODUCT((H17:H22=BD18)*ISNUMBER(F17:F22)*ISNUMBER(G17:G22)*(G17:G22&gt;F17:F22))</f>
        <v>1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4</v>
      </c>
      <c r="BJ18">
        <f t="array" ref="BJ18">SUMPRODUCT((E17:E22=BD18)*IFERROR(G17:G22,0))+SUMPRODUCT((H17:H22=BD18)*IFERROR(F17:F22,0))</f>
        <v>1</v>
      </c>
      <c r="BK18">
        <f>BF18*3+BG18</f>
        <v>4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2</v>
      </c>
      <c r="M19" s="11">
        <f>INDEX(BF18:BF21,MATCH(1,BL18:BL21,0))</f>
        <v>1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4 - 1</v>
      </c>
      <c r="Q19" s="14">
        <f>INDEX(BK18:BK21,MATCH(1,BL18:BL21,0))</f>
        <v>4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2</v>
      </c>
      <c r="BF19">
        <f t="array" ref="BF19">SUMPRODUCT((E17:E22=BD19)*ISNUMBER(F17:F22)*ISNUMBER(G17:G22)*(F17:F22&gt;G17:G22))+SUMPRODUCT((H17:H22=BD19)*ISNUMBER(F17:F22)*ISNUMBER(G17:G22)*(G17:G22&gt;F17:F22))</f>
        <v>1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2</v>
      </c>
      <c r="BJ19">
        <f t="array" ref="BJ19">SUMPRODUCT((E17:E22=BD19)*IFERROR(G17:G22,0))+SUMPRODUCT((H17:H22=BD19)*IFERROR(F17:F22,0))</f>
        <v>1</v>
      </c>
      <c r="BK19">
        <f>BF19*3+BG19</f>
        <v>4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2</v>
      </c>
      <c r="M20" s="11">
        <f>INDEX(BF18:BF21,MATCH(2,BL18:BL21,0))</f>
        <v>1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2 - 1</v>
      </c>
      <c r="Q20" s="14">
        <f>INDEX(BK18:BK21,MATCH(2,BL18:BL21,0))</f>
        <v>4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2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2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4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2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1</v>
      </c>
      <c r="P21" s="11" t="str">
        <f>INDEX(BI18:BI21,MATCH(3,BL18:BL21,0))&amp;" - "&amp;INDEX(BJ18:BJ21,MATCH(3,BL18:BL21,0))</f>
        <v>1 - 1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2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1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1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2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2</v>
      </c>
      <c r="P22" s="18" t="str">
        <f>INDEX(BI18:BI21,MATCH(4,BL18:BL21,0))&amp;" - "&amp;INDEX(BJ18:BJ21,MATCH(4,BL18:BL21,0))</f>
        <v>0 - 4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2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6</v>
      </c>
      <c r="BJ24">
        <f t="array" ref="BJ24">SUMPRODUCT((E23:E28=BD24)*IFERROR(G23:G28,0))+SUMPRODUCT((H23:H28=BD24)*IFERROR(F23:F28,0))</f>
        <v>1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2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6 - 1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2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3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2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2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2</v>
      </c>
      <c r="M27" s="11">
        <f>INDEX(BF24:BF27,MATCH(3,BL24:BL27,0))</f>
        <v>1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3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2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3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2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0 - 3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2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9</v>
      </c>
      <c r="BJ30">
        <f t="array" ref="BJ30">SUMPRODUCT((E29:E34=BD30)*IFERROR(G29:G34,0))+SUMPRODUCT((H29:H34=BD30)*IFERROR(F29:F34,0))</f>
        <v>2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2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9 - 2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2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1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2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2 - 2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2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2</v>
      </c>
      <c r="BJ32">
        <f t="array" ref="BJ32">SUMPRODUCT((E29:E34=BD32)*IFERROR(G29:G34,0))+SUMPRODUCT((H29:H34=BD32)*IFERROR(F29:F34,0))</f>
        <v>2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2</v>
      </c>
      <c r="M33" s="11">
        <f>INDEX(BF30:BF33,MATCH(3,BL30:BL33,0))</f>
        <v>0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1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2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1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1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2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2</v>
      </c>
      <c r="BF36">
        <f t="array" ref="BF36">SUMPRODUCT((E35:E40=BD36)*ISNUMBER(F35:F40)*ISNUMBER(G35:G40)*(F35:F40&gt;G35:G40))+SUMPRODUCT((H35:H40=BD36)*ISNUMBER(F35:F40)*ISNUMBER(G35:G40)*(G35:G40&gt;F35:F40))</f>
        <v>1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7</v>
      </c>
      <c r="BJ36">
        <f t="array" ref="BJ36">SUMPRODUCT((E35:E40=BD36)*IFERROR(G35:G40,0))+SUMPRODUCT((H35:H40=BD36)*IFERROR(F35:F40,0))</f>
        <v>3</v>
      </c>
      <c r="BK36">
        <f>BF36*3+BG36</f>
        <v>4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2</v>
      </c>
      <c r="M37" s="11">
        <f>INDEX(BF36:BF39,MATCH(1,BL36:BL39,0))</f>
        <v>1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7 - 3</v>
      </c>
      <c r="Q37" s="14">
        <f>INDEX(BK36:BK39,MATCH(1,BL36:BL39,0))</f>
        <v>4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2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6</v>
      </c>
      <c r="BJ37">
        <f t="array" ref="BJ37">SUMPRODUCT((E35:E40=BD37)*IFERROR(G35:G40,0))+SUMPRODUCT((H35:H40=BD37)*IFERROR(F35:F40,0))</f>
        <v>2</v>
      </c>
      <c r="BK37">
        <f>BF37*3+BG37</f>
        <v>4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2</v>
      </c>
      <c r="M38" s="11">
        <f>INDEX(BF36:BF39,MATCH(2,BL36:BL39,0))</f>
        <v>1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6 - 2</v>
      </c>
      <c r="Q38" s="14">
        <f>INDEX(BK36:BK39,MATCH(2,BL36:BL39,0))</f>
        <v>4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2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1</v>
      </c>
      <c r="BI38">
        <f t="array" ref="BI38">SUMPRODUCT((E35:E40=BD38)*IFERROR(F35:F40,0))+SUMPRODUCT((H35:H40=BD38)*IFERROR(G35:G40,0))</f>
        <v>6</v>
      </c>
      <c r="BJ38">
        <f t="array" ref="BJ38">SUMPRODUCT((E35:E40=BD38)*IFERROR(G35:G40,0))+SUMPRODUCT((H35:H40=BD38)*IFERROR(F35:F40,0))</f>
        <v>6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2</v>
      </c>
      <c r="M39" s="11">
        <f>INDEX(BF36:BF39,MATCH(3,BL36:BL39,0))</f>
        <v>1</v>
      </c>
      <c r="N39" s="11">
        <f>INDEX(BG36:BG39,MATCH(3,BL36:BL39,0))</f>
        <v>0</v>
      </c>
      <c r="O39" s="11">
        <f>INDEX(BH36:BH39,MATCH(3,BL36:BL39,0))</f>
        <v>1</v>
      </c>
      <c r="P39" s="11" t="str">
        <f>INDEX(BI36:BI39,MATCH(3,BL36:BL39,0))&amp;" - "&amp;INDEX(BJ36:BJ39,MATCH(3,BL36:BL39,0))</f>
        <v>6 - 6</v>
      </c>
      <c r="Q39" s="14">
        <f>INDEX(BK36:BK39,MATCH(3,BL36:BL39,0))</f>
        <v>3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2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2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9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2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2</v>
      </c>
      <c r="P40" s="18" t="str">
        <f>INDEX(BI36:BI39,MATCH(4,BL36:BL39,0))&amp;" - "&amp;INDEX(BJ36:BJ39,MATCH(4,BL36:BL39,0))</f>
        <v>1 - 9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2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2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Egypt</v>
      </c>
      <c r="L43" s="11">
        <f>INDEX(BE42:BE45,MATCH(1,BL42:BL45,0))</f>
        <v>2</v>
      </c>
      <c r="M43" s="11">
        <f>INDEX(BF42:BF45,MATCH(1,BL42:BL45,0))</f>
        <v>1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4 - 2</v>
      </c>
      <c r="Q43" s="14">
        <f>INDEX(BK42:BK45,MATCH(1,BL42:BL45,0))</f>
        <v>4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2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4</v>
      </c>
      <c r="BJ43">
        <f t="array" ref="BJ43">SUMPRODUCT((E41:E46=BD43)*IFERROR(G41:G46,0))+SUMPRODUCT((H41:H46=BD43)*IFERROR(F41:F46,0))</f>
        <v>2</v>
      </c>
      <c r="BK43">
        <f>BF43*3+BG43</f>
        <v>4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1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Iran</v>
      </c>
      <c r="L44" s="11">
        <f>INDEX(BE42:BE45,MATCH(2,BL42:BL45,0))</f>
        <v>2</v>
      </c>
      <c r="M44" s="11">
        <f>INDEX(BF42:BF45,MATCH(2,BL42:BL45,0))</f>
        <v>0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2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2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2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2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2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2</v>
      </c>
      <c r="M45" s="11">
        <f>INDEX(BF42:BF45,MATCH(3,BL42:BL45,0))</f>
        <v>0</v>
      </c>
      <c r="N45" s="11">
        <f>INDEX(BG42:BG45,MATCH(3,BL42:BL45,0))</f>
        <v>2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2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2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1</v>
      </c>
      <c r="BI45">
        <f t="array" ref="BI45">SUMPRODUCT((E41:E46=BD45)*IFERROR(F41:F46,0))+SUMPRODUCT((H41:H46=BD45)*IFERROR(G41:G46,0))</f>
        <v>3</v>
      </c>
      <c r="BJ45">
        <f t="array" ref="BJ45">SUMPRODUCT((E41:E46=BD45)*IFERROR(G41:G46,0))+SUMPRODUCT((H41:H46=BD45)*IFERROR(F41:F46,0))</f>
        <v>5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2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1</v>
      </c>
      <c r="P46" s="18" t="str">
        <f>INDEX(BI42:BI45,MATCH(4,BL42:BL45,0))&amp;" - "&amp;INDEX(BJ42:BJ45,MATCH(4,BL42:BL45,0))</f>
        <v>3 - 5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2</v>
      </c>
      <c r="BF48">
        <f t="array" ref="BF48">SUMPRODUCT((E47:E52=BD48)*ISNUMBER(F47:F52)*ISNUMBER(G47:G52)*(F47:F52&gt;G47:G52))+SUMPRODUCT((H47:H52=BD48)*ISNUMBER(F47:F52)*ISNUMBER(G47:G52)*(G47:G52&gt;F47:F52))</f>
        <v>1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4</v>
      </c>
      <c r="BJ48">
        <f t="array" ref="BJ48">SUMPRODUCT((E47:E52=BD48)*IFERROR(G47:G52,0))+SUMPRODUCT((H47:H52=BD48)*IFERROR(F47:F52,0))</f>
        <v>0</v>
      </c>
      <c r="BK48">
        <f>BF48*3+BG48</f>
        <v>4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2</v>
      </c>
      <c r="M49" s="11">
        <f>INDEX(BF48:BF51,MATCH(1,BL48:BL51,0))</f>
        <v>1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4 - 0</v>
      </c>
      <c r="Q49" s="14">
        <f>INDEX(BK48:BK51,MATCH(1,BL48:BL51,0))</f>
        <v>4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2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2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2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3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2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2</v>
      </c>
      <c r="M50" s="11">
        <f>INDEX(BF48:BF51,MATCH(2,BL48:BL51,0))</f>
        <v>0</v>
      </c>
      <c r="N50" s="11">
        <f>INDEX(BG48:BG51,MATCH(2,BL48:BL51,0))</f>
        <v>2</v>
      </c>
      <c r="O50" s="11">
        <f>INDEX(BH48:BH51,MATCH(2,BL48:BL51,0))</f>
        <v>0</v>
      </c>
      <c r="P50" s="11" t="str">
        <f>INDEX(BI48:BI51,MATCH(2,BL48:BL51,0))&amp;" - "&amp;INDEX(BJ48:BJ51,MATCH(2,BL48:BL51,0))</f>
        <v>3 - 3</v>
      </c>
      <c r="Q50" s="14">
        <f>INDEX(BK48:BK51,MATCH(2,BL48:BL51,0))</f>
        <v>2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2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Cape Verde</v>
      </c>
      <c r="L51" s="11">
        <f>INDEX(BE48:BE51,MATCH(3,BL48:BL51,0))</f>
        <v>2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0</v>
      </c>
      <c r="P51" s="11" t="str">
        <f>INDEX(BI48:BI51,MATCH(3,BL48:BL51,0))&amp;" - "&amp;INDEX(BJ48:BJ51,MATCH(3,BL48:BL51,0))</f>
        <v>2 - 2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2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0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3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2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2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1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7</v>
      </c>
      <c r="AV81" t="str">
        <f>IFERROR(INDEX($AQ$81:$AQ$92,MATCH(1,$AT$81:$AT$92,0)),"")</f>
        <v>Sweden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ACDEFGHK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E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D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9</v>
      </c>
      <c r="AV82" t="str">
        <f>IFERROR(INDEX($AQ$81:$AQ$92,MATCH(2,$AT$81:$AT$92,0)),"")</f>
        <v>Scotland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Paraguay</v>
      </c>
      <c r="AW83" t="str">
        <f>IFERROR(INDEX($AN$81:$AN$92,MATCH(3,$AT$81:$AT$92,0)),"")</f>
        <v>D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3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3</v>
      </c>
      <c r="AV84" t="str">
        <f>IFERROR(INDEX($AQ$81:$AQ$92,MATCH(4,$AT$81:$AT$92,0)),"")</f>
        <v>Cape Verde</v>
      </c>
      <c r="AW84" t="str">
        <f>IFERROR(INDEX($AN$81:$AN$92,MATCH(4,$AT$81:$AT$92,0)),"")</f>
        <v>H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1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8</v>
      </c>
      <c r="AV85" t="str">
        <f>IFERROR(INDEX($AQ$81:$AQ$92,MATCH(5,$AT$81:$AT$92,0)),"")</f>
        <v>Belgium</v>
      </c>
      <c r="AW85" t="str">
        <f>IFERROR(INDEX($AN$81:$AN$92,MATCH(5,$AT$81:$AT$92,0)),"")</f>
        <v>G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3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DR Congo</v>
      </c>
      <c r="AW86" t="str">
        <f>IFERROR(INDEX($AN$81:$AN$92,MATCH(6,$AT$81:$AT$92,0)),"")</f>
        <v>K</v>
      </c>
      <c r="BU86">
        <f>IFERROR(INDEX(BI36:BI39,MATCH(3,BL36:BL39,0)),0)</f>
        <v>6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Egypt</v>
      </c>
      <c r="AP87" t="str">
        <f>IFERROR(INDEX(BD42:BD45,MATCH(2,BL42:BL45,0)),"")</f>
        <v>Iran</v>
      </c>
      <c r="AQ87" t="str">
        <f>IFERROR(INDEX(BD42:BD45,MATCH(3,BL42:BL45,0)),"")</f>
        <v>Belgium</v>
      </c>
      <c r="AR87">
        <f>IFERROR(INDEX(BK42:BK45,MATCH(3,BL42:BL45,0)),0)</f>
        <v>2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5</v>
      </c>
      <c r="AV87" t="str">
        <f>IFERROR(INDEX($AQ$81:$AQ$92,MATCH(7,$AT$81:$AT$92,0)),"")</f>
        <v>Czechia</v>
      </c>
      <c r="AW87" t="str">
        <f>IFERROR(INDEX($AN$81:$AN$92,MATCH(7,$AT$81:$AT$92,0)),"")</f>
        <v>A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Uruguay</v>
      </c>
      <c r="AQ88" t="str">
        <f>IFERROR(INDEX(BD48:BD51,MATCH(3,BL48:BL51,0)),"")</f>
        <v>Cape Verde</v>
      </c>
      <c r="AR88">
        <f>IFERROR(INDEX(BK48:BK51,MATCH(3,BL48:BL51,0)),0)</f>
        <v>2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4</v>
      </c>
      <c r="AV88" t="str">
        <f>IFERROR(INDEX($AQ$81:$AQ$92,MATCH(8,$AT$81:$AT$92,0)),"")</f>
        <v>Ecuador</v>
      </c>
      <c r="AW88" t="str">
        <f>IFERROR(INDEX($AN$81:$AN$92,MATCH(8,$AT$81:$AT$92,0)),"")</f>
        <v>E</v>
      </c>
      <c r="BU88">
        <f>IFERROR(INDEX(BI48:BI51,MATCH(3,BL48:BL51,0)),0)</f>
        <v>2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11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12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6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10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84.5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84.5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Mindaugas Sipavičius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76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76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Tomas Bruzga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74.5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74.5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Algirdas Čižauskas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74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74</v>
      </c>
      <c r="L7" s="30">
        <f t="shared" si="0"/>
        <v>131.25</v>
      </c>
      <c r="N7" s="31">
        <v>4</v>
      </c>
      <c r="O7" s="32">
        <v>0.05</v>
      </c>
      <c r="P7" s="33">
        <f t="shared" si="1"/>
        <v>157.5</v>
      </c>
      <c r="Q7" s="31">
        <f t="shared" si="2"/>
        <v>3</v>
      </c>
      <c r="R7" s="34">
        <f t="shared" si="3"/>
        <v>131.25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4</v>
      </c>
      <c r="B8" s="27" t="str">
        <f>IF(5&gt;COUNTIF(' Toto teams'!$A$4:$A$119,"&lt;&gt;"),"",INDEX(' Toto teams'!$A$4:$A$119,MATCH(LARGE(' Toto teams'!$T$4:$T$119,5),' Toto teams'!$T$4:$T$119,0)))</f>
        <v>Donatas Celesius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74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74</v>
      </c>
      <c r="L8" s="30">
        <f t="shared" si="0"/>
        <v>131.25</v>
      </c>
      <c r="N8" s="31">
        <v>5</v>
      </c>
      <c r="O8" s="32">
        <v>0.05</v>
      </c>
      <c r="P8" s="33">
        <f t="shared" si="1"/>
        <v>157.5</v>
      </c>
      <c r="Q8" s="31">
        <f t="shared" si="2"/>
        <v>0</v>
      </c>
      <c r="R8" s="34">
        <f t="shared" si="3"/>
        <v>0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4</v>
      </c>
      <c r="B9" s="27" t="str">
        <f>IF(6&gt;COUNTIF(' Toto teams'!$A$4:$A$119,"&lt;&gt;"),"",INDEX(' Toto teams'!$A$4:$A$119,MATCH(LARGE(' Toto teams'!$T$4:$T$119,6),' Toto teams'!$T$4:$T$119,0)))</f>
        <v>Vaidas Pažusys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74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74</v>
      </c>
      <c r="L9" s="30">
        <f t="shared" si="0"/>
        <v>131.25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0</v>
      </c>
      <c r="R9" s="34">
        <f t="shared" si="3"/>
        <v>0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Juozas Žimkus Jr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72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72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2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Arūnas Čižauskas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72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72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Mario Calvi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70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70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Jurga Šantaraitė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69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69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Martynas Bruzga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68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68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>Simas Baubonis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68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68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11</v>
      </c>
      <c r="B16" s="27" t="str">
        <f>IF(13&gt;COUNTIF(' Toto teams'!$A$4:$A$119,"&lt;&gt;"),"",INDEX(' Toto teams'!$A$4:$A$119,MATCH(LARGE(' Toto teams'!$T$4:$T$119,13),' Toto teams'!$T$4:$T$119,0)))</f>
        <v>Sigitas Šarauskis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68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68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Lukas Danielevičius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67.5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67.5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Dainius Breivė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67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67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15</v>
      </c>
      <c r="B19" s="27" t="str">
        <f>IF(16&gt;COUNTIF(' Toto teams'!$A$4:$A$119,"&lt;&gt;"),"",INDEX(' Toto teams'!$A$4:$A$119,MATCH(LARGE(' Toto teams'!$T$4:$T$119,16),' Toto teams'!$T$4:$T$119,0)))</f>
        <v>Donatas Keras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67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67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Zaur Yusubov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66.5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66.5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Tomas Šunskis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66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66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Sergey Zhaltuchin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65.5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65.5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Benas&amp;Šaras Oleknavičius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65.5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65.5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Susie Wolke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65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65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21</v>
      </c>
      <c r="B25" s="27" t="str">
        <f>IF(22&gt;COUNTIF(' Toto teams'!$A$4:$A$119,"&lt;&gt;"),"",INDEX(' Toto teams'!$A$4:$A$119,MATCH(LARGE(' Toto teams'!$T$4:$T$119,22),' Toto teams'!$T$4:$T$119,0)))</f>
        <v xml:space="preserve">Paulius Bernotas 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65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65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21</v>
      </c>
      <c r="B26" s="27" t="str">
        <f>IF(23&gt;COUNTIF(' Toto teams'!$A$4:$A$119,"&lt;&gt;"),"",INDEX(' Toto teams'!$A$4:$A$119,MATCH(LARGE(' Toto teams'!$T$4:$T$119,23),' Toto teams'!$T$4:$T$119,0)))</f>
        <v>Ivan Manev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65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65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21</v>
      </c>
      <c r="B27" s="27" t="str">
        <f>IF(24&gt;COUNTIF(' Toto teams'!$A$4:$A$119,"&lt;&gt;"),"",INDEX(' Toto teams'!$A$4:$A$119,MATCH(LARGE(' Toto teams'!$T$4:$T$119,24),' Toto teams'!$T$4:$T$119,0)))</f>
        <v>Rolandas Urbelis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65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65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Eugenijus Petrošius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64.5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64.5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Saulius Lileikis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64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64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26</v>
      </c>
      <c r="B30" s="27" t="str">
        <f>IF(27&gt;COUNTIF(' Toto teams'!$A$4:$A$119,"&lt;&gt;"),"",INDEX(' Toto teams'!$A$4:$A$119,MATCH(LARGE(' Toto teams'!$T$4:$T$119,27),' Toto teams'!$T$4:$T$119,0)))</f>
        <v>Dobilas III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64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64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26</v>
      </c>
      <c r="B31" s="27" t="str">
        <f>IF(28&gt;COUNTIF(' Toto teams'!$A$4:$A$119,"&lt;&gt;"),"",INDEX(' Toto teams'!$A$4:$A$119,MATCH(LARGE(' Toto teams'!$T$4:$T$119,28),' Toto teams'!$T$4:$T$119,0)))</f>
        <v>Aurimas Šumbrauskis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64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64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26</v>
      </c>
      <c r="B32" s="27" t="str">
        <f>IF(29&gt;COUNTIF(' Toto teams'!$A$4:$A$119,"&lt;&gt;"),"",INDEX(' Toto teams'!$A$4:$A$119,MATCH(LARGE(' Toto teams'!$T$4:$T$119,29),' Toto teams'!$T$4:$T$119,0)))</f>
        <v>Paulina Bungardė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64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64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Gianmarco Monti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63.5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63.5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30</v>
      </c>
      <c r="B34" s="27" t="str">
        <f>IF(31&gt;COUNTIF(' Toto teams'!$A$4:$A$119,"&lt;&gt;"),"",INDEX(' Toto teams'!$A$4:$A$119,MATCH(LARGE(' Toto teams'!$T$4:$T$119,31),' Toto teams'!$T$4:$T$119,0)))</f>
        <v>Simonas Anikinas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63.5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63.5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Kamran Mikayilov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63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63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Yagub Alizada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63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63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Edgar Moroz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63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63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32</v>
      </c>
      <c r="B38" s="27" t="str">
        <f>IF(35&gt;COUNTIF(' Toto teams'!$A$4:$A$119,"&lt;&gt;"),"",INDEX(' Toto teams'!$A$4:$A$119,MATCH(LARGE(' Toto teams'!$T$4:$T$119,35),' Toto teams'!$T$4:$T$119,0)))</f>
        <v>Donatas Bakėjus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63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63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32</v>
      </c>
      <c r="B39" s="27" t="str">
        <f>IF(36&gt;COUNTIF(' Toto teams'!$A$4:$A$119,"&lt;&gt;"),"",INDEX(' Toto teams'!$A$4:$A$119,MATCH(LARGE(' Toto teams'!$T$4:$T$119,36),' Toto teams'!$T$4:$T$119,0)))</f>
        <v>Benediktas Babraitis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63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63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Karolis Marcinkevičius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62.5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62.5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37</v>
      </c>
      <c r="B41" s="27" t="str">
        <f>IF(38&gt;COUNTIF(' Toto teams'!$A$4:$A$119,"&lt;&gt;"),"",INDEX(' Toto teams'!$A$4:$A$119,MATCH(LARGE(' Toto teams'!$T$4:$T$119,38),' Toto teams'!$T$4:$T$119,0)))</f>
        <v>Davide Speranza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62.5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62.5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Todor Velikov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62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62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Mindaugas Čižauskas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62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62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39</v>
      </c>
      <c r="B44" s="27" t="str">
        <f>IF(41&gt;COUNTIF(' Toto teams'!$A$4:$A$119,"&lt;&gt;"),"",INDEX(' Toto teams'!$A$4:$A$119,MATCH(LARGE(' Toto teams'!$T$4:$T$119,41),' Toto teams'!$T$4:$T$119,0)))</f>
        <v>Aurimas Oleknavičius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62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62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Kristina I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61.5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61.5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Edita Oršauskė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61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61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Saulius Pipiras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61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61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43</v>
      </c>
      <c r="B48" s="27" t="str">
        <f>IF(45&gt;COUNTIF(' Toto teams'!$A$4:$A$119,"&lt;&gt;"),"",INDEX(' Toto teams'!$A$4:$A$119,MATCH(LARGE(' Toto teams'!$T$4:$T$119,45),' Toto teams'!$T$4:$T$119,0)))</f>
        <v>Giedrius Šadbaras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61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61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43</v>
      </c>
      <c r="B49" s="27" t="str">
        <f>IF(46&gt;COUNTIF(' Toto teams'!$A$4:$A$119,"&lt;&gt;"),"",INDEX(' Toto teams'!$A$4:$A$119,MATCH(LARGE(' Toto teams'!$T$4:$T$119,46),' Toto teams'!$T$4:$T$119,0)))</f>
        <v>Elijus Benetis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61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61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43</v>
      </c>
      <c r="B50" s="27" t="str">
        <f>IF(47&gt;COUNTIF(' Toto teams'!$A$4:$A$119,"&lt;&gt;"),"",INDEX(' Toto teams'!$A$4:$A$119,MATCH(LARGE(' Toto teams'!$T$4:$T$119,47),' Toto teams'!$T$4:$T$119,0)))</f>
        <v>Alberto Canova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61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61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43</v>
      </c>
      <c r="B51" s="27" t="str">
        <f>IF(48&gt;COUNTIF(' Toto teams'!$A$4:$A$119,"&lt;&gt;"),"",INDEX(' Toto teams'!$A$4:$A$119,MATCH(LARGE(' Toto teams'!$T$4:$T$119,48),' Toto teams'!$T$4:$T$119,0)))</f>
        <v>Andrea Signorini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61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61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43</v>
      </c>
      <c r="B52" s="27" t="str">
        <f>IF(49&gt;COUNTIF(' Toto teams'!$A$4:$A$119,"&lt;&gt;"),"",INDEX(' Toto teams'!$A$4:$A$119,MATCH(LARGE(' Toto teams'!$T$4:$T$119,49),' Toto teams'!$T$4:$T$119,0)))</f>
        <v>Deividas Jančius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61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61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43</v>
      </c>
      <c r="B53" s="27" t="str">
        <f>IF(50&gt;COUNTIF(' Toto teams'!$A$4:$A$119,"&lt;&gt;"),"",INDEX(' Toto teams'!$A$4:$A$119,MATCH(LARGE(' Toto teams'!$T$4:$T$119,50),' Toto teams'!$T$4:$T$119,0)))</f>
        <v>Joris Jalo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61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61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Renata Čižauskienė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60.5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60.5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51</v>
      </c>
      <c r="B55" s="27" t="str">
        <f>IF(52&gt;COUNTIF(' Toto teams'!$A$4:$A$119,"&lt;&gt;"),"",INDEX(' Toto teams'!$A$4:$A$119,MATCH(LARGE(' Toto teams'!$T$4:$T$119,52),' Toto teams'!$T$4:$T$119,0)))</f>
        <v>Evelina Tiščenkė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60.5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60.5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Justinas Novoruckis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60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60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Simonas Sipavičius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60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60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Tihomir Chakarov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60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60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53</v>
      </c>
      <c r="B59" s="27" t="str">
        <f>IF(56&gt;COUNTIF(' Toto teams'!$A$4:$A$119,"&lt;&gt;"),"",INDEX(' Toto teams'!$A$4:$A$119,MATCH(LARGE(' Toto teams'!$T$4:$T$119,56),' Toto teams'!$T$4:$T$119,0)))</f>
        <v>Danielius Pažusys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60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60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Sigitas Petraitis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59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59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57</v>
      </c>
      <c r="B61" s="27" t="str">
        <f>IF(58&gt;COUNTIF(' Toto teams'!$A$4:$A$119,"&lt;&gt;"),"",INDEX(' Toto teams'!$A$4:$A$119,MATCH(LARGE(' Toto teams'!$T$4:$T$119,58),' Toto teams'!$T$4:$T$119,0)))</f>
        <v>Giedrius Stanulis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59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59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57</v>
      </c>
      <c r="B62" s="27" t="str">
        <f>IF(59&gt;COUNTIF(' Toto teams'!$A$4:$A$119,"&lt;&gt;"),"",INDEX(' Toto teams'!$A$4:$A$119,MATCH(LARGE(' Toto teams'!$T$4:$T$119,59),' Toto teams'!$T$4:$T$119,0)))</f>
        <v>Gintautas Beržanskis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59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59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57</v>
      </c>
      <c r="B63" s="27" t="str">
        <f>IF(60&gt;COUNTIF(' Toto teams'!$A$4:$A$119,"&lt;&gt;"),"",INDEX(' Toto teams'!$A$4:$A$119,MATCH(LARGE(' Toto teams'!$T$4:$T$119,60),' Toto teams'!$T$4:$T$119,0)))</f>
        <v>Pijus Jalo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59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59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Gedas Girdžiūnas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58.5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58.5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61</v>
      </c>
      <c r="B65" s="27" t="str">
        <f>IF(62&gt;COUNTIF(' Toto teams'!$A$4:$A$119,"&lt;&gt;"),"",INDEX(' Toto teams'!$A$4:$A$119,MATCH(LARGE(' Toto teams'!$T$4:$T$119,62),' Toto teams'!$T$4:$T$119,0)))</f>
        <v>Artem Lavrov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58.5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58.5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61</v>
      </c>
      <c r="B66" s="27" t="str">
        <f>IF(63&gt;COUNTIF(' Toto teams'!$A$4:$A$119,"&lt;&gt;"),"",INDEX(' Toto teams'!$A$4:$A$119,MATCH(LARGE(' Toto teams'!$T$4:$T$119,63),' Toto teams'!$T$4:$T$119,0)))</f>
        <v>Audi club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58.5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58.5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Jonas Juška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58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58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64</v>
      </c>
      <c r="B68" s="27" t="str">
        <f>IF(65&gt;COUNTIF(' Toto teams'!$A$4:$A$119,"&lt;&gt;"),"",INDEX(' Toto teams'!$A$4:$A$119,MATCH(LARGE(' Toto teams'!$T$4:$T$119,65),' Toto teams'!$T$4:$T$119,0)))</f>
        <v>Nadia Mercurio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58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58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64</v>
      </c>
      <c r="B69" s="27" t="str">
        <f>IF(66&gt;COUNTIF(' Toto teams'!$A$4:$A$119,"&lt;&gt;"),"",INDEX(' Toto teams'!$A$4:$A$119,MATCH(LARGE(' Toto teams'!$T$4:$T$119,66),' Toto teams'!$T$4:$T$119,0)))</f>
        <v>Darius Jalo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58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58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Simona Jociūtė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57.5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57.5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Raimondas Juška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57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57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Egidijus Mačiukas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56.5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56.5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Rustam Roikov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56.5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56.5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69</v>
      </c>
      <c r="B74" s="27" t="str">
        <f>IF(71&gt;COUNTIF(' Toto teams'!$A$4:$A$119,"&lt;&gt;"),"",INDEX(' Toto teams'!$A$4:$A$119,MATCH(LARGE(' Toto teams'!$T$4:$T$119,71),' Toto teams'!$T$4:$T$119,0)))</f>
        <v>Arnoldas Molis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56.5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56.5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Thomas Wolke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56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56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Alius Antulis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55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55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Dainius Visackas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55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55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73</v>
      </c>
      <c r="B78" s="27" t="str">
        <f>IF(75&gt;COUNTIF(' Toto teams'!$A$4:$A$119,"&lt;&gt;"),"",INDEX(' Toto teams'!$A$4:$A$119,MATCH(LARGE(' Toto teams'!$T$4:$T$119,75),' Toto teams'!$T$4:$T$119,0)))</f>
        <v>Dovilė Smetonė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55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55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73</v>
      </c>
      <c r="B79" s="27" t="str">
        <f>IF(76&gt;COUNTIF(' Toto teams'!$A$4:$A$119,"&lt;&gt;"),"",INDEX(' Toto teams'!$A$4:$A$119,MATCH(LARGE(' Toto teams'!$T$4:$T$119,76),' Toto teams'!$T$4:$T$119,0)))</f>
        <v>Enrico Ancarola, Pietro Rivera, Riccardo Gatti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55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55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Ernesta Čebienė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54.5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54.5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Nikolay Lenkov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54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54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78</v>
      </c>
      <c r="B82" s="27" t="str">
        <f>IF(79&gt;COUNTIF(' Toto teams'!$A$4:$A$119,"&lt;&gt;"),"",INDEX(' Toto teams'!$A$4:$A$119,MATCH(LARGE(' Toto teams'!$T$4:$T$119,79),' Toto teams'!$T$4:$T$119,0)))</f>
        <v>Deividas Jodenis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54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54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78</v>
      </c>
      <c r="B83" s="27" t="str">
        <f>IF(80&gt;COUNTIF(' Toto teams'!$A$4:$A$119,"&lt;&gt;"),"",INDEX(' Toto teams'!$A$4:$A$119,MATCH(LARGE(' Toto teams'!$T$4:$T$119,80),' Toto teams'!$T$4:$T$119,0)))</f>
        <v>Paolo Papiri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54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54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Sofus Wolke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53.5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53.5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81</v>
      </c>
      <c r="B85" s="27" t="str">
        <f>IF(82&gt;COUNTIF(' Toto teams'!$A$4:$A$119,"&lt;&gt;"),"",INDEX(' Toto teams'!$A$4:$A$119,MATCH(LARGE(' Toto teams'!$T$4:$T$119,82),' Toto teams'!$T$4:$T$119,0)))</f>
        <v>Gintas Bungarda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53.5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53.5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Donatas Pocius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53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53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Slava Maltsev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52.5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52.5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84</v>
      </c>
      <c r="B88" s="27" t="str">
        <f>IF(85&gt;COUNTIF(' Toto teams'!$A$4:$A$119,"&lt;&gt;"),"",INDEX(' Toto teams'!$A$4:$A$119,MATCH(LARGE(' Toto teams'!$T$4:$T$119,85),' Toto teams'!$T$4:$T$119,0)))</f>
        <v>Benas Bruzga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52.5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52.5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Benas VII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51.5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51.5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Jokūbas Kušleika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51.5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51.5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Denis Kazarezov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51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51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88</v>
      </c>
      <c r="B92" s="27" t="str">
        <f>IF(89&gt;COUNTIF(' Toto teams'!$A$4:$A$119,"&lt;&gt;"),"",INDEX(' Toto teams'!$A$4:$A$119,MATCH(LARGE(' Toto teams'!$T$4:$T$119,89),' Toto teams'!$T$4:$T$119,0)))</f>
        <v>Vytautas Gliaubicas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51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51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Rimas Baubonis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50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50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Virginija Čižauskienė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49.5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49.5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Vytautas Podrezas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49.5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49.5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91</v>
      </c>
      <c r="B96" s="27" t="str">
        <f>IF(93&gt;COUNTIF(' Toto teams'!$A$4:$A$119,"&lt;&gt;"),"",INDEX(' Toto teams'!$A$4:$A$119,MATCH(LARGE(' Toto teams'!$T$4:$T$119,93),' Toto teams'!$T$4:$T$119,0)))</f>
        <v>Sampaio Carlos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49.5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49.5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91</v>
      </c>
      <c r="B97" s="27" t="str">
        <f>IF(94&gt;COUNTIF(' Toto teams'!$A$4:$A$119,"&lt;&gt;"),"",INDEX(' Toto teams'!$A$4:$A$119,MATCH(LARGE(' Toto teams'!$T$4:$T$119,94),' Toto teams'!$T$4:$T$119,0)))</f>
        <v>Gintas Bungarda 2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49.5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49.5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Anton Panasenko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49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49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Michele Sette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49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49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Žygimantas Ryliškis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48.5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48.5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97</v>
      </c>
      <c r="B101" s="27" t="str">
        <f>IF(98&gt;COUNTIF(' Toto teams'!$A$4:$A$119,"&lt;&gt;"),"",INDEX(' Toto teams'!$A$4:$A$119,MATCH(LARGE(' Toto teams'!$T$4:$T$119,98),' Toto teams'!$T$4:$T$119,0)))</f>
        <v>Partrikas Oleknavičius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48.5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48.5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Alexey Nikitenko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48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48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Miglė Juškaitė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47.5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47.5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N&amp;A Pociai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47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47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Navickas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46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46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Lukas Vaitukaitis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45.5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45.5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Giuseppe Diana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40.5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40.5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30.5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30.5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24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8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2</v>
      </c>
      <c r="R4" s="36">
        <f t="shared" ref="R4:R35" si="0">IF(A4="","-",SUM(J4:Q4))</f>
        <v>64</v>
      </c>
      <c r="S4">
        <f t="shared" ref="S4:S35" si="1">IF(A4="","",RANK(R4,$R$4:$R$119))</f>
        <v>26</v>
      </c>
      <c r="T4">
        <f t="shared" ref="T4:T35" si="2">IF(A4="",-1,R4-ROW(R4)/1000000)</f>
        <v>63.999996000000003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8</v>
      </c>
      <c r="N5" s="28">
        <f>IFERROR(VLOOKUP(F5,Scoring!$A$4:$N$51,14,FALSE()),"-")</f>
        <v>2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48.5</v>
      </c>
      <c r="S5">
        <f t="shared" si="1"/>
        <v>97</v>
      </c>
      <c r="T5">
        <f t="shared" si="2"/>
        <v>48.499994999999998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16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52.5</v>
      </c>
      <c r="S6">
        <f t="shared" si="1"/>
        <v>84</v>
      </c>
      <c r="T6">
        <f t="shared" si="2"/>
        <v>52.499994000000001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24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4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2</v>
      </c>
      <c r="R7" s="36">
        <f t="shared" si="0"/>
        <v>56</v>
      </c>
      <c r="S7">
        <f t="shared" si="1"/>
        <v>72</v>
      </c>
      <c r="T7">
        <f t="shared" si="2"/>
        <v>55.999993000000003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24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8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53.5</v>
      </c>
      <c r="S8">
        <f t="shared" si="1"/>
        <v>81</v>
      </c>
      <c r="T8">
        <f t="shared" si="2"/>
        <v>53.499991999999999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24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8</v>
      </c>
      <c r="N9" s="28">
        <f>IFERROR(VLOOKUP(F9,Scoring!$A$4:$N$51,14,FALSE()),"-")</f>
        <v>4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2</v>
      </c>
      <c r="R9" s="36">
        <f t="shared" si="0"/>
        <v>65</v>
      </c>
      <c r="S9">
        <f t="shared" si="1"/>
        <v>21</v>
      </c>
      <c r="T9">
        <f t="shared" si="2"/>
        <v>64.999990999999994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16</v>
      </c>
      <c r="L10" s="28">
        <f>IFERROR(VLOOKUP(D10,Scoring!$A$4:$N$51,14,FALSE())*3,"-")</f>
        <v>9</v>
      </c>
      <c r="M10" s="28">
        <f>IFERROR(VLOOKUP(E10,Scoring!$A$4:$N$51,14,FALSE())*2,"-")</f>
        <v>12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2</v>
      </c>
      <c r="R10" s="36">
        <f t="shared" si="0"/>
        <v>51</v>
      </c>
      <c r="S10">
        <f t="shared" si="1"/>
        <v>88</v>
      </c>
      <c r="T10">
        <f t="shared" si="2"/>
        <v>50.999989999999997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24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8</v>
      </c>
      <c r="N11" s="28">
        <f>IFERROR(VLOOKUP(F11,Scoring!$A$4:$N$51,14,FALSE()),"-")</f>
        <v>6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2</v>
      </c>
      <c r="R11" s="36">
        <f t="shared" si="0"/>
        <v>59</v>
      </c>
      <c r="S11">
        <f t="shared" si="1"/>
        <v>57</v>
      </c>
      <c r="T11">
        <f t="shared" si="2"/>
        <v>58.999988999999999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12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1</v>
      </c>
      <c r="Q12" s="29">
        <f>IFERROR(VLOOKUP(I12,Scoring!$A$4:$N$51,6,FALSE()),"-")</f>
        <v>1.5</v>
      </c>
      <c r="R12" s="36">
        <f t="shared" si="0"/>
        <v>51.5</v>
      </c>
      <c r="S12">
        <f t="shared" si="1"/>
        <v>86</v>
      </c>
      <c r="T12">
        <f t="shared" si="2"/>
        <v>51.499988000000002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24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8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64</v>
      </c>
      <c r="S13">
        <f t="shared" si="1"/>
        <v>26</v>
      </c>
      <c r="T13">
        <f t="shared" si="2"/>
        <v>63.999986999999997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24</v>
      </c>
      <c r="K14" s="28">
        <f>IFERROR(VLOOKUP(C14,Scoring!$A$4:$N$51,14,FALSE())*4,"-")</f>
        <v>16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3</v>
      </c>
      <c r="P14" s="29">
        <f>IFERROR(VLOOKUP(H14,Scoring!$A$4:$N$51,14,FALSE()),"-")</f>
        <v>1</v>
      </c>
      <c r="Q14" s="29">
        <f>IFERROR(VLOOKUP(I14,Scoring!$A$4:$N$51,6,FALSE()),"-")</f>
        <v>3.5</v>
      </c>
      <c r="R14" s="36">
        <f t="shared" si="0"/>
        <v>61.5</v>
      </c>
      <c r="S14">
        <f t="shared" si="1"/>
        <v>42</v>
      </c>
      <c r="T14">
        <f t="shared" si="2"/>
        <v>61.499986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24</v>
      </c>
      <c r="K15" s="28">
        <f>IFERROR(VLOOKUP(C15,Scoring!$A$4:$N$51,14,FALSE())*4,"-")</f>
        <v>16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2</v>
      </c>
      <c r="R15" s="36">
        <f t="shared" si="0"/>
        <v>55</v>
      </c>
      <c r="S15">
        <f t="shared" si="1"/>
        <v>73</v>
      </c>
      <c r="T15">
        <f t="shared" si="2"/>
        <v>54.999985000000002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16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2</v>
      </c>
      <c r="R16" s="36">
        <f t="shared" si="0"/>
        <v>62</v>
      </c>
      <c r="S16">
        <f t="shared" si="1"/>
        <v>39</v>
      </c>
      <c r="T16">
        <f t="shared" si="2"/>
        <v>61.999983999999998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16</v>
      </c>
      <c r="L17" s="28">
        <f>IFERROR(VLOOKUP(D17,Scoring!$A$4:$N$51,14,FALSE())*3,"-")</f>
        <v>9</v>
      </c>
      <c r="M17" s="28">
        <f>IFERROR(VLOOKUP(E17,Scoring!$A$4:$N$51,14,FALSE())*2,"-")</f>
        <v>8</v>
      </c>
      <c r="N17" s="28">
        <f>IFERROR(VLOOKUP(F17,Scoring!$A$4:$N$51,14,FALSE()),"-")</f>
        <v>6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62.5</v>
      </c>
      <c r="S17">
        <f t="shared" si="1"/>
        <v>37</v>
      </c>
      <c r="T17">
        <f t="shared" si="2"/>
        <v>62.499983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12</v>
      </c>
      <c r="M18" s="28">
        <f>IFERROR(VLOOKUP(E18,Scoring!$A$4:$N$51,14,FALSE())*2,"-")</f>
        <v>6</v>
      </c>
      <c r="N18" s="28">
        <f>IFERROR(VLOOKUP(F18,Scoring!$A$4:$N$51,14,FALSE()),"-")</f>
        <v>6</v>
      </c>
      <c r="O18" s="28">
        <f>IFERROR(VLOOKUP(G18,Scoring!$A$4:$N$51,14,FALSE()),"-")</f>
        <v>4</v>
      </c>
      <c r="P18" s="29">
        <f>IFERROR(VLOOKUP(H18,Scoring!$A$4:$N$51,14,FALSE()),"-")</f>
        <v>1</v>
      </c>
      <c r="Q18" s="29">
        <f>IFERROR(VLOOKUP(I18,Scoring!$A$4:$N$51,6,FALSE()),"-")</f>
        <v>2</v>
      </c>
      <c r="R18" s="36">
        <f t="shared" si="0"/>
        <v>53</v>
      </c>
      <c r="S18">
        <f t="shared" si="1"/>
        <v>83</v>
      </c>
      <c r="T18">
        <f t="shared" si="2"/>
        <v>52.999982000000003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24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4</v>
      </c>
      <c r="N19" s="28">
        <f>IFERROR(VLOOKUP(F19,Scoring!$A$4:$N$51,14,FALSE()),"-")</f>
        <v>6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2</v>
      </c>
      <c r="R19" s="36">
        <f t="shared" si="0"/>
        <v>63</v>
      </c>
      <c r="S19">
        <f t="shared" si="1"/>
        <v>32</v>
      </c>
      <c r="T19">
        <f t="shared" si="2"/>
        <v>62.999980999999998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12</v>
      </c>
      <c r="M20" s="28">
        <f>IFERROR(VLOOKUP(E20,Scoring!$A$4:$N$51,14,FALSE())*2,"-")</f>
        <v>6</v>
      </c>
      <c r="N20" s="28">
        <f>IFERROR(VLOOKUP(F20,Scoring!$A$4:$N$51,14,FALSE()),"-")</f>
        <v>2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2</v>
      </c>
      <c r="R20" s="36">
        <f t="shared" si="0"/>
        <v>48</v>
      </c>
      <c r="S20">
        <f t="shared" si="1"/>
        <v>99</v>
      </c>
      <c r="T20">
        <f t="shared" si="2"/>
        <v>47.999980000000001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24</v>
      </c>
      <c r="K21" s="28">
        <f>IFERROR(VLOOKUP(C21,Scoring!$A$4:$N$51,14,FALSE())*4,"-")</f>
        <v>16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2</v>
      </c>
      <c r="R21" s="36">
        <f t="shared" si="0"/>
        <v>61</v>
      </c>
      <c r="S21">
        <f t="shared" si="1"/>
        <v>43</v>
      </c>
      <c r="T21">
        <f t="shared" si="2"/>
        <v>60.999979000000003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24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6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2</v>
      </c>
      <c r="R22" s="36">
        <f t="shared" si="0"/>
        <v>61</v>
      </c>
      <c r="S22">
        <f t="shared" si="1"/>
        <v>43</v>
      </c>
      <c r="T22">
        <f t="shared" si="2"/>
        <v>60.999977999999999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24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2</v>
      </c>
      <c r="R23" s="36">
        <f t="shared" si="0"/>
        <v>51</v>
      </c>
      <c r="S23">
        <f t="shared" si="1"/>
        <v>88</v>
      </c>
      <c r="T23">
        <f t="shared" si="2"/>
        <v>50.999977000000001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12</v>
      </c>
      <c r="M24" s="28">
        <f>IFERROR(VLOOKUP(E24,Scoring!$A$4:$N$51,14,FALSE())*2,"-")</f>
        <v>2</v>
      </c>
      <c r="N24" s="28">
        <f>IFERROR(VLOOKUP(F24,Scoring!$A$4:$N$51,14,FALSE()),"-")</f>
        <v>1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52.5</v>
      </c>
      <c r="S24">
        <f t="shared" si="1"/>
        <v>84</v>
      </c>
      <c r="T24">
        <f t="shared" si="2"/>
        <v>52.499975999999997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8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4.5</v>
      </c>
      <c r="R25" s="36">
        <f t="shared" si="0"/>
        <v>74.5</v>
      </c>
      <c r="S25">
        <f t="shared" si="1"/>
        <v>3</v>
      </c>
      <c r="T25">
        <f t="shared" si="2"/>
        <v>74.499975000000006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24</v>
      </c>
      <c r="K26" s="28">
        <f>IFERROR(VLOOKUP(C26,Scoring!$A$4:$N$51,14,FALSE())*4,"-")</f>
        <v>16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1</v>
      </c>
      <c r="Q26" s="29">
        <f>IFERROR(VLOOKUP(I26,Scoring!$A$4:$N$51,6,FALSE()),"-")</f>
        <v>2</v>
      </c>
      <c r="R26" s="36">
        <f t="shared" si="0"/>
        <v>68</v>
      </c>
      <c r="S26">
        <f t="shared" si="1"/>
        <v>11</v>
      </c>
      <c r="T26">
        <f t="shared" si="2"/>
        <v>67.999973999999995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12</v>
      </c>
      <c r="M27" s="28">
        <f>IFERROR(VLOOKUP(E27,Scoring!$A$4:$N$51,14,FALSE())*2,"-")</f>
        <v>8</v>
      </c>
      <c r="N27" s="28">
        <f>IFERROR(VLOOKUP(F27,Scoring!$A$4:$N$51,14,FALSE()),"-")</f>
        <v>4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58.5</v>
      </c>
      <c r="S27">
        <f t="shared" si="1"/>
        <v>61</v>
      </c>
      <c r="T27">
        <f t="shared" si="2"/>
        <v>58.499972999999997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24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6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2</v>
      </c>
      <c r="R28" s="36">
        <f t="shared" si="0"/>
        <v>65</v>
      </c>
      <c r="S28">
        <f t="shared" si="1"/>
        <v>21</v>
      </c>
      <c r="T28">
        <f t="shared" si="2"/>
        <v>64.999972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24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8</v>
      </c>
      <c r="N29" s="28">
        <f>IFERROR(VLOOKUP(F29,Scoring!$A$4:$N$51,14,FALSE()),"-")</f>
        <v>4</v>
      </c>
      <c r="O29" s="28">
        <f>IFERROR(VLOOKUP(G29,Scoring!$A$4:$N$51,14,FALSE()),"-")</f>
        <v>1</v>
      </c>
      <c r="P29" s="29">
        <f>IFERROR(VLOOKUP(H29,Scoring!$A$4:$N$51,14,FALSE()),"-")</f>
        <v>3</v>
      </c>
      <c r="Q29" s="29">
        <f>IFERROR(VLOOKUP(I29,Scoring!$A$4:$N$51,6,FALSE()),"-")</f>
        <v>3.5</v>
      </c>
      <c r="R29" s="36">
        <f t="shared" si="0"/>
        <v>56.5</v>
      </c>
      <c r="S29">
        <f t="shared" si="1"/>
        <v>69</v>
      </c>
      <c r="T29">
        <f t="shared" si="2"/>
        <v>56.499971000000002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24</v>
      </c>
      <c r="K30" s="28">
        <f>IFERROR(VLOOKUP(C30,Scoring!$A$4:$N$51,14,FALSE())*4,"-")</f>
        <v>16</v>
      </c>
      <c r="L30" s="28">
        <f>IFERROR(VLOOKUP(D30,Scoring!$A$4:$N$51,14,FALSE())*3,"-")</f>
        <v>18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3</v>
      </c>
      <c r="P30" s="29">
        <f>IFERROR(VLOOKUP(H30,Scoring!$A$4:$N$51,14,FALSE()),"-")</f>
        <v>1</v>
      </c>
      <c r="Q30" s="29">
        <f>IFERROR(VLOOKUP(I30,Scoring!$A$4:$N$51,6,FALSE()),"-")</f>
        <v>2</v>
      </c>
      <c r="R30" s="36">
        <f t="shared" si="0"/>
        <v>74</v>
      </c>
      <c r="S30">
        <f t="shared" si="1"/>
        <v>4</v>
      </c>
      <c r="T30">
        <f t="shared" si="2"/>
        <v>73.999970000000005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8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49.5</v>
      </c>
      <c r="S31">
        <f t="shared" si="1"/>
        <v>91</v>
      </c>
      <c r="T31">
        <f t="shared" si="2"/>
        <v>49.499969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24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4</v>
      </c>
      <c r="O32" s="28">
        <f>IFERROR(VLOOKUP(G32,Scoring!$A$4:$N$51,14,FALSE()),"-")</f>
        <v>1</v>
      </c>
      <c r="P32" s="29">
        <f>IFERROR(VLOOKUP(H32,Scoring!$A$4:$N$51,14,FALSE()),"-")</f>
        <v>3</v>
      </c>
      <c r="Q32" s="29">
        <f>IFERROR(VLOOKUP(I32,Scoring!$A$4:$N$51,6,FALSE()),"-")</f>
        <v>2</v>
      </c>
      <c r="R32" s="36">
        <f t="shared" si="0"/>
        <v>61</v>
      </c>
      <c r="S32">
        <f t="shared" si="1"/>
        <v>43</v>
      </c>
      <c r="T32">
        <f t="shared" si="2"/>
        <v>60.999968000000003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24</v>
      </c>
      <c r="L33" s="28">
        <f>IFERROR(VLOOKUP(D33,Scoring!$A$4:$N$51,14,FALSE())*3,"-")</f>
        <v>12</v>
      </c>
      <c r="M33" s="28">
        <f>IFERROR(VLOOKUP(E33,Scoring!$A$4:$N$51,14,FALSE())*2,"-")</f>
        <v>8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4.5</v>
      </c>
      <c r="R33" s="36">
        <f t="shared" si="0"/>
        <v>64.5</v>
      </c>
      <c r="S33">
        <f t="shared" si="1"/>
        <v>25</v>
      </c>
      <c r="T33">
        <f t="shared" si="2"/>
        <v>64.499966999999998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24</v>
      </c>
      <c r="K34" s="28">
        <f>IFERROR(VLOOKUP(C34,Scoring!$A$4:$N$51,14,FALSE())*4,"-")</f>
        <v>16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4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2</v>
      </c>
      <c r="R34" s="36">
        <f t="shared" si="0"/>
        <v>67</v>
      </c>
      <c r="S34">
        <f t="shared" si="1"/>
        <v>15</v>
      </c>
      <c r="T34">
        <f t="shared" si="2"/>
        <v>66.999966000000001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24</v>
      </c>
      <c r="K35" s="28">
        <f>IFERROR(VLOOKUP(C35,Scoring!$A$4:$N$51,14,FALSE())*4,"-")</f>
        <v>12</v>
      </c>
      <c r="L35" s="28">
        <f>IFERROR(VLOOKUP(D35,Scoring!$A$4:$N$51,14,FALSE())*3,"-")</f>
        <v>18</v>
      </c>
      <c r="M35" s="28">
        <f>IFERROR(VLOOKUP(E35,Scoring!$A$4:$N$51,14,FALSE())*2,"-")</f>
        <v>8</v>
      </c>
      <c r="N35" s="28">
        <f>IFERROR(VLOOKUP(F35,Scoring!$A$4:$N$51,14,FALSE()),"-")</f>
        <v>4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2</v>
      </c>
      <c r="R35" s="36">
        <f t="shared" si="0"/>
        <v>72</v>
      </c>
      <c r="S35">
        <f t="shared" si="1"/>
        <v>7</v>
      </c>
      <c r="T35">
        <f t="shared" si="2"/>
        <v>71.999965000000003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24</v>
      </c>
      <c r="L36" s="28">
        <f>IFERROR(VLOOKUP(D36,Scoring!$A$4:$N$51,14,FALSE())*3,"-")</f>
        <v>9</v>
      </c>
      <c r="M36" s="28">
        <f>IFERROR(VLOOKUP(E36,Scoring!$A$4:$N$51,14,FALSE())*2,"-")</f>
        <v>4</v>
      </c>
      <c r="N36" s="28">
        <f>IFERROR(VLOOKUP(F36,Scoring!$A$4:$N$51,14,FALSE()),"-")</f>
        <v>4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4.5</v>
      </c>
      <c r="R36" s="36">
        <f t="shared" ref="R36:R67" si="3">IF(A36="","-",SUM(J36:Q36))</f>
        <v>67.5</v>
      </c>
      <c r="S36">
        <f t="shared" ref="S36:S67" si="4">IF(A36="","",RANK(R36,$R$4:$R$119))</f>
        <v>14</v>
      </c>
      <c r="T36">
        <f t="shared" ref="T36:T67" si="5">IF(A36="",-1,R36-ROW(R36)/1000000)</f>
        <v>67.499964000000006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24</v>
      </c>
      <c r="K37" s="28">
        <f>IFERROR(VLOOKUP(C37,Scoring!$A$4:$N$51,14,FALSE())*4,"-")</f>
        <v>12</v>
      </c>
      <c r="L37" s="28">
        <f>IFERROR(VLOOKUP(D37,Scoring!$A$4:$N$51,14,FALSE())*3,"-")</f>
        <v>12</v>
      </c>
      <c r="M37" s="28">
        <f>IFERROR(VLOOKUP(E37,Scoring!$A$4:$N$51,14,FALSE())*2,"-")</f>
        <v>6</v>
      </c>
      <c r="N37" s="28">
        <f>IFERROR(VLOOKUP(F37,Scoring!$A$4:$N$51,14,FALSE()),"-")</f>
        <v>6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2</v>
      </c>
      <c r="R37" s="36">
        <f t="shared" si="3"/>
        <v>68</v>
      </c>
      <c r="S37">
        <f t="shared" si="4"/>
        <v>11</v>
      </c>
      <c r="T37">
        <f t="shared" si="5"/>
        <v>67.999962999999994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24</v>
      </c>
      <c r="K38" s="28">
        <f>IFERROR(VLOOKUP(C38,Scoring!$A$4:$N$51,14,FALSE())*4,"-")</f>
        <v>4</v>
      </c>
      <c r="L38" s="28">
        <f>IFERROR(VLOOKUP(D38,Scoring!$A$4:$N$51,14,FALSE())*3,"-")</f>
        <v>12</v>
      </c>
      <c r="M38" s="28">
        <f>IFERROR(VLOOKUP(E38,Scoring!$A$4:$N$51,14,FALSE())*2,"-")</f>
        <v>8</v>
      </c>
      <c r="N38" s="28">
        <f>IFERROR(VLOOKUP(F38,Scoring!$A$4:$N$51,14,FALSE()),"-")</f>
        <v>4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2</v>
      </c>
      <c r="R38" s="36">
        <f t="shared" si="3"/>
        <v>55</v>
      </c>
      <c r="S38">
        <f t="shared" si="4"/>
        <v>73</v>
      </c>
      <c r="T38">
        <f t="shared" si="5"/>
        <v>54.999961999999996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24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8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2</v>
      </c>
      <c r="R39" s="36">
        <f t="shared" si="3"/>
        <v>65</v>
      </c>
      <c r="S39">
        <f t="shared" si="4"/>
        <v>21</v>
      </c>
      <c r="T39">
        <f t="shared" si="5"/>
        <v>64.999960999999999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16</v>
      </c>
      <c r="L40" s="28">
        <f>IFERROR(VLOOKUP(D40,Scoring!$A$4:$N$51,14,FALSE())*3,"-")</f>
        <v>12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4.5</v>
      </c>
      <c r="R40" s="36">
        <f t="shared" si="3"/>
        <v>56.5</v>
      </c>
      <c r="S40">
        <f t="shared" si="4"/>
        <v>69</v>
      </c>
      <c r="T40">
        <f t="shared" si="5"/>
        <v>56.499960000000002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24</v>
      </c>
      <c r="K41" s="28">
        <f>IFERROR(VLOOKUP(C41,Scoring!$A$4:$N$51,14,FALSE())*4,"-")</f>
        <v>16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4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66.5</v>
      </c>
      <c r="S41">
        <f t="shared" si="4"/>
        <v>17</v>
      </c>
      <c r="T41">
        <f t="shared" si="5"/>
        <v>66.499959000000004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24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6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2</v>
      </c>
      <c r="R42" s="36">
        <f t="shared" si="3"/>
        <v>54</v>
      </c>
      <c r="S42">
        <f t="shared" si="4"/>
        <v>78</v>
      </c>
      <c r="T42">
        <f t="shared" si="5"/>
        <v>53.999957999999999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12</v>
      </c>
      <c r="M43" s="28">
        <f>IFERROR(VLOOKUP(E43,Scoring!$A$4:$N$51,14,FALSE())*2,"-")</f>
        <v>6</v>
      </c>
      <c r="N43" s="28">
        <f>IFERROR(VLOOKUP(F43,Scoring!$A$4:$N$51,14,FALSE()),"-")</f>
        <v>4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57.5</v>
      </c>
      <c r="S43">
        <f t="shared" si="4"/>
        <v>67</v>
      </c>
      <c r="T43">
        <f t="shared" si="5"/>
        <v>57.499957000000002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24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4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2</v>
      </c>
      <c r="R44" s="36">
        <f t="shared" si="3"/>
        <v>61</v>
      </c>
      <c r="S44">
        <f t="shared" si="4"/>
        <v>43</v>
      </c>
      <c r="T44">
        <f t="shared" si="5"/>
        <v>60.999955999999997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16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49</v>
      </c>
      <c r="S45">
        <f t="shared" si="4"/>
        <v>95</v>
      </c>
      <c r="T45">
        <f t="shared" si="5"/>
        <v>48.999955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24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2</v>
      </c>
      <c r="R46" s="36">
        <f t="shared" si="3"/>
        <v>60</v>
      </c>
      <c r="S46">
        <f t="shared" si="4"/>
        <v>53</v>
      </c>
      <c r="T46">
        <f t="shared" si="5"/>
        <v>59.999954000000002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12</v>
      </c>
      <c r="M47" s="28">
        <f>IFERROR(VLOOKUP(E47,Scoring!$A$4:$N$51,14,FALSE())*2,"-")</f>
        <v>8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2</v>
      </c>
      <c r="R47" s="36">
        <f t="shared" si="3"/>
        <v>46</v>
      </c>
      <c r="S47">
        <f t="shared" si="4"/>
        <v>102</v>
      </c>
      <c r="T47">
        <f t="shared" si="5"/>
        <v>45.999952999999998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24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2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2</v>
      </c>
      <c r="R48" s="36">
        <f t="shared" si="3"/>
        <v>54</v>
      </c>
      <c r="S48">
        <f t="shared" si="4"/>
        <v>78</v>
      </c>
      <c r="T48">
        <f t="shared" si="5"/>
        <v>53.999952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16</v>
      </c>
      <c r="L49" s="28">
        <f>IFERROR(VLOOKUP(D49,Scoring!$A$4:$N$51,14,FALSE())*3,"-")</f>
        <v>12</v>
      </c>
      <c r="M49" s="28">
        <f>IFERROR(VLOOKUP(E49,Scoring!$A$4:$N$51,14,FALSE())*2,"-")</f>
        <v>6</v>
      </c>
      <c r="N49" s="28">
        <f>IFERROR(VLOOKUP(F49,Scoring!$A$4:$N$51,14,FALSE()),"-")</f>
        <v>6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4.5</v>
      </c>
      <c r="R49" s="36">
        <f t="shared" si="3"/>
        <v>84.5</v>
      </c>
      <c r="S49">
        <f t="shared" si="4"/>
        <v>1</v>
      </c>
      <c r="T49">
        <f t="shared" si="5"/>
        <v>84.499950999999996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16</v>
      </c>
      <c r="L50" s="28">
        <f>IFERROR(VLOOKUP(D50,Scoring!$A$4:$N$51,14,FALSE())*3,"-")</f>
        <v>12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2</v>
      </c>
      <c r="R50" s="36">
        <f t="shared" si="3"/>
        <v>63</v>
      </c>
      <c r="S50">
        <f t="shared" si="4"/>
        <v>32</v>
      </c>
      <c r="T50">
        <f t="shared" si="5"/>
        <v>62.999949999999998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24</v>
      </c>
      <c r="K51" s="28">
        <f>IFERROR(VLOOKUP(C51,Scoring!$A$4:$N$51,14,FALSE())*4,"-")</f>
        <v>16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6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2</v>
      </c>
      <c r="R51" s="36">
        <f t="shared" si="3"/>
        <v>63</v>
      </c>
      <c r="S51">
        <f t="shared" si="4"/>
        <v>32</v>
      </c>
      <c r="T51">
        <f t="shared" si="5"/>
        <v>62.999949000000001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24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4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2</v>
      </c>
      <c r="R52" s="36">
        <f t="shared" si="3"/>
        <v>61</v>
      </c>
      <c r="S52">
        <f t="shared" si="4"/>
        <v>43</v>
      </c>
      <c r="T52">
        <f t="shared" si="5"/>
        <v>60.999948000000003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24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8</v>
      </c>
      <c r="N53" s="28">
        <f>IFERROR(VLOOKUP(F53,Scoring!$A$4:$N$51,14,FALSE()),"-")</f>
        <v>2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2</v>
      </c>
      <c r="R53" s="36">
        <f t="shared" si="3"/>
        <v>61</v>
      </c>
      <c r="S53">
        <f t="shared" si="4"/>
        <v>43</v>
      </c>
      <c r="T53">
        <f t="shared" si="5"/>
        <v>60.999946999999999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16</v>
      </c>
      <c r="L54" s="28">
        <f>IFERROR(VLOOKUP(D54,Scoring!$A$4:$N$51,14,FALSE())*3,"-")</f>
        <v>12</v>
      </c>
      <c r="M54" s="28">
        <f>IFERROR(VLOOKUP(E54,Scoring!$A$4:$N$51,14,FALSE())*2,"-")</f>
        <v>6</v>
      </c>
      <c r="N54" s="28">
        <f>IFERROR(VLOOKUP(F54,Scoring!$A$4:$N$51,14,FALSE()),"-")</f>
        <v>2</v>
      </c>
      <c r="O54" s="28">
        <f>IFERROR(VLOOKUP(G54,Scoring!$A$4:$N$51,14,FALSE()),"-")</f>
        <v>4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49.5</v>
      </c>
      <c r="S54">
        <f t="shared" si="4"/>
        <v>91</v>
      </c>
      <c r="T54">
        <f t="shared" si="5"/>
        <v>49.499946000000001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24</v>
      </c>
      <c r="K55" s="28">
        <f>IFERROR(VLOOKUP(C55,Scoring!$A$4:$N$51,14,FALSE())*4,"-")</f>
        <v>12</v>
      </c>
      <c r="L55" s="28">
        <f>IFERROR(VLOOKUP(D55,Scoring!$A$4:$N$51,14,FALSE())*3,"-")</f>
        <v>12</v>
      </c>
      <c r="M55" s="28">
        <f>IFERROR(VLOOKUP(E55,Scoring!$A$4:$N$51,14,FALSE())*2,"-")</f>
        <v>6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65.5</v>
      </c>
      <c r="S55">
        <f t="shared" si="4"/>
        <v>19</v>
      </c>
      <c r="T55">
        <f t="shared" si="5"/>
        <v>65.499944999999997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24</v>
      </c>
      <c r="K56" s="28">
        <f>IFERROR(VLOOKUP(C56,Scoring!$A$4:$N$51,14,FALSE())*4,"-")</f>
        <v>12</v>
      </c>
      <c r="L56" s="28">
        <f>IFERROR(VLOOKUP(D56,Scoring!$A$4:$N$51,14,FALSE())*3,"-")</f>
        <v>12</v>
      </c>
      <c r="M56" s="28">
        <f>IFERROR(VLOOKUP(E56,Scoring!$A$4:$N$51,14,FALSE())*2,"-")</f>
        <v>6</v>
      </c>
      <c r="N56" s="28">
        <f>IFERROR(VLOOKUP(F56,Scoring!$A$4:$N$51,14,FALSE()),"-")</f>
        <v>2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2</v>
      </c>
      <c r="R56" s="36">
        <f t="shared" si="3"/>
        <v>62</v>
      </c>
      <c r="S56">
        <f t="shared" si="4"/>
        <v>39</v>
      </c>
      <c r="T56">
        <f t="shared" si="5"/>
        <v>61.999943999999999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12</v>
      </c>
      <c r="M57" s="28">
        <f>IFERROR(VLOOKUP(E57,Scoring!$A$4:$N$51,14,FALSE())*2,"-")</f>
        <v>6</v>
      </c>
      <c r="N57" s="28">
        <f>IFERROR(VLOOKUP(F57,Scoring!$A$4:$N$51,14,FALSE()),"-")</f>
        <v>4</v>
      </c>
      <c r="O57" s="28">
        <f>IFERROR(VLOOKUP(G57,Scoring!$A$4:$N$51,14,FALSE()),"-")</f>
        <v>4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60.5</v>
      </c>
      <c r="S57">
        <f t="shared" si="4"/>
        <v>51</v>
      </c>
      <c r="T57">
        <f t="shared" si="5"/>
        <v>60.499943000000002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16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2</v>
      </c>
      <c r="R58" s="36">
        <f t="shared" si="3"/>
        <v>64</v>
      </c>
      <c r="S58">
        <f t="shared" si="4"/>
        <v>26</v>
      </c>
      <c r="T58">
        <f t="shared" si="5"/>
        <v>63.999941999999997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16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4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2</v>
      </c>
      <c r="R59" s="36">
        <f t="shared" si="3"/>
        <v>55</v>
      </c>
      <c r="S59">
        <f t="shared" si="4"/>
        <v>73</v>
      </c>
      <c r="T59">
        <f t="shared" si="5"/>
        <v>54.999941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24</v>
      </c>
      <c r="K60" s="28">
        <f>IFERROR(VLOOKUP(C60,Scoring!$A$4:$N$51,14,FALSE())*4,"-")</f>
        <v>16</v>
      </c>
      <c r="L60" s="28">
        <f>IFERROR(VLOOKUP(D60,Scoring!$A$4:$N$51,14,FALSE())*3,"-")</f>
        <v>18</v>
      </c>
      <c r="M60" s="28">
        <f>IFERROR(VLOOKUP(E60,Scoring!$A$4:$N$51,14,FALSE())*2,"-")</f>
        <v>2</v>
      </c>
      <c r="N60" s="28">
        <f>IFERROR(VLOOKUP(F60,Scoring!$A$4:$N$51,14,FALSE()),"-")</f>
        <v>6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2</v>
      </c>
      <c r="R60" s="36">
        <f t="shared" si="3"/>
        <v>72</v>
      </c>
      <c r="S60">
        <f t="shared" si="4"/>
        <v>7</v>
      </c>
      <c r="T60">
        <f t="shared" si="5"/>
        <v>71.999939999999995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12</v>
      </c>
      <c r="M61" s="28">
        <f>IFERROR(VLOOKUP(E61,Scoring!$A$4:$N$51,14,FALSE())*2,"-")</f>
        <v>8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2</v>
      </c>
      <c r="R61" s="36">
        <f t="shared" si="3"/>
        <v>47</v>
      </c>
      <c r="S61">
        <f t="shared" si="4"/>
        <v>101</v>
      </c>
      <c r="T61">
        <f t="shared" si="5"/>
        <v>46.999938999999998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24</v>
      </c>
      <c r="L62" s="28">
        <f>IFERROR(VLOOKUP(D62,Scoring!$A$4:$N$51,14,FALSE())*3,"-")</f>
        <v>18</v>
      </c>
      <c r="M62" s="28">
        <f>IFERROR(VLOOKUP(E62,Scoring!$A$4:$N$51,14,FALSE())*2,"-")</f>
        <v>4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2</v>
      </c>
      <c r="R62" s="36">
        <f t="shared" si="3"/>
        <v>74</v>
      </c>
      <c r="S62">
        <f t="shared" si="4"/>
        <v>4</v>
      </c>
      <c r="T62">
        <f t="shared" si="5"/>
        <v>73.999938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16</v>
      </c>
      <c r="L63" s="28">
        <f>IFERROR(VLOOKUP(D63,Scoring!$A$4:$N$51,14,FALSE())*3,"-")</f>
        <v>12</v>
      </c>
      <c r="M63" s="28">
        <f>IFERROR(VLOOKUP(E63,Scoring!$A$4:$N$51,14,FALSE())*2,"-")</f>
        <v>6</v>
      </c>
      <c r="N63" s="28">
        <f>IFERROR(VLOOKUP(F63,Scoring!$A$4:$N$51,14,FALSE()),"-")</f>
        <v>2</v>
      </c>
      <c r="O63" s="28">
        <f>IFERROR(VLOOKUP(G63,Scoring!$A$4:$N$51,14,FALSE()),"-")</f>
        <v>4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60.5</v>
      </c>
      <c r="S63">
        <f t="shared" si="4"/>
        <v>51</v>
      </c>
      <c r="T63">
        <f t="shared" si="5"/>
        <v>60.499937000000003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16</v>
      </c>
      <c r="L64" s="28">
        <f>IFERROR(VLOOKUP(D64,Scoring!$A$4:$N$51,14,FALSE())*3,"-")</f>
        <v>12</v>
      </c>
      <c r="M64" s="28">
        <f>IFERROR(VLOOKUP(E64,Scoring!$A$4:$N$51,14,FALSE())*2,"-")</f>
        <v>6</v>
      </c>
      <c r="N64" s="28">
        <f>IFERROR(VLOOKUP(F64,Scoring!$A$4:$N$51,14,FALSE()),"-")</f>
        <v>4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63.5</v>
      </c>
      <c r="S64">
        <f t="shared" si="4"/>
        <v>30</v>
      </c>
      <c r="T64">
        <f t="shared" si="5"/>
        <v>63.499935999999998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12</v>
      </c>
      <c r="M65" s="28">
        <f>IFERROR(VLOOKUP(E65,Scoring!$A$4:$N$51,14,FALSE())*2,"-")</f>
        <v>8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45.5</v>
      </c>
      <c r="S65">
        <f t="shared" si="4"/>
        <v>103</v>
      </c>
      <c r="T65">
        <f t="shared" si="5"/>
        <v>45.499935000000001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24</v>
      </c>
      <c r="K66" s="28">
        <f>IFERROR(VLOOKUP(C66,Scoring!$A$4:$N$51,14,FALSE())*4,"-")</f>
        <v>16</v>
      </c>
      <c r="L66" s="28">
        <f>IFERROR(VLOOKUP(D66,Scoring!$A$4:$N$51,14,FALSE())*3,"-")</f>
        <v>18</v>
      </c>
      <c r="M66" s="28">
        <f>IFERROR(VLOOKUP(E66,Scoring!$A$4:$N$51,14,FALSE())*2,"-")</f>
        <v>8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2</v>
      </c>
      <c r="Q66" s="29">
        <f>IFERROR(VLOOKUP(I66,Scoring!$A$4:$N$51,6,FALSE()),"-")</f>
        <v>2</v>
      </c>
      <c r="R66" s="36">
        <f t="shared" si="3"/>
        <v>76</v>
      </c>
      <c r="S66">
        <f t="shared" si="4"/>
        <v>2</v>
      </c>
      <c r="T66">
        <f t="shared" si="5"/>
        <v>75.999933999999996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24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4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2</v>
      </c>
      <c r="R67" s="36">
        <f t="shared" si="3"/>
        <v>60</v>
      </c>
      <c r="S67">
        <f t="shared" si="4"/>
        <v>53</v>
      </c>
      <c r="T67">
        <f t="shared" si="5"/>
        <v>59.999932999999999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24</v>
      </c>
      <c r="K68" s="28">
        <f>IFERROR(VLOOKUP(C68,Scoring!$A$4:$N$51,14,FALSE())*4,"-")</f>
        <v>16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4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2</v>
      </c>
      <c r="R68" s="36">
        <f t="shared" ref="R68:R99" si="6">IF(A68="","-",SUM(J68:Q68))</f>
        <v>65</v>
      </c>
      <c r="S68">
        <f t="shared" ref="S68:S99" si="7">IF(A68="","",RANK(R68,$R$4:$R$119))</f>
        <v>21</v>
      </c>
      <c r="T68">
        <f t="shared" ref="T68:T99" si="8">IF(A68="",-1,R68-ROW(R68)/1000000)</f>
        <v>64.999932000000001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12</v>
      </c>
      <c r="M69" s="28">
        <f>IFERROR(VLOOKUP(E69,Scoring!$A$4:$N$51,14,FALSE())*2,"-")</f>
        <v>6</v>
      </c>
      <c r="N69" s="28">
        <f>IFERROR(VLOOKUP(F69,Scoring!$A$4:$N$51,14,FALSE()),"-")</f>
        <v>6</v>
      </c>
      <c r="O69" s="28">
        <f>IFERROR(VLOOKUP(G69,Scoring!$A$4:$N$51,14,FALSE()),"-")</f>
        <v>4</v>
      </c>
      <c r="P69" s="29">
        <f>IFERROR(VLOOKUP(H69,Scoring!$A$4:$N$51,14,FALSE()),"-")</f>
        <v>3</v>
      </c>
      <c r="Q69" s="29">
        <f>IFERROR(VLOOKUP(I69,Scoring!$A$4:$N$51,6,FALSE()),"-")</f>
        <v>2</v>
      </c>
      <c r="R69" s="36">
        <f t="shared" si="6"/>
        <v>55</v>
      </c>
      <c r="S69">
        <f t="shared" si="7"/>
        <v>73</v>
      </c>
      <c r="T69">
        <f t="shared" si="8"/>
        <v>54.999930999999997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12</v>
      </c>
      <c r="M70" s="28">
        <f>IFERROR(VLOOKUP(E70,Scoring!$A$4:$N$51,14,FALSE())*2,"-")</f>
        <v>8</v>
      </c>
      <c r="N70" s="28">
        <f>IFERROR(VLOOKUP(F70,Scoring!$A$4:$N$51,14,FALSE()),"-")</f>
        <v>3</v>
      </c>
      <c r="O70" s="28">
        <f>IFERROR(VLOOKUP(G70,Scoring!$A$4:$N$51,14,FALSE()),"-")</f>
        <v>4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58.5</v>
      </c>
      <c r="S70">
        <f t="shared" si="7"/>
        <v>61</v>
      </c>
      <c r="T70">
        <f t="shared" si="8"/>
        <v>58.499929999999999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24</v>
      </c>
      <c r="K71" s="28">
        <f>IFERROR(VLOOKUP(C71,Scoring!$A$4:$N$51,14,FALSE())*4,"-")</f>
        <v>16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6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2</v>
      </c>
      <c r="R71" s="36">
        <f t="shared" si="6"/>
        <v>67</v>
      </c>
      <c r="S71">
        <f t="shared" si="7"/>
        <v>15</v>
      </c>
      <c r="T71">
        <f t="shared" si="8"/>
        <v>66.999928999999995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24</v>
      </c>
      <c r="K72" s="28">
        <f>IFERROR(VLOOKUP(C72,Scoring!$A$4:$N$51,14,FALSE())*4,"-")</f>
        <v>12</v>
      </c>
      <c r="L72" s="28">
        <f>IFERROR(VLOOKUP(D72,Scoring!$A$4:$N$51,14,FALSE())*3,"-")</f>
        <v>12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2</v>
      </c>
      <c r="R72" s="36">
        <f t="shared" si="6"/>
        <v>63</v>
      </c>
      <c r="S72">
        <f t="shared" si="7"/>
        <v>32</v>
      </c>
      <c r="T72">
        <f t="shared" si="8"/>
        <v>62.999927999999997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24</v>
      </c>
      <c r="K73" s="28">
        <f>IFERROR(VLOOKUP(C73,Scoring!$A$4:$N$51,14,FALSE())*4,"-")</f>
        <v>16</v>
      </c>
      <c r="L73" s="28">
        <f>IFERROR(VLOOKUP(D73,Scoring!$A$4:$N$51,14,FALSE())*3,"-")</f>
        <v>6</v>
      </c>
      <c r="M73" s="28">
        <f>IFERROR(VLOOKUP(E73,Scoring!$A$4:$N$51,14,FALSE())*2,"-")</f>
        <v>6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63.5</v>
      </c>
      <c r="S73">
        <f t="shared" si="7"/>
        <v>30</v>
      </c>
      <c r="T73">
        <f t="shared" si="8"/>
        <v>63.499927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24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57</v>
      </c>
      <c r="S74">
        <f t="shared" si="7"/>
        <v>68</v>
      </c>
      <c r="T74">
        <f t="shared" si="8"/>
        <v>56.999926000000002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16</v>
      </c>
      <c r="L75" s="28">
        <f>IFERROR(VLOOKUP(D75,Scoring!$A$4:$N$51,14,FALSE())*3,"-")</f>
        <v>12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2</v>
      </c>
      <c r="R75" s="36">
        <f t="shared" si="6"/>
        <v>58</v>
      </c>
      <c r="S75">
        <f t="shared" si="7"/>
        <v>64</v>
      </c>
      <c r="T75">
        <f t="shared" si="8"/>
        <v>57.999924999999998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47.5</v>
      </c>
      <c r="S76">
        <f t="shared" si="7"/>
        <v>100</v>
      </c>
      <c r="T76">
        <f t="shared" si="8"/>
        <v>47.499924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24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1</v>
      </c>
      <c r="Q77" s="29">
        <f>IFERROR(VLOOKUP(I77,Scoring!$A$4:$N$51,6,FALSE()),"-")</f>
        <v>2</v>
      </c>
      <c r="R77" s="36">
        <f t="shared" si="6"/>
        <v>60</v>
      </c>
      <c r="S77">
        <f t="shared" si="7"/>
        <v>53</v>
      </c>
      <c r="T77">
        <f t="shared" si="8"/>
        <v>59.999923000000003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16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4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2</v>
      </c>
      <c r="R78" s="36">
        <f t="shared" si="6"/>
        <v>59</v>
      </c>
      <c r="S78">
        <f t="shared" si="7"/>
        <v>57</v>
      </c>
      <c r="T78">
        <f t="shared" si="8"/>
        <v>58.999921999999998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16</v>
      </c>
      <c r="L79" s="28">
        <f>IFERROR(VLOOKUP(D79,Scoring!$A$4:$N$51,14,FALSE())*3,"-")</f>
        <v>12</v>
      </c>
      <c r="M79" s="28">
        <f>IFERROR(VLOOKUP(E79,Scoring!$A$4:$N$51,14,FALSE())*2,"-")</f>
        <v>6</v>
      </c>
      <c r="N79" s="28">
        <f>IFERROR(VLOOKUP(F79,Scoring!$A$4:$N$51,14,FALSE()),"-")</f>
        <v>1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49.5</v>
      </c>
      <c r="S79">
        <f t="shared" si="7"/>
        <v>91</v>
      </c>
      <c r="T79">
        <f t="shared" si="8"/>
        <v>49.499921000000001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24</v>
      </c>
      <c r="K80" s="28">
        <f>IFERROR(VLOOKUP(C80,Scoring!$A$4:$N$51,14,FALSE())*4,"-")</f>
        <v>16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2</v>
      </c>
      <c r="R80" s="36">
        <f t="shared" si="6"/>
        <v>62</v>
      </c>
      <c r="S80">
        <f t="shared" si="7"/>
        <v>39</v>
      </c>
      <c r="T80">
        <f t="shared" si="8"/>
        <v>61.999920000000003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12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48.5</v>
      </c>
      <c r="S81">
        <f t="shared" si="7"/>
        <v>97</v>
      </c>
      <c r="T81">
        <f t="shared" si="8"/>
        <v>48.499918999999998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24</v>
      </c>
      <c r="K82" s="28">
        <f>IFERROR(VLOOKUP(C82,Scoring!$A$4:$N$51,14,FALSE())*4,"-")</f>
        <v>24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69</v>
      </c>
      <c r="S82">
        <f t="shared" si="7"/>
        <v>10</v>
      </c>
      <c r="T82">
        <f t="shared" si="8"/>
        <v>68.999917999999994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12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1</v>
      </c>
      <c r="Q83" s="29">
        <f>IFERROR(VLOOKUP(I83,Scoring!$A$4:$N$51,6,FALSE()),"-")</f>
        <v>0.5</v>
      </c>
      <c r="R83" s="36">
        <f t="shared" si="6"/>
        <v>40.5</v>
      </c>
      <c r="S83">
        <f t="shared" si="7"/>
        <v>104</v>
      </c>
      <c r="T83">
        <f t="shared" si="8"/>
        <v>40.499917000000003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24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2</v>
      </c>
      <c r="R84" s="36">
        <f t="shared" si="6"/>
        <v>60</v>
      </c>
      <c r="S84">
        <f t="shared" si="7"/>
        <v>53</v>
      </c>
      <c r="T84">
        <f t="shared" si="8"/>
        <v>59.999915999999999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24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8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1</v>
      </c>
      <c r="Q85" s="29">
        <f>IFERROR(VLOOKUP(I85,Scoring!$A$4:$N$51,6,FALSE()),"-")</f>
        <v>2</v>
      </c>
      <c r="R85" s="36">
        <f t="shared" si="6"/>
        <v>49</v>
      </c>
      <c r="S85">
        <f t="shared" si="7"/>
        <v>95</v>
      </c>
      <c r="T85">
        <f t="shared" si="8"/>
        <v>48.999915000000001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24</v>
      </c>
      <c r="K86" s="28">
        <f>IFERROR(VLOOKUP(C86,Scoring!$A$4:$N$51,14,FALSE())*4,"-")</f>
        <v>12</v>
      </c>
      <c r="L86" s="28">
        <f>IFERROR(VLOOKUP(D86,Scoring!$A$4:$N$51,14,FALSE())*3,"-")</f>
        <v>18</v>
      </c>
      <c r="M86" s="28">
        <f>IFERROR(VLOOKUP(E86,Scoring!$A$4:$N$51,14,FALSE())*2,"-")</f>
        <v>6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1</v>
      </c>
      <c r="Q86" s="29">
        <f>IFERROR(VLOOKUP(I86,Scoring!$A$4:$N$51,6,FALSE()),"-")</f>
        <v>2</v>
      </c>
      <c r="R86" s="36">
        <f t="shared" si="6"/>
        <v>70</v>
      </c>
      <c r="S86">
        <f t="shared" si="7"/>
        <v>9</v>
      </c>
      <c r="T86">
        <f t="shared" si="8"/>
        <v>69.999914000000004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12</v>
      </c>
      <c r="M87" s="28">
        <f>IFERROR(VLOOKUP(E87,Scoring!$A$4:$N$51,14,FALSE())*2,"-")</f>
        <v>8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62.5</v>
      </c>
      <c r="S87">
        <f t="shared" si="7"/>
        <v>37</v>
      </c>
      <c r="T87">
        <f t="shared" si="8"/>
        <v>62.499912999999999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16</v>
      </c>
      <c r="L88" s="28">
        <f>IFERROR(VLOOKUP(D88,Scoring!$A$4:$N$51,14,FALSE())*3,"-")</f>
        <v>12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2</v>
      </c>
      <c r="R88" s="36">
        <f t="shared" si="6"/>
        <v>58</v>
      </c>
      <c r="S88">
        <f t="shared" si="7"/>
        <v>64</v>
      </c>
      <c r="T88">
        <f t="shared" si="8"/>
        <v>57.999912000000002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16</v>
      </c>
      <c r="L89" s="28">
        <f>IFERROR(VLOOKUP(D89,Scoring!$A$4:$N$51,14,FALSE())*3,"-")</f>
        <v>12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2</v>
      </c>
      <c r="R89" s="36">
        <f t="shared" si="6"/>
        <v>54</v>
      </c>
      <c r="S89">
        <f t="shared" si="7"/>
        <v>78</v>
      </c>
      <c r="T89">
        <f t="shared" si="8"/>
        <v>53.999910999999997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16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2</v>
      </c>
      <c r="O90" s="28">
        <f>IFERROR(VLOOKUP(G90,Scoring!$A$4:$N$51,14,FALSE()),"-")</f>
        <v>3</v>
      </c>
      <c r="P90" s="29">
        <f>IFERROR(VLOOKUP(H90,Scoring!$A$4:$N$51,14,FALSE()),"-")</f>
        <v>2</v>
      </c>
      <c r="Q90" s="29">
        <f>IFERROR(VLOOKUP(I90,Scoring!$A$4:$N$51,6,FALSE()),"-")</f>
        <v>1.5</v>
      </c>
      <c r="R90" s="36">
        <f t="shared" si="6"/>
        <v>53.5</v>
      </c>
      <c r="S90">
        <f t="shared" si="7"/>
        <v>81</v>
      </c>
      <c r="T90">
        <f t="shared" si="8"/>
        <v>53.49991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24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8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2</v>
      </c>
      <c r="R91" s="36">
        <f t="shared" si="6"/>
        <v>64</v>
      </c>
      <c r="S91">
        <f t="shared" si="7"/>
        <v>26</v>
      </c>
      <c r="T91">
        <f t="shared" si="8"/>
        <v>63.999909000000002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12</v>
      </c>
      <c r="M92" s="28">
        <f>IFERROR(VLOOKUP(E92,Scoring!$A$4:$N$51,14,FALSE())*2,"-")</f>
        <v>8</v>
      </c>
      <c r="N92" s="28">
        <f>IFERROR(VLOOKUP(F92,Scoring!$A$4:$N$51,14,FALSE()),"-")</f>
        <v>6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49.5</v>
      </c>
      <c r="S92">
        <f t="shared" si="7"/>
        <v>91</v>
      </c>
      <c r="T92">
        <f t="shared" si="8"/>
        <v>49.499907999999998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24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8</v>
      </c>
      <c r="N93" s="28">
        <f>IFERROR(VLOOKUP(F93,Scoring!$A$4:$N$51,14,FALSE()),"-")</f>
        <v>6</v>
      </c>
      <c r="O93" s="28">
        <f>IFERROR(VLOOKUP(G93,Scoring!$A$4:$N$51,14,FALSE()),"-")</f>
        <v>3</v>
      </c>
      <c r="P93" s="29">
        <f>IFERROR(VLOOKUP(H93,Scoring!$A$4:$N$51,14,FALSE()),"-")</f>
        <v>2</v>
      </c>
      <c r="Q93" s="29">
        <f>IFERROR(VLOOKUP(I93,Scoring!$A$4:$N$51,6,FALSE()),"-")</f>
        <v>2</v>
      </c>
      <c r="R93" s="36">
        <f t="shared" si="6"/>
        <v>66</v>
      </c>
      <c r="S93">
        <f t="shared" si="7"/>
        <v>18</v>
      </c>
      <c r="T93">
        <f t="shared" si="8"/>
        <v>65.999906999999993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24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6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2</v>
      </c>
      <c r="R94" s="36">
        <f t="shared" si="6"/>
        <v>59</v>
      </c>
      <c r="S94">
        <f t="shared" si="7"/>
        <v>57</v>
      </c>
      <c r="T94">
        <f t="shared" si="8"/>
        <v>58.999906000000003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24</v>
      </c>
      <c r="L95" s="28">
        <f>IFERROR(VLOOKUP(D95,Scoring!$A$4:$N$51,14,FALSE())*3,"-")</f>
        <v>12</v>
      </c>
      <c r="M95" s="28">
        <f>IFERROR(VLOOKUP(E95,Scoring!$A$4:$N$51,14,FALSE())*2,"-")</f>
        <v>6</v>
      </c>
      <c r="N95" s="28">
        <f>IFERROR(VLOOKUP(F95,Scoring!$A$4:$N$51,14,FALSE()),"-")</f>
        <v>6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2</v>
      </c>
      <c r="R95" s="36">
        <f t="shared" si="6"/>
        <v>74</v>
      </c>
      <c r="S95">
        <f t="shared" si="7"/>
        <v>4</v>
      </c>
      <c r="T95">
        <f t="shared" si="8"/>
        <v>73.999904999999998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16</v>
      </c>
      <c r="L96" s="28">
        <f>IFERROR(VLOOKUP(D96,Scoring!$A$4:$N$51,14,FALSE())*3,"-")</f>
        <v>12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2</v>
      </c>
      <c r="R96" s="36">
        <f t="shared" si="6"/>
        <v>61</v>
      </c>
      <c r="S96">
        <f t="shared" si="7"/>
        <v>43</v>
      </c>
      <c r="T96">
        <f t="shared" si="8"/>
        <v>60.999904000000001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16</v>
      </c>
      <c r="L97" s="28">
        <f>IFERROR(VLOOKUP(D97,Scoring!$A$4:$N$51,14,FALSE())*3,"-")</f>
        <v>12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4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54.5</v>
      </c>
      <c r="S97">
        <f t="shared" si="7"/>
        <v>77</v>
      </c>
      <c r="T97">
        <f t="shared" si="8"/>
        <v>54.499903000000003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16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2</v>
      </c>
      <c r="R98" s="36">
        <f t="shared" si="6"/>
        <v>58</v>
      </c>
      <c r="S98">
        <f t="shared" si="7"/>
        <v>64</v>
      </c>
      <c r="T98">
        <f t="shared" si="8"/>
        <v>57.999901999999999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16</v>
      </c>
      <c r="L99" s="28">
        <f>IFERROR(VLOOKUP(D99,Scoring!$A$4:$N$51,14,FALSE())*3,"-")</f>
        <v>12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4</v>
      </c>
      <c r="P99" s="29">
        <f>IFERROR(VLOOKUP(H99,Scoring!$A$4:$N$51,14,FALSE()),"-")</f>
        <v>1</v>
      </c>
      <c r="Q99" s="29">
        <f>IFERROR(VLOOKUP(I99,Scoring!$A$4:$N$51,6,FALSE()),"-")</f>
        <v>2</v>
      </c>
      <c r="R99" s="36">
        <f t="shared" si="6"/>
        <v>59</v>
      </c>
      <c r="S99">
        <f t="shared" si="7"/>
        <v>57</v>
      </c>
      <c r="T99">
        <f t="shared" si="8"/>
        <v>58.999901000000001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24</v>
      </c>
      <c r="K100" s="28">
        <f>IFERROR(VLOOKUP(C100,Scoring!$A$4:$N$51,14,FALSE())*4,"-")</f>
        <v>16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4</v>
      </c>
      <c r="O100" s="28">
        <f>IFERROR(VLOOKUP(G100,Scoring!$A$4:$N$51,14,FALSE()),"-")</f>
        <v>4</v>
      </c>
      <c r="P100" s="29">
        <f>IFERROR(VLOOKUP(H100,Scoring!$A$4:$N$51,14,FALSE()),"-")</f>
        <v>0</v>
      </c>
      <c r="Q100" s="29">
        <f>IFERROR(VLOOKUP(I100,Scoring!$A$4:$N$51,6,FALSE()),"-")</f>
        <v>2</v>
      </c>
      <c r="R100" s="36">
        <f t="shared" ref="R100:R119" si="9">IF(A100="","-",SUM(J100:Q100))</f>
        <v>61</v>
      </c>
      <c r="S100">
        <f t="shared" ref="S100:S119" si="10">IF(A100="","",RANK(R100,$R$4:$R$119))</f>
        <v>43</v>
      </c>
      <c r="T100">
        <f t="shared" ref="T100:T119" si="11">IF(A100="",-1,R100-ROW(R100)/1000000)</f>
        <v>60.999899999999997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16</v>
      </c>
      <c r="L101" s="28">
        <f>IFERROR(VLOOKUP(D101,Scoring!$A$4:$N$51,14,FALSE())*3,"-")</f>
        <v>12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4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58.5</v>
      </c>
      <c r="S101">
        <f t="shared" si="10"/>
        <v>61</v>
      </c>
      <c r="T101">
        <f t="shared" si="11"/>
        <v>58.499898999999999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24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6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2</v>
      </c>
      <c r="R102" s="36">
        <f t="shared" si="9"/>
        <v>63</v>
      </c>
      <c r="S102">
        <f t="shared" si="10"/>
        <v>32</v>
      </c>
      <c r="T102">
        <f t="shared" si="11"/>
        <v>62.999898000000002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16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4</v>
      </c>
      <c r="O103" s="28">
        <f>IFERROR(VLOOKUP(G103,Scoring!$A$4:$N$51,14,FALSE()),"-")</f>
        <v>4</v>
      </c>
      <c r="P103" s="29">
        <f>IFERROR(VLOOKUP(H103,Scoring!$A$4:$N$51,14,FALSE()),"-")</f>
        <v>3</v>
      </c>
      <c r="Q103" s="29">
        <f>IFERROR(VLOOKUP(I103,Scoring!$A$4:$N$51,6,FALSE()),"-")</f>
        <v>2</v>
      </c>
      <c r="R103" s="36">
        <f t="shared" si="9"/>
        <v>50</v>
      </c>
      <c r="S103">
        <f t="shared" si="10"/>
        <v>90</v>
      </c>
      <c r="T103">
        <f t="shared" si="11"/>
        <v>49.999896999999997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24</v>
      </c>
      <c r="K104" s="28">
        <f>IFERROR(VLOOKUP(C104,Scoring!$A$4:$N$51,14,FALSE())*4,"-")</f>
        <v>12</v>
      </c>
      <c r="L104" s="28">
        <f>IFERROR(VLOOKUP(D104,Scoring!$A$4:$N$51,14,FALSE())*3,"-")</f>
        <v>12</v>
      </c>
      <c r="M104" s="28">
        <f>IFERROR(VLOOKUP(E104,Scoring!$A$4:$N$51,14,FALSE())*2,"-")</f>
        <v>12</v>
      </c>
      <c r="N104" s="28">
        <f>IFERROR(VLOOKUP(F104,Scoring!$A$4:$N$51,14,FALSE()),"-")</f>
        <v>2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2</v>
      </c>
      <c r="R104" s="36">
        <f t="shared" si="9"/>
        <v>68</v>
      </c>
      <c r="S104">
        <f t="shared" si="10"/>
        <v>11</v>
      </c>
      <c r="T104">
        <f t="shared" si="11"/>
        <v>67.999896000000007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16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2</v>
      </c>
      <c r="O105" s="28">
        <f>IFERROR(VLOOKUP(G105,Scoring!$A$4:$N$51,14,FALSE()),"-")</f>
        <v>4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51.5</v>
      </c>
      <c r="S105">
        <f t="shared" si="10"/>
        <v>86</v>
      </c>
      <c r="T105">
        <f t="shared" si="11"/>
        <v>51.499895000000002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24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65.5</v>
      </c>
      <c r="S106">
        <f t="shared" si="10"/>
        <v>19</v>
      </c>
      <c r="T106">
        <f t="shared" si="11"/>
        <v>65.499893999999998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8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4.5</v>
      </c>
      <c r="R107" s="36">
        <f t="shared" si="9"/>
        <v>30.5</v>
      </c>
      <c r="S107">
        <f t="shared" si="10"/>
        <v>105</v>
      </c>
      <c r="T107">
        <f t="shared" si="11"/>
        <v>30.499893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12</v>
      </c>
      <c r="M108" s="28">
        <f>IFERROR(VLOOKUP(E108,Scoring!$A$4:$N$51,14,FALSE())*2,"-")</f>
        <v>2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56.5</v>
      </c>
      <c r="S108">
        <f t="shared" si="10"/>
        <v>69</v>
      </c>
      <c r="T108">
        <f t="shared" si="11"/>
        <v>56.499892000000003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0.5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1.5</v>
      </c>
      <c r="N5" s="110">
        <f t="shared" si="1"/>
        <v>1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2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6</v>
      </c>
      <c r="N12" s="110">
        <f t="shared" si="1"/>
        <v>4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1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5</v>
      </c>
      <c r="N13" s="110">
        <f t="shared" si="1"/>
        <v>4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3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9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4</v>
      </c>
      <c r="N17" s="110">
        <f t="shared" si="1"/>
        <v>3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4.5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10.5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1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4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1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1</v>
      </c>
      <c r="N23" s="110">
        <f t="shared" si="1"/>
        <v>1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3.5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7.5</v>
      </c>
      <c r="N24" s="110">
        <f t="shared" si="1"/>
        <v>4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7</v>
      </c>
      <c r="N25" s="110">
        <f t="shared" si="1"/>
        <v>4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6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2.5</v>
      </c>
      <c r="N28" s="110">
        <f t="shared" si="1"/>
        <v>2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6</v>
      </c>
      <c r="N29" s="110">
        <f t="shared" si="1"/>
        <v>4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3</v>
      </c>
      <c r="N30" s="110">
        <f t="shared" si="1"/>
        <v>2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1.5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2.5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6</v>
      </c>
      <c r="N32" s="110">
        <f t="shared" si="1"/>
        <v>4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3</v>
      </c>
      <c r="N33" s="110">
        <f t="shared" si="1"/>
        <v>2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2026-06-22T03:02:15Z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