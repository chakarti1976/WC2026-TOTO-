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5B15AD7D-F298-4A23-A322-D5FC367FDD04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K63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BH63" i="1" s="1"/>
  <c r="W63" i="1"/>
  <c r="D63" i="1"/>
  <c r="C63" i="1"/>
  <c r="B63" i="1"/>
  <c r="BK62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BH62" i="1" s="1"/>
  <c r="S62" i="1"/>
  <c r="D62" i="1"/>
  <c r="C62" i="1"/>
  <c r="B62" i="1"/>
  <c r="BK61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BH61" i="1" s="1"/>
  <c r="S61" i="1"/>
  <c r="D61" i="1"/>
  <c r="C61" i="1"/>
  <c r="B61" i="1"/>
  <c r="BJ60" i="1" a="1"/>
  <c r="BJ60" i="1" s="1"/>
  <c r="BI60" i="1" a="1"/>
  <c r="BI60" i="1" s="1"/>
  <c r="BG60" i="1" a="1"/>
  <c r="BG60" i="1" s="1"/>
  <c r="BK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/>
  <c r="BI57" i="1" a="1"/>
  <c r="BI57" i="1" s="1"/>
  <c r="BG57" i="1" a="1"/>
  <c r="BG57" i="1"/>
  <c r="BF57" i="1" a="1"/>
  <c r="BF57" i="1" s="1"/>
  <c r="BK57" i="1" s="1"/>
  <c r="BE57" i="1" a="1"/>
  <c r="BE57" i="1"/>
  <c r="BH57" i="1" s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K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K55" i="1" s="1"/>
  <c r="BE55" i="1" a="1"/>
  <c r="BE55" i="1"/>
  <c r="BH55" i="1" s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K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H45" i="1" l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O60" i="1" s="1"/>
  <c r="BN60" i="1" a="1"/>
  <c r="BN60" i="1" s="1"/>
  <c r="BM60" i="1" a="1"/>
  <c r="BM60" i="1" s="1"/>
  <c r="BL61" i="1" s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N54" i="1" s="1"/>
  <c r="BM54" i="1" a="1"/>
  <c r="BM54" i="1" s="1"/>
  <c r="BL54" i="1" s="1"/>
  <c r="BL57" i="1"/>
  <c r="BL56" i="1"/>
  <c r="BO54" i="1" a="1"/>
  <c r="BO54" i="1" s="1"/>
  <c r="BO73" i="1" a="1"/>
  <c r="BO73" i="1" s="1"/>
  <c r="BN73" i="1" a="1"/>
  <c r="BN73" i="1" s="1"/>
  <c r="BM73" i="1" a="1"/>
  <c r="BM73" i="1" s="1"/>
  <c r="BM36" i="1" a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N57" i="1" s="1"/>
  <c r="BM57" i="1" a="1"/>
  <c r="BM57" i="1" s="1"/>
  <c r="BO57" i="1" a="1"/>
  <c r="BO57" i="1" s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43" i="1" l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P74" i="1"/>
  <c r="AO89" i="1"/>
  <c r="P58" i="1"/>
  <c r="P57" i="1"/>
  <c r="P55" i="1"/>
  <c r="O58" i="1"/>
  <c r="O55" i="1"/>
  <c r="N57" i="1"/>
  <c r="N56" i="1"/>
  <c r="N55" i="1"/>
  <c r="M57" i="1"/>
  <c r="M56" i="1"/>
  <c r="M55" i="1"/>
  <c r="L55" i="1"/>
  <c r="BU89" i="1"/>
  <c r="K58" i="1"/>
  <c r="K56" i="1"/>
  <c r="K55" i="1"/>
  <c r="Q56" i="1"/>
  <c r="Q55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L55" i="1"/>
  <c r="O57" i="1" s="1"/>
  <c r="BL62" i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BL63" i="1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L60" i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44" i="1" l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K57" i="1"/>
  <c r="M58" i="1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Q57" i="1"/>
  <c r="L56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Q58" i="1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L58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Q49" i="1" l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<sst xmlns="http://schemas.openxmlformats.org/spreadsheetml/2006/main" count="6931" uniqueCount="1447">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</sst>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39" activePane="bottomLeft" state="frozen"/>
      <selection pane="bottomLeft" activeCell="F41" sqref="F41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/>
      <c r="G53" s="7"/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/>
      <c r="G54" s="7"/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0</v>
      </c>
      <c r="BF54">
        <f t="array" ref="BF54">SUMPRODUCT((E53:E58=BD54)*ISNUMBER(F53:F58)*ISNUMBER(G53:G58)*(F53:F58&gt;G53:G58))+SUMPRODUCT((H53:H58=BD54)*ISNUMBER(F53:F58)*ISNUMBER(G53:G58)*(G53:G58&gt;F53:F58))</f>
        <v>0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0</v>
      </c>
      <c r="BJ54">
        <f t="array" ref="BJ54">SUMPRODUCT((E53:E58=BD54)*IFERROR(G53:G58,0))+SUMPRODUCT((H53:H58=BD54)*IFERROR(F53:F58,0))</f>
        <v>0</v>
      </c>
      <c r="BK54">
        <f>BF54*3+BG54</f>
        <v>0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0</v>
      </c>
      <c r="M55" s="11">
        <f>INDEX(BF54:BF57,MATCH(1,BL54:BL57,0))</f>
        <v>0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0 - 0</v>
      </c>
      <c r="Q55" s="14">
        <f>INDEX(BK54:BK57,MATCH(1,BL54:BL57,0))</f>
        <v>0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0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0</v>
      </c>
      <c r="BI55">
        <f t="array" ref="BI55">SUMPRODUCT((E53:E58=BD55)*IFERROR(F53:F58,0))+SUMPRODUCT((H53:H58=BD55)*IFERROR(G53:G58,0))</f>
        <v>0</v>
      </c>
      <c r="BJ55">
        <f t="array" ref="BJ55">SUMPRODUCT((E53:E58=BD55)*IFERROR(G53:G58,0))+SUMPRODUCT((H53:H58=BD55)*IFERROR(F53:F58,0))</f>
        <v>0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2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Senegal</v>
      </c>
      <c r="L56" s="11">
        <f>INDEX(BE54:BE57,MATCH(2,BL54:BL57,0))</f>
        <v>0</v>
      </c>
      <c r="M56" s="11">
        <f>INDEX(BF54:BF57,MATCH(2,BL54:BL57,0))</f>
        <v>0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0 - 0</v>
      </c>
      <c r="Q56" s="14">
        <f>INDEX(BK54:BK57,MATCH(2,BL54:BL57,0))</f>
        <v>0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0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0</v>
      </c>
      <c r="BI56">
        <f t="array" ref="BI56">SUMPRODUCT((E53:E58=BD56)*IFERROR(F53:F58,0))+SUMPRODUCT((H53:H58=BD56)*IFERROR(G53:G58,0))</f>
        <v>0</v>
      </c>
      <c r="BJ56">
        <f t="array" ref="BJ56">SUMPRODUCT((E53:E58=BD56)*IFERROR(G53:G58,0))+SUMPRODUCT((H53:H58=BD56)*IFERROR(F53:F58,0))</f>
        <v>0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3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Iraq</v>
      </c>
      <c r="L57" s="11">
        <f>INDEX(BE54:BE57,MATCH(3,BL54:BL57,0))</f>
        <v>0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0</v>
      </c>
      <c r="P57" s="11" t="str">
        <f>INDEX(BI54:BI57,MATCH(3,BL54:BL57,0))&amp;" - "&amp;INDEX(BJ54:BJ57,MATCH(3,BL54:BL57,0))</f>
        <v>0 - 0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0</v>
      </c>
      <c r="BF57">
        <f t="array" ref="BF57">SUMPRODUCT((E53:E58=BD57)*ISNUMBER(F53:F58)*ISNUMBER(G53:G58)*(F53:F58&gt;G53:G58))+SUMPRODUCT((H53:H58=BD57)*ISNUMBER(F53:F58)*ISNUMBER(G53:G58)*(G53:G58&gt;F53:F58))</f>
        <v>0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0</v>
      </c>
      <c r="BJ57">
        <f t="array" ref="BJ57">SUMPRODUCT((E53:E58=BD57)*IFERROR(G53:G58,0))+SUMPRODUCT((H53:H58=BD57)*IFERROR(F53:F58,0))</f>
        <v>0</v>
      </c>
      <c r="BK57">
        <f>BF57*3+BG57</f>
        <v>0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4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Norway</v>
      </c>
      <c r="L58" s="18">
        <f>INDEX(BE54:BE57,MATCH(4,BL54:BL57,0))</f>
        <v>0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0</v>
      </c>
      <c r="P58" s="18" t="str">
        <f>INDEX(BI54:BI57,MATCH(4,BL54:BL57,0))&amp;" - "&amp;INDEX(BJ54:BJ57,MATCH(4,BL54:BL57,0))</f>
        <v>0 - 0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/>
      <c r="G59" s="7"/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/>
      <c r="G60" s="7"/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0</v>
      </c>
      <c r="BF60">
        <f t="array" ref="BF60">SUMPRODUCT((E59:E64=BD60)*ISNUMBER(F59:F64)*ISNUMBER(G59:G64)*(F59:F64&gt;G59:G64))+SUMPRODUCT((H59:H64=BD60)*ISNUMBER(F59:F64)*ISNUMBER(G59:G64)*(G59:G64&gt;F59:F64))</f>
        <v>0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0</v>
      </c>
      <c r="BJ60">
        <f t="array" ref="BJ60">SUMPRODUCT((E59:E64=BD60)*IFERROR(G59:G64,0))+SUMPRODUCT((H59:H64=BD60)*IFERROR(F59:F64,0))</f>
        <v>0</v>
      </c>
      <c r="BK60">
        <f>BF60*3+BG60</f>
        <v>0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0</v>
      </c>
      <c r="M61" s="11">
        <f>INDEX(BF60:BF63,MATCH(1,BL60:BL63,0))</f>
        <v>0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0 - 0</v>
      </c>
      <c r="Q61" s="14">
        <f>INDEX(BK60:BK63,MATCH(1,BL60:BL63,0))</f>
        <v>0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0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0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0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2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Algeria</v>
      </c>
      <c r="L62" s="11">
        <f>INDEX(BE60:BE63,MATCH(2,BL60:BL63,0))</f>
        <v>0</v>
      </c>
      <c r="M62" s="11">
        <f>INDEX(BF60:BF63,MATCH(2,BL60:BL63,0))</f>
        <v>0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0 - 0</v>
      </c>
      <c r="Q62" s="14">
        <f>INDEX(BK60:BK63,MATCH(2,BL60:BL63,0))</f>
        <v>0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0</v>
      </c>
      <c r="BF62">
        <f t="array" ref="BF62">SUMPRODUCT((E59:E64=BD62)*ISNUMBER(F59:F64)*ISNUMBER(G59:G64)*(F59:F64&gt;G59:G64))+SUMPRODUCT((H59:H64=BD62)*ISNUMBER(F59:F64)*ISNUMBER(G59:G64)*(G59:G64&gt;F59:F64))</f>
        <v>0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0</v>
      </c>
      <c r="BJ62">
        <f t="array" ref="BJ62">SUMPRODUCT((E59:E64=BD62)*IFERROR(G59:G64,0))+SUMPRODUCT((H59:H64=BD62)*IFERROR(F59:F64,0))</f>
        <v>0</v>
      </c>
      <c r="BK62">
        <f>BF62*3+BG62</f>
        <v>0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3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Austria</v>
      </c>
      <c r="L63" s="11">
        <f>INDEX(BE60:BE63,MATCH(3,BL60:BL63,0))</f>
        <v>0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0</v>
      </c>
      <c r="P63" s="11" t="str">
        <f>INDEX(BI60:BI63,MATCH(3,BL60:BL63,0))&amp;" - "&amp;INDEX(BJ60:BJ63,MATCH(3,BL60:BL63,0))</f>
        <v>0 - 0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0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0</v>
      </c>
      <c r="BI63">
        <f t="array" ref="BI63">SUMPRODUCT((E59:E64=BD63)*IFERROR(F59:F64,0))+SUMPRODUCT((H59:H64=BD63)*IFERROR(G59:G64,0))</f>
        <v>0</v>
      </c>
      <c r="BJ63">
        <f t="array" ref="BJ63">SUMPRODUCT((E59:E64=BD63)*IFERROR(G59:G64,0))+SUMPRODUCT((H59:H64=BD63)*IFERROR(F59:F64,0))</f>
        <v>0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0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0</v>
      </c>
      <c r="P64" s="18" t="str">
        <f>INDEX(BI60:BI63,MATCH(4,BL60:BL63,0))&amp;" - "&amp;INDEX(BJ60:BJ63,MATCH(4,BL60:BL63,0))</f>
        <v>0 - 0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BCFGHIJK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J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I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2</v>
      </c>
      <c r="AV82" t="str">
        <f>IFERROR(INDEX($AQ$81:$AQ$92,MATCH(2,$AT$81:$AT$92,0)),"")</f>
        <v>Qatar</v>
      </c>
      <c r="AW82" t="str">
        <f>IFERROR(INDEX($AN$81:$AN$92,MATCH(2,$AT$81:$AT$92,0)),"")</f>
        <v>B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3</v>
      </c>
      <c r="AV83" t="str">
        <f>IFERROR(INDEX($AQ$81:$AQ$92,MATCH(3,$AT$81:$AT$92,0)),"")</f>
        <v>Morocco</v>
      </c>
      <c r="AW83" t="str">
        <f>IFERROR(INDEX($AN$81:$AN$92,MATCH(3,$AT$81:$AT$92,0)),"")</f>
        <v>C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Belgium</v>
      </c>
      <c r="AW84" t="str">
        <f>IFERROR(INDEX($AN$81:$AN$92,MATCH(4,$AT$81:$AT$92,0)),"")</f>
        <v>G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11</v>
      </c>
      <c r="AV85" t="str">
        <f>IFERROR(INDEX($AQ$81:$AQ$92,MATCH(5,$AT$81:$AT$92,0)),"")</f>
        <v>Spain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Iraq</v>
      </c>
      <c r="AW86" t="str">
        <f>IFERROR(INDEX($AN$81:$AN$92,MATCH(6,$AT$81:$AT$92,0)),"")</f>
        <v>I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Austria</v>
      </c>
      <c r="AW87" t="str">
        <f>IFERROR(INDEX($AN$81:$AN$92,MATCH(7,$AT$81:$AT$92,0)),"")</f>
        <v>J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Uzbekistan</v>
      </c>
      <c r="AW88" t="str">
        <f>IFERROR(INDEX($AN$81:$AN$92,MATCH(8,$AT$81:$AT$92,0)),"")</f>
        <v>K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Senegal</v>
      </c>
      <c r="AQ89" t="str">
        <f>IFERROR(INDEX(BD54:BD57,MATCH(3,BL54:BL57,0)),"")</f>
        <v>Iraq</v>
      </c>
      <c r="AR89">
        <f>IFERROR(INDEX(BK54:BK57,MATCH(3,BL54:BL57,0)),0)</f>
        <v>0</v>
      </c>
      <c r="AS89">
        <f>IFERROR(INDEX(BI54:BI57,MATCH(3,BL54:BL57,0))-INDEX(BJ54:BJ57,MATCH(3,BL54:BL57,0)),0)</f>
        <v>0</v>
      </c>
      <c r="AT89">
        <f t="array" ref="AT89">SUMPRODUCT((($AR$81:$AR$92*1000000000000+($AS$81:$AS$92+20)*100000000+$BU$81:$BU$92*10000-ROW($AR$81:$AR$92))&gt;(AR89*1000000000000+(AS89+20)*100000000+BU89*10000-ROW(AR89)))*1)+1</f>
        <v>6</v>
      </c>
      <c r="BU89">
        <f>IFERROR(INDEX(BI54:BI57,MATCH(3,BL54:BL57,0)),0)</f>
        <v>0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Algeria</v>
      </c>
      <c r="AQ90" t="str">
        <f>IFERROR(INDEX(BD60:BD63,MATCH(3,BL60:BL63,0)),"")</f>
        <v>Austria</v>
      </c>
      <c r="AR90">
        <f>IFERROR(INDEX(BK60:BK63,MATCH(3,BL60:BL63,0)),0)</f>
        <v>0</v>
      </c>
      <c r="AS90">
        <f>IFERROR(INDEX(BI60:BI63,MATCH(3,BL60:BL63,0))-INDEX(BJ60:BJ63,MATCH(3,BL60:BL63,0)),0)</f>
        <v>0</v>
      </c>
      <c r="AT90">
        <f t="array" ref="AT90">SUMPRODUCT((($AR$81:$AR$92*1000000000000+($AS$81:$AS$92+20)*100000000+$BU$81:$BU$92*10000-ROW($AR$81:$AR$92))&gt;(AR90*1000000000000+(AS90+20)*100000000+BU90*10000-ROW(AR90)))*1)+1</f>
        <v>7</v>
      </c>
      <c r="BU90">
        <f>IFERROR(INDEX(BI60:BI63,MATCH(3,BL60:BL63,0)),0)</f>
        <v>0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8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9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C19" sqref="C19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32.5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32.5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Tomas Bruzga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28.5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28.5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Eugenijus Petrošius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26.5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26.5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Donatas Celesius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25.5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25.5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Arūnas Čižauskas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23.5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23.5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Mindaugas Sipavičius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22.5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22.5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Algirdas Čižauskas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20.5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20.5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Simonas Anikinas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20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20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2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>Jurga Šantaraitė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20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20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Lukas Danielevičius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19.5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19.5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Mario Calvi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19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19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Juozas Žimkus Jr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18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18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>Vaidas Pažusys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18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18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Sigitas Šarauskis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17.5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17.5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Sigitas Petraitis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15.5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15.5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15</v>
      </c>
      <c r="B19" s="27" t="str">
        <f>IF(16&gt;COUNTIF(' Toto teams'!$A$4:$A$119,"&lt;&gt;"),"",INDEX(' Toto teams'!$A$4:$A$119,MATCH(LARGE(' Toto teams'!$T$4:$T$119,16),' Toto teams'!$T$4:$T$119,0)))</f>
        <v>Rolandas Urbelis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15.5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15.5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Sergey Zhaltuchin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15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Rustam Roikov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14.5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14.5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18</v>
      </c>
      <c r="B22" s="27" t="str">
        <f>IF(19&gt;COUNTIF(' Toto teams'!$A$4:$A$119,"&lt;&gt;"),"",INDEX(' Toto teams'!$A$4:$A$119,MATCH(LARGE(' Toto teams'!$T$4:$T$119,19),' Toto teams'!$T$4:$T$119,0)))</f>
        <v>Edgar Moroz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14.5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Martynas Bruzga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14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14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Donatas Keras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13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21</v>
      </c>
      <c r="B25" s="27" t="str">
        <f>IF(22&gt;COUNTIF(' Toto teams'!$A$4:$A$119,"&lt;&gt;"),"",INDEX(' Toto teams'!$A$4:$A$119,MATCH(LARGE(' Toto teams'!$T$4:$T$119,22),' Toto teams'!$T$4:$T$119,0)))</f>
        <v>Donatas Bakėjus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13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21</v>
      </c>
      <c r="B26" s="27" t="str">
        <f>IF(23&gt;COUNTIF(' Toto teams'!$A$4:$A$119,"&lt;&gt;"),"",INDEX(' Toto teams'!$A$4:$A$119,MATCH(LARGE(' Toto teams'!$T$4:$T$119,23),' Toto teams'!$T$4:$T$119,0)))</f>
        <v>Aurimas Oleknavičius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13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Simas Baubonis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12.5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12.5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Dainius Visackas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12.5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12.5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Kristina I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12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12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26</v>
      </c>
      <c r="B30" s="27" t="str">
        <f>IF(27&gt;COUNTIF(' Toto teams'!$A$4:$A$119,"&lt;&gt;"),"",INDEX(' Toto teams'!$A$4:$A$119,MATCH(LARGE(' Toto teams'!$T$4:$T$119,27),' Toto teams'!$T$4:$T$119,0)))</f>
        <v>Edita Oršauskė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12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12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26</v>
      </c>
      <c r="B31" s="27" t="str">
        <f>IF(28&gt;COUNTIF(' Toto teams'!$A$4:$A$119,"&lt;&gt;"),"",INDEX(' Toto teams'!$A$4:$A$119,MATCH(LARGE(' Toto teams'!$T$4:$T$119,28),' Toto teams'!$T$4:$T$119,0)))</f>
        <v>Ivan Manev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12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12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26</v>
      </c>
      <c r="B32" s="27" t="str">
        <f>IF(29&gt;COUNTIF(' Toto teams'!$A$4:$A$119,"&lt;&gt;"),"",INDEX(' Toto teams'!$A$4:$A$119,MATCH(LARGE(' Toto teams'!$T$4:$T$119,29),' Toto teams'!$T$4:$T$119,0)))</f>
        <v>Tomas Šunskis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12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12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26</v>
      </c>
      <c r="B33" s="27" t="str">
        <f>IF(30&gt;COUNTIF(' Toto teams'!$A$4:$A$119,"&lt;&gt;"),"",INDEX(' Toto teams'!$A$4:$A$119,MATCH(LARGE(' Toto teams'!$T$4:$T$119,30),' Toto teams'!$T$4:$T$119,0)))</f>
        <v>Joris Jalo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12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12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Dobilas III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11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11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31</v>
      </c>
      <c r="B35" s="27" t="str">
        <f>IF(32&gt;COUNTIF(' Toto teams'!$A$4:$A$119,"&lt;&gt;"),"",INDEX(' Toto teams'!$A$4:$A$119,MATCH(LARGE(' Toto teams'!$T$4:$T$119,32),' Toto teams'!$T$4:$T$119,0)))</f>
        <v>Alius Antulis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11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11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31</v>
      </c>
      <c r="B36" s="27" t="str">
        <f>IF(33&gt;COUNTIF(' Toto teams'!$A$4:$A$119,"&lt;&gt;"),"",INDEX(' Toto teams'!$A$4:$A$119,MATCH(LARGE(' Toto teams'!$T$4:$T$119,33),' Toto teams'!$T$4:$T$119,0)))</f>
        <v>Kamran Mikayilov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11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11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31</v>
      </c>
      <c r="B37" s="27" t="str">
        <f>IF(34&gt;COUNTIF(' Toto teams'!$A$4:$A$119,"&lt;&gt;"),"",INDEX(' Toto teams'!$A$4:$A$119,MATCH(LARGE(' Toto teams'!$T$4:$T$119,34),' Toto teams'!$T$4:$T$119,0)))</f>
        <v>Dainius Breivė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11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11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31</v>
      </c>
      <c r="B38" s="27" t="str">
        <f>IF(35&gt;COUNTIF(' Toto teams'!$A$4:$A$119,"&lt;&gt;"),"",INDEX(' Toto teams'!$A$4:$A$119,MATCH(LARGE(' Toto teams'!$T$4:$T$119,35),' Toto teams'!$T$4:$T$119,0)))</f>
        <v>Zaur Yusubov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11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11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31</v>
      </c>
      <c r="B39" s="27" t="str">
        <f>IF(36&gt;COUNTIF(' Toto teams'!$A$4:$A$119,"&lt;&gt;"),"",INDEX(' Toto teams'!$A$4:$A$119,MATCH(LARGE(' Toto teams'!$T$4:$T$119,36),' Toto teams'!$T$4:$T$119,0)))</f>
        <v>Alberto Canova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11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11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31</v>
      </c>
      <c r="B40" s="27" t="str">
        <f>IF(37&gt;COUNTIF(' Toto teams'!$A$4:$A$119,"&lt;&gt;"),"",INDEX(' Toto teams'!$A$4:$A$119,MATCH(LARGE(' Toto teams'!$T$4:$T$119,37),' Toto teams'!$T$4:$T$119,0)))</f>
        <v>Mindaugas Čižauskas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11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11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31</v>
      </c>
      <c r="B41" s="27" t="str">
        <f>IF(38&gt;COUNTIF(' Toto teams'!$A$4:$A$119,"&lt;&gt;"),"",INDEX(' Toto teams'!$A$4:$A$119,MATCH(LARGE(' Toto teams'!$T$4:$T$119,38),' Toto teams'!$T$4:$T$119,0)))</f>
        <v>Paolo Papiri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11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11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Andrea Signorini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10.5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10.5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Gintautas Beržanskis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10.5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10.5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Denis Kazarezov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10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10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41</v>
      </c>
      <c r="B45" s="27" t="str">
        <f>IF(42&gt;COUNTIF(' Toto teams'!$A$4:$A$119,"&lt;&gt;"),"",INDEX(' Toto teams'!$A$4:$A$119,MATCH(LARGE(' Toto teams'!$T$4:$T$119,42),' Toto teams'!$T$4:$T$119,0)))</f>
        <v>Karolis Marcinkevičius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10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10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41</v>
      </c>
      <c r="B46" s="27" t="str">
        <f>IF(43&gt;COUNTIF(' Toto teams'!$A$4:$A$119,"&lt;&gt;"),"",INDEX(' Toto teams'!$A$4:$A$119,MATCH(LARGE(' Toto teams'!$T$4:$T$119,43),' Toto teams'!$T$4:$T$119,0)))</f>
        <v>Egidijus Mačiukas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10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10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41</v>
      </c>
      <c r="B47" s="27" t="str">
        <f>IF(44&gt;COUNTIF(' Toto teams'!$A$4:$A$119,"&lt;&gt;"),"",INDEX(' Toto teams'!$A$4:$A$119,MATCH(LARGE(' Toto teams'!$T$4:$T$119,44),' Toto teams'!$T$4:$T$119,0)))</f>
        <v>Evelina Tiščenkė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10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10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41</v>
      </c>
      <c r="B48" s="27" t="str">
        <f>IF(45&gt;COUNTIF(' Toto teams'!$A$4:$A$119,"&lt;&gt;"),"",INDEX(' Toto teams'!$A$4:$A$119,MATCH(LARGE(' Toto teams'!$T$4:$T$119,45),' Toto teams'!$T$4:$T$119,0)))</f>
        <v>Jonas Juška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10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10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41</v>
      </c>
      <c r="B49" s="27" t="str">
        <f>IF(46&gt;COUNTIF(' Toto teams'!$A$4:$A$119,"&lt;&gt;"),"",INDEX(' Toto teams'!$A$4:$A$119,MATCH(LARGE(' Toto teams'!$T$4:$T$119,46),' Toto teams'!$T$4:$T$119,0)))</f>
        <v>Tihomir Chakarov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10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10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41</v>
      </c>
      <c r="B50" s="27" t="str">
        <f>IF(47&gt;COUNTIF(' Toto teams'!$A$4:$A$119,"&lt;&gt;"),"",INDEX(' Toto teams'!$A$4:$A$119,MATCH(LARGE(' Toto teams'!$T$4:$T$119,47),' Toto teams'!$T$4:$T$119,0)))</f>
        <v>Danielius Pažusys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10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10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41</v>
      </c>
      <c r="B51" s="27" t="str">
        <f>IF(48&gt;COUNTIF(' Toto teams'!$A$4:$A$119,"&lt;&gt;"),"",INDEX(' Toto teams'!$A$4:$A$119,MATCH(LARGE(' Toto teams'!$T$4:$T$119,48),' Toto teams'!$T$4:$T$119,0)))</f>
        <v>Davide Speranza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10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10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41</v>
      </c>
      <c r="B52" s="27" t="str">
        <f>IF(49&gt;COUNTIF(' Toto teams'!$A$4:$A$119,"&lt;&gt;"),"",INDEX(' Toto teams'!$A$4:$A$119,MATCH(LARGE(' Toto teams'!$T$4:$T$119,49),' Toto teams'!$T$4:$T$119,0)))</f>
        <v>Benediktas Babraitis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10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10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41</v>
      </c>
      <c r="B53" s="27" t="str">
        <f>IF(50&gt;COUNTIF(' Toto teams'!$A$4:$A$119,"&lt;&gt;"),"",INDEX(' Toto teams'!$A$4:$A$119,MATCH(LARGE(' Toto teams'!$T$4:$T$119,50),' Toto teams'!$T$4:$T$119,0)))</f>
        <v>Benas&amp;Šaras Oleknavičius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10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10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Pijus Jalo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9.5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9.5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Sofus Wolke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9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9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52</v>
      </c>
      <c r="B56" s="27" t="str">
        <f>IF(53&gt;COUNTIF(' Toto teams'!$A$4:$A$119,"&lt;&gt;"),"",INDEX(' Toto teams'!$A$4:$A$119,MATCH(LARGE(' Toto teams'!$T$4:$T$119,53),' Toto teams'!$T$4:$T$119,0)))</f>
        <v>Susie Wolke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9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9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52</v>
      </c>
      <c r="B57" s="27" t="str">
        <f>IF(54&gt;COUNTIF(' Toto teams'!$A$4:$A$119,"&lt;&gt;"),"",INDEX(' Toto teams'!$A$4:$A$119,MATCH(LARGE(' Toto teams'!$T$4:$T$119,54),' Toto teams'!$T$4:$T$119,0)))</f>
        <v>Todor Velikov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9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9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52</v>
      </c>
      <c r="B58" s="27" t="str">
        <f>IF(55&gt;COUNTIF(' Toto teams'!$A$4:$A$119,"&lt;&gt;"),"",INDEX(' Toto teams'!$A$4:$A$119,MATCH(LARGE(' Toto teams'!$T$4:$T$119,55),' Toto teams'!$T$4:$T$119,0)))</f>
        <v>Saulius Pipiras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9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9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52</v>
      </c>
      <c r="B59" s="27" t="str">
        <f>IF(56&gt;COUNTIF(' Toto teams'!$A$4:$A$119,"&lt;&gt;"),"",INDEX(' Toto teams'!$A$4:$A$119,MATCH(LARGE(' Toto teams'!$T$4:$T$119,56),' Toto teams'!$T$4:$T$119,0)))</f>
        <v xml:space="preserve">Paulius Bernotas 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9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9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52</v>
      </c>
      <c r="B60" s="27" t="str">
        <f>IF(57&gt;COUNTIF(' Toto teams'!$A$4:$A$119,"&lt;&gt;"),"",INDEX(' Toto teams'!$A$4:$A$119,MATCH(LARGE(' Toto teams'!$T$4:$T$119,57),' Toto teams'!$T$4:$T$119,0)))</f>
        <v>Virginija Čižauskienė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9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9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52</v>
      </c>
      <c r="B61" s="27" t="str">
        <f>IF(58&gt;COUNTIF(' Toto teams'!$A$4:$A$119,"&lt;&gt;"),"",INDEX(' Toto teams'!$A$4:$A$119,MATCH(LARGE(' Toto teams'!$T$4:$T$119,58),' Toto teams'!$T$4:$T$119,0)))</f>
        <v>Nikolay Lenkov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9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9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52</v>
      </c>
      <c r="B62" s="27" t="str">
        <f>IF(59&gt;COUNTIF(' Toto teams'!$A$4:$A$119,"&lt;&gt;"),"",INDEX(' Toto teams'!$A$4:$A$119,MATCH(LARGE(' Toto teams'!$T$4:$T$119,59),' Toto teams'!$T$4:$T$119,0)))</f>
        <v>Vytautas Podrezas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9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9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52</v>
      </c>
      <c r="B63" s="27" t="str">
        <f>IF(60&gt;COUNTIF(' Toto teams'!$A$4:$A$119,"&lt;&gt;"),"",INDEX(' Toto teams'!$A$4:$A$119,MATCH(LARGE(' Toto teams'!$T$4:$T$119,60),' Toto teams'!$T$4:$T$119,0)))</f>
        <v>Dovilė Smetonė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9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9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52</v>
      </c>
      <c r="B64" s="27" t="str">
        <f>IF(61&gt;COUNTIF(' Toto teams'!$A$4:$A$119,"&lt;&gt;"),"",INDEX(' Toto teams'!$A$4:$A$119,MATCH(LARGE(' Toto teams'!$T$4:$T$119,61),' Toto teams'!$T$4:$T$119,0)))</f>
        <v>Michele Sette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9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9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52</v>
      </c>
      <c r="B65" s="27" t="str">
        <f>IF(62&gt;COUNTIF(' Toto teams'!$A$4:$A$119,"&lt;&gt;"),"",INDEX(' Toto teams'!$A$4:$A$119,MATCH(LARGE(' Toto teams'!$T$4:$T$119,62),' Toto teams'!$T$4:$T$119,0)))</f>
        <v>Gintas Bungarda 2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9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9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52</v>
      </c>
      <c r="B66" s="27" t="str">
        <f>IF(63&gt;COUNTIF(' Toto teams'!$A$4:$A$119,"&lt;&gt;"),"",INDEX(' Toto teams'!$A$4:$A$119,MATCH(LARGE(' Toto teams'!$T$4:$T$119,63),' Toto teams'!$T$4:$T$119,0)))</f>
        <v>Ernesta Čebienė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9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9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52</v>
      </c>
      <c r="B67" s="27" t="str">
        <f>IF(64&gt;COUNTIF(' Toto teams'!$A$4:$A$119,"&lt;&gt;"),"",INDEX(' Toto teams'!$A$4:$A$119,MATCH(LARGE(' Toto teams'!$T$4:$T$119,64),' Toto teams'!$T$4:$T$119,0)))</f>
        <v>Audi club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9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9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Nadia Mercurio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8.5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8.5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Saulius Lileikis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8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8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66</v>
      </c>
      <c r="B70" s="27" t="str">
        <f>IF(67&gt;COUNTIF(' Toto teams'!$A$4:$A$119,"&lt;&gt;"),"",INDEX(' Toto teams'!$A$4:$A$119,MATCH(LARGE(' Toto teams'!$T$4:$T$119,67),' Toto teams'!$T$4:$T$119,0)))</f>
        <v>Donatas Pocius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8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8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66</v>
      </c>
      <c r="B71" s="27" t="str">
        <f>IF(68&gt;COUNTIF(' Toto teams'!$A$4:$A$119,"&lt;&gt;"),"",INDEX(' Toto teams'!$A$4:$A$119,MATCH(LARGE(' Toto teams'!$T$4:$T$119,68),' Toto teams'!$T$4:$T$119,0)))</f>
        <v>Elijus Benetis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8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8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66</v>
      </c>
      <c r="B72" s="27" t="str">
        <f>IF(69&gt;COUNTIF(' Toto teams'!$A$4:$A$119,"&lt;&gt;"),"",INDEX(' Toto teams'!$A$4:$A$119,MATCH(LARGE(' Toto teams'!$T$4:$T$119,69),' Toto teams'!$T$4:$T$119,0)))</f>
        <v>Aurimas Šumbrauskis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8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8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66</v>
      </c>
      <c r="B73" s="27" t="str">
        <f>IF(70&gt;COUNTIF(' Toto teams'!$A$4:$A$119,"&lt;&gt;"),"",INDEX(' Toto teams'!$A$4:$A$119,MATCH(LARGE(' Toto teams'!$T$4:$T$119,70),' Toto teams'!$T$4:$T$119,0)))</f>
        <v>Gianmarco Monti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8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8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66</v>
      </c>
      <c r="B74" s="27" t="str">
        <f>IF(71&gt;COUNTIF(' Toto teams'!$A$4:$A$119,"&lt;&gt;"),"",INDEX(' Toto teams'!$A$4:$A$119,MATCH(LARGE(' Toto teams'!$T$4:$T$119,71),' Toto teams'!$T$4:$T$119,0)))</f>
        <v>Raimondas Juška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8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8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66</v>
      </c>
      <c r="B75" s="27" t="str">
        <f>IF(72&gt;COUNTIF(' Toto teams'!$A$4:$A$119,"&lt;&gt;"),"",INDEX(' Toto teams'!$A$4:$A$119,MATCH(LARGE(' Toto teams'!$T$4:$T$119,72),' Toto teams'!$T$4:$T$119,0)))</f>
        <v>Sampaio Carlos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8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8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66</v>
      </c>
      <c r="B76" s="27" t="str">
        <f>IF(73&gt;COUNTIF(' Toto teams'!$A$4:$A$119,"&lt;&gt;"),"",INDEX(' Toto teams'!$A$4:$A$119,MATCH(LARGE(' Toto teams'!$T$4:$T$119,73),' Toto teams'!$T$4:$T$119,0)))</f>
        <v>Paulina Bungardė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8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8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66</v>
      </c>
      <c r="B77" s="27" t="str">
        <f>IF(74&gt;COUNTIF(' Toto teams'!$A$4:$A$119,"&lt;&gt;"),"",INDEX(' Toto teams'!$A$4:$A$119,MATCH(LARGE(' Toto teams'!$T$4:$T$119,74),' Toto teams'!$T$4:$T$119,0)))</f>
        <v>Deividas Jančius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8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8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66</v>
      </c>
      <c r="B78" s="27" t="str">
        <f>IF(75&gt;COUNTIF(' Toto teams'!$A$4:$A$119,"&lt;&gt;"),"",INDEX(' Toto teams'!$A$4:$A$119,MATCH(LARGE(' Toto teams'!$T$4:$T$119,75),' Toto teams'!$T$4:$T$119,0)))</f>
        <v>Arnoldas Molis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8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8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Thomas Wolke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7.5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7.5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76</v>
      </c>
      <c r="B80" s="27" t="str">
        <f>IF(77&gt;COUNTIF(' Toto teams'!$A$4:$A$119,"&lt;&gt;"),"",INDEX(' Toto teams'!$A$4:$A$119,MATCH(LARGE(' Toto teams'!$T$4:$T$119,77),' Toto teams'!$T$4:$T$119,0)))</f>
        <v>Yagub Alizada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7.5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7.5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Giedrius Šadbaras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7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7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78</v>
      </c>
      <c r="B82" s="27" t="str">
        <f>IF(79&gt;COUNTIF(' Toto teams'!$A$4:$A$119,"&lt;&gt;"),"",INDEX(' Toto teams'!$A$4:$A$119,MATCH(LARGE(' Toto teams'!$T$4:$T$119,79),' Toto teams'!$T$4:$T$119,0)))</f>
        <v>Justinas Novoruckis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7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7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78</v>
      </c>
      <c r="B83" s="27" t="str">
        <f>IF(80&gt;COUNTIF(' Toto teams'!$A$4:$A$119,"&lt;&gt;"),"",INDEX(' Toto teams'!$A$4:$A$119,MATCH(LARGE(' Toto teams'!$T$4:$T$119,80),' Toto teams'!$T$4:$T$119,0)))</f>
        <v>Deividas Jodenis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7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7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78</v>
      </c>
      <c r="B84" s="27" t="str">
        <f>IF(81&gt;COUNTIF(' Toto teams'!$A$4:$A$119,"&lt;&gt;"),"",INDEX(' Toto teams'!$A$4:$A$119,MATCH(LARGE(' Toto teams'!$T$4:$T$119,81),' Toto teams'!$T$4:$T$119,0)))</f>
        <v>Simonas Sipavičius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7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7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78</v>
      </c>
      <c r="B85" s="27" t="str">
        <f>IF(82&gt;COUNTIF(' Toto teams'!$A$4:$A$119,"&lt;&gt;"),"",INDEX(' Toto teams'!$A$4:$A$119,MATCH(LARGE(' Toto teams'!$T$4:$T$119,82),' Toto teams'!$T$4:$T$119,0)))</f>
        <v>Enrico Ancarola, Pietro Rivera, Riccardo Gatti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7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7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78</v>
      </c>
      <c r="B86" s="27" t="str">
        <f>IF(83&gt;COUNTIF(' Toto teams'!$A$4:$A$119,"&lt;&gt;"),"",INDEX(' Toto teams'!$A$4:$A$119,MATCH(LARGE(' Toto teams'!$T$4:$T$119,83),' Toto teams'!$T$4:$T$119,0)))</f>
        <v>Jokūbas Kušleika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7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7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Žygimantas Ryliškis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6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6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84</v>
      </c>
      <c r="B88" s="27" t="str">
        <f>IF(85&gt;COUNTIF(' Toto teams'!$A$4:$A$119,"&lt;&gt;"),"",INDEX(' Toto teams'!$A$4:$A$119,MATCH(LARGE(' Toto teams'!$T$4:$T$119,85),' Toto teams'!$T$4:$T$119,0)))</f>
        <v>Vytautas Gliaubicas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6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6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84</v>
      </c>
      <c r="B89" s="27" t="str">
        <f>IF(86&gt;COUNTIF(' Toto teams'!$A$4:$A$119,"&lt;&gt;"),"",INDEX(' Toto teams'!$A$4:$A$119,MATCH(LARGE(' Toto teams'!$T$4:$T$119,86),' Toto teams'!$T$4:$T$119,0)))</f>
        <v>Benas Bruzga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6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6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84</v>
      </c>
      <c r="B90" s="27" t="str">
        <f>IF(87&gt;COUNTIF(' Toto teams'!$A$4:$A$119,"&lt;&gt;"),"",INDEX(' Toto teams'!$A$4:$A$119,MATCH(LARGE(' Toto teams'!$T$4:$T$119,87),' Toto teams'!$T$4:$T$119,0)))</f>
        <v>Gedas Girdžiūnas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6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6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84</v>
      </c>
      <c r="B91" s="27" t="str">
        <f>IF(88&gt;COUNTIF(' Toto teams'!$A$4:$A$119,"&lt;&gt;"),"",INDEX(' Toto teams'!$A$4:$A$119,MATCH(LARGE(' Toto teams'!$T$4:$T$119,88),' Toto teams'!$T$4:$T$119,0)))</f>
        <v>N&amp;A Pociai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6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6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84</v>
      </c>
      <c r="B92" s="27" t="str">
        <f>IF(89&gt;COUNTIF(' Toto teams'!$A$4:$A$119,"&lt;&gt;"),"",INDEX(' Toto teams'!$A$4:$A$119,MATCH(LARGE(' Toto teams'!$T$4:$T$119,89),' Toto teams'!$T$4:$T$119,0)))</f>
        <v>Artem Lavrov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6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6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84</v>
      </c>
      <c r="B93" s="27" t="str">
        <f>IF(90&gt;COUNTIF(' Toto teams'!$A$4:$A$119,"&lt;&gt;"),"",INDEX(' Toto teams'!$A$4:$A$119,MATCH(LARGE(' Toto teams'!$T$4:$T$119,90),' Toto teams'!$T$4:$T$119,0)))</f>
        <v>Giedrius Stanulis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6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6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84</v>
      </c>
      <c r="B94" s="27" t="str">
        <f>IF(91&gt;COUNTIF(' Toto teams'!$A$4:$A$119,"&lt;&gt;"),"",INDEX(' Toto teams'!$A$4:$A$119,MATCH(LARGE(' Toto teams'!$T$4:$T$119,91),' Toto teams'!$T$4:$T$119,0)))</f>
        <v>Gintas Bungarda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6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6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84</v>
      </c>
      <c r="B95" s="27" t="str">
        <f>IF(92&gt;COUNTIF(' Toto teams'!$A$4:$A$119,"&lt;&gt;"),"",INDEX(' Toto teams'!$A$4:$A$119,MATCH(LARGE(' Toto teams'!$T$4:$T$119,92),' Toto teams'!$T$4:$T$119,0)))</f>
        <v>Rimas Baubonis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6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6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Egidijus Navickas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5.5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5.5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93</v>
      </c>
      <c r="B97" s="27" t="str">
        <f>IF(94&gt;COUNTIF(' Toto teams'!$A$4:$A$119,"&lt;&gt;"),"",INDEX(' Toto teams'!$A$4:$A$119,MATCH(LARGE(' Toto teams'!$T$4:$T$119,94),' Toto teams'!$T$4:$T$119,0)))</f>
        <v>Gintarė Paipulė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5.5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5.5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Alexey Nikitenko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95</v>
      </c>
      <c r="B99" s="27" t="str">
        <f>IF(96&gt;COUNTIF(' Toto teams'!$A$4:$A$119,"&lt;&gt;"),"",INDEX(' Toto teams'!$A$4:$A$119,MATCH(LARGE(' Toto teams'!$T$4:$T$119,96),' Toto teams'!$T$4:$T$119,0)))</f>
        <v>Simona Jociūtė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95</v>
      </c>
      <c r="B100" s="27" t="str">
        <f>IF(97&gt;COUNTIF(' Toto teams'!$A$4:$A$119,"&lt;&gt;"),"",INDEX(' Toto teams'!$A$4:$A$119,MATCH(LARGE(' Toto teams'!$T$4:$T$119,97),' Toto teams'!$T$4:$T$119,0)))</f>
        <v>Anton Panasenko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95</v>
      </c>
      <c r="B101" s="27" t="str">
        <f>IF(98&gt;COUNTIF(' Toto teams'!$A$4:$A$119,"&lt;&gt;"),"",INDEX(' Toto teams'!$A$4:$A$119,MATCH(LARGE(' Toto teams'!$T$4:$T$119,98),' Toto teams'!$T$4:$T$119,0)))</f>
        <v>Renata Čižauskienė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95</v>
      </c>
      <c r="B102" s="27" t="str">
        <f>IF(99&gt;COUNTIF(' Toto teams'!$A$4:$A$119,"&lt;&gt;"),"",INDEX(' Toto teams'!$A$4:$A$119,MATCH(LARGE(' Toto teams'!$T$4:$T$119,99),' Toto teams'!$T$4:$T$119,0)))</f>
        <v>Lukas Vaitukaitis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95</v>
      </c>
      <c r="B103" s="27" t="str">
        <f>IF(100&gt;COUNTIF(' Toto teams'!$A$4:$A$119,"&lt;&gt;"),"",INDEX(' Toto teams'!$A$4:$A$119,MATCH(LARGE(' Toto teams'!$T$4:$T$119,100),' Toto teams'!$T$4:$T$119,0)))</f>
        <v>Darius Jalo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Slava Maltsev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4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4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101</v>
      </c>
      <c r="B105" s="27" t="str">
        <f>IF(102&gt;COUNTIF(' Toto teams'!$A$4:$A$119,"&lt;&gt;"),"",INDEX(' Toto teams'!$A$4:$A$119,MATCH(LARGE(' Toto teams'!$T$4:$T$119,102),' Toto teams'!$T$4:$T$119,0)))</f>
        <v>Miglė Juškaitė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4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4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Benas VII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3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3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103</v>
      </c>
      <c r="B107" s="27" t="str">
        <f>IF(104&gt;COUNTIF(' Toto teams'!$A$4:$A$119,"&lt;&gt;"),"",INDEX(' Toto teams'!$A$4:$A$119,MATCH(LARGE(' Toto teams'!$T$4:$T$119,104),' Toto teams'!$T$4:$T$119,0)))</f>
        <v>Partrikas Oleknavičius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3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3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103</v>
      </c>
      <c r="B108" s="27" t="str">
        <f>IF(105&gt;COUNTIF(' Toto teams'!$A$4:$A$119,"&lt;&gt;"),"",INDEX(' Toto teams'!$A$4:$A$119,MATCH(LARGE(' Toto teams'!$T$4:$T$119,105),' Toto teams'!$T$4:$T$119,0)))</f>
        <v>Giuseppe Diana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3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3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4" activePane="bottomLeft" state="frozen"/>
      <selection pane="bottomLeft" sqref="A1:T1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0</v>
      </c>
      <c r="L4" s="28">
        <f>IFERROR(VLOOKUP(D4,Scoring!$A$4:$N$51,14,FALSE())*3,"-")</f>
        <v>0</v>
      </c>
      <c r="M4" s="28">
        <f>IFERROR(VLOOKUP(E4,Scoring!$A$4:$N$51,14,FALSE())*2,"-")</f>
        <v>2</v>
      </c>
      <c r="N4" s="28">
        <f>IFERROR(VLOOKUP(F4,Scoring!$A$4:$N$51,14,FALSE()),"-")</f>
        <v>0</v>
      </c>
      <c r="O4" s="28">
        <f>IFERROR(VLOOKUP(G4,Scoring!$A$4:$N$51,14,FALSE()),"-")</f>
        <v>0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8</v>
      </c>
      <c r="S4">
        <f t="shared" ref="S4:S35" si="1">IF(A4="","",RANK(R4,$R$4:$R$119))</f>
        <v>66</v>
      </c>
      <c r="T4">
        <f t="shared" ref="T4:T35" si="2">IF(A4="",-1,R4-ROW(R4)/1000000)</f>
        <v>7.9999960000000003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0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0</v>
      </c>
      <c r="Q5" s="29">
        <f>IFERROR(VLOOKUP(I5,Scoring!$A$4:$N$51,6,FALSE()),"-")</f>
        <v>0</v>
      </c>
      <c r="R5" s="36">
        <f t="shared" si="0"/>
        <v>6</v>
      </c>
      <c r="S5">
        <f t="shared" si="1"/>
        <v>84</v>
      </c>
      <c r="T5">
        <f t="shared" si="2"/>
        <v>5.9999950000000002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0</v>
      </c>
      <c r="K6" s="28">
        <f>IFERROR(VLOOKUP(C6,Scoring!$A$4:$N$51,14,FALSE())*4,"-")</f>
        <v>4</v>
      </c>
      <c r="L6" s="28">
        <f>IFERROR(VLOOKUP(D6,Scoring!$A$4:$N$51,14,FALSE())*3,"-")</f>
        <v>0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0</v>
      </c>
      <c r="P6" s="29">
        <f>IFERROR(VLOOKUP(H6,Scoring!$A$4:$N$51,14,FALSE()),"-")</f>
        <v>0</v>
      </c>
      <c r="Q6" s="29">
        <f>IFERROR(VLOOKUP(I6,Scoring!$A$4:$N$51,6,FALSE()),"-")</f>
        <v>0</v>
      </c>
      <c r="R6" s="36">
        <f t="shared" si="0"/>
        <v>4</v>
      </c>
      <c r="S6">
        <f t="shared" si="1"/>
        <v>101</v>
      </c>
      <c r="T6">
        <f t="shared" si="2"/>
        <v>3.999994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0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1</v>
      </c>
      <c r="O7" s="28">
        <f>IFERROR(VLOOKUP(G7,Scoring!$A$4:$N$51,14,FALSE()),"-")</f>
        <v>0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7.5</v>
      </c>
      <c r="S7">
        <f t="shared" si="1"/>
        <v>76</v>
      </c>
      <c r="T7">
        <f t="shared" si="2"/>
        <v>7.4999929999999999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0</v>
      </c>
      <c r="L8" s="28">
        <f>IFERROR(VLOOKUP(D8,Scoring!$A$4:$N$51,14,FALSE())*3,"-")</f>
        <v>0</v>
      </c>
      <c r="M8" s="28">
        <f>IFERROR(VLOOKUP(E8,Scoring!$A$4:$N$51,14,FALSE())*2,"-")</f>
        <v>2</v>
      </c>
      <c r="N8" s="28">
        <f>IFERROR(VLOOKUP(F8,Scoring!$A$4:$N$51,14,FALSE()),"-")</f>
        <v>0</v>
      </c>
      <c r="O8" s="28">
        <f>IFERROR(VLOOKUP(G8,Scoring!$A$4:$N$51,14,FALSE()),"-")</f>
        <v>0</v>
      </c>
      <c r="P8" s="29">
        <f>IFERROR(VLOOKUP(H8,Scoring!$A$4:$N$51,14,FALSE()),"-")</f>
        <v>1</v>
      </c>
      <c r="Q8" s="29">
        <f>IFERROR(VLOOKUP(I8,Scoring!$A$4:$N$51,6,FALSE()),"-")</f>
        <v>0</v>
      </c>
      <c r="R8" s="36">
        <f t="shared" si="0"/>
        <v>9</v>
      </c>
      <c r="S8">
        <f t="shared" si="1"/>
        <v>52</v>
      </c>
      <c r="T8">
        <f t="shared" si="2"/>
        <v>8.9999920000000007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0</v>
      </c>
      <c r="L9" s="28">
        <f>IFERROR(VLOOKUP(D9,Scoring!$A$4:$N$51,14,FALSE())*3,"-")</f>
        <v>0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0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9</v>
      </c>
      <c r="S9">
        <f t="shared" si="1"/>
        <v>52</v>
      </c>
      <c r="T9">
        <f t="shared" si="2"/>
        <v>8.9999909999999996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4</v>
      </c>
      <c r="L10" s="28">
        <f>IFERROR(VLOOKUP(D10,Scoring!$A$4:$N$51,14,FALSE())*3,"-")</f>
        <v>0</v>
      </c>
      <c r="M10" s="28">
        <f>IFERROR(VLOOKUP(E10,Scoring!$A$4:$N$51,14,FALSE())*2,"-")</f>
        <v>6</v>
      </c>
      <c r="N10" s="28">
        <f>IFERROR(VLOOKUP(F10,Scoring!$A$4:$N$51,14,FALSE()),"-")</f>
        <v>0</v>
      </c>
      <c r="O10" s="28">
        <f>IFERROR(VLOOKUP(G10,Scoring!$A$4:$N$51,14,FALSE()),"-")</f>
        <v>0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10</v>
      </c>
      <c r="S10">
        <f t="shared" si="1"/>
        <v>41</v>
      </c>
      <c r="T10">
        <f t="shared" si="2"/>
        <v>9.9999900000000004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0</v>
      </c>
      <c r="L11" s="28">
        <f>IFERROR(VLOOKUP(D11,Scoring!$A$4:$N$51,14,FALSE())*3,"-")</f>
        <v>0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15.5</v>
      </c>
      <c r="S11">
        <f t="shared" si="1"/>
        <v>15</v>
      </c>
      <c r="T11">
        <f t="shared" si="2"/>
        <v>15.499988999999999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0</v>
      </c>
      <c r="K12" s="28">
        <f>IFERROR(VLOOKUP(C12,Scoring!$A$4:$N$51,14,FALSE())*4,"-")</f>
        <v>0</v>
      </c>
      <c r="L12" s="28">
        <f>IFERROR(VLOOKUP(D12,Scoring!$A$4:$N$51,14,FALSE())*3,"-")</f>
        <v>3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0</v>
      </c>
      <c r="R12" s="36">
        <f t="shared" si="0"/>
        <v>3</v>
      </c>
      <c r="S12">
        <f t="shared" si="1"/>
        <v>103</v>
      </c>
      <c r="T12">
        <f t="shared" si="2"/>
        <v>2.9999880000000001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0</v>
      </c>
      <c r="L13" s="28">
        <f>IFERROR(VLOOKUP(D13,Scoring!$A$4:$N$51,14,FALSE())*3,"-")</f>
        <v>0</v>
      </c>
      <c r="M13" s="28">
        <f>IFERROR(VLOOKUP(E13,Scoring!$A$4:$N$51,14,FALSE())*2,"-")</f>
        <v>2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11</v>
      </c>
      <c r="S13">
        <f t="shared" si="1"/>
        <v>31</v>
      </c>
      <c r="T13">
        <f t="shared" si="2"/>
        <v>10.999987000000001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12</v>
      </c>
      <c r="S14">
        <f t="shared" si="1"/>
        <v>26</v>
      </c>
      <c r="T14">
        <f t="shared" si="2"/>
        <v>11.999986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0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11</v>
      </c>
      <c r="S15">
        <f t="shared" si="1"/>
        <v>31</v>
      </c>
      <c r="T15">
        <f t="shared" si="2"/>
        <v>10.999985000000001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0</v>
      </c>
      <c r="K16" s="28">
        <f>IFERROR(VLOOKUP(C16,Scoring!$A$4:$N$51,14,FALSE())*4,"-")</f>
        <v>4</v>
      </c>
      <c r="L16" s="28">
        <f>IFERROR(VLOOKUP(D16,Scoring!$A$4:$N$51,14,FALSE())*3,"-")</f>
        <v>0</v>
      </c>
      <c r="M16" s="28">
        <f>IFERROR(VLOOKUP(E16,Scoring!$A$4:$N$51,14,FALSE())*2,"-")</f>
        <v>0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9</v>
      </c>
      <c r="S16">
        <f t="shared" si="1"/>
        <v>52</v>
      </c>
      <c r="T16">
        <f t="shared" si="2"/>
        <v>8.9999839999999995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4</v>
      </c>
      <c r="L17" s="28">
        <f>IFERROR(VLOOKUP(D17,Scoring!$A$4:$N$51,14,FALSE())*3,"-")</f>
        <v>0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0</v>
      </c>
      <c r="P17" s="29">
        <f>IFERROR(VLOOKUP(H17,Scoring!$A$4:$N$51,14,FALSE()),"-")</f>
        <v>1</v>
      </c>
      <c r="Q17" s="29">
        <f>IFERROR(VLOOKUP(I17,Scoring!$A$4:$N$51,6,FALSE()),"-")</f>
        <v>0</v>
      </c>
      <c r="R17" s="36">
        <f t="shared" si="0"/>
        <v>10</v>
      </c>
      <c r="S17">
        <f t="shared" si="1"/>
        <v>41</v>
      </c>
      <c r="T17">
        <f t="shared" si="2"/>
        <v>9.9999830000000003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0</v>
      </c>
      <c r="K18" s="28">
        <f>IFERROR(VLOOKUP(C18,Scoring!$A$4:$N$51,14,FALSE())*4,"-")</f>
        <v>0</v>
      </c>
      <c r="L18" s="28">
        <f>IFERROR(VLOOKUP(D18,Scoring!$A$4:$N$51,14,FALSE())*3,"-")</f>
        <v>3</v>
      </c>
      <c r="M18" s="28">
        <f>IFERROR(VLOOKUP(E18,Scoring!$A$4:$N$51,14,FALSE())*2,"-")</f>
        <v>0</v>
      </c>
      <c r="N18" s="28">
        <f>IFERROR(VLOOKUP(F18,Scoring!$A$4:$N$51,14,FALSE()),"-")</f>
        <v>3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8</v>
      </c>
      <c r="S18">
        <f t="shared" si="1"/>
        <v>66</v>
      </c>
      <c r="T18">
        <f t="shared" si="2"/>
        <v>7.9999820000000001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0</v>
      </c>
      <c r="L19" s="28">
        <f>IFERROR(VLOOKUP(D19,Scoring!$A$4:$N$51,14,FALSE())*3,"-")</f>
        <v>0</v>
      </c>
      <c r="M19" s="28">
        <f>IFERROR(VLOOKUP(E19,Scoring!$A$4:$N$51,14,FALSE())*2,"-")</f>
        <v>2</v>
      </c>
      <c r="N19" s="28">
        <f>IFERROR(VLOOKUP(F19,Scoring!$A$4:$N$51,14,FALSE()),"-")</f>
        <v>3</v>
      </c>
      <c r="O19" s="28">
        <f>IFERROR(VLOOKUP(G19,Scoring!$A$4:$N$51,14,FALSE()),"-")</f>
        <v>0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11</v>
      </c>
      <c r="S19">
        <f t="shared" si="1"/>
        <v>31</v>
      </c>
      <c r="T19">
        <f t="shared" si="2"/>
        <v>10.999981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0</v>
      </c>
      <c r="K20" s="28">
        <f>IFERROR(VLOOKUP(C20,Scoring!$A$4:$N$51,14,FALSE())*4,"-")</f>
        <v>0</v>
      </c>
      <c r="L20" s="28">
        <f>IFERROR(VLOOKUP(D20,Scoring!$A$4:$N$51,14,FALSE())*3,"-")</f>
        <v>3</v>
      </c>
      <c r="M20" s="28">
        <f>IFERROR(VLOOKUP(E20,Scoring!$A$4:$N$51,14,FALSE())*2,"-")</f>
        <v>0</v>
      </c>
      <c r="N20" s="28">
        <f>IFERROR(VLOOKUP(F20,Scoring!$A$4:$N$51,14,FALSE()),"-")</f>
        <v>1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5</v>
      </c>
      <c r="S20">
        <f t="shared" si="1"/>
        <v>95</v>
      </c>
      <c r="T20">
        <f t="shared" si="2"/>
        <v>4.9999799999999999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0</v>
      </c>
      <c r="M21" s="28">
        <f>IFERROR(VLOOKUP(E21,Scoring!$A$4:$N$51,14,FALSE())*2,"-")</f>
        <v>0</v>
      </c>
      <c r="N21" s="28">
        <f>IFERROR(VLOOKUP(F21,Scoring!$A$4:$N$51,14,FALSE()),"-")</f>
        <v>1</v>
      </c>
      <c r="O21" s="28">
        <f>IFERROR(VLOOKUP(G21,Scoring!$A$4:$N$51,14,FALSE()),"-")</f>
        <v>0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12</v>
      </c>
      <c r="S21">
        <f t="shared" si="1"/>
        <v>26</v>
      </c>
      <c r="T21">
        <f t="shared" si="2"/>
        <v>11.999979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0</v>
      </c>
      <c r="L22" s="28">
        <f>IFERROR(VLOOKUP(D22,Scoring!$A$4:$N$51,14,FALSE())*3,"-")</f>
        <v>0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0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9</v>
      </c>
      <c r="S22">
        <f t="shared" si="1"/>
        <v>52</v>
      </c>
      <c r="T22">
        <f t="shared" si="2"/>
        <v>8.9999780000000005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0</v>
      </c>
      <c r="L23" s="28">
        <f>IFERROR(VLOOKUP(D23,Scoring!$A$4:$N$51,14,FALSE())*3,"-")</f>
        <v>0</v>
      </c>
      <c r="M23" s="28">
        <f>IFERROR(VLOOKUP(E23,Scoring!$A$4:$N$51,14,FALSE())*2,"-")</f>
        <v>0</v>
      </c>
      <c r="N23" s="28">
        <f>IFERROR(VLOOKUP(F23,Scoring!$A$4:$N$51,14,FALSE()),"-")</f>
        <v>0</v>
      </c>
      <c r="O23" s="28">
        <f>IFERROR(VLOOKUP(G23,Scoring!$A$4:$N$51,14,FALSE()),"-")</f>
        <v>0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6</v>
      </c>
      <c r="S23">
        <f t="shared" si="1"/>
        <v>84</v>
      </c>
      <c r="T23">
        <f t="shared" si="2"/>
        <v>5.9999770000000003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0</v>
      </c>
      <c r="K24" s="28">
        <f>IFERROR(VLOOKUP(C24,Scoring!$A$4:$N$51,14,FALSE())*4,"-")</f>
        <v>0</v>
      </c>
      <c r="L24" s="28">
        <f>IFERROR(VLOOKUP(D24,Scoring!$A$4:$N$51,14,FALSE())*3,"-")</f>
        <v>3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0</v>
      </c>
      <c r="Q24" s="29">
        <f>IFERROR(VLOOKUP(I24,Scoring!$A$4:$N$51,6,FALSE()),"-")</f>
        <v>0</v>
      </c>
      <c r="R24" s="36">
        <f t="shared" si="0"/>
        <v>6</v>
      </c>
      <c r="S24">
        <f t="shared" si="1"/>
        <v>84</v>
      </c>
      <c r="T24">
        <f t="shared" si="2"/>
        <v>5.9999760000000002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28.5</v>
      </c>
      <c r="S25">
        <f t="shared" si="1"/>
        <v>2</v>
      </c>
      <c r="T25">
        <f t="shared" si="2"/>
        <v>28.499974999999999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0</v>
      </c>
      <c r="M26" s="28">
        <f>IFERROR(VLOOKUP(E26,Scoring!$A$4:$N$51,14,FALSE())*2,"-")</f>
        <v>0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14</v>
      </c>
      <c r="S26">
        <f t="shared" si="1"/>
        <v>20</v>
      </c>
      <c r="T26">
        <f t="shared" si="2"/>
        <v>13.999974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0</v>
      </c>
      <c r="K27" s="28">
        <f>IFERROR(VLOOKUP(C27,Scoring!$A$4:$N$51,14,FALSE())*4,"-")</f>
        <v>0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0</v>
      </c>
      <c r="P27" s="29">
        <f>IFERROR(VLOOKUP(H27,Scoring!$A$4:$N$51,14,FALSE()),"-")</f>
        <v>0</v>
      </c>
      <c r="Q27" s="29">
        <f>IFERROR(VLOOKUP(I27,Scoring!$A$4:$N$51,6,FALSE()),"-")</f>
        <v>0</v>
      </c>
      <c r="R27" s="36">
        <f t="shared" si="0"/>
        <v>6</v>
      </c>
      <c r="S27">
        <f t="shared" si="1"/>
        <v>84</v>
      </c>
      <c r="T27">
        <f t="shared" si="2"/>
        <v>5.9999729999999998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0</v>
      </c>
      <c r="L28" s="28">
        <f>IFERROR(VLOOKUP(D28,Scoring!$A$4:$N$51,14,FALSE())*3,"-")</f>
        <v>0</v>
      </c>
      <c r="M28" s="28">
        <f>IFERROR(VLOOKUP(E28,Scoring!$A$4:$N$51,14,FALSE())*2,"-")</f>
        <v>0</v>
      </c>
      <c r="N28" s="28">
        <f>IFERROR(VLOOKUP(F28,Scoring!$A$4:$N$51,14,FALSE()),"-")</f>
        <v>3</v>
      </c>
      <c r="O28" s="28">
        <f>IFERROR(VLOOKUP(G28,Scoring!$A$4:$N$51,14,FALSE()),"-")</f>
        <v>0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9</v>
      </c>
      <c r="S28">
        <f t="shared" si="1"/>
        <v>52</v>
      </c>
      <c r="T28">
        <f t="shared" si="2"/>
        <v>8.9999719999999996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0</v>
      </c>
      <c r="L29" s="28">
        <f>IFERROR(VLOOKUP(D29,Scoring!$A$4:$N$51,14,FALSE())*3,"-")</f>
        <v>0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1</v>
      </c>
      <c r="R29" s="36">
        <f t="shared" si="0"/>
        <v>10</v>
      </c>
      <c r="S29">
        <f t="shared" si="1"/>
        <v>41</v>
      </c>
      <c r="T29">
        <f t="shared" si="2"/>
        <v>9.9999710000000004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0</v>
      </c>
      <c r="N30" s="28">
        <f>IFERROR(VLOOKUP(F30,Scoring!$A$4:$N$51,14,FALSE()),"-")</f>
        <v>1</v>
      </c>
      <c r="O30" s="28">
        <f>IFERROR(VLOOKUP(G30,Scoring!$A$4:$N$51,14,FALSE()),"-")</f>
        <v>0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20.5</v>
      </c>
      <c r="S30">
        <f t="shared" si="1"/>
        <v>7</v>
      </c>
      <c r="T30">
        <f t="shared" si="2"/>
        <v>20.499970000000001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0</v>
      </c>
      <c r="K31" s="28">
        <f>IFERROR(VLOOKUP(C31,Scoring!$A$4:$N$51,14,FALSE())*4,"-")</f>
        <v>0</v>
      </c>
      <c r="L31" s="28">
        <f>IFERROR(VLOOKUP(D31,Scoring!$A$4:$N$51,14,FALSE())*3,"-")</f>
        <v>0</v>
      </c>
      <c r="M31" s="28">
        <f>IFERROR(VLOOKUP(E31,Scoring!$A$4:$N$51,14,FALSE())*2,"-")</f>
        <v>2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9</v>
      </c>
      <c r="S31">
        <f t="shared" si="1"/>
        <v>52</v>
      </c>
      <c r="T31">
        <f t="shared" si="2"/>
        <v>8.9999690000000001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0</v>
      </c>
      <c r="L32" s="28">
        <f>IFERROR(VLOOKUP(D32,Scoring!$A$4:$N$51,14,FALSE())*3,"-")</f>
        <v>0</v>
      </c>
      <c r="M32" s="28">
        <f>IFERROR(VLOOKUP(E32,Scoring!$A$4:$N$51,14,FALSE())*2,"-")</f>
        <v>0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7</v>
      </c>
      <c r="S32">
        <f t="shared" si="1"/>
        <v>78</v>
      </c>
      <c r="T32">
        <f t="shared" si="2"/>
        <v>6.999968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0</v>
      </c>
      <c r="Q33" s="29">
        <f>IFERROR(VLOOKUP(I33,Scoring!$A$4:$N$51,6,FALSE()),"-")</f>
        <v>3.5</v>
      </c>
      <c r="R33" s="36">
        <f t="shared" si="0"/>
        <v>26.5</v>
      </c>
      <c r="S33">
        <f t="shared" si="1"/>
        <v>3</v>
      </c>
      <c r="T33">
        <f t="shared" si="2"/>
        <v>26.499967000000002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0</v>
      </c>
      <c r="M34" s="28">
        <f>IFERROR(VLOOKUP(E34,Scoring!$A$4:$N$51,14,FALSE())*2,"-")</f>
        <v>0</v>
      </c>
      <c r="N34" s="28">
        <f>IFERROR(VLOOKUP(F34,Scoring!$A$4:$N$51,14,FALSE()),"-")</f>
        <v>1</v>
      </c>
      <c r="O34" s="28">
        <f>IFERROR(VLOOKUP(G34,Scoring!$A$4:$N$51,14,FALSE()),"-")</f>
        <v>0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11</v>
      </c>
      <c r="S34">
        <f t="shared" si="1"/>
        <v>31</v>
      </c>
      <c r="T34">
        <f t="shared" si="2"/>
        <v>10.999966000000001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0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0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18</v>
      </c>
      <c r="S35">
        <f t="shared" si="1"/>
        <v>12</v>
      </c>
      <c r="T35">
        <f t="shared" si="2"/>
        <v>17.999965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0</v>
      </c>
      <c r="K36" s="28">
        <f>IFERROR(VLOOKUP(C36,Scoring!$A$4:$N$51,14,FALSE())*4,"-")</f>
        <v>12</v>
      </c>
      <c r="L36" s="28">
        <f>IFERROR(VLOOKUP(D36,Scoring!$A$4:$N$51,14,FALSE())*3,"-")</f>
        <v>0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0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19.5</v>
      </c>
      <c r="S36">
        <f t="shared" ref="S36:S67" si="4">IF(A36="","",RANK(R36,$R$4:$R$119))</f>
        <v>10</v>
      </c>
      <c r="T36">
        <f t="shared" ref="T36:T67" si="5">IF(A36="",-1,R36-ROW(R36)/1000000)</f>
        <v>19.499963999999999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0</v>
      </c>
      <c r="L37" s="28">
        <f>IFERROR(VLOOKUP(D37,Scoring!$A$4:$N$51,14,FALSE())*3,"-")</f>
        <v>3</v>
      </c>
      <c r="M37" s="28">
        <f>IFERROR(VLOOKUP(E37,Scoring!$A$4:$N$51,14,FALSE())*2,"-")</f>
        <v>0</v>
      </c>
      <c r="N37" s="28">
        <f>IFERROR(VLOOKUP(F37,Scoring!$A$4:$N$51,14,FALSE()),"-")</f>
        <v>3</v>
      </c>
      <c r="O37" s="28">
        <f>IFERROR(VLOOKUP(G37,Scoring!$A$4:$N$51,14,FALSE()),"-")</f>
        <v>0</v>
      </c>
      <c r="P37" s="29">
        <f>IFERROR(VLOOKUP(H37,Scoring!$A$4:$N$51,14,FALSE()),"-")</f>
        <v>0</v>
      </c>
      <c r="Q37" s="29">
        <f>IFERROR(VLOOKUP(I37,Scoring!$A$4:$N$51,6,FALSE()),"-")</f>
        <v>0.5</v>
      </c>
      <c r="R37" s="36">
        <f t="shared" si="3"/>
        <v>12.5</v>
      </c>
      <c r="S37">
        <f t="shared" si="4"/>
        <v>24</v>
      </c>
      <c r="T37">
        <f t="shared" si="5"/>
        <v>12.499962999999999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0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0.5</v>
      </c>
      <c r="R38" s="36">
        <f t="shared" si="3"/>
        <v>12.5</v>
      </c>
      <c r="S38">
        <f t="shared" si="4"/>
        <v>24</v>
      </c>
      <c r="T38">
        <f t="shared" si="5"/>
        <v>12.499962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0</v>
      </c>
      <c r="L39" s="28">
        <f>IFERROR(VLOOKUP(D39,Scoring!$A$4:$N$51,14,FALSE())*3,"-")</f>
        <v>0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3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12</v>
      </c>
      <c r="S39">
        <f t="shared" si="4"/>
        <v>26</v>
      </c>
      <c r="T39">
        <f t="shared" si="5"/>
        <v>11.999961000000001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0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14.5</v>
      </c>
      <c r="S40">
        <f t="shared" si="4"/>
        <v>18</v>
      </c>
      <c r="T40">
        <f t="shared" si="5"/>
        <v>14.49996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0</v>
      </c>
      <c r="M41" s="28">
        <f>IFERROR(VLOOKUP(E41,Scoring!$A$4:$N$51,14,FALSE())*2,"-")</f>
        <v>0</v>
      </c>
      <c r="N41" s="28">
        <f>IFERROR(VLOOKUP(F41,Scoring!$A$4:$N$51,14,FALSE()),"-")</f>
        <v>1</v>
      </c>
      <c r="O41" s="28">
        <f>IFERROR(VLOOKUP(G41,Scoring!$A$4:$N$51,14,FALSE()),"-")</f>
        <v>0</v>
      </c>
      <c r="P41" s="29">
        <f>IFERROR(VLOOKUP(H41,Scoring!$A$4:$N$51,14,FALSE()),"-")</f>
        <v>0</v>
      </c>
      <c r="Q41" s="29">
        <f>IFERROR(VLOOKUP(I41,Scoring!$A$4:$N$51,6,FALSE()),"-")</f>
        <v>0</v>
      </c>
      <c r="R41" s="36">
        <f t="shared" si="3"/>
        <v>11</v>
      </c>
      <c r="S41">
        <f t="shared" si="4"/>
        <v>31</v>
      </c>
      <c r="T41">
        <f t="shared" si="5"/>
        <v>10.999959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0</v>
      </c>
      <c r="L42" s="28">
        <f>IFERROR(VLOOKUP(D42,Scoring!$A$4:$N$51,14,FALSE())*3,"-")</f>
        <v>0</v>
      </c>
      <c r="M42" s="28">
        <f>IFERROR(VLOOKUP(E42,Scoring!$A$4:$N$51,14,FALSE())*2,"-")</f>
        <v>0</v>
      </c>
      <c r="N42" s="28">
        <f>IFERROR(VLOOKUP(F42,Scoring!$A$4:$N$51,14,FALSE()),"-")</f>
        <v>3</v>
      </c>
      <c r="O42" s="28">
        <f>IFERROR(VLOOKUP(G42,Scoring!$A$4:$N$51,14,FALSE()),"-")</f>
        <v>0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9</v>
      </c>
      <c r="S42">
        <f t="shared" si="4"/>
        <v>52</v>
      </c>
      <c r="T42">
        <f t="shared" si="5"/>
        <v>8.9999579999999995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0</v>
      </c>
      <c r="K43" s="28">
        <f>IFERROR(VLOOKUP(C43,Scoring!$A$4:$N$51,14,FALSE())*4,"-")</f>
        <v>0</v>
      </c>
      <c r="L43" s="28">
        <f>IFERROR(VLOOKUP(D43,Scoring!$A$4:$N$51,14,FALSE())*3,"-")</f>
        <v>3</v>
      </c>
      <c r="M43" s="28">
        <f>IFERROR(VLOOKUP(E43,Scoring!$A$4:$N$51,14,FALSE())*2,"-")</f>
        <v>0</v>
      </c>
      <c r="N43" s="28">
        <f>IFERROR(VLOOKUP(F43,Scoring!$A$4:$N$51,14,FALSE()),"-")</f>
        <v>1</v>
      </c>
      <c r="O43" s="28">
        <f>IFERROR(VLOOKUP(G43,Scoring!$A$4:$N$51,14,FALSE()),"-")</f>
        <v>0</v>
      </c>
      <c r="P43" s="29">
        <f>IFERROR(VLOOKUP(H43,Scoring!$A$4:$N$51,14,FALSE()),"-")</f>
        <v>1</v>
      </c>
      <c r="Q43" s="29">
        <f>IFERROR(VLOOKUP(I43,Scoring!$A$4:$N$51,6,FALSE()),"-")</f>
        <v>0</v>
      </c>
      <c r="R43" s="36">
        <f t="shared" si="3"/>
        <v>5</v>
      </c>
      <c r="S43">
        <f t="shared" si="4"/>
        <v>95</v>
      </c>
      <c r="T43">
        <f t="shared" si="5"/>
        <v>4.9999570000000002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0</v>
      </c>
      <c r="L44" s="28">
        <f>IFERROR(VLOOKUP(D44,Scoring!$A$4:$N$51,14,FALSE())*3,"-")</f>
        <v>0</v>
      </c>
      <c r="M44" s="28">
        <f>IFERROR(VLOOKUP(E44,Scoring!$A$4:$N$51,14,FALSE())*2,"-")</f>
        <v>0</v>
      </c>
      <c r="N44" s="28">
        <f>IFERROR(VLOOKUP(F44,Scoring!$A$4:$N$51,14,FALSE()),"-")</f>
        <v>1</v>
      </c>
      <c r="O44" s="28">
        <f>IFERROR(VLOOKUP(G44,Scoring!$A$4:$N$51,14,FALSE()),"-")</f>
        <v>0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8</v>
      </c>
      <c r="S44">
        <f t="shared" si="4"/>
        <v>66</v>
      </c>
      <c r="T44">
        <f t="shared" si="5"/>
        <v>7.9999560000000001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4</v>
      </c>
      <c r="L45" s="28">
        <f>IFERROR(VLOOKUP(D45,Scoring!$A$4:$N$51,14,FALSE())*3,"-")</f>
        <v>0</v>
      </c>
      <c r="M45" s="28">
        <f>IFERROR(VLOOKUP(E45,Scoring!$A$4:$N$51,14,FALSE())*2,"-")</f>
        <v>0</v>
      </c>
      <c r="N45" s="28">
        <f>IFERROR(VLOOKUP(F45,Scoring!$A$4:$N$51,14,FALSE()),"-")</f>
        <v>0</v>
      </c>
      <c r="O45" s="28">
        <f>IFERROR(VLOOKUP(G45,Scoring!$A$4:$N$51,14,FALSE()),"-")</f>
        <v>0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5</v>
      </c>
      <c r="S45">
        <f t="shared" si="4"/>
        <v>95</v>
      </c>
      <c r="T45">
        <f t="shared" si="5"/>
        <v>4.9999549999999999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0</v>
      </c>
      <c r="L46" s="28">
        <f>IFERROR(VLOOKUP(D46,Scoring!$A$4:$N$51,14,FALSE())*3,"-")</f>
        <v>0</v>
      </c>
      <c r="M46" s="28">
        <f>IFERROR(VLOOKUP(E46,Scoring!$A$4:$N$51,14,FALSE())*2,"-")</f>
        <v>0</v>
      </c>
      <c r="N46" s="28">
        <f>IFERROR(VLOOKUP(F46,Scoring!$A$4:$N$51,14,FALSE()),"-")</f>
        <v>0</v>
      </c>
      <c r="O46" s="28">
        <f>IFERROR(VLOOKUP(G46,Scoring!$A$4:$N$51,14,FALSE()),"-")</f>
        <v>0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7</v>
      </c>
      <c r="S46">
        <f t="shared" si="4"/>
        <v>78</v>
      </c>
      <c r="T46">
        <f t="shared" si="5"/>
        <v>6.9999539999999998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0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0</v>
      </c>
      <c r="O47" s="28">
        <f>IFERROR(VLOOKUP(G47,Scoring!$A$4:$N$51,14,FALSE()),"-")</f>
        <v>0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5.5</v>
      </c>
      <c r="S47">
        <f t="shared" si="4"/>
        <v>93</v>
      </c>
      <c r="T47">
        <f t="shared" si="5"/>
        <v>5.4999529999999996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0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1</v>
      </c>
      <c r="O48" s="28">
        <f>IFERROR(VLOOKUP(G48,Scoring!$A$4:$N$51,14,FALSE()),"-")</f>
        <v>0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7</v>
      </c>
      <c r="S48">
        <f t="shared" si="4"/>
        <v>78</v>
      </c>
      <c r="T48">
        <f t="shared" si="5"/>
        <v>6.9999520000000004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0</v>
      </c>
      <c r="N49" s="28">
        <f>IFERROR(VLOOKUP(F49,Scoring!$A$4:$N$51,14,FALSE()),"-")</f>
        <v>3</v>
      </c>
      <c r="O49" s="28">
        <f>IFERROR(VLOOKUP(G49,Scoring!$A$4:$N$51,14,FALSE()),"-")</f>
        <v>0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32.5</v>
      </c>
      <c r="S49">
        <f t="shared" si="4"/>
        <v>1</v>
      </c>
      <c r="T49">
        <f t="shared" si="5"/>
        <v>32.499951000000003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0</v>
      </c>
      <c r="N50" s="28">
        <f>IFERROR(VLOOKUP(F50,Scoring!$A$4:$N$51,14,FALSE()),"-")</f>
        <v>0</v>
      </c>
      <c r="O50" s="28">
        <f>IFERROR(VLOOKUP(G50,Scoring!$A$4:$N$51,14,FALSE()),"-")</f>
        <v>0</v>
      </c>
      <c r="P50" s="29">
        <f>IFERROR(VLOOKUP(H50,Scoring!$A$4:$N$51,14,FALSE()),"-")</f>
        <v>0</v>
      </c>
      <c r="Q50" s="29">
        <f>IFERROR(VLOOKUP(I50,Scoring!$A$4:$N$51,6,FALSE()),"-")</f>
        <v>0.5</v>
      </c>
      <c r="R50" s="36">
        <f t="shared" si="3"/>
        <v>7.5</v>
      </c>
      <c r="S50">
        <f t="shared" si="4"/>
        <v>76</v>
      </c>
      <c r="T50">
        <f t="shared" si="5"/>
        <v>7.4999500000000001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0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14.5</v>
      </c>
      <c r="S51">
        <f t="shared" si="4"/>
        <v>18</v>
      </c>
      <c r="T51">
        <f t="shared" si="5"/>
        <v>14.499949000000001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0</v>
      </c>
      <c r="L52" s="28">
        <f>IFERROR(VLOOKUP(D52,Scoring!$A$4:$N$51,14,FALSE())*3,"-")</f>
        <v>0</v>
      </c>
      <c r="M52" s="28">
        <f>IFERROR(VLOOKUP(E52,Scoring!$A$4:$N$51,14,FALSE())*2,"-")</f>
        <v>0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11</v>
      </c>
      <c r="S52">
        <f t="shared" si="4"/>
        <v>31</v>
      </c>
      <c r="T52">
        <f t="shared" si="5"/>
        <v>10.999948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0</v>
      </c>
      <c r="L53" s="28">
        <f>IFERROR(VLOOKUP(D53,Scoring!$A$4:$N$51,14,FALSE())*3,"-")</f>
        <v>0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0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10.5</v>
      </c>
      <c r="S53">
        <f t="shared" si="4"/>
        <v>39</v>
      </c>
      <c r="T53">
        <f t="shared" si="5"/>
        <v>10.499947000000001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0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9</v>
      </c>
      <c r="S54">
        <f t="shared" si="4"/>
        <v>52</v>
      </c>
      <c r="T54">
        <f t="shared" si="5"/>
        <v>8.9999459999999996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0</v>
      </c>
      <c r="L55" s="28">
        <f>IFERROR(VLOOKUP(D55,Scoring!$A$4:$N$51,14,FALSE())*3,"-")</f>
        <v>3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0</v>
      </c>
      <c r="Q55" s="29">
        <f>IFERROR(VLOOKUP(I55,Scoring!$A$4:$N$51,6,FALSE()),"-")</f>
        <v>0</v>
      </c>
      <c r="R55" s="36">
        <f t="shared" si="3"/>
        <v>15</v>
      </c>
      <c r="S55">
        <f t="shared" si="4"/>
        <v>17</v>
      </c>
      <c r="T55">
        <f t="shared" si="5"/>
        <v>14.999945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0</v>
      </c>
      <c r="L56" s="28">
        <f>IFERROR(VLOOKUP(D56,Scoring!$A$4:$N$51,14,FALSE())*3,"-")</f>
        <v>3</v>
      </c>
      <c r="M56" s="28">
        <f>IFERROR(VLOOKUP(E56,Scoring!$A$4:$N$51,14,FALSE())*2,"-")</f>
        <v>0</v>
      </c>
      <c r="N56" s="28">
        <f>IFERROR(VLOOKUP(F56,Scoring!$A$4:$N$51,14,FALSE()),"-")</f>
        <v>1</v>
      </c>
      <c r="O56" s="28">
        <f>IFERROR(VLOOKUP(G56,Scoring!$A$4:$N$51,14,FALSE()),"-")</f>
        <v>0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11</v>
      </c>
      <c r="S56">
        <f t="shared" si="4"/>
        <v>31</v>
      </c>
      <c r="T56">
        <f t="shared" si="5"/>
        <v>10.999943999999999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0</v>
      </c>
      <c r="K57" s="28">
        <f>IFERROR(VLOOKUP(C57,Scoring!$A$4:$N$51,14,FALSE())*4,"-")</f>
        <v>0</v>
      </c>
      <c r="L57" s="28">
        <f>IFERROR(VLOOKUP(D57,Scoring!$A$4:$N$51,14,FALSE())*3,"-")</f>
        <v>3</v>
      </c>
      <c r="M57" s="28">
        <f>IFERROR(VLOOKUP(E57,Scoring!$A$4:$N$51,14,FALSE())*2,"-")</f>
        <v>0</v>
      </c>
      <c r="N57" s="28">
        <f>IFERROR(VLOOKUP(F57,Scoring!$A$4:$N$51,14,FALSE()),"-")</f>
        <v>1</v>
      </c>
      <c r="O57" s="28">
        <f>IFERROR(VLOOKUP(G57,Scoring!$A$4:$N$51,14,FALSE()),"-")</f>
        <v>1</v>
      </c>
      <c r="P57" s="29">
        <f>IFERROR(VLOOKUP(H57,Scoring!$A$4:$N$51,14,FALSE()),"-")</f>
        <v>0</v>
      </c>
      <c r="Q57" s="29">
        <f>IFERROR(VLOOKUP(I57,Scoring!$A$4:$N$51,6,FALSE()),"-")</f>
        <v>0</v>
      </c>
      <c r="R57" s="36">
        <f t="shared" si="3"/>
        <v>5</v>
      </c>
      <c r="S57">
        <f t="shared" si="4"/>
        <v>95</v>
      </c>
      <c r="T57">
        <f t="shared" si="5"/>
        <v>4.999943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0</v>
      </c>
      <c r="K58" s="28">
        <f>IFERROR(VLOOKUP(C58,Scoring!$A$4:$N$51,14,FALSE())*4,"-")</f>
        <v>4</v>
      </c>
      <c r="L58" s="28">
        <f>IFERROR(VLOOKUP(D58,Scoring!$A$4:$N$51,14,FALSE())*3,"-")</f>
        <v>0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8</v>
      </c>
      <c r="S58">
        <f t="shared" si="4"/>
        <v>66</v>
      </c>
      <c r="T58">
        <f t="shared" si="5"/>
        <v>7.9999419999999999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0</v>
      </c>
      <c r="K59" s="28">
        <f>IFERROR(VLOOKUP(C59,Scoring!$A$4:$N$51,14,FALSE())*4,"-")</f>
        <v>4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9</v>
      </c>
      <c r="S59">
        <f t="shared" si="4"/>
        <v>52</v>
      </c>
      <c r="T59">
        <f t="shared" si="5"/>
        <v>8.9999409999999997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0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23.5</v>
      </c>
      <c r="S60">
        <f t="shared" si="4"/>
        <v>5</v>
      </c>
      <c r="T60">
        <f t="shared" si="5"/>
        <v>23.499939999999999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0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6</v>
      </c>
      <c r="S61">
        <f t="shared" si="4"/>
        <v>84</v>
      </c>
      <c r="T61">
        <f t="shared" si="5"/>
        <v>5.9999390000000004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2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25.5</v>
      </c>
      <c r="S62">
        <f t="shared" si="4"/>
        <v>4</v>
      </c>
      <c r="T62">
        <f t="shared" si="5"/>
        <v>25.499938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0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0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0</v>
      </c>
      <c r="R63" s="36">
        <f t="shared" si="3"/>
        <v>10</v>
      </c>
      <c r="S63">
        <f t="shared" si="4"/>
        <v>41</v>
      </c>
      <c r="T63">
        <f t="shared" si="5"/>
        <v>9.9999369999999992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0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0</v>
      </c>
      <c r="N64" s="28">
        <f>IFERROR(VLOOKUP(F64,Scoring!$A$4:$N$51,14,FALSE()),"-")</f>
        <v>1</v>
      </c>
      <c r="O64" s="28">
        <f>IFERROR(VLOOKUP(G64,Scoring!$A$4:$N$51,14,FALSE()),"-")</f>
        <v>0</v>
      </c>
      <c r="P64" s="29">
        <f>IFERROR(VLOOKUP(H64,Scoring!$A$4:$N$51,14,FALSE()),"-")</f>
        <v>0</v>
      </c>
      <c r="Q64" s="29">
        <f>IFERROR(VLOOKUP(I64,Scoring!$A$4:$N$51,6,FALSE()),"-")</f>
        <v>0</v>
      </c>
      <c r="R64" s="36">
        <f t="shared" si="3"/>
        <v>8</v>
      </c>
      <c r="S64">
        <f t="shared" si="4"/>
        <v>66</v>
      </c>
      <c r="T64">
        <f t="shared" si="5"/>
        <v>7.9999359999999999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0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0</v>
      </c>
      <c r="P65" s="29">
        <f>IFERROR(VLOOKUP(H65,Scoring!$A$4:$N$51,14,FALSE()),"-")</f>
        <v>0</v>
      </c>
      <c r="Q65" s="29">
        <f>IFERROR(VLOOKUP(I65,Scoring!$A$4:$N$51,6,FALSE()),"-")</f>
        <v>0</v>
      </c>
      <c r="R65" s="36">
        <f t="shared" si="3"/>
        <v>5</v>
      </c>
      <c r="S65">
        <f t="shared" si="4"/>
        <v>95</v>
      </c>
      <c r="T65">
        <f t="shared" si="5"/>
        <v>4.9999349999999998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0</v>
      </c>
      <c r="O66" s="28">
        <f>IFERROR(VLOOKUP(G66,Scoring!$A$4:$N$51,14,FALSE()),"-")</f>
        <v>0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22.5</v>
      </c>
      <c r="S66">
        <f t="shared" si="4"/>
        <v>6</v>
      </c>
      <c r="T66">
        <f t="shared" si="5"/>
        <v>22.499934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0</v>
      </c>
      <c r="L67" s="28">
        <f>IFERROR(VLOOKUP(D67,Scoring!$A$4:$N$51,14,FALSE())*3,"-")</f>
        <v>0</v>
      </c>
      <c r="M67" s="28">
        <f>IFERROR(VLOOKUP(E67,Scoring!$A$4:$N$51,14,FALSE())*2,"-")</f>
        <v>0</v>
      </c>
      <c r="N67" s="28">
        <f>IFERROR(VLOOKUP(F67,Scoring!$A$4:$N$51,14,FALSE()),"-")</f>
        <v>1</v>
      </c>
      <c r="O67" s="28">
        <f>IFERROR(VLOOKUP(G67,Scoring!$A$4:$N$51,14,FALSE()),"-")</f>
        <v>0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7</v>
      </c>
      <c r="S67">
        <f t="shared" si="4"/>
        <v>78</v>
      </c>
      <c r="T67">
        <f t="shared" si="5"/>
        <v>6.9999330000000004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0</v>
      </c>
      <c r="M68" s="28">
        <f>IFERROR(VLOOKUP(E68,Scoring!$A$4:$N$51,14,FALSE())*2,"-")</f>
        <v>0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15.5</v>
      </c>
      <c r="S68">
        <f t="shared" ref="S68:S99" si="7">IF(A68="","",RANK(R68,$R$4:$R$119))</f>
        <v>15</v>
      </c>
      <c r="T68">
        <f t="shared" ref="T68:T99" si="8">IF(A68="",-1,R68-ROW(R68)/1000000)</f>
        <v>15.499931999999999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0</v>
      </c>
      <c r="K69" s="28">
        <f>IFERROR(VLOOKUP(C69,Scoring!$A$4:$N$51,14,FALSE())*4,"-")</f>
        <v>0</v>
      </c>
      <c r="L69" s="28">
        <f>IFERROR(VLOOKUP(D69,Scoring!$A$4:$N$51,14,FALSE())*3,"-")</f>
        <v>3</v>
      </c>
      <c r="M69" s="28">
        <f>IFERROR(VLOOKUP(E69,Scoring!$A$4:$N$51,14,FALSE())*2,"-")</f>
        <v>0</v>
      </c>
      <c r="N69" s="28">
        <f>IFERROR(VLOOKUP(F69,Scoring!$A$4:$N$51,14,FALSE()),"-")</f>
        <v>3</v>
      </c>
      <c r="O69" s="28">
        <f>IFERROR(VLOOKUP(G69,Scoring!$A$4:$N$51,14,FALSE()),"-")</f>
        <v>1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7</v>
      </c>
      <c r="S69">
        <f t="shared" si="7"/>
        <v>78</v>
      </c>
      <c r="T69">
        <f t="shared" si="8"/>
        <v>6.9999310000000001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0</v>
      </c>
      <c r="K70" s="28">
        <f>IFERROR(VLOOKUP(C70,Scoring!$A$4:$N$51,14,FALSE())*4,"-")</f>
        <v>0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0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0</v>
      </c>
      <c r="R70" s="36">
        <f t="shared" si="6"/>
        <v>6</v>
      </c>
      <c r="S70">
        <f t="shared" si="7"/>
        <v>84</v>
      </c>
      <c r="T70">
        <f t="shared" si="8"/>
        <v>5.99993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0</v>
      </c>
      <c r="M71" s="28">
        <f>IFERROR(VLOOKUP(E71,Scoring!$A$4:$N$51,14,FALSE())*2,"-")</f>
        <v>0</v>
      </c>
      <c r="N71" s="28">
        <f>IFERROR(VLOOKUP(F71,Scoring!$A$4:$N$51,14,FALSE()),"-")</f>
        <v>3</v>
      </c>
      <c r="O71" s="28">
        <f>IFERROR(VLOOKUP(G71,Scoring!$A$4:$N$51,14,FALSE()),"-")</f>
        <v>0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13</v>
      </c>
      <c r="S71">
        <f t="shared" si="7"/>
        <v>21</v>
      </c>
      <c r="T71">
        <f t="shared" si="8"/>
        <v>12.999929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0</v>
      </c>
      <c r="L72" s="28">
        <f>IFERROR(VLOOKUP(D72,Scoring!$A$4:$N$51,14,FALSE())*3,"-")</f>
        <v>3</v>
      </c>
      <c r="M72" s="28">
        <f>IFERROR(VLOOKUP(E72,Scoring!$A$4:$N$51,14,FALSE())*2,"-")</f>
        <v>0</v>
      </c>
      <c r="N72" s="28">
        <f>IFERROR(VLOOKUP(F72,Scoring!$A$4:$N$51,14,FALSE()),"-")</f>
        <v>0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13</v>
      </c>
      <c r="S72">
        <f t="shared" si="7"/>
        <v>21</v>
      </c>
      <c r="T72">
        <f t="shared" si="8"/>
        <v>12.999928000000001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0</v>
      </c>
      <c r="N73" s="28">
        <f>IFERROR(VLOOKUP(F73,Scoring!$A$4:$N$51,14,FALSE()),"-")</f>
        <v>3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0</v>
      </c>
      <c r="R73" s="36">
        <f t="shared" si="6"/>
        <v>20</v>
      </c>
      <c r="S73">
        <f t="shared" si="7"/>
        <v>8</v>
      </c>
      <c r="T73">
        <f t="shared" si="8"/>
        <v>19.999927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0</v>
      </c>
      <c r="L74" s="28">
        <f>IFERROR(VLOOKUP(D74,Scoring!$A$4:$N$51,14,FALSE())*3,"-")</f>
        <v>0</v>
      </c>
      <c r="M74" s="28">
        <f>IFERROR(VLOOKUP(E74,Scoring!$A$4:$N$51,14,FALSE())*2,"-")</f>
        <v>0</v>
      </c>
      <c r="N74" s="28">
        <f>IFERROR(VLOOKUP(F74,Scoring!$A$4:$N$51,14,FALSE()),"-")</f>
        <v>1</v>
      </c>
      <c r="O74" s="28">
        <f>IFERROR(VLOOKUP(G74,Scoring!$A$4:$N$51,14,FALSE()),"-")</f>
        <v>0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8</v>
      </c>
      <c r="S74">
        <f t="shared" si="7"/>
        <v>66</v>
      </c>
      <c r="T74">
        <f t="shared" si="8"/>
        <v>7.9999260000000003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0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10</v>
      </c>
      <c r="S75">
        <f t="shared" si="7"/>
        <v>41</v>
      </c>
      <c r="T75">
        <f t="shared" si="8"/>
        <v>9.9999249999999993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0</v>
      </c>
      <c r="M76" s="28">
        <f>IFERROR(VLOOKUP(E76,Scoring!$A$4:$N$51,14,FALSE())*2,"-")</f>
        <v>0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0</v>
      </c>
      <c r="R76" s="36">
        <f t="shared" si="6"/>
        <v>4</v>
      </c>
      <c r="S76">
        <f t="shared" si="7"/>
        <v>101</v>
      </c>
      <c r="T76">
        <f t="shared" si="8"/>
        <v>3.999924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0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10</v>
      </c>
      <c r="S77">
        <f t="shared" si="7"/>
        <v>41</v>
      </c>
      <c r="T77">
        <f t="shared" si="8"/>
        <v>9.9999230000000008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4</v>
      </c>
      <c r="L78" s="28">
        <f>IFERROR(VLOOKUP(D78,Scoring!$A$4:$N$51,14,FALSE())*3,"-")</f>
        <v>0</v>
      </c>
      <c r="M78" s="28">
        <f>IFERROR(VLOOKUP(E78,Scoring!$A$4:$N$51,14,FALSE())*2,"-")</f>
        <v>0</v>
      </c>
      <c r="N78" s="28">
        <f>IFERROR(VLOOKUP(F78,Scoring!$A$4:$N$51,14,FALSE()),"-")</f>
        <v>1</v>
      </c>
      <c r="O78" s="28">
        <f>IFERROR(VLOOKUP(G78,Scoring!$A$4:$N$51,14,FALSE()),"-")</f>
        <v>0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6</v>
      </c>
      <c r="S78">
        <f t="shared" si="7"/>
        <v>84</v>
      </c>
      <c r="T78">
        <f t="shared" si="8"/>
        <v>5.9999219999999998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0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0</v>
      </c>
      <c r="R79" s="36">
        <f t="shared" si="6"/>
        <v>8</v>
      </c>
      <c r="S79">
        <f t="shared" si="7"/>
        <v>66</v>
      </c>
      <c r="T79">
        <f t="shared" si="8"/>
        <v>7.9999209999999996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0</v>
      </c>
      <c r="M80" s="28">
        <f>IFERROR(VLOOKUP(E80,Scoring!$A$4:$N$51,14,FALSE())*2,"-")</f>
        <v>0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13</v>
      </c>
      <c r="S80">
        <f t="shared" si="7"/>
        <v>21</v>
      </c>
      <c r="T80">
        <f t="shared" si="8"/>
        <v>12.999919999999999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0</v>
      </c>
      <c r="K81" s="28">
        <f>IFERROR(VLOOKUP(C81,Scoring!$A$4:$N$51,14,FALSE())*4,"-")</f>
        <v>0</v>
      </c>
      <c r="L81" s="28">
        <f>IFERROR(VLOOKUP(D81,Scoring!$A$4:$N$51,14,FALSE())*3,"-")</f>
        <v>3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0</v>
      </c>
      <c r="P81" s="29">
        <f>IFERROR(VLOOKUP(H81,Scoring!$A$4:$N$51,14,FALSE()),"-")</f>
        <v>0</v>
      </c>
      <c r="Q81" s="29">
        <f>IFERROR(VLOOKUP(I81,Scoring!$A$4:$N$51,6,FALSE()),"-")</f>
        <v>0</v>
      </c>
      <c r="R81" s="36">
        <f t="shared" si="6"/>
        <v>3</v>
      </c>
      <c r="S81">
        <f t="shared" si="7"/>
        <v>103</v>
      </c>
      <c r="T81">
        <f t="shared" si="8"/>
        <v>2.9999189999999998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0</v>
      </c>
      <c r="M82" s="28">
        <f>IFERROR(VLOOKUP(E82,Scoring!$A$4:$N$51,14,FALSE())*2,"-")</f>
        <v>0</v>
      </c>
      <c r="N82" s="28">
        <f>IFERROR(VLOOKUP(F82,Scoring!$A$4:$N$51,14,FALSE()),"-")</f>
        <v>0</v>
      </c>
      <c r="O82" s="28">
        <f>IFERROR(VLOOKUP(G82,Scoring!$A$4:$N$51,14,FALSE()),"-")</f>
        <v>1</v>
      </c>
      <c r="P82" s="29">
        <f>IFERROR(VLOOKUP(H82,Scoring!$A$4:$N$51,14,FALSE()),"-")</f>
        <v>1</v>
      </c>
      <c r="Q82" s="29">
        <f>IFERROR(VLOOKUP(I82,Scoring!$A$4:$N$51,6,FALSE()),"-")</f>
        <v>0</v>
      </c>
      <c r="R82" s="36">
        <f t="shared" si="6"/>
        <v>20</v>
      </c>
      <c r="S82">
        <f t="shared" si="7"/>
        <v>8</v>
      </c>
      <c r="T82">
        <f t="shared" si="8"/>
        <v>19.999918000000001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0</v>
      </c>
      <c r="L83" s="28">
        <f>IFERROR(VLOOKUP(D83,Scoring!$A$4:$N$51,14,FALSE())*3,"-")</f>
        <v>3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0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3</v>
      </c>
      <c r="S83">
        <f t="shared" si="7"/>
        <v>103</v>
      </c>
      <c r="T83">
        <f t="shared" si="8"/>
        <v>2.9999169999999999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0</v>
      </c>
      <c r="L84" s="28">
        <f>IFERROR(VLOOKUP(D84,Scoring!$A$4:$N$51,14,FALSE())*3,"-")</f>
        <v>0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10</v>
      </c>
      <c r="S84">
        <f t="shared" si="7"/>
        <v>41</v>
      </c>
      <c r="T84">
        <f t="shared" si="8"/>
        <v>9.9999160000000007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0</v>
      </c>
      <c r="L85" s="28">
        <f>IFERROR(VLOOKUP(D85,Scoring!$A$4:$N$51,14,FALSE())*3,"-")</f>
        <v>0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9</v>
      </c>
      <c r="S85">
        <f t="shared" si="7"/>
        <v>52</v>
      </c>
      <c r="T85">
        <f t="shared" si="8"/>
        <v>8.9999149999999997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0</v>
      </c>
      <c r="L86" s="28">
        <f>IFERROR(VLOOKUP(D86,Scoring!$A$4:$N$51,14,FALSE())*3,"-")</f>
        <v>9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19</v>
      </c>
      <c r="S86">
        <f t="shared" si="7"/>
        <v>11</v>
      </c>
      <c r="T86">
        <f t="shared" si="8"/>
        <v>18.999914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0</v>
      </c>
      <c r="K87" s="28">
        <f>IFERROR(VLOOKUP(C87,Scoring!$A$4:$N$51,14,FALSE())*4,"-")</f>
        <v>0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0</v>
      </c>
      <c r="R87" s="36">
        <f t="shared" si="6"/>
        <v>10</v>
      </c>
      <c r="S87">
        <f t="shared" si="7"/>
        <v>41</v>
      </c>
      <c r="T87">
        <f t="shared" si="8"/>
        <v>9.9999129999999994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0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0</v>
      </c>
      <c r="N88" s="28">
        <f>IFERROR(VLOOKUP(F88,Scoring!$A$4:$N$51,14,FALSE()),"-")</f>
        <v>0</v>
      </c>
      <c r="O88" s="28">
        <f>IFERROR(VLOOKUP(G88,Scoring!$A$4:$N$51,14,FALSE()),"-")</f>
        <v>0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8.5</v>
      </c>
      <c r="S88">
        <f t="shared" si="7"/>
        <v>65</v>
      </c>
      <c r="T88">
        <f t="shared" si="8"/>
        <v>8.4999120000000001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0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11</v>
      </c>
      <c r="S89">
        <f t="shared" si="7"/>
        <v>31</v>
      </c>
      <c r="T89">
        <f t="shared" si="8"/>
        <v>10.999911000000001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0</v>
      </c>
      <c r="K90" s="28">
        <f>IFERROR(VLOOKUP(C90,Scoring!$A$4:$N$51,14,FALSE())*4,"-")</f>
        <v>4</v>
      </c>
      <c r="L90" s="28">
        <f>IFERROR(VLOOKUP(D90,Scoring!$A$4:$N$51,14,FALSE())*3,"-")</f>
        <v>0</v>
      </c>
      <c r="M90" s="28">
        <f>IFERROR(VLOOKUP(E90,Scoring!$A$4:$N$51,14,FALSE())*2,"-")</f>
        <v>0</v>
      </c>
      <c r="N90" s="28">
        <f>IFERROR(VLOOKUP(F90,Scoring!$A$4:$N$51,14,FALSE()),"-")</f>
        <v>1</v>
      </c>
      <c r="O90" s="28">
        <f>IFERROR(VLOOKUP(G90,Scoring!$A$4:$N$51,14,FALSE()),"-")</f>
        <v>0</v>
      </c>
      <c r="P90" s="29">
        <f>IFERROR(VLOOKUP(H90,Scoring!$A$4:$N$51,14,FALSE()),"-")</f>
        <v>1</v>
      </c>
      <c r="Q90" s="29">
        <f>IFERROR(VLOOKUP(I90,Scoring!$A$4:$N$51,6,FALSE()),"-")</f>
        <v>0</v>
      </c>
      <c r="R90" s="36">
        <f t="shared" si="6"/>
        <v>6</v>
      </c>
      <c r="S90">
        <f t="shared" si="7"/>
        <v>84</v>
      </c>
      <c r="T90">
        <f t="shared" si="8"/>
        <v>5.9999099999999999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0</v>
      </c>
      <c r="L91" s="28">
        <f>IFERROR(VLOOKUP(D91,Scoring!$A$4:$N$51,14,FALSE())*3,"-")</f>
        <v>0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0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8</v>
      </c>
      <c r="S91">
        <f t="shared" si="7"/>
        <v>66</v>
      </c>
      <c r="T91">
        <f t="shared" si="8"/>
        <v>7.9999089999999997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0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0</v>
      </c>
      <c r="P92" s="29">
        <f>IFERROR(VLOOKUP(H92,Scoring!$A$4:$N$51,14,FALSE()),"-")</f>
        <v>1</v>
      </c>
      <c r="Q92" s="29">
        <f>IFERROR(VLOOKUP(I92,Scoring!$A$4:$N$51,6,FALSE()),"-")</f>
        <v>0</v>
      </c>
      <c r="R92" s="36">
        <f t="shared" si="6"/>
        <v>9</v>
      </c>
      <c r="S92">
        <f t="shared" si="7"/>
        <v>52</v>
      </c>
      <c r="T92">
        <f t="shared" si="8"/>
        <v>8.9999079999999996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0</v>
      </c>
      <c r="L93" s="28">
        <f>IFERROR(VLOOKUP(D93,Scoring!$A$4:$N$51,14,FALSE())*3,"-")</f>
        <v>0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0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12</v>
      </c>
      <c r="S93">
        <f t="shared" si="7"/>
        <v>26</v>
      </c>
      <c r="T93">
        <f t="shared" si="8"/>
        <v>11.999907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0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0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10.5</v>
      </c>
      <c r="S94">
        <f t="shared" si="7"/>
        <v>39</v>
      </c>
      <c r="T94">
        <f t="shared" si="8"/>
        <v>10.499905999999999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0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0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18</v>
      </c>
      <c r="S95">
        <f t="shared" si="7"/>
        <v>12</v>
      </c>
      <c r="T95">
        <f t="shared" si="8"/>
        <v>17.999904999999998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0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0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8</v>
      </c>
      <c r="S96">
        <f t="shared" si="7"/>
        <v>66</v>
      </c>
      <c r="T96">
        <f t="shared" si="8"/>
        <v>7.9999039999999999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0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0</v>
      </c>
      <c r="R97" s="36">
        <f t="shared" si="6"/>
        <v>9</v>
      </c>
      <c r="S97">
        <f t="shared" si="7"/>
        <v>52</v>
      </c>
      <c r="T97">
        <f t="shared" si="8"/>
        <v>8.9999029999999998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4</v>
      </c>
      <c r="L98" s="28">
        <f>IFERROR(VLOOKUP(D98,Scoring!$A$4:$N$51,14,FALSE())*3,"-")</f>
        <v>0</v>
      </c>
      <c r="M98" s="28">
        <f>IFERROR(VLOOKUP(E98,Scoring!$A$4:$N$51,14,FALSE())*2,"-")</f>
        <v>0</v>
      </c>
      <c r="N98" s="28">
        <f>IFERROR(VLOOKUP(F98,Scoring!$A$4:$N$51,14,FALSE()),"-")</f>
        <v>0</v>
      </c>
      <c r="O98" s="28">
        <f>IFERROR(VLOOKUP(G98,Scoring!$A$4:$N$51,14,FALSE()),"-")</f>
        <v>0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5</v>
      </c>
      <c r="S98">
        <f t="shared" si="7"/>
        <v>95</v>
      </c>
      <c r="T98">
        <f t="shared" si="8"/>
        <v>4.9999019999999996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0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0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9.5</v>
      </c>
      <c r="S99">
        <f t="shared" si="7"/>
        <v>51</v>
      </c>
      <c r="T99">
        <f t="shared" si="8"/>
        <v>9.4999009999999995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0</v>
      </c>
      <c r="M100" s="28">
        <f>IFERROR(VLOOKUP(E100,Scoring!$A$4:$N$51,14,FALSE())*2,"-")</f>
        <v>0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12</v>
      </c>
      <c r="S100">
        <f t="shared" ref="S100:S119" si="10">IF(A100="","",RANK(R100,$R$4:$R$119))</f>
        <v>26</v>
      </c>
      <c r="T100">
        <f t="shared" ref="T100:T119" si="11">IF(A100="",-1,R100-ROW(R100)/1000000)</f>
        <v>11.9999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0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0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0</v>
      </c>
      <c r="R101" s="36">
        <f t="shared" si="9"/>
        <v>9</v>
      </c>
      <c r="S101">
        <f t="shared" si="10"/>
        <v>52</v>
      </c>
      <c r="T101">
        <f t="shared" si="11"/>
        <v>8.9998989999999992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0</v>
      </c>
      <c r="L102" s="28">
        <f>IFERROR(VLOOKUP(D102,Scoring!$A$4:$N$51,14,FALSE())*3,"-")</f>
        <v>0</v>
      </c>
      <c r="M102" s="28">
        <f>IFERROR(VLOOKUP(E102,Scoring!$A$4:$N$51,14,FALSE())*2,"-")</f>
        <v>0</v>
      </c>
      <c r="N102" s="28">
        <f>IFERROR(VLOOKUP(F102,Scoring!$A$4:$N$51,14,FALSE()),"-")</f>
        <v>3</v>
      </c>
      <c r="O102" s="28">
        <f>IFERROR(VLOOKUP(G102,Scoring!$A$4:$N$51,14,FALSE()),"-")</f>
        <v>0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10</v>
      </c>
      <c r="S102">
        <f t="shared" si="10"/>
        <v>41</v>
      </c>
      <c r="T102">
        <f t="shared" si="11"/>
        <v>9.999898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4</v>
      </c>
      <c r="L103" s="28">
        <f>IFERROR(VLOOKUP(D103,Scoring!$A$4:$N$51,14,FALSE())*3,"-")</f>
        <v>0</v>
      </c>
      <c r="M103" s="28">
        <f>IFERROR(VLOOKUP(E103,Scoring!$A$4:$N$51,14,FALSE())*2,"-")</f>
        <v>0</v>
      </c>
      <c r="N103" s="28">
        <f>IFERROR(VLOOKUP(F103,Scoring!$A$4:$N$51,14,FALSE()),"-")</f>
        <v>1</v>
      </c>
      <c r="O103" s="28">
        <f>IFERROR(VLOOKUP(G103,Scoring!$A$4:$N$51,14,FALSE()),"-")</f>
        <v>1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6</v>
      </c>
      <c r="S103">
        <f t="shared" si="10"/>
        <v>84</v>
      </c>
      <c r="T103">
        <f t="shared" si="11"/>
        <v>5.9998969999999998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0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0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17.5</v>
      </c>
      <c r="S104">
        <f t="shared" si="10"/>
        <v>14</v>
      </c>
      <c r="T104">
        <f t="shared" si="11"/>
        <v>17.499896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0</v>
      </c>
      <c r="K105" s="28">
        <f>IFERROR(VLOOKUP(C105,Scoring!$A$4:$N$51,14,FALSE())*4,"-")</f>
        <v>4</v>
      </c>
      <c r="L105" s="28">
        <f>IFERROR(VLOOKUP(D105,Scoring!$A$4:$N$51,14,FALSE())*3,"-")</f>
        <v>0</v>
      </c>
      <c r="M105" s="28">
        <f>IFERROR(VLOOKUP(E105,Scoring!$A$4:$N$51,14,FALSE())*2,"-")</f>
        <v>0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0</v>
      </c>
      <c r="R105" s="36">
        <f t="shared" si="9"/>
        <v>7</v>
      </c>
      <c r="S105">
        <f t="shared" si="10"/>
        <v>78</v>
      </c>
      <c r="T105">
        <f t="shared" si="11"/>
        <v>6.9998950000000004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0</v>
      </c>
      <c r="L106" s="28">
        <f>IFERROR(VLOOKUP(D106,Scoring!$A$4:$N$51,14,FALSE())*3,"-")</f>
        <v>0</v>
      </c>
      <c r="M106" s="28">
        <f>IFERROR(VLOOKUP(E106,Scoring!$A$4:$N$51,14,FALSE())*2,"-")</f>
        <v>0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0</v>
      </c>
      <c r="R106" s="36">
        <f t="shared" si="9"/>
        <v>10</v>
      </c>
      <c r="S106">
        <f t="shared" si="10"/>
        <v>41</v>
      </c>
      <c r="T106">
        <f t="shared" si="11"/>
        <v>9.9998939999999994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0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0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5.5</v>
      </c>
      <c r="S107">
        <f t="shared" si="10"/>
        <v>93</v>
      </c>
      <c r="T107">
        <f t="shared" si="11"/>
        <v>5.4998930000000001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0</v>
      </c>
      <c r="K108" s="28">
        <f>IFERROR(VLOOKUP(C108,Scoring!$A$4:$N$51,14,FALSE())*4,"-")</f>
        <v>0</v>
      </c>
      <c r="L108" s="28">
        <f>IFERROR(VLOOKUP(D108,Scoring!$A$4:$N$51,14,FALSE())*3,"-")</f>
        <v>3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0</v>
      </c>
      <c r="R108" s="36">
        <f t="shared" si="9"/>
        <v>8</v>
      </c>
      <c r="S108">
        <f t="shared" si="10"/>
        <v>66</v>
      </c>
      <c r="T108">
        <f t="shared" si="11"/>
        <v>7.999892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0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0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0</v>
      </c>
      <c r="N36" s="110">
        <f t="shared" si="1"/>
        <v>0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0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0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0</v>
      </c>
      <c r="N39" s="110">
        <f t="shared" si="1"/>
        <v>0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0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0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0</v>
      </c>
      <c r="N40" s="110">
        <f t="shared" si="1"/>
        <v>0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0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0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0</v>
      </c>
      <c r="N42" s="110">
        <f t="shared" si="1"/>
        <v>0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2026-06-16T03:40:15Z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