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1487C9EF-F62E-45D4-807A-FED90C28B33C}" xr6:coauthVersionLast="47" xr6:coauthVersionMax="47" xr10:uidLastSave="{00000000-0000-0000-0000-000000000000}"/>
  <bookViews>
    <workbookView xWindow="-110" yWindow="-110" windowWidth="19420" windowHeight="11500" tabRatio="500" activeTab="2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 s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 s="1"/>
  <c r="BI32" i="1" a="1"/>
  <c r="BI32" i="1" s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 s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2" i="1" l="1"/>
  <c r="BK50" i="1"/>
  <c r="BM50" i="1" s="1" a="1"/>
  <c r="BH19" i="1"/>
  <c r="BK63" i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K48" i="1"/>
  <c r="BM48" i="1" s="1" a="1"/>
  <c r="BM49" i="1" a="1"/>
  <c r="BH51" i="1"/>
  <c r="BH49" i="1"/>
  <c r="BK38" i="1"/>
  <c r="BH39" i="1"/>
  <c r="BK36" i="1"/>
  <c r="BK37" i="1"/>
  <c r="BH37" i="1"/>
  <c r="BH38" i="1"/>
  <c r="BK39" i="1"/>
  <c r="BH36" i="1"/>
  <c r="BM39" i="1" a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N21" i="1" a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M18" i="1" a="1"/>
  <c r="BM18" i="1" s="1"/>
  <c r="BO18" i="1" a="1"/>
  <c r="BN32" i="1" a="1"/>
  <c r="BM32" i="1" a="1"/>
  <c r="BO32" i="1" a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H21" i="1"/>
  <c r="BO30" i="1" a="1"/>
  <c r="BN30" i="1" a="1"/>
  <c r="BM30" i="1" a="1"/>
  <c r="BK15" i="1"/>
  <c r="BH15" i="1"/>
  <c r="BO31" i="1" a="1"/>
  <c r="BN33" i="1" a="1"/>
  <c r="BN31" i="1" a="1"/>
  <c r="BN6" i="1" a="1"/>
  <c r="BO7" i="1" a="1"/>
  <c r="BM7" i="1" a="1"/>
  <c r="BN20" i="1" a="1"/>
  <c r="BN20" i="1" s="1"/>
  <c r="BM20" i="1" a="1"/>
  <c r="BO20" i="1" a="1"/>
  <c r="BO33" i="1" a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M55" i="1" a="1"/>
  <c r="BO55" i="1" a="1"/>
  <c r="BH56" i="1"/>
  <c r="BO61" i="1" a="1"/>
  <c r="BN61" i="1" a="1"/>
  <c r="BM61" i="1" a="1"/>
  <c r="BK68" i="1"/>
  <c r="BM37" i="1" a="1"/>
  <c r="BM37" i="1" s="1"/>
  <c r="BK69" i="1"/>
  <c r="BH69" i="1"/>
  <c r="BO36" i="1" a="1"/>
  <c r="BN37" i="1" a="1"/>
  <c r="BN56" i="1" a="1"/>
  <c r="BM56" i="1" a="1"/>
  <c r="BO56" i="1" a="1"/>
  <c r="BH60" i="1"/>
  <c r="BO62" i="1" a="1"/>
  <c r="BN62" i="1" a="1"/>
  <c r="BM62" i="1" a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N38" i="1" a="1"/>
  <c r="BN57" i="1" a="1"/>
  <c r="BM57" i="1" a="1"/>
  <c r="BO57" i="1" a="1"/>
  <c r="BO63" i="1" a="1"/>
  <c r="BN63" i="1" a="1"/>
  <c r="BM63" i="1" a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N18" i="1" l="1"/>
  <c r="BM63" i="1"/>
  <c r="BN62" i="1"/>
  <c r="BO61" i="1"/>
  <c r="BN61" i="1"/>
  <c r="BO62" i="1"/>
  <c r="BM62" i="1"/>
  <c r="BO54" i="1"/>
  <c r="BO56" i="1"/>
  <c r="BM55" i="1"/>
  <c r="BO55" i="1"/>
  <c r="BM56" i="1"/>
  <c r="BN55" i="1"/>
  <c r="BN56" i="1"/>
  <c r="BN63" i="1"/>
  <c r="BO63" i="1"/>
  <c r="BM61" i="1"/>
  <c r="BN50" i="1"/>
  <c r="BN49" i="1"/>
  <c r="BO38" i="1"/>
  <c r="BO37" i="1"/>
  <c r="BN38" i="1"/>
  <c r="BO33" i="1"/>
  <c r="BO30" i="1"/>
  <c r="BN30" i="1"/>
  <c r="BM32" i="1"/>
  <c r="BN32" i="1"/>
  <c r="BN31" i="1"/>
  <c r="BN33" i="1"/>
  <c r="BO31" i="1"/>
  <c r="BM30" i="1"/>
  <c r="BO32" i="1"/>
  <c r="BN21" i="1"/>
  <c r="BO20" i="1"/>
  <c r="BM20" i="1"/>
  <c r="BO19" i="1"/>
  <c r="BO18" i="1"/>
  <c r="BO21" i="1"/>
  <c r="BO73" i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63" i="1" l="1"/>
  <c r="BL19" i="1"/>
  <c r="BL74" i="1"/>
  <c r="BL75" i="1"/>
  <c r="BL72" i="1"/>
  <c r="P73" i="1" s="1"/>
  <c r="BL73" i="1"/>
  <c r="BL60" i="1"/>
  <c r="BL62" i="1"/>
  <c r="BL61" i="1"/>
  <c r="AR90" i="1" s="1"/>
  <c r="BL56" i="1"/>
  <c r="BL55" i="1"/>
  <c r="K57" i="1" s="1"/>
  <c r="BL54" i="1"/>
  <c r="Q55" i="1" s="1"/>
  <c r="BL57" i="1"/>
  <c r="BL44" i="1"/>
  <c r="BL51" i="1"/>
  <c r="BL48" i="1"/>
  <c r="BL50" i="1"/>
  <c r="BL49" i="1"/>
  <c r="BL39" i="1"/>
  <c r="BL37" i="1"/>
  <c r="BL36" i="1"/>
  <c r="L37" i="1" s="1"/>
  <c r="BL38" i="1"/>
  <c r="J29" i="3"/>
  <c r="N16" i="3"/>
  <c r="BL31" i="1"/>
  <c r="BL33" i="1"/>
  <c r="BL32" i="1"/>
  <c r="BL30" i="1"/>
  <c r="BL20" i="1"/>
  <c r="BL21" i="1"/>
  <c r="BL18" i="1"/>
  <c r="N11" i="3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O11" i="3"/>
  <c r="O5" i="3"/>
  <c r="O72" i="3"/>
  <c r="O59" i="3"/>
  <c r="O73" i="3"/>
  <c r="O40" i="3"/>
  <c r="O39" i="3"/>
  <c r="O89" i="3"/>
  <c r="N61" i="1"/>
  <c r="M63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O86" i="1" l="1"/>
  <c r="L39" i="1"/>
  <c r="L21" i="1"/>
  <c r="K73" i="1"/>
  <c r="L73" i="1"/>
  <c r="L76" i="1"/>
  <c r="O73" i="1"/>
  <c r="AO92" i="1"/>
  <c r="P76" i="1"/>
  <c r="Q73" i="1"/>
  <c r="N73" i="1"/>
  <c r="K76" i="1"/>
  <c r="K74" i="1"/>
  <c r="M64" i="1"/>
  <c r="Q56" i="1"/>
  <c r="AP89" i="1"/>
  <c r="AQ89" i="1"/>
  <c r="N58" i="1"/>
  <c r="AR89" i="1"/>
  <c r="O56" i="1"/>
  <c r="L57" i="1"/>
  <c r="N56" i="1"/>
  <c r="BU89" i="1"/>
  <c r="AS89" i="1"/>
  <c r="K58" i="1"/>
  <c r="K56" i="1"/>
  <c r="P56" i="1"/>
  <c r="K55" i="1"/>
  <c r="O64" i="1"/>
  <c r="P64" i="1"/>
  <c r="Q61" i="1"/>
  <c r="P63" i="1"/>
  <c r="N63" i="1"/>
  <c r="K62" i="1"/>
  <c r="L64" i="1"/>
  <c r="AP90" i="1"/>
  <c r="N62" i="1"/>
  <c r="M61" i="1"/>
  <c r="P61" i="1"/>
  <c r="M62" i="1"/>
  <c r="P62" i="1"/>
  <c r="K61" i="1"/>
  <c r="Q62" i="1"/>
  <c r="N64" i="1"/>
  <c r="Q64" i="1"/>
  <c r="K64" i="1"/>
  <c r="O61" i="1"/>
  <c r="BU90" i="1"/>
  <c r="L61" i="1"/>
  <c r="O62" i="1"/>
  <c r="AQ90" i="1"/>
  <c r="AO90" i="1"/>
  <c r="L62" i="1"/>
  <c r="O63" i="1"/>
  <c r="AS90" i="1"/>
  <c r="Q63" i="1"/>
  <c r="K63" i="1"/>
  <c r="L63" i="1"/>
  <c r="N49" i="1"/>
  <c r="K51" i="1"/>
  <c r="L51" i="1"/>
  <c r="M51" i="1"/>
  <c r="N50" i="1"/>
  <c r="P49" i="1"/>
  <c r="K39" i="1"/>
  <c r="Q38" i="1"/>
  <c r="K38" i="1"/>
  <c r="L38" i="1"/>
  <c r="AP86" i="1"/>
  <c r="AQ86" i="1"/>
  <c r="O38" i="1"/>
  <c r="P38" i="1"/>
  <c r="AR86" i="1"/>
  <c r="P37" i="1"/>
  <c r="N39" i="1"/>
  <c r="M20" i="1"/>
  <c r="L20" i="1"/>
  <c r="O21" i="1"/>
  <c r="N21" i="1"/>
  <c r="K19" i="1"/>
  <c r="N20" i="1"/>
  <c r="M22" i="1"/>
  <c r="P20" i="1"/>
  <c r="Q20" i="1"/>
  <c r="BU83" i="1"/>
  <c r="O10" i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<sst xmlns="http://schemas.openxmlformats.org/spreadsheetml/2006/main" count="6931" uniqueCount="1447">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</sst>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6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  <font>
      <b/>
      <sz val="10"/>
      <color rgb="FF00000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62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  <xf numFmtId="0" fontId="45" fillId="4" borderId="4" xfId="0" applyFont="1" applyFill="1" applyBorder="1" applyAlignment="1">
      <alignment horizontal="right"/>
    </xf>
    <xf numFmtId="0" fontId="45" fillId="5" borderId="0" xfId="0" applyFont="1" applyFill="1" applyAlignment="1">
      <alignment horizontal="center" vertical="center"/>
    </xf>
    <xf numFmtId="0" fontId="45" fillId="4" borderId="4" xfId="0" applyFont="1" applyFill="1" applyBorder="1" applyAlignment="1">
      <alignment horizontal="left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opLeftCell="B1" zoomScale="99" zoomScaleNormal="99" workbookViewId="0">
      <pane ySplit="4" topLeftCell="A20" activePane="bottomLeft" state="frozen"/>
      <selection pane="bottomLeft" activeCell="E27" sqref="E27:H28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3</v>
      </c>
      <c r="BF6">
        <f t="array" ref="BF6">SUMPRODUCT((E5:E10=BD6)*ISNUMBER(F5:F10)*ISNUMBER(G5:G10)*(F5:F10&gt;G5:G10))+SUMPRODUCT((H5:H10=BD6)*ISNUMBER(F5:F10)*ISNUMBER(G5:G10)*(G5:G10&gt;F5:F10))</f>
        <v>3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6</v>
      </c>
      <c r="BJ6">
        <f t="array" ref="BJ6">SUMPRODUCT((E5:E10=BD6)*IFERROR(G5:G10,0))+SUMPRODUCT((H5:H10=BD6)*IFERROR(F5:F10,0))</f>
        <v>0</v>
      </c>
      <c r="BK6">
        <f>BF6*3+BG6</f>
        <v>9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3</v>
      </c>
      <c r="M7" s="11">
        <f>INDEX(BF6:BF9,MATCH(1,BL6:BL9,0))</f>
        <v>3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6 - 0</v>
      </c>
      <c r="Q7" s="14">
        <f>INDEX(BK6:BK9,MATCH(1,BL6:BL9,0))</f>
        <v>9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3</v>
      </c>
      <c r="BF7">
        <f t="array" ref="BF7">SUMPRODUCT((E5:E10=BD7)*ISNUMBER(F5:F10)*ISNUMBER(G5:G10)*(F5:F10&gt;G5:G10))+SUMPRODUCT((H5:H10=BD7)*ISNUMBER(F5:F10)*ISNUMBER(G5:G10)*(G5:G10&gt;F5:F10))</f>
        <v>1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2</v>
      </c>
      <c r="BJ7">
        <f t="array" ref="BJ7">SUMPRODUCT((E5:E10=BD7)*IFERROR(G5:G10,0))+SUMPRODUCT((H5:H10=BD7)*IFERROR(F5:F10,0))</f>
        <v>3</v>
      </c>
      <c r="BK7">
        <f>BF7*3+BG7</f>
        <v>4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2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0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0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Africa</v>
      </c>
      <c r="L8" s="11">
        <f>INDEX(BE6:BE9,MATCH(2,BL6:BL9,0))</f>
        <v>3</v>
      </c>
      <c r="M8" s="11">
        <f>INDEX(BF6:BF9,MATCH(2,BL6:BL9,0))</f>
        <v>1</v>
      </c>
      <c r="N8" s="11">
        <f>INDEX(BG6:BG9,MATCH(2,BL6:BL9,0))</f>
        <v>1</v>
      </c>
      <c r="O8" s="11">
        <f>INDEX(BH6:BH9,MATCH(2,BL6:BL9,0))</f>
        <v>1</v>
      </c>
      <c r="P8" s="11" t="str">
        <f>INDEX(BI6:BI9,MATCH(2,BL6:BL9,0))&amp;" - "&amp;INDEX(BJ6:BJ9,MATCH(2,BL6:BL9,0))</f>
        <v>2 - 3</v>
      </c>
      <c r="Q8" s="14">
        <f>INDEX(BK6:BK9,MATCH(2,BL6:BL9,0))</f>
        <v>4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3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2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3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3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>
        <v>0</v>
      </c>
      <c r="G9" s="7">
        <v>3</v>
      </c>
      <c r="H9" s="13" t="s">
        <v>11</v>
      </c>
      <c r="I9" s="11" t="s">
        <v>13</v>
      </c>
      <c r="J9" s="3"/>
      <c r="K9" s="13" t="str">
        <f>INDEX(BD6:BD9,MATCH(3,BL6:BL9,0))</f>
        <v>South Korea</v>
      </c>
      <c r="L9" s="11">
        <f>INDEX(BE6:BE9,MATCH(3,BL6:BL9,0))</f>
        <v>3</v>
      </c>
      <c r="M9" s="11">
        <f>INDEX(BF6:BF9,MATCH(3,BL6:BL9,0))</f>
        <v>1</v>
      </c>
      <c r="N9" s="11">
        <f>INDEX(BG6:BG9,MATCH(3,BL6:BL9,0))</f>
        <v>0</v>
      </c>
      <c r="O9" s="11">
        <f>INDEX(BH6:BH9,MATCH(3,BL6:BL9,0))</f>
        <v>2</v>
      </c>
      <c r="P9" s="11" t="str">
        <f>INDEX(BI6:BI9,MATCH(3,BL6:BL9,0))&amp;" - "&amp;INDEX(BJ6:BJ9,MATCH(3,BL6:BL9,0))</f>
        <v>2 - 3</v>
      </c>
      <c r="Q9" s="14">
        <f>INDEX(BK6:BK9,MATCH(3,BL6:BL9,0))</f>
        <v>3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3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2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6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4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0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0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>
        <v>1</v>
      </c>
      <c r="G10" s="7">
        <v>0</v>
      </c>
      <c r="H10" s="13" t="s">
        <v>15</v>
      </c>
      <c r="I10" s="11" t="s">
        <v>13</v>
      </c>
      <c r="J10" s="3"/>
      <c r="K10" s="17" t="str">
        <f>INDEX(BD6:BD9,MATCH(4,BL6:BL9,0))</f>
        <v>Czechia</v>
      </c>
      <c r="L10" s="18">
        <f>INDEX(BE6:BE9,MATCH(4,BL6:BL9,0))</f>
        <v>3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2</v>
      </c>
      <c r="P10" s="18" t="str">
        <f>INDEX(BI6:BI9,MATCH(4,BL6:BL9,0))&amp;" - "&amp;INDEX(BJ6:BJ9,MATCH(4,BL6:BL9,0))</f>
        <v>2 - 6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3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1</v>
      </c>
      <c r="BI12">
        <f t="array" ref="BI12">SUMPRODUCT((E11:E16=BD12)*IFERROR(F11:F16,0))+SUMPRODUCT((H11:H16=BD12)*IFERROR(G11:G16,0))</f>
        <v>8</v>
      </c>
      <c r="BJ12">
        <f t="array" ref="BJ12">SUMPRODUCT((E11:E16=BD12)*IFERROR(G11:G16,0))+SUMPRODUCT((H11:H16=BD12)*IFERROR(F11:F16,0))</f>
        <v>3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2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1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1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Switzerland</v>
      </c>
      <c r="L13" s="11">
        <f>INDEX(BE12:BE15,MATCH(1,BL12:BL15,0))</f>
        <v>3</v>
      </c>
      <c r="M13" s="11">
        <f>INDEX(BF12:BF15,MATCH(1,BL12:BL15,0))</f>
        <v>2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7 - 3</v>
      </c>
      <c r="Q13" s="14">
        <f>INDEX(BK12:BK15,MATCH(1,BL12:BL15,0))</f>
        <v>7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3</v>
      </c>
      <c r="BF13">
        <f t="array" ref="BF13">SUMPRODUCT((E11:E16=BD13)*ISNUMBER(F11:F16)*ISNUMBER(G11:G16)*(F11:F16&gt;G11:G16))+SUMPRODUCT((H11:H16=BD13)*ISNUMBER(F11:F16)*ISNUMBER(G11:G16)*(G11:G16&gt;F11:F16))</f>
        <v>1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5</v>
      </c>
      <c r="BJ13">
        <f t="array" ref="BJ13">SUMPRODUCT((E11:E16=BD13)*IFERROR(G11:G16,0))+SUMPRODUCT((H11:H16=BD13)*IFERROR(F11:F16,0))</f>
        <v>6</v>
      </c>
      <c r="BK13">
        <f>BF13*3+BG13</f>
        <v>4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1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1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Canada</v>
      </c>
      <c r="L14" s="11">
        <f>INDEX(BE12:BE15,MATCH(2,BL12:BL15,0))</f>
        <v>3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1</v>
      </c>
      <c r="P14" s="11" t="str">
        <f>INDEX(BI12:BI15,MATCH(2,BL12:BL15,0))&amp;" - "&amp;INDEX(BJ12:BJ15,MATCH(2,BL12:BL15,0))</f>
        <v>8 - 3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3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2</v>
      </c>
      <c r="BI14">
        <f t="array" ref="BI14">SUMPRODUCT((E11:E16=BD14)*IFERROR(F11:F16,0))+SUMPRODUCT((H11:H16=BD14)*IFERROR(G11:G16,0))</f>
        <v>2</v>
      </c>
      <c r="BJ14">
        <f t="array" ref="BJ14">SUMPRODUCT((E11:E16=BD14)*IFERROR(G11:G16,0))+SUMPRODUCT((H11:H16=BD14)*IFERROR(F11:F16,0))</f>
        <v>10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>
        <v>2</v>
      </c>
      <c r="G15" s="7">
        <v>1</v>
      </c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3</v>
      </c>
      <c r="M15" s="11">
        <f>INDEX(BF12:BF15,MATCH(3,BL12:BL15,0))</f>
        <v>1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5 - 6</v>
      </c>
      <c r="Q15" s="14">
        <f>INDEX(BK12:BK15,MATCH(3,BL12:BL15,0))</f>
        <v>4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3</v>
      </c>
      <c r="BF15">
        <f t="array" ref="BF15">SUMPRODUCT((E11:E16=BD15)*ISNUMBER(F11:F16)*ISNUMBER(G11:G16)*(F11:F16&gt;G11:G16))+SUMPRODUCT((H11:H16=BD15)*ISNUMBER(F11:F16)*ISNUMBER(G11:G16)*(G11:G16&gt;F11:F16))</f>
        <v>2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7</v>
      </c>
      <c r="BJ15">
        <f t="array" ref="BJ15">SUMPRODUCT((E11:E16=BD15)*IFERROR(G11:G16,0))+SUMPRODUCT((H11:H16=BD15)*IFERROR(F11:F16,0))</f>
        <v>3</v>
      </c>
      <c r="BK15">
        <f>BF15*3+BG15</f>
        <v>7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1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>
        <v>3</v>
      </c>
      <c r="G16" s="7">
        <v>1</v>
      </c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3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2</v>
      </c>
      <c r="P16" s="18" t="str">
        <f>INDEX(BI12:BI15,MATCH(4,BL12:BL15,0))&amp;" - "&amp;INDEX(BJ12:BJ15,MATCH(4,BL12:BL15,0))</f>
        <v>2 - 10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3</v>
      </c>
      <c r="BF18">
        <f t="array" ref="BF18">SUMPRODUCT((E17:E22=BD18)*ISNUMBER(F17:F22)*ISNUMBER(G17:G22)*(F17:F22&gt;G17:G22))+SUMPRODUCT((H17:H22=BD18)*ISNUMBER(F17:F22)*ISNUMBER(G17:G22)*(G17:G22&gt;F17:F22))</f>
        <v>2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7</v>
      </c>
      <c r="BJ18">
        <f t="array" ref="BJ18">SUMPRODUCT((E17:E22=BD18)*IFERROR(G17:G22,0))+SUMPRODUCT((H17:H22=BD18)*IFERROR(F17:F22,0))</f>
        <v>1</v>
      </c>
      <c r="BK18">
        <f>BF18*3+BG18</f>
        <v>7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1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>
        <v>3</v>
      </c>
      <c r="G19" s="7">
        <v>0</v>
      </c>
      <c r="H19" s="13" t="s">
        <v>33</v>
      </c>
      <c r="I19" s="11" t="s">
        <v>31</v>
      </c>
      <c r="J19" s="3"/>
      <c r="K19" s="13" t="str">
        <f>INDEX(BD18:BD21,MATCH(1,BL18:BL21,0))</f>
        <v>Brazil</v>
      </c>
      <c r="L19" s="11">
        <f>INDEX(BE18:BE21,MATCH(1,BL18:BL21,0))</f>
        <v>3</v>
      </c>
      <c r="M19" s="11">
        <f>INDEX(BF18:BF21,MATCH(1,BL18:BL21,0))</f>
        <v>2</v>
      </c>
      <c r="N19" s="11">
        <f>INDEX(BG18:BG21,MATCH(1,BL18:BL21,0))</f>
        <v>1</v>
      </c>
      <c r="O19" s="11">
        <f>INDEX(BH18:BH21,MATCH(1,BL18:BL21,0))</f>
        <v>0</v>
      </c>
      <c r="P19" s="11" t="str">
        <f>INDEX(BI18:BI21,MATCH(1,BL18:BL21,0))&amp;" - "&amp;INDEX(BJ18:BJ21,MATCH(1,BL18:BL21,0))</f>
        <v>7 - 1</v>
      </c>
      <c r="Q19" s="14">
        <f>INDEX(BK18:BK21,MATCH(1,BL18:BL21,0))</f>
        <v>7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3</v>
      </c>
      <c r="BF19">
        <f t="array" ref="BF19">SUMPRODUCT((E17:E22=BD19)*ISNUMBER(F17:F22)*ISNUMBER(G17:G22)*(F17:F22&gt;G17:G22))+SUMPRODUCT((H17:H22=BD19)*ISNUMBER(F17:F22)*ISNUMBER(G17:G22)*(G17:G22&gt;F17:F22))</f>
        <v>2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6</v>
      </c>
      <c r="BJ19">
        <f t="array" ref="BJ19">SUMPRODUCT((E17:E22=BD19)*IFERROR(G17:G22,0))+SUMPRODUCT((H17:H22=BD19)*IFERROR(F17:F22,0))</f>
        <v>3</v>
      </c>
      <c r="BK19">
        <f>BF19*3+BG19</f>
        <v>7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2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>
        <v>0</v>
      </c>
      <c r="G20" s="7">
        <v>1</v>
      </c>
      <c r="H20" s="13" t="s">
        <v>30</v>
      </c>
      <c r="I20" s="11" t="s">
        <v>31</v>
      </c>
      <c r="J20" s="3"/>
      <c r="K20" s="13" t="str">
        <f>INDEX(BD18:BD21,MATCH(2,BL18:BL21,0))</f>
        <v>Morocco</v>
      </c>
      <c r="L20" s="11">
        <f>INDEX(BE18:BE21,MATCH(2,BL18:BL21,0))</f>
        <v>3</v>
      </c>
      <c r="M20" s="11">
        <f>INDEX(BF18:BF21,MATCH(2,BL18:BL21,0))</f>
        <v>2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6 - 3</v>
      </c>
      <c r="Q20" s="14">
        <f>INDEX(BK18:BK21,MATCH(2,BL18:BL21,0))</f>
        <v>7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3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3</v>
      </c>
      <c r="BI20">
        <f t="array" ref="BI20">SUMPRODUCT((E17:E22=BD20)*IFERROR(F17:F22,0))+SUMPRODUCT((H17:H22=BD20)*IFERROR(G17:G22,0))</f>
        <v>2</v>
      </c>
      <c r="BJ20">
        <f t="array" ref="BJ20">SUMPRODUCT((E17:E22=BD20)*IFERROR(G17:G22,0))+SUMPRODUCT((H17:H22=BD20)*IFERROR(F17:F22,0))</f>
        <v>8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>
        <v>0</v>
      </c>
      <c r="G21" s="7">
        <v>3</v>
      </c>
      <c r="H21" s="13" t="s">
        <v>29</v>
      </c>
      <c r="I21" s="11" t="s">
        <v>31</v>
      </c>
      <c r="J21" s="3"/>
      <c r="K21" s="13" t="str">
        <f>INDEX(BD18:BD21,MATCH(3,BL18:BL21,0))</f>
        <v>Scotland</v>
      </c>
      <c r="L21" s="11">
        <f>INDEX(BE18:BE21,MATCH(3,BL18:BL21,0))</f>
        <v>3</v>
      </c>
      <c r="M21" s="11">
        <f>INDEX(BF18:BF21,MATCH(3,BL18:BL21,0))</f>
        <v>1</v>
      </c>
      <c r="N21" s="11">
        <f>INDEX(BG18:BG21,MATCH(3,BL18:BL21,0))</f>
        <v>0</v>
      </c>
      <c r="O21" s="11">
        <f>INDEX(BH18:BH21,MATCH(3,BL18:BL21,0))</f>
        <v>2</v>
      </c>
      <c r="P21" s="11" t="str">
        <f>INDEX(BI18:BI21,MATCH(3,BL18:BL21,0))&amp;" - "&amp;INDEX(BJ18:BJ21,MATCH(3,BL18:BL21,0))</f>
        <v>1 - 4</v>
      </c>
      <c r="Q21" s="14">
        <f>INDEX(BK18:BK21,MATCH(3,BL18:BL21,0))</f>
        <v>3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3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2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4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3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>
        <v>4</v>
      </c>
      <c r="G22" s="7">
        <v>2</v>
      </c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3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3</v>
      </c>
      <c r="P22" s="18" t="str">
        <f>INDEX(BI18:BI21,MATCH(4,BL18:BL21,0))&amp;" - "&amp;INDEX(BJ18:BJ21,MATCH(4,BL18:BL21,0))</f>
        <v>2 - 8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3</v>
      </c>
      <c r="BF24">
        <f t="array" ref="BF24">SUMPRODUCT((E23:E28=BD24)*ISNUMBER(F23:F28)*ISNUMBER(G23:G28)*(F23:F28&gt;G23:G28))+SUMPRODUCT((H23:H28=BD24)*ISNUMBER(F23:F28)*ISNUMBER(G23:G28)*(G23:G28&gt;F23:F28))</f>
        <v>2</v>
      </c>
      <c r="BG24">
        <f t="array" ref="BG24">SUMPRODUCT((((E23:E28=BD24)+(H23:H28=BD24))&gt;0)*ISNUMBER(F23:F28)*ISNUMBER(G23:G28)*(F23:F28=G23:G28))</f>
        <v>0</v>
      </c>
      <c r="BH24">
        <f>BE24-BF24-BG24</f>
        <v>1</v>
      </c>
      <c r="BI24">
        <f t="array" ref="BI24">SUMPRODUCT((E23:E28=BD24)*IFERROR(F23:F28,0))+SUMPRODUCT((H23:H28=BD24)*IFERROR(G23:G28,0))</f>
        <v>8</v>
      </c>
      <c r="BJ24">
        <f t="array" ref="BJ24">SUMPRODUCT((E23:E28=BD24)*IFERROR(G23:G28,0))+SUMPRODUCT((H23:H28=BD24)*IFERROR(F23:F28,0))</f>
        <v>4</v>
      </c>
      <c r="BK24">
        <f>BF24*3+BG24</f>
        <v>6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>
        <v>2</v>
      </c>
      <c r="G25" s="7">
        <v>0</v>
      </c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3</v>
      </c>
      <c r="M25" s="11">
        <f>INDEX(BF24:BF27,MATCH(1,BL24:BL27,0))</f>
        <v>2</v>
      </c>
      <c r="N25" s="11">
        <f>INDEX(BG24:BG27,MATCH(1,BL24:BL27,0))</f>
        <v>0</v>
      </c>
      <c r="O25" s="11">
        <f>INDEX(BH24:BH27,MATCH(1,BL24:BL27,0))</f>
        <v>1</v>
      </c>
      <c r="P25" s="11" t="str">
        <f>INDEX(BI24:BI27,MATCH(1,BL24:BL27,0))&amp;" - "&amp;INDEX(BJ24:BJ27,MATCH(1,BL24:BL27,0))</f>
        <v>8 - 4</v>
      </c>
      <c r="Q25" s="14">
        <f>INDEX(BK24:BK27,MATCH(1,BL24:BL27,0))</f>
        <v>6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3</v>
      </c>
      <c r="BF25">
        <f t="array" ref="BF25">SUMPRODUCT((E23:E28=BD25)*ISNUMBER(F23:F28)*ISNUMBER(G23:G28)*(F23:F28&gt;G23:G28))+SUMPRODUCT((H23:H28=BD25)*ISNUMBER(F23:F28)*ISNUMBER(G23:G28)*(G23:G28&gt;F23:F28))</f>
        <v>1</v>
      </c>
      <c r="BG25">
        <f t="array" ref="BG25">SUMPRODUCT((((E23:E28=BD25)+(H23:H28=BD25))&gt;0)*ISNUMBER(F23:F28)*ISNUMBER(G23:G28)*(F23:F28=G23:G28))</f>
        <v>1</v>
      </c>
      <c r="BH25">
        <f>BE25-BF25-BG25</f>
        <v>1</v>
      </c>
      <c r="BI25">
        <f t="array" ref="BI25">SUMPRODUCT((E23:E28=BD25)*IFERROR(F23:F28,0))+SUMPRODUCT((H23:H28=BD25)*IFERROR(G23:G28,0))</f>
        <v>2</v>
      </c>
      <c r="BJ25">
        <f t="array" ref="BJ25">SUMPRODUCT((E23:E28=BD25)*IFERROR(G23:G28,0))+SUMPRODUCT((H23:H28=BD25)*IFERROR(F23:F28,0))</f>
        <v>4</v>
      </c>
      <c r="BK25">
        <f>BF25*3+BG25</f>
        <v>4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3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1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>
        <v>0</v>
      </c>
      <c r="G26" s="7">
        <v>1</v>
      </c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3</v>
      </c>
      <c r="M26" s="11">
        <f>INDEX(BF24:BF27,MATCH(2,BL24:BL27,0))</f>
        <v>1</v>
      </c>
      <c r="N26" s="11">
        <f>INDEX(BG24:BG27,MATCH(2,BL24:BL27,0))</f>
        <v>1</v>
      </c>
      <c r="O26" s="11">
        <f>INDEX(BH24:BH27,MATCH(2,BL24:BL27,0))</f>
        <v>1</v>
      </c>
      <c r="P26" s="11" t="str">
        <f>INDEX(BI24:BI27,MATCH(2,BL24:BL27,0))&amp;" - "&amp;INDEX(BJ24:BJ27,MATCH(2,BL24:BL27,0))</f>
        <v>2 - 2</v>
      </c>
      <c r="Q26" s="14">
        <f>INDEX(BK24:BK27,MATCH(2,BL24:BL27,0))</f>
        <v>4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3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1</v>
      </c>
      <c r="BH26">
        <f>BE26-BF26-BG26</f>
        <v>1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2</v>
      </c>
      <c r="BK26">
        <f>BF26*3+BG26</f>
        <v>4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1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>
        <v>3</v>
      </c>
      <c r="G27" s="7">
        <v>2</v>
      </c>
      <c r="H27" s="13" t="s">
        <v>35</v>
      </c>
      <c r="I27" s="11" t="s">
        <v>19</v>
      </c>
      <c r="J27" s="3"/>
      <c r="K27" s="13" t="str">
        <f>INDEX(BD24:BD27,MATCH(3,BL24:BL27,0))</f>
        <v>Paraguay</v>
      </c>
      <c r="L27" s="11">
        <f>INDEX(BE24:BE27,MATCH(3,BL24:BL27,0))</f>
        <v>3</v>
      </c>
      <c r="M27" s="11">
        <f>INDEX(BF24:BF27,MATCH(3,BL24:BL27,0))</f>
        <v>1</v>
      </c>
      <c r="N27" s="11">
        <f>INDEX(BG24:BG27,MATCH(3,BL24:BL27,0))</f>
        <v>1</v>
      </c>
      <c r="O27" s="11">
        <f>INDEX(BH24:BH27,MATCH(3,BL24:BL27,0))</f>
        <v>1</v>
      </c>
      <c r="P27" s="11" t="str">
        <f>INDEX(BI24:BI27,MATCH(3,BL24:BL27,0))&amp;" - "&amp;INDEX(BJ24:BJ27,MATCH(3,BL24:BL27,0))</f>
        <v>2 - 4</v>
      </c>
      <c r="Q27" s="14">
        <f>INDEX(BK24:BK27,MATCH(3,BL24:BL27,0))</f>
        <v>4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3</v>
      </c>
      <c r="BF27">
        <f t="array" ref="BF27">SUMPRODUCT((E23:E28=BD27)*ISNUMBER(F23:F28)*ISNUMBER(G23:G28)*(F23:F28&gt;G23:G28))+SUMPRODUCT((H23:H28=BD27)*ISNUMBER(F23:F28)*ISNUMBER(G23:G28)*(G23:G28&gt;F23:F28))</f>
        <v>1</v>
      </c>
      <c r="BG27">
        <f t="array" ref="BG27">SUMPRODUCT((((E23:E28=BD27)+(H23:H28=BD27))&gt;0)*ISNUMBER(F23:F28)*ISNUMBER(G23:G28)*(F23:F28=G23:G28))</f>
        <v>0</v>
      </c>
      <c r="BH27">
        <f>BE27-BF27-BG27</f>
        <v>2</v>
      </c>
      <c r="BI27">
        <f t="array" ref="BI27">SUMPRODUCT((E23:E28=BD27)*IFERROR(F23:F28,0))+SUMPRODUCT((H23:H28=BD27)*IFERROR(G23:G28,0))</f>
        <v>3</v>
      </c>
      <c r="BJ27">
        <f t="array" ref="BJ27">SUMPRODUCT((E23:E28=BD27)*IFERROR(G23:G28,0))+SUMPRODUCT((H23:H28=BD27)*IFERROR(F23:F28,0))</f>
        <v>5</v>
      </c>
      <c r="BK27">
        <f>BF27*3+BG27</f>
        <v>3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4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>
        <v>0</v>
      </c>
      <c r="G28" s="7">
        <v>0</v>
      </c>
      <c r="H28" s="13" t="s">
        <v>38</v>
      </c>
      <c r="I28" s="11" t="s">
        <v>19</v>
      </c>
      <c r="J28" s="3"/>
      <c r="K28" s="17" t="str">
        <f>INDEX(BD24:BD27,MATCH(4,BL24:BL27,0))</f>
        <v>Türkiye</v>
      </c>
      <c r="L28" s="18">
        <f>INDEX(BE24:BE27,MATCH(4,BL24:BL27,0))</f>
        <v>3</v>
      </c>
      <c r="M28" s="18">
        <f>INDEX(BF24:BF27,MATCH(4,BL24:BL27,0))</f>
        <v>1</v>
      </c>
      <c r="N28" s="18">
        <f>INDEX(BG24:BG27,MATCH(4,BL24:BL27,0))</f>
        <v>0</v>
      </c>
      <c r="O28" s="18">
        <f>INDEX(BH24:BH27,MATCH(4,BL24:BL27,0))</f>
        <v>2</v>
      </c>
      <c r="P28" s="18" t="str">
        <f>INDEX(BI24:BI27,MATCH(4,BL24:BL27,0))&amp;" - "&amp;INDEX(BJ24:BJ27,MATCH(4,BL24:BL27,0))</f>
        <v>3 - 5</v>
      </c>
      <c r="Q28" s="19">
        <f>INDEX(BK24:BK27,MATCH(4,BL24:BL27,0))</f>
        <v>3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3</v>
      </c>
      <c r="BF30">
        <f t="array" ref="BF30">SUMPRODUCT((E29:E34=BD30)*ISNUMBER(F29:F34)*ISNUMBER(G29:G34)*(F29:F34&gt;G29:G34))+SUMPRODUCT((H29:H34=BD30)*ISNUMBER(F29:F34)*ISNUMBER(G29:G34)*(G29:G34&gt;F29:F34))</f>
        <v>2</v>
      </c>
      <c r="BG30">
        <f t="array" ref="BG30">SUMPRODUCT((((E29:E34=BD30)+(H29:H34=BD30))&gt;0)*ISNUMBER(F29:F34)*ISNUMBER(G29:G34)*(F29:F34=G29:G34))</f>
        <v>0</v>
      </c>
      <c r="BH30">
        <f>BE30-BF30-BG30</f>
        <v>1</v>
      </c>
      <c r="BI30">
        <f t="array" ref="BI30">SUMPRODUCT((E29:E34=BD30)*IFERROR(F29:F34,0))+SUMPRODUCT((H29:H34=BD30)*IFERROR(G29:G34,0))</f>
        <v>10</v>
      </c>
      <c r="BJ30">
        <f t="array" ref="BJ30">SUMPRODUCT((E29:E34=BD30)*IFERROR(G29:G34,0))+SUMPRODUCT((H29:H34=BD30)*IFERROR(F29:F34,0))</f>
        <v>4</v>
      </c>
      <c r="BK30">
        <f>BF30*3+BG30</f>
        <v>6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3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1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2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>
        <v>2</v>
      </c>
      <c r="G31" s="7">
        <v>1</v>
      </c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3</v>
      </c>
      <c r="M31" s="11">
        <f>INDEX(BF30:BF33,MATCH(1,BL30:BL33,0))</f>
        <v>2</v>
      </c>
      <c r="N31" s="11">
        <f>INDEX(BG30:BG33,MATCH(1,BL30:BL33,0))</f>
        <v>0</v>
      </c>
      <c r="O31" s="11">
        <f>INDEX(BH30:BH33,MATCH(1,BL30:BL33,0))</f>
        <v>1</v>
      </c>
      <c r="P31" s="11" t="str">
        <f>INDEX(BI30:BI33,MATCH(1,BL30:BL33,0))&amp;" - "&amp;INDEX(BJ30:BJ33,MATCH(1,BL30:BL33,0))</f>
        <v>10 - 4</v>
      </c>
      <c r="Q31" s="14">
        <f>INDEX(BK30:BK33,MATCH(1,BL30:BL33,0))</f>
        <v>6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3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1</v>
      </c>
      <c r="BH31">
        <f>BE31-BF31-BG31</f>
        <v>2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9</v>
      </c>
      <c r="BK31">
        <f>BF31*3+BG31</f>
        <v>1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>
        <v>0</v>
      </c>
      <c r="G32" s="7">
        <v>0</v>
      </c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3</v>
      </c>
      <c r="M32" s="11">
        <f>INDEX(BF30:BF33,MATCH(2,BL30:BL33,0))</f>
        <v>2</v>
      </c>
      <c r="N32" s="11">
        <f>INDEX(BG30:BG33,MATCH(2,BL30:BL33,0))</f>
        <v>0</v>
      </c>
      <c r="O32" s="11">
        <f>INDEX(BH30:BH33,MATCH(2,BL30:BL33,0))</f>
        <v>1</v>
      </c>
      <c r="P32" s="11" t="str">
        <f>INDEX(BI30:BI33,MATCH(2,BL30:BL33,0))&amp;" - "&amp;INDEX(BJ30:BJ33,MATCH(2,BL30:BL33,0))</f>
        <v>4 - 2</v>
      </c>
      <c r="Q32" s="14">
        <f>INDEX(BK30:BK33,MATCH(2,BL30:BL33,0))</f>
        <v>6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3</v>
      </c>
      <c r="BF32">
        <f t="array" ref="BF32">SUMPRODUCT((E29:E34=BD32)*ISNUMBER(F29:F34)*ISNUMBER(G29:G34)*(F29:F34&gt;G29:G34))+SUMPRODUCT((H29:H34=BD32)*ISNUMBER(F29:F34)*ISNUMBER(G29:G34)*(G29:G34&gt;F29:F34))</f>
        <v>2</v>
      </c>
      <c r="BG32">
        <f t="array" ref="BG32">SUMPRODUCT((((E29:E34=BD32)+(H29:H34=BD32))&gt;0)*ISNUMBER(F29:F34)*ISNUMBER(G29:G34)*(F29:F34=G29:G34))</f>
        <v>0</v>
      </c>
      <c r="BH32">
        <f>BE32-BF32-BG32</f>
        <v>1</v>
      </c>
      <c r="BI32">
        <f t="array" ref="BI32">SUMPRODUCT((E29:E34=BD32)*IFERROR(F29:F34,0))+SUMPRODUCT((H29:H34=BD32)*IFERROR(G29:G34,0))</f>
        <v>4</v>
      </c>
      <c r="BJ32">
        <f t="array" ref="BJ32">SUMPRODUCT((E29:E34=BD32)*IFERROR(G29:G34,0))+SUMPRODUCT((H29:H34=BD32)*IFERROR(F29:F34,0))</f>
        <v>2</v>
      </c>
      <c r="BK32">
        <f>BF32*3+BG32</f>
        <v>6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-1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1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59" t="s">
        <v>45</v>
      </c>
      <c r="F33" s="160">
        <v>2</v>
      </c>
      <c r="G33" s="160">
        <v>1</v>
      </c>
      <c r="H33" s="161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3</v>
      </c>
      <c r="M33" s="11">
        <f>INDEX(BF30:BF33,MATCH(3,BL30:BL33,0))</f>
        <v>1</v>
      </c>
      <c r="N33" s="11">
        <f>INDEX(BG30:BG33,MATCH(3,BL30:BL33,0))</f>
        <v>1</v>
      </c>
      <c r="O33" s="11">
        <f>INDEX(BH30:BH33,MATCH(3,BL30:BL33,0))</f>
        <v>1</v>
      </c>
      <c r="P33" s="11" t="str">
        <f>INDEX(BI30:BI33,MATCH(3,BL30:BL33,0))&amp;" - "&amp;INDEX(BJ30:BJ33,MATCH(3,BL30:BL33,0))</f>
        <v>2 - 2</v>
      </c>
      <c r="Q33" s="14">
        <f>INDEX(BK30:BK33,MATCH(3,BL30:BL33,0))</f>
        <v>4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3</v>
      </c>
      <c r="BF33">
        <f t="array" ref="BF33">SUMPRODUCT((E29:E34=BD33)*ISNUMBER(F29:F34)*ISNUMBER(G29:G34)*(F29:F34&gt;G29:G34))+SUMPRODUCT((H29:H34=BD33)*ISNUMBER(F29:F34)*ISNUMBER(G29:G34)*(G29:G34&gt;F29:F34))</f>
        <v>1</v>
      </c>
      <c r="BG33">
        <f t="array" ref="BG33">SUMPRODUCT((((E29:E34=BD33)+(H29:H34=BD33))&gt;0)*ISNUMBER(F29:F34)*ISNUMBER(G29:G34)*(F29:F34=G29:G34))</f>
        <v>1</v>
      </c>
      <c r="BH33">
        <f>BE33-BF33-BG33</f>
        <v>1</v>
      </c>
      <c r="BI33">
        <f t="array" ref="BI33">SUMPRODUCT((E29:E34=BD33)*IFERROR(F29:F34,0))+SUMPRODUCT((H29:H34=BD33)*IFERROR(G29:G34,0))</f>
        <v>2</v>
      </c>
      <c r="BJ33">
        <f t="array" ref="BJ33">SUMPRODUCT((E29:E34=BD33)*IFERROR(G29:G34,0))+SUMPRODUCT((H29:H34=BD33)*IFERROR(F29:F34,0))</f>
        <v>2</v>
      </c>
      <c r="BK33">
        <f>BF33*3+BG33</f>
        <v>4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59" t="s">
        <v>41</v>
      </c>
      <c r="F34" s="160">
        <v>0</v>
      </c>
      <c r="G34" s="160">
        <v>2</v>
      </c>
      <c r="H34" s="161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3</v>
      </c>
      <c r="M34" s="18">
        <f>INDEX(BF30:BF33,MATCH(4,BL30:BL33,0))</f>
        <v>0</v>
      </c>
      <c r="N34" s="18">
        <f>INDEX(BG30:BG33,MATCH(4,BL30:BL33,0))</f>
        <v>1</v>
      </c>
      <c r="O34" s="18">
        <f>INDEX(BH30:BH33,MATCH(4,BL30:BL33,0))</f>
        <v>2</v>
      </c>
      <c r="P34" s="18" t="str">
        <f>INDEX(BI30:BI33,MATCH(4,BL30:BL33,0))&amp;" - "&amp;INDEX(BJ30:BJ33,MATCH(4,BL30:BL33,0))</f>
        <v>1 - 9</v>
      </c>
      <c r="Q34" s="19">
        <f>INDEX(BK30:BK33,MATCH(4,BL30:BL33,0))</f>
        <v>1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3</v>
      </c>
      <c r="BF36">
        <f t="array" ref="BF36">SUMPRODUCT((E35:E40=BD36)*ISNUMBER(F35:F40)*ISNUMBER(G35:G40)*(F35:F40&gt;G35:G40))+SUMPRODUCT((H35:H40=BD36)*ISNUMBER(F35:F40)*ISNUMBER(G35:G40)*(G35:G40&gt;F35:F40))</f>
        <v>2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10</v>
      </c>
      <c r="BJ36">
        <f t="array" ref="BJ36">SUMPRODUCT((E35:E40=BD36)*IFERROR(G35:G40,0))+SUMPRODUCT((H35:H40=BD36)*IFERROR(F35:F40,0))</f>
        <v>4</v>
      </c>
      <c r="BK36">
        <f>BF36*3+BG36</f>
        <v>7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1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0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0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>
        <v>5</v>
      </c>
      <c r="G37" s="7">
        <v>1</v>
      </c>
      <c r="H37" s="13" t="s">
        <v>50</v>
      </c>
      <c r="I37" s="11" t="s">
        <v>48</v>
      </c>
      <c r="J37" s="3"/>
      <c r="K37" s="13" t="str">
        <f>INDEX(BD36:BD39,MATCH(1,BL36:BL39,0))</f>
        <v>Netherlands</v>
      </c>
      <c r="L37" s="11">
        <f>INDEX(BE36:BE39,MATCH(1,BL36:BL39,0))</f>
        <v>3</v>
      </c>
      <c r="M37" s="11">
        <f>INDEX(BF36:BF39,MATCH(1,BL36:BL39,0))</f>
        <v>2</v>
      </c>
      <c r="N37" s="11">
        <f>INDEX(BG36:BG39,MATCH(1,BL36:BL39,0))</f>
        <v>1</v>
      </c>
      <c r="O37" s="11">
        <f>INDEX(BH36:BH39,MATCH(1,BL36:BL39,0))</f>
        <v>0</v>
      </c>
      <c r="P37" s="11" t="str">
        <f>INDEX(BI36:BI39,MATCH(1,BL36:BL39,0))&amp;" - "&amp;INDEX(BJ36:BJ39,MATCH(1,BL36:BL39,0))</f>
        <v>10 - 4</v>
      </c>
      <c r="Q37" s="14">
        <f>INDEX(BK36:BK39,MATCH(1,BL36:BL39,0))</f>
        <v>7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3</v>
      </c>
      <c r="BF37">
        <f t="array" ref="BF37">SUMPRODUCT((E35:E40=BD37)*ISNUMBER(F35:F40)*ISNUMBER(G35:G40)*(F35:F40&gt;G35:G40))+SUMPRODUCT((H35:H40=BD37)*ISNUMBER(F35:F40)*ISNUMBER(G35:G40)*(G35:G40&gt;F35:F40))</f>
        <v>1</v>
      </c>
      <c r="BG37">
        <f t="array" ref="BG37">SUMPRODUCT((((E35:E40=BD37)+(H35:H40=BD37))&gt;0)*ISNUMBER(F35:F40)*ISNUMBER(G35:G40)*(F35:F40=G35:G40))</f>
        <v>2</v>
      </c>
      <c r="BH37">
        <f>BE37-BF37-BG37</f>
        <v>0</v>
      </c>
      <c r="BI37">
        <f t="array" ref="BI37">SUMPRODUCT((E35:E40=BD37)*IFERROR(F35:F40,0))+SUMPRODUCT((H35:H40=BD37)*IFERROR(G35:G40,0))</f>
        <v>7</v>
      </c>
      <c r="BJ37">
        <f t="array" ref="BJ37">SUMPRODUCT((E35:E40=BD37)*IFERROR(G35:G40,0))+SUMPRODUCT((H35:H40=BD37)*IFERROR(F35:F40,0))</f>
        <v>3</v>
      </c>
      <c r="BK37">
        <f>BF37*3+BG37</f>
        <v>5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2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0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0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>
        <v>0</v>
      </c>
      <c r="G38" s="7">
        <v>4</v>
      </c>
      <c r="H38" s="13" t="s">
        <v>47</v>
      </c>
      <c r="I38" s="11" t="s">
        <v>48</v>
      </c>
      <c r="J38" s="3"/>
      <c r="K38" s="13" t="str">
        <f>INDEX(BD36:BD39,MATCH(2,BL36:BL39,0))</f>
        <v>Japan</v>
      </c>
      <c r="L38" s="11">
        <f>INDEX(BE36:BE39,MATCH(2,BL36:BL39,0))</f>
        <v>3</v>
      </c>
      <c r="M38" s="11">
        <f>INDEX(BF36:BF39,MATCH(2,BL36:BL39,0))</f>
        <v>1</v>
      </c>
      <c r="N38" s="11">
        <f>INDEX(BG36:BG39,MATCH(2,BL36:BL39,0))</f>
        <v>2</v>
      </c>
      <c r="O38" s="11">
        <f>INDEX(BH36:BH39,MATCH(2,BL36:BL39,0))</f>
        <v>0</v>
      </c>
      <c r="P38" s="11" t="str">
        <f>INDEX(BI36:BI39,MATCH(2,BL36:BL39,0))&amp;" - "&amp;INDEX(BJ36:BJ39,MATCH(2,BL36:BL39,0))</f>
        <v>7 - 3</v>
      </c>
      <c r="Q38" s="14">
        <f>INDEX(BK36:BK39,MATCH(2,BL36:BL39,0))</f>
        <v>5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3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1</v>
      </c>
      <c r="BH38">
        <f>BE38-BF38-BG38</f>
        <v>1</v>
      </c>
      <c r="BI38">
        <f t="array" ref="BI38">SUMPRODUCT((E35:E40=BD38)*IFERROR(F35:F40,0))+SUMPRODUCT((H35:H40=BD38)*IFERROR(G35:G40,0))</f>
        <v>7</v>
      </c>
      <c r="BJ38">
        <f t="array" ref="BJ38">SUMPRODUCT((E35:E40=BD38)*IFERROR(G35:G40,0))+SUMPRODUCT((H35:H40=BD38)*IFERROR(F35:F40,0))</f>
        <v>7</v>
      </c>
      <c r="BK38">
        <f>BF38*3+BG38</f>
        <v>4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3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>
        <v>1</v>
      </c>
      <c r="G39" s="7">
        <v>3</v>
      </c>
      <c r="H39" s="13" t="s">
        <v>46</v>
      </c>
      <c r="I39" s="11" t="s">
        <v>48</v>
      </c>
      <c r="J39" s="3"/>
      <c r="K39" s="13" t="str">
        <f>INDEX(BD36:BD39,MATCH(3,BL36:BL39,0))</f>
        <v>Sweden</v>
      </c>
      <c r="L39" s="11">
        <f>INDEX(BE36:BE39,MATCH(3,BL36:BL39,0))</f>
        <v>3</v>
      </c>
      <c r="M39" s="11">
        <f>INDEX(BF36:BF39,MATCH(3,BL36:BL39,0))</f>
        <v>1</v>
      </c>
      <c r="N39" s="11">
        <f>INDEX(BG36:BG39,MATCH(3,BL36:BL39,0))</f>
        <v>1</v>
      </c>
      <c r="O39" s="11">
        <f>INDEX(BH36:BH39,MATCH(3,BL36:BL39,0))</f>
        <v>1</v>
      </c>
      <c r="P39" s="11" t="str">
        <f>INDEX(BI36:BI39,MATCH(3,BL36:BL39,0))&amp;" - "&amp;INDEX(BJ36:BJ39,MATCH(3,BL36:BL39,0))</f>
        <v>7 - 7</v>
      </c>
      <c r="Q39" s="14">
        <f>INDEX(BK36:BK39,MATCH(3,BL36:BL39,0))</f>
        <v>4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3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3</v>
      </c>
      <c r="BI39">
        <f t="array" ref="BI39">SUMPRODUCT((E35:E40=BD39)*IFERROR(F35:F40,0))+SUMPRODUCT((H35:H40=BD39)*IFERROR(G35:G40,0))</f>
        <v>2</v>
      </c>
      <c r="BJ39">
        <f t="array" ref="BJ39">SUMPRODUCT((E35:E40=BD39)*IFERROR(G35:G40,0))+SUMPRODUCT((H35:H40=BD39)*IFERROR(F35:F40,0))</f>
        <v>12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>
        <v>1</v>
      </c>
      <c r="G40" s="7">
        <v>1</v>
      </c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3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3</v>
      </c>
      <c r="P40" s="18" t="str">
        <f>INDEX(BI36:BI39,MATCH(4,BL36:BL39,0))&amp;" - "&amp;INDEX(BJ36:BJ39,MATCH(4,BL36:BL39,0))</f>
        <v>2 - 12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2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2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2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0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>
        <v>0</v>
      </c>
      <c r="G43" s="7">
        <v>0</v>
      </c>
      <c r="H43" s="13" t="s">
        <v>57</v>
      </c>
      <c r="I43" s="11" t="s">
        <v>55</v>
      </c>
      <c r="J43" s="3"/>
      <c r="K43" s="13" t="str">
        <f>INDEX(BD42:BD45,MATCH(1,BL42:BL45,0))</f>
        <v>Egypt</v>
      </c>
      <c r="L43" s="11">
        <f>INDEX(BE42:BE45,MATCH(1,BL42:BL45,0))</f>
        <v>2</v>
      </c>
      <c r="M43" s="11">
        <f>INDEX(BF42:BF45,MATCH(1,BL42:BL45,0))</f>
        <v>1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4 - 2</v>
      </c>
      <c r="Q43" s="14">
        <f>INDEX(BK42:BK45,MATCH(1,BL42:BL45,0))</f>
        <v>4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2</v>
      </c>
      <c r="BF43">
        <f t="array" ref="BF43">SUMPRODUCT((E41:E46=BD43)*ISNUMBER(F41:F46)*ISNUMBER(G41:G46)*(F41:F46&gt;G41:G46))+SUMPRODUCT((H41:H46=BD43)*ISNUMBER(F41:F46)*ISNUMBER(G41:G46)*(G41:G46&gt;F41:F46))</f>
        <v>1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4</v>
      </c>
      <c r="BJ43">
        <f t="array" ref="BJ43">SUMPRODUCT((E41:E46=BD43)*IFERROR(G41:G46,0))+SUMPRODUCT((H41:H46=BD43)*IFERROR(F41:F46,0))</f>
        <v>2</v>
      </c>
      <c r="BK43">
        <f>BF43*3+BG43</f>
        <v>4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1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0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0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>
        <v>1</v>
      </c>
      <c r="G44" s="7">
        <v>3</v>
      </c>
      <c r="H44" s="13" t="s">
        <v>54</v>
      </c>
      <c r="I44" s="11" t="s">
        <v>55</v>
      </c>
      <c r="J44" s="3"/>
      <c r="K44" s="13" t="str">
        <f>INDEX(BD42:BD45,MATCH(2,BL42:BL45,0))</f>
        <v>Iran</v>
      </c>
      <c r="L44" s="11">
        <f>INDEX(BE42:BE45,MATCH(2,BL42:BL45,0))</f>
        <v>2</v>
      </c>
      <c r="M44" s="11">
        <f>INDEX(BF42:BF45,MATCH(2,BL42:BL45,0))</f>
        <v>0</v>
      </c>
      <c r="N44" s="11">
        <f>INDEX(BG42:BG45,MATCH(2,BL42:BL45,0))</f>
        <v>2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2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2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2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2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2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0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2</v>
      </c>
      <c r="M45" s="11">
        <f>INDEX(BF42:BF45,MATCH(3,BL42:BL45,0))</f>
        <v>0</v>
      </c>
      <c r="N45" s="11">
        <f>INDEX(BG42:BG45,MATCH(3,BL42:BL45,0))</f>
        <v>2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2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2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1</v>
      </c>
      <c r="BI45">
        <f t="array" ref="BI45">SUMPRODUCT((E41:E46=BD45)*IFERROR(F41:F46,0))+SUMPRODUCT((H41:H46=BD45)*IFERROR(G41:G46,0))</f>
        <v>3</v>
      </c>
      <c r="BJ45">
        <f t="array" ref="BJ45">SUMPRODUCT((E41:E46=BD45)*IFERROR(G41:G46,0))+SUMPRODUCT((H41:H46=BD45)*IFERROR(F41:F46,0))</f>
        <v>5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4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0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0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New Zealand</v>
      </c>
      <c r="L46" s="18">
        <f>INDEX(BE42:BE45,MATCH(4,BL42:BL45,0))</f>
        <v>2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1</v>
      </c>
      <c r="P46" s="18" t="str">
        <f>INDEX(BI42:BI45,MATCH(4,BL42:BL45,0))&amp;" - "&amp;INDEX(BJ42:BJ45,MATCH(4,BL42:BL45,0))</f>
        <v>3 - 5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2</v>
      </c>
      <c r="BF48">
        <f t="array" ref="BF48">SUMPRODUCT((E47:E52=BD48)*ISNUMBER(F47:F52)*ISNUMBER(G47:G52)*(F47:F52&gt;G47:G52))+SUMPRODUCT((H47:H52=BD48)*ISNUMBER(F47:F52)*ISNUMBER(G47:G52)*(G47:G52&gt;F47:F52))</f>
        <v>1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4</v>
      </c>
      <c r="BJ48">
        <f t="array" ref="BJ48">SUMPRODUCT((E47:E52=BD48)*IFERROR(G47:G52,0))+SUMPRODUCT((H47:H52=BD48)*IFERROR(F47:F52,0))</f>
        <v>0</v>
      </c>
      <c r="BK48">
        <f>BF48*3+BG48</f>
        <v>4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1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0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>
        <v>4</v>
      </c>
      <c r="G49" s="7">
        <v>0</v>
      </c>
      <c r="H49" s="13" t="s">
        <v>64</v>
      </c>
      <c r="I49" s="11" t="s">
        <v>62</v>
      </c>
      <c r="J49" s="3"/>
      <c r="K49" s="13" t="str">
        <f>INDEX(BD48:BD51,MATCH(1,BL48:BL51,0))</f>
        <v>Spain</v>
      </c>
      <c r="L49" s="11">
        <f>INDEX(BE48:BE51,MATCH(1,BL48:BL51,0))</f>
        <v>2</v>
      </c>
      <c r="M49" s="11">
        <f>INDEX(BF48:BF51,MATCH(1,BL48:BL51,0))</f>
        <v>1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4 - 0</v>
      </c>
      <c r="Q49" s="14">
        <f>INDEX(BK48:BK51,MATCH(1,BL48:BL51,0))</f>
        <v>4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2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2</v>
      </c>
      <c r="BH49">
        <f>BE49-BF49-BG49</f>
        <v>0</v>
      </c>
      <c r="BI49">
        <f t="array" ref="BI49">SUMPRODUCT((E47:E52=BD49)*IFERROR(F47:F52,0))+SUMPRODUCT((H47:H52=BD49)*IFERROR(G47:G52,0))</f>
        <v>2</v>
      </c>
      <c r="BJ49">
        <f t="array" ref="BJ49">SUMPRODUCT((E47:E52=BD49)*IFERROR(G47:G52,0))+SUMPRODUCT((H47:H52=BD49)*IFERROR(F47:F52,0))</f>
        <v>2</v>
      </c>
      <c r="BK49">
        <f>BF49*3+BG49</f>
        <v>2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3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2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>
        <v>2</v>
      </c>
      <c r="G50" s="7">
        <v>2</v>
      </c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2</v>
      </c>
      <c r="M50" s="11">
        <f>INDEX(BF48:BF51,MATCH(2,BL48:BL51,0))</f>
        <v>0</v>
      </c>
      <c r="N50" s="11">
        <f>INDEX(BG48:BG51,MATCH(2,BL48:BL51,0))</f>
        <v>2</v>
      </c>
      <c r="O50" s="11">
        <f>INDEX(BH48:BH51,MATCH(2,BL48:BL51,0))</f>
        <v>0</v>
      </c>
      <c r="P50" s="11" t="str">
        <f>INDEX(BI48:BI51,MATCH(2,BL48:BL51,0))&amp;" - "&amp;INDEX(BJ48:BJ51,MATCH(2,BL48:BL51,0))</f>
        <v>3 - 3</v>
      </c>
      <c r="Q50" s="14">
        <f>INDEX(BK48:BK51,MATCH(2,BL48:BL51,0))</f>
        <v>2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2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1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5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4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0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0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Cape Verde</v>
      </c>
      <c r="L51" s="11">
        <f>INDEX(BE48:BE51,MATCH(3,BL48:BL51,0))</f>
        <v>2</v>
      </c>
      <c r="M51" s="11">
        <f>INDEX(BF48:BF51,MATCH(3,BL48:BL51,0))</f>
        <v>0</v>
      </c>
      <c r="N51" s="11">
        <f>INDEX(BG48:BG51,MATCH(3,BL48:BL51,0))</f>
        <v>2</v>
      </c>
      <c r="O51" s="11">
        <f>INDEX(BH48:BH51,MATCH(3,BL48:BL51,0))</f>
        <v>0</v>
      </c>
      <c r="P51" s="11" t="str">
        <f>INDEX(BI48:BI51,MATCH(3,BL48:BL51,0))&amp;" - "&amp;INDEX(BJ48:BJ51,MATCH(3,BL48:BL51,0))</f>
        <v>2 - 2</v>
      </c>
      <c r="Q51" s="14">
        <f>INDEX(BK48:BK51,MATCH(3,BL48:BL51,0))</f>
        <v>2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2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2</v>
      </c>
      <c r="BH51">
        <f>BE51-BF51-BG51</f>
        <v>0</v>
      </c>
      <c r="BI51">
        <f t="array" ref="BI51">SUMPRODUCT((E47:E52=BD51)*IFERROR(F47:F52,0))+SUMPRODUCT((H47:H52=BD51)*IFERROR(G47:G52,0))</f>
        <v>3</v>
      </c>
      <c r="BJ51">
        <f t="array" ref="BJ51">SUMPRODUCT((E47:E52=BD51)*IFERROR(G47:G52,0))+SUMPRODUCT((H47:H52=BD51)*IFERROR(F47:F52,0))</f>
        <v>3</v>
      </c>
      <c r="BK51">
        <f>BF51*3+BG51</f>
        <v>2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2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Saudi Arabia</v>
      </c>
      <c r="L52" s="18">
        <f>INDEX(BE48:BE51,MATCH(4,BL48:BL51,0))</f>
        <v>2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1</v>
      </c>
      <c r="P52" s="18" t="str">
        <f>INDEX(BI48:BI51,MATCH(4,BL48:BL51,0))&amp;" - "&amp;INDEX(BJ48:BJ51,MATCH(4,BL48:BL51,0))</f>
        <v>1 - 5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2</v>
      </c>
      <c r="BF54">
        <f t="array" ref="BF54">SUMPRODUCT((E53:E58=BD54)*ISNUMBER(F53:F58)*ISNUMBER(G53:G58)*(F53:F58&gt;G53:G58))+SUMPRODUCT((H53:H58=BD54)*ISNUMBER(F53:F58)*ISNUMBER(G53:G58)*(G53:G58&gt;F53:F58))</f>
        <v>2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6</v>
      </c>
      <c r="BJ54">
        <f t="array" ref="BJ54">SUMPRODUCT((E53:E58=BD54)*IFERROR(G53:G58,0))+SUMPRODUCT((H53:H58=BD54)*IFERROR(F53:F58,0))</f>
        <v>1</v>
      </c>
      <c r="BK54">
        <f>BF54*3+BG54</f>
        <v>6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1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>
        <v>3</v>
      </c>
      <c r="G55" s="7">
        <v>0</v>
      </c>
      <c r="H55" s="13" t="s">
        <v>70</v>
      </c>
      <c r="I55" s="11" t="s">
        <v>68</v>
      </c>
      <c r="J55" s="3"/>
      <c r="K55" s="13" t="str">
        <f>INDEX(BD54:BD57,MATCH(1,BL54:BL57,0))</f>
        <v>France</v>
      </c>
      <c r="L55" s="11">
        <f>INDEX(BE54:BE57,MATCH(1,BL54:BL57,0))</f>
        <v>2</v>
      </c>
      <c r="M55" s="11">
        <f>INDEX(BF54:BF57,MATCH(1,BL54:BL57,0))</f>
        <v>2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6 - 1</v>
      </c>
      <c r="Q55" s="14">
        <f>INDEX(BK54:BK57,MATCH(1,BL54:BL57,0))</f>
        <v>6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2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2</v>
      </c>
      <c r="BI55">
        <f t="array" ref="BI55">SUMPRODUCT((E53:E58=BD55)*IFERROR(F53:F58,0))+SUMPRODUCT((H53:H58=BD55)*IFERROR(G53:G58,0))</f>
        <v>3</v>
      </c>
      <c r="BJ55">
        <f t="array" ref="BJ55">SUMPRODUCT((E53:E58=BD55)*IFERROR(G53:G58,0))+SUMPRODUCT((H53:H58=BD55)*IFERROR(F53:F58,0))</f>
        <v>6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>
        <v>3</v>
      </c>
      <c r="G56" s="7">
        <v>2</v>
      </c>
      <c r="H56" s="13" t="s">
        <v>67</v>
      </c>
      <c r="I56" s="11" t="s">
        <v>68</v>
      </c>
      <c r="J56" s="3"/>
      <c r="K56" s="13" t="str">
        <f>INDEX(BD54:BD57,MATCH(2,BL54:BL57,0))</f>
        <v>Norway</v>
      </c>
      <c r="L56" s="11">
        <f>INDEX(BE54:BE57,MATCH(2,BL54:BL57,0))</f>
        <v>2</v>
      </c>
      <c r="M56" s="11">
        <f>INDEX(BF54:BF57,MATCH(2,BL54:BL57,0))</f>
        <v>2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7 - 3</v>
      </c>
      <c r="Q56" s="14">
        <f>INDEX(BK54:BK57,MATCH(2,BL54:BL57,0))</f>
        <v>6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2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2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7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2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2</v>
      </c>
      <c r="P57" s="11" t="str">
        <f>INDEX(BI54:BI57,MATCH(3,BL54:BL57,0))&amp;" - "&amp;INDEX(BJ54:BJ57,MATCH(3,BL54:BL57,0))</f>
        <v>3 - 6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2</v>
      </c>
      <c r="BF57">
        <f t="array" ref="BF57">SUMPRODUCT((E53:E58=BD57)*ISNUMBER(F53:F58)*ISNUMBER(G53:G58)*(F53:F58&gt;G53:G58))+SUMPRODUCT((H53:H58=BD57)*ISNUMBER(F53:F58)*ISNUMBER(G53:G58)*(G53:G58&gt;F53:F58))</f>
        <v>2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7</v>
      </c>
      <c r="BJ57">
        <f t="array" ref="BJ57">SUMPRODUCT((E53:E58=BD57)*IFERROR(G53:G58,0))+SUMPRODUCT((H53:H58=BD57)*IFERROR(F53:F58,0))</f>
        <v>3</v>
      </c>
      <c r="BK57">
        <f>BF57*3+BG57</f>
        <v>6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2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2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2</v>
      </c>
      <c r="P58" s="18" t="str">
        <f>INDEX(BI54:BI57,MATCH(4,BL54:BL57,0))&amp;" - "&amp;INDEX(BJ54:BJ57,MATCH(4,BL54:BL57,0))</f>
        <v>1 - 7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2</v>
      </c>
      <c r="BF60">
        <f t="array" ref="BF60">SUMPRODUCT((E59:E64=BD60)*ISNUMBER(F59:F64)*ISNUMBER(G59:G64)*(F59:F64&gt;G59:G64))+SUMPRODUCT((H59:H64=BD60)*ISNUMBER(F59:F64)*ISNUMBER(G59:G64)*(G59:G64&gt;F59:F64))</f>
        <v>2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5</v>
      </c>
      <c r="BJ60">
        <f t="array" ref="BJ60">SUMPRODUCT((E59:E64=BD60)*IFERROR(G59:G64,0))+SUMPRODUCT((H59:H64=BD60)*IFERROR(F59:F64,0))</f>
        <v>0</v>
      </c>
      <c r="BK60">
        <f>BF60*3+BG60</f>
        <v>6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>
        <v>2</v>
      </c>
      <c r="G61" s="7">
        <v>0</v>
      </c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2</v>
      </c>
      <c r="M61" s="11">
        <f>INDEX(BF60:BF63,MATCH(1,BL60:BL63,0))</f>
        <v>2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5 - 0</v>
      </c>
      <c r="Q61" s="14">
        <f>INDEX(BK60:BK63,MATCH(1,BL60:BL63,0))</f>
        <v>6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2</v>
      </c>
      <c r="BF61">
        <f t="array" ref="BF61">SUMPRODUCT((E59:E64=BD61)*ISNUMBER(F59:F64)*ISNUMBER(G59:G64)*(F59:F64&gt;G59:G64))+SUMPRODUCT((H59:H64=BD61)*ISNUMBER(F59:F64)*ISNUMBER(G59:G64)*(G59:G64&gt;F59:F64))</f>
        <v>1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2</v>
      </c>
      <c r="BJ61">
        <f t="array" ref="BJ61">SUMPRODUCT((E59:E64=BD61)*IFERROR(G59:G64,0))+SUMPRODUCT((H59:H64=BD61)*IFERROR(F59:F64,0))</f>
        <v>4</v>
      </c>
      <c r="BK61">
        <f>BF61*3+BG61</f>
        <v>3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3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>
        <v>1</v>
      </c>
      <c r="G62" s="7">
        <v>2</v>
      </c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2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1</v>
      </c>
      <c r="P62" s="11" t="str">
        <f>INDEX(BI60:BI63,MATCH(2,BL60:BL63,0))&amp;" - "&amp;INDEX(BJ60:BJ63,MATCH(2,BL60:BL63,0))</f>
        <v>3 - 3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2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1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3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Algeria</v>
      </c>
      <c r="L63" s="11">
        <f>INDEX(BE60:BE63,MATCH(3,BL60:BL63,0))</f>
        <v>2</v>
      </c>
      <c r="M63" s="11">
        <f>INDEX(BF60:BF63,MATCH(3,BL60:BL63,0))</f>
        <v>1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2 - 4</v>
      </c>
      <c r="Q63" s="14">
        <f>INDEX(BK60:BK63,MATCH(3,BL60:BL63,0))</f>
        <v>3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2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2</v>
      </c>
      <c r="BI63">
        <f t="array" ref="BI63">SUMPRODUCT((E59:E64=BD63)*IFERROR(F59:F64,0))+SUMPRODUCT((H59:H64=BD63)*IFERROR(G59:G64,0))</f>
        <v>2</v>
      </c>
      <c r="BJ63">
        <f t="array" ref="BJ63">SUMPRODUCT((E59:E64=BD63)*IFERROR(G59:G64,0))+SUMPRODUCT((H59:H64=BD63)*IFERROR(F59:F64,0))</f>
        <v>5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4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Jordan</v>
      </c>
      <c r="L64" s="18">
        <f>INDEX(BE60:BE63,MATCH(4,BL60:BL63,0))</f>
        <v>2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2</v>
      </c>
      <c r="P64" s="18" t="str">
        <f>INDEX(BI60:BI63,MATCH(4,BL60:BL63,0))&amp;" - "&amp;INDEX(BJ60:BJ63,MATCH(4,BL60:BL63,0))</f>
        <v>2 - 5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2</v>
      </c>
      <c r="BF66">
        <f t="array" ref="BF66">SUMPRODUCT((E65:E70=BD66)*ISNUMBER(F65:F70)*ISNUMBER(G65:G70)*(F65:F70&gt;G65:G70))+SUMPRODUCT((H65:H70=BD66)*ISNUMBER(F65:F70)*ISNUMBER(G65:G70)*(G65:G70&gt;F65:F70))</f>
        <v>1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6</v>
      </c>
      <c r="BJ66">
        <f t="array" ref="BJ66">SUMPRODUCT((E65:E70=BD66)*IFERROR(G65:G70,0))+SUMPRODUCT((H65:H70=BD66)*IFERROR(F65:F70,0))</f>
        <v>1</v>
      </c>
      <c r="BK66">
        <f>BF66*3+BG66</f>
        <v>4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0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0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>
        <v>5</v>
      </c>
      <c r="G67" s="7">
        <v>0</v>
      </c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2</v>
      </c>
      <c r="M67" s="11">
        <f>INDEX(BF66:BF69,MATCH(1,BL66:BL69,0))</f>
        <v>2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4 - 1</v>
      </c>
      <c r="Q67" s="14">
        <f>INDEX(BK66:BK69,MATCH(1,BL66:BL69,0))</f>
        <v>6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2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1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2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0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0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>
        <v>1</v>
      </c>
      <c r="G68" s="7">
        <v>0</v>
      </c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2</v>
      </c>
      <c r="M68" s="11">
        <f>INDEX(BF66:BF69,MATCH(2,BL66:BL69,0))</f>
        <v>1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6 - 1</v>
      </c>
      <c r="Q68" s="14">
        <f>INDEX(BK66:BK69,MATCH(2,BL66:BL69,0))</f>
        <v>4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2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2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8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2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1</v>
      </c>
      <c r="P69" s="11" t="str">
        <f>INDEX(BI66:BI69,MATCH(3,BL66:BL69,0))&amp;" - "&amp;INDEX(BJ66:BJ69,MATCH(3,BL66:BL69,0))</f>
        <v>1 - 2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2</v>
      </c>
      <c r="BF69">
        <f t="array" ref="BF69">SUMPRODUCT((E65:E70=BD69)*ISNUMBER(F65:F70)*ISNUMBER(G65:G70)*(F65:F70&gt;G65:G70))+SUMPRODUCT((H65:H70=BD69)*ISNUMBER(F65:F70)*ISNUMBER(G65:G70)*(G65:G70&gt;F65:F70))</f>
        <v>2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4</v>
      </c>
      <c r="BJ69">
        <f t="array" ref="BJ69">SUMPRODUCT((E65:E70=BD69)*IFERROR(G65:G70,0))+SUMPRODUCT((H65:H70=BD69)*IFERROR(F65:F70,0))</f>
        <v>1</v>
      </c>
      <c r="BK69">
        <f>BF69*3+BG69</f>
        <v>6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2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2</v>
      </c>
      <c r="P70" s="18" t="str">
        <f>INDEX(BI66:BI69,MATCH(4,BL66:BL69,0))&amp;" - "&amp;INDEX(BJ66:BJ69,MATCH(4,BL66:BL69,0))</f>
        <v>1 - 8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2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1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4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1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>
        <v>0</v>
      </c>
      <c r="G73" s="7">
        <v>0</v>
      </c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2</v>
      </c>
      <c r="M73" s="11">
        <f>INDEX(BF72:BF75,MATCH(1,BL72:BL75,0))</f>
        <v>1</v>
      </c>
      <c r="N73" s="11">
        <f>INDEX(BG72:BG75,MATCH(1,BL72:BL75,0))</f>
        <v>1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4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2</v>
      </c>
      <c r="BF73">
        <f t="array" ref="BF73">SUMPRODUCT((E71:E76=BD73)*ISNUMBER(F71:F76)*ISNUMBER(G71:G76)*(F71:F76&gt;G71:G76))+SUMPRODUCT((H71:H76=BD73)*ISNUMBER(F71:F76)*ISNUMBER(G71:G76)*(G71:G76&gt;F71:F76))</f>
        <v>1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3</v>
      </c>
      <c r="BJ73">
        <f t="array" ref="BJ73">SUMPRODUCT((E71:E76=BD73)*IFERROR(G71:G76,0))+SUMPRODUCT((H71:H76=BD73)*IFERROR(F71:F76,0))</f>
        <v>4</v>
      </c>
      <c r="BK73">
        <f>BF73*3+BG73</f>
        <v>3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3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>
        <v>0</v>
      </c>
      <c r="G74" s="7">
        <v>1</v>
      </c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2</v>
      </c>
      <c r="M74" s="11">
        <f>INDEX(BF72:BF75,MATCH(2,BL72:BL75,0))</f>
        <v>1</v>
      </c>
      <c r="N74" s="11">
        <f>INDEX(BG72:BG75,MATCH(2,BL72:BL75,0))</f>
        <v>1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4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2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1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4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1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Croatia</v>
      </c>
      <c r="L75" s="11">
        <f>INDEX(BE72:BE75,MATCH(3,BL72:BL75,0))</f>
        <v>2</v>
      </c>
      <c r="M75" s="11">
        <f>INDEX(BF72:BF75,MATCH(3,BL72:BL75,0))</f>
        <v>1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3 - 4</v>
      </c>
      <c r="Q75" s="14">
        <f>INDEX(BK72:BK75,MATCH(3,BL72:BL75,0))</f>
        <v>3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2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2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2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4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Panama</v>
      </c>
      <c r="L76" s="18">
        <f>INDEX(BE72:BE75,MATCH(4,BL72:BL75,0))</f>
        <v>2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2</v>
      </c>
      <c r="P76" s="18" t="str">
        <f>INDEX(BI72:BI75,MATCH(4,BL72:BL75,0))&amp;" - "&amp;INDEX(BJ72:BJ75,MATCH(4,BL72:BL75,0))</f>
        <v>0 - 2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Africa</v>
      </c>
      <c r="AQ81" t="str">
        <f>IFERROR(INDEX(BD6:BD9,MATCH(3,BL6:BL9,0)),"")</f>
        <v>South Korea</v>
      </c>
      <c r="AR81">
        <f>IFERROR(INDEX(BK6:BK9,MATCH(3,BL6:BL9,0)),0)</f>
        <v>3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6</v>
      </c>
      <c r="AV81" t="str">
        <f>IFERROR(INDEX($AQ$81:$AQ$92,MATCH(1,$AT$81:$AT$92,0)),"")</f>
        <v>Sweden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ABCDEFJL</v>
      </c>
      <c r="BM81" t="str">
        <f>IFERROR(INDEX('Annex C (generated)'!$D$2:$D$496,MATCH($AX$81,'Annex C (generated)'!$B$2:$B$496,0)),"")</f>
        <v>D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C</v>
      </c>
      <c r="BP81" t="str">
        <f>IFERROR(INDEX('Annex C (generated)'!$G$2:$G$496,MATCH($AX$81,'Annex C (generated)'!$B$2:$B$496,0)),"")</f>
        <v>E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J</v>
      </c>
      <c r="BT81" t="str">
        <f>IFERROR(INDEX('Annex C (generated)'!$K$2:$K$496,MATCH($AX$81,'Annex C (generated)'!$B$2:$B$496,0)),"")</f>
        <v>L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Switzerland</v>
      </c>
      <c r="AP82" t="str">
        <f>IFERROR(INDEX(BD12:BD15,MATCH(2,BL12:BL15,0)),"")</f>
        <v>Canada</v>
      </c>
      <c r="AQ82" t="str">
        <f>IFERROR(INDEX(BD12:BD15,MATCH(3,BL12:BL15,0)),"")</f>
        <v>Bosnia &amp; Herzegovina</v>
      </c>
      <c r="AR82">
        <f>IFERROR(INDEX(BK12:BK15,MATCH(3,BL12:BL15,0)),0)</f>
        <v>4</v>
      </c>
      <c r="AS82">
        <f>IFERROR(INDEX(BI12:BI15,MATCH(3,BL12:BL15,0))-INDEX(BJ12:BJ15,MATCH(3,BL12:BL15,0)),0)</f>
        <v>-1</v>
      </c>
      <c r="AT82">
        <f t="array" ref="AT82">SUMPRODUCT((($AR$81:$AR$92*1000000000000+($AS$81:$AS$92+20)*100000000+$BU$81:$BU$92*10000-ROW($AR$81:$AR$92))&gt;(AR82*1000000000000+(AS82+20)*100000000+BU82*10000-ROW(AR82)))*1)+1</f>
        <v>3</v>
      </c>
      <c r="AV82" t="str">
        <f>IFERROR(INDEX($AQ$81:$AQ$92,MATCH(2,$AT$81:$AT$92,0)),"")</f>
        <v>Ecuador</v>
      </c>
      <c r="AW82" t="str">
        <f>IFERROR(INDEX($AN$81:$AN$92,MATCH(2,$AT$81:$AT$92,0)),"")</f>
        <v>E</v>
      </c>
      <c r="BU82">
        <f>IFERROR(INDEX(BI12:BI15,MATCH(3,BL12:BL15,0)),0)</f>
        <v>5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Brazil</v>
      </c>
      <c r="AP83" t="str">
        <f>IFERROR(INDEX(BD18:BD21,MATCH(2,BL18:BL21,0)),"")</f>
        <v>Morocco</v>
      </c>
      <c r="AQ83" t="str">
        <f>IFERROR(INDEX(BD18:BD21,MATCH(3,BL18:BL21,0)),"")</f>
        <v>Scotland</v>
      </c>
      <c r="AR83">
        <f>IFERROR(INDEX(BK18:BK21,MATCH(3,BL18:BL21,0)),0)</f>
        <v>3</v>
      </c>
      <c r="AS83">
        <f>IFERROR(INDEX(BI18:BI21,MATCH(3,BL18:BL21,0))-INDEX(BJ18:BJ21,MATCH(3,BL18:BL21,0)),0)</f>
        <v>-3</v>
      </c>
      <c r="AT83">
        <f t="array" ref="AT83">SUMPRODUCT((($AR$81:$AR$92*1000000000000+($AS$81:$AS$92+20)*100000000+$BU$81:$BU$92*10000-ROW($AR$81:$AR$92))&gt;(AR83*1000000000000+(AS83+20)*100000000+BU83*10000-ROW(AR83)))*1)+1</f>
        <v>8</v>
      </c>
      <c r="AV83" t="str">
        <f>IFERROR(INDEX($AQ$81:$AQ$92,MATCH(3,$AT$81:$AT$92,0)),"")</f>
        <v>Bosnia &amp; Herzegovina</v>
      </c>
      <c r="AW83" t="str">
        <f>IFERROR(INDEX($AN$81:$AN$92,MATCH(3,$AT$81:$AT$92,0)),"")</f>
        <v>B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Paraguay</v>
      </c>
      <c r="AR84">
        <f>IFERROR(INDEX(BK24:BK27,MATCH(3,BL24:BL27,0)),0)</f>
        <v>4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4</v>
      </c>
      <c r="AV84" t="str">
        <f>IFERROR(INDEX($AQ$81:$AQ$92,MATCH(4,$AT$81:$AT$92,0)),"")</f>
        <v>Paraguay</v>
      </c>
      <c r="AW84" t="str">
        <f>IFERROR(INDEX($AN$81:$AN$92,MATCH(4,$AT$81:$AT$92,0)),"")</f>
        <v>D</v>
      </c>
      <c r="BU84">
        <f>IFERROR(INDEX(BI24:BI27,MATCH(3,BL24:BL27,0)),0)</f>
        <v>2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4</v>
      </c>
      <c r="AS85">
        <f>IFERROR(INDEX(BI30:BI33,MATCH(3,BL30:BL33,0))-INDEX(BJ30:BJ33,MATCH(3,BL30:BL33,0)),0)</f>
        <v>0</v>
      </c>
      <c r="AT85">
        <f t="array" ref="AT85">SUMPRODUCT((($AR$81:$AR$92*1000000000000+($AS$81:$AS$92+20)*100000000+$BU$81:$BU$92*10000-ROW($AR$81:$AR$92))&gt;(AR85*1000000000000+(AS85+20)*100000000+BU85*10000-ROW(AR85)))*1)+1</f>
        <v>2</v>
      </c>
      <c r="AV85" t="str">
        <f>IFERROR(INDEX($AQ$81:$AQ$92,MATCH(5,$AT$81:$AT$92,0)),"")</f>
        <v>Croatia</v>
      </c>
      <c r="AW85" t="str">
        <f>IFERROR(INDEX($AN$81:$AN$92,MATCH(5,$AT$81:$AT$92,0)),"")</f>
        <v>L</v>
      </c>
      <c r="BU85">
        <f>IFERROR(INDEX(BI30:BI33,MATCH(3,BL30:BL33,0)),0)</f>
        <v>2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Netherlands</v>
      </c>
      <c r="AP86" t="str">
        <f>IFERROR(INDEX(BD36:BD39,MATCH(2,BL36:BL39,0)),"")</f>
        <v>Japan</v>
      </c>
      <c r="AQ86" t="str">
        <f>IFERROR(INDEX(BD36:BD39,MATCH(3,BL36:BL39,0)),"")</f>
        <v>Sweden</v>
      </c>
      <c r="AR86">
        <f>IFERROR(INDEX(BK36:BK39,MATCH(3,BL36:BL39,0)),0)</f>
        <v>4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South Korea</v>
      </c>
      <c r="AW86" t="str">
        <f>IFERROR(INDEX($AN$81:$AN$92,MATCH(6,$AT$81:$AT$92,0)),"")</f>
        <v>A</v>
      </c>
      <c r="BU86">
        <f>IFERROR(INDEX(BI36:BI39,MATCH(3,BL36:BL39,0)),0)</f>
        <v>7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Egypt</v>
      </c>
      <c r="AP87" t="str">
        <f>IFERROR(INDEX(BD42:BD45,MATCH(2,BL42:BL45,0)),"")</f>
        <v>Iran</v>
      </c>
      <c r="AQ87" t="str">
        <f>IFERROR(INDEX(BD42:BD45,MATCH(3,BL42:BL45,0)),"")</f>
        <v>Belgium</v>
      </c>
      <c r="AR87">
        <f>IFERROR(INDEX(BK42:BK45,MATCH(3,BL42:BL45,0)),0)</f>
        <v>2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10</v>
      </c>
      <c r="AV87" t="str">
        <f>IFERROR(INDEX($AQ$81:$AQ$92,MATCH(7,$AT$81:$AT$92,0)),"")</f>
        <v>Algeria</v>
      </c>
      <c r="AW87" t="str">
        <f>IFERROR(INDEX($AN$81:$AN$92,MATCH(7,$AT$81:$AT$92,0)),"")</f>
        <v>J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Spain</v>
      </c>
      <c r="AP88" t="str">
        <f>IFERROR(INDEX(BD48:BD51,MATCH(2,BL48:BL51,0)),"")</f>
        <v>Uruguay</v>
      </c>
      <c r="AQ88" t="str">
        <f>IFERROR(INDEX(BD48:BD51,MATCH(3,BL48:BL51,0)),"")</f>
        <v>Cape Verde</v>
      </c>
      <c r="AR88">
        <f>IFERROR(INDEX(BK48:BK51,MATCH(3,BL48:BL51,0)),0)</f>
        <v>2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9</v>
      </c>
      <c r="AV88" t="str">
        <f>IFERROR(INDEX($AQ$81:$AQ$92,MATCH(8,$AT$81:$AT$92,0)),"")</f>
        <v>Scotland</v>
      </c>
      <c r="AW88" t="str">
        <f>IFERROR(INDEX($AN$81:$AN$92,MATCH(8,$AT$81:$AT$92,0)),"")</f>
        <v>C</v>
      </c>
      <c r="BU88">
        <f>IFERROR(INDEX(BI48:BI51,MATCH(3,BL48:BL51,0)),0)</f>
        <v>2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France</v>
      </c>
      <c r="AP89" t="str">
        <f>IFERROR(INDEX(BD54:BD57,MATCH(2,BL54:BL57,0)),"")</f>
        <v>Norway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-3</v>
      </c>
      <c r="AT89">
        <f t="array" ref="AT89">SUMPRODUCT((($AR$81:$AR$92*1000000000000+($AS$81:$AS$92+20)*100000000+$BU$81:$BU$92*10000-ROW($AR$81:$AR$92))&gt;(AR89*1000000000000+(AS89+20)*100000000+BU89*10000-ROW(AR89)))*1)+1</f>
        <v>12</v>
      </c>
      <c r="BU89">
        <f>IFERROR(INDEX(BI54:BI57,MATCH(3,BL54:BL57,0)),0)</f>
        <v>3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Algeria</v>
      </c>
      <c r="AR90">
        <f>IFERROR(INDEX(BK60:BK63,MATCH(3,BL60:BL63,0)),0)</f>
        <v>3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7</v>
      </c>
      <c r="BU90">
        <f>IFERROR(INDEX(BI60:BI63,MATCH(3,BL60:BL63,0)),0)</f>
        <v>2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-1</v>
      </c>
      <c r="AT91">
        <f t="array" ref="AT91">SUMPRODUCT((($AR$81:$AR$92*1000000000000+($AS$81:$AS$92+20)*100000000+$BU$81:$BU$92*10000-ROW($AR$81:$AR$92))&gt;(AR91*1000000000000+(AS91+20)*100000000+BU91*10000-ROW(AR91)))*1)+1</f>
        <v>11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Croatia</v>
      </c>
      <c r="AR92">
        <f>IFERROR(INDEX(BK72:BK75,MATCH(3,BL72:BL75,0)),0)</f>
        <v>3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5</v>
      </c>
      <c r="BU92">
        <f>IFERROR(INDEX(BI72:BI75,MATCH(3,BL72:BL75,0)),0)</f>
        <v>3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Susie Wolke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115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115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Simas Baubonis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112.5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112.5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Titas Jodenis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109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109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Donatas Celesius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108.5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108.5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Zaur Yusubov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108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108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Arūnas Čižauskas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106.5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106.5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1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7</v>
      </c>
      <c r="B10" s="27" t="str">
        <f>IF(7&gt;COUNTIF(' Toto teams'!$A$4:$A$119,"&lt;&gt;"),"",INDEX(' Toto teams'!$A$4:$A$119,MATCH(LARGE(' Toto teams'!$T$4:$T$119,7),' Toto teams'!$T$4:$T$119,0)))</f>
        <v>Algirdas Čižauskas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104.5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104.5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2</v>
      </c>
      <c r="R10" s="34">
        <f t="shared" si="3"/>
        <v>78.75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7</v>
      </c>
      <c r="B11" s="27" t="str">
        <f>IF(8&gt;COUNTIF(' Toto teams'!$A$4:$A$119,"&lt;&gt;"),"",INDEX(' Toto teams'!$A$4:$A$119,MATCH(LARGE(' Toto teams'!$T$4:$T$119,8),' Toto teams'!$T$4:$T$119,0)))</f>
        <v>Nadia Mercurio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104.5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104.5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9</v>
      </c>
      <c r="B12" s="27" t="str">
        <f>IF(9&gt;COUNTIF(' Toto teams'!$A$4:$A$119,"&lt;&gt;"),"",INDEX(' Toto teams'!$A$4:$A$119,MATCH(LARGE(' Toto teams'!$T$4:$T$119,9),' Toto teams'!$T$4:$T$119,0)))</f>
        <v>Sigitas Petraitis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103.5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103.5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1</v>
      </c>
      <c r="R12" s="34">
        <f t="shared" si="3"/>
        <v>78.75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Virginija Čižauskienė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103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103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10</v>
      </c>
      <c r="B14" s="27" t="str">
        <f>IF(11&gt;COUNTIF(' Toto teams'!$A$4:$A$119,"&lt;&gt;"),"",INDEX(' Toto teams'!$A$4:$A$119,MATCH(LARGE(' Toto teams'!$T$4:$T$119,11),' Toto teams'!$T$4:$T$119,0)))</f>
        <v>Sergey Zhaltuchin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103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103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10</v>
      </c>
      <c r="B15" s="27" t="str">
        <f>IF(12&gt;COUNTIF(' Toto teams'!$A$4:$A$119,"&lt;&gt;"),"",INDEX(' Toto teams'!$A$4:$A$119,MATCH(LARGE(' Toto teams'!$T$4:$T$119,12),' Toto teams'!$T$4:$T$119,0)))</f>
        <v>Davide Speranza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103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103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13</v>
      </c>
      <c r="B16" s="27" t="str">
        <f>IF(13&gt;COUNTIF(' Toto teams'!$A$4:$A$119,"&lt;&gt;"),"",INDEX(' Toto teams'!$A$4:$A$119,MATCH(LARGE(' Toto teams'!$T$4:$T$119,13),' Toto teams'!$T$4:$T$119,0)))</f>
        <v>Pijus Jalo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102.5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102.5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14</v>
      </c>
      <c r="B17" s="27" t="str">
        <f>IF(14&gt;COUNTIF(' Toto teams'!$A$4:$A$119,"&lt;&gt;"),"",INDEX(' Toto teams'!$A$4:$A$119,MATCH(LARGE(' Toto teams'!$T$4:$T$119,14),' Toto teams'!$T$4:$T$119,0)))</f>
        <v>Artem Lavrov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102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102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Dainius Breivė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101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101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15</v>
      </c>
      <c r="B19" s="27" t="str">
        <f>IF(16&gt;COUNTIF(' Toto teams'!$A$4:$A$119,"&lt;&gt;"),"",INDEX(' Toto teams'!$A$4:$A$119,MATCH(LARGE(' Toto teams'!$T$4:$T$119,16),' Toto teams'!$T$4:$T$119,0)))</f>
        <v>Vaidas Pažusys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101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101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Andrea Signorini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99.5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99.5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17</v>
      </c>
      <c r="B21" s="27" t="str">
        <f>IF(18&gt;COUNTIF(' Toto teams'!$A$4:$A$119,"&lt;&gt;"),"",INDEX(' Toto teams'!$A$4:$A$119,MATCH(LARGE(' Toto teams'!$T$4:$T$119,18),' Toto teams'!$T$4:$T$119,0)))</f>
        <v>Rolandas Urbelis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99.5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99.5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19</v>
      </c>
      <c r="B22" s="27" t="str">
        <f>IF(19&gt;COUNTIF(' Toto teams'!$A$4:$A$119,"&lt;&gt;"),"",INDEX(' Toto teams'!$A$4:$A$119,MATCH(LARGE(' Toto teams'!$T$4:$T$119,19),' Toto teams'!$T$4:$T$119,0)))</f>
        <v>Egidijus Mačiukas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99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99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19</v>
      </c>
      <c r="B23" s="27" t="str">
        <f>IF(20&gt;COUNTIF(' Toto teams'!$A$4:$A$119,"&lt;&gt;"),"",INDEX(' Toto teams'!$A$4:$A$119,MATCH(LARGE(' Toto teams'!$T$4:$T$119,20),' Toto teams'!$T$4:$T$119,0)))</f>
        <v>Gianmarco Monti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99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99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19</v>
      </c>
      <c r="B24" s="27" t="str">
        <f>IF(21&gt;COUNTIF(' Toto teams'!$A$4:$A$119,"&lt;&gt;"),"",INDEX(' Toto teams'!$A$4:$A$119,MATCH(LARGE(' Toto teams'!$T$4:$T$119,21),' Toto teams'!$T$4:$T$119,0)))</f>
        <v>Deividas Jančius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99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99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22</v>
      </c>
      <c r="B25" s="27" t="str">
        <f>IF(22&gt;COUNTIF(' Toto teams'!$A$4:$A$119,"&lt;&gt;"),"",INDEX(' Toto teams'!$A$4:$A$119,MATCH(LARGE(' Toto teams'!$T$4:$T$119,22),' Toto teams'!$T$4:$T$119,0)))</f>
        <v>Mindaugas Sipavičius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98.5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98.5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22</v>
      </c>
      <c r="B26" s="27" t="str">
        <f>IF(23&gt;COUNTIF(' Toto teams'!$A$4:$A$119,"&lt;&gt;"),"",INDEX(' Toto teams'!$A$4:$A$119,MATCH(LARGE(' Toto teams'!$T$4:$T$119,23),' Toto teams'!$T$4:$T$119,0)))</f>
        <v>Audi club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98.5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98.5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24</v>
      </c>
      <c r="B27" s="27" t="str">
        <f>IF(24&gt;COUNTIF(' Toto teams'!$A$4:$A$119,"&lt;&gt;"),"",INDEX(' Toto teams'!$A$4:$A$119,MATCH(LARGE(' Toto teams'!$T$4:$T$119,24),' Toto teams'!$T$4:$T$119,0)))</f>
        <v>Martynas Bruzga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98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98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25</v>
      </c>
      <c r="B28" s="27" t="str">
        <f>IF(25&gt;COUNTIF(' Toto teams'!$A$4:$A$119,"&lt;&gt;"),"",INDEX(' Toto teams'!$A$4:$A$119,MATCH(LARGE(' Toto teams'!$T$4:$T$119,25),' Toto teams'!$T$4:$T$119,0)))</f>
        <v>Kristina I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97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97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25</v>
      </c>
      <c r="B29" s="27" t="str">
        <f>IF(26&gt;COUNTIF(' Toto teams'!$A$4:$A$119,"&lt;&gt;"),"",INDEX(' Toto teams'!$A$4:$A$119,MATCH(LARGE(' Toto teams'!$T$4:$T$119,26),' Toto teams'!$T$4:$T$119,0)))</f>
        <v>Ivan Manev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97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97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25</v>
      </c>
      <c r="B30" s="27" t="str">
        <f>IF(27&gt;COUNTIF(' Toto teams'!$A$4:$A$119,"&lt;&gt;"),"",INDEX(' Toto teams'!$A$4:$A$119,MATCH(LARGE(' Toto teams'!$T$4:$T$119,27),' Toto teams'!$T$4:$T$119,0)))</f>
        <v>Rustam Roikov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97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97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25</v>
      </c>
      <c r="B31" s="27" t="str">
        <f>IF(28&gt;COUNTIF(' Toto teams'!$A$4:$A$119,"&lt;&gt;"),"",INDEX(' Toto teams'!$A$4:$A$119,MATCH(LARGE(' Toto teams'!$T$4:$T$119,28),' Toto teams'!$T$4:$T$119,0)))</f>
        <v>Aurimas Šumbrauskis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97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97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25</v>
      </c>
      <c r="B32" s="27" t="str">
        <f>IF(29&gt;COUNTIF(' Toto teams'!$A$4:$A$119,"&lt;&gt;"),"",INDEX(' Toto teams'!$A$4:$A$119,MATCH(LARGE(' Toto teams'!$T$4:$T$119,29),' Toto teams'!$T$4:$T$119,0)))</f>
        <v>Donatas Keras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97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97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25</v>
      </c>
      <c r="B33" s="27" t="str">
        <f>IF(30&gt;COUNTIF(' Toto teams'!$A$4:$A$119,"&lt;&gt;"),"",INDEX(' Toto teams'!$A$4:$A$119,MATCH(LARGE(' Toto teams'!$T$4:$T$119,30),' Toto teams'!$T$4:$T$119,0)))</f>
        <v>Donatas Bakėjus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97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97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25</v>
      </c>
      <c r="B34" s="27" t="str">
        <f>IF(31&gt;COUNTIF(' Toto teams'!$A$4:$A$119,"&lt;&gt;"),"",INDEX(' Toto teams'!$A$4:$A$119,MATCH(LARGE(' Toto teams'!$T$4:$T$119,31),' Toto teams'!$T$4:$T$119,0)))</f>
        <v>Paolo Papiri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97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97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32</v>
      </c>
      <c r="B35" s="27" t="str">
        <f>IF(32&gt;COUNTIF(' Toto teams'!$A$4:$A$119,"&lt;&gt;"),"",INDEX(' Toto teams'!$A$4:$A$119,MATCH(LARGE(' Toto teams'!$T$4:$T$119,32),' Toto teams'!$T$4:$T$119,0)))</f>
        <v>Eugenijus Petrošius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96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96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32</v>
      </c>
      <c r="B36" s="27" t="str">
        <f>IF(33&gt;COUNTIF(' Toto teams'!$A$4:$A$119,"&lt;&gt;"),"",INDEX(' Toto teams'!$A$4:$A$119,MATCH(LARGE(' Toto teams'!$T$4:$T$119,33),' Toto teams'!$T$4:$T$119,0)))</f>
        <v>Juozas Žimkus Jr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96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96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32</v>
      </c>
      <c r="B37" s="27" t="str">
        <f>IF(34&gt;COUNTIF(' Toto teams'!$A$4:$A$119,"&lt;&gt;"),"",INDEX(' Toto teams'!$A$4:$A$119,MATCH(LARGE(' Toto teams'!$T$4:$T$119,34),' Toto teams'!$T$4:$T$119,0)))</f>
        <v>Simonas Anikinas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96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96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32</v>
      </c>
      <c r="B38" s="27" t="str">
        <f>IF(35&gt;COUNTIF(' Toto teams'!$A$4:$A$119,"&lt;&gt;"),"",INDEX(' Toto teams'!$A$4:$A$119,MATCH(LARGE(' Toto teams'!$T$4:$T$119,35),' Toto teams'!$T$4:$T$119,0)))</f>
        <v>Gintas Bungarda 2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96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96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36</v>
      </c>
      <c r="B39" s="27" t="str">
        <f>IF(36&gt;COUNTIF(' Toto teams'!$A$4:$A$119,"&lt;&gt;"),"",INDEX(' Toto teams'!$A$4:$A$119,MATCH(LARGE(' Toto teams'!$T$4:$T$119,36),' Toto teams'!$T$4:$T$119,0)))</f>
        <v>Donatas Pocius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95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95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36</v>
      </c>
      <c r="B40" s="27" t="str">
        <f>IF(37&gt;COUNTIF(' Toto teams'!$A$4:$A$119,"&lt;&gt;"),"",INDEX(' Toto teams'!$A$4:$A$119,MATCH(LARGE(' Toto teams'!$T$4:$T$119,37),' Toto teams'!$T$4:$T$119,0)))</f>
        <v>Gedas Girdžiūnas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95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95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36</v>
      </c>
      <c r="B41" s="27" t="str">
        <f>IF(38&gt;COUNTIF(' Toto teams'!$A$4:$A$119,"&lt;&gt;"),"",INDEX(' Toto teams'!$A$4:$A$119,MATCH(LARGE(' Toto teams'!$T$4:$T$119,38),' Toto teams'!$T$4:$T$119,0)))</f>
        <v>Enrico Ancarola, Pietro Rivera, Riccardo Gatti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95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95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36</v>
      </c>
      <c r="B42" s="27" t="str">
        <f>IF(39&gt;COUNTIF(' Toto teams'!$A$4:$A$119,"&lt;&gt;"),"",INDEX(' Toto teams'!$A$4:$A$119,MATCH(LARGE(' Toto teams'!$T$4:$T$119,39),' Toto teams'!$T$4:$T$119,0)))</f>
        <v>Aurimas Oleknavičius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95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95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36</v>
      </c>
      <c r="B43" s="27" t="str">
        <f>IF(40&gt;COUNTIF(' Toto teams'!$A$4:$A$119,"&lt;&gt;"),"",INDEX(' Toto teams'!$A$4:$A$119,MATCH(LARGE(' Toto teams'!$T$4:$T$119,40),' Toto teams'!$T$4:$T$119,0)))</f>
        <v>Ernesta Čebienė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95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95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41</v>
      </c>
      <c r="B44" s="27" t="str">
        <f>IF(41&gt;COUNTIF(' Toto teams'!$A$4:$A$119,"&lt;&gt;"),"",INDEX(' Toto teams'!$A$4:$A$119,MATCH(LARGE(' Toto teams'!$T$4:$T$119,41),' Toto teams'!$T$4:$T$119,0)))</f>
        <v>Edgar Moroz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94.5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94.5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42</v>
      </c>
      <c r="B45" s="27" t="str">
        <f>IF(42&gt;COUNTIF(' Toto teams'!$A$4:$A$119,"&lt;&gt;"),"",INDEX(' Toto teams'!$A$4:$A$119,MATCH(LARGE(' Toto teams'!$T$4:$T$119,42),' Toto teams'!$T$4:$T$119,0)))</f>
        <v>Edita Oršauskė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94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94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42</v>
      </c>
      <c r="B46" s="27" t="str">
        <f>IF(43&gt;COUNTIF(' Toto teams'!$A$4:$A$119,"&lt;&gt;"),"",INDEX(' Toto teams'!$A$4:$A$119,MATCH(LARGE(' Toto teams'!$T$4:$T$119,43),' Toto teams'!$T$4:$T$119,0)))</f>
        <v>Simona Jociūtė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94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94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42</v>
      </c>
      <c r="B47" s="27" t="str">
        <f>IF(44&gt;COUNTIF(' Toto teams'!$A$4:$A$119,"&lt;&gt;"),"",INDEX(' Toto teams'!$A$4:$A$119,MATCH(LARGE(' Toto teams'!$T$4:$T$119,44),' Toto teams'!$T$4:$T$119,0)))</f>
        <v>Renata Čižauskienė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94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94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42</v>
      </c>
      <c r="B48" s="27" t="str">
        <f>IF(45&gt;COUNTIF(' Toto teams'!$A$4:$A$119,"&lt;&gt;"),"",INDEX(' Toto teams'!$A$4:$A$119,MATCH(LARGE(' Toto teams'!$T$4:$T$119,45),' Toto teams'!$T$4:$T$119,0)))</f>
        <v>Evelina Tiščenkė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94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94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Karolis Marcinkevičius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93.5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93.5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46</v>
      </c>
      <c r="B50" s="27" t="str">
        <f>IF(47&gt;COUNTIF(' Toto teams'!$A$4:$A$119,"&lt;&gt;"),"",INDEX(' Toto teams'!$A$4:$A$119,MATCH(LARGE(' Toto teams'!$T$4:$T$119,47),' Toto teams'!$T$4:$T$119,0)))</f>
        <v>Sigitas Šarauskis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93.5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93.5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48</v>
      </c>
      <c r="B51" s="27" t="str">
        <f>IF(48&gt;COUNTIF(' Toto teams'!$A$4:$A$119,"&lt;&gt;"),"",INDEX(' Toto teams'!$A$4:$A$119,MATCH(LARGE(' Toto teams'!$T$4:$T$119,48),' Toto teams'!$T$4:$T$119,0)))</f>
        <v>Slava Maltsev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93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93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48</v>
      </c>
      <c r="B52" s="27" t="str">
        <f>IF(49&gt;COUNTIF(' Toto teams'!$A$4:$A$119,"&lt;&gt;"),"",INDEX(' Toto teams'!$A$4:$A$119,MATCH(LARGE(' Toto teams'!$T$4:$T$119,49),' Toto teams'!$T$4:$T$119,0)))</f>
        <v xml:space="preserve">Paulius Bernotas 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93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93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48</v>
      </c>
      <c r="B53" s="27" t="str">
        <f>IF(50&gt;COUNTIF(' Toto teams'!$A$4:$A$119,"&lt;&gt;"),"",INDEX(' Toto teams'!$A$4:$A$119,MATCH(LARGE(' Toto teams'!$T$4:$T$119,50),' Toto teams'!$T$4:$T$119,0)))</f>
        <v>Lukas Danielevičius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93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93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48</v>
      </c>
      <c r="B54" s="27" t="str">
        <f>IF(51&gt;COUNTIF(' Toto teams'!$A$4:$A$119,"&lt;&gt;"),"",INDEX(' Toto teams'!$A$4:$A$119,MATCH(LARGE(' Toto teams'!$T$4:$T$119,51),' Toto teams'!$T$4:$T$119,0)))</f>
        <v>Raimondas Juška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93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93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48</v>
      </c>
      <c r="B55" s="27" t="str">
        <f>IF(52&gt;COUNTIF(' Toto teams'!$A$4:$A$119,"&lt;&gt;"),"",INDEX(' Toto teams'!$A$4:$A$119,MATCH(LARGE(' Toto teams'!$T$4:$T$119,52),' Toto teams'!$T$4:$T$119,0)))</f>
        <v>Jonas Juška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93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93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48</v>
      </c>
      <c r="B56" s="27" t="str">
        <f>IF(53&gt;COUNTIF(' Toto teams'!$A$4:$A$119,"&lt;&gt;"),"",INDEX(' Toto teams'!$A$4:$A$119,MATCH(LARGE(' Toto teams'!$T$4:$T$119,53),' Toto teams'!$T$4:$T$119,0)))</f>
        <v>Benediktas Babraitis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93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93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54</v>
      </c>
      <c r="B57" s="27" t="str">
        <f>IF(54&gt;COUNTIF(' Toto teams'!$A$4:$A$119,"&lt;&gt;"),"",INDEX(' Toto teams'!$A$4:$A$119,MATCH(LARGE(' Toto teams'!$T$4:$T$119,54),' Toto teams'!$T$4:$T$119,0)))</f>
        <v>Egidijus Navickas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92.5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92.5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54</v>
      </c>
      <c r="B58" s="27" t="str">
        <f>IF(55&gt;COUNTIF(' Toto teams'!$A$4:$A$119,"&lt;&gt;"),"",INDEX(' Toto teams'!$A$4:$A$119,MATCH(LARGE(' Toto teams'!$T$4:$T$119,55),' Toto teams'!$T$4:$T$119,0)))</f>
        <v>Yagub Alizada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92.5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92.5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Saulius Lileikis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92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92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56</v>
      </c>
      <c r="B60" s="27" t="str">
        <f>IF(57&gt;COUNTIF(' Toto teams'!$A$4:$A$119,"&lt;&gt;"),"",INDEX(' Toto teams'!$A$4:$A$119,MATCH(LARGE(' Toto teams'!$T$4:$T$119,57),' Toto teams'!$T$4:$T$119,0)))</f>
        <v>Todor Velikov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92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92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56</v>
      </c>
      <c r="B61" s="27" t="str">
        <f>IF(58&gt;COUNTIF(' Toto teams'!$A$4:$A$119,"&lt;&gt;"),"",INDEX(' Toto teams'!$A$4:$A$119,MATCH(LARGE(' Toto teams'!$T$4:$T$119,58),' Toto teams'!$T$4:$T$119,0)))</f>
        <v>Mindaugas Čižauskas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92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92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56</v>
      </c>
      <c r="B62" s="27" t="str">
        <f>IF(59&gt;COUNTIF(' Toto teams'!$A$4:$A$119,"&lt;&gt;"),"",INDEX(' Toto teams'!$A$4:$A$119,MATCH(LARGE(' Toto teams'!$T$4:$T$119,59),' Toto teams'!$T$4:$T$119,0)))</f>
        <v>Paulina Bungardė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92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92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56</v>
      </c>
      <c r="B63" s="27" t="str">
        <f>IF(60&gt;COUNTIF(' Toto teams'!$A$4:$A$119,"&lt;&gt;"),"",INDEX(' Toto teams'!$A$4:$A$119,MATCH(LARGE(' Toto teams'!$T$4:$T$119,60),' Toto teams'!$T$4:$T$119,0)))</f>
        <v>Benas&amp;Šaras Oleknavičius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92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92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56</v>
      </c>
      <c r="B64" s="27" t="str">
        <f>IF(61&gt;COUNTIF(' Toto teams'!$A$4:$A$119,"&lt;&gt;"),"",INDEX(' Toto teams'!$A$4:$A$119,MATCH(LARGE(' Toto teams'!$T$4:$T$119,61),' Toto teams'!$T$4:$T$119,0)))</f>
        <v>Arnoldas Molis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92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92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62</v>
      </c>
      <c r="B65" s="27" t="str">
        <f>IF(62&gt;COUNTIF(' Toto teams'!$A$4:$A$119,"&lt;&gt;"),"",INDEX(' Toto teams'!$A$4:$A$119,MATCH(LARGE(' Toto teams'!$T$4:$T$119,62),' Toto teams'!$T$4:$T$119,0)))</f>
        <v>Benas VII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91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91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62</v>
      </c>
      <c r="B66" s="27" t="str">
        <f>IF(63&gt;COUNTIF(' Toto teams'!$A$4:$A$119,"&lt;&gt;"),"",INDEX(' Toto teams'!$A$4:$A$119,MATCH(LARGE(' Toto teams'!$T$4:$T$119,63),' Toto teams'!$T$4:$T$119,0)))</f>
        <v>Kamran Mikayilov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91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91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62</v>
      </c>
      <c r="B67" s="27" t="str">
        <f>IF(64&gt;COUNTIF(' Toto teams'!$A$4:$A$119,"&lt;&gt;"),"",INDEX(' Toto teams'!$A$4:$A$119,MATCH(LARGE(' Toto teams'!$T$4:$T$119,64),' Toto teams'!$T$4:$T$119,0)))</f>
        <v>Tomas Bruzga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91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91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62</v>
      </c>
      <c r="B68" s="27" t="str">
        <f>IF(65&gt;COUNTIF(' Toto teams'!$A$4:$A$119,"&lt;&gt;"),"",INDEX(' Toto teams'!$A$4:$A$119,MATCH(LARGE(' Toto teams'!$T$4:$T$119,65),' Toto teams'!$T$4:$T$119,0)))</f>
        <v>Elijus Benetis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91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91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62</v>
      </c>
      <c r="B69" s="27" t="str">
        <f>IF(66&gt;COUNTIF(' Toto teams'!$A$4:$A$119,"&lt;&gt;"),"",INDEX(' Toto teams'!$A$4:$A$119,MATCH(LARGE(' Toto teams'!$T$4:$T$119,66),' Toto teams'!$T$4:$T$119,0)))</f>
        <v>Gintas Bungarda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91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91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62</v>
      </c>
      <c r="B70" s="27" t="str">
        <f>IF(67&gt;COUNTIF(' Toto teams'!$A$4:$A$119,"&lt;&gt;"),"",INDEX(' Toto teams'!$A$4:$A$119,MATCH(LARGE(' Toto teams'!$T$4:$T$119,67),' Toto teams'!$T$4:$T$119,0)))</f>
        <v>Tomas Šunskis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91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91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68</v>
      </c>
      <c r="B71" s="27" t="str">
        <f>IF(68&gt;COUNTIF(' Toto teams'!$A$4:$A$119,"&lt;&gt;"),"",INDEX(' Toto teams'!$A$4:$A$119,MATCH(LARGE(' Toto teams'!$T$4:$T$119,68),' Toto teams'!$T$4:$T$119,0)))</f>
        <v>Sofus Wolke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90.5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90.5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68</v>
      </c>
      <c r="B72" s="27" t="str">
        <f>IF(69&gt;COUNTIF(' Toto teams'!$A$4:$A$119,"&lt;&gt;"),"",INDEX(' Toto teams'!$A$4:$A$119,MATCH(LARGE(' Toto teams'!$T$4:$T$119,69),' Toto teams'!$T$4:$T$119,0)))</f>
        <v>Gintautas Beržanskis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90.5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90.5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70</v>
      </c>
      <c r="B73" s="27" t="str">
        <f>IF(70&gt;COUNTIF(' Toto teams'!$A$4:$A$119,"&lt;&gt;"),"",INDEX(' Toto teams'!$A$4:$A$119,MATCH(LARGE(' Toto teams'!$T$4:$T$119,70),' Toto teams'!$T$4:$T$119,0)))</f>
        <v>Miglė Juškaitė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90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90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Dobilas III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89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89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Benas Bruzga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89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89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71</v>
      </c>
      <c r="B76" s="27" t="str">
        <f>IF(73&gt;COUNTIF(' Toto teams'!$A$4:$A$119,"&lt;&gt;"),"",INDEX(' Toto teams'!$A$4:$A$119,MATCH(LARGE(' Toto teams'!$T$4:$T$119,73),' Toto teams'!$T$4:$T$119,0)))</f>
        <v>Lukas Vaitukaitis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89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89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71</v>
      </c>
      <c r="B77" s="27" t="str">
        <f>IF(74&gt;COUNTIF(' Toto teams'!$A$4:$A$119,"&lt;&gt;"),"",INDEX(' Toto teams'!$A$4:$A$119,MATCH(LARGE(' Toto teams'!$T$4:$T$119,74),' Toto teams'!$T$4:$T$119,0)))</f>
        <v>Giedrius Stanulis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89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89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71</v>
      </c>
      <c r="B78" s="27" t="str">
        <f>IF(75&gt;COUNTIF(' Toto teams'!$A$4:$A$119,"&lt;&gt;"),"",INDEX(' Toto teams'!$A$4:$A$119,MATCH(LARGE(' Toto teams'!$T$4:$T$119,75),' Toto teams'!$T$4:$T$119,0)))</f>
        <v>Joris Jalo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89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89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71</v>
      </c>
      <c r="B79" s="27" t="str">
        <f>IF(76&gt;COUNTIF(' Toto teams'!$A$4:$A$119,"&lt;&gt;"),"",INDEX(' Toto teams'!$A$4:$A$119,MATCH(LARGE(' Toto teams'!$T$4:$T$119,76),' Toto teams'!$T$4:$T$119,0)))</f>
        <v>Jokūbas Kušleika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89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89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Justinas Novoruckis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88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88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77</v>
      </c>
      <c r="B81" s="27" t="str">
        <f>IF(78&gt;COUNTIF(' Toto teams'!$A$4:$A$119,"&lt;&gt;"),"",INDEX(' Toto teams'!$A$4:$A$119,MATCH(LARGE(' Toto teams'!$T$4:$T$119,78),' Toto teams'!$T$4:$T$119,0)))</f>
        <v>Sampaio Carlos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88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88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77</v>
      </c>
      <c r="B82" s="27" t="str">
        <f>IF(79&gt;COUNTIF(' Toto teams'!$A$4:$A$119,"&lt;&gt;"),"",INDEX(' Toto teams'!$A$4:$A$119,MATCH(LARGE(' Toto teams'!$T$4:$T$119,79),' Toto teams'!$T$4:$T$119,0)))</f>
        <v>Partrikas Oleknavičius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88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88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77</v>
      </c>
      <c r="B83" s="27" t="str">
        <f>IF(80&gt;COUNTIF(' Toto teams'!$A$4:$A$119,"&lt;&gt;"),"",INDEX(' Toto teams'!$A$4:$A$119,MATCH(LARGE(' Toto teams'!$T$4:$T$119,80),' Toto teams'!$T$4:$T$119,0)))</f>
        <v>Darius Jalo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88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88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81</v>
      </c>
      <c r="B84" s="27" t="str">
        <f>IF(81&gt;COUNTIF(' Toto teams'!$A$4:$A$119,"&lt;&gt;"),"",INDEX(' Toto teams'!$A$4:$A$119,MATCH(LARGE(' Toto teams'!$T$4:$T$119,81),' Toto teams'!$T$4:$T$119,0)))</f>
        <v>Dainius Visackas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87.5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87.5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82</v>
      </c>
      <c r="B85" s="27" t="str">
        <f>IF(82&gt;COUNTIF(' Toto teams'!$A$4:$A$119,"&lt;&gt;"),"",INDEX(' Toto teams'!$A$4:$A$119,MATCH(LARGE(' Toto teams'!$T$4:$T$119,82),' Toto teams'!$T$4:$T$119,0)))</f>
        <v>Alius Antulis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87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87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82</v>
      </c>
      <c r="B86" s="27" t="str">
        <f>IF(83&gt;COUNTIF(' Toto teams'!$A$4:$A$119,"&lt;&gt;"),"",INDEX(' Toto teams'!$A$4:$A$119,MATCH(LARGE(' Toto teams'!$T$4:$T$119,83),' Toto teams'!$T$4:$T$119,0)))</f>
        <v>Saulius Pipiras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87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87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82</v>
      </c>
      <c r="B87" s="27" t="str">
        <f>IF(84&gt;COUNTIF(' Toto teams'!$A$4:$A$119,"&lt;&gt;"),"",INDEX(' Toto teams'!$A$4:$A$119,MATCH(LARGE(' Toto teams'!$T$4:$T$119,84),' Toto teams'!$T$4:$T$119,0)))</f>
        <v>Nikolay Lenkov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87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87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82</v>
      </c>
      <c r="B88" s="27" t="str">
        <f>IF(85&gt;COUNTIF(' Toto teams'!$A$4:$A$119,"&lt;&gt;"),"",INDEX(' Toto teams'!$A$4:$A$119,MATCH(LARGE(' Toto teams'!$T$4:$T$119,85),' Toto teams'!$T$4:$T$119,0)))</f>
        <v>Alberto Canova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87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87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82</v>
      </c>
      <c r="B89" s="27" t="str">
        <f>IF(86&gt;COUNTIF(' Toto teams'!$A$4:$A$119,"&lt;&gt;"),"",INDEX(' Toto teams'!$A$4:$A$119,MATCH(LARGE(' Toto teams'!$T$4:$T$119,86),' Toto teams'!$T$4:$T$119,0)))</f>
        <v>N&amp;A Pociai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87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87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82</v>
      </c>
      <c r="B90" s="27" t="str">
        <f>IF(87&gt;COUNTIF(' Toto teams'!$A$4:$A$119,"&lt;&gt;"),"",INDEX(' Toto teams'!$A$4:$A$119,MATCH(LARGE(' Toto teams'!$T$4:$T$119,87),' Toto teams'!$T$4:$T$119,0)))</f>
        <v>Simonas Sipavičius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87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87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82</v>
      </c>
      <c r="B91" s="27" t="str">
        <f>IF(88&gt;COUNTIF(' Toto teams'!$A$4:$A$119,"&lt;&gt;"),"",INDEX(' Toto teams'!$A$4:$A$119,MATCH(LARGE(' Toto teams'!$T$4:$T$119,88),' Toto teams'!$T$4:$T$119,0)))</f>
        <v>Tihomir Chakarov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87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87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82</v>
      </c>
      <c r="B92" s="27" t="str">
        <f>IF(89&gt;COUNTIF(' Toto teams'!$A$4:$A$119,"&lt;&gt;"),"",INDEX(' Toto teams'!$A$4:$A$119,MATCH(LARGE(' Toto teams'!$T$4:$T$119,89),' Toto teams'!$T$4:$T$119,0)))</f>
        <v>Danielius Pažusys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87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87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82</v>
      </c>
      <c r="B93" s="27" t="str">
        <f>IF(90&gt;COUNTIF(' Toto teams'!$A$4:$A$119,"&lt;&gt;"),"",INDEX(' Toto teams'!$A$4:$A$119,MATCH(LARGE(' Toto teams'!$T$4:$T$119,90),' Toto teams'!$T$4:$T$119,0)))</f>
        <v>Mario Calvi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87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87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Giedrius Šadbaras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86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86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91</v>
      </c>
      <c r="B95" s="27" t="str">
        <f>IF(92&gt;COUNTIF(' Toto teams'!$A$4:$A$119,"&lt;&gt;"),"",INDEX(' Toto teams'!$A$4:$A$119,MATCH(LARGE(' Toto teams'!$T$4:$T$119,92),' Toto teams'!$T$4:$T$119,0)))</f>
        <v>Vytautas Podrezas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86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86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Žygimantas Ryliškis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85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85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94</v>
      </c>
      <c r="B97" s="27" t="str">
        <f>IF(94&gt;COUNTIF(' Toto teams'!$A$4:$A$119,"&lt;&gt;"),"",INDEX(' Toto teams'!$A$4:$A$119,MATCH(LARGE(' Toto teams'!$T$4:$T$119,94),' Toto teams'!$T$4:$T$119,0)))</f>
        <v>Denis Kazarezov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84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84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94</v>
      </c>
      <c r="B98" s="27" t="str">
        <f>IF(95&gt;COUNTIF(' Toto teams'!$A$4:$A$119,"&lt;&gt;"),"",INDEX(' Toto teams'!$A$4:$A$119,MATCH(LARGE(' Toto teams'!$T$4:$T$119,95),' Toto teams'!$T$4:$T$119,0)))</f>
        <v>Vytautas Gliaubicas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84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84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94</v>
      </c>
      <c r="B99" s="27" t="str">
        <f>IF(96&gt;COUNTIF(' Toto teams'!$A$4:$A$119,"&lt;&gt;"),"",INDEX(' Toto teams'!$A$4:$A$119,MATCH(LARGE(' Toto teams'!$T$4:$T$119,96),' Toto teams'!$T$4:$T$119,0)))</f>
        <v>Dovilė Smetonė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84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84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94</v>
      </c>
      <c r="B100" s="27" t="str">
        <f>IF(97&gt;COUNTIF(' Toto teams'!$A$4:$A$119,"&lt;&gt;"),"",INDEX(' Toto teams'!$A$4:$A$119,MATCH(LARGE(' Toto teams'!$T$4:$T$119,97),' Toto teams'!$T$4:$T$119,0)))</f>
        <v>Jurga Šantaraitė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84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84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94</v>
      </c>
      <c r="B101" s="27" t="str">
        <f>IF(98&gt;COUNTIF(' Toto teams'!$A$4:$A$119,"&lt;&gt;"),"",INDEX(' Toto teams'!$A$4:$A$119,MATCH(LARGE(' Toto teams'!$T$4:$T$119,98),' Toto teams'!$T$4:$T$119,0)))</f>
        <v>Giuseppe Diana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84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84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Thomas Wolke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82.5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82.5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Michele Sette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82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82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Rimas Baubonis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81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81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Alexey Nikitenko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80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80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103</v>
      </c>
      <c r="B106" s="27" t="str">
        <f>IF(103&gt;COUNTIF(' Toto teams'!$A$4:$A$119,"&lt;&gt;"),"",INDEX(' Toto teams'!$A$4:$A$119,MATCH(LARGE(' Toto teams'!$T$4:$T$119,103),' Toto teams'!$T$4:$T$119,0)))</f>
        <v>Anton Panasenko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79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79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103</v>
      </c>
      <c r="B107" s="27" t="str">
        <f>IF(104&gt;COUNTIF(' Toto teams'!$A$4:$A$119,"&lt;&gt;"),"",INDEX(' Toto teams'!$A$4:$A$119,MATCH(LARGE(' Toto teams'!$T$4:$T$119,104),' Toto teams'!$T$4:$T$119,0)))</f>
        <v>Gintarė Paipulė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79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79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Deividas Jodenis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78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78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tabSelected="1"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24</v>
      </c>
      <c r="K4" s="28">
        <f>IFERROR(VLOOKUP(C4,Scoring!$A$4:$N$51,14,FALSE())*4,"-")</f>
        <v>24</v>
      </c>
      <c r="L4" s="28">
        <f>IFERROR(VLOOKUP(D4,Scoring!$A$4:$N$51,14,FALSE())*3,"-")</f>
        <v>12</v>
      </c>
      <c r="M4" s="28">
        <f>IFERROR(VLOOKUP(E4,Scoring!$A$4:$N$51,14,FALSE())*2,"-")</f>
        <v>14</v>
      </c>
      <c r="N4" s="28">
        <f>IFERROR(VLOOKUP(F4,Scoring!$A$4:$N$51,14,FALSE()),"-")</f>
        <v>6</v>
      </c>
      <c r="O4" s="28">
        <f>IFERROR(VLOOKUP(G4,Scoring!$A$4:$N$51,14,FALSE()),"-")</f>
        <v>6</v>
      </c>
      <c r="P4" s="29">
        <f>IFERROR(VLOOKUP(H4,Scoring!$A$4:$N$51,14,FALSE()),"-")</f>
        <v>4</v>
      </c>
      <c r="Q4" s="29">
        <f>IFERROR(VLOOKUP(I4,Scoring!$A$4:$N$51,6,FALSE()),"-")</f>
        <v>2</v>
      </c>
      <c r="R4" s="36">
        <f t="shared" ref="R4:R35" si="0">IF(A4="","-",SUM(J4:Q4))</f>
        <v>92</v>
      </c>
      <c r="S4">
        <f t="shared" ref="S4:S35" si="1">IF(A4="","",RANK(R4,$R$4:$R$119))</f>
        <v>56</v>
      </c>
      <c r="T4">
        <f t="shared" ref="T4:T35" si="2">IF(A4="",-1,R4-ROW(R4)/1000000)</f>
        <v>91.999995999999996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36</v>
      </c>
      <c r="K5" s="28">
        <f>IFERROR(VLOOKUP(C5,Scoring!$A$4:$N$51,14,FALSE())*4,"-")</f>
        <v>16</v>
      </c>
      <c r="L5" s="28">
        <f>IFERROR(VLOOKUP(D5,Scoring!$A$4:$N$51,14,FALSE())*3,"-")</f>
        <v>12</v>
      </c>
      <c r="M5" s="28">
        <f>IFERROR(VLOOKUP(E5,Scoring!$A$4:$N$51,14,FALSE())*2,"-")</f>
        <v>8</v>
      </c>
      <c r="N5" s="28">
        <f>IFERROR(VLOOKUP(F5,Scoring!$A$4:$N$51,14,FALSE()),"-")</f>
        <v>2</v>
      </c>
      <c r="O5" s="28">
        <f>IFERROR(VLOOKUP(G5,Scoring!$A$4:$N$51,14,FALSE()),"-")</f>
        <v>4</v>
      </c>
      <c r="P5" s="29">
        <f>IFERROR(VLOOKUP(H5,Scoring!$A$4:$N$51,14,FALSE()),"-")</f>
        <v>4</v>
      </c>
      <c r="Q5" s="29">
        <f>IFERROR(VLOOKUP(I5,Scoring!$A$4:$N$51,6,FALSE()),"-")</f>
        <v>3</v>
      </c>
      <c r="R5" s="36">
        <f t="shared" si="0"/>
        <v>85</v>
      </c>
      <c r="S5">
        <f t="shared" si="1"/>
        <v>93</v>
      </c>
      <c r="T5">
        <f t="shared" si="2"/>
        <v>84.999994999999998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36</v>
      </c>
      <c r="K6" s="28">
        <f>IFERROR(VLOOKUP(C6,Scoring!$A$4:$N$51,14,FALSE())*4,"-")</f>
        <v>16</v>
      </c>
      <c r="L6" s="28">
        <f>IFERROR(VLOOKUP(D6,Scoring!$A$4:$N$51,14,FALSE())*3,"-")</f>
        <v>18</v>
      </c>
      <c r="M6" s="28">
        <f>IFERROR(VLOOKUP(E6,Scoring!$A$4:$N$51,14,FALSE())*2,"-")</f>
        <v>8</v>
      </c>
      <c r="N6" s="28">
        <f>IFERROR(VLOOKUP(F6,Scoring!$A$4:$N$51,14,FALSE()),"-")</f>
        <v>6</v>
      </c>
      <c r="O6" s="28">
        <f>IFERROR(VLOOKUP(G6,Scoring!$A$4:$N$51,14,FALSE()),"-")</f>
        <v>6</v>
      </c>
      <c r="P6" s="29">
        <f>IFERROR(VLOOKUP(H6,Scoring!$A$4:$N$51,14,FALSE()),"-")</f>
        <v>0</v>
      </c>
      <c r="Q6" s="29">
        <f>IFERROR(VLOOKUP(I6,Scoring!$A$4:$N$51,6,FALSE()),"-")</f>
        <v>3</v>
      </c>
      <c r="R6" s="36">
        <f t="shared" si="0"/>
        <v>93</v>
      </c>
      <c r="S6">
        <f t="shared" si="1"/>
        <v>48</v>
      </c>
      <c r="T6">
        <f t="shared" si="2"/>
        <v>92.999994000000001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24</v>
      </c>
      <c r="K7" s="28">
        <f>IFERROR(VLOOKUP(C7,Scoring!$A$4:$N$51,14,FALSE())*4,"-")</f>
        <v>24</v>
      </c>
      <c r="L7" s="28">
        <f>IFERROR(VLOOKUP(D7,Scoring!$A$4:$N$51,14,FALSE())*3,"-")</f>
        <v>12</v>
      </c>
      <c r="M7" s="28">
        <f>IFERROR(VLOOKUP(E7,Scoring!$A$4:$N$51,14,FALSE())*2,"-")</f>
        <v>8</v>
      </c>
      <c r="N7" s="28">
        <f>IFERROR(VLOOKUP(F7,Scoring!$A$4:$N$51,14,FALSE()),"-")</f>
        <v>5</v>
      </c>
      <c r="O7" s="28">
        <f>IFERROR(VLOOKUP(G7,Scoring!$A$4:$N$51,14,FALSE()),"-")</f>
        <v>6</v>
      </c>
      <c r="P7" s="29">
        <f>IFERROR(VLOOKUP(H7,Scoring!$A$4:$N$51,14,FALSE()),"-")</f>
        <v>0</v>
      </c>
      <c r="Q7" s="29">
        <f>IFERROR(VLOOKUP(I7,Scoring!$A$4:$N$51,6,FALSE()),"-")</f>
        <v>3.5</v>
      </c>
      <c r="R7" s="36">
        <f t="shared" si="0"/>
        <v>82.5</v>
      </c>
      <c r="S7">
        <f t="shared" si="1"/>
        <v>99</v>
      </c>
      <c r="T7">
        <f t="shared" si="2"/>
        <v>82.499993000000003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24</v>
      </c>
      <c r="K8" s="28">
        <f>IFERROR(VLOOKUP(C8,Scoring!$A$4:$N$51,14,FALSE())*4,"-")</f>
        <v>16</v>
      </c>
      <c r="L8" s="28">
        <f>IFERROR(VLOOKUP(D8,Scoring!$A$4:$N$51,14,FALSE())*3,"-")</f>
        <v>18</v>
      </c>
      <c r="M8" s="28">
        <f>IFERROR(VLOOKUP(E8,Scoring!$A$4:$N$51,14,FALSE())*2,"-")</f>
        <v>14</v>
      </c>
      <c r="N8" s="28">
        <f>IFERROR(VLOOKUP(F8,Scoring!$A$4:$N$51,14,FALSE()),"-")</f>
        <v>6</v>
      </c>
      <c r="O8" s="28">
        <f>IFERROR(VLOOKUP(G8,Scoring!$A$4:$N$51,14,FALSE()),"-")</f>
        <v>6</v>
      </c>
      <c r="P8" s="29">
        <f>IFERROR(VLOOKUP(H8,Scoring!$A$4:$N$51,14,FALSE()),"-")</f>
        <v>4</v>
      </c>
      <c r="Q8" s="29">
        <f>IFERROR(VLOOKUP(I8,Scoring!$A$4:$N$51,6,FALSE()),"-")</f>
        <v>2.5</v>
      </c>
      <c r="R8" s="36">
        <f t="shared" si="0"/>
        <v>90.5</v>
      </c>
      <c r="S8">
        <f t="shared" si="1"/>
        <v>68</v>
      </c>
      <c r="T8">
        <f t="shared" si="2"/>
        <v>90.499992000000006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42</v>
      </c>
      <c r="K9" s="28">
        <f>IFERROR(VLOOKUP(C9,Scoring!$A$4:$N$51,14,FALSE())*4,"-")</f>
        <v>24</v>
      </c>
      <c r="L9" s="28">
        <f>IFERROR(VLOOKUP(D9,Scoring!$A$4:$N$51,14,FALSE())*3,"-")</f>
        <v>18</v>
      </c>
      <c r="M9" s="28">
        <f>IFERROR(VLOOKUP(E9,Scoring!$A$4:$N$51,14,FALSE())*2,"-")</f>
        <v>14</v>
      </c>
      <c r="N9" s="28">
        <f>IFERROR(VLOOKUP(F9,Scoring!$A$4:$N$51,14,FALSE()),"-")</f>
        <v>5</v>
      </c>
      <c r="O9" s="28">
        <f>IFERROR(VLOOKUP(G9,Scoring!$A$4:$N$51,14,FALSE()),"-")</f>
        <v>6</v>
      </c>
      <c r="P9" s="29">
        <f>IFERROR(VLOOKUP(H9,Scoring!$A$4:$N$51,14,FALSE()),"-")</f>
        <v>4</v>
      </c>
      <c r="Q9" s="29">
        <f>IFERROR(VLOOKUP(I9,Scoring!$A$4:$N$51,6,FALSE()),"-")</f>
        <v>2</v>
      </c>
      <c r="R9" s="36">
        <f t="shared" si="0"/>
        <v>115</v>
      </c>
      <c r="S9">
        <f t="shared" si="1"/>
        <v>1</v>
      </c>
      <c r="T9">
        <f t="shared" si="2"/>
        <v>114.99999099999999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24</v>
      </c>
      <c r="K10" s="28">
        <f>IFERROR(VLOOKUP(C10,Scoring!$A$4:$N$51,14,FALSE())*4,"-")</f>
        <v>16</v>
      </c>
      <c r="L10" s="28">
        <f>IFERROR(VLOOKUP(D10,Scoring!$A$4:$N$51,14,FALSE())*3,"-")</f>
        <v>18</v>
      </c>
      <c r="M10" s="28">
        <f>IFERROR(VLOOKUP(E10,Scoring!$A$4:$N$51,14,FALSE())*2,"-")</f>
        <v>12</v>
      </c>
      <c r="N10" s="28">
        <f>IFERROR(VLOOKUP(F10,Scoring!$A$4:$N$51,14,FALSE()),"-")</f>
        <v>6</v>
      </c>
      <c r="O10" s="28">
        <f>IFERROR(VLOOKUP(G10,Scoring!$A$4:$N$51,14,FALSE()),"-")</f>
        <v>6</v>
      </c>
      <c r="P10" s="29">
        <f>IFERROR(VLOOKUP(H10,Scoring!$A$4:$N$51,14,FALSE()),"-")</f>
        <v>0</v>
      </c>
      <c r="Q10" s="29">
        <f>IFERROR(VLOOKUP(I10,Scoring!$A$4:$N$51,6,FALSE()),"-")</f>
        <v>2</v>
      </c>
      <c r="R10" s="36">
        <f t="shared" si="0"/>
        <v>84</v>
      </c>
      <c r="S10">
        <f t="shared" si="1"/>
        <v>94</v>
      </c>
      <c r="T10">
        <f t="shared" si="2"/>
        <v>83.999989999999997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42</v>
      </c>
      <c r="K11" s="28">
        <f>IFERROR(VLOOKUP(C11,Scoring!$A$4:$N$51,14,FALSE())*4,"-")</f>
        <v>24</v>
      </c>
      <c r="L11" s="28">
        <f>IFERROR(VLOOKUP(D11,Scoring!$A$4:$N$51,14,FALSE())*3,"-")</f>
        <v>12</v>
      </c>
      <c r="M11" s="28">
        <f>IFERROR(VLOOKUP(E11,Scoring!$A$4:$N$51,14,FALSE())*2,"-")</f>
        <v>8</v>
      </c>
      <c r="N11" s="28">
        <f>IFERROR(VLOOKUP(F11,Scoring!$A$4:$N$51,14,FALSE()),"-")</f>
        <v>6</v>
      </c>
      <c r="O11" s="28">
        <f>IFERROR(VLOOKUP(G11,Scoring!$A$4:$N$51,14,FALSE()),"-")</f>
        <v>4</v>
      </c>
      <c r="P11" s="29">
        <f>IFERROR(VLOOKUP(H11,Scoring!$A$4:$N$51,14,FALSE()),"-")</f>
        <v>4</v>
      </c>
      <c r="Q11" s="29">
        <f>IFERROR(VLOOKUP(I11,Scoring!$A$4:$N$51,6,FALSE()),"-")</f>
        <v>3.5</v>
      </c>
      <c r="R11" s="36">
        <f t="shared" si="0"/>
        <v>103.5</v>
      </c>
      <c r="S11">
        <f t="shared" si="1"/>
        <v>9</v>
      </c>
      <c r="T11">
        <f t="shared" si="2"/>
        <v>103.499989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36</v>
      </c>
      <c r="K12" s="28">
        <f>IFERROR(VLOOKUP(C12,Scoring!$A$4:$N$51,14,FALSE())*4,"-")</f>
        <v>24</v>
      </c>
      <c r="L12" s="28">
        <f>IFERROR(VLOOKUP(D12,Scoring!$A$4:$N$51,14,FALSE())*3,"-")</f>
        <v>12</v>
      </c>
      <c r="M12" s="28">
        <f>IFERROR(VLOOKUP(E12,Scoring!$A$4:$N$51,14,FALSE())*2,"-")</f>
        <v>8</v>
      </c>
      <c r="N12" s="28">
        <f>IFERROR(VLOOKUP(F12,Scoring!$A$4:$N$51,14,FALSE()),"-")</f>
        <v>3</v>
      </c>
      <c r="O12" s="28">
        <f>IFERROR(VLOOKUP(G12,Scoring!$A$4:$N$51,14,FALSE()),"-")</f>
        <v>1</v>
      </c>
      <c r="P12" s="29">
        <f>IFERROR(VLOOKUP(H12,Scoring!$A$4:$N$51,14,FALSE()),"-")</f>
        <v>4</v>
      </c>
      <c r="Q12" s="29">
        <f>IFERROR(VLOOKUP(I12,Scoring!$A$4:$N$51,6,FALSE()),"-")</f>
        <v>3</v>
      </c>
      <c r="R12" s="36">
        <f t="shared" si="0"/>
        <v>91</v>
      </c>
      <c r="S12">
        <f t="shared" si="1"/>
        <v>62</v>
      </c>
      <c r="T12">
        <f t="shared" si="2"/>
        <v>90.999988000000002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24</v>
      </c>
      <c r="K13" s="28">
        <f>IFERROR(VLOOKUP(C13,Scoring!$A$4:$N$51,14,FALSE())*4,"-")</f>
        <v>16</v>
      </c>
      <c r="L13" s="28">
        <f>IFERROR(VLOOKUP(D13,Scoring!$A$4:$N$51,14,FALSE())*3,"-")</f>
        <v>18</v>
      </c>
      <c r="M13" s="28">
        <f>IFERROR(VLOOKUP(E13,Scoring!$A$4:$N$51,14,FALSE())*2,"-")</f>
        <v>14</v>
      </c>
      <c r="N13" s="28">
        <f>IFERROR(VLOOKUP(F13,Scoring!$A$4:$N$51,14,FALSE()),"-")</f>
        <v>7</v>
      </c>
      <c r="O13" s="28">
        <f>IFERROR(VLOOKUP(G13,Scoring!$A$4:$N$51,14,FALSE()),"-")</f>
        <v>4</v>
      </c>
      <c r="P13" s="29">
        <f>IFERROR(VLOOKUP(H13,Scoring!$A$4:$N$51,14,FALSE()),"-")</f>
        <v>4</v>
      </c>
      <c r="Q13" s="29">
        <f>IFERROR(VLOOKUP(I13,Scoring!$A$4:$N$51,6,FALSE()),"-")</f>
        <v>2</v>
      </c>
      <c r="R13" s="36">
        <f t="shared" si="0"/>
        <v>89</v>
      </c>
      <c r="S13">
        <f t="shared" si="1"/>
        <v>71</v>
      </c>
      <c r="T13">
        <f t="shared" si="2"/>
        <v>88.999987000000004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42</v>
      </c>
      <c r="K14" s="28">
        <f>IFERROR(VLOOKUP(C14,Scoring!$A$4:$N$51,14,FALSE())*4,"-")</f>
        <v>16</v>
      </c>
      <c r="L14" s="28">
        <f>IFERROR(VLOOKUP(D14,Scoring!$A$4:$N$51,14,FALSE())*3,"-")</f>
        <v>12</v>
      </c>
      <c r="M14" s="28">
        <f>IFERROR(VLOOKUP(E14,Scoring!$A$4:$N$51,14,FALSE())*2,"-")</f>
        <v>8</v>
      </c>
      <c r="N14" s="28">
        <f>IFERROR(VLOOKUP(F14,Scoring!$A$4:$N$51,14,FALSE()),"-")</f>
        <v>6</v>
      </c>
      <c r="O14" s="28">
        <f>IFERROR(VLOOKUP(G14,Scoring!$A$4:$N$51,14,FALSE()),"-")</f>
        <v>4</v>
      </c>
      <c r="P14" s="29">
        <f>IFERROR(VLOOKUP(H14,Scoring!$A$4:$N$51,14,FALSE()),"-")</f>
        <v>4</v>
      </c>
      <c r="Q14" s="29">
        <f>IFERROR(VLOOKUP(I14,Scoring!$A$4:$N$51,6,FALSE()),"-")</f>
        <v>5</v>
      </c>
      <c r="R14" s="36">
        <f t="shared" si="0"/>
        <v>97</v>
      </c>
      <c r="S14">
        <f t="shared" si="1"/>
        <v>25</v>
      </c>
      <c r="T14">
        <f t="shared" si="2"/>
        <v>96.999986000000007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24</v>
      </c>
      <c r="K15" s="28">
        <f>IFERROR(VLOOKUP(C15,Scoring!$A$4:$N$51,14,FALSE())*4,"-")</f>
        <v>28</v>
      </c>
      <c r="L15" s="28">
        <f>IFERROR(VLOOKUP(D15,Scoring!$A$4:$N$51,14,FALSE())*3,"-")</f>
        <v>12</v>
      </c>
      <c r="M15" s="28">
        <f>IFERROR(VLOOKUP(E15,Scoring!$A$4:$N$51,14,FALSE())*2,"-")</f>
        <v>8</v>
      </c>
      <c r="N15" s="28">
        <f>IFERROR(VLOOKUP(F15,Scoring!$A$4:$N$51,14,FALSE()),"-")</f>
        <v>3</v>
      </c>
      <c r="O15" s="28">
        <f>IFERROR(VLOOKUP(G15,Scoring!$A$4:$N$51,14,FALSE()),"-")</f>
        <v>6</v>
      </c>
      <c r="P15" s="29">
        <f>IFERROR(VLOOKUP(H15,Scoring!$A$4:$N$51,14,FALSE()),"-")</f>
        <v>4</v>
      </c>
      <c r="Q15" s="29">
        <f>IFERROR(VLOOKUP(I15,Scoring!$A$4:$N$51,6,FALSE()),"-")</f>
        <v>2</v>
      </c>
      <c r="R15" s="36">
        <f t="shared" si="0"/>
        <v>87</v>
      </c>
      <c r="S15">
        <f t="shared" si="1"/>
        <v>82</v>
      </c>
      <c r="T15">
        <f t="shared" si="2"/>
        <v>86.999984999999995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36</v>
      </c>
      <c r="K16" s="28">
        <f>IFERROR(VLOOKUP(C16,Scoring!$A$4:$N$51,14,FALSE())*4,"-")</f>
        <v>16</v>
      </c>
      <c r="L16" s="28">
        <f>IFERROR(VLOOKUP(D16,Scoring!$A$4:$N$51,14,FALSE())*3,"-")</f>
        <v>12</v>
      </c>
      <c r="M16" s="28">
        <f>IFERROR(VLOOKUP(E16,Scoring!$A$4:$N$51,14,FALSE())*2,"-")</f>
        <v>12</v>
      </c>
      <c r="N16" s="28">
        <f>IFERROR(VLOOKUP(F16,Scoring!$A$4:$N$51,14,FALSE()),"-")</f>
        <v>6</v>
      </c>
      <c r="O16" s="28">
        <f>IFERROR(VLOOKUP(G16,Scoring!$A$4:$N$51,14,FALSE()),"-")</f>
        <v>4</v>
      </c>
      <c r="P16" s="29">
        <f>IFERROR(VLOOKUP(H16,Scoring!$A$4:$N$51,14,FALSE()),"-")</f>
        <v>4</v>
      </c>
      <c r="Q16" s="29">
        <f>IFERROR(VLOOKUP(I16,Scoring!$A$4:$N$51,6,FALSE()),"-")</f>
        <v>2</v>
      </c>
      <c r="R16" s="36">
        <f t="shared" si="0"/>
        <v>92</v>
      </c>
      <c r="S16">
        <f t="shared" si="1"/>
        <v>56</v>
      </c>
      <c r="T16">
        <f t="shared" si="2"/>
        <v>91.999983999999998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24</v>
      </c>
      <c r="K17" s="28">
        <f>IFERROR(VLOOKUP(C17,Scoring!$A$4:$N$51,14,FALSE())*4,"-")</f>
        <v>28</v>
      </c>
      <c r="L17" s="28">
        <f>IFERROR(VLOOKUP(D17,Scoring!$A$4:$N$51,14,FALSE())*3,"-")</f>
        <v>18</v>
      </c>
      <c r="M17" s="28">
        <f>IFERROR(VLOOKUP(E17,Scoring!$A$4:$N$51,14,FALSE())*2,"-")</f>
        <v>8</v>
      </c>
      <c r="N17" s="28">
        <f>IFERROR(VLOOKUP(F17,Scoring!$A$4:$N$51,14,FALSE()),"-")</f>
        <v>6</v>
      </c>
      <c r="O17" s="28">
        <f>IFERROR(VLOOKUP(G17,Scoring!$A$4:$N$51,14,FALSE()),"-")</f>
        <v>6</v>
      </c>
      <c r="P17" s="29">
        <f>IFERROR(VLOOKUP(H17,Scoring!$A$4:$N$51,14,FALSE()),"-")</f>
        <v>1</v>
      </c>
      <c r="Q17" s="29">
        <f>IFERROR(VLOOKUP(I17,Scoring!$A$4:$N$51,6,FALSE()),"-")</f>
        <v>2.5</v>
      </c>
      <c r="R17" s="36">
        <f t="shared" si="0"/>
        <v>93.5</v>
      </c>
      <c r="S17">
        <f t="shared" si="1"/>
        <v>46</v>
      </c>
      <c r="T17">
        <f t="shared" si="2"/>
        <v>93.499983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36</v>
      </c>
      <c r="K18" s="28">
        <f>IFERROR(VLOOKUP(C18,Scoring!$A$4:$N$51,14,FALSE())*4,"-")</f>
        <v>16</v>
      </c>
      <c r="L18" s="28">
        <f>IFERROR(VLOOKUP(D18,Scoring!$A$4:$N$51,14,FALSE())*3,"-")</f>
        <v>12</v>
      </c>
      <c r="M18" s="28">
        <f>IFERROR(VLOOKUP(E18,Scoring!$A$4:$N$51,14,FALSE())*2,"-")</f>
        <v>12</v>
      </c>
      <c r="N18" s="28">
        <f>IFERROR(VLOOKUP(F18,Scoring!$A$4:$N$51,14,FALSE()),"-")</f>
        <v>9</v>
      </c>
      <c r="O18" s="28">
        <f>IFERROR(VLOOKUP(G18,Scoring!$A$4:$N$51,14,FALSE()),"-")</f>
        <v>4</v>
      </c>
      <c r="P18" s="29">
        <f>IFERROR(VLOOKUP(H18,Scoring!$A$4:$N$51,14,FALSE()),"-")</f>
        <v>4</v>
      </c>
      <c r="Q18" s="29">
        <f>IFERROR(VLOOKUP(I18,Scoring!$A$4:$N$51,6,FALSE()),"-")</f>
        <v>2</v>
      </c>
      <c r="R18" s="36">
        <f t="shared" si="0"/>
        <v>95</v>
      </c>
      <c r="S18">
        <f t="shared" si="1"/>
        <v>36</v>
      </c>
      <c r="T18">
        <f t="shared" si="2"/>
        <v>94.999982000000003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24</v>
      </c>
      <c r="K19" s="28">
        <f>IFERROR(VLOOKUP(C19,Scoring!$A$4:$N$51,14,FALSE())*4,"-")</f>
        <v>24</v>
      </c>
      <c r="L19" s="28">
        <f>IFERROR(VLOOKUP(D19,Scoring!$A$4:$N$51,14,FALSE())*3,"-")</f>
        <v>18</v>
      </c>
      <c r="M19" s="28">
        <f>IFERROR(VLOOKUP(E19,Scoring!$A$4:$N$51,14,FALSE())*2,"-")</f>
        <v>4</v>
      </c>
      <c r="N19" s="28">
        <f>IFERROR(VLOOKUP(F19,Scoring!$A$4:$N$51,14,FALSE()),"-")</f>
        <v>9</v>
      </c>
      <c r="O19" s="28">
        <f>IFERROR(VLOOKUP(G19,Scoring!$A$4:$N$51,14,FALSE()),"-")</f>
        <v>6</v>
      </c>
      <c r="P19" s="29">
        <f>IFERROR(VLOOKUP(H19,Scoring!$A$4:$N$51,14,FALSE()),"-")</f>
        <v>4</v>
      </c>
      <c r="Q19" s="29">
        <f>IFERROR(VLOOKUP(I19,Scoring!$A$4:$N$51,6,FALSE()),"-")</f>
        <v>2</v>
      </c>
      <c r="R19" s="36">
        <f t="shared" si="0"/>
        <v>91</v>
      </c>
      <c r="S19">
        <f t="shared" si="1"/>
        <v>62</v>
      </c>
      <c r="T19">
        <f t="shared" si="2"/>
        <v>90.999981000000005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36</v>
      </c>
      <c r="K20" s="28">
        <f>IFERROR(VLOOKUP(C20,Scoring!$A$4:$N$51,14,FALSE())*4,"-")</f>
        <v>16</v>
      </c>
      <c r="L20" s="28">
        <f>IFERROR(VLOOKUP(D20,Scoring!$A$4:$N$51,14,FALSE())*3,"-")</f>
        <v>12</v>
      </c>
      <c r="M20" s="28">
        <f>IFERROR(VLOOKUP(E20,Scoring!$A$4:$N$51,14,FALSE())*2,"-")</f>
        <v>8</v>
      </c>
      <c r="N20" s="28">
        <f>IFERROR(VLOOKUP(F20,Scoring!$A$4:$N$51,14,FALSE()),"-")</f>
        <v>2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2</v>
      </c>
      <c r="R20" s="36">
        <f t="shared" si="0"/>
        <v>80</v>
      </c>
      <c r="S20">
        <f t="shared" si="1"/>
        <v>102</v>
      </c>
      <c r="T20">
        <f t="shared" si="2"/>
        <v>79.999979999999994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24</v>
      </c>
      <c r="K21" s="28">
        <f>IFERROR(VLOOKUP(C21,Scoring!$A$4:$N$51,14,FALSE())*4,"-")</f>
        <v>28</v>
      </c>
      <c r="L21" s="28">
        <f>IFERROR(VLOOKUP(D21,Scoring!$A$4:$N$51,14,FALSE())*3,"-")</f>
        <v>18</v>
      </c>
      <c r="M21" s="28">
        <f>IFERROR(VLOOKUP(E21,Scoring!$A$4:$N$51,14,FALSE())*2,"-")</f>
        <v>8</v>
      </c>
      <c r="N21" s="28">
        <f>IFERROR(VLOOKUP(F21,Scoring!$A$4:$N$51,14,FALSE()),"-")</f>
        <v>7</v>
      </c>
      <c r="O21" s="28">
        <f>IFERROR(VLOOKUP(G21,Scoring!$A$4:$N$51,14,FALSE()),"-")</f>
        <v>6</v>
      </c>
      <c r="P21" s="29">
        <f>IFERROR(VLOOKUP(H21,Scoring!$A$4:$N$51,14,FALSE()),"-")</f>
        <v>1</v>
      </c>
      <c r="Q21" s="29">
        <f>IFERROR(VLOOKUP(I21,Scoring!$A$4:$N$51,6,FALSE()),"-")</f>
        <v>2</v>
      </c>
      <c r="R21" s="36">
        <f t="shared" si="0"/>
        <v>94</v>
      </c>
      <c r="S21">
        <f t="shared" si="1"/>
        <v>42</v>
      </c>
      <c r="T21">
        <f t="shared" si="2"/>
        <v>93.999978999999996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24</v>
      </c>
      <c r="K22" s="28">
        <f>IFERROR(VLOOKUP(C22,Scoring!$A$4:$N$51,14,FALSE())*4,"-")</f>
        <v>16</v>
      </c>
      <c r="L22" s="28">
        <f>IFERROR(VLOOKUP(D22,Scoring!$A$4:$N$51,14,FALSE())*3,"-")</f>
        <v>18</v>
      </c>
      <c r="M22" s="28">
        <f>IFERROR(VLOOKUP(E22,Scoring!$A$4:$N$51,14,FALSE())*2,"-")</f>
        <v>8</v>
      </c>
      <c r="N22" s="28">
        <f>IFERROR(VLOOKUP(F22,Scoring!$A$4:$N$51,14,FALSE()),"-")</f>
        <v>9</v>
      </c>
      <c r="O22" s="28">
        <f>IFERROR(VLOOKUP(G22,Scoring!$A$4:$N$51,14,FALSE()),"-")</f>
        <v>6</v>
      </c>
      <c r="P22" s="29">
        <f>IFERROR(VLOOKUP(H22,Scoring!$A$4:$N$51,14,FALSE()),"-")</f>
        <v>4</v>
      </c>
      <c r="Q22" s="29">
        <f>IFERROR(VLOOKUP(I22,Scoring!$A$4:$N$51,6,FALSE()),"-")</f>
        <v>2</v>
      </c>
      <c r="R22" s="36">
        <f t="shared" si="0"/>
        <v>87</v>
      </c>
      <c r="S22">
        <f t="shared" si="1"/>
        <v>82</v>
      </c>
      <c r="T22">
        <f t="shared" si="2"/>
        <v>86.999977999999999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24</v>
      </c>
      <c r="K23" s="28">
        <f>IFERROR(VLOOKUP(C23,Scoring!$A$4:$N$51,14,FALSE())*4,"-")</f>
        <v>16</v>
      </c>
      <c r="L23" s="28">
        <f>IFERROR(VLOOKUP(D23,Scoring!$A$4:$N$51,14,FALSE())*3,"-")</f>
        <v>18</v>
      </c>
      <c r="M23" s="28">
        <f>IFERROR(VLOOKUP(E23,Scoring!$A$4:$N$51,14,FALSE())*2,"-")</f>
        <v>12</v>
      </c>
      <c r="N23" s="28">
        <f>IFERROR(VLOOKUP(F23,Scoring!$A$4:$N$51,14,FALSE()),"-")</f>
        <v>6</v>
      </c>
      <c r="O23" s="28">
        <f>IFERROR(VLOOKUP(G23,Scoring!$A$4:$N$51,14,FALSE()),"-")</f>
        <v>6</v>
      </c>
      <c r="P23" s="29">
        <f>IFERROR(VLOOKUP(H23,Scoring!$A$4:$N$51,14,FALSE()),"-")</f>
        <v>0</v>
      </c>
      <c r="Q23" s="29">
        <f>IFERROR(VLOOKUP(I23,Scoring!$A$4:$N$51,6,FALSE()),"-")</f>
        <v>2</v>
      </c>
      <c r="R23" s="36">
        <f t="shared" si="0"/>
        <v>84</v>
      </c>
      <c r="S23">
        <f t="shared" si="1"/>
        <v>94</v>
      </c>
      <c r="T23">
        <f t="shared" si="2"/>
        <v>83.999977000000001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36</v>
      </c>
      <c r="K24" s="28">
        <f>IFERROR(VLOOKUP(C24,Scoring!$A$4:$N$51,14,FALSE())*4,"-")</f>
        <v>16</v>
      </c>
      <c r="L24" s="28">
        <f>IFERROR(VLOOKUP(D24,Scoring!$A$4:$N$51,14,FALSE())*3,"-")</f>
        <v>12</v>
      </c>
      <c r="M24" s="28">
        <f>IFERROR(VLOOKUP(E24,Scoring!$A$4:$N$51,14,FALSE())*2,"-")</f>
        <v>8</v>
      </c>
      <c r="N24" s="28">
        <f>IFERROR(VLOOKUP(F24,Scoring!$A$4:$N$51,14,FALSE()),"-")</f>
        <v>4</v>
      </c>
      <c r="O24" s="28">
        <f>IFERROR(VLOOKUP(G24,Scoring!$A$4:$N$51,14,FALSE()),"-")</f>
        <v>6</v>
      </c>
      <c r="P24" s="29">
        <f>IFERROR(VLOOKUP(H24,Scoring!$A$4:$N$51,14,FALSE()),"-")</f>
        <v>4</v>
      </c>
      <c r="Q24" s="29">
        <f>IFERROR(VLOOKUP(I24,Scoring!$A$4:$N$51,6,FALSE()),"-")</f>
        <v>3</v>
      </c>
      <c r="R24" s="36">
        <f t="shared" si="0"/>
        <v>89</v>
      </c>
      <c r="S24">
        <f t="shared" si="1"/>
        <v>71</v>
      </c>
      <c r="T24">
        <f t="shared" si="2"/>
        <v>88.999976000000004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36</v>
      </c>
      <c r="K25" s="28">
        <f>IFERROR(VLOOKUP(C25,Scoring!$A$4:$N$51,14,FALSE())*4,"-")</f>
        <v>16</v>
      </c>
      <c r="L25" s="28">
        <f>IFERROR(VLOOKUP(D25,Scoring!$A$4:$N$51,14,FALSE())*3,"-")</f>
        <v>12</v>
      </c>
      <c r="M25" s="28">
        <f>IFERROR(VLOOKUP(E25,Scoring!$A$4:$N$51,14,FALSE())*2,"-")</f>
        <v>8</v>
      </c>
      <c r="N25" s="28">
        <f>IFERROR(VLOOKUP(F25,Scoring!$A$4:$N$51,14,FALSE()),"-")</f>
        <v>6</v>
      </c>
      <c r="O25" s="28">
        <f>IFERROR(VLOOKUP(G25,Scoring!$A$4:$N$51,14,FALSE()),"-")</f>
        <v>4</v>
      </c>
      <c r="P25" s="29">
        <f>IFERROR(VLOOKUP(H25,Scoring!$A$4:$N$51,14,FALSE()),"-")</f>
        <v>4</v>
      </c>
      <c r="Q25" s="29">
        <f>IFERROR(VLOOKUP(I25,Scoring!$A$4:$N$51,6,FALSE()),"-")</f>
        <v>5</v>
      </c>
      <c r="R25" s="36">
        <f t="shared" si="0"/>
        <v>91</v>
      </c>
      <c r="S25">
        <f t="shared" si="1"/>
        <v>62</v>
      </c>
      <c r="T25">
        <f t="shared" si="2"/>
        <v>90.999975000000006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24</v>
      </c>
      <c r="K26" s="28">
        <f>IFERROR(VLOOKUP(C26,Scoring!$A$4:$N$51,14,FALSE())*4,"-")</f>
        <v>28</v>
      </c>
      <c r="L26" s="28">
        <f>IFERROR(VLOOKUP(D26,Scoring!$A$4:$N$51,14,FALSE())*3,"-")</f>
        <v>18</v>
      </c>
      <c r="M26" s="28">
        <f>IFERROR(VLOOKUP(E26,Scoring!$A$4:$N$51,14,FALSE())*2,"-")</f>
        <v>12</v>
      </c>
      <c r="N26" s="28">
        <f>IFERROR(VLOOKUP(F26,Scoring!$A$4:$N$51,14,FALSE()),"-")</f>
        <v>6</v>
      </c>
      <c r="O26" s="28">
        <f>IFERROR(VLOOKUP(G26,Scoring!$A$4:$N$51,14,FALSE()),"-")</f>
        <v>4</v>
      </c>
      <c r="P26" s="29">
        <f>IFERROR(VLOOKUP(H26,Scoring!$A$4:$N$51,14,FALSE()),"-")</f>
        <v>4</v>
      </c>
      <c r="Q26" s="29">
        <f>IFERROR(VLOOKUP(I26,Scoring!$A$4:$N$51,6,FALSE()),"-")</f>
        <v>2</v>
      </c>
      <c r="R26" s="36">
        <f t="shared" si="0"/>
        <v>98</v>
      </c>
      <c r="S26">
        <f t="shared" si="1"/>
        <v>24</v>
      </c>
      <c r="T26">
        <f t="shared" si="2"/>
        <v>97.999973999999995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36</v>
      </c>
      <c r="K27" s="28">
        <f>IFERROR(VLOOKUP(C27,Scoring!$A$4:$N$51,14,FALSE())*4,"-")</f>
        <v>16</v>
      </c>
      <c r="L27" s="28">
        <f>IFERROR(VLOOKUP(D27,Scoring!$A$4:$N$51,14,FALSE())*3,"-")</f>
        <v>21</v>
      </c>
      <c r="M27" s="28">
        <f>IFERROR(VLOOKUP(E27,Scoring!$A$4:$N$51,14,FALSE())*2,"-")</f>
        <v>8</v>
      </c>
      <c r="N27" s="28">
        <f>IFERROR(VLOOKUP(F27,Scoring!$A$4:$N$51,14,FALSE()),"-")</f>
        <v>5</v>
      </c>
      <c r="O27" s="28">
        <f>IFERROR(VLOOKUP(G27,Scoring!$A$4:$N$51,14,FALSE()),"-")</f>
        <v>6</v>
      </c>
      <c r="P27" s="29">
        <f>IFERROR(VLOOKUP(H27,Scoring!$A$4:$N$51,14,FALSE()),"-")</f>
        <v>0</v>
      </c>
      <c r="Q27" s="29">
        <f>IFERROR(VLOOKUP(I27,Scoring!$A$4:$N$51,6,FALSE()),"-")</f>
        <v>3</v>
      </c>
      <c r="R27" s="36">
        <f t="shared" si="0"/>
        <v>95</v>
      </c>
      <c r="S27">
        <f t="shared" si="1"/>
        <v>36</v>
      </c>
      <c r="T27">
        <f t="shared" si="2"/>
        <v>94.999972999999997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24</v>
      </c>
      <c r="K28" s="28">
        <f>IFERROR(VLOOKUP(C28,Scoring!$A$4:$N$51,14,FALSE())*4,"-")</f>
        <v>24</v>
      </c>
      <c r="L28" s="28">
        <f>IFERROR(VLOOKUP(D28,Scoring!$A$4:$N$51,14,FALSE())*3,"-")</f>
        <v>12</v>
      </c>
      <c r="M28" s="28">
        <f>IFERROR(VLOOKUP(E28,Scoring!$A$4:$N$51,14,FALSE())*2,"-")</f>
        <v>12</v>
      </c>
      <c r="N28" s="28">
        <f>IFERROR(VLOOKUP(F28,Scoring!$A$4:$N$51,14,FALSE()),"-")</f>
        <v>9</v>
      </c>
      <c r="O28" s="28">
        <f>IFERROR(VLOOKUP(G28,Scoring!$A$4:$N$51,14,FALSE()),"-")</f>
        <v>6</v>
      </c>
      <c r="P28" s="29">
        <f>IFERROR(VLOOKUP(H28,Scoring!$A$4:$N$51,14,FALSE()),"-")</f>
        <v>4</v>
      </c>
      <c r="Q28" s="29">
        <f>IFERROR(VLOOKUP(I28,Scoring!$A$4:$N$51,6,FALSE()),"-")</f>
        <v>2</v>
      </c>
      <c r="R28" s="36">
        <f t="shared" si="0"/>
        <v>93</v>
      </c>
      <c r="S28">
        <f t="shared" si="1"/>
        <v>48</v>
      </c>
      <c r="T28">
        <f t="shared" si="2"/>
        <v>92.999972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42</v>
      </c>
      <c r="K29" s="28">
        <f>IFERROR(VLOOKUP(C29,Scoring!$A$4:$N$51,14,FALSE())*4,"-")</f>
        <v>16</v>
      </c>
      <c r="L29" s="28">
        <f>IFERROR(VLOOKUP(D29,Scoring!$A$4:$N$51,14,FALSE())*3,"-")</f>
        <v>18</v>
      </c>
      <c r="M29" s="28">
        <f>IFERROR(VLOOKUP(E29,Scoring!$A$4:$N$51,14,FALSE())*2,"-")</f>
        <v>8</v>
      </c>
      <c r="N29" s="28">
        <f>IFERROR(VLOOKUP(F29,Scoring!$A$4:$N$51,14,FALSE()),"-")</f>
        <v>5</v>
      </c>
      <c r="O29" s="28">
        <f>IFERROR(VLOOKUP(G29,Scoring!$A$4:$N$51,14,FALSE()),"-")</f>
        <v>1</v>
      </c>
      <c r="P29" s="29">
        <f>IFERROR(VLOOKUP(H29,Scoring!$A$4:$N$51,14,FALSE()),"-")</f>
        <v>4</v>
      </c>
      <c r="Q29" s="29">
        <f>IFERROR(VLOOKUP(I29,Scoring!$A$4:$N$51,6,FALSE()),"-")</f>
        <v>5</v>
      </c>
      <c r="R29" s="36">
        <f t="shared" si="0"/>
        <v>99</v>
      </c>
      <c r="S29">
        <f t="shared" si="1"/>
        <v>19</v>
      </c>
      <c r="T29">
        <f t="shared" si="2"/>
        <v>98.999971000000002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42</v>
      </c>
      <c r="K30" s="28">
        <f>IFERROR(VLOOKUP(C30,Scoring!$A$4:$N$51,14,FALSE())*4,"-")</f>
        <v>16</v>
      </c>
      <c r="L30" s="28">
        <f>IFERROR(VLOOKUP(D30,Scoring!$A$4:$N$51,14,FALSE())*3,"-")</f>
        <v>18</v>
      </c>
      <c r="M30" s="28">
        <f>IFERROR(VLOOKUP(E30,Scoring!$A$4:$N$51,14,FALSE())*2,"-")</f>
        <v>8</v>
      </c>
      <c r="N30" s="28">
        <f>IFERROR(VLOOKUP(F30,Scoring!$A$4:$N$51,14,FALSE()),"-")</f>
        <v>7</v>
      </c>
      <c r="O30" s="28">
        <f>IFERROR(VLOOKUP(G30,Scoring!$A$4:$N$51,14,FALSE()),"-")</f>
        <v>6</v>
      </c>
      <c r="P30" s="29">
        <f>IFERROR(VLOOKUP(H30,Scoring!$A$4:$N$51,14,FALSE()),"-")</f>
        <v>4</v>
      </c>
      <c r="Q30" s="29">
        <f>IFERROR(VLOOKUP(I30,Scoring!$A$4:$N$51,6,FALSE()),"-")</f>
        <v>3.5</v>
      </c>
      <c r="R30" s="36">
        <f t="shared" si="0"/>
        <v>104.5</v>
      </c>
      <c r="S30">
        <f t="shared" si="1"/>
        <v>7</v>
      </c>
      <c r="T30">
        <f t="shared" si="2"/>
        <v>104.49997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36</v>
      </c>
      <c r="K31" s="28">
        <f>IFERROR(VLOOKUP(C31,Scoring!$A$4:$N$51,14,FALSE())*4,"-")</f>
        <v>16</v>
      </c>
      <c r="L31" s="28">
        <f>IFERROR(VLOOKUP(D31,Scoring!$A$4:$N$51,14,FALSE())*3,"-")</f>
        <v>18</v>
      </c>
      <c r="M31" s="28">
        <f>IFERROR(VLOOKUP(E31,Scoring!$A$4:$N$51,14,FALSE())*2,"-")</f>
        <v>14</v>
      </c>
      <c r="N31" s="28">
        <f>IFERROR(VLOOKUP(F31,Scoring!$A$4:$N$51,14,FALSE()),"-")</f>
        <v>9</v>
      </c>
      <c r="O31" s="28">
        <f>IFERROR(VLOOKUP(G31,Scoring!$A$4:$N$51,14,FALSE()),"-")</f>
        <v>3</v>
      </c>
      <c r="P31" s="29">
        <f>IFERROR(VLOOKUP(H31,Scoring!$A$4:$N$51,14,FALSE()),"-")</f>
        <v>4</v>
      </c>
      <c r="Q31" s="29">
        <f>IFERROR(VLOOKUP(I31,Scoring!$A$4:$N$51,6,FALSE()),"-")</f>
        <v>3</v>
      </c>
      <c r="R31" s="36">
        <f t="shared" si="0"/>
        <v>103</v>
      </c>
      <c r="S31">
        <f t="shared" si="1"/>
        <v>10</v>
      </c>
      <c r="T31">
        <f t="shared" si="2"/>
        <v>102.99996899999999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24</v>
      </c>
      <c r="K32" s="28">
        <f>IFERROR(VLOOKUP(C32,Scoring!$A$4:$N$51,14,FALSE())*4,"-")</f>
        <v>24</v>
      </c>
      <c r="L32" s="28">
        <f>IFERROR(VLOOKUP(D32,Scoring!$A$4:$N$51,14,FALSE())*3,"-")</f>
        <v>12</v>
      </c>
      <c r="M32" s="28">
        <f>IFERROR(VLOOKUP(E32,Scoring!$A$4:$N$51,14,FALSE())*2,"-")</f>
        <v>12</v>
      </c>
      <c r="N32" s="28">
        <f>IFERROR(VLOOKUP(F32,Scoring!$A$4:$N$51,14,FALSE()),"-")</f>
        <v>7</v>
      </c>
      <c r="O32" s="28">
        <f>IFERROR(VLOOKUP(G32,Scoring!$A$4:$N$51,14,FALSE()),"-")</f>
        <v>1</v>
      </c>
      <c r="P32" s="29">
        <f>IFERROR(VLOOKUP(H32,Scoring!$A$4:$N$51,14,FALSE()),"-")</f>
        <v>4</v>
      </c>
      <c r="Q32" s="29">
        <f>IFERROR(VLOOKUP(I32,Scoring!$A$4:$N$51,6,FALSE()),"-")</f>
        <v>2</v>
      </c>
      <c r="R32" s="36">
        <f t="shared" si="0"/>
        <v>86</v>
      </c>
      <c r="S32">
        <f t="shared" si="1"/>
        <v>91</v>
      </c>
      <c r="T32">
        <f t="shared" si="2"/>
        <v>85.999967999999996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24</v>
      </c>
      <c r="K33" s="28">
        <f>IFERROR(VLOOKUP(C33,Scoring!$A$4:$N$51,14,FALSE())*4,"-")</f>
        <v>24</v>
      </c>
      <c r="L33" s="28">
        <f>IFERROR(VLOOKUP(D33,Scoring!$A$4:$N$51,14,FALSE())*3,"-")</f>
        <v>21</v>
      </c>
      <c r="M33" s="28">
        <f>IFERROR(VLOOKUP(E33,Scoring!$A$4:$N$51,14,FALSE())*2,"-")</f>
        <v>8</v>
      </c>
      <c r="N33" s="28">
        <f>IFERROR(VLOOKUP(F33,Scoring!$A$4:$N$51,14,FALSE()),"-")</f>
        <v>9</v>
      </c>
      <c r="O33" s="28">
        <f>IFERROR(VLOOKUP(G33,Scoring!$A$4:$N$51,14,FALSE()),"-")</f>
        <v>4</v>
      </c>
      <c r="P33" s="29">
        <f>IFERROR(VLOOKUP(H33,Scoring!$A$4:$N$51,14,FALSE()),"-")</f>
        <v>1</v>
      </c>
      <c r="Q33" s="29">
        <f>IFERROR(VLOOKUP(I33,Scoring!$A$4:$N$51,6,FALSE()),"-")</f>
        <v>5</v>
      </c>
      <c r="R33" s="36">
        <f t="shared" si="0"/>
        <v>96</v>
      </c>
      <c r="S33">
        <f t="shared" si="1"/>
        <v>32</v>
      </c>
      <c r="T33">
        <f t="shared" si="2"/>
        <v>95.999966999999998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24</v>
      </c>
      <c r="K34" s="28">
        <f>IFERROR(VLOOKUP(C34,Scoring!$A$4:$N$51,14,FALSE())*4,"-")</f>
        <v>28</v>
      </c>
      <c r="L34" s="28">
        <f>IFERROR(VLOOKUP(D34,Scoring!$A$4:$N$51,14,FALSE())*3,"-")</f>
        <v>18</v>
      </c>
      <c r="M34" s="28">
        <f>IFERROR(VLOOKUP(E34,Scoring!$A$4:$N$51,14,FALSE())*2,"-")</f>
        <v>12</v>
      </c>
      <c r="N34" s="28">
        <f>IFERROR(VLOOKUP(F34,Scoring!$A$4:$N$51,14,FALSE()),"-")</f>
        <v>7</v>
      </c>
      <c r="O34" s="28">
        <f>IFERROR(VLOOKUP(G34,Scoring!$A$4:$N$51,14,FALSE()),"-")</f>
        <v>6</v>
      </c>
      <c r="P34" s="29">
        <f>IFERROR(VLOOKUP(H34,Scoring!$A$4:$N$51,14,FALSE()),"-")</f>
        <v>4</v>
      </c>
      <c r="Q34" s="29">
        <f>IFERROR(VLOOKUP(I34,Scoring!$A$4:$N$51,6,FALSE()),"-")</f>
        <v>2</v>
      </c>
      <c r="R34" s="36">
        <f t="shared" si="0"/>
        <v>101</v>
      </c>
      <c r="S34">
        <f t="shared" si="1"/>
        <v>15</v>
      </c>
      <c r="T34">
        <f t="shared" si="2"/>
        <v>100.999966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24</v>
      </c>
      <c r="K35" s="28">
        <f>IFERROR(VLOOKUP(C35,Scoring!$A$4:$N$51,14,FALSE())*4,"-")</f>
        <v>24</v>
      </c>
      <c r="L35" s="28">
        <f>IFERROR(VLOOKUP(D35,Scoring!$A$4:$N$51,14,FALSE())*3,"-")</f>
        <v>18</v>
      </c>
      <c r="M35" s="28">
        <f>IFERROR(VLOOKUP(E35,Scoring!$A$4:$N$51,14,FALSE())*2,"-")</f>
        <v>14</v>
      </c>
      <c r="N35" s="28">
        <f>IFERROR(VLOOKUP(F35,Scoring!$A$4:$N$51,14,FALSE()),"-")</f>
        <v>7</v>
      </c>
      <c r="O35" s="28">
        <f>IFERROR(VLOOKUP(G35,Scoring!$A$4:$N$51,14,FALSE()),"-")</f>
        <v>6</v>
      </c>
      <c r="P35" s="29">
        <f>IFERROR(VLOOKUP(H35,Scoring!$A$4:$N$51,14,FALSE()),"-")</f>
        <v>1</v>
      </c>
      <c r="Q35" s="29">
        <f>IFERROR(VLOOKUP(I35,Scoring!$A$4:$N$51,6,FALSE()),"-")</f>
        <v>2</v>
      </c>
      <c r="R35" s="36">
        <f t="shared" si="0"/>
        <v>96</v>
      </c>
      <c r="S35">
        <f t="shared" si="1"/>
        <v>32</v>
      </c>
      <c r="T35">
        <f t="shared" si="2"/>
        <v>95.999965000000003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36</v>
      </c>
      <c r="K36" s="28">
        <f>IFERROR(VLOOKUP(C36,Scoring!$A$4:$N$51,14,FALSE())*4,"-")</f>
        <v>24</v>
      </c>
      <c r="L36" s="28">
        <f>IFERROR(VLOOKUP(D36,Scoring!$A$4:$N$51,14,FALSE())*3,"-")</f>
        <v>12</v>
      </c>
      <c r="M36" s="28">
        <f>IFERROR(VLOOKUP(E36,Scoring!$A$4:$N$51,14,FALSE())*2,"-")</f>
        <v>4</v>
      </c>
      <c r="N36" s="28">
        <f>IFERROR(VLOOKUP(F36,Scoring!$A$4:$N$51,14,FALSE()),"-")</f>
        <v>5</v>
      </c>
      <c r="O36" s="28">
        <f>IFERROR(VLOOKUP(G36,Scoring!$A$4:$N$51,14,FALSE()),"-")</f>
        <v>6</v>
      </c>
      <c r="P36" s="29">
        <f>IFERROR(VLOOKUP(H36,Scoring!$A$4:$N$51,14,FALSE()),"-")</f>
        <v>1</v>
      </c>
      <c r="Q36" s="29">
        <f>IFERROR(VLOOKUP(I36,Scoring!$A$4:$N$51,6,FALSE()),"-")</f>
        <v>5</v>
      </c>
      <c r="R36" s="36">
        <f t="shared" ref="R36:R67" si="3">IF(A36="","-",SUM(J36:Q36))</f>
        <v>93</v>
      </c>
      <c r="S36">
        <f t="shared" ref="S36:S67" si="4">IF(A36="","",RANK(R36,$R$4:$R$119))</f>
        <v>48</v>
      </c>
      <c r="T36">
        <f t="shared" ref="T36:T67" si="5">IF(A36="",-1,R36-ROW(R36)/1000000)</f>
        <v>92.999964000000006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42</v>
      </c>
      <c r="K37" s="28">
        <f>IFERROR(VLOOKUP(C37,Scoring!$A$4:$N$51,14,FALSE())*4,"-")</f>
        <v>24</v>
      </c>
      <c r="L37" s="28">
        <f>IFERROR(VLOOKUP(D37,Scoring!$A$4:$N$51,14,FALSE())*3,"-")</f>
        <v>12</v>
      </c>
      <c r="M37" s="28">
        <f>IFERROR(VLOOKUP(E37,Scoring!$A$4:$N$51,14,FALSE())*2,"-")</f>
        <v>12</v>
      </c>
      <c r="N37" s="28">
        <f>IFERROR(VLOOKUP(F37,Scoring!$A$4:$N$51,14,FALSE()),"-")</f>
        <v>9</v>
      </c>
      <c r="O37" s="28">
        <f>IFERROR(VLOOKUP(G37,Scoring!$A$4:$N$51,14,FALSE()),"-")</f>
        <v>6</v>
      </c>
      <c r="P37" s="29">
        <f>IFERROR(VLOOKUP(H37,Scoring!$A$4:$N$51,14,FALSE()),"-")</f>
        <v>4</v>
      </c>
      <c r="Q37" s="29">
        <f>IFERROR(VLOOKUP(I37,Scoring!$A$4:$N$51,6,FALSE()),"-")</f>
        <v>3.5</v>
      </c>
      <c r="R37" s="36">
        <f t="shared" si="3"/>
        <v>112.5</v>
      </c>
      <c r="S37">
        <f t="shared" si="4"/>
        <v>2</v>
      </c>
      <c r="T37">
        <f t="shared" si="5"/>
        <v>112.49996299999999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24</v>
      </c>
      <c r="K38" s="28">
        <f>IFERROR(VLOOKUP(C38,Scoring!$A$4:$N$51,14,FALSE())*4,"-")</f>
        <v>16</v>
      </c>
      <c r="L38" s="28">
        <f>IFERROR(VLOOKUP(D38,Scoring!$A$4:$N$51,14,FALSE())*3,"-")</f>
        <v>21</v>
      </c>
      <c r="M38" s="28">
        <f>IFERROR(VLOOKUP(E38,Scoring!$A$4:$N$51,14,FALSE())*2,"-")</f>
        <v>14</v>
      </c>
      <c r="N38" s="28">
        <f>IFERROR(VLOOKUP(F38,Scoring!$A$4:$N$51,14,FALSE()),"-")</f>
        <v>5</v>
      </c>
      <c r="O38" s="28">
        <f>IFERROR(VLOOKUP(G38,Scoring!$A$4:$N$51,14,FALSE()),"-")</f>
        <v>3</v>
      </c>
      <c r="P38" s="29">
        <f>IFERROR(VLOOKUP(H38,Scoring!$A$4:$N$51,14,FALSE()),"-")</f>
        <v>1</v>
      </c>
      <c r="Q38" s="29">
        <f>IFERROR(VLOOKUP(I38,Scoring!$A$4:$N$51,6,FALSE()),"-")</f>
        <v>3.5</v>
      </c>
      <c r="R38" s="36">
        <f t="shared" si="3"/>
        <v>87.5</v>
      </c>
      <c r="S38">
        <f t="shared" si="4"/>
        <v>81</v>
      </c>
      <c r="T38">
        <f t="shared" si="5"/>
        <v>87.499961999999996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24</v>
      </c>
      <c r="K39" s="28">
        <f>IFERROR(VLOOKUP(C39,Scoring!$A$4:$N$51,14,FALSE())*4,"-")</f>
        <v>24</v>
      </c>
      <c r="L39" s="28">
        <f>IFERROR(VLOOKUP(D39,Scoring!$A$4:$N$51,14,FALSE())*3,"-")</f>
        <v>18</v>
      </c>
      <c r="M39" s="28">
        <f>IFERROR(VLOOKUP(E39,Scoring!$A$4:$N$51,14,FALSE())*2,"-")</f>
        <v>14</v>
      </c>
      <c r="N39" s="28">
        <f>IFERROR(VLOOKUP(F39,Scoring!$A$4:$N$51,14,FALSE()),"-")</f>
        <v>7</v>
      </c>
      <c r="O39" s="28">
        <f>IFERROR(VLOOKUP(G39,Scoring!$A$4:$N$51,14,FALSE()),"-")</f>
        <v>4</v>
      </c>
      <c r="P39" s="29">
        <f>IFERROR(VLOOKUP(H39,Scoring!$A$4:$N$51,14,FALSE()),"-")</f>
        <v>4</v>
      </c>
      <c r="Q39" s="29">
        <f>IFERROR(VLOOKUP(I39,Scoring!$A$4:$N$51,6,FALSE()),"-")</f>
        <v>2</v>
      </c>
      <c r="R39" s="36">
        <f t="shared" si="3"/>
        <v>97</v>
      </c>
      <c r="S39">
        <f t="shared" si="4"/>
        <v>25</v>
      </c>
      <c r="T39">
        <f t="shared" si="5"/>
        <v>96.999960999999999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36</v>
      </c>
      <c r="K40" s="28">
        <f>IFERROR(VLOOKUP(C40,Scoring!$A$4:$N$51,14,FALSE())*4,"-")</f>
        <v>16</v>
      </c>
      <c r="L40" s="28">
        <f>IFERROR(VLOOKUP(D40,Scoring!$A$4:$N$51,14,FALSE())*3,"-")</f>
        <v>21</v>
      </c>
      <c r="M40" s="28">
        <f>IFERROR(VLOOKUP(E40,Scoring!$A$4:$N$51,14,FALSE())*2,"-")</f>
        <v>8</v>
      </c>
      <c r="N40" s="28">
        <f>IFERROR(VLOOKUP(F40,Scoring!$A$4:$N$51,14,FALSE()),"-")</f>
        <v>3</v>
      </c>
      <c r="O40" s="28">
        <f>IFERROR(VLOOKUP(G40,Scoring!$A$4:$N$51,14,FALSE()),"-")</f>
        <v>4</v>
      </c>
      <c r="P40" s="29">
        <f>IFERROR(VLOOKUP(H40,Scoring!$A$4:$N$51,14,FALSE()),"-")</f>
        <v>4</v>
      </c>
      <c r="Q40" s="29">
        <f>IFERROR(VLOOKUP(I40,Scoring!$A$4:$N$51,6,FALSE()),"-")</f>
        <v>5</v>
      </c>
      <c r="R40" s="36">
        <f t="shared" si="3"/>
        <v>97</v>
      </c>
      <c r="S40">
        <f t="shared" si="4"/>
        <v>25</v>
      </c>
      <c r="T40">
        <f t="shared" si="5"/>
        <v>96.999960000000002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42</v>
      </c>
      <c r="K41" s="28">
        <f>IFERROR(VLOOKUP(C41,Scoring!$A$4:$N$51,14,FALSE())*4,"-")</f>
        <v>16</v>
      </c>
      <c r="L41" s="28">
        <f>IFERROR(VLOOKUP(D41,Scoring!$A$4:$N$51,14,FALSE())*3,"-")</f>
        <v>18</v>
      </c>
      <c r="M41" s="28">
        <f>IFERROR(VLOOKUP(E41,Scoring!$A$4:$N$51,14,FALSE())*2,"-")</f>
        <v>12</v>
      </c>
      <c r="N41" s="28">
        <f>IFERROR(VLOOKUP(F41,Scoring!$A$4:$N$51,14,FALSE()),"-")</f>
        <v>7</v>
      </c>
      <c r="O41" s="28">
        <f>IFERROR(VLOOKUP(G41,Scoring!$A$4:$N$51,14,FALSE()),"-")</f>
        <v>6</v>
      </c>
      <c r="P41" s="29">
        <f>IFERROR(VLOOKUP(H41,Scoring!$A$4:$N$51,14,FALSE()),"-")</f>
        <v>4</v>
      </c>
      <c r="Q41" s="29">
        <f>IFERROR(VLOOKUP(I41,Scoring!$A$4:$N$51,6,FALSE()),"-")</f>
        <v>3</v>
      </c>
      <c r="R41" s="36">
        <f t="shared" si="3"/>
        <v>108</v>
      </c>
      <c r="S41">
        <f t="shared" si="4"/>
        <v>5</v>
      </c>
      <c r="T41">
        <f t="shared" si="5"/>
        <v>107.999959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24</v>
      </c>
      <c r="K42" s="28">
        <f>IFERROR(VLOOKUP(C42,Scoring!$A$4:$N$51,14,FALSE())*4,"-")</f>
        <v>16</v>
      </c>
      <c r="L42" s="28">
        <f>IFERROR(VLOOKUP(D42,Scoring!$A$4:$N$51,14,FALSE())*3,"-")</f>
        <v>18</v>
      </c>
      <c r="M42" s="28">
        <f>IFERROR(VLOOKUP(E42,Scoring!$A$4:$N$51,14,FALSE())*2,"-")</f>
        <v>12</v>
      </c>
      <c r="N42" s="28">
        <f>IFERROR(VLOOKUP(F42,Scoring!$A$4:$N$51,14,FALSE()),"-")</f>
        <v>9</v>
      </c>
      <c r="O42" s="28">
        <f>IFERROR(VLOOKUP(G42,Scoring!$A$4:$N$51,14,FALSE()),"-")</f>
        <v>6</v>
      </c>
      <c r="P42" s="29">
        <f>IFERROR(VLOOKUP(H42,Scoring!$A$4:$N$51,14,FALSE()),"-")</f>
        <v>0</v>
      </c>
      <c r="Q42" s="29">
        <f>IFERROR(VLOOKUP(I42,Scoring!$A$4:$N$51,6,FALSE()),"-")</f>
        <v>2</v>
      </c>
      <c r="R42" s="36">
        <f t="shared" si="3"/>
        <v>87</v>
      </c>
      <c r="S42">
        <f t="shared" si="4"/>
        <v>82</v>
      </c>
      <c r="T42">
        <f t="shared" si="5"/>
        <v>86.999958000000007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36</v>
      </c>
      <c r="K43" s="28">
        <f>IFERROR(VLOOKUP(C43,Scoring!$A$4:$N$51,14,FALSE())*4,"-")</f>
        <v>16</v>
      </c>
      <c r="L43" s="28">
        <f>IFERROR(VLOOKUP(D43,Scoring!$A$4:$N$51,14,FALSE())*3,"-")</f>
        <v>12</v>
      </c>
      <c r="M43" s="28">
        <f>IFERROR(VLOOKUP(E43,Scoring!$A$4:$N$51,14,FALSE())*2,"-")</f>
        <v>12</v>
      </c>
      <c r="N43" s="28">
        <f>IFERROR(VLOOKUP(F43,Scoring!$A$4:$N$51,14,FALSE()),"-")</f>
        <v>5</v>
      </c>
      <c r="O43" s="28">
        <f>IFERROR(VLOOKUP(G43,Scoring!$A$4:$N$51,14,FALSE()),"-")</f>
        <v>6</v>
      </c>
      <c r="P43" s="29">
        <f>IFERROR(VLOOKUP(H43,Scoring!$A$4:$N$51,14,FALSE()),"-")</f>
        <v>4</v>
      </c>
      <c r="Q43" s="29">
        <f>IFERROR(VLOOKUP(I43,Scoring!$A$4:$N$51,6,FALSE()),"-")</f>
        <v>3</v>
      </c>
      <c r="R43" s="36">
        <f t="shared" si="3"/>
        <v>94</v>
      </c>
      <c r="S43">
        <f t="shared" si="4"/>
        <v>42</v>
      </c>
      <c r="T43">
        <f t="shared" si="5"/>
        <v>93.999956999999995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24</v>
      </c>
      <c r="K44" s="28">
        <f>IFERROR(VLOOKUP(C44,Scoring!$A$4:$N$51,14,FALSE())*4,"-")</f>
        <v>24</v>
      </c>
      <c r="L44" s="28">
        <f>IFERROR(VLOOKUP(D44,Scoring!$A$4:$N$51,14,FALSE())*3,"-")</f>
        <v>18</v>
      </c>
      <c r="M44" s="28">
        <f>IFERROR(VLOOKUP(E44,Scoring!$A$4:$N$51,14,FALSE())*2,"-")</f>
        <v>8</v>
      </c>
      <c r="N44" s="28">
        <f>IFERROR(VLOOKUP(F44,Scoring!$A$4:$N$51,14,FALSE()),"-")</f>
        <v>5</v>
      </c>
      <c r="O44" s="28">
        <f>IFERROR(VLOOKUP(G44,Scoring!$A$4:$N$51,14,FALSE()),"-")</f>
        <v>6</v>
      </c>
      <c r="P44" s="29">
        <f>IFERROR(VLOOKUP(H44,Scoring!$A$4:$N$51,14,FALSE()),"-")</f>
        <v>4</v>
      </c>
      <c r="Q44" s="29">
        <f>IFERROR(VLOOKUP(I44,Scoring!$A$4:$N$51,6,FALSE()),"-")</f>
        <v>2</v>
      </c>
      <c r="R44" s="36">
        <f t="shared" si="3"/>
        <v>91</v>
      </c>
      <c r="S44">
        <f t="shared" si="4"/>
        <v>62</v>
      </c>
      <c r="T44">
        <f t="shared" si="5"/>
        <v>90.999955999999997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24</v>
      </c>
      <c r="K45" s="28">
        <f>IFERROR(VLOOKUP(C45,Scoring!$A$4:$N$51,14,FALSE())*4,"-")</f>
        <v>16</v>
      </c>
      <c r="L45" s="28">
        <f>IFERROR(VLOOKUP(D45,Scoring!$A$4:$N$51,14,FALSE())*3,"-")</f>
        <v>12</v>
      </c>
      <c r="M45" s="28">
        <f>IFERROR(VLOOKUP(E45,Scoring!$A$4:$N$51,14,FALSE())*2,"-")</f>
        <v>12</v>
      </c>
      <c r="N45" s="28">
        <f>IFERROR(VLOOKUP(F45,Scoring!$A$4:$N$51,14,FALSE()),"-")</f>
        <v>3</v>
      </c>
      <c r="O45" s="28">
        <f>IFERROR(VLOOKUP(G45,Scoring!$A$4:$N$51,14,FALSE()),"-")</f>
        <v>6</v>
      </c>
      <c r="P45" s="29">
        <f>IFERROR(VLOOKUP(H45,Scoring!$A$4:$N$51,14,FALSE()),"-")</f>
        <v>4</v>
      </c>
      <c r="Q45" s="29">
        <f>IFERROR(VLOOKUP(I45,Scoring!$A$4:$N$51,6,FALSE()),"-")</f>
        <v>2</v>
      </c>
      <c r="R45" s="36">
        <f t="shared" si="3"/>
        <v>79</v>
      </c>
      <c r="S45">
        <f t="shared" si="4"/>
        <v>103</v>
      </c>
      <c r="T45">
        <f t="shared" si="5"/>
        <v>78.999955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24</v>
      </c>
      <c r="K46" s="28">
        <f>IFERROR(VLOOKUP(C46,Scoring!$A$4:$N$51,14,FALSE())*4,"-")</f>
        <v>16</v>
      </c>
      <c r="L46" s="28">
        <f>IFERROR(VLOOKUP(D46,Scoring!$A$4:$N$51,14,FALSE())*3,"-")</f>
        <v>18</v>
      </c>
      <c r="M46" s="28">
        <f>IFERROR(VLOOKUP(E46,Scoring!$A$4:$N$51,14,FALSE())*2,"-")</f>
        <v>12</v>
      </c>
      <c r="N46" s="28">
        <f>IFERROR(VLOOKUP(F46,Scoring!$A$4:$N$51,14,FALSE()),"-")</f>
        <v>6</v>
      </c>
      <c r="O46" s="28">
        <f>IFERROR(VLOOKUP(G46,Scoring!$A$4:$N$51,14,FALSE()),"-")</f>
        <v>6</v>
      </c>
      <c r="P46" s="29">
        <f>IFERROR(VLOOKUP(H46,Scoring!$A$4:$N$51,14,FALSE()),"-")</f>
        <v>4</v>
      </c>
      <c r="Q46" s="29">
        <f>IFERROR(VLOOKUP(I46,Scoring!$A$4:$N$51,6,FALSE()),"-")</f>
        <v>2</v>
      </c>
      <c r="R46" s="36">
        <f t="shared" si="3"/>
        <v>88</v>
      </c>
      <c r="S46">
        <f t="shared" si="4"/>
        <v>77</v>
      </c>
      <c r="T46">
        <f t="shared" si="5"/>
        <v>87.999954000000002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24</v>
      </c>
      <c r="K47" s="28">
        <f>IFERROR(VLOOKUP(C47,Scoring!$A$4:$N$51,14,FALSE())*4,"-")</f>
        <v>24</v>
      </c>
      <c r="L47" s="28">
        <f>IFERROR(VLOOKUP(D47,Scoring!$A$4:$N$51,14,FALSE())*3,"-")</f>
        <v>21</v>
      </c>
      <c r="M47" s="28">
        <f>IFERROR(VLOOKUP(E47,Scoring!$A$4:$N$51,14,FALSE())*2,"-")</f>
        <v>8</v>
      </c>
      <c r="N47" s="28">
        <f>IFERROR(VLOOKUP(F47,Scoring!$A$4:$N$51,14,FALSE()),"-")</f>
        <v>6</v>
      </c>
      <c r="O47" s="28">
        <f>IFERROR(VLOOKUP(G47,Scoring!$A$4:$N$51,14,FALSE()),"-")</f>
        <v>6</v>
      </c>
      <c r="P47" s="29">
        <f>IFERROR(VLOOKUP(H47,Scoring!$A$4:$N$51,14,FALSE()),"-")</f>
        <v>0</v>
      </c>
      <c r="Q47" s="29">
        <f>IFERROR(VLOOKUP(I47,Scoring!$A$4:$N$51,6,FALSE()),"-")</f>
        <v>3.5</v>
      </c>
      <c r="R47" s="36">
        <f t="shared" si="3"/>
        <v>92.5</v>
      </c>
      <c r="S47">
        <f t="shared" si="4"/>
        <v>54</v>
      </c>
      <c r="T47">
        <f t="shared" si="5"/>
        <v>92.499953000000005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24</v>
      </c>
      <c r="K48" s="28">
        <f>IFERROR(VLOOKUP(C48,Scoring!$A$4:$N$51,14,FALSE())*4,"-")</f>
        <v>24</v>
      </c>
      <c r="L48" s="28">
        <f>IFERROR(VLOOKUP(D48,Scoring!$A$4:$N$51,14,FALSE())*3,"-")</f>
        <v>12</v>
      </c>
      <c r="M48" s="28">
        <f>IFERROR(VLOOKUP(E48,Scoring!$A$4:$N$51,14,FALSE())*2,"-")</f>
        <v>8</v>
      </c>
      <c r="N48" s="28">
        <f>IFERROR(VLOOKUP(F48,Scoring!$A$4:$N$51,14,FALSE()),"-")</f>
        <v>2</v>
      </c>
      <c r="O48" s="28">
        <f>IFERROR(VLOOKUP(G48,Scoring!$A$4:$N$51,14,FALSE()),"-")</f>
        <v>6</v>
      </c>
      <c r="P48" s="29">
        <f>IFERROR(VLOOKUP(H48,Scoring!$A$4:$N$51,14,FALSE()),"-")</f>
        <v>0</v>
      </c>
      <c r="Q48" s="29">
        <f>IFERROR(VLOOKUP(I48,Scoring!$A$4:$N$51,6,FALSE()),"-")</f>
        <v>2</v>
      </c>
      <c r="R48" s="36">
        <f t="shared" si="3"/>
        <v>78</v>
      </c>
      <c r="S48">
        <f t="shared" si="4"/>
        <v>105</v>
      </c>
      <c r="T48">
        <f t="shared" si="5"/>
        <v>77.999951999999993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36</v>
      </c>
      <c r="K49" s="28">
        <f>IFERROR(VLOOKUP(C49,Scoring!$A$4:$N$51,14,FALSE())*4,"-")</f>
        <v>28</v>
      </c>
      <c r="L49" s="28">
        <f>IFERROR(VLOOKUP(D49,Scoring!$A$4:$N$51,14,FALSE())*3,"-")</f>
        <v>12</v>
      </c>
      <c r="M49" s="28">
        <f>IFERROR(VLOOKUP(E49,Scoring!$A$4:$N$51,14,FALSE())*2,"-")</f>
        <v>12</v>
      </c>
      <c r="N49" s="28">
        <f>IFERROR(VLOOKUP(F49,Scoring!$A$4:$N$51,14,FALSE()),"-")</f>
        <v>6</v>
      </c>
      <c r="O49" s="28">
        <f>IFERROR(VLOOKUP(G49,Scoring!$A$4:$N$51,14,FALSE()),"-")</f>
        <v>6</v>
      </c>
      <c r="P49" s="29">
        <f>IFERROR(VLOOKUP(H49,Scoring!$A$4:$N$51,14,FALSE()),"-")</f>
        <v>4</v>
      </c>
      <c r="Q49" s="29">
        <f>IFERROR(VLOOKUP(I49,Scoring!$A$4:$N$51,6,FALSE()),"-")</f>
        <v>5</v>
      </c>
      <c r="R49" s="36">
        <f t="shared" si="3"/>
        <v>109</v>
      </c>
      <c r="S49">
        <f t="shared" si="4"/>
        <v>3</v>
      </c>
      <c r="T49">
        <f t="shared" si="5"/>
        <v>108.999951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24</v>
      </c>
      <c r="K50" s="28">
        <f>IFERROR(VLOOKUP(C50,Scoring!$A$4:$N$51,14,FALSE())*4,"-")</f>
        <v>16</v>
      </c>
      <c r="L50" s="28">
        <f>IFERROR(VLOOKUP(D50,Scoring!$A$4:$N$51,14,FALSE())*3,"-")</f>
        <v>21</v>
      </c>
      <c r="M50" s="28">
        <f>IFERROR(VLOOKUP(E50,Scoring!$A$4:$N$51,14,FALSE())*2,"-")</f>
        <v>12</v>
      </c>
      <c r="N50" s="28">
        <f>IFERROR(VLOOKUP(F50,Scoring!$A$4:$N$51,14,FALSE()),"-")</f>
        <v>6</v>
      </c>
      <c r="O50" s="28">
        <f>IFERROR(VLOOKUP(G50,Scoring!$A$4:$N$51,14,FALSE()),"-")</f>
        <v>6</v>
      </c>
      <c r="P50" s="29">
        <f>IFERROR(VLOOKUP(H50,Scoring!$A$4:$N$51,14,FALSE()),"-")</f>
        <v>4</v>
      </c>
      <c r="Q50" s="29">
        <f>IFERROR(VLOOKUP(I50,Scoring!$A$4:$N$51,6,FALSE()),"-")</f>
        <v>3.5</v>
      </c>
      <c r="R50" s="36">
        <f t="shared" si="3"/>
        <v>92.5</v>
      </c>
      <c r="S50">
        <f t="shared" si="4"/>
        <v>54</v>
      </c>
      <c r="T50">
        <f t="shared" si="5"/>
        <v>92.499949999999998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24</v>
      </c>
      <c r="K51" s="28">
        <f>IFERROR(VLOOKUP(C51,Scoring!$A$4:$N$51,14,FALSE())*4,"-")</f>
        <v>28</v>
      </c>
      <c r="L51" s="28">
        <f>IFERROR(VLOOKUP(D51,Scoring!$A$4:$N$51,14,FALSE())*3,"-")</f>
        <v>12</v>
      </c>
      <c r="M51" s="28">
        <f>IFERROR(VLOOKUP(E51,Scoring!$A$4:$N$51,14,FALSE())*2,"-")</f>
        <v>8</v>
      </c>
      <c r="N51" s="28">
        <f>IFERROR(VLOOKUP(F51,Scoring!$A$4:$N$51,14,FALSE()),"-")</f>
        <v>9</v>
      </c>
      <c r="O51" s="28">
        <f>IFERROR(VLOOKUP(G51,Scoring!$A$4:$N$51,14,FALSE()),"-")</f>
        <v>6</v>
      </c>
      <c r="P51" s="29">
        <f>IFERROR(VLOOKUP(H51,Scoring!$A$4:$N$51,14,FALSE()),"-")</f>
        <v>4</v>
      </c>
      <c r="Q51" s="29">
        <f>IFERROR(VLOOKUP(I51,Scoring!$A$4:$N$51,6,FALSE()),"-")</f>
        <v>3.5</v>
      </c>
      <c r="R51" s="36">
        <f t="shared" si="3"/>
        <v>94.5</v>
      </c>
      <c r="S51">
        <f t="shared" si="4"/>
        <v>41</v>
      </c>
      <c r="T51">
        <f t="shared" si="5"/>
        <v>94.499949000000001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24</v>
      </c>
      <c r="K52" s="28">
        <f>IFERROR(VLOOKUP(C52,Scoring!$A$4:$N$51,14,FALSE())*4,"-")</f>
        <v>24</v>
      </c>
      <c r="L52" s="28">
        <f>IFERROR(VLOOKUP(D52,Scoring!$A$4:$N$51,14,FALSE())*3,"-")</f>
        <v>12</v>
      </c>
      <c r="M52" s="28">
        <f>IFERROR(VLOOKUP(E52,Scoring!$A$4:$N$51,14,FALSE())*2,"-")</f>
        <v>12</v>
      </c>
      <c r="N52" s="28">
        <f>IFERROR(VLOOKUP(F52,Scoring!$A$4:$N$51,14,FALSE()),"-")</f>
        <v>5</v>
      </c>
      <c r="O52" s="28">
        <f>IFERROR(VLOOKUP(G52,Scoring!$A$4:$N$51,14,FALSE()),"-")</f>
        <v>4</v>
      </c>
      <c r="P52" s="29">
        <f>IFERROR(VLOOKUP(H52,Scoring!$A$4:$N$51,14,FALSE()),"-")</f>
        <v>4</v>
      </c>
      <c r="Q52" s="29">
        <f>IFERROR(VLOOKUP(I52,Scoring!$A$4:$N$51,6,FALSE()),"-")</f>
        <v>2</v>
      </c>
      <c r="R52" s="36">
        <f t="shared" si="3"/>
        <v>87</v>
      </c>
      <c r="S52">
        <f t="shared" si="4"/>
        <v>82</v>
      </c>
      <c r="T52">
        <f t="shared" si="5"/>
        <v>86.999948000000003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42</v>
      </c>
      <c r="K53" s="28">
        <f>IFERROR(VLOOKUP(C53,Scoring!$A$4:$N$51,14,FALSE())*4,"-")</f>
        <v>16</v>
      </c>
      <c r="L53" s="28">
        <f>IFERROR(VLOOKUP(D53,Scoring!$A$4:$N$51,14,FALSE())*3,"-")</f>
        <v>18</v>
      </c>
      <c r="M53" s="28">
        <f>IFERROR(VLOOKUP(E53,Scoring!$A$4:$N$51,14,FALSE())*2,"-")</f>
        <v>8</v>
      </c>
      <c r="N53" s="28">
        <f>IFERROR(VLOOKUP(F53,Scoring!$A$4:$N$51,14,FALSE()),"-")</f>
        <v>2</v>
      </c>
      <c r="O53" s="28">
        <f>IFERROR(VLOOKUP(G53,Scoring!$A$4:$N$51,14,FALSE()),"-")</f>
        <v>6</v>
      </c>
      <c r="P53" s="29">
        <f>IFERROR(VLOOKUP(H53,Scoring!$A$4:$N$51,14,FALSE()),"-")</f>
        <v>4</v>
      </c>
      <c r="Q53" s="29">
        <f>IFERROR(VLOOKUP(I53,Scoring!$A$4:$N$51,6,FALSE()),"-")</f>
        <v>3.5</v>
      </c>
      <c r="R53" s="36">
        <f t="shared" si="3"/>
        <v>99.5</v>
      </c>
      <c r="S53">
        <f t="shared" si="4"/>
        <v>17</v>
      </c>
      <c r="T53">
        <f t="shared" si="5"/>
        <v>99.499947000000006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24</v>
      </c>
      <c r="K54" s="28">
        <f>IFERROR(VLOOKUP(C54,Scoring!$A$4:$N$51,14,FALSE())*4,"-")</f>
        <v>16</v>
      </c>
      <c r="L54" s="28">
        <f>IFERROR(VLOOKUP(D54,Scoring!$A$4:$N$51,14,FALSE())*3,"-")</f>
        <v>21</v>
      </c>
      <c r="M54" s="28">
        <f>IFERROR(VLOOKUP(E54,Scoring!$A$4:$N$51,14,FALSE())*2,"-")</f>
        <v>12</v>
      </c>
      <c r="N54" s="28">
        <f>IFERROR(VLOOKUP(F54,Scoring!$A$4:$N$51,14,FALSE()),"-")</f>
        <v>2</v>
      </c>
      <c r="O54" s="28">
        <f>IFERROR(VLOOKUP(G54,Scoring!$A$4:$N$51,14,FALSE()),"-")</f>
        <v>4</v>
      </c>
      <c r="P54" s="29">
        <f>IFERROR(VLOOKUP(H54,Scoring!$A$4:$N$51,14,FALSE()),"-")</f>
        <v>4</v>
      </c>
      <c r="Q54" s="29">
        <f>IFERROR(VLOOKUP(I54,Scoring!$A$4:$N$51,6,FALSE()),"-")</f>
        <v>3</v>
      </c>
      <c r="R54" s="36">
        <f t="shared" si="3"/>
        <v>86</v>
      </c>
      <c r="S54">
        <f t="shared" si="4"/>
        <v>91</v>
      </c>
      <c r="T54">
        <f t="shared" si="5"/>
        <v>85.999945999999994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42</v>
      </c>
      <c r="K55" s="28">
        <f>IFERROR(VLOOKUP(C55,Scoring!$A$4:$N$51,14,FALSE())*4,"-")</f>
        <v>24</v>
      </c>
      <c r="L55" s="28">
        <f>IFERROR(VLOOKUP(D55,Scoring!$A$4:$N$51,14,FALSE())*3,"-")</f>
        <v>12</v>
      </c>
      <c r="M55" s="28">
        <f>IFERROR(VLOOKUP(E55,Scoring!$A$4:$N$51,14,FALSE())*2,"-")</f>
        <v>8</v>
      </c>
      <c r="N55" s="28">
        <f>IFERROR(VLOOKUP(F55,Scoring!$A$4:$N$51,14,FALSE()),"-")</f>
        <v>9</v>
      </c>
      <c r="O55" s="28">
        <f>IFERROR(VLOOKUP(G55,Scoring!$A$4:$N$51,14,FALSE()),"-")</f>
        <v>4</v>
      </c>
      <c r="P55" s="29">
        <f>IFERROR(VLOOKUP(H55,Scoring!$A$4:$N$51,14,FALSE()),"-")</f>
        <v>1</v>
      </c>
      <c r="Q55" s="29">
        <f>IFERROR(VLOOKUP(I55,Scoring!$A$4:$N$51,6,FALSE()),"-")</f>
        <v>3</v>
      </c>
      <c r="R55" s="36">
        <f t="shared" si="3"/>
        <v>103</v>
      </c>
      <c r="S55">
        <f t="shared" si="4"/>
        <v>10</v>
      </c>
      <c r="T55">
        <f t="shared" si="5"/>
        <v>102.999945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24</v>
      </c>
      <c r="K56" s="28">
        <f>IFERROR(VLOOKUP(C56,Scoring!$A$4:$N$51,14,FALSE())*4,"-")</f>
        <v>24</v>
      </c>
      <c r="L56" s="28">
        <f>IFERROR(VLOOKUP(D56,Scoring!$A$4:$N$51,14,FALSE())*3,"-")</f>
        <v>21</v>
      </c>
      <c r="M56" s="28">
        <f>IFERROR(VLOOKUP(E56,Scoring!$A$4:$N$51,14,FALSE())*2,"-")</f>
        <v>12</v>
      </c>
      <c r="N56" s="28">
        <f>IFERROR(VLOOKUP(F56,Scoring!$A$4:$N$51,14,FALSE()),"-")</f>
        <v>2</v>
      </c>
      <c r="O56" s="28">
        <f>IFERROR(VLOOKUP(G56,Scoring!$A$4:$N$51,14,FALSE()),"-")</f>
        <v>6</v>
      </c>
      <c r="P56" s="29">
        <f>IFERROR(VLOOKUP(H56,Scoring!$A$4:$N$51,14,FALSE()),"-")</f>
        <v>1</v>
      </c>
      <c r="Q56" s="29">
        <f>IFERROR(VLOOKUP(I56,Scoring!$A$4:$N$51,6,FALSE()),"-")</f>
        <v>2</v>
      </c>
      <c r="R56" s="36">
        <f t="shared" si="3"/>
        <v>92</v>
      </c>
      <c r="S56">
        <f t="shared" si="4"/>
        <v>56</v>
      </c>
      <c r="T56">
        <f t="shared" si="5"/>
        <v>91.999943999999999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36</v>
      </c>
      <c r="K57" s="28">
        <f>IFERROR(VLOOKUP(C57,Scoring!$A$4:$N$51,14,FALSE())*4,"-")</f>
        <v>16</v>
      </c>
      <c r="L57" s="28">
        <f>IFERROR(VLOOKUP(D57,Scoring!$A$4:$N$51,14,FALSE())*3,"-")</f>
        <v>12</v>
      </c>
      <c r="M57" s="28">
        <f>IFERROR(VLOOKUP(E57,Scoring!$A$4:$N$51,14,FALSE())*2,"-")</f>
        <v>12</v>
      </c>
      <c r="N57" s="28">
        <f>IFERROR(VLOOKUP(F57,Scoring!$A$4:$N$51,14,FALSE()),"-")</f>
        <v>7</v>
      </c>
      <c r="O57" s="28">
        <f>IFERROR(VLOOKUP(G57,Scoring!$A$4:$N$51,14,FALSE()),"-")</f>
        <v>4</v>
      </c>
      <c r="P57" s="29">
        <f>IFERROR(VLOOKUP(H57,Scoring!$A$4:$N$51,14,FALSE()),"-")</f>
        <v>4</v>
      </c>
      <c r="Q57" s="29">
        <f>IFERROR(VLOOKUP(I57,Scoring!$A$4:$N$51,6,FALSE()),"-")</f>
        <v>3</v>
      </c>
      <c r="R57" s="36">
        <f t="shared" si="3"/>
        <v>94</v>
      </c>
      <c r="S57">
        <f t="shared" si="4"/>
        <v>42</v>
      </c>
      <c r="T57">
        <f t="shared" si="5"/>
        <v>93.999943000000002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36</v>
      </c>
      <c r="K58" s="28">
        <f>IFERROR(VLOOKUP(C58,Scoring!$A$4:$N$51,14,FALSE())*4,"-")</f>
        <v>16</v>
      </c>
      <c r="L58" s="28">
        <f>IFERROR(VLOOKUP(D58,Scoring!$A$4:$N$51,14,FALSE())*3,"-")</f>
        <v>18</v>
      </c>
      <c r="M58" s="28">
        <f>IFERROR(VLOOKUP(E58,Scoring!$A$4:$N$51,14,FALSE())*2,"-")</f>
        <v>8</v>
      </c>
      <c r="N58" s="28">
        <f>IFERROR(VLOOKUP(F58,Scoring!$A$4:$N$51,14,FALSE()),"-")</f>
        <v>9</v>
      </c>
      <c r="O58" s="28">
        <f>IFERROR(VLOOKUP(G58,Scoring!$A$4:$N$51,14,FALSE()),"-")</f>
        <v>4</v>
      </c>
      <c r="P58" s="29">
        <f>IFERROR(VLOOKUP(H58,Scoring!$A$4:$N$51,14,FALSE()),"-")</f>
        <v>4</v>
      </c>
      <c r="Q58" s="29">
        <f>IFERROR(VLOOKUP(I58,Scoring!$A$4:$N$51,6,FALSE()),"-")</f>
        <v>2</v>
      </c>
      <c r="R58" s="36">
        <f t="shared" si="3"/>
        <v>97</v>
      </c>
      <c r="S58">
        <f t="shared" si="4"/>
        <v>25</v>
      </c>
      <c r="T58">
        <f t="shared" si="5"/>
        <v>96.999942000000004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36</v>
      </c>
      <c r="K59" s="28">
        <f>IFERROR(VLOOKUP(C59,Scoring!$A$4:$N$51,14,FALSE())*4,"-")</f>
        <v>16</v>
      </c>
      <c r="L59" s="28">
        <f>IFERROR(VLOOKUP(D59,Scoring!$A$4:$N$51,14,FALSE())*3,"-")</f>
        <v>12</v>
      </c>
      <c r="M59" s="28">
        <f>IFERROR(VLOOKUP(E59,Scoring!$A$4:$N$51,14,FALSE())*2,"-")</f>
        <v>8</v>
      </c>
      <c r="N59" s="28">
        <f>IFERROR(VLOOKUP(F59,Scoring!$A$4:$N$51,14,FALSE()),"-")</f>
        <v>5</v>
      </c>
      <c r="O59" s="28">
        <f>IFERROR(VLOOKUP(G59,Scoring!$A$4:$N$51,14,FALSE()),"-")</f>
        <v>4</v>
      </c>
      <c r="P59" s="29">
        <f>IFERROR(VLOOKUP(H59,Scoring!$A$4:$N$51,14,FALSE()),"-")</f>
        <v>1</v>
      </c>
      <c r="Q59" s="29">
        <f>IFERROR(VLOOKUP(I59,Scoring!$A$4:$N$51,6,FALSE()),"-")</f>
        <v>2</v>
      </c>
      <c r="R59" s="36">
        <f t="shared" si="3"/>
        <v>84</v>
      </c>
      <c r="S59">
        <f t="shared" si="4"/>
        <v>94</v>
      </c>
      <c r="T59">
        <f t="shared" si="5"/>
        <v>83.999941000000007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42</v>
      </c>
      <c r="K60" s="28">
        <f>IFERROR(VLOOKUP(C60,Scoring!$A$4:$N$51,14,FALSE())*4,"-")</f>
        <v>16</v>
      </c>
      <c r="L60" s="28">
        <f>IFERROR(VLOOKUP(D60,Scoring!$A$4:$N$51,14,FALSE())*3,"-")</f>
        <v>18</v>
      </c>
      <c r="M60" s="28">
        <f>IFERROR(VLOOKUP(E60,Scoring!$A$4:$N$51,14,FALSE())*2,"-")</f>
        <v>8</v>
      </c>
      <c r="N60" s="28">
        <f>IFERROR(VLOOKUP(F60,Scoring!$A$4:$N$51,14,FALSE()),"-")</f>
        <v>9</v>
      </c>
      <c r="O60" s="28">
        <f>IFERROR(VLOOKUP(G60,Scoring!$A$4:$N$51,14,FALSE()),"-")</f>
        <v>6</v>
      </c>
      <c r="P60" s="29">
        <f>IFERROR(VLOOKUP(H60,Scoring!$A$4:$N$51,14,FALSE()),"-")</f>
        <v>4</v>
      </c>
      <c r="Q60" s="29">
        <f>IFERROR(VLOOKUP(I60,Scoring!$A$4:$N$51,6,FALSE()),"-")</f>
        <v>3.5</v>
      </c>
      <c r="R60" s="36">
        <f t="shared" si="3"/>
        <v>106.5</v>
      </c>
      <c r="S60">
        <f t="shared" si="4"/>
        <v>6</v>
      </c>
      <c r="T60">
        <f t="shared" si="5"/>
        <v>106.49994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24</v>
      </c>
      <c r="K61" s="28">
        <f>IFERROR(VLOOKUP(C61,Scoring!$A$4:$N$51,14,FALSE())*4,"-")</f>
        <v>24</v>
      </c>
      <c r="L61" s="28">
        <f>IFERROR(VLOOKUP(D61,Scoring!$A$4:$N$51,14,FALSE())*3,"-")</f>
        <v>12</v>
      </c>
      <c r="M61" s="28">
        <f>IFERROR(VLOOKUP(E61,Scoring!$A$4:$N$51,14,FALSE())*2,"-")</f>
        <v>14</v>
      </c>
      <c r="N61" s="28">
        <f>IFERROR(VLOOKUP(F61,Scoring!$A$4:$N$51,14,FALSE()),"-")</f>
        <v>3</v>
      </c>
      <c r="O61" s="28">
        <f>IFERROR(VLOOKUP(G61,Scoring!$A$4:$N$51,14,FALSE()),"-")</f>
        <v>4</v>
      </c>
      <c r="P61" s="29">
        <f>IFERROR(VLOOKUP(H61,Scoring!$A$4:$N$51,14,FALSE()),"-")</f>
        <v>4</v>
      </c>
      <c r="Q61" s="29">
        <f>IFERROR(VLOOKUP(I61,Scoring!$A$4:$N$51,6,FALSE()),"-")</f>
        <v>2</v>
      </c>
      <c r="R61" s="36">
        <f t="shared" si="3"/>
        <v>87</v>
      </c>
      <c r="S61">
        <f t="shared" si="4"/>
        <v>82</v>
      </c>
      <c r="T61">
        <f t="shared" si="5"/>
        <v>86.999938999999998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36</v>
      </c>
      <c r="K62" s="28">
        <f>IFERROR(VLOOKUP(C62,Scoring!$A$4:$N$51,14,FALSE())*4,"-")</f>
        <v>24</v>
      </c>
      <c r="L62" s="28">
        <f>IFERROR(VLOOKUP(D62,Scoring!$A$4:$N$51,14,FALSE())*3,"-")</f>
        <v>27</v>
      </c>
      <c r="M62" s="28">
        <f>IFERROR(VLOOKUP(E62,Scoring!$A$4:$N$51,14,FALSE())*2,"-")</f>
        <v>4</v>
      </c>
      <c r="N62" s="28">
        <f>IFERROR(VLOOKUP(F62,Scoring!$A$4:$N$51,14,FALSE()),"-")</f>
        <v>6</v>
      </c>
      <c r="O62" s="28">
        <f>IFERROR(VLOOKUP(G62,Scoring!$A$4:$N$51,14,FALSE()),"-")</f>
        <v>4</v>
      </c>
      <c r="P62" s="29">
        <f>IFERROR(VLOOKUP(H62,Scoring!$A$4:$N$51,14,FALSE()),"-")</f>
        <v>4</v>
      </c>
      <c r="Q62" s="29">
        <f>IFERROR(VLOOKUP(I62,Scoring!$A$4:$N$51,6,FALSE()),"-")</f>
        <v>3.5</v>
      </c>
      <c r="R62" s="36">
        <f t="shared" si="3"/>
        <v>108.5</v>
      </c>
      <c r="S62">
        <f t="shared" si="4"/>
        <v>4</v>
      </c>
      <c r="T62">
        <f t="shared" si="5"/>
        <v>108.499938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36</v>
      </c>
      <c r="K63" s="28">
        <f>IFERROR(VLOOKUP(C63,Scoring!$A$4:$N$51,14,FALSE())*4,"-")</f>
        <v>28</v>
      </c>
      <c r="L63" s="28">
        <f>IFERROR(VLOOKUP(D63,Scoring!$A$4:$N$51,14,FALSE())*3,"-")</f>
        <v>12</v>
      </c>
      <c r="M63" s="28">
        <f>IFERROR(VLOOKUP(E63,Scoring!$A$4:$N$51,14,FALSE())*2,"-")</f>
        <v>8</v>
      </c>
      <c r="N63" s="28">
        <f>IFERROR(VLOOKUP(F63,Scoring!$A$4:$N$51,14,FALSE()),"-")</f>
        <v>2</v>
      </c>
      <c r="O63" s="28">
        <f>IFERROR(VLOOKUP(G63,Scoring!$A$4:$N$51,14,FALSE()),"-")</f>
        <v>4</v>
      </c>
      <c r="P63" s="29">
        <f>IFERROR(VLOOKUP(H63,Scoring!$A$4:$N$51,14,FALSE()),"-")</f>
        <v>1</v>
      </c>
      <c r="Q63" s="29">
        <f>IFERROR(VLOOKUP(I63,Scoring!$A$4:$N$51,6,FALSE()),"-")</f>
        <v>3</v>
      </c>
      <c r="R63" s="36">
        <f t="shared" si="3"/>
        <v>94</v>
      </c>
      <c r="S63">
        <f t="shared" si="4"/>
        <v>42</v>
      </c>
      <c r="T63">
        <f t="shared" si="5"/>
        <v>93.999937000000003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36</v>
      </c>
      <c r="K64" s="28">
        <f>IFERROR(VLOOKUP(C64,Scoring!$A$4:$N$51,14,FALSE())*4,"-")</f>
        <v>16</v>
      </c>
      <c r="L64" s="28">
        <f>IFERROR(VLOOKUP(D64,Scoring!$A$4:$N$51,14,FALSE())*3,"-")</f>
        <v>21</v>
      </c>
      <c r="M64" s="28">
        <f>IFERROR(VLOOKUP(E64,Scoring!$A$4:$N$51,14,FALSE())*2,"-")</f>
        <v>8</v>
      </c>
      <c r="N64" s="28">
        <f>IFERROR(VLOOKUP(F64,Scoring!$A$4:$N$51,14,FALSE()),"-")</f>
        <v>5</v>
      </c>
      <c r="O64" s="28">
        <f>IFERROR(VLOOKUP(G64,Scoring!$A$4:$N$51,14,FALSE()),"-")</f>
        <v>6</v>
      </c>
      <c r="P64" s="29">
        <f>IFERROR(VLOOKUP(H64,Scoring!$A$4:$N$51,14,FALSE()),"-")</f>
        <v>4</v>
      </c>
      <c r="Q64" s="29">
        <f>IFERROR(VLOOKUP(I64,Scoring!$A$4:$N$51,6,FALSE()),"-")</f>
        <v>3</v>
      </c>
      <c r="R64" s="36">
        <f t="shared" si="3"/>
        <v>99</v>
      </c>
      <c r="S64">
        <f t="shared" si="4"/>
        <v>19</v>
      </c>
      <c r="T64">
        <f t="shared" si="5"/>
        <v>98.999936000000005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24</v>
      </c>
      <c r="K65" s="28">
        <f>IFERROR(VLOOKUP(C65,Scoring!$A$4:$N$51,14,FALSE())*4,"-")</f>
        <v>24</v>
      </c>
      <c r="L65" s="28">
        <f>IFERROR(VLOOKUP(D65,Scoring!$A$4:$N$51,14,FALSE())*3,"-")</f>
        <v>12</v>
      </c>
      <c r="M65" s="28">
        <f>IFERROR(VLOOKUP(E65,Scoring!$A$4:$N$51,14,FALSE())*2,"-")</f>
        <v>14</v>
      </c>
      <c r="N65" s="28">
        <f>IFERROR(VLOOKUP(F65,Scoring!$A$4:$N$51,14,FALSE()),"-")</f>
        <v>6</v>
      </c>
      <c r="O65" s="28">
        <f>IFERROR(VLOOKUP(G65,Scoring!$A$4:$N$51,14,FALSE()),"-")</f>
        <v>6</v>
      </c>
      <c r="P65" s="29">
        <f>IFERROR(VLOOKUP(H65,Scoring!$A$4:$N$51,14,FALSE()),"-")</f>
        <v>0</v>
      </c>
      <c r="Q65" s="29">
        <f>IFERROR(VLOOKUP(I65,Scoring!$A$4:$N$51,6,FALSE()),"-")</f>
        <v>3</v>
      </c>
      <c r="R65" s="36">
        <f t="shared" si="3"/>
        <v>89</v>
      </c>
      <c r="S65">
        <f t="shared" si="4"/>
        <v>71</v>
      </c>
      <c r="T65">
        <f t="shared" si="5"/>
        <v>88.999934999999994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24</v>
      </c>
      <c r="K66" s="28">
        <f>IFERROR(VLOOKUP(C66,Scoring!$A$4:$N$51,14,FALSE())*4,"-")</f>
        <v>28</v>
      </c>
      <c r="L66" s="28">
        <f>IFERROR(VLOOKUP(D66,Scoring!$A$4:$N$51,14,FALSE())*3,"-")</f>
        <v>18</v>
      </c>
      <c r="M66" s="28">
        <f>IFERROR(VLOOKUP(E66,Scoring!$A$4:$N$51,14,FALSE())*2,"-")</f>
        <v>14</v>
      </c>
      <c r="N66" s="28">
        <f>IFERROR(VLOOKUP(F66,Scoring!$A$4:$N$51,14,FALSE()),"-")</f>
        <v>3</v>
      </c>
      <c r="O66" s="28">
        <f>IFERROR(VLOOKUP(G66,Scoring!$A$4:$N$51,14,FALSE()),"-")</f>
        <v>6</v>
      </c>
      <c r="P66" s="29">
        <f>IFERROR(VLOOKUP(H66,Scoring!$A$4:$N$51,14,FALSE()),"-")</f>
        <v>2</v>
      </c>
      <c r="Q66" s="29">
        <f>IFERROR(VLOOKUP(I66,Scoring!$A$4:$N$51,6,FALSE()),"-")</f>
        <v>3.5</v>
      </c>
      <c r="R66" s="36">
        <f t="shared" si="3"/>
        <v>98.5</v>
      </c>
      <c r="S66">
        <f t="shared" si="4"/>
        <v>22</v>
      </c>
      <c r="T66">
        <f t="shared" si="5"/>
        <v>98.499933999999996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24</v>
      </c>
      <c r="K67" s="28">
        <f>IFERROR(VLOOKUP(C67,Scoring!$A$4:$N$51,14,FALSE())*4,"-")</f>
        <v>24</v>
      </c>
      <c r="L67" s="28">
        <f>IFERROR(VLOOKUP(D67,Scoring!$A$4:$N$51,14,FALSE())*3,"-")</f>
        <v>18</v>
      </c>
      <c r="M67" s="28">
        <f>IFERROR(VLOOKUP(E67,Scoring!$A$4:$N$51,14,FALSE())*2,"-")</f>
        <v>8</v>
      </c>
      <c r="N67" s="28">
        <f>IFERROR(VLOOKUP(F67,Scoring!$A$4:$N$51,14,FALSE()),"-")</f>
        <v>5</v>
      </c>
      <c r="O67" s="28">
        <f>IFERROR(VLOOKUP(G67,Scoring!$A$4:$N$51,14,FALSE()),"-")</f>
        <v>6</v>
      </c>
      <c r="P67" s="29">
        <f>IFERROR(VLOOKUP(H67,Scoring!$A$4:$N$51,14,FALSE()),"-")</f>
        <v>0</v>
      </c>
      <c r="Q67" s="29">
        <f>IFERROR(VLOOKUP(I67,Scoring!$A$4:$N$51,6,FALSE()),"-")</f>
        <v>2</v>
      </c>
      <c r="R67" s="36">
        <f t="shared" si="3"/>
        <v>87</v>
      </c>
      <c r="S67">
        <f t="shared" si="4"/>
        <v>82</v>
      </c>
      <c r="T67">
        <f t="shared" si="5"/>
        <v>86.999932999999999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42</v>
      </c>
      <c r="K68" s="28">
        <f>IFERROR(VLOOKUP(C68,Scoring!$A$4:$N$51,14,FALSE())*4,"-")</f>
        <v>16</v>
      </c>
      <c r="L68" s="28">
        <f>IFERROR(VLOOKUP(D68,Scoring!$A$4:$N$51,14,FALSE())*3,"-")</f>
        <v>18</v>
      </c>
      <c r="M68" s="28">
        <f>IFERROR(VLOOKUP(E68,Scoring!$A$4:$N$51,14,FALSE())*2,"-")</f>
        <v>8</v>
      </c>
      <c r="N68" s="28">
        <f>IFERROR(VLOOKUP(F68,Scoring!$A$4:$N$51,14,FALSE()),"-")</f>
        <v>5</v>
      </c>
      <c r="O68" s="28">
        <f>IFERROR(VLOOKUP(G68,Scoring!$A$4:$N$51,14,FALSE()),"-")</f>
        <v>3</v>
      </c>
      <c r="P68" s="29">
        <f>IFERROR(VLOOKUP(H68,Scoring!$A$4:$N$51,14,FALSE()),"-")</f>
        <v>4</v>
      </c>
      <c r="Q68" s="29">
        <f>IFERROR(VLOOKUP(I68,Scoring!$A$4:$N$51,6,FALSE()),"-")</f>
        <v>3.5</v>
      </c>
      <c r="R68" s="36">
        <f t="shared" ref="R68:R99" si="6">IF(A68="","-",SUM(J68:Q68))</f>
        <v>99.5</v>
      </c>
      <c r="S68">
        <f t="shared" ref="S68:S99" si="7">IF(A68="","",RANK(R68,$R$4:$R$119))</f>
        <v>17</v>
      </c>
      <c r="T68">
        <f t="shared" ref="T68:T99" si="8">IF(A68="",-1,R68-ROW(R68)/1000000)</f>
        <v>99.499932000000001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36</v>
      </c>
      <c r="K69" s="28">
        <f>IFERROR(VLOOKUP(C69,Scoring!$A$4:$N$51,14,FALSE())*4,"-")</f>
        <v>16</v>
      </c>
      <c r="L69" s="28">
        <f>IFERROR(VLOOKUP(D69,Scoring!$A$4:$N$51,14,FALSE())*3,"-")</f>
        <v>12</v>
      </c>
      <c r="M69" s="28">
        <f>IFERROR(VLOOKUP(E69,Scoring!$A$4:$N$51,14,FALSE())*2,"-")</f>
        <v>12</v>
      </c>
      <c r="N69" s="28">
        <f>IFERROR(VLOOKUP(F69,Scoring!$A$4:$N$51,14,FALSE()),"-")</f>
        <v>9</v>
      </c>
      <c r="O69" s="28">
        <f>IFERROR(VLOOKUP(G69,Scoring!$A$4:$N$51,14,FALSE()),"-")</f>
        <v>4</v>
      </c>
      <c r="P69" s="29">
        <f>IFERROR(VLOOKUP(H69,Scoring!$A$4:$N$51,14,FALSE()),"-")</f>
        <v>4</v>
      </c>
      <c r="Q69" s="29">
        <f>IFERROR(VLOOKUP(I69,Scoring!$A$4:$N$51,6,FALSE()),"-")</f>
        <v>2</v>
      </c>
      <c r="R69" s="36">
        <f t="shared" si="6"/>
        <v>95</v>
      </c>
      <c r="S69">
        <f t="shared" si="7"/>
        <v>36</v>
      </c>
      <c r="T69">
        <f t="shared" si="8"/>
        <v>94.999931000000004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36</v>
      </c>
      <c r="K70" s="28">
        <f>IFERROR(VLOOKUP(C70,Scoring!$A$4:$N$51,14,FALSE())*4,"-")</f>
        <v>24</v>
      </c>
      <c r="L70" s="28">
        <f>IFERROR(VLOOKUP(D70,Scoring!$A$4:$N$51,14,FALSE())*3,"-")</f>
        <v>21</v>
      </c>
      <c r="M70" s="28">
        <f>IFERROR(VLOOKUP(E70,Scoring!$A$4:$N$51,14,FALSE())*2,"-")</f>
        <v>8</v>
      </c>
      <c r="N70" s="28">
        <f>IFERROR(VLOOKUP(F70,Scoring!$A$4:$N$51,14,FALSE()),"-")</f>
        <v>6</v>
      </c>
      <c r="O70" s="28">
        <f>IFERROR(VLOOKUP(G70,Scoring!$A$4:$N$51,14,FALSE()),"-")</f>
        <v>4</v>
      </c>
      <c r="P70" s="29">
        <f>IFERROR(VLOOKUP(H70,Scoring!$A$4:$N$51,14,FALSE()),"-")</f>
        <v>0</v>
      </c>
      <c r="Q70" s="29">
        <f>IFERROR(VLOOKUP(I70,Scoring!$A$4:$N$51,6,FALSE()),"-")</f>
        <v>3</v>
      </c>
      <c r="R70" s="36">
        <f t="shared" si="6"/>
        <v>102</v>
      </c>
      <c r="S70">
        <f t="shared" si="7"/>
        <v>14</v>
      </c>
      <c r="T70">
        <f t="shared" si="8"/>
        <v>101.99993000000001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24</v>
      </c>
      <c r="K71" s="28">
        <f>IFERROR(VLOOKUP(C71,Scoring!$A$4:$N$51,14,FALSE())*4,"-")</f>
        <v>28</v>
      </c>
      <c r="L71" s="28">
        <f>IFERROR(VLOOKUP(D71,Scoring!$A$4:$N$51,14,FALSE())*3,"-")</f>
        <v>18</v>
      </c>
      <c r="M71" s="28">
        <f>IFERROR(VLOOKUP(E71,Scoring!$A$4:$N$51,14,FALSE())*2,"-")</f>
        <v>12</v>
      </c>
      <c r="N71" s="28">
        <f>IFERROR(VLOOKUP(F71,Scoring!$A$4:$N$51,14,FALSE()),"-")</f>
        <v>6</v>
      </c>
      <c r="O71" s="28">
        <f>IFERROR(VLOOKUP(G71,Scoring!$A$4:$N$51,14,FALSE()),"-")</f>
        <v>6</v>
      </c>
      <c r="P71" s="29">
        <f>IFERROR(VLOOKUP(H71,Scoring!$A$4:$N$51,14,FALSE()),"-")</f>
        <v>1</v>
      </c>
      <c r="Q71" s="29">
        <f>IFERROR(VLOOKUP(I71,Scoring!$A$4:$N$51,6,FALSE()),"-")</f>
        <v>2</v>
      </c>
      <c r="R71" s="36">
        <f t="shared" si="6"/>
        <v>97</v>
      </c>
      <c r="S71">
        <f t="shared" si="7"/>
        <v>25</v>
      </c>
      <c r="T71">
        <f t="shared" si="8"/>
        <v>96.999928999999995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24</v>
      </c>
      <c r="K72" s="28">
        <f>IFERROR(VLOOKUP(C72,Scoring!$A$4:$N$51,14,FALSE())*4,"-")</f>
        <v>24</v>
      </c>
      <c r="L72" s="28">
        <f>IFERROR(VLOOKUP(D72,Scoring!$A$4:$N$51,14,FALSE())*3,"-")</f>
        <v>21</v>
      </c>
      <c r="M72" s="28">
        <f>IFERROR(VLOOKUP(E72,Scoring!$A$4:$N$51,14,FALSE())*2,"-")</f>
        <v>12</v>
      </c>
      <c r="N72" s="28">
        <f>IFERROR(VLOOKUP(F72,Scoring!$A$4:$N$51,14,FALSE()),"-")</f>
        <v>6</v>
      </c>
      <c r="O72" s="28">
        <f>IFERROR(VLOOKUP(G72,Scoring!$A$4:$N$51,14,FALSE()),"-")</f>
        <v>4</v>
      </c>
      <c r="P72" s="29">
        <f>IFERROR(VLOOKUP(H72,Scoring!$A$4:$N$51,14,FALSE()),"-")</f>
        <v>4</v>
      </c>
      <c r="Q72" s="29">
        <f>IFERROR(VLOOKUP(I72,Scoring!$A$4:$N$51,6,FALSE()),"-")</f>
        <v>2</v>
      </c>
      <c r="R72" s="36">
        <f t="shared" si="6"/>
        <v>97</v>
      </c>
      <c r="S72">
        <f t="shared" si="7"/>
        <v>25</v>
      </c>
      <c r="T72">
        <f t="shared" si="8"/>
        <v>96.999927999999997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42</v>
      </c>
      <c r="K73" s="28">
        <f>IFERROR(VLOOKUP(C73,Scoring!$A$4:$N$51,14,FALSE())*4,"-")</f>
        <v>16</v>
      </c>
      <c r="L73" s="28">
        <f>IFERROR(VLOOKUP(D73,Scoring!$A$4:$N$51,14,FALSE())*3,"-")</f>
        <v>6</v>
      </c>
      <c r="M73" s="28">
        <f>IFERROR(VLOOKUP(E73,Scoring!$A$4:$N$51,14,FALSE())*2,"-")</f>
        <v>12</v>
      </c>
      <c r="N73" s="28">
        <f>IFERROR(VLOOKUP(F73,Scoring!$A$4:$N$51,14,FALSE()),"-")</f>
        <v>9</v>
      </c>
      <c r="O73" s="28">
        <f>IFERROR(VLOOKUP(G73,Scoring!$A$4:$N$51,14,FALSE()),"-")</f>
        <v>4</v>
      </c>
      <c r="P73" s="29">
        <f>IFERROR(VLOOKUP(H73,Scoring!$A$4:$N$51,14,FALSE()),"-")</f>
        <v>4</v>
      </c>
      <c r="Q73" s="29">
        <f>IFERROR(VLOOKUP(I73,Scoring!$A$4:$N$51,6,FALSE()),"-")</f>
        <v>3</v>
      </c>
      <c r="R73" s="36">
        <f t="shared" si="6"/>
        <v>96</v>
      </c>
      <c r="S73">
        <f t="shared" si="7"/>
        <v>32</v>
      </c>
      <c r="T73">
        <f t="shared" si="8"/>
        <v>95.999927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24</v>
      </c>
      <c r="K74" s="28">
        <f>IFERROR(VLOOKUP(C74,Scoring!$A$4:$N$51,14,FALSE())*4,"-")</f>
        <v>24</v>
      </c>
      <c r="L74" s="28">
        <f>IFERROR(VLOOKUP(D74,Scoring!$A$4:$N$51,14,FALSE())*3,"-")</f>
        <v>18</v>
      </c>
      <c r="M74" s="28">
        <f>IFERROR(VLOOKUP(E74,Scoring!$A$4:$N$51,14,FALSE())*2,"-")</f>
        <v>8</v>
      </c>
      <c r="N74" s="28">
        <f>IFERROR(VLOOKUP(F74,Scoring!$A$4:$N$51,14,FALSE()),"-")</f>
        <v>7</v>
      </c>
      <c r="O74" s="28">
        <f>IFERROR(VLOOKUP(G74,Scoring!$A$4:$N$51,14,FALSE()),"-")</f>
        <v>6</v>
      </c>
      <c r="P74" s="29">
        <f>IFERROR(VLOOKUP(H74,Scoring!$A$4:$N$51,14,FALSE()),"-")</f>
        <v>4</v>
      </c>
      <c r="Q74" s="29">
        <f>IFERROR(VLOOKUP(I74,Scoring!$A$4:$N$51,6,FALSE()),"-")</f>
        <v>2</v>
      </c>
      <c r="R74" s="36">
        <f t="shared" si="6"/>
        <v>93</v>
      </c>
      <c r="S74">
        <f t="shared" si="7"/>
        <v>48</v>
      </c>
      <c r="T74">
        <f t="shared" si="8"/>
        <v>92.999926000000002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36</v>
      </c>
      <c r="K75" s="28">
        <f>IFERROR(VLOOKUP(C75,Scoring!$A$4:$N$51,14,FALSE())*4,"-")</f>
        <v>16</v>
      </c>
      <c r="L75" s="28">
        <f>IFERROR(VLOOKUP(D75,Scoring!$A$4:$N$51,14,FALSE())*3,"-")</f>
        <v>21</v>
      </c>
      <c r="M75" s="28">
        <f>IFERROR(VLOOKUP(E75,Scoring!$A$4:$N$51,14,FALSE())*2,"-")</f>
        <v>8</v>
      </c>
      <c r="N75" s="28">
        <f>IFERROR(VLOOKUP(F75,Scoring!$A$4:$N$51,14,FALSE()),"-")</f>
        <v>3</v>
      </c>
      <c r="O75" s="28">
        <f>IFERROR(VLOOKUP(G75,Scoring!$A$4:$N$51,14,FALSE()),"-")</f>
        <v>6</v>
      </c>
      <c r="P75" s="29">
        <f>IFERROR(VLOOKUP(H75,Scoring!$A$4:$N$51,14,FALSE()),"-")</f>
        <v>1</v>
      </c>
      <c r="Q75" s="29">
        <f>IFERROR(VLOOKUP(I75,Scoring!$A$4:$N$51,6,FALSE()),"-")</f>
        <v>2</v>
      </c>
      <c r="R75" s="36">
        <f t="shared" si="6"/>
        <v>93</v>
      </c>
      <c r="S75">
        <f t="shared" si="7"/>
        <v>48</v>
      </c>
      <c r="T75">
        <f t="shared" si="8"/>
        <v>92.999925000000005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24</v>
      </c>
      <c r="K76" s="28">
        <f>IFERROR(VLOOKUP(C76,Scoring!$A$4:$N$51,14,FALSE())*4,"-")</f>
        <v>16</v>
      </c>
      <c r="L76" s="28">
        <f>IFERROR(VLOOKUP(D76,Scoring!$A$4:$N$51,14,FALSE())*3,"-")</f>
        <v>18</v>
      </c>
      <c r="M76" s="28">
        <f>IFERROR(VLOOKUP(E76,Scoring!$A$4:$N$51,14,FALSE())*2,"-")</f>
        <v>12</v>
      </c>
      <c r="N76" s="28">
        <f>IFERROR(VLOOKUP(F76,Scoring!$A$4:$N$51,14,FALSE()),"-")</f>
        <v>9</v>
      </c>
      <c r="O76" s="28">
        <f>IFERROR(VLOOKUP(G76,Scoring!$A$4:$N$51,14,FALSE()),"-")</f>
        <v>4</v>
      </c>
      <c r="P76" s="29">
        <f>IFERROR(VLOOKUP(H76,Scoring!$A$4:$N$51,14,FALSE()),"-")</f>
        <v>4</v>
      </c>
      <c r="Q76" s="29">
        <f>IFERROR(VLOOKUP(I76,Scoring!$A$4:$N$51,6,FALSE()),"-")</f>
        <v>3</v>
      </c>
      <c r="R76" s="36">
        <f t="shared" si="6"/>
        <v>90</v>
      </c>
      <c r="S76">
        <f t="shared" si="7"/>
        <v>70</v>
      </c>
      <c r="T76">
        <f t="shared" si="8"/>
        <v>89.999923999999993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24</v>
      </c>
      <c r="K77" s="28">
        <f>IFERROR(VLOOKUP(C77,Scoring!$A$4:$N$51,14,FALSE())*4,"-")</f>
        <v>24</v>
      </c>
      <c r="L77" s="28">
        <f>IFERROR(VLOOKUP(D77,Scoring!$A$4:$N$51,14,FALSE())*3,"-")</f>
        <v>12</v>
      </c>
      <c r="M77" s="28">
        <f>IFERROR(VLOOKUP(E77,Scoring!$A$4:$N$51,14,FALSE())*2,"-")</f>
        <v>8</v>
      </c>
      <c r="N77" s="28">
        <f>IFERROR(VLOOKUP(F77,Scoring!$A$4:$N$51,14,FALSE()),"-")</f>
        <v>9</v>
      </c>
      <c r="O77" s="28">
        <f>IFERROR(VLOOKUP(G77,Scoring!$A$4:$N$51,14,FALSE()),"-")</f>
        <v>4</v>
      </c>
      <c r="P77" s="29">
        <f>IFERROR(VLOOKUP(H77,Scoring!$A$4:$N$51,14,FALSE()),"-")</f>
        <v>4</v>
      </c>
      <c r="Q77" s="29">
        <f>IFERROR(VLOOKUP(I77,Scoring!$A$4:$N$51,6,FALSE()),"-")</f>
        <v>2</v>
      </c>
      <c r="R77" s="36">
        <f t="shared" si="6"/>
        <v>87</v>
      </c>
      <c r="S77">
        <f t="shared" si="7"/>
        <v>82</v>
      </c>
      <c r="T77">
        <f t="shared" si="8"/>
        <v>86.999922999999995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24</v>
      </c>
      <c r="K78" s="28">
        <f>IFERROR(VLOOKUP(C78,Scoring!$A$4:$N$51,14,FALSE())*4,"-")</f>
        <v>16</v>
      </c>
      <c r="L78" s="28">
        <f>IFERROR(VLOOKUP(D78,Scoring!$A$4:$N$51,14,FALSE())*3,"-")</f>
        <v>18</v>
      </c>
      <c r="M78" s="28">
        <f>IFERROR(VLOOKUP(E78,Scoring!$A$4:$N$51,14,FALSE())*2,"-")</f>
        <v>12</v>
      </c>
      <c r="N78" s="28">
        <f>IFERROR(VLOOKUP(F78,Scoring!$A$4:$N$51,14,FALSE()),"-")</f>
        <v>7</v>
      </c>
      <c r="O78" s="28">
        <f>IFERROR(VLOOKUP(G78,Scoring!$A$4:$N$51,14,FALSE()),"-")</f>
        <v>6</v>
      </c>
      <c r="P78" s="29">
        <f>IFERROR(VLOOKUP(H78,Scoring!$A$4:$N$51,14,FALSE()),"-")</f>
        <v>4</v>
      </c>
      <c r="Q78" s="29">
        <f>IFERROR(VLOOKUP(I78,Scoring!$A$4:$N$51,6,FALSE()),"-")</f>
        <v>2</v>
      </c>
      <c r="R78" s="36">
        <f t="shared" si="6"/>
        <v>89</v>
      </c>
      <c r="S78">
        <f t="shared" si="7"/>
        <v>71</v>
      </c>
      <c r="T78">
        <f t="shared" si="8"/>
        <v>88.999921999999998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24</v>
      </c>
      <c r="K79" s="28">
        <f>IFERROR(VLOOKUP(C79,Scoring!$A$4:$N$51,14,FALSE())*4,"-")</f>
        <v>16</v>
      </c>
      <c r="L79" s="28">
        <f>IFERROR(VLOOKUP(D79,Scoring!$A$4:$N$51,14,FALSE())*3,"-")</f>
        <v>21</v>
      </c>
      <c r="M79" s="28">
        <f>IFERROR(VLOOKUP(E79,Scoring!$A$4:$N$51,14,FALSE())*2,"-")</f>
        <v>12</v>
      </c>
      <c r="N79" s="28">
        <f>IFERROR(VLOOKUP(F79,Scoring!$A$4:$N$51,14,FALSE()),"-")</f>
        <v>4</v>
      </c>
      <c r="O79" s="28">
        <f>IFERROR(VLOOKUP(G79,Scoring!$A$4:$N$51,14,FALSE()),"-")</f>
        <v>4</v>
      </c>
      <c r="P79" s="29">
        <f>IFERROR(VLOOKUP(H79,Scoring!$A$4:$N$51,14,FALSE()),"-")</f>
        <v>4</v>
      </c>
      <c r="Q79" s="29">
        <f>IFERROR(VLOOKUP(I79,Scoring!$A$4:$N$51,6,FALSE()),"-")</f>
        <v>3</v>
      </c>
      <c r="R79" s="36">
        <f t="shared" si="6"/>
        <v>88</v>
      </c>
      <c r="S79">
        <f t="shared" si="7"/>
        <v>77</v>
      </c>
      <c r="T79">
        <f t="shared" si="8"/>
        <v>87.999921000000001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24</v>
      </c>
      <c r="K80" s="28">
        <f>IFERROR(VLOOKUP(C80,Scoring!$A$4:$N$51,14,FALSE())*4,"-")</f>
        <v>28</v>
      </c>
      <c r="L80" s="28">
        <f>IFERROR(VLOOKUP(D80,Scoring!$A$4:$N$51,14,FALSE())*3,"-")</f>
        <v>18</v>
      </c>
      <c r="M80" s="28">
        <f>IFERROR(VLOOKUP(E80,Scoring!$A$4:$N$51,14,FALSE())*2,"-")</f>
        <v>8</v>
      </c>
      <c r="N80" s="28">
        <f>IFERROR(VLOOKUP(F80,Scoring!$A$4:$N$51,14,FALSE()),"-")</f>
        <v>7</v>
      </c>
      <c r="O80" s="28">
        <f>IFERROR(VLOOKUP(G80,Scoring!$A$4:$N$51,14,FALSE()),"-")</f>
        <v>4</v>
      </c>
      <c r="P80" s="29">
        <f>IFERROR(VLOOKUP(H80,Scoring!$A$4:$N$51,14,FALSE()),"-")</f>
        <v>4</v>
      </c>
      <c r="Q80" s="29">
        <f>IFERROR(VLOOKUP(I80,Scoring!$A$4:$N$51,6,FALSE()),"-")</f>
        <v>2</v>
      </c>
      <c r="R80" s="36">
        <f t="shared" si="6"/>
        <v>95</v>
      </c>
      <c r="S80">
        <f t="shared" si="7"/>
        <v>36</v>
      </c>
      <c r="T80">
        <f t="shared" si="8"/>
        <v>94.999920000000003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36</v>
      </c>
      <c r="K81" s="28">
        <f>IFERROR(VLOOKUP(C81,Scoring!$A$4:$N$51,14,FALSE())*4,"-")</f>
        <v>16</v>
      </c>
      <c r="L81" s="28">
        <f>IFERROR(VLOOKUP(D81,Scoring!$A$4:$N$51,14,FALSE())*3,"-")</f>
        <v>12</v>
      </c>
      <c r="M81" s="28">
        <f>IFERROR(VLOOKUP(E81,Scoring!$A$4:$N$51,14,FALSE())*2,"-")</f>
        <v>8</v>
      </c>
      <c r="N81" s="28">
        <f>IFERROR(VLOOKUP(F81,Scoring!$A$4:$N$51,14,FALSE()),"-")</f>
        <v>6</v>
      </c>
      <c r="O81" s="28">
        <f>IFERROR(VLOOKUP(G81,Scoring!$A$4:$N$51,14,FALSE()),"-")</f>
        <v>6</v>
      </c>
      <c r="P81" s="29">
        <f>IFERROR(VLOOKUP(H81,Scoring!$A$4:$N$51,14,FALSE()),"-")</f>
        <v>1</v>
      </c>
      <c r="Q81" s="29">
        <f>IFERROR(VLOOKUP(I81,Scoring!$A$4:$N$51,6,FALSE()),"-")</f>
        <v>3</v>
      </c>
      <c r="R81" s="36">
        <f t="shared" si="6"/>
        <v>88</v>
      </c>
      <c r="S81">
        <f t="shared" si="7"/>
        <v>77</v>
      </c>
      <c r="T81">
        <f t="shared" si="8"/>
        <v>87.999919000000006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24</v>
      </c>
      <c r="K82" s="28">
        <f>IFERROR(VLOOKUP(C82,Scoring!$A$4:$N$51,14,FALSE())*4,"-")</f>
        <v>24</v>
      </c>
      <c r="L82" s="28">
        <f>IFERROR(VLOOKUP(D82,Scoring!$A$4:$N$51,14,FALSE())*3,"-")</f>
        <v>18</v>
      </c>
      <c r="M82" s="28">
        <f>IFERROR(VLOOKUP(E82,Scoring!$A$4:$N$51,14,FALSE())*2,"-")</f>
        <v>8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84</v>
      </c>
      <c r="S82">
        <f t="shared" si="7"/>
        <v>94</v>
      </c>
      <c r="T82">
        <f t="shared" si="8"/>
        <v>83.999917999999994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24</v>
      </c>
      <c r="K83" s="28">
        <f>IFERROR(VLOOKUP(C83,Scoring!$A$4:$N$51,14,FALSE())*4,"-")</f>
        <v>24</v>
      </c>
      <c r="L83" s="28">
        <f>IFERROR(VLOOKUP(D83,Scoring!$A$4:$N$51,14,FALSE())*3,"-")</f>
        <v>12</v>
      </c>
      <c r="M83" s="28">
        <f>IFERROR(VLOOKUP(E83,Scoring!$A$4:$N$51,14,FALSE())*2,"-")</f>
        <v>8</v>
      </c>
      <c r="N83" s="28">
        <f>IFERROR(VLOOKUP(F83,Scoring!$A$4:$N$51,14,FALSE()),"-")</f>
        <v>3</v>
      </c>
      <c r="O83" s="28">
        <f>IFERROR(VLOOKUP(G83,Scoring!$A$4:$N$51,14,FALSE()),"-")</f>
        <v>6</v>
      </c>
      <c r="P83" s="29">
        <f>IFERROR(VLOOKUP(H83,Scoring!$A$4:$N$51,14,FALSE()),"-")</f>
        <v>4</v>
      </c>
      <c r="Q83" s="29">
        <f>IFERROR(VLOOKUP(I83,Scoring!$A$4:$N$51,6,FALSE()),"-")</f>
        <v>3</v>
      </c>
      <c r="R83" s="36">
        <f t="shared" si="6"/>
        <v>84</v>
      </c>
      <c r="S83">
        <f t="shared" si="7"/>
        <v>94</v>
      </c>
      <c r="T83">
        <f t="shared" si="8"/>
        <v>83.999916999999996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24</v>
      </c>
      <c r="K84" s="28">
        <f>IFERROR(VLOOKUP(C84,Scoring!$A$4:$N$51,14,FALSE())*4,"-")</f>
        <v>24</v>
      </c>
      <c r="L84" s="28">
        <f>IFERROR(VLOOKUP(D84,Scoring!$A$4:$N$51,14,FALSE())*3,"-")</f>
        <v>18</v>
      </c>
      <c r="M84" s="28">
        <f>IFERROR(VLOOKUP(E84,Scoring!$A$4:$N$51,14,FALSE())*2,"-")</f>
        <v>8</v>
      </c>
      <c r="N84" s="28">
        <f>IFERROR(VLOOKUP(F84,Scoring!$A$4:$N$51,14,FALSE()),"-")</f>
        <v>6</v>
      </c>
      <c r="O84" s="28">
        <f>IFERROR(VLOOKUP(G84,Scoring!$A$4:$N$51,14,FALSE()),"-")</f>
        <v>4</v>
      </c>
      <c r="P84" s="29">
        <f>IFERROR(VLOOKUP(H84,Scoring!$A$4:$N$51,14,FALSE()),"-")</f>
        <v>1</v>
      </c>
      <c r="Q84" s="29">
        <f>IFERROR(VLOOKUP(I84,Scoring!$A$4:$N$51,6,FALSE()),"-")</f>
        <v>2</v>
      </c>
      <c r="R84" s="36">
        <f t="shared" si="6"/>
        <v>87</v>
      </c>
      <c r="S84">
        <f t="shared" si="7"/>
        <v>82</v>
      </c>
      <c r="T84">
        <f t="shared" si="8"/>
        <v>86.999915999999999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24</v>
      </c>
      <c r="K85" s="28">
        <f>IFERROR(VLOOKUP(C85,Scoring!$A$4:$N$51,14,FALSE())*4,"-")</f>
        <v>16</v>
      </c>
      <c r="L85" s="28">
        <f>IFERROR(VLOOKUP(D85,Scoring!$A$4:$N$51,14,FALSE())*3,"-")</f>
        <v>18</v>
      </c>
      <c r="M85" s="28">
        <f>IFERROR(VLOOKUP(E85,Scoring!$A$4:$N$51,14,FALSE())*2,"-")</f>
        <v>14</v>
      </c>
      <c r="N85" s="28">
        <f>IFERROR(VLOOKUP(F85,Scoring!$A$4:$N$51,14,FALSE()),"-")</f>
        <v>3</v>
      </c>
      <c r="O85" s="28">
        <f>IFERROR(VLOOKUP(G85,Scoring!$A$4:$N$51,14,FALSE()),"-")</f>
        <v>1</v>
      </c>
      <c r="P85" s="29">
        <f>IFERROR(VLOOKUP(H85,Scoring!$A$4:$N$51,14,FALSE()),"-")</f>
        <v>4</v>
      </c>
      <c r="Q85" s="29">
        <f>IFERROR(VLOOKUP(I85,Scoring!$A$4:$N$51,6,FALSE()),"-")</f>
        <v>2</v>
      </c>
      <c r="R85" s="36">
        <f t="shared" si="6"/>
        <v>82</v>
      </c>
      <c r="S85">
        <f t="shared" si="7"/>
        <v>100</v>
      </c>
      <c r="T85">
        <f t="shared" si="8"/>
        <v>81.999915000000001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24</v>
      </c>
      <c r="K86" s="28">
        <f>IFERROR(VLOOKUP(C86,Scoring!$A$4:$N$51,14,FALSE())*4,"-")</f>
        <v>24</v>
      </c>
      <c r="L86" s="28">
        <f>IFERROR(VLOOKUP(D86,Scoring!$A$4:$N$51,14,FALSE())*3,"-")</f>
        <v>18</v>
      </c>
      <c r="M86" s="28">
        <f>IFERROR(VLOOKUP(E86,Scoring!$A$4:$N$51,14,FALSE())*2,"-")</f>
        <v>8</v>
      </c>
      <c r="N86" s="28">
        <f>IFERROR(VLOOKUP(F86,Scoring!$A$4:$N$51,14,FALSE()),"-")</f>
        <v>6</v>
      </c>
      <c r="O86" s="28">
        <f>IFERROR(VLOOKUP(G86,Scoring!$A$4:$N$51,14,FALSE()),"-")</f>
        <v>1</v>
      </c>
      <c r="P86" s="29">
        <f>IFERROR(VLOOKUP(H86,Scoring!$A$4:$N$51,14,FALSE()),"-")</f>
        <v>4</v>
      </c>
      <c r="Q86" s="29">
        <f>IFERROR(VLOOKUP(I86,Scoring!$A$4:$N$51,6,FALSE()),"-")</f>
        <v>2</v>
      </c>
      <c r="R86" s="36">
        <f t="shared" si="6"/>
        <v>87</v>
      </c>
      <c r="S86">
        <f t="shared" si="7"/>
        <v>82</v>
      </c>
      <c r="T86">
        <f t="shared" si="8"/>
        <v>86.999914000000004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36</v>
      </c>
      <c r="K87" s="28">
        <f>IFERROR(VLOOKUP(C87,Scoring!$A$4:$N$51,14,FALSE())*4,"-")</f>
        <v>24</v>
      </c>
      <c r="L87" s="28">
        <f>IFERROR(VLOOKUP(D87,Scoring!$A$4:$N$51,14,FALSE())*3,"-")</f>
        <v>12</v>
      </c>
      <c r="M87" s="28">
        <f>IFERROR(VLOOKUP(E87,Scoring!$A$4:$N$51,14,FALSE())*2,"-")</f>
        <v>14</v>
      </c>
      <c r="N87" s="28">
        <f>IFERROR(VLOOKUP(F87,Scoring!$A$4:$N$51,14,FALSE()),"-")</f>
        <v>9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3</v>
      </c>
      <c r="R87" s="36">
        <f t="shared" si="6"/>
        <v>103</v>
      </c>
      <c r="S87">
        <f t="shared" si="7"/>
        <v>10</v>
      </c>
      <c r="T87">
        <f t="shared" si="8"/>
        <v>102.99991300000001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36</v>
      </c>
      <c r="K88" s="28">
        <f>IFERROR(VLOOKUP(C88,Scoring!$A$4:$N$51,14,FALSE())*4,"-")</f>
        <v>28</v>
      </c>
      <c r="L88" s="28">
        <f>IFERROR(VLOOKUP(D88,Scoring!$A$4:$N$51,14,FALSE())*3,"-")</f>
        <v>12</v>
      </c>
      <c r="M88" s="28">
        <f>IFERROR(VLOOKUP(E88,Scoring!$A$4:$N$51,14,FALSE())*2,"-")</f>
        <v>12</v>
      </c>
      <c r="N88" s="28">
        <f>IFERROR(VLOOKUP(F88,Scoring!$A$4:$N$51,14,FALSE()),"-")</f>
        <v>3</v>
      </c>
      <c r="O88" s="28">
        <f>IFERROR(VLOOKUP(G88,Scoring!$A$4:$N$51,14,FALSE()),"-")</f>
        <v>6</v>
      </c>
      <c r="P88" s="29">
        <f>IFERROR(VLOOKUP(H88,Scoring!$A$4:$N$51,14,FALSE()),"-")</f>
        <v>4</v>
      </c>
      <c r="Q88" s="29">
        <f>IFERROR(VLOOKUP(I88,Scoring!$A$4:$N$51,6,FALSE()),"-")</f>
        <v>3.5</v>
      </c>
      <c r="R88" s="36">
        <f t="shared" si="6"/>
        <v>104.5</v>
      </c>
      <c r="S88">
        <f t="shared" si="7"/>
        <v>7</v>
      </c>
      <c r="T88">
        <f t="shared" si="8"/>
        <v>104.49991199999999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36</v>
      </c>
      <c r="K89" s="28">
        <f>IFERROR(VLOOKUP(C89,Scoring!$A$4:$N$51,14,FALSE())*4,"-")</f>
        <v>28</v>
      </c>
      <c r="L89" s="28">
        <f>IFERROR(VLOOKUP(D89,Scoring!$A$4:$N$51,14,FALSE())*3,"-")</f>
        <v>12</v>
      </c>
      <c r="M89" s="28">
        <f>IFERROR(VLOOKUP(E89,Scoring!$A$4:$N$51,14,FALSE())*2,"-")</f>
        <v>8</v>
      </c>
      <c r="N89" s="28">
        <f>IFERROR(VLOOKUP(F89,Scoring!$A$4:$N$51,14,FALSE()),"-")</f>
        <v>3</v>
      </c>
      <c r="O89" s="28">
        <f>IFERROR(VLOOKUP(G89,Scoring!$A$4:$N$51,14,FALSE()),"-")</f>
        <v>4</v>
      </c>
      <c r="P89" s="29">
        <f>IFERROR(VLOOKUP(H89,Scoring!$A$4:$N$51,14,FALSE()),"-")</f>
        <v>4</v>
      </c>
      <c r="Q89" s="29">
        <f>IFERROR(VLOOKUP(I89,Scoring!$A$4:$N$51,6,FALSE()),"-")</f>
        <v>2</v>
      </c>
      <c r="R89" s="36">
        <f t="shared" si="6"/>
        <v>97</v>
      </c>
      <c r="S89">
        <f t="shared" si="7"/>
        <v>25</v>
      </c>
      <c r="T89">
        <f t="shared" si="8"/>
        <v>96.999910999999997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36</v>
      </c>
      <c r="K90" s="28">
        <f>IFERROR(VLOOKUP(C90,Scoring!$A$4:$N$51,14,FALSE())*4,"-")</f>
        <v>16</v>
      </c>
      <c r="L90" s="28">
        <f>IFERROR(VLOOKUP(D90,Scoring!$A$4:$N$51,14,FALSE())*3,"-")</f>
        <v>18</v>
      </c>
      <c r="M90" s="28">
        <f>IFERROR(VLOOKUP(E90,Scoring!$A$4:$N$51,14,FALSE())*2,"-")</f>
        <v>8</v>
      </c>
      <c r="N90" s="28">
        <f>IFERROR(VLOOKUP(F90,Scoring!$A$4:$N$51,14,FALSE()),"-")</f>
        <v>2</v>
      </c>
      <c r="O90" s="28">
        <f>IFERROR(VLOOKUP(G90,Scoring!$A$4:$N$51,14,FALSE()),"-")</f>
        <v>6</v>
      </c>
      <c r="P90" s="29">
        <f>IFERROR(VLOOKUP(H90,Scoring!$A$4:$N$51,14,FALSE()),"-")</f>
        <v>2</v>
      </c>
      <c r="Q90" s="29">
        <f>IFERROR(VLOOKUP(I90,Scoring!$A$4:$N$51,6,FALSE()),"-")</f>
        <v>3</v>
      </c>
      <c r="R90" s="36">
        <f t="shared" si="6"/>
        <v>91</v>
      </c>
      <c r="S90">
        <f t="shared" si="7"/>
        <v>62</v>
      </c>
      <c r="T90">
        <f t="shared" si="8"/>
        <v>90.99991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24</v>
      </c>
      <c r="K91" s="28">
        <f>IFERROR(VLOOKUP(C91,Scoring!$A$4:$N$51,14,FALSE())*4,"-")</f>
        <v>24</v>
      </c>
      <c r="L91" s="28">
        <f>IFERROR(VLOOKUP(D91,Scoring!$A$4:$N$51,14,FALSE())*3,"-")</f>
        <v>12</v>
      </c>
      <c r="M91" s="28">
        <f>IFERROR(VLOOKUP(E91,Scoring!$A$4:$N$51,14,FALSE())*2,"-")</f>
        <v>14</v>
      </c>
      <c r="N91" s="28">
        <f>IFERROR(VLOOKUP(F91,Scoring!$A$4:$N$51,14,FALSE()),"-")</f>
        <v>6</v>
      </c>
      <c r="O91" s="28">
        <f>IFERROR(VLOOKUP(G91,Scoring!$A$4:$N$51,14,FALSE()),"-")</f>
        <v>6</v>
      </c>
      <c r="P91" s="29">
        <f>IFERROR(VLOOKUP(H91,Scoring!$A$4:$N$51,14,FALSE()),"-")</f>
        <v>4</v>
      </c>
      <c r="Q91" s="29">
        <f>IFERROR(VLOOKUP(I91,Scoring!$A$4:$N$51,6,FALSE()),"-")</f>
        <v>2</v>
      </c>
      <c r="R91" s="36">
        <f t="shared" si="6"/>
        <v>92</v>
      </c>
      <c r="S91">
        <f t="shared" si="7"/>
        <v>56</v>
      </c>
      <c r="T91">
        <f t="shared" si="8"/>
        <v>91.999909000000002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24</v>
      </c>
      <c r="K92" s="28">
        <f>IFERROR(VLOOKUP(C92,Scoring!$A$4:$N$51,14,FALSE())*4,"-")</f>
        <v>24</v>
      </c>
      <c r="L92" s="28">
        <f>IFERROR(VLOOKUP(D92,Scoring!$A$4:$N$51,14,FALSE())*3,"-")</f>
        <v>12</v>
      </c>
      <c r="M92" s="28">
        <f>IFERROR(VLOOKUP(E92,Scoring!$A$4:$N$51,14,FALSE())*2,"-")</f>
        <v>14</v>
      </c>
      <c r="N92" s="28">
        <f>IFERROR(VLOOKUP(F92,Scoring!$A$4:$N$51,14,FALSE()),"-")</f>
        <v>9</v>
      </c>
      <c r="O92" s="28">
        <f>IFERROR(VLOOKUP(G92,Scoring!$A$4:$N$51,14,FALSE()),"-")</f>
        <v>6</v>
      </c>
      <c r="P92" s="29">
        <f>IFERROR(VLOOKUP(H92,Scoring!$A$4:$N$51,14,FALSE()),"-")</f>
        <v>4</v>
      </c>
      <c r="Q92" s="29">
        <f>IFERROR(VLOOKUP(I92,Scoring!$A$4:$N$51,6,FALSE()),"-")</f>
        <v>3</v>
      </c>
      <c r="R92" s="36">
        <f t="shared" si="6"/>
        <v>96</v>
      </c>
      <c r="S92">
        <f t="shared" si="7"/>
        <v>32</v>
      </c>
      <c r="T92">
        <f t="shared" si="8"/>
        <v>95.999908000000005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24</v>
      </c>
      <c r="K93" s="28">
        <f>IFERROR(VLOOKUP(C93,Scoring!$A$4:$N$51,14,FALSE())*4,"-")</f>
        <v>16</v>
      </c>
      <c r="L93" s="28">
        <f>IFERROR(VLOOKUP(D93,Scoring!$A$4:$N$51,14,FALSE())*3,"-")</f>
        <v>18</v>
      </c>
      <c r="M93" s="28">
        <f>IFERROR(VLOOKUP(E93,Scoring!$A$4:$N$51,14,FALSE())*2,"-")</f>
        <v>14</v>
      </c>
      <c r="N93" s="28">
        <f>IFERROR(VLOOKUP(F93,Scoring!$A$4:$N$51,14,FALSE()),"-")</f>
        <v>9</v>
      </c>
      <c r="O93" s="28">
        <f>IFERROR(VLOOKUP(G93,Scoring!$A$4:$N$51,14,FALSE()),"-")</f>
        <v>6</v>
      </c>
      <c r="P93" s="29">
        <f>IFERROR(VLOOKUP(H93,Scoring!$A$4:$N$51,14,FALSE()),"-")</f>
        <v>2</v>
      </c>
      <c r="Q93" s="29">
        <f>IFERROR(VLOOKUP(I93,Scoring!$A$4:$N$51,6,FALSE()),"-")</f>
        <v>2</v>
      </c>
      <c r="R93" s="36">
        <f t="shared" si="6"/>
        <v>91</v>
      </c>
      <c r="S93">
        <f t="shared" si="7"/>
        <v>62</v>
      </c>
      <c r="T93">
        <f t="shared" si="8"/>
        <v>90.999906999999993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24</v>
      </c>
      <c r="K94" s="28">
        <f>IFERROR(VLOOKUP(C94,Scoring!$A$4:$N$51,14,FALSE())*4,"-")</f>
        <v>24</v>
      </c>
      <c r="L94" s="28">
        <f>IFERROR(VLOOKUP(D94,Scoring!$A$4:$N$51,14,FALSE())*3,"-")</f>
        <v>12</v>
      </c>
      <c r="M94" s="28">
        <f>IFERROR(VLOOKUP(E94,Scoring!$A$4:$N$51,14,FALSE())*2,"-")</f>
        <v>8</v>
      </c>
      <c r="N94" s="28">
        <f>IFERROR(VLOOKUP(F94,Scoring!$A$4:$N$51,14,FALSE()),"-")</f>
        <v>9</v>
      </c>
      <c r="O94" s="28">
        <f>IFERROR(VLOOKUP(G94,Scoring!$A$4:$N$51,14,FALSE()),"-")</f>
        <v>6</v>
      </c>
      <c r="P94" s="29">
        <f>IFERROR(VLOOKUP(H94,Scoring!$A$4:$N$51,14,FALSE()),"-")</f>
        <v>4</v>
      </c>
      <c r="Q94" s="29">
        <f>IFERROR(VLOOKUP(I94,Scoring!$A$4:$N$51,6,FALSE()),"-")</f>
        <v>3.5</v>
      </c>
      <c r="R94" s="36">
        <f t="shared" si="6"/>
        <v>90.5</v>
      </c>
      <c r="S94">
        <f t="shared" si="7"/>
        <v>68</v>
      </c>
      <c r="T94">
        <f t="shared" si="8"/>
        <v>90.499905999999996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36</v>
      </c>
      <c r="K95" s="28">
        <f>IFERROR(VLOOKUP(C95,Scoring!$A$4:$N$51,14,FALSE())*4,"-")</f>
        <v>24</v>
      </c>
      <c r="L95" s="28">
        <f>IFERROR(VLOOKUP(D95,Scoring!$A$4:$N$51,14,FALSE())*3,"-")</f>
        <v>12</v>
      </c>
      <c r="M95" s="28">
        <f>IFERROR(VLOOKUP(E95,Scoring!$A$4:$N$51,14,FALSE())*2,"-")</f>
        <v>8</v>
      </c>
      <c r="N95" s="28">
        <f>IFERROR(VLOOKUP(F95,Scoring!$A$4:$N$51,14,FALSE()),"-")</f>
        <v>9</v>
      </c>
      <c r="O95" s="28">
        <f>IFERROR(VLOOKUP(G95,Scoring!$A$4:$N$51,14,FALSE()),"-")</f>
        <v>6</v>
      </c>
      <c r="P95" s="29">
        <f>IFERROR(VLOOKUP(H95,Scoring!$A$4:$N$51,14,FALSE()),"-")</f>
        <v>4</v>
      </c>
      <c r="Q95" s="29">
        <f>IFERROR(VLOOKUP(I95,Scoring!$A$4:$N$51,6,FALSE()),"-")</f>
        <v>2</v>
      </c>
      <c r="R95" s="36">
        <f t="shared" si="6"/>
        <v>101</v>
      </c>
      <c r="S95">
        <f t="shared" si="7"/>
        <v>15</v>
      </c>
      <c r="T95">
        <f t="shared" si="8"/>
        <v>100.999905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36</v>
      </c>
      <c r="K96" s="28">
        <f>IFERROR(VLOOKUP(C96,Scoring!$A$4:$N$51,14,FALSE())*4,"-")</f>
        <v>16</v>
      </c>
      <c r="L96" s="28">
        <f>IFERROR(VLOOKUP(D96,Scoring!$A$4:$N$51,14,FALSE())*3,"-")</f>
        <v>21</v>
      </c>
      <c r="M96" s="28">
        <f>IFERROR(VLOOKUP(E96,Scoring!$A$4:$N$51,14,FALSE())*2,"-")</f>
        <v>8</v>
      </c>
      <c r="N96" s="28">
        <f>IFERROR(VLOOKUP(F96,Scoring!$A$4:$N$51,14,FALSE()),"-")</f>
        <v>6</v>
      </c>
      <c r="O96" s="28">
        <f>IFERROR(VLOOKUP(G96,Scoring!$A$4:$N$51,14,FALSE()),"-")</f>
        <v>6</v>
      </c>
      <c r="P96" s="29">
        <f>IFERROR(VLOOKUP(H96,Scoring!$A$4:$N$51,14,FALSE()),"-")</f>
        <v>4</v>
      </c>
      <c r="Q96" s="29">
        <f>IFERROR(VLOOKUP(I96,Scoring!$A$4:$N$51,6,FALSE()),"-")</f>
        <v>2</v>
      </c>
      <c r="R96" s="36">
        <f t="shared" si="6"/>
        <v>99</v>
      </c>
      <c r="S96">
        <f t="shared" si="7"/>
        <v>19</v>
      </c>
      <c r="T96">
        <f t="shared" si="8"/>
        <v>98.999904000000001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36</v>
      </c>
      <c r="K97" s="28">
        <f>IFERROR(VLOOKUP(C97,Scoring!$A$4:$N$51,14,FALSE())*4,"-")</f>
        <v>28</v>
      </c>
      <c r="L97" s="28">
        <f>IFERROR(VLOOKUP(D97,Scoring!$A$4:$N$51,14,FALSE())*3,"-")</f>
        <v>12</v>
      </c>
      <c r="M97" s="28">
        <f>IFERROR(VLOOKUP(E97,Scoring!$A$4:$N$51,14,FALSE())*2,"-")</f>
        <v>8</v>
      </c>
      <c r="N97" s="28">
        <f>IFERROR(VLOOKUP(F97,Scoring!$A$4:$N$51,14,FALSE()),"-")</f>
        <v>0</v>
      </c>
      <c r="O97" s="28">
        <f>IFERROR(VLOOKUP(G97,Scoring!$A$4:$N$51,14,FALSE()),"-")</f>
        <v>4</v>
      </c>
      <c r="P97" s="29">
        <f>IFERROR(VLOOKUP(H97,Scoring!$A$4:$N$51,14,FALSE()),"-")</f>
        <v>4</v>
      </c>
      <c r="Q97" s="29">
        <f>IFERROR(VLOOKUP(I97,Scoring!$A$4:$N$51,6,FALSE()),"-")</f>
        <v>3</v>
      </c>
      <c r="R97" s="36">
        <f t="shared" si="6"/>
        <v>95</v>
      </c>
      <c r="S97">
        <f t="shared" si="7"/>
        <v>36</v>
      </c>
      <c r="T97">
        <f t="shared" si="8"/>
        <v>94.999903000000003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24</v>
      </c>
      <c r="K98" s="28">
        <f>IFERROR(VLOOKUP(C98,Scoring!$A$4:$N$51,14,FALSE())*4,"-")</f>
        <v>16</v>
      </c>
      <c r="L98" s="28">
        <f>IFERROR(VLOOKUP(D98,Scoring!$A$4:$N$51,14,FALSE())*3,"-")</f>
        <v>18</v>
      </c>
      <c r="M98" s="28">
        <f>IFERROR(VLOOKUP(E98,Scoring!$A$4:$N$51,14,FALSE())*2,"-")</f>
        <v>12</v>
      </c>
      <c r="N98" s="28">
        <f>IFERROR(VLOOKUP(F98,Scoring!$A$4:$N$51,14,FALSE()),"-")</f>
        <v>6</v>
      </c>
      <c r="O98" s="28">
        <f>IFERROR(VLOOKUP(G98,Scoring!$A$4:$N$51,14,FALSE()),"-")</f>
        <v>6</v>
      </c>
      <c r="P98" s="29">
        <f>IFERROR(VLOOKUP(H98,Scoring!$A$4:$N$51,14,FALSE()),"-")</f>
        <v>4</v>
      </c>
      <c r="Q98" s="29">
        <f>IFERROR(VLOOKUP(I98,Scoring!$A$4:$N$51,6,FALSE()),"-")</f>
        <v>2</v>
      </c>
      <c r="R98" s="36">
        <f t="shared" si="6"/>
        <v>88</v>
      </c>
      <c r="S98">
        <f t="shared" si="7"/>
        <v>77</v>
      </c>
      <c r="T98">
        <f t="shared" si="8"/>
        <v>87.999902000000006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36</v>
      </c>
      <c r="K99" s="28">
        <f>IFERROR(VLOOKUP(C99,Scoring!$A$4:$N$51,14,FALSE())*4,"-")</f>
        <v>28</v>
      </c>
      <c r="L99" s="28">
        <f>IFERROR(VLOOKUP(D99,Scoring!$A$4:$N$51,14,FALSE())*3,"-")</f>
        <v>12</v>
      </c>
      <c r="M99" s="28">
        <f>IFERROR(VLOOKUP(E99,Scoring!$A$4:$N$51,14,FALSE())*2,"-")</f>
        <v>12</v>
      </c>
      <c r="N99" s="28">
        <f>IFERROR(VLOOKUP(F99,Scoring!$A$4:$N$51,14,FALSE()),"-")</f>
        <v>3</v>
      </c>
      <c r="O99" s="28">
        <f>IFERROR(VLOOKUP(G99,Scoring!$A$4:$N$51,14,FALSE()),"-")</f>
        <v>4</v>
      </c>
      <c r="P99" s="29">
        <f>IFERROR(VLOOKUP(H99,Scoring!$A$4:$N$51,14,FALSE()),"-")</f>
        <v>4</v>
      </c>
      <c r="Q99" s="29">
        <f>IFERROR(VLOOKUP(I99,Scoring!$A$4:$N$51,6,FALSE()),"-")</f>
        <v>3.5</v>
      </c>
      <c r="R99" s="36">
        <f t="shared" si="6"/>
        <v>102.5</v>
      </c>
      <c r="S99">
        <f t="shared" si="7"/>
        <v>13</v>
      </c>
      <c r="T99">
        <f t="shared" si="8"/>
        <v>102.49990099999999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24</v>
      </c>
      <c r="K100" s="28">
        <f>IFERROR(VLOOKUP(C100,Scoring!$A$4:$N$51,14,FALSE())*4,"-")</f>
        <v>28</v>
      </c>
      <c r="L100" s="28">
        <f>IFERROR(VLOOKUP(D100,Scoring!$A$4:$N$51,14,FALSE())*3,"-")</f>
        <v>18</v>
      </c>
      <c r="M100" s="28">
        <f>IFERROR(VLOOKUP(E100,Scoring!$A$4:$N$51,14,FALSE())*2,"-")</f>
        <v>8</v>
      </c>
      <c r="N100" s="28">
        <f>IFERROR(VLOOKUP(F100,Scoring!$A$4:$N$51,14,FALSE()),"-")</f>
        <v>5</v>
      </c>
      <c r="O100" s="28">
        <f>IFERROR(VLOOKUP(G100,Scoring!$A$4:$N$51,14,FALSE()),"-")</f>
        <v>4</v>
      </c>
      <c r="P100" s="29">
        <f>IFERROR(VLOOKUP(H100,Scoring!$A$4:$N$51,14,FALSE()),"-")</f>
        <v>0</v>
      </c>
      <c r="Q100" s="29">
        <f>IFERROR(VLOOKUP(I100,Scoring!$A$4:$N$51,6,FALSE()),"-")</f>
        <v>2</v>
      </c>
      <c r="R100" s="36">
        <f t="shared" ref="R100:R119" si="9">IF(A100="","-",SUM(J100:Q100))</f>
        <v>89</v>
      </c>
      <c r="S100">
        <f t="shared" ref="S100:S119" si="10">IF(A100="","",RANK(R100,$R$4:$R$119))</f>
        <v>71</v>
      </c>
      <c r="T100">
        <f t="shared" ref="T100:T119" si="11">IF(A100="",-1,R100-ROW(R100)/1000000)</f>
        <v>88.999899999999997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36</v>
      </c>
      <c r="K101" s="28">
        <f>IFERROR(VLOOKUP(C101,Scoring!$A$4:$N$51,14,FALSE())*4,"-")</f>
        <v>16</v>
      </c>
      <c r="L101" s="28">
        <f>IFERROR(VLOOKUP(D101,Scoring!$A$4:$N$51,14,FALSE())*3,"-")</f>
        <v>21</v>
      </c>
      <c r="M101" s="28">
        <f>IFERROR(VLOOKUP(E101,Scoring!$A$4:$N$51,14,FALSE())*2,"-")</f>
        <v>12</v>
      </c>
      <c r="N101" s="28">
        <f>IFERROR(VLOOKUP(F101,Scoring!$A$4:$N$51,14,FALSE()),"-")</f>
        <v>3</v>
      </c>
      <c r="O101" s="28">
        <f>IFERROR(VLOOKUP(G101,Scoring!$A$4:$N$51,14,FALSE()),"-")</f>
        <v>4</v>
      </c>
      <c r="P101" s="29">
        <f>IFERROR(VLOOKUP(H101,Scoring!$A$4:$N$51,14,FALSE()),"-")</f>
        <v>4</v>
      </c>
      <c r="Q101" s="29">
        <f>IFERROR(VLOOKUP(I101,Scoring!$A$4:$N$51,6,FALSE()),"-")</f>
        <v>2.5</v>
      </c>
      <c r="R101" s="36">
        <f t="shared" si="9"/>
        <v>98.5</v>
      </c>
      <c r="S101">
        <f t="shared" si="10"/>
        <v>22</v>
      </c>
      <c r="T101">
        <f t="shared" si="11"/>
        <v>98.499898999999999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24</v>
      </c>
      <c r="K102" s="28">
        <f>IFERROR(VLOOKUP(C102,Scoring!$A$4:$N$51,14,FALSE())*4,"-")</f>
        <v>24</v>
      </c>
      <c r="L102" s="28">
        <f>IFERROR(VLOOKUP(D102,Scoring!$A$4:$N$51,14,FALSE())*3,"-")</f>
        <v>12</v>
      </c>
      <c r="M102" s="28">
        <f>IFERROR(VLOOKUP(E102,Scoring!$A$4:$N$51,14,FALSE())*2,"-")</f>
        <v>12</v>
      </c>
      <c r="N102" s="28">
        <f>IFERROR(VLOOKUP(F102,Scoring!$A$4:$N$51,14,FALSE()),"-")</f>
        <v>9</v>
      </c>
      <c r="O102" s="28">
        <f>IFERROR(VLOOKUP(G102,Scoring!$A$4:$N$51,14,FALSE()),"-")</f>
        <v>6</v>
      </c>
      <c r="P102" s="29">
        <f>IFERROR(VLOOKUP(H102,Scoring!$A$4:$N$51,14,FALSE()),"-")</f>
        <v>4</v>
      </c>
      <c r="Q102" s="29">
        <f>IFERROR(VLOOKUP(I102,Scoring!$A$4:$N$51,6,FALSE()),"-")</f>
        <v>2</v>
      </c>
      <c r="R102" s="36">
        <f t="shared" si="9"/>
        <v>93</v>
      </c>
      <c r="S102">
        <f t="shared" si="10"/>
        <v>48</v>
      </c>
      <c r="T102">
        <f t="shared" si="11"/>
        <v>92.999898000000002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24</v>
      </c>
      <c r="K103" s="28">
        <f>IFERROR(VLOOKUP(C103,Scoring!$A$4:$N$51,14,FALSE())*4,"-")</f>
        <v>16</v>
      </c>
      <c r="L103" s="28">
        <f>IFERROR(VLOOKUP(D103,Scoring!$A$4:$N$51,14,FALSE())*3,"-")</f>
        <v>12</v>
      </c>
      <c r="M103" s="28">
        <f>IFERROR(VLOOKUP(E103,Scoring!$A$4:$N$51,14,FALSE())*2,"-")</f>
        <v>12</v>
      </c>
      <c r="N103" s="28">
        <f>IFERROR(VLOOKUP(F103,Scoring!$A$4:$N$51,14,FALSE()),"-")</f>
        <v>7</v>
      </c>
      <c r="O103" s="28">
        <f>IFERROR(VLOOKUP(G103,Scoring!$A$4:$N$51,14,FALSE()),"-")</f>
        <v>4</v>
      </c>
      <c r="P103" s="29">
        <f>IFERROR(VLOOKUP(H103,Scoring!$A$4:$N$51,14,FALSE()),"-")</f>
        <v>4</v>
      </c>
      <c r="Q103" s="29">
        <f>IFERROR(VLOOKUP(I103,Scoring!$A$4:$N$51,6,FALSE()),"-")</f>
        <v>2</v>
      </c>
      <c r="R103" s="36">
        <f t="shared" si="9"/>
        <v>81</v>
      </c>
      <c r="S103">
        <f t="shared" si="10"/>
        <v>101</v>
      </c>
      <c r="T103">
        <f t="shared" si="11"/>
        <v>80.999897000000004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24</v>
      </c>
      <c r="K104" s="28">
        <f>IFERROR(VLOOKUP(C104,Scoring!$A$4:$N$51,14,FALSE())*4,"-")</f>
        <v>24</v>
      </c>
      <c r="L104" s="28">
        <f>IFERROR(VLOOKUP(D104,Scoring!$A$4:$N$51,14,FALSE())*3,"-")</f>
        <v>21</v>
      </c>
      <c r="M104" s="28">
        <f>IFERROR(VLOOKUP(E104,Scoring!$A$4:$N$51,14,FALSE())*2,"-")</f>
        <v>12</v>
      </c>
      <c r="N104" s="28">
        <f>IFERROR(VLOOKUP(F104,Scoring!$A$4:$N$51,14,FALSE()),"-")</f>
        <v>2</v>
      </c>
      <c r="O104" s="28">
        <f>IFERROR(VLOOKUP(G104,Scoring!$A$4:$N$51,14,FALSE()),"-")</f>
        <v>6</v>
      </c>
      <c r="P104" s="29">
        <f>IFERROR(VLOOKUP(H104,Scoring!$A$4:$N$51,14,FALSE()),"-")</f>
        <v>1</v>
      </c>
      <c r="Q104" s="29">
        <f>IFERROR(VLOOKUP(I104,Scoring!$A$4:$N$51,6,FALSE()),"-")</f>
        <v>3.5</v>
      </c>
      <c r="R104" s="36">
        <f t="shared" si="9"/>
        <v>93.5</v>
      </c>
      <c r="S104">
        <f t="shared" si="10"/>
        <v>46</v>
      </c>
      <c r="T104">
        <f t="shared" si="11"/>
        <v>93.499896000000007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36</v>
      </c>
      <c r="K105" s="28">
        <f>IFERROR(VLOOKUP(C105,Scoring!$A$4:$N$51,14,FALSE())*4,"-")</f>
        <v>16</v>
      </c>
      <c r="L105" s="28">
        <f>IFERROR(VLOOKUP(D105,Scoring!$A$4:$N$51,14,FALSE())*3,"-")</f>
        <v>12</v>
      </c>
      <c r="M105" s="28">
        <f>IFERROR(VLOOKUP(E105,Scoring!$A$4:$N$51,14,FALSE())*2,"-")</f>
        <v>12</v>
      </c>
      <c r="N105" s="28">
        <f>IFERROR(VLOOKUP(F105,Scoring!$A$4:$N$51,14,FALSE()),"-")</f>
        <v>2</v>
      </c>
      <c r="O105" s="28">
        <f>IFERROR(VLOOKUP(G105,Scoring!$A$4:$N$51,14,FALSE()),"-")</f>
        <v>4</v>
      </c>
      <c r="P105" s="29">
        <f>IFERROR(VLOOKUP(H105,Scoring!$A$4:$N$51,14,FALSE()),"-")</f>
        <v>4</v>
      </c>
      <c r="Q105" s="29">
        <f>IFERROR(VLOOKUP(I105,Scoring!$A$4:$N$51,6,FALSE()),"-")</f>
        <v>3</v>
      </c>
      <c r="R105" s="36">
        <f t="shared" si="9"/>
        <v>89</v>
      </c>
      <c r="S105">
        <f t="shared" si="10"/>
        <v>71</v>
      </c>
      <c r="T105">
        <f t="shared" si="11"/>
        <v>88.999894999999995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24</v>
      </c>
      <c r="K106" s="28">
        <f>IFERROR(VLOOKUP(C106,Scoring!$A$4:$N$51,14,FALSE())*4,"-")</f>
        <v>24</v>
      </c>
      <c r="L106" s="28">
        <f>IFERROR(VLOOKUP(D106,Scoring!$A$4:$N$51,14,FALSE())*3,"-")</f>
        <v>12</v>
      </c>
      <c r="M106" s="28">
        <f>IFERROR(VLOOKUP(E106,Scoring!$A$4:$N$51,14,FALSE())*2,"-")</f>
        <v>12</v>
      </c>
      <c r="N106" s="28">
        <f>IFERROR(VLOOKUP(F106,Scoring!$A$4:$N$51,14,FALSE()),"-")</f>
        <v>9</v>
      </c>
      <c r="O106" s="28">
        <f>IFERROR(VLOOKUP(G106,Scoring!$A$4:$N$51,14,FALSE()),"-")</f>
        <v>4</v>
      </c>
      <c r="P106" s="29">
        <f>IFERROR(VLOOKUP(H106,Scoring!$A$4:$N$51,14,FALSE()),"-")</f>
        <v>4</v>
      </c>
      <c r="Q106" s="29">
        <f>IFERROR(VLOOKUP(I106,Scoring!$A$4:$N$51,6,FALSE()),"-")</f>
        <v>3</v>
      </c>
      <c r="R106" s="36">
        <f t="shared" si="9"/>
        <v>92</v>
      </c>
      <c r="S106">
        <f t="shared" si="10"/>
        <v>56</v>
      </c>
      <c r="T106">
        <f t="shared" si="11"/>
        <v>91.999893999999998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24</v>
      </c>
      <c r="K107" s="28">
        <f>IFERROR(VLOOKUP(C107,Scoring!$A$4:$N$51,14,FALSE())*4,"-")</f>
        <v>12</v>
      </c>
      <c r="L107" s="28">
        <f>IFERROR(VLOOKUP(D107,Scoring!$A$4:$N$51,14,FALSE())*3,"-")</f>
        <v>18</v>
      </c>
      <c r="M107" s="28">
        <f>IFERROR(VLOOKUP(E107,Scoring!$A$4:$N$51,14,FALSE())*2,"-")</f>
        <v>14</v>
      </c>
      <c r="N107" s="28">
        <f>IFERROR(VLOOKUP(F107,Scoring!$A$4:$N$51,14,FALSE()),"-")</f>
        <v>0</v>
      </c>
      <c r="O107" s="28">
        <f>IFERROR(VLOOKUP(G107,Scoring!$A$4:$N$51,14,FALSE()),"-")</f>
        <v>6</v>
      </c>
      <c r="P107" s="29">
        <f>IFERROR(VLOOKUP(H107,Scoring!$A$4:$N$51,14,FALSE()),"-")</f>
        <v>0</v>
      </c>
      <c r="Q107" s="29">
        <f>IFERROR(VLOOKUP(I107,Scoring!$A$4:$N$51,6,FALSE()),"-")</f>
        <v>5</v>
      </c>
      <c r="R107" s="36">
        <f t="shared" si="9"/>
        <v>79</v>
      </c>
      <c r="S107">
        <f t="shared" si="10"/>
        <v>103</v>
      </c>
      <c r="T107">
        <f t="shared" si="11"/>
        <v>78.999893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36</v>
      </c>
      <c r="K108" s="28">
        <f>IFERROR(VLOOKUP(C108,Scoring!$A$4:$N$51,14,FALSE())*4,"-")</f>
        <v>16</v>
      </c>
      <c r="L108" s="28">
        <f>IFERROR(VLOOKUP(D108,Scoring!$A$4:$N$51,14,FALSE())*3,"-")</f>
        <v>12</v>
      </c>
      <c r="M108" s="28">
        <f>IFERROR(VLOOKUP(E108,Scoring!$A$4:$N$51,14,FALSE())*2,"-")</f>
        <v>8</v>
      </c>
      <c r="N108" s="28">
        <f>IFERROR(VLOOKUP(F108,Scoring!$A$4:$N$51,14,FALSE()),"-")</f>
        <v>9</v>
      </c>
      <c r="O108" s="28">
        <f>IFERROR(VLOOKUP(G108,Scoring!$A$4:$N$51,14,FALSE()),"-")</f>
        <v>4</v>
      </c>
      <c r="P108" s="29">
        <f>IFERROR(VLOOKUP(H108,Scoring!$A$4:$N$51,14,FALSE()),"-")</f>
        <v>4</v>
      </c>
      <c r="Q108" s="29">
        <f>IFERROR(VLOOKUP(I108,Scoring!$A$4:$N$51,6,FALSE()),"-")</f>
        <v>3</v>
      </c>
      <c r="R108" s="36">
        <f t="shared" si="9"/>
        <v>92</v>
      </c>
      <c r="S108">
        <f t="shared" si="10"/>
        <v>56</v>
      </c>
      <c r="T108">
        <f t="shared" si="11"/>
        <v>91.999892000000003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3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3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12</v>
      </c>
      <c r="N4" s="110">
        <f t="shared" ref="N4:N51" si="1">M4-F4</f>
        <v>9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3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1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5</v>
      </c>
      <c r="N5" s="110">
        <f t="shared" si="1"/>
        <v>4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4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8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4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2.5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6.5</v>
      </c>
      <c r="N9" s="110">
        <f t="shared" si="1"/>
        <v>4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1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2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6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3.5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10.5</v>
      </c>
      <c r="N11" s="110">
        <f t="shared" si="1"/>
        <v>7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3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3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3.5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10.5</v>
      </c>
      <c r="N12" s="110">
        <f t="shared" si="1"/>
        <v>7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4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3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3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10</v>
      </c>
      <c r="N13" s="110">
        <f t="shared" si="1"/>
        <v>7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1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1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3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4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10</v>
      </c>
      <c r="N16" s="110">
        <f t="shared" si="1"/>
        <v>6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1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3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1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5</v>
      </c>
      <c r="N17" s="110">
        <f t="shared" si="1"/>
        <v>4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1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5</v>
      </c>
      <c r="N18" s="110">
        <f t="shared" si="1"/>
        <v>4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3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1.5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4.5</v>
      </c>
      <c r="N19" s="110">
        <f t="shared" si="1"/>
        <v>3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3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11</v>
      </c>
      <c r="N20" s="110">
        <f t="shared" si="1"/>
        <v>6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1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1.5</v>
      </c>
      <c r="N21" s="110">
        <f t="shared" si="1"/>
        <v>1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3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2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8</v>
      </c>
      <c r="N22" s="110">
        <f t="shared" si="1"/>
        <v>6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4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1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5</v>
      </c>
      <c r="N23" s="110">
        <f t="shared" si="1"/>
        <v>4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3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3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5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12</v>
      </c>
      <c r="N24" s="110">
        <f t="shared" si="1"/>
        <v>7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2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3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3.5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8.5</v>
      </c>
      <c r="N25" s="110">
        <f t="shared" si="1"/>
        <v>5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1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3.5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7.5</v>
      </c>
      <c r="N26" s="110">
        <f t="shared" si="1"/>
        <v>4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1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1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1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2.5</v>
      </c>
      <c r="N28" s="110">
        <f t="shared" si="1"/>
        <v>2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3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2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6</v>
      </c>
      <c r="N29" s="110">
        <f t="shared" si="1"/>
        <v>4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2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3</v>
      </c>
      <c r="N30" s="110">
        <f t="shared" si="1"/>
        <v>2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1.5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2.5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3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2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6</v>
      </c>
      <c r="N32" s="110">
        <f t="shared" si="1"/>
        <v>4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1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1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3</v>
      </c>
      <c r="N33" s="110">
        <f t="shared" si="1"/>
        <v>2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1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1.5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3.5</v>
      </c>
      <c r="N35" s="110">
        <f t="shared" si="1"/>
        <v>2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3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3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9</v>
      </c>
      <c r="N36" s="110">
        <f t="shared" si="1"/>
        <v>6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1.5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1.5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3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3.5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9.5</v>
      </c>
      <c r="N39" s="110">
        <f t="shared" si="1"/>
        <v>6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3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2.5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8.5</v>
      </c>
      <c r="N40" s="110">
        <f t="shared" si="1"/>
        <v>6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3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1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4</v>
      </c>
      <c r="N41" s="110">
        <f t="shared" si="1"/>
        <v>3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1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1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3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3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7</v>
      </c>
      <c r="N44" s="110">
        <f t="shared" si="1"/>
        <v>4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3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2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8</v>
      </c>
      <c r="N47" s="110">
        <f t="shared" si="1"/>
        <v>6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1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6</v>
      </c>
      <c r="N48" s="110">
        <f t="shared" si="1"/>
        <v>4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3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1.5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4.5</v>
      </c>
      <c r="N49" s="110">
        <f t="shared" si="1"/>
        <v>3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4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4.5</v>
      </c>
      <c r="N50" s="110">
        <f t="shared" si="1"/>
        <v>4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2026-06-26T04:07:47Z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