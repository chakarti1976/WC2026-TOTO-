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E997AB91-2B9D-4F8F-A9B4-32945470D39D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X81" i="1" l="1"/>
  <c r="E51" i="6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26" i="6" l="1"/>
  <c r="N26" i="6" s="1"/>
  <c r="O40" i="3" s="1"/>
  <c r="M9" i="6"/>
  <c r="N9" i="6" s="1"/>
  <c r="P108" i="3" s="1"/>
  <c r="M29" i="6"/>
  <c r="N29" i="6" s="1"/>
  <c r="O99" i="3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M62" i="3"/>
  <c r="M36" i="3"/>
  <c r="N90" i="3"/>
  <c r="N105" i="3"/>
  <c r="N53" i="3"/>
  <c r="N48" i="3"/>
  <c r="N54" i="3"/>
  <c r="N5" i="3"/>
  <c r="N56" i="3"/>
  <c r="N63" i="3"/>
  <c r="N104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43" i="3"/>
  <c r="P16" i="3"/>
  <c r="P85" i="3"/>
  <c r="P8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M44" i="6"/>
  <c r="N44" i="6" s="1"/>
  <c r="Q31" i="3"/>
  <c r="Q83" i="3"/>
  <c r="Q54" i="3"/>
  <c r="M21" i="6"/>
  <c r="N21" i="6" s="1"/>
  <c r="M18" i="6"/>
  <c r="N18" i="6" s="1"/>
  <c r="P45" i="3" l="1"/>
  <c r="P101" i="3"/>
  <c r="P68" i="3"/>
  <c r="P74" i="3"/>
  <c r="P99" i="3"/>
  <c r="P46" i="3"/>
  <c r="P11" i="3"/>
  <c r="P94" i="3"/>
  <c r="P52" i="3"/>
  <c r="P18" i="3"/>
  <c r="P72" i="3"/>
  <c r="P62" i="3"/>
  <c r="P14" i="3"/>
  <c r="P98" i="3"/>
  <c r="O105" i="3"/>
  <c r="O5" i="3"/>
  <c r="O89" i="3"/>
  <c r="O72" i="3"/>
  <c r="O59" i="3"/>
  <c r="O11" i="3"/>
  <c r="O54" i="3"/>
  <c r="O97" i="3"/>
  <c r="P97" i="3"/>
  <c r="P31" i="3"/>
  <c r="P25" i="3"/>
  <c r="P89" i="3"/>
  <c r="P53" i="3"/>
  <c r="P73" i="3"/>
  <c r="P88" i="3"/>
  <c r="P102" i="3"/>
  <c r="P60" i="3"/>
  <c r="P13" i="3"/>
  <c r="P96" i="3"/>
  <c r="P8" i="3"/>
  <c r="P40" i="3"/>
  <c r="P80" i="3"/>
  <c r="P51" i="3"/>
  <c r="P78" i="3"/>
  <c r="P15" i="3"/>
  <c r="P105" i="3"/>
  <c r="P44" i="3"/>
  <c r="P49" i="3"/>
  <c r="O101" i="3"/>
  <c r="O85" i="3"/>
  <c r="O103" i="3"/>
  <c r="O18" i="3"/>
  <c r="O63" i="3"/>
  <c r="O57" i="3"/>
  <c r="O73" i="3"/>
  <c r="P77" i="3"/>
  <c r="O39" i="3"/>
  <c r="P12" i="3"/>
  <c r="O69" i="3"/>
  <c r="P92" i="3"/>
  <c r="P29" i="3"/>
  <c r="O70" i="3"/>
  <c r="O100" i="3"/>
  <c r="O32" i="3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T42" i="3" s="1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T62" i="3" s="1"/>
  <c r="R68" i="3"/>
  <c r="T68" i="3" s="1"/>
  <c r="R46" i="3"/>
  <c r="T46" i="3" s="1"/>
  <c r="R38" i="3"/>
  <c r="T38" i="3" s="1"/>
  <c r="R50" i="3"/>
  <c r="T50" i="3" s="1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Q8" i="2"/>
  <c r="R8" i="2" s="1"/>
  <c r="Q7" i="2"/>
  <c r="R7" i="2" s="1"/>
  <c r="Q5" i="2"/>
  <c r="R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6" i="2" l="1"/>
  <c r="L8" i="2"/>
  <c r="L5" i="2"/>
  <c r="L7" i="2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<sst xmlns="http://schemas.openxmlformats.org/spreadsheetml/2006/main" count="6931" uniqueCount="1447">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</sst>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8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8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9E6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8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9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1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6" fillId="0" borderId="0" xfId="0" applyFont="1" applyAlignment="1">
      <alignment vertical="center"/>
    </xf>
    <xf numFmtId="168" fontId="27" fillId="10" borderId="10" xfId="0" applyNumberFormat="1" applyFont="1" applyFill="1" applyBorder="1" applyAlignment="1">
      <alignment horizontal="right" vertical="center"/>
    </xf>
    <xf numFmtId="20" fontId="27" fillId="10" borderId="0" xfId="0" applyNumberFormat="1" applyFont="1" applyFill="1" applyAlignment="1">
      <alignment vertical="center"/>
    </xf>
    <xf numFmtId="20" fontId="27" fillId="10" borderId="0" xfId="0" applyNumberFormat="1" applyFont="1" applyFill="1" applyAlignment="1">
      <alignment horizontal="left" vertical="center"/>
    </xf>
    <xf numFmtId="0" fontId="26" fillId="10" borderId="0" xfId="0" applyFont="1" applyFill="1" applyAlignment="1">
      <alignment horizontal="right" vertical="center" shrinkToFit="1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shrinkToFit="1"/>
    </xf>
    <xf numFmtId="0" fontId="26" fillId="10" borderId="11" xfId="0" applyFont="1" applyFill="1" applyBorder="1" applyAlignment="1">
      <alignment vertical="center"/>
    </xf>
    <xf numFmtId="168" fontId="28" fillId="10" borderId="12" xfId="0" applyNumberFormat="1" applyFont="1" applyFill="1" applyBorder="1" applyAlignment="1">
      <alignment horizontal="right" vertical="center"/>
    </xf>
    <xf numFmtId="20" fontId="28" fillId="10" borderId="13" xfId="0" applyNumberFormat="1" applyFont="1" applyFill="1" applyBorder="1" applyAlignment="1">
      <alignment vertical="center"/>
    </xf>
    <xf numFmtId="0" fontId="29" fillId="10" borderId="13" xfId="0" applyFont="1" applyFill="1" applyBorder="1"/>
    <xf numFmtId="0" fontId="30" fillId="10" borderId="13" xfId="0" applyFont="1" applyFill="1" applyBorder="1" applyAlignment="1">
      <alignment horizontal="right" vertical="center" shrinkToFit="1"/>
    </xf>
    <xf numFmtId="0" fontId="30" fillId="10" borderId="13" xfId="0" applyFont="1" applyFill="1" applyBorder="1" applyAlignment="1">
      <alignment horizontal="center" vertical="center"/>
    </xf>
    <xf numFmtId="0" fontId="30" fillId="10" borderId="13" xfId="0" applyFont="1" applyFill="1" applyBorder="1" applyAlignment="1">
      <alignment horizontal="left" vertical="center" shrinkToFit="1"/>
    </xf>
    <xf numFmtId="0" fontId="30" fillId="10" borderId="13" xfId="0" applyFont="1" applyFill="1" applyBorder="1" applyAlignment="1">
      <alignment vertical="center"/>
    </xf>
    <xf numFmtId="0" fontId="26" fillId="10" borderId="14" xfId="0" applyFont="1" applyFill="1" applyBorder="1" applyAlignment="1">
      <alignment vertical="center"/>
    </xf>
    <xf numFmtId="0" fontId="31" fillId="10" borderId="10" xfId="0" applyFont="1" applyFill="1" applyBorder="1"/>
    <xf numFmtId="20" fontId="30" fillId="10" borderId="0" xfId="0" applyNumberFormat="1" applyFont="1" applyFill="1" applyAlignment="1">
      <alignment horizontal="left" vertical="center"/>
    </xf>
    <xf numFmtId="0" fontId="30" fillId="10" borderId="0" xfId="0" applyFont="1" applyFill="1" applyAlignment="1">
      <alignment horizontal="right" vertical="center" shrinkToFit="1"/>
    </xf>
    <xf numFmtId="0" fontId="30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left" vertical="center" shrinkToFit="1"/>
    </xf>
    <xf numFmtId="0" fontId="30" fillId="10" borderId="0" xfId="0" applyFont="1" applyFill="1" applyAlignment="1">
      <alignment vertical="center"/>
    </xf>
    <xf numFmtId="0" fontId="30" fillId="10" borderId="10" xfId="0" applyFont="1" applyFill="1" applyBorder="1" applyAlignment="1">
      <alignment horizontal="left" vertical="top" wrapText="1"/>
    </xf>
    <xf numFmtId="0" fontId="29" fillId="0" borderId="0" xfId="0" applyFont="1"/>
    <xf numFmtId="0" fontId="30" fillId="10" borderId="0" xfId="0" applyFont="1" applyFill="1" applyAlignment="1">
      <alignment horizontal="left" vertical="top" wrapText="1"/>
    </xf>
    <xf numFmtId="0" fontId="30" fillId="10" borderId="0" xfId="0" applyFont="1" applyFill="1" applyAlignment="1">
      <alignment horizontal="left" vertical="top"/>
    </xf>
    <xf numFmtId="0" fontId="0" fillId="10" borderId="0" xfId="0" applyFill="1"/>
    <xf numFmtId="0" fontId="30" fillId="10" borderId="0" xfId="0" applyFont="1" applyFill="1" applyAlignment="1">
      <alignment horizontal="center" vertical="top" wrapText="1"/>
    </xf>
    <xf numFmtId="0" fontId="32" fillId="10" borderId="0" xfId="0" applyFont="1" applyFill="1" applyAlignment="1">
      <alignment horizontal="center" vertical="center"/>
    </xf>
    <xf numFmtId="0" fontId="33" fillId="10" borderId="0" xfId="0" applyFont="1" applyFill="1" applyProtection="1">
      <protection hidden="1"/>
    </xf>
    <xf numFmtId="0" fontId="32" fillId="10" borderId="0" xfId="0" applyFont="1" applyFill="1" applyAlignment="1">
      <alignment vertical="center"/>
    </xf>
    <xf numFmtId="0" fontId="29" fillId="10" borderId="0" xfId="0" applyFont="1" applyFill="1"/>
    <xf numFmtId="0" fontId="29" fillId="10" borderId="0" xfId="0" applyFont="1" applyFill="1" applyAlignment="1">
      <alignment horizontal="left"/>
    </xf>
    <xf numFmtId="168" fontId="30" fillId="10" borderId="10" xfId="0" applyNumberFormat="1" applyFont="1" applyFill="1" applyBorder="1" applyAlignment="1">
      <alignment horizontal="left" vertical="center"/>
    </xf>
    <xf numFmtId="0" fontId="34" fillId="10" borderId="0" xfId="0" applyFont="1" applyFill="1" applyAlignment="1">
      <alignment horizontal="left" vertical="center" shrinkToFit="1"/>
    </xf>
    <xf numFmtId="20" fontId="35" fillId="11" borderId="15" xfId="0" applyNumberFormat="1" applyFont="1" applyFill="1" applyBorder="1" applyAlignment="1">
      <alignment horizontal="left" vertical="center"/>
    </xf>
    <xf numFmtId="20" fontId="35" fillId="11" borderId="15" xfId="0" applyNumberFormat="1" applyFont="1" applyFill="1" applyBorder="1" applyAlignment="1">
      <alignment horizontal="right" vertical="center"/>
    </xf>
    <xf numFmtId="20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right" vertical="center"/>
    </xf>
    <xf numFmtId="17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left" vertical="center"/>
    </xf>
    <xf numFmtId="0" fontId="31" fillId="10" borderId="11" xfId="0" applyFont="1" applyFill="1" applyBorder="1"/>
    <xf numFmtId="0" fontId="36" fillId="0" borderId="0" xfId="0" applyFont="1"/>
    <xf numFmtId="0" fontId="26" fillId="10" borderId="12" xfId="0" applyFont="1" applyFill="1" applyBorder="1" applyAlignment="1">
      <alignment vertical="center"/>
    </xf>
    <xf numFmtId="0" fontId="26" fillId="10" borderId="13" xfId="0" applyFont="1" applyFill="1" applyBorder="1" applyAlignment="1">
      <alignment vertical="center"/>
    </xf>
    <xf numFmtId="0" fontId="26" fillId="10" borderId="13" xfId="0" applyFont="1" applyFill="1" applyBorder="1" applyAlignment="1">
      <alignment horizontal="left" vertical="center" shrinkToFit="1"/>
    </xf>
    <xf numFmtId="0" fontId="26" fillId="10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 shrinkToFit="1"/>
    </xf>
    <xf numFmtId="0" fontId="26" fillId="0" borderId="0" xfId="0" applyFont="1" applyAlignment="1">
      <alignment horizontal="center" vertical="center"/>
    </xf>
    <xf numFmtId="168" fontId="26" fillId="0" borderId="0" xfId="0" applyNumberFormat="1" applyFont="1" applyAlignment="1">
      <alignment horizontal="right" vertical="center"/>
    </xf>
    <xf numFmtId="20" fontId="26" fillId="0" borderId="0" xfId="0" applyNumberFormat="1" applyFont="1" applyAlignment="1">
      <alignment vertical="center"/>
    </xf>
    <xf numFmtId="20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right" vertical="center" shrinkToFit="1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49" fontId="30" fillId="10" borderId="15" xfId="0" applyNumberFormat="1" applyFont="1" applyFill="1" applyBorder="1" applyAlignment="1">
      <alignment horizontal="left" vertical="center"/>
    </xf>
    <xf numFmtId="0" fontId="1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19" fillId="10" borderId="0" xfId="0" applyNumberFormat="1" applyFont="1" applyFill="1" applyAlignment="1">
      <alignment horizontal="center" vertical="center"/>
    </xf>
    <xf numFmtId="169" fontId="1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 vertical="center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horizontal="left"/>
      <protection hidden="1"/>
    </xf>
    <xf numFmtId="0" fontId="37" fillId="12" borderId="17" xfId="0" applyFont="1" applyFill="1" applyBorder="1" applyAlignment="1" applyProtection="1">
      <alignment horizontal="left" vertical="center"/>
      <protection hidden="1"/>
    </xf>
    <xf numFmtId="0" fontId="33" fillId="12" borderId="18" xfId="0" applyFont="1" applyFill="1" applyBorder="1" applyAlignment="1" applyProtection="1">
      <alignment horizontal="left"/>
      <protection hidden="1"/>
    </xf>
    <xf numFmtId="0" fontId="33" fillId="12" borderId="19" xfId="0" applyFont="1" applyFill="1" applyBorder="1" applyProtection="1">
      <protection hidden="1"/>
    </xf>
    <xf numFmtId="0" fontId="33" fillId="12" borderId="20" xfId="0" applyFont="1" applyFill="1" applyBorder="1" applyAlignment="1" applyProtection="1">
      <alignment horizontal="left" vertical="center"/>
      <protection hidden="1"/>
    </xf>
    <xf numFmtId="0" fontId="33" fillId="13" borderId="0" xfId="0" applyFont="1" applyFill="1" applyAlignment="1" applyProtection="1">
      <alignment horizontal="center" vertical="center"/>
      <protection hidden="1"/>
    </xf>
    <xf numFmtId="0" fontId="33" fillId="12" borderId="21" xfId="0" applyFont="1" applyFill="1" applyBorder="1" applyProtection="1">
      <protection hidden="1"/>
    </xf>
    <xf numFmtId="170" fontId="38" fillId="14" borderId="0" xfId="0" applyNumberFormat="1" applyFont="1" applyFill="1" applyAlignment="1" applyProtection="1">
      <alignment horizontal="center"/>
      <protection hidden="1"/>
    </xf>
    <xf numFmtId="0" fontId="33" fillId="12" borderId="22" xfId="0" applyFont="1" applyFill="1" applyBorder="1" applyProtection="1">
      <protection hidden="1"/>
    </xf>
    <xf numFmtId="0" fontId="33" fillId="12" borderId="8" xfId="0" applyFont="1" applyFill="1" applyBorder="1" applyAlignment="1" applyProtection="1">
      <alignment horizontal="left"/>
      <protection hidden="1"/>
    </xf>
    <xf numFmtId="0" fontId="33" fillId="12" borderId="23" xfId="0" applyFont="1" applyFill="1" applyBorder="1" applyProtection="1"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39" fillId="12" borderId="24" xfId="0" applyFont="1" applyFill="1" applyBorder="1" applyAlignment="1" applyProtection="1">
      <alignment horizontal="left" vertical="center"/>
      <protection hidden="1"/>
    </xf>
    <xf numFmtId="0" fontId="39" fillId="12" borderId="25" xfId="0" applyFont="1" applyFill="1" applyBorder="1" applyAlignment="1" applyProtection="1">
      <alignment horizontal="left" vertical="center"/>
      <protection hidden="1"/>
    </xf>
    <xf numFmtId="0" fontId="33" fillId="12" borderId="26" xfId="0" applyFont="1" applyFill="1" applyBorder="1" applyProtection="1">
      <protection hidden="1"/>
    </xf>
    <xf numFmtId="171" fontId="39" fillId="0" borderId="0" xfId="0" applyNumberFormat="1" applyFont="1" applyAlignment="1" applyProtection="1">
      <alignment horizontal="left" vertical="center"/>
      <protection hidden="1"/>
    </xf>
    <xf numFmtId="171" fontId="33" fillId="0" borderId="0" xfId="0" applyNumberFormat="1" applyFont="1" applyProtection="1">
      <protection hidden="1"/>
    </xf>
    <xf numFmtId="0" fontId="40" fillId="12" borderId="20" xfId="0" applyFont="1" applyFill="1" applyBorder="1" applyAlignment="1" applyProtection="1">
      <alignment horizontal="left" vertical="center"/>
      <protection hidden="1"/>
    </xf>
    <xf numFmtId="0" fontId="37" fillId="12" borderId="0" xfId="0" applyFont="1" applyFill="1" applyAlignment="1" applyProtection="1">
      <alignment horizontal="center" vertical="center"/>
      <protection hidden="1"/>
    </xf>
    <xf numFmtId="0" fontId="41" fillId="9" borderId="0" xfId="0" applyFont="1" applyFill="1" applyProtection="1">
      <protection hidden="1"/>
    </xf>
    <xf numFmtId="3" fontId="33" fillId="15" borderId="27" xfId="0" applyNumberFormat="1" applyFont="1" applyFill="1" applyBorder="1" applyAlignment="1" applyProtection="1">
      <alignment horizontal="center" vertical="center"/>
      <protection hidden="1"/>
    </xf>
    <xf numFmtId="171" fontId="39" fillId="0" borderId="0" xfId="0" applyNumberFormat="1" applyFont="1" applyAlignment="1" applyProtection="1">
      <alignment horizontal="center" vertical="center"/>
      <protection hidden="1"/>
    </xf>
    <xf numFmtId="3" fontId="33" fillId="15" borderId="28" xfId="0" applyNumberFormat="1" applyFont="1" applyFill="1" applyBorder="1" applyAlignment="1" applyProtection="1">
      <alignment horizontal="center" vertical="center"/>
      <protection hidden="1"/>
    </xf>
    <xf numFmtId="0" fontId="33" fillId="15" borderId="28" xfId="0" applyFont="1" applyFill="1" applyBorder="1" applyAlignment="1" applyProtection="1">
      <alignment horizontal="center" vertical="center"/>
      <protection hidden="1"/>
    </xf>
    <xf numFmtId="0" fontId="33" fillId="12" borderId="28" xfId="0" applyFont="1" applyFill="1" applyBorder="1" applyAlignment="1" applyProtection="1">
      <alignment horizontal="left" indent="2"/>
      <protection hidden="1"/>
    </xf>
    <xf numFmtId="3" fontId="33" fillId="15" borderId="29" xfId="0" applyNumberFormat="1" applyFont="1" applyFill="1" applyBorder="1" applyAlignment="1" applyProtection="1">
      <alignment horizontal="center" vertical="center"/>
      <protection hidden="1"/>
    </xf>
    <xf numFmtId="0" fontId="39" fillId="12" borderId="22" xfId="0" applyFont="1" applyFill="1" applyBorder="1" applyAlignment="1" applyProtection="1">
      <alignment horizontal="left" vertical="center"/>
      <protection hidden="1"/>
    </xf>
    <xf numFmtId="0" fontId="39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19" fillId="0" borderId="0" xfId="0" applyFont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4" fillId="4" borderId="4" xfId="0" applyFont="1" applyFill="1" applyBorder="1" applyAlignment="1">
      <alignment horizontal="right"/>
    </xf>
    <xf numFmtId="0" fontId="44" fillId="5" borderId="0" xfId="0" applyFont="1" applyFill="1" applyAlignment="1">
      <alignment horizontal="center" vertical="center"/>
    </xf>
    <xf numFmtId="0" fontId="44" fillId="4" borderId="4" xfId="0" applyFont="1" applyFill="1" applyBorder="1" applyAlignment="1">
      <alignment horizontal="left"/>
    </xf>
    <xf numFmtId="0" fontId="45" fillId="16" borderId="0" xfId="0" applyFont="1" applyFill="1"/>
    <xf numFmtId="0" fontId="46" fillId="17" borderId="0" xfId="0" applyFont="1" applyFill="1" applyAlignment="1">
      <alignment horizontal="center"/>
    </xf>
    <xf numFmtId="0" fontId="47" fillId="18" borderId="3" xfId="0" applyFont="1" applyFill="1" applyBorder="1" applyAlignment="1">
      <alignment horizontal="center"/>
    </xf>
    <xf numFmtId="0" fontId="47" fillId="18" borderId="6" xfId="0" applyFont="1" applyFill="1" applyBorder="1" applyAlignment="1">
      <alignment horizontal="center"/>
    </xf>
    <xf numFmtId="0" fontId="45" fillId="19" borderId="0" xfId="0" applyFont="1" applyFill="1"/>
    <xf numFmtId="0" fontId="47" fillId="16" borderId="0" xfId="0" applyFont="1" applyFill="1"/>
    <xf numFmtId="0" fontId="47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7" borderId="0" xfId="0" applyFont="1" applyFill="1"/>
    <xf numFmtId="0" fontId="25" fillId="10" borderId="9" xfId="0" applyFont="1" applyFill="1" applyBorder="1" applyAlignment="1">
      <alignment horizontal="left" shrinkToFit="1"/>
    </xf>
    <xf numFmtId="0" fontId="30" fillId="10" borderId="10" xfId="0" applyFont="1" applyFill="1" applyBorder="1" applyAlignment="1">
      <alignment horizontal="left" vertical="top" wrapText="1"/>
    </xf>
    <xf numFmtId="168" fontId="30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01"/>
  <sheetViews>
    <sheetView showGridLines="0" tabSelected="1" topLeftCell="I1" zoomScale="85" zoomScaleNormal="85" workbookViewId="0">
      <pane ySplit="4" topLeftCell="A5" activePane="bottomLeft" state="frozen"/>
      <selection pane="bottomLeft" activeCell="W15" sqref="W15:X16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7" width="10.19921875" customWidth="1"/>
    <col min="38" max="38" width="10.19921875" style="147" customWidth="1"/>
    <col min="39" max="73" width="12.59765625" style="147" customWidth="1"/>
    <col min="74" max="74" width="11.3984375" style="147"/>
  </cols>
  <sheetData>
    <row r="1" spans="1:67" ht="49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</row>
    <row r="2" spans="1:67" ht="12.75" customHeight="1" x14ac:dyDescent="0.3">
      <c r="A2" s="159" t="str">
        <f>"Times shown in GMT" &amp; IF(GmtOffset=0,"",IF(GmtOffset&gt;0," + "&amp;GmtOffset&amp;"h"," "&amp;GmtOffset&amp;"h"))</f>
        <v>Times shown in GMT + 2h</v>
      </c>
      <c r="B2" s="159"/>
      <c r="C2" s="159"/>
      <c r="D2" s="159"/>
      <c r="E2" s="159"/>
      <c r="F2" s="159"/>
      <c r="G2" s="159"/>
      <c r="H2" s="159"/>
      <c r="I2" s="159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67" ht="27.75" customHeight="1" x14ac:dyDescent="0.55000000000000004">
      <c r="A3" s="160" t="s">
        <v>1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4"/>
      <c r="S3" s="161" t="s">
        <v>2</v>
      </c>
      <c r="T3" s="161"/>
      <c r="U3" s="161"/>
      <c r="V3" s="161"/>
      <c r="W3" s="161" t="s">
        <v>3</v>
      </c>
      <c r="X3" s="161"/>
      <c r="Y3" s="161"/>
      <c r="Z3" s="161"/>
      <c r="AA3" s="161" t="s">
        <v>4</v>
      </c>
      <c r="AB3" s="161"/>
      <c r="AC3" s="161"/>
      <c r="AD3" s="161"/>
      <c r="AE3" s="161" t="s">
        <v>5</v>
      </c>
      <c r="AF3" s="161"/>
      <c r="AG3" s="161"/>
      <c r="AH3" s="161"/>
      <c r="AI3" s="161" t="s">
        <v>6</v>
      </c>
      <c r="AJ3" s="161"/>
      <c r="AK3" s="161"/>
      <c r="AL3" s="161"/>
    </row>
    <row r="4" spans="1:67" ht="27.75" customHeight="1" x14ac:dyDescent="0.55000000000000004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148" t="s">
        <v>10</v>
      </c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54" t="s">
        <v>14</v>
      </c>
      <c r="L5" s="154"/>
      <c r="M5" s="154"/>
      <c r="N5" s="154"/>
      <c r="O5" s="154"/>
      <c r="P5" s="154"/>
      <c r="Q5" s="154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BD6" s="147" t="s">
        <v>11</v>
      </c>
      <c r="BE6" s="147">
        <f t="array" ref="BE6">SUMPRODUCT((((E5:E10=BD6)+(H5:H10=BD6))&gt;0)*ISNUMBER(F5:F10)*ISNUMBER(G5:G10))</f>
        <v>3</v>
      </c>
      <c r="BF6" s="147">
        <f t="array" ref="BF6">SUMPRODUCT((E5:E10=BD6)*ISNUMBER(F5:F10)*ISNUMBER(G5:G10)*(F5:F10&gt;G5:G10))+SUMPRODUCT((H5:H10=BD6)*ISNUMBER(F5:F10)*ISNUMBER(G5:G10)*(G5:G10&gt;F5:F10))</f>
        <v>3</v>
      </c>
      <c r="BG6" s="147">
        <f t="array" ref="BG6">SUMPRODUCT((((E5:E10=BD6)+(H5:H10=BD6))&gt;0)*ISNUMBER(F5:F10)*ISNUMBER(G5:G10)*(F5:F10=G5:G10))</f>
        <v>0</v>
      </c>
      <c r="BH6" s="147">
        <f>BE6-BF6-BG6</f>
        <v>0</v>
      </c>
      <c r="BI6" s="147">
        <f t="array" ref="BI6">SUMPRODUCT((E5:E10=BD6)*IFERROR(F5:F10,0))+SUMPRODUCT((H5:H10=BD6)*IFERROR(G5:G10,0))</f>
        <v>6</v>
      </c>
      <c r="BJ6" s="147">
        <f t="array" ref="BJ6">SUMPRODUCT((E5:E10=BD6)*IFERROR(G5:G10,0))+SUMPRODUCT((H5:H10=BD6)*IFERROR(F5:F10,0))</f>
        <v>0</v>
      </c>
      <c r="BK6" s="147">
        <f>BF6*3+BG6</f>
        <v>9</v>
      </c>
      <c r="BL6" s="147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 s="147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 s="147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 s="147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BD7" s="147" t="s">
        <v>12</v>
      </c>
      <c r="BE7" s="147">
        <f t="array" ref="BE7">SUMPRODUCT((((E5:E10=BD7)+(H5:H10=BD7))&gt;0)*ISNUMBER(F5:F10)*ISNUMBER(G5:G10))</f>
        <v>3</v>
      </c>
      <c r="BF7" s="147">
        <f t="array" ref="BF7">SUMPRODUCT((E5:E10=BD7)*ISNUMBER(F5:F10)*ISNUMBER(G5:G10)*(F5:F10&gt;G5:G10))+SUMPRODUCT((H5:H10=BD7)*ISNUMBER(F5:F10)*ISNUMBER(G5:G10)*(G5:G10&gt;F5:F10))</f>
        <v>1</v>
      </c>
      <c r="BG7" s="147">
        <f t="array" ref="BG7">SUMPRODUCT((((E5:E10=BD7)+(H5:H10=BD7))&gt;0)*ISNUMBER(F5:F10)*ISNUMBER(G5:G10)*(F5:F10=G5:G10))</f>
        <v>1</v>
      </c>
      <c r="BH7" s="147">
        <f>BE7-BF7-BG7</f>
        <v>1</v>
      </c>
      <c r="BI7" s="147">
        <f t="array" ref="BI7">SUMPRODUCT((E5:E10=BD7)*IFERROR(F5:F10,0))+SUMPRODUCT((H5:H10=BD7)*IFERROR(G5:G10,0))</f>
        <v>2</v>
      </c>
      <c r="BJ7" s="147">
        <f t="array" ref="BJ7">SUMPRODUCT((E5:E10=BD7)*IFERROR(G5:G10,0))+SUMPRODUCT((H5:H10=BD7)*IFERROR(F5:F10,0))</f>
        <v>3</v>
      </c>
      <c r="BK7" s="147">
        <f>BF7*3+BG7</f>
        <v>4</v>
      </c>
      <c r="BL7" s="14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 s="14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 s="14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 s="14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BD8" s="147" t="s">
        <v>15</v>
      </c>
      <c r="BE8" s="147">
        <f t="array" ref="BE8">SUMPRODUCT((((E5:E10=BD8)+(H5:H10=BD8))&gt;0)*ISNUMBER(F5:F10)*ISNUMBER(G5:G10))</f>
        <v>3</v>
      </c>
      <c r="BF8" s="147">
        <f t="array" ref="BF8">SUMPRODUCT((E5:E10=BD8)*ISNUMBER(F5:F10)*ISNUMBER(G5:G10)*(F5:F10&gt;G5:G10))+SUMPRODUCT((H5:H10=BD8)*ISNUMBER(F5:F10)*ISNUMBER(G5:G10)*(G5:G10&gt;F5:F10))</f>
        <v>1</v>
      </c>
      <c r="BG8" s="147">
        <f t="array" ref="BG8">SUMPRODUCT((((E5:E10=BD8)+(H5:H10=BD8))&gt;0)*ISNUMBER(F5:F10)*ISNUMBER(G5:G10)*(F5:F10=G5:G10))</f>
        <v>0</v>
      </c>
      <c r="BH8" s="147">
        <f>BE8-BF8-BG8</f>
        <v>2</v>
      </c>
      <c r="BI8" s="147">
        <f t="array" ref="BI8">SUMPRODUCT((E5:E10=BD8)*IFERROR(F5:F10,0))+SUMPRODUCT((H5:H10=BD8)*IFERROR(G5:G10,0))</f>
        <v>2</v>
      </c>
      <c r="BJ8" s="147">
        <f t="array" ref="BJ8">SUMPRODUCT((E5:E10=BD8)*IFERROR(G5:G10,0))+SUMPRODUCT((H5:H10=BD8)*IFERROR(F5:F10,0))</f>
        <v>3</v>
      </c>
      <c r="BK8" s="147">
        <f>BF8*3+BG8</f>
        <v>3</v>
      </c>
      <c r="BL8" s="147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 s="147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 s="147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 s="147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1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BD9" s="147" t="s">
        <v>16</v>
      </c>
      <c r="BE9" s="147">
        <f t="array" ref="BE9">SUMPRODUCT((((E5:E10=BD9)+(H5:H10=BD9))&gt;0)*ISNUMBER(F5:F10)*ISNUMBER(G5:G10))</f>
        <v>3</v>
      </c>
      <c r="BF9" s="147">
        <f t="array" ref="BF9">SUMPRODUCT((E5:E10=BD9)*ISNUMBER(F5:F10)*ISNUMBER(G5:G10)*(F5:F10&gt;G5:G10))+SUMPRODUCT((H5:H10=BD9)*ISNUMBER(F5:F10)*ISNUMBER(G5:G10)*(G5:G10&gt;F5:F10))</f>
        <v>0</v>
      </c>
      <c r="BG9" s="147">
        <f t="array" ref="BG9">SUMPRODUCT((((E5:E10=BD9)+(H5:H10=BD9))&gt;0)*ISNUMBER(F5:F10)*ISNUMBER(G5:G10)*(F5:F10=G5:G10))</f>
        <v>1</v>
      </c>
      <c r="BH9" s="147">
        <f>BE9-BF9-BG9</f>
        <v>2</v>
      </c>
      <c r="BI9" s="147">
        <f t="array" ref="BI9">SUMPRODUCT((E5:E10=BD9)*IFERROR(F5:F10,0))+SUMPRODUCT((H5:H10=BD9)*IFERROR(G5:G10,0))</f>
        <v>2</v>
      </c>
      <c r="BJ9" s="147">
        <f t="array" ref="BJ9">SUMPRODUCT((E5:E10=BD9)*IFERROR(G5:G10,0))+SUMPRODUCT((H5:H10=BD9)*IFERROR(F5:F10,0))</f>
        <v>6</v>
      </c>
      <c r="BK9" s="147">
        <f>BF9*3+BG9</f>
        <v>1</v>
      </c>
      <c r="BL9" s="147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 s="147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 s="147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 s="147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1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BD12" s="147" t="s">
        <v>23</v>
      </c>
      <c r="BE12" s="147">
        <f t="array" ref="BE12">SUMPRODUCT((((E11:E16=BD12)+(H11:H16=BD12))&gt;0)*ISNUMBER(F11:F16)*ISNUMBER(G11:G16))</f>
        <v>3</v>
      </c>
      <c r="BF12" s="147">
        <f t="array" ref="BF12">SUMPRODUCT((E11:E16=BD12)*ISNUMBER(F11:F16)*ISNUMBER(G11:G16)*(F11:F16&gt;G11:G16))+SUMPRODUCT((H11:H16=BD12)*ISNUMBER(F11:F16)*ISNUMBER(G11:G16)*(G11:G16&gt;F11:F16))</f>
        <v>1</v>
      </c>
      <c r="BG12" s="147">
        <f t="array" ref="BG12">SUMPRODUCT((((E11:E16=BD12)+(H11:H16=BD12))&gt;0)*ISNUMBER(F11:F16)*ISNUMBER(G11:G16)*(F11:F16=G11:G16))</f>
        <v>1</v>
      </c>
      <c r="BH12" s="147">
        <f>BE12-BF12-BG12</f>
        <v>1</v>
      </c>
      <c r="BI12" s="147">
        <f t="array" ref="BI12">SUMPRODUCT((E11:E16=BD12)*IFERROR(F11:F16,0))+SUMPRODUCT((H11:H16=BD12)*IFERROR(G11:G16,0))</f>
        <v>8</v>
      </c>
      <c r="BJ12" s="147">
        <f t="array" ref="BJ12">SUMPRODUCT((E11:E16=BD12)*IFERROR(G11:G16,0))+SUMPRODUCT((H11:H16=BD12)*IFERROR(F11:F16,0))</f>
        <v>3</v>
      </c>
      <c r="BK12" s="147">
        <f>BF12*3+BG12</f>
        <v>4</v>
      </c>
      <c r="BL12" s="147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 s="147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 s="147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 s="147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1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BD13" s="147" t="s">
        <v>24</v>
      </c>
      <c r="BE13" s="147">
        <f t="array" ref="BE13">SUMPRODUCT((((E11:E16=BD13)+(H11:H16=BD13))&gt;0)*ISNUMBER(F11:F16)*ISNUMBER(G11:G16))</f>
        <v>3</v>
      </c>
      <c r="BF13" s="147">
        <f t="array" ref="BF13">SUMPRODUCT((E11:E16=BD13)*ISNUMBER(F11:F16)*ISNUMBER(G11:G16)*(F11:F16&gt;G11:G16))+SUMPRODUCT((H11:H16=BD13)*ISNUMBER(F11:F16)*ISNUMBER(G11:G16)*(G11:G16&gt;F11:F16))</f>
        <v>1</v>
      </c>
      <c r="BG13" s="147">
        <f t="array" ref="BG13">SUMPRODUCT((((E11:E16=BD13)+(H11:H16=BD13))&gt;0)*ISNUMBER(F11:F16)*ISNUMBER(G11:G16)*(F11:F16=G11:G16))</f>
        <v>1</v>
      </c>
      <c r="BH13" s="147">
        <f>BE13-BF13-BG13</f>
        <v>1</v>
      </c>
      <c r="BI13" s="147">
        <f t="array" ref="BI13">SUMPRODUCT((E11:E16=BD13)*IFERROR(F11:F16,0))+SUMPRODUCT((H11:H16=BD13)*IFERROR(G11:G16,0))</f>
        <v>5</v>
      </c>
      <c r="BJ13" s="147">
        <f t="array" ref="BJ13">SUMPRODUCT((E11:E16=BD13)*IFERROR(G11:G16,0))+SUMPRODUCT((H11:H16=BD13)*IFERROR(F11:F16,0))</f>
        <v>6</v>
      </c>
      <c r="BK13" s="147">
        <f>BF13*3+BG13</f>
        <v>4</v>
      </c>
      <c r="BL13" s="147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 s="147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 s="147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 s="147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1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BD14" s="147" t="s">
        <v>27</v>
      </c>
      <c r="BE14" s="147">
        <f t="array" ref="BE14">SUMPRODUCT((((E11:E16=BD14)+(H11:H16=BD14))&gt;0)*ISNUMBER(F11:F16)*ISNUMBER(G11:G16))</f>
        <v>3</v>
      </c>
      <c r="BF14" s="147">
        <f t="array" ref="BF14">SUMPRODUCT((E11:E16=BD14)*ISNUMBER(F11:F16)*ISNUMBER(G11:G16)*(F11:F16&gt;G11:G16))+SUMPRODUCT((H11:H16=BD14)*ISNUMBER(F11:F16)*ISNUMBER(G11:G16)*(G11:G16&gt;F11:F16))</f>
        <v>0</v>
      </c>
      <c r="BG14" s="147">
        <f t="array" ref="BG14">SUMPRODUCT((((E11:E16=BD14)+(H11:H16=BD14))&gt;0)*ISNUMBER(F11:F16)*ISNUMBER(G11:G16)*(F11:F16=G11:G16))</f>
        <v>1</v>
      </c>
      <c r="BH14" s="147">
        <f>BE14-BF14-BG14</f>
        <v>2</v>
      </c>
      <c r="BI14" s="147">
        <f t="array" ref="BI14">SUMPRODUCT((E11:E16=BD14)*IFERROR(F11:F16,0))+SUMPRODUCT((H11:H16=BD14)*IFERROR(G11:G16,0))</f>
        <v>2</v>
      </c>
      <c r="BJ14" s="147">
        <f t="array" ref="BJ14">SUMPRODUCT((E11:E16=BD14)*IFERROR(G11:G16,0))+SUMPRODUCT((H11:H16=BD14)*IFERROR(F11:F16,0))</f>
        <v>10</v>
      </c>
      <c r="BK14" s="147">
        <f>BF14*3+BG14</f>
        <v>1</v>
      </c>
      <c r="BL14" s="147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 s="147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 s="147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 s="147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BD15" s="147" t="s">
        <v>28</v>
      </c>
      <c r="BE15" s="147">
        <f t="array" ref="BE15">SUMPRODUCT((((E11:E16=BD15)+(H11:H16=BD15))&gt;0)*ISNUMBER(F11:F16)*ISNUMBER(G11:G16))</f>
        <v>3</v>
      </c>
      <c r="BF15" s="147">
        <f t="array" ref="BF15">SUMPRODUCT((E11:E16=BD15)*ISNUMBER(F11:F16)*ISNUMBER(G11:G16)*(F11:F16&gt;G11:G16))+SUMPRODUCT((H11:H16=BD15)*ISNUMBER(F11:F16)*ISNUMBER(G11:G16)*(G11:G16&gt;F11:F16))</f>
        <v>2</v>
      </c>
      <c r="BG15" s="147">
        <f t="array" ref="BG15">SUMPRODUCT((((E11:E16=BD15)+(H11:H16=BD15))&gt;0)*ISNUMBER(F11:F16)*ISNUMBER(G11:G16)*(F11:F16=G11:G16))</f>
        <v>1</v>
      </c>
      <c r="BH15" s="147">
        <f>BE15-BF15-BG15</f>
        <v>0</v>
      </c>
      <c r="BI15" s="147">
        <f t="array" ref="BI15">SUMPRODUCT((E11:E16=BD15)*IFERROR(F11:F16,0))+SUMPRODUCT((H11:H16=BD15)*IFERROR(G11:G16,0))</f>
        <v>7</v>
      </c>
      <c r="BJ15" s="147">
        <f t="array" ref="BJ15">SUMPRODUCT((E11:E16=BD15)*IFERROR(G11:G16,0))+SUMPRODUCT((H11:H16=BD15)*IFERROR(F11:F16,0))</f>
        <v>3</v>
      </c>
      <c r="BK15" s="147">
        <f>BF15*3+BG15</f>
        <v>7</v>
      </c>
      <c r="BL15" s="147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 s="147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 s="147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 s="147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BD18" s="147" t="s">
        <v>29</v>
      </c>
      <c r="BE18" s="147">
        <f t="array" ref="BE18">SUMPRODUCT((((E17:E22=BD18)+(H17:H22=BD18))&gt;0)*ISNUMBER(F17:F22)*ISNUMBER(G17:G22))</f>
        <v>3</v>
      </c>
      <c r="BF18" s="147">
        <f t="array" ref="BF18">SUMPRODUCT((E17:E22=BD18)*ISNUMBER(F17:F22)*ISNUMBER(G17:G22)*(F17:F22&gt;G17:G22))+SUMPRODUCT((H17:H22=BD18)*ISNUMBER(F17:F22)*ISNUMBER(G17:G22)*(G17:G22&gt;F17:F22))</f>
        <v>2</v>
      </c>
      <c r="BG18" s="147">
        <f t="array" ref="BG18">SUMPRODUCT((((E17:E22=BD18)+(H17:H22=BD18))&gt;0)*ISNUMBER(F17:F22)*ISNUMBER(G17:G22)*(F17:F22=G17:G22))</f>
        <v>1</v>
      </c>
      <c r="BH18" s="147">
        <f>BE18-BF18-BG18</f>
        <v>0</v>
      </c>
      <c r="BI18" s="147">
        <f t="array" ref="BI18">SUMPRODUCT((E17:E22=BD18)*IFERROR(F17:F22,0))+SUMPRODUCT((H17:H22=BD18)*IFERROR(G17:G22,0))</f>
        <v>7</v>
      </c>
      <c r="BJ18" s="147">
        <f t="array" ref="BJ18">SUMPRODUCT((E17:E22=BD18)*IFERROR(G17:G22,0))+SUMPRODUCT((H17:H22=BD18)*IFERROR(F17:F22,0))</f>
        <v>1</v>
      </c>
      <c r="BK18" s="147">
        <f>BF18*3+BG18</f>
        <v>7</v>
      </c>
      <c r="BL18" s="147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 s="147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 s="147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 s="147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BD19" s="147" t="s">
        <v>30</v>
      </c>
      <c r="BE19" s="147">
        <f t="array" ref="BE19">SUMPRODUCT((((E17:E22=BD19)+(H17:H22=BD19))&gt;0)*ISNUMBER(F17:F22)*ISNUMBER(G17:G22))</f>
        <v>3</v>
      </c>
      <c r="BF19" s="147">
        <f t="array" ref="BF19">SUMPRODUCT((E17:E22=BD19)*ISNUMBER(F17:F22)*ISNUMBER(G17:G22)*(F17:F22&gt;G17:G22))+SUMPRODUCT((H17:H22=BD19)*ISNUMBER(F17:F22)*ISNUMBER(G17:G22)*(G17:G22&gt;F17:F22))</f>
        <v>2</v>
      </c>
      <c r="BG19" s="147">
        <f t="array" ref="BG19">SUMPRODUCT((((E17:E22=BD19)+(H17:H22=BD19))&gt;0)*ISNUMBER(F17:F22)*ISNUMBER(G17:G22)*(F17:F22=G17:G22))</f>
        <v>1</v>
      </c>
      <c r="BH19" s="147">
        <f>BE19-BF19-BG19</f>
        <v>0</v>
      </c>
      <c r="BI19" s="147">
        <f t="array" ref="BI19">SUMPRODUCT((E17:E22=BD19)*IFERROR(F17:F22,0))+SUMPRODUCT((H17:H22=BD19)*IFERROR(G17:G22,0))</f>
        <v>6</v>
      </c>
      <c r="BJ19" s="147">
        <f t="array" ref="BJ19">SUMPRODUCT((E17:E22=BD19)*IFERROR(G17:G22,0))+SUMPRODUCT((H17:H22=BD19)*IFERROR(F17:F22,0))</f>
        <v>3</v>
      </c>
      <c r="BK19" s="147">
        <f>BF19*3+BG19</f>
        <v>7</v>
      </c>
      <c r="BL19" s="147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 s="147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 s="147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 s="147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BD20" s="147" t="s">
        <v>33</v>
      </c>
      <c r="BE20" s="147">
        <f t="array" ref="BE20">SUMPRODUCT((((E17:E22=BD20)+(H17:H22=BD20))&gt;0)*ISNUMBER(F17:F22)*ISNUMBER(G17:G22))</f>
        <v>3</v>
      </c>
      <c r="BF20" s="147">
        <f t="array" ref="BF20">SUMPRODUCT((E17:E22=BD20)*ISNUMBER(F17:F22)*ISNUMBER(G17:G22)*(F17:F22&gt;G17:G22))+SUMPRODUCT((H17:H22=BD20)*ISNUMBER(F17:F22)*ISNUMBER(G17:G22)*(G17:G22&gt;F17:F22))</f>
        <v>0</v>
      </c>
      <c r="BG20" s="147">
        <f t="array" ref="BG20">SUMPRODUCT((((E17:E22=BD20)+(H17:H22=BD20))&gt;0)*ISNUMBER(F17:F22)*ISNUMBER(G17:G22)*(F17:F22=G17:G22))</f>
        <v>0</v>
      </c>
      <c r="BH20" s="147">
        <f>BE20-BF20-BG20</f>
        <v>3</v>
      </c>
      <c r="BI20" s="147">
        <f t="array" ref="BI20">SUMPRODUCT((E17:E22=BD20)*IFERROR(F17:F22,0))+SUMPRODUCT((H17:H22=BD20)*IFERROR(G17:G22,0))</f>
        <v>2</v>
      </c>
      <c r="BJ20" s="147">
        <f t="array" ref="BJ20">SUMPRODUCT((E17:E22=BD20)*IFERROR(G17:G22,0))+SUMPRODUCT((H17:H22=BD20)*IFERROR(F17:F22,0))</f>
        <v>8</v>
      </c>
      <c r="BK20" s="147">
        <f>BF20*3+BG20</f>
        <v>0</v>
      </c>
      <c r="BL20" s="147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 s="147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 s="147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 s="147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BD21" s="147" t="s">
        <v>34</v>
      </c>
      <c r="BE21" s="147">
        <f t="array" ref="BE21">SUMPRODUCT((((E17:E22=BD21)+(H17:H22=BD21))&gt;0)*ISNUMBER(F17:F22)*ISNUMBER(G17:G22))</f>
        <v>3</v>
      </c>
      <c r="BF21" s="147">
        <f t="array" ref="BF21">SUMPRODUCT((E17:E22=BD21)*ISNUMBER(F17:F22)*ISNUMBER(G17:G22)*(F17:F22&gt;G17:G22))+SUMPRODUCT((H17:H22=BD21)*ISNUMBER(F17:F22)*ISNUMBER(G17:G22)*(G17:G22&gt;F17:F22))</f>
        <v>1</v>
      </c>
      <c r="BG21" s="147">
        <f t="array" ref="BG21">SUMPRODUCT((((E17:E22=BD21)+(H17:H22=BD21))&gt;0)*ISNUMBER(F17:F22)*ISNUMBER(G17:G22)*(F17:F22=G17:G22))</f>
        <v>0</v>
      </c>
      <c r="BH21" s="147">
        <f>BE21-BF21-BG21</f>
        <v>2</v>
      </c>
      <c r="BI21" s="147">
        <f t="array" ref="BI21">SUMPRODUCT((E17:E22=BD21)*IFERROR(F17:F22,0))+SUMPRODUCT((H17:H22=BD21)*IFERROR(G17:G22,0))</f>
        <v>1</v>
      </c>
      <c r="BJ21" s="147">
        <f t="array" ref="BJ21">SUMPRODUCT((E17:E22=BD21)*IFERROR(G17:G22,0))+SUMPRODUCT((H17:H22=BD21)*IFERROR(F17:F22,0))</f>
        <v>4</v>
      </c>
      <c r="BK21" s="147">
        <f>BF21*3+BG21</f>
        <v>3</v>
      </c>
      <c r="BL21" s="147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 s="147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 s="147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 s="147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BD24" s="147" t="s">
        <v>35</v>
      </c>
      <c r="BE24" s="147">
        <f t="array" ref="BE24">SUMPRODUCT((((E23:E28=BD24)+(H23:H28=BD24))&gt;0)*ISNUMBER(F23:F28)*ISNUMBER(G23:G28))</f>
        <v>3</v>
      </c>
      <c r="BF24" s="147">
        <f t="array" ref="BF24">SUMPRODUCT((E23:E28=BD24)*ISNUMBER(F23:F28)*ISNUMBER(G23:G28)*(F23:F28&gt;G23:G28))+SUMPRODUCT((H23:H28=BD24)*ISNUMBER(F23:F28)*ISNUMBER(G23:G28)*(G23:G28&gt;F23:F28))</f>
        <v>2</v>
      </c>
      <c r="BG24" s="147">
        <f t="array" ref="BG24">SUMPRODUCT((((E23:E28=BD24)+(H23:H28=BD24))&gt;0)*ISNUMBER(F23:F28)*ISNUMBER(G23:G28)*(F23:F28=G23:G28))</f>
        <v>0</v>
      </c>
      <c r="BH24" s="147">
        <f>BE24-BF24-BG24</f>
        <v>1</v>
      </c>
      <c r="BI24" s="147">
        <f t="array" ref="BI24">SUMPRODUCT((E23:E28=BD24)*IFERROR(F23:F28,0))+SUMPRODUCT((H23:H28=BD24)*IFERROR(G23:G28,0))</f>
        <v>8</v>
      </c>
      <c r="BJ24" s="147">
        <f t="array" ref="BJ24">SUMPRODUCT((E23:E28=BD24)*IFERROR(G23:G28,0))+SUMPRODUCT((H23:H28=BD24)*IFERROR(F23:F28,0))</f>
        <v>4</v>
      </c>
      <c r="BK24" s="147">
        <f>BF24*3+BG24</f>
        <v>6</v>
      </c>
      <c r="BL24" s="147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 s="147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 s="147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 s="147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BD25" s="147" t="s">
        <v>36</v>
      </c>
      <c r="BE25" s="147">
        <f t="array" ref="BE25">SUMPRODUCT((((E23:E28=BD25)+(H23:H28=BD25))&gt;0)*ISNUMBER(F23:F28)*ISNUMBER(G23:G28))</f>
        <v>3</v>
      </c>
      <c r="BF25" s="147">
        <f t="array" ref="BF25">SUMPRODUCT((E23:E28=BD25)*ISNUMBER(F23:F28)*ISNUMBER(G23:G28)*(F23:F28&gt;G23:G28))+SUMPRODUCT((H23:H28=BD25)*ISNUMBER(F23:F28)*ISNUMBER(G23:G28)*(G23:G28&gt;F23:F28))</f>
        <v>1</v>
      </c>
      <c r="BG25" s="147">
        <f t="array" ref="BG25">SUMPRODUCT((((E23:E28=BD25)+(H23:H28=BD25))&gt;0)*ISNUMBER(F23:F28)*ISNUMBER(G23:G28)*(F23:F28=G23:G28))</f>
        <v>1</v>
      </c>
      <c r="BH25" s="147">
        <f>BE25-BF25-BG25</f>
        <v>1</v>
      </c>
      <c r="BI25" s="147">
        <f t="array" ref="BI25">SUMPRODUCT((E23:E28=BD25)*IFERROR(F23:F28,0))+SUMPRODUCT((H23:H28=BD25)*IFERROR(G23:G28,0))</f>
        <v>2</v>
      </c>
      <c r="BJ25" s="147">
        <f t="array" ref="BJ25">SUMPRODUCT((E23:E28=BD25)*IFERROR(G23:G28,0))+SUMPRODUCT((H23:H28=BD25)*IFERROR(F23:F28,0))</f>
        <v>4</v>
      </c>
      <c r="BK25" s="147">
        <f>BF25*3+BG25</f>
        <v>4</v>
      </c>
      <c r="BL25" s="147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 s="147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 s="147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 s="147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BD26" s="147" t="s">
        <v>38</v>
      </c>
      <c r="BE26" s="147">
        <f t="array" ref="BE26">SUMPRODUCT((((E23:E28=BD26)+(H23:H28=BD26))&gt;0)*ISNUMBER(F23:F28)*ISNUMBER(G23:G28))</f>
        <v>3</v>
      </c>
      <c r="BF26" s="147">
        <f t="array" ref="BF26">SUMPRODUCT((E23:E28=BD26)*ISNUMBER(F23:F28)*ISNUMBER(G23:G28)*(F23:F28&gt;G23:G28))+SUMPRODUCT((H23:H28=BD26)*ISNUMBER(F23:F28)*ISNUMBER(G23:G28)*(G23:G28&gt;F23:F28))</f>
        <v>1</v>
      </c>
      <c r="BG26" s="147">
        <f t="array" ref="BG26">SUMPRODUCT((((E23:E28=BD26)+(H23:H28=BD26))&gt;0)*ISNUMBER(F23:F28)*ISNUMBER(G23:G28)*(F23:F28=G23:G28))</f>
        <v>1</v>
      </c>
      <c r="BH26" s="147">
        <f>BE26-BF26-BG26</f>
        <v>1</v>
      </c>
      <c r="BI26" s="147">
        <f t="array" ref="BI26">SUMPRODUCT((E23:E28=BD26)*IFERROR(F23:F28,0))+SUMPRODUCT((H23:H28=BD26)*IFERROR(G23:G28,0))</f>
        <v>2</v>
      </c>
      <c r="BJ26" s="147">
        <f t="array" ref="BJ26">SUMPRODUCT((E23:E28=BD26)*IFERROR(G23:G28,0))+SUMPRODUCT((H23:H28=BD26)*IFERROR(F23:F28,0))</f>
        <v>2</v>
      </c>
      <c r="BK26" s="147">
        <f>BF26*3+BG26</f>
        <v>4</v>
      </c>
      <c r="BL26" s="147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 s="147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 s="147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 s="147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BD27" s="147" t="s">
        <v>39</v>
      </c>
      <c r="BE27" s="147">
        <f t="array" ref="BE27">SUMPRODUCT((((E23:E28=BD27)+(H23:H28=BD27))&gt;0)*ISNUMBER(F23:F28)*ISNUMBER(G23:G28))</f>
        <v>3</v>
      </c>
      <c r="BF27" s="147">
        <f t="array" ref="BF27">SUMPRODUCT((E23:E28=BD27)*ISNUMBER(F23:F28)*ISNUMBER(G23:G28)*(F23:F28&gt;G23:G28))+SUMPRODUCT((H23:H28=BD27)*ISNUMBER(F23:F28)*ISNUMBER(G23:G28)*(G23:G28&gt;F23:F28))</f>
        <v>1</v>
      </c>
      <c r="BG27" s="147">
        <f t="array" ref="BG27">SUMPRODUCT((((E23:E28=BD27)+(H23:H28=BD27))&gt;0)*ISNUMBER(F23:F28)*ISNUMBER(G23:G28)*(F23:F28=G23:G28))</f>
        <v>0</v>
      </c>
      <c r="BH27" s="147">
        <f>BE27-BF27-BG27</f>
        <v>2</v>
      </c>
      <c r="BI27" s="147">
        <f t="array" ref="BI27">SUMPRODUCT((E23:E28=BD27)*IFERROR(F23:F28,0))+SUMPRODUCT((H23:H28=BD27)*IFERROR(G23:G28,0))</f>
        <v>3</v>
      </c>
      <c r="BJ27" s="147">
        <f t="array" ref="BJ27">SUMPRODUCT((E23:E28=BD27)*IFERROR(G23:G28,0))+SUMPRODUCT((H23:H28=BD27)*IFERROR(F23:F28,0))</f>
        <v>5</v>
      </c>
      <c r="BK27" s="147">
        <f>BF27*3+BG27</f>
        <v>3</v>
      </c>
      <c r="BL27" s="14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 s="14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 s="14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 s="14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BD30" s="147" t="s">
        <v>40</v>
      </c>
      <c r="BE30" s="147">
        <f t="array" ref="BE30">SUMPRODUCT((((E29:E34=BD30)+(H29:H34=BD30))&gt;0)*ISNUMBER(F29:F34)*ISNUMBER(G29:G34))</f>
        <v>3</v>
      </c>
      <c r="BF30" s="147">
        <f t="array" ref="BF30">SUMPRODUCT((E29:E34=BD30)*ISNUMBER(F29:F34)*ISNUMBER(G29:G34)*(F29:F34&gt;G29:G34))+SUMPRODUCT((H29:H34=BD30)*ISNUMBER(F29:F34)*ISNUMBER(G29:G34)*(G29:G34&gt;F29:F34))</f>
        <v>2</v>
      </c>
      <c r="BG30" s="147">
        <f t="array" ref="BG30">SUMPRODUCT((((E29:E34=BD30)+(H29:H34=BD30))&gt;0)*ISNUMBER(F29:F34)*ISNUMBER(G29:G34)*(F29:F34=G29:G34))</f>
        <v>0</v>
      </c>
      <c r="BH30" s="147">
        <f>BE30-BF30-BG30</f>
        <v>1</v>
      </c>
      <c r="BI30" s="147">
        <f t="array" ref="BI30">SUMPRODUCT((E29:E34=BD30)*IFERROR(F29:F34,0))+SUMPRODUCT((H29:H34=BD30)*IFERROR(G29:G34,0))</f>
        <v>10</v>
      </c>
      <c r="BJ30" s="147">
        <f t="array" ref="BJ30">SUMPRODUCT((E29:E34=BD30)*IFERROR(G29:G34,0))+SUMPRODUCT((H29:H34=BD30)*IFERROR(F29:F34,0))</f>
        <v>4</v>
      </c>
      <c r="BK30" s="147">
        <f>BF30*3+BG30</f>
        <v>6</v>
      </c>
      <c r="BL30" s="147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 s="147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 s="147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 s="147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BD31" s="147" t="s">
        <v>41</v>
      </c>
      <c r="BE31" s="147">
        <f t="array" ref="BE31">SUMPRODUCT((((E29:E34=BD31)+(H29:H34=BD31))&gt;0)*ISNUMBER(F29:F34)*ISNUMBER(G29:G34))</f>
        <v>3</v>
      </c>
      <c r="BF31" s="147">
        <f t="array" ref="BF31">SUMPRODUCT((E29:E34=BD31)*ISNUMBER(F29:F34)*ISNUMBER(G29:G34)*(F29:F34&gt;G29:G34))+SUMPRODUCT((H29:H34=BD31)*ISNUMBER(F29:F34)*ISNUMBER(G29:G34)*(G29:G34&gt;F29:F34))</f>
        <v>0</v>
      </c>
      <c r="BG31" s="147">
        <f t="array" ref="BG31">SUMPRODUCT((((E29:E34=BD31)+(H29:H34=BD31))&gt;0)*ISNUMBER(F29:F34)*ISNUMBER(G29:G34)*(F29:F34=G29:G34))</f>
        <v>1</v>
      </c>
      <c r="BH31" s="147">
        <f>BE31-BF31-BG31</f>
        <v>2</v>
      </c>
      <c r="BI31" s="147">
        <f t="array" ref="BI31">SUMPRODUCT((E29:E34=BD31)*IFERROR(F29:F34,0))+SUMPRODUCT((H29:H34=BD31)*IFERROR(G29:G34,0))</f>
        <v>1</v>
      </c>
      <c r="BJ31" s="147">
        <f t="array" ref="BJ31">SUMPRODUCT((E29:E34=BD31)*IFERROR(G29:G34,0))+SUMPRODUCT((H29:H34=BD31)*IFERROR(F29:F34,0))</f>
        <v>9</v>
      </c>
      <c r="BK31" s="147">
        <f>BF31*3+BG31</f>
        <v>1</v>
      </c>
      <c r="BL31" s="147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 s="147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 s="147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 s="147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BD32" s="147" t="s">
        <v>44</v>
      </c>
      <c r="BE32" s="147">
        <f t="array" ref="BE32">SUMPRODUCT((((E29:E34=BD32)+(H29:H34=BD32))&gt;0)*ISNUMBER(F29:F34)*ISNUMBER(G29:G34))</f>
        <v>3</v>
      </c>
      <c r="BF32" s="147">
        <f t="array" ref="BF32">SUMPRODUCT((E29:E34=BD32)*ISNUMBER(F29:F34)*ISNUMBER(G29:G34)*(F29:F34&gt;G29:G34))+SUMPRODUCT((H29:H34=BD32)*ISNUMBER(F29:F34)*ISNUMBER(G29:G34)*(G29:G34&gt;F29:F34))</f>
        <v>2</v>
      </c>
      <c r="BG32" s="147">
        <f t="array" ref="BG32">SUMPRODUCT((((E29:E34=BD32)+(H29:H34=BD32))&gt;0)*ISNUMBER(F29:F34)*ISNUMBER(G29:G34)*(F29:F34=G29:G34))</f>
        <v>0</v>
      </c>
      <c r="BH32" s="147">
        <f>BE32-BF32-BG32</f>
        <v>1</v>
      </c>
      <c r="BI32" s="147">
        <f t="array" ref="BI32">SUMPRODUCT((E29:E34=BD32)*IFERROR(F29:F34,0))+SUMPRODUCT((H29:H34=BD32)*IFERROR(G29:G34,0))</f>
        <v>4</v>
      </c>
      <c r="BJ32" s="147">
        <f t="array" ref="BJ32">SUMPRODUCT((E29:E34=BD32)*IFERROR(G29:G34,0))+SUMPRODUCT((H29:H34=BD32)*IFERROR(F29:F34,0))</f>
        <v>2</v>
      </c>
      <c r="BK32" s="147">
        <f>BF32*3+BG32</f>
        <v>6</v>
      </c>
      <c r="BL32" s="147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 s="147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 s="147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 s="147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4" t="s">
        <v>45</v>
      </c>
      <c r="F33" s="145">
        <v>2</v>
      </c>
      <c r="G33" s="145">
        <v>1</v>
      </c>
      <c r="H33" s="146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BD33" s="147" t="s">
        <v>45</v>
      </c>
      <c r="BE33" s="147">
        <f t="array" ref="BE33">SUMPRODUCT((((E29:E34=BD33)+(H29:H34=BD33))&gt;0)*ISNUMBER(F29:F34)*ISNUMBER(G29:G34))</f>
        <v>3</v>
      </c>
      <c r="BF33" s="147">
        <f t="array" ref="BF33">SUMPRODUCT((E29:E34=BD33)*ISNUMBER(F29:F34)*ISNUMBER(G29:G34)*(F29:F34&gt;G29:G34))+SUMPRODUCT((H29:H34=BD33)*ISNUMBER(F29:F34)*ISNUMBER(G29:G34)*(G29:G34&gt;F29:F34))</f>
        <v>1</v>
      </c>
      <c r="BG33" s="147">
        <f t="array" ref="BG33">SUMPRODUCT((((E29:E34=BD33)+(H29:H34=BD33))&gt;0)*ISNUMBER(F29:F34)*ISNUMBER(G29:G34)*(F29:F34=G29:G34))</f>
        <v>1</v>
      </c>
      <c r="BH33" s="147">
        <f>BE33-BF33-BG33</f>
        <v>1</v>
      </c>
      <c r="BI33" s="147">
        <f t="array" ref="BI33">SUMPRODUCT((E29:E34=BD33)*IFERROR(F29:F34,0))+SUMPRODUCT((H29:H34=BD33)*IFERROR(G29:G34,0))</f>
        <v>2</v>
      </c>
      <c r="BJ33" s="147">
        <f t="array" ref="BJ33">SUMPRODUCT((E29:E34=BD33)*IFERROR(G29:G34,0))+SUMPRODUCT((H29:H34=BD33)*IFERROR(F29:F34,0))</f>
        <v>2</v>
      </c>
      <c r="BK33" s="147">
        <f>BF33*3+BG33</f>
        <v>4</v>
      </c>
      <c r="BL33" s="147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 s="147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 s="147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 s="147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4" t="s">
        <v>41</v>
      </c>
      <c r="F34" s="145">
        <v>0</v>
      </c>
      <c r="G34" s="145">
        <v>2</v>
      </c>
      <c r="H34" s="146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49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50"/>
      <c r="BD36" s="147" t="s">
        <v>46</v>
      </c>
      <c r="BE36" s="147">
        <f t="array" ref="BE36">SUMPRODUCT((((E35:E40=BD36)+(H35:H40=BD36))&gt;0)*ISNUMBER(F35:F40)*ISNUMBER(G35:G40))</f>
        <v>3</v>
      </c>
      <c r="BF36" s="147">
        <f t="array" ref="BF36">SUMPRODUCT((E35:E40=BD36)*ISNUMBER(F35:F40)*ISNUMBER(G35:G40)*(F35:F40&gt;G35:G40))+SUMPRODUCT((H35:H40=BD36)*ISNUMBER(F35:F40)*ISNUMBER(G35:G40)*(G35:G40&gt;F35:F40))</f>
        <v>2</v>
      </c>
      <c r="BG36" s="147">
        <f t="array" ref="BG36">SUMPRODUCT((((E35:E40=BD36)+(H35:H40=BD36))&gt;0)*ISNUMBER(F35:F40)*ISNUMBER(G35:G40)*(F35:F40=G35:G40))</f>
        <v>1</v>
      </c>
      <c r="BH36" s="147">
        <f>BE36-BF36-BG36</f>
        <v>0</v>
      </c>
      <c r="BI36" s="147">
        <f t="array" ref="BI36">SUMPRODUCT((E35:E40=BD36)*IFERROR(F35:F40,0))+SUMPRODUCT((H35:H40=BD36)*IFERROR(G35:G40,0))</f>
        <v>10</v>
      </c>
      <c r="BJ36" s="147">
        <f t="array" ref="BJ36">SUMPRODUCT((E35:E40=BD36)*IFERROR(G35:G40,0))+SUMPRODUCT((H35:H40=BD36)*IFERROR(F35:F40,0))</f>
        <v>4</v>
      </c>
      <c r="BK36" s="147">
        <f>BF36*3+BG36</f>
        <v>7</v>
      </c>
      <c r="BL36" s="147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 s="147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 s="147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 s="147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BD37" s="147" t="s">
        <v>47</v>
      </c>
      <c r="BE37" s="147">
        <f t="array" ref="BE37">SUMPRODUCT((((E35:E40=BD37)+(H35:H40=BD37))&gt;0)*ISNUMBER(F35:F40)*ISNUMBER(G35:G40))</f>
        <v>3</v>
      </c>
      <c r="BF37" s="147">
        <f t="array" ref="BF37">SUMPRODUCT((E35:E40=BD37)*ISNUMBER(F35:F40)*ISNUMBER(G35:G40)*(F35:F40&gt;G35:G40))+SUMPRODUCT((H35:H40=BD37)*ISNUMBER(F35:F40)*ISNUMBER(G35:G40)*(G35:G40&gt;F35:F40))</f>
        <v>1</v>
      </c>
      <c r="BG37" s="147">
        <f t="array" ref="BG37">SUMPRODUCT((((E35:E40=BD37)+(H35:H40=BD37))&gt;0)*ISNUMBER(F35:F40)*ISNUMBER(G35:G40)*(F35:F40=G35:G40))</f>
        <v>2</v>
      </c>
      <c r="BH37" s="147">
        <f>BE37-BF37-BG37</f>
        <v>0</v>
      </c>
      <c r="BI37" s="147">
        <f t="array" ref="BI37">SUMPRODUCT((E35:E40=BD37)*IFERROR(F35:F40,0))+SUMPRODUCT((H35:H40=BD37)*IFERROR(G35:G40,0))</f>
        <v>7</v>
      </c>
      <c r="BJ37" s="147">
        <f t="array" ref="BJ37">SUMPRODUCT((E35:E40=BD37)*IFERROR(G35:G40,0))+SUMPRODUCT((H35:H40=BD37)*IFERROR(F35:F40,0))</f>
        <v>3</v>
      </c>
      <c r="BK37" s="147">
        <f>BF37*3+BG37</f>
        <v>5</v>
      </c>
      <c r="BL37" s="14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 s="14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 s="14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 s="14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5" t="s">
        <v>52</v>
      </c>
      <c r="AJ38" s="155"/>
      <c r="AK38" s="155"/>
      <c r="AL38" s="155"/>
      <c r="BD38" s="147" t="s">
        <v>50</v>
      </c>
      <c r="BE38" s="147">
        <f t="array" ref="BE38">SUMPRODUCT((((E35:E40=BD38)+(H35:H40=BD38))&gt;0)*ISNUMBER(F35:F40)*ISNUMBER(G35:G40))</f>
        <v>3</v>
      </c>
      <c r="BF38" s="147">
        <f t="array" ref="BF38">SUMPRODUCT((E35:E40=BD38)*ISNUMBER(F35:F40)*ISNUMBER(G35:G40)*(F35:F40&gt;G35:G40))+SUMPRODUCT((H35:H40=BD38)*ISNUMBER(F35:F40)*ISNUMBER(G35:G40)*(G35:G40&gt;F35:F40))</f>
        <v>1</v>
      </c>
      <c r="BG38" s="147">
        <f t="array" ref="BG38">SUMPRODUCT((((E35:E40=BD38)+(H35:H40=BD38))&gt;0)*ISNUMBER(F35:F40)*ISNUMBER(G35:G40)*(F35:F40=G35:G40))</f>
        <v>1</v>
      </c>
      <c r="BH38" s="147">
        <f>BE38-BF38-BG38</f>
        <v>1</v>
      </c>
      <c r="BI38" s="147">
        <f t="array" ref="BI38">SUMPRODUCT((E35:E40=BD38)*IFERROR(F35:F40,0))+SUMPRODUCT((H35:H40=BD38)*IFERROR(G35:G40,0))</f>
        <v>7</v>
      </c>
      <c r="BJ38" s="147">
        <f t="array" ref="BJ38">SUMPRODUCT((E35:E40=BD38)*IFERROR(G35:G40,0))+SUMPRODUCT((H35:H40=BD38)*IFERROR(F35:F40,0))</f>
        <v>7</v>
      </c>
      <c r="BK38" s="147">
        <f>BF38*3+BG38</f>
        <v>4</v>
      </c>
      <c r="BL38" s="147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 s="147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 s="147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 s="147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BD39" s="147" t="s">
        <v>51</v>
      </c>
      <c r="BE39" s="147">
        <f t="array" ref="BE39">SUMPRODUCT((((E35:E40=BD39)+(H35:H40=BD39))&gt;0)*ISNUMBER(F35:F40)*ISNUMBER(G35:G40))</f>
        <v>3</v>
      </c>
      <c r="BF39" s="147">
        <f t="array" ref="BF39">SUMPRODUCT((E35:E40=BD39)*ISNUMBER(F35:F40)*ISNUMBER(G35:G40)*(F35:F40&gt;G35:G40))+SUMPRODUCT((H35:H40=BD39)*ISNUMBER(F35:F40)*ISNUMBER(G35:G40)*(G35:G40&gt;F35:F40))</f>
        <v>0</v>
      </c>
      <c r="BG39" s="147">
        <f t="array" ref="BG39">SUMPRODUCT((((E35:E40=BD39)+(H35:H40=BD39))&gt;0)*ISNUMBER(F35:F40)*ISNUMBER(G35:G40)*(F35:F40=G35:G40))</f>
        <v>0</v>
      </c>
      <c r="BH39" s="147">
        <f>BE39-BF39-BG39</f>
        <v>3</v>
      </c>
      <c r="BI39" s="147">
        <f t="array" ref="BI39">SUMPRODUCT((E35:E40=BD39)*IFERROR(F35:F40,0))+SUMPRODUCT((H35:H40=BD39)*IFERROR(G35:G40,0))</f>
        <v>2</v>
      </c>
      <c r="BJ39" s="147">
        <f t="array" ref="BJ39">SUMPRODUCT((E35:E40=BD39)*IFERROR(G35:G40,0))+SUMPRODUCT((H35:H40=BD39)*IFERROR(F35:F40,0))</f>
        <v>12</v>
      </c>
      <c r="BK39" s="147">
        <f>BF39*3+BG39</f>
        <v>0</v>
      </c>
      <c r="BL39" s="147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 s="147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 s="147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 s="147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6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6"/>
      <c r="AK40" s="21"/>
      <c r="AL40" s="151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3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2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7" t="s">
        <v>59</v>
      </c>
      <c r="AJ42" s="157"/>
      <c r="AK42" s="157"/>
      <c r="AL42" s="157"/>
      <c r="BD42" s="147" t="s">
        <v>53</v>
      </c>
      <c r="BE42" s="147">
        <f t="array" ref="BE42">SUMPRODUCT((((E41:E46=BD42)+(H41:H46=BD42))&gt;0)*ISNUMBER(F41:F46)*ISNUMBER(G41:G46))</f>
        <v>3</v>
      </c>
      <c r="BF42" s="147">
        <f t="array" ref="BF42">SUMPRODUCT((E41:E46=BD42)*ISNUMBER(F41:F46)*ISNUMBER(G41:G46)*(F41:F46&gt;G41:G46))+SUMPRODUCT((H41:H46=BD42)*ISNUMBER(F41:F46)*ISNUMBER(G41:G46)*(G41:G46&gt;F41:F46))</f>
        <v>1</v>
      </c>
      <c r="BG42" s="147">
        <f t="array" ref="BG42">SUMPRODUCT((((E41:E46=BD42)+(H41:H46=BD42))&gt;0)*ISNUMBER(F41:F46)*ISNUMBER(G41:G46)*(F41:F46=G41:G46))</f>
        <v>2</v>
      </c>
      <c r="BH42" s="147">
        <f>BE42-BF42-BG42</f>
        <v>0</v>
      </c>
      <c r="BI42" s="147">
        <f t="array" ref="BI42">SUMPRODUCT((E41:E46=BD42)*IFERROR(F41:F46,0))+SUMPRODUCT((H41:H46=BD42)*IFERROR(G41:G46,0))</f>
        <v>6</v>
      </c>
      <c r="BJ42" s="147">
        <f t="array" ref="BJ42">SUMPRODUCT((E41:E46=BD42)*IFERROR(G41:G46,0))+SUMPRODUCT((H41:H46=BD42)*IFERROR(F41:F46,0))</f>
        <v>2</v>
      </c>
      <c r="BK42" s="147">
        <f>BF42*3+BG42</f>
        <v>5</v>
      </c>
      <c r="BL42" s="147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 s="147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 s="147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 s="147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49"/>
      <c r="BD43" s="147" t="s">
        <v>54</v>
      </c>
      <c r="BE43" s="147">
        <f t="array" ref="BE43">SUMPRODUCT((((E41:E46=BD43)+(H41:H46=BD43))&gt;0)*ISNUMBER(F41:F46)*ISNUMBER(G41:G46))</f>
        <v>3</v>
      </c>
      <c r="BF43" s="147">
        <f t="array" ref="BF43">SUMPRODUCT((E41:E46=BD43)*ISNUMBER(F41:F46)*ISNUMBER(G41:G46)*(F41:F46&gt;G41:G46))+SUMPRODUCT((H41:H46=BD43)*ISNUMBER(F41:F46)*ISNUMBER(G41:G46)*(G41:G46&gt;F41:F46))</f>
        <v>1</v>
      </c>
      <c r="BG43" s="147">
        <f t="array" ref="BG43">SUMPRODUCT((((E41:E46=BD43)+(H41:H46=BD43))&gt;0)*ISNUMBER(F41:F46)*ISNUMBER(G41:G46)*(F41:F46=G41:G46))</f>
        <v>2</v>
      </c>
      <c r="BH43" s="147">
        <f>BE43-BF43-BG43</f>
        <v>0</v>
      </c>
      <c r="BI43" s="147">
        <f t="array" ref="BI43">SUMPRODUCT((E41:E46=BD43)*IFERROR(F41:F46,0))+SUMPRODUCT((H41:H46=BD43)*IFERROR(G41:G46,0))</f>
        <v>5</v>
      </c>
      <c r="BJ43" s="147">
        <f t="array" ref="BJ43">SUMPRODUCT((E41:E46=BD43)*IFERROR(G41:G46,0))+SUMPRODUCT((H41:H46=BD43)*IFERROR(F41:F46,0))</f>
        <v>3</v>
      </c>
      <c r="BK43" s="147">
        <f>BF43*3+BG43</f>
        <v>5</v>
      </c>
      <c r="BL43" s="147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 s="147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 s="147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 s="147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50"/>
      <c r="BD44" s="147" t="s">
        <v>57</v>
      </c>
      <c r="BE44" s="147">
        <f t="array" ref="BE44">SUMPRODUCT((((E41:E46=BD44)+(H41:H46=BD44))&gt;0)*ISNUMBER(F41:F46)*ISNUMBER(G41:G46))</f>
        <v>3</v>
      </c>
      <c r="BF44" s="147">
        <f t="array" ref="BF44">SUMPRODUCT((E41:E46=BD44)*ISNUMBER(F41:F46)*ISNUMBER(G41:G46)*(F41:F46&gt;G41:G46))+SUMPRODUCT((H41:H46=BD44)*ISNUMBER(F41:F46)*ISNUMBER(G41:G46)*(G41:G46&gt;F41:F46))</f>
        <v>0</v>
      </c>
      <c r="BG44" s="147">
        <f t="array" ref="BG44">SUMPRODUCT((((E41:E46=BD44)+(H41:H46=BD44))&gt;0)*ISNUMBER(F41:F46)*ISNUMBER(G41:G46)*(F41:F46=G41:G46))</f>
        <v>3</v>
      </c>
      <c r="BH44" s="147">
        <f>BE44-BF44-BG44</f>
        <v>0</v>
      </c>
      <c r="BI44" s="147">
        <f t="array" ref="BI44">SUMPRODUCT((E41:E46=BD44)*IFERROR(F41:F46,0))+SUMPRODUCT((H41:H46=BD44)*IFERROR(G41:G46,0))</f>
        <v>3</v>
      </c>
      <c r="BJ44" s="147">
        <f t="array" ref="BJ44">SUMPRODUCT((E41:E46=BD44)*IFERROR(G41:G46,0))+SUMPRODUCT((H41:H46=BD44)*IFERROR(F41:F46,0))</f>
        <v>3</v>
      </c>
      <c r="BK44" s="147">
        <f>BF44*3+BG44</f>
        <v>3</v>
      </c>
      <c r="BL44" s="147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 s="147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 s="147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 s="147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BD45" s="147" t="s">
        <v>58</v>
      </c>
      <c r="BE45" s="147">
        <f t="array" ref="BE45">SUMPRODUCT((((E41:E46=BD45)+(H41:H46=BD45))&gt;0)*ISNUMBER(F41:F46)*ISNUMBER(G41:G46))</f>
        <v>3</v>
      </c>
      <c r="BF45" s="147">
        <f t="array" ref="BF45">SUMPRODUCT((E41:E46=BD45)*ISNUMBER(F41:F46)*ISNUMBER(G41:G46)*(F41:F46&gt;G41:G46))+SUMPRODUCT((H41:H46=BD45)*ISNUMBER(F41:F46)*ISNUMBER(G41:G46)*(G41:G46&gt;F41:F46))</f>
        <v>0</v>
      </c>
      <c r="BG45" s="147">
        <f t="array" ref="BG45">SUMPRODUCT((((E41:E46=BD45)+(H41:H46=BD45))&gt;0)*ISNUMBER(F41:F46)*ISNUMBER(G41:G46)*(F41:F46=G41:G46))</f>
        <v>1</v>
      </c>
      <c r="BH45" s="147">
        <f>BE45-BF45-BG45</f>
        <v>2</v>
      </c>
      <c r="BI45" s="147">
        <f t="array" ref="BI45">SUMPRODUCT((E41:E46=BD45)*IFERROR(F41:F46,0))+SUMPRODUCT((H41:H46=BD45)*IFERROR(G41:G46,0))</f>
        <v>4</v>
      </c>
      <c r="BJ45" s="147">
        <f t="array" ref="BJ45">SUMPRODUCT((E41:E46=BD45)*IFERROR(G41:G46,0))+SUMPRODUCT((H41:H46=BD45)*IFERROR(F41:F46,0))</f>
        <v>10</v>
      </c>
      <c r="BK45" s="147">
        <f>BF45*3+BG45</f>
        <v>1</v>
      </c>
      <c r="BL45" s="147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 s="147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 s="147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 s="147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BD48" s="147" t="s">
        <v>60</v>
      </c>
      <c r="BE48" s="147">
        <f t="array" ref="BE48">SUMPRODUCT((((E47:E52=BD48)+(H47:H52=BD48))&gt;0)*ISNUMBER(F47:F52)*ISNUMBER(G47:G52))</f>
        <v>3</v>
      </c>
      <c r="BF48" s="147">
        <f t="array" ref="BF48">SUMPRODUCT((E47:E52=BD48)*ISNUMBER(F47:F52)*ISNUMBER(G47:G52)*(F47:F52&gt;G47:G52))+SUMPRODUCT((H47:H52=BD48)*ISNUMBER(F47:F52)*ISNUMBER(G47:G52)*(G47:G52&gt;F47:F52))</f>
        <v>2</v>
      </c>
      <c r="BG48" s="147">
        <f t="array" ref="BG48">SUMPRODUCT((((E47:E52=BD48)+(H47:H52=BD48))&gt;0)*ISNUMBER(F47:F52)*ISNUMBER(G47:G52)*(F47:F52=G47:G52))</f>
        <v>1</v>
      </c>
      <c r="BH48" s="147">
        <f>BE48-BF48-BG48</f>
        <v>0</v>
      </c>
      <c r="BI48" s="147">
        <f t="array" ref="BI48">SUMPRODUCT((E47:E52=BD48)*IFERROR(F47:F52,0))+SUMPRODUCT((H47:H52=BD48)*IFERROR(G47:G52,0))</f>
        <v>5</v>
      </c>
      <c r="BJ48" s="147">
        <f t="array" ref="BJ48">SUMPRODUCT((E47:E52=BD48)*IFERROR(G47:G52,0))+SUMPRODUCT((H47:H52=BD48)*IFERROR(F47:F52,0))</f>
        <v>0</v>
      </c>
      <c r="BK48" s="147">
        <f>BF48*3+BG48</f>
        <v>7</v>
      </c>
      <c r="BL48" s="147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 s="147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 s="147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 s="147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BD49" s="147" t="s">
        <v>61</v>
      </c>
      <c r="BE49" s="147">
        <f t="array" ref="BE49">SUMPRODUCT((((E47:E52=BD49)+(H47:H52=BD49))&gt;0)*ISNUMBER(F47:F52)*ISNUMBER(G47:G52))</f>
        <v>3</v>
      </c>
      <c r="BF49" s="147">
        <f t="array" ref="BF49">SUMPRODUCT((E47:E52=BD49)*ISNUMBER(F47:F52)*ISNUMBER(G47:G52)*(F47:F52&gt;G47:G52))+SUMPRODUCT((H47:H52=BD49)*ISNUMBER(F47:F52)*ISNUMBER(G47:G52)*(G47:G52&gt;F47:F52))</f>
        <v>0</v>
      </c>
      <c r="BG49" s="147">
        <f t="array" ref="BG49">SUMPRODUCT((((E47:E52=BD49)+(H47:H52=BD49))&gt;0)*ISNUMBER(F47:F52)*ISNUMBER(G47:G52)*(F47:F52=G47:G52))</f>
        <v>3</v>
      </c>
      <c r="BH49" s="147">
        <f>BE49-BF49-BG49</f>
        <v>0</v>
      </c>
      <c r="BI49" s="147">
        <f t="array" ref="BI49">SUMPRODUCT((E47:E52=BD49)*IFERROR(F47:F52,0))+SUMPRODUCT((H47:H52=BD49)*IFERROR(G47:G52,0))</f>
        <v>2</v>
      </c>
      <c r="BJ49" s="147">
        <f t="array" ref="BJ49">SUMPRODUCT((E47:E52=BD49)*IFERROR(G47:G52,0))+SUMPRODUCT((H47:H52=BD49)*IFERROR(F47:F52,0))</f>
        <v>2</v>
      </c>
      <c r="BK49" s="147">
        <f>BF49*3+BG49</f>
        <v>3</v>
      </c>
      <c r="BL49" s="147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 s="147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 s="147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 s="147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BD50" s="147" t="s">
        <v>64</v>
      </c>
      <c r="BE50" s="147">
        <f t="array" ref="BE50">SUMPRODUCT((((E47:E52=BD50)+(H47:H52=BD50))&gt;0)*ISNUMBER(F47:F52)*ISNUMBER(G47:G52))</f>
        <v>3</v>
      </c>
      <c r="BF50" s="147">
        <f t="array" ref="BF50">SUMPRODUCT((E47:E52=BD50)*ISNUMBER(F47:F52)*ISNUMBER(G47:G52)*(F47:F52&gt;G47:G52))+SUMPRODUCT((H47:H52=BD50)*ISNUMBER(F47:F52)*ISNUMBER(G47:G52)*(G47:G52&gt;F47:F52))</f>
        <v>0</v>
      </c>
      <c r="BG50" s="147">
        <f t="array" ref="BG50">SUMPRODUCT((((E47:E52=BD50)+(H47:H52=BD50))&gt;0)*ISNUMBER(F47:F52)*ISNUMBER(G47:G52)*(F47:F52=G47:G52))</f>
        <v>2</v>
      </c>
      <c r="BH50" s="147">
        <f>BE50-BF50-BG50</f>
        <v>1</v>
      </c>
      <c r="BI50" s="147">
        <f t="array" ref="BI50">SUMPRODUCT((E47:E52=BD50)*IFERROR(F47:F52,0))+SUMPRODUCT((H47:H52=BD50)*IFERROR(G47:G52,0))</f>
        <v>1</v>
      </c>
      <c r="BJ50" s="147">
        <f t="array" ref="BJ50">SUMPRODUCT((E47:E52=BD50)*IFERROR(G47:G52,0))+SUMPRODUCT((H47:H52=BD50)*IFERROR(F47:F52,0))</f>
        <v>5</v>
      </c>
      <c r="BK50" s="147">
        <f>BF50*3+BG50</f>
        <v>2</v>
      </c>
      <c r="BL50" s="147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 s="147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 s="147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 s="147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BD51" s="147" t="s">
        <v>65</v>
      </c>
      <c r="BE51" s="147">
        <f t="array" ref="BE51">SUMPRODUCT((((E47:E52=BD51)+(H47:H52=BD51))&gt;0)*ISNUMBER(F47:F52)*ISNUMBER(G47:G52))</f>
        <v>3</v>
      </c>
      <c r="BF51" s="147">
        <f t="array" ref="BF51">SUMPRODUCT((E47:E52=BD51)*ISNUMBER(F47:F52)*ISNUMBER(G47:G52)*(F47:F52&gt;G47:G52))+SUMPRODUCT((H47:H52=BD51)*ISNUMBER(F47:F52)*ISNUMBER(G47:G52)*(G47:G52&gt;F47:F52))</f>
        <v>0</v>
      </c>
      <c r="BG51" s="147">
        <f t="array" ref="BG51">SUMPRODUCT((((E47:E52=BD51)+(H47:H52=BD51))&gt;0)*ISNUMBER(F47:F52)*ISNUMBER(G47:G52)*(F47:F52=G47:G52))</f>
        <v>2</v>
      </c>
      <c r="BH51" s="147">
        <f>BE51-BF51-BG51</f>
        <v>1</v>
      </c>
      <c r="BI51" s="147">
        <f t="array" ref="BI51">SUMPRODUCT((E47:E52=BD51)*IFERROR(F47:F52,0))+SUMPRODUCT((H47:H52=BD51)*IFERROR(G47:G52,0))</f>
        <v>3</v>
      </c>
      <c r="BJ51" s="147">
        <f t="array" ref="BJ51">SUMPRODUCT((E47:E52=BD51)*IFERROR(G47:G52,0))+SUMPRODUCT((H47:H52=BD51)*IFERROR(F47:F52,0))</f>
        <v>4</v>
      </c>
      <c r="BK51" s="147">
        <f>BF51*3+BG51</f>
        <v>2</v>
      </c>
      <c r="BL51" s="147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 s="147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 s="147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 s="147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BD54" s="147" t="s">
        <v>66</v>
      </c>
      <c r="BE54" s="147">
        <f t="array" ref="BE54">SUMPRODUCT((((E53:E58=BD54)+(H53:H58=BD54))&gt;0)*ISNUMBER(F53:F58)*ISNUMBER(G53:G58))</f>
        <v>3</v>
      </c>
      <c r="BF54" s="147">
        <f t="array" ref="BF54">SUMPRODUCT((E53:E58=BD54)*ISNUMBER(F53:F58)*ISNUMBER(G53:G58)*(F53:F58&gt;G53:G58))+SUMPRODUCT((H53:H58=BD54)*ISNUMBER(F53:F58)*ISNUMBER(G53:G58)*(G53:G58&gt;F53:F58))</f>
        <v>3</v>
      </c>
      <c r="BG54" s="147">
        <f t="array" ref="BG54">SUMPRODUCT((((E53:E58=BD54)+(H53:H58=BD54))&gt;0)*ISNUMBER(F53:F58)*ISNUMBER(G53:G58)*(F53:F58=G53:G58))</f>
        <v>0</v>
      </c>
      <c r="BH54" s="147">
        <f>BE54-BF54-BG54</f>
        <v>0</v>
      </c>
      <c r="BI54" s="147">
        <f t="array" ref="BI54">SUMPRODUCT((E53:E58=BD54)*IFERROR(F53:F58,0))+SUMPRODUCT((H53:H58=BD54)*IFERROR(G53:G58,0))</f>
        <v>10</v>
      </c>
      <c r="BJ54" s="147">
        <f t="array" ref="BJ54">SUMPRODUCT((E53:E58=BD54)*IFERROR(G53:G58,0))+SUMPRODUCT((H53:H58=BD54)*IFERROR(F53:F58,0))</f>
        <v>2</v>
      </c>
      <c r="BK54" s="147">
        <f>BF54*3+BG54</f>
        <v>9</v>
      </c>
      <c r="BL54" s="147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 s="147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 s="147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 s="147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BD55" s="147" t="s">
        <v>67</v>
      </c>
      <c r="BE55" s="147">
        <f t="array" ref="BE55">SUMPRODUCT((((E53:E58=BD55)+(H53:H58=BD55))&gt;0)*ISNUMBER(F53:F58)*ISNUMBER(G53:G58))</f>
        <v>3</v>
      </c>
      <c r="BF55" s="147">
        <f t="array" ref="BF55">SUMPRODUCT((E53:E58=BD55)*ISNUMBER(F53:F58)*ISNUMBER(G53:G58)*(F53:F58&gt;G53:G58))+SUMPRODUCT((H53:H58=BD55)*ISNUMBER(F53:F58)*ISNUMBER(G53:G58)*(G53:G58&gt;F53:F58))</f>
        <v>1</v>
      </c>
      <c r="BG55" s="147">
        <f t="array" ref="BG55">SUMPRODUCT((((E53:E58=BD55)+(H53:H58=BD55))&gt;0)*ISNUMBER(F53:F58)*ISNUMBER(G53:G58)*(F53:F58=G53:G58))</f>
        <v>0</v>
      </c>
      <c r="BH55" s="147">
        <f>BE55-BF55-BG55</f>
        <v>2</v>
      </c>
      <c r="BI55" s="147">
        <f t="array" ref="BI55">SUMPRODUCT((E53:E58=BD55)*IFERROR(F53:F58,0))+SUMPRODUCT((H53:H58=BD55)*IFERROR(G53:G58,0))</f>
        <v>8</v>
      </c>
      <c r="BJ55" s="147">
        <f t="array" ref="BJ55">SUMPRODUCT((E53:E58=BD55)*IFERROR(G53:G58,0))+SUMPRODUCT((H53:H58=BD55)*IFERROR(F53:F58,0))</f>
        <v>6</v>
      </c>
      <c r="BK55" s="147">
        <f>BF55*3+BG55</f>
        <v>3</v>
      </c>
      <c r="BL55" s="147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 s="147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 s="147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 s="147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BD56" s="147" t="s">
        <v>70</v>
      </c>
      <c r="BE56" s="147">
        <f t="array" ref="BE56">SUMPRODUCT((((E53:E58=BD56)+(H53:H58=BD56))&gt;0)*ISNUMBER(F53:F58)*ISNUMBER(G53:G58))</f>
        <v>3</v>
      </c>
      <c r="BF56" s="147">
        <f t="array" ref="BF56">SUMPRODUCT((E53:E58=BD56)*ISNUMBER(F53:F58)*ISNUMBER(G53:G58)*(F53:F58&gt;G53:G58))+SUMPRODUCT((H53:H58=BD56)*ISNUMBER(F53:F58)*ISNUMBER(G53:G58)*(G53:G58&gt;F53:F58))</f>
        <v>0</v>
      </c>
      <c r="BG56" s="147">
        <f t="array" ref="BG56">SUMPRODUCT((((E53:E58=BD56)+(H53:H58=BD56))&gt;0)*ISNUMBER(F53:F58)*ISNUMBER(G53:G58)*(F53:F58=G53:G58))</f>
        <v>0</v>
      </c>
      <c r="BH56" s="147">
        <f>BE56-BF56-BG56</f>
        <v>3</v>
      </c>
      <c r="BI56" s="147">
        <f t="array" ref="BI56">SUMPRODUCT((E53:E58=BD56)*IFERROR(F53:F58,0))+SUMPRODUCT((H53:H58=BD56)*IFERROR(G53:G58,0))</f>
        <v>1</v>
      </c>
      <c r="BJ56" s="147">
        <f t="array" ref="BJ56">SUMPRODUCT((E53:E58=BD56)*IFERROR(G53:G58,0))+SUMPRODUCT((H53:H58=BD56)*IFERROR(F53:F58,0))</f>
        <v>12</v>
      </c>
      <c r="BK56" s="147">
        <f>BF56*3+BG56</f>
        <v>0</v>
      </c>
      <c r="BL56" s="147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 s="147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 s="147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 s="147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3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BD57" s="147" t="s">
        <v>71</v>
      </c>
      <c r="BE57" s="147">
        <f t="array" ref="BE57">SUMPRODUCT((((E53:E58=BD57)+(H53:H58=BD57))&gt;0)*ISNUMBER(F53:F58)*ISNUMBER(G53:G58))</f>
        <v>3</v>
      </c>
      <c r="BF57" s="147">
        <f t="array" ref="BF57">SUMPRODUCT((E53:E58=BD57)*ISNUMBER(F53:F58)*ISNUMBER(G53:G58)*(F53:F58&gt;G53:G58))+SUMPRODUCT((H53:H58=BD57)*ISNUMBER(F53:F58)*ISNUMBER(G53:G58)*(G53:G58&gt;F53:F58))</f>
        <v>2</v>
      </c>
      <c r="BG57" s="147">
        <f t="array" ref="BG57">SUMPRODUCT((((E53:E58=BD57)+(H53:H58=BD57))&gt;0)*ISNUMBER(F53:F58)*ISNUMBER(G53:G58)*(F53:F58=G53:G58))</f>
        <v>0</v>
      </c>
      <c r="BH57" s="147">
        <f>BE57-BF57-BG57</f>
        <v>1</v>
      </c>
      <c r="BI57" s="147">
        <f t="array" ref="BI57">SUMPRODUCT((E53:E58=BD57)*IFERROR(F53:F58,0))+SUMPRODUCT((H53:H58=BD57)*IFERROR(G53:G58,0))</f>
        <v>8</v>
      </c>
      <c r="BJ57" s="147">
        <f t="array" ref="BJ57">SUMPRODUCT((E53:E58=BD57)*IFERROR(G53:G58,0))+SUMPRODUCT((H53:H58=BD57)*IFERROR(F53:F58,0))</f>
        <v>7</v>
      </c>
      <c r="BK57" s="147">
        <f>BF57*3+BG57</f>
        <v>6</v>
      </c>
      <c r="BL57" s="14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 s="14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 s="14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 s="14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2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BD60" s="147" t="s">
        <v>72</v>
      </c>
      <c r="BE60" s="147">
        <f t="array" ref="BE60">SUMPRODUCT((((E59:E64=BD60)+(H59:H64=BD60))&gt;0)*ISNUMBER(F59:F64)*ISNUMBER(G59:G64))</f>
        <v>3</v>
      </c>
      <c r="BF60" s="147">
        <f t="array" ref="BF60">SUMPRODUCT((E59:E64=BD60)*ISNUMBER(F59:F64)*ISNUMBER(G59:G64)*(F59:F64&gt;G59:G64))+SUMPRODUCT((H59:H64=BD60)*ISNUMBER(F59:F64)*ISNUMBER(G59:G64)*(G59:G64&gt;F59:F64))</f>
        <v>3</v>
      </c>
      <c r="BG60" s="147">
        <f t="array" ref="BG60">SUMPRODUCT((((E59:E64=BD60)+(H59:H64=BD60))&gt;0)*ISNUMBER(F59:F64)*ISNUMBER(G59:G64)*(F59:F64=G59:G64))</f>
        <v>0</v>
      </c>
      <c r="BH60" s="147">
        <f>BE60-BF60-BG60</f>
        <v>0</v>
      </c>
      <c r="BI60" s="147">
        <f t="array" ref="BI60">SUMPRODUCT((E59:E64=BD60)*IFERROR(F59:F64,0))+SUMPRODUCT((H59:H64=BD60)*IFERROR(G59:G64,0))</f>
        <v>8</v>
      </c>
      <c r="BJ60" s="147">
        <f t="array" ref="BJ60">SUMPRODUCT((E59:E64=BD60)*IFERROR(G59:G64,0))+SUMPRODUCT((H59:H64=BD60)*IFERROR(F59:F64,0))</f>
        <v>1</v>
      </c>
      <c r="BK60" s="147">
        <f>BF60*3+BG60</f>
        <v>9</v>
      </c>
      <c r="BL60" s="147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 s="147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 s="147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 s="147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BD61" s="147" t="s">
        <v>73</v>
      </c>
      <c r="BE61" s="147">
        <f t="array" ref="BE61">SUMPRODUCT((((E59:E64=BD61)+(H59:H64=BD61))&gt;0)*ISNUMBER(F59:F64)*ISNUMBER(G59:G64))</f>
        <v>3</v>
      </c>
      <c r="BF61" s="147">
        <f t="array" ref="BF61">SUMPRODUCT((E59:E64=BD61)*ISNUMBER(F59:F64)*ISNUMBER(G59:G64)*(F59:F64&gt;G59:G64))+SUMPRODUCT((H59:H64=BD61)*ISNUMBER(F59:F64)*ISNUMBER(G59:G64)*(G59:G64&gt;F59:F64))</f>
        <v>1</v>
      </c>
      <c r="BG61" s="147">
        <f t="array" ref="BG61">SUMPRODUCT((((E59:E64=BD61)+(H59:H64=BD61))&gt;0)*ISNUMBER(F59:F64)*ISNUMBER(G59:G64)*(F59:F64=G59:G64))</f>
        <v>1</v>
      </c>
      <c r="BH61" s="147">
        <f>BE61-BF61-BG61</f>
        <v>1</v>
      </c>
      <c r="BI61" s="147">
        <f t="array" ref="BI61">SUMPRODUCT((E59:E64=BD61)*IFERROR(F59:F64,0))+SUMPRODUCT((H59:H64=BD61)*IFERROR(G59:G64,0))</f>
        <v>5</v>
      </c>
      <c r="BJ61" s="147">
        <f t="array" ref="BJ61">SUMPRODUCT((E59:E64=BD61)*IFERROR(G59:G64,0))+SUMPRODUCT((H59:H64=BD61)*IFERROR(F59:F64,0))</f>
        <v>7</v>
      </c>
      <c r="BK61" s="147">
        <f>BF61*3+BG61</f>
        <v>4</v>
      </c>
      <c r="BL61" s="147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 s="147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 s="147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 s="147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BD62" s="147" t="s">
        <v>76</v>
      </c>
      <c r="BE62" s="147">
        <f t="array" ref="BE62">SUMPRODUCT((((E59:E64=BD62)+(H59:H64=BD62))&gt;0)*ISNUMBER(F59:F64)*ISNUMBER(G59:G64))</f>
        <v>3</v>
      </c>
      <c r="BF62" s="147">
        <f t="array" ref="BF62">SUMPRODUCT((E59:E64=BD62)*ISNUMBER(F59:F64)*ISNUMBER(G59:G64)*(F59:F64&gt;G59:G64))+SUMPRODUCT((H59:H64=BD62)*ISNUMBER(F59:F64)*ISNUMBER(G59:G64)*(G59:G64&gt;F59:F64))</f>
        <v>1</v>
      </c>
      <c r="BG62" s="147">
        <f t="array" ref="BG62">SUMPRODUCT((((E59:E64=BD62)+(H59:H64=BD62))&gt;0)*ISNUMBER(F59:F64)*ISNUMBER(G59:G64)*(F59:F64=G59:G64))</f>
        <v>1</v>
      </c>
      <c r="BH62" s="147">
        <f>BE62-BF62-BG62</f>
        <v>1</v>
      </c>
      <c r="BI62" s="147">
        <f t="array" ref="BI62">SUMPRODUCT((E59:E64=BD62)*IFERROR(F59:F64,0))+SUMPRODUCT((H59:H64=BD62)*IFERROR(G59:G64,0))</f>
        <v>6</v>
      </c>
      <c r="BJ62" s="147">
        <f t="array" ref="BJ62">SUMPRODUCT((E59:E64=BD62)*IFERROR(G59:G64,0))+SUMPRODUCT((H59:H64=BD62)*IFERROR(F59:F64,0))</f>
        <v>6</v>
      </c>
      <c r="BK62" s="147">
        <f>BF62*3+BG62</f>
        <v>4</v>
      </c>
      <c r="BL62" s="147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 s="147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 s="147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 s="147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5">
        <v>1</v>
      </c>
      <c r="G63" s="145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BD63" s="147" t="s">
        <v>77</v>
      </c>
      <c r="BE63" s="147">
        <f t="array" ref="BE63">SUMPRODUCT((((E59:E64=BD63)+(H59:H64=BD63))&gt;0)*ISNUMBER(F59:F64)*ISNUMBER(G59:G64))</f>
        <v>3</v>
      </c>
      <c r="BF63" s="147">
        <f t="array" ref="BF63">SUMPRODUCT((E59:E64=BD63)*ISNUMBER(F59:F64)*ISNUMBER(G59:G64)*(F59:F64&gt;G59:G64))+SUMPRODUCT((H59:H64=BD63)*ISNUMBER(F59:F64)*ISNUMBER(G59:G64)*(G59:G64&gt;F59:F64))</f>
        <v>0</v>
      </c>
      <c r="BG63" s="147">
        <f t="array" ref="BG63">SUMPRODUCT((((E59:E64=BD63)+(H59:H64=BD63))&gt;0)*ISNUMBER(F59:F64)*ISNUMBER(G59:G64)*(F59:F64=G59:G64))</f>
        <v>0</v>
      </c>
      <c r="BH63" s="147">
        <f>BE63-BF63-BG63</f>
        <v>3</v>
      </c>
      <c r="BI63" s="147">
        <f t="array" ref="BI63">SUMPRODUCT((E59:E64=BD63)*IFERROR(F59:F64,0))+SUMPRODUCT((H59:H64=BD63)*IFERROR(G59:G64,0))</f>
        <v>3</v>
      </c>
      <c r="BJ63" s="147">
        <f t="array" ref="BJ63">SUMPRODUCT((E59:E64=BD63)*IFERROR(G59:G64,0))+SUMPRODUCT((H59:H64=BD63)*IFERROR(F59:F64,0))</f>
        <v>8</v>
      </c>
      <c r="BK63" s="147">
        <f>BF63*3+BG63</f>
        <v>0</v>
      </c>
      <c r="BL63" s="147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 s="147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 s="147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 s="147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5">
        <v>3</v>
      </c>
      <c r="G64" s="145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1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1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BD66" s="147" t="s">
        <v>78</v>
      </c>
      <c r="BE66" s="147">
        <f t="array" ref="BE66">SUMPRODUCT((((E65:E70=BD66)+(H65:H70=BD66))&gt;0)*ISNUMBER(F65:F70)*ISNUMBER(G65:G70))</f>
        <v>3</v>
      </c>
      <c r="BF66" s="147">
        <f t="array" ref="BF66">SUMPRODUCT((E65:E70=BD66)*ISNUMBER(F65:F70)*ISNUMBER(G65:G70)*(F65:F70&gt;G65:G70))+SUMPRODUCT((H65:H70=BD66)*ISNUMBER(F65:F70)*ISNUMBER(G65:G70)*(G65:G70&gt;F65:F70))</f>
        <v>1</v>
      </c>
      <c r="BG66" s="147">
        <f t="array" ref="BG66">SUMPRODUCT((((E65:E70=BD66)+(H65:H70=BD66))&gt;0)*ISNUMBER(F65:F70)*ISNUMBER(G65:G70)*(F65:F70=G65:G70))</f>
        <v>2</v>
      </c>
      <c r="BH66" s="147">
        <f>BE66-BF66-BG66</f>
        <v>0</v>
      </c>
      <c r="BI66" s="147">
        <f t="array" ref="BI66">SUMPRODUCT((E65:E70=BD66)*IFERROR(F65:F70,0))+SUMPRODUCT((H65:H70=BD66)*IFERROR(G65:G70,0))</f>
        <v>6</v>
      </c>
      <c r="BJ66" s="147">
        <f t="array" ref="BJ66">SUMPRODUCT((E65:E70=BD66)*IFERROR(G65:G70,0))+SUMPRODUCT((H65:H70=BD66)*IFERROR(F65:F70,0))</f>
        <v>1</v>
      </c>
      <c r="BK66" s="147">
        <f>BF66*3+BG66</f>
        <v>5</v>
      </c>
      <c r="BL66" s="147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 s="147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 s="147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 s="147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BD67" s="147" t="s">
        <v>79</v>
      </c>
      <c r="BE67" s="147">
        <f t="array" ref="BE67">SUMPRODUCT((((E65:E70=BD67)+(H65:H70=BD67))&gt;0)*ISNUMBER(F65:F70)*ISNUMBER(G65:G70))</f>
        <v>3</v>
      </c>
      <c r="BF67" s="147">
        <f t="array" ref="BF67">SUMPRODUCT((E65:E70=BD67)*ISNUMBER(F65:F70)*ISNUMBER(G65:G70)*(F65:F70&gt;G65:G70))+SUMPRODUCT((H65:H70=BD67)*ISNUMBER(F65:F70)*ISNUMBER(G65:G70)*(G65:G70&gt;F65:F70))</f>
        <v>1</v>
      </c>
      <c r="BG67" s="147">
        <f t="array" ref="BG67">SUMPRODUCT((((E65:E70=BD67)+(H65:H70=BD67))&gt;0)*ISNUMBER(F65:F70)*ISNUMBER(G65:G70)*(F65:F70=G65:G70))</f>
        <v>1</v>
      </c>
      <c r="BH67" s="147">
        <f>BE67-BF67-BG67</f>
        <v>1</v>
      </c>
      <c r="BI67" s="147">
        <f t="array" ref="BI67">SUMPRODUCT((E65:E70=BD67)*IFERROR(F65:F70,0))+SUMPRODUCT((H65:H70=BD67)*IFERROR(G65:G70,0))</f>
        <v>4</v>
      </c>
      <c r="BJ67" s="147">
        <f t="array" ref="BJ67">SUMPRODUCT((E65:E70=BD67)*IFERROR(G65:G70,0))+SUMPRODUCT((H65:H70=BD67)*IFERROR(F65:F70,0))</f>
        <v>3</v>
      </c>
      <c r="BK67" s="147">
        <f>BF67*3+BG67</f>
        <v>4</v>
      </c>
      <c r="BL67" s="14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 s="14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 s="14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 s="14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BD68" s="147" t="s">
        <v>82</v>
      </c>
      <c r="BE68" s="147">
        <f t="array" ref="BE68">SUMPRODUCT((((E65:E70=BD68)+(H65:H70=BD68))&gt;0)*ISNUMBER(F65:F70)*ISNUMBER(G65:G70))</f>
        <v>3</v>
      </c>
      <c r="BF68" s="147">
        <f t="array" ref="BF68">SUMPRODUCT((E65:E70=BD68)*ISNUMBER(F65:F70)*ISNUMBER(G65:G70)*(F65:F70&gt;G65:G70))+SUMPRODUCT((H65:H70=BD68)*ISNUMBER(F65:F70)*ISNUMBER(G65:G70)*(G65:G70&gt;F65:F70))</f>
        <v>0</v>
      </c>
      <c r="BG68" s="147">
        <f t="array" ref="BG68">SUMPRODUCT((((E65:E70=BD68)+(H65:H70=BD68))&gt;0)*ISNUMBER(F65:F70)*ISNUMBER(G65:G70)*(F65:F70=G65:G70))</f>
        <v>0</v>
      </c>
      <c r="BH68" s="147">
        <f>BE68-BF68-BG68</f>
        <v>3</v>
      </c>
      <c r="BI68" s="147">
        <f t="array" ref="BI68">SUMPRODUCT((E65:E70=BD68)*IFERROR(F65:F70,0))+SUMPRODUCT((H65:H70=BD68)*IFERROR(G65:G70,0))</f>
        <v>2</v>
      </c>
      <c r="BJ68" s="147">
        <f t="array" ref="BJ68">SUMPRODUCT((E65:E70=BD68)*IFERROR(G65:G70,0))+SUMPRODUCT((H65:H70=BD68)*IFERROR(F65:F70,0))</f>
        <v>11</v>
      </c>
      <c r="BK68" s="147">
        <f>BF68*3+BG68</f>
        <v>0</v>
      </c>
      <c r="BL68" s="147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 s="147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 s="147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 s="147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5">
        <v>0</v>
      </c>
      <c r="G69" s="145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BD69" s="147" t="s">
        <v>83</v>
      </c>
      <c r="BE69" s="147">
        <f t="array" ref="BE69">SUMPRODUCT((((E65:E70=BD69)+(H65:H70=BD69))&gt;0)*ISNUMBER(F65:F70)*ISNUMBER(G65:G70))</f>
        <v>3</v>
      </c>
      <c r="BF69" s="147">
        <f t="array" ref="BF69">SUMPRODUCT((E65:E70=BD69)*ISNUMBER(F65:F70)*ISNUMBER(G65:G70)*(F65:F70&gt;G65:G70))+SUMPRODUCT((H65:H70=BD69)*ISNUMBER(F65:F70)*ISNUMBER(G65:G70)*(G65:G70&gt;F65:F70))</f>
        <v>2</v>
      </c>
      <c r="BG69" s="147">
        <f t="array" ref="BG69">SUMPRODUCT((((E65:E70=BD69)+(H65:H70=BD69))&gt;0)*ISNUMBER(F65:F70)*ISNUMBER(G65:G70)*(F65:F70=G65:G70))</f>
        <v>1</v>
      </c>
      <c r="BH69" s="147">
        <f>BE69-BF69-BG69</f>
        <v>0</v>
      </c>
      <c r="BI69" s="147">
        <f t="array" ref="BI69">SUMPRODUCT((E65:E70=BD69)*IFERROR(F65:F70,0))+SUMPRODUCT((H65:H70=BD69)*IFERROR(G65:G70,0))</f>
        <v>4</v>
      </c>
      <c r="BJ69" s="147">
        <f t="array" ref="BJ69">SUMPRODUCT((E65:E70=BD69)*IFERROR(G65:G70,0))+SUMPRODUCT((H65:H70=BD69)*IFERROR(F65:F70,0))</f>
        <v>1</v>
      </c>
      <c r="BK69" s="147">
        <f>BF69*3+BG69</f>
        <v>7</v>
      </c>
      <c r="BL69" s="147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 s="147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 s="147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 s="147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5">
        <v>3</v>
      </c>
      <c r="G70" s="145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BD72" s="147" t="s">
        <v>84</v>
      </c>
      <c r="BE72" s="147">
        <f t="array" ref="BE72">SUMPRODUCT((((E71:E76=BD72)+(H71:H76=BD72))&gt;0)*ISNUMBER(F71:F76)*ISNUMBER(G71:G76))</f>
        <v>3</v>
      </c>
      <c r="BF72" s="147">
        <f t="array" ref="BF72">SUMPRODUCT((E71:E76=BD72)*ISNUMBER(F71:F76)*ISNUMBER(G71:G76)*(F71:F76&gt;G71:G76))+SUMPRODUCT((H71:H76=BD72)*ISNUMBER(F71:F76)*ISNUMBER(G71:G76)*(G71:G76&gt;F71:F76))</f>
        <v>2</v>
      </c>
      <c r="BG72" s="147">
        <f t="array" ref="BG72">SUMPRODUCT((((E71:E76=BD72)+(H71:H76=BD72))&gt;0)*ISNUMBER(F71:F76)*ISNUMBER(G71:G76)*(F71:F76=G71:G76))</f>
        <v>1</v>
      </c>
      <c r="BH72" s="147">
        <f>BE72-BF72-BG72</f>
        <v>0</v>
      </c>
      <c r="BI72" s="147">
        <f t="array" ref="BI72">SUMPRODUCT((E71:E76=BD72)*IFERROR(F71:F76,0))+SUMPRODUCT((H71:H76=BD72)*IFERROR(G71:G76,0))</f>
        <v>6</v>
      </c>
      <c r="BJ72" s="147">
        <f t="array" ref="BJ72">SUMPRODUCT((E71:E76=BD72)*IFERROR(G71:G76,0))+SUMPRODUCT((H71:H76=BD72)*IFERROR(F71:F76,0))</f>
        <v>2</v>
      </c>
      <c r="BK72" s="147">
        <f>BF72*3+BG72</f>
        <v>7</v>
      </c>
      <c r="BL72" s="147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 s="147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 s="147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 s="147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BD73" s="147" t="s">
        <v>85</v>
      </c>
      <c r="BE73" s="147">
        <f t="array" ref="BE73">SUMPRODUCT((((E71:E76=BD73)+(H71:H76=BD73))&gt;0)*ISNUMBER(F71:F76)*ISNUMBER(G71:G76))</f>
        <v>3</v>
      </c>
      <c r="BF73" s="147">
        <f t="array" ref="BF73">SUMPRODUCT((E71:E76=BD73)*ISNUMBER(F71:F76)*ISNUMBER(G71:G76)*(F71:F76&gt;G71:G76))+SUMPRODUCT((H71:H76=BD73)*ISNUMBER(F71:F76)*ISNUMBER(G71:G76)*(G71:G76&gt;F71:F76))</f>
        <v>2</v>
      </c>
      <c r="BG73" s="147">
        <f t="array" ref="BG73">SUMPRODUCT((((E71:E76=BD73)+(H71:H76=BD73))&gt;0)*ISNUMBER(F71:F76)*ISNUMBER(G71:G76)*(F71:F76=G71:G76))</f>
        <v>0</v>
      </c>
      <c r="BH73" s="147">
        <f>BE73-BF73-BG73</f>
        <v>1</v>
      </c>
      <c r="BI73" s="147">
        <f t="array" ref="BI73">SUMPRODUCT((E71:E76=BD73)*IFERROR(F71:F76,0))+SUMPRODUCT((H71:H76=BD73)*IFERROR(G71:G76,0))</f>
        <v>5</v>
      </c>
      <c r="BJ73" s="147">
        <f t="array" ref="BJ73">SUMPRODUCT((E71:E76=BD73)*IFERROR(G71:G76,0))+SUMPRODUCT((H71:H76=BD73)*IFERROR(F71:F76,0))</f>
        <v>5</v>
      </c>
      <c r="BK73" s="147">
        <f>BF73*3+BG73</f>
        <v>6</v>
      </c>
      <c r="BL73" s="147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 s="147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 s="147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 s="147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BD74" s="147" t="s">
        <v>87</v>
      </c>
      <c r="BE74" s="147">
        <f t="array" ref="BE74">SUMPRODUCT((((E71:E76=BD74)+(H71:H76=BD74))&gt;0)*ISNUMBER(F71:F76)*ISNUMBER(G71:G76))</f>
        <v>3</v>
      </c>
      <c r="BF74" s="147">
        <f t="array" ref="BF74">SUMPRODUCT((E71:E76=BD74)*ISNUMBER(F71:F76)*ISNUMBER(G71:G76)*(F71:F76&gt;G71:G76))+SUMPRODUCT((H71:H76=BD74)*ISNUMBER(F71:F76)*ISNUMBER(G71:G76)*(G71:G76&gt;F71:F76))</f>
        <v>1</v>
      </c>
      <c r="BG74" s="147">
        <f t="array" ref="BG74">SUMPRODUCT((((E71:E76=BD74)+(H71:H76=BD74))&gt;0)*ISNUMBER(F71:F76)*ISNUMBER(G71:G76)*(F71:F76=G71:G76))</f>
        <v>1</v>
      </c>
      <c r="BH74" s="147">
        <f>BE74-BF74-BG74</f>
        <v>1</v>
      </c>
      <c r="BI74" s="147">
        <f t="array" ref="BI74">SUMPRODUCT((E71:E76=BD74)*IFERROR(F71:F76,0))+SUMPRODUCT((H71:H76=BD74)*IFERROR(G71:G76,0))</f>
        <v>2</v>
      </c>
      <c r="BJ74" s="147">
        <f t="array" ref="BJ74">SUMPRODUCT((E71:E76=BD74)*IFERROR(G71:G76,0))+SUMPRODUCT((H71:H76=BD74)*IFERROR(F71:F76,0))</f>
        <v>2</v>
      </c>
      <c r="BK74" s="147">
        <f>BF74*3+BG74</f>
        <v>4</v>
      </c>
      <c r="BL74" s="147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 s="147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 s="147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 s="147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5">
        <v>0</v>
      </c>
      <c r="G75" s="145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BD75" s="147" t="s">
        <v>88</v>
      </c>
      <c r="BE75" s="147">
        <f t="array" ref="BE75">SUMPRODUCT((((E71:E76=BD75)+(H71:H76=BD75))&gt;0)*ISNUMBER(F71:F76)*ISNUMBER(G71:G76))</f>
        <v>3</v>
      </c>
      <c r="BF75" s="147">
        <f t="array" ref="BF75">SUMPRODUCT((E71:E76=BD75)*ISNUMBER(F71:F76)*ISNUMBER(G71:G76)*(F71:F76&gt;G71:G76))+SUMPRODUCT((H71:H76=BD75)*ISNUMBER(F71:F76)*ISNUMBER(G71:G76)*(G71:G76&gt;F71:F76))</f>
        <v>0</v>
      </c>
      <c r="BG75" s="147">
        <f t="array" ref="BG75">SUMPRODUCT((((E71:E76=BD75)+(H71:H76=BD75))&gt;0)*ISNUMBER(F71:F76)*ISNUMBER(G71:G76)*(F71:F76=G71:G76))</f>
        <v>0</v>
      </c>
      <c r="BH75" s="147">
        <f>BE75-BF75-BG75</f>
        <v>3</v>
      </c>
      <c r="BI75" s="147">
        <f t="array" ref="BI75">SUMPRODUCT((E71:E76=BD75)*IFERROR(F71:F76,0))+SUMPRODUCT((H71:H76=BD75)*IFERROR(G71:G76,0))</f>
        <v>0</v>
      </c>
      <c r="BJ75" s="147">
        <f t="array" ref="BJ75">SUMPRODUCT((E71:E76=BD75)*IFERROR(G71:G76,0))+SUMPRODUCT((H71:H76=BD75)*IFERROR(F71:F76,0))</f>
        <v>4</v>
      </c>
      <c r="BK75" s="147">
        <f>BF75*3+BG75</f>
        <v>0</v>
      </c>
      <c r="BL75" s="147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 s="147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 s="147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 s="147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5">
        <v>2</v>
      </c>
      <c r="G76" s="145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BM80" s="152" t="s">
        <v>89</v>
      </c>
      <c r="BN80" s="152" t="s">
        <v>90</v>
      </c>
      <c r="BO80" s="152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N81" s="147" t="s">
        <v>13</v>
      </c>
      <c r="AO81" s="147" t="str">
        <f>IFERROR(INDEX(BD6:BD9,MATCH(1,BL6:BL9,0)),"")</f>
        <v>Mexico</v>
      </c>
      <c r="AP81" s="147" t="str">
        <f>IFERROR(INDEX(BD6:BD9,MATCH(2,BL6:BL9,0)),"")</f>
        <v>South Africa</v>
      </c>
      <c r="AQ81" s="147" t="str">
        <f>IFERROR(INDEX(BD6:BD9,MATCH(3,BL6:BL9,0)),"")</f>
        <v>South Korea</v>
      </c>
      <c r="AR81" s="147">
        <f>IFERROR(INDEX(BK6:BK9,MATCH(3,BL6:BL9,0)),0)</f>
        <v>3</v>
      </c>
      <c r="AS81" s="147">
        <f>IFERROR(INDEX(BI6:BI9,MATCH(3,BL6:BL9,0))-INDEX(BJ6:BJ9,MATCH(3,BL6:BL9,0)),0)</f>
        <v>-1</v>
      </c>
      <c r="AT81" s="147">
        <f t="array" ref="AT81">SUMPRODUCT((($AR$81:$AR$92*1000000000000+($AS$81:$AS$92+20)*100000000+$BU$81:$BU$92*10000-ROW($AR$81:$AR$92))&gt;(AR81*1000000000000+(AS81+20)*100000000+BU81*10000-ROW(AR81)))*1)+1</f>
        <v>10</v>
      </c>
      <c r="AV81" s="147" t="str">
        <f>IFERROR(INDEX($AQ$81:$AQ$92,MATCH(1,$AT$81:$AT$92,0)),"")</f>
        <v>DR Congo</v>
      </c>
      <c r="AW81" s="147" t="str">
        <f>IFERROR(INDEX($AN$81:$AN$92,MATCH(1,$AT$81:$AT$92,0)),"")</f>
        <v>K</v>
      </c>
      <c r="AX81" s="147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s="147" t="str">
        <f>IFERROR(INDEX('Annex C (generated)'!$D$2:$D$496,MATCH($AX$81,'Annex C (generated)'!$B$2:$B$496,0)),"")</f>
        <v>D</v>
      </c>
      <c r="BN81" s="147" t="str">
        <f>IFERROR(INDEX('Annex C (generated)'!$E$2:$E$496,MATCH($AX$81,'Annex C (generated)'!$B$2:$B$496,0)),"")</f>
        <v>F</v>
      </c>
      <c r="BO81" s="147" t="str">
        <f>IFERROR(INDEX('Annex C (generated)'!$F$2:$F$496,MATCH($AX$81,'Annex C (generated)'!$B$2:$B$496,0)),"")</f>
        <v>E</v>
      </c>
      <c r="BP81" s="147" t="str">
        <f>IFERROR(INDEX('Annex C (generated)'!$G$2:$G$496,MATCH($AX$81,'Annex C (generated)'!$B$2:$B$496,0)),"")</f>
        <v>K</v>
      </c>
      <c r="BQ81" s="147" t="str">
        <f>IFERROR(INDEX('Annex C (generated)'!$H$2:$H$496,MATCH($AX$81,'Annex C (generated)'!$B$2:$B$496,0)),"")</f>
        <v>B</v>
      </c>
      <c r="BR81" s="147" t="str">
        <f>IFERROR(INDEX('Annex C (generated)'!$I$2:$I$496,MATCH($AX$81,'Annex C (generated)'!$B$2:$B$496,0)),"")</f>
        <v>I</v>
      </c>
      <c r="BS81" s="147" t="str">
        <f>IFERROR(INDEX('Annex C (generated)'!$J$2:$J$496,MATCH($AX$81,'Annex C (generated)'!$B$2:$B$496,0)),"")</f>
        <v>J</v>
      </c>
      <c r="BT81" s="147" t="str">
        <f>IFERROR(INDEX('Annex C (generated)'!$K$2:$K$496,MATCH($AX$81,'Annex C (generated)'!$B$2:$B$496,0)),"")</f>
        <v>L</v>
      </c>
      <c r="BU81" s="147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N82" s="147" t="s">
        <v>25</v>
      </c>
      <c r="AO82" s="147" t="str">
        <f>IFERROR(INDEX(BD12:BD15,MATCH(1,BL12:BL15,0)),"")</f>
        <v>Switzerland</v>
      </c>
      <c r="AP82" s="147" t="str">
        <f>IFERROR(INDEX(BD12:BD15,MATCH(2,BL12:BL15,0)),"")</f>
        <v>Canada</v>
      </c>
      <c r="AQ82" s="147" t="str">
        <f>IFERROR(INDEX(BD12:BD15,MATCH(3,BL12:BL15,0)),"")</f>
        <v>Bosnia &amp; Herzegovina</v>
      </c>
      <c r="AR82" s="147">
        <f>IFERROR(INDEX(BK12:BK15,MATCH(3,BL12:BL15,0)),0)</f>
        <v>4</v>
      </c>
      <c r="AS82" s="147">
        <f>IFERROR(INDEX(BI12:BI15,MATCH(3,BL12:BL15,0))-INDEX(BJ12:BJ15,MATCH(3,BL12:BL15,0)),0)</f>
        <v>-1</v>
      </c>
      <c r="AT82" s="147">
        <f t="array" ref="AT82">SUMPRODUCT((($AR$81:$AR$92*1000000000000+($AS$81:$AS$92+20)*100000000+$BU$81:$BU$92*10000-ROW($AR$81:$AR$92))&gt;(AR82*1000000000000+(AS82+20)*100000000+BU82*10000-ROW(AR82)))*1)+1</f>
        <v>5</v>
      </c>
      <c r="AV82" s="147" t="str">
        <f>IFERROR(INDEX($AQ$81:$AQ$92,MATCH(2,$AT$81:$AT$92,0)),"")</f>
        <v>Sweden</v>
      </c>
      <c r="AW82" s="147" t="str">
        <f>IFERROR(INDEX($AN$81:$AN$92,MATCH(2,$AT$81:$AT$92,0)),"")</f>
        <v>F</v>
      </c>
      <c r="BU82" s="147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N83" s="147" t="s">
        <v>31</v>
      </c>
      <c r="AO83" s="147" t="str">
        <f>IFERROR(INDEX(BD18:BD21,MATCH(1,BL18:BL21,0)),"")</f>
        <v>Brazil</v>
      </c>
      <c r="AP83" s="147" t="str">
        <f>IFERROR(INDEX(BD18:BD21,MATCH(2,BL18:BL21,0)),"")</f>
        <v>Morocco</v>
      </c>
      <c r="AQ83" s="147" t="str">
        <f>IFERROR(INDEX(BD18:BD21,MATCH(3,BL18:BL21,0)),"")</f>
        <v>Scotland</v>
      </c>
      <c r="AR83" s="147">
        <f>IFERROR(INDEX(BK18:BK21,MATCH(3,BL18:BL21,0)),0)</f>
        <v>3</v>
      </c>
      <c r="AS83" s="147">
        <f>IFERROR(INDEX(BI18:BI21,MATCH(3,BL18:BL21,0))-INDEX(BJ18:BJ21,MATCH(3,BL18:BL21,0)),0)</f>
        <v>-3</v>
      </c>
      <c r="AT83" s="147">
        <f t="array" ref="AT83">SUMPRODUCT((($AR$81:$AR$92*1000000000000+($AS$81:$AS$92+20)*100000000+$BU$81:$BU$92*10000-ROW($AR$81:$AR$92))&gt;(AR83*1000000000000+(AS83+20)*100000000+BU83*10000-ROW(AR83)))*1)+1</f>
        <v>11</v>
      </c>
      <c r="AV83" s="147" t="str">
        <f>IFERROR(INDEX($AQ$81:$AQ$92,MATCH(3,$AT$81:$AT$92,0)),"")</f>
        <v>Ecuador</v>
      </c>
      <c r="AW83" s="147" t="str">
        <f>IFERROR(INDEX($AN$81:$AN$92,MATCH(3,$AT$81:$AT$92,0)),"")</f>
        <v>E</v>
      </c>
      <c r="BU83" s="147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N84" s="147" t="s">
        <v>19</v>
      </c>
      <c r="AO84" s="147" t="str">
        <f>IFERROR(INDEX(BD24:BD27,MATCH(1,BL24:BL27,0)),"")</f>
        <v>United States</v>
      </c>
      <c r="AP84" s="147" t="str">
        <f>IFERROR(INDEX(BD24:BD27,MATCH(2,BL24:BL27,0)),"")</f>
        <v>Australia</v>
      </c>
      <c r="AQ84" s="147" t="str">
        <f>IFERROR(INDEX(BD24:BD27,MATCH(3,BL24:BL27,0)),"")</f>
        <v>Paraguay</v>
      </c>
      <c r="AR84" s="147">
        <f>IFERROR(INDEX(BK24:BK27,MATCH(3,BL24:BL27,0)),0)</f>
        <v>4</v>
      </c>
      <c r="AS84" s="147">
        <f>IFERROR(INDEX(BI24:BI27,MATCH(3,BL24:BL27,0))-INDEX(BJ24:BJ27,MATCH(3,BL24:BL27,0)),0)</f>
        <v>-2</v>
      </c>
      <c r="AT84" s="147">
        <f t="array" ref="AT84">SUMPRODUCT((($AR$81:$AR$92*1000000000000+($AS$81:$AS$92+20)*100000000+$BU$81:$BU$92*10000-ROW($AR$81:$AR$92))&gt;(AR84*1000000000000+(AS84+20)*100000000+BU84*10000-ROW(AR84)))*1)+1</f>
        <v>7</v>
      </c>
      <c r="AV84" s="147" t="str">
        <f>IFERROR(INDEX($AQ$81:$AQ$92,MATCH(4,$AT$81:$AT$92,0)),"")</f>
        <v>Ghana</v>
      </c>
      <c r="AW84" s="147" t="str">
        <f>IFERROR(INDEX($AN$81:$AN$92,MATCH(4,$AT$81:$AT$92,0)),"")</f>
        <v>L</v>
      </c>
      <c r="BU84" s="147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N85" s="147" t="s">
        <v>42</v>
      </c>
      <c r="AO85" s="147" t="str">
        <f>IFERROR(INDEX(BD30:BD33,MATCH(1,BL30:BL33,0)),"")</f>
        <v>Germany</v>
      </c>
      <c r="AP85" s="147" t="str">
        <f>IFERROR(INDEX(BD30:BD33,MATCH(2,BL30:BL33,0)),"")</f>
        <v>Ivory Coast</v>
      </c>
      <c r="AQ85" s="147" t="str">
        <f>IFERROR(INDEX(BD30:BD33,MATCH(3,BL30:BL33,0)),"")</f>
        <v>Ecuador</v>
      </c>
      <c r="AR85" s="147">
        <f>IFERROR(INDEX(BK30:BK33,MATCH(3,BL30:BL33,0)),0)</f>
        <v>4</v>
      </c>
      <c r="AS85" s="147">
        <f>IFERROR(INDEX(BI30:BI33,MATCH(3,BL30:BL33,0))-INDEX(BJ30:BJ33,MATCH(3,BL30:BL33,0)),0)</f>
        <v>0</v>
      </c>
      <c r="AT85" s="147">
        <f t="array" ref="AT85">SUMPRODUCT((($AR$81:$AR$92*1000000000000+($AS$81:$AS$92+20)*100000000+$BU$81:$BU$92*10000-ROW($AR$81:$AR$92))&gt;(AR85*1000000000000+(AS85+20)*100000000+BU85*10000-ROW(AR85)))*1)+1</f>
        <v>3</v>
      </c>
      <c r="AV85" s="147" t="str">
        <f>IFERROR(INDEX($AQ$81:$AQ$92,MATCH(5,$AT$81:$AT$92,0)),"")</f>
        <v>Bosnia &amp; Herzegovina</v>
      </c>
      <c r="AW85" s="147" t="str">
        <f>IFERROR(INDEX($AN$81:$AN$92,MATCH(5,$AT$81:$AT$92,0)),"")</f>
        <v>B</v>
      </c>
      <c r="BU85" s="147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N86" s="147" t="s">
        <v>48</v>
      </c>
      <c r="AO86" s="147" t="str">
        <f>IFERROR(INDEX(BD36:BD39,MATCH(1,BL36:BL39,0)),"")</f>
        <v>Netherlands</v>
      </c>
      <c r="AP86" s="147" t="str">
        <f>IFERROR(INDEX(BD36:BD39,MATCH(2,BL36:BL39,0)),"")</f>
        <v>Japan</v>
      </c>
      <c r="AQ86" s="147" t="str">
        <f>IFERROR(INDEX(BD36:BD39,MATCH(3,BL36:BL39,0)),"")</f>
        <v>Sweden</v>
      </c>
      <c r="AR86" s="147">
        <f>IFERROR(INDEX(BK36:BK39,MATCH(3,BL36:BL39,0)),0)</f>
        <v>4</v>
      </c>
      <c r="AS86" s="147">
        <f>IFERROR(INDEX(BI36:BI39,MATCH(3,BL36:BL39,0))-INDEX(BJ36:BJ39,MATCH(3,BL36:BL39,0)),0)</f>
        <v>0</v>
      </c>
      <c r="AT86" s="147">
        <f t="array" ref="AT86">SUMPRODUCT((($AR$81:$AR$92*1000000000000+($AS$81:$AS$92+20)*100000000+$BU$81:$BU$92*10000-ROW($AR$81:$AR$92))&gt;(AR86*1000000000000+(AS86+20)*100000000+BU86*10000-ROW(AR86)))*1)+1</f>
        <v>2</v>
      </c>
      <c r="AV86" s="147" t="str">
        <f>IFERROR(INDEX($AQ$81:$AQ$92,MATCH(6,$AT$81:$AT$92,0)),"")</f>
        <v>Algeria</v>
      </c>
      <c r="AW86" s="147" t="str">
        <f>IFERROR(INDEX($AN$81:$AN$92,MATCH(6,$AT$81:$AT$92,0)),"")</f>
        <v>J</v>
      </c>
      <c r="BU86" s="147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N87" s="147" t="s">
        <v>55</v>
      </c>
      <c r="AO87" s="147" t="str">
        <f>IFERROR(INDEX(BD42:BD45,MATCH(1,BL42:BL45,0)),"")</f>
        <v>Belgium</v>
      </c>
      <c r="AP87" s="147" t="str">
        <f>IFERROR(INDEX(BD42:BD45,MATCH(2,BL42:BL45,0)),"")</f>
        <v>Egypt</v>
      </c>
      <c r="AQ87" s="147" t="str">
        <f>IFERROR(INDEX(BD42:BD45,MATCH(3,BL42:BL45,0)),"")</f>
        <v>Iran</v>
      </c>
      <c r="AR87" s="147">
        <f>IFERROR(INDEX(BK42:BK45,MATCH(3,BL42:BL45,0)),0)</f>
        <v>3</v>
      </c>
      <c r="AS87" s="147">
        <f>IFERROR(INDEX(BI42:BI45,MATCH(3,BL42:BL45,0))-INDEX(BJ42:BJ45,MATCH(3,BL42:BL45,0)),0)</f>
        <v>0</v>
      </c>
      <c r="AT87" s="147">
        <f t="array" ref="AT87">SUMPRODUCT((($AR$81:$AR$92*1000000000000+($AS$81:$AS$92+20)*100000000+$BU$81:$BU$92*10000-ROW($AR$81:$AR$92))&gt;(AR87*1000000000000+(AS87+20)*100000000+BU87*10000-ROW(AR87)))*1)+1</f>
        <v>9</v>
      </c>
      <c r="AV87" s="147" t="str">
        <f>IFERROR(INDEX($AQ$81:$AQ$92,MATCH(7,$AT$81:$AT$92,0)),"")</f>
        <v>Paraguay</v>
      </c>
      <c r="AW87" s="147" t="str">
        <f>IFERROR(INDEX($AN$81:$AN$92,MATCH(7,$AT$81:$AT$92,0)),"")</f>
        <v>D</v>
      </c>
      <c r="BU87" s="14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N88" s="147" t="s">
        <v>62</v>
      </c>
      <c r="AO88" s="147" t="str">
        <f>IFERROR(INDEX(BD48:BD51,MATCH(1,BL48:BL51,0)),"")</f>
        <v>Spain</v>
      </c>
      <c r="AP88" s="147" t="str">
        <f>IFERROR(INDEX(BD48:BD51,MATCH(2,BL48:BL51,0)),"")</f>
        <v>Cape Verde</v>
      </c>
      <c r="AQ88" s="147" t="str">
        <f>IFERROR(INDEX(BD48:BD51,MATCH(3,BL48:BL51,0)),"")</f>
        <v>Uruguay</v>
      </c>
      <c r="AR88" s="147">
        <f>IFERROR(INDEX(BK48:BK51,MATCH(3,BL48:BL51,0)),0)</f>
        <v>2</v>
      </c>
      <c r="AS88" s="147">
        <f>IFERROR(INDEX(BI48:BI51,MATCH(3,BL48:BL51,0))-INDEX(BJ48:BJ51,MATCH(3,BL48:BL51,0)),0)</f>
        <v>-1</v>
      </c>
      <c r="AT88" s="147">
        <f t="array" ref="AT88">SUMPRODUCT((($AR$81:$AR$92*1000000000000+($AS$81:$AS$92+20)*100000000+$BU$81:$BU$92*10000-ROW($AR$81:$AR$92))&gt;(AR88*1000000000000+(AS88+20)*100000000+BU88*10000-ROW(AR88)))*1)+1</f>
        <v>12</v>
      </c>
      <c r="AV88" s="147" t="str">
        <f>IFERROR(INDEX($AQ$81:$AQ$92,MATCH(8,$AT$81:$AT$92,0)),"")</f>
        <v>Senegal</v>
      </c>
      <c r="AW88" s="147" t="str">
        <f>IFERROR(INDEX($AN$81:$AN$92,MATCH(8,$AT$81:$AT$92,0)),"")</f>
        <v>I</v>
      </c>
      <c r="BU88" s="147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N89" s="147" t="s">
        <v>68</v>
      </c>
      <c r="AO89" s="147" t="str">
        <f>IFERROR(INDEX(BD54:BD57,MATCH(1,BL54:BL57,0)),"")</f>
        <v>France</v>
      </c>
      <c r="AP89" s="147" t="str">
        <f>IFERROR(INDEX(BD54:BD57,MATCH(2,BL54:BL57,0)),"")</f>
        <v>Norway</v>
      </c>
      <c r="AQ89" s="147" t="str">
        <f>IFERROR(INDEX(BD54:BD57,MATCH(3,BL54:BL57,0)),"")</f>
        <v>Senegal</v>
      </c>
      <c r="AR89" s="147">
        <f>IFERROR(INDEX(BK54:BK57,MATCH(3,BL54:BL57,0)),0)</f>
        <v>3</v>
      </c>
      <c r="AS89" s="147">
        <f>IFERROR(INDEX(BI54:BI57,MATCH(3,BL54:BL57,0))-INDEX(BJ54:BJ57,MATCH(3,BL54:BL57,0)),0)</f>
        <v>2</v>
      </c>
      <c r="AT89" s="147">
        <f t="array" ref="AT89">SUMPRODUCT((($AR$81:$AR$92*1000000000000+($AS$81:$AS$92+20)*100000000+$BU$81:$BU$92*10000-ROW($AR$81:$AR$92))&gt;(AR89*1000000000000+(AS89+20)*100000000+BU89*10000-ROW(AR89)))*1)+1</f>
        <v>8</v>
      </c>
      <c r="BU89" s="147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N90" s="147" t="s">
        <v>74</v>
      </c>
      <c r="AO90" s="147" t="str">
        <f>IFERROR(INDEX(BD60:BD63,MATCH(1,BL60:BL63,0)),"")</f>
        <v>Argentina</v>
      </c>
      <c r="AP90" s="147" t="str">
        <f>IFERROR(INDEX(BD60:BD63,MATCH(2,BL60:BL63,0)),"")</f>
        <v>Austria</v>
      </c>
      <c r="AQ90" s="147" t="str">
        <f>IFERROR(INDEX(BD60:BD63,MATCH(3,BL60:BL63,0)),"")</f>
        <v>Algeria</v>
      </c>
      <c r="AR90" s="147">
        <f>IFERROR(INDEX(BK60:BK63,MATCH(3,BL60:BL63,0)),0)</f>
        <v>4</v>
      </c>
      <c r="AS90" s="147">
        <f>IFERROR(INDEX(BI60:BI63,MATCH(3,BL60:BL63,0))-INDEX(BJ60:BJ63,MATCH(3,BL60:BL63,0)),0)</f>
        <v>-2</v>
      </c>
      <c r="AT90" s="147">
        <f t="array" ref="AT90">SUMPRODUCT((($AR$81:$AR$92*1000000000000+($AS$81:$AS$92+20)*100000000+$BU$81:$BU$92*10000-ROW($AR$81:$AR$92))&gt;(AR90*1000000000000+(AS90+20)*100000000+BU90*10000-ROW(AR90)))*1)+1</f>
        <v>6</v>
      </c>
      <c r="BU90" s="147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N91" s="147" t="s">
        <v>80</v>
      </c>
      <c r="AO91" s="147" t="str">
        <f>IFERROR(INDEX(BD66:BD69,MATCH(1,BL66:BL69,0)),"")</f>
        <v>Colombia</v>
      </c>
      <c r="AP91" s="147" t="str">
        <f>IFERROR(INDEX(BD66:BD69,MATCH(2,BL66:BL69,0)),"")</f>
        <v>Portugal</v>
      </c>
      <c r="AQ91" s="147" t="str">
        <f>IFERROR(INDEX(BD66:BD69,MATCH(3,BL66:BL69,0)),"")</f>
        <v>DR Congo</v>
      </c>
      <c r="AR91" s="147">
        <f>IFERROR(INDEX(BK66:BK69,MATCH(3,BL66:BL69,0)),0)</f>
        <v>4</v>
      </c>
      <c r="AS91" s="147">
        <f>IFERROR(INDEX(BI66:BI69,MATCH(3,BL66:BL69,0))-INDEX(BJ66:BJ69,MATCH(3,BL66:BL69,0)),0)</f>
        <v>1</v>
      </c>
      <c r="AT91" s="147">
        <f t="array" ref="AT91">SUMPRODUCT((($AR$81:$AR$92*1000000000000+($AS$81:$AS$92+20)*100000000+$BU$81:$BU$92*10000-ROW($AR$81:$AR$92))&gt;(AR91*1000000000000+(AS91+20)*100000000+BU91*10000-ROW(AR91)))*1)+1</f>
        <v>1</v>
      </c>
      <c r="BU91" s="147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N92" s="147" t="s">
        <v>20</v>
      </c>
      <c r="AO92" s="147" t="str">
        <f>IFERROR(INDEX(BD72:BD75,MATCH(1,BL72:BL75,0)),"")</f>
        <v>England</v>
      </c>
      <c r="AP92" s="147" t="str">
        <f>IFERROR(INDEX(BD72:BD75,MATCH(2,BL72:BL75,0)),"")</f>
        <v>Croatia</v>
      </c>
      <c r="AQ92" s="147" t="str">
        <f>IFERROR(INDEX(BD72:BD75,MATCH(3,BL72:BL75,0)),"")</f>
        <v>Ghana</v>
      </c>
      <c r="AR92" s="147">
        <f>IFERROR(INDEX(BK72:BK75,MATCH(3,BL72:BL75,0)),0)</f>
        <v>4</v>
      </c>
      <c r="AS92" s="147">
        <f>IFERROR(INDEX(BI72:BI75,MATCH(3,BL72:BL75,0))-INDEX(BJ72:BJ75,MATCH(3,BL72:BL75,0)),0)</f>
        <v>0</v>
      </c>
      <c r="AT92" s="147">
        <f t="array" ref="AT92">SUMPRODUCT((($AR$81:$AR$92*1000000000000+($AS$81:$AS$92+20)*100000000+$BU$81:$BU$92*10000-ROW($AR$81:$AR$92))&gt;(AR92*1000000000000+(AS92+20)*100000000+BU92*10000-ROW(AR92)))*1)+1</f>
        <v>4</v>
      </c>
      <c r="BU92" s="147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62" t="s">
        <v>92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N1" s="163" t="s">
        <v>93</v>
      </c>
      <c r="O1" s="163"/>
      <c r="P1" s="163"/>
      <c r="Q1" s="163"/>
      <c r="R1" s="163"/>
    </row>
    <row r="3" spans="1:18" ht="27.75" customHeight="1" x14ac:dyDescent="0.3">
      <c r="A3" s="24" t="s">
        <v>94</v>
      </c>
      <c r="B3" s="24" t="s">
        <v>95</v>
      </c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  <c r="H3" s="24" t="s">
        <v>6</v>
      </c>
      <c r="I3" s="24" t="s">
        <v>101</v>
      </c>
      <c r="J3" s="24" t="s">
        <v>102</v>
      </c>
      <c r="K3" s="24" t="s">
        <v>103</v>
      </c>
      <c r="L3" s="24" t="s">
        <v>104</v>
      </c>
      <c r="N3" s="24" t="s">
        <v>105</v>
      </c>
      <c r="O3" s="24" t="s">
        <v>106</v>
      </c>
      <c r="P3" s="24" t="s">
        <v>107</v>
      </c>
      <c r="Q3" s="24" t="s">
        <v>108</v>
      </c>
      <c r="R3" s="24" t="s">
        <v>109</v>
      </c>
    </row>
    <row r="4" spans="1:18" ht="12.75" customHeight="1" x14ac:dyDescent="0.3">
      <c r="A4" s="25">
        <f>IF(1&gt;COUNTIF(' Toto teams'!$A$4:$A$119,"&lt;&gt;"),"",INDEX(' Toto teams'!$S$4:$S$119,MATCH(LARGE(' Toto teams'!$T$4:$T$119,1),' Toto teams'!$T$4:$T$119,0)))</f>
        <v>1</v>
      </c>
      <c r="B4" s="26" t="str">
        <f>IF(1&gt;COUNTIF(' Toto teams'!$A$4:$A$119,"&lt;&gt;"),"",INDEX(' Toto teams'!$A$4:$A$119,MATCH(LARGE(' Toto teams'!$T$4:$T$119,1),' Toto teams'!$T$4:$T$119,0)))</f>
        <v>Renata Čižauskienė</v>
      </c>
      <c r="C4" s="27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144</v>
      </c>
      <c r="D4" s="27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7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7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48</v>
      </c>
      <c r="G4" s="27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7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7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7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8">
        <f>IF($B4="","",IFERROR(INDEX(' Toto teams'!$R$4:$R$119,MATCH($B4,' Toto teams'!$A$4:$A$119,0)),""))</f>
        <v>366</v>
      </c>
      <c r="L4" s="29">
        <f t="shared" ref="L4:L35" si="0">IFERROR(IF(B4="","",VLOOKUP(A4,$N$4:$R$12,5,FALSE())),0)</f>
        <v>1102.5</v>
      </c>
      <c r="N4" s="30">
        <v>1</v>
      </c>
      <c r="O4" s="31">
        <v>0.5</v>
      </c>
      <c r="P4" s="32">
        <f t="shared" ref="P4:P12" si="1">$O$15*O4</f>
        <v>1575</v>
      </c>
      <c r="Q4" s="30">
        <f t="shared" ref="Q4:Q12" si="2">COUNTIF($A$4:$A$119,N4)</f>
        <v>2</v>
      </c>
      <c r="R4" s="33">
        <f t="shared" ref="R4:R12" si="3">IF(Q4=0,0,SUMPRODUCT(($N$4:$N$12&gt;=N4)*($N$4:$N$12&lt;=N4+Q4-1)*$P$4:$P$12)/Q4)</f>
        <v>1102.5</v>
      </c>
    </row>
    <row r="5" spans="1:18" ht="12.75" customHeight="1" x14ac:dyDescent="0.3">
      <c r="A5" s="25">
        <f>IF(2&gt;COUNTIF(' Toto teams'!$A$4:$A$119,"&lt;&gt;"),"",INDEX(' Toto teams'!$S$4:$S$119,MATCH(LARGE(' Toto teams'!$T$4:$T$119,2),' Toto teams'!$T$4:$T$119,0)))</f>
        <v>1</v>
      </c>
      <c r="B5" s="26" t="str">
        <f>IF(2&gt;COUNTIF(' Toto teams'!$A$4:$A$119,"&lt;&gt;"),"",INDEX(' Toto teams'!$A$4:$A$119,MATCH(LARGE(' Toto teams'!$T$4:$T$119,2),' Toto teams'!$T$4:$T$119,0)))</f>
        <v>Aurimas Šumbrauskis</v>
      </c>
      <c r="C5" s="27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144</v>
      </c>
      <c r="D5" s="27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7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7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48</v>
      </c>
      <c r="G5" s="27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7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7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7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8">
        <f>IF($B5="","",IFERROR(INDEX(' Toto teams'!$R$4:$R$119,MATCH($B5,' Toto teams'!$A$4:$A$119,0)),""))</f>
        <v>366</v>
      </c>
      <c r="L5" s="29">
        <f t="shared" si="0"/>
        <v>1102.5</v>
      </c>
      <c r="N5" s="30">
        <v>2</v>
      </c>
      <c r="O5" s="31">
        <v>0.2</v>
      </c>
      <c r="P5" s="32">
        <f t="shared" si="1"/>
        <v>630</v>
      </c>
      <c r="Q5" s="30">
        <f t="shared" si="2"/>
        <v>0</v>
      </c>
      <c r="R5" s="33">
        <f t="shared" si="3"/>
        <v>0</v>
      </c>
    </row>
    <row r="6" spans="1:18" ht="12.75" customHeight="1" x14ac:dyDescent="0.3">
      <c r="A6" s="25">
        <f>IF(3&gt;COUNTIF(' Toto teams'!$A$4:$A$119,"&lt;&gt;"),"",INDEX(' Toto teams'!$S$4:$S$119,MATCH(LARGE(' Toto teams'!$T$4:$T$119,3),' Toto teams'!$T$4:$T$119,0)))</f>
        <v>3</v>
      </c>
      <c r="B6" s="26" t="str">
        <f>IF(3&gt;COUNTIF(' Toto teams'!$A$4:$A$119,"&lt;&gt;"),"",INDEX(' Toto teams'!$A$4:$A$119,MATCH(LARGE(' Toto teams'!$T$4:$T$119,3),' Toto teams'!$T$4:$T$119,0)))</f>
        <v>Davide Speranza</v>
      </c>
      <c r="C6" s="27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146</v>
      </c>
      <c r="D6" s="27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68</v>
      </c>
      <c r="E6" s="27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7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48</v>
      </c>
      <c r="G6" s="27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7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7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7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8">
        <f>IF($B6="","",IFERROR(INDEX(' Toto teams'!$R$4:$R$119,MATCH($B6,' Toto teams'!$A$4:$A$119,0)),""))</f>
        <v>364</v>
      </c>
      <c r="L6" s="29">
        <f t="shared" si="0"/>
        <v>315</v>
      </c>
      <c r="N6" s="30">
        <v>3</v>
      </c>
      <c r="O6" s="31">
        <v>0.1</v>
      </c>
      <c r="P6" s="32">
        <f t="shared" si="1"/>
        <v>315</v>
      </c>
      <c r="Q6" s="30">
        <f t="shared" si="2"/>
        <v>1</v>
      </c>
      <c r="R6" s="33">
        <f t="shared" si="3"/>
        <v>315</v>
      </c>
    </row>
    <row r="7" spans="1:18" ht="12.75" customHeight="1" x14ac:dyDescent="0.3">
      <c r="A7" s="25">
        <f>IF(4&gt;COUNTIF(' Toto teams'!$A$4:$A$119,"&lt;&gt;"),"",INDEX(' Toto teams'!$S$4:$S$119,MATCH(LARGE(' Toto teams'!$T$4:$T$119,4),' Toto teams'!$T$4:$T$119,0)))</f>
        <v>4</v>
      </c>
      <c r="B7" s="26" t="str">
        <f>IF(4&gt;COUNTIF(' Toto teams'!$A$4:$A$119,"&lt;&gt;"),"",INDEX(' Toto teams'!$A$4:$A$119,MATCH(LARGE(' Toto teams'!$T$4:$T$119,4),' Toto teams'!$T$4:$T$119,0)))</f>
        <v>Deividas Jančius</v>
      </c>
      <c r="C7" s="27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138</v>
      </c>
      <c r="D7" s="27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7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7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48</v>
      </c>
      <c r="G7" s="27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7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7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7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8">
        <f>IF($B7="","",IFERROR(INDEX(' Toto teams'!$R$4:$R$119,MATCH($B7,' Toto teams'!$A$4:$A$119,0)),""))</f>
        <v>360</v>
      </c>
      <c r="L7" s="29">
        <f t="shared" si="0"/>
        <v>157.5</v>
      </c>
      <c r="N7" s="30">
        <v>4</v>
      </c>
      <c r="O7" s="31">
        <v>0.05</v>
      </c>
      <c r="P7" s="32">
        <f t="shared" si="1"/>
        <v>157.5</v>
      </c>
      <c r="Q7" s="30">
        <f t="shared" si="2"/>
        <v>1</v>
      </c>
      <c r="R7" s="33">
        <f t="shared" si="3"/>
        <v>157.5</v>
      </c>
    </row>
    <row r="8" spans="1:18" ht="12.75" customHeight="1" x14ac:dyDescent="0.3">
      <c r="A8" s="25">
        <f>IF(5&gt;COUNTIF(' Toto teams'!$A$4:$A$119,"&lt;&gt;"),"",INDEX(' Toto teams'!$S$4:$S$119,MATCH(LARGE(' Toto teams'!$T$4:$T$119,5),' Toto teams'!$T$4:$T$119,0)))</f>
        <v>5</v>
      </c>
      <c r="B8" s="26" t="str">
        <f>IF(5&gt;COUNTIF(' Toto teams'!$A$4:$A$119,"&lt;&gt;"),"",INDEX(' Toto teams'!$A$4:$A$119,MATCH(LARGE(' Toto teams'!$T$4:$T$119,5),' Toto teams'!$T$4:$T$119,0)))</f>
        <v>Simona Jociūtė</v>
      </c>
      <c r="C8" s="27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143</v>
      </c>
      <c r="D8" s="27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7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96</v>
      </c>
      <c r="F8" s="27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48</v>
      </c>
      <c r="G8" s="27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7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7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7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8">
        <f>IF($B8="","",IFERROR(INDEX(' Toto teams'!$R$4:$R$119,MATCH($B8,' Toto teams'!$A$4:$A$119,0)),""))</f>
        <v>359</v>
      </c>
      <c r="L8" s="29">
        <f t="shared" si="0"/>
        <v>118.125</v>
      </c>
      <c r="N8" s="30">
        <v>5</v>
      </c>
      <c r="O8" s="31">
        <v>0.05</v>
      </c>
      <c r="P8" s="32">
        <f t="shared" si="1"/>
        <v>157.5</v>
      </c>
      <c r="Q8" s="30">
        <f t="shared" si="2"/>
        <v>2</v>
      </c>
      <c r="R8" s="33">
        <f t="shared" si="3"/>
        <v>118.125</v>
      </c>
    </row>
    <row r="9" spans="1:18" ht="12.75" customHeight="1" x14ac:dyDescent="0.3">
      <c r="A9" s="25">
        <f>IF(6&gt;COUNTIF(' Toto teams'!$A$4:$A$119,"&lt;&gt;"),"",INDEX(' Toto teams'!$S$4:$S$119,MATCH(LARGE(' Toto teams'!$T$4:$T$119,6),' Toto teams'!$T$4:$T$119,0)))</f>
        <v>5</v>
      </c>
      <c r="B9" s="26" t="str">
        <f>IF(6&gt;COUNTIF(' Toto teams'!$A$4:$A$119,"&lt;&gt;"),"",INDEX(' Toto teams'!$A$4:$A$119,MATCH(LARGE(' Toto teams'!$T$4:$T$119,6),' Toto teams'!$T$4:$T$119,0)))</f>
        <v>Arnoldas Molis</v>
      </c>
      <c r="C9" s="27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137</v>
      </c>
      <c r="D9" s="27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7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7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48</v>
      </c>
      <c r="G9" s="27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7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7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7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8">
        <f>IF($B9="","",IFERROR(INDEX(' Toto teams'!$R$4:$R$119,MATCH($B9,' Toto teams'!$A$4:$A$119,0)),""))</f>
        <v>359</v>
      </c>
      <c r="L9" s="29">
        <f t="shared" si="0"/>
        <v>118.125</v>
      </c>
      <c r="N9" s="30">
        <v>6</v>
      </c>
      <c r="O9" s="31">
        <v>2.5000000000000001E-2</v>
      </c>
      <c r="P9" s="32">
        <f t="shared" si="1"/>
        <v>78.75</v>
      </c>
      <c r="Q9" s="30">
        <f t="shared" si="2"/>
        <v>0</v>
      </c>
      <c r="R9" s="33">
        <f t="shared" si="3"/>
        <v>0</v>
      </c>
    </row>
    <row r="10" spans="1:18" ht="12.75" customHeight="1" x14ac:dyDescent="0.3">
      <c r="A10" s="25">
        <f>IF(7&gt;COUNTIF(' Toto teams'!$A$4:$A$119,"&lt;&gt;"),"",INDEX(' Toto teams'!$S$4:$S$119,MATCH(LARGE(' Toto teams'!$T$4:$T$119,7),' Toto teams'!$T$4:$T$119,0)))</f>
        <v>7</v>
      </c>
      <c r="B10" s="26" t="str">
        <f>IF(7&gt;COUNTIF(' Toto teams'!$A$4:$A$119,"&lt;&gt;"),"",INDEX(' Toto teams'!$A$4:$A$119,MATCH(LARGE(' Toto teams'!$T$4:$T$119,7),' Toto teams'!$T$4:$T$119,0)))</f>
        <v>Slava Maltsev</v>
      </c>
      <c r="C10" s="27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139</v>
      </c>
      <c r="D10" s="27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68</v>
      </c>
      <c r="E10" s="27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7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48</v>
      </c>
      <c r="G10" s="27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7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7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7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8">
        <f>IF($B10="","",IFERROR(INDEX(' Toto teams'!$R$4:$R$119,MATCH($B10,' Toto teams'!$A$4:$A$119,0)),""))</f>
        <v>357</v>
      </c>
      <c r="L10" s="29">
        <f t="shared" si="0"/>
        <v>78.75</v>
      </c>
      <c r="N10" s="30">
        <v>7</v>
      </c>
      <c r="O10" s="31">
        <v>2.5000000000000001E-2</v>
      </c>
      <c r="P10" s="32">
        <f t="shared" si="1"/>
        <v>78.75</v>
      </c>
      <c r="Q10" s="30">
        <f t="shared" si="2"/>
        <v>3</v>
      </c>
      <c r="R10" s="33">
        <f t="shared" si="3"/>
        <v>78.75</v>
      </c>
    </row>
    <row r="11" spans="1:18" ht="12.75" customHeight="1" x14ac:dyDescent="0.3">
      <c r="A11" s="25">
        <f>IF(8&gt;COUNTIF(' Toto teams'!$A$4:$A$119,"&lt;&gt;"),"",INDEX(' Toto teams'!$S$4:$S$119,MATCH(LARGE(' Toto teams'!$T$4:$T$119,8),' Toto teams'!$T$4:$T$119,0)))</f>
        <v>7</v>
      </c>
      <c r="B11" s="26" t="str">
        <f>IF(8&gt;COUNTIF(' Toto teams'!$A$4:$A$119,"&lt;&gt;"),"",INDEX(' Toto teams'!$A$4:$A$119,MATCH(LARGE(' Toto teams'!$T$4:$T$119,8),' Toto teams'!$T$4:$T$119,0)))</f>
        <v>Donatas Pocius</v>
      </c>
      <c r="C11" s="27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135</v>
      </c>
      <c r="D11" s="27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7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7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48</v>
      </c>
      <c r="G11" s="27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7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7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7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8">
        <f>IF($B11="","",IFERROR(INDEX(' Toto teams'!$R$4:$R$119,MATCH($B11,' Toto teams'!$A$4:$A$119,0)),""))</f>
        <v>357</v>
      </c>
      <c r="L11" s="29">
        <f t="shared" si="0"/>
        <v>78.75</v>
      </c>
      <c r="N11" s="30">
        <v>8</v>
      </c>
      <c r="O11" s="31">
        <v>2.5000000000000001E-2</v>
      </c>
      <c r="P11" s="32">
        <f t="shared" si="1"/>
        <v>78.75</v>
      </c>
      <c r="Q11" s="30">
        <f t="shared" si="2"/>
        <v>0</v>
      </c>
      <c r="R11" s="33">
        <f t="shared" si="3"/>
        <v>0</v>
      </c>
    </row>
    <row r="12" spans="1:18" ht="12.75" customHeight="1" x14ac:dyDescent="0.3">
      <c r="A12" s="25">
        <f>IF(9&gt;COUNTIF(' Toto teams'!$A$4:$A$119,"&lt;&gt;"),"",INDEX(' Toto teams'!$S$4:$S$119,MATCH(LARGE(' Toto teams'!$T$4:$T$119,9),' Toto teams'!$T$4:$T$119,0)))</f>
        <v>7</v>
      </c>
      <c r="B12" s="26" t="str">
        <f>IF(9&gt;COUNTIF(' Toto teams'!$A$4:$A$119,"&lt;&gt;"),"",INDEX(' Toto teams'!$A$4:$A$119,MATCH(LARGE(' Toto teams'!$T$4:$T$119,9),' Toto teams'!$T$4:$T$119,0)))</f>
        <v>Enrico Ancarola, Pietro Rivera, Riccardo Gatti</v>
      </c>
      <c r="C12" s="27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135</v>
      </c>
      <c r="D12" s="27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7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7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48</v>
      </c>
      <c r="G12" s="27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7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7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7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8">
        <f>IF($B12="","",IFERROR(INDEX(' Toto teams'!$R$4:$R$119,MATCH($B12,' Toto teams'!$A$4:$A$119,0)),""))</f>
        <v>357</v>
      </c>
      <c r="L12" s="29">
        <f t="shared" si="0"/>
        <v>78.75</v>
      </c>
      <c r="N12" s="30">
        <v>9</v>
      </c>
      <c r="O12" s="31">
        <v>2.5000000000000001E-2</v>
      </c>
      <c r="P12" s="32">
        <f t="shared" si="1"/>
        <v>78.75</v>
      </c>
      <c r="Q12" s="30">
        <f t="shared" si="2"/>
        <v>0</v>
      </c>
      <c r="R12" s="33">
        <f t="shared" si="3"/>
        <v>0</v>
      </c>
    </row>
    <row r="13" spans="1:18" ht="12.75" customHeight="1" x14ac:dyDescent="0.3">
      <c r="A13" s="25">
        <f>IF(10&gt;COUNTIF(' Toto teams'!$A$4:$A$119,"&lt;&gt;"),"",INDEX(' Toto teams'!$S$4:$S$119,MATCH(LARGE(' Toto teams'!$T$4:$T$119,10),' Toto teams'!$T$4:$T$119,0)))</f>
        <v>10</v>
      </c>
      <c r="B13" s="26" t="str">
        <f>IF(10&gt;COUNTIF(' Toto teams'!$A$4:$A$119,"&lt;&gt;"),"",INDEX(' Toto teams'!$A$4:$A$119,MATCH(LARGE(' Toto teams'!$T$4:$T$119,10),' Toto teams'!$T$4:$T$119,0)))</f>
        <v>Gianmarco Monti</v>
      </c>
      <c r="C13" s="27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139</v>
      </c>
      <c r="D13" s="27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7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96</v>
      </c>
      <c r="F13" s="27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48</v>
      </c>
      <c r="G13" s="27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7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7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7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8">
        <f>IF($B13="","",IFERROR(INDEX(' Toto teams'!$R$4:$R$119,MATCH($B13,' Toto teams'!$A$4:$A$119,0)),""))</f>
        <v>355</v>
      </c>
      <c r="L13" s="29">
        <f t="shared" si="0"/>
        <v>0</v>
      </c>
      <c r="N13" t="s">
        <v>110</v>
      </c>
      <c r="O13" s="34">
        <f>SUM(O4:O12)</f>
        <v>1</v>
      </c>
      <c r="P13">
        <f>SUM(P4:P12)</f>
        <v>3150</v>
      </c>
    </row>
    <row r="14" spans="1:18" ht="12.75" customHeight="1" x14ac:dyDescent="0.3">
      <c r="A14" s="25">
        <f>IF(11&gt;COUNTIF(' Toto teams'!$A$4:$A$119,"&lt;&gt;"),"",INDEX(' Toto teams'!$S$4:$S$119,MATCH(LARGE(' Toto teams'!$T$4:$T$119,11),' Toto teams'!$T$4:$T$119,0)))</f>
        <v>10</v>
      </c>
      <c r="B14" s="26" t="str">
        <f>IF(11&gt;COUNTIF(' Toto teams'!$A$4:$A$119,"&lt;&gt;"),"",INDEX(' Toto teams'!$A$4:$A$119,MATCH(LARGE(' Toto teams'!$T$4:$T$119,11),' Toto teams'!$T$4:$T$119,0)))</f>
        <v>Partrikas Oleknavičius</v>
      </c>
      <c r="C14" s="27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133</v>
      </c>
      <c r="D14" s="27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7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102</v>
      </c>
      <c r="F14" s="27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48</v>
      </c>
      <c r="G14" s="27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7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7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7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8">
        <f>IF($B14="","",IFERROR(INDEX(' Toto teams'!$R$4:$R$119,MATCH($B14,' Toto teams'!$A$4:$A$119,0)),""))</f>
        <v>355</v>
      </c>
      <c r="L14" s="29">
        <f t="shared" si="0"/>
        <v>0</v>
      </c>
    </row>
    <row r="15" spans="1:18" ht="12.75" customHeight="1" x14ac:dyDescent="0.3">
      <c r="A15" s="25">
        <f>IF(12&gt;COUNTIF(' Toto teams'!$A$4:$A$119,"&lt;&gt;"),"",INDEX(' Toto teams'!$S$4:$S$119,MATCH(LARGE(' Toto teams'!$T$4:$T$119,12),' Toto teams'!$T$4:$T$119,0)))</f>
        <v>12</v>
      </c>
      <c r="B15" s="26" t="str">
        <f>IF(12&gt;COUNTIF(' Toto teams'!$A$4:$A$119,"&lt;&gt;"),"",INDEX(' Toto teams'!$A$4:$A$119,MATCH(LARGE(' Toto teams'!$T$4:$T$119,12),' Toto teams'!$T$4:$T$119,0)))</f>
        <v>Karolis Marcinkevičius</v>
      </c>
      <c r="C15" s="27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128.5</v>
      </c>
      <c r="D15" s="27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68</v>
      </c>
      <c r="E15" s="27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7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56</v>
      </c>
      <c r="G15" s="27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7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7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7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8">
        <f>IF($B15="","",IFERROR(INDEX(' Toto teams'!$R$4:$R$119,MATCH($B15,' Toto teams'!$A$4:$A$119,0)),""))</f>
        <v>354.5</v>
      </c>
      <c r="L15" s="29">
        <f t="shared" si="0"/>
        <v>0</v>
      </c>
      <c r="N15" t="s">
        <v>111</v>
      </c>
      <c r="O15">
        <v>3150</v>
      </c>
    </row>
    <row r="16" spans="1:18" ht="12.75" customHeight="1" x14ac:dyDescent="0.3">
      <c r="A16" s="25">
        <f>IF(13&gt;COUNTIF(' Toto teams'!$A$4:$A$119,"&lt;&gt;"),"",INDEX(' Toto teams'!$S$4:$S$119,MATCH(LARGE(' Toto teams'!$T$4:$T$119,13),' Toto teams'!$T$4:$T$119,0)))</f>
        <v>13</v>
      </c>
      <c r="B16" s="26" t="str">
        <f>IF(13&gt;COUNTIF(' Toto teams'!$A$4:$A$119,"&lt;&gt;"),"",INDEX(' Toto teams'!$A$4:$A$119,MATCH(LARGE(' Toto teams'!$T$4:$T$119,13),' Toto teams'!$T$4:$T$119,0)))</f>
        <v>Nadia Mercurio</v>
      </c>
      <c r="C16" s="27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138.5</v>
      </c>
      <c r="D16" s="27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68</v>
      </c>
      <c r="E16" s="27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96</v>
      </c>
      <c r="F16" s="27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48</v>
      </c>
      <c r="G16" s="27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7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7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7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8">
        <f>IF($B16="","",IFERROR(INDEX(' Toto teams'!$R$4:$R$119,MATCH($B16,' Toto teams'!$A$4:$A$119,0)),""))</f>
        <v>350.5</v>
      </c>
      <c r="L16" s="29">
        <f t="shared" si="0"/>
        <v>0</v>
      </c>
    </row>
    <row r="17" spans="1:12" ht="12.75" customHeight="1" x14ac:dyDescent="0.3">
      <c r="A17" s="25">
        <f>IF(14&gt;COUNTIF(' Toto teams'!$A$4:$A$119,"&lt;&gt;"),"",INDEX(' Toto teams'!$S$4:$S$119,MATCH(LARGE(' Toto teams'!$T$4:$T$119,14),' Toto teams'!$T$4:$T$119,0)))</f>
        <v>14</v>
      </c>
      <c r="B17" s="26" t="str">
        <f>IF(14&gt;COUNTIF(' Toto teams'!$A$4:$A$119,"&lt;&gt;"),"",INDEX(' Toto teams'!$A$4:$A$119,MATCH(LARGE(' Toto teams'!$T$4:$T$119,14),' Toto teams'!$T$4:$T$119,0)))</f>
        <v>Pijus Jalo</v>
      </c>
      <c r="C17" s="27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137.5</v>
      </c>
      <c r="D17" s="27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7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96</v>
      </c>
      <c r="F17" s="27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48</v>
      </c>
      <c r="G17" s="27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7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7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7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8">
        <f>IF($B17="","",IFERROR(INDEX(' Toto teams'!$R$4:$R$119,MATCH($B17,' Toto teams'!$A$4:$A$119,0)),""))</f>
        <v>349.5</v>
      </c>
      <c r="L17" s="29">
        <f t="shared" si="0"/>
        <v>0</v>
      </c>
    </row>
    <row r="18" spans="1:12" ht="12.75" customHeight="1" x14ac:dyDescent="0.3">
      <c r="A18" s="25">
        <f>IF(15&gt;COUNTIF(' Toto teams'!$A$4:$A$119,"&lt;&gt;"),"",INDEX(' Toto teams'!$S$4:$S$119,MATCH(LARGE(' Toto teams'!$T$4:$T$119,15),' Toto teams'!$T$4:$T$119,0)))</f>
        <v>15</v>
      </c>
      <c r="B18" s="26" t="str">
        <f>IF(15&gt;COUNTIF(' Toto teams'!$A$4:$A$119,"&lt;&gt;"),"",INDEX(' Toto teams'!$A$4:$A$119,MATCH(LARGE(' Toto teams'!$T$4:$T$119,15),' Toto teams'!$T$4:$T$119,0)))</f>
        <v>Gintas Bungarda</v>
      </c>
      <c r="C18" s="27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137</v>
      </c>
      <c r="D18" s="27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7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96</v>
      </c>
      <c r="F18" s="27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48</v>
      </c>
      <c r="G18" s="27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7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7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7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8">
        <f>IF($B18="","",IFERROR(INDEX(' Toto teams'!$R$4:$R$119,MATCH($B18,' Toto teams'!$A$4:$A$119,0)),""))</f>
        <v>349</v>
      </c>
      <c r="L18" s="29">
        <f t="shared" si="0"/>
        <v>0</v>
      </c>
    </row>
    <row r="19" spans="1:12" ht="12.75" customHeight="1" x14ac:dyDescent="0.3">
      <c r="A19" s="25">
        <f>IF(16&gt;COUNTIF(' Toto teams'!$A$4:$A$119,"&lt;&gt;"),"",INDEX(' Toto teams'!$S$4:$S$119,MATCH(LARGE(' Toto teams'!$T$4:$T$119,16),' Toto teams'!$T$4:$T$119,0)))</f>
        <v>15</v>
      </c>
      <c r="B19" s="26" t="str">
        <f>IF(16&gt;COUNTIF(' Toto teams'!$A$4:$A$119,"&lt;&gt;"),"",INDEX(' Toto teams'!$A$4:$A$119,MATCH(LARGE(' Toto teams'!$T$4:$T$119,16),' Toto teams'!$T$4:$T$119,0)))</f>
        <v>Gintas Bungarda 2</v>
      </c>
      <c r="C19" s="27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127</v>
      </c>
      <c r="D19" s="27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7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102</v>
      </c>
      <c r="F19" s="27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48</v>
      </c>
      <c r="G19" s="27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7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7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7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8">
        <f>IF($B19="","",IFERROR(INDEX(' Toto teams'!$R$4:$R$119,MATCH($B19,' Toto teams'!$A$4:$A$119,0)),""))</f>
        <v>349</v>
      </c>
      <c r="L19" s="29">
        <f t="shared" si="0"/>
        <v>0</v>
      </c>
    </row>
    <row r="20" spans="1:12" ht="12.75" customHeight="1" x14ac:dyDescent="0.3">
      <c r="A20" s="25">
        <f>IF(17&gt;COUNTIF(' Toto teams'!$A$4:$A$119,"&lt;&gt;"),"",INDEX(' Toto teams'!$S$4:$S$119,MATCH(LARGE(' Toto teams'!$T$4:$T$119,17),' Toto teams'!$T$4:$T$119,0)))</f>
        <v>17</v>
      </c>
      <c r="B20" s="26" t="str">
        <f>IF(17&gt;COUNTIF(' Toto teams'!$A$4:$A$119,"&lt;&gt;"),"",INDEX(' Toto teams'!$A$4:$A$119,MATCH(LARGE(' Toto teams'!$T$4:$T$119,17),' Toto teams'!$T$4:$T$119,0)))</f>
        <v>Ernesta Čebienė</v>
      </c>
      <c r="C20" s="27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132</v>
      </c>
      <c r="D20" s="27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7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96</v>
      </c>
      <c r="F20" s="27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48</v>
      </c>
      <c r="G20" s="27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7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7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7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8">
        <f>IF($B20="","",IFERROR(INDEX(' Toto teams'!$R$4:$R$119,MATCH($B20,' Toto teams'!$A$4:$A$119,0)),""))</f>
        <v>348</v>
      </c>
      <c r="L20" s="29">
        <f t="shared" si="0"/>
        <v>0</v>
      </c>
    </row>
    <row r="21" spans="1:12" ht="12.75" customHeight="1" x14ac:dyDescent="0.3">
      <c r="A21" s="25">
        <f>IF(18&gt;COUNTIF(' Toto teams'!$A$4:$A$119,"&lt;&gt;"),"",INDEX(' Toto teams'!$S$4:$S$119,MATCH(LARGE(' Toto teams'!$T$4:$T$119,18),' Toto teams'!$T$4:$T$119,0)))</f>
        <v>18</v>
      </c>
      <c r="B21" s="26" t="str">
        <f>IF(18&gt;COUNTIF(' Toto teams'!$A$4:$A$119,"&lt;&gt;"),"",INDEX(' Toto teams'!$A$4:$A$119,MATCH(LARGE(' Toto teams'!$T$4:$T$119,18),' Toto teams'!$T$4:$T$119,0)))</f>
        <v>Gedas Girdžiūnas</v>
      </c>
      <c r="C21" s="27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135</v>
      </c>
      <c r="D21" s="27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68</v>
      </c>
      <c r="E21" s="27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96</v>
      </c>
      <c r="F21" s="27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48</v>
      </c>
      <c r="G21" s="27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7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7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7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8">
        <f>IF($B21="","",IFERROR(INDEX(' Toto teams'!$R$4:$R$119,MATCH($B21,' Toto teams'!$A$4:$A$119,0)),""))</f>
        <v>347</v>
      </c>
      <c r="L21" s="29">
        <f t="shared" si="0"/>
        <v>0</v>
      </c>
    </row>
    <row r="22" spans="1:12" ht="12.75" customHeight="1" x14ac:dyDescent="0.3">
      <c r="A22" s="25">
        <f>IF(19&gt;COUNTIF(' Toto teams'!$A$4:$A$119,"&lt;&gt;"),"",INDEX(' Toto teams'!$S$4:$S$119,MATCH(LARGE(' Toto teams'!$T$4:$T$119,19),' Toto teams'!$T$4:$T$119,0)))</f>
        <v>18</v>
      </c>
      <c r="B22" s="26" t="str">
        <f>IF(19&gt;COUNTIF(' Toto teams'!$A$4:$A$119,"&lt;&gt;"),"",INDEX(' Toto teams'!$A$4:$A$119,MATCH(LARGE(' Toto teams'!$T$4:$T$119,19),' Toto teams'!$T$4:$T$119,0)))</f>
        <v>Benas&amp;Šaras Oleknavičius</v>
      </c>
      <c r="C22" s="27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141</v>
      </c>
      <c r="D22" s="27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7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7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32</v>
      </c>
      <c r="G22" s="27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7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7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7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8">
        <f>IF($B22="","",IFERROR(INDEX(' Toto teams'!$R$4:$R$119,MATCH($B22,' Toto teams'!$A$4:$A$119,0)),""))</f>
        <v>347</v>
      </c>
      <c r="L22" s="29">
        <f t="shared" si="0"/>
        <v>0</v>
      </c>
    </row>
    <row r="23" spans="1:12" ht="12.75" customHeight="1" x14ac:dyDescent="0.3">
      <c r="A23" s="25">
        <f>IF(20&gt;COUNTIF(' Toto teams'!$A$4:$A$119,"&lt;&gt;"),"",INDEX(' Toto teams'!$S$4:$S$119,MATCH(LARGE(' Toto teams'!$T$4:$T$119,20),' Toto teams'!$T$4:$T$119,0)))</f>
        <v>20</v>
      </c>
      <c r="B23" s="26" t="str">
        <f>IF(20&gt;COUNTIF(' Toto teams'!$A$4:$A$119,"&lt;&gt;"),"",INDEX(' Toto teams'!$A$4:$A$119,MATCH(LARGE(' Toto teams'!$T$4:$T$119,20),' Toto teams'!$T$4:$T$119,0)))</f>
        <v>Simas Baubonis</v>
      </c>
      <c r="C23" s="27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140.5</v>
      </c>
      <c r="D23" s="27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7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7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32</v>
      </c>
      <c r="G23" s="27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7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7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7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8">
        <f>IF($B23="","",IFERROR(INDEX(' Toto teams'!$R$4:$R$119,MATCH($B23,' Toto teams'!$A$4:$A$119,0)),""))</f>
        <v>346.5</v>
      </c>
      <c r="L23" s="29">
        <f t="shared" si="0"/>
        <v>0</v>
      </c>
    </row>
    <row r="24" spans="1:12" ht="12.75" customHeight="1" x14ac:dyDescent="0.3">
      <c r="A24" s="25">
        <f>IF(21&gt;COUNTIF(' Toto teams'!$A$4:$A$119,"&lt;&gt;"),"",INDEX(' Toto teams'!$S$4:$S$119,MATCH(LARGE(' Toto teams'!$T$4:$T$119,21),' Toto teams'!$T$4:$T$119,0)))</f>
        <v>21</v>
      </c>
      <c r="B24" s="26" t="str">
        <f>IF(21&gt;COUNTIF(' Toto teams'!$A$4:$A$119,"&lt;&gt;"),"",INDEX(' Toto teams'!$A$4:$A$119,MATCH(LARGE(' Toto teams'!$T$4:$T$119,21),' Toto teams'!$T$4:$T$119,0)))</f>
        <v xml:space="preserve">Paulius Bernotas </v>
      </c>
      <c r="C24" s="27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140</v>
      </c>
      <c r="D24" s="27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7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7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32</v>
      </c>
      <c r="G24" s="27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7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7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7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8">
        <f>IF($B24="","",IFERROR(INDEX(' Toto teams'!$R$4:$R$119,MATCH($B24,' Toto teams'!$A$4:$A$119,0)),""))</f>
        <v>346</v>
      </c>
      <c r="L24" s="29">
        <f t="shared" si="0"/>
        <v>0</v>
      </c>
    </row>
    <row r="25" spans="1:12" ht="12.75" customHeight="1" x14ac:dyDescent="0.3">
      <c r="A25" s="25">
        <f>IF(22&gt;COUNTIF(' Toto teams'!$A$4:$A$119,"&lt;&gt;"),"",INDEX(' Toto teams'!$S$4:$S$119,MATCH(LARGE(' Toto teams'!$T$4:$T$119,22),' Toto teams'!$T$4:$T$119,0)))</f>
        <v>21</v>
      </c>
      <c r="B25" s="26" t="str">
        <f>IF(22&gt;COUNTIF(' Toto teams'!$A$4:$A$119,"&lt;&gt;"),"",INDEX(' Toto teams'!$A$4:$A$119,MATCH(LARGE(' Toto teams'!$T$4:$T$119,22),' Toto teams'!$T$4:$T$119,0)))</f>
        <v>Artem Lavrov</v>
      </c>
      <c r="C25" s="27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144</v>
      </c>
      <c r="D25" s="27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68</v>
      </c>
      <c r="E25" s="27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7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32</v>
      </c>
      <c r="G25" s="27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7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7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7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8">
        <f>IF($B25="","",IFERROR(INDEX(' Toto teams'!$R$4:$R$119,MATCH($B25,' Toto teams'!$A$4:$A$119,0)),""))</f>
        <v>346</v>
      </c>
      <c r="L25" s="29">
        <f t="shared" si="0"/>
        <v>0</v>
      </c>
    </row>
    <row r="26" spans="1:12" ht="12.75" customHeight="1" x14ac:dyDescent="0.3">
      <c r="A26" s="25">
        <f>IF(23&gt;COUNTIF(' Toto teams'!$A$4:$A$119,"&lt;&gt;"),"",INDEX(' Toto teams'!$S$4:$S$119,MATCH(LARGE(' Toto teams'!$T$4:$T$119,23),' Toto teams'!$T$4:$T$119,0)))</f>
        <v>23</v>
      </c>
      <c r="B26" s="26" t="str">
        <f>IF(23&gt;COUNTIF(' Toto teams'!$A$4:$A$119,"&lt;&gt;"),"",INDEX(' Toto teams'!$A$4:$A$119,MATCH(LARGE(' Toto teams'!$T$4:$T$119,23),' Toto teams'!$T$4:$T$119,0)))</f>
        <v>Jokūbas Kušleika</v>
      </c>
      <c r="C26" s="27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133</v>
      </c>
      <c r="D26" s="27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68</v>
      </c>
      <c r="E26" s="27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96</v>
      </c>
      <c r="F26" s="27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48</v>
      </c>
      <c r="G26" s="27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7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7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7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8">
        <f>IF($B26="","",IFERROR(INDEX(' Toto teams'!$R$4:$R$119,MATCH($B26,' Toto teams'!$A$4:$A$119,0)),""))</f>
        <v>345</v>
      </c>
      <c r="L26" s="29">
        <f t="shared" si="0"/>
        <v>0</v>
      </c>
    </row>
    <row r="27" spans="1:12" ht="12.75" customHeight="1" x14ac:dyDescent="0.3">
      <c r="A27" s="25">
        <f>IF(24&gt;COUNTIF(' Toto teams'!$A$4:$A$119,"&lt;&gt;"),"",INDEX(' Toto teams'!$S$4:$S$119,MATCH(LARGE(' Toto teams'!$T$4:$T$119,24),' Toto teams'!$T$4:$T$119,0)))</f>
        <v>24</v>
      </c>
      <c r="B27" s="26" t="str">
        <f>IF(24&gt;COUNTIF(' Toto teams'!$A$4:$A$119,"&lt;&gt;"),"",INDEX(' Toto teams'!$A$4:$A$119,MATCH(LARGE(' Toto teams'!$T$4:$T$119,24),' Toto teams'!$T$4:$T$119,0)))</f>
        <v>Kamran Mikayilov</v>
      </c>
      <c r="C27" s="27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138</v>
      </c>
      <c r="D27" s="27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7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7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32</v>
      </c>
      <c r="G27" s="27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7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7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7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8">
        <f>IF($B27="","",IFERROR(INDEX(' Toto teams'!$R$4:$R$119,MATCH($B27,' Toto teams'!$A$4:$A$119,0)),""))</f>
        <v>344</v>
      </c>
      <c r="L27" s="29">
        <f t="shared" si="0"/>
        <v>0</v>
      </c>
    </row>
    <row r="28" spans="1:12" ht="12.75" customHeight="1" x14ac:dyDescent="0.3">
      <c r="A28" s="25">
        <f>IF(25&gt;COUNTIF(' Toto teams'!$A$4:$A$119,"&lt;&gt;"),"",INDEX(' Toto teams'!$S$4:$S$119,MATCH(LARGE(' Toto teams'!$T$4:$T$119,25),' Toto teams'!$T$4:$T$119,0)))</f>
        <v>24</v>
      </c>
      <c r="B28" s="26" t="str">
        <f>IF(25&gt;COUNTIF(' Toto teams'!$A$4:$A$119,"&lt;&gt;"),"",INDEX(' Toto teams'!$A$4:$A$119,MATCH(LARGE(' Toto teams'!$T$4:$T$119,25),' Toto teams'!$T$4:$T$119,0)))</f>
        <v>Benas Bruzga</v>
      </c>
      <c r="C28" s="27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</v>
      </c>
      <c r="D28" s="27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7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7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48</v>
      </c>
      <c r="G28" s="27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7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7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7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8">
        <f>IF($B28="","",IFERROR(INDEX(' Toto teams'!$R$4:$R$119,MATCH($B28,' Toto teams'!$A$4:$A$119,0)),""))</f>
        <v>344</v>
      </c>
      <c r="L28" s="29">
        <f t="shared" si="0"/>
        <v>0</v>
      </c>
    </row>
    <row r="29" spans="1:12" ht="12.75" customHeight="1" x14ac:dyDescent="0.3">
      <c r="A29" s="25">
        <f>IF(26&gt;COUNTIF(' Toto teams'!$A$4:$A$119,"&lt;&gt;"),"",INDEX(' Toto teams'!$S$4:$S$119,MATCH(LARGE(' Toto teams'!$T$4:$T$119,26),' Toto teams'!$T$4:$T$119,0)))</f>
        <v>26</v>
      </c>
      <c r="B29" s="26" t="str">
        <f>IF(26&gt;COUNTIF(' Toto teams'!$A$4:$A$119,"&lt;&gt;"),"",INDEX(' Toto teams'!$A$4:$A$119,MATCH(LARGE(' Toto teams'!$T$4:$T$119,26),' Toto teams'!$T$4:$T$119,0)))</f>
        <v>Benas VII</v>
      </c>
      <c r="C29" s="27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140</v>
      </c>
      <c r="D29" s="27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64</v>
      </c>
      <c r="E29" s="27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90</v>
      </c>
      <c r="F29" s="27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48</v>
      </c>
      <c r="G29" s="27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7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7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7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8">
        <f>IF($B29="","",IFERROR(INDEX(' Toto teams'!$R$4:$R$119,MATCH($B29,' Toto teams'!$A$4:$A$119,0)),""))</f>
        <v>342</v>
      </c>
      <c r="L29" s="29">
        <f t="shared" si="0"/>
        <v>0</v>
      </c>
    </row>
    <row r="30" spans="1:12" ht="12.75" customHeight="1" x14ac:dyDescent="0.3">
      <c r="A30" s="25">
        <f>IF(27&gt;COUNTIF(' Toto teams'!$A$4:$A$119,"&lt;&gt;"),"",INDEX(' Toto teams'!$S$4:$S$119,MATCH(LARGE(' Toto teams'!$T$4:$T$119,27),' Toto teams'!$T$4:$T$119,0)))</f>
        <v>26</v>
      </c>
      <c r="B30" s="26" t="str">
        <f>IF(27&gt;COUNTIF(' Toto teams'!$A$4:$A$119,"&lt;&gt;"),"",INDEX(' Toto teams'!$A$4:$A$119,MATCH(LARGE(' Toto teams'!$T$4:$T$119,27),' Toto teams'!$T$4:$T$119,0)))</f>
        <v>Raimondas Juška</v>
      </c>
      <c r="C30" s="27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136</v>
      </c>
      <c r="D30" s="27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7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7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32</v>
      </c>
      <c r="G30" s="27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7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7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7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8">
        <f>IF($B30="","",IFERROR(INDEX(' Toto teams'!$R$4:$R$119,MATCH($B30,' Toto teams'!$A$4:$A$119,0)),""))</f>
        <v>342</v>
      </c>
      <c r="L30" s="29">
        <f t="shared" si="0"/>
        <v>0</v>
      </c>
    </row>
    <row r="31" spans="1:12" ht="12.75" customHeight="1" x14ac:dyDescent="0.3">
      <c r="A31" s="25">
        <f>IF(28&gt;COUNTIF(' Toto teams'!$A$4:$A$119,"&lt;&gt;"),"",INDEX(' Toto teams'!$S$4:$S$119,MATCH(LARGE(' Toto teams'!$T$4:$T$119,28),' Toto teams'!$T$4:$T$119,0)))</f>
        <v>28</v>
      </c>
      <c r="B31" s="26" t="str">
        <f>IF(28&gt;COUNTIF(' Toto teams'!$A$4:$A$119,"&lt;&gt;"),"",INDEX(' Toto teams'!$A$4:$A$119,MATCH(LARGE(' Toto teams'!$T$4:$T$119,28),' Toto teams'!$T$4:$T$119,0)))</f>
        <v>Evelina Tiščenkė</v>
      </c>
      <c r="C31" s="27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132</v>
      </c>
      <c r="D31" s="27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64</v>
      </c>
      <c r="E31" s="27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96</v>
      </c>
      <c r="F31" s="27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48</v>
      </c>
      <c r="G31" s="27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7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7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7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8">
        <f>IF($B31="","",IFERROR(INDEX(' Toto teams'!$R$4:$R$119,MATCH($B31,' Toto teams'!$A$4:$A$119,0)),""))</f>
        <v>340</v>
      </c>
      <c r="L31" s="29">
        <f t="shared" si="0"/>
        <v>0</v>
      </c>
    </row>
    <row r="32" spans="1:12" ht="12.75" customHeight="1" x14ac:dyDescent="0.3">
      <c r="A32" s="25">
        <f>IF(29&gt;COUNTIF(' Toto teams'!$A$4:$A$119,"&lt;&gt;"),"",INDEX(' Toto teams'!$S$4:$S$119,MATCH(LARGE(' Toto teams'!$T$4:$T$119,29),' Toto teams'!$T$4:$T$119,0)))</f>
        <v>28</v>
      </c>
      <c r="B32" s="26" t="str">
        <f>IF(29&gt;COUNTIF(' Toto teams'!$A$4:$A$119,"&lt;&gt;"),"",INDEX(' Toto teams'!$A$4:$A$119,MATCH(LARGE(' Toto teams'!$T$4:$T$119,29),' Toto teams'!$T$4:$T$119,0)))</f>
        <v>Jonas Juška</v>
      </c>
      <c r="C32" s="27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134</v>
      </c>
      <c r="D32" s="27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68</v>
      </c>
      <c r="E32" s="27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7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48</v>
      </c>
      <c r="G32" s="27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7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7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7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8">
        <f>IF($B32="","",IFERROR(INDEX(' Toto teams'!$R$4:$R$119,MATCH($B32,' Toto teams'!$A$4:$A$119,0)),""))</f>
        <v>340</v>
      </c>
      <c r="L32" s="29">
        <f t="shared" si="0"/>
        <v>0</v>
      </c>
    </row>
    <row r="33" spans="1:12" ht="12.75" customHeight="1" x14ac:dyDescent="0.3">
      <c r="A33" s="25">
        <f>IF(30&gt;COUNTIF(' Toto teams'!$A$4:$A$119,"&lt;&gt;"),"",INDEX(' Toto teams'!$S$4:$S$119,MATCH(LARGE(' Toto teams'!$T$4:$T$119,30),' Toto teams'!$T$4:$T$119,0)))</f>
        <v>28</v>
      </c>
      <c r="B33" s="26" t="str">
        <f>IF(30&gt;COUNTIF(' Toto teams'!$A$4:$A$119,"&lt;&gt;"),"",INDEX(' Toto teams'!$A$4:$A$119,MATCH(LARGE(' Toto teams'!$T$4:$T$119,30),' Toto teams'!$T$4:$T$119,0)))</f>
        <v>Paulina Bungardė</v>
      </c>
      <c r="C33" s="27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134</v>
      </c>
      <c r="D33" s="27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7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102</v>
      </c>
      <c r="F33" s="27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32</v>
      </c>
      <c r="G33" s="27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7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7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7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8">
        <f>IF($B33="","",IFERROR(INDEX(' Toto teams'!$R$4:$R$119,MATCH($B33,' Toto teams'!$A$4:$A$119,0)),""))</f>
        <v>340</v>
      </c>
      <c r="L33" s="29">
        <f t="shared" si="0"/>
        <v>0</v>
      </c>
    </row>
    <row r="34" spans="1:12" ht="12.75" customHeight="1" x14ac:dyDescent="0.3">
      <c r="A34" s="25">
        <f>IF(31&gt;COUNTIF(' Toto teams'!$A$4:$A$119,"&lt;&gt;"),"",INDEX(' Toto teams'!$S$4:$S$119,MATCH(LARGE(' Toto teams'!$T$4:$T$119,31),' Toto teams'!$T$4:$T$119,0)))</f>
        <v>31</v>
      </c>
      <c r="B34" s="26" t="str">
        <f>IF(31&gt;COUNTIF(' Toto teams'!$A$4:$A$119,"&lt;&gt;"),"",INDEX(' Toto teams'!$A$4:$A$119,MATCH(LARGE(' Toto teams'!$T$4:$T$119,31),' Toto teams'!$T$4:$T$119,0)))</f>
        <v>Gintautas Beržanskis</v>
      </c>
      <c r="C34" s="27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132.5</v>
      </c>
      <c r="D34" s="27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7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102</v>
      </c>
      <c r="F34" s="27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32</v>
      </c>
      <c r="G34" s="27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7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7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7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8">
        <f>IF($B34="","",IFERROR(INDEX(' Toto teams'!$R$4:$R$119,MATCH($B34,' Toto teams'!$A$4:$A$119,0)),""))</f>
        <v>338.5</v>
      </c>
      <c r="L34" s="29">
        <f t="shared" si="0"/>
        <v>0</v>
      </c>
    </row>
    <row r="35" spans="1:12" ht="12.75" customHeight="1" x14ac:dyDescent="0.3">
      <c r="A35" s="25">
        <f>IF(32&gt;COUNTIF(' Toto teams'!$A$4:$A$119,"&lt;&gt;"),"",INDEX(' Toto teams'!$S$4:$S$119,MATCH(LARGE(' Toto teams'!$T$4:$T$119,32),' Toto teams'!$T$4:$T$119,0)))</f>
        <v>32</v>
      </c>
      <c r="B35" s="26" t="str">
        <f>IF(32&gt;COUNTIF(' Toto teams'!$A$4:$A$119,"&lt;&gt;"),"",INDEX(' Toto teams'!$A$4:$A$119,MATCH(LARGE(' Toto teams'!$T$4:$T$119,32),' Toto teams'!$T$4:$T$119,0)))</f>
        <v>Ivan Manev</v>
      </c>
      <c r="C35" s="27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138</v>
      </c>
      <c r="D35" s="27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7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96</v>
      </c>
      <c r="F35" s="27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32</v>
      </c>
      <c r="G35" s="27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7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7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7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8">
        <f>IF($B35="","",IFERROR(INDEX(' Toto teams'!$R$4:$R$119,MATCH($B35,' Toto teams'!$A$4:$A$119,0)),""))</f>
        <v>338</v>
      </c>
      <c r="L35" s="29">
        <f t="shared" si="0"/>
        <v>0</v>
      </c>
    </row>
    <row r="36" spans="1:12" ht="12.75" customHeight="1" x14ac:dyDescent="0.3">
      <c r="A36" s="25">
        <f>IF(33&gt;COUNTIF(' Toto teams'!$A$4:$A$119,"&lt;&gt;"),"",INDEX(' Toto teams'!$S$4:$S$119,MATCH(LARGE(' Toto teams'!$T$4:$T$119,33),' Toto teams'!$T$4:$T$119,0)))</f>
        <v>33</v>
      </c>
      <c r="B36" s="26" t="str">
        <f>IF(33&gt;COUNTIF(' Toto teams'!$A$4:$A$119,"&lt;&gt;"),"",INDEX(' Toto teams'!$A$4:$A$119,MATCH(LARGE(' Toto teams'!$T$4:$T$119,33),' Toto teams'!$T$4:$T$119,0)))</f>
        <v>Sergey Zhaltuchin</v>
      </c>
      <c r="C36" s="27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137</v>
      </c>
      <c r="D36" s="27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7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7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32</v>
      </c>
      <c r="G36" s="27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7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7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7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8">
        <f>IF($B36="","",IFERROR(INDEX(' Toto teams'!$R$4:$R$119,MATCH($B36,' Toto teams'!$A$4:$A$119,0)),""))</f>
        <v>337</v>
      </c>
      <c r="L36" s="29">
        <f t="shared" ref="L36:L67" si="4">IFERROR(IF(B36="","",VLOOKUP(A36,$N$4:$R$12,5,FALSE())),0)</f>
        <v>0</v>
      </c>
    </row>
    <row r="37" spans="1:12" ht="12.75" customHeight="1" x14ac:dyDescent="0.3">
      <c r="A37" s="25">
        <f>IF(34&gt;COUNTIF(' Toto teams'!$A$4:$A$119,"&lt;&gt;"),"",INDEX(' Toto teams'!$S$4:$S$119,MATCH(LARGE(' Toto teams'!$T$4:$T$119,34),' Toto teams'!$T$4:$T$119,0)))</f>
        <v>34</v>
      </c>
      <c r="B37" s="26" t="str">
        <f>IF(34&gt;COUNTIF(' Toto teams'!$A$4:$A$119,"&lt;&gt;"),"",INDEX(' Toto teams'!$A$4:$A$119,MATCH(LARGE(' Toto teams'!$T$4:$T$119,34),' Toto teams'!$T$4:$T$119,0)))</f>
        <v>Donatas Bakėjus</v>
      </c>
      <c r="C37" s="27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136</v>
      </c>
      <c r="D37" s="27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7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96</v>
      </c>
      <c r="F37" s="27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32</v>
      </c>
      <c r="G37" s="27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7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7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7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8">
        <f>IF($B37="","",IFERROR(INDEX(' Toto teams'!$R$4:$R$119,MATCH($B37,' Toto teams'!$A$4:$A$119,0)),""))</f>
        <v>336</v>
      </c>
      <c r="L37" s="29">
        <f t="shared" si="4"/>
        <v>0</v>
      </c>
    </row>
    <row r="38" spans="1:12" ht="12.75" customHeight="1" x14ac:dyDescent="0.3">
      <c r="A38" s="25">
        <f>IF(35&gt;COUNTIF(' Toto teams'!$A$4:$A$119,"&lt;&gt;"),"",INDEX(' Toto teams'!$S$4:$S$119,MATCH(LARGE(' Toto teams'!$T$4:$T$119,35),' Toto teams'!$T$4:$T$119,0)))</f>
        <v>35</v>
      </c>
      <c r="B38" s="26" t="str">
        <f>IF(35&gt;COUNTIF(' Toto teams'!$A$4:$A$119,"&lt;&gt;"),"",INDEX(' Toto teams'!$A$4:$A$119,MATCH(LARGE(' Toto teams'!$T$4:$T$119,35),' Toto teams'!$T$4:$T$119,0)))</f>
        <v>Rustam Roikov</v>
      </c>
      <c r="C38" s="27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129.5</v>
      </c>
      <c r="D38" s="27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7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90</v>
      </c>
      <c r="F38" s="27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48</v>
      </c>
      <c r="G38" s="27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7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7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7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8">
        <f>IF($B38="","",IFERROR(INDEX(' Toto teams'!$R$4:$R$119,MATCH($B38,' Toto teams'!$A$4:$A$119,0)),""))</f>
        <v>335.5</v>
      </c>
      <c r="L38" s="29">
        <f t="shared" si="4"/>
        <v>0</v>
      </c>
    </row>
    <row r="39" spans="1:12" ht="12.75" customHeight="1" x14ac:dyDescent="0.3">
      <c r="A39" s="25">
        <f>IF(36&gt;COUNTIF(' Toto teams'!$A$4:$A$119,"&lt;&gt;"),"",INDEX(' Toto teams'!$S$4:$S$119,MATCH(LARGE(' Toto teams'!$T$4:$T$119,36),' Toto teams'!$T$4:$T$119,0)))</f>
        <v>36</v>
      </c>
      <c r="B39" s="26" t="str">
        <f>IF(36&gt;COUNTIF(' Toto teams'!$A$4:$A$119,"&lt;&gt;"),"",INDEX(' Toto teams'!$A$4:$A$119,MATCH(LARGE(' Toto teams'!$T$4:$T$119,36),' Toto teams'!$T$4:$T$119,0)))</f>
        <v>Virginija Čižauskienė</v>
      </c>
      <c r="C39" s="27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</v>
      </c>
      <c r="D39" s="27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7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84</v>
      </c>
      <c r="F39" s="27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48</v>
      </c>
      <c r="G39" s="27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7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7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7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8">
        <f>IF($B39="","",IFERROR(INDEX(' Toto teams'!$R$4:$R$119,MATCH($B39,' Toto teams'!$A$4:$A$119,0)),""))</f>
        <v>335</v>
      </c>
      <c r="L39" s="29">
        <f t="shared" si="4"/>
        <v>0</v>
      </c>
    </row>
    <row r="40" spans="1:12" ht="12.75" customHeight="1" x14ac:dyDescent="0.3">
      <c r="A40" s="25">
        <f>IF(37&gt;COUNTIF(' Toto teams'!$A$4:$A$119,"&lt;&gt;"),"",INDEX(' Toto teams'!$S$4:$S$119,MATCH(LARGE(' Toto teams'!$T$4:$T$119,37),' Toto teams'!$T$4:$T$119,0)))</f>
        <v>37</v>
      </c>
      <c r="B40" s="26" t="str">
        <f>IF(37&gt;COUNTIF(' Toto teams'!$A$4:$A$119,"&lt;&gt;"),"",INDEX(' Toto teams'!$A$4:$A$119,MATCH(LARGE(' Toto teams'!$T$4:$T$119,37),' Toto teams'!$T$4:$T$119,0)))</f>
        <v>Dainius Breivė</v>
      </c>
      <c r="C40" s="27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136</v>
      </c>
      <c r="D40" s="27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7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102</v>
      </c>
      <c r="F40" s="27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24</v>
      </c>
      <c r="G40" s="27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7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7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7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8">
        <f>IF($B40="","",IFERROR(INDEX(' Toto teams'!$R$4:$R$119,MATCH($B40,' Toto teams'!$A$4:$A$119,0)),""))</f>
        <v>334</v>
      </c>
      <c r="L40" s="29">
        <f t="shared" si="4"/>
        <v>0</v>
      </c>
    </row>
    <row r="41" spans="1:12" ht="12.75" customHeight="1" x14ac:dyDescent="0.3">
      <c r="A41" s="25">
        <f>IF(38&gt;COUNTIF(' Toto teams'!$A$4:$A$119,"&lt;&gt;"),"",INDEX(' Toto teams'!$S$4:$S$119,MATCH(LARGE(' Toto teams'!$T$4:$T$119,38),' Toto teams'!$T$4:$T$119,0)))</f>
        <v>37</v>
      </c>
      <c r="B41" s="26" t="str">
        <f>IF(38&gt;COUNTIF(' Toto teams'!$A$4:$A$119,"&lt;&gt;"),"",INDEX(' Toto teams'!$A$4:$A$119,MATCH(LARGE(' Toto teams'!$T$4:$T$119,38),' Toto teams'!$T$4:$T$119,0)))</f>
        <v>Justinas Novoruckis</v>
      </c>
      <c r="C41" s="27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136</v>
      </c>
      <c r="D41" s="27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7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7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24</v>
      </c>
      <c r="G41" s="27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7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7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7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8">
        <f>IF($B41="","",IFERROR(INDEX(' Toto teams'!$R$4:$R$119,MATCH($B41,' Toto teams'!$A$4:$A$119,0)),""))</f>
        <v>334</v>
      </c>
      <c r="L41" s="29">
        <f t="shared" si="4"/>
        <v>0</v>
      </c>
    </row>
    <row r="42" spans="1:12" ht="12.75" customHeight="1" x14ac:dyDescent="0.3">
      <c r="A42" s="25">
        <f>IF(39&gt;COUNTIF(' Toto teams'!$A$4:$A$119,"&lt;&gt;"),"",INDEX(' Toto teams'!$S$4:$S$119,MATCH(LARGE(' Toto teams'!$T$4:$T$119,39),' Toto teams'!$T$4:$T$119,0)))</f>
        <v>37</v>
      </c>
      <c r="B42" s="26" t="str">
        <f>IF(39&gt;COUNTIF(' Toto teams'!$A$4:$A$119,"&lt;&gt;"),"",INDEX(' Toto teams'!$A$4:$A$119,MATCH(LARGE(' Toto teams'!$T$4:$T$119,39),' Toto teams'!$T$4:$T$119,0)))</f>
        <v>Giedrius Stanulis</v>
      </c>
      <c r="C42" s="27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136</v>
      </c>
      <c r="D42" s="27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7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102</v>
      </c>
      <c r="F42" s="27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24</v>
      </c>
      <c r="G42" s="27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7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7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7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8">
        <f>IF($B42="","",IFERROR(INDEX(' Toto teams'!$R$4:$R$119,MATCH($B42,' Toto teams'!$A$4:$A$119,0)),""))</f>
        <v>334</v>
      </c>
      <c r="L42" s="29">
        <f t="shared" si="4"/>
        <v>0</v>
      </c>
    </row>
    <row r="43" spans="1:12" ht="12.75" customHeight="1" x14ac:dyDescent="0.3">
      <c r="A43" s="25">
        <f>IF(40&gt;COUNTIF(' Toto teams'!$A$4:$A$119,"&lt;&gt;"),"",INDEX(' Toto teams'!$S$4:$S$119,MATCH(LARGE(' Toto teams'!$T$4:$T$119,40),' Toto teams'!$T$4:$T$119,0)))</f>
        <v>37</v>
      </c>
      <c r="B43" s="26" t="str">
        <f>IF(40&gt;COUNTIF(' Toto teams'!$A$4:$A$119,"&lt;&gt;"),"",INDEX(' Toto teams'!$A$4:$A$119,MATCH(LARGE(' Toto teams'!$T$4:$T$119,40),' Toto teams'!$T$4:$T$119,0)))</f>
        <v>Paolo Papiri</v>
      </c>
      <c r="C43" s="27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128</v>
      </c>
      <c r="D43" s="27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68</v>
      </c>
      <c r="E43" s="27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90</v>
      </c>
      <c r="F43" s="27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48</v>
      </c>
      <c r="G43" s="27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7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7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7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8">
        <f>IF($B43="","",IFERROR(INDEX(' Toto teams'!$R$4:$R$119,MATCH($B43,' Toto teams'!$A$4:$A$119,0)),""))</f>
        <v>334</v>
      </c>
      <c r="L43" s="29">
        <f t="shared" si="4"/>
        <v>0</v>
      </c>
    </row>
    <row r="44" spans="1:12" ht="12.75" customHeight="1" x14ac:dyDescent="0.3">
      <c r="A44" s="25">
        <f>IF(41&gt;COUNTIF(' Toto teams'!$A$4:$A$119,"&lt;&gt;"),"",INDEX(' Toto teams'!$S$4:$S$119,MATCH(LARGE(' Toto teams'!$T$4:$T$119,41),' Toto teams'!$T$4:$T$119,0)))</f>
        <v>41</v>
      </c>
      <c r="B44" s="26" t="str">
        <f>IF(41&gt;COUNTIF(' Toto teams'!$A$4:$A$119,"&lt;&gt;"),"",INDEX(' Toto teams'!$A$4:$A$119,MATCH(LARGE(' Toto teams'!$T$4:$T$119,41),' Toto teams'!$T$4:$T$119,0)))</f>
        <v>Dovilė Smetonė</v>
      </c>
      <c r="C44" s="27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127</v>
      </c>
      <c r="D44" s="27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7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90</v>
      </c>
      <c r="F44" s="27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48</v>
      </c>
      <c r="G44" s="27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7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7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7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8">
        <f>IF($B44="","",IFERROR(INDEX(' Toto teams'!$R$4:$R$119,MATCH($B44,' Toto teams'!$A$4:$A$119,0)),""))</f>
        <v>333</v>
      </c>
      <c r="L44" s="29">
        <f t="shared" si="4"/>
        <v>0</v>
      </c>
    </row>
    <row r="45" spans="1:12" ht="12.75" customHeight="1" x14ac:dyDescent="0.3">
      <c r="A45" s="25">
        <f>IF(42&gt;COUNTIF(' Toto teams'!$A$4:$A$119,"&lt;&gt;"),"",INDEX(' Toto teams'!$S$4:$S$119,MATCH(LARGE(' Toto teams'!$T$4:$T$119,42),' Toto teams'!$T$4:$T$119,0)))</f>
        <v>42</v>
      </c>
      <c r="B45" s="26" t="str">
        <f>IF(42&gt;COUNTIF(' Toto teams'!$A$4:$A$119,"&lt;&gt;"),"",INDEX(' Toto teams'!$A$4:$A$119,MATCH(LARGE(' Toto teams'!$T$4:$T$119,42),' Toto teams'!$T$4:$T$119,0)))</f>
        <v>Žygimantas Ryliškis</v>
      </c>
      <c r="C45" s="27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126</v>
      </c>
      <c r="D45" s="27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7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7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48</v>
      </c>
      <c r="G45" s="27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7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7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7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8">
        <f>IF($B45="","",IFERROR(INDEX(' Toto teams'!$R$4:$R$119,MATCH($B45,' Toto teams'!$A$4:$A$119,0)),""))</f>
        <v>332</v>
      </c>
      <c r="L45" s="29">
        <f t="shared" si="4"/>
        <v>0</v>
      </c>
    </row>
    <row r="46" spans="1:12" ht="12.75" customHeight="1" x14ac:dyDescent="0.3">
      <c r="A46" s="25">
        <f>IF(43&gt;COUNTIF(' Toto teams'!$A$4:$A$119,"&lt;&gt;"),"",INDEX(' Toto teams'!$S$4:$S$119,MATCH(LARGE(' Toto teams'!$T$4:$T$119,43),' Toto teams'!$T$4:$T$119,0)))</f>
        <v>43</v>
      </c>
      <c r="B46" s="26" t="str">
        <f>IF(43&gt;COUNTIF(' Toto teams'!$A$4:$A$119,"&lt;&gt;"),"",INDEX(' Toto teams'!$A$4:$A$119,MATCH(LARGE(' Toto teams'!$T$4:$T$119,43),' Toto teams'!$T$4:$T$119,0)))</f>
        <v>Elijus Benetis</v>
      </c>
      <c r="C46" s="27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138</v>
      </c>
      <c r="D46" s="27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7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96</v>
      </c>
      <c r="F46" s="27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24</v>
      </c>
      <c r="G46" s="27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7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7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7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8">
        <f>IF($B46="","",IFERROR(INDEX(' Toto teams'!$R$4:$R$119,MATCH($B46,' Toto teams'!$A$4:$A$119,0)),""))</f>
        <v>330</v>
      </c>
      <c r="L46" s="29">
        <f t="shared" si="4"/>
        <v>0</v>
      </c>
    </row>
    <row r="47" spans="1:12" ht="12.75" customHeight="1" x14ac:dyDescent="0.3">
      <c r="A47" s="25">
        <f>IF(44&gt;COUNTIF(' Toto teams'!$A$4:$A$119,"&lt;&gt;"),"",INDEX(' Toto teams'!$S$4:$S$119,MATCH(LARGE(' Toto teams'!$T$4:$T$119,44),' Toto teams'!$T$4:$T$119,0)))</f>
        <v>43</v>
      </c>
      <c r="B47" s="26" t="str">
        <f>IF(44&gt;COUNTIF(' Toto teams'!$A$4:$A$119,"&lt;&gt;"),"",INDEX(' Toto teams'!$A$4:$A$119,MATCH(LARGE(' Toto teams'!$T$4:$T$119,44),' Toto teams'!$T$4:$T$119,0)))</f>
        <v>Benediktas Babraitis</v>
      </c>
      <c r="C47" s="27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140</v>
      </c>
      <c r="D47" s="27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7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102</v>
      </c>
      <c r="F47" s="27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16</v>
      </c>
      <c r="G47" s="27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7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7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7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8">
        <f>IF($B47="","",IFERROR(INDEX(' Toto teams'!$R$4:$R$119,MATCH($B47,' Toto teams'!$A$4:$A$119,0)),""))</f>
        <v>330</v>
      </c>
      <c r="L47" s="29">
        <f t="shared" si="4"/>
        <v>0</v>
      </c>
    </row>
    <row r="48" spans="1:12" ht="12.75" customHeight="1" x14ac:dyDescent="0.3">
      <c r="A48" s="25">
        <f>IF(45&gt;COUNTIF(' Toto teams'!$A$4:$A$119,"&lt;&gt;"),"",INDEX(' Toto teams'!$S$4:$S$119,MATCH(LARGE(' Toto teams'!$T$4:$T$119,45),' Toto teams'!$T$4:$T$119,0)))</f>
        <v>45</v>
      </c>
      <c r="B48" s="26" t="str">
        <f>IF(45&gt;COUNTIF(' Toto teams'!$A$4:$A$119,"&lt;&gt;"),"",INDEX(' Toto teams'!$A$4:$A$119,MATCH(LARGE(' Toto teams'!$T$4:$T$119,45),' Toto teams'!$T$4:$T$119,0)))</f>
        <v>Todor Velikov</v>
      </c>
      <c r="C48" s="27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139</v>
      </c>
      <c r="D48" s="27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7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7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16</v>
      </c>
      <c r="G48" s="27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7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7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7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8">
        <f>IF($B48="","",IFERROR(INDEX(' Toto teams'!$R$4:$R$119,MATCH($B48,' Toto teams'!$A$4:$A$119,0)),""))</f>
        <v>329</v>
      </c>
      <c r="L48" s="29">
        <f t="shared" si="4"/>
        <v>0</v>
      </c>
    </row>
    <row r="49" spans="1:12" ht="12.75" customHeight="1" x14ac:dyDescent="0.3">
      <c r="A49" s="25">
        <f>IF(46&gt;COUNTIF(' Toto teams'!$A$4:$A$119,"&lt;&gt;"),"",INDEX(' Toto teams'!$S$4:$S$119,MATCH(LARGE(' Toto teams'!$T$4:$T$119,46),' Toto teams'!$T$4:$T$119,0)))</f>
        <v>45</v>
      </c>
      <c r="B49" s="26" t="str">
        <f>IF(46&gt;COUNTIF(' Toto teams'!$A$4:$A$119,"&lt;&gt;"),"",INDEX(' Toto teams'!$A$4:$A$119,MATCH(LARGE(' Toto teams'!$T$4:$T$119,46),' Toto teams'!$T$4:$T$119,0)))</f>
        <v>Zaur Yusubov</v>
      </c>
      <c r="C49" s="27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139</v>
      </c>
      <c r="D49" s="27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7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7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16</v>
      </c>
      <c r="G49" s="27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7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7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7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8">
        <f>IF($B49="","",IFERROR(INDEX(' Toto teams'!$R$4:$R$119,MATCH($B49,' Toto teams'!$A$4:$A$119,0)),""))</f>
        <v>329</v>
      </c>
      <c r="L49" s="29">
        <f t="shared" si="4"/>
        <v>0</v>
      </c>
    </row>
    <row r="50" spans="1:12" ht="12.75" customHeight="1" x14ac:dyDescent="0.3">
      <c r="A50" s="25">
        <f>IF(47&gt;COUNTIF(' Toto teams'!$A$4:$A$119,"&lt;&gt;"),"",INDEX(' Toto teams'!$S$4:$S$119,MATCH(LARGE(' Toto teams'!$T$4:$T$119,47),' Toto teams'!$T$4:$T$119,0)))</f>
        <v>47</v>
      </c>
      <c r="B50" s="26" t="str">
        <f>IF(47&gt;COUNTIF(' Toto teams'!$A$4:$A$119,"&lt;&gt;"),"",INDEX(' Toto teams'!$A$4:$A$119,MATCH(LARGE(' Toto teams'!$T$4:$T$119,47),' Toto teams'!$T$4:$T$119,0)))</f>
        <v>Alexey Nikitenko</v>
      </c>
      <c r="C50" s="27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120</v>
      </c>
      <c r="D50" s="27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64</v>
      </c>
      <c r="E50" s="27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96</v>
      </c>
      <c r="F50" s="27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48</v>
      </c>
      <c r="G50" s="27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7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7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7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8">
        <f>IF($B50="","",IFERROR(INDEX(' Toto teams'!$R$4:$R$119,MATCH($B50,' Toto teams'!$A$4:$A$119,0)),""))</f>
        <v>328</v>
      </c>
      <c r="L50" s="29">
        <f t="shared" si="4"/>
        <v>0</v>
      </c>
    </row>
    <row r="51" spans="1:12" ht="12.75" customHeight="1" x14ac:dyDescent="0.3">
      <c r="A51" s="25">
        <f>IF(48&gt;COUNTIF(' Toto teams'!$A$4:$A$119,"&lt;&gt;"),"",INDEX(' Toto teams'!$S$4:$S$119,MATCH(LARGE(' Toto teams'!$T$4:$T$119,48),' Toto teams'!$T$4:$T$119,0)))</f>
        <v>47</v>
      </c>
      <c r="B51" s="26" t="str">
        <f>IF(48&gt;COUNTIF(' Toto teams'!$A$4:$A$119,"&lt;&gt;"),"",INDEX(' Toto teams'!$A$4:$A$119,MATCH(LARGE(' Toto teams'!$T$4:$T$119,48),' Toto teams'!$T$4:$T$119,0)))</f>
        <v>Saulius Pipiras</v>
      </c>
      <c r="C51" s="27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130</v>
      </c>
      <c r="D51" s="27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7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7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24</v>
      </c>
      <c r="G51" s="27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7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7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7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8">
        <f>IF($B51="","",IFERROR(INDEX(' Toto teams'!$R$4:$R$119,MATCH($B51,' Toto teams'!$A$4:$A$119,0)),""))</f>
        <v>328</v>
      </c>
      <c r="L51" s="29">
        <f t="shared" si="4"/>
        <v>0</v>
      </c>
    </row>
    <row r="52" spans="1:12" ht="12.75" customHeight="1" x14ac:dyDescent="0.3">
      <c r="A52" s="25">
        <f>IF(49&gt;COUNTIF(' Toto teams'!$A$4:$A$119,"&lt;&gt;"),"",INDEX(' Toto teams'!$S$4:$S$119,MATCH(LARGE(' Toto teams'!$T$4:$T$119,49),' Toto teams'!$T$4:$T$119,0)))</f>
        <v>47</v>
      </c>
      <c r="B52" s="26" t="str">
        <f>IF(49&gt;COUNTIF(' Toto teams'!$A$4:$A$119,"&lt;&gt;"),"",INDEX(' Toto teams'!$A$4:$A$119,MATCH(LARGE(' Toto teams'!$T$4:$T$119,49),' Toto teams'!$T$4:$T$119,0)))</f>
        <v>Alberto Canova</v>
      </c>
      <c r="C52" s="27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134</v>
      </c>
      <c r="D52" s="27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72</v>
      </c>
      <c r="E52" s="27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90</v>
      </c>
      <c r="F52" s="27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32</v>
      </c>
      <c r="G52" s="27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7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7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7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8">
        <f>IF($B52="","",IFERROR(INDEX(' Toto teams'!$R$4:$R$119,MATCH($B52,' Toto teams'!$A$4:$A$119,0)),""))</f>
        <v>328</v>
      </c>
      <c r="L52" s="29">
        <f t="shared" si="4"/>
        <v>0</v>
      </c>
    </row>
    <row r="53" spans="1:12" ht="12.75" customHeight="1" x14ac:dyDescent="0.3">
      <c r="A53" s="25">
        <f>IF(50&gt;COUNTIF(' Toto teams'!$A$4:$A$119,"&lt;&gt;"),"",INDEX(' Toto teams'!$S$4:$S$119,MATCH(LARGE(' Toto teams'!$T$4:$T$119,50),' Toto teams'!$T$4:$T$119,0)))</f>
        <v>50</v>
      </c>
      <c r="B53" s="26" t="str">
        <f>IF(50&gt;COUNTIF(' Toto teams'!$A$4:$A$119,"&lt;&gt;"),"",INDEX(' Toto teams'!$A$4:$A$119,MATCH(LARGE(' Toto teams'!$T$4:$T$119,50),' Toto teams'!$T$4:$T$119,0)))</f>
        <v>Darius Jalo</v>
      </c>
      <c r="C53" s="27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136</v>
      </c>
      <c r="D53" s="27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7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102</v>
      </c>
      <c r="F53" s="27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16</v>
      </c>
      <c r="G53" s="27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7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7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7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8">
        <f>IF($B53="","",IFERROR(INDEX(' Toto teams'!$R$4:$R$119,MATCH($B53,' Toto teams'!$A$4:$A$119,0)),""))</f>
        <v>326</v>
      </c>
      <c r="L53" s="29">
        <f t="shared" si="4"/>
        <v>0</v>
      </c>
    </row>
    <row r="54" spans="1:12" ht="12.75" customHeight="1" x14ac:dyDescent="0.3">
      <c r="A54" s="25">
        <f>IF(51&gt;COUNTIF(' Toto teams'!$A$4:$A$119,"&lt;&gt;"),"",INDEX(' Toto teams'!$S$4:$S$119,MATCH(LARGE(' Toto teams'!$T$4:$T$119,51),' Toto teams'!$T$4:$T$119,0)))</f>
        <v>51</v>
      </c>
      <c r="B54" s="26" t="str">
        <f>IF(51&gt;COUNTIF(' Toto teams'!$A$4:$A$119,"&lt;&gt;"),"",INDEX(' Toto teams'!$A$4:$A$119,MATCH(LARGE(' Toto teams'!$T$4:$T$119,51),' Toto teams'!$T$4:$T$119,0)))</f>
        <v>Sigitas Petraitis</v>
      </c>
      <c r="C54" s="27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125.5</v>
      </c>
      <c r="D54" s="27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7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7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32</v>
      </c>
      <c r="G54" s="27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7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7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7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8">
        <f>IF($B54="","",IFERROR(INDEX(' Toto teams'!$R$4:$R$119,MATCH($B54,' Toto teams'!$A$4:$A$119,0)),""))</f>
        <v>325.5</v>
      </c>
      <c r="L54" s="29">
        <f t="shared" si="4"/>
        <v>0</v>
      </c>
    </row>
    <row r="55" spans="1:12" ht="12.75" customHeight="1" x14ac:dyDescent="0.3">
      <c r="A55" s="25">
        <f>IF(52&gt;COUNTIF(' Toto teams'!$A$4:$A$119,"&lt;&gt;"),"",INDEX(' Toto teams'!$S$4:$S$119,MATCH(LARGE(' Toto teams'!$T$4:$T$119,52),' Toto teams'!$T$4:$T$119,0)))</f>
        <v>52</v>
      </c>
      <c r="B55" s="26" t="str">
        <f>IF(52&gt;COUNTIF(' Toto teams'!$A$4:$A$119,"&lt;&gt;"),"",INDEX(' Toto teams'!$A$4:$A$119,MATCH(LARGE(' Toto teams'!$T$4:$T$119,52),' Toto teams'!$T$4:$T$119,0)))</f>
        <v>Aurimas Oleknavičius</v>
      </c>
      <c r="C55" s="27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126</v>
      </c>
      <c r="D55" s="27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72</v>
      </c>
      <c r="E55" s="27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7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24</v>
      </c>
      <c r="G55" s="27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7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7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7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8">
        <f>IF($B55="","",IFERROR(INDEX(' Toto teams'!$R$4:$R$119,MATCH($B55,' Toto teams'!$A$4:$A$119,0)),""))</f>
        <v>324</v>
      </c>
      <c r="L55" s="29">
        <f t="shared" si="4"/>
        <v>0</v>
      </c>
    </row>
    <row r="56" spans="1:12" ht="12.75" customHeight="1" x14ac:dyDescent="0.3">
      <c r="A56" s="25">
        <f>IF(53&gt;COUNTIF(' Toto teams'!$A$4:$A$119,"&lt;&gt;"),"",INDEX(' Toto teams'!$S$4:$S$119,MATCH(LARGE(' Toto teams'!$T$4:$T$119,53),' Toto teams'!$T$4:$T$119,0)))</f>
        <v>53</v>
      </c>
      <c r="B56" s="26" t="str">
        <f>IF(53&gt;COUNTIF(' Toto teams'!$A$4:$A$119,"&lt;&gt;"),"",INDEX(' Toto teams'!$A$4:$A$119,MATCH(LARGE(' Toto teams'!$T$4:$T$119,53),' Toto teams'!$T$4:$T$119,0)))</f>
        <v>Martynas Bruzga</v>
      </c>
      <c r="C56" s="27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133</v>
      </c>
      <c r="D56" s="27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72</v>
      </c>
      <c r="E56" s="27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7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16</v>
      </c>
      <c r="G56" s="27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7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7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7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8">
        <f>IF($B56="","",IFERROR(INDEX(' Toto teams'!$R$4:$R$119,MATCH($B56,' Toto teams'!$A$4:$A$119,0)),""))</f>
        <v>323</v>
      </c>
      <c r="L56" s="29">
        <f t="shared" si="4"/>
        <v>0</v>
      </c>
    </row>
    <row r="57" spans="1:12" ht="12.75" customHeight="1" x14ac:dyDescent="0.3">
      <c r="A57" s="25">
        <f>IF(54&gt;COUNTIF(' Toto teams'!$A$4:$A$119,"&lt;&gt;"),"",INDEX(' Toto teams'!$S$4:$S$119,MATCH(LARGE(' Toto teams'!$T$4:$T$119,54),' Toto teams'!$T$4:$T$119,0)))</f>
        <v>53</v>
      </c>
      <c r="B57" s="26" t="str">
        <f>IF(54&gt;COUNTIF(' Toto teams'!$A$4:$A$119,"&lt;&gt;"),"",INDEX(' Toto teams'!$A$4:$A$119,MATCH(LARGE(' Toto teams'!$T$4:$T$119,54),' Toto teams'!$T$4:$T$119,0)))</f>
        <v>Lukas Vaitukaitis</v>
      </c>
      <c r="C57" s="27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121</v>
      </c>
      <c r="D57" s="27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7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102</v>
      </c>
      <c r="F57" s="27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32</v>
      </c>
      <c r="G57" s="27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7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7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7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8">
        <f>IF($B57="","",IFERROR(INDEX(' Toto teams'!$R$4:$R$119,MATCH($B57,' Toto teams'!$A$4:$A$119,0)),""))</f>
        <v>323</v>
      </c>
      <c r="L57" s="29">
        <f t="shared" si="4"/>
        <v>0</v>
      </c>
    </row>
    <row r="58" spans="1:12" ht="12.75" customHeight="1" x14ac:dyDescent="0.3">
      <c r="A58" s="25">
        <f>IF(55&gt;COUNTIF(' Toto teams'!$A$4:$A$119,"&lt;&gt;"),"",INDEX(' Toto teams'!$S$4:$S$119,MATCH(LARGE(' Toto teams'!$T$4:$T$119,55),' Toto teams'!$T$4:$T$119,0)))</f>
        <v>53</v>
      </c>
      <c r="B58" s="26" t="str">
        <f>IF(55&gt;COUNTIF(' Toto teams'!$A$4:$A$119,"&lt;&gt;"),"",INDEX(' Toto teams'!$A$4:$A$119,MATCH(LARGE(' Toto teams'!$T$4:$T$119,55),' Toto teams'!$T$4:$T$119,0)))</f>
        <v>Danielius Pažusys</v>
      </c>
      <c r="C58" s="27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135</v>
      </c>
      <c r="D58" s="27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7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7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24</v>
      </c>
      <c r="G58" s="27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7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7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7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8">
        <f>IF($B58="","",IFERROR(INDEX(' Toto teams'!$R$4:$R$119,MATCH($B58,' Toto teams'!$A$4:$A$119,0)),""))</f>
        <v>323</v>
      </c>
      <c r="L58" s="29">
        <f t="shared" si="4"/>
        <v>0</v>
      </c>
    </row>
    <row r="59" spans="1:12" ht="12.75" customHeight="1" x14ac:dyDescent="0.3">
      <c r="A59" s="25">
        <f>IF(56&gt;COUNTIF(' Toto teams'!$A$4:$A$119,"&lt;&gt;"),"",INDEX(' Toto teams'!$S$4:$S$119,MATCH(LARGE(' Toto teams'!$T$4:$T$119,56),' Toto teams'!$T$4:$T$119,0)))</f>
        <v>56</v>
      </c>
      <c r="B59" s="26" t="str">
        <f>IF(56&gt;COUNTIF(' Toto teams'!$A$4:$A$119,"&lt;&gt;"),"",INDEX(' Toto teams'!$A$4:$A$119,MATCH(LARGE(' Toto teams'!$T$4:$T$119,56),' Toto teams'!$T$4:$T$119,0)))</f>
        <v>Mindaugas Čižauskas</v>
      </c>
      <c r="C59" s="27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130</v>
      </c>
      <c r="D59" s="27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64</v>
      </c>
      <c r="E59" s="27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96</v>
      </c>
      <c r="F59" s="27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32</v>
      </c>
      <c r="G59" s="27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7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7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7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8">
        <f>IF($B59="","",IFERROR(INDEX(' Toto teams'!$R$4:$R$119,MATCH($B59,' Toto teams'!$A$4:$A$119,0)),""))</f>
        <v>322</v>
      </c>
      <c r="L59" s="29">
        <f t="shared" si="4"/>
        <v>0</v>
      </c>
    </row>
    <row r="60" spans="1:12" ht="12.75" customHeight="1" x14ac:dyDescent="0.3">
      <c r="A60" s="25">
        <f>IF(57&gt;COUNTIF(' Toto teams'!$A$4:$A$119,"&lt;&gt;"),"",INDEX(' Toto teams'!$S$4:$S$119,MATCH(LARGE(' Toto teams'!$T$4:$T$119,57),' Toto teams'!$T$4:$T$119,0)))</f>
        <v>56</v>
      </c>
      <c r="B60" s="26" t="str">
        <f>IF(57&gt;COUNTIF(' Toto teams'!$A$4:$A$119,"&lt;&gt;"),"",INDEX(' Toto teams'!$A$4:$A$119,MATCH(LARGE(' Toto teams'!$T$4:$T$119,57),' Toto teams'!$T$4:$T$119,0)))</f>
        <v>Simonas Sipavičius</v>
      </c>
      <c r="C60" s="27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134</v>
      </c>
      <c r="D60" s="27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7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96</v>
      </c>
      <c r="F60" s="27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24</v>
      </c>
      <c r="G60" s="27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7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7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7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8">
        <f>IF($B60="","",IFERROR(INDEX(' Toto teams'!$R$4:$R$119,MATCH($B60,' Toto teams'!$A$4:$A$119,0)),""))</f>
        <v>322</v>
      </c>
      <c r="L60" s="29">
        <f t="shared" si="4"/>
        <v>0</v>
      </c>
    </row>
    <row r="61" spans="1:12" ht="12.75" customHeight="1" x14ac:dyDescent="0.3">
      <c r="A61" s="25">
        <f>IF(58&gt;COUNTIF(' Toto teams'!$A$4:$A$119,"&lt;&gt;"),"",INDEX(' Toto teams'!$S$4:$S$119,MATCH(LARGE(' Toto teams'!$T$4:$T$119,58),' Toto teams'!$T$4:$T$119,0)))</f>
        <v>58</v>
      </c>
      <c r="B61" s="26" t="str">
        <f>IF(58&gt;COUNTIF(' Toto teams'!$A$4:$A$119,"&lt;&gt;"),"",INDEX(' Toto teams'!$A$4:$A$119,MATCH(LARGE(' Toto teams'!$T$4:$T$119,58),' Toto teams'!$T$4:$T$119,0)))</f>
        <v>Thomas Wolke</v>
      </c>
      <c r="C61" s="27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124.5</v>
      </c>
      <c r="D61" s="27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7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96</v>
      </c>
      <c r="F61" s="27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32</v>
      </c>
      <c r="G61" s="27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7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7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7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8">
        <f>IF($B61="","",IFERROR(INDEX(' Toto teams'!$R$4:$R$119,MATCH($B61,' Toto teams'!$A$4:$A$119,0)),""))</f>
        <v>320.5</v>
      </c>
      <c r="L61" s="29">
        <f t="shared" si="4"/>
        <v>0</v>
      </c>
    </row>
    <row r="62" spans="1:12" ht="12.75" customHeight="1" x14ac:dyDescent="0.3">
      <c r="A62" s="25">
        <f>IF(59&gt;COUNTIF(' Toto teams'!$A$4:$A$119,"&lt;&gt;"),"",INDEX(' Toto teams'!$S$4:$S$119,MATCH(LARGE(' Toto teams'!$T$4:$T$119,59),' Toto teams'!$T$4:$T$119,0)))</f>
        <v>58</v>
      </c>
      <c r="B62" s="26" t="str">
        <f>IF(59&gt;COUNTIF(' Toto teams'!$A$4:$A$119,"&lt;&gt;"),"",INDEX(' Toto teams'!$A$4:$A$119,MATCH(LARGE(' Toto teams'!$T$4:$T$119,59),' Toto teams'!$T$4:$T$119,0)))</f>
        <v>Egidijus Navickas</v>
      </c>
      <c r="C62" s="27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118.5</v>
      </c>
      <c r="D62" s="27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7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102</v>
      </c>
      <c r="F62" s="27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32</v>
      </c>
      <c r="G62" s="27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7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7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7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8">
        <f>IF($B62="","",IFERROR(INDEX(' Toto teams'!$R$4:$R$119,MATCH($B62,' Toto teams'!$A$4:$A$119,0)),""))</f>
        <v>320.5</v>
      </c>
      <c r="L62" s="29">
        <f t="shared" si="4"/>
        <v>0</v>
      </c>
    </row>
    <row r="63" spans="1:12" ht="12.75" customHeight="1" x14ac:dyDescent="0.3">
      <c r="A63" s="25">
        <f>IF(60&gt;COUNTIF(' Toto teams'!$A$4:$A$119,"&lt;&gt;"),"",INDEX(' Toto teams'!$S$4:$S$119,MATCH(LARGE(' Toto teams'!$T$4:$T$119,60),' Toto teams'!$T$4:$T$119,0)))</f>
        <v>58</v>
      </c>
      <c r="B63" s="26" t="str">
        <f>IF(60&gt;COUNTIF(' Toto teams'!$A$4:$A$119,"&lt;&gt;"),"",INDEX(' Toto teams'!$A$4:$A$119,MATCH(LARGE(' Toto teams'!$T$4:$T$119,60),' Toto teams'!$T$4:$T$119,0)))</f>
        <v>Yagub Alizada</v>
      </c>
      <c r="C63" s="27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130.5</v>
      </c>
      <c r="D63" s="27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7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102</v>
      </c>
      <c r="F63" s="27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16</v>
      </c>
      <c r="G63" s="27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7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7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7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8">
        <f>IF($B63="","",IFERROR(INDEX(' Toto teams'!$R$4:$R$119,MATCH($B63,' Toto teams'!$A$4:$A$119,0)),""))</f>
        <v>320.5</v>
      </c>
      <c r="L63" s="29">
        <f t="shared" si="4"/>
        <v>0</v>
      </c>
    </row>
    <row r="64" spans="1:12" ht="12.75" customHeight="1" x14ac:dyDescent="0.3">
      <c r="A64" s="25">
        <f>IF(61&gt;COUNTIF(' Toto teams'!$A$4:$A$119,"&lt;&gt;"),"",INDEX(' Toto teams'!$S$4:$S$119,MATCH(LARGE(' Toto teams'!$T$4:$T$119,61),' Toto teams'!$T$4:$T$119,0)))</f>
        <v>61</v>
      </c>
      <c r="B64" s="26" t="str">
        <f>IF(61&gt;COUNTIF(' Toto teams'!$A$4:$A$119,"&lt;&gt;"),"",INDEX(' Toto teams'!$A$4:$A$119,MATCH(LARGE(' Toto teams'!$T$4:$T$119,61),' Toto teams'!$T$4:$T$119,0)))</f>
        <v>Edita Oršauskė</v>
      </c>
      <c r="C64" s="27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126</v>
      </c>
      <c r="D64" s="27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68</v>
      </c>
      <c r="E64" s="27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102</v>
      </c>
      <c r="F64" s="27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24</v>
      </c>
      <c r="G64" s="27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7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7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7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8">
        <f>IF($B64="","",IFERROR(INDEX(' Toto teams'!$R$4:$R$119,MATCH($B64,' Toto teams'!$A$4:$A$119,0)),""))</f>
        <v>320</v>
      </c>
      <c r="L64" s="29">
        <f t="shared" si="4"/>
        <v>0</v>
      </c>
    </row>
    <row r="65" spans="1:12" ht="12.75" customHeight="1" x14ac:dyDescent="0.3">
      <c r="A65" s="25">
        <f>IF(62&gt;COUNTIF(' Toto teams'!$A$4:$A$119,"&lt;&gt;"),"",INDEX(' Toto teams'!$S$4:$S$119,MATCH(LARGE(' Toto teams'!$T$4:$T$119,62),' Toto teams'!$T$4:$T$119,0)))</f>
        <v>61</v>
      </c>
      <c r="B65" s="26" t="str">
        <f>IF(62&gt;COUNTIF(' Toto teams'!$A$4:$A$119,"&lt;&gt;"),"",INDEX(' Toto teams'!$A$4:$A$119,MATCH(LARGE(' Toto teams'!$T$4:$T$119,62),' Toto teams'!$T$4:$T$119,0)))</f>
        <v>Nikolay Lenkov</v>
      </c>
      <c r="C65" s="27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126</v>
      </c>
      <c r="D65" s="27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68</v>
      </c>
      <c r="E65" s="27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7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24</v>
      </c>
      <c r="G65" s="27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7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7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7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8">
        <f>IF($B65="","",IFERROR(INDEX(' Toto teams'!$R$4:$R$119,MATCH($B65,' Toto teams'!$A$4:$A$119,0)),""))</f>
        <v>320</v>
      </c>
      <c r="L65" s="29">
        <f t="shared" si="4"/>
        <v>0</v>
      </c>
    </row>
    <row r="66" spans="1:12" ht="12.75" customHeight="1" x14ac:dyDescent="0.3">
      <c r="A66" s="25">
        <f>IF(63&gt;COUNTIF(' Toto teams'!$A$4:$A$119,"&lt;&gt;"),"",INDEX(' Toto teams'!$S$4:$S$119,MATCH(LARGE(' Toto teams'!$T$4:$T$119,63),' Toto teams'!$T$4:$T$119,0)))</f>
        <v>63</v>
      </c>
      <c r="B66" s="26" t="str">
        <f>IF(63&gt;COUNTIF(' Toto teams'!$A$4:$A$119,"&lt;&gt;"),"",INDEX(' Toto teams'!$A$4:$A$119,MATCH(LARGE(' Toto teams'!$T$4:$T$119,63),' Toto teams'!$T$4:$T$119,0)))</f>
        <v>Miglė Juškaitė</v>
      </c>
      <c r="C66" s="27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121</v>
      </c>
      <c r="D66" s="27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7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7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24</v>
      </c>
      <c r="G66" s="27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7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7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7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8">
        <f>IF($B66="","",IFERROR(INDEX(' Toto teams'!$R$4:$R$119,MATCH($B66,' Toto teams'!$A$4:$A$119,0)),""))</f>
        <v>319</v>
      </c>
      <c r="L66" s="29">
        <f t="shared" si="4"/>
        <v>0</v>
      </c>
    </row>
    <row r="67" spans="1:12" ht="12.75" customHeight="1" x14ac:dyDescent="0.3">
      <c r="A67" s="25">
        <f>IF(64&gt;COUNTIF(' Toto teams'!$A$4:$A$119,"&lt;&gt;"),"",INDEX(' Toto teams'!$S$4:$S$119,MATCH(LARGE(' Toto teams'!$T$4:$T$119,64),' Toto teams'!$T$4:$T$119,0)))</f>
        <v>64</v>
      </c>
      <c r="B67" s="26" t="str">
        <f>IF(64&gt;COUNTIF(' Toto teams'!$A$4:$A$119,"&lt;&gt;"),"",INDEX(' Toto teams'!$A$4:$A$119,MATCH(LARGE(' Toto teams'!$T$4:$T$119,64),' Toto teams'!$T$4:$T$119,0)))</f>
        <v>Vytautas Gliaubicas</v>
      </c>
      <c r="C67" s="27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124</v>
      </c>
      <c r="D67" s="27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68</v>
      </c>
      <c r="E67" s="27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102</v>
      </c>
      <c r="F67" s="27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24</v>
      </c>
      <c r="G67" s="27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7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7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7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8">
        <f>IF($B67="","",IFERROR(INDEX(' Toto teams'!$R$4:$R$119,MATCH($B67,' Toto teams'!$A$4:$A$119,0)),""))</f>
        <v>318</v>
      </c>
      <c r="L67" s="29">
        <f t="shared" si="4"/>
        <v>0</v>
      </c>
    </row>
    <row r="68" spans="1:12" ht="12.75" customHeight="1" x14ac:dyDescent="0.3">
      <c r="A68" s="25">
        <f>IF(65&gt;COUNTIF(' Toto teams'!$A$4:$A$119,"&lt;&gt;"),"",INDEX(' Toto teams'!$S$4:$S$119,MATCH(LARGE(' Toto teams'!$T$4:$T$119,65),' Toto teams'!$T$4:$T$119,0)))</f>
        <v>65</v>
      </c>
      <c r="B68" s="26" t="str">
        <f>IF(65&gt;COUNTIF(' Toto teams'!$A$4:$A$119,"&lt;&gt;"),"",INDEX(' Toto teams'!$A$4:$A$119,MATCH(LARGE(' Toto teams'!$T$4:$T$119,65),' Toto teams'!$T$4:$T$119,0)))</f>
        <v>Audi club</v>
      </c>
      <c r="C68" s="27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137.5</v>
      </c>
      <c r="D68" s="27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68</v>
      </c>
      <c r="E68" s="27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96</v>
      </c>
      <c r="F68" s="27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16</v>
      </c>
      <c r="G68" s="27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7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7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7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8">
        <f>IF($B68="","",IFERROR(INDEX(' Toto teams'!$R$4:$R$119,MATCH($B68,' Toto teams'!$A$4:$A$119,0)),""))</f>
        <v>317.5</v>
      </c>
      <c r="L68" s="29">
        <f t="shared" ref="L68:L99" si="5">IFERROR(IF(B68="","",VLOOKUP(A68,$N$4:$R$12,5,FALSE())),0)</f>
        <v>0</v>
      </c>
    </row>
    <row r="69" spans="1:12" ht="12.75" customHeight="1" x14ac:dyDescent="0.3">
      <c r="A69" s="25">
        <f>IF(66&gt;COUNTIF(' Toto teams'!$A$4:$A$119,"&lt;&gt;"),"",INDEX(' Toto teams'!$S$4:$S$119,MATCH(LARGE(' Toto teams'!$T$4:$T$119,66),' Toto teams'!$T$4:$T$119,0)))</f>
        <v>66</v>
      </c>
      <c r="B69" s="26" t="str">
        <f>IF(66&gt;COUNTIF(' Toto teams'!$A$4:$A$119,"&lt;&gt;"),"",INDEX(' Toto teams'!$A$4:$A$119,MATCH(LARGE(' Toto teams'!$T$4:$T$119,66),' Toto teams'!$T$4:$T$119,0)))</f>
        <v>Andrea Signorini</v>
      </c>
      <c r="C69" s="27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127.5</v>
      </c>
      <c r="D69" s="27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68</v>
      </c>
      <c r="E69" s="27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7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24</v>
      </c>
      <c r="G69" s="27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7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7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7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8">
        <f>IF($B69="","",IFERROR(INDEX(' Toto teams'!$R$4:$R$119,MATCH($B69,' Toto teams'!$A$4:$A$119,0)),""))</f>
        <v>315.5</v>
      </c>
      <c r="L69" s="29">
        <f t="shared" si="5"/>
        <v>0</v>
      </c>
    </row>
    <row r="70" spans="1:12" ht="12.75" customHeight="1" x14ac:dyDescent="0.3">
      <c r="A70" s="25">
        <f>IF(67&gt;COUNTIF(' Toto teams'!$A$4:$A$119,"&lt;&gt;"),"",INDEX(' Toto teams'!$S$4:$S$119,MATCH(LARGE(' Toto teams'!$T$4:$T$119,67),' Toto teams'!$T$4:$T$119,0)))</f>
        <v>67</v>
      </c>
      <c r="B70" s="26" t="str">
        <f>IF(67&gt;COUNTIF(' Toto teams'!$A$4:$A$119,"&lt;&gt;"),"",INDEX(' Toto teams'!$A$4:$A$119,MATCH(LARGE(' Toto teams'!$T$4:$T$119,67),' Toto teams'!$T$4:$T$119,0)))</f>
        <v>Giuseppe Diana</v>
      </c>
      <c r="C70" s="27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118</v>
      </c>
      <c r="D70" s="27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7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96</v>
      </c>
      <c r="F70" s="27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32</v>
      </c>
      <c r="G70" s="27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7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7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7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8">
        <f>IF($B70="","",IFERROR(INDEX(' Toto teams'!$R$4:$R$119,MATCH($B70,' Toto teams'!$A$4:$A$119,0)),""))</f>
        <v>314</v>
      </c>
      <c r="L70" s="29">
        <f t="shared" si="5"/>
        <v>0</v>
      </c>
    </row>
    <row r="71" spans="1:12" ht="12.75" customHeight="1" x14ac:dyDescent="0.3">
      <c r="A71" s="25">
        <f>IF(68&gt;COUNTIF(' Toto teams'!$A$4:$A$119,"&lt;&gt;"),"",INDEX(' Toto teams'!$S$4:$S$119,MATCH(LARGE(' Toto teams'!$T$4:$T$119,68),' Toto teams'!$T$4:$T$119,0)))</f>
        <v>68</v>
      </c>
      <c r="B71" s="26" t="str">
        <f>IF(68&gt;COUNTIF(' Toto teams'!$A$4:$A$119,"&lt;&gt;"),"",INDEX(' Toto teams'!$A$4:$A$119,MATCH(LARGE(' Toto teams'!$T$4:$T$119,68),' Toto teams'!$T$4:$T$119,0)))</f>
        <v>Giedrius Šadbaras</v>
      </c>
      <c r="C71" s="27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133</v>
      </c>
      <c r="D71" s="27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7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7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16</v>
      </c>
      <c r="G71" s="27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7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7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7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8">
        <f>IF($B71="","",IFERROR(INDEX(' Toto teams'!$R$4:$R$119,MATCH($B71,' Toto teams'!$A$4:$A$119,0)),""))</f>
        <v>313</v>
      </c>
      <c r="L71" s="29">
        <f t="shared" si="5"/>
        <v>0</v>
      </c>
    </row>
    <row r="72" spans="1:12" ht="12.75" customHeight="1" x14ac:dyDescent="0.3">
      <c r="A72" s="25">
        <f>IF(69&gt;COUNTIF(' Toto teams'!$A$4:$A$119,"&lt;&gt;"),"",INDEX(' Toto teams'!$S$4:$S$119,MATCH(LARGE(' Toto teams'!$T$4:$T$119,69),' Toto teams'!$T$4:$T$119,0)))</f>
        <v>68</v>
      </c>
      <c r="B72" s="26" t="str">
        <f>IF(69&gt;COUNTIF(' Toto teams'!$A$4:$A$119,"&lt;&gt;"),"",INDEX(' Toto teams'!$A$4:$A$119,MATCH(LARGE(' Toto teams'!$T$4:$T$119,69),' Toto teams'!$T$4:$T$119,0)))</f>
        <v>Deividas Jodenis</v>
      </c>
      <c r="C72" s="27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121</v>
      </c>
      <c r="D72" s="27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64</v>
      </c>
      <c r="E72" s="27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7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32</v>
      </c>
      <c r="G72" s="27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7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7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7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8">
        <f>IF($B72="","",IFERROR(INDEX(' Toto teams'!$R$4:$R$119,MATCH($B72,' Toto teams'!$A$4:$A$119,0)),""))</f>
        <v>313</v>
      </c>
      <c r="L72" s="29">
        <f t="shared" si="5"/>
        <v>0</v>
      </c>
    </row>
    <row r="73" spans="1:12" ht="12.75" customHeight="1" x14ac:dyDescent="0.3">
      <c r="A73" s="25">
        <f>IF(70&gt;COUNTIF(' Toto teams'!$A$4:$A$119,"&lt;&gt;"),"",INDEX(' Toto teams'!$S$4:$S$119,MATCH(LARGE(' Toto teams'!$T$4:$T$119,70),' Toto teams'!$T$4:$T$119,0)))</f>
        <v>70</v>
      </c>
      <c r="B73" s="26" t="str">
        <f>IF(70&gt;COUNTIF(' Toto teams'!$A$4:$A$119,"&lt;&gt;"),"",INDEX(' Toto teams'!$A$4:$A$119,MATCH(LARGE(' Toto teams'!$T$4:$T$119,70),' Toto teams'!$T$4:$T$119,0)))</f>
        <v>N&amp;A Pociai</v>
      </c>
      <c r="C73" s="27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116</v>
      </c>
      <c r="D73" s="27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7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96</v>
      </c>
      <c r="F73" s="27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32</v>
      </c>
      <c r="G73" s="27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7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7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7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8">
        <f>IF($B73="","",IFERROR(INDEX(' Toto teams'!$R$4:$R$119,MATCH($B73,' Toto teams'!$A$4:$A$119,0)),""))</f>
        <v>312</v>
      </c>
      <c r="L73" s="29">
        <f t="shared" si="5"/>
        <v>0</v>
      </c>
    </row>
    <row r="74" spans="1:12" ht="12.75" customHeight="1" x14ac:dyDescent="0.3">
      <c r="A74" s="25">
        <f>IF(71&gt;COUNTIF(' Toto teams'!$A$4:$A$119,"&lt;&gt;"),"",INDEX(' Toto teams'!$S$4:$S$119,MATCH(LARGE(' Toto teams'!$T$4:$T$119,71),' Toto teams'!$T$4:$T$119,0)))</f>
        <v>71</v>
      </c>
      <c r="B74" s="26" t="str">
        <f>IF(71&gt;COUNTIF(' Toto teams'!$A$4:$A$119,"&lt;&gt;"),"",INDEX(' Toto teams'!$A$4:$A$119,MATCH(LARGE(' Toto teams'!$T$4:$T$119,71),' Toto teams'!$T$4:$T$119,0)))</f>
        <v>Sofus Wolke</v>
      </c>
      <c r="C74" s="27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124.5</v>
      </c>
      <c r="D74" s="27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7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90</v>
      </c>
      <c r="F74" s="27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24</v>
      </c>
      <c r="G74" s="27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7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7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7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8">
        <f>IF($B74="","",IFERROR(INDEX(' Toto teams'!$R$4:$R$119,MATCH($B74,' Toto teams'!$A$4:$A$119,0)),""))</f>
        <v>310.5</v>
      </c>
      <c r="L74" s="29">
        <f t="shared" si="5"/>
        <v>0</v>
      </c>
    </row>
    <row r="75" spans="1:12" ht="12.75" customHeight="1" x14ac:dyDescent="0.3">
      <c r="A75" s="25">
        <f>IF(72&gt;COUNTIF(' Toto teams'!$A$4:$A$119,"&lt;&gt;"),"",INDEX(' Toto teams'!$S$4:$S$119,MATCH(LARGE(' Toto teams'!$T$4:$T$119,72),' Toto teams'!$T$4:$T$119,0)))</f>
        <v>72</v>
      </c>
      <c r="B75" s="26" t="str">
        <f>IF(72&gt;COUNTIF(' Toto teams'!$A$4:$A$119,"&lt;&gt;"),"",INDEX(' Toto teams'!$A$4:$A$119,MATCH(LARGE(' Toto teams'!$T$4:$T$119,72),' Toto teams'!$T$4:$T$119,0)))</f>
        <v>Rolandas Urbelis</v>
      </c>
      <c r="C75" s="27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127.5</v>
      </c>
      <c r="D75" s="27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7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90</v>
      </c>
      <c r="F75" s="27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24</v>
      </c>
      <c r="G75" s="27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7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7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7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8">
        <f>IF($B75="","",IFERROR(INDEX(' Toto teams'!$R$4:$R$119,MATCH($B75,' Toto teams'!$A$4:$A$119,0)),""))</f>
        <v>309.5</v>
      </c>
      <c r="L75" s="29">
        <f t="shared" si="5"/>
        <v>0</v>
      </c>
    </row>
    <row r="76" spans="1:12" ht="12.75" customHeight="1" x14ac:dyDescent="0.3">
      <c r="A76" s="25">
        <f>IF(73&gt;COUNTIF(' Toto teams'!$A$4:$A$119,"&lt;&gt;"),"",INDEX(' Toto teams'!$S$4:$S$119,MATCH(LARGE(' Toto teams'!$T$4:$T$119,73),' Toto teams'!$T$4:$T$119,0)))</f>
        <v>73</v>
      </c>
      <c r="B76" s="26" t="str">
        <f>IF(73&gt;COUNTIF(' Toto teams'!$A$4:$A$119,"&lt;&gt;"),"",INDEX(' Toto teams'!$A$4:$A$119,MATCH(LARGE(' Toto teams'!$T$4:$T$119,73),' Toto teams'!$T$4:$T$119,0)))</f>
        <v>Donatas Keras</v>
      </c>
      <c r="C76" s="27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135</v>
      </c>
      <c r="D76" s="27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72</v>
      </c>
      <c r="E76" s="27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78</v>
      </c>
      <c r="F76" s="27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24</v>
      </c>
      <c r="G76" s="27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7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7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7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8">
        <f>IF($B76="","",IFERROR(INDEX(' Toto teams'!$R$4:$R$119,MATCH($B76,' Toto teams'!$A$4:$A$119,0)),""))</f>
        <v>309</v>
      </c>
      <c r="L76" s="29">
        <f t="shared" si="5"/>
        <v>0</v>
      </c>
    </row>
    <row r="77" spans="1:12" ht="12.75" customHeight="1" x14ac:dyDescent="0.3">
      <c r="A77" s="25">
        <f>IF(74&gt;COUNTIF(' Toto teams'!$A$4:$A$119,"&lt;&gt;"),"",INDEX(' Toto teams'!$S$4:$S$119,MATCH(LARGE(' Toto teams'!$T$4:$T$119,74),' Toto teams'!$T$4:$T$119,0)))</f>
        <v>73</v>
      </c>
      <c r="B77" s="26" t="str">
        <f>IF(74&gt;COUNTIF(' Toto teams'!$A$4:$A$119,"&lt;&gt;"),"",INDEX(' Toto teams'!$A$4:$A$119,MATCH(LARGE(' Toto teams'!$T$4:$T$119,74),' Toto teams'!$T$4:$T$119,0)))</f>
        <v>Joris Jalo</v>
      </c>
      <c r="C77" s="27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121</v>
      </c>
      <c r="D77" s="27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7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96</v>
      </c>
      <c r="F77" s="27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24</v>
      </c>
      <c r="G77" s="27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7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7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7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8">
        <f>IF($B77="","",IFERROR(INDEX(' Toto teams'!$R$4:$R$119,MATCH($B77,' Toto teams'!$A$4:$A$119,0)),""))</f>
        <v>309</v>
      </c>
      <c r="L77" s="29">
        <f t="shared" si="5"/>
        <v>0</v>
      </c>
    </row>
    <row r="78" spans="1:12" ht="12.75" customHeight="1" x14ac:dyDescent="0.3">
      <c r="A78" s="25">
        <f>IF(75&gt;COUNTIF(' Toto teams'!$A$4:$A$119,"&lt;&gt;"),"",INDEX(' Toto teams'!$S$4:$S$119,MATCH(LARGE(' Toto teams'!$T$4:$T$119,75),' Toto teams'!$T$4:$T$119,0)))</f>
        <v>75</v>
      </c>
      <c r="B78" s="26" t="str">
        <f>IF(75&gt;COUNTIF(' Toto teams'!$A$4:$A$119,"&lt;&gt;"),"",INDEX(' Toto teams'!$A$4:$A$119,MATCH(LARGE(' Toto teams'!$T$4:$T$119,75),' Toto teams'!$T$4:$T$119,0)))</f>
        <v>Tomas Šunskis</v>
      </c>
      <c r="C78" s="27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133</v>
      </c>
      <c r="D78" s="27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7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7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7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7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7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7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8">
        <f>IF($B78="","",IFERROR(INDEX(' Toto teams'!$R$4:$R$119,MATCH($B78,' Toto teams'!$A$4:$A$119,0)),""))</f>
        <v>307</v>
      </c>
      <c r="L78" s="29">
        <f t="shared" si="5"/>
        <v>0</v>
      </c>
    </row>
    <row r="79" spans="1:12" ht="12.75" customHeight="1" x14ac:dyDescent="0.3">
      <c r="A79" s="25">
        <f>IF(76&gt;COUNTIF(' Toto teams'!$A$4:$A$119,"&lt;&gt;"),"",INDEX(' Toto teams'!$S$4:$S$119,MATCH(LARGE(' Toto teams'!$T$4:$T$119,76),' Toto teams'!$T$4:$T$119,0)))</f>
        <v>75</v>
      </c>
      <c r="B79" s="26" t="str">
        <f>IF(76&gt;COUNTIF(' Toto teams'!$A$4:$A$119,"&lt;&gt;"),"",INDEX(' Toto teams'!$A$4:$A$119,MATCH(LARGE(' Toto teams'!$T$4:$T$119,76),' Toto teams'!$T$4:$T$119,0)))</f>
        <v>Rimas Baubonis</v>
      </c>
      <c r="C79" s="27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117</v>
      </c>
      <c r="D79" s="27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7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102</v>
      </c>
      <c r="F79" s="27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16</v>
      </c>
      <c r="G79" s="27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7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7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7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8">
        <f>IF($B79="","",IFERROR(INDEX(' Toto teams'!$R$4:$R$119,MATCH($B79,' Toto teams'!$A$4:$A$119,0)),""))</f>
        <v>307</v>
      </c>
      <c r="L79" s="29">
        <f t="shared" si="5"/>
        <v>0</v>
      </c>
    </row>
    <row r="80" spans="1:12" ht="12.75" customHeight="1" x14ac:dyDescent="0.3">
      <c r="A80" s="25">
        <f>IF(77&gt;COUNTIF(' Toto teams'!$A$4:$A$119,"&lt;&gt;"),"",INDEX(' Toto teams'!$S$4:$S$119,MATCH(LARGE(' Toto teams'!$T$4:$T$119,77),' Toto teams'!$T$4:$T$119,0)))</f>
        <v>77</v>
      </c>
      <c r="B80" s="26" t="str">
        <f>IF(77&gt;COUNTIF(' Toto teams'!$A$4:$A$119,"&lt;&gt;"),"",INDEX(' Toto teams'!$A$4:$A$119,MATCH(LARGE(' Toto teams'!$T$4:$T$119,77),' Toto teams'!$T$4:$T$119,0)))</f>
        <v>Tihomir Chakarov</v>
      </c>
      <c r="C80" s="27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130</v>
      </c>
      <c r="D80" s="27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72</v>
      </c>
      <c r="E80" s="27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102</v>
      </c>
      <c r="F80" s="27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7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7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7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7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8">
        <f>IF($B80="","",IFERROR(INDEX(' Toto teams'!$R$4:$R$119,MATCH($B80,' Toto teams'!$A$4:$A$119,0)),""))</f>
        <v>304</v>
      </c>
      <c r="L80" s="29">
        <f t="shared" si="5"/>
        <v>0</v>
      </c>
    </row>
    <row r="81" spans="1:12" ht="12.75" customHeight="1" x14ac:dyDescent="0.3">
      <c r="A81" s="25">
        <f>IF(78&gt;COUNTIF(' Toto teams'!$A$4:$A$119,"&lt;&gt;"),"",INDEX(' Toto teams'!$S$4:$S$119,MATCH(LARGE(' Toto teams'!$T$4:$T$119,78),' Toto teams'!$T$4:$T$119,0)))</f>
        <v>78</v>
      </c>
      <c r="B81" s="26" t="str">
        <f>IF(78&gt;COUNTIF(' Toto teams'!$A$4:$A$119,"&lt;&gt;"),"",INDEX(' Toto teams'!$A$4:$A$119,MATCH(LARGE(' Toto teams'!$T$4:$T$119,78),' Toto teams'!$T$4:$T$119,0)))</f>
        <v>Anton Panasenko</v>
      </c>
      <c r="C81" s="27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120</v>
      </c>
      <c r="D81" s="27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7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96</v>
      </c>
      <c r="F81" s="27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16</v>
      </c>
      <c r="G81" s="27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7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7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7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8">
        <f>IF($B81="","",IFERROR(INDEX(' Toto teams'!$R$4:$R$119,MATCH($B81,' Toto teams'!$A$4:$A$119,0)),""))</f>
        <v>300</v>
      </c>
      <c r="L81" s="29">
        <f t="shared" si="5"/>
        <v>0</v>
      </c>
    </row>
    <row r="82" spans="1:12" ht="12.75" customHeight="1" x14ac:dyDescent="0.3">
      <c r="A82" s="25">
        <f>IF(79&gt;COUNTIF(' Toto teams'!$A$4:$A$119,"&lt;&gt;"),"",INDEX(' Toto teams'!$S$4:$S$119,MATCH(LARGE(' Toto teams'!$T$4:$T$119,79),' Toto teams'!$T$4:$T$119,0)))</f>
        <v>79</v>
      </c>
      <c r="B82" s="26" t="str">
        <f>IF(79&gt;COUNTIF(' Toto teams'!$A$4:$A$119,"&lt;&gt;"),"",INDEX(' Toto teams'!$A$4:$A$119,MATCH(LARGE(' Toto teams'!$T$4:$T$119,79),' Toto teams'!$T$4:$T$119,0)))</f>
        <v>Edgar Moroz</v>
      </c>
      <c r="C82" s="27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124.5</v>
      </c>
      <c r="D82" s="27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72</v>
      </c>
      <c r="E82" s="27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102</v>
      </c>
      <c r="F82" s="27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7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7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7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7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8">
        <f>IF($B82="","",IFERROR(INDEX(' Toto teams'!$R$4:$R$119,MATCH($B82,' Toto teams'!$A$4:$A$119,0)),""))</f>
        <v>298.5</v>
      </c>
      <c r="L82" s="29">
        <f t="shared" si="5"/>
        <v>0</v>
      </c>
    </row>
    <row r="83" spans="1:12" ht="12.75" customHeight="1" x14ac:dyDescent="0.3">
      <c r="A83" s="25">
        <f>IF(80&gt;COUNTIF(' Toto teams'!$A$4:$A$119,"&lt;&gt;"),"",INDEX(' Toto teams'!$S$4:$S$119,MATCH(LARGE(' Toto teams'!$T$4:$T$119,80),' Toto teams'!$T$4:$T$119,0)))</f>
        <v>80</v>
      </c>
      <c r="B83" s="26" t="str">
        <f>IF(80&gt;COUNTIF(' Toto teams'!$A$4:$A$119,"&lt;&gt;"),"",INDEX(' Toto teams'!$A$4:$A$119,MATCH(LARGE(' Toto teams'!$T$4:$T$119,80),' Toto teams'!$T$4:$T$119,0)))</f>
        <v>Saulius Lileikis</v>
      </c>
      <c r="C83" s="27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134</v>
      </c>
      <c r="D83" s="27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7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7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7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7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7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7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8">
        <f>IF($B83="","",IFERROR(INDEX(' Toto teams'!$R$4:$R$119,MATCH($B83,' Toto teams'!$A$4:$A$119,0)),""))</f>
        <v>296</v>
      </c>
      <c r="L83" s="29">
        <f t="shared" si="5"/>
        <v>0</v>
      </c>
    </row>
    <row r="84" spans="1:12" ht="12.75" customHeight="1" x14ac:dyDescent="0.3">
      <c r="A84" s="25">
        <f>IF(81&gt;COUNTIF(' Toto teams'!$A$4:$A$119,"&lt;&gt;"),"",INDEX(' Toto teams'!$S$4:$S$119,MATCH(LARGE(' Toto teams'!$T$4:$T$119,81),' Toto teams'!$T$4:$T$119,0)))</f>
        <v>80</v>
      </c>
      <c r="B84" s="26" t="str">
        <f>IF(81&gt;COUNTIF(' Toto teams'!$A$4:$A$119,"&lt;&gt;"),"",INDEX(' Toto teams'!$A$4:$A$119,MATCH(LARGE(' Toto teams'!$T$4:$T$119,81),' Toto teams'!$T$4:$T$119,0)))</f>
        <v>Denis Kazarezov</v>
      </c>
      <c r="C84" s="27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114</v>
      </c>
      <c r="D84" s="27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7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90</v>
      </c>
      <c r="F84" s="27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24</v>
      </c>
      <c r="G84" s="27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7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7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7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8">
        <f>IF($B84="","",IFERROR(INDEX(' Toto teams'!$R$4:$R$119,MATCH($B84,' Toto teams'!$A$4:$A$119,0)),""))</f>
        <v>296</v>
      </c>
      <c r="L84" s="29">
        <f t="shared" si="5"/>
        <v>0</v>
      </c>
    </row>
    <row r="85" spans="1:12" ht="12.75" customHeight="1" x14ac:dyDescent="0.3">
      <c r="A85" s="25">
        <f>IF(82&gt;COUNTIF(' Toto teams'!$A$4:$A$119,"&lt;&gt;"),"",INDEX(' Toto teams'!$S$4:$S$119,MATCH(LARGE(' Toto teams'!$T$4:$T$119,82),' Toto teams'!$T$4:$T$119,0)))</f>
        <v>82</v>
      </c>
      <c r="B85" s="26" t="str">
        <f>IF(82&gt;COUNTIF(' Toto teams'!$A$4:$A$119,"&lt;&gt;"),"",INDEX(' Toto teams'!$A$4:$A$119,MATCH(LARGE(' Toto teams'!$T$4:$T$119,82),' Toto teams'!$T$4:$T$119,0)))</f>
        <v>Susie Wolke</v>
      </c>
      <c r="C85" s="27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138</v>
      </c>
      <c r="D85" s="27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72</v>
      </c>
      <c r="E85" s="27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60</v>
      </c>
      <c r="F85" s="27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24</v>
      </c>
      <c r="G85" s="27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7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7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7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8">
        <f>IF($B85="","",IFERROR(INDEX(' Toto teams'!$R$4:$R$119,MATCH($B85,' Toto teams'!$A$4:$A$119,0)),""))</f>
        <v>294</v>
      </c>
      <c r="L85" s="29">
        <f t="shared" si="5"/>
        <v>0</v>
      </c>
    </row>
    <row r="86" spans="1:12" ht="12.75" customHeight="1" x14ac:dyDescent="0.3">
      <c r="A86" s="25">
        <f>IF(83&gt;COUNTIF(' Toto teams'!$A$4:$A$119,"&lt;&gt;"),"",INDEX(' Toto teams'!$S$4:$S$119,MATCH(LARGE(' Toto teams'!$T$4:$T$119,83),' Toto teams'!$T$4:$T$119,0)))</f>
        <v>83</v>
      </c>
      <c r="B86" s="26" t="str">
        <f>IF(83&gt;COUNTIF(' Toto teams'!$A$4:$A$119,"&lt;&gt;"),"",INDEX(' Toto teams'!$A$4:$A$119,MATCH(LARGE(' Toto teams'!$T$4:$T$119,83),' Toto teams'!$T$4:$T$119,0)))</f>
        <v>Michele Sette</v>
      </c>
      <c r="C86" s="27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115</v>
      </c>
      <c r="D86" s="27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64</v>
      </c>
      <c r="E86" s="27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90</v>
      </c>
      <c r="F86" s="27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24</v>
      </c>
      <c r="G86" s="27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7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7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7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8">
        <f>IF($B86="","",IFERROR(INDEX(' Toto teams'!$R$4:$R$119,MATCH($B86,' Toto teams'!$A$4:$A$119,0)),""))</f>
        <v>293</v>
      </c>
      <c r="L86" s="29">
        <f t="shared" si="5"/>
        <v>0</v>
      </c>
    </row>
    <row r="87" spans="1:12" ht="12.75" customHeight="1" x14ac:dyDescent="0.3">
      <c r="A87" s="25">
        <f>IF(84&gt;COUNTIF(' Toto teams'!$A$4:$A$119,"&lt;&gt;"),"",INDEX(' Toto teams'!$S$4:$S$119,MATCH(LARGE(' Toto teams'!$T$4:$T$119,84),' Toto teams'!$T$4:$T$119,0)))</f>
        <v>84</v>
      </c>
      <c r="B87" s="26" t="str">
        <f>IF(84&gt;COUNTIF(' Toto teams'!$A$4:$A$119,"&lt;&gt;"),"",INDEX(' Toto teams'!$A$4:$A$119,MATCH(LARGE(' Toto teams'!$T$4:$T$119,84),' Toto teams'!$T$4:$T$119,0)))</f>
        <v>Dainius Visackas</v>
      </c>
      <c r="C87" s="27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114.5</v>
      </c>
      <c r="D87" s="27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72</v>
      </c>
      <c r="E87" s="27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90</v>
      </c>
      <c r="F87" s="27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16</v>
      </c>
      <c r="G87" s="27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7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7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7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8">
        <f>IF($B87="","",IFERROR(INDEX(' Toto teams'!$R$4:$R$119,MATCH($B87,' Toto teams'!$A$4:$A$119,0)),""))</f>
        <v>292.5</v>
      </c>
      <c r="L87" s="29">
        <f t="shared" si="5"/>
        <v>0</v>
      </c>
    </row>
    <row r="88" spans="1:12" ht="12.75" customHeight="1" x14ac:dyDescent="0.3">
      <c r="A88" s="25">
        <f>IF(85&gt;COUNTIF(' Toto teams'!$A$4:$A$119,"&lt;&gt;"),"",INDEX(' Toto teams'!$S$4:$S$119,MATCH(LARGE(' Toto teams'!$T$4:$T$119,85),' Toto teams'!$T$4:$T$119,0)))</f>
        <v>85</v>
      </c>
      <c r="B88" s="26" t="str">
        <f>IF(85&gt;COUNTIF(' Toto teams'!$A$4:$A$119,"&lt;&gt;"),"",INDEX(' Toto teams'!$A$4:$A$119,MATCH(LARGE(' Toto teams'!$T$4:$T$119,85),' Toto teams'!$T$4:$T$119,0)))</f>
        <v>Dobilas III</v>
      </c>
      <c r="C88" s="27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130</v>
      </c>
      <c r="D88" s="27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7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90</v>
      </c>
      <c r="F88" s="27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7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7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7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7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8">
        <f>IF($B88="","",IFERROR(INDEX(' Toto teams'!$R$4:$R$119,MATCH($B88,' Toto teams'!$A$4:$A$119,0)),""))</f>
        <v>292</v>
      </c>
      <c r="L88" s="29">
        <f t="shared" si="5"/>
        <v>0</v>
      </c>
    </row>
    <row r="89" spans="1:12" ht="12.75" customHeight="1" x14ac:dyDescent="0.3">
      <c r="A89" s="25">
        <f>IF(86&gt;COUNTIF(' Toto teams'!$A$4:$A$119,"&lt;&gt;"),"",INDEX(' Toto teams'!$S$4:$S$119,MATCH(LARGE(' Toto teams'!$T$4:$T$119,86),' Toto teams'!$T$4:$T$119,0)))</f>
        <v>85</v>
      </c>
      <c r="B89" s="26" t="str">
        <f>IF(86&gt;COUNTIF(' Toto teams'!$A$4:$A$119,"&lt;&gt;"),"",INDEX(' Toto teams'!$A$4:$A$119,MATCH(LARGE(' Toto teams'!$T$4:$T$119,86),' Toto teams'!$T$4:$T$119,0)))</f>
        <v>Vytautas Podrezas</v>
      </c>
      <c r="C89" s="27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112</v>
      </c>
      <c r="D89" s="27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68</v>
      </c>
      <c r="E89" s="27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96</v>
      </c>
      <c r="F89" s="27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16</v>
      </c>
      <c r="G89" s="27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7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7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7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8">
        <f>IF($B89="","",IFERROR(INDEX(' Toto teams'!$R$4:$R$119,MATCH($B89,' Toto teams'!$A$4:$A$119,0)),""))</f>
        <v>292</v>
      </c>
      <c r="L89" s="29">
        <f t="shared" si="5"/>
        <v>0</v>
      </c>
    </row>
    <row r="90" spans="1:12" ht="12.75" customHeight="1" x14ac:dyDescent="0.3">
      <c r="A90" s="25">
        <f>IF(87&gt;COUNTIF(' Toto teams'!$A$4:$A$119,"&lt;&gt;"),"",INDEX(' Toto teams'!$S$4:$S$119,MATCH(LARGE(' Toto teams'!$T$4:$T$119,87),' Toto teams'!$T$4:$T$119,0)))</f>
        <v>87</v>
      </c>
      <c r="B90" s="26" t="str">
        <f>IF(87&gt;COUNTIF(' Toto teams'!$A$4:$A$119,"&lt;&gt;"),"",INDEX(' Toto teams'!$A$4:$A$119,MATCH(LARGE(' Toto teams'!$T$4:$T$119,87),' Toto teams'!$T$4:$T$119,0)))</f>
        <v>Lukas Danielevičius</v>
      </c>
      <c r="C90" s="27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121.5</v>
      </c>
      <c r="D90" s="27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60</v>
      </c>
      <c r="E90" s="27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60</v>
      </c>
      <c r="F90" s="27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48</v>
      </c>
      <c r="G90" s="27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7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7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7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8">
        <f>IF($B90="","",IFERROR(INDEX(' Toto teams'!$R$4:$R$119,MATCH($B90,' Toto teams'!$A$4:$A$119,0)),""))</f>
        <v>289.5</v>
      </c>
      <c r="L90" s="29">
        <f t="shared" si="5"/>
        <v>0</v>
      </c>
    </row>
    <row r="91" spans="1:12" ht="12.75" customHeight="1" x14ac:dyDescent="0.3">
      <c r="A91" s="25">
        <f>IF(88&gt;COUNTIF(' Toto teams'!$A$4:$A$119,"&lt;&gt;"),"",INDEX(' Toto teams'!$S$4:$S$119,MATCH(LARGE(' Toto teams'!$T$4:$T$119,88),' Toto teams'!$T$4:$T$119,0)))</f>
        <v>88</v>
      </c>
      <c r="B91" s="26" t="str">
        <f>IF(88&gt;COUNTIF(' Toto teams'!$A$4:$A$119,"&lt;&gt;"),"",INDEX(' Toto teams'!$A$4:$A$119,MATCH(LARGE(' Toto teams'!$T$4:$T$119,88),' Toto teams'!$T$4:$T$119,0)))</f>
        <v>Juozas Žimkus Jr</v>
      </c>
      <c r="C91" s="27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131</v>
      </c>
      <c r="D91" s="27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7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84</v>
      </c>
      <c r="F91" s="27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7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7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7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7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8">
        <f>IF($B91="","",IFERROR(INDEX(' Toto teams'!$R$4:$R$119,MATCH($B91,' Toto teams'!$A$4:$A$119,0)),""))</f>
        <v>287</v>
      </c>
      <c r="L91" s="29">
        <f t="shared" si="5"/>
        <v>0</v>
      </c>
    </row>
    <row r="92" spans="1:12" ht="12.75" customHeight="1" x14ac:dyDescent="0.3">
      <c r="A92" s="25">
        <f>IF(89&gt;COUNTIF(' Toto teams'!$A$4:$A$119,"&lt;&gt;"),"",INDEX(' Toto teams'!$S$4:$S$119,MATCH(LARGE(' Toto teams'!$T$4:$T$119,89),' Toto teams'!$T$4:$T$119,0)))</f>
        <v>89</v>
      </c>
      <c r="B92" s="26" t="str">
        <f>IF(89&gt;COUNTIF(' Toto teams'!$A$4:$A$119,"&lt;&gt;"),"",INDEX(' Toto teams'!$A$4:$A$119,MATCH(LARGE(' Toto teams'!$T$4:$T$119,89),' Toto teams'!$T$4:$T$119,0)))</f>
        <v>Vaidas Pažusys</v>
      </c>
      <c r="C92" s="27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136</v>
      </c>
      <c r="D92" s="27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7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78</v>
      </c>
      <c r="F92" s="27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7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7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7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7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8">
        <f>IF($B92="","",IFERROR(INDEX(' Toto teams'!$R$4:$R$119,MATCH($B92,' Toto teams'!$A$4:$A$119,0)),""))</f>
        <v>286</v>
      </c>
      <c r="L92" s="29">
        <f t="shared" si="5"/>
        <v>0</v>
      </c>
    </row>
    <row r="93" spans="1:12" ht="12.75" customHeight="1" x14ac:dyDescent="0.3">
      <c r="A93" s="25">
        <f>IF(90&gt;COUNTIF(' Toto teams'!$A$4:$A$119,"&lt;&gt;"),"",INDEX(' Toto teams'!$S$4:$S$119,MATCH(LARGE(' Toto teams'!$T$4:$T$119,90),' Toto teams'!$T$4:$T$119,0)))</f>
        <v>90</v>
      </c>
      <c r="B93" s="26" t="str">
        <f>IF(90&gt;COUNTIF(' Toto teams'!$A$4:$A$119,"&lt;&gt;"),"",INDEX(' Toto teams'!$A$4:$A$119,MATCH(LARGE(' Toto teams'!$T$4:$T$119,90),' Toto teams'!$T$4:$T$119,0)))</f>
        <v>Sampaio Carlos</v>
      </c>
      <c r="C93" s="27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116</v>
      </c>
      <c r="D93" s="27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7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96</v>
      </c>
      <c r="F93" s="27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7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7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7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7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8">
        <f>IF($B93="","",IFERROR(INDEX(' Toto teams'!$R$4:$R$119,MATCH($B93,' Toto teams'!$A$4:$A$119,0)),""))</f>
        <v>284</v>
      </c>
      <c r="L93" s="29">
        <f t="shared" si="5"/>
        <v>0</v>
      </c>
    </row>
    <row r="94" spans="1:12" ht="12.75" customHeight="1" x14ac:dyDescent="0.3">
      <c r="A94" s="25">
        <f>IF(91&gt;COUNTIF(' Toto teams'!$A$4:$A$119,"&lt;&gt;"),"",INDEX(' Toto teams'!$S$4:$S$119,MATCH(LARGE(' Toto teams'!$T$4:$T$119,91),' Toto teams'!$T$4:$T$119,0)))</f>
        <v>91</v>
      </c>
      <c r="B94" s="26" t="str">
        <f>IF(91&gt;COUNTIF(' Toto teams'!$A$4:$A$119,"&lt;&gt;"),"",INDEX(' Toto teams'!$A$4:$A$119,MATCH(LARGE(' Toto teams'!$T$4:$T$119,91),' Toto teams'!$T$4:$T$119,0)))</f>
        <v>Alius Antulis</v>
      </c>
      <c r="C94" s="27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116</v>
      </c>
      <c r="D94" s="27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68</v>
      </c>
      <c r="E94" s="27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96</v>
      </c>
      <c r="F94" s="27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7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7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7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7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8">
        <f>IF($B94="","",IFERROR(INDEX(' Toto teams'!$R$4:$R$119,MATCH($B94,' Toto teams'!$A$4:$A$119,0)),""))</f>
        <v>280</v>
      </c>
      <c r="L94" s="29">
        <f t="shared" si="5"/>
        <v>0</v>
      </c>
    </row>
    <row r="95" spans="1:12" ht="12.75" customHeight="1" x14ac:dyDescent="0.3">
      <c r="A95" s="25">
        <f>IF(92&gt;COUNTIF(' Toto teams'!$A$4:$A$119,"&lt;&gt;"),"",INDEX(' Toto teams'!$S$4:$S$119,MATCH(LARGE(' Toto teams'!$T$4:$T$119,92),' Toto teams'!$T$4:$T$119,0)))</f>
        <v>92</v>
      </c>
      <c r="B95" s="26" t="str">
        <f>IF(92&gt;COUNTIF(' Toto teams'!$A$4:$A$119,"&lt;&gt;"),"",INDEX(' Toto teams'!$A$4:$A$119,MATCH(LARGE(' Toto teams'!$T$4:$T$119,92),' Toto teams'!$T$4:$T$119,0)))</f>
        <v>Algirdas Čižauskas</v>
      </c>
      <c r="C95" s="27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123.5</v>
      </c>
      <c r="D95" s="27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7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84</v>
      </c>
      <c r="F95" s="27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7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7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7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7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8">
        <f>IF($B95="","",IFERROR(INDEX(' Toto teams'!$R$4:$R$119,MATCH($B95,' Toto teams'!$A$4:$A$119,0)),""))</f>
        <v>279.5</v>
      </c>
      <c r="L95" s="29">
        <f t="shared" si="5"/>
        <v>0</v>
      </c>
    </row>
    <row r="96" spans="1:12" ht="12.75" customHeight="1" x14ac:dyDescent="0.3">
      <c r="A96" s="25">
        <f>IF(93&gt;COUNTIF(' Toto teams'!$A$4:$A$119,"&lt;&gt;"),"",INDEX(' Toto teams'!$S$4:$S$119,MATCH(LARGE(' Toto teams'!$T$4:$T$119,93),' Toto teams'!$T$4:$T$119,0)))</f>
        <v>93</v>
      </c>
      <c r="B96" s="26" t="str">
        <f>IF(93&gt;COUNTIF(' Toto teams'!$A$4:$A$119,"&lt;&gt;"),"",INDEX(' Toto teams'!$A$4:$A$119,MATCH(LARGE(' Toto teams'!$T$4:$T$119,93),' Toto teams'!$T$4:$T$119,0)))</f>
        <v>Arūnas Čižauskas</v>
      </c>
      <c r="C96" s="27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121.5</v>
      </c>
      <c r="D96" s="27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7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84</v>
      </c>
      <c r="F96" s="27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7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7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7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7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8">
        <f>IF($B96="","",IFERROR(INDEX(' Toto teams'!$R$4:$R$119,MATCH($B96,' Toto teams'!$A$4:$A$119,0)),""))</f>
        <v>277.5</v>
      </c>
      <c r="L96" s="29">
        <f t="shared" si="5"/>
        <v>0</v>
      </c>
    </row>
    <row r="97" spans="1:12" ht="12.75" customHeight="1" x14ac:dyDescent="0.3">
      <c r="A97" s="25">
        <f>IF(94&gt;COUNTIF(' Toto teams'!$A$4:$A$119,"&lt;&gt;"),"",INDEX(' Toto teams'!$S$4:$S$119,MATCH(LARGE(' Toto teams'!$T$4:$T$119,94),' Toto teams'!$T$4:$T$119,0)))</f>
        <v>94</v>
      </c>
      <c r="B97" s="26" t="str">
        <f>IF(94&gt;COUNTIF(' Toto teams'!$A$4:$A$119,"&lt;&gt;"),"",INDEX(' Toto teams'!$A$4:$A$119,MATCH(LARGE(' Toto teams'!$T$4:$T$119,94),' Toto teams'!$T$4:$T$119,0)))</f>
        <v>Sigitas Šarauskis</v>
      </c>
      <c r="C97" s="27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124.5</v>
      </c>
      <c r="D97" s="27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64</v>
      </c>
      <c r="E97" s="27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84</v>
      </c>
      <c r="F97" s="27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7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7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7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7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8">
        <f>IF($B97="","",IFERROR(INDEX(' Toto teams'!$R$4:$R$119,MATCH($B97,' Toto teams'!$A$4:$A$119,0)),""))</f>
        <v>272.5</v>
      </c>
      <c r="L97" s="29">
        <f t="shared" si="5"/>
        <v>0</v>
      </c>
    </row>
    <row r="98" spans="1:12" ht="12.75" customHeight="1" x14ac:dyDescent="0.3">
      <c r="A98" s="25">
        <f>IF(95&gt;COUNTIF(' Toto teams'!$A$4:$A$119,"&lt;&gt;"),"",INDEX(' Toto teams'!$S$4:$S$119,MATCH(LARGE(' Toto teams'!$T$4:$T$119,95),' Toto teams'!$T$4:$T$119,0)))</f>
        <v>95</v>
      </c>
      <c r="B98" s="26" t="str">
        <f>IF(95&gt;COUNTIF(' Toto teams'!$A$4:$A$119,"&lt;&gt;"),"",INDEX(' Toto teams'!$A$4:$A$119,MATCH(LARGE(' Toto teams'!$T$4:$T$119,95),' Toto teams'!$T$4:$T$119,0)))</f>
        <v>Mario Calvi</v>
      </c>
      <c r="C98" s="27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125</v>
      </c>
      <c r="D98" s="27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7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78</v>
      </c>
      <c r="F98" s="27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7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7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7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7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8">
        <f>IF($B98="","",IFERROR(INDEX(' Toto teams'!$R$4:$R$119,MATCH($B98,' Toto teams'!$A$4:$A$119,0)),""))</f>
        <v>271</v>
      </c>
      <c r="L98" s="29">
        <f t="shared" si="5"/>
        <v>0</v>
      </c>
    </row>
    <row r="99" spans="1:12" ht="12.75" customHeight="1" x14ac:dyDescent="0.3">
      <c r="A99" s="25">
        <f>IF(96&gt;COUNTIF(' Toto teams'!$A$4:$A$119,"&lt;&gt;"),"",INDEX(' Toto teams'!$S$4:$S$119,MATCH(LARGE(' Toto teams'!$T$4:$T$119,96),' Toto teams'!$T$4:$T$119,0)))</f>
        <v>96</v>
      </c>
      <c r="B99" s="26" t="str">
        <f>IF(96&gt;COUNTIF(' Toto teams'!$A$4:$A$119,"&lt;&gt;"),"",INDEX(' Toto teams'!$A$4:$A$119,MATCH(LARGE(' Toto teams'!$T$4:$T$119,96),' Toto teams'!$T$4:$T$119,0)))</f>
        <v>Egidijus Mačiukas</v>
      </c>
      <c r="C99" s="27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118.5</v>
      </c>
      <c r="D99" s="27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68</v>
      </c>
      <c r="E99" s="27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54</v>
      </c>
      <c r="F99" s="27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24</v>
      </c>
      <c r="G99" s="27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7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7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7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8">
        <f>IF($B99="","",IFERROR(INDEX(' Toto teams'!$R$4:$R$119,MATCH($B99,' Toto teams'!$A$4:$A$119,0)),""))</f>
        <v>264.5</v>
      </c>
      <c r="L99" s="29">
        <f t="shared" si="5"/>
        <v>0</v>
      </c>
    </row>
    <row r="100" spans="1:12" ht="12.75" customHeight="1" x14ac:dyDescent="0.3">
      <c r="A100" s="25">
        <f>IF(97&gt;COUNTIF(' Toto teams'!$A$4:$A$119,"&lt;&gt;"),"",INDEX(' Toto teams'!$S$4:$S$119,MATCH(LARGE(' Toto teams'!$T$4:$T$119,97),' Toto teams'!$T$4:$T$119,0)))</f>
        <v>97</v>
      </c>
      <c r="B100" s="26" t="str">
        <f>IF(97&gt;COUNTIF(' Toto teams'!$A$4:$A$119,"&lt;&gt;"),"",INDEX(' Toto teams'!$A$4:$A$119,MATCH(LARGE(' Toto teams'!$T$4:$T$119,97),' Toto teams'!$T$4:$T$119,0)))</f>
        <v>Titas Jodenis</v>
      </c>
      <c r="C100" s="27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124.5</v>
      </c>
      <c r="D100" s="27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7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66</v>
      </c>
      <c r="F100" s="27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7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7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7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7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8">
        <f>IF($B100="","",IFERROR(INDEX(' Toto teams'!$R$4:$R$119,MATCH($B100,' Toto teams'!$A$4:$A$119,0)),""))</f>
        <v>262.5</v>
      </c>
      <c r="L100" s="29">
        <f t="shared" ref="L100:L119" si="6">IFERROR(IF(B100="","",VLOOKUP(A100,$N$4:$R$12,5,FALSE())),0)</f>
        <v>0</v>
      </c>
    </row>
    <row r="101" spans="1:12" ht="12.75" customHeight="1" x14ac:dyDescent="0.3">
      <c r="A101" s="25">
        <f>IF(98&gt;COUNTIF(' Toto teams'!$A$4:$A$119,"&lt;&gt;"),"",INDEX(' Toto teams'!$S$4:$S$119,MATCH(LARGE(' Toto teams'!$T$4:$T$119,98),' Toto teams'!$T$4:$T$119,0)))</f>
        <v>98</v>
      </c>
      <c r="B101" s="26" t="str">
        <f>IF(98&gt;COUNTIF(' Toto teams'!$A$4:$A$119,"&lt;&gt;"),"",INDEX(' Toto teams'!$A$4:$A$119,MATCH(LARGE(' Toto teams'!$T$4:$T$119,98),' Toto teams'!$T$4:$T$119,0)))</f>
        <v>Kristina I</v>
      </c>
      <c r="C101" s="27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121.5</v>
      </c>
      <c r="D101" s="27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7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7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7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7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7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7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8">
        <f>IF($B101="","",IFERROR(INDEX(' Toto teams'!$R$4:$R$119,MATCH($B101,' Toto teams'!$A$4:$A$119,0)),""))</f>
        <v>259.5</v>
      </c>
      <c r="L101" s="29">
        <f t="shared" si="6"/>
        <v>0</v>
      </c>
    </row>
    <row r="102" spans="1:12" ht="12.75" customHeight="1" x14ac:dyDescent="0.3">
      <c r="A102" s="25">
        <f>IF(99&gt;COUNTIF(' Toto teams'!$A$4:$A$119,"&lt;&gt;"),"",INDEX(' Toto teams'!$S$4:$S$119,MATCH(LARGE(' Toto teams'!$T$4:$T$119,99),' Toto teams'!$T$4:$T$119,0)))</f>
        <v>99</v>
      </c>
      <c r="B102" s="26" t="str">
        <f>IF(99&gt;COUNTIF(' Toto teams'!$A$4:$A$119,"&lt;&gt;"),"",INDEX(' Toto teams'!$A$4:$A$119,MATCH(LARGE(' Toto teams'!$T$4:$T$119,99),' Toto teams'!$T$4:$T$119,0)))</f>
        <v>Simonas Anikinas</v>
      </c>
      <c r="C102" s="27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127</v>
      </c>
      <c r="D102" s="27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7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60</v>
      </c>
      <c r="F102" s="27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7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7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7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7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8">
        <f>IF($B102="","",IFERROR(INDEX(' Toto teams'!$R$4:$R$119,MATCH($B102,' Toto teams'!$A$4:$A$119,0)),""))</f>
        <v>259</v>
      </c>
      <c r="L102" s="29">
        <f t="shared" si="6"/>
        <v>0</v>
      </c>
    </row>
    <row r="103" spans="1:12" ht="12.75" customHeight="1" x14ac:dyDescent="0.3">
      <c r="A103" s="25">
        <f>IF(100&gt;COUNTIF(' Toto teams'!$A$4:$A$119,"&lt;&gt;"),"",INDEX(' Toto teams'!$S$4:$S$119,MATCH(LARGE(' Toto teams'!$T$4:$T$119,100),' Toto teams'!$T$4:$T$119,0)))</f>
        <v>100</v>
      </c>
      <c r="B103" s="26" t="str">
        <f>IF(100&gt;COUNTIF(' Toto teams'!$A$4:$A$119,"&lt;&gt;"),"",INDEX(' Toto teams'!$A$4:$A$119,MATCH(LARGE(' Toto teams'!$T$4:$T$119,100),' Toto teams'!$T$4:$T$119,0)))</f>
        <v>Mindaugas Sipavičius</v>
      </c>
      <c r="C103" s="27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119.5</v>
      </c>
      <c r="D103" s="27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7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7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7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7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7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7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8">
        <f>IF($B103="","",IFERROR(INDEX(' Toto teams'!$R$4:$R$119,MATCH($B103,' Toto teams'!$A$4:$A$119,0)),""))</f>
        <v>257.5</v>
      </c>
      <c r="L103" s="29">
        <f t="shared" si="6"/>
        <v>0</v>
      </c>
    </row>
    <row r="104" spans="1:12" ht="13.5" customHeight="1" x14ac:dyDescent="0.3">
      <c r="A104" s="25">
        <f>IF(101&gt;COUNTIF(' Toto teams'!$A$4:$A$119,"&lt;&gt;"),"",INDEX(' Toto teams'!$S$4:$S$119,MATCH(LARGE(' Toto teams'!$T$4:$T$119,101),' Toto teams'!$T$4:$T$119,0)))</f>
        <v>101</v>
      </c>
      <c r="B104" s="26" t="str">
        <f>IF(101&gt;COUNTIF(' Toto teams'!$A$4:$A$119,"&lt;&gt;"),"",INDEX(' Toto teams'!$A$4:$A$119,MATCH(LARGE(' Toto teams'!$T$4:$T$119,101),' Toto teams'!$T$4:$T$119,0)))</f>
        <v>Jurga Šantaraitė</v>
      </c>
      <c r="C104" s="27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116</v>
      </c>
      <c r="D104" s="27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68</v>
      </c>
      <c r="E104" s="27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72</v>
      </c>
      <c r="F104" s="27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7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7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7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7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8">
        <f>IF($B104="","",IFERROR(INDEX(' Toto teams'!$R$4:$R$119,MATCH($B104,' Toto teams'!$A$4:$A$119,0)),""))</f>
        <v>256</v>
      </c>
      <c r="L104" s="29">
        <f t="shared" si="6"/>
        <v>0</v>
      </c>
    </row>
    <row r="105" spans="1:12" ht="13.5" customHeight="1" x14ac:dyDescent="0.3">
      <c r="A105" s="25">
        <f>IF(102&gt;COUNTIF(' Toto teams'!$A$4:$A$119,"&lt;&gt;"),"",INDEX(' Toto teams'!$S$4:$S$119,MATCH(LARGE(' Toto teams'!$T$4:$T$119,102),' Toto teams'!$T$4:$T$119,0)))</f>
        <v>102</v>
      </c>
      <c r="B105" s="26" t="str">
        <f>IF(102&gt;COUNTIF(' Toto teams'!$A$4:$A$119,"&lt;&gt;"),"",INDEX(' Toto teams'!$A$4:$A$119,MATCH(LARGE(' Toto teams'!$T$4:$T$119,102),' Toto teams'!$T$4:$T$119,0)))</f>
        <v>Eugenijus Petrošius</v>
      </c>
      <c r="C105" s="27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111.5</v>
      </c>
      <c r="D105" s="27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72</v>
      </c>
      <c r="E105" s="27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72</v>
      </c>
      <c r="F105" s="27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7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7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7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7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8">
        <f>IF($B105="","",IFERROR(INDEX(' Toto teams'!$R$4:$R$119,MATCH($B105,' Toto teams'!$A$4:$A$119,0)),""))</f>
        <v>255.5</v>
      </c>
      <c r="L105" s="29">
        <f t="shared" si="6"/>
        <v>0</v>
      </c>
    </row>
    <row r="106" spans="1:12" ht="13.5" customHeight="1" x14ac:dyDescent="0.3">
      <c r="A106" s="25">
        <f>IF(103&gt;COUNTIF(' Toto teams'!$A$4:$A$119,"&lt;&gt;"),"",INDEX(' Toto teams'!$S$4:$S$119,MATCH(LARGE(' Toto teams'!$T$4:$T$119,103),' Toto teams'!$T$4:$T$119,0)))</f>
        <v>103</v>
      </c>
      <c r="B106" s="26" t="str">
        <f>IF(103&gt;COUNTIF(' Toto teams'!$A$4:$A$119,"&lt;&gt;"),"",INDEX(' Toto teams'!$A$4:$A$119,MATCH(LARGE(' Toto teams'!$T$4:$T$119,103),' Toto teams'!$T$4:$T$119,0)))</f>
        <v>Tomas Bruzga</v>
      </c>
      <c r="C106" s="27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112.5</v>
      </c>
      <c r="D106" s="27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7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66</v>
      </c>
      <c r="F106" s="27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7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7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7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7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8">
        <f>IF($B106="","",IFERROR(INDEX(' Toto teams'!$R$4:$R$119,MATCH($B106,' Toto teams'!$A$4:$A$119,0)),""))</f>
        <v>250.5</v>
      </c>
      <c r="L106" s="29">
        <f t="shared" si="6"/>
        <v>0</v>
      </c>
    </row>
    <row r="107" spans="1:12" ht="13.5" customHeight="1" x14ac:dyDescent="0.3">
      <c r="A107" s="25">
        <f>IF(104&gt;COUNTIF(' Toto teams'!$A$4:$A$119,"&lt;&gt;"),"",INDEX(' Toto teams'!$S$4:$S$119,MATCH(LARGE(' Toto teams'!$T$4:$T$119,104),' Toto teams'!$T$4:$T$119,0)))</f>
        <v>104</v>
      </c>
      <c r="B107" s="26" t="str">
        <f>IF(104&gt;COUNTIF(' Toto teams'!$A$4:$A$119,"&lt;&gt;"),"",INDEX(' Toto teams'!$A$4:$A$119,MATCH(LARGE(' Toto teams'!$T$4:$T$119,104),' Toto teams'!$T$4:$T$119,0)))</f>
        <v>Donatas Celesius</v>
      </c>
      <c r="C107" s="27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116.5</v>
      </c>
      <c r="D107" s="27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64</v>
      </c>
      <c r="E107" s="27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66</v>
      </c>
      <c r="F107" s="27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7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7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7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7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8">
        <f>IF($B107="","",IFERROR(INDEX(' Toto teams'!$R$4:$R$119,MATCH($B107,' Toto teams'!$A$4:$A$119,0)),""))</f>
        <v>246.5</v>
      </c>
      <c r="L107" s="29">
        <f t="shared" si="6"/>
        <v>0</v>
      </c>
    </row>
    <row r="108" spans="1:12" ht="13.5" customHeight="1" x14ac:dyDescent="0.3">
      <c r="A108" s="25">
        <f>IF(105&gt;COUNTIF(' Toto teams'!$A$4:$A$119,"&lt;&gt;"),"",INDEX(' Toto teams'!$S$4:$S$119,MATCH(LARGE(' Toto teams'!$T$4:$T$119,105),' Toto teams'!$T$4:$T$119,0)))</f>
        <v>105</v>
      </c>
      <c r="B108" s="26" t="str">
        <f>IF(105&gt;COUNTIF(' Toto teams'!$A$4:$A$119,"&lt;&gt;"),"",INDEX(' Toto teams'!$A$4:$A$119,MATCH(LARGE(' Toto teams'!$T$4:$T$119,105),' Toto teams'!$T$4:$T$119,0)))</f>
        <v>Gintarė Paipulė</v>
      </c>
      <c r="C108" s="27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97.5</v>
      </c>
      <c r="D108" s="27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52</v>
      </c>
      <c r="E108" s="27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72</v>
      </c>
      <c r="F108" s="27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24</v>
      </c>
      <c r="G108" s="27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7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7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7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8">
        <f>IF($B108="","",IFERROR(INDEX(' Toto teams'!$R$4:$R$119,MATCH($B108,' Toto teams'!$A$4:$A$119,0)),""))</f>
        <v>245.5</v>
      </c>
      <c r="L108" s="29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3"/>
    <col min="22" max="22" width="13.59765625" customWidth="1"/>
  </cols>
  <sheetData>
    <row r="1" spans="1:23" ht="21" customHeight="1" x14ac:dyDescent="0.5">
      <c r="A1" s="164" t="s">
        <v>112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</row>
    <row r="2" spans="1:23" ht="12.75" customHeight="1" x14ac:dyDescent="0.3">
      <c r="A2" s="36" t="s">
        <v>113</v>
      </c>
      <c r="B2" s="36" t="s">
        <v>114</v>
      </c>
      <c r="C2" s="36" t="s">
        <v>115</v>
      </c>
      <c r="D2" s="36" t="s">
        <v>116</v>
      </c>
      <c r="E2" s="36" t="s">
        <v>117</v>
      </c>
      <c r="F2" s="36" t="s">
        <v>118</v>
      </c>
      <c r="G2" s="36" t="s">
        <v>118</v>
      </c>
      <c r="H2" s="36" t="s">
        <v>118</v>
      </c>
      <c r="I2" s="37" t="s">
        <v>119</v>
      </c>
      <c r="J2" s="37"/>
      <c r="K2" s="37"/>
      <c r="L2" s="37"/>
      <c r="M2" s="37"/>
      <c r="N2" s="37"/>
      <c r="O2" s="37"/>
      <c r="P2" s="37"/>
      <c r="Q2" s="37"/>
      <c r="R2" s="38"/>
      <c r="S2" s="38"/>
      <c r="T2" s="38"/>
    </row>
    <row r="3" spans="1:23" ht="23.25" customHeight="1" x14ac:dyDescent="0.3">
      <c r="A3" s="39" t="s">
        <v>95</v>
      </c>
      <c r="B3" s="39" t="s">
        <v>120</v>
      </c>
      <c r="C3" s="39" t="s">
        <v>121</v>
      </c>
      <c r="D3" s="39" t="s">
        <v>122</v>
      </c>
      <c r="E3" s="39" t="s">
        <v>123</v>
      </c>
      <c r="F3" s="39" t="s">
        <v>124</v>
      </c>
      <c r="G3" s="39" t="s">
        <v>125</v>
      </c>
      <c r="H3" s="39" t="s">
        <v>126</v>
      </c>
      <c r="I3" s="39" t="s">
        <v>127</v>
      </c>
      <c r="J3" s="39" t="s">
        <v>128</v>
      </c>
      <c r="K3" s="39" t="s">
        <v>129</v>
      </c>
      <c r="L3" s="39" t="s">
        <v>130</v>
      </c>
      <c r="M3" s="39" t="s">
        <v>131</v>
      </c>
      <c r="N3" s="39" t="s">
        <v>132</v>
      </c>
      <c r="O3" s="39" t="s">
        <v>133</v>
      </c>
      <c r="P3" s="39" t="s">
        <v>134</v>
      </c>
      <c r="Q3" s="39" t="s">
        <v>135</v>
      </c>
      <c r="R3" s="40" t="s">
        <v>103</v>
      </c>
      <c r="S3" s="41" t="s">
        <v>94</v>
      </c>
      <c r="T3" s="41" t="s">
        <v>136</v>
      </c>
    </row>
    <row r="4" spans="1:23" ht="12.75" customHeight="1" x14ac:dyDescent="0.3">
      <c r="A4" s="26" t="s">
        <v>137</v>
      </c>
      <c r="B4" s="42" t="s">
        <v>60</v>
      </c>
      <c r="C4" s="42" t="s">
        <v>72</v>
      </c>
      <c r="D4" s="42" t="s">
        <v>84</v>
      </c>
      <c r="E4" s="42" t="s">
        <v>46</v>
      </c>
      <c r="F4" s="42" t="s">
        <v>83</v>
      </c>
      <c r="G4" s="42" t="s">
        <v>71</v>
      </c>
      <c r="H4" s="42" t="s">
        <v>87</v>
      </c>
      <c r="I4" s="27" t="s">
        <v>60</v>
      </c>
      <c r="J4" s="27">
        <f>IFERROR(VLOOKUP(B4,Scoring!$A$4:$N$51,14,FALSE())*6,"-")</f>
        <v>102</v>
      </c>
      <c r="K4" s="27">
        <f>IFERROR(VLOOKUP(C4,Scoring!$A$4:$N$51,14,FALSE())*4,"-")</f>
        <v>76</v>
      </c>
      <c r="L4" s="27">
        <f>IFERROR(VLOOKUP(D4,Scoring!$A$4:$N$51,14,FALSE())*3,"-")</f>
        <v>51</v>
      </c>
      <c r="M4" s="27">
        <f>IFERROR(VLOOKUP(E4,Scoring!$A$4:$N$51,14,FALSE())*2,"-")</f>
        <v>22</v>
      </c>
      <c r="N4" s="27">
        <f>IFERROR(VLOOKUP(F4,Scoring!$A$4:$N$51,14,FALSE()),"-")</f>
        <v>17</v>
      </c>
      <c r="O4" s="27">
        <f>IFERROR(VLOOKUP(G4,Scoring!$A$4:$N$51,14,FALSE()),"-")</f>
        <v>16</v>
      </c>
      <c r="P4" s="28">
        <f>IFERROR(VLOOKUP(H4,Scoring!$A$4:$N$51,14,FALSE()),"-")</f>
        <v>8</v>
      </c>
      <c r="Q4" s="28">
        <f>IFERROR(VLOOKUP(I4,Scoring!$A$4:$N$51,6,FALSE()),"-")</f>
        <v>4</v>
      </c>
      <c r="R4" s="35">
        <f t="shared" ref="R4:R35" si="0">IF(A4="","-",SUM(J4:Q4))</f>
        <v>296</v>
      </c>
      <c r="S4">
        <f t="shared" ref="S4:S35" si="1">IF(A4="","",RANK(R4,$R$4:$R$119))</f>
        <v>80</v>
      </c>
      <c r="T4">
        <f t="shared" ref="T4:T35" si="2">IF(A4="",-1,R4-ROW(R4)/1000000)</f>
        <v>295.99999600000001</v>
      </c>
      <c r="U4" s="43" t="s">
        <v>138</v>
      </c>
      <c r="W4" s="43" t="s">
        <v>22</v>
      </c>
    </row>
    <row r="5" spans="1:23" ht="12.75" customHeight="1" x14ac:dyDescent="0.3">
      <c r="A5" s="26" t="s">
        <v>139</v>
      </c>
      <c r="B5" s="42" t="s">
        <v>66</v>
      </c>
      <c r="C5" s="42" t="s">
        <v>78</v>
      </c>
      <c r="D5" s="42" t="s">
        <v>84</v>
      </c>
      <c r="E5" s="42" t="s">
        <v>60</v>
      </c>
      <c r="F5" s="42" t="s">
        <v>65</v>
      </c>
      <c r="G5" s="42" t="s">
        <v>50</v>
      </c>
      <c r="H5" s="42" t="s">
        <v>87</v>
      </c>
      <c r="I5" s="27" t="s">
        <v>66</v>
      </c>
      <c r="J5" s="27">
        <f>IFERROR(VLOOKUP(B5,Scoring!$A$4:$N$51,14,FALSE())*6,"-")</f>
        <v>162</v>
      </c>
      <c r="K5" s="27">
        <f>IFERROR(VLOOKUP(C5,Scoring!$A$4:$N$51,14,FALSE())*4,"-")</f>
        <v>60</v>
      </c>
      <c r="L5" s="27">
        <f>IFERROR(VLOOKUP(D5,Scoring!$A$4:$N$51,14,FALSE())*3,"-")</f>
        <v>51</v>
      </c>
      <c r="M5" s="27">
        <f>IFERROR(VLOOKUP(E5,Scoring!$A$4:$N$51,14,FALSE())*2,"-")</f>
        <v>34</v>
      </c>
      <c r="N5" s="27">
        <f>IFERROR(VLOOKUP(F5,Scoring!$A$4:$N$51,14,FALSE()),"-")</f>
        <v>2</v>
      </c>
      <c r="O5" s="27">
        <f>IFERROR(VLOOKUP(G5,Scoring!$A$4:$N$51,14,FALSE()),"-")</f>
        <v>8</v>
      </c>
      <c r="P5" s="28">
        <f>IFERROR(VLOOKUP(H5,Scoring!$A$4:$N$51,14,FALSE()),"-")</f>
        <v>8</v>
      </c>
      <c r="Q5" s="28">
        <f>IFERROR(VLOOKUP(I5,Scoring!$A$4:$N$51,6,FALSE()),"-")</f>
        <v>7</v>
      </c>
      <c r="R5" s="35">
        <f t="shared" si="0"/>
        <v>332</v>
      </c>
      <c r="S5">
        <f t="shared" si="1"/>
        <v>42</v>
      </c>
      <c r="T5">
        <f t="shared" si="2"/>
        <v>331.99999500000001</v>
      </c>
      <c r="U5" s="43" t="s">
        <v>140</v>
      </c>
      <c r="W5" s="43" t="s">
        <v>22</v>
      </c>
    </row>
    <row r="6" spans="1:23" ht="12.75" customHeight="1" x14ac:dyDescent="0.3">
      <c r="A6" s="26" t="s">
        <v>141</v>
      </c>
      <c r="B6" s="42" t="s">
        <v>66</v>
      </c>
      <c r="C6" s="42" t="s">
        <v>60</v>
      </c>
      <c r="D6" s="42" t="s">
        <v>72</v>
      </c>
      <c r="E6" s="42" t="s">
        <v>78</v>
      </c>
      <c r="F6" s="42" t="s">
        <v>83</v>
      </c>
      <c r="G6" s="42" t="s">
        <v>71</v>
      </c>
      <c r="H6" s="42" t="s">
        <v>82</v>
      </c>
      <c r="I6" s="27" t="s">
        <v>66</v>
      </c>
      <c r="J6" s="27">
        <f>IFERROR(VLOOKUP(B6,Scoring!$A$4:$N$51,14,FALSE())*6,"-")</f>
        <v>162</v>
      </c>
      <c r="K6" s="27">
        <f>IFERROR(VLOOKUP(C6,Scoring!$A$4:$N$51,14,FALSE())*4,"-")</f>
        <v>68</v>
      </c>
      <c r="L6" s="27">
        <f>IFERROR(VLOOKUP(D6,Scoring!$A$4:$N$51,14,FALSE())*3,"-")</f>
        <v>57</v>
      </c>
      <c r="M6" s="27">
        <f>IFERROR(VLOOKUP(E6,Scoring!$A$4:$N$51,14,FALSE())*2,"-")</f>
        <v>30</v>
      </c>
      <c r="N6" s="27">
        <f>IFERROR(VLOOKUP(F6,Scoring!$A$4:$N$51,14,FALSE()),"-")</f>
        <v>17</v>
      </c>
      <c r="O6" s="27">
        <f>IFERROR(VLOOKUP(G6,Scoring!$A$4:$N$51,14,FALSE()),"-")</f>
        <v>16</v>
      </c>
      <c r="P6" s="28">
        <f>IFERROR(VLOOKUP(H6,Scoring!$A$4:$N$51,14,FALSE()),"-")</f>
        <v>0</v>
      </c>
      <c r="Q6" s="28">
        <f>IFERROR(VLOOKUP(I6,Scoring!$A$4:$N$51,6,FALSE()),"-")</f>
        <v>7</v>
      </c>
      <c r="R6" s="35">
        <f t="shared" si="0"/>
        <v>357</v>
      </c>
      <c r="S6">
        <f t="shared" si="1"/>
        <v>7</v>
      </c>
      <c r="T6">
        <f t="shared" si="2"/>
        <v>356.99999400000002</v>
      </c>
      <c r="U6" s="43" t="s">
        <v>142</v>
      </c>
      <c r="W6" s="43" t="s">
        <v>143</v>
      </c>
    </row>
    <row r="7" spans="1:23" ht="12.75" customHeight="1" x14ac:dyDescent="0.3">
      <c r="A7" s="26" t="s">
        <v>144</v>
      </c>
      <c r="B7" s="42" t="s">
        <v>60</v>
      </c>
      <c r="C7" s="42" t="s">
        <v>66</v>
      </c>
      <c r="D7" s="42" t="s">
        <v>84</v>
      </c>
      <c r="E7" s="42" t="s">
        <v>78</v>
      </c>
      <c r="F7" s="42" t="s">
        <v>47</v>
      </c>
      <c r="G7" s="42" t="s">
        <v>71</v>
      </c>
      <c r="H7" s="42" t="s">
        <v>82</v>
      </c>
      <c r="I7" s="27" t="s">
        <v>29</v>
      </c>
      <c r="J7" s="27">
        <f>IFERROR(VLOOKUP(B7,Scoring!$A$4:$N$51,14,FALSE())*6,"-")</f>
        <v>102</v>
      </c>
      <c r="K7" s="27">
        <f>IFERROR(VLOOKUP(C7,Scoring!$A$4:$N$51,14,FALSE())*4,"-")</f>
        <v>108</v>
      </c>
      <c r="L7" s="27">
        <f>IFERROR(VLOOKUP(D7,Scoring!$A$4:$N$51,14,FALSE())*3,"-")</f>
        <v>51</v>
      </c>
      <c r="M7" s="27">
        <f>IFERROR(VLOOKUP(E7,Scoring!$A$4:$N$51,14,FALSE())*2,"-")</f>
        <v>30</v>
      </c>
      <c r="N7" s="27">
        <f>IFERROR(VLOOKUP(F7,Scoring!$A$4:$N$51,14,FALSE()),"-")</f>
        <v>9</v>
      </c>
      <c r="O7" s="27">
        <f>IFERROR(VLOOKUP(G7,Scoring!$A$4:$N$51,14,FALSE()),"-")</f>
        <v>16</v>
      </c>
      <c r="P7" s="28">
        <f>IFERROR(VLOOKUP(H7,Scoring!$A$4:$N$51,14,FALSE()),"-")</f>
        <v>0</v>
      </c>
      <c r="Q7" s="28">
        <f>IFERROR(VLOOKUP(I7,Scoring!$A$4:$N$51,6,FALSE()),"-")</f>
        <v>4.5</v>
      </c>
      <c r="R7" s="35">
        <f t="shared" si="0"/>
        <v>320.5</v>
      </c>
      <c r="S7">
        <f t="shared" si="1"/>
        <v>58</v>
      </c>
      <c r="T7">
        <f t="shared" si="2"/>
        <v>320.49999300000002</v>
      </c>
      <c r="U7" s="43" t="s">
        <v>145</v>
      </c>
      <c r="W7" s="43" t="s">
        <v>143</v>
      </c>
    </row>
    <row r="8" spans="1:23" ht="12.75" customHeight="1" x14ac:dyDescent="0.3">
      <c r="A8" s="26" t="s">
        <v>146</v>
      </c>
      <c r="B8" s="42" t="s">
        <v>60</v>
      </c>
      <c r="C8" s="42" t="s">
        <v>78</v>
      </c>
      <c r="D8" s="42" t="s">
        <v>66</v>
      </c>
      <c r="E8" s="42" t="s">
        <v>46</v>
      </c>
      <c r="F8" s="42" t="s">
        <v>83</v>
      </c>
      <c r="G8" s="42" t="s">
        <v>71</v>
      </c>
      <c r="H8" s="42" t="s">
        <v>24</v>
      </c>
      <c r="I8" s="27" t="s">
        <v>72</v>
      </c>
      <c r="J8" s="27">
        <f>IFERROR(VLOOKUP(B8,Scoring!$A$4:$N$51,14,FALSE())*6,"-")</f>
        <v>102</v>
      </c>
      <c r="K8" s="27">
        <f>IFERROR(VLOOKUP(C8,Scoring!$A$4:$N$51,14,FALSE())*4,"-")</f>
        <v>60</v>
      </c>
      <c r="L8" s="27">
        <f>IFERROR(VLOOKUP(D8,Scoring!$A$4:$N$51,14,FALSE())*3,"-")</f>
        <v>81</v>
      </c>
      <c r="M8" s="27">
        <f>IFERROR(VLOOKUP(E8,Scoring!$A$4:$N$51,14,FALSE())*2,"-")</f>
        <v>22</v>
      </c>
      <c r="N8" s="27">
        <f>IFERROR(VLOOKUP(F8,Scoring!$A$4:$N$51,14,FALSE()),"-")</f>
        <v>17</v>
      </c>
      <c r="O8" s="27">
        <f>IFERROR(VLOOKUP(G8,Scoring!$A$4:$N$51,14,FALSE()),"-")</f>
        <v>16</v>
      </c>
      <c r="P8" s="28">
        <f>IFERROR(VLOOKUP(H8,Scoring!$A$4:$N$51,14,FALSE()),"-")</f>
        <v>8</v>
      </c>
      <c r="Q8" s="28">
        <f>IFERROR(VLOOKUP(I8,Scoring!$A$4:$N$51,6,FALSE()),"-")</f>
        <v>4.5</v>
      </c>
      <c r="R8" s="35">
        <f t="shared" si="0"/>
        <v>310.5</v>
      </c>
      <c r="S8">
        <f t="shared" si="1"/>
        <v>71</v>
      </c>
      <c r="T8">
        <f t="shared" si="2"/>
        <v>310.49999200000002</v>
      </c>
      <c r="U8" s="43" t="s">
        <v>147</v>
      </c>
      <c r="W8" s="43" t="s">
        <v>143</v>
      </c>
    </row>
    <row r="9" spans="1:23" ht="12.75" customHeight="1" x14ac:dyDescent="0.3">
      <c r="A9" s="26" t="s">
        <v>148</v>
      </c>
      <c r="B9" s="42" t="s">
        <v>46</v>
      </c>
      <c r="C9" s="42" t="s">
        <v>72</v>
      </c>
      <c r="D9" s="42" t="s">
        <v>66</v>
      </c>
      <c r="E9" s="42" t="s">
        <v>29</v>
      </c>
      <c r="F9" s="42" t="s">
        <v>47</v>
      </c>
      <c r="G9" s="42" t="s">
        <v>71</v>
      </c>
      <c r="H9" s="42" t="s">
        <v>87</v>
      </c>
      <c r="I9" s="27" t="s">
        <v>60</v>
      </c>
      <c r="J9" s="27">
        <f>IFERROR(VLOOKUP(B9,Scoring!$A$4:$N$51,14,FALSE())*6,"-")</f>
        <v>66</v>
      </c>
      <c r="K9" s="27">
        <f>IFERROR(VLOOKUP(C9,Scoring!$A$4:$N$51,14,FALSE())*4,"-")</f>
        <v>76</v>
      </c>
      <c r="L9" s="27">
        <f>IFERROR(VLOOKUP(D9,Scoring!$A$4:$N$51,14,FALSE())*3,"-")</f>
        <v>81</v>
      </c>
      <c r="M9" s="27">
        <f>IFERROR(VLOOKUP(E9,Scoring!$A$4:$N$51,14,FALSE())*2,"-")</f>
        <v>34</v>
      </c>
      <c r="N9" s="27">
        <f>IFERROR(VLOOKUP(F9,Scoring!$A$4:$N$51,14,FALSE()),"-")</f>
        <v>9</v>
      </c>
      <c r="O9" s="27">
        <f>IFERROR(VLOOKUP(G9,Scoring!$A$4:$N$51,14,FALSE()),"-")</f>
        <v>16</v>
      </c>
      <c r="P9" s="28">
        <f>IFERROR(VLOOKUP(H9,Scoring!$A$4:$N$51,14,FALSE()),"-")</f>
        <v>8</v>
      </c>
      <c r="Q9" s="28">
        <f>IFERROR(VLOOKUP(I9,Scoring!$A$4:$N$51,6,FALSE()),"-")</f>
        <v>4</v>
      </c>
      <c r="R9" s="35">
        <f t="shared" si="0"/>
        <v>294</v>
      </c>
      <c r="S9">
        <f t="shared" si="1"/>
        <v>82</v>
      </c>
      <c r="T9">
        <f t="shared" si="2"/>
        <v>293.99999100000002</v>
      </c>
      <c r="U9" s="43" t="s">
        <v>149</v>
      </c>
      <c r="W9" s="43" t="s">
        <v>143</v>
      </c>
    </row>
    <row r="10" spans="1:23" ht="12.75" customHeight="1" x14ac:dyDescent="0.3">
      <c r="A10" s="26" t="s">
        <v>150</v>
      </c>
      <c r="B10" s="42" t="s">
        <v>78</v>
      </c>
      <c r="C10" s="42" t="s">
        <v>60</v>
      </c>
      <c r="D10" s="42" t="s">
        <v>66</v>
      </c>
      <c r="E10" s="42" t="s">
        <v>40</v>
      </c>
      <c r="F10" s="42" t="s">
        <v>83</v>
      </c>
      <c r="G10" s="42" t="s">
        <v>71</v>
      </c>
      <c r="H10" s="42" t="s">
        <v>82</v>
      </c>
      <c r="I10" s="27" t="s">
        <v>60</v>
      </c>
      <c r="J10" s="27">
        <f>IFERROR(VLOOKUP(B10,Scoring!$A$4:$N$51,14,FALSE())*6,"-")</f>
        <v>90</v>
      </c>
      <c r="K10" s="27">
        <f>IFERROR(VLOOKUP(C10,Scoring!$A$4:$N$51,14,FALSE())*4,"-")</f>
        <v>68</v>
      </c>
      <c r="L10" s="27">
        <f>IFERROR(VLOOKUP(D10,Scoring!$A$4:$N$51,14,FALSE())*3,"-")</f>
        <v>81</v>
      </c>
      <c r="M10" s="27">
        <f>IFERROR(VLOOKUP(E10,Scoring!$A$4:$N$51,14,FALSE())*2,"-")</f>
        <v>20</v>
      </c>
      <c r="N10" s="27">
        <f>IFERROR(VLOOKUP(F10,Scoring!$A$4:$N$51,14,FALSE()),"-")</f>
        <v>17</v>
      </c>
      <c r="O10" s="27">
        <f>IFERROR(VLOOKUP(G10,Scoring!$A$4:$N$51,14,FALSE()),"-")</f>
        <v>16</v>
      </c>
      <c r="P10" s="28">
        <f>IFERROR(VLOOKUP(H10,Scoring!$A$4:$N$51,14,FALSE()),"-")</f>
        <v>0</v>
      </c>
      <c r="Q10" s="28">
        <f>IFERROR(VLOOKUP(I10,Scoring!$A$4:$N$51,6,FALSE()),"-")</f>
        <v>4</v>
      </c>
      <c r="R10" s="35">
        <f t="shared" si="0"/>
        <v>296</v>
      </c>
      <c r="S10">
        <f t="shared" si="1"/>
        <v>80</v>
      </c>
      <c r="T10">
        <f t="shared" si="2"/>
        <v>295.99999000000003</v>
      </c>
      <c r="U10" s="43" t="s">
        <v>151</v>
      </c>
      <c r="W10" s="43" t="s">
        <v>143</v>
      </c>
    </row>
    <row r="11" spans="1:23" ht="12.75" customHeight="1" x14ac:dyDescent="0.3">
      <c r="A11" s="26" t="s">
        <v>152</v>
      </c>
      <c r="B11" s="42" t="s">
        <v>29</v>
      </c>
      <c r="C11" s="42" t="s">
        <v>66</v>
      </c>
      <c r="D11" s="42" t="s">
        <v>78</v>
      </c>
      <c r="E11" s="42" t="s">
        <v>60</v>
      </c>
      <c r="F11" s="42" t="s">
        <v>35</v>
      </c>
      <c r="G11" s="42" t="s">
        <v>50</v>
      </c>
      <c r="H11" s="42" t="s">
        <v>24</v>
      </c>
      <c r="I11" s="27" t="s">
        <v>29</v>
      </c>
      <c r="J11" s="27">
        <f>IFERROR(VLOOKUP(B11,Scoring!$A$4:$N$51,14,FALSE())*6,"-")</f>
        <v>102</v>
      </c>
      <c r="K11" s="27">
        <f>IFERROR(VLOOKUP(C11,Scoring!$A$4:$N$51,14,FALSE())*4,"-")</f>
        <v>108</v>
      </c>
      <c r="L11" s="27">
        <f>IFERROR(VLOOKUP(D11,Scoring!$A$4:$N$51,14,FALSE())*3,"-")</f>
        <v>45</v>
      </c>
      <c r="M11" s="27">
        <f>IFERROR(VLOOKUP(E11,Scoring!$A$4:$N$51,14,FALSE())*2,"-")</f>
        <v>34</v>
      </c>
      <c r="N11" s="27">
        <f>IFERROR(VLOOKUP(F11,Scoring!$A$4:$N$51,14,FALSE()),"-")</f>
        <v>16</v>
      </c>
      <c r="O11" s="27">
        <f>IFERROR(VLOOKUP(G11,Scoring!$A$4:$N$51,14,FALSE()),"-")</f>
        <v>8</v>
      </c>
      <c r="P11" s="28">
        <f>IFERROR(VLOOKUP(H11,Scoring!$A$4:$N$51,14,FALSE()),"-")</f>
        <v>8</v>
      </c>
      <c r="Q11" s="28">
        <f>IFERROR(VLOOKUP(I11,Scoring!$A$4:$N$51,6,FALSE()),"-")</f>
        <v>4.5</v>
      </c>
      <c r="R11" s="35">
        <f t="shared" si="0"/>
        <v>325.5</v>
      </c>
      <c r="S11">
        <f t="shared" si="1"/>
        <v>51</v>
      </c>
      <c r="T11">
        <f t="shared" si="2"/>
        <v>325.49998900000003</v>
      </c>
      <c r="U11" s="43" t="s">
        <v>153</v>
      </c>
      <c r="W11" s="43" t="s">
        <v>143</v>
      </c>
    </row>
    <row r="12" spans="1:23" ht="12.75" customHeight="1" x14ac:dyDescent="0.3">
      <c r="A12" s="26" t="s">
        <v>154</v>
      </c>
      <c r="B12" s="42" t="s">
        <v>66</v>
      </c>
      <c r="C12" s="42" t="s">
        <v>72</v>
      </c>
      <c r="D12" s="42" t="s">
        <v>60</v>
      </c>
      <c r="E12" s="42" t="s">
        <v>84</v>
      </c>
      <c r="F12" s="42" t="s">
        <v>39</v>
      </c>
      <c r="G12" s="42" t="s">
        <v>16</v>
      </c>
      <c r="H12" s="42" t="s">
        <v>12</v>
      </c>
      <c r="I12" s="27" t="s">
        <v>66</v>
      </c>
      <c r="J12" s="27">
        <f>IFERROR(VLOOKUP(B12,Scoring!$A$4:$N$51,14,FALSE())*6,"-")</f>
        <v>162</v>
      </c>
      <c r="K12" s="27">
        <f>IFERROR(VLOOKUP(C12,Scoring!$A$4:$N$51,14,FALSE())*4,"-")</f>
        <v>76</v>
      </c>
      <c r="L12" s="27">
        <f>IFERROR(VLOOKUP(D12,Scoring!$A$4:$N$51,14,FALSE())*3,"-")</f>
        <v>51</v>
      </c>
      <c r="M12" s="27">
        <f>IFERROR(VLOOKUP(E12,Scoring!$A$4:$N$51,14,FALSE())*2,"-")</f>
        <v>34</v>
      </c>
      <c r="N12" s="27">
        <f>IFERROR(VLOOKUP(F12,Scoring!$A$4:$N$51,14,FALSE()),"-")</f>
        <v>3</v>
      </c>
      <c r="O12" s="27">
        <f>IFERROR(VLOOKUP(G12,Scoring!$A$4:$N$51,14,FALSE()),"-")</f>
        <v>1</v>
      </c>
      <c r="P12" s="28">
        <f>IFERROR(VLOOKUP(H12,Scoring!$A$4:$N$51,14,FALSE()),"-")</f>
        <v>8</v>
      </c>
      <c r="Q12" s="28">
        <f>IFERROR(VLOOKUP(I12,Scoring!$A$4:$N$51,6,FALSE()),"-")</f>
        <v>7</v>
      </c>
      <c r="R12" s="35">
        <f t="shared" si="0"/>
        <v>342</v>
      </c>
      <c r="S12">
        <f t="shared" si="1"/>
        <v>26</v>
      </c>
      <c r="T12">
        <f t="shared" si="2"/>
        <v>341.99998799999997</v>
      </c>
      <c r="U12" s="43" t="s">
        <v>155</v>
      </c>
      <c r="W12" s="43" t="s">
        <v>143</v>
      </c>
    </row>
    <row r="13" spans="1:23" ht="12.75" customHeight="1" x14ac:dyDescent="0.3">
      <c r="A13" s="26" t="s">
        <v>156</v>
      </c>
      <c r="B13" s="42" t="s">
        <v>60</v>
      </c>
      <c r="C13" s="42" t="s">
        <v>84</v>
      </c>
      <c r="D13" s="42" t="s">
        <v>72</v>
      </c>
      <c r="E13" s="42" t="s">
        <v>46</v>
      </c>
      <c r="F13" s="42" t="s">
        <v>28</v>
      </c>
      <c r="G13" s="42" t="s">
        <v>23</v>
      </c>
      <c r="H13" s="42" t="s">
        <v>24</v>
      </c>
      <c r="I13" s="27" t="s">
        <v>84</v>
      </c>
      <c r="J13" s="27">
        <f>IFERROR(VLOOKUP(B13,Scoring!$A$4:$N$51,14,FALSE())*6,"-")</f>
        <v>102</v>
      </c>
      <c r="K13" s="27">
        <f>IFERROR(VLOOKUP(C13,Scoring!$A$4:$N$51,14,FALSE())*4,"-")</f>
        <v>68</v>
      </c>
      <c r="L13" s="27">
        <f>IFERROR(VLOOKUP(D13,Scoring!$A$4:$N$51,14,FALSE())*3,"-")</f>
        <v>57</v>
      </c>
      <c r="M13" s="27">
        <f>IFERROR(VLOOKUP(E13,Scoring!$A$4:$N$51,14,FALSE())*2,"-")</f>
        <v>22</v>
      </c>
      <c r="N13" s="27">
        <f>IFERROR(VLOOKUP(F13,Scoring!$A$4:$N$51,14,FALSE()),"-")</f>
        <v>17</v>
      </c>
      <c r="O13" s="27">
        <f>IFERROR(VLOOKUP(G13,Scoring!$A$4:$N$51,14,FALSE()),"-")</f>
        <v>14</v>
      </c>
      <c r="P13" s="28">
        <f>IFERROR(VLOOKUP(H13,Scoring!$A$4:$N$51,14,FALSE()),"-")</f>
        <v>8</v>
      </c>
      <c r="Q13" s="28">
        <f>IFERROR(VLOOKUP(I13,Scoring!$A$4:$N$51,6,FALSE()),"-")</f>
        <v>4</v>
      </c>
      <c r="R13" s="35">
        <f t="shared" si="0"/>
        <v>292</v>
      </c>
      <c r="S13">
        <f t="shared" si="1"/>
        <v>85</v>
      </c>
      <c r="T13">
        <f t="shared" si="2"/>
        <v>291.99998699999998</v>
      </c>
      <c r="U13" s="43" t="s">
        <v>155</v>
      </c>
      <c r="W13" s="43" t="s">
        <v>143</v>
      </c>
    </row>
    <row r="14" spans="1:23" ht="12.75" customHeight="1" x14ac:dyDescent="0.3">
      <c r="A14" s="26" t="s">
        <v>157</v>
      </c>
      <c r="B14" s="42" t="s">
        <v>46</v>
      </c>
      <c r="C14" s="42" t="s">
        <v>60</v>
      </c>
      <c r="D14" s="42" t="s">
        <v>84</v>
      </c>
      <c r="E14" s="42" t="s">
        <v>78</v>
      </c>
      <c r="F14" s="42" t="s">
        <v>83</v>
      </c>
      <c r="G14" s="42" t="s">
        <v>36</v>
      </c>
      <c r="H14" s="42" t="s">
        <v>24</v>
      </c>
      <c r="I14" s="27" t="s">
        <v>46</v>
      </c>
      <c r="J14" s="27">
        <f>IFERROR(VLOOKUP(B14,Scoring!$A$4:$N$51,14,FALSE())*6,"-")</f>
        <v>66</v>
      </c>
      <c r="K14" s="27">
        <f>IFERROR(VLOOKUP(C14,Scoring!$A$4:$N$51,14,FALSE())*4,"-")</f>
        <v>68</v>
      </c>
      <c r="L14" s="27">
        <f>IFERROR(VLOOKUP(D14,Scoring!$A$4:$N$51,14,FALSE())*3,"-")</f>
        <v>51</v>
      </c>
      <c r="M14" s="27">
        <f>IFERROR(VLOOKUP(E14,Scoring!$A$4:$N$51,14,FALSE())*2,"-")</f>
        <v>30</v>
      </c>
      <c r="N14" s="27">
        <f>IFERROR(VLOOKUP(F14,Scoring!$A$4:$N$51,14,FALSE()),"-")</f>
        <v>17</v>
      </c>
      <c r="O14" s="27">
        <f>IFERROR(VLOOKUP(G14,Scoring!$A$4:$N$51,14,FALSE()),"-")</f>
        <v>14</v>
      </c>
      <c r="P14" s="28">
        <f>IFERROR(VLOOKUP(H14,Scoring!$A$4:$N$51,14,FALSE()),"-")</f>
        <v>8</v>
      </c>
      <c r="Q14" s="28">
        <f>IFERROR(VLOOKUP(I14,Scoring!$A$4:$N$51,6,FALSE()),"-")</f>
        <v>5.5</v>
      </c>
      <c r="R14" s="35">
        <f t="shared" si="0"/>
        <v>259.5</v>
      </c>
      <c r="S14">
        <f t="shared" si="1"/>
        <v>98</v>
      </c>
      <c r="T14">
        <f t="shared" si="2"/>
        <v>259.49998599999998</v>
      </c>
      <c r="U14" s="43" t="s">
        <v>155</v>
      </c>
      <c r="W14" s="43" t="s">
        <v>143</v>
      </c>
    </row>
    <row r="15" spans="1:23" ht="12.75" customHeight="1" x14ac:dyDescent="0.3">
      <c r="A15" s="26" t="s">
        <v>158</v>
      </c>
      <c r="B15" s="42" t="s">
        <v>60</v>
      </c>
      <c r="C15" s="42" t="s">
        <v>29</v>
      </c>
      <c r="D15" s="42" t="s">
        <v>78</v>
      </c>
      <c r="E15" s="42" t="s">
        <v>84</v>
      </c>
      <c r="F15" s="42" t="s">
        <v>39</v>
      </c>
      <c r="G15" s="42" t="s">
        <v>71</v>
      </c>
      <c r="H15" s="42" t="s">
        <v>24</v>
      </c>
      <c r="I15" s="27" t="s">
        <v>60</v>
      </c>
      <c r="J15" s="27">
        <f>IFERROR(VLOOKUP(B15,Scoring!$A$4:$N$51,14,FALSE())*6,"-")</f>
        <v>102</v>
      </c>
      <c r="K15" s="27">
        <f>IFERROR(VLOOKUP(C15,Scoring!$A$4:$N$51,14,FALSE())*4,"-")</f>
        <v>68</v>
      </c>
      <c r="L15" s="27">
        <f>IFERROR(VLOOKUP(D15,Scoring!$A$4:$N$51,14,FALSE())*3,"-")</f>
        <v>45</v>
      </c>
      <c r="M15" s="27">
        <f>IFERROR(VLOOKUP(E15,Scoring!$A$4:$N$51,14,FALSE())*2,"-")</f>
        <v>34</v>
      </c>
      <c r="N15" s="27">
        <f>IFERROR(VLOOKUP(F15,Scoring!$A$4:$N$51,14,FALSE()),"-")</f>
        <v>3</v>
      </c>
      <c r="O15" s="27">
        <f>IFERROR(VLOOKUP(G15,Scoring!$A$4:$N$51,14,FALSE()),"-")</f>
        <v>16</v>
      </c>
      <c r="P15" s="28">
        <f>IFERROR(VLOOKUP(H15,Scoring!$A$4:$N$51,14,FALSE()),"-")</f>
        <v>8</v>
      </c>
      <c r="Q15" s="28">
        <f>IFERROR(VLOOKUP(I15,Scoring!$A$4:$N$51,6,FALSE()),"-")</f>
        <v>4</v>
      </c>
      <c r="R15" s="35">
        <f t="shared" si="0"/>
        <v>280</v>
      </c>
      <c r="S15">
        <f t="shared" si="1"/>
        <v>91</v>
      </c>
      <c r="T15">
        <f t="shared" si="2"/>
        <v>279.99998499999998</v>
      </c>
      <c r="U15" s="43" t="s">
        <v>159</v>
      </c>
      <c r="W15" s="43" t="s">
        <v>143</v>
      </c>
    </row>
    <row r="16" spans="1:23" ht="12.75" customHeight="1" x14ac:dyDescent="0.3">
      <c r="A16" s="26" t="s">
        <v>160</v>
      </c>
      <c r="B16" s="42" t="s">
        <v>72</v>
      </c>
      <c r="C16" s="42" t="s">
        <v>60</v>
      </c>
      <c r="D16" s="42" t="s">
        <v>84</v>
      </c>
      <c r="E16" s="42" t="s">
        <v>66</v>
      </c>
      <c r="F16" s="42" t="s">
        <v>35</v>
      </c>
      <c r="G16" s="42" t="s">
        <v>23</v>
      </c>
      <c r="H16" s="42" t="s">
        <v>24</v>
      </c>
      <c r="I16" s="27" t="s">
        <v>60</v>
      </c>
      <c r="J16" s="27">
        <f>IFERROR(VLOOKUP(B16,Scoring!$A$4:$N$51,14,FALSE())*6,"-")</f>
        <v>114</v>
      </c>
      <c r="K16" s="27">
        <f>IFERROR(VLOOKUP(C16,Scoring!$A$4:$N$51,14,FALSE())*4,"-")</f>
        <v>68</v>
      </c>
      <c r="L16" s="27">
        <f>IFERROR(VLOOKUP(D16,Scoring!$A$4:$N$51,14,FALSE())*3,"-")</f>
        <v>51</v>
      </c>
      <c r="M16" s="27">
        <f>IFERROR(VLOOKUP(E16,Scoring!$A$4:$N$51,14,FALSE())*2,"-")</f>
        <v>54</v>
      </c>
      <c r="N16" s="27">
        <f>IFERROR(VLOOKUP(F16,Scoring!$A$4:$N$51,14,FALSE()),"-")</f>
        <v>16</v>
      </c>
      <c r="O16" s="27">
        <f>IFERROR(VLOOKUP(G16,Scoring!$A$4:$N$51,14,FALSE()),"-")</f>
        <v>14</v>
      </c>
      <c r="P16" s="28">
        <f>IFERROR(VLOOKUP(H16,Scoring!$A$4:$N$51,14,FALSE()),"-")</f>
        <v>8</v>
      </c>
      <c r="Q16" s="28">
        <f>IFERROR(VLOOKUP(I16,Scoring!$A$4:$N$51,6,FALSE()),"-")</f>
        <v>4</v>
      </c>
      <c r="R16" s="35">
        <f t="shared" si="0"/>
        <v>329</v>
      </c>
      <c r="S16">
        <f t="shared" si="1"/>
        <v>45</v>
      </c>
      <c r="T16">
        <f t="shared" si="2"/>
        <v>328.99998399999998</v>
      </c>
      <c r="U16" s="43" t="s">
        <v>161</v>
      </c>
      <c r="W16" s="43" t="s">
        <v>143</v>
      </c>
    </row>
    <row r="17" spans="1:23" ht="12.75" customHeight="1" x14ac:dyDescent="0.3">
      <c r="A17" s="26" t="s">
        <v>162</v>
      </c>
      <c r="B17" s="42" t="s">
        <v>84</v>
      </c>
      <c r="C17" s="42" t="s">
        <v>30</v>
      </c>
      <c r="D17" s="42" t="s">
        <v>66</v>
      </c>
      <c r="E17" s="42" t="s">
        <v>60</v>
      </c>
      <c r="F17" s="42" t="s">
        <v>35</v>
      </c>
      <c r="G17" s="42" t="s">
        <v>71</v>
      </c>
      <c r="H17" s="42" t="s">
        <v>58</v>
      </c>
      <c r="I17" s="27" t="s">
        <v>72</v>
      </c>
      <c r="J17" s="27">
        <f>IFERROR(VLOOKUP(B17,Scoring!$A$4:$N$51,14,FALSE())*6,"-")</f>
        <v>102</v>
      </c>
      <c r="K17" s="27">
        <f>IFERROR(VLOOKUP(C17,Scoring!$A$4:$N$51,14,FALSE())*4,"-")</f>
        <v>100</v>
      </c>
      <c r="L17" s="27">
        <f>IFERROR(VLOOKUP(D17,Scoring!$A$4:$N$51,14,FALSE())*3,"-")</f>
        <v>81</v>
      </c>
      <c r="M17" s="27">
        <f>IFERROR(VLOOKUP(E17,Scoring!$A$4:$N$51,14,FALSE())*2,"-")</f>
        <v>34</v>
      </c>
      <c r="N17" s="27">
        <f>IFERROR(VLOOKUP(F17,Scoring!$A$4:$N$51,14,FALSE()),"-")</f>
        <v>16</v>
      </c>
      <c r="O17" s="27">
        <f>IFERROR(VLOOKUP(G17,Scoring!$A$4:$N$51,14,FALSE()),"-")</f>
        <v>16</v>
      </c>
      <c r="P17" s="28">
        <f>IFERROR(VLOOKUP(H17,Scoring!$A$4:$N$51,14,FALSE()),"-")</f>
        <v>1</v>
      </c>
      <c r="Q17" s="28">
        <f>IFERROR(VLOOKUP(I17,Scoring!$A$4:$N$51,6,FALSE()),"-")</f>
        <v>4.5</v>
      </c>
      <c r="R17" s="35">
        <f t="shared" si="0"/>
        <v>354.5</v>
      </c>
      <c r="S17">
        <f t="shared" si="1"/>
        <v>12</v>
      </c>
      <c r="T17">
        <f t="shared" si="2"/>
        <v>354.49998299999999</v>
      </c>
      <c r="U17" s="43" t="s">
        <v>163</v>
      </c>
      <c r="W17" s="43" t="s">
        <v>143</v>
      </c>
    </row>
    <row r="18" spans="1:23" ht="12.75" customHeight="1" x14ac:dyDescent="0.3">
      <c r="A18" s="26" t="s">
        <v>164</v>
      </c>
      <c r="B18" s="42" t="s">
        <v>66</v>
      </c>
      <c r="C18" s="42" t="s">
        <v>78</v>
      </c>
      <c r="D18" s="42" t="s">
        <v>60</v>
      </c>
      <c r="E18" s="42" t="s">
        <v>72</v>
      </c>
      <c r="F18" s="42" t="s">
        <v>11</v>
      </c>
      <c r="G18" s="42" t="s">
        <v>54</v>
      </c>
      <c r="H18" s="42" t="s">
        <v>24</v>
      </c>
      <c r="I18" s="27" t="s">
        <v>60</v>
      </c>
      <c r="J18" s="27">
        <f>IFERROR(VLOOKUP(B18,Scoring!$A$4:$N$51,14,FALSE())*6,"-")</f>
        <v>162</v>
      </c>
      <c r="K18" s="27">
        <f>IFERROR(VLOOKUP(C18,Scoring!$A$4:$N$51,14,FALSE())*4,"-")</f>
        <v>60</v>
      </c>
      <c r="L18" s="27">
        <f>IFERROR(VLOOKUP(D18,Scoring!$A$4:$N$51,14,FALSE())*3,"-")</f>
        <v>51</v>
      </c>
      <c r="M18" s="27">
        <f>IFERROR(VLOOKUP(E18,Scoring!$A$4:$N$51,14,FALSE())*2,"-")</f>
        <v>38</v>
      </c>
      <c r="N18" s="27">
        <f>IFERROR(VLOOKUP(F18,Scoring!$A$4:$N$51,14,FALSE()),"-")</f>
        <v>19</v>
      </c>
      <c r="O18" s="27">
        <f>IFERROR(VLOOKUP(G18,Scoring!$A$4:$N$51,14,FALSE()),"-")</f>
        <v>15</v>
      </c>
      <c r="P18" s="28">
        <f>IFERROR(VLOOKUP(H18,Scoring!$A$4:$N$51,14,FALSE()),"-")</f>
        <v>8</v>
      </c>
      <c r="Q18" s="28">
        <f>IFERROR(VLOOKUP(I18,Scoring!$A$4:$N$51,6,FALSE()),"-")</f>
        <v>4</v>
      </c>
      <c r="R18" s="35">
        <f t="shared" si="0"/>
        <v>357</v>
      </c>
      <c r="S18">
        <f t="shared" si="1"/>
        <v>7</v>
      </c>
      <c r="T18">
        <f t="shared" si="2"/>
        <v>356.99998199999999</v>
      </c>
      <c r="U18" s="43" t="s">
        <v>165</v>
      </c>
      <c r="W18" s="43" t="s">
        <v>143</v>
      </c>
    </row>
    <row r="19" spans="1:23" ht="12.75" customHeight="1" x14ac:dyDescent="0.3">
      <c r="A19" s="26" t="s">
        <v>166</v>
      </c>
      <c r="B19" s="42" t="s">
        <v>60</v>
      </c>
      <c r="C19" s="42" t="s">
        <v>66</v>
      </c>
      <c r="D19" s="42" t="s">
        <v>72</v>
      </c>
      <c r="E19" s="42" t="s">
        <v>53</v>
      </c>
      <c r="F19" s="42" t="s">
        <v>11</v>
      </c>
      <c r="G19" s="42" t="s">
        <v>71</v>
      </c>
      <c r="H19" s="42" t="s">
        <v>87</v>
      </c>
      <c r="I19" s="27" t="s">
        <v>60</v>
      </c>
      <c r="J19" s="27">
        <f>IFERROR(VLOOKUP(B19,Scoring!$A$4:$N$51,14,FALSE())*6,"-")</f>
        <v>102</v>
      </c>
      <c r="K19" s="27">
        <f>IFERROR(VLOOKUP(C19,Scoring!$A$4:$N$51,14,FALSE())*4,"-")</f>
        <v>108</v>
      </c>
      <c r="L19" s="27">
        <f>IFERROR(VLOOKUP(D19,Scoring!$A$4:$N$51,14,FALSE())*3,"-")</f>
        <v>57</v>
      </c>
      <c r="M19" s="27">
        <f>IFERROR(VLOOKUP(E19,Scoring!$A$4:$N$51,14,FALSE())*2,"-")</f>
        <v>30</v>
      </c>
      <c r="N19" s="27">
        <f>IFERROR(VLOOKUP(F19,Scoring!$A$4:$N$51,14,FALSE()),"-")</f>
        <v>19</v>
      </c>
      <c r="O19" s="27">
        <f>IFERROR(VLOOKUP(G19,Scoring!$A$4:$N$51,14,FALSE()),"-")</f>
        <v>16</v>
      </c>
      <c r="P19" s="28">
        <f>IFERROR(VLOOKUP(H19,Scoring!$A$4:$N$51,14,FALSE()),"-")</f>
        <v>8</v>
      </c>
      <c r="Q19" s="28">
        <f>IFERROR(VLOOKUP(I19,Scoring!$A$4:$N$51,6,FALSE()),"-")</f>
        <v>4</v>
      </c>
      <c r="R19" s="35">
        <f t="shared" si="0"/>
        <v>344</v>
      </c>
      <c r="S19">
        <f t="shared" si="1"/>
        <v>24</v>
      </c>
      <c r="T19">
        <f t="shared" si="2"/>
        <v>343.99998099999999</v>
      </c>
      <c r="U19" s="43" t="s">
        <v>167</v>
      </c>
      <c r="W19" s="43" t="s">
        <v>143</v>
      </c>
    </row>
    <row r="20" spans="1:23" ht="12.75" customHeight="1" x14ac:dyDescent="0.3">
      <c r="A20" s="26" t="s">
        <v>168</v>
      </c>
      <c r="B20" s="42" t="s">
        <v>66</v>
      </c>
      <c r="C20" s="42" t="s">
        <v>78</v>
      </c>
      <c r="D20" s="42" t="s">
        <v>60</v>
      </c>
      <c r="E20" s="42" t="s">
        <v>84</v>
      </c>
      <c r="F20" s="42" t="s">
        <v>57</v>
      </c>
      <c r="G20" s="42" t="s">
        <v>23</v>
      </c>
      <c r="H20" s="42" t="s">
        <v>82</v>
      </c>
      <c r="I20" s="27" t="s">
        <v>60</v>
      </c>
      <c r="J20" s="27">
        <f>IFERROR(VLOOKUP(B20,Scoring!$A$4:$N$51,14,FALSE())*6,"-")</f>
        <v>162</v>
      </c>
      <c r="K20" s="27">
        <f>IFERROR(VLOOKUP(C20,Scoring!$A$4:$N$51,14,FALSE())*4,"-")</f>
        <v>60</v>
      </c>
      <c r="L20" s="27">
        <f>IFERROR(VLOOKUP(D20,Scoring!$A$4:$N$51,14,FALSE())*3,"-")</f>
        <v>51</v>
      </c>
      <c r="M20" s="27">
        <f>IFERROR(VLOOKUP(E20,Scoring!$A$4:$N$51,14,FALSE())*2,"-")</f>
        <v>34</v>
      </c>
      <c r="N20" s="27">
        <f>IFERROR(VLOOKUP(F20,Scoring!$A$4:$N$51,14,FALSE()),"-")</f>
        <v>3</v>
      </c>
      <c r="O20" s="27">
        <f>IFERROR(VLOOKUP(G20,Scoring!$A$4:$N$51,14,FALSE()),"-")</f>
        <v>14</v>
      </c>
      <c r="P20" s="28">
        <f>IFERROR(VLOOKUP(H20,Scoring!$A$4:$N$51,14,FALSE()),"-")</f>
        <v>0</v>
      </c>
      <c r="Q20" s="28">
        <f>IFERROR(VLOOKUP(I20,Scoring!$A$4:$N$51,6,FALSE()),"-")</f>
        <v>4</v>
      </c>
      <c r="R20" s="35">
        <f t="shared" si="0"/>
        <v>328</v>
      </c>
      <c r="S20">
        <f t="shared" si="1"/>
        <v>47</v>
      </c>
      <c r="T20">
        <f t="shared" si="2"/>
        <v>327.99997999999999</v>
      </c>
      <c r="U20" s="142" t="s">
        <v>169</v>
      </c>
      <c r="W20" s="43" t="s">
        <v>143</v>
      </c>
    </row>
    <row r="21" spans="1:23" ht="12.75" customHeight="1" x14ac:dyDescent="0.3">
      <c r="A21" s="26" t="s">
        <v>170</v>
      </c>
      <c r="B21" s="42" t="s">
        <v>60</v>
      </c>
      <c r="C21" s="42" t="s">
        <v>29</v>
      </c>
      <c r="D21" s="42" t="s">
        <v>66</v>
      </c>
      <c r="E21" s="42" t="s">
        <v>78</v>
      </c>
      <c r="F21" s="42" t="s">
        <v>28</v>
      </c>
      <c r="G21" s="42" t="s">
        <v>71</v>
      </c>
      <c r="H21" s="42" t="s">
        <v>64</v>
      </c>
      <c r="I21" s="27" t="s">
        <v>60</v>
      </c>
      <c r="J21" s="27">
        <f>IFERROR(VLOOKUP(B21,Scoring!$A$4:$N$51,14,FALSE())*6,"-")</f>
        <v>102</v>
      </c>
      <c r="K21" s="27">
        <f>IFERROR(VLOOKUP(C21,Scoring!$A$4:$N$51,14,FALSE())*4,"-")</f>
        <v>68</v>
      </c>
      <c r="L21" s="27">
        <f>IFERROR(VLOOKUP(D21,Scoring!$A$4:$N$51,14,FALSE())*3,"-")</f>
        <v>81</v>
      </c>
      <c r="M21" s="27">
        <f>IFERROR(VLOOKUP(E21,Scoring!$A$4:$N$51,14,FALSE())*2,"-")</f>
        <v>30</v>
      </c>
      <c r="N21" s="27">
        <f>IFERROR(VLOOKUP(F21,Scoring!$A$4:$N$51,14,FALSE()),"-")</f>
        <v>17</v>
      </c>
      <c r="O21" s="27">
        <f>IFERROR(VLOOKUP(G21,Scoring!$A$4:$N$51,14,FALSE()),"-")</f>
        <v>16</v>
      </c>
      <c r="P21" s="28">
        <f>IFERROR(VLOOKUP(H21,Scoring!$A$4:$N$51,14,FALSE()),"-")</f>
        <v>2</v>
      </c>
      <c r="Q21" s="28">
        <f>IFERROR(VLOOKUP(I21,Scoring!$A$4:$N$51,6,FALSE()),"-")</f>
        <v>4</v>
      </c>
      <c r="R21" s="35">
        <f t="shared" si="0"/>
        <v>320</v>
      </c>
      <c r="S21">
        <f t="shared" si="1"/>
        <v>61</v>
      </c>
      <c r="T21">
        <f t="shared" si="2"/>
        <v>319.999979</v>
      </c>
      <c r="U21" s="142" t="s">
        <v>171</v>
      </c>
      <c r="W21" s="43" t="s">
        <v>143</v>
      </c>
    </row>
    <row r="22" spans="1:23" ht="12.75" customHeight="1" x14ac:dyDescent="0.3">
      <c r="A22" s="26" t="s">
        <v>172</v>
      </c>
      <c r="B22" s="42" t="s">
        <v>60</v>
      </c>
      <c r="C22" s="42" t="s">
        <v>84</v>
      </c>
      <c r="D22" s="42" t="s">
        <v>66</v>
      </c>
      <c r="E22" s="42" t="s">
        <v>78</v>
      </c>
      <c r="F22" s="42" t="s">
        <v>11</v>
      </c>
      <c r="G22" s="42" t="s">
        <v>71</v>
      </c>
      <c r="H22" s="42" t="s">
        <v>87</v>
      </c>
      <c r="I22" s="27" t="s">
        <v>60</v>
      </c>
      <c r="J22" s="27">
        <f>IFERROR(VLOOKUP(B22,Scoring!$A$4:$N$51,14,FALSE())*6,"-")</f>
        <v>102</v>
      </c>
      <c r="K22" s="27">
        <f>IFERROR(VLOOKUP(C22,Scoring!$A$4:$N$51,14,FALSE())*4,"-")</f>
        <v>68</v>
      </c>
      <c r="L22" s="27">
        <f>IFERROR(VLOOKUP(D22,Scoring!$A$4:$N$51,14,FALSE())*3,"-")</f>
        <v>81</v>
      </c>
      <c r="M22" s="27">
        <f>IFERROR(VLOOKUP(E22,Scoring!$A$4:$N$51,14,FALSE())*2,"-")</f>
        <v>30</v>
      </c>
      <c r="N22" s="27">
        <f>IFERROR(VLOOKUP(F22,Scoring!$A$4:$N$51,14,FALSE()),"-")</f>
        <v>19</v>
      </c>
      <c r="O22" s="27">
        <f>IFERROR(VLOOKUP(G22,Scoring!$A$4:$N$51,14,FALSE()),"-")</f>
        <v>16</v>
      </c>
      <c r="P22" s="28">
        <f>IFERROR(VLOOKUP(H22,Scoring!$A$4:$N$51,14,FALSE()),"-")</f>
        <v>8</v>
      </c>
      <c r="Q22" s="28">
        <f>IFERROR(VLOOKUP(I22,Scoring!$A$4:$N$51,6,FALSE()),"-")</f>
        <v>4</v>
      </c>
      <c r="R22" s="35">
        <f t="shared" si="0"/>
        <v>328</v>
      </c>
      <c r="S22">
        <f t="shared" si="1"/>
        <v>47</v>
      </c>
      <c r="T22">
        <f t="shared" si="2"/>
        <v>327.999978</v>
      </c>
      <c r="U22" s="142" t="s">
        <v>173</v>
      </c>
      <c r="W22" s="43" t="s">
        <v>143</v>
      </c>
    </row>
    <row r="23" spans="1:23" ht="12.75" customHeight="1" x14ac:dyDescent="0.3">
      <c r="A23" s="26" t="s">
        <v>174</v>
      </c>
      <c r="B23" s="42" t="s">
        <v>60</v>
      </c>
      <c r="C23" s="42" t="s">
        <v>78</v>
      </c>
      <c r="D23" s="42" t="s">
        <v>66</v>
      </c>
      <c r="E23" s="42" t="s">
        <v>72</v>
      </c>
      <c r="F23" s="42" t="s">
        <v>83</v>
      </c>
      <c r="G23" s="42" t="s">
        <v>71</v>
      </c>
      <c r="H23" s="42" t="s">
        <v>82</v>
      </c>
      <c r="I23" s="27" t="s">
        <v>60</v>
      </c>
      <c r="J23" s="27">
        <f>IFERROR(VLOOKUP(B23,Scoring!$A$4:$N$51,14,FALSE())*6,"-")</f>
        <v>102</v>
      </c>
      <c r="K23" s="27">
        <f>IFERROR(VLOOKUP(C23,Scoring!$A$4:$N$51,14,FALSE())*4,"-")</f>
        <v>60</v>
      </c>
      <c r="L23" s="27">
        <f>IFERROR(VLOOKUP(D23,Scoring!$A$4:$N$51,14,FALSE())*3,"-")</f>
        <v>81</v>
      </c>
      <c r="M23" s="27">
        <f>IFERROR(VLOOKUP(E23,Scoring!$A$4:$N$51,14,FALSE())*2,"-")</f>
        <v>38</v>
      </c>
      <c r="N23" s="27">
        <f>IFERROR(VLOOKUP(F23,Scoring!$A$4:$N$51,14,FALSE()),"-")</f>
        <v>17</v>
      </c>
      <c r="O23" s="27">
        <f>IFERROR(VLOOKUP(G23,Scoring!$A$4:$N$51,14,FALSE()),"-")</f>
        <v>16</v>
      </c>
      <c r="P23" s="28">
        <f>IFERROR(VLOOKUP(H23,Scoring!$A$4:$N$51,14,FALSE()),"-")</f>
        <v>0</v>
      </c>
      <c r="Q23" s="28">
        <f>IFERROR(VLOOKUP(I23,Scoring!$A$4:$N$51,6,FALSE()),"-")</f>
        <v>4</v>
      </c>
      <c r="R23" s="35">
        <f t="shared" si="0"/>
        <v>318</v>
      </c>
      <c r="S23">
        <f t="shared" si="1"/>
        <v>64</v>
      </c>
      <c r="T23">
        <f t="shared" si="2"/>
        <v>317.999977</v>
      </c>
      <c r="U23" s="142" t="s">
        <v>175</v>
      </c>
      <c r="W23" s="43" t="s">
        <v>143</v>
      </c>
    </row>
    <row r="24" spans="1:23" ht="12.75" customHeight="1" x14ac:dyDescent="0.3">
      <c r="A24" s="26" t="s">
        <v>176</v>
      </c>
      <c r="B24" s="42" t="s">
        <v>66</v>
      </c>
      <c r="C24" s="42" t="s">
        <v>84</v>
      </c>
      <c r="D24" s="42" t="s">
        <v>60</v>
      </c>
      <c r="E24" s="42" t="s">
        <v>78</v>
      </c>
      <c r="F24" s="42" t="s">
        <v>45</v>
      </c>
      <c r="G24" s="42" t="s">
        <v>44</v>
      </c>
      <c r="H24" s="42" t="s">
        <v>87</v>
      </c>
      <c r="I24" s="27" t="s">
        <v>66</v>
      </c>
      <c r="J24" s="27">
        <f>IFERROR(VLOOKUP(B24,Scoring!$A$4:$N$51,14,FALSE())*6,"-")</f>
        <v>162</v>
      </c>
      <c r="K24" s="27">
        <f>IFERROR(VLOOKUP(C24,Scoring!$A$4:$N$51,14,FALSE())*4,"-")</f>
        <v>68</v>
      </c>
      <c r="L24" s="27">
        <f>IFERROR(VLOOKUP(D24,Scoring!$A$4:$N$51,14,FALSE())*3,"-")</f>
        <v>51</v>
      </c>
      <c r="M24" s="27">
        <f>IFERROR(VLOOKUP(E24,Scoring!$A$4:$N$51,14,FALSE())*2,"-")</f>
        <v>30</v>
      </c>
      <c r="N24" s="27">
        <f>IFERROR(VLOOKUP(F24,Scoring!$A$4:$N$51,14,FALSE()),"-")</f>
        <v>8</v>
      </c>
      <c r="O24" s="27">
        <f>IFERROR(VLOOKUP(G24,Scoring!$A$4:$N$51,14,FALSE()),"-")</f>
        <v>10</v>
      </c>
      <c r="P24" s="28">
        <f>IFERROR(VLOOKUP(H24,Scoring!$A$4:$N$51,14,FALSE()),"-")</f>
        <v>8</v>
      </c>
      <c r="Q24" s="28">
        <f>IFERROR(VLOOKUP(I24,Scoring!$A$4:$N$51,6,FALSE()),"-")</f>
        <v>7</v>
      </c>
      <c r="R24" s="35">
        <f t="shared" si="0"/>
        <v>344</v>
      </c>
      <c r="S24">
        <f t="shared" si="1"/>
        <v>24</v>
      </c>
      <c r="T24">
        <f t="shared" si="2"/>
        <v>343.999976</v>
      </c>
      <c r="U24" s="143" t="s">
        <v>177</v>
      </c>
      <c r="W24" s="43" t="s">
        <v>143</v>
      </c>
    </row>
    <row r="25" spans="1:23" ht="12.75" customHeight="1" x14ac:dyDescent="0.3">
      <c r="A25" s="26" t="s">
        <v>178</v>
      </c>
      <c r="B25" s="42" t="s">
        <v>40</v>
      </c>
      <c r="C25" s="42" t="s">
        <v>84</v>
      </c>
      <c r="D25" s="42" t="s">
        <v>78</v>
      </c>
      <c r="E25" s="42" t="s">
        <v>60</v>
      </c>
      <c r="F25" s="42" t="s">
        <v>35</v>
      </c>
      <c r="G25" s="42" t="s">
        <v>23</v>
      </c>
      <c r="H25" s="42" t="s">
        <v>24</v>
      </c>
      <c r="I25" s="27" t="s">
        <v>40</v>
      </c>
      <c r="J25" s="27">
        <f>IFERROR(VLOOKUP(B25,Scoring!$A$4:$N$51,14,FALSE())*6,"-")</f>
        <v>60</v>
      </c>
      <c r="K25" s="27">
        <f>IFERROR(VLOOKUP(C25,Scoring!$A$4:$N$51,14,FALSE())*4,"-")</f>
        <v>68</v>
      </c>
      <c r="L25" s="27">
        <f>IFERROR(VLOOKUP(D25,Scoring!$A$4:$N$51,14,FALSE())*3,"-")</f>
        <v>45</v>
      </c>
      <c r="M25" s="27">
        <f>IFERROR(VLOOKUP(E25,Scoring!$A$4:$N$51,14,FALSE())*2,"-")</f>
        <v>34</v>
      </c>
      <c r="N25" s="27">
        <f>IFERROR(VLOOKUP(F25,Scoring!$A$4:$N$51,14,FALSE()),"-")</f>
        <v>16</v>
      </c>
      <c r="O25" s="27">
        <f>IFERROR(VLOOKUP(G25,Scoring!$A$4:$N$51,14,FALSE()),"-")</f>
        <v>14</v>
      </c>
      <c r="P25" s="28">
        <f>IFERROR(VLOOKUP(H25,Scoring!$A$4:$N$51,14,FALSE()),"-")</f>
        <v>8</v>
      </c>
      <c r="Q25" s="28">
        <f>IFERROR(VLOOKUP(I25,Scoring!$A$4:$N$51,6,FALSE()),"-")</f>
        <v>5.5</v>
      </c>
      <c r="R25" s="35">
        <f t="shared" si="0"/>
        <v>250.5</v>
      </c>
      <c r="S25">
        <f t="shared" si="1"/>
        <v>103</v>
      </c>
      <c r="T25">
        <f t="shared" si="2"/>
        <v>250.49997500000001</v>
      </c>
      <c r="U25" s="142" t="s">
        <v>179</v>
      </c>
      <c r="W25" s="43" t="s">
        <v>143</v>
      </c>
    </row>
    <row r="26" spans="1:23" ht="12.75" customHeight="1" x14ac:dyDescent="0.3">
      <c r="A26" s="26" t="s">
        <v>180</v>
      </c>
      <c r="B26" s="42" t="s">
        <v>60</v>
      </c>
      <c r="C26" s="42" t="s">
        <v>29</v>
      </c>
      <c r="D26" s="42" t="s">
        <v>72</v>
      </c>
      <c r="E26" s="42" t="s">
        <v>66</v>
      </c>
      <c r="F26" s="42" t="s">
        <v>35</v>
      </c>
      <c r="G26" s="42" t="s">
        <v>23</v>
      </c>
      <c r="H26" s="42" t="s">
        <v>12</v>
      </c>
      <c r="I26" s="27" t="s">
        <v>60</v>
      </c>
      <c r="J26" s="27">
        <f>IFERROR(VLOOKUP(B26,Scoring!$A$4:$N$51,14,FALSE())*6,"-")</f>
        <v>102</v>
      </c>
      <c r="K26" s="27">
        <f>IFERROR(VLOOKUP(C26,Scoring!$A$4:$N$51,14,FALSE())*4,"-")</f>
        <v>68</v>
      </c>
      <c r="L26" s="27">
        <f>IFERROR(VLOOKUP(D26,Scoring!$A$4:$N$51,14,FALSE())*3,"-")</f>
        <v>57</v>
      </c>
      <c r="M26" s="27">
        <f>IFERROR(VLOOKUP(E26,Scoring!$A$4:$N$51,14,FALSE())*2,"-")</f>
        <v>54</v>
      </c>
      <c r="N26" s="27">
        <f>IFERROR(VLOOKUP(F26,Scoring!$A$4:$N$51,14,FALSE()),"-")</f>
        <v>16</v>
      </c>
      <c r="O26" s="27">
        <f>IFERROR(VLOOKUP(G26,Scoring!$A$4:$N$51,14,FALSE()),"-")</f>
        <v>14</v>
      </c>
      <c r="P26" s="28">
        <f>IFERROR(VLOOKUP(H26,Scoring!$A$4:$N$51,14,FALSE()),"-")</f>
        <v>8</v>
      </c>
      <c r="Q26" s="28">
        <f>IFERROR(VLOOKUP(I26,Scoring!$A$4:$N$51,6,FALSE()),"-")</f>
        <v>4</v>
      </c>
      <c r="R26" s="35">
        <f t="shared" si="0"/>
        <v>323</v>
      </c>
      <c r="S26">
        <f t="shared" si="1"/>
        <v>53</v>
      </c>
      <c r="T26">
        <f t="shared" si="2"/>
        <v>322.99997400000001</v>
      </c>
      <c r="U26" s="142" t="s">
        <v>179</v>
      </c>
      <c r="W26" s="43" t="s">
        <v>143</v>
      </c>
    </row>
    <row r="27" spans="1:23" ht="12.75" customHeight="1" x14ac:dyDescent="0.3">
      <c r="A27" s="26" t="s">
        <v>181</v>
      </c>
      <c r="B27" s="42" t="s">
        <v>66</v>
      </c>
      <c r="C27" s="42" t="s">
        <v>84</v>
      </c>
      <c r="D27" s="42" t="s">
        <v>29</v>
      </c>
      <c r="E27" s="42" t="s">
        <v>60</v>
      </c>
      <c r="F27" s="42" t="s">
        <v>47</v>
      </c>
      <c r="G27" s="42" t="s">
        <v>71</v>
      </c>
      <c r="H27" s="42" t="s">
        <v>82</v>
      </c>
      <c r="I27" s="27" t="s">
        <v>66</v>
      </c>
      <c r="J27" s="27">
        <f>IFERROR(VLOOKUP(B27,Scoring!$A$4:$N$51,14,FALSE())*6,"-")</f>
        <v>162</v>
      </c>
      <c r="K27" s="27">
        <f>IFERROR(VLOOKUP(C27,Scoring!$A$4:$N$51,14,FALSE())*4,"-")</f>
        <v>68</v>
      </c>
      <c r="L27" s="27">
        <f>IFERROR(VLOOKUP(D27,Scoring!$A$4:$N$51,14,FALSE())*3,"-")</f>
        <v>51</v>
      </c>
      <c r="M27" s="27">
        <f>IFERROR(VLOOKUP(E27,Scoring!$A$4:$N$51,14,FALSE())*2,"-")</f>
        <v>34</v>
      </c>
      <c r="N27" s="27">
        <f>IFERROR(VLOOKUP(F27,Scoring!$A$4:$N$51,14,FALSE()),"-")</f>
        <v>9</v>
      </c>
      <c r="O27" s="27">
        <f>IFERROR(VLOOKUP(G27,Scoring!$A$4:$N$51,14,FALSE()),"-")</f>
        <v>16</v>
      </c>
      <c r="P27" s="28">
        <f>IFERROR(VLOOKUP(H27,Scoring!$A$4:$N$51,14,FALSE()),"-")</f>
        <v>0</v>
      </c>
      <c r="Q27" s="28">
        <f>IFERROR(VLOOKUP(I27,Scoring!$A$4:$N$51,6,FALSE()),"-")</f>
        <v>7</v>
      </c>
      <c r="R27" s="35">
        <f t="shared" si="0"/>
        <v>347</v>
      </c>
      <c r="S27">
        <f t="shared" si="1"/>
        <v>18</v>
      </c>
      <c r="T27">
        <f t="shared" si="2"/>
        <v>346.99997300000001</v>
      </c>
      <c r="U27" s="43" t="s">
        <v>182</v>
      </c>
      <c r="W27" s="43" t="s">
        <v>22</v>
      </c>
    </row>
    <row r="28" spans="1:23" ht="12.75" customHeight="1" x14ac:dyDescent="0.3">
      <c r="A28" s="26" t="s">
        <v>183</v>
      </c>
      <c r="B28" s="42" t="s">
        <v>60</v>
      </c>
      <c r="C28" s="42" t="s">
        <v>66</v>
      </c>
      <c r="D28" s="42" t="s">
        <v>84</v>
      </c>
      <c r="E28" s="42" t="s">
        <v>72</v>
      </c>
      <c r="F28" s="42" t="s">
        <v>11</v>
      </c>
      <c r="G28" s="42" t="s">
        <v>71</v>
      </c>
      <c r="H28" s="42" t="s">
        <v>87</v>
      </c>
      <c r="I28" s="27" t="s">
        <v>60</v>
      </c>
      <c r="J28" s="27">
        <f>IFERROR(VLOOKUP(B28,Scoring!$A$4:$N$51,14,FALSE())*6,"-")</f>
        <v>102</v>
      </c>
      <c r="K28" s="27">
        <f>IFERROR(VLOOKUP(C28,Scoring!$A$4:$N$51,14,FALSE())*4,"-")</f>
        <v>108</v>
      </c>
      <c r="L28" s="27">
        <f>IFERROR(VLOOKUP(D28,Scoring!$A$4:$N$51,14,FALSE())*3,"-")</f>
        <v>51</v>
      </c>
      <c r="M28" s="27">
        <f>IFERROR(VLOOKUP(E28,Scoring!$A$4:$N$51,14,FALSE())*2,"-")</f>
        <v>38</v>
      </c>
      <c r="N28" s="27">
        <f>IFERROR(VLOOKUP(F28,Scoring!$A$4:$N$51,14,FALSE()),"-")</f>
        <v>19</v>
      </c>
      <c r="O28" s="27">
        <f>IFERROR(VLOOKUP(G28,Scoring!$A$4:$N$51,14,FALSE()),"-")</f>
        <v>16</v>
      </c>
      <c r="P28" s="28">
        <f>IFERROR(VLOOKUP(H28,Scoring!$A$4:$N$51,14,FALSE()),"-")</f>
        <v>8</v>
      </c>
      <c r="Q28" s="28">
        <f>IFERROR(VLOOKUP(I28,Scoring!$A$4:$N$51,6,FALSE()),"-")</f>
        <v>4</v>
      </c>
      <c r="R28" s="35">
        <f t="shared" si="0"/>
        <v>346</v>
      </c>
      <c r="S28">
        <f t="shared" si="1"/>
        <v>21</v>
      </c>
      <c r="T28">
        <f t="shared" si="2"/>
        <v>345.99997200000001</v>
      </c>
      <c r="U28" s="43" t="s">
        <v>184</v>
      </c>
      <c r="W28" s="43" t="s">
        <v>22</v>
      </c>
    </row>
    <row r="29" spans="1:23" ht="12.75" customHeight="1" x14ac:dyDescent="0.3">
      <c r="A29" s="26" t="s">
        <v>185</v>
      </c>
      <c r="B29" s="42" t="s">
        <v>46</v>
      </c>
      <c r="C29" s="42" t="s">
        <v>78</v>
      </c>
      <c r="D29" s="42" t="s">
        <v>66</v>
      </c>
      <c r="E29" s="42" t="s">
        <v>60</v>
      </c>
      <c r="F29" s="42" t="s">
        <v>47</v>
      </c>
      <c r="G29" s="42" t="s">
        <v>16</v>
      </c>
      <c r="H29" s="42" t="s">
        <v>87</v>
      </c>
      <c r="I29" s="27" t="s">
        <v>46</v>
      </c>
      <c r="J29" s="27">
        <f>IFERROR(VLOOKUP(B29,Scoring!$A$4:$N$51,14,FALSE())*6,"-")</f>
        <v>66</v>
      </c>
      <c r="K29" s="27">
        <f>IFERROR(VLOOKUP(C29,Scoring!$A$4:$N$51,14,FALSE())*4,"-")</f>
        <v>60</v>
      </c>
      <c r="L29" s="27">
        <f>IFERROR(VLOOKUP(D29,Scoring!$A$4:$N$51,14,FALSE())*3,"-")</f>
        <v>81</v>
      </c>
      <c r="M29" s="27">
        <f>IFERROR(VLOOKUP(E29,Scoring!$A$4:$N$51,14,FALSE())*2,"-")</f>
        <v>34</v>
      </c>
      <c r="N29" s="27">
        <f>IFERROR(VLOOKUP(F29,Scoring!$A$4:$N$51,14,FALSE()),"-")</f>
        <v>9</v>
      </c>
      <c r="O29" s="27">
        <f>IFERROR(VLOOKUP(G29,Scoring!$A$4:$N$51,14,FALSE()),"-")</f>
        <v>1</v>
      </c>
      <c r="P29" s="28">
        <f>IFERROR(VLOOKUP(H29,Scoring!$A$4:$N$51,14,FALSE()),"-")</f>
        <v>8</v>
      </c>
      <c r="Q29" s="28">
        <f>IFERROR(VLOOKUP(I29,Scoring!$A$4:$N$51,6,FALSE()),"-")</f>
        <v>5.5</v>
      </c>
      <c r="R29" s="35">
        <f t="shared" si="0"/>
        <v>264.5</v>
      </c>
      <c r="S29">
        <f t="shared" si="1"/>
        <v>96</v>
      </c>
      <c r="T29">
        <f t="shared" si="2"/>
        <v>264.49997100000002</v>
      </c>
      <c r="U29" s="43" t="s">
        <v>186</v>
      </c>
      <c r="W29" s="43" t="s">
        <v>143</v>
      </c>
    </row>
    <row r="30" spans="1:23" ht="12.75" customHeight="1" x14ac:dyDescent="0.3">
      <c r="A30" s="26" t="s">
        <v>187</v>
      </c>
      <c r="B30" s="42" t="s">
        <v>29</v>
      </c>
      <c r="C30" s="42" t="s">
        <v>60</v>
      </c>
      <c r="D30" s="42" t="s">
        <v>40</v>
      </c>
      <c r="E30" s="42" t="s">
        <v>84</v>
      </c>
      <c r="F30" s="42" t="s">
        <v>28</v>
      </c>
      <c r="G30" s="42" t="s">
        <v>71</v>
      </c>
      <c r="H30" s="42" t="s">
        <v>12</v>
      </c>
      <c r="I30" s="27" t="s">
        <v>29</v>
      </c>
      <c r="J30" s="27">
        <f>IFERROR(VLOOKUP(B30,Scoring!$A$4:$N$51,14,FALSE())*6,"-")</f>
        <v>102</v>
      </c>
      <c r="K30" s="27">
        <f>IFERROR(VLOOKUP(C30,Scoring!$A$4:$N$51,14,FALSE())*4,"-")</f>
        <v>68</v>
      </c>
      <c r="L30" s="27">
        <f>IFERROR(VLOOKUP(D30,Scoring!$A$4:$N$51,14,FALSE())*3,"-")</f>
        <v>30</v>
      </c>
      <c r="M30" s="27">
        <f>IFERROR(VLOOKUP(E30,Scoring!$A$4:$N$51,14,FALSE())*2,"-")</f>
        <v>34</v>
      </c>
      <c r="N30" s="27">
        <f>IFERROR(VLOOKUP(F30,Scoring!$A$4:$N$51,14,FALSE()),"-")</f>
        <v>17</v>
      </c>
      <c r="O30" s="27">
        <f>IFERROR(VLOOKUP(G30,Scoring!$A$4:$N$51,14,FALSE()),"-")</f>
        <v>16</v>
      </c>
      <c r="P30" s="28">
        <f>IFERROR(VLOOKUP(H30,Scoring!$A$4:$N$51,14,FALSE()),"-")</f>
        <v>8</v>
      </c>
      <c r="Q30" s="28">
        <f>IFERROR(VLOOKUP(I30,Scoring!$A$4:$N$51,6,FALSE()),"-")</f>
        <v>4.5</v>
      </c>
      <c r="R30" s="35">
        <f t="shared" si="0"/>
        <v>279.5</v>
      </c>
      <c r="S30">
        <f t="shared" si="1"/>
        <v>92</v>
      </c>
      <c r="T30">
        <f t="shared" si="2"/>
        <v>279.49997000000002</v>
      </c>
      <c r="U30" s="43" t="s">
        <v>188</v>
      </c>
      <c r="W30" s="43" t="s">
        <v>143</v>
      </c>
    </row>
    <row r="31" spans="1:23" ht="12.75" customHeight="1" x14ac:dyDescent="0.3">
      <c r="A31" s="26" t="s">
        <v>189</v>
      </c>
      <c r="B31" s="42" t="s">
        <v>66</v>
      </c>
      <c r="C31" s="42" t="s">
        <v>78</v>
      </c>
      <c r="D31" s="42" t="s">
        <v>72</v>
      </c>
      <c r="E31" s="42" t="s">
        <v>46</v>
      </c>
      <c r="F31" s="42" t="s">
        <v>11</v>
      </c>
      <c r="G31" s="42" t="s">
        <v>34</v>
      </c>
      <c r="H31" s="42" t="s">
        <v>24</v>
      </c>
      <c r="I31" s="27" t="s">
        <v>78</v>
      </c>
      <c r="J31" s="27">
        <f>IFERROR(VLOOKUP(B31,Scoring!$A$4:$N$51,14,FALSE())*6,"-")</f>
        <v>162</v>
      </c>
      <c r="K31" s="27">
        <f>IFERROR(VLOOKUP(C31,Scoring!$A$4:$N$51,14,FALSE())*4,"-")</f>
        <v>60</v>
      </c>
      <c r="L31" s="27">
        <f>IFERROR(VLOOKUP(D31,Scoring!$A$4:$N$51,14,FALSE())*3,"-")</f>
        <v>57</v>
      </c>
      <c r="M31" s="27">
        <f>IFERROR(VLOOKUP(E31,Scoring!$A$4:$N$51,14,FALSE())*2,"-")</f>
        <v>22</v>
      </c>
      <c r="N31" s="27">
        <f>IFERROR(VLOOKUP(F31,Scoring!$A$4:$N$51,14,FALSE()),"-")</f>
        <v>19</v>
      </c>
      <c r="O31" s="27">
        <f>IFERROR(VLOOKUP(G31,Scoring!$A$4:$N$51,14,FALSE()),"-")</f>
        <v>3</v>
      </c>
      <c r="P31" s="28">
        <f>IFERROR(VLOOKUP(H31,Scoring!$A$4:$N$51,14,FALSE()),"-")</f>
        <v>8</v>
      </c>
      <c r="Q31" s="28">
        <f>IFERROR(VLOOKUP(I31,Scoring!$A$4:$N$51,6,FALSE()),"-")</f>
        <v>4</v>
      </c>
      <c r="R31" s="35">
        <f t="shared" si="0"/>
        <v>335</v>
      </c>
      <c r="S31">
        <f t="shared" si="1"/>
        <v>36</v>
      </c>
      <c r="T31">
        <f t="shared" si="2"/>
        <v>334.99996900000002</v>
      </c>
      <c r="U31" s="43" t="s">
        <v>190</v>
      </c>
      <c r="W31" s="43" t="s">
        <v>143</v>
      </c>
    </row>
    <row r="32" spans="1:23" ht="12.75" customHeight="1" x14ac:dyDescent="0.3">
      <c r="A32" s="26" t="s">
        <v>191</v>
      </c>
      <c r="B32" s="42" t="s">
        <v>60</v>
      </c>
      <c r="C32" s="42" t="s">
        <v>72</v>
      </c>
      <c r="D32" s="42" t="s">
        <v>84</v>
      </c>
      <c r="E32" s="42" t="s">
        <v>66</v>
      </c>
      <c r="F32" s="42" t="s">
        <v>28</v>
      </c>
      <c r="G32" s="42" t="s">
        <v>16</v>
      </c>
      <c r="H32" s="42" t="s">
        <v>87</v>
      </c>
      <c r="I32" s="27" t="s">
        <v>60</v>
      </c>
      <c r="J32" s="27">
        <f>IFERROR(VLOOKUP(B32,Scoring!$A$4:$N$51,14,FALSE())*6,"-")</f>
        <v>102</v>
      </c>
      <c r="K32" s="27">
        <f>IFERROR(VLOOKUP(C32,Scoring!$A$4:$N$51,14,FALSE())*4,"-")</f>
        <v>76</v>
      </c>
      <c r="L32" s="27">
        <f>IFERROR(VLOOKUP(D32,Scoring!$A$4:$N$51,14,FALSE())*3,"-")</f>
        <v>51</v>
      </c>
      <c r="M32" s="27">
        <f>IFERROR(VLOOKUP(E32,Scoring!$A$4:$N$51,14,FALSE())*2,"-")</f>
        <v>54</v>
      </c>
      <c r="N32" s="27">
        <f>IFERROR(VLOOKUP(F32,Scoring!$A$4:$N$51,14,FALSE()),"-")</f>
        <v>17</v>
      </c>
      <c r="O32" s="27">
        <f>IFERROR(VLOOKUP(G32,Scoring!$A$4:$N$51,14,FALSE()),"-")</f>
        <v>1</v>
      </c>
      <c r="P32" s="28">
        <f>IFERROR(VLOOKUP(H32,Scoring!$A$4:$N$51,14,FALSE()),"-")</f>
        <v>8</v>
      </c>
      <c r="Q32" s="28">
        <f>IFERROR(VLOOKUP(I32,Scoring!$A$4:$N$51,6,FALSE()),"-")</f>
        <v>4</v>
      </c>
      <c r="R32" s="35">
        <f t="shared" si="0"/>
        <v>313</v>
      </c>
      <c r="S32">
        <f t="shared" si="1"/>
        <v>68</v>
      </c>
      <c r="T32">
        <f t="shared" si="2"/>
        <v>312.99996800000002</v>
      </c>
      <c r="U32" s="43" t="s">
        <v>192</v>
      </c>
      <c r="W32" s="43" t="s">
        <v>22</v>
      </c>
    </row>
    <row r="33" spans="1:23" ht="12.75" customHeight="1" x14ac:dyDescent="0.3">
      <c r="A33" s="26" t="s">
        <v>193</v>
      </c>
      <c r="B33" s="42" t="s">
        <v>78</v>
      </c>
      <c r="C33" s="42" t="s">
        <v>40</v>
      </c>
      <c r="D33" s="42" t="s">
        <v>29</v>
      </c>
      <c r="E33" s="42" t="s">
        <v>60</v>
      </c>
      <c r="F33" s="42" t="s">
        <v>11</v>
      </c>
      <c r="G33" s="42" t="s">
        <v>38</v>
      </c>
      <c r="H33" s="42" t="s">
        <v>79</v>
      </c>
      <c r="I33" s="27" t="s">
        <v>40</v>
      </c>
      <c r="J33" s="27">
        <f>IFERROR(VLOOKUP(B33,Scoring!$A$4:$N$51,14,FALSE())*6,"-")</f>
        <v>90</v>
      </c>
      <c r="K33" s="27">
        <f>IFERROR(VLOOKUP(C33,Scoring!$A$4:$N$51,14,FALSE())*4,"-")</f>
        <v>40</v>
      </c>
      <c r="L33" s="27">
        <f>IFERROR(VLOOKUP(D33,Scoring!$A$4:$N$51,14,FALSE())*3,"-")</f>
        <v>51</v>
      </c>
      <c r="M33" s="27">
        <f>IFERROR(VLOOKUP(E33,Scoring!$A$4:$N$51,14,FALSE())*2,"-")</f>
        <v>34</v>
      </c>
      <c r="N33" s="27">
        <f>IFERROR(VLOOKUP(F33,Scoring!$A$4:$N$51,14,FALSE()),"-")</f>
        <v>19</v>
      </c>
      <c r="O33" s="27">
        <f>IFERROR(VLOOKUP(G33,Scoring!$A$4:$N$51,14,FALSE()),"-")</f>
        <v>8</v>
      </c>
      <c r="P33" s="28">
        <f>IFERROR(VLOOKUP(H33,Scoring!$A$4:$N$51,14,FALSE()),"-")</f>
        <v>8</v>
      </c>
      <c r="Q33" s="28">
        <f>IFERROR(VLOOKUP(I33,Scoring!$A$4:$N$51,6,FALSE()),"-")</f>
        <v>5.5</v>
      </c>
      <c r="R33" s="35">
        <f t="shared" si="0"/>
        <v>255.5</v>
      </c>
      <c r="S33">
        <f t="shared" si="1"/>
        <v>102</v>
      </c>
      <c r="T33">
        <f t="shared" si="2"/>
        <v>255.499967</v>
      </c>
      <c r="U33" s="142" t="s">
        <v>194</v>
      </c>
      <c r="W33" s="43" t="s">
        <v>143</v>
      </c>
    </row>
    <row r="34" spans="1:23" ht="12.75" customHeight="1" x14ac:dyDescent="0.3">
      <c r="A34" s="26" t="s">
        <v>195</v>
      </c>
      <c r="B34" s="42" t="s">
        <v>60</v>
      </c>
      <c r="C34" s="42" t="s">
        <v>29</v>
      </c>
      <c r="D34" s="42" t="s">
        <v>66</v>
      </c>
      <c r="E34" s="42" t="s">
        <v>72</v>
      </c>
      <c r="F34" s="42" t="s">
        <v>28</v>
      </c>
      <c r="G34" s="42" t="s">
        <v>71</v>
      </c>
      <c r="H34" s="42" t="s">
        <v>87</v>
      </c>
      <c r="I34" s="27" t="s">
        <v>60</v>
      </c>
      <c r="J34" s="27">
        <f>IFERROR(VLOOKUP(B34,Scoring!$A$4:$N$51,14,FALSE())*6,"-")</f>
        <v>102</v>
      </c>
      <c r="K34" s="27">
        <f>IFERROR(VLOOKUP(C34,Scoring!$A$4:$N$51,14,FALSE())*4,"-")</f>
        <v>68</v>
      </c>
      <c r="L34" s="27">
        <f>IFERROR(VLOOKUP(D34,Scoring!$A$4:$N$51,14,FALSE())*3,"-")</f>
        <v>81</v>
      </c>
      <c r="M34" s="27">
        <f>IFERROR(VLOOKUP(E34,Scoring!$A$4:$N$51,14,FALSE())*2,"-")</f>
        <v>38</v>
      </c>
      <c r="N34" s="27">
        <f>IFERROR(VLOOKUP(F34,Scoring!$A$4:$N$51,14,FALSE()),"-")</f>
        <v>17</v>
      </c>
      <c r="O34" s="27">
        <f>IFERROR(VLOOKUP(G34,Scoring!$A$4:$N$51,14,FALSE()),"-")</f>
        <v>16</v>
      </c>
      <c r="P34" s="28">
        <f>IFERROR(VLOOKUP(H34,Scoring!$A$4:$N$51,14,FALSE()),"-")</f>
        <v>8</v>
      </c>
      <c r="Q34" s="28">
        <f>IFERROR(VLOOKUP(I34,Scoring!$A$4:$N$51,6,FALSE()),"-")</f>
        <v>4</v>
      </c>
      <c r="R34" s="35">
        <f t="shared" si="0"/>
        <v>334</v>
      </c>
      <c r="S34">
        <f t="shared" si="1"/>
        <v>37</v>
      </c>
      <c r="T34">
        <f t="shared" si="2"/>
        <v>333.99996599999997</v>
      </c>
      <c r="U34" s="142" t="s">
        <v>196</v>
      </c>
      <c r="W34" s="43" t="s">
        <v>143</v>
      </c>
    </row>
    <row r="35" spans="1:23" ht="12.75" customHeight="1" x14ac:dyDescent="0.3">
      <c r="A35" s="26" t="s">
        <v>197</v>
      </c>
      <c r="B35" s="42" t="s">
        <v>60</v>
      </c>
      <c r="C35" s="42" t="s">
        <v>72</v>
      </c>
      <c r="D35" s="42" t="s">
        <v>40</v>
      </c>
      <c r="E35" s="42" t="s">
        <v>29</v>
      </c>
      <c r="F35" s="42" t="s">
        <v>28</v>
      </c>
      <c r="G35" s="42" t="s">
        <v>71</v>
      </c>
      <c r="H35" s="42" t="s">
        <v>79</v>
      </c>
      <c r="I35" s="27" t="s">
        <v>60</v>
      </c>
      <c r="J35" s="27">
        <f>IFERROR(VLOOKUP(B35,Scoring!$A$4:$N$51,14,FALSE())*6,"-")</f>
        <v>102</v>
      </c>
      <c r="K35" s="27">
        <f>IFERROR(VLOOKUP(C35,Scoring!$A$4:$N$51,14,FALSE())*4,"-")</f>
        <v>76</v>
      </c>
      <c r="L35" s="27">
        <f>IFERROR(VLOOKUP(D35,Scoring!$A$4:$N$51,14,FALSE())*3,"-")</f>
        <v>30</v>
      </c>
      <c r="M35" s="27">
        <f>IFERROR(VLOOKUP(E35,Scoring!$A$4:$N$51,14,FALSE())*2,"-")</f>
        <v>34</v>
      </c>
      <c r="N35" s="27">
        <f>IFERROR(VLOOKUP(F35,Scoring!$A$4:$N$51,14,FALSE()),"-")</f>
        <v>17</v>
      </c>
      <c r="O35" s="27">
        <f>IFERROR(VLOOKUP(G35,Scoring!$A$4:$N$51,14,FALSE()),"-")</f>
        <v>16</v>
      </c>
      <c r="P35" s="28">
        <f>IFERROR(VLOOKUP(H35,Scoring!$A$4:$N$51,14,FALSE()),"-")</f>
        <v>8</v>
      </c>
      <c r="Q35" s="28">
        <f>IFERROR(VLOOKUP(I35,Scoring!$A$4:$N$51,6,FALSE()),"-")</f>
        <v>4</v>
      </c>
      <c r="R35" s="35">
        <f t="shared" si="0"/>
        <v>287</v>
      </c>
      <c r="S35">
        <f t="shared" si="1"/>
        <v>88</v>
      </c>
      <c r="T35">
        <f t="shared" si="2"/>
        <v>286.99996499999997</v>
      </c>
      <c r="U35" s="142" t="s">
        <v>196</v>
      </c>
      <c r="W35" s="43" t="s">
        <v>143</v>
      </c>
    </row>
    <row r="36" spans="1:23" ht="12.75" customHeight="1" x14ac:dyDescent="0.3">
      <c r="A36" s="26" t="s">
        <v>198</v>
      </c>
      <c r="B36" s="42" t="s">
        <v>66</v>
      </c>
      <c r="C36" s="42" t="s">
        <v>40</v>
      </c>
      <c r="D36" s="42" t="s">
        <v>84</v>
      </c>
      <c r="E36" s="42" t="s">
        <v>65</v>
      </c>
      <c r="F36" s="42" t="s">
        <v>47</v>
      </c>
      <c r="G36" s="42" t="s">
        <v>71</v>
      </c>
      <c r="H36" s="42" t="s">
        <v>64</v>
      </c>
      <c r="I36" s="27" t="s">
        <v>40</v>
      </c>
      <c r="J36" s="27">
        <f>IFERROR(VLOOKUP(B36,Scoring!$A$4:$N$51,14,FALSE())*6,"-")</f>
        <v>162</v>
      </c>
      <c r="K36" s="27">
        <f>IFERROR(VLOOKUP(C36,Scoring!$A$4:$N$51,14,FALSE())*4,"-")</f>
        <v>40</v>
      </c>
      <c r="L36" s="27">
        <f>IFERROR(VLOOKUP(D36,Scoring!$A$4:$N$51,14,FALSE())*3,"-")</f>
        <v>51</v>
      </c>
      <c r="M36" s="27">
        <f>IFERROR(VLOOKUP(E36,Scoring!$A$4:$N$51,14,FALSE())*2,"-")</f>
        <v>4</v>
      </c>
      <c r="N36" s="27">
        <f>IFERROR(VLOOKUP(F36,Scoring!$A$4:$N$51,14,FALSE()),"-")</f>
        <v>9</v>
      </c>
      <c r="O36" s="27">
        <f>IFERROR(VLOOKUP(G36,Scoring!$A$4:$N$51,14,FALSE()),"-")</f>
        <v>16</v>
      </c>
      <c r="P36" s="28">
        <f>IFERROR(VLOOKUP(H36,Scoring!$A$4:$N$51,14,FALSE()),"-")</f>
        <v>2</v>
      </c>
      <c r="Q36" s="28">
        <f>IFERROR(VLOOKUP(I36,Scoring!$A$4:$N$51,6,FALSE()),"-")</f>
        <v>5.5</v>
      </c>
      <c r="R36" s="35">
        <f t="shared" ref="R36:R67" si="3">IF(A36="","-",SUM(J36:Q36))</f>
        <v>289.5</v>
      </c>
      <c r="S36">
        <f t="shared" ref="S36:S67" si="4">IF(A36="","",RANK(R36,$R$4:$R$119))</f>
        <v>87</v>
      </c>
      <c r="T36">
        <f t="shared" ref="T36:T67" si="5">IF(A36="",-1,R36-ROW(R36)/1000000)</f>
        <v>289.49996399999998</v>
      </c>
      <c r="U36" s="142" t="s">
        <v>199</v>
      </c>
      <c r="W36" s="43" t="s">
        <v>143</v>
      </c>
    </row>
    <row r="37" spans="1:23" ht="12.75" customHeight="1" x14ac:dyDescent="0.3">
      <c r="A37" s="26" t="s">
        <v>200</v>
      </c>
      <c r="B37" s="42" t="s">
        <v>29</v>
      </c>
      <c r="C37" s="42" t="s">
        <v>66</v>
      </c>
      <c r="D37" s="42" t="s">
        <v>60</v>
      </c>
      <c r="E37" s="42" t="s">
        <v>72</v>
      </c>
      <c r="F37" s="42" t="s">
        <v>11</v>
      </c>
      <c r="G37" s="42" t="s">
        <v>71</v>
      </c>
      <c r="H37" s="42" t="s">
        <v>87</v>
      </c>
      <c r="I37" s="27" t="s">
        <v>29</v>
      </c>
      <c r="J37" s="27">
        <f>IFERROR(VLOOKUP(B37,Scoring!$A$4:$N$51,14,FALSE())*6,"-")</f>
        <v>102</v>
      </c>
      <c r="K37" s="27">
        <f>IFERROR(VLOOKUP(C37,Scoring!$A$4:$N$51,14,FALSE())*4,"-")</f>
        <v>108</v>
      </c>
      <c r="L37" s="27">
        <f>IFERROR(VLOOKUP(D37,Scoring!$A$4:$N$51,14,FALSE())*3,"-")</f>
        <v>51</v>
      </c>
      <c r="M37" s="27">
        <f>IFERROR(VLOOKUP(E37,Scoring!$A$4:$N$51,14,FALSE())*2,"-")</f>
        <v>38</v>
      </c>
      <c r="N37" s="27">
        <f>IFERROR(VLOOKUP(F37,Scoring!$A$4:$N$51,14,FALSE()),"-")</f>
        <v>19</v>
      </c>
      <c r="O37" s="27">
        <f>IFERROR(VLOOKUP(G37,Scoring!$A$4:$N$51,14,FALSE()),"-")</f>
        <v>16</v>
      </c>
      <c r="P37" s="28">
        <f>IFERROR(VLOOKUP(H37,Scoring!$A$4:$N$51,14,FALSE()),"-")</f>
        <v>8</v>
      </c>
      <c r="Q37" s="28">
        <f>IFERROR(VLOOKUP(I37,Scoring!$A$4:$N$51,6,FALSE()),"-")</f>
        <v>4.5</v>
      </c>
      <c r="R37" s="35">
        <f t="shared" si="3"/>
        <v>346.5</v>
      </c>
      <c r="S37">
        <f t="shared" si="4"/>
        <v>20</v>
      </c>
      <c r="T37">
        <f t="shared" si="5"/>
        <v>346.49996299999998</v>
      </c>
      <c r="U37" s="142" t="s">
        <v>201</v>
      </c>
      <c r="W37" s="43" t="s">
        <v>143</v>
      </c>
    </row>
    <row r="38" spans="1:23" ht="12.75" customHeight="1" x14ac:dyDescent="0.3">
      <c r="A38" s="26" t="s">
        <v>202</v>
      </c>
      <c r="B38" s="42" t="s">
        <v>60</v>
      </c>
      <c r="C38" s="42" t="s">
        <v>78</v>
      </c>
      <c r="D38" s="42" t="s">
        <v>29</v>
      </c>
      <c r="E38" s="42" t="s">
        <v>30</v>
      </c>
      <c r="F38" s="42" t="s">
        <v>47</v>
      </c>
      <c r="G38" s="42" t="s">
        <v>73</v>
      </c>
      <c r="H38" s="42" t="s">
        <v>79</v>
      </c>
      <c r="I38" s="27" t="s">
        <v>29</v>
      </c>
      <c r="J38" s="27">
        <f>IFERROR(VLOOKUP(B38,Scoring!$A$4:$N$51,14,FALSE())*6,"-")</f>
        <v>102</v>
      </c>
      <c r="K38" s="27">
        <f>IFERROR(VLOOKUP(C38,Scoring!$A$4:$N$51,14,FALSE())*4,"-")</f>
        <v>60</v>
      </c>
      <c r="L38" s="27">
        <f>IFERROR(VLOOKUP(D38,Scoring!$A$4:$N$51,14,FALSE())*3,"-")</f>
        <v>51</v>
      </c>
      <c r="M38" s="27">
        <f>IFERROR(VLOOKUP(E38,Scoring!$A$4:$N$51,14,FALSE())*2,"-")</f>
        <v>50</v>
      </c>
      <c r="N38" s="27">
        <f>IFERROR(VLOOKUP(F38,Scoring!$A$4:$N$51,14,FALSE()),"-")</f>
        <v>9</v>
      </c>
      <c r="O38" s="27">
        <f>IFERROR(VLOOKUP(G38,Scoring!$A$4:$N$51,14,FALSE()),"-")</f>
        <v>8</v>
      </c>
      <c r="P38" s="28">
        <f>IFERROR(VLOOKUP(H38,Scoring!$A$4:$N$51,14,FALSE()),"-")</f>
        <v>8</v>
      </c>
      <c r="Q38" s="28">
        <f>IFERROR(VLOOKUP(I38,Scoring!$A$4:$N$51,6,FALSE()),"-")</f>
        <v>4.5</v>
      </c>
      <c r="R38" s="35">
        <f t="shared" si="3"/>
        <v>292.5</v>
      </c>
      <c r="S38">
        <f t="shared" si="4"/>
        <v>84</v>
      </c>
      <c r="T38">
        <f t="shared" si="5"/>
        <v>292.49996199999998</v>
      </c>
      <c r="U38" s="142" t="s">
        <v>203</v>
      </c>
      <c r="W38" s="43" t="s">
        <v>143</v>
      </c>
    </row>
    <row r="39" spans="1:23" ht="12.75" customHeight="1" x14ac:dyDescent="0.3">
      <c r="A39" s="26" t="s">
        <v>204</v>
      </c>
      <c r="B39" s="42" t="s">
        <v>60</v>
      </c>
      <c r="C39" s="42" t="s">
        <v>66</v>
      </c>
      <c r="D39" s="42" t="s">
        <v>72</v>
      </c>
      <c r="E39" s="42" t="s">
        <v>29</v>
      </c>
      <c r="F39" s="42" t="s">
        <v>28</v>
      </c>
      <c r="G39" s="42" t="s">
        <v>50</v>
      </c>
      <c r="H39" s="42" t="s">
        <v>87</v>
      </c>
      <c r="I39" s="27" t="s">
        <v>60</v>
      </c>
      <c r="J39" s="27">
        <f>IFERROR(VLOOKUP(B39,Scoring!$A$4:$N$51,14,FALSE())*6,"-")</f>
        <v>102</v>
      </c>
      <c r="K39" s="27">
        <f>IFERROR(VLOOKUP(C39,Scoring!$A$4:$N$51,14,FALSE())*4,"-")</f>
        <v>108</v>
      </c>
      <c r="L39" s="27">
        <f>IFERROR(VLOOKUP(D39,Scoring!$A$4:$N$51,14,FALSE())*3,"-")</f>
        <v>57</v>
      </c>
      <c r="M39" s="27">
        <f>IFERROR(VLOOKUP(E39,Scoring!$A$4:$N$51,14,FALSE())*2,"-")</f>
        <v>34</v>
      </c>
      <c r="N39" s="27">
        <f>IFERROR(VLOOKUP(F39,Scoring!$A$4:$N$51,14,FALSE()),"-")</f>
        <v>17</v>
      </c>
      <c r="O39" s="27">
        <f>IFERROR(VLOOKUP(G39,Scoring!$A$4:$N$51,14,FALSE()),"-")</f>
        <v>8</v>
      </c>
      <c r="P39" s="28">
        <f>IFERROR(VLOOKUP(H39,Scoring!$A$4:$N$51,14,FALSE()),"-")</f>
        <v>8</v>
      </c>
      <c r="Q39" s="28">
        <f>IFERROR(VLOOKUP(I39,Scoring!$A$4:$N$51,6,FALSE()),"-")</f>
        <v>4</v>
      </c>
      <c r="R39" s="35">
        <f t="shared" si="3"/>
        <v>338</v>
      </c>
      <c r="S39">
        <f t="shared" si="4"/>
        <v>32</v>
      </c>
      <c r="T39">
        <f t="shared" si="5"/>
        <v>337.99996099999998</v>
      </c>
      <c r="U39" s="142" t="s">
        <v>205</v>
      </c>
      <c r="W39" s="43" t="s">
        <v>143</v>
      </c>
    </row>
    <row r="40" spans="1:23" ht="12.75" customHeight="1" x14ac:dyDescent="0.3">
      <c r="A40" s="26" t="s">
        <v>206</v>
      </c>
      <c r="B40" s="42" t="s">
        <v>66</v>
      </c>
      <c r="C40" s="42" t="s">
        <v>60</v>
      </c>
      <c r="D40" s="42" t="s">
        <v>29</v>
      </c>
      <c r="E40" s="42" t="s">
        <v>78</v>
      </c>
      <c r="F40" s="42" t="s">
        <v>39</v>
      </c>
      <c r="G40" s="42" t="s">
        <v>50</v>
      </c>
      <c r="H40" s="42" t="s">
        <v>24</v>
      </c>
      <c r="I40" s="27" t="s">
        <v>40</v>
      </c>
      <c r="J40" s="27">
        <f>IFERROR(VLOOKUP(B40,Scoring!$A$4:$N$51,14,FALSE())*6,"-")</f>
        <v>162</v>
      </c>
      <c r="K40" s="27">
        <f>IFERROR(VLOOKUP(C40,Scoring!$A$4:$N$51,14,FALSE())*4,"-")</f>
        <v>68</v>
      </c>
      <c r="L40" s="27">
        <f>IFERROR(VLOOKUP(D40,Scoring!$A$4:$N$51,14,FALSE())*3,"-")</f>
        <v>51</v>
      </c>
      <c r="M40" s="27">
        <f>IFERROR(VLOOKUP(E40,Scoring!$A$4:$N$51,14,FALSE())*2,"-")</f>
        <v>30</v>
      </c>
      <c r="N40" s="27">
        <f>IFERROR(VLOOKUP(F40,Scoring!$A$4:$N$51,14,FALSE()),"-")</f>
        <v>3</v>
      </c>
      <c r="O40" s="27">
        <f>IFERROR(VLOOKUP(G40,Scoring!$A$4:$N$51,14,FALSE()),"-")</f>
        <v>8</v>
      </c>
      <c r="P40" s="28">
        <f>IFERROR(VLOOKUP(H40,Scoring!$A$4:$N$51,14,FALSE()),"-")</f>
        <v>8</v>
      </c>
      <c r="Q40" s="28">
        <f>IFERROR(VLOOKUP(I40,Scoring!$A$4:$N$51,6,FALSE()),"-")</f>
        <v>5.5</v>
      </c>
      <c r="R40" s="35">
        <f t="shared" si="3"/>
        <v>335.5</v>
      </c>
      <c r="S40">
        <f t="shared" si="4"/>
        <v>35</v>
      </c>
      <c r="T40">
        <f t="shared" si="5"/>
        <v>335.49995999999999</v>
      </c>
      <c r="U40" s="142" t="s">
        <v>207</v>
      </c>
      <c r="W40" s="43" t="s">
        <v>143</v>
      </c>
    </row>
    <row r="41" spans="1:23" ht="12.75" customHeight="1" x14ac:dyDescent="0.3">
      <c r="A41" s="26" t="s">
        <v>208</v>
      </c>
      <c r="B41" s="42" t="s">
        <v>29</v>
      </c>
      <c r="C41" s="42" t="s">
        <v>60</v>
      </c>
      <c r="D41" s="42" t="s">
        <v>72</v>
      </c>
      <c r="E41" s="42" t="s">
        <v>66</v>
      </c>
      <c r="F41" s="42" t="s">
        <v>28</v>
      </c>
      <c r="G41" s="42" t="s">
        <v>71</v>
      </c>
      <c r="H41" s="42" t="s">
        <v>87</v>
      </c>
      <c r="I41" s="27" t="s">
        <v>66</v>
      </c>
      <c r="J41" s="27">
        <f>IFERROR(VLOOKUP(B41,Scoring!$A$4:$N$51,14,FALSE())*6,"-")</f>
        <v>102</v>
      </c>
      <c r="K41" s="27">
        <f>IFERROR(VLOOKUP(C41,Scoring!$A$4:$N$51,14,FALSE())*4,"-")</f>
        <v>68</v>
      </c>
      <c r="L41" s="27">
        <f>IFERROR(VLOOKUP(D41,Scoring!$A$4:$N$51,14,FALSE())*3,"-")</f>
        <v>57</v>
      </c>
      <c r="M41" s="27">
        <f>IFERROR(VLOOKUP(E41,Scoring!$A$4:$N$51,14,FALSE())*2,"-")</f>
        <v>54</v>
      </c>
      <c r="N41" s="27">
        <f>IFERROR(VLOOKUP(F41,Scoring!$A$4:$N$51,14,FALSE()),"-")</f>
        <v>17</v>
      </c>
      <c r="O41" s="27">
        <f>IFERROR(VLOOKUP(G41,Scoring!$A$4:$N$51,14,FALSE()),"-")</f>
        <v>16</v>
      </c>
      <c r="P41" s="28">
        <f>IFERROR(VLOOKUP(H41,Scoring!$A$4:$N$51,14,FALSE()),"-")</f>
        <v>8</v>
      </c>
      <c r="Q41" s="28">
        <f>IFERROR(VLOOKUP(I41,Scoring!$A$4:$N$51,6,FALSE()),"-")</f>
        <v>7</v>
      </c>
      <c r="R41" s="35">
        <f t="shared" si="3"/>
        <v>329</v>
      </c>
      <c r="S41">
        <f t="shared" si="4"/>
        <v>45</v>
      </c>
      <c r="T41">
        <f t="shared" si="5"/>
        <v>328.99995899999999</v>
      </c>
      <c r="U41" s="142" t="s">
        <v>209</v>
      </c>
      <c r="W41" s="43" t="s">
        <v>143</v>
      </c>
    </row>
    <row r="42" spans="1:23" ht="12.75" customHeight="1" x14ac:dyDescent="0.3">
      <c r="A42" s="26" t="s">
        <v>210</v>
      </c>
      <c r="B42" s="42" t="s">
        <v>60</v>
      </c>
      <c r="C42" s="42" t="s">
        <v>78</v>
      </c>
      <c r="D42" s="42" t="s">
        <v>66</v>
      </c>
      <c r="E42" s="42" t="s">
        <v>72</v>
      </c>
      <c r="F42" s="42" t="s">
        <v>11</v>
      </c>
      <c r="G42" s="42" t="s">
        <v>71</v>
      </c>
      <c r="H42" s="42" t="s">
        <v>82</v>
      </c>
      <c r="I42" s="27" t="s">
        <v>60</v>
      </c>
      <c r="J42" s="27">
        <f>IFERROR(VLOOKUP(B42,Scoring!$A$4:$N$51,14,FALSE())*6,"-")</f>
        <v>102</v>
      </c>
      <c r="K42" s="27">
        <f>IFERROR(VLOOKUP(C42,Scoring!$A$4:$N$51,14,FALSE())*4,"-")</f>
        <v>60</v>
      </c>
      <c r="L42" s="27">
        <f>IFERROR(VLOOKUP(D42,Scoring!$A$4:$N$51,14,FALSE())*3,"-")</f>
        <v>81</v>
      </c>
      <c r="M42" s="27">
        <f>IFERROR(VLOOKUP(E42,Scoring!$A$4:$N$51,14,FALSE())*2,"-")</f>
        <v>38</v>
      </c>
      <c r="N42" s="27">
        <f>IFERROR(VLOOKUP(F42,Scoring!$A$4:$N$51,14,FALSE()),"-")</f>
        <v>19</v>
      </c>
      <c r="O42" s="27">
        <f>IFERROR(VLOOKUP(G42,Scoring!$A$4:$N$51,14,FALSE()),"-")</f>
        <v>16</v>
      </c>
      <c r="P42" s="28">
        <f>IFERROR(VLOOKUP(H42,Scoring!$A$4:$N$51,14,FALSE()),"-")</f>
        <v>0</v>
      </c>
      <c r="Q42" s="28">
        <f>IFERROR(VLOOKUP(I42,Scoring!$A$4:$N$51,6,FALSE()),"-")</f>
        <v>4</v>
      </c>
      <c r="R42" s="35">
        <f t="shared" si="3"/>
        <v>320</v>
      </c>
      <c r="S42">
        <f t="shared" si="4"/>
        <v>61</v>
      </c>
      <c r="T42">
        <f t="shared" si="5"/>
        <v>319.99995799999999</v>
      </c>
      <c r="U42" s="142" t="s">
        <v>211</v>
      </c>
    </row>
    <row r="43" spans="1:23" ht="12.75" customHeight="1" x14ac:dyDescent="0.3">
      <c r="A43" s="26" t="s">
        <v>212</v>
      </c>
      <c r="B43" s="42" t="s">
        <v>66</v>
      </c>
      <c r="C43" s="42" t="s">
        <v>84</v>
      </c>
      <c r="D43" s="42" t="s">
        <v>60</v>
      </c>
      <c r="E43" s="42" t="s">
        <v>72</v>
      </c>
      <c r="F43" s="42" t="s">
        <v>47</v>
      </c>
      <c r="G43" s="42" t="s">
        <v>71</v>
      </c>
      <c r="H43" s="42" t="s">
        <v>24</v>
      </c>
      <c r="I43" s="27" t="s">
        <v>66</v>
      </c>
      <c r="J43" s="27">
        <f>IFERROR(VLOOKUP(B43,Scoring!$A$4:$N$51,14,FALSE())*6,"-")</f>
        <v>162</v>
      </c>
      <c r="K43" s="27">
        <f>IFERROR(VLOOKUP(C43,Scoring!$A$4:$N$51,14,FALSE())*4,"-")</f>
        <v>68</v>
      </c>
      <c r="L43" s="27">
        <f>IFERROR(VLOOKUP(D43,Scoring!$A$4:$N$51,14,FALSE())*3,"-")</f>
        <v>51</v>
      </c>
      <c r="M43" s="27">
        <f>IFERROR(VLOOKUP(E43,Scoring!$A$4:$N$51,14,FALSE())*2,"-")</f>
        <v>38</v>
      </c>
      <c r="N43" s="27">
        <f>IFERROR(VLOOKUP(F43,Scoring!$A$4:$N$51,14,FALSE()),"-")</f>
        <v>9</v>
      </c>
      <c r="O43" s="27">
        <f>IFERROR(VLOOKUP(G43,Scoring!$A$4:$N$51,14,FALSE()),"-")</f>
        <v>16</v>
      </c>
      <c r="P43" s="28">
        <f>IFERROR(VLOOKUP(H43,Scoring!$A$4:$N$51,14,FALSE()),"-")</f>
        <v>8</v>
      </c>
      <c r="Q43" s="28">
        <f>IFERROR(VLOOKUP(I43,Scoring!$A$4:$N$51,6,FALSE()),"-")</f>
        <v>7</v>
      </c>
      <c r="R43" s="35">
        <f t="shared" si="3"/>
        <v>359</v>
      </c>
      <c r="S43">
        <f t="shared" si="4"/>
        <v>5</v>
      </c>
      <c r="T43">
        <f t="shared" si="5"/>
        <v>358.99995699999999</v>
      </c>
      <c r="U43" s="142" t="s">
        <v>213</v>
      </c>
      <c r="W43" s="43" t="s">
        <v>143</v>
      </c>
    </row>
    <row r="44" spans="1:23" ht="12.75" customHeight="1" x14ac:dyDescent="0.3">
      <c r="A44" s="26" t="s">
        <v>214</v>
      </c>
      <c r="B44" s="42" t="s">
        <v>60</v>
      </c>
      <c r="C44" s="42" t="s">
        <v>72</v>
      </c>
      <c r="D44" s="42" t="s">
        <v>66</v>
      </c>
      <c r="E44" s="42" t="s">
        <v>84</v>
      </c>
      <c r="F44" s="42" t="s">
        <v>47</v>
      </c>
      <c r="G44" s="42" t="s">
        <v>71</v>
      </c>
      <c r="H44" s="42" t="s">
        <v>24</v>
      </c>
      <c r="I44" s="27" t="s">
        <v>60</v>
      </c>
      <c r="J44" s="27">
        <f>IFERROR(VLOOKUP(B44,Scoring!$A$4:$N$51,14,FALSE())*6,"-")</f>
        <v>102</v>
      </c>
      <c r="K44" s="27">
        <f>IFERROR(VLOOKUP(C44,Scoring!$A$4:$N$51,14,FALSE())*4,"-")</f>
        <v>76</v>
      </c>
      <c r="L44" s="27">
        <f>IFERROR(VLOOKUP(D44,Scoring!$A$4:$N$51,14,FALSE())*3,"-")</f>
        <v>81</v>
      </c>
      <c r="M44" s="27">
        <f>IFERROR(VLOOKUP(E44,Scoring!$A$4:$N$51,14,FALSE())*2,"-")</f>
        <v>34</v>
      </c>
      <c r="N44" s="27">
        <f>IFERROR(VLOOKUP(F44,Scoring!$A$4:$N$51,14,FALSE()),"-")</f>
        <v>9</v>
      </c>
      <c r="O44" s="27">
        <f>IFERROR(VLOOKUP(G44,Scoring!$A$4:$N$51,14,FALSE()),"-")</f>
        <v>16</v>
      </c>
      <c r="P44" s="28">
        <f>IFERROR(VLOOKUP(H44,Scoring!$A$4:$N$51,14,FALSE()),"-")</f>
        <v>8</v>
      </c>
      <c r="Q44" s="28">
        <f>IFERROR(VLOOKUP(I44,Scoring!$A$4:$N$51,6,FALSE()),"-")</f>
        <v>4</v>
      </c>
      <c r="R44" s="35">
        <f t="shared" si="3"/>
        <v>330</v>
      </c>
      <c r="S44">
        <f t="shared" si="4"/>
        <v>43</v>
      </c>
      <c r="T44">
        <f t="shared" si="5"/>
        <v>329.999956</v>
      </c>
      <c r="U44" s="142" t="s">
        <v>213</v>
      </c>
      <c r="W44" s="43" t="s">
        <v>143</v>
      </c>
    </row>
    <row r="45" spans="1:23" ht="12.75" customHeight="1" x14ac:dyDescent="0.3">
      <c r="A45" s="26" t="s">
        <v>215</v>
      </c>
      <c r="B45" s="42" t="s">
        <v>84</v>
      </c>
      <c r="C45" s="42" t="s">
        <v>60</v>
      </c>
      <c r="D45" s="42" t="s">
        <v>78</v>
      </c>
      <c r="E45" s="42" t="s">
        <v>66</v>
      </c>
      <c r="F45" s="42" t="s">
        <v>39</v>
      </c>
      <c r="G45" s="42" t="s">
        <v>71</v>
      </c>
      <c r="H45" s="42" t="s">
        <v>24</v>
      </c>
      <c r="I45" s="27" t="s">
        <v>84</v>
      </c>
      <c r="J45" s="27">
        <f>IFERROR(VLOOKUP(B45,Scoring!$A$4:$N$51,14,FALSE())*6,"-")</f>
        <v>102</v>
      </c>
      <c r="K45" s="27">
        <f>IFERROR(VLOOKUP(C45,Scoring!$A$4:$N$51,14,FALSE())*4,"-")</f>
        <v>68</v>
      </c>
      <c r="L45" s="27">
        <f>IFERROR(VLOOKUP(D45,Scoring!$A$4:$N$51,14,FALSE())*3,"-")</f>
        <v>45</v>
      </c>
      <c r="M45" s="27">
        <f>IFERROR(VLOOKUP(E45,Scoring!$A$4:$N$51,14,FALSE())*2,"-")</f>
        <v>54</v>
      </c>
      <c r="N45" s="27">
        <f>IFERROR(VLOOKUP(F45,Scoring!$A$4:$N$51,14,FALSE()),"-")</f>
        <v>3</v>
      </c>
      <c r="O45" s="27">
        <f>IFERROR(VLOOKUP(G45,Scoring!$A$4:$N$51,14,FALSE()),"-")</f>
        <v>16</v>
      </c>
      <c r="P45" s="28">
        <f>IFERROR(VLOOKUP(H45,Scoring!$A$4:$N$51,14,FALSE()),"-")</f>
        <v>8</v>
      </c>
      <c r="Q45" s="28">
        <f>IFERROR(VLOOKUP(I45,Scoring!$A$4:$N$51,6,FALSE()),"-")</f>
        <v>4</v>
      </c>
      <c r="R45" s="35">
        <f t="shared" si="3"/>
        <v>300</v>
      </c>
      <c r="S45">
        <f t="shared" si="4"/>
        <v>78</v>
      </c>
      <c r="T45">
        <f t="shared" si="5"/>
        <v>299.999955</v>
      </c>
      <c r="U45" s="142" t="s">
        <v>216</v>
      </c>
      <c r="W45" s="43" t="s">
        <v>143</v>
      </c>
    </row>
    <row r="46" spans="1:23" ht="12.75" customHeight="1" x14ac:dyDescent="0.3">
      <c r="A46" s="26" t="s">
        <v>217</v>
      </c>
      <c r="B46" s="42" t="s">
        <v>60</v>
      </c>
      <c r="C46" s="42" t="s">
        <v>84</v>
      </c>
      <c r="D46" s="42" t="s">
        <v>66</v>
      </c>
      <c r="E46" s="42" t="s">
        <v>72</v>
      </c>
      <c r="F46" s="42" t="s">
        <v>83</v>
      </c>
      <c r="G46" s="42" t="s">
        <v>71</v>
      </c>
      <c r="H46" s="42" t="s">
        <v>24</v>
      </c>
      <c r="I46" s="27" t="s">
        <v>60</v>
      </c>
      <c r="J46" s="27">
        <f>IFERROR(VLOOKUP(B46,Scoring!$A$4:$N$51,14,FALSE())*6,"-")</f>
        <v>102</v>
      </c>
      <c r="K46" s="27">
        <f>IFERROR(VLOOKUP(C46,Scoring!$A$4:$N$51,14,FALSE())*4,"-")</f>
        <v>68</v>
      </c>
      <c r="L46" s="27">
        <f>IFERROR(VLOOKUP(D46,Scoring!$A$4:$N$51,14,FALSE())*3,"-")</f>
        <v>81</v>
      </c>
      <c r="M46" s="27">
        <f>IFERROR(VLOOKUP(E46,Scoring!$A$4:$N$51,14,FALSE())*2,"-")</f>
        <v>38</v>
      </c>
      <c r="N46" s="27">
        <f>IFERROR(VLOOKUP(F46,Scoring!$A$4:$N$51,14,FALSE()),"-")</f>
        <v>17</v>
      </c>
      <c r="O46" s="27">
        <f>IFERROR(VLOOKUP(G46,Scoring!$A$4:$N$51,14,FALSE()),"-")</f>
        <v>16</v>
      </c>
      <c r="P46" s="28">
        <f>IFERROR(VLOOKUP(H46,Scoring!$A$4:$N$51,14,FALSE()),"-")</f>
        <v>8</v>
      </c>
      <c r="Q46" s="28">
        <f>IFERROR(VLOOKUP(I46,Scoring!$A$4:$N$51,6,FALSE()),"-")</f>
        <v>4</v>
      </c>
      <c r="R46" s="35">
        <f t="shared" si="3"/>
        <v>334</v>
      </c>
      <c r="S46">
        <f t="shared" si="4"/>
        <v>37</v>
      </c>
      <c r="T46">
        <f t="shared" si="5"/>
        <v>333.999954</v>
      </c>
      <c r="U46" s="142" t="s">
        <v>218</v>
      </c>
      <c r="W46" s="43" t="s">
        <v>143</v>
      </c>
    </row>
    <row r="47" spans="1:23" ht="12.75" customHeight="1" x14ac:dyDescent="0.3">
      <c r="A47" s="26" t="s">
        <v>219</v>
      </c>
      <c r="B47" s="42" t="s">
        <v>78</v>
      </c>
      <c r="C47" s="42" t="s">
        <v>66</v>
      </c>
      <c r="D47" s="42" t="s">
        <v>29</v>
      </c>
      <c r="E47" s="42" t="s">
        <v>60</v>
      </c>
      <c r="F47" s="42" t="s">
        <v>83</v>
      </c>
      <c r="G47" s="42" t="s">
        <v>71</v>
      </c>
      <c r="H47" s="42" t="s">
        <v>77</v>
      </c>
      <c r="I47" s="27" t="s">
        <v>29</v>
      </c>
      <c r="J47" s="27">
        <f>IFERROR(VLOOKUP(B47,Scoring!$A$4:$N$51,14,FALSE())*6,"-")</f>
        <v>90</v>
      </c>
      <c r="K47" s="27">
        <f>IFERROR(VLOOKUP(C47,Scoring!$A$4:$N$51,14,FALSE())*4,"-")</f>
        <v>108</v>
      </c>
      <c r="L47" s="27">
        <f>IFERROR(VLOOKUP(D47,Scoring!$A$4:$N$51,14,FALSE())*3,"-")</f>
        <v>51</v>
      </c>
      <c r="M47" s="27">
        <f>IFERROR(VLOOKUP(E47,Scoring!$A$4:$N$51,14,FALSE())*2,"-")</f>
        <v>34</v>
      </c>
      <c r="N47" s="27">
        <f>IFERROR(VLOOKUP(F47,Scoring!$A$4:$N$51,14,FALSE()),"-")</f>
        <v>17</v>
      </c>
      <c r="O47" s="27">
        <f>IFERROR(VLOOKUP(G47,Scoring!$A$4:$N$51,14,FALSE()),"-")</f>
        <v>16</v>
      </c>
      <c r="P47" s="28">
        <f>IFERROR(VLOOKUP(H47,Scoring!$A$4:$N$51,14,FALSE()),"-")</f>
        <v>0</v>
      </c>
      <c r="Q47" s="28">
        <f>IFERROR(VLOOKUP(I47,Scoring!$A$4:$N$51,6,FALSE()),"-")</f>
        <v>4.5</v>
      </c>
      <c r="R47" s="35">
        <f t="shared" si="3"/>
        <v>320.5</v>
      </c>
      <c r="S47">
        <f t="shared" si="4"/>
        <v>58</v>
      </c>
      <c r="T47">
        <f t="shared" si="5"/>
        <v>320.499953</v>
      </c>
      <c r="U47" s="142" t="s">
        <v>220</v>
      </c>
      <c r="W47" s="43" t="s">
        <v>143</v>
      </c>
    </row>
    <row r="48" spans="1:23" ht="12.75" customHeight="1" x14ac:dyDescent="0.3">
      <c r="A48" s="26" t="s">
        <v>221</v>
      </c>
      <c r="B48" s="42" t="s">
        <v>60</v>
      </c>
      <c r="C48" s="42" t="s">
        <v>66</v>
      </c>
      <c r="D48" s="42" t="s">
        <v>84</v>
      </c>
      <c r="E48" s="42" t="s">
        <v>78</v>
      </c>
      <c r="F48" s="42" t="s">
        <v>65</v>
      </c>
      <c r="G48" s="42" t="s">
        <v>71</v>
      </c>
      <c r="H48" s="42" t="s">
        <v>82</v>
      </c>
      <c r="I48" s="27" t="s">
        <v>60</v>
      </c>
      <c r="J48" s="27">
        <f>IFERROR(VLOOKUP(B48,Scoring!$A$4:$N$51,14,FALSE())*6,"-")</f>
        <v>102</v>
      </c>
      <c r="K48" s="27">
        <f>IFERROR(VLOOKUP(C48,Scoring!$A$4:$N$51,14,FALSE())*4,"-")</f>
        <v>108</v>
      </c>
      <c r="L48" s="27">
        <f>IFERROR(VLOOKUP(D48,Scoring!$A$4:$N$51,14,FALSE())*3,"-")</f>
        <v>51</v>
      </c>
      <c r="M48" s="27">
        <f>IFERROR(VLOOKUP(E48,Scoring!$A$4:$N$51,14,FALSE())*2,"-")</f>
        <v>30</v>
      </c>
      <c r="N48" s="27">
        <f>IFERROR(VLOOKUP(F48,Scoring!$A$4:$N$51,14,FALSE()),"-")</f>
        <v>2</v>
      </c>
      <c r="O48" s="27">
        <f>IFERROR(VLOOKUP(G48,Scoring!$A$4:$N$51,14,FALSE()),"-")</f>
        <v>16</v>
      </c>
      <c r="P48" s="28">
        <f>IFERROR(VLOOKUP(H48,Scoring!$A$4:$N$51,14,FALSE()),"-")</f>
        <v>0</v>
      </c>
      <c r="Q48" s="28">
        <f>IFERROR(VLOOKUP(I48,Scoring!$A$4:$N$51,6,FALSE()),"-")</f>
        <v>4</v>
      </c>
      <c r="R48" s="35">
        <f t="shared" si="3"/>
        <v>313</v>
      </c>
      <c r="S48">
        <f t="shared" si="4"/>
        <v>68</v>
      </c>
      <c r="T48">
        <f t="shared" si="5"/>
        <v>312.99995200000001</v>
      </c>
      <c r="U48" s="142" t="s">
        <v>222</v>
      </c>
      <c r="W48" s="43" t="s">
        <v>143</v>
      </c>
    </row>
    <row r="49" spans="1:23" ht="12.75" customHeight="1" x14ac:dyDescent="0.3">
      <c r="A49" s="26" t="s">
        <v>223</v>
      </c>
      <c r="B49" s="42" t="s">
        <v>40</v>
      </c>
      <c r="C49" s="42" t="s">
        <v>29</v>
      </c>
      <c r="D49" s="42" t="s">
        <v>60</v>
      </c>
      <c r="E49" s="42" t="s">
        <v>72</v>
      </c>
      <c r="F49" s="42" t="s">
        <v>35</v>
      </c>
      <c r="G49" s="42" t="s">
        <v>71</v>
      </c>
      <c r="H49" s="42" t="s">
        <v>24</v>
      </c>
      <c r="I49" s="27" t="s">
        <v>40</v>
      </c>
      <c r="J49" s="27">
        <f>IFERROR(VLOOKUP(B49,Scoring!$A$4:$N$51,14,FALSE())*6,"-")</f>
        <v>60</v>
      </c>
      <c r="K49" s="27">
        <f>IFERROR(VLOOKUP(C49,Scoring!$A$4:$N$51,14,FALSE())*4,"-")</f>
        <v>68</v>
      </c>
      <c r="L49" s="27">
        <f>IFERROR(VLOOKUP(D49,Scoring!$A$4:$N$51,14,FALSE())*3,"-")</f>
        <v>51</v>
      </c>
      <c r="M49" s="27">
        <f>IFERROR(VLOOKUP(E49,Scoring!$A$4:$N$51,14,FALSE())*2,"-")</f>
        <v>38</v>
      </c>
      <c r="N49" s="27">
        <f>IFERROR(VLOOKUP(F49,Scoring!$A$4:$N$51,14,FALSE()),"-")</f>
        <v>16</v>
      </c>
      <c r="O49" s="27">
        <f>IFERROR(VLOOKUP(G49,Scoring!$A$4:$N$51,14,FALSE()),"-")</f>
        <v>16</v>
      </c>
      <c r="P49" s="28">
        <f>IFERROR(VLOOKUP(H49,Scoring!$A$4:$N$51,14,FALSE()),"-")</f>
        <v>8</v>
      </c>
      <c r="Q49" s="28">
        <f>IFERROR(VLOOKUP(I49,Scoring!$A$4:$N$51,6,FALSE()),"-")</f>
        <v>5.5</v>
      </c>
      <c r="R49" s="35">
        <f t="shared" si="3"/>
        <v>262.5</v>
      </c>
      <c r="S49">
        <f t="shared" si="4"/>
        <v>97</v>
      </c>
      <c r="T49">
        <f t="shared" si="5"/>
        <v>262.49995100000001</v>
      </c>
      <c r="U49" s="142" t="s">
        <v>222</v>
      </c>
      <c r="W49" s="43" t="s">
        <v>143</v>
      </c>
    </row>
    <row r="50" spans="1:23" ht="12.75" customHeight="1" x14ac:dyDescent="0.3">
      <c r="A50" s="26" t="s">
        <v>224</v>
      </c>
      <c r="B50" s="42" t="s">
        <v>84</v>
      </c>
      <c r="C50" s="42" t="s">
        <v>60</v>
      </c>
      <c r="D50" s="42" t="s">
        <v>29</v>
      </c>
      <c r="E50" s="42" t="s">
        <v>66</v>
      </c>
      <c r="F50" s="42" t="s">
        <v>83</v>
      </c>
      <c r="G50" s="42" t="s">
        <v>71</v>
      </c>
      <c r="H50" s="42" t="s">
        <v>87</v>
      </c>
      <c r="I50" s="27" t="s">
        <v>29</v>
      </c>
      <c r="J50" s="27">
        <f>IFERROR(VLOOKUP(B50,Scoring!$A$4:$N$51,14,FALSE())*6,"-")</f>
        <v>102</v>
      </c>
      <c r="K50" s="27">
        <f>IFERROR(VLOOKUP(C50,Scoring!$A$4:$N$51,14,FALSE())*4,"-")</f>
        <v>68</v>
      </c>
      <c r="L50" s="27">
        <f>IFERROR(VLOOKUP(D50,Scoring!$A$4:$N$51,14,FALSE())*3,"-")</f>
        <v>51</v>
      </c>
      <c r="M50" s="27">
        <f>IFERROR(VLOOKUP(E50,Scoring!$A$4:$N$51,14,FALSE())*2,"-")</f>
        <v>54</v>
      </c>
      <c r="N50" s="27">
        <f>IFERROR(VLOOKUP(F50,Scoring!$A$4:$N$51,14,FALSE()),"-")</f>
        <v>17</v>
      </c>
      <c r="O50" s="27">
        <f>IFERROR(VLOOKUP(G50,Scoring!$A$4:$N$51,14,FALSE()),"-")</f>
        <v>16</v>
      </c>
      <c r="P50" s="28">
        <f>IFERROR(VLOOKUP(H50,Scoring!$A$4:$N$51,14,FALSE()),"-")</f>
        <v>8</v>
      </c>
      <c r="Q50" s="28">
        <f>IFERROR(VLOOKUP(I50,Scoring!$A$4:$N$51,6,FALSE()),"-")</f>
        <v>4.5</v>
      </c>
      <c r="R50" s="35">
        <f t="shared" si="3"/>
        <v>320.5</v>
      </c>
      <c r="S50">
        <f t="shared" si="4"/>
        <v>58</v>
      </c>
      <c r="T50">
        <f t="shared" si="5"/>
        <v>320.49995000000001</v>
      </c>
      <c r="U50" s="142" t="s">
        <v>225</v>
      </c>
      <c r="W50" s="43" t="s">
        <v>143</v>
      </c>
    </row>
    <row r="51" spans="1:23" ht="12.75" customHeight="1" x14ac:dyDescent="0.3">
      <c r="A51" s="26" t="s">
        <v>226</v>
      </c>
      <c r="B51" s="42" t="s">
        <v>60</v>
      </c>
      <c r="C51" s="42" t="s">
        <v>29</v>
      </c>
      <c r="D51" s="42" t="s">
        <v>84</v>
      </c>
      <c r="E51" s="42" t="s">
        <v>78</v>
      </c>
      <c r="F51" s="42" t="s">
        <v>11</v>
      </c>
      <c r="G51" s="42" t="s">
        <v>71</v>
      </c>
      <c r="H51" s="42" t="s">
        <v>24</v>
      </c>
      <c r="I51" s="27" t="s">
        <v>29</v>
      </c>
      <c r="J51" s="27">
        <f>IFERROR(VLOOKUP(B51,Scoring!$A$4:$N$51,14,FALSE())*6,"-")</f>
        <v>102</v>
      </c>
      <c r="K51" s="27">
        <f>IFERROR(VLOOKUP(C51,Scoring!$A$4:$N$51,14,FALSE())*4,"-")</f>
        <v>68</v>
      </c>
      <c r="L51" s="27">
        <f>IFERROR(VLOOKUP(D51,Scoring!$A$4:$N$51,14,FALSE())*3,"-")</f>
        <v>51</v>
      </c>
      <c r="M51" s="27">
        <f>IFERROR(VLOOKUP(E51,Scoring!$A$4:$N$51,14,FALSE())*2,"-")</f>
        <v>30</v>
      </c>
      <c r="N51" s="27">
        <f>IFERROR(VLOOKUP(F51,Scoring!$A$4:$N$51,14,FALSE()),"-")</f>
        <v>19</v>
      </c>
      <c r="O51" s="27">
        <f>IFERROR(VLOOKUP(G51,Scoring!$A$4:$N$51,14,FALSE()),"-")</f>
        <v>16</v>
      </c>
      <c r="P51" s="28">
        <f>IFERROR(VLOOKUP(H51,Scoring!$A$4:$N$51,14,FALSE()),"-")</f>
        <v>8</v>
      </c>
      <c r="Q51" s="28">
        <f>IFERROR(VLOOKUP(I51,Scoring!$A$4:$N$51,6,FALSE()),"-")</f>
        <v>4.5</v>
      </c>
      <c r="R51" s="35">
        <f t="shared" si="3"/>
        <v>298.5</v>
      </c>
      <c r="S51">
        <f t="shared" si="4"/>
        <v>79</v>
      </c>
      <c r="T51">
        <f t="shared" si="5"/>
        <v>298.49994900000002</v>
      </c>
      <c r="U51" s="142" t="s">
        <v>227</v>
      </c>
      <c r="W51" s="43" t="s">
        <v>143</v>
      </c>
    </row>
    <row r="52" spans="1:23" ht="12.75" customHeight="1" x14ac:dyDescent="0.3">
      <c r="A52" s="26" t="s">
        <v>228</v>
      </c>
      <c r="B52" s="42" t="s">
        <v>60</v>
      </c>
      <c r="C52" s="42" t="s">
        <v>66</v>
      </c>
      <c r="D52" s="42" t="s">
        <v>84</v>
      </c>
      <c r="E52" s="42" t="s">
        <v>72</v>
      </c>
      <c r="F52" s="42" t="s">
        <v>47</v>
      </c>
      <c r="G52" s="42" t="s">
        <v>38</v>
      </c>
      <c r="H52" s="42" t="s">
        <v>24</v>
      </c>
      <c r="I52" s="27" t="s">
        <v>60</v>
      </c>
      <c r="J52" s="27">
        <f>IFERROR(VLOOKUP(B52,Scoring!$A$4:$N$51,14,FALSE())*6,"-")</f>
        <v>102</v>
      </c>
      <c r="K52" s="27">
        <f>IFERROR(VLOOKUP(C52,Scoring!$A$4:$N$51,14,FALSE())*4,"-")</f>
        <v>108</v>
      </c>
      <c r="L52" s="27">
        <f>IFERROR(VLOOKUP(D52,Scoring!$A$4:$N$51,14,FALSE())*3,"-")</f>
        <v>51</v>
      </c>
      <c r="M52" s="27">
        <f>IFERROR(VLOOKUP(E52,Scoring!$A$4:$N$51,14,FALSE())*2,"-")</f>
        <v>38</v>
      </c>
      <c r="N52" s="27">
        <f>IFERROR(VLOOKUP(F52,Scoring!$A$4:$N$51,14,FALSE()),"-")</f>
        <v>9</v>
      </c>
      <c r="O52" s="27">
        <f>IFERROR(VLOOKUP(G52,Scoring!$A$4:$N$51,14,FALSE()),"-")</f>
        <v>8</v>
      </c>
      <c r="P52" s="28">
        <f>IFERROR(VLOOKUP(H52,Scoring!$A$4:$N$51,14,FALSE()),"-")</f>
        <v>8</v>
      </c>
      <c r="Q52" s="28">
        <f>IFERROR(VLOOKUP(I52,Scoring!$A$4:$N$51,6,FALSE()),"-")</f>
        <v>4</v>
      </c>
      <c r="R52" s="35">
        <f t="shared" si="3"/>
        <v>328</v>
      </c>
      <c r="S52">
        <f t="shared" si="4"/>
        <v>47</v>
      </c>
      <c r="T52">
        <f t="shared" si="5"/>
        <v>327.99994800000002</v>
      </c>
      <c r="U52" s="142" t="s">
        <v>229</v>
      </c>
      <c r="W52" s="43" t="s">
        <v>143</v>
      </c>
    </row>
    <row r="53" spans="1:23" ht="12.75" customHeight="1" x14ac:dyDescent="0.3">
      <c r="A53" s="26" t="s">
        <v>230</v>
      </c>
      <c r="B53" s="42" t="s">
        <v>29</v>
      </c>
      <c r="C53" s="42" t="s">
        <v>84</v>
      </c>
      <c r="D53" s="42" t="s">
        <v>66</v>
      </c>
      <c r="E53" s="42" t="s">
        <v>60</v>
      </c>
      <c r="F53" s="42" t="s">
        <v>65</v>
      </c>
      <c r="G53" s="42" t="s">
        <v>71</v>
      </c>
      <c r="H53" s="42" t="s">
        <v>24</v>
      </c>
      <c r="I53" s="27" t="s">
        <v>29</v>
      </c>
      <c r="J53" s="27">
        <f>IFERROR(VLOOKUP(B53,Scoring!$A$4:$N$51,14,FALSE())*6,"-")</f>
        <v>102</v>
      </c>
      <c r="K53" s="27">
        <f>IFERROR(VLOOKUP(C53,Scoring!$A$4:$N$51,14,FALSE())*4,"-")</f>
        <v>68</v>
      </c>
      <c r="L53" s="27">
        <f>IFERROR(VLOOKUP(D53,Scoring!$A$4:$N$51,14,FALSE())*3,"-")</f>
        <v>81</v>
      </c>
      <c r="M53" s="27">
        <f>IFERROR(VLOOKUP(E53,Scoring!$A$4:$N$51,14,FALSE())*2,"-")</f>
        <v>34</v>
      </c>
      <c r="N53" s="27">
        <f>IFERROR(VLOOKUP(F53,Scoring!$A$4:$N$51,14,FALSE()),"-")</f>
        <v>2</v>
      </c>
      <c r="O53" s="27">
        <f>IFERROR(VLOOKUP(G53,Scoring!$A$4:$N$51,14,FALSE()),"-")</f>
        <v>16</v>
      </c>
      <c r="P53" s="28">
        <f>IFERROR(VLOOKUP(H53,Scoring!$A$4:$N$51,14,FALSE()),"-")</f>
        <v>8</v>
      </c>
      <c r="Q53" s="28">
        <f>IFERROR(VLOOKUP(I53,Scoring!$A$4:$N$51,6,FALSE()),"-")</f>
        <v>4.5</v>
      </c>
      <c r="R53" s="35">
        <f t="shared" si="3"/>
        <v>315.5</v>
      </c>
      <c r="S53">
        <f t="shared" si="4"/>
        <v>66</v>
      </c>
      <c r="T53">
        <f t="shared" si="5"/>
        <v>315.49994700000002</v>
      </c>
      <c r="U53" s="142" t="s">
        <v>231</v>
      </c>
      <c r="W53" s="43" t="s">
        <v>143</v>
      </c>
    </row>
    <row r="54" spans="1:23" ht="12.75" customHeight="1" x14ac:dyDescent="0.3">
      <c r="A54" s="26" t="s">
        <v>232</v>
      </c>
      <c r="B54" s="42" t="s">
        <v>78</v>
      </c>
      <c r="C54" s="42" t="s">
        <v>60</v>
      </c>
      <c r="D54" s="42" t="s">
        <v>29</v>
      </c>
      <c r="E54" s="42" t="s">
        <v>66</v>
      </c>
      <c r="F54" s="42" t="s">
        <v>65</v>
      </c>
      <c r="G54" s="42" t="s">
        <v>54</v>
      </c>
      <c r="H54" s="42" t="s">
        <v>87</v>
      </c>
      <c r="I54" s="27" t="s">
        <v>78</v>
      </c>
      <c r="J54" s="27">
        <f>IFERROR(VLOOKUP(B54,Scoring!$A$4:$N$51,14,FALSE())*6,"-")</f>
        <v>90</v>
      </c>
      <c r="K54" s="27">
        <f>IFERROR(VLOOKUP(C54,Scoring!$A$4:$N$51,14,FALSE())*4,"-")</f>
        <v>68</v>
      </c>
      <c r="L54" s="27">
        <f>IFERROR(VLOOKUP(D54,Scoring!$A$4:$N$51,14,FALSE())*3,"-")</f>
        <v>51</v>
      </c>
      <c r="M54" s="27">
        <f>IFERROR(VLOOKUP(E54,Scoring!$A$4:$N$51,14,FALSE())*2,"-")</f>
        <v>54</v>
      </c>
      <c r="N54" s="27">
        <f>IFERROR(VLOOKUP(F54,Scoring!$A$4:$N$51,14,FALSE()),"-")</f>
        <v>2</v>
      </c>
      <c r="O54" s="27">
        <f>IFERROR(VLOOKUP(G54,Scoring!$A$4:$N$51,14,FALSE()),"-")</f>
        <v>15</v>
      </c>
      <c r="P54" s="28">
        <f>IFERROR(VLOOKUP(H54,Scoring!$A$4:$N$51,14,FALSE()),"-")</f>
        <v>8</v>
      </c>
      <c r="Q54" s="28">
        <f>IFERROR(VLOOKUP(I54,Scoring!$A$4:$N$51,6,FALSE()),"-")</f>
        <v>4</v>
      </c>
      <c r="R54" s="35">
        <f t="shared" si="3"/>
        <v>292</v>
      </c>
      <c r="S54">
        <f t="shared" si="4"/>
        <v>85</v>
      </c>
      <c r="T54">
        <f t="shared" si="5"/>
        <v>291.99994600000002</v>
      </c>
      <c r="U54" s="43" t="s">
        <v>233</v>
      </c>
      <c r="W54" s="43" t="s">
        <v>143</v>
      </c>
    </row>
    <row r="55" spans="1:23" ht="12.75" customHeight="1" x14ac:dyDescent="0.3">
      <c r="A55" s="26" t="s">
        <v>234</v>
      </c>
      <c r="B55" s="42" t="s">
        <v>29</v>
      </c>
      <c r="C55" s="42" t="s">
        <v>66</v>
      </c>
      <c r="D55" s="42" t="s">
        <v>60</v>
      </c>
      <c r="E55" s="42" t="s">
        <v>84</v>
      </c>
      <c r="F55" s="42" t="s">
        <v>11</v>
      </c>
      <c r="G55" s="42" t="s">
        <v>38</v>
      </c>
      <c r="H55" s="42" t="s">
        <v>79</v>
      </c>
      <c r="I55" s="27" t="s">
        <v>66</v>
      </c>
      <c r="J55" s="27">
        <f>IFERROR(VLOOKUP(B55,Scoring!$A$4:$N$51,14,FALSE())*6,"-")</f>
        <v>102</v>
      </c>
      <c r="K55" s="27">
        <f>IFERROR(VLOOKUP(C55,Scoring!$A$4:$N$51,14,FALSE())*4,"-")</f>
        <v>108</v>
      </c>
      <c r="L55" s="27">
        <f>IFERROR(VLOOKUP(D55,Scoring!$A$4:$N$51,14,FALSE())*3,"-")</f>
        <v>51</v>
      </c>
      <c r="M55" s="27">
        <f>IFERROR(VLOOKUP(E55,Scoring!$A$4:$N$51,14,FALSE())*2,"-")</f>
        <v>34</v>
      </c>
      <c r="N55" s="27">
        <f>IFERROR(VLOOKUP(F55,Scoring!$A$4:$N$51,14,FALSE()),"-")</f>
        <v>19</v>
      </c>
      <c r="O55" s="27">
        <f>IFERROR(VLOOKUP(G55,Scoring!$A$4:$N$51,14,FALSE()),"-")</f>
        <v>8</v>
      </c>
      <c r="P55" s="28">
        <f>IFERROR(VLOOKUP(H55,Scoring!$A$4:$N$51,14,FALSE()),"-")</f>
        <v>8</v>
      </c>
      <c r="Q55" s="28">
        <f>IFERROR(VLOOKUP(I55,Scoring!$A$4:$N$51,6,FALSE()),"-")</f>
        <v>7</v>
      </c>
      <c r="R55" s="35">
        <f t="shared" si="3"/>
        <v>337</v>
      </c>
      <c r="S55">
        <f t="shared" si="4"/>
        <v>33</v>
      </c>
      <c r="T55">
        <f t="shared" si="5"/>
        <v>336.99994500000003</v>
      </c>
      <c r="U55" s="43" t="s">
        <v>235</v>
      </c>
      <c r="W55" s="43" t="s">
        <v>143</v>
      </c>
    </row>
    <row r="56" spans="1:23" ht="12.75" customHeight="1" x14ac:dyDescent="0.3">
      <c r="A56" s="26" t="s">
        <v>236</v>
      </c>
      <c r="B56" s="42" t="s">
        <v>60</v>
      </c>
      <c r="C56" s="42" t="s">
        <v>66</v>
      </c>
      <c r="D56" s="42" t="s">
        <v>29</v>
      </c>
      <c r="E56" s="42" t="s">
        <v>72</v>
      </c>
      <c r="F56" s="42" t="s">
        <v>65</v>
      </c>
      <c r="G56" s="42" t="s">
        <v>71</v>
      </c>
      <c r="H56" s="42" t="s">
        <v>58</v>
      </c>
      <c r="I56" s="27" t="s">
        <v>60</v>
      </c>
      <c r="J56" s="27">
        <f>IFERROR(VLOOKUP(B56,Scoring!$A$4:$N$51,14,FALSE())*6,"-")</f>
        <v>102</v>
      </c>
      <c r="K56" s="27">
        <f>IFERROR(VLOOKUP(C56,Scoring!$A$4:$N$51,14,FALSE())*4,"-")</f>
        <v>108</v>
      </c>
      <c r="L56" s="27">
        <f>IFERROR(VLOOKUP(D56,Scoring!$A$4:$N$51,14,FALSE())*3,"-")</f>
        <v>51</v>
      </c>
      <c r="M56" s="27">
        <f>IFERROR(VLOOKUP(E56,Scoring!$A$4:$N$51,14,FALSE())*2,"-")</f>
        <v>38</v>
      </c>
      <c r="N56" s="27">
        <f>IFERROR(VLOOKUP(F56,Scoring!$A$4:$N$51,14,FALSE()),"-")</f>
        <v>2</v>
      </c>
      <c r="O56" s="27">
        <f>IFERROR(VLOOKUP(G56,Scoring!$A$4:$N$51,14,FALSE()),"-")</f>
        <v>16</v>
      </c>
      <c r="P56" s="28">
        <f>IFERROR(VLOOKUP(H56,Scoring!$A$4:$N$51,14,FALSE()),"-")</f>
        <v>1</v>
      </c>
      <c r="Q56" s="28">
        <f>IFERROR(VLOOKUP(I56,Scoring!$A$4:$N$51,6,FALSE()),"-")</f>
        <v>4</v>
      </c>
      <c r="R56" s="35">
        <f t="shared" si="3"/>
        <v>322</v>
      </c>
      <c r="S56">
        <f t="shared" si="4"/>
        <v>56</v>
      </c>
      <c r="T56">
        <f t="shared" si="5"/>
        <v>321.99994400000003</v>
      </c>
      <c r="U56" s="43" t="s">
        <v>237</v>
      </c>
      <c r="W56" s="43" t="s">
        <v>143</v>
      </c>
    </row>
    <row r="57" spans="1:23" ht="12.75" customHeight="1" x14ac:dyDescent="0.3">
      <c r="A57" s="26" t="s">
        <v>238</v>
      </c>
      <c r="B57" s="42" t="s">
        <v>66</v>
      </c>
      <c r="C57" s="42" t="s">
        <v>84</v>
      </c>
      <c r="D57" s="42" t="s">
        <v>60</v>
      </c>
      <c r="E57" s="42" t="s">
        <v>72</v>
      </c>
      <c r="F57" s="42" t="s">
        <v>28</v>
      </c>
      <c r="G57" s="42" t="s">
        <v>54</v>
      </c>
      <c r="H57" s="42" t="s">
        <v>87</v>
      </c>
      <c r="I57" s="27" t="s">
        <v>66</v>
      </c>
      <c r="J57" s="27">
        <f>IFERROR(VLOOKUP(B57,Scoring!$A$4:$N$51,14,FALSE())*6,"-")</f>
        <v>162</v>
      </c>
      <c r="K57" s="27">
        <f>IFERROR(VLOOKUP(C57,Scoring!$A$4:$N$51,14,FALSE())*4,"-")</f>
        <v>68</v>
      </c>
      <c r="L57" s="27">
        <f>IFERROR(VLOOKUP(D57,Scoring!$A$4:$N$51,14,FALSE())*3,"-")</f>
        <v>51</v>
      </c>
      <c r="M57" s="27">
        <f>IFERROR(VLOOKUP(E57,Scoring!$A$4:$N$51,14,FALSE())*2,"-")</f>
        <v>38</v>
      </c>
      <c r="N57" s="27">
        <f>IFERROR(VLOOKUP(F57,Scoring!$A$4:$N$51,14,FALSE()),"-")</f>
        <v>17</v>
      </c>
      <c r="O57" s="27">
        <f>IFERROR(VLOOKUP(G57,Scoring!$A$4:$N$51,14,FALSE()),"-")</f>
        <v>15</v>
      </c>
      <c r="P57" s="28">
        <f>IFERROR(VLOOKUP(H57,Scoring!$A$4:$N$51,14,FALSE()),"-")</f>
        <v>8</v>
      </c>
      <c r="Q57" s="28">
        <f>IFERROR(VLOOKUP(I57,Scoring!$A$4:$N$51,6,FALSE()),"-")</f>
        <v>7</v>
      </c>
      <c r="R57" s="35">
        <f t="shared" si="3"/>
        <v>366</v>
      </c>
      <c r="S57">
        <f t="shared" si="4"/>
        <v>1</v>
      </c>
      <c r="T57">
        <f t="shared" si="5"/>
        <v>365.99994299999997</v>
      </c>
      <c r="U57" s="43" t="s">
        <v>239</v>
      </c>
      <c r="W57" s="43" t="s">
        <v>143</v>
      </c>
    </row>
    <row r="58" spans="1:23" ht="12.75" customHeight="1" x14ac:dyDescent="0.3">
      <c r="A58" s="26" t="s">
        <v>240</v>
      </c>
      <c r="B58" s="42" t="s">
        <v>66</v>
      </c>
      <c r="C58" s="42" t="s">
        <v>60</v>
      </c>
      <c r="D58" s="42" t="s">
        <v>72</v>
      </c>
      <c r="E58" s="42" t="s">
        <v>84</v>
      </c>
      <c r="F58" s="42" t="s">
        <v>11</v>
      </c>
      <c r="G58" s="42" t="s">
        <v>23</v>
      </c>
      <c r="H58" s="42" t="s">
        <v>87</v>
      </c>
      <c r="I58" s="27" t="s">
        <v>60</v>
      </c>
      <c r="J58" s="27">
        <f>IFERROR(VLOOKUP(B58,Scoring!$A$4:$N$51,14,FALSE())*6,"-")</f>
        <v>162</v>
      </c>
      <c r="K58" s="27">
        <f>IFERROR(VLOOKUP(C58,Scoring!$A$4:$N$51,14,FALSE())*4,"-")</f>
        <v>68</v>
      </c>
      <c r="L58" s="27">
        <f>IFERROR(VLOOKUP(D58,Scoring!$A$4:$N$51,14,FALSE())*3,"-")</f>
        <v>57</v>
      </c>
      <c r="M58" s="27">
        <f>IFERROR(VLOOKUP(E58,Scoring!$A$4:$N$51,14,FALSE())*2,"-")</f>
        <v>34</v>
      </c>
      <c r="N58" s="27">
        <f>IFERROR(VLOOKUP(F58,Scoring!$A$4:$N$51,14,FALSE()),"-")</f>
        <v>19</v>
      </c>
      <c r="O58" s="27">
        <f>IFERROR(VLOOKUP(G58,Scoring!$A$4:$N$51,14,FALSE()),"-")</f>
        <v>14</v>
      </c>
      <c r="P58" s="28">
        <f>IFERROR(VLOOKUP(H58,Scoring!$A$4:$N$51,14,FALSE()),"-")</f>
        <v>8</v>
      </c>
      <c r="Q58" s="28">
        <f>IFERROR(VLOOKUP(I58,Scoring!$A$4:$N$51,6,FALSE()),"-")</f>
        <v>4</v>
      </c>
      <c r="R58" s="35">
        <f t="shared" si="3"/>
        <v>366</v>
      </c>
      <c r="S58">
        <f t="shared" si="4"/>
        <v>1</v>
      </c>
      <c r="T58">
        <f t="shared" si="5"/>
        <v>365.99994199999998</v>
      </c>
      <c r="U58" s="142" t="s">
        <v>241</v>
      </c>
      <c r="W58" s="43" t="s">
        <v>143</v>
      </c>
    </row>
    <row r="59" spans="1:23" ht="12.75" customHeight="1" x14ac:dyDescent="0.3">
      <c r="A59" s="26" t="s">
        <v>242</v>
      </c>
      <c r="B59" s="42" t="s">
        <v>66</v>
      </c>
      <c r="C59" s="42" t="s">
        <v>60</v>
      </c>
      <c r="D59" s="42" t="s">
        <v>84</v>
      </c>
      <c r="E59" s="42" t="s">
        <v>78</v>
      </c>
      <c r="F59" s="42" t="s">
        <v>47</v>
      </c>
      <c r="G59" s="42" t="s">
        <v>50</v>
      </c>
      <c r="H59" s="42" t="s">
        <v>58</v>
      </c>
      <c r="I59" s="27" t="s">
        <v>60</v>
      </c>
      <c r="J59" s="27">
        <f>IFERROR(VLOOKUP(B59,Scoring!$A$4:$N$51,14,FALSE())*6,"-")</f>
        <v>162</v>
      </c>
      <c r="K59" s="27">
        <f>IFERROR(VLOOKUP(C59,Scoring!$A$4:$N$51,14,FALSE())*4,"-")</f>
        <v>68</v>
      </c>
      <c r="L59" s="27">
        <f>IFERROR(VLOOKUP(D59,Scoring!$A$4:$N$51,14,FALSE())*3,"-")</f>
        <v>51</v>
      </c>
      <c r="M59" s="27">
        <f>IFERROR(VLOOKUP(E59,Scoring!$A$4:$N$51,14,FALSE())*2,"-")</f>
        <v>30</v>
      </c>
      <c r="N59" s="27">
        <f>IFERROR(VLOOKUP(F59,Scoring!$A$4:$N$51,14,FALSE()),"-")</f>
        <v>9</v>
      </c>
      <c r="O59" s="27">
        <f>IFERROR(VLOOKUP(G59,Scoring!$A$4:$N$51,14,FALSE()),"-")</f>
        <v>8</v>
      </c>
      <c r="P59" s="28">
        <f>IFERROR(VLOOKUP(H59,Scoring!$A$4:$N$51,14,FALSE()),"-")</f>
        <v>1</v>
      </c>
      <c r="Q59" s="28">
        <f>IFERROR(VLOOKUP(I59,Scoring!$A$4:$N$51,6,FALSE()),"-")</f>
        <v>4</v>
      </c>
      <c r="R59" s="35">
        <f t="shared" si="3"/>
        <v>333</v>
      </c>
      <c r="S59">
        <f t="shared" si="4"/>
        <v>41</v>
      </c>
      <c r="T59">
        <f t="shared" si="5"/>
        <v>332.99994099999998</v>
      </c>
      <c r="U59" s="43" t="s">
        <v>243</v>
      </c>
      <c r="W59" s="43" t="s">
        <v>143</v>
      </c>
    </row>
    <row r="60" spans="1:23" ht="12.75" customHeight="1" x14ac:dyDescent="0.3">
      <c r="A60" s="26" t="s">
        <v>244</v>
      </c>
      <c r="B60" s="42" t="s">
        <v>29</v>
      </c>
      <c r="C60" s="42" t="s">
        <v>60</v>
      </c>
      <c r="D60" s="42" t="s">
        <v>40</v>
      </c>
      <c r="E60" s="42" t="s">
        <v>78</v>
      </c>
      <c r="F60" s="42" t="s">
        <v>11</v>
      </c>
      <c r="G60" s="42" t="s">
        <v>71</v>
      </c>
      <c r="H60" s="42" t="s">
        <v>24</v>
      </c>
      <c r="I60" s="27" t="s">
        <v>29</v>
      </c>
      <c r="J60" s="27">
        <f>IFERROR(VLOOKUP(B60,Scoring!$A$4:$N$51,14,FALSE())*6,"-")</f>
        <v>102</v>
      </c>
      <c r="K60" s="27">
        <f>IFERROR(VLOOKUP(C60,Scoring!$A$4:$N$51,14,FALSE())*4,"-")</f>
        <v>68</v>
      </c>
      <c r="L60" s="27">
        <f>IFERROR(VLOOKUP(D60,Scoring!$A$4:$N$51,14,FALSE())*3,"-")</f>
        <v>30</v>
      </c>
      <c r="M60" s="27">
        <f>IFERROR(VLOOKUP(E60,Scoring!$A$4:$N$51,14,FALSE())*2,"-")</f>
        <v>30</v>
      </c>
      <c r="N60" s="27">
        <f>IFERROR(VLOOKUP(F60,Scoring!$A$4:$N$51,14,FALSE()),"-")</f>
        <v>19</v>
      </c>
      <c r="O60" s="27">
        <f>IFERROR(VLOOKUP(G60,Scoring!$A$4:$N$51,14,FALSE()),"-")</f>
        <v>16</v>
      </c>
      <c r="P60" s="28">
        <f>IFERROR(VLOOKUP(H60,Scoring!$A$4:$N$51,14,FALSE()),"-")</f>
        <v>8</v>
      </c>
      <c r="Q60" s="28">
        <f>IFERROR(VLOOKUP(I60,Scoring!$A$4:$N$51,6,FALSE()),"-")</f>
        <v>4.5</v>
      </c>
      <c r="R60" s="35">
        <f t="shared" si="3"/>
        <v>277.5</v>
      </c>
      <c r="S60">
        <f t="shared" si="4"/>
        <v>93</v>
      </c>
      <c r="T60">
        <f t="shared" si="5"/>
        <v>277.49993999999998</v>
      </c>
      <c r="U60" s="43" t="s">
        <v>245</v>
      </c>
      <c r="W60" s="43" t="s">
        <v>143</v>
      </c>
    </row>
    <row r="61" spans="1:23" ht="12.75" customHeight="1" x14ac:dyDescent="0.3">
      <c r="A61" s="26" t="s">
        <v>246</v>
      </c>
      <c r="B61" s="42" t="s">
        <v>78</v>
      </c>
      <c r="C61" s="42" t="s">
        <v>66</v>
      </c>
      <c r="D61" s="42" t="s">
        <v>60</v>
      </c>
      <c r="E61" s="42" t="s">
        <v>29</v>
      </c>
      <c r="F61" s="42" t="s">
        <v>39</v>
      </c>
      <c r="G61" s="42" t="s">
        <v>23</v>
      </c>
      <c r="H61" s="42" t="s">
        <v>87</v>
      </c>
      <c r="I61" s="27" t="s">
        <v>60</v>
      </c>
      <c r="J61" s="27">
        <f>IFERROR(VLOOKUP(B61,Scoring!$A$4:$N$51,14,FALSE())*6,"-")</f>
        <v>90</v>
      </c>
      <c r="K61" s="27">
        <f>IFERROR(VLOOKUP(C61,Scoring!$A$4:$N$51,14,FALSE())*4,"-")</f>
        <v>108</v>
      </c>
      <c r="L61" s="27">
        <f>IFERROR(VLOOKUP(D61,Scoring!$A$4:$N$51,14,FALSE())*3,"-")</f>
        <v>51</v>
      </c>
      <c r="M61" s="27">
        <f>IFERROR(VLOOKUP(E61,Scoring!$A$4:$N$51,14,FALSE())*2,"-")</f>
        <v>34</v>
      </c>
      <c r="N61" s="27">
        <f>IFERROR(VLOOKUP(F61,Scoring!$A$4:$N$51,14,FALSE()),"-")</f>
        <v>3</v>
      </c>
      <c r="O61" s="27">
        <f>IFERROR(VLOOKUP(G61,Scoring!$A$4:$N$51,14,FALSE()),"-")</f>
        <v>14</v>
      </c>
      <c r="P61" s="28">
        <f>IFERROR(VLOOKUP(H61,Scoring!$A$4:$N$51,14,FALSE()),"-")</f>
        <v>8</v>
      </c>
      <c r="Q61" s="28">
        <f>IFERROR(VLOOKUP(I61,Scoring!$A$4:$N$51,6,FALSE()),"-")</f>
        <v>4</v>
      </c>
      <c r="R61" s="35">
        <f t="shared" si="3"/>
        <v>312</v>
      </c>
      <c r="S61">
        <f t="shared" si="4"/>
        <v>70</v>
      </c>
      <c r="T61">
        <f t="shared" si="5"/>
        <v>311.99993899999998</v>
      </c>
      <c r="U61" s="43" t="s">
        <v>247</v>
      </c>
      <c r="W61" s="43" t="s">
        <v>143</v>
      </c>
    </row>
    <row r="62" spans="1:23" ht="12.75" customHeight="1" x14ac:dyDescent="0.3">
      <c r="A62" s="26" t="s">
        <v>248</v>
      </c>
      <c r="B62" s="42" t="s">
        <v>83</v>
      </c>
      <c r="C62" s="42" t="s">
        <v>40</v>
      </c>
      <c r="D62" s="42" t="s">
        <v>11</v>
      </c>
      <c r="E62" s="42" t="s">
        <v>65</v>
      </c>
      <c r="F62" s="42" t="s">
        <v>83</v>
      </c>
      <c r="G62" s="42" t="s">
        <v>23</v>
      </c>
      <c r="H62" s="42" t="s">
        <v>24</v>
      </c>
      <c r="I62" s="27" t="s">
        <v>29</v>
      </c>
      <c r="J62" s="27">
        <f>IFERROR(VLOOKUP(B62,Scoring!$A$4:$N$51,14,FALSE())*6,"-")</f>
        <v>102</v>
      </c>
      <c r="K62" s="27">
        <f>IFERROR(VLOOKUP(C62,Scoring!$A$4:$N$51,14,FALSE())*4,"-")</f>
        <v>40</v>
      </c>
      <c r="L62" s="27">
        <f>IFERROR(VLOOKUP(D62,Scoring!$A$4:$N$51,14,FALSE())*3,"-")</f>
        <v>57</v>
      </c>
      <c r="M62" s="27">
        <f>IFERROR(VLOOKUP(E62,Scoring!$A$4:$N$51,14,FALSE())*2,"-")</f>
        <v>4</v>
      </c>
      <c r="N62" s="27">
        <f>IFERROR(VLOOKUP(F62,Scoring!$A$4:$N$51,14,FALSE()),"-")</f>
        <v>17</v>
      </c>
      <c r="O62" s="27">
        <f>IFERROR(VLOOKUP(G62,Scoring!$A$4:$N$51,14,FALSE()),"-")</f>
        <v>14</v>
      </c>
      <c r="P62" s="28">
        <f>IFERROR(VLOOKUP(H62,Scoring!$A$4:$N$51,14,FALSE()),"-")</f>
        <v>8</v>
      </c>
      <c r="Q62" s="28">
        <f>IFERROR(VLOOKUP(I62,Scoring!$A$4:$N$51,6,FALSE()),"-")</f>
        <v>4.5</v>
      </c>
      <c r="R62" s="35">
        <f t="shared" si="3"/>
        <v>246.5</v>
      </c>
      <c r="S62">
        <f t="shared" si="4"/>
        <v>104</v>
      </c>
      <c r="T62">
        <f t="shared" si="5"/>
        <v>246.49993799999999</v>
      </c>
      <c r="U62" s="142" t="s">
        <v>249</v>
      </c>
      <c r="W62" s="43" t="s">
        <v>143</v>
      </c>
    </row>
    <row r="63" spans="1:23" ht="12.75" customHeight="1" x14ac:dyDescent="0.3">
      <c r="A63" s="26" t="s">
        <v>250</v>
      </c>
      <c r="B63" s="42" t="s">
        <v>66</v>
      </c>
      <c r="C63" s="42" t="s">
        <v>29</v>
      </c>
      <c r="D63" s="42" t="s">
        <v>60</v>
      </c>
      <c r="E63" s="42" t="s">
        <v>84</v>
      </c>
      <c r="F63" s="42" t="s">
        <v>65</v>
      </c>
      <c r="G63" s="42" t="s">
        <v>54</v>
      </c>
      <c r="H63" s="42" t="s">
        <v>27</v>
      </c>
      <c r="I63" s="27" t="s">
        <v>66</v>
      </c>
      <c r="J63" s="27">
        <f>IFERROR(VLOOKUP(B63,Scoring!$A$4:$N$51,14,FALSE())*6,"-")</f>
        <v>162</v>
      </c>
      <c r="K63" s="27">
        <f>IFERROR(VLOOKUP(C63,Scoring!$A$4:$N$51,14,FALSE())*4,"-")</f>
        <v>68</v>
      </c>
      <c r="L63" s="27">
        <f>IFERROR(VLOOKUP(D63,Scoring!$A$4:$N$51,14,FALSE())*3,"-")</f>
        <v>51</v>
      </c>
      <c r="M63" s="27">
        <f>IFERROR(VLOOKUP(E63,Scoring!$A$4:$N$51,14,FALSE())*2,"-")</f>
        <v>34</v>
      </c>
      <c r="N63" s="27">
        <f>IFERROR(VLOOKUP(F63,Scoring!$A$4:$N$51,14,FALSE()),"-")</f>
        <v>2</v>
      </c>
      <c r="O63" s="27">
        <f>IFERROR(VLOOKUP(G63,Scoring!$A$4:$N$51,14,FALSE()),"-")</f>
        <v>15</v>
      </c>
      <c r="P63" s="28">
        <f>IFERROR(VLOOKUP(H63,Scoring!$A$4:$N$51,14,FALSE()),"-")</f>
        <v>1</v>
      </c>
      <c r="Q63" s="28">
        <f>IFERROR(VLOOKUP(I63,Scoring!$A$4:$N$51,6,FALSE()),"-")</f>
        <v>7</v>
      </c>
      <c r="R63" s="35">
        <f t="shared" si="3"/>
        <v>340</v>
      </c>
      <c r="S63">
        <f t="shared" si="4"/>
        <v>28</v>
      </c>
      <c r="T63">
        <f t="shared" si="5"/>
        <v>339.99993699999999</v>
      </c>
      <c r="U63" s="142" t="s">
        <v>251</v>
      </c>
      <c r="W63" s="43" t="s">
        <v>143</v>
      </c>
    </row>
    <row r="64" spans="1:23" ht="12.75" customHeight="1" x14ac:dyDescent="0.3">
      <c r="A64" s="26" t="s">
        <v>252</v>
      </c>
      <c r="B64" s="42" t="s">
        <v>66</v>
      </c>
      <c r="C64" s="42" t="s">
        <v>60</v>
      </c>
      <c r="D64" s="42" t="s">
        <v>29</v>
      </c>
      <c r="E64" s="42" t="s">
        <v>84</v>
      </c>
      <c r="F64" s="42" t="s">
        <v>47</v>
      </c>
      <c r="G64" s="42" t="s">
        <v>71</v>
      </c>
      <c r="H64" s="42" t="s">
        <v>87</v>
      </c>
      <c r="I64" s="27" t="s">
        <v>66</v>
      </c>
      <c r="J64" s="27">
        <f>IFERROR(VLOOKUP(B64,Scoring!$A$4:$N$51,14,FALSE())*6,"-")</f>
        <v>162</v>
      </c>
      <c r="K64" s="27">
        <f>IFERROR(VLOOKUP(C64,Scoring!$A$4:$N$51,14,FALSE())*4,"-")</f>
        <v>68</v>
      </c>
      <c r="L64" s="27">
        <f>IFERROR(VLOOKUP(D64,Scoring!$A$4:$N$51,14,FALSE())*3,"-")</f>
        <v>51</v>
      </c>
      <c r="M64" s="27">
        <f>IFERROR(VLOOKUP(E64,Scoring!$A$4:$N$51,14,FALSE())*2,"-")</f>
        <v>34</v>
      </c>
      <c r="N64" s="27">
        <f>IFERROR(VLOOKUP(F64,Scoring!$A$4:$N$51,14,FALSE()),"-")</f>
        <v>9</v>
      </c>
      <c r="O64" s="27">
        <f>IFERROR(VLOOKUP(G64,Scoring!$A$4:$N$51,14,FALSE()),"-")</f>
        <v>16</v>
      </c>
      <c r="P64" s="28">
        <f>IFERROR(VLOOKUP(H64,Scoring!$A$4:$N$51,14,FALSE()),"-")</f>
        <v>8</v>
      </c>
      <c r="Q64" s="28">
        <f>IFERROR(VLOOKUP(I64,Scoring!$A$4:$N$51,6,FALSE()),"-")</f>
        <v>7</v>
      </c>
      <c r="R64" s="35">
        <f t="shared" si="3"/>
        <v>355</v>
      </c>
      <c r="S64">
        <f t="shared" si="4"/>
        <v>10</v>
      </c>
      <c r="T64">
        <f t="shared" si="5"/>
        <v>354.99993599999999</v>
      </c>
      <c r="U64" s="142" t="s">
        <v>253</v>
      </c>
      <c r="W64" s="43" t="s">
        <v>143</v>
      </c>
    </row>
    <row r="65" spans="1:23" ht="12.75" customHeight="1" x14ac:dyDescent="0.3">
      <c r="A65" s="26" t="s">
        <v>254</v>
      </c>
      <c r="B65" s="42" t="s">
        <v>78</v>
      </c>
      <c r="C65" s="42" t="s">
        <v>66</v>
      </c>
      <c r="D65" s="42" t="s">
        <v>60</v>
      </c>
      <c r="E65" s="42" t="s">
        <v>29</v>
      </c>
      <c r="F65" s="42" t="s">
        <v>83</v>
      </c>
      <c r="G65" s="42" t="s">
        <v>71</v>
      </c>
      <c r="H65" s="42" t="s">
        <v>82</v>
      </c>
      <c r="I65" s="27" t="s">
        <v>66</v>
      </c>
      <c r="J65" s="27">
        <f>IFERROR(VLOOKUP(B65,Scoring!$A$4:$N$51,14,FALSE())*6,"-")</f>
        <v>90</v>
      </c>
      <c r="K65" s="27">
        <f>IFERROR(VLOOKUP(C65,Scoring!$A$4:$N$51,14,FALSE())*4,"-")</f>
        <v>108</v>
      </c>
      <c r="L65" s="27">
        <f>IFERROR(VLOOKUP(D65,Scoring!$A$4:$N$51,14,FALSE())*3,"-")</f>
        <v>51</v>
      </c>
      <c r="M65" s="27">
        <f>IFERROR(VLOOKUP(E65,Scoring!$A$4:$N$51,14,FALSE())*2,"-")</f>
        <v>34</v>
      </c>
      <c r="N65" s="27">
        <f>IFERROR(VLOOKUP(F65,Scoring!$A$4:$N$51,14,FALSE()),"-")</f>
        <v>17</v>
      </c>
      <c r="O65" s="27">
        <f>IFERROR(VLOOKUP(G65,Scoring!$A$4:$N$51,14,FALSE()),"-")</f>
        <v>16</v>
      </c>
      <c r="P65" s="28">
        <f>IFERROR(VLOOKUP(H65,Scoring!$A$4:$N$51,14,FALSE()),"-")</f>
        <v>0</v>
      </c>
      <c r="Q65" s="28">
        <f>IFERROR(VLOOKUP(I65,Scoring!$A$4:$N$51,6,FALSE()),"-")</f>
        <v>7</v>
      </c>
      <c r="R65" s="35">
        <f t="shared" si="3"/>
        <v>323</v>
      </c>
      <c r="S65">
        <f t="shared" si="4"/>
        <v>53</v>
      </c>
      <c r="T65">
        <f t="shared" si="5"/>
        <v>322.99993499999999</v>
      </c>
      <c r="U65" s="142" t="s">
        <v>255</v>
      </c>
      <c r="W65" s="43" t="s">
        <v>143</v>
      </c>
    </row>
    <row r="66" spans="1:23" ht="12.75" customHeight="1" x14ac:dyDescent="0.3">
      <c r="A66" s="26" t="s">
        <v>256</v>
      </c>
      <c r="B66" s="42" t="s">
        <v>60</v>
      </c>
      <c r="C66" s="42" t="s">
        <v>29</v>
      </c>
      <c r="D66" s="42" t="s">
        <v>40</v>
      </c>
      <c r="E66" s="42" t="s">
        <v>46</v>
      </c>
      <c r="F66" s="42" t="s">
        <v>76</v>
      </c>
      <c r="G66" s="42" t="s">
        <v>71</v>
      </c>
      <c r="H66" s="42" t="s">
        <v>61</v>
      </c>
      <c r="I66" s="27" t="s">
        <v>29</v>
      </c>
      <c r="J66" s="27">
        <f>IFERROR(VLOOKUP(B66,Scoring!$A$4:$N$51,14,FALSE())*6,"-")</f>
        <v>102</v>
      </c>
      <c r="K66" s="27">
        <f>IFERROR(VLOOKUP(C66,Scoring!$A$4:$N$51,14,FALSE())*4,"-")</f>
        <v>68</v>
      </c>
      <c r="L66" s="27">
        <f>IFERROR(VLOOKUP(D66,Scoring!$A$4:$N$51,14,FALSE())*3,"-")</f>
        <v>30</v>
      </c>
      <c r="M66" s="27">
        <f>IFERROR(VLOOKUP(E66,Scoring!$A$4:$N$51,14,FALSE())*2,"-")</f>
        <v>22</v>
      </c>
      <c r="N66" s="27">
        <f>IFERROR(VLOOKUP(F66,Scoring!$A$4:$N$51,14,FALSE()),"-")</f>
        <v>8</v>
      </c>
      <c r="O66" s="27">
        <f>IFERROR(VLOOKUP(G66,Scoring!$A$4:$N$51,14,FALSE()),"-")</f>
        <v>16</v>
      </c>
      <c r="P66" s="28">
        <f>IFERROR(VLOOKUP(H66,Scoring!$A$4:$N$51,14,FALSE()),"-")</f>
        <v>7</v>
      </c>
      <c r="Q66" s="28">
        <f>IFERROR(VLOOKUP(I66,Scoring!$A$4:$N$51,6,FALSE()),"-")</f>
        <v>4.5</v>
      </c>
      <c r="R66" s="35">
        <f t="shared" si="3"/>
        <v>257.5</v>
      </c>
      <c r="S66">
        <f t="shared" si="4"/>
        <v>100</v>
      </c>
      <c r="T66">
        <f t="shared" si="5"/>
        <v>257.499934</v>
      </c>
      <c r="U66" s="142" t="s">
        <v>257</v>
      </c>
      <c r="W66" s="43" t="s">
        <v>143</v>
      </c>
    </row>
    <row r="67" spans="1:23" ht="12.75" customHeight="1" x14ac:dyDescent="0.3">
      <c r="A67" s="26" t="s">
        <v>258</v>
      </c>
      <c r="B67" s="42" t="s">
        <v>60</v>
      </c>
      <c r="C67" s="42" t="s">
        <v>72</v>
      </c>
      <c r="D67" s="42" t="s">
        <v>66</v>
      </c>
      <c r="E67" s="42" t="s">
        <v>84</v>
      </c>
      <c r="F67" s="42" t="s">
        <v>47</v>
      </c>
      <c r="G67" s="42" t="s">
        <v>71</v>
      </c>
      <c r="H67" s="42" t="s">
        <v>82</v>
      </c>
      <c r="I67" s="27" t="s">
        <v>60</v>
      </c>
      <c r="J67" s="27">
        <f>IFERROR(VLOOKUP(B67,Scoring!$A$4:$N$51,14,FALSE())*6,"-")</f>
        <v>102</v>
      </c>
      <c r="K67" s="27">
        <f>IFERROR(VLOOKUP(C67,Scoring!$A$4:$N$51,14,FALSE())*4,"-")</f>
        <v>76</v>
      </c>
      <c r="L67" s="27">
        <f>IFERROR(VLOOKUP(D67,Scoring!$A$4:$N$51,14,FALSE())*3,"-")</f>
        <v>81</v>
      </c>
      <c r="M67" s="27">
        <f>IFERROR(VLOOKUP(E67,Scoring!$A$4:$N$51,14,FALSE())*2,"-")</f>
        <v>34</v>
      </c>
      <c r="N67" s="27">
        <f>IFERROR(VLOOKUP(F67,Scoring!$A$4:$N$51,14,FALSE()),"-")</f>
        <v>9</v>
      </c>
      <c r="O67" s="27">
        <f>IFERROR(VLOOKUP(G67,Scoring!$A$4:$N$51,14,FALSE()),"-")</f>
        <v>16</v>
      </c>
      <c r="P67" s="28">
        <f>IFERROR(VLOOKUP(H67,Scoring!$A$4:$N$51,14,FALSE()),"-")</f>
        <v>0</v>
      </c>
      <c r="Q67" s="28">
        <f>IFERROR(VLOOKUP(I67,Scoring!$A$4:$N$51,6,FALSE()),"-")</f>
        <v>4</v>
      </c>
      <c r="R67" s="35">
        <f t="shared" si="3"/>
        <v>322</v>
      </c>
      <c r="S67">
        <f t="shared" si="4"/>
        <v>56</v>
      </c>
      <c r="T67">
        <f t="shared" si="5"/>
        <v>321.999933</v>
      </c>
      <c r="U67" s="142" t="s">
        <v>257</v>
      </c>
      <c r="W67" s="43" t="s">
        <v>143</v>
      </c>
    </row>
    <row r="68" spans="1:23" ht="12.75" customHeight="1" x14ac:dyDescent="0.3">
      <c r="A68" s="26" t="s">
        <v>259</v>
      </c>
      <c r="B68" s="42" t="s">
        <v>29</v>
      </c>
      <c r="C68" s="42" t="s">
        <v>60</v>
      </c>
      <c r="D68" s="42" t="s">
        <v>66</v>
      </c>
      <c r="E68" s="42" t="s">
        <v>84</v>
      </c>
      <c r="F68" s="42" t="s">
        <v>47</v>
      </c>
      <c r="G68" s="42" t="s">
        <v>34</v>
      </c>
      <c r="H68" s="42" t="s">
        <v>24</v>
      </c>
      <c r="I68" s="27" t="s">
        <v>29</v>
      </c>
      <c r="J68" s="27">
        <f>IFERROR(VLOOKUP(B68,Scoring!$A$4:$N$51,14,FALSE())*6,"-")</f>
        <v>102</v>
      </c>
      <c r="K68" s="27">
        <f>IFERROR(VLOOKUP(C68,Scoring!$A$4:$N$51,14,FALSE())*4,"-")</f>
        <v>68</v>
      </c>
      <c r="L68" s="27">
        <f>IFERROR(VLOOKUP(D68,Scoring!$A$4:$N$51,14,FALSE())*3,"-")</f>
        <v>81</v>
      </c>
      <c r="M68" s="27">
        <f>IFERROR(VLOOKUP(E68,Scoring!$A$4:$N$51,14,FALSE())*2,"-")</f>
        <v>34</v>
      </c>
      <c r="N68" s="27">
        <f>IFERROR(VLOOKUP(F68,Scoring!$A$4:$N$51,14,FALSE()),"-")</f>
        <v>9</v>
      </c>
      <c r="O68" s="27">
        <f>IFERROR(VLOOKUP(G68,Scoring!$A$4:$N$51,14,FALSE()),"-")</f>
        <v>3</v>
      </c>
      <c r="P68" s="28">
        <f>IFERROR(VLOOKUP(H68,Scoring!$A$4:$N$51,14,FALSE()),"-")</f>
        <v>8</v>
      </c>
      <c r="Q68" s="28">
        <f>IFERROR(VLOOKUP(I68,Scoring!$A$4:$N$51,6,FALSE()),"-")</f>
        <v>4.5</v>
      </c>
      <c r="R68" s="35">
        <f t="shared" ref="R68:R99" si="6">IF(A68="","-",SUM(J68:Q68))</f>
        <v>309.5</v>
      </c>
      <c r="S68">
        <f t="shared" ref="S68:S99" si="7">IF(A68="","",RANK(R68,$R$4:$R$119))</f>
        <v>72</v>
      </c>
      <c r="T68">
        <f t="shared" ref="T68:T99" si="8">IF(A68="",-1,R68-ROW(R68)/1000000)</f>
        <v>309.499932</v>
      </c>
      <c r="U68" s="142" t="s">
        <v>260</v>
      </c>
      <c r="W68" s="43" t="s">
        <v>143</v>
      </c>
    </row>
    <row r="69" spans="1:23" ht="12.75" customHeight="1" x14ac:dyDescent="0.3">
      <c r="A69" s="26" t="s">
        <v>261</v>
      </c>
      <c r="B69" s="42" t="s">
        <v>66</v>
      </c>
      <c r="C69" s="42" t="s">
        <v>78</v>
      </c>
      <c r="D69" s="42" t="s">
        <v>60</v>
      </c>
      <c r="E69" s="42" t="s">
        <v>72</v>
      </c>
      <c r="F69" s="42" t="s">
        <v>11</v>
      </c>
      <c r="G69" s="42" t="s">
        <v>54</v>
      </c>
      <c r="H69" s="42" t="s">
        <v>87</v>
      </c>
      <c r="I69" s="27" t="s">
        <v>60</v>
      </c>
      <c r="J69" s="27">
        <f>IFERROR(VLOOKUP(B69,Scoring!$A$4:$N$51,14,FALSE())*6,"-")</f>
        <v>162</v>
      </c>
      <c r="K69" s="27">
        <f>IFERROR(VLOOKUP(C69,Scoring!$A$4:$N$51,14,FALSE())*4,"-")</f>
        <v>60</v>
      </c>
      <c r="L69" s="27">
        <f>IFERROR(VLOOKUP(D69,Scoring!$A$4:$N$51,14,FALSE())*3,"-")</f>
        <v>51</v>
      </c>
      <c r="M69" s="27">
        <f>IFERROR(VLOOKUP(E69,Scoring!$A$4:$N$51,14,FALSE())*2,"-")</f>
        <v>38</v>
      </c>
      <c r="N69" s="27">
        <f>IFERROR(VLOOKUP(F69,Scoring!$A$4:$N$51,14,FALSE()),"-")</f>
        <v>19</v>
      </c>
      <c r="O69" s="27">
        <f>IFERROR(VLOOKUP(G69,Scoring!$A$4:$N$51,14,FALSE()),"-")</f>
        <v>15</v>
      </c>
      <c r="P69" s="28">
        <f>IFERROR(VLOOKUP(H69,Scoring!$A$4:$N$51,14,FALSE()),"-")</f>
        <v>8</v>
      </c>
      <c r="Q69" s="28">
        <f>IFERROR(VLOOKUP(I69,Scoring!$A$4:$N$51,6,FALSE()),"-")</f>
        <v>4</v>
      </c>
      <c r="R69" s="35">
        <f t="shared" si="6"/>
        <v>357</v>
      </c>
      <c r="S69">
        <f t="shared" si="7"/>
        <v>7</v>
      </c>
      <c r="T69">
        <f t="shared" si="8"/>
        <v>356.999931</v>
      </c>
      <c r="U69" s="43" t="s">
        <v>262</v>
      </c>
      <c r="W69" s="43" t="s">
        <v>143</v>
      </c>
    </row>
    <row r="70" spans="1:23" ht="12.75" customHeight="1" x14ac:dyDescent="0.3">
      <c r="A70" s="26" t="s">
        <v>263</v>
      </c>
      <c r="B70" s="42" t="s">
        <v>72</v>
      </c>
      <c r="C70" s="42" t="s">
        <v>66</v>
      </c>
      <c r="D70" s="42" t="s">
        <v>29</v>
      </c>
      <c r="E70" s="42" t="s">
        <v>60</v>
      </c>
      <c r="F70" s="42" t="s">
        <v>83</v>
      </c>
      <c r="G70" s="42" t="s">
        <v>54</v>
      </c>
      <c r="H70" s="42" t="s">
        <v>82</v>
      </c>
      <c r="I70" s="27" t="s">
        <v>66</v>
      </c>
      <c r="J70" s="27">
        <f>IFERROR(VLOOKUP(B70,Scoring!$A$4:$N$51,14,FALSE())*6,"-")</f>
        <v>114</v>
      </c>
      <c r="K70" s="27">
        <f>IFERROR(VLOOKUP(C70,Scoring!$A$4:$N$51,14,FALSE())*4,"-")</f>
        <v>108</v>
      </c>
      <c r="L70" s="27">
        <f>IFERROR(VLOOKUP(D70,Scoring!$A$4:$N$51,14,FALSE())*3,"-")</f>
        <v>51</v>
      </c>
      <c r="M70" s="27">
        <f>IFERROR(VLOOKUP(E70,Scoring!$A$4:$N$51,14,FALSE())*2,"-")</f>
        <v>34</v>
      </c>
      <c r="N70" s="27">
        <f>IFERROR(VLOOKUP(F70,Scoring!$A$4:$N$51,14,FALSE()),"-")</f>
        <v>17</v>
      </c>
      <c r="O70" s="27">
        <f>IFERROR(VLOOKUP(G70,Scoring!$A$4:$N$51,14,FALSE()),"-")</f>
        <v>15</v>
      </c>
      <c r="P70" s="28">
        <f>IFERROR(VLOOKUP(H70,Scoring!$A$4:$N$51,14,FALSE()),"-")</f>
        <v>0</v>
      </c>
      <c r="Q70" s="28">
        <f>IFERROR(VLOOKUP(I70,Scoring!$A$4:$N$51,6,FALSE()),"-")</f>
        <v>7</v>
      </c>
      <c r="R70" s="35">
        <f t="shared" si="6"/>
        <v>346</v>
      </c>
      <c r="S70">
        <f t="shared" si="7"/>
        <v>21</v>
      </c>
      <c r="T70">
        <f t="shared" si="8"/>
        <v>345.99993000000001</v>
      </c>
      <c r="U70" s="142" t="s">
        <v>264</v>
      </c>
    </row>
    <row r="71" spans="1:23" ht="12.75" customHeight="1" x14ac:dyDescent="0.3">
      <c r="A71" s="26" t="s">
        <v>265</v>
      </c>
      <c r="B71" s="42" t="s">
        <v>60</v>
      </c>
      <c r="C71" s="42" t="s">
        <v>46</v>
      </c>
      <c r="D71" s="42" t="s">
        <v>66</v>
      </c>
      <c r="E71" s="42" t="s">
        <v>72</v>
      </c>
      <c r="F71" s="42" t="s">
        <v>35</v>
      </c>
      <c r="G71" s="42" t="s">
        <v>71</v>
      </c>
      <c r="H71" s="42" t="s">
        <v>79</v>
      </c>
      <c r="I71" s="27" t="s">
        <v>60</v>
      </c>
      <c r="J71" s="27">
        <f>IFERROR(VLOOKUP(B71,Scoring!$A$4:$N$51,14,FALSE())*6,"-")</f>
        <v>102</v>
      </c>
      <c r="K71" s="27">
        <f>IFERROR(VLOOKUP(C71,Scoring!$A$4:$N$51,14,FALSE())*4,"-")</f>
        <v>44</v>
      </c>
      <c r="L71" s="27">
        <f>IFERROR(VLOOKUP(D71,Scoring!$A$4:$N$51,14,FALSE())*3,"-")</f>
        <v>81</v>
      </c>
      <c r="M71" s="27">
        <f>IFERROR(VLOOKUP(E71,Scoring!$A$4:$N$51,14,FALSE())*2,"-")</f>
        <v>38</v>
      </c>
      <c r="N71" s="27">
        <f>IFERROR(VLOOKUP(F71,Scoring!$A$4:$N$51,14,FALSE()),"-")</f>
        <v>16</v>
      </c>
      <c r="O71" s="27">
        <f>IFERROR(VLOOKUP(G71,Scoring!$A$4:$N$51,14,FALSE()),"-")</f>
        <v>16</v>
      </c>
      <c r="P71" s="28">
        <f>IFERROR(VLOOKUP(H71,Scoring!$A$4:$N$51,14,FALSE()),"-")</f>
        <v>8</v>
      </c>
      <c r="Q71" s="28">
        <f>IFERROR(VLOOKUP(I71,Scoring!$A$4:$N$51,6,FALSE()),"-")</f>
        <v>4</v>
      </c>
      <c r="R71" s="35">
        <f t="shared" si="6"/>
        <v>309</v>
      </c>
      <c r="S71">
        <f t="shared" si="7"/>
        <v>73</v>
      </c>
      <c r="T71">
        <f t="shared" si="8"/>
        <v>308.99992900000001</v>
      </c>
      <c r="U71" s="43" t="s">
        <v>266</v>
      </c>
      <c r="W71" s="43" t="s">
        <v>143</v>
      </c>
    </row>
    <row r="72" spans="1:23" ht="12.75" customHeight="1" x14ac:dyDescent="0.3">
      <c r="A72" s="26" t="s">
        <v>267</v>
      </c>
      <c r="B72" s="42" t="s">
        <v>60</v>
      </c>
      <c r="C72" s="42" t="s">
        <v>66</v>
      </c>
      <c r="D72" s="42" t="s">
        <v>29</v>
      </c>
      <c r="E72" s="42" t="s">
        <v>72</v>
      </c>
      <c r="F72" s="42" t="s">
        <v>83</v>
      </c>
      <c r="G72" s="42" t="s">
        <v>50</v>
      </c>
      <c r="H72" s="42" t="s">
        <v>24</v>
      </c>
      <c r="I72" s="27" t="s">
        <v>60</v>
      </c>
      <c r="J72" s="27">
        <f>IFERROR(VLOOKUP(B72,Scoring!$A$4:$N$51,14,FALSE())*6,"-")</f>
        <v>102</v>
      </c>
      <c r="K72" s="27">
        <f>IFERROR(VLOOKUP(C72,Scoring!$A$4:$N$51,14,FALSE())*4,"-")</f>
        <v>108</v>
      </c>
      <c r="L72" s="27">
        <f>IFERROR(VLOOKUP(D72,Scoring!$A$4:$N$51,14,FALSE())*3,"-")</f>
        <v>51</v>
      </c>
      <c r="M72" s="27">
        <f>IFERROR(VLOOKUP(E72,Scoring!$A$4:$N$51,14,FALSE())*2,"-")</f>
        <v>38</v>
      </c>
      <c r="N72" s="27">
        <f>IFERROR(VLOOKUP(F72,Scoring!$A$4:$N$51,14,FALSE()),"-")</f>
        <v>17</v>
      </c>
      <c r="O72" s="27">
        <f>IFERROR(VLOOKUP(G72,Scoring!$A$4:$N$51,14,FALSE()),"-")</f>
        <v>8</v>
      </c>
      <c r="P72" s="28">
        <f>IFERROR(VLOOKUP(H72,Scoring!$A$4:$N$51,14,FALSE()),"-")</f>
        <v>8</v>
      </c>
      <c r="Q72" s="28">
        <f>IFERROR(VLOOKUP(I72,Scoring!$A$4:$N$51,6,FALSE()),"-")</f>
        <v>4</v>
      </c>
      <c r="R72" s="35">
        <f t="shared" si="6"/>
        <v>336</v>
      </c>
      <c r="S72">
        <f t="shared" si="7"/>
        <v>34</v>
      </c>
      <c r="T72">
        <f t="shared" si="8"/>
        <v>335.99992800000001</v>
      </c>
      <c r="U72" s="142" t="s">
        <v>268</v>
      </c>
      <c r="W72" s="43" t="s">
        <v>143</v>
      </c>
    </row>
    <row r="73" spans="1:23" ht="12.75" customHeight="1" x14ac:dyDescent="0.3">
      <c r="A73" s="26" t="s">
        <v>269</v>
      </c>
      <c r="B73" s="42" t="s">
        <v>46</v>
      </c>
      <c r="C73" s="42" t="s">
        <v>60</v>
      </c>
      <c r="D73" s="42" t="s">
        <v>53</v>
      </c>
      <c r="E73" s="42" t="s">
        <v>72</v>
      </c>
      <c r="F73" s="42" t="s">
        <v>11</v>
      </c>
      <c r="G73" s="42" t="s">
        <v>50</v>
      </c>
      <c r="H73" s="42" t="s">
        <v>24</v>
      </c>
      <c r="I73" s="27" t="s">
        <v>66</v>
      </c>
      <c r="J73" s="27">
        <f>IFERROR(VLOOKUP(B73,Scoring!$A$4:$N$51,14,FALSE())*6,"-")</f>
        <v>66</v>
      </c>
      <c r="K73" s="27">
        <f>IFERROR(VLOOKUP(C73,Scoring!$A$4:$N$51,14,FALSE())*4,"-")</f>
        <v>68</v>
      </c>
      <c r="L73" s="27">
        <f>IFERROR(VLOOKUP(D73,Scoring!$A$4:$N$51,14,FALSE())*3,"-")</f>
        <v>45</v>
      </c>
      <c r="M73" s="27">
        <f>IFERROR(VLOOKUP(E73,Scoring!$A$4:$N$51,14,FALSE())*2,"-")</f>
        <v>38</v>
      </c>
      <c r="N73" s="27">
        <f>IFERROR(VLOOKUP(F73,Scoring!$A$4:$N$51,14,FALSE()),"-")</f>
        <v>19</v>
      </c>
      <c r="O73" s="27">
        <f>IFERROR(VLOOKUP(G73,Scoring!$A$4:$N$51,14,FALSE()),"-")</f>
        <v>8</v>
      </c>
      <c r="P73" s="28">
        <f>IFERROR(VLOOKUP(H73,Scoring!$A$4:$N$51,14,FALSE()),"-")</f>
        <v>8</v>
      </c>
      <c r="Q73" s="28">
        <f>IFERROR(VLOOKUP(I73,Scoring!$A$4:$N$51,6,FALSE()),"-")</f>
        <v>7</v>
      </c>
      <c r="R73" s="35">
        <f t="shared" si="6"/>
        <v>259</v>
      </c>
      <c r="S73">
        <f t="shared" si="7"/>
        <v>99</v>
      </c>
      <c r="T73">
        <f t="shared" si="8"/>
        <v>258.99992700000001</v>
      </c>
      <c r="U73" s="43" t="s">
        <v>270</v>
      </c>
      <c r="W73" s="43" t="s">
        <v>143</v>
      </c>
    </row>
    <row r="74" spans="1:23" ht="12.75" customHeight="1" x14ac:dyDescent="0.3">
      <c r="A74" s="26" t="s">
        <v>271</v>
      </c>
      <c r="B74" s="42" t="s">
        <v>60</v>
      </c>
      <c r="C74" s="42" t="s">
        <v>66</v>
      </c>
      <c r="D74" s="42" t="s">
        <v>72</v>
      </c>
      <c r="E74" s="42" t="s">
        <v>78</v>
      </c>
      <c r="F74" s="42" t="s">
        <v>28</v>
      </c>
      <c r="G74" s="42" t="s">
        <v>71</v>
      </c>
      <c r="H74" s="42" t="s">
        <v>24</v>
      </c>
      <c r="I74" s="27" t="s">
        <v>84</v>
      </c>
      <c r="J74" s="27">
        <f>IFERROR(VLOOKUP(B74,Scoring!$A$4:$N$51,14,FALSE())*6,"-")</f>
        <v>102</v>
      </c>
      <c r="K74" s="27">
        <f>IFERROR(VLOOKUP(C74,Scoring!$A$4:$N$51,14,FALSE())*4,"-")</f>
        <v>108</v>
      </c>
      <c r="L74" s="27">
        <f>IFERROR(VLOOKUP(D74,Scoring!$A$4:$N$51,14,FALSE())*3,"-")</f>
        <v>57</v>
      </c>
      <c r="M74" s="27">
        <f>IFERROR(VLOOKUP(E74,Scoring!$A$4:$N$51,14,FALSE())*2,"-")</f>
        <v>30</v>
      </c>
      <c r="N74" s="27">
        <f>IFERROR(VLOOKUP(F74,Scoring!$A$4:$N$51,14,FALSE()),"-")</f>
        <v>17</v>
      </c>
      <c r="O74" s="27">
        <f>IFERROR(VLOOKUP(G74,Scoring!$A$4:$N$51,14,FALSE()),"-")</f>
        <v>16</v>
      </c>
      <c r="P74" s="28">
        <f>IFERROR(VLOOKUP(H74,Scoring!$A$4:$N$51,14,FALSE()),"-")</f>
        <v>8</v>
      </c>
      <c r="Q74" s="28">
        <f>IFERROR(VLOOKUP(I74,Scoring!$A$4:$N$51,6,FALSE()),"-")</f>
        <v>4</v>
      </c>
      <c r="R74" s="35">
        <f t="shared" si="6"/>
        <v>342</v>
      </c>
      <c r="S74">
        <f t="shared" si="7"/>
        <v>26</v>
      </c>
      <c r="T74">
        <f t="shared" si="8"/>
        <v>341.99992600000002</v>
      </c>
      <c r="U74" s="142" t="s">
        <v>272</v>
      </c>
      <c r="W74" s="43" t="s">
        <v>143</v>
      </c>
    </row>
    <row r="75" spans="1:23" ht="12.75" customHeight="1" x14ac:dyDescent="0.3">
      <c r="A75" s="26" t="s">
        <v>273</v>
      </c>
      <c r="B75" s="42" t="s">
        <v>66</v>
      </c>
      <c r="C75" s="42" t="s">
        <v>60</v>
      </c>
      <c r="D75" s="42" t="s">
        <v>29</v>
      </c>
      <c r="E75" s="42" t="s">
        <v>84</v>
      </c>
      <c r="F75" s="42" t="s">
        <v>39</v>
      </c>
      <c r="G75" s="42" t="s">
        <v>44</v>
      </c>
      <c r="H75" s="42" t="s">
        <v>79</v>
      </c>
      <c r="I75" s="27" t="s">
        <v>60</v>
      </c>
      <c r="J75" s="27">
        <f>IFERROR(VLOOKUP(B75,Scoring!$A$4:$N$51,14,FALSE())*6,"-")</f>
        <v>162</v>
      </c>
      <c r="K75" s="27">
        <f>IFERROR(VLOOKUP(C75,Scoring!$A$4:$N$51,14,FALSE())*4,"-")</f>
        <v>68</v>
      </c>
      <c r="L75" s="27">
        <f>IFERROR(VLOOKUP(D75,Scoring!$A$4:$N$51,14,FALSE())*3,"-")</f>
        <v>51</v>
      </c>
      <c r="M75" s="27">
        <f>IFERROR(VLOOKUP(E75,Scoring!$A$4:$N$51,14,FALSE())*2,"-")</f>
        <v>34</v>
      </c>
      <c r="N75" s="27">
        <f>IFERROR(VLOOKUP(F75,Scoring!$A$4:$N$51,14,FALSE()),"-")</f>
        <v>3</v>
      </c>
      <c r="O75" s="27">
        <f>IFERROR(VLOOKUP(G75,Scoring!$A$4:$N$51,14,FALSE()),"-")</f>
        <v>10</v>
      </c>
      <c r="P75" s="28">
        <f>IFERROR(VLOOKUP(H75,Scoring!$A$4:$N$51,14,FALSE()),"-")</f>
        <v>8</v>
      </c>
      <c r="Q75" s="28">
        <f>IFERROR(VLOOKUP(I75,Scoring!$A$4:$N$51,6,FALSE()),"-")</f>
        <v>4</v>
      </c>
      <c r="R75" s="35">
        <f t="shared" si="6"/>
        <v>340</v>
      </c>
      <c r="S75">
        <f t="shared" si="7"/>
        <v>28</v>
      </c>
      <c r="T75">
        <f t="shared" si="8"/>
        <v>339.99992500000002</v>
      </c>
      <c r="U75" s="142" t="s">
        <v>272</v>
      </c>
      <c r="W75" s="43" t="s">
        <v>143</v>
      </c>
    </row>
    <row r="76" spans="1:23" ht="12.75" customHeight="1" x14ac:dyDescent="0.3">
      <c r="A76" s="26" t="s">
        <v>274</v>
      </c>
      <c r="B76" s="42" t="s">
        <v>78</v>
      </c>
      <c r="C76" s="42" t="s">
        <v>84</v>
      </c>
      <c r="D76" s="42" t="s">
        <v>66</v>
      </c>
      <c r="E76" s="42" t="s">
        <v>71</v>
      </c>
      <c r="F76" s="42" t="s">
        <v>11</v>
      </c>
      <c r="G76" s="42" t="s">
        <v>23</v>
      </c>
      <c r="H76" s="42" t="s">
        <v>87</v>
      </c>
      <c r="I76" s="27" t="s">
        <v>66</v>
      </c>
      <c r="J76" s="27">
        <f>IFERROR(VLOOKUP(B76,Scoring!$A$4:$N$51,14,FALSE())*6,"-")</f>
        <v>90</v>
      </c>
      <c r="K76" s="27">
        <f>IFERROR(VLOOKUP(C76,Scoring!$A$4:$N$51,14,FALSE())*4,"-")</f>
        <v>68</v>
      </c>
      <c r="L76" s="27">
        <f>IFERROR(VLOOKUP(D76,Scoring!$A$4:$N$51,14,FALSE())*3,"-")</f>
        <v>81</v>
      </c>
      <c r="M76" s="27">
        <f>IFERROR(VLOOKUP(E76,Scoring!$A$4:$N$51,14,FALSE())*2,"-")</f>
        <v>32</v>
      </c>
      <c r="N76" s="27">
        <f>IFERROR(VLOOKUP(F76,Scoring!$A$4:$N$51,14,FALSE()),"-")</f>
        <v>19</v>
      </c>
      <c r="O76" s="27">
        <f>IFERROR(VLOOKUP(G76,Scoring!$A$4:$N$51,14,FALSE()),"-")</f>
        <v>14</v>
      </c>
      <c r="P76" s="28">
        <f>IFERROR(VLOOKUP(H76,Scoring!$A$4:$N$51,14,FALSE()),"-")</f>
        <v>8</v>
      </c>
      <c r="Q76" s="28">
        <f>IFERROR(VLOOKUP(I76,Scoring!$A$4:$N$51,6,FALSE()),"-")</f>
        <v>7</v>
      </c>
      <c r="R76" s="35">
        <f t="shared" si="6"/>
        <v>319</v>
      </c>
      <c r="S76">
        <f t="shared" si="7"/>
        <v>63</v>
      </c>
      <c r="T76">
        <f t="shared" si="8"/>
        <v>318.99992400000002</v>
      </c>
      <c r="U76" s="142" t="s">
        <v>272</v>
      </c>
      <c r="W76" s="43" t="s">
        <v>143</v>
      </c>
    </row>
    <row r="77" spans="1:23" ht="12.75" customHeight="1" x14ac:dyDescent="0.3">
      <c r="A77" s="26" t="s">
        <v>275</v>
      </c>
      <c r="B77" s="153" t="s">
        <v>60</v>
      </c>
      <c r="C77" s="153" t="s">
        <v>72</v>
      </c>
      <c r="D77" s="153" t="s">
        <v>84</v>
      </c>
      <c r="E77" s="153" t="s">
        <v>78</v>
      </c>
      <c r="F77" s="153" t="s">
        <v>11</v>
      </c>
      <c r="G77" s="153" t="s">
        <v>23</v>
      </c>
      <c r="H77" s="42" t="s">
        <v>12</v>
      </c>
      <c r="I77" s="27" t="s">
        <v>60</v>
      </c>
      <c r="J77" s="27">
        <f>IFERROR(VLOOKUP(B77,Scoring!$A$4:$N$51,14,FALSE())*6,"-")</f>
        <v>102</v>
      </c>
      <c r="K77" s="27">
        <f>IFERROR(VLOOKUP(C77,Scoring!$A$4:$N$51,14,FALSE())*4,"-")</f>
        <v>76</v>
      </c>
      <c r="L77" s="27">
        <f>IFERROR(VLOOKUP(D77,Scoring!$A$4:$N$51,14,FALSE())*3,"-")</f>
        <v>51</v>
      </c>
      <c r="M77" s="27">
        <f>IFERROR(VLOOKUP(E77,Scoring!$A$4:$N$51,14,FALSE())*2,"-")</f>
        <v>30</v>
      </c>
      <c r="N77" s="27">
        <f>IFERROR(VLOOKUP(F77,Scoring!$A$4:$N$51,14,FALSE()),"-")</f>
        <v>19</v>
      </c>
      <c r="O77" s="27">
        <f>IFERROR(VLOOKUP(G77,Scoring!$A$4:$N$51,14,FALSE()),"-")</f>
        <v>14</v>
      </c>
      <c r="P77" s="28">
        <f>IFERROR(VLOOKUP(H77,Scoring!$A$4:$N$51,14,FALSE()),"-")</f>
        <v>8</v>
      </c>
      <c r="Q77" s="28">
        <f>IFERROR(VLOOKUP(I77,Scoring!$A$4:$N$51,6,FALSE()),"-")</f>
        <v>4</v>
      </c>
      <c r="R77" s="35">
        <f t="shared" si="6"/>
        <v>304</v>
      </c>
      <c r="S77">
        <f t="shared" si="7"/>
        <v>77</v>
      </c>
      <c r="T77">
        <f t="shared" si="8"/>
        <v>303.99992300000002</v>
      </c>
      <c r="U77" s="142" t="s">
        <v>276</v>
      </c>
      <c r="W77" s="43" t="s">
        <v>143</v>
      </c>
    </row>
    <row r="78" spans="1:23" ht="12.75" customHeight="1" x14ac:dyDescent="0.3">
      <c r="A78" s="26" t="s">
        <v>277</v>
      </c>
      <c r="B78" s="42" t="s">
        <v>84</v>
      </c>
      <c r="C78" s="42" t="s">
        <v>60</v>
      </c>
      <c r="D78" s="42" t="s">
        <v>66</v>
      </c>
      <c r="E78" s="42" t="s">
        <v>72</v>
      </c>
      <c r="F78" s="42" t="s">
        <v>28</v>
      </c>
      <c r="G78" s="42" t="s">
        <v>71</v>
      </c>
      <c r="H78" s="42" t="s">
        <v>24</v>
      </c>
      <c r="I78" s="27" t="s">
        <v>60</v>
      </c>
      <c r="J78" s="27">
        <f>IFERROR(VLOOKUP(B78,Scoring!$A$4:$N$51,14,FALSE())*6,"-")</f>
        <v>102</v>
      </c>
      <c r="K78" s="27">
        <f>IFERROR(VLOOKUP(C78,Scoring!$A$4:$N$51,14,FALSE())*4,"-")</f>
        <v>68</v>
      </c>
      <c r="L78" s="27">
        <f>IFERROR(VLOOKUP(D78,Scoring!$A$4:$N$51,14,FALSE())*3,"-")</f>
        <v>81</v>
      </c>
      <c r="M78" s="27">
        <f>IFERROR(VLOOKUP(E78,Scoring!$A$4:$N$51,14,FALSE())*2,"-")</f>
        <v>38</v>
      </c>
      <c r="N78" s="27">
        <f>IFERROR(VLOOKUP(F78,Scoring!$A$4:$N$51,14,FALSE()),"-")</f>
        <v>17</v>
      </c>
      <c r="O78" s="27">
        <f>IFERROR(VLOOKUP(G78,Scoring!$A$4:$N$51,14,FALSE()),"-")</f>
        <v>16</v>
      </c>
      <c r="P78" s="28">
        <f>IFERROR(VLOOKUP(H78,Scoring!$A$4:$N$51,14,FALSE()),"-")</f>
        <v>8</v>
      </c>
      <c r="Q78" s="28">
        <f>IFERROR(VLOOKUP(I78,Scoring!$A$4:$N$51,6,FALSE()),"-")</f>
        <v>4</v>
      </c>
      <c r="R78" s="35">
        <f t="shared" si="6"/>
        <v>334</v>
      </c>
      <c r="S78">
        <f t="shared" si="7"/>
        <v>37</v>
      </c>
      <c r="T78">
        <f t="shared" si="8"/>
        <v>333.99992200000003</v>
      </c>
      <c r="U78" s="142" t="s">
        <v>278</v>
      </c>
      <c r="W78" s="43" t="s">
        <v>143</v>
      </c>
    </row>
    <row r="79" spans="1:23" ht="12.75" customHeight="1" x14ac:dyDescent="0.3">
      <c r="A79" s="26" t="s">
        <v>279</v>
      </c>
      <c r="B79" s="42" t="s">
        <v>78</v>
      </c>
      <c r="C79" s="42" t="s">
        <v>60</v>
      </c>
      <c r="D79" s="42" t="s">
        <v>29</v>
      </c>
      <c r="E79" s="42" t="s">
        <v>72</v>
      </c>
      <c r="F79" s="42" t="s">
        <v>45</v>
      </c>
      <c r="G79" s="42" t="s">
        <v>23</v>
      </c>
      <c r="H79" s="42" t="s">
        <v>87</v>
      </c>
      <c r="I79" s="27" t="s">
        <v>66</v>
      </c>
      <c r="J79" s="27">
        <f>IFERROR(VLOOKUP(B79,Scoring!$A$4:$N$51,14,FALSE())*6,"-")</f>
        <v>90</v>
      </c>
      <c r="K79" s="27">
        <f>IFERROR(VLOOKUP(C79,Scoring!$A$4:$N$51,14,FALSE())*4,"-")</f>
        <v>68</v>
      </c>
      <c r="L79" s="27">
        <f>IFERROR(VLOOKUP(D79,Scoring!$A$4:$N$51,14,FALSE())*3,"-")</f>
        <v>51</v>
      </c>
      <c r="M79" s="27">
        <f>IFERROR(VLOOKUP(E79,Scoring!$A$4:$N$51,14,FALSE())*2,"-")</f>
        <v>38</v>
      </c>
      <c r="N79" s="27">
        <f>IFERROR(VLOOKUP(F79,Scoring!$A$4:$N$51,14,FALSE()),"-")</f>
        <v>8</v>
      </c>
      <c r="O79" s="27">
        <f>IFERROR(VLOOKUP(G79,Scoring!$A$4:$N$51,14,FALSE()),"-")</f>
        <v>14</v>
      </c>
      <c r="P79" s="28">
        <f>IFERROR(VLOOKUP(H79,Scoring!$A$4:$N$51,14,FALSE()),"-")</f>
        <v>8</v>
      </c>
      <c r="Q79" s="28">
        <f>IFERROR(VLOOKUP(I79,Scoring!$A$4:$N$51,6,FALSE()),"-")</f>
        <v>7</v>
      </c>
      <c r="R79" s="35">
        <f t="shared" si="6"/>
        <v>284</v>
      </c>
      <c r="S79">
        <f t="shared" si="7"/>
        <v>90</v>
      </c>
      <c r="T79">
        <f t="shared" si="8"/>
        <v>283.99992099999997</v>
      </c>
      <c r="U79" s="142" t="s">
        <v>280</v>
      </c>
      <c r="W79" s="43" t="s">
        <v>143</v>
      </c>
    </row>
    <row r="80" spans="1:23" ht="12.75" customHeight="1" x14ac:dyDescent="0.3">
      <c r="A80" s="26" t="s">
        <v>281</v>
      </c>
      <c r="B80" s="42" t="s">
        <v>60</v>
      </c>
      <c r="C80" s="42" t="s">
        <v>29</v>
      </c>
      <c r="D80" s="42" t="s">
        <v>66</v>
      </c>
      <c r="E80" s="42" t="s">
        <v>78</v>
      </c>
      <c r="F80" s="42" t="s">
        <v>28</v>
      </c>
      <c r="G80" s="42" t="s">
        <v>23</v>
      </c>
      <c r="H80" s="42" t="s">
        <v>24</v>
      </c>
      <c r="I80" s="27" t="s">
        <v>60</v>
      </c>
      <c r="J80" s="27">
        <f>IFERROR(VLOOKUP(B80,Scoring!$A$4:$N$51,14,FALSE())*6,"-")</f>
        <v>102</v>
      </c>
      <c r="K80" s="27">
        <f>IFERROR(VLOOKUP(C80,Scoring!$A$4:$N$51,14,FALSE())*4,"-")</f>
        <v>68</v>
      </c>
      <c r="L80" s="27">
        <f>IFERROR(VLOOKUP(D80,Scoring!$A$4:$N$51,14,FALSE())*3,"-")</f>
        <v>81</v>
      </c>
      <c r="M80" s="27">
        <f>IFERROR(VLOOKUP(E80,Scoring!$A$4:$N$51,14,FALSE())*2,"-")</f>
        <v>30</v>
      </c>
      <c r="N80" s="27">
        <f>IFERROR(VLOOKUP(F80,Scoring!$A$4:$N$51,14,FALSE()),"-")</f>
        <v>17</v>
      </c>
      <c r="O80" s="27">
        <f>IFERROR(VLOOKUP(G80,Scoring!$A$4:$N$51,14,FALSE()),"-")</f>
        <v>14</v>
      </c>
      <c r="P80" s="28">
        <f>IFERROR(VLOOKUP(H80,Scoring!$A$4:$N$51,14,FALSE()),"-")</f>
        <v>8</v>
      </c>
      <c r="Q80" s="28">
        <f>IFERROR(VLOOKUP(I80,Scoring!$A$4:$N$51,6,FALSE()),"-")</f>
        <v>4</v>
      </c>
      <c r="R80" s="35">
        <f t="shared" si="6"/>
        <v>324</v>
      </c>
      <c r="S80">
        <f t="shared" si="7"/>
        <v>52</v>
      </c>
      <c r="T80">
        <f t="shared" si="8"/>
        <v>323.99991999999997</v>
      </c>
      <c r="U80" s="142" t="s">
        <v>282</v>
      </c>
      <c r="W80" s="43" t="s">
        <v>143</v>
      </c>
    </row>
    <row r="81" spans="1:23" ht="12.75" customHeight="1" x14ac:dyDescent="0.3">
      <c r="A81" s="26" t="s">
        <v>283</v>
      </c>
      <c r="B81" s="42" t="s">
        <v>66</v>
      </c>
      <c r="C81" s="42" t="s">
        <v>78</v>
      </c>
      <c r="D81" s="42" t="s">
        <v>60</v>
      </c>
      <c r="E81" s="42" t="s">
        <v>84</v>
      </c>
      <c r="F81" s="42" t="s">
        <v>83</v>
      </c>
      <c r="G81" s="42" t="s">
        <v>71</v>
      </c>
      <c r="H81" s="42" t="s">
        <v>79</v>
      </c>
      <c r="I81" s="27" t="s">
        <v>66</v>
      </c>
      <c r="J81" s="27">
        <f>IFERROR(VLOOKUP(B81,Scoring!$A$4:$N$51,14,FALSE())*6,"-")</f>
        <v>162</v>
      </c>
      <c r="K81" s="27">
        <f>IFERROR(VLOOKUP(C81,Scoring!$A$4:$N$51,14,FALSE())*4,"-")</f>
        <v>60</v>
      </c>
      <c r="L81" s="27">
        <f>IFERROR(VLOOKUP(D81,Scoring!$A$4:$N$51,14,FALSE())*3,"-")</f>
        <v>51</v>
      </c>
      <c r="M81" s="27">
        <f>IFERROR(VLOOKUP(E81,Scoring!$A$4:$N$51,14,FALSE())*2,"-")</f>
        <v>34</v>
      </c>
      <c r="N81" s="27">
        <f>IFERROR(VLOOKUP(F81,Scoring!$A$4:$N$51,14,FALSE()),"-")</f>
        <v>17</v>
      </c>
      <c r="O81" s="27">
        <f>IFERROR(VLOOKUP(G81,Scoring!$A$4:$N$51,14,FALSE()),"-")</f>
        <v>16</v>
      </c>
      <c r="P81" s="28">
        <f>IFERROR(VLOOKUP(H81,Scoring!$A$4:$N$51,14,FALSE()),"-")</f>
        <v>8</v>
      </c>
      <c r="Q81" s="28">
        <f>IFERROR(VLOOKUP(I81,Scoring!$A$4:$N$51,6,FALSE()),"-")</f>
        <v>7</v>
      </c>
      <c r="R81" s="35">
        <f t="shared" si="6"/>
        <v>355</v>
      </c>
      <c r="S81">
        <f t="shared" si="7"/>
        <v>10</v>
      </c>
      <c r="T81">
        <f t="shared" si="8"/>
        <v>354.99991899999998</v>
      </c>
      <c r="U81" s="142" t="s">
        <v>282</v>
      </c>
      <c r="W81" s="43" t="s">
        <v>143</v>
      </c>
    </row>
    <row r="82" spans="1:23" ht="12.75" customHeight="1" x14ac:dyDescent="0.3">
      <c r="A82" s="26" t="s">
        <v>284</v>
      </c>
      <c r="B82" s="42" t="s">
        <v>60</v>
      </c>
      <c r="C82" s="42" t="s">
        <v>40</v>
      </c>
      <c r="D82" s="42" t="s">
        <v>72</v>
      </c>
      <c r="E82" s="42" t="s">
        <v>78</v>
      </c>
      <c r="F82" s="42" t="s">
        <v>76</v>
      </c>
      <c r="G82" s="42" t="s">
        <v>23</v>
      </c>
      <c r="H82" s="42" t="s">
        <v>58</v>
      </c>
      <c r="I82" s="27" t="s">
        <v>84</v>
      </c>
      <c r="J82" s="27">
        <f>IFERROR(VLOOKUP(B82,Scoring!$A$4:$N$51,14,FALSE())*6,"-")</f>
        <v>102</v>
      </c>
      <c r="K82" s="27">
        <f>IFERROR(VLOOKUP(C82,Scoring!$A$4:$N$51,14,FALSE())*4,"-")</f>
        <v>40</v>
      </c>
      <c r="L82" s="27">
        <f>IFERROR(VLOOKUP(D82,Scoring!$A$4:$N$51,14,FALSE())*3,"-")</f>
        <v>57</v>
      </c>
      <c r="M82" s="27">
        <f>IFERROR(VLOOKUP(E82,Scoring!$A$4:$N$51,14,FALSE())*2,"-")</f>
        <v>30</v>
      </c>
      <c r="N82" s="27">
        <f>IFERROR(VLOOKUP(F82,Scoring!$A$4:$N$51,14,FALSE()),"-")</f>
        <v>8</v>
      </c>
      <c r="O82" s="27">
        <f>IFERROR(VLOOKUP(G82,Scoring!$A$4:$N$51,14,FALSE()),"-")</f>
        <v>14</v>
      </c>
      <c r="P82" s="28">
        <f>IFERROR(VLOOKUP(H82,Scoring!$A$4:$N$51,14,FALSE()),"-")</f>
        <v>1</v>
      </c>
      <c r="Q82" s="28">
        <f>IFERROR(VLOOKUP(I82,Scoring!$A$4:$N$51,6,FALSE()),"-")</f>
        <v>4</v>
      </c>
      <c r="R82" s="35">
        <f t="shared" si="6"/>
        <v>256</v>
      </c>
      <c r="S82">
        <f t="shared" si="7"/>
        <v>101</v>
      </c>
      <c r="T82">
        <f t="shared" si="8"/>
        <v>255.99991800000001</v>
      </c>
      <c r="U82" s="142" t="s">
        <v>285</v>
      </c>
      <c r="W82" s="43" t="s">
        <v>22</v>
      </c>
    </row>
    <row r="83" spans="1:23" ht="12.75" customHeight="1" x14ac:dyDescent="0.3">
      <c r="A83" s="26" t="s">
        <v>286</v>
      </c>
      <c r="B83" s="42" t="s">
        <v>78</v>
      </c>
      <c r="C83" s="42" t="s">
        <v>66</v>
      </c>
      <c r="D83" s="42" t="s">
        <v>60</v>
      </c>
      <c r="E83" s="42" t="s">
        <v>84</v>
      </c>
      <c r="F83" s="42" t="s">
        <v>39</v>
      </c>
      <c r="G83" s="42" t="s">
        <v>71</v>
      </c>
      <c r="H83" s="42" t="s">
        <v>12</v>
      </c>
      <c r="I83" s="27" t="s">
        <v>78</v>
      </c>
      <c r="J83" s="27">
        <f>IFERROR(VLOOKUP(B83,Scoring!$A$4:$N$51,14,FALSE())*6,"-")</f>
        <v>90</v>
      </c>
      <c r="K83" s="27">
        <f>IFERROR(VLOOKUP(C83,Scoring!$A$4:$N$51,14,FALSE())*4,"-")</f>
        <v>108</v>
      </c>
      <c r="L83" s="27">
        <f>IFERROR(VLOOKUP(D83,Scoring!$A$4:$N$51,14,FALSE())*3,"-")</f>
        <v>51</v>
      </c>
      <c r="M83" s="27">
        <f>IFERROR(VLOOKUP(E83,Scoring!$A$4:$N$51,14,FALSE())*2,"-")</f>
        <v>34</v>
      </c>
      <c r="N83" s="27">
        <f>IFERROR(VLOOKUP(F83,Scoring!$A$4:$N$51,14,FALSE()),"-")</f>
        <v>3</v>
      </c>
      <c r="O83" s="27">
        <f>IFERROR(VLOOKUP(G83,Scoring!$A$4:$N$51,14,FALSE()),"-")</f>
        <v>16</v>
      </c>
      <c r="P83" s="28">
        <f>IFERROR(VLOOKUP(H83,Scoring!$A$4:$N$51,14,FALSE()),"-")</f>
        <v>8</v>
      </c>
      <c r="Q83" s="28">
        <f>IFERROR(VLOOKUP(I83,Scoring!$A$4:$N$51,6,FALSE()),"-")</f>
        <v>4</v>
      </c>
      <c r="R83" s="35">
        <f t="shared" si="6"/>
        <v>314</v>
      </c>
      <c r="S83">
        <f t="shared" si="7"/>
        <v>67</v>
      </c>
      <c r="T83">
        <f t="shared" si="8"/>
        <v>313.99991699999998</v>
      </c>
      <c r="U83" s="142" t="s">
        <v>287</v>
      </c>
      <c r="W83" s="43" t="s">
        <v>143</v>
      </c>
    </row>
    <row r="84" spans="1:23" ht="12.75" customHeight="1" x14ac:dyDescent="0.3">
      <c r="A84" s="26" t="s">
        <v>288</v>
      </c>
      <c r="B84" s="42" t="s">
        <v>60</v>
      </c>
      <c r="C84" s="42" t="s">
        <v>72</v>
      </c>
      <c r="D84" s="42" t="s">
        <v>66</v>
      </c>
      <c r="E84" s="42" t="s">
        <v>84</v>
      </c>
      <c r="F84" s="42" t="s">
        <v>83</v>
      </c>
      <c r="G84" s="42" t="s">
        <v>38</v>
      </c>
      <c r="H84" s="42" t="s">
        <v>27</v>
      </c>
      <c r="I84" s="27" t="s">
        <v>60</v>
      </c>
      <c r="J84" s="27">
        <f>IFERROR(VLOOKUP(B84,Scoring!$A$4:$N$51,14,FALSE())*6,"-")</f>
        <v>102</v>
      </c>
      <c r="K84" s="27">
        <f>IFERROR(VLOOKUP(C84,Scoring!$A$4:$N$51,14,FALSE())*4,"-")</f>
        <v>76</v>
      </c>
      <c r="L84" s="27">
        <f>IFERROR(VLOOKUP(D84,Scoring!$A$4:$N$51,14,FALSE())*3,"-")</f>
        <v>81</v>
      </c>
      <c r="M84" s="27">
        <f>IFERROR(VLOOKUP(E84,Scoring!$A$4:$N$51,14,FALSE())*2,"-")</f>
        <v>34</v>
      </c>
      <c r="N84" s="27">
        <f>IFERROR(VLOOKUP(F84,Scoring!$A$4:$N$51,14,FALSE()),"-")</f>
        <v>17</v>
      </c>
      <c r="O84" s="27">
        <f>IFERROR(VLOOKUP(G84,Scoring!$A$4:$N$51,14,FALSE()),"-")</f>
        <v>8</v>
      </c>
      <c r="P84" s="28">
        <f>IFERROR(VLOOKUP(H84,Scoring!$A$4:$N$51,14,FALSE()),"-")</f>
        <v>1</v>
      </c>
      <c r="Q84" s="28">
        <f>IFERROR(VLOOKUP(I84,Scoring!$A$4:$N$51,6,FALSE()),"-")</f>
        <v>4</v>
      </c>
      <c r="R84" s="35">
        <f t="shared" si="6"/>
        <v>323</v>
      </c>
      <c r="S84">
        <f t="shared" si="7"/>
        <v>53</v>
      </c>
      <c r="T84">
        <f t="shared" si="8"/>
        <v>322.99991599999998</v>
      </c>
      <c r="U84" s="142" t="s">
        <v>289</v>
      </c>
      <c r="W84" s="43" t="s">
        <v>143</v>
      </c>
    </row>
    <row r="85" spans="1:23" ht="12.75" customHeight="1" x14ac:dyDescent="0.3">
      <c r="A85" s="26" t="s">
        <v>290</v>
      </c>
      <c r="B85" s="42" t="s">
        <v>60</v>
      </c>
      <c r="C85" s="42" t="s">
        <v>78</v>
      </c>
      <c r="D85" s="42" t="s">
        <v>66</v>
      </c>
      <c r="E85" s="42" t="s">
        <v>29</v>
      </c>
      <c r="F85" s="42" t="s">
        <v>39</v>
      </c>
      <c r="G85" s="42" t="s">
        <v>16</v>
      </c>
      <c r="H85" s="42" t="s">
        <v>24</v>
      </c>
      <c r="I85" s="27" t="s">
        <v>60</v>
      </c>
      <c r="J85" s="27">
        <f>IFERROR(VLOOKUP(B85,Scoring!$A$4:$N$51,14,FALSE())*6,"-")</f>
        <v>102</v>
      </c>
      <c r="K85" s="27">
        <f>IFERROR(VLOOKUP(C85,Scoring!$A$4:$N$51,14,FALSE())*4,"-")</f>
        <v>60</v>
      </c>
      <c r="L85" s="27">
        <f>IFERROR(VLOOKUP(D85,Scoring!$A$4:$N$51,14,FALSE())*3,"-")</f>
        <v>81</v>
      </c>
      <c r="M85" s="27">
        <f>IFERROR(VLOOKUP(E85,Scoring!$A$4:$N$51,14,FALSE())*2,"-")</f>
        <v>34</v>
      </c>
      <c r="N85" s="27">
        <f>IFERROR(VLOOKUP(F85,Scoring!$A$4:$N$51,14,FALSE()),"-")</f>
        <v>3</v>
      </c>
      <c r="O85" s="27">
        <f>IFERROR(VLOOKUP(G85,Scoring!$A$4:$N$51,14,FALSE()),"-")</f>
        <v>1</v>
      </c>
      <c r="P85" s="28">
        <f>IFERROR(VLOOKUP(H85,Scoring!$A$4:$N$51,14,FALSE()),"-")</f>
        <v>8</v>
      </c>
      <c r="Q85" s="28">
        <f>IFERROR(VLOOKUP(I85,Scoring!$A$4:$N$51,6,FALSE()),"-")</f>
        <v>4</v>
      </c>
      <c r="R85" s="35">
        <f t="shared" si="6"/>
        <v>293</v>
      </c>
      <c r="S85">
        <f t="shared" si="7"/>
        <v>83</v>
      </c>
      <c r="T85">
        <f t="shared" si="8"/>
        <v>292.99991499999999</v>
      </c>
      <c r="U85" s="142" t="s">
        <v>291</v>
      </c>
      <c r="W85" s="43" t="s">
        <v>143</v>
      </c>
    </row>
    <row r="86" spans="1:23" ht="12.75" customHeight="1" x14ac:dyDescent="0.3">
      <c r="A86" s="26" t="s">
        <v>292</v>
      </c>
      <c r="B86" s="42" t="s">
        <v>60</v>
      </c>
      <c r="C86" s="42" t="s">
        <v>72</v>
      </c>
      <c r="D86" s="42" t="s">
        <v>40</v>
      </c>
      <c r="E86" s="42" t="s">
        <v>84</v>
      </c>
      <c r="F86" s="42" t="s">
        <v>35</v>
      </c>
      <c r="G86" s="42" t="s">
        <v>16</v>
      </c>
      <c r="H86" s="42" t="s">
        <v>24</v>
      </c>
      <c r="I86" s="27" t="s">
        <v>60</v>
      </c>
      <c r="J86" s="27">
        <f>IFERROR(VLOOKUP(B86,Scoring!$A$4:$N$51,14,FALSE())*6,"-")</f>
        <v>102</v>
      </c>
      <c r="K86" s="27">
        <f>IFERROR(VLOOKUP(C86,Scoring!$A$4:$N$51,14,FALSE())*4,"-")</f>
        <v>76</v>
      </c>
      <c r="L86" s="27">
        <f>IFERROR(VLOOKUP(D86,Scoring!$A$4:$N$51,14,FALSE())*3,"-")</f>
        <v>30</v>
      </c>
      <c r="M86" s="27">
        <f>IFERROR(VLOOKUP(E86,Scoring!$A$4:$N$51,14,FALSE())*2,"-")</f>
        <v>34</v>
      </c>
      <c r="N86" s="27">
        <f>IFERROR(VLOOKUP(F86,Scoring!$A$4:$N$51,14,FALSE()),"-")</f>
        <v>16</v>
      </c>
      <c r="O86" s="27">
        <f>IFERROR(VLOOKUP(G86,Scoring!$A$4:$N$51,14,FALSE()),"-")</f>
        <v>1</v>
      </c>
      <c r="P86" s="28">
        <f>IFERROR(VLOOKUP(H86,Scoring!$A$4:$N$51,14,FALSE()),"-")</f>
        <v>8</v>
      </c>
      <c r="Q86" s="28">
        <f>IFERROR(VLOOKUP(I86,Scoring!$A$4:$N$51,6,FALSE()),"-")</f>
        <v>4</v>
      </c>
      <c r="R86" s="35">
        <f t="shared" si="6"/>
        <v>271</v>
      </c>
      <c r="S86">
        <f t="shared" si="7"/>
        <v>95</v>
      </c>
      <c r="T86">
        <f t="shared" si="8"/>
        <v>270.99991399999999</v>
      </c>
      <c r="U86" s="142" t="s">
        <v>293</v>
      </c>
      <c r="W86" s="43" t="s">
        <v>143</v>
      </c>
    </row>
    <row r="87" spans="1:23" ht="12.75" customHeight="1" x14ac:dyDescent="0.3">
      <c r="A87" s="26" t="s">
        <v>294</v>
      </c>
      <c r="B87" s="42" t="s">
        <v>66</v>
      </c>
      <c r="C87" s="42" t="s">
        <v>72</v>
      </c>
      <c r="D87" s="42" t="s">
        <v>60</v>
      </c>
      <c r="E87" s="42" t="s">
        <v>29</v>
      </c>
      <c r="F87" s="42" t="s">
        <v>11</v>
      </c>
      <c r="G87" s="42" t="s">
        <v>23</v>
      </c>
      <c r="H87" s="42" t="s">
        <v>27</v>
      </c>
      <c r="I87" s="27" t="s">
        <v>66</v>
      </c>
      <c r="J87" s="27">
        <f>IFERROR(VLOOKUP(B87,Scoring!$A$4:$N$51,14,FALSE())*6,"-")</f>
        <v>162</v>
      </c>
      <c r="K87" s="27">
        <f>IFERROR(VLOOKUP(C87,Scoring!$A$4:$N$51,14,FALSE())*4,"-")</f>
        <v>76</v>
      </c>
      <c r="L87" s="27">
        <f>IFERROR(VLOOKUP(D87,Scoring!$A$4:$N$51,14,FALSE())*3,"-")</f>
        <v>51</v>
      </c>
      <c r="M87" s="27">
        <f>IFERROR(VLOOKUP(E87,Scoring!$A$4:$N$51,14,FALSE())*2,"-")</f>
        <v>34</v>
      </c>
      <c r="N87" s="27">
        <f>IFERROR(VLOOKUP(F87,Scoring!$A$4:$N$51,14,FALSE()),"-")</f>
        <v>19</v>
      </c>
      <c r="O87" s="27">
        <f>IFERROR(VLOOKUP(G87,Scoring!$A$4:$N$51,14,FALSE()),"-")</f>
        <v>14</v>
      </c>
      <c r="P87" s="28">
        <f>IFERROR(VLOOKUP(H87,Scoring!$A$4:$N$51,14,FALSE()),"-")</f>
        <v>1</v>
      </c>
      <c r="Q87" s="28">
        <f>IFERROR(VLOOKUP(I87,Scoring!$A$4:$N$51,6,FALSE()),"-")</f>
        <v>7</v>
      </c>
      <c r="R87" s="35">
        <f t="shared" si="6"/>
        <v>364</v>
      </c>
      <c r="S87">
        <f t="shared" si="7"/>
        <v>3</v>
      </c>
      <c r="T87">
        <f t="shared" si="8"/>
        <v>363.99991299999999</v>
      </c>
      <c r="U87" s="142" t="s">
        <v>295</v>
      </c>
      <c r="W87" s="43" t="s">
        <v>143</v>
      </c>
    </row>
    <row r="88" spans="1:23" ht="12.75" customHeight="1" x14ac:dyDescent="0.3">
      <c r="A88" s="26" t="s">
        <v>296</v>
      </c>
      <c r="B88" s="42" t="s">
        <v>66</v>
      </c>
      <c r="C88" s="42" t="s">
        <v>29</v>
      </c>
      <c r="D88" s="42" t="s">
        <v>60</v>
      </c>
      <c r="E88" s="42" t="s">
        <v>72</v>
      </c>
      <c r="F88" s="42" t="s">
        <v>39</v>
      </c>
      <c r="G88" s="42" t="s">
        <v>71</v>
      </c>
      <c r="H88" s="42" t="s">
        <v>24</v>
      </c>
      <c r="I88" s="27" t="s">
        <v>29</v>
      </c>
      <c r="J88" s="27">
        <f>IFERROR(VLOOKUP(B88,Scoring!$A$4:$N$51,14,FALSE())*6,"-")</f>
        <v>162</v>
      </c>
      <c r="K88" s="27">
        <f>IFERROR(VLOOKUP(C88,Scoring!$A$4:$N$51,14,FALSE())*4,"-")</f>
        <v>68</v>
      </c>
      <c r="L88" s="27">
        <f>IFERROR(VLOOKUP(D88,Scoring!$A$4:$N$51,14,FALSE())*3,"-")</f>
        <v>51</v>
      </c>
      <c r="M88" s="27">
        <f>IFERROR(VLOOKUP(E88,Scoring!$A$4:$N$51,14,FALSE())*2,"-")</f>
        <v>38</v>
      </c>
      <c r="N88" s="27">
        <f>IFERROR(VLOOKUP(F88,Scoring!$A$4:$N$51,14,FALSE()),"-")</f>
        <v>3</v>
      </c>
      <c r="O88" s="27">
        <f>IFERROR(VLOOKUP(G88,Scoring!$A$4:$N$51,14,FALSE()),"-")</f>
        <v>16</v>
      </c>
      <c r="P88" s="28">
        <f>IFERROR(VLOOKUP(H88,Scoring!$A$4:$N$51,14,FALSE()),"-")</f>
        <v>8</v>
      </c>
      <c r="Q88" s="28">
        <f>IFERROR(VLOOKUP(I88,Scoring!$A$4:$N$51,6,FALSE()),"-")</f>
        <v>4.5</v>
      </c>
      <c r="R88" s="35">
        <f t="shared" si="6"/>
        <v>350.5</v>
      </c>
      <c r="S88">
        <f t="shared" si="7"/>
        <v>13</v>
      </c>
      <c r="T88">
        <f t="shared" si="8"/>
        <v>350.49991199999999</v>
      </c>
      <c r="U88" s="142" t="s">
        <v>297</v>
      </c>
      <c r="W88" s="43" t="s">
        <v>143</v>
      </c>
    </row>
    <row r="89" spans="1:23" ht="12.75" customHeight="1" x14ac:dyDescent="0.3">
      <c r="A89" s="26" t="s">
        <v>298</v>
      </c>
      <c r="B89" s="42" t="s">
        <v>66</v>
      </c>
      <c r="C89" s="42" t="s">
        <v>29</v>
      </c>
      <c r="D89" s="42" t="s">
        <v>60</v>
      </c>
      <c r="E89" s="42" t="s">
        <v>78</v>
      </c>
      <c r="F89" s="42" t="s">
        <v>39</v>
      </c>
      <c r="G89" s="42" t="s">
        <v>50</v>
      </c>
      <c r="H89" s="42" t="s">
        <v>24</v>
      </c>
      <c r="I89" s="27" t="s">
        <v>60</v>
      </c>
      <c r="J89" s="27">
        <f>IFERROR(VLOOKUP(B89,Scoring!$A$4:$N$51,14,FALSE())*6,"-")</f>
        <v>162</v>
      </c>
      <c r="K89" s="27">
        <f>IFERROR(VLOOKUP(C89,Scoring!$A$4:$N$51,14,FALSE())*4,"-")</f>
        <v>68</v>
      </c>
      <c r="L89" s="27">
        <f>IFERROR(VLOOKUP(D89,Scoring!$A$4:$N$51,14,FALSE())*3,"-")</f>
        <v>51</v>
      </c>
      <c r="M89" s="27">
        <f>IFERROR(VLOOKUP(E89,Scoring!$A$4:$N$51,14,FALSE())*2,"-")</f>
        <v>30</v>
      </c>
      <c r="N89" s="27">
        <f>IFERROR(VLOOKUP(F89,Scoring!$A$4:$N$51,14,FALSE()),"-")</f>
        <v>3</v>
      </c>
      <c r="O89" s="27">
        <f>IFERROR(VLOOKUP(G89,Scoring!$A$4:$N$51,14,FALSE()),"-")</f>
        <v>8</v>
      </c>
      <c r="P89" s="28">
        <f>IFERROR(VLOOKUP(H89,Scoring!$A$4:$N$51,14,FALSE()),"-")</f>
        <v>8</v>
      </c>
      <c r="Q89" s="28">
        <f>IFERROR(VLOOKUP(I89,Scoring!$A$4:$N$51,6,FALSE()),"-")</f>
        <v>4</v>
      </c>
      <c r="R89" s="35">
        <f t="shared" si="6"/>
        <v>334</v>
      </c>
      <c r="S89">
        <f t="shared" si="7"/>
        <v>37</v>
      </c>
      <c r="T89">
        <f t="shared" si="8"/>
        <v>333.999911</v>
      </c>
      <c r="U89" s="142" t="s">
        <v>299</v>
      </c>
      <c r="W89" s="43" t="s">
        <v>143</v>
      </c>
    </row>
    <row r="90" spans="1:23" ht="12.75" customHeight="1" x14ac:dyDescent="0.3">
      <c r="A90" s="26" t="s">
        <v>300</v>
      </c>
      <c r="B90" s="42" t="s">
        <v>66</v>
      </c>
      <c r="C90" s="42" t="s">
        <v>60</v>
      </c>
      <c r="D90" s="42" t="s">
        <v>72</v>
      </c>
      <c r="E90" s="42" t="s">
        <v>78</v>
      </c>
      <c r="F90" s="42" t="s">
        <v>65</v>
      </c>
      <c r="G90" s="42" t="s">
        <v>71</v>
      </c>
      <c r="H90" s="42" t="s">
        <v>61</v>
      </c>
      <c r="I90" s="27" t="s">
        <v>66</v>
      </c>
      <c r="J90" s="27">
        <f>IFERROR(VLOOKUP(B90,Scoring!$A$4:$N$51,14,FALSE())*6,"-")</f>
        <v>162</v>
      </c>
      <c r="K90" s="27">
        <f>IFERROR(VLOOKUP(C90,Scoring!$A$4:$N$51,14,FALSE())*4,"-")</f>
        <v>68</v>
      </c>
      <c r="L90" s="27">
        <f>IFERROR(VLOOKUP(D90,Scoring!$A$4:$N$51,14,FALSE())*3,"-")</f>
        <v>57</v>
      </c>
      <c r="M90" s="27">
        <f>IFERROR(VLOOKUP(E90,Scoring!$A$4:$N$51,14,FALSE())*2,"-")</f>
        <v>30</v>
      </c>
      <c r="N90" s="27">
        <f>IFERROR(VLOOKUP(F90,Scoring!$A$4:$N$51,14,FALSE()),"-")</f>
        <v>2</v>
      </c>
      <c r="O90" s="27">
        <f>IFERROR(VLOOKUP(G90,Scoring!$A$4:$N$51,14,FALSE()),"-")</f>
        <v>16</v>
      </c>
      <c r="P90" s="28">
        <f>IFERROR(VLOOKUP(H90,Scoring!$A$4:$N$51,14,FALSE()),"-")</f>
        <v>7</v>
      </c>
      <c r="Q90" s="28">
        <f>IFERROR(VLOOKUP(I90,Scoring!$A$4:$N$51,6,FALSE()),"-")</f>
        <v>7</v>
      </c>
      <c r="R90" s="35">
        <f t="shared" si="6"/>
        <v>349</v>
      </c>
      <c r="S90">
        <f t="shared" si="7"/>
        <v>15</v>
      </c>
      <c r="T90">
        <f t="shared" si="8"/>
        <v>348.99991</v>
      </c>
      <c r="U90" s="142" t="s">
        <v>301</v>
      </c>
      <c r="W90" s="43" t="s">
        <v>143</v>
      </c>
    </row>
    <row r="91" spans="1:23" ht="12.75" customHeight="1" x14ac:dyDescent="0.3">
      <c r="A91" s="26" t="s">
        <v>302</v>
      </c>
      <c r="B91" s="42" t="s">
        <v>60</v>
      </c>
      <c r="C91" s="42" t="s">
        <v>66</v>
      </c>
      <c r="D91" s="42" t="s">
        <v>84</v>
      </c>
      <c r="E91" s="42" t="s">
        <v>29</v>
      </c>
      <c r="F91" s="42" t="s">
        <v>83</v>
      </c>
      <c r="G91" s="42" t="s">
        <v>71</v>
      </c>
      <c r="H91" s="42" t="s">
        <v>87</v>
      </c>
      <c r="I91" s="27" t="s">
        <v>60</v>
      </c>
      <c r="J91" s="27">
        <f>IFERROR(VLOOKUP(B91,Scoring!$A$4:$N$51,14,FALSE())*6,"-")</f>
        <v>102</v>
      </c>
      <c r="K91" s="27">
        <f>IFERROR(VLOOKUP(C91,Scoring!$A$4:$N$51,14,FALSE())*4,"-")</f>
        <v>108</v>
      </c>
      <c r="L91" s="27">
        <f>IFERROR(VLOOKUP(D91,Scoring!$A$4:$N$51,14,FALSE())*3,"-")</f>
        <v>51</v>
      </c>
      <c r="M91" s="27">
        <f>IFERROR(VLOOKUP(E91,Scoring!$A$4:$N$51,14,FALSE())*2,"-")</f>
        <v>34</v>
      </c>
      <c r="N91" s="27">
        <f>IFERROR(VLOOKUP(F91,Scoring!$A$4:$N$51,14,FALSE()),"-")</f>
        <v>17</v>
      </c>
      <c r="O91" s="27">
        <f>IFERROR(VLOOKUP(G91,Scoring!$A$4:$N$51,14,FALSE()),"-")</f>
        <v>16</v>
      </c>
      <c r="P91" s="28">
        <f>IFERROR(VLOOKUP(H91,Scoring!$A$4:$N$51,14,FALSE()),"-")</f>
        <v>8</v>
      </c>
      <c r="Q91" s="28">
        <f>IFERROR(VLOOKUP(I91,Scoring!$A$4:$N$51,6,FALSE()),"-")</f>
        <v>4</v>
      </c>
      <c r="R91" s="35">
        <f t="shared" si="6"/>
        <v>340</v>
      </c>
      <c r="S91">
        <f t="shared" si="7"/>
        <v>28</v>
      </c>
      <c r="T91">
        <f t="shared" si="8"/>
        <v>339.999909</v>
      </c>
      <c r="U91" s="142" t="s">
        <v>301</v>
      </c>
      <c r="W91" s="43" t="s">
        <v>143</v>
      </c>
    </row>
    <row r="92" spans="1:23" ht="12.75" customHeight="1" x14ac:dyDescent="0.3">
      <c r="A92" s="26" t="s">
        <v>303</v>
      </c>
      <c r="B92" s="42" t="s">
        <v>78</v>
      </c>
      <c r="C92" s="42" t="s">
        <v>66</v>
      </c>
      <c r="D92" s="42" t="s">
        <v>60</v>
      </c>
      <c r="E92" s="42" t="s">
        <v>30</v>
      </c>
      <c r="F92" s="42" t="s">
        <v>11</v>
      </c>
      <c r="G92" s="42" t="s">
        <v>71</v>
      </c>
      <c r="H92" s="42" t="s">
        <v>24</v>
      </c>
      <c r="I92" s="27" t="s">
        <v>66</v>
      </c>
      <c r="J92" s="27">
        <f>IFERROR(VLOOKUP(B92,Scoring!$A$4:$N$51,14,FALSE())*6,"-")</f>
        <v>90</v>
      </c>
      <c r="K92" s="27">
        <f>IFERROR(VLOOKUP(C92,Scoring!$A$4:$N$51,14,FALSE())*4,"-")</f>
        <v>108</v>
      </c>
      <c r="L92" s="27">
        <f>IFERROR(VLOOKUP(D92,Scoring!$A$4:$N$51,14,FALSE())*3,"-")</f>
        <v>51</v>
      </c>
      <c r="M92" s="27">
        <f>IFERROR(VLOOKUP(E92,Scoring!$A$4:$N$51,14,FALSE())*2,"-")</f>
        <v>50</v>
      </c>
      <c r="N92" s="27">
        <f>IFERROR(VLOOKUP(F92,Scoring!$A$4:$N$51,14,FALSE()),"-")</f>
        <v>19</v>
      </c>
      <c r="O92" s="27">
        <f>IFERROR(VLOOKUP(G92,Scoring!$A$4:$N$51,14,FALSE()),"-")</f>
        <v>16</v>
      </c>
      <c r="P92" s="28">
        <f>IFERROR(VLOOKUP(H92,Scoring!$A$4:$N$51,14,FALSE()),"-")</f>
        <v>8</v>
      </c>
      <c r="Q92" s="28">
        <f>IFERROR(VLOOKUP(I92,Scoring!$A$4:$N$51,6,FALSE()),"-")</f>
        <v>7</v>
      </c>
      <c r="R92" s="35">
        <f t="shared" si="6"/>
        <v>349</v>
      </c>
      <c r="S92">
        <f t="shared" si="7"/>
        <v>15</v>
      </c>
      <c r="T92">
        <f t="shared" si="8"/>
        <v>348.999908</v>
      </c>
      <c r="U92" s="142" t="s">
        <v>301</v>
      </c>
      <c r="W92" s="43" t="s">
        <v>143</v>
      </c>
    </row>
    <row r="93" spans="1:23" ht="12.75" customHeight="1" x14ac:dyDescent="0.3">
      <c r="A93" s="26" t="s">
        <v>304</v>
      </c>
      <c r="B93" s="42" t="s">
        <v>60</v>
      </c>
      <c r="C93" s="42" t="s">
        <v>84</v>
      </c>
      <c r="D93" s="42" t="s">
        <v>72</v>
      </c>
      <c r="E93" s="42" t="s">
        <v>29</v>
      </c>
      <c r="F93" s="42" t="s">
        <v>11</v>
      </c>
      <c r="G93" s="42" t="s">
        <v>71</v>
      </c>
      <c r="H93" s="42" t="s">
        <v>61</v>
      </c>
      <c r="I93" s="27" t="s">
        <v>60</v>
      </c>
      <c r="J93" s="27">
        <f>IFERROR(VLOOKUP(B93,Scoring!$A$4:$N$51,14,FALSE())*6,"-")</f>
        <v>102</v>
      </c>
      <c r="K93" s="27">
        <f>IFERROR(VLOOKUP(C93,Scoring!$A$4:$N$51,14,FALSE())*4,"-")</f>
        <v>68</v>
      </c>
      <c r="L93" s="27">
        <f>IFERROR(VLOOKUP(D93,Scoring!$A$4:$N$51,14,FALSE())*3,"-")</f>
        <v>57</v>
      </c>
      <c r="M93" s="27">
        <f>IFERROR(VLOOKUP(E93,Scoring!$A$4:$N$51,14,FALSE())*2,"-")</f>
        <v>34</v>
      </c>
      <c r="N93" s="27">
        <f>IFERROR(VLOOKUP(F93,Scoring!$A$4:$N$51,14,FALSE()),"-")</f>
        <v>19</v>
      </c>
      <c r="O93" s="27">
        <f>IFERROR(VLOOKUP(G93,Scoring!$A$4:$N$51,14,FALSE()),"-")</f>
        <v>16</v>
      </c>
      <c r="P93" s="28">
        <f>IFERROR(VLOOKUP(H93,Scoring!$A$4:$N$51,14,FALSE()),"-")</f>
        <v>7</v>
      </c>
      <c r="Q93" s="28">
        <f>IFERROR(VLOOKUP(I93,Scoring!$A$4:$N$51,6,FALSE()),"-")</f>
        <v>4</v>
      </c>
      <c r="R93" s="35">
        <f t="shared" si="6"/>
        <v>307</v>
      </c>
      <c r="S93">
        <f t="shared" si="7"/>
        <v>75</v>
      </c>
      <c r="T93">
        <f t="shared" si="8"/>
        <v>306.99990700000001</v>
      </c>
      <c r="U93" s="142" t="s">
        <v>305</v>
      </c>
      <c r="W93" s="43" t="s">
        <v>143</v>
      </c>
    </row>
    <row r="94" spans="1:23" ht="12.75" customHeight="1" x14ac:dyDescent="0.3">
      <c r="A94" s="26" t="s">
        <v>306</v>
      </c>
      <c r="B94" s="42" t="s">
        <v>60</v>
      </c>
      <c r="C94" s="42" t="s">
        <v>66</v>
      </c>
      <c r="D94" s="42" t="s">
        <v>84</v>
      </c>
      <c r="E94" s="42" t="s">
        <v>78</v>
      </c>
      <c r="F94" s="42" t="s">
        <v>11</v>
      </c>
      <c r="G94" s="42" t="s">
        <v>71</v>
      </c>
      <c r="H94" s="42" t="s">
        <v>24</v>
      </c>
      <c r="I94" s="27" t="s">
        <v>29</v>
      </c>
      <c r="J94" s="27">
        <f>IFERROR(VLOOKUP(B94,Scoring!$A$4:$N$51,14,FALSE())*6,"-")</f>
        <v>102</v>
      </c>
      <c r="K94" s="27">
        <f>IFERROR(VLOOKUP(C94,Scoring!$A$4:$N$51,14,FALSE())*4,"-")</f>
        <v>108</v>
      </c>
      <c r="L94" s="27">
        <f>IFERROR(VLOOKUP(D94,Scoring!$A$4:$N$51,14,FALSE())*3,"-")</f>
        <v>51</v>
      </c>
      <c r="M94" s="27">
        <f>IFERROR(VLOOKUP(E94,Scoring!$A$4:$N$51,14,FALSE())*2,"-")</f>
        <v>30</v>
      </c>
      <c r="N94" s="27">
        <f>IFERROR(VLOOKUP(F94,Scoring!$A$4:$N$51,14,FALSE()),"-")</f>
        <v>19</v>
      </c>
      <c r="O94" s="27">
        <f>IFERROR(VLOOKUP(G94,Scoring!$A$4:$N$51,14,FALSE()),"-")</f>
        <v>16</v>
      </c>
      <c r="P94" s="28">
        <f>IFERROR(VLOOKUP(H94,Scoring!$A$4:$N$51,14,FALSE()),"-")</f>
        <v>8</v>
      </c>
      <c r="Q94" s="28">
        <f>IFERROR(VLOOKUP(I94,Scoring!$A$4:$N$51,6,FALSE()),"-")</f>
        <v>4.5</v>
      </c>
      <c r="R94" s="35">
        <f t="shared" si="6"/>
        <v>338.5</v>
      </c>
      <c r="S94">
        <f t="shared" si="7"/>
        <v>31</v>
      </c>
      <c r="T94">
        <f t="shared" si="8"/>
        <v>338.49990600000001</v>
      </c>
      <c r="U94" s="142" t="s">
        <v>307</v>
      </c>
      <c r="W94" s="43" t="s">
        <v>143</v>
      </c>
    </row>
    <row r="95" spans="1:23" ht="12.75" customHeight="1" x14ac:dyDescent="0.3">
      <c r="A95" s="26" t="s">
        <v>308</v>
      </c>
      <c r="B95" s="42" t="s">
        <v>72</v>
      </c>
      <c r="C95" s="42" t="s">
        <v>40</v>
      </c>
      <c r="D95" s="42" t="s">
        <v>60</v>
      </c>
      <c r="E95" s="42" t="s">
        <v>84</v>
      </c>
      <c r="F95" s="42" t="s">
        <v>11</v>
      </c>
      <c r="G95" s="42" t="s">
        <v>71</v>
      </c>
      <c r="H95" s="42" t="s">
        <v>87</v>
      </c>
      <c r="I95" s="27" t="s">
        <v>60</v>
      </c>
      <c r="J95" s="27">
        <f>IFERROR(VLOOKUP(B95,Scoring!$A$4:$N$51,14,FALSE())*6,"-")</f>
        <v>114</v>
      </c>
      <c r="K95" s="27">
        <f>IFERROR(VLOOKUP(C95,Scoring!$A$4:$N$51,14,FALSE())*4,"-")</f>
        <v>40</v>
      </c>
      <c r="L95" s="27">
        <f>IFERROR(VLOOKUP(D95,Scoring!$A$4:$N$51,14,FALSE())*3,"-")</f>
        <v>51</v>
      </c>
      <c r="M95" s="27">
        <f>IFERROR(VLOOKUP(E95,Scoring!$A$4:$N$51,14,FALSE())*2,"-")</f>
        <v>34</v>
      </c>
      <c r="N95" s="27">
        <f>IFERROR(VLOOKUP(F95,Scoring!$A$4:$N$51,14,FALSE()),"-")</f>
        <v>19</v>
      </c>
      <c r="O95" s="27">
        <f>IFERROR(VLOOKUP(G95,Scoring!$A$4:$N$51,14,FALSE()),"-")</f>
        <v>16</v>
      </c>
      <c r="P95" s="28">
        <f>IFERROR(VLOOKUP(H95,Scoring!$A$4:$N$51,14,FALSE()),"-")</f>
        <v>8</v>
      </c>
      <c r="Q95" s="28">
        <f>IFERROR(VLOOKUP(I95,Scoring!$A$4:$N$51,6,FALSE()),"-")</f>
        <v>4</v>
      </c>
      <c r="R95" s="35">
        <f t="shared" si="6"/>
        <v>286</v>
      </c>
      <c r="S95">
        <f t="shared" si="7"/>
        <v>89</v>
      </c>
      <c r="T95">
        <f t="shared" si="8"/>
        <v>285.99990500000001</v>
      </c>
      <c r="U95" s="43" t="s">
        <v>309</v>
      </c>
      <c r="W95" s="43" t="s">
        <v>143</v>
      </c>
    </row>
    <row r="96" spans="1:23" ht="12.75" customHeight="1" x14ac:dyDescent="0.3">
      <c r="A96" s="26" t="s">
        <v>310</v>
      </c>
      <c r="B96" s="42" t="s">
        <v>66</v>
      </c>
      <c r="C96" s="42" t="s">
        <v>60</v>
      </c>
      <c r="D96" s="42" t="s">
        <v>29</v>
      </c>
      <c r="E96" s="42" t="s">
        <v>84</v>
      </c>
      <c r="F96" s="42" t="s">
        <v>83</v>
      </c>
      <c r="G96" s="42" t="s">
        <v>71</v>
      </c>
      <c r="H96" s="42" t="s">
        <v>24</v>
      </c>
      <c r="I96" s="27" t="s">
        <v>60</v>
      </c>
      <c r="J96" s="27">
        <f>IFERROR(VLOOKUP(B96,Scoring!$A$4:$N$51,14,FALSE())*6,"-")</f>
        <v>162</v>
      </c>
      <c r="K96" s="27">
        <f>IFERROR(VLOOKUP(C96,Scoring!$A$4:$N$51,14,FALSE())*4,"-")</f>
        <v>68</v>
      </c>
      <c r="L96" s="27">
        <f>IFERROR(VLOOKUP(D96,Scoring!$A$4:$N$51,14,FALSE())*3,"-")</f>
        <v>51</v>
      </c>
      <c r="M96" s="27">
        <f>IFERROR(VLOOKUP(E96,Scoring!$A$4:$N$51,14,FALSE())*2,"-")</f>
        <v>34</v>
      </c>
      <c r="N96" s="27">
        <f>IFERROR(VLOOKUP(F96,Scoring!$A$4:$N$51,14,FALSE()),"-")</f>
        <v>17</v>
      </c>
      <c r="O96" s="27">
        <f>IFERROR(VLOOKUP(G96,Scoring!$A$4:$N$51,14,FALSE()),"-")</f>
        <v>16</v>
      </c>
      <c r="P96" s="28">
        <f>IFERROR(VLOOKUP(H96,Scoring!$A$4:$N$51,14,FALSE()),"-")</f>
        <v>8</v>
      </c>
      <c r="Q96" s="28">
        <f>IFERROR(VLOOKUP(I96,Scoring!$A$4:$N$51,6,FALSE()),"-")</f>
        <v>4</v>
      </c>
      <c r="R96" s="35">
        <f t="shared" si="6"/>
        <v>360</v>
      </c>
      <c r="S96">
        <f t="shared" si="7"/>
        <v>4</v>
      </c>
      <c r="T96">
        <f t="shared" si="8"/>
        <v>359.99990400000002</v>
      </c>
      <c r="U96" s="142" t="s">
        <v>311</v>
      </c>
      <c r="W96" s="43" t="s">
        <v>143</v>
      </c>
    </row>
    <row r="97" spans="1:23" ht="12.75" customHeight="1" x14ac:dyDescent="0.3">
      <c r="A97" s="26" t="s">
        <v>312</v>
      </c>
      <c r="B97" s="42" t="s">
        <v>66</v>
      </c>
      <c r="C97" s="42" t="s">
        <v>29</v>
      </c>
      <c r="D97" s="42" t="s">
        <v>60</v>
      </c>
      <c r="E97" s="42" t="s">
        <v>78</v>
      </c>
      <c r="F97" s="42" t="s">
        <v>67</v>
      </c>
      <c r="G97" s="42" t="s">
        <v>54</v>
      </c>
      <c r="H97" s="42" t="s">
        <v>24</v>
      </c>
      <c r="I97" s="27" t="s">
        <v>66</v>
      </c>
      <c r="J97" s="27">
        <f>IFERROR(VLOOKUP(B97,Scoring!$A$4:$N$51,14,FALSE())*6,"-")</f>
        <v>162</v>
      </c>
      <c r="K97" s="27">
        <f>IFERROR(VLOOKUP(C97,Scoring!$A$4:$N$51,14,FALSE())*4,"-")</f>
        <v>68</v>
      </c>
      <c r="L97" s="27">
        <f>IFERROR(VLOOKUP(D97,Scoring!$A$4:$N$51,14,FALSE())*3,"-")</f>
        <v>51</v>
      </c>
      <c r="M97" s="27">
        <f>IFERROR(VLOOKUP(E97,Scoring!$A$4:$N$51,14,FALSE())*2,"-")</f>
        <v>30</v>
      </c>
      <c r="N97" s="27">
        <f>IFERROR(VLOOKUP(F97,Scoring!$A$4:$N$51,14,FALSE()),"-")</f>
        <v>7</v>
      </c>
      <c r="O97" s="27">
        <f>IFERROR(VLOOKUP(G97,Scoring!$A$4:$N$51,14,FALSE()),"-")</f>
        <v>15</v>
      </c>
      <c r="P97" s="28">
        <f>IFERROR(VLOOKUP(H97,Scoring!$A$4:$N$51,14,FALSE()),"-")</f>
        <v>8</v>
      </c>
      <c r="Q97" s="28">
        <f>IFERROR(VLOOKUP(I97,Scoring!$A$4:$N$51,6,FALSE()),"-")</f>
        <v>7</v>
      </c>
      <c r="R97" s="35">
        <f t="shared" si="6"/>
        <v>348</v>
      </c>
      <c r="S97">
        <f t="shared" si="7"/>
        <v>17</v>
      </c>
      <c r="T97">
        <f t="shared" si="8"/>
        <v>347.99990300000002</v>
      </c>
      <c r="U97" s="142" t="s">
        <v>313</v>
      </c>
      <c r="W97" s="43" t="s">
        <v>143</v>
      </c>
    </row>
    <row r="98" spans="1:23" ht="12.75" customHeight="1" x14ac:dyDescent="0.3">
      <c r="A98" s="26" t="s">
        <v>314</v>
      </c>
      <c r="B98" s="42" t="s">
        <v>84</v>
      </c>
      <c r="C98" s="42" t="s">
        <v>60</v>
      </c>
      <c r="D98" s="42" t="s">
        <v>72</v>
      </c>
      <c r="E98" s="42" t="s">
        <v>66</v>
      </c>
      <c r="F98" s="42" t="s">
        <v>83</v>
      </c>
      <c r="G98" s="42" t="s">
        <v>71</v>
      </c>
      <c r="H98" s="42" t="s">
        <v>24</v>
      </c>
      <c r="I98" s="27" t="s">
        <v>60</v>
      </c>
      <c r="J98" s="27">
        <f>IFERROR(VLOOKUP(B98,Scoring!$A$4:$N$51,14,FALSE())*6,"-")</f>
        <v>102</v>
      </c>
      <c r="K98" s="27">
        <f>IFERROR(VLOOKUP(C98,Scoring!$A$4:$N$51,14,FALSE())*4,"-")</f>
        <v>68</v>
      </c>
      <c r="L98" s="27">
        <f>IFERROR(VLOOKUP(D98,Scoring!$A$4:$N$51,14,FALSE())*3,"-")</f>
        <v>57</v>
      </c>
      <c r="M98" s="27">
        <f>IFERROR(VLOOKUP(E98,Scoring!$A$4:$N$51,14,FALSE())*2,"-")</f>
        <v>54</v>
      </c>
      <c r="N98" s="27">
        <f>IFERROR(VLOOKUP(F98,Scoring!$A$4:$N$51,14,FALSE()),"-")</f>
        <v>17</v>
      </c>
      <c r="O98" s="27">
        <f>IFERROR(VLOOKUP(G98,Scoring!$A$4:$N$51,14,FALSE()),"-")</f>
        <v>16</v>
      </c>
      <c r="P98" s="28">
        <f>IFERROR(VLOOKUP(H98,Scoring!$A$4:$N$51,14,FALSE()),"-")</f>
        <v>8</v>
      </c>
      <c r="Q98" s="28">
        <f>IFERROR(VLOOKUP(I98,Scoring!$A$4:$N$51,6,FALSE()),"-")</f>
        <v>4</v>
      </c>
      <c r="R98" s="35">
        <f t="shared" si="6"/>
        <v>326</v>
      </c>
      <c r="S98">
        <f t="shared" si="7"/>
        <v>50</v>
      </c>
      <c r="T98">
        <f t="shared" si="8"/>
        <v>325.99990200000002</v>
      </c>
      <c r="U98" s="43" t="s">
        <v>315</v>
      </c>
      <c r="W98" s="43" t="s">
        <v>143</v>
      </c>
    </row>
    <row r="99" spans="1:23" ht="12.75" customHeight="1" x14ac:dyDescent="0.3">
      <c r="A99" s="26" t="s">
        <v>316</v>
      </c>
      <c r="B99" s="42" t="s">
        <v>66</v>
      </c>
      <c r="C99" s="42" t="s">
        <v>29</v>
      </c>
      <c r="D99" s="42" t="s">
        <v>60</v>
      </c>
      <c r="E99" s="42" t="s">
        <v>72</v>
      </c>
      <c r="F99" s="42" t="s">
        <v>39</v>
      </c>
      <c r="G99" s="42" t="s">
        <v>54</v>
      </c>
      <c r="H99" s="42" t="s">
        <v>24</v>
      </c>
      <c r="I99" s="27" t="s">
        <v>29</v>
      </c>
      <c r="J99" s="27">
        <f>IFERROR(VLOOKUP(B99,Scoring!$A$4:$N$51,14,FALSE())*6,"-")</f>
        <v>162</v>
      </c>
      <c r="K99" s="27">
        <f>IFERROR(VLOOKUP(C99,Scoring!$A$4:$N$51,14,FALSE())*4,"-")</f>
        <v>68</v>
      </c>
      <c r="L99" s="27">
        <f>IFERROR(VLOOKUP(D99,Scoring!$A$4:$N$51,14,FALSE())*3,"-")</f>
        <v>51</v>
      </c>
      <c r="M99" s="27">
        <f>IFERROR(VLOOKUP(E99,Scoring!$A$4:$N$51,14,FALSE())*2,"-")</f>
        <v>38</v>
      </c>
      <c r="N99" s="27">
        <f>IFERROR(VLOOKUP(F99,Scoring!$A$4:$N$51,14,FALSE()),"-")</f>
        <v>3</v>
      </c>
      <c r="O99" s="27">
        <f>IFERROR(VLOOKUP(G99,Scoring!$A$4:$N$51,14,FALSE()),"-")</f>
        <v>15</v>
      </c>
      <c r="P99" s="28">
        <f>IFERROR(VLOOKUP(H99,Scoring!$A$4:$N$51,14,FALSE()),"-")</f>
        <v>8</v>
      </c>
      <c r="Q99" s="28">
        <f>IFERROR(VLOOKUP(I99,Scoring!$A$4:$N$51,6,FALSE()),"-")</f>
        <v>4.5</v>
      </c>
      <c r="R99" s="35">
        <f t="shared" si="6"/>
        <v>349.5</v>
      </c>
      <c r="S99">
        <f t="shared" si="7"/>
        <v>14</v>
      </c>
      <c r="T99">
        <f t="shared" si="8"/>
        <v>349.49990100000002</v>
      </c>
      <c r="U99" s="43" t="s">
        <v>317</v>
      </c>
      <c r="W99" s="43" t="s">
        <v>143</v>
      </c>
    </row>
    <row r="100" spans="1:23" ht="12.75" customHeight="1" x14ac:dyDescent="0.3">
      <c r="A100" s="26" t="s">
        <v>318</v>
      </c>
      <c r="B100" s="42" t="s">
        <v>60</v>
      </c>
      <c r="C100" s="42" t="s">
        <v>29</v>
      </c>
      <c r="D100" s="42" t="s">
        <v>66</v>
      </c>
      <c r="E100" s="42" t="s">
        <v>78</v>
      </c>
      <c r="F100" s="42" t="s">
        <v>47</v>
      </c>
      <c r="G100" s="42" t="s">
        <v>54</v>
      </c>
      <c r="H100" s="42" t="s">
        <v>82</v>
      </c>
      <c r="I100" s="27" t="s">
        <v>60</v>
      </c>
      <c r="J100" s="27">
        <f>IFERROR(VLOOKUP(B100,Scoring!$A$4:$N$51,14,FALSE())*6,"-")</f>
        <v>102</v>
      </c>
      <c r="K100" s="27">
        <f>IFERROR(VLOOKUP(C100,Scoring!$A$4:$N$51,14,FALSE())*4,"-")</f>
        <v>68</v>
      </c>
      <c r="L100" s="27">
        <f>IFERROR(VLOOKUP(D100,Scoring!$A$4:$N$51,14,FALSE())*3,"-")</f>
        <v>81</v>
      </c>
      <c r="M100" s="27">
        <f>IFERROR(VLOOKUP(E100,Scoring!$A$4:$N$51,14,FALSE())*2,"-")</f>
        <v>30</v>
      </c>
      <c r="N100" s="27">
        <f>IFERROR(VLOOKUP(F100,Scoring!$A$4:$N$51,14,FALSE()),"-")</f>
        <v>9</v>
      </c>
      <c r="O100" s="27">
        <f>IFERROR(VLOOKUP(G100,Scoring!$A$4:$N$51,14,FALSE()),"-")</f>
        <v>15</v>
      </c>
      <c r="P100" s="28">
        <f>IFERROR(VLOOKUP(H100,Scoring!$A$4:$N$51,14,FALSE()),"-")</f>
        <v>0</v>
      </c>
      <c r="Q100" s="28">
        <f>IFERROR(VLOOKUP(I100,Scoring!$A$4:$N$51,6,FALSE()),"-")</f>
        <v>4</v>
      </c>
      <c r="R100" s="35">
        <f t="shared" ref="R100:R119" si="9">IF(A100="","-",SUM(J100:Q100))</f>
        <v>309</v>
      </c>
      <c r="S100">
        <f t="shared" ref="S100:S119" si="10">IF(A100="","",RANK(R100,$R$4:$R$119))</f>
        <v>73</v>
      </c>
      <c r="T100">
        <f t="shared" ref="T100:T119" si="11">IF(A100="",-1,R100-ROW(R100)/1000000)</f>
        <v>308.99990000000003</v>
      </c>
      <c r="U100" s="43" t="s">
        <v>319</v>
      </c>
      <c r="W100" s="43" t="s">
        <v>143</v>
      </c>
    </row>
    <row r="101" spans="1:23" ht="12.75" customHeight="1" x14ac:dyDescent="0.3">
      <c r="A101" s="26" t="s">
        <v>320</v>
      </c>
      <c r="B101" s="42" t="s">
        <v>72</v>
      </c>
      <c r="C101" s="42" t="s">
        <v>60</v>
      </c>
      <c r="D101" s="42" t="s">
        <v>29</v>
      </c>
      <c r="E101" s="42" t="s">
        <v>66</v>
      </c>
      <c r="F101" s="42" t="s">
        <v>39</v>
      </c>
      <c r="G101" s="42" t="s">
        <v>54</v>
      </c>
      <c r="H101" s="42" t="s">
        <v>24</v>
      </c>
      <c r="I101" s="27" t="s">
        <v>72</v>
      </c>
      <c r="J101" s="27">
        <f>IFERROR(VLOOKUP(B101,Scoring!$A$4:$N$51,14,FALSE())*6,"-")</f>
        <v>114</v>
      </c>
      <c r="K101" s="27">
        <f>IFERROR(VLOOKUP(C101,Scoring!$A$4:$N$51,14,FALSE())*4,"-")</f>
        <v>68</v>
      </c>
      <c r="L101" s="27">
        <f>IFERROR(VLOOKUP(D101,Scoring!$A$4:$N$51,14,FALSE())*3,"-")</f>
        <v>51</v>
      </c>
      <c r="M101" s="27">
        <f>IFERROR(VLOOKUP(E101,Scoring!$A$4:$N$51,14,FALSE())*2,"-")</f>
        <v>54</v>
      </c>
      <c r="N101" s="27">
        <f>IFERROR(VLOOKUP(F101,Scoring!$A$4:$N$51,14,FALSE()),"-")</f>
        <v>3</v>
      </c>
      <c r="O101" s="27">
        <f>IFERROR(VLOOKUP(G101,Scoring!$A$4:$N$51,14,FALSE()),"-")</f>
        <v>15</v>
      </c>
      <c r="P101" s="28">
        <f>IFERROR(VLOOKUP(H101,Scoring!$A$4:$N$51,14,FALSE()),"-")</f>
        <v>8</v>
      </c>
      <c r="Q101" s="28">
        <f>IFERROR(VLOOKUP(I101,Scoring!$A$4:$N$51,6,FALSE()),"-")</f>
        <v>4.5</v>
      </c>
      <c r="R101" s="35">
        <f t="shared" si="9"/>
        <v>317.5</v>
      </c>
      <c r="S101">
        <f t="shared" si="10"/>
        <v>65</v>
      </c>
      <c r="T101">
        <f t="shared" si="11"/>
        <v>317.49989900000003</v>
      </c>
      <c r="U101" s="43" t="s">
        <v>321</v>
      </c>
      <c r="W101" s="43" t="s">
        <v>143</v>
      </c>
    </row>
    <row r="102" spans="1:23" ht="13.5" customHeight="1" x14ac:dyDescent="0.3">
      <c r="A102" s="26" t="s">
        <v>322</v>
      </c>
      <c r="B102" s="42" t="s">
        <v>60</v>
      </c>
      <c r="C102" s="42" t="s">
        <v>72</v>
      </c>
      <c r="D102" s="44" t="s">
        <v>84</v>
      </c>
      <c r="E102" s="42" t="s">
        <v>66</v>
      </c>
      <c r="F102" s="42" t="s">
        <v>11</v>
      </c>
      <c r="G102" s="42" t="s">
        <v>71</v>
      </c>
      <c r="H102" s="42" t="s">
        <v>24</v>
      </c>
      <c r="I102" s="27" t="s">
        <v>60</v>
      </c>
      <c r="J102" s="27">
        <f>IFERROR(VLOOKUP(B102,Scoring!$A$4:$N$51,14,FALSE())*6,"-")</f>
        <v>102</v>
      </c>
      <c r="K102" s="27">
        <f>IFERROR(VLOOKUP(C102,Scoring!$A$4:$N$51,14,FALSE())*4,"-")</f>
        <v>76</v>
      </c>
      <c r="L102" s="27">
        <f>IFERROR(VLOOKUP(D102,Scoring!$A$4:$N$51,14,FALSE())*3,"-")</f>
        <v>51</v>
      </c>
      <c r="M102" s="27">
        <f>IFERROR(VLOOKUP(E102,Scoring!$A$4:$N$51,14,FALSE())*2,"-")</f>
        <v>54</v>
      </c>
      <c r="N102" s="27">
        <f>IFERROR(VLOOKUP(F102,Scoring!$A$4:$N$51,14,FALSE()),"-")</f>
        <v>19</v>
      </c>
      <c r="O102" s="27">
        <f>IFERROR(VLOOKUP(G102,Scoring!$A$4:$N$51,14,FALSE()),"-")</f>
        <v>16</v>
      </c>
      <c r="P102" s="28">
        <f>IFERROR(VLOOKUP(H102,Scoring!$A$4:$N$51,14,FALSE()),"-")</f>
        <v>8</v>
      </c>
      <c r="Q102" s="28">
        <f>IFERROR(VLOOKUP(I102,Scoring!$A$4:$N$51,6,FALSE()),"-")</f>
        <v>4</v>
      </c>
      <c r="R102" s="35">
        <f t="shared" si="9"/>
        <v>330</v>
      </c>
      <c r="S102">
        <f t="shared" si="10"/>
        <v>43</v>
      </c>
      <c r="T102">
        <f t="shared" si="11"/>
        <v>329.99989799999997</v>
      </c>
      <c r="U102" s="43" t="s">
        <v>323</v>
      </c>
      <c r="W102" s="43" t="s">
        <v>143</v>
      </c>
    </row>
    <row r="103" spans="1:23" ht="13.5" customHeight="1" x14ac:dyDescent="0.3">
      <c r="A103" s="26" t="s">
        <v>324</v>
      </c>
      <c r="B103" s="42" t="s">
        <v>78</v>
      </c>
      <c r="C103" s="42" t="s">
        <v>60</v>
      </c>
      <c r="D103" s="42" t="s">
        <v>84</v>
      </c>
      <c r="E103" s="42" t="s">
        <v>66</v>
      </c>
      <c r="F103" s="42" t="s">
        <v>28</v>
      </c>
      <c r="G103" s="42" t="s">
        <v>54</v>
      </c>
      <c r="H103" s="42" t="s">
        <v>87</v>
      </c>
      <c r="I103" s="27" t="s">
        <v>60</v>
      </c>
      <c r="J103" s="27">
        <f>IFERROR(VLOOKUP(B103,Scoring!$A$4:$N$51,14,FALSE())*6,"-")</f>
        <v>90</v>
      </c>
      <c r="K103" s="27">
        <f>IFERROR(VLOOKUP(C103,Scoring!$A$4:$N$51,14,FALSE())*4,"-")</f>
        <v>68</v>
      </c>
      <c r="L103" s="27">
        <f>IFERROR(VLOOKUP(D103,Scoring!$A$4:$N$51,14,FALSE())*3,"-")</f>
        <v>51</v>
      </c>
      <c r="M103" s="27">
        <f>IFERROR(VLOOKUP(E103,Scoring!$A$4:$N$51,14,FALSE())*2,"-")</f>
        <v>54</v>
      </c>
      <c r="N103" s="27">
        <f>IFERROR(VLOOKUP(F103,Scoring!$A$4:$N$51,14,FALSE()),"-")</f>
        <v>17</v>
      </c>
      <c r="O103" s="27">
        <f>IFERROR(VLOOKUP(G103,Scoring!$A$4:$N$51,14,FALSE()),"-")</f>
        <v>15</v>
      </c>
      <c r="P103" s="28">
        <f>IFERROR(VLOOKUP(H103,Scoring!$A$4:$N$51,14,FALSE()),"-")</f>
        <v>8</v>
      </c>
      <c r="Q103" s="28">
        <f>IFERROR(VLOOKUP(I103,Scoring!$A$4:$N$51,6,FALSE()),"-")</f>
        <v>4</v>
      </c>
      <c r="R103" s="35">
        <f t="shared" si="9"/>
        <v>307</v>
      </c>
      <c r="S103">
        <f t="shared" si="10"/>
        <v>75</v>
      </c>
      <c r="T103">
        <f t="shared" si="11"/>
        <v>306.99989699999998</v>
      </c>
      <c r="U103" s="142" t="s">
        <v>325</v>
      </c>
      <c r="W103" s="43" t="s">
        <v>143</v>
      </c>
    </row>
    <row r="104" spans="1:23" ht="13.5" customHeight="1" x14ac:dyDescent="0.3">
      <c r="A104" s="26" t="s">
        <v>326</v>
      </c>
      <c r="B104" s="42" t="s">
        <v>60</v>
      </c>
      <c r="C104" s="42" t="s">
        <v>72</v>
      </c>
      <c r="D104" s="42" t="s">
        <v>29</v>
      </c>
      <c r="E104" s="42" t="s">
        <v>40</v>
      </c>
      <c r="F104" s="42" t="s">
        <v>65</v>
      </c>
      <c r="G104" s="42" t="s">
        <v>71</v>
      </c>
      <c r="H104" s="42" t="s">
        <v>27</v>
      </c>
      <c r="I104" s="27" t="s">
        <v>29</v>
      </c>
      <c r="J104" s="27">
        <f>IFERROR(VLOOKUP(B104,Scoring!$A$4:$N$51,14,FALSE())*6,"-")</f>
        <v>102</v>
      </c>
      <c r="K104" s="27">
        <f>IFERROR(VLOOKUP(C104,Scoring!$A$4:$N$51,14,FALSE())*4,"-")</f>
        <v>76</v>
      </c>
      <c r="L104" s="27">
        <f>IFERROR(VLOOKUP(D104,Scoring!$A$4:$N$51,14,FALSE())*3,"-")</f>
        <v>51</v>
      </c>
      <c r="M104" s="27">
        <f>IFERROR(VLOOKUP(E104,Scoring!$A$4:$N$51,14,FALSE())*2,"-")</f>
        <v>20</v>
      </c>
      <c r="N104" s="27">
        <f>IFERROR(VLOOKUP(F104,Scoring!$A$4:$N$51,14,FALSE()),"-")</f>
        <v>2</v>
      </c>
      <c r="O104" s="27">
        <f>IFERROR(VLOOKUP(G104,Scoring!$A$4:$N$51,14,FALSE()),"-")</f>
        <v>16</v>
      </c>
      <c r="P104" s="28">
        <f>IFERROR(VLOOKUP(H104,Scoring!$A$4:$N$51,14,FALSE()),"-")</f>
        <v>1</v>
      </c>
      <c r="Q104" s="28">
        <f>IFERROR(VLOOKUP(I104,Scoring!$A$4:$N$51,6,FALSE()),"-")</f>
        <v>4.5</v>
      </c>
      <c r="R104" s="35">
        <f t="shared" si="9"/>
        <v>272.5</v>
      </c>
      <c r="S104">
        <f t="shared" si="10"/>
        <v>94</v>
      </c>
      <c r="T104">
        <f t="shared" si="11"/>
        <v>272.49989599999998</v>
      </c>
      <c r="U104" s="43" t="s">
        <v>327</v>
      </c>
      <c r="W104" s="43" t="s">
        <v>143</v>
      </c>
    </row>
    <row r="105" spans="1:23" ht="13.5" customHeight="1" x14ac:dyDescent="0.3">
      <c r="A105" s="26" t="s">
        <v>328</v>
      </c>
      <c r="B105" s="42" t="s">
        <v>66</v>
      </c>
      <c r="C105" s="42" t="s">
        <v>60</v>
      </c>
      <c r="D105" s="42" t="s">
        <v>78</v>
      </c>
      <c r="E105" s="42" t="s">
        <v>72</v>
      </c>
      <c r="F105" s="42" t="s">
        <v>65</v>
      </c>
      <c r="G105" s="42" t="s">
        <v>54</v>
      </c>
      <c r="H105" s="42" t="s">
        <v>24</v>
      </c>
      <c r="I105" s="27" t="s">
        <v>66</v>
      </c>
      <c r="J105" s="27">
        <f>IFERROR(VLOOKUP(B105,Scoring!$A$4:$N$51,14,FALSE())*6,"-")</f>
        <v>162</v>
      </c>
      <c r="K105" s="27">
        <f>IFERROR(VLOOKUP(C105,Scoring!$A$4:$N$51,14,FALSE())*4,"-")</f>
        <v>68</v>
      </c>
      <c r="L105" s="27">
        <f>IFERROR(VLOOKUP(D105,Scoring!$A$4:$N$51,14,FALSE())*3,"-")</f>
        <v>45</v>
      </c>
      <c r="M105" s="27">
        <f>IFERROR(VLOOKUP(E105,Scoring!$A$4:$N$51,14,FALSE())*2,"-")</f>
        <v>38</v>
      </c>
      <c r="N105" s="27">
        <f>IFERROR(VLOOKUP(F105,Scoring!$A$4:$N$51,14,FALSE()),"-")</f>
        <v>2</v>
      </c>
      <c r="O105" s="27">
        <f>IFERROR(VLOOKUP(G105,Scoring!$A$4:$N$51,14,FALSE()),"-")</f>
        <v>15</v>
      </c>
      <c r="P105" s="28">
        <f>IFERROR(VLOOKUP(H105,Scoring!$A$4:$N$51,14,FALSE()),"-")</f>
        <v>8</v>
      </c>
      <c r="Q105" s="28">
        <f>IFERROR(VLOOKUP(I105,Scoring!$A$4:$N$51,6,FALSE()),"-")</f>
        <v>7</v>
      </c>
      <c r="R105" s="35">
        <f t="shared" si="9"/>
        <v>345</v>
      </c>
      <c r="S105">
        <f t="shared" si="10"/>
        <v>23</v>
      </c>
      <c r="T105">
        <f t="shared" si="11"/>
        <v>344.99989499999998</v>
      </c>
      <c r="U105" s="43" t="s">
        <v>329</v>
      </c>
      <c r="W105" s="43" t="s">
        <v>143</v>
      </c>
    </row>
    <row r="106" spans="1:23" ht="13.5" customHeight="1" x14ac:dyDescent="0.3">
      <c r="A106" s="26" t="s">
        <v>330</v>
      </c>
      <c r="B106" s="42" t="s">
        <v>60</v>
      </c>
      <c r="C106" s="42" t="s">
        <v>66</v>
      </c>
      <c r="D106" s="42" t="s">
        <v>84</v>
      </c>
      <c r="E106" s="42" t="s">
        <v>72</v>
      </c>
      <c r="F106" s="42" t="s">
        <v>11</v>
      </c>
      <c r="G106" s="42" t="s">
        <v>23</v>
      </c>
      <c r="H106" s="42" t="s">
        <v>87</v>
      </c>
      <c r="I106" s="27" t="s">
        <v>66</v>
      </c>
      <c r="J106" s="27">
        <f>IFERROR(VLOOKUP(B106,Scoring!$A$4:$N$51,14,FALSE())*6,"-")</f>
        <v>102</v>
      </c>
      <c r="K106" s="27">
        <f>IFERROR(VLOOKUP(C106,Scoring!$A$4:$N$51,14,FALSE())*4,"-")</f>
        <v>108</v>
      </c>
      <c r="L106" s="27">
        <f>IFERROR(VLOOKUP(D106,Scoring!$A$4:$N$51,14,FALSE())*3,"-")</f>
        <v>51</v>
      </c>
      <c r="M106" s="27">
        <f>IFERROR(VLOOKUP(E106,Scoring!$A$4:$N$51,14,FALSE())*2,"-")</f>
        <v>38</v>
      </c>
      <c r="N106" s="27">
        <f>IFERROR(VLOOKUP(F106,Scoring!$A$4:$N$51,14,FALSE()),"-")</f>
        <v>19</v>
      </c>
      <c r="O106" s="27">
        <f>IFERROR(VLOOKUP(G106,Scoring!$A$4:$N$51,14,FALSE()),"-")</f>
        <v>14</v>
      </c>
      <c r="P106" s="28">
        <f>IFERROR(VLOOKUP(H106,Scoring!$A$4:$N$51,14,FALSE()),"-")</f>
        <v>8</v>
      </c>
      <c r="Q106" s="28">
        <f>IFERROR(VLOOKUP(I106,Scoring!$A$4:$N$51,6,FALSE()),"-")</f>
        <v>7</v>
      </c>
      <c r="R106" s="35">
        <f t="shared" si="9"/>
        <v>347</v>
      </c>
      <c r="S106">
        <f t="shared" si="10"/>
        <v>18</v>
      </c>
      <c r="T106">
        <f t="shared" si="11"/>
        <v>346.99989399999998</v>
      </c>
      <c r="U106" s="43" t="s">
        <v>331</v>
      </c>
      <c r="W106" s="43" t="s">
        <v>143</v>
      </c>
    </row>
    <row r="107" spans="1:23" ht="13.5" customHeight="1" x14ac:dyDescent="0.3">
      <c r="A107" s="26" t="s">
        <v>332</v>
      </c>
      <c r="B107" s="44" t="s">
        <v>78</v>
      </c>
      <c r="C107" s="42" t="s">
        <v>39</v>
      </c>
      <c r="D107" s="42" t="s">
        <v>66</v>
      </c>
      <c r="E107" s="42" t="s">
        <v>29</v>
      </c>
      <c r="F107" s="42" t="s">
        <v>67</v>
      </c>
      <c r="G107" s="42" t="s">
        <v>71</v>
      </c>
      <c r="H107" s="42" t="s">
        <v>70</v>
      </c>
      <c r="I107" s="27" t="s">
        <v>40</v>
      </c>
      <c r="J107" s="27">
        <f>IFERROR(VLOOKUP(B107,Scoring!$A$4:$N$51,14,FALSE())*6,"-")</f>
        <v>90</v>
      </c>
      <c r="K107" s="27">
        <f>IFERROR(VLOOKUP(C107,Scoring!$A$4:$N$51,14,FALSE())*4,"-")</f>
        <v>12</v>
      </c>
      <c r="L107" s="27">
        <f>IFERROR(VLOOKUP(D107,Scoring!$A$4:$N$51,14,FALSE())*3,"-")</f>
        <v>81</v>
      </c>
      <c r="M107" s="27">
        <f>IFERROR(VLOOKUP(E107,Scoring!$A$4:$N$51,14,FALSE())*2,"-")</f>
        <v>34</v>
      </c>
      <c r="N107" s="27">
        <f>IFERROR(VLOOKUP(F107,Scoring!$A$4:$N$51,14,FALSE()),"-")</f>
        <v>7</v>
      </c>
      <c r="O107" s="27">
        <f>IFERROR(VLOOKUP(G107,Scoring!$A$4:$N$51,14,FALSE()),"-")</f>
        <v>16</v>
      </c>
      <c r="P107" s="28">
        <f>IFERROR(VLOOKUP(H107,Scoring!$A$4:$N$51,14,FALSE()),"-")</f>
        <v>0</v>
      </c>
      <c r="Q107" s="28">
        <f>IFERROR(VLOOKUP(I107,Scoring!$A$4:$N$51,6,FALSE()),"-")</f>
        <v>5.5</v>
      </c>
      <c r="R107" s="35">
        <f t="shared" si="9"/>
        <v>245.5</v>
      </c>
      <c r="S107">
        <f t="shared" si="10"/>
        <v>105</v>
      </c>
      <c r="T107">
        <f t="shared" si="11"/>
        <v>245.49989299999999</v>
      </c>
      <c r="U107" s="142" t="s">
        <v>333</v>
      </c>
      <c r="W107" s="43" t="s">
        <v>143</v>
      </c>
    </row>
    <row r="108" spans="1:23" ht="13.5" customHeight="1" x14ac:dyDescent="0.3">
      <c r="A108" s="26" t="s">
        <v>334</v>
      </c>
      <c r="B108" s="42" t="s">
        <v>66</v>
      </c>
      <c r="C108" s="42" t="s">
        <v>84</v>
      </c>
      <c r="D108" s="42" t="s">
        <v>60</v>
      </c>
      <c r="E108" s="42" t="s">
        <v>78</v>
      </c>
      <c r="F108" s="42" t="s">
        <v>11</v>
      </c>
      <c r="G108" s="42" t="s">
        <v>23</v>
      </c>
      <c r="H108" s="42" t="s">
        <v>24</v>
      </c>
      <c r="I108" s="27" t="s">
        <v>66</v>
      </c>
      <c r="J108" s="27">
        <f>IFERROR(VLOOKUP(B108,Scoring!$A$4:$N$51,14,FALSE())*6,"-")</f>
        <v>162</v>
      </c>
      <c r="K108" s="27">
        <f>IFERROR(VLOOKUP(C108,Scoring!$A$4:$N$51,14,FALSE())*4,"-")</f>
        <v>68</v>
      </c>
      <c r="L108" s="27">
        <f>IFERROR(VLOOKUP(D108,Scoring!$A$4:$N$51,14,FALSE())*3,"-")</f>
        <v>51</v>
      </c>
      <c r="M108" s="27">
        <f>IFERROR(VLOOKUP(E108,Scoring!$A$4:$N$51,14,FALSE())*2,"-")</f>
        <v>30</v>
      </c>
      <c r="N108" s="27">
        <f>IFERROR(VLOOKUP(F108,Scoring!$A$4:$N$51,14,FALSE()),"-")</f>
        <v>19</v>
      </c>
      <c r="O108" s="27">
        <f>IFERROR(VLOOKUP(G108,Scoring!$A$4:$N$51,14,FALSE()),"-")</f>
        <v>14</v>
      </c>
      <c r="P108" s="28">
        <f>IFERROR(VLOOKUP(H108,Scoring!$A$4:$N$51,14,FALSE()),"-")</f>
        <v>8</v>
      </c>
      <c r="Q108" s="28">
        <f>IFERROR(VLOOKUP(I108,Scoring!$A$4:$N$51,6,FALSE()),"-")</f>
        <v>7</v>
      </c>
      <c r="R108" s="35">
        <f t="shared" si="9"/>
        <v>359</v>
      </c>
      <c r="S108">
        <f t="shared" si="10"/>
        <v>5</v>
      </c>
      <c r="T108">
        <f t="shared" si="11"/>
        <v>358.99989199999999</v>
      </c>
      <c r="U108" s="142" t="s">
        <v>335</v>
      </c>
      <c r="W108" s="43" t="s">
        <v>143</v>
      </c>
    </row>
    <row r="109" spans="1:23" ht="13.5" customHeight="1" x14ac:dyDescent="0.3">
      <c r="A109" s="26"/>
      <c r="B109" s="42"/>
      <c r="C109" s="42"/>
      <c r="D109" s="42"/>
      <c r="E109" s="42"/>
      <c r="F109" s="42"/>
      <c r="G109" s="42"/>
      <c r="H109" s="42"/>
      <c r="I109" s="27"/>
      <c r="J109" s="27" t="str">
        <f>IFERROR(VLOOKUP(B109,Scoring!$A$4:$N$51,14,FALSE())*6,"-")</f>
        <v>-</v>
      </c>
      <c r="K109" s="27" t="str">
        <f>IFERROR(VLOOKUP(C109,Scoring!$A$4:$N$51,14,FALSE())*4,"-")</f>
        <v>-</v>
      </c>
      <c r="L109" s="27" t="str">
        <f>IFERROR(VLOOKUP(D109,Scoring!$A$4:$N$51,14,FALSE())*3,"-")</f>
        <v>-</v>
      </c>
      <c r="M109" s="27" t="str">
        <f>IFERROR(VLOOKUP(E109,Scoring!$A$4:$N$51,14,FALSE())*2,"-")</f>
        <v>-</v>
      </c>
      <c r="N109" s="27" t="str">
        <f>IFERROR(VLOOKUP(F109,Scoring!$A$4:$N$51,14,FALSE()),"-")</f>
        <v>-</v>
      </c>
      <c r="O109" s="27" t="str">
        <f>IFERROR(VLOOKUP(G109,Scoring!$A$4:$N$51,14,FALSE()),"-")</f>
        <v>-</v>
      </c>
      <c r="P109" s="28" t="str">
        <f>IFERROR(VLOOKUP(H109,Scoring!$A$4:$N$51,14,FALSE()),"-")</f>
        <v>-</v>
      </c>
      <c r="Q109" s="28" t="str">
        <f>IFERROR(VLOOKUP(I109,Scoring!$A$4:$N$51,6,FALSE()),"-")</f>
        <v>-</v>
      </c>
      <c r="R109" s="35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6"/>
      <c r="B110" s="42"/>
      <c r="C110" s="42"/>
      <c r="D110" s="42"/>
      <c r="E110" s="42"/>
      <c r="F110" s="42"/>
      <c r="G110" s="42"/>
      <c r="H110" s="42"/>
      <c r="I110" s="27"/>
      <c r="J110" s="27" t="str">
        <f>IFERROR(VLOOKUP(B110,Scoring!$A$4:$N$51,14,FALSE())*6,"-")</f>
        <v>-</v>
      </c>
      <c r="K110" s="27" t="str">
        <f>IFERROR(VLOOKUP(C110,Scoring!$A$4:$N$51,14,FALSE())*4,"-")</f>
        <v>-</v>
      </c>
      <c r="L110" s="27" t="str">
        <f>IFERROR(VLOOKUP(D110,Scoring!$A$4:$N$51,14,FALSE())*3,"-")</f>
        <v>-</v>
      </c>
      <c r="M110" s="27" t="str">
        <f>IFERROR(VLOOKUP(E110,Scoring!$A$4:$N$51,14,FALSE())*2,"-")</f>
        <v>-</v>
      </c>
      <c r="N110" s="27" t="str">
        <f>IFERROR(VLOOKUP(F110,Scoring!$A$4:$N$51,14,FALSE()),"-")</f>
        <v>-</v>
      </c>
      <c r="O110" s="27" t="str">
        <f>IFERROR(VLOOKUP(G110,Scoring!$A$4:$N$51,14,FALSE()),"-")</f>
        <v>-</v>
      </c>
      <c r="P110" s="28" t="str">
        <f>IFERROR(VLOOKUP(H110,Scoring!$A$4:$N$51,14,FALSE()),"-")</f>
        <v>-</v>
      </c>
      <c r="Q110" s="28" t="str">
        <f>IFERROR(VLOOKUP(I110,Scoring!$A$4:$N$51,6,FALSE()),"-")</f>
        <v>-</v>
      </c>
      <c r="R110" s="35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6"/>
      <c r="B111" s="42"/>
      <c r="C111" s="42"/>
      <c r="D111" s="42"/>
      <c r="E111" s="42"/>
      <c r="F111" s="42"/>
      <c r="G111" s="42"/>
      <c r="H111" s="42"/>
      <c r="I111" s="27"/>
      <c r="J111" s="27" t="str">
        <f>IFERROR(VLOOKUP(B111,Scoring!$A$4:$N$51,14,FALSE())*6,"-")</f>
        <v>-</v>
      </c>
      <c r="K111" s="27" t="str">
        <f>IFERROR(VLOOKUP(C111,Scoring!$A$4:$N$51,14,FALSE())*4,"-")</f>
        <v>-</v>
      </c>
      <c r="L111" s="27" t="str">
        <f>IFERROR(VLOOKUP(D111,Scoring!$A$4:$N$51,14,FALSE())*3,"-")</f>
        <v>-</v>
      </c>
      <c r="M111" s="27" t="str">
        <f>IFERROR(VLOOKUP(E111,Scoring!$A$4:$N$51,14,FALSE())*2,"-")</f>
        <v>-</v>
      </c>
      <c r="N111" s="27" t="str">
        <f>IFERROR(VLOOKUP(F111,Scoring!$A$4:$N$51,14,FALSE()),"-")</f>
        <v>-</v>
      </c>
      <c r="O111" s="27" t="str">
        <f>IFERROR(VLOOKUP(G111,Scoring!$A$4:$N$51,14,FALSE()),"-")</f>
        <v>-</v>
      </c>
      <c r="P111" s="28" t="str">
        <f>IFERROR(VLOOKUP(H111,Scoring!$A$4:$N$51,14,FALSE()),"-")</f>
        <v>-</v>
      </c>
      <c r="Q111" s="28" t="str">
        <f>IFERROR(VLOOKUP(I111,Scoring!$A$4:$N$51,6,FALSE()),"-")</f>
        <v>-</v>
      </c>
      <c r="R111" s="35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6"/>
      <c r="B112" s="42"/>
      <c r="C112" s="42"/>
      <c r="D112" s="42"/>
      <c r="E112" s="42"/>
      <c r="F112" s="42"/>
      <c r="G112" s="42"/>
      <c r="H112" s="42"/>
      <c r="I112" s="27"/>
      <c r="J112" s="27" t="str">
        <f>IFERROR(VLOOKUP(B112,Scoring!$A$4:$N$51,14,FALSE())*6,"-")</f>
        <v>-</v>
      </c>
      <c r="K112" s="27" t="str">
        <f>IFERROR(VLOOKUP(C112,Scoring!$A$4:$N$51,14,FALSE())*4,"-")</f>
        <v>-</v>
      </c>
      <c r="L112" s="27" t="str">
        <f>IFERROR(VLOOKUP(D112,Scoring!$A$4:$N$51,14,FALSE())*3,"-")</f>
        <v>-</v>
      </c>
      <c r="M112" s="27" t="str">
        <f>IFERROR(VLOOKUP(E112,Scoring!$A$4:$N$51,14,FALSE())*2,"-")</f>
        <v>-</v>
      </c>
      <c r="N112" s="27" t="str">
        <f>IFERROR(VLOOKUP(F112,Scoring!$A$4:$N$51,14,FALSE()),"-")</f>
        <v>-</v>
      </c>
      <c r="O112" s="27" t="str">
        <f>IFERROR(VLOOKUP(G112,Scoring!$A$4:$N$51,14,FALSE()),"-")</f>
        <v>-</v>
      </c>
      <c r="P112" s="28" t="str">
        <f>IFERROR(VLOOKUP(H112,Scoring!$A$4:$N$51,14,FALSE()),"-")</f>
        <v>-</v>
      </c>
      <c r="Q112" s="28" t="str">
        <f>IFERROR(VLOOKUP(I112,Scoring!$A$4:$N$51,6,FALSE()),"-")</f>
        <v>-</v>
      </c>
      <c r="R112" s="35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6"/>
      <c r="B113" s="42"/>
      <c r="C113" s="42"/>
      <c r="D113" s="42"/>
      <c r="E113" s="42"/>
      <c r="F113" s="42"/>
      <c r="G113" s="42"/>
      <c r="H113" s="42"/>
      <c r="I113" s="27"/>
      <c r="J113" s="27" t="str">
        <f>IFERROR(VLOOKUP(B113,Scoring!$A$4:$N$51,14,FALSE())*6,"-")</f>
        <v>-</v>
      </c>
      <c r="K113" s="27" t="str">
        <f>IFERROR(VLOOKUP(C113,Scoring!$A$4:$N$51,14,FALSE())*4,"-")</f>
        <v>-</v>
      </c>
      <c r="L113" s="27" t="str">
        <f>IFERROR(VLOOKUP(D113,Scoring!$A$4:$N$51,14,FALSE())*3,"-")</f>
        <v>-</v>
      </c>
      <c r="M113" s="27" t="str">
        <f>IFERROR(VLOOKUP(E113,Scoring!$A$4:$N$51,14,FALSE())*2,"-")</f>
        <v>-</v>
      </c>
      <c r="N113" s="27" t="str">
        <f>IFERROR(VLOOKUP(F113,Scoring!$A$4:$N$51,14,FALSE()),"-")</f>
        <v>-</v>
      </c>
      <c r="O113" s="27" t="str">
        <f>IFERROR(VLOOKUP(G113,Scoring!$A$4:$N$51,14,FALSE()),"-")</f>
        <v>-</v>
      </c>
      <c r="P113" s="28" t="str">
        <f>IFERROR(VLOOKUP(H113,Scoring!$A$4:$N$51,14,FALSE()),"-")</f>
        <v>-</v>
      </c>
      <c r="Q113" s="28" t="str">
        <f>IFERROR(VLOOKUP(I113,Scoring!$A$4:$N$51,6,FALSE()),"-")</f>
        <v>-</v>
      </c>
      <c r="R113" s="35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6"/>
      <c r="B114" s="42"/>
      <c r="C114" s="42"/>
      <c r="D114" s="42"/>
      <c r="E114" s="42"/>
      <c r="F114" s="42"/>
      <c r="G114" s="42"/>
      <c r="H114" s="42"/>
      <c r="I114" s="27"/>
      <c r="J114" s="27" t="str">
        <f>IFERROR(VLOOKUP(B114,Scoring!$A$4:$N$51,14,FALSE())*6,"-")</f>
        <v>-</v>
      </c>
      <c r="K114" s="27" t="str">
        <f>IFERROR(VLOOKUP(C114,Scoring!$A$4:$N$51,14,FALSE())*4,"-")</f>
        <v>-</v>
      </c>
      <c r="L114" s="27" t="str">
        <f>IFERROR(VLOOKUP(D114,Scoring!$A$4:$N$51,14,FALSE())*3,"-")</f>
        <v>-</v>
      </c>
      <c r="M114" s="27" t="str">
        <f>IFERROR(VLOOKUP(E114,Scoring!$A$4:$N$51,14,FALSE())*2,"-")</f>
        <v>-</v>
      </c>
      <c r="N114" s="27" t="str">
        <f>IFERROR(VLOOKUP(F114,Scoring!$A$4:$N$51,14,FALSE()),"-")</f>
        <v>-</v>
      </c>
      <c r="O114" s="27" t="str">
        <f>IFERROR(VLOOKUP(G114,Scoring!$A$4:$N$51,14,FALSE()),"-")</f>
        <v>-</v>
      </c>
      <c r="P114" s="28" t="str">
        <f>IFERROR(VLOOKUP(H114,Scoring!$A$4:$N$51,14,FALSE()),"-")</f>
        <v>-</v>
      </c>
      <c r="Q114" s="28" t="str">
        <f>IFERROR(VLOOKUP(I114,Scoring!$A$4:$N$51,6,FALSE()),"-")</f>
        <v>-</v>
      </c>
      <c r="R114" s="35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6"/>
      <c r="B115" s="42"/>
      <c r="C115" s="42"/>
      <c r="D115" s="42"/>
      <c r="E115" s="42"/>
      <c r="F115" s="42"/>
      <c r="G115" s="42"/>
      <c r="H115" s="42"/>
      <c r="I115" s="27"/>
      <c r="J115" s="27" t="str">
        <f>IFERROR(VLOOKUP(B115,Scoring!$A$4:$N$51,14,FALSE())*6,"-")</f>
        <v>-</v>
      </c>
      <c r="K115" s="27" t="str">
        <f>IFERROR(VLOOKUP(C115,Scoring!$A$4:$N$51,14,FALSE())*4,"-")</f>
        <v>-</v>
      </c>
      <c r="L115" s="27" t="str">
        <f>IFERROR(VLOOKUP(D115,Scoring!$A$4:$N$51,14,FALSE())*3,"-")</f>
        <v>-</v>
      </c>
      <c r="M115" s="27" t="str">
        <f>IFERROR(VLOOKUP(E115,Scoring!$A$4:$N$51,14,FALSE())*2,"-")</f>
        <v>-</v>
      </c>
      <c r="N115" s="27" t="str">
        <f>IFERROR(VLOOKUP(F115,Scoring!$A$4:$N$51,14,FALSE()),"-")</f>
        <v>-</v>
      </c>
      <c r="O115" s="27" t="str">
        <f>IFERROR(VLOOKUP(G115,Scoring!$A$4:$N$51,14,FALSE()),"-")</f>
        <v>-</v>
      </c>
      <c r="P115" s="28" t="str">
        <f>IFERROR(VLOOKUP(H115,Scoring!$A$4:$N$51,14,FALSE()),"-")</f>
        <v>-</v>
      </c>
      <c r="Q115" s="28" t="str">
        <f>IFERROR(VLOOKUP(I115,Scoring!$A$4:$N$51,6,FALSE()),"-")</f>
        <v>-</v>
      </c>
      <c r="R115" s="35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6"/>
      <c r="B116" s="42"/>
      <c r="C116" s="42"/>
      <c r="D116" s="42"/>
      <c r="E116" s="42"/>
      <c r="F116" s="42"/>
      <c r="G116" s="42"/>
      <c r="H116" s="42"/>
      <c r="I116" s="27"/>
      <c r="J116" s="27" t="str">
        <f>IFERROR(VLOOKUP(B116,Scoring!$A$4:$N$51,14,FALSE())*6,"-")</f>
        <v>-</v>
      </c>
      <c r="K116" s="27" t="str">
        <f>IFERROR(VLOOKUP(C116,Scoring!$A$4:$N$51,14,FALSE())*4,"-")</f>
        <v>-</v>
      </c>
      <c r="L116" s="27" t="str">
        <f>IFERROR(VLOOKUP(D116,Scoring!$A$4:$N$51,14,FALSE())*3,"-")</f>
        <v>-</v>
      </c>
      <c r="M116" s="27" t="str">
        <f>IFERROR(VLOOKUP(E116,Scoring!$A$4:$N$51,14,FALSE())*2,"-")</f>
        <v>-</v>
      </c>
      <c r="N116" s="27" t="str">
        <f>IFERROR(VLOOKUP(F116,Scoring!$A$4:$N$51,14,FALSE()),"-")</f>
        <v>-</v>
      </c>
      <c r="O116" s="27" t="str">
        <f>IFERROR(VLOOKUP(G116,Scoring!$A$4:$N$51,14,FALSE()),"-")</f>
        <v>-</v>
      </c>
      <c r="P116" s="28" t="str">
        <f>IFERROR(VLOOKUP(H116,Scoring!$A$4:$N$51,14,FALSE()),"-")</f>
        <v>-</v>
      </c>
      <c r="Q116" s="28" t="str">
        <f>IFERROR(VLOOKUP(I116,Scoring!$A$4:$N$51,6,FALSE()),"-")</f>
        <v>-</v>
      </c>
      <c r="R116" s="35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6"/>
      <c r="B117" s="42"/>
      <c r="C117" s="42"/>
      <c r="D117" s="42"/>
      <c r="E117" s="42"/>
      <c r="F117" s="42"/>
      <c r="G117" s="42"/>
      <c r="H117" s="42"/>
      <c r="I117" s="27"/>
      <c r="J117" s="27" t="str">
        <f>IFERROR(VLOOKUP(B117,Scoring!$A$4:$N$51,14,FALSE())*6,"-")</f>
        <v>-</v>
      </c>
      <c r="K117" s="27" t="str">
        <f>IFERROR(VLOOKUP(C117,Scoring!$A$4:$N$51,14,FALSE())*4,"-")</f>
        <v>-</v>
      </c>
      <c r="L117" s="27" t="str">
        <f>IFERROR(VLOOKUP(D117,Scoring!$A$4:$N$51,14,FALSE())*3,"-")</f>
        <v>-</v>
      </c>
      <c r="M117" s="27" t="str">
        <f>IFERROR(VLOOKUP(E117,Scoring!$A$4:$N$51,14,FALSE())*2,"-")</f>
        <v>-</v>
      </c>
      <c r="N117" s="27" t="str">
        <f>IFERROR(VLOOKUP(F117,Scoring!$A$4:$N$51,14,FALSE()),"-")</f>
        <v>-</v>
      </c>
      <c r="O117" s="27" t="str">
        <f>IFERROR(VLOOKUP(G117,Scoring!$A$4:$N$51,14,FALSE()),"-")</f>
        <v>-</v>
      </c>
      <c r="P117" s="28" t="str">
        <f>IFERROR(VLOOKUP(H117,Scoring!$A$4:$N$51,14,FALSE()),"-")</f>
        <v>-</v>
      </c>
      <c r="Q117" s="28" t="str">
        <f>IFERROR(VLOOKUP(I117,Scoring!$A$4:$N$51,6,FALSE()),"-")</f>
        <v>-</v>
      </c>
      <c r="R117" s="35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6"/>
      <c r="B118" s="42"/>
      <c r="C118" s="42"/>
      <c r="D118" s="42"/>
      <c r="E118" s="42"/>
      <c r="F118" s="42"/>
      <c r="G118" s="42"/>
      <c r="H118" s="42"/>
      <c r="I118" s="27"/>
      <c r="J118" s="27" t="str">
        <f>IFERROR(VLOOKUP(B118,Scoring!$A$4:$N$51,14,FALSE())*6,"-")</f>
        <v>-</v>
      </c>
      <c r="K118" s="27" t="str">
        <f>IFERROR(VLOOKUP(C118,Scoring!$A$4:$N$51,14,FALSE())*4,"-")</f>
        <v>-</v>
      </c>
      <c r="L118" s="27" t="str">
        <f>IFERROR(VLOOKUP(D118,Scoring!$A$4:$N$51,14,FALSE())*3,"-")</f>
        <v>-</v>
      </c>
      <c r="M118" s="27" t="str">
        <f>IFERROR(VLOOKUP(E118,Scoring!$A$4:$N$51,14,FALSE())*2,"-")</f>
        <v>-</v>
      </c>
      <c r="N118" s="27" t="str">
        <f>IFERROR(VLOOKUP(F118,Scoring!$A$4:$N$51,14,FALSE()),"-")</f>
        <v>-</v>
      </c>
      <c r="O118" s="27" t="str">
        <f>IFERROR(VLOOKUP(G118,Scoring!$A$4:$N$51,14,FALSE()),"-")</f>
        <v>-</v>
      </c>
      <c r="P118" s="28" t="str">
        <f>IFERROR(VLOOKUP(H118,Scoring!$A$4:$N$51,14,FALSE()),"-")</f>
        <v>-</v>
      </c>
      <c r="Q118" s="28" t="str">
        <f>IFERROR(VLOOKUP(I118,Scoring!$A$4:$N$51,6,FALSE()),"-")</f>
        <v>-</v>
      </c>
      <c r="R118" s="35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6"/>
      <c r="B119" s="42"/>
      <c r="C119" s="42"/>
      <c r="D119" s="42"/>
      <c r="E119" s="42"/>
      <c r="F119" s="42"/>
      <c r="G119" s="42"/>
      <c r="H119" s="42"/>
      <c r="I119" s="27"/>
      <c r="J119" s="27" t="str">
        <f>IFERROR(VLOOKUP(B119,Scoring!$A$4:$N$51,14,FALSE())*6,"-")</f>
        <v>-</v>
      </c>
      <c r="K119" s="27" t="str">
        <f>IFERROR(VLOOKUP(C119,Scoring!$A$4:$N$51,14,FALSE())*4,"-")</f>
        <v>-</v>
      </c>
      <c r="L119" s="27" t="str">
        <f>IFERROR(VLOOKUP(D119,Scoring!$A$4:$N$51,14,FALSE())*3,"-")</f>
        <v>-</v>
      </c>
      <c r="M119" s="27" t="str">
        <f>IFERROR(VLOOKUP(E119,Scoring!$A$4:$N$51,14,FALSE())*2,"-")</f>
        <v>-</v>
      </c>
      <c r="N119" s="27" t="str">
        <f>IFERROR(VLOOKUP(F119,Scoring!$A$4:$N$51,14,FALSE()),"-")</f>
        <v>-</v>
      </c>
      <c r="O119" s="27" t="str">
        <f>IFERROR(VLOOKUP(G119,Scoring!$A$4:$N$51,14,FALSE()),"-")</f>
        <v>-</v>
      </c>
      <c r="P119" s="28" t="str">
        <f>IFERROR(VLOOKUP(H119,Scoring!$A$4:$N$51,14,FALSE()),"-")</f>
        <v>-</v>
      </c>
      <c r="Q119" s="28" t="str">
        <f>IFERROR(VLOOKUP(I119,Scoring!$A$4:$N$51,6,FALSE()),"-")</f>
        <v>-</v>
      </c>
      <c r="R119" s="35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65" t="s">
        <v>336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6" t="s">
        <v>337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338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339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hidden="1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341</v>
      </c>
      <c r="C27" s="82" t="s">
        <v>342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85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345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346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6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347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348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7" t="s">
        <v>349</v>
      </c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 t="s">
        <v>350</v>
      </c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351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88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352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353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354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355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356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357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358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359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/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 t="s">
        <v>360</v>
      </c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/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361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 t="s">
        <v>362</v>
      </c>
      <c r="B53" s="63"/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363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 t="s">
        <v>364</v>
      </c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365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 t="s">
        <v>366</v>
      </c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 t="s">
        <v>367</v>
      </c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/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 t="s">
        <v>368</v>
      </c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/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369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370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79" t="s">
        <v>371</v>
      </c>
      <c r="B64" s="63"/>
      <c r="C64" s="63"/>
      <c r="D64" s="64"/>
      <c r="E64" s="65"/>
      <c r="F64" s="65"/>
      <c r="G64" s="66"/>
      <c r="H64" s="67"/>
      <c r="I64" s="67"/>
      <c r="J64" s="67"/>
      <c r="K64" s="67"/>
      <c r="L64" s="65"/>
      <c r="M64" s="65"/>
      <c r="N64" s="65"/>
      <c r="O64" s="65"/>
      <c r="P64" s="65"/>
      <c r="Q64" s="53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89"/>
      <c r="B65" s="90"/>
      <c r="C65" s="90"/>
      <c r="D65" s="90"/>
      <c r="E65" s="90"/>
      <c r="F65" s="90"/>
      <c r="G65" s="91"/>
      <c r="H65" s="90"/>
      <c r="I65" s="90"/>
      <c r="J65" s="90"/>
      <c r="K65" s="90"/>
      <c r="L65" s="92"/>
      <c r="M65" s="92"/>
      <c r="N65" s="92"/>
      <c r="O65" s="92"/>
      <c r="P65" s="92"/>
      <c r="Q65" s="61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45"/>
      <c r="B66" s="45"/>
      <c r="C66" s="45"/>
      <c r="D66" s="45"/>
      <c r="E66" s="45"/>
      <c r="F66" s="45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45"/>
      <c r="B67" s="45"/>
      <c r="C67" s="45"/>
      <c r="D67" s="45"/>
      <c r="E67" s="45"/>
      <c r="F67" s="45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45"/>
      <c r="B68" s="45"/>
      <c r="C68" s="45"/>
      <c r="D68" s="45"/>
      <c r="E68" s="45"/>
      <c r="F68" s="45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5"/>
      <c r="B69" s="96"/>
      <c r="C69" s="97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69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2.75" customHeight="1" x14ac:dyDescent="0.3">
      <c r="A1001" s="99"/>
      <c r="B1001" s="100"/>
      <c r="C1001" s="101"/>
      <c r="D1001" s="98"/>
      <c r="E1001" s="94"/>
      <c r="F1001" s="94"/>
      <c r="G1001" s="93"/>
      <c r="H1001" s="45"/>
      <c r="I1001" s="45"/>
      <c r="J1001" s="45"/>
      <c r="K1001" s="45"/>
      <c r="L1001" s="94"/>
      <c r="M1001" s="94"/>
      <c r="N1001" s="94"/>
      <c r="O1001" s="94"/>
      <c r="P1001" s="94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  <row r="1002" spans="1:26" ht="12.75" customHeight="1" x14ac:dyDescent="0.3">
      <c r="A1002" s="99"/>
      <c r="B1002" s="100"/>
      <c r="C1002" s="101"/>
      <c r="D1002" s="98"/>
      <c r="E1002" s="94"/>
      <c r="F1002" s="94"/>
      <c r="G1002" s="93"/>
      <c r="H1002" s="45"/>
      <c r="I1002" s="45"/>
      <c r="J1002" s="45"/>
      <c r="K1002" s="45"/>
      <c r="L1002" s="94"/>
      <c r="M1002" s="94"/>
      <c r="N1002" s="94"/>
      <c r="O1002" s="94"/>
      <c r="P1002" s="94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</row>
    <row r="1003" spans="1:26" ht="12.75" customHeight="1" x14ac:dyDescent="0.3">
      <c r="A1003" s="99"/>
      <c r="B1003" s="100"/>
      <c r="C1003" s="101"/>
      <c r="D1003" s="98"/>
      <c r="E1003" s="94"/>
      <c r="F1003" s="94"/>
      <c r="G1003" s="93"/>
      <c r="H1003" s="45"/>
      <c r="I1003" s="45"/>
      <c r="J1003" s="45"/>
      <c r="K1003" s="45"/>
      <c r="L1003" s="94"/>
      <c r="M1003" s="94"/>
      <c r="N1003" s="94"/>
      <c r="O1003" s="94"/>
      <c r="P1003" s="94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</row>
    <row r="1004" spans="1:26" ht="12.75" customHeight="1" x14ac:dyDescent="0.3">
      <c r="A1004" s="99"/>
      <c r="B1004" s="100"/>
      <c r="C1004" s="101"/>
      <c r="D1004" s="98"/>
      <c r="E1004" s="94"/>
      <c r="F1004" s="94"/>
      <c r="G1004" s="93"/>
      <c r="H1004" s="45"/>
      <c r="I1004" s="45"/>
      <c r="J1004" s="45"/>
      <c r="K1004" s="45"/>
      <c r="L1004" s="94"/>
      <c r="M1004" s="94"/>
      <c r="N1004" s="94"/>
      <c r="O1004" s="94"/>
      <c r="P1004" s="94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</row>
    <row r="1005" spans="1:26" ht="12.75" customHeight="1" x14ac:dyDescent="0.3">
      <c r="A1005" s="99"/>
      <c r="B1005" s="100"/>
      <c r="C1005" s="101"/>
      <c r="D1005" s="98"/>
      <c r="E1005" s="94"/>
      <c r="F1005" s="94"/>
      <c r="G1005" s="93"/>
      <c r="H1005" s="45"/>
      <c r="I1005" s="45"/>
      <c r="J1005" s="45"/>
      <c r="K1005" s="45"/>
      <c r="L1005" s="94"/>
      <c r="M1005" s="94"/>
      <c r="N1005" s="94"/>
      <c r="O1005" s="94"/>
      <c r="P1005" s="94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</row>
    <row r="1006" spans="1:26" ht="12.75" customHeight="1" x14ac:dyDescent="0.3">
      <c r="A1006" s="99"/>
      <c r="B1006" s="100"/>
      <c r="C1006" s="101"/>
      <c r="D1006" s="98"/>
      <c r="E1006" s="94"/>
      <c r="F1006" s="94"/>
      <c r="G1006" s="93"/>
      <c r="H1006" s="45"/>
      <c r="I1006" s="45"/>
      <c r="J1006" s="45"/>
      <c r="K1006" s="45"/>
      <c r="L1006" s="94"/>
      <c r="M1006" s="94"/>
      <c r="N1006" s="94"/>
      <c r="O1006" s="94"/>
      <c r="P1006" s="94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</row>
    <row r="1007" spans="1:26" ht="12.75" customHeight="1" x14ac:dyDescent="0.3">
      <c r="A1007" s="99"/>
      <c r="B1007" s="100"/>
      <c r="C1007" s="101"/>
      <c r="D1007" s="98"/>
      <c r="E1007" s="94"/>
      <c r="F1007" s="94"/>
      <c r="G1007" s="93"/>
      <c r="H1007" s="45"/>
      <c r="I1007" s="45"/>
      <c r="J1007" s="45"/>
      <c r="K1007" s="45"/>
      <c r="L1007" s="94"/>
      <c r="M1007" s="94"/>
      <c r="N1007" s="94"/>
      <c r="O1007" s="94"/>
      <c r="P1007" s="94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</row>
    <row r="1008" spans="1:26" ht="12.75" customHeight="1" x14ac:dyDescent="0.3">
      <c r="A1008" s="99"/>
      <c r="B1008" s="100"/>
      <c r="C1008" s="101"/>
      <c r="D1008" s="98"/>
      <c r="E1008" s="94"/>
      <c r="F1008" s="94"/>
      <c r="G1008" s="93"/>
      <c r="H1008" s="45"/>
      <c r="I1008" s="45"/>
      <c r="J1008" s="45"/>
      <c r="K1008" s="45"/>
      <c r="L1008" s="94"/>
      <c r="M1008" s="94"/>
      <c r="N1008" s="94"/>
      <c r="O1008" s="94"/>
      <c r="P1008" s="94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</row>
    <row r="1009" spans="1:26" ht="12.75" customHeight="1" x14ac:dyDescent="0.3">
      <c r="A1009" s="99"/>
      <c r="B1009" s="100"/>
      <c r="C1009" s="101"/>
      <c r="D1009" s="98"/>
      <c r="E1009" s="94"/>
      <c r="F1009" s="94"/>
      <c r="G1009" s="93"/>
      <c r="H1009" s="45"/>
      <c r="I1009" s="45"/>
      <c r="J1009" s="45"/>
      <c r="K1009" s="45"/>
      <c r="L1009" s="94"/>
      <c r="M1009" s="94"/>
      <c r="N1009" s="94"/>
      <c r="O1009" s="94"/>
      <c r="P1009" s="94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</row>
    <row r="1010" spans="1:26" ht="12.75" customHeight="1" x14ac:dyDescent="0.3">
      <c r="A1010" s="99"/>
      <c r="B1010" s="100"/>
      <c r="C1010" s="101"/>
      <c r="D1010" s="98"/>
      <c r="E1010" s="94"/>
      <c r="F1010" s="94"/>
      <c r="G1010" s="93"/>
      <c r="H1010" s="45"/>
      <c r="I1010" s="45"/>
      <c r="J1010" s="45"/>
      <c r="K1010" s="45"/>
      <c r="L1010" s="94"/>
      <c r="M1010" s="94"/>
      <c r="N1010" s="94"/>
      <c r="O1010" s="94"/>
      <c r="P1010" s="94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</row>
    <row r="1011" spans="1:26" ht="12.75" customHeight="1" x14ac:dyDescent="0.3">
      <c r="A1011" s="99"/>
      <c r="B1011" s="100"/>
      <c r="C1011" s="101"/>
      <c r="D1011" s="98"/>
      <c r="E1011" s="94"/>
      <c r="F1011" s="94"/>
      <c r="G1011" s="93"/>
      <c r="H1011" s="45"/>
      <c r="I1011" s="45"/>
      <c r="J1011" s="45"/>
      <c r="K1011" s="45"/>
      <c r="L1011" s="94"/>
      <c r="M1011" s="94"/>
      <c r="N1011" s="94"/>
      <c r="O1011" s="94"/>
      <c r="P1011" s="94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</row>
    <row r="1012" spans="1:26" ht="12.75" customHeight="1" x14ac:dyDescent="0.3">
      <c r="A1012" s="99"/>
      <c r="B1012" s="100"/>
      <c r="C1012" s="101"/>
      <c r="D1012" s="98"/>
      <c r="E1012" s="94"/>
      <c r="F1012" s="94"/>
      <c r="G1012" s="93"/>
      <c r="H1012" s="45"/>
      <c r="I1012" s="45"/>
      <c r="J1012" s="45"/>
      <c r="K1012" s="45"/>
      <c r="L1012" s="94"/>
      <c r="M1012" s="94"/>
      <c r="N1012" s="94"/>
      <c r="O1012" s="94"/>
      <c r="P1012" s="94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</row>
    <row r="1013" spans="1:26" ht="12.75" customHeight="1" x14ac:dyDescent="0.3">
      <c r="A1013" s="99"/>
      <c r="B1013" s="100"/>
      <c r="C1013" s="101"/>
      <c r="D1013" s="98"/>
      <c r="E1013" s="94"/>
      <c r="F1013" s="94"/>
      <c r="G1013" s="93"/>
      <c r="H1013" s="45"/>
      <c r="I1013" s="45"/>
      <c r="J1013" s="45"/>
      <c r="K1013" s="45"/>
      <c r="L1013" s="94"/>
      <c r="M1013" s="94"/>
      <c r="N1013" s="94"/>
      <c r="O1013" s="94"/>
      <c r="P1013" s="94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</row>
    <row r="1014" spans="1:26" ht="12.75" customHeight="1" x14ac:dyDescent="0.3">
      <c r="A1014" s="99"/>
      <c r="B1014" s="100"/>
      <c r="C1014" s="101"/>
      <c r="D1014" s="98"/>
      <c r="E1014" s="94"/>
      <c r="F1014" s="94"/>
      <c r="G1014" s="93"/>
      <c r="H1014" s="45"/>
      <c r="I1014" s="45"/>
      <c r="J1014" s="45"/>
      <c r="K1014" s="45"/>
      <c r="L1014" s="94"/>
      <c r="M1014" s="94"/>
      <c r="N1014" s="94"/>
      <c r="O1014" s="94"/>
      <c r="P1014" s="94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</row>
    <row r="1015" spans="1:26" ht="12.75" customHeight="1" x14ac:dyDescent="0.3">
      <c r="A1015" s="99"/>
      <c r="B1015" s="100"/>
      <c r="C1015" s="101"/>
      <c r="D1015" s="98"/>
      <c r="E1015" s="94"/>
      <c r="F1015" s="94"/>
      <c r="G1015" s="93"/>
      <c r="H1015" s="45"/>
      <c r="I1015" s="45"/>
      <c r="J1015" s="45"/>
      <c r="K1015" s="45"/>
      <c r="L1015" s="94"/>
      <c r="M1015" s="94"/>
      <c r="N1015" s="94"/>
      <c r="O1015" s="94"/>
      <c r="P1015" s="94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65" t="s">
        <v>336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6" t="s">
        <v>372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373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45"/>
      <c r="S9" s="45"/>
      <c r="T9" s="45"/>
      <c r="U9" s="45"/>
      <c r="V9" s="45"/>
      <c r="W9" s="45"/>
      <c r="X9" s="45"/>
      <c r="Y9" s="45"/>
      <c r="Z9" s="45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.75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hidden="1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374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375</v>
      </c>
      <c r="C27" s="82" t="s">
        <v>376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102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377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378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88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379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380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381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7" t="s">
        <v>382</v>
      </c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/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383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384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385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386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387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388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389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390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391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B48" s="63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 t="s">
        <v>392</v>
      </c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/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 t="s">
        <v>393</v>
      </c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394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/>
      <c r="B53" s="63" t="s">
        <v>395</v>
      </c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396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/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397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/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/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 t="s">
        <v>398</v>
      </c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/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 t="s">
        <v>399</v>
      </c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370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371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89"/>
      <c r="B64" s="90"/>
      <c r="C64" s="90"/>
      <c r="D64" s="90"/>
      <c r="E64" s="90"/>
      <c r="F64" s="90"/>
      <c r="G64" s="91"/>
      <c r="H64" s="90"/>
      <c r="I64" s="90"/>
      <c r="J64" s="90"/>
      <c r="K64" s="90"/>
      <c r="L64" s="92"/>
      <c r="M64" s="92"/>
      <c r="N64" s="92"/>
      <c r="O64" s="92"/>
      <c r="P64" s="92"/>
      <c r="Q64" s="61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99"/>
      <c r="B65" s="100"/>
      <c r="C65" s="101"/>
      <c r="D65" s="98"/>
      <c r="E65" s="94"/>
      <c r="F65" s="94"/>
      <c r="G65" s="93"/>
      <c r="H65" s="45"/>
      <c r="I65" s="45"/>
      <c r="J65" s="45"/>
      <c r="K65" s="45"/>
      <c r="L65" s="94"/>
      <c r="M65" s="94"/>
      <c r="N65" s="94"/>
      <c r="O65" s="94"/>
      <c r="P65" s="94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99"/>
      <c r="B66" s="100"/>
      <c r="C66" s="101"/>
      <c r="D66" s="98"/>
      <c r="E66" s="94"/>
      <c r="F66" s="94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99"/>
      <c r="B67" s="100"/>
      <c r="C67" s="101"/>
      <c r="D67" s="98"/>
      <c r="E67" s="94"/>
      <c r="F67" s="94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99"/>
      <c r="B68" s="100"/>
      <c r="C68" s="101"/>
      <c r="D68" s="98"/>
      <c r="E68" s="94"/>
      <c r="F68" s="94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9"/>
      <c r="B69" s="100"/>
      <c r="C69" s="101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98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3" zoomScaleNormal="100" workbookViewId="0">
      <selection activeCell="G13" sqref="G1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62" t="s">
        <v>400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</row>
    <row r="3" spans="1:15" s="104" customFormat="1" ht="31.5" customHeight="1" x14ac:dyDescent="0.3">
      <c r="A3" s="103" t="s">
        <v>7</v>
      </c>
      <c r="B3" s="103" t="s">
        <v>401</v>
      </c>
      <c r="C3" s="103" t="s">
        <v>402</v>
      </c>
      <c r="D3" s="103" t="s">
        <v>403</v>
      </c>
      <c r="E3" s="103" t="s">
        <v>404</v>
      </c>
      <c r="F3" s="103" t="s">
        <v>405</v>
      </c>
      <c r="G3" s="103" t="s">
        <v>406</v>
      </c>
      <c r="H3" s="103" t="s">
        <v>407</v>
      </c>
      <c r="I3" s="103" t="s">
        <v>408</v>
      </c>
      <c r="J3" s="103" t="s">
        <v>409</v>
      </c>
      <c r="K3" s="103" t="s">
        <v>410</v>
      </c>
      <c r="L3" s="103" t="s">
        <v>411</v>
      </c>
      <c r="M3" s="103" t="s">
        <v>103</v>
      </c>
      <c r="N3" s="103" t="s">
        <v>412</v>
      </c>
      <c r="O3" s="104" t="s">
        <v>413</v>
      </c>
    </row>
    <row r="4" spans="1:15" ht="12.75" customHeight="1" x14ac:dyDescent="0.3">
      <c r="A4" s="105" t="s">
        <v>11</v>
      </c>
      <c r="B4" s="106" t="s">
        <v>13</v>
      </c>
      <c r="C4" s="107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7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7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7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4</v>
      </c>
      <c r="G4" s="107">
        <f>IF(COUNTIF('FIFA WC 2026'!$S$5:$S$66,A4)&gt;0,4,0)</f>
        <v>4</v>
      </c>
      <c r="H4" s="107">
        <f>IF(COUNTIF('FIFA WC 2026'!$W$7:$W$64,A4)&gt;0,6,0)</f>
        <v>6</v>
      </c>
      <c r="I4" s="107">
        <f>IF(COUNTIF('FIFA WC 2026'!$AA$11:$AA$60,A4)&gt;0,8,0)</f>
        <v>0</v>
      </c>
      <c r="J4" s="107">
        <f>IF(COUNTIF('FIFA WC 2026'!$AE$19:$AE$52,A4)&gt;0,10,0)</f>
        <v>0</v>
      </c>
      <c r="K4" s="107">
        <f>IF(COUNTIF('FIFA WC 2026'!$AI$35:$AI$36,A4)&gt;0,13,0)</f>
        <v>0</v>
      </c>
      <c r="L4" s="107">
        <f>IF('FIFA WC 2026'!$AI$40=A4,16,0)</f>
        <v>0</v>
      </c>
      <c r="M4" s="108">
        <f t="shared" ref="M4:M51" si="0">SUM(C4:L4)+O4</f>
        <v>23</v>
      </c>
      <c r="N4" s="109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5" t="s">
        <v>12</v>
      </c>
      <c r="B5" s="106" t="s">
        <v>13</v>
      </c>
      <c r="C5" s="107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7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7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7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7">
        <f>IF(COUNTIF('FIFA WC 2026'!$S$5:$S$66,A5)&gt;0,4,0)</f>
        <v>4</v>
      </c>
      <c r="H5" s="107">
        <f>IF(COUNTIF('FIFA WC 2026'!$W$7:$W$64,A5)&gt;0,6,0)</f>
        <v>0</v>
      </c>
      <c r="I5" s="107">
        <f>IF(COUNTIF('FIFA WC 2026'!$AA$11:$AA$60,A5)&gt;0,8,0)</f>
        <v>0</v>
      </c>
      <c r="J5" s="107">
        <f>IF(COUNTIF('FIFA WC 2026'!$AE$19:$AE$52,A5)&gt;0,10,0)</f>
        <v>0</v>
      </c>
      <c r="K5" s="107">
        <f>IF(COUNTIF('FIFA WC 2026'!$AI$35:$AI$36,A5)&gt;0,13,0)</f>
        <v>0</v>
      </c>
      <c r="L5" s="107">
        <f>IF('FIFA WC 2026'!$AI$40=A5,16,0)</f>
        <v>0</v>
      </c>
      <c r="M5" s="108">
        <f t="shared" si="0"/>
        <v>9</v>
      </c>
      <c r="N5" s="109">
        <f t="shared" si="1"/>
        <v>8</v>
      </c>
      <c r="O5">
        <f>IF('FIFA WC 2026'!$AI$41=$A5,5,0)</f>
        <v>0</v>
      </c>
    </row>
    <row r="6" spans="1:15" ht="12.75" customHeight="1" x14ac:dyDescent="0.3">
      <c r="A6" s="105" t="s">
        <v>15</v>
      </c>
      <c r="B6" s="106" t="s">
        <v>13</v>
      </c>
      <c r="C6" s="107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7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7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7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7">
        <f>IF(COUNTIF('FIFA WC 2026'!$S$5:$S$66,A6)&gt;0,4,0)</f>
        <v>0</v>
      </c>
      <c r="H6" s="107">
        <f>IF(COUNTIF('FIFA WC 2026'!$W$7:$W$64,A6)&gt;0,6,0)</f>
        <v>0</v>
      </c>
      <c r="I6" s="107">
        <f>IF(COUNTIF('FIFA WC 2026'!$AA$11:$AA$60,A6)&gt;0,8,0)</f>
        <v>0</v>
      </c>
      <c r="J6" s="107">
        <f>IF(COUNTIF('FIFA WC 2026'!$AE$19:$AE$52,A6)&gt;0,10,0)</f>
        <v>0</v>
      </c>
      <c r="K6" s="107">
        <f>IF(COUNTIF('FIFA WC 2026'!$AI$35:$AI$36,A6)&gt;0,13,0)</f>
        <v>0</v>
      </c>
      <c r="L6" s="107">
        <f>IF('FIFA WC 2026'!$AI$40=A6,16,0)</f>
        <v>0</v>
      </c>
      <c r="M6" s="108">
        <f t="shared" si="0"/>
        <v>4</v>
      </c>
      <c r="N6" s="109">
        <f t="shared" si="1"/>
        <v>3</v>
      </c>
      <c r="O6">
        <f>IF('FIFA WC 2026'!$AI$41=$A6,5,0)</f>
        <v>0</v>
      </c>
    </row>
    <row r="7" spans="1:15" ht="12.75" customHeight="1" x14ac:dyDescent="0.3">
      <c r="A7" s="105" t="s">
        <v>16</v>
      </c>
      <c r="B7" s="106" t="s">
        <v>13</v>
      </c>
      <c r="C7" s="107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7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7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7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7">
        <f>IF(COUNTIF('FIFA WC 2026'!$S$5:$S$66,A7)&gt;0,4,0)</f>
        <v>0</v>
      </c>
      <c r="H7" s="107">
        <f>IF(COUNTIF('FIFA WC 2026'!$W$7:$W$64,A7)&gt;0,6,0)</f>
        <v>0</v>
      </c>
      <c r="I7" s="107">
        <f>IF(COUNTIF('FIFA WC 2026'!$AA$11:$AA$60,A7)&gt;0,8,0)</f>
        <v>0</v>
      </c>
      <c r="J7" s="107">
        <f>IF(COUNTIF('FIFA WC 2026'!$AE$19:$AE$52,A7)&gt;0,10,0)</f>
        <v>0</v>
      </c>
      <c r="K7" s="107">
        <f>IF(COUNTIF('FIFA WC 2026'!$AI$35:$AI$36,A7)&gt;0,13,0)</f>
        <v>0</v>
      </c>
      <c r="L7" s="107">
        <f>IF('FIFA WC 2026'!$AI$40=A7,16,0)</f>
        <v>0</v>
      </c>
      <c r="M7" s="108">
        <f t="shared" si="0"/>
        <v>2</v>
      </c>
      <c r="N7" s="109">
        <f t="shared" si="1"/>
        <v>1</v>
      </c>
      <c r="O7">
        <f>IF('FIFA WC 2026'!$AI$41=$A7,5,0)</f>
        <v>0</v>
      </c>
    </row>
    <row r="8" spans="1:15" ht="12.75" customHeight="1" x14ac:dyDescent="0.3">
      <c r="A8" s="26" t="s">
        <v>23</v>
      </c>
      <c r="B8" s="25" t="s">
        <v>25</v>
      </c>
      <c r="C8" s="27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7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7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7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7">
        <f>IF(COUNTIF('FIFA WC 2026'!$S$5:$S$66,A8)&gt;0,4,0)</f>
        <v>4</v>
      </c>
      <c r="H8" s="27">
        <f>IF(COUNTIF('FIFA WC 2026'!$W$7:$W$64,A8)&gt;0,6,0)</f>
        <v>6</v>
      </c>
      <c r="I8" s="27">
        <f>IF(COUNTIF('FIFA WC 2026'!$AA$11:$AA$60,A8)&gt;0,8,0)</f>
        <v>0</v>
      </c>
      <c r="J8" s="27">
        <f>IF(COUNTIF('FIFA WC 2026'!$AE$19:$AE$52,A8)&gt;0,10,0)</f>
        <v>0</v>
      </c>
      <c r="K8" s="27">
        <f>IF(COUNTIF('FIFA WC 2026'!$AI$35:$AI$36,A8)&gt;0,13,0)</f>
        <v>0</v>
      </c>
      <c r="L8" s="27">
        <f>IF('FIFA WC 2026'!$AI$40=A8,16,0)</f>
        <v>0</v>
      </c>
      <c r="M8" s="110">
        <f t="shared" si="0"/>
        <v>18.5</v>
      </c>
      <c r="N8" s="109">
        <f t="shared" si="1"/>
        <v>14</v>
      </c>
      <c r="O8">
        <f>IF('FIFA WC 2026'!$AI$41=$A8,5,0)</f>
        <v>0</v>
      </c>
    </row>
    <row r="9" spans="1:15" ht="12.75" customHeight="1" x14ac:dyDescent="0.3">
      <c r="A9" s="26" t="s">
        <v>24</v>
      </c>
      <c r="B9" s="25" t="s">
        <v>25</v>
      </c>
      <c r="C9" s="27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7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7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7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7">
        <f>IF(COUNTIF('FIFA WC 2026'!$S$5:$S$66,A9)&gt;0,4,0)</f>
        <v>4</v>
      </c>
      <c r="H9" s="27">
        <f>IF(COUNTIF('FIFA WC 2026'!$W$7:$W$64,A9)&gt;0,6,0)</f>
        <v>0</v>
      </c>
      <c r="I9" s="27">
        <f>IF(COUNTIF('FIFA WC 2026'!$AA$11:$AA$60,A9)&gt;0,8,0)</f>
        <v>0</v>
      </c>
      <c r="J9" s="27">
        <f>IF(COUNTIF('FIFA WC 2026'!$AE$19:$AE$52,A9)&gt;0,10,0)</f>
        <v>0</v>
      </c>
      <c r="K9" s="27">
        <f>IF(COUNTIF('FIFA WC 2026'!$AI$35:$AI$36,A9)&gt;0,13,0)</f>
        <v>0</v>
      </c>
      <c r="L9" s="27">
        <f>IF('FIFA WC 2026'!$AI$40=A9,16,0)</f>
        <v>0</v>
      </c>
      <c r="M9" s="110">
        <f t="shared" si="0"/>
        <v>10.5</v>
      </c>
      <c r="N9" s="109">
        <f t="shared" si="1"/>
        <v>8</v>
      </c>
      <c r="O9">
        <f>IF('FIFA WC 2026'!$AI$41=$A9,5,0)</f>
        <v>0</v>
      </c>
    </row>
    <row r="10" spans="1:15" ht="12.75" customHeight="1" x14ac:dyDescent="0.3">
      <c r="A10" s="26" t="s">
        <v>27</v>
      </c>
      <c r="B10" s="25" t="s">
        <v>25</v>
      </c>
      <c r="C10" s="27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7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7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7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7">
        <f>IF(COUNTIF('FIFA WC 2026'!$S$5:$S$66,A10)&gt;0,4,0)</f>
        <v>0</v>
      </c>
      <c r="H10" s="27">
        <f>IF(COUNTIF('FIFA WC 2026'!$W$7:$W$64,A10)&gt;0,6,0)</f>
        <v>0</v>
      </c>
      <c r="I10" s="27">
        <f>IF(COUNTIF('FIFA WC 2026'!$AA$11:$AA$60,A10)&gt;0,8,0)</f>
        <v>0</v>
      </c>
      <c r="J10" s="27">
        <f>IF(COUNTIF('FIFA WC 2026'!$AE$19:$AE$52,A10)&gt;0,10,0)</f>
        <v>0</v>
      </c>
      <c r="K10" s="27">
        <f>IF(COUNTIF('FIFA WC 2026'!$AI$35:$AI$36,A10)&gt;0,13,0)</f>
        <v>0</v>
      </c>
      <c r="L10" s="27">
        <f>IF('FIFA WC 2026'!$AI$40=A10,16,0)</f>
        <v>0</v>
      </c>
      <c r="M10" s="110">
        <f t="shared" si="0"/>
        <v>2</v>
      </c>
      <c r="N10" s="109">
        <f t="shared" si="1"/>
        <v>1</v>
      </c>
      <c r="O10">
        <f>IF('FIFA WC 2026'!$AI$41=$A10,5,0)</f>
        <v>0</v>
      </c>
    </row>
    <row r="11" spans="1:15" ht="12.75" customHeight="1" x14ac:dyDescent="0.3">
      <c r="A11" s="26" t="s">
        <v>28</v>
      </c>
      <c r="B11" s="25" t="s">
        <v>25</v>
      </c>
      <c r="C11" s="27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7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7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7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7">
        <f>IF(COUNTIF('FIFA WC 2026'!$S$5:$S$66,A11)&gt;0,4,0)</f>
        <v>4</v>
      </c>
      <c r="H11" s="27">
        <f>IF(COUNTIF('FIFA WC 2026'!$W$7:$W$64,A11)&gt;0,6,0)</f>
        <v>6</v>
      </c>
      <c r="I11" s="27">
        <f>IF(COUNTIF('FIFA WC 2026'!$AA$11:$AA$60,A11)&gt;0,8,0)</f>
        <v>0</v>
      </c>
      <c r="J11" s="27">
        <f>IF(COUNTIF('FIFA WC 2026'!$AE$19:$AE$52,A11)&gt;0,10,0)</f>
        <v>0</v>
      </c>
      <c r="K11" s="27">
        <f>IF(COUNTIF('FIFA WC 2026'!$AI$35:$AI$36,A11)&gt;0,13,0)</f>
        <v>0</v>
      </c>
      <c r="L11" s="27">
        <f>IF('FIFA WC 2026'!$AI$40=A11,16,0)</f>
        <v>0</v>
      </c>
      <c r="M11" s="110">
        <f t="shared" si="0"/>
        <v>21.5</v>
      </c>
      <c r="N11" s="109">
        <f t="shared" si="1"/>
        <v>17</v>
      </c>
      <c r="O11">
        <f>IF('FIFA WC 2026'!$AI$41=$A11,5,0)</f>
        <v>0</v>
      </c>
    </row>
    <row r="12" spans="1:15" ht="12.75" customHeight="1" x14ac:dyDescent="0.3">
      <c r="A12" s="105" t="s">
        <v>29</v>
      </c>
      <c r="B12" s="106" t="s">
        <v>31</v>
      </c>
      <c r="C12" s="107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7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7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7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4.5</v>
      </c>
      <c r="G12" s="107">
        <f>IF(COUNTIF('FIFA WC 2026'!$S$5:$S$66,A12)&gt;0,4,0)</f>
        <v>4</v>
      </c>
      <c r="H12" s="107">
        <f>IF(COUNTIF('FIFA WC 2026'!$W$7:$W$64,A12)&gt;0,6,0)</f>
        <v>6</v>
      </c>
      <c r="I12" s="107">
        <f>IF(COUNTIF('FIFA WC 2026'!$AA$11:$AA$60,A12)&gt;0,8,0)</f>
        <v>0</v>
      </c>
      <c r="J12" s="107">
        <f>IF(COUNTIF('FIFA WC 2026'!$AE$19:$AE$52,A12)&gt;0,10,0)</f>
        <v>0</v>
      </c>
      <c r="K12" s="107">
        <f>IF(COUNTIF('FIFA WC 2026'!$AI$35:$AI$36,A12)&gt;0,13,0)</f>
        <v>0</v>
      </c>
      <c r="L12" s="107">
        <f>IF('FIFA WC 2026'!$AI$40=A12,16,0)</f>
        <v>0</v>
      </c>
      <c r="M12" s="108">
        <f t="shared" si="0"/>
        <v>21.5</v>
      </c>
      <c r="N12" s="109">
        <f t="shared" si="1"/>
        <v>17</v>
      </c>
      <c r="O12">
        <f>IF('FIFA WC 2026'!$AI$41=$A12,5,0)</f>
        <v>0</v>
      </c>
    </row>
    <row r="13" spans="1:15" ht="12.75" customHeight="1" x14ac:dyDescent="0.3">
      <c r="A13" s="105" t="s">
        <v>30</v>
      </c>
      <c r="B13" s="106" t="s">
        <v>31</v>
      </c>
      <c r="C13" s="107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7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7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7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7">
        <f>IF(COUNTIF('FIFA WC 2026'!$S$5:$S$66,A13)&gt;0,4,0)</f>
        <v>4</v>
      </c>
      <c r="H13" s="107">
        <f>IF(COUNTIF('FIFA WC 2026'!$W$7:$W$64,A13)&gt;0,6,0)</f>
        <v>6</v>
      </c>
      <c r="I13" s="107">
        <f>IF(COUNTIF('FIFA WC 2026'!$AA$11:$AA$60,A13)&gt;0,8,0)</f>
        <v>8</v>
      </c>
      <c r="J13" s="107">
        <f>IF(COUNTIF('FIFA WC 2026'!$AE$19:$AE$52,A13)&gt;0,10,0)</f>
        <v>0</v>
      </c>
      <c r="K13" s="107">
        <f>IF(COUNTIF('FIFA WC 2026'!$AI$35:$AI$36,A13)&gt;0,13,0)</f>
        <v>0</v>
      </c>
      <c r="L13" s="107">
        <f>IF('FIFA WC 2026'!$AI$40=A13,16,0)</f>
        <v>0</v>
      </c>
      <c r="M13" s="108">
        <f t="shared" si="0"/>
        <v>30</v>
      </c>
      <c r="N13" s="109">
        <f t="shared" si="1"/>
        <v>25</v>
      </c>
      <c r="O13">
        <f>IF('FIFA WC 2026'!$AI$41=$A13,5,0)</f>
        <v>0</v>
      </c>
    </row>
    <row r="14" spans="1:15" ht="12.75" customHeight="1" x14ac:dyDescent="0.3">
      <c r="A14" s="105" t="s">
        <v>33</v>
      </c>
      <c r="B14" s="106" t="s">
        <v>31</v>
      </c>
      <c r="C14" s="107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7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7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7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7">
        <f>IF(COUNTIF('FIFA WC 2026'!$S$5:$S$66,A14)&gt;0,4,0)</f>
        <v>0</v>
      </c>
      <c r="H14" s="107">
        <f>IF(COUNTIF('FIFA WC 2026'!$W$7:$W$64,A14)&gt;0,6,0)</f>
        <v>0</v>
      </c>
      <c r="I14" s="107">
        <f>IF(COUNTIF('FIFA WC 2026'!$AA$11:$AA$60,A14)&gt;0,8,0)</f>
        <v>0</v>
      </c>
      <c r="J14" s="107">
        <f>IF(COUNTIF('FIFA WC 2026'!$AE$19:$AE$52,A14)&gt;0,10,0)</f>
        <v>0</v>
      </c>
      <c r="K14" s="107">
        <f>IF(COUNTIF('FIFA WC 2026'!$AI$35:$AI$36,A14)&gt;0,13,0)</f>
        <v>0</v>
      </c>
      <c r="L14" s="107">
        <f>IF('FIFA WC 2026'!$AI$40=A14,16,0)</f>
        <v>0</v>
      </c>
      <c r="M14" s="108">
        <f t="shared" si="0"/>
        <v>1</v>
      </c>
      <c r="N14" s="109">
        <f t="shared" si="1"/>
        <v>0</v>
      </c>
      <c r="O14">
        <f>IF('FIFA WC 2026'!$AI$41=$A14,5,0)</f>
        <v>0</v>
      </c>
    </row>
    <row r="15" spans="1:15" ht="12.75" customHeight="1" x14ac:dyDescent="0.3">
      <c r="A15" s="105" t="s">
        <v>34</v>
      </c>
      <c r="B15" s="106" t="s">
        <v>31</v>
      </c>
      <c r="C15" s="107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7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7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7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7">
        <f>IF(COUNTIF('FIFA WC 2026'!$S$5:$S$66,A15)&gt;0,4,0)</f>
        <v>0</v>
      </c>
      <c r="H15" s="107">
        <f>IF(COUNTIF('FIFA WC 2026'!$W$7:$W$64,A15)&gt;0,6,0)</f>
        <v>0</v>
      </c>
      <c r="I15" s="107">
        <f>IF(COUNTIF('FIFA WC 2026'!$AA$11:$AA$60,A15)&gt;0,8,0)</f>
        <v>0</v>
      </c>
      <c r="J15" s="107">
        <f>IF(COUNTIF('FIFA WC 2026'!$AE$19:$AE$52,A15)&gt;0,10,0)</f>
        <v>0</v>
      </c>
      <c r="K15" s="107">
        <f>IF(COUNTIF('FIFA WC 2026'!$AI$35:$AI$36,A15)&gt;0,13,0)</f>
        <v>0</v>
      </c>
      <c r="L15" s="107">
        <f>IF('FIFA WC 2026'!$AI$40=A15,16,0)</f>
        <v>0</v>
      </c>
      <c r="M15" s="108">
        <f t="shared" si="0"/>
        <v>3.5</v>
      </c>
      <c r="N15" s="109">
        <f t="shared" si="1"/>
        <v>3</v>
      </c>
      <c r="O15">
        <f>IF('FIFA WC 2026'!$AI$41=$A15,5,0)</f>
        <v>0</v>
      </c>
    </row>
    <row r="16" spans="1:15" ht="12.75" customHeight="1" x14ac:dyDescent="0.3">
      <c r="A16" s="26" t="s">
        <v>35</v>
      </c>
      <c r="B16" s="25" t="s">
        <v>19</v>
      </c>
      <c r="C16" s="27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7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7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7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</v>
      </c>
      <c r="G16" s="27">
        <f>IF(COUNTIF('FIFA WC 2026'!$S$5:$S$66,A16)&gt;0,4,0)</f>
        <v>4</v>
      </c>
      <c r="H16" s="27">
        <f>IF(COUNTIF('FIFA WC 2026'!$W$7:$W$64,A16)&gt;0,6,0)</f>
        <v>6</v>
      </c>
      <c r="I16" s="27">
        <f>IF(COUNTIF('FIFA WC 2026'!$AA$11:$AA$60,A16)&gt;0,8,0)</f>
        <v>0</v>
      </c>
      <c r="J16" s="27">
        <f>IF(COUNTIF('FIFA WC 2026'!$AE$19:$AE$52,A16)&gt;0,10,0)</f>
        <v>0</v>
      </c>
      <c r="K16" s="27">
        <f>IF(COUNTIF('FIFA WC 2026'!$AI$35:$AI$36,A16)&gt;0,13,0)</f>
        <v>0</v>
      </c>
      <c r="L16" s="27">
        <f>IF('FIFA WC 2026'!$AI$40=A16,16,0)</f>
        <v>0</v>
      </c>
      <c r="M16" s="110">
        <f t="shared" si="0"/>
        <v>21</v>
      </c>
      <c r="N16" s="109">
        <f t="shared" si="1"/>
        <v>16</v>
      </c>
      <c r="O16">
        <f>IF('FIFA WC 2026'!$AI$41=$A16,5,0)</f>
        <v>0</v>
      </c>
    </row>
    <row r="17" spans="1:15" ht="12.75" customHeight="1" x14ac:dyDescent="0.3">
      <c r="A17" s="26" t="s">
        <v>36</v>
      </c>
      <c r="B17" s="25" t="s">
        <v>19</v>
      </c>
      <c r="C17" s="27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7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7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7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7">
        <f>IF(COUNTIF('FIFA WC 2026'!$S$5:$S$66,A17)&gt;0,4,0)</f>
        <v>4</v>
      </c>
      <c r="H17" s="27">
        <f>IF(COUNTIF('FIFA WC 2026'!$W$7:$W$64,A17)&gt;0,6,0)</f>
        <v>6</v>
      </c>
      <c r="I17" s="27">
        <f>IF(COUNTIF('FIFA WC 2026'!$AA$11:$AA$60,A17)&gt;0,8,0)</f>
        <v>0</v>
      </c>
      <c r="J17" s="27">
        <f>IF(COUNTIF('FIFA WC 2026'!$AE$19:$AE$52,A17)&gt;0,10,0)</f>
        <v>0</v>
      </c>
      <c r="K17" s="27">
        <f>IF(COUNTIF('FIFA WC 2026'!$AI$35:$AI$36,A17)&gt;0,13,0)</f>
        <v>0</v>
      </c>
      <c r="L17" s="27">
        <f>IF('FIFA WC 2026'!$AI$40=A17,16,0)</f>
        <v>0</v>
      </c>
      <c r="M17" s="110">
        <f t="shared" si="0"/>
        <v>15.5</v>
      </c>
      <c r="N17" s="109">
        <f t="shared" si="1"/>
        <v>14</v>
      </c>
      <c r="O17">
        <f>IF('FIFA WC 2026'!$AI$41=$A17,5,0)</f>
        <v>0</v>
      </c>
    </row>
    <row r="18" spans="1:15" ht="12.75" customHeight="1" x14ac:dyDescent="0.3">
      <c r="A18" s="26" t="s">
        <v>38</v>
      </c>
      <c r="B18" s="25" t="s">
        <v>19</v>
      </c>
      <c r="C18" s="27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7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7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7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7">
        <f>IF(COUNTIF('FIFA WC 2026'!$S$5:$S$66,A18)&gt;0,4,0)</f>
        <v>4</v>
      </c>
      <c r="H18" s="27">
        <f>IF(COUNTIF('FIFA WC 2026'!$W$7:$W$64,A18)&gt;0,6,0)</f>
        <v>0</v>
      </c>
      <c r="I18" s="27">
        <f>IF(COUNTIF('FIFA WC 2026'!$AA$11:$AA$60,A18)&gt;0,8,0)</f>
        <v>0</v>
      </c>
      <c r="J18" s="27">
        <f>IF(COUNTIF('FIFA WC 2026'!$AE$19:$AE$52,A18)&gt;0,10,0)</f>
        <v>0</v>
      </c>
      <c r="K18" s="27">
        <f>IF(COUNTIF('FIFA WC 2026'!$AI$35:$AI$36,A18)&gt;0,13,0)</f>
        <v>0</v>
      </c>
      <c r="L18" s="27">
        <f>IF('FIFA WC 2026'!$AI$40=A18,16,0)</f>
        <v>0</v>
      </c>
      <c r="M18" s="110">
        <f t="shared" si="0"/>
        <v>9.5</v>
      </c>
      <c r="N18" s="109">
        <f t="shared" si="1"/>
        <v>8</v>
      </c>
      <c r="O18">
        <f>IF('FIFA WC 2026'!$AI$41=$A18,5,0)</f>
        <v>0</v>
      </c>
    </row>
    <row r="19" spans="1:15" ht="12.75" customHeight="1" x14ac:dyDescent="0.3">
      <c r="A19" s="26" t="s">
        <v>39</v>
      </c>
      <c r="B19" s="25" t="s">
        <v>19</v>
      </c>
      <c r="C19" s="27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7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7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7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7">
        <f>IF(COUNTIF('FIFA WC 2026'!$S$5:$S$66,A19)&gt;0,4,0)</f>
        <v>0</v>
      </c>
      <c r="H19" s="27">
        <f>IF(COUNTIF('FIFA WC 2026'!$W$7:$W$64,A19)&gt;0,6,0)</f>
        <v>0</v>
      </c>
      <c r="I19" s="27">
        <f>IF(COUNTIF('FIFA WC 2026'!$AA$11:$AA$60,A19)&gt;0,8,0)</f>
        <v>0</v>
      </c>
      <c r="J19" s="27">
        <f>IF(COUNTIF('FIFA WC 2026'!$AE$19:$AE$52,A19)&gt;0,10,0)</f>
        <v>0</v>
      </c>
      <c r="K19" s="27">
        <f>IF(COUNTIF('FIFA WC 2026'!$AI$35:$AI$36,A19)&gt;0,13,0)</f>
        <v>0</v>
      </c>
      <c r="L19" s="27">
        <f>IF('FIFA WC 2026'!$AI$40=A19,16,0)</f>
        <v>0</v>
      </c>
      <c r="M19" s="110">
        <f t="shared" si="0"/>
        <v>4.5</v>
      </c>
      <c r="N19" s="109">
        <f t="shared" si="1"/>
        <v>3</v>
      </c>
      <c r="O19">
        <f>IF('FIFA WC 2026'!$AI$41=$A19,5,0)</f>
        <v>0</v>
      </c>
    </row>
    <row r="20" spans="1:15" ht="12.75" customHeight="1" x14ac:dyDescent="0.3">
      <c r="A20" s="105" t="s">
        <v>40</v>
      </c>
      <c r="B20" s="106" t="s">
        <v>42</v>
      </c>
      <c r="C20" s="107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7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7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7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7">
        <f>IF(COUNTIF('FIFA WC 2026'!$S$5:$S$66,A20)&gt;0,4,0)</f>
        <v>4</v>
      </c>
      <c r="H20" s="107">
        <f>IF(COUNTIF('FIFA WC 2026'!$W$7:$W$64,A20)&gt;0,6,0)</f>
        <v>0</v>
      </c>
      <c r="I20" s="107">
        <f>IF(COUNTIF('FIFA WC 2026'!$AA$11:$AA$60,A20)&gt;0,8,0)</f>
        <v>0</v>
      </c>
      <c r="J20" s="107">
        <f>IF(COUNTIF('FIFA WC 2026'!$AE$19:$AE$52,A20)&gt;0,10,0)</f>
        <v>0</v>
      </c>
      <c r="K20" s="107">
        <f>IF(COUNTIF('FIFA WC 2026'!$AI$35:$AI$36,A20)&gt;0,13,0)</f>
        <v>0</v>
      </c>
      <c r="L20" s="107">
        <f>IF('FIFA WC 2026'!$AI$40=A20,16,0)</f>
        <v>0</v>
      </c>
      <c r="M20" s="108">
        <f t="shared" si="0"/>
        <v>15.5</v>
      </c>
      <c r="N20" s="109">
        <f t="shared" si="1"/>
        <v>10</v>
      </c>
      <c r="O20">
        <f>IF('FIFA WC 2026'!$AI$41=$A20,5,0)</f>
        <v>0</v>
      </c>
    </row>
    <row r="21" spans="1:15" ht="12.75" customHeight="1" x14ac:dyDescent="0.3">
      <c r="A21" s="105" t="s">
        <v>41</v>
      </c>
      <c r="B21" s="106" t="s">
        <v>42</v>
      </c>
      <c r="C21" s="107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7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7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7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7">
        <f>IF(COUNTIF('FIFA WC 2026'!$S$5:$S$66,A21)&gt;0,4,0)</f>
        <v>0</v>
      </c>
      <c r="H21" s="107">
        <f>IF(COUNTIF('FIFA WC 2026'!$W$7:$W$64,A21)&gt;0,6,0)</f>
        <v>0</v>
      </c>
      <c r="I21" s="107">
        <f>IF(COUNTIF('FIFA WC 2026'!$AA$11:$AA$60,A21)&gt;0,8,0)</f>
        <v>0</v>
      </c>
      <c r="J21" s="107">
        <f>IF(COUNTIF('FIFA WC 2026'!$AE$19:$AE$52,A21)&gt;0,10,0)</f>
        <v>0</v>
      </c>
      <c r="K21" s="107">
        <f>IF(COUNTIF('FIFA WC 2026'!$AI$35:$AI$36,A21)&gt;0,13,0)</f>
        <v>0</v>
      </c>
      <c r="L21" s="107">
        <f>IF('FIFA WC 2026'!$AI$40=A21,16,0)</f>
        <v>0</v>
      </c>
      <c r="M21" s="108">
        <f t="shared" si="0"/>
        <v>1.5</v>
      </c>
      <c r="N21" s="109">
        <f t="shared" si="1"/>
        <v>1</v>
      </c>
      <c r="O21">
        <f>IF('FIFA WC 2026'!$AI$41=$A21,5,0)</f>
        <v>0</v>
      </c>
    </row>
    <row r="22" spans="1:15" ht="12.75" customHeight="1" x14ac:dyDescent="0.3">
      <c r="A22" s="105" t="s">
        <v>44</v>
      </c>
      <c r="B22" s="106" t="s">
        <v>42</v>
      </c>
      <c r="C22" s="107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7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7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7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7">
        <f>IF(COUNTIF('FIFA WC 2026'!$S$5:$S$66,A22)&gt;0,4,0)</f>
        <v>4</v>
      </c>
      <c r="H22" s="107">
        <f>IF(COUNTIF('FIFA WC 2026'!$W$7:$W$64,A22)&gt;0,6,0)</f>
        <v>0</v>
      </c>
      <c r="I22" s="107">
        <f>IF(COUNTIF('FIFA WC 2026'!$AA$11:$AA$60,A22)&gt;0,8,0)</f>
        <v>0</v>
      </c>
      <c r="J22" s="107">
        <f>IF(COUNTIF('FIFA WC 2026'!$AE$19:$AE$52,A22)&gt;0,10,0)</f>
        <v>0</v>
      </c>
      <c r="K22" s="107">
        <f>IF(COUNTIF('FIFA WC 2026'!$AI$35:$AI$36,A22)&gt;0,13,0)</f>
        <v>0</v>
      </c>
      <c r="L22" s="107">
        <f>IF('FIFA WC 2026'!$AI$40=A22,16,0)</f>
        <v>0</v>
      </c>
      <c r="M22" s="108">
        <f t="shared" si="0"/>
        <v>12.5</v>
      </c>
      <c r="N22" s="109">
        <f t="shared" si="1"/>
        <v>10</v>
      </c>
      <c r="O22">
        <f>IF('FIFA WC 2026'!$AI$41=$A22,5,0)</f>
        <v>0</v>
      </c>
    </row>
    <row r="23" spans="1:15" ht="12.75" customHeight="1" x14ac:dyDescent="0.3">
      <c r="A23" s="105" t="s">
        <v>45</v>
      </c>
      <c r="B23" s="106" t="s">
        <v>42</v>
      </c>
      <c r="C23" s="107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7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7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7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7">
        <f>IF(COUNTIF('FIFA WC 2026'!$S$5:$S$66,A23)&gt;0,4,0)</f>
        <v>4</v>
      </c>
      <c r="H23" s="107">
        <f>IF(COUNTIF('FIFA WC 2026'!$W$7:$W$64,A23)&gt;0,6,0)</f>
        <v>0</v>
      </c>
      <c r="I23" s="107">
        <f>IF(COUNTIF('FIFA WC 2026'!$AA$11:$AA$60,A23)&gt;0,8,0)</f>
        <v>0</v>
      </c>
      <c r="J23" s="107">
        <f>IF(COUNTIF('FIFA WC 2026'!$AE$19:$AE$52,A23)&gt;0,10,0)</f>
        <v>0</v>
      </c>
      <c r="K23" s="107">
        <f>IF(COUNTIF('FIFA WC 2026'!$AI$35:$AI$36,A23)&gt;0,13,0)</f>
        <v>0</v>
      </c>
      <c r="L23" s="107">
        <f>IF('FIFA WC 2026'!$AI$40=A23,16,0)</f>
        <v>0</v>
      </c>
      <c r="M23" s="108">
        <f t="shared" si="0"/>
        <v>9</v>
      </c>
      <c r="N23" s="109">
        <f t="shared" si="1"/>
        <v>8</v>
      </c>
      <c r="O23">
        <f>IF('FIFA WC 2026'!$AI$41=$A23,5,0)</f>
        <v>0</v>
      </c>
    </row>
    <row r="24" spans="1:15" ht="12.75" customHeight="1" x14ac:dyDescent="0.3">
      <c r="A24" s="26" t="s">
        <v>46</v>
      </c>
      <c r="B24" s="25" t="s">
        <v>48</v>
      </c>
      <c r="C24" s="27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7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7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7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7">
        <f>IF(COUNTIF('FIFA WC 2026'!$S$5:$S$66,A24)&gt;0,4,0)</f>
        <v>4</v>
      </c>
      <c r="H24" s="27">
        <f>IF(COUNTIF('FIFA WC 2026'!$W$7:$W$64,A24)&gt;0,6,0)</f>
        <v>0</v>
      </c>
      <c r="I24" s="27">
        <f>IF(COUNTIF('FIFA WC 2026'!$AA$11:$AA$60,A24)&gt;0,8,0)</f>
        <v>0</v>
      </c>
      <c r="J24" s="27">
        <f>IF(COUNTIF('FIFA WC 2026'!$AE$19:$AE$52,A24)&gt;0,10,0)</f>
        <v>0</v>
      </c>
      <c r="K24" s="27">
        <f>IF(COUNTIF('FIFA WC 2026'!$AI$35:$AI$36,A24)&gt;0,13,0)</f>
        <v>0</v>
      </c>
      <c r="L24" s="27">
        <f>IF('FIFA WC 2026'!$AI$40=A24,16,0)</f>
        <v>0</v>
      </c>
      <c r="M24" s="110">
        <f t="shared" si="0"/>
        <v>16.5</v>
      </c>
      <c r="N24" s="109">
        <f t="shared" si="1"/>
        <v>11</v>
      </c>
      <c r="O24">
        <f>IF('FIFA WC 2026'!$AI$41=$A24,5,0)</f>
        <v>0</v>
      </c>
    </row>
    <row r="25" spans="1:15" ht="12.75" customHeight="1" x14ac:dyDescent="0.3">
      <c r="A25" s="26" t="s">
        <v>47</v>
      </c>
      <c r="B25" s="25" t="s">
        <v>48</v>
      </c>
      <c r="C25" s="27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7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7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7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7">
        <f>IF(COUNTIF('FIFA WC 2026'!$S$5:$S$66,A25)&gt;0,4,0)</f>
        <v>4</v>
      </c>
      <c r="H25" s="27">
        <f>IF(COUNTIF('FIFA WC 2026'!$W$7:$W$64,A25)&gt;0,6,0)</f>
        <v>0</v>
      </c>
      <c r="I25" s="27">
        <f>IF(COUNTIF('FIFA WC 2026'!$AA$11:$AA$60,A25)&gt;0,8,0)</f>
        <v>0</v>
      </c>
      <c r="J25" s="27">
        <f>IF(COUNTIF('FIFA WC 2026'!$AE$19:$AE$52,A25)&gt;0,10,0)</f>
        <v>0</v>
      </c>
      <c r="K25" s="27">
        <f>IF(COUNTIF('FIFA WC 2026'!$AI$35:$AI$36,A25)&gt;0,13,0)</f>
        <v>0</v>
      </c>
      <c r="L25" s="27">
        <f>IF('FIFA WC 2026'!$AI$40=A25,16,0)</f>
        <v>0</v>
      </c>
      <c r="M25" s="110">
        <f t="shared" si="0"/>
        <v>13</v>
      </c>
      <c r="N25" s="109">
        <f t="shared" si="1"/>
        <v>9</v>
      </c>
      <c r="O25">
        <f>IF('FIFA WC 2026'!$AI$41=$A25,5,0)</f>
        <v>0</v>
      </c>
    </row>
    <row r="26" spans="1:15" ht="12.75" customHeight="1" x14ac:dyDescent="0.3">
      <c r="A26" s="26" t="s">
        <v>50</v>
      </c>
      <c r="B26" s="25" t="s">
        <v>48</v>
      </c>
      <c r="C26" s="27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7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7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7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7">
        <f>IF(COUNTIF('FIFA WC 2026'!$S$5:$S$66,A26)&gt;0,4,0)</f>
        <v>4</v>
      </c>
      <c r="H26" s="27">
        <f>IF(COUNTIF('FIFA WC 2026'!$W$7:$W$64,A26)&gt;0,6,0)</f>
        <v>0</v>
      </c>
      <c r="I26" s="27">
        <f>IF(COUNTIF('FIFA WC 2026'!$AA$11:$AA$60,A26)&gt;0,8,0)</f>
        <v>0</v>
      </c>
      <c r="J26" s="27">
        <f>IF(COUNTIF('FIFA WC 2026'!$AE$19:$AE$52,A26)&gt;0,10,0)</f>
        <v>0</v>
      </c>
      <c r="K26" s="27">
        <f>IF(COUNTIF('FIFA WC 2026'!$AI$35:$AI$36,A26)&gt;0,13,0)</f>
        <v>0</v>
      </c>
      <c r="L26" s="27">
        <f>IF('FIFA WC 2026'!$AI$40=A26,16,0)</f>
        <v>0</v>
      </c>
      <c r="M26" s="110">
        <f t="shared" si="0"/>
        <v>11.5</v>
      </c>
      <c r="N26" s="109">
        <f t="shared" si="1"/>
        <v>8</v>
      </c>
      <c r="O26">
        <f>IF('FIFA WC 2026'!$AI$41=$A26,5,0)</f>
        <v>0</v>
      </c>
    </row>
    <row r="27" spans="1:15" ht="12.75" customHeight="1" x14ac:dyDescent="0.3">
      <c r="A27" s="26" t="s">
        <v>51</v>
      </c>
      <c r="B27" s="25" t="s">
        <v>48</v>
      </c>
      <c r="C27" s="27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7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7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7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7">
        <f>IF(COUNTIF('FIFA WC 2026'!$S$5:$S$66,A27)&gt;0,4,0)</f>
        <v>0</v>
      </c>
      <c r="H27" s="27">
        <f>IF(COUNTIF('FIFA WC 2026'!$W$7:$W$64,A27)&gt;0,6,0)</f>
        <v>0</v>
      </c>
      <c r="I27" s="27">
        <f>IF(COUNTIF('FIFA WC 2026'!$AA$11:$AA$60,A27)&gt;0,8,0)</f>
        <v>0</v>
      </c>
      <c r="J27" s="27">
        <f>IF(COUNTIF('FIFA WC 2026'!$AE$19:$AE$52,A27)&gt;0,10,0)</f>
        <v>0</v>
      </c>
      <c r="K27" s="27">
        <f>IF(COUNTIF('FIFA WC 2026'!$AI$35:$AI$36,A27)&gt;0,13,0)</f>
        <v>0</v>
      </c>
      <c r="L27" s="27">
        <f>IF('FIFA WC 2026'!$AI$40=A27,16,0)</f>
        <v>0</v>
      </c>
      <c r="M27" s="110">
        <f t="shared" si="0"/>
        <v>1</v>
      </c>
      <c r="N27" s="109">
        <f t="shared" si="1"/>
        <v>0</v>
      </c>
      <c r="O27">
        <f>IF('FIFA WC 2026'!$AI$41=$A27,5,0)</f>
        <v>0</v>
      </c>
    </row>
    <row r="28" spans="1:15" ht="12.75" customHeight="1" x14ac:dyDescent="0.3">
      <c r="A28" s="105" t="s">
        <v>53</v>
      </c>
      <c r="B28" s="106" t="s">
        <v>55</v>
      </c>
      <c r="C28" s="107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7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7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7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4</v>
      </c>
      <c r="G28" s="107">
        <f>IF(COUNTIF('FIFA WC 2026'!$S$5:$S$66,A28)&gt;0,4,0)</f>
        <v>4</v>
      </c>
      <c r="H28" s="107">
        <f>IF(COUNTIF('FIFA WC 2026'!$W$7:$W$64,A28)&gt;0,6,0)</f>
        <v>6</v>
      </c>
      <c r="I28" s="107">
        <f>IF(COUNTIF('FIFA WC 2026'!$AA$11:$AA$60,A28)&gt;0,8,0)</f>
        <v>0</v>
      </c>
      <c r="J28" s="107">
        <f>IF(COUNTIF('FIFA WC 2026'!$AE$19:$AE$52,A28)&gt;0,10,0)</f>
        <v>0</v>
      </c>
      <c r="K28" s="107">
        <f>IF(COUNTIF('FIFA WC 2026'!$AI$35:$AI$36,A28)&gt;0,13,0)</f>
        <v>0</v>
      </c>
      <c r="L28" s="107">
        <f>IF('FIFA WC 2026'!$AI$40=A28,16,0)</f>
        <v>0</v>
      </c>
      <c r="M28" s="108">
        <f t="shared" si="0"/>
        <v>19</v>
      </c>
      <c r="N28" s="109">
        <f t="shared" si="1"/>
        <v>15</v>
      </c>
      <c r="O28">
        <f>IF('FIFA WC 2026'!$AI$41=$A28,5,0)</f>
        <v>0</v>
      </c>
    </row>
    <row r="29" spans="1:15" ht="12.75" customHeight="1" x14ac:dyDescent="0.3">
      <c r="A29" s="105" t="s">
        <v>54</v>
      </c>
      <c r="B29" s="106" t="s">
        <v>55</v>
      </c>
      <c r="C29" s="107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7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7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7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3</v>
      </c>
      <c r="G29" s="107">
        <f>IF(COUNTIF('FIFA WC 2026'!$S$5:$S$66,A29)&gt;0,4,0)</f>
        <v>4</v>
      </c>
      <c r="H29" s="107">
        <f>IF(COUNTIF('FIFA WC 2026'!$W$7:$W$64,A29)&gt;0,6,0)</f>
        <v>6</v>
      </c>
      <c r="I29" s="107">
        <f>IF(COUNTIF('FIFA WC 2026'!$AA$11:$AA$60,A29)&gt;0,8,0)</f>
        <v>0</v>
      </c>
      <c r="J29" s="107">
        <f>IF(COUNTIF('FIFA WC 2026'!$AE$19:$AE$52,A29)&gt;0,10,0)</f>
        <v>0</v>
      </c>
      <c r="K29" s="107">
        <f>IF(COUNTIF('FIFA WC 2026'!$AI$35:$AI$36,A29)&gt;0,13,0)</f>
        <v>0</v>
      </c>
      <c r="L29" s="107">
        <f>IF('FIFA WC 2026'!$AI$40=A29,16,0)</f>
        <v>0</v>
      </c>
      <c r="M29" s="108">
        <f t="shared" si="0"/>
        <v>18</v>
      </c>
      <c r="N29" s="109">
        <f t="shared" si="1"/>
        <v>15</v>
      </c>
      <c r="O29">
        <f>IF('FIFA WC 2026'!$AI$41=$A29,5,0)</f>
        <v>0</v>
      </c>
    </row>
    <row r="30" spans="1:15" ht="12.75" customHeight="1" x14ac:dyDescent="0.3">
      <c r="A30" s="105" t="s">
        <v>57</v>
      </c>
      <c r="B30" s="106" t="s">
        <v>55</v>
      </c>
      <c r="C30" s="107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7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7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7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7">
        <f>IF(COUNTIF('FIFA WC 2026'!$S$5:$S$66,A30)&gt;0,4,0)</f>
        <v>0</v>
      </c>
      <c r="H30" s="107">
        <f>IF(COUNTIF('FIFA WC 2026'!$W$7:$W$64,A30)&gt;0,6,0)</f>
        <v>0</v>
      </c>
      <c r="I30" s="107">
        <f>IF(COUNTIF('FIFA WC 2026'!$AA$11:$AA$60,A30)&gt;0,8,0)</f>
        <v>0</v>
      </c>
      <c r="J30" s="107">
        <f>IF(COUNTIF('FIFA WC 2026'!$AE$19:$AE$52,A30)&gt;0,10,0)</f>
        <v>0</v>
      </c>
      <c r="K30" s="107">
        <f>IF(COUNTIF('FIFA WC 2026'!$AI$35:$AI$36,A30)&gt;0,13,0)</f>
        <v>0</v>
      </c>
      <c r="L30" s="107">
        <f>IF('FIFA WC 2026'!$AI$40=A30,16,0)</f>
        <v>0</v>
      </c>
      <c r="M30" s="108">
        <f t="shared" si="0"/>
        <v>4.5</v>
      </c>
      <c r="N30" s="109">
        <f t="shared" si="1"/>
        <v>3</v>
      </c>
      <c r="O30">
        <f>IF('FIFA WC 2026'!$AI$41=$A30,5,0)</f>
        <v>0</v>
      </c>
    </row>
    <row r="31" spans="1:15" ht="12.75" customHeight="1" x14ac:dyDescent="0.3">
      <c r="A31" s="105" t="s">
        <v>58</v>
      </c>
      <c r="B31" s="106" t="s">
        <v>55</v>
      </c>
      <c r="C31" s="107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7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7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7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7">
        <f>IF(COUNTIF('FIFA WC 2026'!$S$5:$S$66,A31)&gt;0,4,0)</f>
        <v>0</v>
      </c>
      <c r="H31" s="107">
        <f>IF(COUNTIF('FIFA WC 2026'!$W$7:$W$64,A31)&gt;0,6,0)</f>
        <v>0</v>
      </c>
      <c r="I31" s="107">
        <f>IF(COUNTIF('FIFA WC 2026'!$AA$11:$AA$60,A31)&gt;0,8,0)</f>
        <v>0</v>
      </c>
      <c r="J31" s="107">
        <f>IF(COUNTIF('FIFA WC 2026'!$AE$19:$AE$52,A31)&gt;0,10,0)</f>
        <v>0</v>
      </c>
      <c r="K31" s="107">
        <f>IF(COUNTIF('FIFA WC 2026'!$AI$35:$AI$36,A31)&gt;0,13,0)</f>
        <v>0</v>
      </c>
      <c r="L31" s="107">
        <f>IF('FIFA WC 2026'!$AI$40=A31,16,0)</f>
        <v>0</v>
      </c>
      <c r="M31" s="108">
        <f t="shared" si="0"/>
        <v>3</v>
      </c>
      <c r="N31" s="109">
        <f t="shared" si="1"/>
        <v>1</v>
      </c>
      <c r="O31">
        <f>IF('FIFA WC 2026'!$AI$41=$A31,5,0)</f>
        <v>0</v>
      </c>
    </row>
    <row r="32" spans="1:15" ht="12.75" customHeight="1" x14ac:dyDescent="0.3">
      <c r="A32" s="26" t="s">
        <v>60</v>
      </c>
      <c r="B32" s="25" t="s">
        <v>62</v>
      </c>
      <c r="C32" s="27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7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7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7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</v>
      </c>
      <c r="G32" s="27">
        <f>IF(COUNTIF('FIFA WC 2026'!$S$5:$S$66,A32)&gt;0,4,0)</f>
        <v>4</v>
      </c>
      <c r="H32" s="27">
        <f>IF(COUNTIF('FIFA WC 2026'!$W$7:$W$64,A32)&gt;0,6,0)</f>
        <v>6</v>
      </c>
      <c r="I32" s="27">
        <f>IF(COUNTIF('FIFA WC 2026'!$AA$11:$AA$60,A32)&gt;0,8,0)</f>
        <v>0</v>
      </c>
      <c r="J32" s="27">
        <f>IF(COUNTIF('FIFA WC 2026'!$AE$19:$AE$52,A32)&gt;0,10,0)</f>
        <v>0</v>
      </c>
      <c r="K32" s="27">
        <f>IF(COUNTIF('FIFA WC 2026'!$AI$35:$AI$36,A32)&gt;0,13,0)</f>
        <v>0</v>
      </c>
      <c r="L32" s="27">
        <f>IF('FIFA WC 2026'!$AI$40=A32,16,0)</f>
        <v>0</v>
      </c>
      <c r="M32" s="110">
        <f t="shared" si="0"/>
        <v>21</v>
      </c>
      <c r="N32" s="109">
        <f t="shared" si="1"/>
        <v>17</v>
      </c>
      <c r="O32">
        <f>IF('FIFA WC 2026'!$AI$41=$A32,5,0)</f>
        <v>0</v>
      </c>
    </row>
    <row r="33" spans="1:15" ht="12.75" customHeight="1" x14ac:dyDescent="0.3">
      <c r="A33" s="26" t="s">
        <v>61</v>
      </c>
      <c r="B33" s="25" t="s">
        <v>62</v>
      </c>
      <c r="C33" s="27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7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7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7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7">
        <f>IF(COUNTIF('FIFA WC 2026'!$S$5:$S$66,A33)&gt;0,4,0)</f>
        <v>4</v>
      </c>
      <c r="H33" s="27">
        <f>IF(COUNTIF('FIFA WC 2026'!$W$7:$W$64,A33)&gt;0,6,0)</f>
        <v>0</v>
      </c>
      <c r="I33" s="27">
        <f>IF(COUNTIF('FIFA WC 2026'!$AA$11:$AA$60,A33)&gt;0,8,0)</f>
        <v>0</v>
      </c>
      <c r="J33" s="27">
        <f>IF(COUNTIF('FIFA WC 2026'!$AE$19:$AE$52,A33)&gt;0,10,0)</f>
        <v>0</v>
      </c>
      <c r="K33" s="27">
        <f>IF(COUNTIF('FIFA WC 2026'!$AI$35:$AI$36,A33)&gt;0,13,0)</f>
        <v>0</v>
      </c>
      <c r="L33" s="27">
        <f>IF('FIFA WC 2026'!$AI$40=A33,16,0)</f>
        <v>0</v>
      </c>
      <c r="M33" s="110">
        <f t="shared" si="0"/>
        <v>8.5</v>
      </c>
      <c r="N33" s="109">
        <f t="shared" si="1"/>
        <v>7</v>
      </c>
      <c r="O33">
        <f>IF('FIFA WC 2026'!$AI$41=$A33,5,0)</f>
        <v>0</v>
      </c>
    </row>
    <row r="34" spans="1:15" ht="12.75" customHeight="1" x14ac:dyDescent="0.3">
      <c r="A34" s="26" t="s">
        <v>64</v>
      </c>
      <c r="B34" s="25" t="s">
        <v>62</v>
      </c>
      <c r="C34" s="27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7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7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7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7">
        <f>IF(COUNTIF('FIFA WC 2026'!$S$5:$S$66,A34)&gt;0,4,0)</f>
        <v>0</v>
      </c>
      <c r="H34" s="27">
        <f>IF(COUNTIF('FIFA WC 2026'!$W$7:$W$64,A34)&gt;0,6,0)</f>
        <v>0</v>
      </c>
      <c r="I34" s="27">
        <f>IF(COUNTIF('FIFA WC 2026'!$AA$11:$AA$60,A34)&gt;0,8,0)</f>
        <v>0</v>
      </c>
      <c r="J34" s="27">
        <f>IF(COUNTIF('FIFA WC 2026'!$AE$19:$AE$52,A34)&gt;0,10,0)</f>
        <v>0</v>
      </c>
      <c r="K34" s="27">
        <f>IF(COUNTIF('FIFA WC 2026'!$AI$35:$AI$36,A34)&gt;0,13,0)</f>
        <v>0</v>
      </c>
      <c r="L34" s="27">
        <f>IF('FIFA WC 2026'!$AI$40=A34,16,0)</f>
        <v>0</v>
      </c>
      <c r="M34" s="110">
        <f t="shared" si="0"/>
        <v>2.5</v>
      </c>
      <c r="N34" s="109">
        <f t="shared" si="1"/>
        <v>2</v>
      </c>
      <c r="O34">
        <f>IF('FIFA WC 2026'!$AI$41=$A34,5,0)</f>
        <v>0</v>
      </c>
    </row>
    <row r="35" spans="1:15" ht="12.75" customHeight="1" x14ac:dyDescent="0.3">
      <c r="A35" s="26" t="s">
        <v>65</v>
      </c>
      <c r="B35" s="25" t="s">
        <v>62</v>
      </c>
      <c r="C35" s="27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7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7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7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7">
        <f>IF(COUNTIF('FIFA WC 2026'!$S$5:$S$66,A35)&gt;0,4,0)</f>
        <v>0</v>
      </c>
      <c r="H35" s="27">
        <f>IF(COUNTIF('FIFA WC 2026'!$W$7:$W$64,A35)&gt;0,6,0)</f>
        <v>0</v>
      </c>
      <c r="I35" s="27">
        <f>IF(COUNTIF('FIFA WC 2026'!$AA$11:$AA$60,A35)&gt;0,8,0)</f>
        <v>0</v>
      </c>
      <c r="J35" s="27">
        <f>IF(COUNTIF('FIFA WC 2026'!$AE$19:$AE$52,A35)&gt;0,10,0)</f>
        <v>0</v>
      </c>
      <c r="K35" s="27">
        <f>IF(COUNTIF('FIFA WC 2026'!$AI$35:$AI$36,A35)&gt;0,13,0)</f>
        <v>0</v>
      </c>
      <c r="L35" s="27">
        <f>IF('FIFA WC 2026'!$AI$40=A35,16,0)</f>
        <v>0</v>
      </c>
      <c r="M35" s="110">
        <f t="shared" si="0"/>
        <v>3.5</v>
      </c>
      <c r="N35" s="109">
        <f t="shared" si="1"/>
        <v>2</v>
      </c>
      <c r="O35">
        <f>IF('FIFA WC 2026'!$AI$41=$A35,5,0)</f>
        <v>0</v>
      </c>
    </row>
    <row r="36" spans="1:15" ht="12.75" customHeight="1" x14ac:dyDescent="0.3">
      <c r="A36" s="105" t="s">
        <v>66</v>
      </c>
      <c r="B36" s="106" t="s">
        <v>68</v>
      </c>
      <c r="C36" s="107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7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7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7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7">
        <f>IF(COUNTIF('FIFA WC 2026'!$S$5:$S$66,A36)&gt;0,4,0)</f>
        <v>4</v>
      </c>
      <c r="H36" s="107">
        <f>IF(COUNTIF('FIFA WC 2026'!$W$7:$W$64,A36)&gt;0,6,0)</f>
        <v>6</v>
      </c>
      <c r="I36" s="107">
        <f>IF(COUNTIF('FIFA WC 2026'!$AA$11:$AA$60,A36)&gt;0,8,0)</f>
        <v>8</v>
      </c>
      <c r="J36" s="107">
        <f>IF(COUNTIF('FIFA WC 2026'!$AE$19:$AE$52,A36)&gt;0,10,0)</f>
        <v>0</v>
      </c>
      <c r="K36" s="107">
        <f>IF(COUNTIF('FIFA WC 2026'!$AI$35:$AI$36,A36)&gt;0,13,0)</f>
        <v>0</v>
      </c>
      <c r="L36" s="107">
        <f>IF('FIFA WC 2026'!$AI$40=A36,16,0)</f>
        <v>0</v>
      </c>
      <c r="M36" s="108">
        <f t="shared" si="0"/>
        <v>34</v>
      </c>
      <c r="N36" s="109">
        <f t="shared" si="1"/>
        <v>27</v>
      </c>
      <c r="O36">
        <f>IF('FIFA WC 2026'!$AI$41=$A36,5,0)</f>
        <v>0</v>
      </c>
    </row>
    <row r="37" spans="1:15" ht="12.75" customHeight="1" x14ac:dyDescent="0.3">
      <c r="A37" s="105" t="s">
        <v>67</v>
      </c>
      <c r="B37" s="106" t="s">
        <v>68</v>
      </c>
      <c r="C37" s="107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7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7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7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7">
        <f>IF(COUNTIF('FIFA WC 2026'!$S$5:$S$66,A37)&gt;0,4,0)</f>
        <v>4</v>
      </c>
      <c r="H37" s="107">
        <f>IF(COUNTIF('FIFA WC 2026'!$W$7:$W$64,A37)&gt;0,6,0)</f>
        <v>0</v>
      </c>
      <c r="I37" s="107">
        <f>IF(COUNTIF('FIFA WC 2026'!$AA$11:$AA$60,A37)&gt;0,8,0)</f>
        <v>0</v>
      </c>
      <c r="J37" s="107">
        <f>IF(COUNTIF('FIFA WC 2026'!$AE$19:$AE$52,A37)&gt;0,10,0)</f>
        <v>0</v>
      </c>
      <c r="K37" s="107">
        <f>IF(COUNTIF('FIFA WC 2026'!$AI$35:$AI$36,A37)&gt;0,13,0)</f>
        <v>0</v>
      </c>
      <c r="L37" s="107">
        <f>IF('FIFA WC 2026'!$AI$40=A37,16,0)</f>
        <v>0</v>
      </c>
      <c r="M37" s="108">
        <f t="shared" si="0"/>
        <v>12</v>
      </c>
      <c r="N37" s="109">
        <f t="shared" si="1"/>
        <v>7</v>
      </c>
      <c r="O37">
        <f>IF('FIFA WC 2026'!$AI$41=$A37,5,0)</f>
        <v>0</v>
      </c>
    </row>
    <row r="38" spans="1:15" ht="12.75" customHeight="1" x14ac:dyDescent="0.3">
      <c r="A38" s="105" t="s">
        <v>70</v>
      </c>
      <c r="B38" s="106" t="s">
        <v>68</v>
      </c>
      <c r="C38" s="107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7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7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7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7">
        <f>IF(COUNTIF('FIFA WC 2026'!$S$5:$S$66,A38)&gt;0,4,0)</f>
        <v>0</v>
      </c>
      <c r="H38" s="107">
        <f>IF(COUNTIF('FIFA WC 2026'!$W$7:$W$64,A38)&gt;0,6,0)</f>
        <v>0</v>
      </c>
      <c r="I38" s="107">
        <f>IF(COUNTIF('FIFA WC 2026'!$AA$11:$AA$60,A38)&gt;0,8,0)</f>
        <v>0</v>
      </c>
      <c r="J38" s="107">
        <f>IF(COUNTIF('FIFA WC 2026'!$AE$19:$AE$52,A38)&gt;0,10,0)</f>
        <v>0</v>
      </c>
      <c r="K38" s="107">
        <f>IF(COUNTIF('FIFA WC 2026'!$AI$35:$AI$36,A38)&gt;0,13,0)</f>
        <v>0</v>
      </c>
      <c r="L38" s="107">
        <f>IF('FIFA WC 2026'!$AI$40=A38,16,0)</f>
        <v>0</v>
      </c>
      <c r="M38" s="108">
        <f t="shared" si="0"/>
        <v>0.5</v>
      </c>
      <c r="N38" s="109">
        <f t="shared" si="1"/>
        <v>0</v>
      </c>
      <c r="O38">
        <f>IF('FIFA WC 2026'!$AI$41=$A38,5,0)</f>
        <v>0</v>
      </c>
    </row>
    <row r="39" spans="1:15" ht="12.75" customHeight="1" x14ac:dyDescent="0.3">
      <c r="A39" s="105" t="s">
        <v>71</v>
      </c>
      <c r="B39" s="106" t="s">
        <v>68</v>
      </c>
      <c r="C39" s="107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7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7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7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5</v>
      </c>
      <c r="G39" s="107">
        <f>IF(COUNTIF('FIFA WC 2026'!$S$5:$S$66,A39)&gt;0,4,0)</f>
        <v>4</v>
      </c>
      <c r="H39" s="107">
        <f>IF(COUNTIF('FIFA WC 2026'!$W$7:$W$64,A39)&gt;0,6,0)</f>
        <v>6</v>
      </c>
      <c r="I39" s="107">
        <f>IF(COUNTIF('FIFA WC 2026'!$AA$11:$AA$60,A39)&gt;0,8,0)</f>
        <v>0</v>
      </c>
      <c r="J39" s="107">
        <f>IF(COUNTIF('FIFA WC 2026'!$AE$19:$AE$52,A39)&gt;0,10,0)</f>
        <v>0</v>
      </c>
      <c r="K39" s="107">
        <f>IF(COUNTIF('FIFA WC 2026'!$AI$35:$AI$36,A39)&gt;0,13,0)</f>
        <v>0</v>
      </c>
      <c r="L39" s="107">
        <f>IF('FIFA WC 2026'!$AI$40=A39,16,0)</f>
        <v>0</v>
      </c>
      <c r="M39" s="108">
        <f t="shared" si="0"/>
        <v>21</v>
      </c>
      <c r="N39" s="109">
        <f t="shared" si="1"/>
        <v>16</v>
      </c>
      <c r="O39">
        <f>IF('FIFA WC 2026'!$AI$41=$A39,5,0)</f>
        <v>0</v>
      </c>
    </row>
    <row r="40" spans="1:15" ht="12.75" customHeight="1" x14ac:dyDescent="0.3">
      <c r="A40" s="26" t="s">
        <v>72</v>
      </c>
      <c r="B40" s="25" t="s">
        <v>74</v>
      </c>
      <c r="C40" s="27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7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7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7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4.5</v>
      </c>
      <c r="G40" s="27">
        <f>IF(COUNTIF('FIFA WC 2026'!$S$5:$S$66,A40)&gt;0,4,0)</f>
        <v>4</v>
      </c>
      <c r="H40" s="27">
        <f>IF(COUNTIF('FIFA WC 2026'!$W$7:$W$64,A40)&gt;0,6,0)</f>
        <v>6</v>
      </c>
      <c r="I40" s="27">
        <f>IF(COUNTIF('FIFA WC 2026'!$AA$11:$AA$60,A40)&gt;0,8,0)</f>
        <v>0</v>
      </c>
      <c r="J40" s="27">
        <f>IF(COUNTIF('FIFA WC 2026'!$AE$19:$AE$52,A40)&gt;0,10,0)</f>
        <v>0</v>
      </c>
      <c r="K40" s="27">
        <f>IF(COUNTIF('FIFA WC 2026'!$AI$35:$AI$36,A40)&gt;0,13,0)</f>
        <v>0</v>
      </c>
      <c r="L40" s="27">
        <f>IF('FIFA WC 2026'!$AI$40=A40,16,0)</f>
        <v>0</v>
      </c>
      <c r="M40" s="110">
        <f t="shared" si="0"/>
        <v>23.5</v>
      </c>
      <c r="N40" s="109">
        <f t="shared" si="1"/>
        <v>19</v>
      </c>
      <c r="O40">
        <f>IF('FIFA WC 2026'!$AI$41=$A40,5,0)</f>
        <v>0</v>
      </c>
    </row>
    <row r="41" spans="1:15" ht="12.75" customHeight="1" x14ac:dyDescent="0.3">
      <c r="A41" s="26" t="s">
        <v>73</v>
      </c>
      <c r="B41" s="25" t="s">
        <v>74</v>
      </c>
      <c r="C41" s="27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7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7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7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7">
        <f>IF(COUNTIF('FIFA WC 2026'!$S$5:$S$66,A41)&gt;0,4,0)</f>
        <v>4</v>
      </c>
      <c r="H41" s="27">
        <f>IF(COUNTIF('FIFA WC 2026'!$W$7:$W$64,A41)&gt;0,6,0)</f>
        <v>0</v>
      </c>
      <c r="I41" s="27">
        <f>IF(COUNTIF('FIFA WC 2026'!$AA$11:$AA$60,A41)&gt;0,8,0)</f>
        <v>0</v>
      </c>
      <c r="J41" s="27">
        <f>IF(COUNTIF('FIFA WC 2026'!$AE$19:$AE$52,A41)&gt;0,10,0)</f>
        <v>0</v>
      </c>
      <c r="K41" s="27">
        <f>IF(COUNTIF('FIFA WC 2026'!$AI$35:$AI$36,A41)&gt;0,13,0)</f>
        <v>0</v>
      </c>
      <c r="L41" s="27">
        <f>IF('FIFA WC 2026'!$AI$40=A41,16,0)</f>
        <v>0</v>
      </c>
      <c r="M41" s="110">
        <f t="shared" si="0"/>
        <v>10.5</v>
      </c>
      <c r="N41" s="109">
        <f t="shared" si="1"/>
        <v>8</v>
      </c>
      <c r="O41">
        <f>IF('FIFA WC 2026'!$AI$41=$A41,5,0)</f>
        <v>0</v>
      </c>
    </row>
    <row r="42" spans="1:15" ht="12.75" customHeight="1" x14ac:dyDescent="0.3">
      <c r="A42" s="26" t="s">
        <v>76</v>
      </c>
      <c r="B42" s="25" t="s">
        <v>74</v>
      </c>
      <c r="C42" s="27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7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7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7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7">
        <f>IF(COUNTIF('FIFA WC 2026'!$S$5:$S$66,A42)&gt;0,4,0)</f>
        <v>4</v>
      </c>
      <c r="H42" s="27">
        <f>IF(COUNTIF('FIFA WC 2026'!$W$7:$W$64,A42)&gt;0,6,0)</f>
        <v>0</v>
      </c>
      <c r="I42" s="27">
        <f>IF(COUNTIF('FIFA WC 2026'!$AA$11:$AA$60,A42)&gt;0,8,0)</f>
        <v>0</v>
      </c>
      <c r="J42" s="27">
        <f>IF(COUNTIF('FIFA WC 2026'!$AE$19:$AE$52,A42)&gt;0,10,0)</f>
        <v>0</v>
      </c>
      <c r="K42" s="27">
        <f>IF(COUNTIF('FIFA WC 2026'!$AI$35:$AI$36,A42)&gt;0,13,0)</f>
        <v>0</v>
      </c>
      <c r="L42" s="27">
        <f>IF('FIFA WC 2026'!$AI$40=A42,16,0)</f>
        <v>0</v>
      </c>
      <c r="M42" s="110">
        <f t="shared" si="0"/>
        <v>11</v>
      </c>
      <c r="N42" s="109">
        <f t="shared" si="1"/>
        <v>8</v>
      </c>
      <c r="O42">
        <f>IF('FIFA WC 2026'!$AI$41=$A42,5,0)</f>
        <v>0</v>
      </c>
    </row>
    <row r="43" spans="1:15" ht="12.75" customHeight="1" x14ac:dyDescent="0.3">
      <c r="A43" s="26" t="s">
        <v>77</v>
      </c>
      <c r="B43" s="25" t="s">
        <v>74</v>
      </c>
      <c r="C43" s="27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7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7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7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7">
        <f>IF(COUNTIF('FIFA WC 2026'!$S$5:$S$66,A43)&gt;0,4,0)</f>
        <v>0</v>
      </c>
      <c r="H43" s="27">
        <f>IF(COUNTIF('FIFA WC 2026'!$W$7:$W$64,A43)&gt;0,6,0)</f>
        <v>0</v>
      </c>
      <c r="I43" s="27">
        <f>IF(COUNTIF('FIFA WC 2026'!$AA$11:$AA$60,A43)&gt;0,8,0)</f>
        <v>0</v>
      </c>
      <c r="J43" s="27">
        <f>IF(COUNTIF('FIFA WC 2026'!$AE$19:$AE$52,A43)&gt;0,10,0)</f>
        <v>0</v>
      </c>
      <c r="K43" s="27">
        <f>IF(COUNTIF('FIFA WC 2026'!$AI$35:$AI$36,A43)&gt;0,13,0)</f>
        <v>0</v>
      </c>
      <c r="L43" s="27">
        <f>IF('FIFA WC 2026'!$AI$40=A43,16,0)</f>
        <v>0</v>
      </c>
      <c r="M43" s="110">
        <f t="shared" si="0"/>
        <v>1.5</v>
      </c>
      <c r="N43" s="109">
        <f t="shared" si="1"/>
        <v>0</v>
      </c>
      <c r="O43">
        <f>IF('FIFA WC 2026'!$AI$41=$A43,5,0)</f>
        <v>0</v>
      </c>
    </row>
    <row r="44" spans="1:15" ht="12.75" customHeight="1" x14ac:dyDescent="0.3">
      <c r="A44" s="105" t="s">
        <v>78</v>
      </c>
      <c r="B44" s="106" t="s">
        <v>80</v>
      </c>
      <c r="C44" s="107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7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7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7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7">
        <f>IF(COUNTIF('FIFA WC 2026'!$S$5:$S$66,A44)&gt;0,4,0)</f>
        <v>4</v>
      </c>
      <c r="H44" s="107">
        <f>IF(COUNTIF('FIFA WC 2026'!$W$7:$W$64,A44)&gt;0,6,0)</f>
        <v>6</v>
      </c>
      <c r="I44" s="107">
        <f>IF(COUNTIF('FIFA WC 2026'!$AA$11:$AA$60,A44)&gt;0,8,0)</f>
        <v>0</v>
      </c>
      <c r="J44" s="107">
        <f>IF(COUNTIF('FIFA WC 2026'!$AE$19:$AE$52,A44)&gt;0,10,0)</f>
        <v>0</v>
      </c>
      <c r="K44" s="107">
        <f>IF(COUNTIF('FIFA WC 2026'!$AI$35:$AI$36,A44)&gt;0,13,0)</f>
        <v>0</v>
      </c>
      <c r="L44" s="107">
        <f>IF('FIFA WC 2026'!$AI$40=A44,16,0)</f>
        <v>0</v>
      </c>
      <c r="M44" s="108">
        <f t="shared" si="0"/>
        <v>19</v>
      </c>
      <c r="N44" s="109">
        <f t="shared" si="1"/>
        <v>15</v>
      </c>
      <c r="O44">
        <f>IF('FIFA WC 2026'!$AI$41=$A44,5,0)</f>
        <v>0</v>
      </c>
    </row>
    <row r="45" spans="1:15" ht="12.75" customHeight="1" x14ac:dyDescent="0.3">
      <c r="A45" s="105" t="s">
        <v>79</v>
      </c>
      <c r="B45" s="106" t="s">
        <v>80</v>
      </c>
      <c r="C45" s="107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7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7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7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7">
        <f>IF(COUNTIF('FIFA WC 2026'!$S$5:$S$66,A45)&gt;0,4,0)</f>
        <v>4</v>
      </c>
      <c r="H45" s="107">
        <f>IF(COUNTIF('FIFA WC 2026'!$W$7:$W$64,A45)&gt;0,6,0)</f>
        <v>0</v>
      </c>
      <c r="I45" s="107">
        <f>IF(COUNTIF('FIFA WC 2026'!$AA$11:$AA$60,A45)&gt;0,8,0)</f>
        <v>0</v>
      </c>
      <c r="J45" s="107">
        <f>IF(COUNTIF('FIFA WC 2026'!$AE$19:$AE$52,A45)&gt;0,10,0)</f>
        <v>0</v>
      </c>
      <c r="K45" s="107">
        <f>IF(COUNTIF('FIFA WC 2026'!$AI$35:$AI$36,A45)&gt;0,13,0)</f>
        <v>0</v>
      </c>
      <c r="L45" s="107">
        <f>IF('FIFA WC 2026'!$AI$40=A45,16,0)</f>
        <v>0</v>
      </c>
      <c r="M45" s="108">
        <f t="shared" si="0"/>
        <v>10.5</v>
      </c>
      <c r="N45" s="109">
        <f t="shared" si="1"/>
        <v>8</v>
      </c>
      <c r="O45">
        <f>IF('FIFA WC 2026'!$AI$41=$A45,5,0)</f>
        <v>0</v>
      </c>
    </row>
    <row r="46" spans="1:15" ht="12.75" customHeight="1" x14ac:dyDescent="0.3">
      <c r="A46" s="105" t="s">
        <v>82</v>
      </c>
      <c r="B46" s="106" t="s">
        <v>80</v>
      </c>
      <c r="C46" s="107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7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7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7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7">
        <f>IF(COUNTIF('FIFA WC 2026'!$S$5:$S$66,A46)&gt;0,4,0)</f>
        <v>0</v>
      </c>
      <c r="H46" s="107">
        <f>IF(COUNTIF('FIFA WC 2026'!$W$7:$W$64,A46)&gt;0,6,0)</f>
        <v>0</v>
      </c>
      <c r="I46" s="107">
        <f>IF(COUNTIF('FIFA WC 2026'!$AA$11:$AA$60,A46)&gt;0,8,0)</f>
        <v>0</v>
      </c>
      <c r="J46" s="107">
        <f>IF(COUNTIF('FIFA WC 2026'!$AE$19:$AE$52,A46)&gt;0,10,0)</f>
        <v>0</v>
      </c>
      <c r="K46" s="107">
        <f>IF(COUNTIF('FIFA WC 2026'!$AI$35:$AI$36,A46)&gt;0,13,0)</f>
        <v>0</v>
      </c>
      <c r="L46" s="107">
        <f>IF('FIFA WC 2026'!$AI$40=A46,16,0)</f>
        <v>0</v>
      </c>
      <c r="M46" s="108">
        <f t="shared" si="0"/>
        <v>1</v>
      </c>
      <c r="N46" s="109">
        <f t="shared" si="1"/>
        <v>0</v>
      </c>
      <c r="O46">
        <f>IF('FIFA WC 2026'!$AI$41=$A46,5,0)</f>
        <v>0</v>
      </c>
    </row>
    <row r="47" spans="1:15" ht="12.75" customHeight="1" x14ac:dyDescent="0.3">
      <c r="A47" s="105" t="s">
        <v>83</v>
      </c>
      <c r="B47" s="106" t="s">
        <v>80</v>
      </c>
      <c r="C47" s="107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7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7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7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7">
        <f>IF(COUNTIF('FIFA WC 2026'!$S$5:$S$66,A47)&gt;0,4,0)</f>
        <v>4</v>
      </c>
      <c r="H47" s="107">
        <f>IF(COUNTIF('FIFA WC 2026'!$W$7:$W$64,A47)&gt;0,6,0)</f>
        <v>6</v>
      </c>
      <c r="I47" s="107">
        <f>IF(COUNTIF('FIFA WC 2026'!$AA$11:$AA$60,A47)&gt;0,8,0)</f>
        <v>0</v>
      </c>
      <c r="J47" s="107">
        <f>IF(COUNTIF('FIFA WC 2026'!$AE$19:$AE$52,A47)&gt;0,10,0)</f>
        <v>0</v>
      </c>
      <c r="K47" s="107">
        <f>IF(COUNTIF('FIFA WC 2026'!$AI$35:$AI$36,A47)&gt;0,13,0)</f>
        <v>0</v>
      </c>
      <c r="L47" s="107">
        <f>IF('FIFA WC 2026'!$AI$40=A47,16,0)</f>
        <v>0</v>
      </c>
      <c r="M47" s="108">
        <f t="shared" si="0"/>
        <v>19.5</v>
      </c>
      <c r="N47" s="109">
        <f t="shared" si="1"/>
        <v>17</v>
      </c>
      <c r="O47">
        <f>IF('FIFA WC 2026'!$AI$41=$A47,5,0)</f>
        <v>0</v>
      </c>
    </row>
    <row r="48" spans="1:15" ht="12.75" customHeight="1" x14ac:dyDescent="0.3">
      <c r="A48" s="26" t="s">
        <v>84</v>
      </c>
      <c r="B48" s="25" t="s">
        <v>20</v>
      </c>
      <c r="C48" s="27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7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7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7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4</v>
      </c>
      <c r="G48" s="27">
        <f>IF(COUNTIF('FIFA WC 2026'!$S$5:$S$66,A48)&gt;0,4,0)</f>
        <v>4</v>
      </c>
      <c r="H48" s="27">
        <f>IF(COUNTIF('FIFA WC 2026'!$W$7:$W$64,A48)&gt;0,6,0)</f>
        <v>6</v>
      </c>
      <c r="I48" s="27">
        <f>IF(COUNTIF('FIFA WC 2026'!$AA$11:$AA$60,A48)&gt;0,8,0)</f>
        <v>0</v>
      </c>
      <c r="J48" s="27">
        <f>IF(COUNTIF('FIFA WC 2026'!$AE$19:$AE$52,A48)&gt;0,10,0)</f>
        <v>0</v>
      </c>
      <c r="K48" s="27">
        <f>IF(COUNTIF('FIFA WC 2026'!$AI$35:$AI$36,A48)&gt;0,13,0)</f>
        <v>0</v>
      </c>
      <c r="L48" s="27">
        <f>IF('FIFA WC 2026'!$AI$40=A48,16,0)</f>
        <v>0</v>
      </c>
      <c r="M48" s="110">
        <f t="shared" si="0"/>
        <v>21</v>
      </c>
      <c r="N48" s="109">
        <f t="shared" si="1"/>
        <v>17</v>
      </c>
      <c r="O48">
        <f>IF('FIFA WC 2026'!$AI$41=$A48,5,0)</f>
        <v>0</v>
      </c>
    </row>
    <row r="49" spans="1:15" ht="12.75" customHeight="1" x14ac:dyDescent="0.3">
      <c r="A49" s="26" t="s">
        <v>85</v>
      </c>
      <c r="B49" s="25" t="s">
        <v>20</v>
      </c>
      <c r="C49" s="27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7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7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7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7">
        <f>IF(COUNTIF('FIFA WC 2026'!$S$5:$S$66,A49)&gt;0,4,0)</f>
        <v>4</v>
      </c>
      <c r="H49" s="27">
        <f>IF(COUNTIF('FIFA WC 2026'!$W$7:$W$64,A49)&gt;0,6,0)</f>
        <v>0</v>
      </c>
      <c r="I49" s="27">
        <f>IF(COUNTIF('FIFA WC 2026'!$AA$11:$AA$60,A49)&gt;0,8,0)</f>
        <v>0</v>
      </c>
      <c r="J49" s="27">
        <f>IF(COUNTIF('FIFA WC 2026'!$AE$19:$AE$52,A49)&gt;0,10,0)</f>
        <v>0</v>
      </c>
      <c r="K49" s="27">
        <f>IF(COUNTIF('FIFA WC 2026'!$AI$35:$AI$36,A49)&gt;0,13,0)</f>
        <v>0</v>
      </c>
      <c r="L49" s="27">
        <f>IF('FIFA WC 2026'!$AI$40=A49,16,0)</f>
        <v>0</v>
      </c>
      <c r="M49" s="110">
        <f t="shared" si="0"/>
        <v>13</v>
      </c>
      <c r="N49" s="109">
        <f t="shared" si="1"/>
        <v>10</v>
      </c>
      <c r="O49">
        <f>IF('FIFA WC 2026'!$AI$41=$A49,5,0)</f>
        <v>0</v>
      </c>
    </row>
    <row r="50" spans="1:15" ht="12.75" customHeight="1" x14ac:dyDescent="0.3">
      <c r="A50" s="26" t="s">
        <v>87</v>
      </c>
      <c r="B50" s="25" t="s">
        <v>20</v>
      </c>
      <c r="C50" s="27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7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7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7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7">
        <f>IF(COUNTIF('FIFA WC 2026'!$S$5:$S$66,A50)&gt;0,4,0)</f>
        <v>4</v>
      </c>
      <c r="H50" s="27">
        <f>IF(COUNTIF('FIFA WC 2026'!$W$7:$W$64,A50)&gt;0,6,0)</f>
        <v>0</v>
      </c>
      <c r="I50" s="27">
        <f>IF(COUNTIF('FIFA WC 2026'!$AA$11:$AA$60,A50)&gt;0,8,0)</f>
        <v>0</v>
      </c>
      <c r="J50" s="27">
        <f>IF(COUNTIF('FIFA WC 2026'!$AE$19:$AE$52,A50)&gt;0,10,0)</f>
        <v>0</v>
      </c>
      <c r="K50" s="27">
        <f>IF(COUNTIF('FIFA WC 2026'!$AI$35:$AI$36,A50)&gt;0,13,0)</f>
        <v>0</v>
      </c>
      <c r="L50" s="27">
        <f>IF('FIFA WC 2026'!$AI$40=A50,16,0)</f>
        <v>0</v>
      </c>
      <c r="M50" s="110">
        <f t="shared" si="0"/>
        <v>9</v>
      </c>
      <c r="N50" s="109">
        <f t="shared" si="1"/>
        <v>8</v>
      </c>
      <c r="O50">
        <f>IF('FIFA WC 2026'!$AI$41=$A50,5,0)</f>
        <v>0</v>
      </c>
    </row>
    <row r="51" spans="1:15" ht="12.75" customHeight="1" x14ac:dyDescent="0.3">
      <c r="A51" s="26" t="s">
        <v>88</v>
      </c>
      <c r="B51" s="25" t="s">
        <v>20</v>
      </c>
      <c r="C51" s="27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7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7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7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7">
        <f>IF(COUNTIF('FIFA WC 2026'!$S$5:$S$66,A51)&gt;0,4,0)</f>
        <v>0</v>
      </c>
      <c r="H51" s="27">
        <f>IF(COUNTIF('FIFA WC 2026'!$W$7:$W$64,A51)&gt;0,6,0)</f>
        <v>0</v>
      </c>
      <c r="I51" s="27">
        <f>IF(COUNTIF('FIFA WC 2026'!$AA$11:$AA$60,A51)&gt;0,8,0)</f>
        <v>0</v>
      </c>
      <c r="J51" s="27">
        <f>IF(COUNTIF('FIFA WC 2026'!$AE$19:$AE$52,A51)&gt;0,10,0)</f>
        <v>0</v>
      </c>
      <c r="K51" s="27">
        <f>IF(COUNTIF('FIFA WC 2026'!$AI$35:$AI$36,A51)&gt;0,13,0)</f>
        <v>0</v>
      </c>
      <c r="L51" s="27">
        <f>IF('FIFA WC 2026'!$AI$40=A51,16,0)</f>
        <v>0</v>
      </c>
      <c r="M51" s="110">
        <f t="shared" si="0"/>
        <v>0</v>
      </c>
      <c r="N51" s="109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1" customWidth="1"/>
    <col min="2" max="2" width="18.3984375" style="111" customWidth="1"/>
    <col min="3" max="3" width="18.59765625" style="112" customWidth="1"/>
    <col min="4" max="4" width="2.59765625" style="111" customWidth="1"/>
    <col min="5" max="5" width="16.3984375" style="111" customWidth="1"/>
    <col min="6" max="6" width="2.59765625" style="111" customWidth="1"/>
    <col min="7" max="7" width="11.59765625" style="111" customWidth="1"/>
    <col min="8" max="8" width="10.59765625" style="111" customWidth="1"/>
    <col min="9" max="9" width="18.3984375" style="111" customWidth="1"/>
    <col min="10" max="16384" width="9.19921875" style="111"/>
  </cols>
  <sheetData>
    <row r="2" spans="2:9" ht="16.5" customHeight="1" x14ac:dyDescent="0.3">
      <c r="B2" s="113" t="s">
        <v>414</v>
      </c>
      <c r="C2" s="114"/>
      <c r="D2" s="115"/>
    </row>
    <row r="3" spans="2:9" ht="12.75" customHeight="1" x14ac:dyDescent="0.3">
      <c r="B3" s="116" t="s">
        <v>415</v>
      </c>
      <c r="C3" s="117" t="s">
        <v>416</v>
      </c>
      <c r="D3" s="118"/>
    </row>
    <row r="4" spans="2:9" ht="12.75" customHeight="1" x14ac:dyDescent="0.3">
      <c r="B4" s="116" t="s">
        <v>417</v>
      </c>
      <c r="C4" s="119">
        <v>2</v>
      </c>
      <c r="D4" s="118"/>
    </row>
    <row r="5" spans="2:9" ht="12.75" customHeight="1" x14ac:dyDescent="0.3">
      <c r="B5" s="120"/>
      <c r="C5" s="121"/>
      <c r="D5" s="122"/>
    </row>
    <row r="6" spans="2:9" ht="12.75" customHeight="1" x14ac:dyDescent="0.3">
      <c r="B6" s="123"/>
      <c r="C6" s="123"/>
      <c r="D6" s="123"/>
    </row>
    <row r="7" spans="2:9" ht="12.75" customHeight="1" x14ac:dyDescent="0.3">
      <c r="B7" s="124"/>
      <c r="C7" s="125"/>
      <c r="D7" s="126"/>
      <c r="E7" s="127" t="s">
        <v>418</v>
      </c>
      <c r="F7" s="128"/>
    </row>
    <row r="8" spans="2:9" ht="15.75" customHeight="1" x14ac:dyDescent="0.3">
      <c r="B8" s="129" t="s">
        <v>419</v>
      </c>
      <c r="C8" s="130" t="s">
        <v>420</v>
      </c>
      <c r="D8" s="118"/>
      <c r="F8" s="128"/>
      <c r="G8" s="131" t="s">
        <v>421</v>
      </c>
      <c r="H8" s="131" t="s">
        <v>422</v>
      </c>
      <c r="I8" s="131" t="s">
        <v>423</v>
      </c>
    </row>
    <row r="9" spans="2:9" ht="12.75" customHeight="1" x14ac:dyDescent="0.3">
      <c r="B9" s="116" t="s">
        <v>66</v>
      </c>
      <c r="C9" s="132">
        <v>1</v>
      </c>
      <c r="D9" s="118"/>
      <c r="E9" s="133">
        <v>85</v>
      </c>
      <c r="F9" s="128"/>
      <c r="G9" s="111" t="s">
        <v>83</v>
      </c>
      <c r="H9" s="111" t="s">
        <v>38</v>
      </c>
      <c r="I9" s="111" t="s">
        <v>79</v>
      </c>
    </row>
    <row r="10" spans="2:9" ht="12.75" customHeight="1" x14ac:dyDescent="0.3">
      <c r="B10" s="116" t="s">
        <v>60</v>
      </c>
      <c r="C10" s="134">
        <v>2</v>
      </c>
      <c r="D10" s="118"/>
      <c r="E10" s="133">
        <v>84</v>
      </c>
      <c r="F10" s="128"/>
      <c r="G10" s="111" t="s">
        <v>67</v>
      </c>
      <c r="H10" s="111" t="s">
        <v>73</v>
      </c>
      <c r="I10" s="111" t="s">
        <v>82</v>
      </c>
    </row>
    <row r="11" spans="2:9" ht="12.75" customHeight="1" x14ac:dyDescent="0.3">
      <c r="B11" s="116" t="s">
        <v>72</v>
      </c>
      <c r="C11" s="134">
        <v>3</v>
      </c>
      <c r="D11" s="118"/>
      <c r="E11" s="133">
        <v>82</v>
      </c>
      <c r="F11" s="128"/>
      <c r="G11" s="111" t="s">
        <v>11</v>
      </c>
      <c r="H11" s="111" t="s">
        <v>54</v>
      </c>
      <c r="I11" s="111" t="s">
        <v>27</v>
      </c>
    </row>
    <row r="12" spans="2:9" ht="12.75" customHeight="1" x14ac:dyDescent="0.3">
      <c r="B12" s="116" t="s">
        <v>84</v>
      </c>
      <c r="C12" s="134">
        <v>4</v>
      </c>
      <c r="D12" s="118"/>
      <c r="E12" s="133">
        <v>75</v>
      </c>
      <c r="F12" s="128"/>
      <c r="G12" s="111" t="s">
        <v>35</v>
      </c>
      <c r="H12" s="111" t="s">
        <v>23</v>
      </c>
      <c r="I12" s="111" t="s">
        <v>70</v>
      </c>
    </row>
    <row r="13" spans="2:9" ht="12.75" customHeight="1" x14ac:dyDescent="0.3">
      <c r="B13" s="116" t="s">
        <v>78</v>
      </c>
      <c r="C13" s="134">
        <v>5</v>
      </c>
      <c r="D13" s="118"/>
      <c r="E13" s="133">
        <v>72</v>
      </c>
      <c r="F13" s="128"/>
      <c r="G13" s="111" t="s">
        <v>65</v>
      </c>
      <c r="H13" s="111" t="s">
        <v>71</v>
      </c>
      <c r="I13" s="111" t="s">
        <v>12</v>
      </c>
    </row>
    <row r="14" spans="2:9" ht="12.75" customHeight="1" x14ac:dyDescent="0.3">
      <c r="B14" s="116" t="s">
        <v>29</v>
      </c>
      <c r="C14" s="134">
        <v>6</v>
      </c>
      <c r="D14" s="118"/>
      <c r="E14" s="133">
        <v>68</v>
      </c>
      <c r="F14" s="128"/>
      <c r="G14" s="111" t="s">
        <v>47</v>
      </c>
      <c r="H14" s="111" t="s">
        <v>88</v>
      </c>
      <c r="I14" s="111" t="s">
        <v>64</v>
      </c>
    </row>
    <row r="15" spans="2:9" ht="12.75" customHeight="1" x14ac:dyDescent="0.3">
      <c r="B15" s="116" t="s">
        <v>46</v>
      </c>
      <c r="C15" s="134">
        <v>7</v>
      </c>
      <c r="D15" s="118"/>
      <c r="E15" s="133">
        <v>66</v>
      </c>
      <c r="F15" s="128"/>
      <c r="G15" s="111" t="s">
        <v>28</v>
      </c>
      <c r="H15" s="111" t="s">
        <v>44</v>
      </c>
      <c r="I15" s="111" t="s">
        <v>77</v>
      </c>
    </row>
    <row r="16" spans="2:9" ht="12.75" customHeight="1" x14ac:dyDescent="0.3">
      <c r="B16" s="116" t="s">
        <v>30</v>
      </c>
      <c r="C16" s="134">
        <v>8</v>
      </c>
      <c r="D16" s="118"/>
      <c r="E16" s="133">
        <v>60</v>
      </c>
      <c r="F16" s="128"/>
      <c r="G16" s="111" t="s">
        <v>57</v>
      </c>
      <c r="H16" s="111" t="s">
        <v>50</v>
      </c>
      <c r="I16" s="111" t="s">
        <v>24</v>
      </c>
    </row>
    <row r="17" spans="2:9" ht="12.75" customHeight="1" x14ac:dyDescent="0.3">
      <c r="B17" s="116" t="s">
        <v>53</v>
      </c>
      <c r="C17" s="134">
        <v>9</v>
      </c>
      <c r="D17" s="118"/>
      <c r="E17" s="127" t="s">
        <v>424</v>
      </c>
      <c r="F17" s="128"/>
      <c r="G17" s="111" t="s">
        <v>39</v>
      </c>
      <c r="H17" s="111" t="s">
        <v>36</v>
      </c>
      <c r="I17" s="111" t="s">
        <v>61</v>
      </c>
    </row>
    <row r="18" spans="2:9" ht="12.75" customHeight="1" x14ac:dyDescent="0.3">
      <c r="B18" s="116" t="s">
        <v>40</v>
      </c>
      <c r="C18" s="134">
        <v>10</v>
      </c>
      <c r="D18" s="118"/>
      <c r="E18" s="127" t="s">
        <v>425</v>
      </c>
      <c r="F18" s="128"/>
      <c r="G18" s="111" t="s">
        <v>45</v>
      </c>
      <c r="H18" s="111" t="s">
        <v>16</v>
      </c>
      <c r="I18" s="111" t="s">
        <v>87</v>
      </c>
    </row>
    <row r="19" spans="2:9" ht="12.75" customHeight="1" x14ac:dyDescent="0.3">
      <c r="B19" s="116" t="s">
        <v>85</v>
      </c>
      <c r="C19" s="134">
        <v>11</v>
      </c>
      <c r="D19" s="118"/>
      <c r="E19" s="127" t="s">
        <v>426</v>
      </c>
      <c r="F19" s="128"/>
      <c r="G19" s="111" t="s">
        <v>76</v>
      </c>
      <c r="H19" s="111" t="s">
        <v>34</v>
      </c>
      <c r="I19" s="111" t="s">
        <v>41</v>
      </c>
    </row>
    <row r="20" spans="2:9" ht="12.75" customHeight="1" x14ac:dyDescent="0.3">
      <c r="B20" s="116" t="s">
        <v>83</v>
      </c>
      <c r="C20" s="134">
        <v>13</v>
      </c>
      <c r="D20" s="118"/>
      <c r="E20" s="127" t="s">
        <v>427</v>
      </c>
      <c r="F20" s="128"/>
      <c r="G20" s="111" t="s">
        <v>15</v>
      </c>
      <c r="H20" s="111" t="s">
        <v>51</v>
      </c>
      <c r="I20" s="111" t="s">
        <v>33</v>
      </c>
    </row>
    <row r="21" spans="2:9" ht="12.75" customHeight="1" x14ac:dyDescent="0.3">
      <c r="B21" s="116" t="s">
        <v>67</v>
      </c>
      <c r="C21" s="134">
        <v>14</v>
      </c>
      <c r="D21" s="118"/>
      <c r="E21" s="127" t="s">
        <v>428</v>
      </c>
      <c r="F21" s="128"/>
      <c r="I21" s="111" t="s">
        <v>58</v>
      </c>
    </row>
    <row r="22" spans="2:9" ht="12.75" customHeight="1" x14ac:dyDescent="0.3">
      <c r="B22" s="116" t="s">
        <v>11</v>
      </c>
      <c r="C22" s="134">
        <v>15</v>
      </c>
      <c r="D22" s="118"/>
      <c r="E22" s="127" t="s">
        <v>429</v>
      </c>
      <c r="F22" s="128"/>
    </row>
    <row r="23" spans="2:9" ht="12.75" customHeight="1" x14ac:dyDescent="0.3">
      <c r="B23" s="116" t="s">
        <v>35</v>
      </c>
      <c r="C23" s="134">
        <v>16</v>
      </c>
      <c r="D23" s="118"/>
      <c r="E23" s="127" t="s">
        <v>430</v>
      </c>
      <c r="F23" s="128"/>
    </row>
    <row r="24" spans="2:9" ht="12.75" customHeight="1" x14ac:dyDescent="0.3">
      <c r="B24" s="116" t="s">
        <v>65</v>
      </c>
      <c r="C24" s="134">
        <v>17</v>
      </c>
      <c r="D24" s="118"/>
      <c r="E24" s="127" t="s">
        <v>431</v>
      </c>
      <c r="F24" s="128"/>
    </row>
    <row r="25" spans="2:9" ht="12.75" customHeight="1" x14ac:dyDescent="0.3">
      <c r="B25" s="116" t="s">
        <v>47</v>
      </c>
      <c r="C25" s="134">
        <v>18</v>
      </c>
      <c r="D25" s="118"/>
      <c r="E25" s="127" t="s">
        <v>432</v>
      </c>
      <c r="F25" s="128"/>
    </row>
    <row r="26" spans="2:9" ht="12.75" customHeight="1" x14ac:dyDescent="0.3">
      <c r="B26" s="116" t="s">
        <v>28</v>
      </c>
      <c r="C26" s="134">
        <v>19</v>
      </c>
      <c r="D26" s="118"/>
      <c r="E26" s="127" t="s">
        <v>433</v>
      </c>
      <c r="F26" s="128"/>
    </row>
    <row r="27" spans="2:9" ht="12.75" customHeight="1" x14ac:dyDescent="0.3">
      <c r="B27" s="116" t="s">
        <v>57</v>
      </c>
      <c r="C27" s="134">
        <v>21</v>
      </c>
      <c r="D27" s="118"/>
      <c r="E27" s="127" t="s">
        <v>434</v>
      </c>
      <c r="F27" s="128"/>
    </row>
    <row r="28" spans="2:9" ht="12.75" customHeight="1" x14ac:dyDescent="0.3">
      <c r="B28" s="116" t="s">
        <v>39</v>
      </c>
      <c r="C28" s="134">
        <v>22</v>
      </c>
      <c r="D28" s="118"/>
      <c r="E28" s="127" t="s">
        <v>435</v>
      </c>
      <c r="F28" s="128"/>
    </row>
    <row r="29" spans="2:9" ht="12.75" customHeight="1" x14ac:dyDescent="0.3">
      <c r="B29" s="116" t="s">
        <v>45</v>
      </c>
      <c r="C29" s="134">
        <v>23</v>
      </c>
      <c r="D29" s="118"/>
      <c r="E29" s="127" t="s">
        <v>436</v>
      </c>
      <c r="F29" s="128"/>
    </row>
    <row r="30" spans="2:9" ht="12.75" customHeight="1" x14ac:dyDescent="0.3">
      <c r="B30" s="116" t="s">
        <v>76</v>
      </c>
      <c r="C30" s="134">
        <v>24</v>
      </c>
      <c r="D30" s="118"/>
      <c r="E30" s="127" t="s">
        <v>437</v>
      </c>
      <c r="F30" s="128"/>
    </row>
    <row r="31" spans="2:9" ht="12.75" customHeight="1" x14ac:dyDescent="0.3">
      <c r="B31" s="116" t="s">
        <v>15</v>
      </c>
      <c r="C31" s="134">
        <v>25</v>
      </c>
      <c r="D31" s="118"/>
      <c r="E31" s="127" t="s">
        <v>438</v>
      </c>
      <c r="F31" s="128"/>
    </row>
    <row r="32" spans="2:9" ht="12.75" customHeight="1" x14ac:dyDescent="0.3">
      <c r="B32" s="116" t="s">
        <v>38</v>
      </c>
      <c r="C32" s="134">
        <v>27</v>
      </c>
      <c r="D32" s="118"/>
      <c r="E32" s="127" t="s">
        <v>439</v>
      </c>
      <c r="F32" s="128"/>
    </row>
    <row r="33" spans="2:6" ht="12.75" customHeight="1" x14ac:dyDescent="0.3">
      <c r="B33" s="116" t="s">
        <v>73</v>
      </c>
      <c r="C33" s="135">
        <v>28</v>
      </c>
      <c r="D33" s="118"/>
      <c r="E33" s="127" t="s">
        <v>440</v>
      </c>
      <c r="F33" s="128"/>
    </row>
    <row r="34" spans="2:6" ht="12.75" customHeight="1" x14ac:dyDescent="0.3">
      <c r="B34" s="116" t="s">
        <v>54</v>
      </c>
      <c r="C34" s="135">
        <v>29</v>
      </c>
      <c r="D34" s="118"/>
      <c r="E34" s="127"/>
      <c r="F34" s="128"/>
    </row>
    <row r="35" spans="2:6" ht="12.75" customHeight="1" x14ac:dyDescent="0.3">
      <c r="B35" s="116" t="s">
        <v>23</v>
      </c>
      <c r="C35" s="135">
        <v>30</v>
      </c>
      <c r="D35" s="118"/>
      <c r="E35" s="127" t="s">
        <v>441</v>
      </c>
      <c r="F35" s="128"/>
    </row>
    <row r="36" spans="2:6" ht="12.75" customHeight="1" x14ac:dyDescent="0.3">
      <c r="B36" s="116" t="s">
        <v>71</v>
      </c>
      <c r="C36" s="135">
        <v>31</v>
      </c>
      <c r="D36" s="118"/>
      <c r="E36" s="127" t="s">
        <v>442</v>
      </c>
      <c r="F36" s="128"/>
    </row>
    <row r="37" spans="2:6" ht="12.75" customHeight="1" x14ac:dyDescent="0.3">
      <c r="B37" s="116" t="s">
        <v>88</v>
      </c>
      <c r="C37" s="135">
        <v>33</v>
      </c>
      <c r="D37" s="118"/>
      <c r="E37" s="127" t="s">
        <v>443</v>
      </c>
      <c r="F37" s="128"/>
    </row>
    <row r="38" spans="2:6" ht="12.75" customHeight="1" x14ac:dyDescent="0.3">
      <c r="B38" s="116" t="s">
        <v>44</v>
      </c>
      <c r="C38" s="135">
        <v>34</v>
      </c>
      <c r="D38" s="118"/>
      <c r="E38" s="127" t="s">
        <v>444</v>
      </c>
      <c r="F38" s="128"/>
    </row>
    <row r="39" spans="2:6" ht="12.75" customHeight="1" x14ac:dyDescent="0.3">
      <c r="B39" s="116" t="s">
        <v>50</v>
      </c>
      <c r="C39" s="135">
        <v>38</v>
      </c>
      <c r="D39" s="118"/>
      <c r="E39" s="127"/>
      <c r="F39" s="128"/>
    </row>
    <row r="40" spans="2:6" ht="12.75" customHeight="1" x14ac:dyDescent="0.3">
      <c r="B40" s="116" t="s">
        <v>36</v>
      </c>
      <c r="C40" s="134">
        <v>40</v>
      </c>
      <c r="D40" s="136"/>
      <c r="E40" s="128" t="s">
        <v>445</v>
      </c>
      <c r="F40" s="128"/>
    </row>
    <row r="41" spans="2:6" ht="12.75" customHeight="1" x14ac:dyDescent="0.3">
      <c r="B41" s="116" t="s">
        <v>16</v>
      </c>
      <c r="C41" s="134">
        <v>41</v>
      </c>
      <c r="D41" s="136"/>
      <c r="E41" s="128"/>
      <c r="F41" s="128"/>
    </row>
    <row r="42" spans="2:6" ht="12.75" customHeight="1" x14ac:dyDescent="0.3">
      <c r="B42" s="116" t="s">
        <v>34</v>
      </c>
      <c r="C42" s="134">
        <v>43</v>
      </c>
      <c r="D42" s="136"/>
    </row>
    <row r="43" spans="2:6" ht="12.75" customHeight="1" x14ac:dyDescent="0.3">
      <c r="B43" s="116" t="s">
        <v>51</v>
      </c>
      <c r="C43" s="134">
        <v>44</v>
      </c>
      <c r="D43" s="136"/>
    </row>
    <row r="44" spans="2:6" ht="12.75" customHeight="1" x14ac:dyDescent="0.3">
      <c r="B44" s="116" t="s">
        <v>79</v>
      </c>
      <c r="C44" s="134">
        <v>46</v>
      </c>
      <c r="D44" s="136"/>
    </row>
    <row r="45" spans="2:6" ht="12.75" customHeight="1" x14ac:dyDescent="0.3">
      <c r="B45" s="116" t="s">
        <v>82</v>
      </c>
      <c r="C45" s="134">
        <v>50</v>
      </c>
      <c r="D45" s="136"/>
    </row>
    <row r="46" spans="2:6" ht="12.75" customHeight="1" x14ac:dyDescent="0.3">
      <c r="B46" s="116" t="s">
        <v>27</v>
      </c>
      <c r="C46" s="134">
        <v>55</v>
      </c>
      <c r="D46" s="136"/>
    </row>
    <row r="47" spans="2:6" ht="12.75" customHeight="1" x14ac:dyDescent="0.3">
      <c r="B47" s="116" t="s">
        <v>70</v>
      </c>
      <c r="C47" s="134">
        <v>57</v>
      </c>
      <c r="D47" s="136"/>
    </row>
    <row r="48" spans="2:6" ht="12.75" customHeight="1" x14ac:dyDescent="0.3">
      <c r="B48" s="116" t="s">
        <v>12</v>
      </c>
      <c r="C48" s="134">
        <v>60</v>
      </c>
      <c r="D48" s="136"/>
    </row>
    <row r="49" spans="2:4" ht="12.75" customHeight="1" x14ac:dyDescent="0.3">
      <c r="B49" s="116" t="s">
        <v>64</v>
      </c>
      <c r="C49" s="134">
        <v>61</v>
      </c>
      <c r="D49" s="136"/>
    </row>
    <row r="50" spans="2:4" ht="12.75" customHeight="1" x14ac:dyDescent="0.3">
      <c r="B50" s="116" t="s">
        <v>77</v>
      </c>
      <c r="C50" s="134">
        <v>63</v>
      </c>
      <c r="D50" s="136"/>
    </row>
    <row r="51" spans="2:4" ht="12.75" customHeight="1" x14ac:dyDescent="0.3">
      <c r="B51" s="116" t="s">
        <v>24</v>
      </c>
      <c r="C51" s="134">
        <v>65</v>
      </c>
      <c r="D51" s="136"/>
    </row>
    <row r="52" spans="2:4" ht="12.75" customHeight="1" x14ac:dyDescent="0.3">
      <c r="B52" s="116" t="s">
        <v>61</v>
      </c>
      <c r="C52" s="134">
        <v>69</v>
      </c>
      <c r="D52" s="136"/>
    </row>
    <row r="53" spans="2:4" ht="12.75" customHeight="1" x14ac:dyDescent="0.3">
      <c r="B53" s="116" t="s">
        <v>87</v>
      </c>
      <c r="C53" s="134">
        <v>74</v>
      </c>
      <c r="D53" s="136"/>
    </row>
    <row r="54" spans="2:4" ht="12.75" customHeight="1" x14ac:dyDescent="0.3">
      <c r="B54" s="116" t="s">
        <v>41</v>
      </c>
      <c r="C54" s="134">
        <v>82</v>
      </c>
      <c r="D54" s="136"/>
    </row>
    <row r="55" spans="2:4" ht="12.75" customHeight="1" x14ac:dyDescent="0.3">
      <c r="B55" s="116" t="s">
        <v>33</v>
      </c>
      <c r="C55" s="134">
        <v>84</v>
      </c>
      <c r="D55" s="136"/>
    </row>
    <row r="56" spans="2:4" ht="12.75" customHeight="1" x14ac:dyDescent="0.3">
      <c r="B56" s="116" t="s">
        <v>58</v>
      </c>
      <c r="C56" s="137">
        <v>86</v>
      </c>
      <c r="D56" s="136"/>
    </row>
    <row r="57" spans="2:4" ht="12.75" customHeight="1" x14ac:dyDescent="0.3">
      <c r="B57" s="138"/>
      <c r="C57" s="139"/>
      <c r="D57" s="1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55" activePane="bottomLeft" state="frozen"/>
      <selection pane="bottomLeft" activeCell="D68" sqref="D68"/>
    </sheetView>
  </sheetViews>
  <sheetFormatPr defaultColWidth="9" defaultRowHeight="13" x14ac:dyDescent="0.3"/>
  <cols>
    <col min="1" max="1" width="9" style="140"/>
    <col min="2" max="2" width="12" style="140" customWidth="1"/>
    <col min="3" max="3" width="24" style="140" customWidth="1"/>
    <col min="4" max="11" width="22" style="140" customWidth="1"/>
    <col min="12" max="16384" width="9" style="140"/>
  </cols>
  <sheetData>
    <row r="1" spans="1:11" ht="25.5" customHeight="1" x14ac:dyDescent="0.3">
      <c r="A1" s="141" t="s">
        <v>446</v>
      </c>
      <c r="B1" s="141" t="s">
        <v>447</v>
      </c>
      <c r="C1" s="141" t="s">
        <v>448</v>
      </c>
      <c r="D1" s="141" t="s">
        <v>449</v>
      </c>
      <c r="E1" s="141" t="s">
        <v>450</v>
      </c>
      <c r="F1" s="141" t="s">
        <v>451</v>
      </c>
      <c r="G1" s="141" t="s">
        <v>452</v>
      </c>
      <c r="H1" s="141" t="s">
        <v>453</v>
      </c>
      <c r="I1" s="141" t="s">
        <v>454</v>
      </c>
      <c r="J1" s="141" t="s">
        <v>455</v>
      </c>
      <c r="K1" s="141" t="s">
        <v>456</v>
      </c>
    </row>
    <row r="2" spans="1:11" ht="12.75" customHeight="1" x14ac:dyDescent="0.3">
      <c r="A2" s="140">
        <v>1</v>
      </c>
      <c r="B2" s="140" t="s">
        <v>457</v>
      </c>
      <c r="C2" s="140" t="s">
        <v>458</v>
      </c>
      <c r="D2" s="140" t="s">
        <v>48</v>
      </c>
      <c r="E2" s="140" t="s">
        <v>55</v>
      </c>
      <c r="F2" s="140" t="s">
        <v>42</v>
      </c>
      <c r="G2" s="140" t="s">
        <v>80</v>
      </c>
      <c r="H2" s="140" t="s">
        <v>68</v>
      </c>
      <c r="I2" s="140" t="s">
        <v>62</v>
      </c>
      <c r="J2" s="140" t="s">
        <v>74</v>
      </c>
      <c r="K2" s="140" t="s">
        <v>20</v>
      </c>
    </row>
    <row r="3" spans="1:11" ht="12.75" customHeight="1" x14ac:dyDescent="0.3">
      <c r="A3" s="140">
        <v>2</v>
      </c>
      <c r="B3" s="140" t="s">
        <v>459</v>
      </c>
      <c r="C3" s="140" t="s">
        <v>460</v>
      </c>
      <c r="D3" s="140" t="s">
        <v>19</v>
      </c>
      <c r="E3" s="140" t="s">
        <v>48</v>
      </c>
      <c r="F3" s="140" t="s">
        <v>62</v>
      </c>
      <c r="G3" s="140" t="s">
        <v>80</v>
      </c>
      <c r="H3" s="140" t="s">
        <v>68</v>
      </c>
      <c r="I3" s="140" t="s">
        <v>74</v>
      </c>
      <c r="J3" s="140" t="s">
        <v>55</v>
      </c>
      <c r="K3" s="140" t="s">
        <v>20</v>
      </c>
    </row>
    <row r="4" spans="1:11" ht="12.75" customHeight="1" x14ac:dyDescent="0.3">
      <c r="A4" s="140">
        <v>3</v>
      </c>
      <c r="B4" s="140" t="s">
        <v>461</v>
      </c>
      <c r="C4" s="140" t="s">
        <v>462</v>
      </c>
      <c r="D4" s="140" t="s">
        <v>19</v>
      </c>
      <c r="E4" s="140" t="s">
        <v>55</v>
      </c>
      <c r="F4" s="140" t="s">
        <v>42</v>
      </c>
      <c r="G4" s="140" t="s">
        <v>80</v>
      </c>
      <c r="H4" s="140" t="s">
        <v>68</v>
      </c>
      <c r="I4" s="140" t="s">
        <v>62</v>
      </c>
      <c r="J4" s="140" t="s">
        <v>74</v>
      </c>
      <c r="K4" s="140" t="s">
        <v>20</v>
      </c>
    </row>
    <row r="5" spans="1:11" ht="12.75" customHeight="1" x14ac:dyDescent="0.3">
      <c r="A5" s="140">
        <v>4</v>
      </c>
      <c r="B5" s="140" t="s">
        <v>463</v>
      </c>
      <c r="C5" s="140" t="s">
        <v>464</v>
      </c>
      <c r="D5" s="140" t="s">
        <v>19</v>
      </c>
      <c r="E5" s="140" t="s">
        <v>48</v>
      </c>
      <c r="F5" s="140" t="s">
        <v>42</v>
      </c>
      <c r="G5" s="140" t="s">
        <v>80</v>
      </c>
      <c r="H5" s="140" t="s">
        <v>68</v>
      </c>
      <c r="I5" s="140" t="s">
        <v>62</v>
      </c>
      <c r="J5" s="140" t="s">
        <v>74</v>
      </c>
      <c r="K5" s="140" t="s">
        <v>20</v>
      </c>
    </row>
    <row r="6" spans="1:11" ht="12.75" customHeight="1" x14ac:dyDescent="0.3">
      <c r="A6" s="140">
        <v>5</v>
      </c>
      <c r="B6" s="140" t="s">
        <v>465</v>
      </c>
      <c r="C6" s="140" t="s">
        <v>466</v>
      </c>
      <c r="D6" s="140" t="s">
        <v>19</v>
      </c>
      <c r="E6" s="140" t="s">
        <v>48</v>
      </c>
      <c r="F6" s="140" t="s">
        <v>42</v>
      </c>
      <c r="G6" s="140" t="s">
        <v>80</v>
      </c>
      <c r="H6" s="140" t="s">
        <v>68</v>
      </c>
      <c r="I6" s="140" t="s">
        <v>74</v>
      </c>
      <c r="J6" s="140" t="s">
        <v>55</v>
      </c>
      <c r="K6" s="140" t="s">
        <v>20</v>
      </c>
    </row>
    <row r="7" spans="1:11" ht="12.75" customHeight="1" x14ac:dyDescent="0.3">
      <c r="A7" s="140">
        <v>6</v>
      </c>
      <c r="B7" s="140" t="s">
        <v>467</v>
      </c>
      <c r="C7" s="140" t="s">
        <v>468</v>
      </c>
      <c r="D7" s="140" t="s">
        <v>19</v>
      </c>
      <c r="E7" s="140" t="s">
        <v>48</v>
      </c>
      <c r="F7" s="140" t="s">
        <v>42</v>
      </c>
      <c r="G7" s="140" t="s">
        <v>80</v>
      </c>
      <c r="H7" s="140" t="s">
        <v>74</v>
      </c>
      <c r="I7" s="140" t="s">
        <v>62</v>
      </c>
      <c r="J7" s="140" t="s">
        <v>55</v>
      </c>
      <c r="K7" s="140" t="s">
        <v>20</v>
      </c>
    </row>
    <row r="8" spans="1:11" ht="12.75" customHeight="1" x14ac:dyDescent="0.3">
      <c r="A8" s="140">
        <v>7</v>
      </c>
      <c r="B8" s="140" t="s">
        <v>469</v>
      </c>
      <c r="C8" s="140" t="s">
        <v>470</v>
      </c>
      <c r="D8" s="140" t="s">
        <v>19</v>
      </c>
      <c r="E8" s="140" t="s">
        <v>48</v>
      </c>
      <c r="F8" s="140" t="s">
        <v>42</v>
      </c>
      <c r="G8" s="140" t="s">
        <v>80</v>
      </c>
      <c r="H8" s="140" t="s">
        <v>68</v>
      </c>
      <c r="I8" s="140" t="s">
        <v>62</v>
      </c>
      <c r="J8" s="140" t="s">
        <v>55</v>
      </c>
      <c r="K8" s="140" t="s">
        <v>20</v>
      </c>
    </row>
    <row r="9" spans="1:11" ht="12.75" customHeight="1" x14ac:dyDescent="0.3">
      <c r="A9" s="140">
        <v>8</v>
      </c>
      <c r="B9" s="140" t="s">
        <v>471</v>
      </c>
      <c r="C9" s="140" t="s">
        <v>472</v>
      </c>
      <c r="D9" s="140" t="s">
        <v>19</v>
      </c>
      <c r="E9" s="140" t="s">
        <v>48</v>
      </c>
      <c r="F9" s="140" t="s">
        <v>42</v>
      </c>
      <c r="G9" s="140" t="s">
        <v>68</v>
      </c>
      <c r="H9" s="140" t="s">
        <v>74</v>
      </c>
      <c r="I9" s="140" t="s">
        <v>62</v>
      </c>
      <c r="J9" s="140" t="s">
        <v>55</v>
      </c>
      <c r="K9" s="140" t="s">
        <v>20</v>
      </c>
    </row>
    <row r="10" spans="1:11" ht="12.75" customHeight="1" x14ac:dyDescent="0.3">
      <c r="A10" s="140">
        <v>9</v>
      </c>
      <c r="B10" s="140" t="s">
        <v>473</v>
      </c>
      <c r="C10" s="140" t="s">
        <v>474</v>
      </c>
      <c r="D10" s="140" t="s">
        <v>19</v>
      </c>
      <c r="E10" s="140" t="s">
        <v>48</v>
      </c>
      <c r="F10" s="140" t="s">
        <v>42</v>
      </c>
      <c r="G10" s="140" t="s">
        <v>80</v>
      </c>
      <c r="H10" s="140" t="s">
        <v>74</v>
      </c>
      <c r="I10" s="140" t="s">
        <v>62</v>
      </c>
      <c r="J10" s="140" t="s">
        <v>55</v>
      </c>
      <c r="K10" s="140" t="s">
        <v>68</v>
      </c>
    </row>
    <row r="11" spans="1:11" ht="12.75" customHeight="1" x14ac:dyDescent="0.3">
      <c r="A11" s="140">
        <v>10</v>
      </c>
      <c r="B11" s="140" t="s">
        <v>475</v>
      </c>
      <c r="C11" s="140" t="s">
        <v>476</v>
      </c>
      <c r="D11" s="140" t="s">
        <v>31</v>
      </c>
      <c r="E11" s="140" t="s">
        <v>48</v>
      </c>
      <c r="F11" s="140" t="s">
        <v>62</v>
      </c>
      <c r="G11" s="140" t="s">
        <v>80</v>
      </c>
      <c r="H11" s="140" t="s">
        <v>68</v>
      </c>
      <c r="I11" s="140" t="s">
        <v>74</v>
      </c>
      <c r="J11" s="140" t="s">
        <v>55</v>
      </c>
      <c r="K11" s="140" t="s">
        <v>20</v>
      </c>
    </row>
    <row r="12" spans="1:11" ht="12.75" customHeight="1" x14ac:dyDescent="0.3">
      <c r="A12" s="140">
        <v>11</v>
      </c>
      <c r="B12" s="140" t="s">
        <v>477</v>
      </c>
      <c r="C12" s="140" t="s">
        <v>478</v>
      </c>
      <c r="D12" s="140" t="s">
        <v>31</v>
      </c>
      <c r="E12" s="140" t="s">
        <v>55</v>
      </c>
      <c r="F12" s="140" t="s">
        <v>42</v>
      </c>
      <c r="G12" s="140" t="s">
        <v>80</v>
      </c>
      <c r="H12" s="140" t="s">
        <v>68</v>
      </c>
      <c r="I12" s="140" t="s">
        <v>62</v>
      </c>
      <c r="J12" s="140" t="s">
        <v>74</v>
      </c>
      <c r="K12" s="140" t="s">
        <v>20</v>
      </c>
    </row>
    <row r="13" spans="1:11" ht="12.75" customHeight="1" x14ac:dyDescent="0.3">
      <c r="A13" s="140">
        <v>12</v>
      </c>
      <c r="B13" s="140" t="s">
        <v>479</v>
      </c>
      <c r="C13" s="140" t="s">
        <v>480</v>
      </c>
      <c r="D13" s="140" t="s">
        <v>31</v>
      </c>
      <c r="E13" s="140" t="s">
        <v>48</v>
      </c>
      <c r="F13" s="140" t="s">
        <v>42</v>
      </c>
      <c r="G13" s="140" t="s">
        <v>80</v>
      </c>
      <c r="H13" s="140" t="s">
        <v>68</v>
      </c>
      <c r="I13" s="140" t="s">
        <v>62</v>
      </c>
      <c r="J13" s="140" t="s">
        <v>74</v>
      </c>
      <c r="K13" s="140" t="s">
        <v>20</v>
      </c>
    </row>
    <row r="14" spans="1:11" ht="12.75" customHeight="1" x14ac:dyDescent="0.3">
      <c r="A14" s="140">
        <v>13</v>
      </c>
      <c r="B14" s="140" t="s">
        <v>481</v>
      </c>
      <c r="C14" s="140" t="s">
        <v>482</v>
      </c>
      <c r="D14" s="140" t="s">
        <v>31</v>
      </c>
      <c r="E14" s="140" t="s">
        <v>48</v>
      </c>
      <c r="F14" s="140" t="s">
        <v>42</v>
      </c>
      <c r="G14" s="140" t="s">
        <v>80</v>
      </c>
      <c r="H14" s="140" t="s">
        <v>68</v>
      </c>
      <c r="I14" s="140" t="s">
        <v>74</v>
      </c>
      <c r="J14" s="140" t="s">
        <v>55</v>
      </c>
      <c r="K14" s="140" t="s">
        <v>20</v>
      </c>
    </row>
    <row r="15" spans="1:11" ht="12.75" customHeight="1" x14ac:dyDescent="0.3">
      <c r="A15" s="140">
        <v>14</v>
      </c>
      <c r="B15" s="140" t="s">
        <v>483</v>
      </c>
      <c r="C15" s="140" t="s">
        <v>484</v>
      </c>
      <c r="D15" s="140" t="s">
        <v>31</v>
      </c>
      <c r="E15" s="140" t="s">
        <v>48</v>
      </c>
      <c r="F15" s="140" t="s">
        <v>42</v>
      </c>
      <c r="G15" s="140" t="s">
        <v>80</v>
      </c>
      <c r="H15" s="140" t="s">
        <v>74</v>
      </c>
      <c r="I15" s="140" t="s">
        <v>62</v>
      </c>
      <c r="J15" s="140" t="s">
        <v>55</v>
      </c>
      <c r="K15" s="140" t="s">
        <v>20</v>
      </c>
    </row>
    <row r="16" spans="1:11" ht="12.75" customHeight="1" x14ac:dyDescent="0.3">
      <c r="A16" s="140">
        <v>15</v>
      </c>
      <c r="B16" s="140" t="s">
        <v>485</v>
      </c>
      <c r="C16" s="140" t="s">
        <v>486</v>
      </c>
      <c r="D16" s="140" t="s">
        <v>31</v>
      </c>
      <c r="E16" s="140" t="s">
        <v>48</v>
      </c>
      <c r="F16" s="140" t="s">
        <v>42</v>
      </c>
      <c r="G16" s="140" t="s">
        <v>80</v>
      </c>
      <c r="H16" s="140" t="s">
        <v>68</v>
      </c>
      <c r="I16" s="140" t="s">
        <v>62</v>
      </c>
      <c r="J16" s="140" t="s">
        <v>55</v>
      </c>
      <c r="K16" s="140" t="s">
        <v>20</v>
      </c>
    </row>
    <row r="17" spans="1:11" ht="12.75" customHeight="1" x14ac:dyDescent="0.3">
      <c r="A17" s="140">
        <v>16</v>
      </c>
      <c r="B17" s="140" t="s">
        <v>487</v>
      </c>
      <c r="C17" s="140" t="s">
        <v>488</v>
      </c>
      <c r="D17" s="140" t="s">
        <v>31</v>
      </c>
      <c r="E17" s="140" t="s">
        <v>48</v>
      </c>
      <c r="F17" s="140" t="s">
        <v>42</v>
      </c>
      <c r="G17" s="140" t="s">
        <v>68</v>
      </c>
      <c r="H17" s="140" t="s">
        <v>74</v>
      </c>
      <c r="I17" s="140" t="s">
        <v>62</v>
      </c>
      <c r="J17" s="140" t="s">
        <v>55</v>
      </c>
      <c r="K17" s="140" t="s">
        <v>20</v>
      </c>
    </row>
    <row r="18" spans="1:11" ht="12.75" customHeight="1" x14ac:dyDescent="0.3">
      <c r="A18" s="140">
        <v>17</v>
      </c>
      <c r="B18" s="140" t="s">
        <v>489</v>
      </c>
      <c r="C18" s="140" t="s">
        <v>490</v>
      </c>
      <c r="D18" s="140" t="s">
        <v>31</v>
      </c>
      <c r="E18" s="140" t="s">
        <v>48</v>
      </c>
      <c r="F18" s="140" t="s">
        <v>42</v>
      </c>
      <c r="G18" s="140" t="s">
        <v>80</v>
      </c>
      <c r="H18" s="140" t="s">
        <v>74</v>
      </c>
      <c r="I18" s="140" t="s">
        <v>62</v>
      </c>
      <c r="J18" s="140" t="s">
        <v>55</v>
      </c>
      <c r="K18" s="140" t="s">
        <v>68</v>
      </c>
    </row>
    <row r="19" spans="1:11" ht="12.75" customHeight="1" x14ac:dyDescent="0.3">
      <c r="A19" s="140">
        <v>18</v>
      </c>
      <c r="B19" s="140" t="s">
        <v>491</v>
      </c>
      <c r="C19" s="140" t="s">
        <v>492</v>
      </c>
      <c r="D19" s="140" t="s">
        <v>31</v>
      </c>
      <c r="E19" s="140" t="s">
        <v>19</v>
      </c>
      <c r="F19" s="140" t="s">
        <v>62</v>
      </c>
      <c r="G19" s="140" t="s">
        <v>80</v>
      </c>
      <c r="H19" s="140" t="s">
        <v>68</v>
      </c>
      <c r="I19" s="140" t="s">
        <v>74</v>
      </c>
      <c r="J19" s="140" t="s">
        <v>55</v>
      </c>
      <c r="K19" s="140" t="s">
        <v>20</v>
      </c>
    </row>
    <row r="20" spans="1:11" ht="12.75" customHeight="1" x14ac:dyDescent="0.3">
      <c r="A20" s="140">
        <v>19</v>
      </c>
      <c r="B20" s="140" t="s">
        <v>493</v>
      </c>
      <c r="C20" s="140" t="s">
        <v>494</v>
      </c>
      <c r="D20" s="140" t="s">
        <v>19</v>
      </c>
      <c r="E20" s="140" t="s">
        <v>48</v>
      </c>
      <c r="F20" s="140" t="s">
        <v>31</v>
      </c>
      <c r="G20" s="140" t="s">
        <v>80</v>
      </c>
      <c r="H20" s="140" t="s">
        <v>68</v>
      </c>
      <c r="I20" s="140" t="s">
        <v>62</v>
      </c>
      <c r="J20" s="140" t="s">
        <v>74</v>
      </c>
      <c r="K20" s="140" t="s">
        <v>20</v>
      </c>
    </row>
    <row r="21" spans="1:11" ht="12.75" customHeight="1" x14ac:dyDescent="0.3">
      <c r="A21" s="140">
        <v>20</v>
      </c>
      <c r="B21" s="140" t="s">
        <v>495</v>
      </c>
      <c r="C21" s="140" t="s">
        <v>496</v>
      </c>
      <c r="D21" s="140" t="s">
        <v>19</v>
      </c>
      <c r="E21" s="140" t="s">
        <v>48</v>
      </c>
      <c r="F21" s="140" t="s">
        <v>31</v>
      </c>
      <c r="G21" s="140" t="s">
        <v>80</v>
      </c>
      <c r="H21" s="140" t="s">
        <v>68</v>
      </c>
      <c r="I21" s="140" t="s">
        <v>74</v>
      </c>
      <c r="J21" s="140" t="s">
        <v>55</v>
      </c>
      <c r="K21" s="140" t="s">
        <v>20</v>
      </c>
    </row>
    <row r="22" spans="1:11" ht="12.75" customHeight="1" x14ac:dyDescent="0.3">
      <c r="A22" s="140">
        <v>21</v>
      </c>
      <c r="B22" s="140" t="s">
        <v>497</v>
      </c>
      <c r="C22" s="140" t="s">
        <v>498</v>
      </c>
      <c r="D22" s="140" t="s">
        <v>19</v>
      </c>
      <c r="E22" s="140" t="s">
        <v>48</v>
      </c>
      <c r="F22" s="140" t="s">
        <v>31</v>
      </c>
      <c r="G22" s="140" t="s">
        <v>80</v>
      </c>
      <c r="H22" s="140" t="s">
        <v>74</v>
      </c>
      <c r="I22" s="140" t="s">
        <v>62</v>
      </c>
      <c r="J22" s="140" t="s">
        <v>55</v>
      </c>
      <c r="K22" s="140" t="s">
        <v>20</v>
      </c>
    </row>
    <row r="23" spans="1:11" ht="12.75" customHeight="1" x14ac:dyDescent="0.3">
      <c r="A23" s="140">
        <v>22</v>
      </c>
      <c r="B23" s="140" t="s">
        <v>499</v>
      </c>
      <c r="C23" s="140" t="s">
        <v>500</v>
      </c>
      <c r="D23" s="140" t="s">
        <v>19</v>
      </c>
      <c r="E23" s="140" t="s">
        <v>48</v>
      </c>
      <c r="F23" s="140" t="s">
        <v>31</v>
      </c>
      <c r="G23" s="140" t="s">
        <v>80</v>
      </c>
      <c r="H23" s="140" t="s">
        <v>68</v>
      </c>
      <c r="I23" s="140" t="s">
        <v>62</v>
      </c>
      <c r="J23" s="140" t="s">
        <v>55</v>
      </c>
      <c r="K23" s="140" t="s">
        <v>20</v>
      </c>
    </row>
    <row r="24" spans="1:11" ht="12.75" customHeight="1" x14ac:dyDescent="0.3">
      <c r="A24" s="140">
        <v>23</v>
      </c>
      <c r="B24" s="140" t="s">
        <v>501</v>
      </c>
      <c r="C24" s="140" t="s">
        <v>502</v>
      </c>
      <c r="D24" s="140" t="s">
        <v>19</v>
      </c>
      <c r="E24" s="140" t="s">
        <v>48</v>
      </c>
      <c r="F24" s="140" t="s">
        <v>31</v>
      </c>
      <c r="G24" s="140" t="s">
        <v>68</v>
      </c>
      <c r="H24" s="140" t="s">
        <v>74</v>
      </c>
      <c r="I24" s="140" t="s">
        <v>62</v>
      </c>
      <c r="J24" s="140" t="s">
        <v>55</v>
      </c>
      <c r="K24" s="140" t="s">
        <v>20</v>
      </c>
    </row>
    <row r="25" spans="1:11" ht="12.75" customHeight="1" x14ac:dyDescent="0.3">
      <c r="A25" s="140">
        <v>24</v>
      </c>
      <c r="B25" s="140" t="s">
        <v>503</v>
      </c>
      <c r="C25" s="140" t="s">
        <v>504</v>
      </c>
      <c r="D25" s="140" t="s">
        <v>19</v>
      </c>
      <c r="E25" s="140" t="s">
        <v>48</v>
      </c>
      <c r="F25" s="140" t="s">
        <v>31</v>
      </c>
      <c r="G25" s="140" t="s">
        <v>80</v>
      </c>
      <c r="H25" s="140" t="s">
        <v>74</v>
      </c>
      <c r="I25" s="140" t="s">
        <v>62</v>
      </c>
      <c r="J25" s="140" t="s">
        <v>55</v>
      </c>
      <c r="K25" s="140" t="s">
        <v>68</v>
      </c>
    </row>
    <row r="26" spans="1:11" ht="12.75" customHeight="1" x14ac:dyDescent="0.3">
      <c r="A26" s="140">
        <v>25</v>
      </c>
      <c r="B26" s="140" t="s">
        <v>505</v>
      </c>
      <c r="C26" s="140" t="s">
        <v>506</v>
      </c>
      <c r="D26" s="140" t="s">
        <v>31</v>
      </c>
      <c r="E26" s="140" t="s">
        <v>19</v>
      </c>
      <c r="F26" s="140" t="s">
        <v>42</v>
      </c>
      <c r="G26" s="140" t="s">
        <v>80</v>
      </c>
      <c r="H26" s="140" t="s">
        <v>68</v>
      </c>
      <c r="I26" s="140" t="s">
        <v>62</v>
      </c>
      <c r="J26" s="140" t="s">
        <v>74</v>
      </c>
      <c r="K26" s="140" t="s">
        <v>20</v>
      </c>
    </row>
    <row r="27" spans="1:11" ht="12.75" customHeight="1" x14ac:dyDescent="0.3">
      <c r="A27" s="140">
        <v>26</v>
      </c>
      <c r="B27" s="140" t="s">
        <v>507</v>
      </c>
      <c r="C27" s="140" t="s">
        <v>508</v>
      </c>
      <c r="D27" s="140" t="s">
        <v>31</v>
      </c>
      <c r="E27" s="140" t="s">
        <v>19</v>
      </c>
      <c r="F27" s="140" t="s">
        <v>42</v>
      </c>
      <c r="G27" s="140" t="s">
        <v>80</v>
      </c>
      <c r="H27" s="140" t="s">
        <v>68</v>
      </c>
      <c r="I27" s="140" t="s">
        <v>74</v>
      </c>
      <c r="J27" s="140" t="s">
        <v>55</v>
      </c>
      <c r="K27" s="140" t="s">
        <v>20</v>
      </c>
    </row>
    <row r="28" spans="1:11" ht="12.75" customHeight="1" x14ac:dyDescent="0.3">
      <c r="A28" s="140">
        <v>27</v>
      </c>
      <c r="B28" s="140" t="s">
        <v>509</v>
      </c>
      <c r="C28" s="140" t="s">
        <v>510</v>
      </c>
      <c r="D28" s="140" t="s">
        <v>31</v>
      </c>
      <c r="E28" s="140" t="s">
        <v>19</v>
      </c>
      <c r="F28" s="140" t="s">
        <v>42</v>
      </c>
      <c r="G28" s="140" t="s">
        <v>80</v>
      </c>
      <c r="H28" s="140" t="s">
        <v>74</v>
      </c>
      <c r="I28" s="140" t="s">
        <v>62</v>
      </c>
      <c r="J28" s="140" t="s">
        <v>55</v>
      </c>
      <c r="K28" s="140" t="s">
        <v>20</v>
      </c>
    </row>
    <row r="29" spans="1:11" ht="12.75" customHeight="1" x14ac:dyDescent="0.3">
      <c r="A29" s="140">
        <v>28</v>
      </c>
      <c r="B29" s="140" t="s">
        <v>511</v>
      </c>
      <c r="C29" s="140" t="s">
        <v>512</v>
      </c>
      <c r="D29" s="140" t="s">
        <v>31</v>
      </c>
      <c r="E29" s="140" t="s">
        <v>19</v>
      </c>
      <c r="F29" s="140" t="s">
        <v>42</v>
      </c>
      <c r="G29" s="140" t="s">
        <v>80</v>
      </c>
      <c r="H29" s="140" t="s">
        <v>68</v>
      </c>
      <c r="I29" s="140" t="s">
        <v>62</v>
      </c>
      <c r="J29" s="140" t="s">
        <v>55</v>
      </c>
      <c r="K29" s="140" t="s">
        <v>20</v>
      </c>
    </row>
    <row r="30" spans="1:11" ht="12.75" customHeight="1" x14ac:dyDescent="0.3">
      <c r="A30" s="140">
        <v>29</v>
      </c>
      <c r="B30" s="140" t="s">
        <v>513</v>
      </c>
      <c r="C30" s="140" t="s">
        <v>514</v>
      </c>
      <c r="D30" s="140" t="s">
        <v>31</v>
      </c>
      <c r="E30" s="140" t="s">
        <v>19</v>
      </c>
      <c r="F30" s="140" t="s">
        <v>42</v>
      </c>
      <c r="G30" s="140" t="s">
        <v>68</v>
      </c>
      <c r="H30" s="140" t="s">
        <v>74</v>
      </c>
      <c r="I30" s="140" t="s">
        <v>62</v>
      </c>
      <c r="J30" s="140" t="s">
        <v>55</v>
      </c>
      <c r="K30" s="140" t="s">
        <v>20</v>
      </c>
    </row>
    <row r="31" spans="1:11" ht="12.75" customHeight="1" x14ac:dyDescent="0.3">
      <c r="A31" s="140">
        <v>30</v>
      </c>
      <c r="B31" s="140" t="s">
        <v>515</v>
      </c>
      <c r="C31" s="140" t="s">
        <v>516</v>
      </c>
      <c r="D31" s="140" t="s">
        <v>31</v>
      </c>
      <c r="E31" s="140" t="s">
        <v>19</v>
      </c>
      <c r="F31" s="140" t="s">
        <v>42</v>
      </c>
      <c r="G31" s="140" t="s">
        <v>80</v>
      </c>
      <c r="H31" s="140" t="s">
        <v>74</v>
      </c>
      <c r="I31" s="140" t="s">
        <v>62</v>
      </c>
      <c r="J31" s="140" t="s">
        <v>55</v>
      </c>
      <c r="K31" s="140" t="s">
        <v>68</v>
      </c>
    </row>
    <row r="32" spans="1:11" ht="12.75" customHeight="1" x14ac:dyDescent="0.3">
      <c r="A32" s="140">
        <v>31</v>
      </c>
      <c r="B32" s="140" t="s">
        <v>517</v>
      </c>
      <c r="C32" s="140" t="s">
        <v>518</v>
      </c>
      <c r="D32" s="140" t="s">
        <v>19</v>
      </c>
      <c r="E32" s="140" t="s">
        <v>48</v>
      </c>
      <c r="F32" s="140" t="s">
        <v>31</v>
      </c>
      <c r="G32" s="140" t="s">
        <v>80</v>
      </c>
      <c r="H32" s="140" t="s">
        <v>42</v>
      </c>
      <c r="I32" s="140" t="s">
        <v>68</v>
      </c>
      <c r="J32" s="140" t="s">
        <v>74</v>
      </c>
      <c r="K32" s="140" t="s">
        <v>20</v>
      </c>
    </row>
    <row r="33" spans="1:11" ht="12.75" customHeight="1" x14ac:dyDescent="0.3">
      <c r="A33" s="140">
        <v>32</v>
      </c>
      <c r="B33" s="140" t="s">
        <v>519</v>
      </c>
      <c r="C33" s="140" t="s">
        <v>520</v>
      </c>
      <c r="D33" s="140" t="s">
        <v>19</v>
      </c>
      <c r="E33" s="140" t="s">
        <v>48</v>
      </c>
      <c r="F33" s="140" t="s">
        <v>31</v>
      </c>
      <c r="G33" s="140" t="s">
        <v>80</v>
      </c>
      <c r="H33" s="140" t="s">
        <v>42</v>
      </c>
      <c r="I33" s="140" t="s">
        <v>62</v>
      </c>
      <c r="J33" s="140" t="s">
        <v>74</v>
      </c>
      <c r="K33" s="140" t="s">
        <v>20</v>
      </c>
    </row>
    <row r="34" spans="1:11" ht="12.75" customHeight="1" x14ac:dyDescent="0.3">
      <c r="A34" s="140">
        <v>33</v>
      </c>
      <c r="B34" s="140" t="s">
        <v>521</v>
      </c>
      <c r="C34" s="140" t="s">
        <v>522</v>
      </c>
      <c r="D34" s="140" t="s">
        <v>19</v>
      </c>
      <c r="E34" s="140" t="s">
        <v>48</v>
      </c>
      <c r="F34" s="140" t="s">
        <v>31</v>
      </c>
      <c r="G34" s="140" t="s">
        <v>80</v>
      </c>
      <c r="H34" s="140" t="s">
        <v>68</v>
      </c>
      <c r="I34" s="140" t="s">
        <v>62</v>
      </c>
      <c r="J34" s="140" t="s">
        <v>42</v>
      </c>
      <c r="K34" s="140" t="s">
        <v>20</v>
      </c>
    </row>
    <row r="35" spans="1:11" ht="12.75" customHeight="1" x14ac:dyDescent="0.3">
      <c r="A35" s="140">
        <v>34</v>
      </c>
      <c r="B35" s="140" t="s">
        <v>523</v>
      </c>
      <c r="C35" s="140" t="s">
        <v>524</v>
      </c>
      <c r="D35" s="140" t="s">
        <v>19</v>
      </c>
      <c r="E35" s="140" t="s">
        <v>48</v>
      </c>
      <c r="F35" s="140" t="s">
        <v>31</v>
      </c>
      <c r="G35" s="140" t="s">
        <v>68</v>
      </c>
      <c r="H35" s="140" t="s">
        <v>42</v>
      </c>
      <c r="I35" s="140" t="s">
        <v>62</v>
      </c>
      <c r="J35" s="140" t="s">
        <v>74</v>
      </c>
      <c r="K35" s="140" t="s">
        <v>20</v>
      </c>
    </row>
    <row r="36" spans="1:11" ht="12.75" customHeight="1" x14ac:dyDescent="0.3">
      <c r="A36" s="140">
        <v>35</v>
      </c>
      <c r="B36" s="140" t="s">
        <v>525</v>
      </c>
      <c r="C36" s="140" t="s">
        <v>526</v>
      </c>
      <c r="D36" s="140" t="s">
        <v>19</v>
      </c>
      <c r="E36" s="140" t="s">
        <v>48</v>
      </c>
      <c r="F36" s="140" t="s">
        <v>31</v>
      </c>
      <c r="G36" s="140" t="s">
        <v>80</v>
      </c>
      <c r="H36" s="140" t="s">
        <v>42</v>
      </c>
      <c r="I36" s="140" t="s">
        <v>62</v>
      </c>
      <c r="J36" s="140" t="s">
        <v>74</v>
      </c>
      <c r="K36" s="140" t="s">
        <v>68</v>
      </c>
    </row>
    <row r="37" spans="1:11" ht="12.75" customHeight="1" x14ac:dyDescent="0.3">
      <c r="A37" s="140">
        <v>36</v>
      </c>
      <c r="B37" s="140" t="s">
        <v>527</v>
      </c>
      <c r="C37" s="140" t="s">
        <v>528</v>
      </c>
      <c r="D37" s="140" t="s">
        <v>19</v>
      </c>
      <c r="E37" s="140" t="s">
        <v>48</v>
      </c>
      <c r="F37" s="140" t="s">
        <v>31</v>
      </c>
      <c r="G37" s="140" t="s">
        <v>80</v>
      </c>
      <c r="H37" s="140" t="s">
        <v>42</v>
      </c>
      <c r="I37" s="140" t="s">
        <v>74</v>
      </c>
      <c r="J37" s="140" t="s">
        <v>55</v>
      </c>
      <c r="K37" s="140" t="s">
        <v>20</v>
      </c>
    </row>
    <row r="38" spans="1:11" ht="12.75" customHeight="1" x14ac:dyDescent="0.3">
      <c r="A38" s="140">
        <v>37</v>
      </c>
      <c r="B38" s="140" t="s">
        <v>529</v>
      </c>
      <c r="C38" s="140" t="s">
        <v>530</v>
      </c>
      <c r="D38" s="140" t="s">
        <v>19</v>
      </c>
      <c r="E38" s="140" t="s">
        <v>48</v>
      </c>
      <c r="F38" s="140" t="s">
        <v>31</v>
      </c>
      <c r="G38" s="140" t="s">
        <v>80</v>
      </c>
      <c r="H38" s="140" t="s">
        <v>42</v>
      </c>
      <c r="I38" s="140" t="s">
        <v>68</v>
      </c>
      <c r="J38" s="140" t="s">
        <v>55</v>
      </c>
      <c r="K38" s="140" t="s">
        <v>20</v>
      </c>
    </row>
    <row r="39" spans="1:11" ht="12.75" customHeight="1" x14ac:dyDescent="0.3">
      <c r="A39" s="140">
        <v>38</v>
      </c>
      <c r="B39" s="140" t="s">
        <v>531</v>
      </c>
      <c r="C39" s="140" t="s">
        <v>532</v>
      </c>
      <c r="D39" s="140" t="s">
        <v>19</v>
      </c>
      <c r="E39" s="140" t="s">
        <v>48</v>
      </c>
      <c r="F39" s="140" t="s">
        <v>31</v>
      </c>
      <c r="G39" s="140" t="s">
        <v>68</v>
      </c>
      <c r="H39" s="140" t="s">
        <v>42</v>
      </c>
      <c r="I39" s="140" t="s">
        <v>74</v>
      </c>
      <c r="J39" s="140" t="s">
        <v>55</v>
      </c>
      <c r="K39" s="140" t="s">
        <v>20</v>
      </c>
    </row>
    <row r="40" spans="1:11" ht="12.75" customHeight="1" x14ac:dyDescent="0.3">
      <c r="A40" s="140">
        <v>39</v>
      </c>
      <c r="B40" s="140" t="s">
        <v>533</v>
      </c>
      <c r="C40" s="140" t="s">
        <v>534</v>
      </c>
      <c r="D40" s="140" t="s">
        <v>19</v>
      </c>
      <c r="E40" s="140" t="s">
        <v>48</v>
      </c>
      <c r="F40" s="140" t="s">
        <v>31</v>
      </c>
      <c r="G40" s="140" t="s">
        <v>80</v>
      </c>
      <c r="H40" s="140" t="s">
        <v>42</v>
      </c>
      <c r="I40" s="140" t="s">
        <v>74</v>
      </c>
      <c r="J40" s="140" t="s">
        <v>55</v>
      </c>
      <c r="K40" s="140" t="s">
        <v>68</v>
      </c>
    </row>
    <row r="41" spans="1:11" ht="12.75" customHeight="1" x14ac:dyDescent="0.3">
      <c r="A41" s="140">
        <v>40</v>
      </c>
      <c r="B41" s="140" t="s">
        <v>535</v>
      </c>
      <c r="C41" s="140" t="s">
        <v>536</v>
      </c>
      <c r="D41" s="140" t="s">
        <v>19</v>
      </c>
      <c r="E41" s="140" t="s">
        <v>48</v>
      </c>
      <c r="F41" s="140" t="s">
        <v>31</v>
      </c>
      <c r="G41" s="140" t="s">
        <v>80</v>
      </c>
      <c r="H41" s="140" t="s">
        <v>42</v>
      </c>
      <c r="I41" s="140" t="s">
        <v>62</v>
      </c>
      <c r="J41" s="140" t="s">
        <v>55</v>
      </c>
      <c r="K41" s="140" t="s">
        <v>20</v>
      </c>
    </row>
    <row r="42" spans="1:11" ht="12.75" customHeight="1" x14ac:dyDescent="0.3">
      <c r="A42" s="140">
        <v>41</v>
      </c>
      <c r="B42" s="140" t="s">
        <v>537</v>
      </c>
      <c r="C42" s="140" t="s">
        <v>538</v>
      </c>
      <c r="D42" s="140" t="s">
        <v>19</v>
      </c>
      <c r="E42" s="140" t="s">
        <v>48</v>
      </c>
      <c r="F42" s="140" t="s">
        <v>31</v>
      </c>
      <c r="G42" s="140" t="s">
        <v>42</v>
      </c>
      <c r="H42" s="140" t="s">
        <v>74</v>
      </c>
      <c r="I42" s="140" t="s">
        <v>62</v>
      </c>
      <c r="J42" s="140" t="s">
        <v>55</v>
      </c>
      <c r="K42" s="140" t="s">
        <v>20</v>
      </c>
    </row>
    <row r="43" spans="1:11" ht="12.75" customHeight="1" x14ac:dyDescent="0.3">
      <c r="A43" s="140">
        <v>42</v>
      </c>
      <c r="B43" s="140" t="s">
        <v>539</v>
      </c>
      <c r="C43" s="140" t="s">
        <v>540</v>
      </c>
      <c r="D43" s="140" t="s">
        <v>19</v>
      </c>
      <c r="E43" s="140" t="s">
        <v>48</v>
      </c>
      <c r="F43" s="140" t="s">
        <v>31</v>
      </c>
      <c r="G43" s="140" t="s">
        <v>80</v>
      </c>
      <c r="H43" s="140" t="s">
        <v>74</v>
      </c>
      <c r="I43" s="140" t="s">
        <v>62</v>
      </c>
      <c r="J43" s="140" t="s">
        <v>55</v>
      </c>
      <c r="K43" s="140" t="s">
        <v>42</v>
      </c>
    </row>
    <row r="44" spans="1:11" ht="12.75" customHeight="1" x14ac:dyDescent="0.3">
      <c r="A44" s="140">
        <v>43</v>
      </c>
      <c r="B44" s="140" t="s">
        <v>541</v>
      </c>
      <c r="C44" s="140" t="s">
        <v>542</v>
      </c>
      <c r="D44" s="140" t="s">
        <v>19</v>
      </c>
      <c r="E44" s="140" t="s">
        <v>48</v>
      </c>
      <c r="F44" s="140" t="s">
        <v>31</v>
      </c>
      <c r="G44" s="140" t="s">
        <v>68</v>
      </c>
      <c r="H44" s="140" t="s">
        <v>42</v>
      </c>
      <c r="I44" s="140" t="s">
        <v>62</v>
      </c>
      <c r="J44" s="140" t="s">
        <v>55</v>
      </c>
      <c r="K44" s="140" t="s">
        <v>20</v>
      </c>
    </row>
    <row r="45" spans="1:11" ht="12.75" customHeight="1" x14ac:dyDescent="0.3">
      <c r="A45" s="140">
        <v>44</v>
      </c>
      <c r="B45" s="140" t="s">
        <v>543</v>
      </c>
      <c r="C45" s="140" t="s">
        <v>544</v>
      </c>
      <c r="D45" s="140" t="s">
        <v>19</v>
      </c>
      <c r="E45" s="140" t="s">
        <v>48</v>
      </c>
      <c r="F45" s="140" t="s">
        <v>31</v>
      </c>
      <c r="G45" s="140" t="s">
        <v>80</v>
      </c>
      <c r="H45" s="140" t="s">
        <v>42</v>
      </c>
      <c r="I45" s="140" t="s">
        <v>62</v>
      </c>
      <c r="J45" s="140" t="s">
        <v>55</v>
      </c>
      <c r="K45" s="140" t="s">
        <v>68</v>
      </c>
    </row>
    <row r="46" spans="1:11" ht="12.75" customHeight="1" x14ac:dyDescent="0.3">
      <c r="A46" s="140">
        <v>45</v>
      </c>
      <c r="B46" s="140" t="s">
        <v>545</v>
      </c>
      <c r="C46" s="140" t="s">
        <v>546</v>
      </c>
      <c r="D46" s="140" t="s">
        <v>19</v>
      </c>
      <c r="E46" s="140" t="s">
        <v>48</v>
      </c>
      <c r="F46" s="140" t="s">
        <v>31</v>
      </c>
      <c r="G46" s="140" t="s">
        <v>68</v>
      </c>
      <c r="H46" s="140" t="s">
        <v>74</v>
      </c>
      <c r="I46" s="140" t="s">
        <v>62</v>
      </c>
      <c r="J46" s="140" t="s">
        <v>55</v>
      </c>
      <c r="K46" s="140" t="s">
        <v>42</v>
      </c>
    </row>
    <row r="47" spans="1:11" ht="12.75" customHeight="1" x14ac:dyDescent="0.3">
      <c r="A47" s="140">
        <v>46</v>
      </c>
      <c r="B47" s="140" t="s">
        <v>547</v>
      </c>
      <c r="C47" s="140" t="s">
        <v>548</v>
      </c>
      <c r="D47" s="140" t="s">
        <v>48</v>
      </c>
      <c r="E47" s="140" t="s">
        <v>55</v>
      </c>
      <c r="F47" s="140" t="s">
        <v>62</v>
      </c>
      <c r="G47" s="140" t="s">
        <v>80</v>
      </c>
      <c r="H47" s="140" t="s">
        <v>25</v>
      </c>
      <c r="I47" s="140" t="s">
        <v>68</v>
      </c>
      <c r="J47" s="140" t="s">
        <v>74</v>
      </c>
      <c r="K47" s="140" t="s">
        <v>20</v>
      </c>
    </row>
    <row r="48" spans="1:11" ht="12.75" customHeight="1" x14ac:dyDescent="0.3">
      <c r="A48" s="140">
        <v>47</v>
      </c>
      <c r="B48" s="140" t="s">
        <v>549</v>
      </c>
      <c r="C48" s="140" t="s">
        <v>550</v>
      </c>
      <c r="D48" s="140" t="s">
        <v>25</v>
      </c>
      <c r="E48" s="140" t="s">
        <v>55</v>
      </c>
      <c r="F48" s="140" t="s">
        <v>42</v>
      </c>
      <c r="G48" s="140" t="s">
        <v>80</v>
      </c>
      <c r="H48" s="140" t="s">
        <v>68</v>
      </c>
      <c r="I48" s="140" t="s">
        <v>62</v>
      </c>
      <c r="J48" s="140" t="s">
        <v>74</v>
      </c>
      <c r="K48" s="140" t="s">
        <v>20</v>
      </c>
    </row>
    <row r="49" spans="1:11" ht="12.75" customHeight="1" x14ac:dyDescent="0.3">
      <c r="A49" s="140">
        <v>48</v>
      </c>
      <c r="B49" s="140" t="s">
        <v>551</v>
      </c>
      <c r="C49" s="140" t="s">
        <v>552</v>
      </c>
      <c r="D49" s="140" t="s">
        <v>48</v>
      </c>
      <c r="E49" s="140" t="s">
        <v>62</v>
      </c>
      <c r="F49" s="140" t="s">
        <v>42</v>
      </c>
      <c r="G49" s="140" t="s">
        <v>80</v>
      </c>
      <c r="H49" s="140" t="s">
        <v>25</v>
      </c>
      <c r="I49" s="140" t="s">
        <v>68</v>
      </c>
      <c r="J49" s="140" t="s">
        <v>74</v>
      </c>
      <c r="K49" s="140" t="s">
        <v>20</v>
      </c>
    </row>
    <row r="50" spans="1:11" ht="12.75" customHeight="1" x14ac:dyDescent="0.3">
      <c r="A50" s="140">
        <v>49</v>
      </c>
      <c r="B50" s="140" t="s">
        <v>553</v>
      </c>
      <c r="C50" s="140" t="s">
        <v>554</v>
      </c>
      <c r="D50" s="140" t="s">
        <v>48</v>
      </c>
      <c r="E50" s="140" t="s">
        <v>55</v>
      </c>
      <c r="F50" s="140" t="s">
        <v>42</v>
      </c>
      <c r="G50" s="140" t="s">
        <v>80</v>
      </c>
      <c r="H50" s="140" t="s">
        <v>25</v>
      </c>
      <c r="I50" s="140" t="s">
        <v>68</v>
      </c>
      <c r="J50" s="140" t="s">
        <v>74</v>
      </c>
      <c r="K50" s="140" t="s">
        <v>20</v>
      </c>
    </row>
    <row r="51" spans="1:11" ht="12.75" customHeight="1" x14ac:dyDescent="0.3">
      <c r="A51" s="140">
        <v>50</v>
      </c>
      <c r="B51" s="140" t="s">
        <v>555</v>
      </c>
      <c r="C51" s="140" t="s">
        <v>556</v>
      </c>
      <c r="D51" s="140" t="s">
        <v>48</v>
      </c>
      <c r="E51" s="140" t="s">
        <v>55</v>
      </c>
      <c r="F51" s="140" t="s">
        <v>42</v>
      </c>
      <c r="G51" s="140" t="s">
        <v>80</v>
      </c>
      <c r="H51" s="140" t="s">
        <v>25</v>
      </c>
      <c r="I51" s="140" t="s">
        <v>62</v>
      </c>
      <c r="J51" s="140" t="s">
        <v>74</v>
      </c>
      <c r="K51" s="140" t="s">
        <v>20</v>
      </c>
    </row>
    <row r="52" spans="1:11" ht="12.75" customHeight="1" x14ac:dyDescent="0.3">
      <c r="A52" s="140">
        <v>51</v>
      </c>
      <c r="B52" s="140" t="s">
        <v>557</v>
      </c>
      <c r="C52" s="140" t="s">
        <v>558</v>
      </c>
      <c r="D52" s="140" t="s">
        <v>48</v>
      </c>
      <c r="E52" s="140" t="s">
        <v>62</v>
      </c>
      <c r="F52" s="140" t="s">
        <v>42</v>
      </c>
      <c r="G52" s="140" t="s">
        <v>80</v>
      </c>
      <c r="H52" s="140" t="s">
        <v>25</v>
      </c>
      <c r="I52" s="140" t="s">
        <v>68</v>
      </c>
      <c r="J52" s="140" t="s">
        <v>55</v>
      </c>
      <c r="K52" s="140" t="s">
        <v>20</v>
      </c>
    </row>
    <row r="53" spans="1:11" ht="12.75" customHeight="1" x14ac:dyDescent="0.3">
      <c r="A53" s="140">
        <v>52</v>
      </c>
      <c r="B53" s="140" t="s">
        <v>559</v>
      </c>
      <c r="C53" s="140" t="s">
        <v>560</v>
      </c>
      <c r="D53" s="140" t="s">
        <v>48</v>
      </c>
      <c r="E53" s="140" t="s">
        <v>55</v>
      </c>
      <c r="F53" s="140" t="s">
        <v>42</v>
      </c>
      <c r="G53" s="140" t="s">
        <v>68</v>
      </c>
      <c r="H53" s="140" t="s">
        <v>25</v>
      </c>
      <c r="I53" s="140" t="s">
        <v>62</v>
      </c>
      <c r="J53" s="140" t="s">
        <v>74</v>
      </c>
      <c r="K53" s="140" t="s">
        <v>20</v>
      </c>
    </row>
    <row r="54" spans="1:11" ht="12.75" customHeight="1" x14ac:dyDescent="0.3">
      <c r="A54" s="140">
        <v>53</v>
      </c>
      <c r="B54" s="140" t="s">
        <v>561</v>
      </c>
      <c r="C54" s="140" t="s">
        <v>562</v>
      </c>
      <c r="D54" s="140" t="s">
        <v>48</v>
      </c>
      <c r="E54" s="140" t="s">
        <v>55</v>
      </c>
      <c r="F54" s="140" t="s">
        <v>42</v>
      </c>
      <c r="G54" s="140" t="s">
        <v>80</v>
      </c>
      <c r="H54" s="140" t="s">
        <v>25</v>
      </c>
      <c r="I54" s="140" t="s">
        <v>62</v>
      </c>
      <c r="J54" s="140" t="s">
        <v>74</v>
      </c>
      <c r="K54" s="140" t="s">
        <v>68</v>
      </c>
    </row>
    <row r="55" spans="1:11" ht="12.75" customHeight="1" x14ac:dyDescent="0.3">
      <c r="A55" s="140">
        <v>54</v>
      </c>
      <c r="B55" s="140" t="s">
        <v>563</v>
      </c>
      <c r="C55" s="140" t="s">
        <v>564</v>
      </c>
      <c r="D55" s="140" t="s">
        <v>19</v>
      </c>
      <c r="E55" s="140" t="s">
        <v>55</v>
      </c>
      <c r="F55" s="140" t="s">
        <v>62</v>
      </c>
      <c r="G55" s="140" t="s">
        <v>80</v>
      </c>
      <c r="H55" s="140" t="s">
        <v>25</v>
      </c>
      <c r="I55" s="140" t="s">
        <v>68</v>
      </c>
      <c r="J55" s="140" t="s">
        <v>74</v>
      </c>
      <c r="K55" s="140" t="s">
        <v>20</v>
      </c>
    </row>
    <row r="56" spans="1:11" ht="12.75" customHeight="1" x14ac:dyDescent="0.3">
      <c r="A56" s="140">
        <v>55</v>
      </c>
      <c r="B56" s="140" t="s">
        <v>565</v>
      </c>
      <c r="C56" s="140" t="s">
        <v>566</v>
      </c>
      <c r="D56" s="140" t="s">
        <v>19</v>
      </c>
      <c r="E56" s="140" t="s">
        <v>48</v>
      </c>
      <c r="F56" s="140" t="s">
        <v>62</v>
      </c>
      <c r="G56" s="140" t="s">
        <v>80</v>
      </c>
      <c r="H56" s="140" t="s">
        <v>25</v>
      </c>
      <c r="I56" s="140" t="s">
        <v>68</v>
      </c>
      <c r="J56" s="140" t="s">
        <v>74</v>
      </c>
      <c r="K56" s="140" t="s">
        <v>20</v>
      </c>
    </row>
    <row r="57" spans="1:11" ht="12.75" customHeight="1" x14ac:dyDescent="0.3">
      <c r="A57" s="140">
        <v>56</v>
      </c>
      <c r="B57" s="140" t="s">
        <v>567</v>
      </c>
      <c r="C57" s="140" t="s">
        <v>568</v>
      </c>
      <c r="D57" s="140" t="s">
        <v>19</v>
      </c>
      <c r="E57" s="140" t="s">
        <v>48</v>
      </c>
      <c r="F57" s="140" t="s">
        <v>68</v>
      </c>
      <c r="G57" s="140" t="s">
        <v>80</v>
      </c>
      <c r="H57" s="140" t="s">
        <v>25</v>
      </c>
      <c r="I57" s="140" t="s">
        <v>74</v>
      </c>
      <c r="J57" s="140" t="s">
        <v>55</v>
      </c>
      <c r="K57" s="140" t="s">
        <v>20</v>
      </c>
    </row>
    <row r="58" spans="1:11" ht="12.75" customHeight="1" x14ac:dyDescent="0.3">
      <c r="A58" s="140">
        <v>57</v>
      </c>
      <c r="B58" s="140" t="s">
        <v>569</v>
      </c>
      <c r="C58" s="140" t="s">
        <v>570</v>
      </c>
      <c r="D58" s="140" t="s">
        <v>19</v>
      </c>
      <c r="E58" s="140" t="s">
        <v>48</v>
      </c>
      <c r="F58" s="140" t="s">
        <v>62</v>
      </c>
      <c r="G58" s="140" t="s">
        <v>80</v>
      </c>
      <c r="H58" s="140" t="s">
        <v>25</v>
      </c>
      <c r="I58" s="140" t="s">
        <v>74</v>
      </c>
      <c r="J58" s="140" t="s">
        <v>55</v>
      </c>
      <c r="K58" s="140" t="s">
        <v>20</v>
      </c>
    </row>
    <row r="59" spans="1:11" ht="12.75" customHeight="1" x14ac:dyDescent="0.3">
      <c r="A59" s="140">
        <v>58</v>
      </c>
      <c r="B59" s="140" t="s">
        <v>571</v>
      </c>
      <c r="C59" s="140" t="s">
        <v>572</v>
      </c>
      <c r="D59" s="140" t="s">
        <v>19</v>
      </c>
      <c r="E59" s="140" t="s">
        <v>48</v>
      </c>
      <c r="F59" s="140" t="s">
        <v>62</v>
      </c>
      <c r="G59" s="140" t="s">
        <v>80</v>
      </c>
      <c r="H59" s="140" t="s">
        <v>25</v>
      </c>
      <c r="I59" s="140" t="s">
        <v>68</v>
      </c>
      <c r="J59" s="140" t="s">
        <v>55</v>
      </c>
      <c r="K59" s="140" t="s">
        <v>20</v>
      </c>
    </row>
    <row r="60" spans="1:11" ht="12.75" customHeight="1" x14ac:dyDescent="0.3">
      <c r="A60" s="140">
        <v>59</v>
      </c>
      <c r="B60" s="140" t="s">
        <v>573</v>
      </c>
      <c r="C60" s="140" t="s">
        <v>574</v>
      </c>
      <c r="D60" s="140" t="s">
        <v>19</v>
      </c>
      <c r="E60" s="140" t="s">
        <v>48</v>
      </c>
      <c r="F60" s="140" t="s">
        <v>62</v>
      </c>
      <c r="G60" s="140" t="s">
        <v>68</v>
      </c>
      <c r="H60" s="140" t="s">
        <v>25</v>
      </c>
      <c r="I60" s="140" t="s">
        <v>74</v>
      </c>
      <c r="J60" s="140" t="s">
        <v>55</v>
      </c>
      <c r="K60" s="140" t="s">
        <v>20</v>
      </c>
    </row>
    <row r="61" spans="1:11" ht="12.75" customHeight="1" x14ac:dyDescent="0.3">
      <c r="A61" s="140">
        <v>60</v>
      </c>
      <c r="B61" s="140" t="s">
        <v>575</v>
      </c>
      <c r="C61" s="140" t="s">
        <v>576</v>
      </c>
      <c r="D61" s="140" t="s">
        <v>19</v>
      </c>
      <c r="E61" s="140" t="s">
        <v>48</v>
      </c>
      <c r="F61" s="140" t="s">
        <v>62</v>
      </c>
      <c r="G61" s="140" t="s">
        <v>80</v>
      </c>
      <c r="H61" s="140" t="s">
        <v>25</v>
      </c>
      <c r="I61" s="140" t="s">
        <v>74</v>
      </c>
      <c r="J61" s="140" t="s">
        <v>55</v>
      </c>
      <c r="K61" s="140" t="s">
        <v>68</v>
      </c>
    </row>
    <row r="62" spans="1:11" ht="12.75" customHeight="1" x14ac:dyDescent="0.3">
      <c r="A62" s="140">
        <v>61</v>
      </c>
      <c r="B62" s="140" t="s">
        <v>577</v>
      </c>
      <c r="C62" s="140" t="s">
        <v>578</v>
      </c>
      <c r="D62" s="140" t="s">
        <v>19</v>
      </c>
      <c r="E62" s="140" t="s">
        <v>62</v>
      </c>
      <c r="F62" s="140" t="s">
        <v>42</v>
      </c>
      <c r="G62" s="140" t="s">
        <v>80</v>
      </c>
      <c r="H62" s="140" t="s">
        <v>25</v>
      </c>
      <c r="I62" s="140" t="s">
        <v>68</v>
      </c>
      <c r="J62" s="140" t="s">
        <v>74</v>
      </c>
      <c r="K62" s="140" t="s">
        <v>20</v>
      </c>
    </row>
    <row r="63" spans="1:11" ht="12.75" customHeight="1" x14ac:dyDescent="0.3">
      <c r="A63" s="140">
        <v>62</v>
      </c>
      <c r="B63" s="140" t="s">
        <v>579</v>
      </c>
      <c r="C63" s="140" t="s">
        <v>580</v>
      </c>
      <c r="D63" s="140" t="s">
        <v>19</v>
      </c>
      <c r="E63" s="140" t="s">
        <v>55</v>
      </c>
      <c r="F63" s="140" t="s">
        <v>42</v>
      </c>
      <c r="G63" s="140" t="s">
        <v>80</v>
      </c>
      <c r="H63" s="140" t="s">
        <v>25</v>
      </c>
      <c r="I63" s="140" t="s">
        <v>68</v>
      </c>
      <c r="J63" s="140" t="s">
        <v>74</v>
      </c>
      <c r="K63" s="140" t="s">
        <v>20</v>
      </c>
    </row>
    <row r="64" spans="1:11" ht="12.75" customHeight="1" x14ac:dyDescent="0.3">
      <c r="A64" s="140">
        <v>63</v>
      </c>
      <c r="B64" s="140" t="s">
        <v>581</v>
      </c>
      <c r="C64" s="140" t="s">
        <v>582</v>
      </c>
      <c r="D64" s="140" t="s">
        <v>19</v>
      </c>
      <c r="E64" s="140" t="s">
        <v>55</v>
      </c>
      <c r="F64" s="140" t="s">
        <v>42</v>
      </c>
      <c r="G64" s="140" t="s">
        <v>80</v>
      </c>
      <c r="H64" s="140" t="s">
        <v>25</v>
      </c>
      <c r="I64" s="140" t="s">
        <v>62</v>
      </c>
      <c r="J64" s="140" t="s">
        <v>74</v>
      </c>
      <c r="K64" s="140" t="s">
        <v>20</v>
      </c>
    </row>
    <row r="65" spans="1:11" ht="12.75" customHeight="1" x14ac:dyDescent="0.3">
      <c r="A65" s="140">
        <v>64</v>
      </c>
      <c r="B65" s="140" t="s">
        <v>583</v>
      </c>
      <c r="C65" s="140" t="s">
        <v>584</v>
      </c>
      <c r="D65" s="140" t="s">
        <v>19</v>
      </c>
      <c r="E65" s="140" t="s">
        <v>62</v>
      </c>
      <c r="F65" s="140" t="s">
        <v>42</v>
      </c>
      <c r="G65" s="140" t="s">
        <v>80</v>
      </c>
      <c r="H65" s="140" t="s">
        <v>25</v>
      </c>
      <c r="I65" s="140" t="s">
        <v>68</v>
      </c>
      <c r="J65" s="140" t="s">
        <v>55</v>
      </c>
      <c r="K65" s="140" t="s">
        <v>20</v>
      </c>
    </row>
    <row r="66" spans="1:11" ht="12.75" customHeight="1" x14ac:dyDescent="0.3">
      <c r="A66" s="140">
        <v>65</v>
      </c>
      <c r="B66" s="140" t="s">
        <v>585</v>
      </c>
      <c r="C66" s="140" t="s">
        <v>586</v>
      </c>
      <c r="D66" s="140" t="s">
        <v>19</v>
      </c>
      <c r="E66" s="140" t="s">
        <v>55</v>
      </c>
      <c r="F66" s="140" t="s">
        <v>42</v>
      </c>
      <c r="G66" s="140" t="s">
        <v>68</v>
      </c>
      <c r="H66" s="140" t="s">
        <v>25</v>
      </c>
      <c r="I66" s="140" t="s">
        <v>62</v>
      </c>
      <c r="J66" s="140" t="s">
        <v>74</v>
      </c>
      <c r="K66" s="140" t="s">
        <v>20</v>
      </c>
    </row>
    <row r="67" spans="1:11" ht="12.75" customHeight="1" x14ac:dyDescent="0.3">
      <c r="A67" s="140">
        <v>66</v>
      </c>
      <c r="B67" s="140" t="s">
        <v>587</v>
      </c>
      <c r="C67" s="140" t="s">
        <v>588</v>
      </c>
      <c r="D67" s="140" t="s">
        <v>19</v>
      </c>
      <c r="E67" s="140" t="s">
        <v>55</v>
      </c>
      <c r="F67" s="140" t="s">
        <v>42</v>
      </c>
      <c r="G67" s="140" t="s">
        <v>80</v>
      </c>
      <c r="H67" s="140" t="s">
        <v>25</v>
      </c>
      <c r="I67" s="140" t="s">
        <v>62</v>
      </c>
      <c r="J67" s="140" t="s">
        <v>74</v>
      </c>
      <c r="K67" s="140" t="s">
        <v>68</v>
      </c>
    </row>
    <row r="68" spans="1:11" ht="12.75" customHeight="1" x14ac:dyDescent="0.3">
      <c r="A68" s="140">
        <v>67</v>
      </c>
      <c r="B68" s="140" t="s">
        <v>589</v>
      </c>
      <c r="C68" s="140" t="s">
        <v>590</v>
      </c>
      <c r="D68" s="140" t="s">
        <v>19</v>
      </c>
      <c r="E68" s="140" t="s">
        <v>48</v>
      </c>
      <c r="F68" s="140" t="s">
        <v>42</v>
      </c>
      <c r="G68" s="140" t="s">
        <v>80</v>
      </c>
      <c r="H68" s="140" t="s">
        <v>25</v>
      </c>
      <c r="I68" s="140" t="s">
        <v>68</v>
      </c>
      <c r="J68" s="140" t="s">
        <v>74</v>
      </c>
      <c r="K68" s="140" t="s">
        <v>20</v>
      </c>
    </row>
    <row r="69" spans="1:11" ht="12.75" customHeight="1" x14ac:dyDescent="0.3">
      <c r="A69" s="140">
        <v>68</v>
      </c>
      <c r="B69" s="140" t="s">
        <v>591</v>
      </c>
      <c r="C69" s="140" t="s">
        <v>592</v>
      </c>
      <c r="D69" s="140" t="s">
        <v>19</v>
      </c>
      <c r="E69" s="140" t="s">
        <v>48</v>
      </c>
      <c r="F69" s="140" t="s">
        <v>42</v>
      </c>
      <c r="G69" s="140" t="s">
        <v>80</v>
      </c>
      <c r="H69" s="140" t="s">
        <v>25</v>
      </c>
      <c r="I69" s="140" t="s">
        <v>62</v>
      </c>
      <c r="J69" s="140" t="s">
        <v>74</v>
      </c>
      <c r="K69" s="140" t="s">
        <v>20</v>
      </c>
    </row>
    <row r="70" spans="1:11" ht="12.75" customHeight="1" x14ac:dyDescent="0.3">
      <c r="A70" s="140">
        <v>69</v>
      </c>
      <c r="B70" s="140" t="s">
        <v>593</v>
      </c>
      <c r="C70" s="140" t="s">
        <v>594</v>
      </c>
      <c r="D70" s="140" t="s">
        <v>19</v>
      </c>
      <c r="E70" s="140" t="s">
        <v>48</v>
      </c>
      <c r="F70" s="140" t="s">
        <v>42</v>
      </c>
      <c r="G70" s="140" t="s">
        <v>80</v>
      </c>
      <c r="H70" s="140" t="s">
        <v>25</v>
      </c>
      <c r="I70" s="140" t="s">
        <v>62</v>
      </c>
      <c r="J70" s="140" t="s">
        <v>68</v>
      </c>
      <c r="K70" s="140" t="s">
        <v>20</v>
      </c>
    </row>
    <row r="71" spans="1:11" ht="12.75" customHeight="1" x14ac:dyDescent="0.3">
      <c r="A71" s="140">
        <v>70</v>
      </c>
      <c r="B71" s="140" t="s">
        <v>595</v>
      </c>
      <c r="C71" s="140" t="s">
        <v>596</v>
      </c>
      <c r="D71" s="140" t="s">
        <v>19</v>
      </c>
      <c r="E71" s="140" t="s">
        <v>48</v>
      </c>
      <c r="F71" s="140" t="s">
        <v>42</v>
      </c>
      <c r="G71" s="140" t="s">
        <v>68</v>
      </c>
      <c r="H71" s="140" t="s">
        <v>25</v>
      </c>
      <c r="I71" s="140" t="s">
        <v>62</v>
      </c>
      <c r="J71" s="140" t="s">
        <v>74</v>
      </c>
      <c r="K71" s="140" t="s">
        <v>20</v>
      </c>
    </row>
    <row r="72" spans="1:11" ht="12.75" customHeight="1" x14ac:dyDescent="0.3">
      <c r="A72" s="140">
        <v>71</v>
      </c>
      <c r="B72" s="140" t="s">
        <v>597</v>
      </c>
      <c r="C72" s="140" t="s">
        <v>598</v>
      </c>
      <c r="D72" s="140" t="s">
        <v>19</v>
      </c>
      <c r="E72" s="140" t="s">
        <v>48</v>
      </c>
      <c r="F72" s="140" t="s">
        <v>42</v>
      </c>
      <c r="G72" s="140" t="s">
        <v>80</v>
      </c>
      <c r="H72" s="140" t="s">
        <v>25</v>
      </c>
      <c r="I72" s="140" t="s">
        <v>62</v>
      </c>
      <c r="J72" s="140" t="s">
        <v>74</v>
      </c>
      <c r="K72" s="140" t="s">
        <v>68</v>
      </c>
    </row>
    <row r="73" spans="1:11" ht="12.75" customHeight="1" x14ac:dyDescent="0.3">
      <c r="A73" s="140">
        <v>72</v>
      </c>
      <c r="B73" s="140" t="s">
        <v>599</v>
      </c>
      <c r="C73" s="140" t="s">
        <v>600</v>
      </c>
      <c r="D73" s="140" t="s">
        <v>19</v>
      </c>
      <c r="E73" s="140" t="s">
        <v>48</v>
      </c>
      <c r="F73" s="140" t="s">
        <v>42</v>
      </c>
      <c r="G73" s="140" t="s">
        <v>80</v>
      </c>
      <c r="H73" s="140" t="s">
        <v>25</v>
      </c>
      <c r="I73" s="140" t="s">
        <v>74</v>
      </c>
      <c r="J73" s="140" t="s">
        <v>55</v>
      </c>
      <c r="K73" s="140" t="s">
        <v>20</v>
      </c>
    </row>
    <row r="74" spans="1:11" ht="12.75" customHeight="1" x14ac:dyDescent="0.3">
      <c r="A74" s="140">
        <v>73</v>
      </c>
      <c r="B74" s="140" t="s">
        <v>601</v>
      </c>
      <c r="C74" s="140" t="s">
        <v>602</v>
      </c>
      <c r="D74" s="140" t="s">
        <v>19</v>
      </c>
      <c r="E74" s="140" t="s">
        <v>48</v>
      </c>
      <c r="F74" s="140" t="s">
        <v>42</v>
      </c>
      <c r="G74" s="140" t="s">
        <v>80</v>
      </c>
      <c r="H74" s="140" t="s">
        <v>25</v>
      </c>
      <c r="I74" s="140" t="s">
        <v>68</v>
      </c>
      <c r="J74" s="140" t="s">
        <v>55</v>
      </c>
      <c r="K74" s="140" t="s">
        <v>20</v>
      </c>
    </row>
    <row r="75" spans="1:11" ht="12.75" customHeight="1" x14ac:dyDescent="0.3">
      <c r="A75" s="140">
        <v>74</v>
      </c>
      <c r="B75" s="140" t="s">
        <v>603</v>
      </c>
      <c r="C75" s="140" t="s">
        <v>604</v>
      </c>
      <c r="D75" s="140" t="s">
        <v>19</v>
      </c>
      <c r="E75" s="140" t="s">
        <v>48</v>
      </c>
      <c r="F75" s="140" t="s">
        <v>42</v>
      </c>
      <c r="G75" s="140" t="s">
        <v>68</v>
      </c>
      <c r="H75" s="140" t="s">
        <v>25</v>
      </c>
      <c r="I75" s="140" t="s">
        <v>74</v>
      </c>
      <c r="J75" s="140" t="s">
        <v>55</v>
      </c>
      <c r="K75" s="140" t="s">
        <v>20</v>
      </c>
    </row>
    <row r="76" spans="1:11" ht="12.75" customHeight="1" x14ac:dyDescent="0.3">
      <c r="A76" s="140">
        <v>75</v>
      </c>
      <c r="B76" s="140" t="s">
        <v>605</v>
      </c>
      <c r="C76" s="140" t="s">
        <v>606</v>
      </c>
      <c r="D76" s="140" t="s">
        <v>19</v>
      </c>
      <c r="E76" s="140" t="s">
        <v>48</v>
      </c>
      <c r="F76" s="140" t="s">
        <v>42</v>
      </c>
      <c r="G76" s="140" t="s">
        <v>80</v>
      </c>
      <c r="H76" s="140" t="s">
        <v>25</v>
      </c>
      <c r="I76" s="140" t="s">
        <v>74</v>
      </c>
      <c r="J76" s="140" t="s">
        <v>55</v>
      </c>
      <c r="K76" s="140" t="s">
        <v>68</v>
      </c>
    </row>
    <row r="77" spans="1:11" ht="12.75" customHeight="1" x14ac:dyDescent="0.3">
      <c r="A77" s="140">
        <v>76</v>
      </c>
      <c r="B77" s="140" t="s">
        <v>607</v>
      </c>
      <c r="C77" s="140" t="s">
        <v>608</v>
      </c>
      <c r="D77" s="140" t="s">
        <v>19</v>
      </c>
      <c r="E77" s="140" t="s">
        <v>48</v>
      </c>
      <c r="F77" s="140" t="s">
        <v>42</v>
      </c>
      <c r="G77" s="140" t="s">
        <v>80</v>
      </c>
      <c r="H77" s="140" t="s">
        <v>25</v>
      </c>
      <c r="I77" s="140" t="s">
        <v>62</v>
      </c>
      <c r="J77" s="140" t="s">
        <v>55</v>
      </c>
      <c r="K77" s="140" t="s">
        <v>20</v>
      </c>
    </row>
    <row r="78" spans="1:11" ht="12.75" customHeight="1" x14ac:dyDescent="0.3">
      <c r="A78" s="140">
        <v>77</v>
      </c>
      <c r="B78" s="140" t="s">
        <v>609</v>
      </c>
      <c r="C78" s="140" t="s">
        <v>610</v>
      </c>
      <c r="D78" s="140" t="s">
        <v>19</v>
      </c>
      <c r="E78" s="140" t="s">
        <v>48</v>
      </c>
      <c r="F78" s="140" t="s">
        <v>62</v>
      </c>
      <c r="G78" s="140" t="s">
        <v>42</v>
      </c>
      <c r="H78" s="140" t="s">
        <v>25</v>
      </c>
      <c r="I78" s="140" t="s">
        <v>74</v>
      </c>
      <c r="J78" s="140" t="s">
        <v>55</v>
      </c>
      <c r="K78" s="140" t="s">
        <v>20</v>
      </c>
    </row>
    <row r="79" spans="1:11" ht="12.75" customHeight="1" x14ac:dyDescent="0.3">
      <c r="A79" s="140">
        <v>78</v>
      </c>
      <c r="B79" s="140" t="s">
        <v>611</v>
      </c>
      <c r="C79" s="140" t="s">
        <v>612</v>
      </c>
      <c r="D79" s="140" t="s">
        <v>19</v>
      </c>
      <c r="E79" s="140" t="s">
        <v>48</v>
      </c>
      <c r="F79" s="140" t="s">
        <v>62</v>
      </c>
      <c r="G79" s="140" t="s">
        <v>80</v>
      </c>
      <c r="H79" s="140" t="s">
        <v>25</v>
      </c>
      <c r="I79" s="140" t="s">
        <v>74</v>
      </c>
      <c r="J79" s="140" t="s">
        <v>55</v>
      </c>
      <c r="K79" s="140" t="s">
        <v>42</v>
      </c>
    </row>
    <row r="80" spans="1:11" ht="12.75" customHeight="1" x14ac:dyDescent="0.3">
      <c r="A80" s="140">
        <v>79</v>
      </c>
      <c r="B80" s="140" t="s">
        <v>613</v>
      </c>
      <c r="C80" s="140" t="s">
        <v>614</v>
      </c>
      <c r="D80" s="140" t="s">
        <v>19</v>
      </c>
      <c r="E80" s="140" t="s">
        <v>48</v>
      </c>
      <c r="F80" s="140" t="s">
        <v>42</v>
      </c>
      <c r="G80" s="140" t="s">
        <v>68</v>
      </c>
      <c r="H80" s="140" t="s">
        <v>25</v>
      </c>
      <c r="I80" s="140" t="s">
        <v>62</v>
      </c>
      <c r="J80" s="140" t="s">
        <v>55</v>
      </c>
      <c r="K80" s="140" t="s">
        <v>20</v>
      </c>
    </row>
    <row r="81" spans="1:11" ht="12.75" customHeight="1" x14ac:dyDescent="0.3">
      <c r="A81" s="140">
        <v>80</v>
      </c>
      <c r="B81" s="140" t="s">
        <v>615</v>
      </c>
      <c r="C81" s="140" t="s">
        <v>616</v>
      </c>
      <c r="D81" s="140" t="s">
        <v>19</v>
      </c>
      <c r="E81" s="140" t="s">
        <v>48</v>
      </c>
      <c r="F81" s="140" t="s">
        <v>42</v>
      </c>
      <c r="G81" s="140" t="s">
        <v>80</v>
      </c>
      <c r="H81" s="140" t="s">
        <v>25</v>
      </c>
      <c r="I81" s="140" t="s">
        <v>62</v>
      </c>
      <c r="J81" s="140" t="s">
        <v>55</v>
      </c>
      <c r="K81" s="140" t="s">
        <v>68</v>
      </c>
    </row>
    <row r="82" spans="1:11" ht="12.75" customHeight="1" x14ac:dyDescent="0.3">
      <c r="A82" s="140">
        <v>81</v>
      </c>
      <c r="B82" s="140" t="s">
        <v>617</v>
      </c>
      <c r="C82" s="140" t="s">
        <v>618</v>
      </c>
      <c r="D82" s="140" t="s">
        <v>19</v>
      </c>
      <c r="E82" s="140" t="s">
        <v>48</v>
      </c>
      <c r="F82" s="140" t="s">
        <v>62</v>
      </c>
      <c r="G82" s="140" t="s">
        <v>68</v>
      </c>
      <c r="H82" s="140" t="s">
        <v>25</v>
      </c>
      <c r="I82" s="140" t="s">
        <v>74</v>
      </c>
      <c r="J82" s="140" t="s">
        <v>55</v>
      </c>
      <c r="K82" s="140" t="s">
        <v>42</v>
      </c>
    </row>
    <row r="83" spans="1:11" ht="12.75" customHeight="1" x14ac:dyDescent="0.3">
      <c r="A83" s="140">
        <v>82</v>
      </c>
      <c r="B83" s="140" t="s">
        <v>619</v>
      </c>
      <c r="C83" s="140" t="s">
        <v>620</v>
      </c>
      <c r="D83" s="140" t="s">
        <v>31</v>
      </c>
      <c r="E83" s="140" t="s">
        <v>55</v>
      </c>
      <c r="F83" s="140" t="s">
        <v>62</v>
      </c>
      <c r="G83" s="140" t="s">
        <v>80</v>
      </c>
      <c r="H83" s="140" t="s">
        <v>25</v>
      </c>
      <c r="I83" s="140" t="s">
        <v>68</v>
      </c>
      <c r="J83" s="140" t="s">
        <v>74</v>
      </c>
      <c r="K83" s="140" t="s">
        <v>20</v>
      </c>
    </row>
    <row r="84" spans="1:11" ht="12.75" customHeight="1" x14ac:dyDescent="0.3">
      <c r="A84" s="140">
        <v>83</v>
      </c>
      <c r="B84" s="140" t="s">
        <v>621</v>
      </c>
      <c r="C84" s="140" t="s">
        <v>622</v>
      </c>
      <c r="D84" s="140" t="s">
        <v>31</v>
      </c>
      <c r="E84" s="140" t="s">
        <v>48</v>
      </c>
      <c r="F84" s="140" t="s">
        <v>62</v>
      </c>
      <c r="G84" s="140" t="s">
        <v>80</v>
      </c>
      <c r="H84" s="140" t="s">
        <v>25</v>
      </c>
      <c r="I84" s="140" t="s">
        <v>68</v>
      </c>
      <c r="J84" s="140" t="s">
        <v>74</v>
      </c>
      <c r="K84" s="140" t="s">
        <v>20</v>
      </c>
    </row>
    <row r="85" spans="1:11" ht="12.75" customHeight="1" x14ac:dyDescent="0.3">
      <c r="A85" s="140">
        <v>84</v>
      </c>
      <c r="B85" s="140" t="s">
        <v>623</v>
      </c>
      <c r="C85" s="140" t="s">
        <v>624</v>
      </c>
      <c r="D85" s="140" t="s">
        <v>31</v>
      </c>
      <c r="E85" s="140" t="s">
        <v>48</v>
      </c>
      <c r="F85" s="140" t="s">
        <v>68</v>
      </c>
      <c r="G85" s="140" t="s">
        <v>80</v>
      </c>
      <c r="H85" s="140" t="s">
        <v>25</v>
      </c>
      <c r="I85" s="140" t="s">
        <v>74</v>
      </c>
      <c r="J85" s="140" t="s">
        <v>55</v>
      </c>
      <c r="K85" s="140" t="s">
        <v>20</v>
      </c>
    </row>
    <row r="86" spans="1:11" ht="12.75" customHeight="1" x14ac:dyDescent="0.3">
      <c r="A86" s="140">
        <v>85</v>
      </c>
      <c r="B86" s="140" t="s">
        <v>625</v>
      </c>
      <c r="C86" s="140" t="s">
        <v>626</v>
      </c>
      <c r="D86" s="140" t="s">
        <v>31</v>
      </c>
      <c r="E86" s="140" t="s">
        <v>48</v>
      </c>
      <c r="F86" s="140" t="s">
        <v>62</v>
      </c>
      <c r="G86" s="140" t="s">
        <v>80</v>
      </c>
      <c r="H86" s="140" t="s">
        <v>25</v>
      </c>
      <c r="I86" s="140" t="s">
        <v>74</v>
      </c>
      <c r="J86" s="140" t="s">
        <v>55</v>
      </c>
      <c r="K86" s="140" t="s">
        <v>20</v>
      </c>
    </row>
    <row r="87" spans="1:11" ht="12.75" customHeight="1" x14ac:dyDescent="0.3">
      <c r="A87" s="140">
        <v>86</v>
      </c>
      <c r="B87" s="140" t="s">
        <v>627</v>
      </c>
      <c r="C87" s="140" t="s">
        <v>628</v>
      </c>
      <c r="D87" s="140" t="s">
        <v>31</v>
      </c>
      <c r="E87" s="140" t="s">
        <v>48</v>
      </c>
      <c r="F87" s="140" t="s">
        <v>62</v>
      </c>
      <c r="G87" s="140" t="s">
        <v>80</v>
      </c>
      <c r="H87" s="140" t="s">
        <v>25</v>
      </c>
      <c r="I87" s="140" t="s">
        <v>68</v>
      </c>
      <c r="J87" s="140" t="s">
        <v>55</v>
      </c>
      <c r="K87" s="140" t="s">
        <v>20</v>
      </c>
    </row>
    <row r="88" spans="1:11" ht="12.75" customHeight="1" x14ac:dyDescent="0.3">
      <c r="A88" s="140">
        <v>87</v>
      </c>
      <c r="B88" s="140" t="s">
        <v>629</v>
      </c>
      <c r="C88" s="140" t="s">
        <v>630</v>
      </c>
      <c r="D88" s="140" t="s">
        <v>31</v>
      </c>
      <c r="E88" s="140" t="s">
        <v>48</v>
      </c>
      <c r="F88" s="140" t="s">
        <v>62</v>
      </c>
      <c r="G88" s="140" t="s">
        <v>68</v>
      </c>
      <c r="H88" s="140" t="s">
        <v>25</v>
      </c>
      <c r="I88" s="140" t="s">
        <v>74</v>
      </c>
      <c r="J88" s="140" t="s">
        <v>55</v>
      </c>
      <c r="K88" s="140" t="s">
        <v>20</v>
      </c>
    </row>
    <row r="89" spans="1:11" ht="12.75" customHeight="1" x14ac:dyDescent="0.3">
      <c r="A89" s="140">
        <v>88</v>
      </c>
      <c r="B89" s="140" t="s">
        <v>631</v>
      </c>
      <c r="C89" s="140" t="s">
        <v>632</v>
      </c>
      <c r="D89" s="140" t="s">
        <v>31</v>
      </c>
      <c r="E89" s="140" t="s">
        <v>48</v>
      </c>
      <c r="F89" s="140" t="s">
        <v>62</v>
      </c>
      <c r="G89" s="140" t="s">
        <v>80</v>
      </c>
      <c r="H89" s="140" t="s">
        <v>25</v>
      </c>
      <c r="I89" s="140" t="s">
        <v>74</v>
      </c>
      <c r="J89" s="140" t="s">
        <v>55</v>
      </c>
      <c r="K89" s="140" t="s">
        <v>68</v>
      </c>
    </row>
    <row r="90" spans="1:11" ht="12.75" customHeight="1" x14ac:dyDescent="0.3">
      <c r="A90" s="140">
        <v>89</v>
      </c>
      <c r="B90" s="140" t="s">
        <v>633</v>
      </c>
      <c r="C90" s="140" t="s">
        <v>634</v>
      </c>
      <c r="D90" s="140" t="s">
        <v>31</v>
      </c>
      <c r="E90" s="140" t="s">
        <v>62</v>
      </c>
      <c r="F90" s="140" t="s">
        <v>42</v>
      </c>
      <c r="G90" s="140" t="s">
        <v>80</v>
      </c>
      <c r="H90" s="140" t="s">
        <v>25</v>
      </c>
      <c r="I90" s="140" t="s">
        <v>68</v>
      </c>
      <c r="J90" s="140" t="s">
        <v>74</v>
      </c>
      <c r="K90" s="140" t="s">
        <v>20</v>
      </c>
    </row>
    <row r="91" spans="1:11" ht="12.75" customHeight="1" x14ac:dyDescent="0.3">
      <c r="A91" s="140">
        <v>90</v>
      </c>
      <c r="B91" s="140" t="s">
        <v>635</v>
      </c>
      <c r="C91" s="140" t="s">
        <v>636</v>
      </c>
      <c r="D91" s="140" t="s">
        <v>31</v>
      </c>
      <c r="E91" s="140" t="s">
        <v>55</v>
      </c>
      <c r="F91" s="140" t="s">
        <v>42</v>
      </c>
      <c r="G91" s="140" t="s">
        <v>80</v>
      </c>
      <c r="H91" s="140" t="s">
        <v>25</v>
      </c>
      <c r="I91" s="140" t="s">
        <v>68</v>
      </c>
      <c r="J91" s="140" t="s">
        <v>74</v>
      </c>
      <c r="K91" s="140" t="s">
        <v>20</v>
      </c>
    </row>
    <row r="92" spans="1:11" ht="12.75" customHeight="1" x14ac:dyDescent="0.3">
      <c r="A92" s="140">
        <v>91</v>
      </c>
      <c r="B92" s="140" t="s">
        <v>637</v>
      </c>
      <c r="C92" s="140" t="s">
        <v>638</v>
      </c>
      <c r="D92" s="140" t="s">
        <v>31</v>
      </c>
      <c r="E92" s="140" t="s">
        <v>55</v>
      </c>
      <c r="F92" s="140" t="s">
        <v>42</v>
      </c>
      <c r="G92" s="140" t="s">
        <v>80</v>
      </c>
      <c r="H92" s="140" t="s">
        <v>25</v>
      </c>
      <c r="I92" s="140" t="s">
        <v>62</v>
      </c>
      <c r="J92" s="140" t="s">
        <v>74</v>
      </c>
      <c r="K92" s="140" t="s">
        <v>20</v>
      </c>
    </row>
    <row r="93" spans="1:11" ht="12.75" customHeight="1" x14ac:dyDescent="0.3">
      <c r="A93" s="140">
        <v>92</v>
      </c>
      <c r="B93" s="140" t="s">
        <v>639</v>
      </c>
      <c r="C93" s="140" t="s">
        <v>640</v>
      </c>
      <c r="D93" s="140" t="s">
        <v>31</v>
      </c>
      <c r="E93" s="140" t="s">
        <v>62</v>
      </c>
      <c r="F93" s="140" t="s">
        <v>42</v>
      </c>
      <c r="G93" s="140" t="s">
        <v>80</v>
      </c>
      <c r="H93" s="140" t="s">
        <v>25</v>
      </c>
      <c r="I93" s="140" t="s">
        <v>68</v>
      </c>
      <c r="J93" s="140" t="s">
        <v>55</v>
      </c>
      <c r="K93" s="140" t="s">
        <v>20</v>
      </c>
    </row>
    <row r="94" spans="1:11" ht="12.75" customHeight="1" x14ac:dyDescent="0.3">
      <c r="A94" s="140">
        <v>93</v>
      </c>
      <c r="B94" s="140" t="s">
        <v>641</v>
      </c>
      <c r="C94" s="140" t="s">
        <v>642</v>
      </c>
      <c r="D94" s="140" t="s">
        <v>31</v>
      </c>
      <c r="E94" s="140" t="s">
        <v>55</v>
      </c>
      <c r="F94" s="140" t="s">
        <v>42</v>
      </c>
      <c r="G94" s="140" t="s">
        <v>68</v>
      </c>
      <c r="H94" s="140" t="s">
        <v>25</v>
      </c>
      <c r="I94" s="140" t="s">
        <v>62</v>
      </c>
      <c r="J94" s="140" t="s">
        <v>74</v>
      </c>
      <c r="K94" s="140" t="s">
        <v>20</v>
      </c>
    </row>
    <row r="95" spans="1:11" ht="12.75" customHeight="1" x14ac:dyDescent="0.3">
      <c r="A95" s="140">
        <v>94</v>
      </c>
      <c r="B95" s="140" t="s">
        <v>643</v>
      </c>
      <c r="C95" s="140" t="s">
        <v>644</v>
      </c>
      <c r="D95" s="140" t="s">
        <v>31</v>
      </c>
      <c r="E95" s="140" t="s">
        <v>55</v>
      </c>
      <c r="F95" s="140" t="s">
        <v>42</v>
      </c>
      <c r="G95" s="140" t="s">
        <v>80</v>
      </c>
      <c r="H95" s="140" t="s">
        <v>25</v>
      </c>
      <c r="I95" s="140" t="s">
        <v>62</v>
      </c>
      <c r="J95" s="140" t="s">
        <v>74</v>
      </c>
      <c r="K95" s="140" t="s">
        <v>68</v>
      </c>
    </row>
    <row r="96" spans="1:11" ht="12.75" customHeight="1" x14ac:dyDescent="0.3">
      <c r="A96" s="140">
        <v>95</v>
      </c>
      <c r="B96" s="140" t="s">
        <v>645</v>
      </c>
      <c r="C96" s="140" t="s">
        <v>646</v>
      </c>
      <c r="D96" s="140" t="s">
        <v>31</v>
      </c>
      <c r="E96" s="140" t="s">
        <v>48</v>
      </c>
      <c r="F96" s="140" t="s">
        <v>42</v>
      </c>
      <c r="G96" s="140" t="s">
        <v>80</v>
      </c>
      <c r="H96" s="140" t="s">
        <v>25</v>
      </c>
      <c r="I96" s="140" t="s">
        <v>68</v>
      </c>
      <c r="J96" s="140" t="s">
        <v>74</v>
      </c>
      <c r="K96" s="140" t="s">
        <v>20</v>
      </c>
    </row>
    <row r="97" spans="1:11" ht="12.75" customHeight="1" x14ac:dyDescent="0.3">
      <c r="A97" s="140">
        <v>96</v>
      </c>
      <c r="B97" s="140" t="s">
        <v>647</v>
      </c>
      <c r="C97" s="140" t="s">
        <v>648</v>
      </c>
      <c r="D97" s="140" t="s">
        <v>31</v>
      </c>
      <c r="E97" s="140" t="s">
        <v>48</v>
      </c>
      <c r="F97" s="140" t="s">
        <v>42</v>
      </c>
      <c r="G97" s="140" t="s">
        <v>80</v>
      </c>
      <c r="H97" s="140" t="s">
        <v>25</v>
      </c>
      <c r="I97" s="140" t="s">
        <v>62</v>
      </c>
      <c r="J97" s="140" t="s">
        <v>74</v>
      </c>
      <c r="K97" s="140" t="s">
        <v>20</v>
      </c>
    </row>
    <row r="98" spans="1:11" ht="12.75" customHeight="1" x14ac:dyDescent="0.3">
      <c r="A98" s="140">
        <v>97</v>
      </c>
      <c r="B98" s="140" t="s">
        <v>649</v>
      </c>
      <c r="C98" s="140" t="s">
        <v>650</v>
      </c>
      <c r="D98" s="140" t="s">
        <v>31</v>
      </c>
      <c r="E98" s="140" t="s">
        <v>48</v>
      </c>
      <c r="F98" s="140" t="s">
        <v>42</v>
      </c>
      <c r="G98" s="140" t="s">
        <v>80</v>
      </c>
      <c r="H98" s="140" t="s">
        <v>25</v>
      </c>
      <c r="I98" s="140" t="s">
        <v>62</v>
      </c>
      <c r="J98" s="140" t="s">
        <v>68</v>
      </c>
      <c r="K98" s="140" t="s">
        <v>20</v>
      </c>
    </row>
    <row r="99" spans="1:11" ht="12.75" customHeight="1" x14ac:dyDescent="0.3">
      <c r="A99" s="140">
        <v>98</v>
      </c>
      <c r="B99" s="140" t="s">
        <v>651</v>
      </c>
      <c r="C99" s="140" t="s">
        <v>652</v>
      </c>
      <c r="D99" s="140" t="s">
        <v>31</v>
      </c>
      <c r="E99" s="140" t="s">
        <v>48</v>
      </c>
      <c r="F99" s="140" t="s">
        <v>42</v>
      </c>
      <c r="G99" s="140" t="s">
        <v>68</v>
      </c>
      <c r="H99" s="140" t="s">
        <v>25</v>
      </c>
      <c r="I99" s="140" t="s">
        <v>62</v>
      </c>
      <c r="J99" s="140" t="s">
        <v>74</v>
      </c>
      <c r="K99" s="140" t="s">
        <v>20</v>
      </c>
    </row>
    <row r="100" spans="1:11" ht="12.75" customHeight="1" x14ac:dyDescent="0.3">
      <c r="A100" s="140">
        <v>99</v>
      </c>
      <c r="B100" s="140" t="s">
        <v>653</v>
      </c>
      <c r="C100" s="140" t="s">
        <v>654</v>
      </c>
      <c r="D100" s="140" t="s">
        <v>31</v>
      </c>
      <c r="E100" s="140" t="s">
        <v>48</v>
      </c>
      <c r="F100" s="140" t="s">
        <v>42</v>
      </c>
      <c r="G100" s="140" t="s">
        <v>80</v>
      </c>
      <c r="H100" s="140" t="s">
        <v>25</v>
      </c>
      <c r="I100" s="140" t="s">
        <v>62</v>
      </c>
      <c r="J100" s="140" t="s">
        <v>74</v>
      </c>
      <c r="K100" s="140" t="s">
        <v>68</v>
      </c>
    </row>
    <row r="101" spans="1:11" ht="12.75" customHeight="1" x14ac:dyDescent="0.3">
      <c r="A101" s="140">
        <v>100</v>
      </c>
      <c r="B101" s="140" t="s">
        <v>655</v>
      </c>
      <c r="C101" s="140" t="s">
        <v>656</v>
      </c>
      <c r="D101" s="140" t="s">
        <v>31</v>
      </c>
      <c r="E101" s="140" t="s">
        <v>48</v>
      </c>
      <c r="F101" s="140" t="s">
        <v>42</v>
      </c>
      <c r="G101" s="140" t="s">
        <v>80</v>
      </c>
      <c r="H101" s="140" t="s">
        <v>25</v>
      </c>
      <c r="I101" s="140" t="s">
        <v>74</v>
      </c>
      <c r="J101" s="140" t="s">
        <v>55</v>
      </c>
      <c r="K101" s="140" t="s">
        <v>20</v>
      </c>
    </row>
    <row r="102" spans="1:11" ht="12.75" customHeight="1" x14ac:dyDescent="0.3">
      <c r="A102" s="140">
        <v>101</v>
      </c>
      <c r="B102" s="140" t="s">
        <v>657</v>
      </c>
      <c r="C102" s="140" t="s">
        <v>658</v>
      </c>
      <c r="D102" s="140" t="s">
        <v>31</v>
      </c>
      <c r="E102" s="140" t="s">
        <v>48</v>
      </c>
      <c r="F102" s="140" t="s">
        <v>42</v>
      </c>
      <c r="G102" s="140" t="s">
        <v>80</v>
      </c>
      <c r="H102" s="140" t="s">
        <v>25</v>
      </c>
      <c r="I102" s="140" t="s">
        <v>68</v>
      </c>
      <c r="J102" s="140" t="s">
        <v>55</v>
      </c>
      <c r="K102" s="140" t="s">
        <v>20</v>
      </c>
    </row>
    <row r="103" spans="1:11" ht="12.75" customHeight="1" x14ac:dyDescent="0.3">
      <c r="A103" s="140">
        <v>102</v>
      </c>
      <c r="B103" s="140" t="s">
        <v>659</v>
      </c>
      <c r="C103" s="140" t="s">
        <v>660</v>
      </c>
      <c r="D103" s="140" t="s">
        <v>31</v>
      </c>
      <c r="E103" s="140" t="s">
        <v>48</v>
      </c>
      <c r="F103" s="140" t="s">
        <v>42</v>
      </c>
      <c r="G103" s="140" t="s">
        <v>68</v>
      </c>
      <c r="H103" s="140" t="s">
        <v>25</v>
      </c>
      <c r="I103" s="140" t="s">
        <v>74</v>
      </c>
      <c r="J103" s="140" t="s">
        <v>55</v>
      </c>
      <c r="K103" s="140" t="s">
        <v>20</v>
      </c>
    </row>
    <row r="104" spans="1:11" ht="12.75" customHeight="1" x14ac:dyDescent="0.3">
      <c r="A104" s="140">
        <v>103</v>
      </c>
      <c r="B104" s="140" t="s">
        <v>661</v>
      </c>
      <c r="C104" s="140" t="s">
        <v>662</v>
      </c>
      <c r="D104" s="140" t="s">
        <v>31</v>
      </c>
      <c r="E104" s="140" t="s">
        <v>48</v>
      </c>
      <c r="F104" s="140" t="s">
        <v>42</v>
      </c>
      <c r="G104" s="140" t="s">
        <v>80</v>
      </c>
      <c r="H104" s="140" t="s">
        <v>25</v>
      </c>
      <c r="I104" s="140" t="s">
        <v>74</v>
      </c>
      <c r="J104" s="140" t="s">
        <v>55</v>
      </c>
      <c r="K104" s="140" t="s">
        <v>68</v>
      </c>
    </row>
    <row r="105" spans="1:11" ht="12.75" customHeight="1" x14ac:dyDescent="0.3">
      <c r="A105" s="140">
        <v>104</v>
      </c>
      <c r="B105" s="140" t="s">
        <v>663</v>
      </c>
      <c r="C105" s="140" t="s">
        <v>664</v>
      </c>
      <c r="D105" s="140" t="s">
        <v>31</v>
      </c>
      <c r="E105" s="140" t="s">
        <v>48</v>
      </c>
      <c r="F105" s="140" t="s">
        <v>42</v>
      </c>
      <c r="G105" s="140" t="s">
        <v>80</v>
      </c>
      <c r="H105" s="140" t="s">
        <v>25</v>
      </c>
      <c r="I105" s="140" t="s">
        <v>62</v>
      </c>
      <c r="J105" s="140" t="s">
        <v>55</v>
      </c>
      <c r="K105" s="140" t="s">
        <v>20</v>
      </c>
    </row>
    <row r="106" spans="1:11" ht="12.75" customHeight="1" x14ac:dyDescent="0.3">
      <c r="A106" s="140">
        <v>105</v>
      </c>
      <c r="B106" s="140" t="s">
        <v>665</v>
      </c>
      <c r="C106" s="140" t="s">
        <v>666</v>
      </c>
      <c r="D106" s="140" t="s">
        <v>31</v>
      </c>
      <c r="E106" s="140" t="s">
        <v>48</v>
      </c>
      <c r="F106" s="140" t="s">
        <v>62</v>
      </c>
      <c r="G106" s="140" t="s">
        <v>42</v>
      </c>
      <c r="H106" s="140" t="s">
        <v>25</v>
      </c>
      <c r="I106" s="140" t="s">
        <v>74</v>
      </c>
      <c r="J106" s="140" t="s">
        <v>55</v>
      </c>
      <c r="K106" s="140" t="s">
        <v>20</v>
      </c>
    </row>
    <row r="107" spans="1:11" ht="12.75" customHeight="1" x14ac:dyDescent="0.3">
      <c r="A107" s="140">
        <v>106</v>
      </c>
      <c r="B107" s="140" t="s">
        <v>667</v>
      </c>
      <c r="C107" s="140" t="s">
        <v>668</v>
      </c>
      <c r="D107" s="140" t="s">
        <v>31</v>
      </c>
      <c r="E107" s="140" t="s">
        <v>48</v>
      </c>
      <c r="F107" s="140" t="s">
        <v>62</v>
      </c>
      <c r="G107" s="140" t="s">
        <v>80</v>
      </c>
      <c r="H107" s="140" t="s">
        <v>25</v>
      </c>
      <c r="I107" s="140" t="s">
        <v>74</v>
      </c>
      <c r="J107" s="140" t="s">
        <v>55</v>
      </c>
      <c r="K107" s="140" t="s">
        <v>42</v>
      </c>
    </row>
    <row r="108" spans="1:11" ht="12.75" customHeight="1" x14ac:dyDescent="0.3">
      <c r="A108" s="140">
        <v>107</v>
      </c>
      <c r="B108" s="140" t="s">
        <v>669</v>
      </c>
      <c r="C108" s="140" t="s">
        <v>670</v>
      </c>
      <c r="D108" s="140" t="s">
        <v>31</v>
      </c>
      <c r="E108" s="140" t="s">
        <v>48</v>
      </c>
      <c r="F108" s="140" t="s">
        <v>42</v>
      </c>
      <c r="G108" s="140" t="s">
        <v>68</v>
      </c>
      <c r="H108" s="140" t="s">
        <v>25</v>
      </c>
      <c r="I108" s="140" t="s">
        <v>62</v>
      </c>
      <c r="J108" s="140" t="s">
        <v>55</v>
      </c>
      <c r="K108" s="140" t="s">
        <v>20</v>
      </c>
    </row>
    <row r="109" spans="1:11" ht="12.75" customHeight="1" x14ac:dyDescent="0.3">
      <c r="A109" s="140">
        <v>108</v>
      </c>
      <c r="B109" s="140" t="s">
        <v>671</v>
      </c>
      <c r="C109" s="140" t="s">
        <v>672</v>
      </c>
      <c r="D109" s="140" t="s">
        <v>31</v>
      </c>
      <c r="E109" s="140" t="s">
        <v>48</v>
      </c>
      <c r="F109" s="140" t="s">
        <v>42</v>
      </c>
      <c r="G109" s="140" t="s">
        <v>80</v>
      </c>
      <c r="H109" s="140" t="s">
        <v>25</v>
      </c>
      <c r="I109" s="140" t="s">
        <v>62</v>
      </c>
      <c r="J109" s="140" t="s">
        <v>55</v>
      </c>
      <c r="K109" s="140" t="s">
        <v>68</v>
      </c>
    </row>
    <row r="110" spans="1:11" ht="12.75" customHeight="1" x14ac:dyDescent="0.3">
      <c r="A110" s="140">
        <v>109</v>
      </c>
      <c r="B110" s="140" t="s">
        <v>673</v>
      </c>
      <c r="C110" s="140" t="s">
        <v>674</v>
      </c>
      <c r="D110" s="140" t="s">
        <v>31</v>
      </c>
      <c r="E110" s="140" t="s">
        <v>48</v>
      </c>
      <c r="F110" s="140" t="s">
        <v>62</v>
      </c>
      <c r="G110" s="140" t="s">
        <v>68</v>
      </c>
      <c r="H110" s="140" t="s">
        <v>25</v>
      </c>
      <c r="I110" s="140" t="s">
        <v>74</v>
      </c>
      <c r="J110" s="140" t="s">
        <v>55</v>
      </c>
      <c r="K110" s="140" t="s">
        <v>42</v>
      </c>
    </row>
    <row r="111" spans="1:11" ht="12.75" customHeight="1" x14ac:dyDescent="0.3">
      <c r="A111" s="140">
        <v>110</v>
      </c>
      <c r="B111" s="140" t="s">
        <v>675</v>
      </c>
      <c r="C111" s="140" t="s">
        <v>676</v>
      </c>
      <c r="D111" s="140" t="s">
        <v>31</v>
      </c>
      <c r="E111" s="140" t="s">
        <v>19</v>
      </c>
      <c r="F111" s="140" t="s">
        <v>62</v>
      </c>
      <c r="G111" s="140" t="s">
        <v>80</v>
      </c>
      <c r="H111" s="140" t="s">
        <v>25</v>
      </c>
      <c r="I111" s="140" t="s">
        <v>68</v>
      </c>
      <c r="J111" s="140" t="s">
        <v>74</v>
      </c>
      <c r="K111" s="140" t="s">
        <v>20</v>
      </c>
    </row>
    <row r="112" spans="1:11" ht="12.75" customHeight="1" x14ac:dyDescent="0.3">
      <c r="A112" s="140">
        <v>111</v>
      </c>
      <c r="B112" s="140" t="s">
        <v>677</v>
      </c>
      <c r="C112" s="140" t="s">
        <v>678</v>
      </c>
      <c r="D112" s="140" t="s">
        <v>31</v>
      </c>
      <c r="E112" s="140" t="s">
        <v>19</v>
      </c>
      <c r="F112" s="140" t="s">
        <v>68</v>
      </c>
      <c r="G112" s="140" t="s">
        <v>80</v>
      </c>
      <c r="H112" s="140" t="s">
        <v>25</v>
      </c>
      <c r="I112" s="140" t="s">
        <v>74</v>
      </c>
      <c r="J112" s="140" t="s">
        <v>55</v>
      </c>
      <c r="K112" s="140" t="s">
        <v>20</v>
      </c>
    </row>
    <row r="113" spans="1:11" ht="12.75" customHeight="1" x14ac:dyDescent="0.3">
      <c r="A113" s="140">
        <v>112</v>
      </c>
      <c r="B113" s="140" t="s">
        <v>679</v>
      </c>
      <c r="C113" s="140" t="s">
        <v>680</v>
      </c>
      <c r="D113" s="140" t="s">
        <v>31</v>
      </c>
      <c r="E113" s="140" t="s">
        <v>19</v>
      </c>
      <c r="F113" s="140" t="s">
        <v>62</v>
      </c>
      <c r="G113" s="140" t="s">
        <v>80</v>
      </c>
      <c r="H113" s="140" t="s">
        <v>25</v>
      </c>
      <c r="I113" s="140" t="s">
        <v>74</v>
      </c>
      <c r="J113" s="140" t="s">
        <v>55</v>
      </c>
      <c r="K113" s="140" t="s">
        <v>20</v>
      </c>
    </row>
    <row r="114" spans="1:11" ht="12.75" customHeight="1" x14ac:dyDescent="0.3">
      <c r="A114" s="140">
        <v>113</v>
      </c>
      <c r="B114" s="140" t="s">
        <v>681</v>
      </c>
      <c r="C114" s="140" t="s">
        <v>682</v>
      </c>
      <c r="D114" s="140" t="s">
        <v>31</v>
      </c>
      <c r="E114" s="140" t="s">
        <v>19</v>
      </c>
      <c r="F114" s="140" t="s">
        <v>62</v>
      </c>
      <c r="G114" s="140" t="s">
        <v>80</v>
      </c>
      <c r="H114" s="140" t="s">
        <v>25</v>
      </c>
      <c r="I114" s="140" t="s">
        <v>68</v>
      </c>
      <c r="J114" s="140" t="s">
        <v>55</v>
      </c>
      <c r="K114" s="140" t="s">
        <v>20</v>
      </c>
    </row>
    <row r="115" spans="1:11" ht="12.75" customHeight="1" x14ac:dyDescent="0.3">
      <c r="A115" s="140">
        <v>114</v>
      </c>
      <c r="B115" s="140" t="s">
        <v>683</v>
      </c>
      <c r="C115" s="140" t="s">
        <v>684</v>
      </c>
      <c r="D115" s="140" t="s">
        <v>31</v>
      </c>
      <c r="E115" s="140" t="s">
        <v>19</v>
      </c>
      <c r="F115" s="140" t="s">
        <v>62</v>
      </c>
      <c r="G115" s="140" t="s">
        <v>68</v>
      </c>
      <c r="H115" s="140" t="s">
        <v>25</v>
      </c>
      <c r="I115" s="140" t="s">
        <v>74</v>
      </c>
      <c r="J115" s="140" t="s">
        <v>55</v>
      </c>
      <c r="K115" s="140" t="s">
        <v>20</v>
      </c>
    </row>
    <row r="116" spans="1:11" ht="12.75" customHeight="1" x14ac:dyDescent="0.3">
      <c r="A116" s="140">
        <v>115</v>
      </c>
      <c r="B116" s="140" t="s">
        <v>685</v>
      </c>
      <c r="C116" s="140" t="s">
        <v>686</v>
      </c>
      <c r="D116" s="140" t="s">
        <v>31</v>
      </c>
      <c r="E116" s="140" t="s">
        <v>19</v>
      </c>
      <c r="F116" s="140" t="s">
        <v>62</v>
      </c>
      <c r="G116" s="140" t="s">
        <v>80</v>
      </c>
      <c r="H116" s="140" t="s">
        <v>25</v>
      </c>
      <c r="I116" s="140" t="s">
        <v>74</v>
      </c>
      <c r="J116" s="140" t="s">
        <v>55</v>
      </c>
      <c r="K116" s="140" t="s">
        <v>68</v>
      </c>
    </row>
    <row r="117" spans="1:11" ht="12.75" customHeight="1" x14ac:dyDescent="0.3">
      <c r="A117" s="140">
        <v>116</v>
      </c>
      <c r="B117" s="140" t="s">
        <v>687</v>
      </c>
      <c r="C117" s="140" t="s">
        <v>688</v>
      </c>
      <c r="D117" s="140" t="s">
        <v>19</v>
      </c>
      <c r="E117" s="140" t="s">
        <v>48</v>
      </c>
      <c r="F117" s="140" t="s">
        <v>31</v>
      </c>
      <c r="G117" s="140" t="s">
        <v>80</v>
      </c>
      <c r="H117" s="140" t="s">
        <v>25</v>
      </c>
      <c r="I117" s="140" t="s">
        <v>68</v>
      </c>
      <c r="J117" s="140" t="s">
        <v>74</v>
      </c>
      <c r="K117" s="140" t="s">
        <v>20</v>
      </c>
    </row>
    <row r="118" spans="1:11" ht="12.75" customHeight="1" x14ac:dyDescent="0.3">
      <c r="A118" s="140">
        <v>117</v>
      </c>
      <c r="B118" s="140" t="s">
        <v>689</v>
      </c>
      <c r="C118" s="140" t="s">
        <v>690</v>
      </c>
      <c r="D118" s="140" t="s">
        <v>19</v>
      </c>
      <c r="E118" s="140" t="s">
        <v>48</v>
      </c>
      <c r="F118" s="140" t="s">
        <v>31</v>
      </c>
      <c r="G118" s="140" t="s">
        <v>80</v>
      </c>
      <c r="H118" s="140" t="s">
        <v>25</v>
      </c>
      <c r="I118" s="140" t="s">
        <v>62</v>
      </c>
      <c r="J118" s="140" t="s">
        <v>74</v>
      </c>
      <c r="K118" s="140" t="s">
        <v>20</v>
      </c>
    </row>
    <row r="119" spans="1:11" ht="12.75" customHeight="1" x14ac:dyDescent="0.3">
      <c r="A119" s="140">
        <v>118</v>
      </c>
      <c r="B119" s="140" t="s">
        <v>691</v>
      </c>
      <c r="C119" s="140" t="s">
        <v>692</v>
      </c>
      <c r="D119" s="140" t="s">
        <v>19</v>
      </c>
      <c r="E119" s="140" t="s">
        <v>48</v>
      </c>
      <c r="F119" s="140" t="s">
        <v>31</v>
      </c>
      <c r="G119" s="140" t="s">
        <v>80</v>
      </c>
      <c r="H119" s="140" t="s">
        <v>25</v>
      </c>
      <c r="I119" s="140" t="s">
        <v>62</v>
      </c>
      <c r="J119" s="140" t="s">
        <v>68</v>
      </c>
      <c r="K119" s="140" t="s">
        <v>20</v>
      </c>
    </row>
    <row r="120" spans="1:11" ht="12.75" customHeight="1" x14ac:dyDescent="0.3">
      <c r="A120" s="140">
        <v>119</v>
      </c>
      <c r="B120" s="140" t="s">
        <v>693</v>
      </c>
      <c r="C120" s="140" t="s">
        <v>694</v>
      </c>
      <c r="D120" s="140" t="s">
        <v>19</v>
      </c>
      <c r="E120" s="140" t="s">
        <v>48</v>
      </c>
      <c r="F120" s="140" t="s">
        <v>31</v>
      </c>
      <c r="G120" s="140" t="s">
        <v>68</v>
      </c>
      <c r="H120" s="140" t="s">
        <v>25</v>
      </c>
      <c r="I120" s="140" t="s">
        <v>62</v>
      </c>
      <c r="J120" s="140" t="s">
        <v>74</v>
      </c>
      <c r="K120" s="140" t="s">
        <v>20</v>
      </c>
    </row>
    <row r="121" spans="1:11" ht="12.75" customHeight="1" x14ac:dyDescent="0.3">
      <c r="A121" s="140">
        <v>120</v>
      </c>
      <c r="B121" s="140" t="s">
        <v>695</v>
      </c>
      <c r="C121" s="140" t="s">
        <v>696</v>
      </c>
      <c r="D121" s="140" t="s">
        <v>19</v>
      </c>
      <c r="E121" s="140" t="s">
        <v>48</v>
      </c>
      <c r="F121" s="140" t="s">
        <v>31</v>
      </c>
      <c r="G121" s="140" t="s">
        <v>80</v>
      </c>
      <c r="H121" s="140" t="s">
        <v>25</v>
      </c>
      <c r="I121" s="140" t="s">
        <v>62</v>
      </c>
      <c r="J121" s="140" t="s">
        <v>74</v>
      </c>
      <c r="K121" s="140" t="s">
        <v>68</v>
      </c>
    </row>
    <row r="122" spans="1:11" ht="12.75" customHeight="1" x14ac:dyDescent="0.3">
      <c r="A122" s="140">
        <v>121</v>
      </c>
      <c r="B122" s="140" t="s">
        <v>697</v>
      </c>
      <c r="C122" s="140" t="s">
        <v>698</v>
      </c>
      <c r="D122" s="140" t="s">
        <v>19</v>
      </c>
      <c r="E122" s="140" t="s">
        <v>48</v>
      </c>
      <c r="F122" s="140" t="s">
        <v>31</v>
      </c>
      <c r="G122" s="140" t="s">
        <v>80</v>
      </c>
      <c r="H122" s="140" t="s">
        <v>25</v>
      </c>
      <c r="I122" s="140" t="s">
        <v>74</v>
      </c>
      <c r="J122" s="140" t="s">
        <v>55</v>
      </c>
      <c r="K122" s="140" t="s">
        <v>20</v>
      </c>
    </row>
    <row r="123" spans="1:11" ht="12.75" customHeight="1" x14ac:dyDescent="0.3">
      <c r="A123" s="140">
        <v>122</v>
      </c>
      <c r="B123" s="140" t="s">
        <v>699</v>
      </c>
      <c r="C123" s="140" t="s">
        <v>700</v>
      </c>
      <c r="D123" s="140" t="s">
        <v>19</v>
      </c>
      <c r="E123" s="140" t="s">
        <v>48</v>
      </c>
      <c r="F123" s="140" t="s">
        <v>31</v>
      </c>
      <c r="G123" s="140" t="s">
        <v>80</v>
      </c>
      <c r="H123" s="140" t="s">
        <v>25</v>
      </c>
      <c r="I123" s="140" t="s">
        <v>68</v>
      </c>
      <c r="J123" s="140" t="s">
        <v>55</v>
      </c>
      <c r="K123" s="140" t="s">
        <v>20</v>
      </c>
    </row>
    <row r="124" spans="1:11" ht="12.75" customHeight="1" x14ac:dyDescent="0.3">
      <c r="A124" s="140">
        <v>123</v>
      </c>
      <c r="B124" s="140" t="s">
        <v>701</v>
      </c>
      <c r="C124" s="140" t="s">
        <v>702</v>
      </c>
      <c r="D124" s="140" t="s">
        <v>19</v>
      </c>
      <c r="E124" s="140" t="s">
        <v>48</v>
      </c>
      <c r="F124" s="140" t="s">
        <v>31</v>
      </c>
      <c r="G124" s="140" t="s">
        <v>68</v>
      </c>
      <c r="H124" s="140" t="s">
        <v>25</v>
      </c>
      <c r="I124" s="140" t="s">
        <v>74</v>
      </c>
      <c r="J124" s="140" t="s">
        <v>55</v>
      </c>
      <c r="K124" s="140" t="s">
        <v>20</v>
      </c>
    </row>
    <row r="125" spans="1:11" ht="12.75" customHeight="1" x14ac:dyDescent="0.3">
      <c r="A125" s="140">
        <v>124</v>
      </c>
      <c r="B125" s="140" t="s">
        <v>703</v>
      </c>
      <c r="C125" s="140" t="s">
        <v>704</v>
      </c>
      <c r="D125" s="140" t="s">
        <v>19</v>
      </c>
      <c r="E125" s="140" t="s">
        <v>48</v>
      </c>
      <c r="F125" s="140" t="s">
        <v>31</v>
      </c>
      <c r="G125" s="140" t="s">
        <v>80</v>
      </c>
      <c r="H125" s="140" t="s">
        <v>25</v>
      </c>
      <c r="I125" s="140" t="s">
        <v>74</v>
      </c>
      <c r="J125" s="140" t="s">
        <v>55</v>
      </c>
      <c r="K125" s="140" t="s">
        <v>68</v>
      </c>
    </row>
    <row r="126" spans="1:11" ht="12.75" customHeight="1" x14ac:dyDescent="0.3">
      <c r="A126" s="140">
        <v>125</v>
      </c>
      <c r="B126" s="140" t="s">
        <v>705</v>
      </c>
      <c r="C126" s="140" t="s">
        <v>706</v>
      </c>
      <c r="D126" s="140" t="s">
        <v>19</v>
      </c>
      <c r="E126" s="140" t="s">
        <v>48</v>
      </c>
      <c r="F126" s="140" t="s">
        <v>31</v>
      </c>
      <c r="G126" s="140" t="s">
        <v>80</v>
      </c>
      <c r="H126" s="140" t="s">
        <v>25</v>
      </c>
      <c r="I126" s="140" t="s">
        <v>62</v>
      </c>
      <c r="J126" s="140" t="s">
        <v>55</v>
      </c>
      <c r="K126" s="140" t="s">
        <v>20</v>
      </c>
    </row>
    <row r="127" spans="1:11" ht="12.75" customHeight="1" x14ac:dyDescent="0.3">
      <c r="A127" s="140">
        <v>126</v>
      </c>
      <c r="B127" s="140" t="s">
        <v>707</v>
      </c>
      <c r="C127" s="140" t="s">
        <v>708</v>
      </c>
      <c r="D127" s="140" t="s">
        <v>19</v>
      </c>
      <c r="E127" s="140" t="s">
        <v>48</v>
      </c>
      <c r="F127" s="140" t="s">
        <v>31</v>
      </c>
      <c r="G127" s="140" t="s">
        <v>74</v>
      </c>
      <c r="H127" s="140" t="s">
        <v>25</v>
      </c>
      <c r="I127" s="140" t="s">
        <v>62</v>
      </c>
      <c r="J127" s="140" t="s">
        <v>55</v>
      </c>
      <c r="K127" s="140" t="s">
        <v>20</v>
      </c>
    </row>
    <row r="128" spans="1:11" ht="12.75" customHeight="1" x14ac:dyDescent="0.3">
      <c r="A128" s="140">
        <v>127</v>
      </c>
      <c r="B128" s="140" t="s">
        <v>709</v>
      </c>
      <c r="C128" s="140" t="s">
        <v>710</v>
      </c>
      <c r="D128" s="140" t="s">
        <v>31</v>
      </c>
      <c r="E128" s="140" t="s">
        <v>48</v>
      </c>
      <c r="F128" s="140" t="s">
        <v>62</v>
      </c>
      <c r="G128" s="140" t="s">
        <v>80</v>
      </c>
      <c r="H128" s="140" t="s">
        <v>25</v>
      </c>
      <c r="I128" s="140" t="s">
        <v>74</v>
      </c>
      <c r="J128" s="140" t="s">
        <v>55</v>
      </c>
      <c r="K128" s="140" t="s">
        <v>19</v>
      </c>
    </row>
    <row r="129" spans="1:11" ht="12.75" customHeight="1" x14ac:dyDescent="0.3">
      <c r="A129" s="140">
        <v>128</v>
      </c>
      <c r="B129" s="140" t="s">
        <v>711</v>
      </c>
      <c r="C129" s="140" t="s">
        <v>712</v>
      </c>
      <c r="D129" s="140" t="s">
        <v>19</v>
      </c>
      <c r="E129" s="140" t="s">
        <v>48</v>
      </c>
      <c r="F129" s="140" t="s">
        <v>31</v>
      </c>
      <c r="G129" s="140" t="s">
        <v>68</v>
      </c>
      <c r="H129" s="140" t="s">
        <v>25</v>
      </c>
      <c r="I129" s="140" t="s">
        <v>62</v>
      </c>
      <c r="J129" s="140" t="s">
        <v>55</v>
      </c>
      <c r="K129" s="140" t="s">
        <v>20</v>
      </c>
    </row>
    <row r="130" spans="1:11" ht="12.75" customHeight="1" x14ac:dyDescent="0.3">
      <c r="A130" s="140">
        <v>129</v>
      </c>
      <c r="B130" s="140" t="s">
        <v>713</v>
      </c>
      <c r="C130" s="140" t="s">
        <v>714</v>
      </c>
      <c r="D130" s="140" t="s">
        <v>19</v>
      </c>
      <c r="E130" s="140" t="s">
        <v>48</v>
      </c>
      <c r="F130" s="140" t="s">
        <v>31</v>
      </c>
      <c r="G130" s="140" t="s">
        <v>80</v>
      </c>
      <c r="H130" s="140" t="s">
        <v>25</v>
      </c>
      <c r="I130" s="140" t="s">
        <v>62</v>
      </c>
      <c r="J130" s="140" t="s">
        <v>55</v>
      </c>
      <c r="K130" s="140" t="s">
        <v>68</v>
      </c>
    </row>
    <row r="131" spans="1:11" ht="12.75" customHeight="1" x14ac:dyDescent="0.3">
      <c r="A131" s="140">
        <v>130</v>
      </c>
      <c r="B131" s="140" t="s">
        <v>715</v>
      </c>
      <c r="C131" s="140" t="s">
        <v>716</v>
      </c>
      <c r="D131" s="140" t="s">
        <v>31</v>
      </c>
      <c r="E131" s="140" t="s">
        <v>48</v>
      </c>
      <c r="F131" s="140" t="s">
        <v>62</v>
      </c>
      <c r="G131" s="140" t="s">
        <v>68</v>
      </c>
      <c r="H131" s="140" t="s">
        <v>25</v>
      </c>
      <c r="I131" s="140" t="s">
        <v>74</v>
      </c>
      <c r="J131" s="140" t="s">
        <v>55</v>
      </c>
      <c r="K131" s="140" t="s">
        <v>19</v>
      </c>
    </row>
    <row r="132" spans="1:11" ht="12.75" customHeight="1" x14ac:dyDescent="0.3">
      <c r="A132" s="140">
        <v>131</v>
      </c>
      <c r="B132" s="140" t="s">
        <v>717</v>
      </c>
      <c r="C132" s="140" t="s">
        <v>718</v>
      </c>
      <c r="D132" s="140" t="s">
        <v>31</v>
      </c>
      <c r="E132" s="140" t="s">
        <v>19</v>
      </c>
      <c r="F132" s="140" t="s">
        <v>42</v>
      </c>
      <c r="G132" s="140" t="s">
        <v>80</v>
      </c>
      <c r="H132" s="140" t="s">
        <v>25</v>
      </c>
      <c r="I132" s="140" t="s">
        <v>68</v>
      </c>
      <c r="J132" s="140" t="s">
        <v>74</v>
      </c>
      <c r="K132" s="140" t="s">
        <v>20</v>
      </c>
    </row>
    <row r="133" spans="1:11" ht="12.75" customHeight="1" x14ac:dyDescent="0.3">
      <c r="A133" s="140">
        <v>132</v>
      </c>
      <c r="B133" s="140" t="s">
        <v>719</v>
      </c>
      <c r="C133" s="140" t="s">
        <v>720</v>
      </c>
      <c r="D133" s="140" t="s">
        <v>31</v>
      </c>
      <c r="E133" s="140" t="s">
        <v>19</v>
      </c>
      <c r="F133" s="140" t="s">
        <v>42</v>
      </c>
      <c r="G133" s="140" t="s">
        <v>80</v>
      </c>
      <c r="H133" s="140" t="s">
        <v>25</v>
      </c>
      <c r="I133" s="140" t="s">
        <v>62</v>
      </c>
      <c r="J133" s="140" t="s">
        <v>74</v>
      </c>
      <c r="K133" s="140" t="s">
        <v>20</v>
      </c>
    </row>
    <row r="134" spans="1:11" ht="12.75" customHeight="1" x14ac:dyDescent="0.3">
      <c r="A134" s="140">
        <v>133</v>
      </c>
      <c r="B134" s="140" t="s">
        <v>721</v>
      </c>
      <c r="C134" s="140" t="s">
        <v>722</v>
      </c>
      <c r="D134" s="140" t="s">
        <v>31</v>
      </c>
      <c r="E134" s="140" t="s">
        <v>19</v>
      </c>
      <c r="F134" s="140" t="s">
        <v>42</v>
      </c>
      <c r="G134" s="140" t="s">
        <v>80</v>
      </c>
      <c r="H134" s="140" t="s">
        <v>25</v>
      </c>
      <c r="I134" s="140" t="s">
        <v>62</v>
      </c>
      <c r="J134" s="140" t="s">
        <v>68</v>
      </c>
      <c r="K134" s="140" t="s">
        <v>20</v>
      </c>
    </row>
    <row r="135" spans="1:11" ht="12.75" customHeight="1" x14ac:dyDescent="0.3">
      <c r="A135" s="140">
        <v>134</v>
      </c>
      <c r="B135" s="140" t="s">
        <v>723</v>
      </c>
      <c r="C135" s="140" t="s">
        <v>724</v>
      </c>
      <c r="D135" s="140" t="s">
        <v>31</v>
      </c>
      <c r="E135" s="140" t="s">
        <v>19</v>
      </c>
      <c r="F135" s="140" t="s">
        <v>42</v>
      </c>
      <c r="G135" s="140" t="s">
        <v>68</v>
      </c>
      <c r="H135" s="140" t="s">
        <v>25</v>
      </c>
      <c r="I135" s="140" t="s">
        <v>62</v>
      </c>
      <c r="J135" s="140" t="s">
        <v>74</v>
      </c>
      <c r="K135" s="140" t="s">
        <v>20</v>
      </c>
    </row>
    <row r="136" spans="1:11" ht="12.75" customHeight="1" x14ac:dyDescent="0.3">
      <c r="A136" s="140">
        <v>135</v>
      </c>
      <c r="B136" s="140" t="s">
        <v>725</v>
      </c>
      <c r="C136" s="140" t="s">
        <v>726</v>
      </c>
      <c r="D136" s="140" t="s">
        <v>31</v>
      </c>
      <c r="E136" s="140" t="s">
        <v>19</v>
      </c>
      <c r="F136" s="140" t="s">
        <v>42</v>
      </c>
      <c r="G136" s="140" t="s">
        <v>80</v>
      </c>
      <c r="H136" s="140" t="s">
        <v>25</v>
      </c>
      <c r="I136" s="140" t="s">
        <v>62</v>
      </c>
      <c r="J136" s="140" t="s">
        <v>74</v>
      </c>
      <c r="K136" s="140" t="s">
        <v>68</v>
      </c>
    </row>
    <row r="137" spans="1:11" ht="12.75" customHeight="1" x14ac:dyDescent="0.3">
      <c r="A137" s="140">
        <v>136</v>
      </c>
      <c r="B137" s="140" t="s">
        <v>727</v>
      </c>
      <c r="C137" s="140" t="s">
        <v>728</v>
      </c>
      <c r="D137" s="140" t="s">
        <v>31</v>
      </c>
      <c r="E137" s="140" t="s">
        <v>19</v>
      </c>
      <c r="F137" s="140" t="s">
        <v>42</v>
      </c>
      <c r="G137" s="140" t="s">
        <v>80</v>
      </c>
      <c r="H137" s="140" t="s">
        <v>25</v>
      </c>
      <c r="I137" s="140" t="s">
        <v>74</v>
      </c>
      <c r="J137" s="140" t="s">
        <v>55</v>
      </c>
      <c r="K137" s="140" t="s">
        <v>20</v>
      </c>
    </row>
    <row r="138" spans="1:11" ht="12.75" customHeight="1" x14ac:dyDescent="0.3">
      <c r="A138" s="140">
        <v>137</v>
      </c>
      <c r="B138" s="140" t="s">
        <v>729</v>
      </c>
      <c r="C138" s="140" t="s">
        <v>730</v>
      </c>
      <c r="D138" s="140" t="s">
        <v>31</v>
      </c>
      <c r="E138" s="140" t="s">
        <v>19</v>
      </c>
      <c r="F138" s="140" t="s">
        <v>42</v>
      </c>
      <c r="G138" s="140" t="s">
        <v>80</v>
      </c>
      <c r="H138" s="140" t="s">
        <v>25</v>
      </c>
      <c r="I138" s="140" t="s">
        <v>68</v>
      </c>
      <c r="J138" s="140" t="s">
        <v>55</v>
      </c>
      <c r="K138" s="140" t="s">
        <v>20</v>
      </c>
    </row>
    <row r="139" spans="1:11" ht="12.75" customHeight="1" x14ac:dyDescent="0.3">
      <c r="A139" s="140">
        <v>138</v>
      </c>
      <c r="B139" s="140" t="s">
        <v>731</v>
      </c>
      <c r="C139" s="140" t="s">
        <v>732</v>
      </c>
      <c r="D139" s="140" t="s">
        <v>31</v>
      </c>
      <c r="E139" s="140" t="s">
        <v>19</v>
      </c>
      <c r="F139" s="140" t="s">
        <v>42</v>
      </c>
      <c r="G139" s="140" t="s">
        <v>68</v>
      </c>
      <c r="H139" s="140" t="s">
        <v>25</v>
      </c>
      <c r="I139" s="140" t="s">
        <v>74</v>
      </c>
      <c r="J139" s="140" t="s">
        <v>55</v>
      </c>
      <c r="K139" s="140" t="s">
        <v>20</v>
      </c>
    </row>
    <row r="140" spans="1:11" ht="12.75" customHeight="1" x14ac:dyDescent="0.3">
      <c r="A140" s="140">
        <v>139</v>
      </c>
      <c r="B140" s="140" t="s">
        <v>733</v>
      </c>
      <c r="C140" s="140" t="s">
        <v>734</v>
      </c>
      <c r="D140" s="140" t="s">
        <v>31</v>
      </c>
      <c r="E140" s="140" t="s">
        <v>19</v>
      </c>
      <c r="F140" s="140" t="s">
        <v>42</v>
      </c>
      <c r="G140" s="140" t="s">
        <v>80</v>
      </c>
      <c r="H140" s="140" t="s">
        <v>25</v>
      </c>
      <c r="I140" s="140" t="s">
        <v>74</v>
      </c>
      <c r="J140" s="140" t="s">
        <v>55</v>
      </c>
      <c r="K140" s="140" t="s">
        <v>68</v>
      </c>
    </row>
    <row r="141" spans="1:11" ht="12.75" customHeight="1" x14ac:dyDescent="0.3">
      <c r="A141" s="140">
        <v>140</v>
      </c>
      <c r="B141" s="140" t="s">
        <v>735</v>
      </c>
      <c r="C141" s="140" t="s">
        <v>736</v>
      </c>
      <c r="D141" s="140" t="s">
        <v>31</v>
      </c>
      <c r="E141" s="140" t="s">
        <v>19</v>
      </c>
      <c r="F141" s="140" t="s">
        <v>42</v>
      </c>
      <c r="G141" s="140" t="s">
        <v>80</v>
      </c>
      <c r="H141" s="140" t="s">
        <v>25</v>
      </c>
      <c r="I141" s="140" t="s">
        <v>62</v>
      </c>
      <c r="J141" s="140" t="s">
        <v>55</v>
      </c>
      <c r="K141" s="140" t="s">
        <v>20</v>
      </c>
    </row>
    <row r="142" spans="1:11" ht="12.75" customHeight="1" x14ac:dyDescent="0.3">
      <c r="A142" s="140">
        <v>141</v>
      </c>
      <c r="B142" s="140" t="s">
        <v>737</v>
      </c>
      <c r="C142" s="140" t="s">
        <v>738</v>
      </c>
      <c r="D142" s="140" t="s">
        <v>31</v>
      </c>
      <c r="E142" s="140" t="s">
        <v>19</v>
      </c>
      <c r="F142" s="140" t="s">
        <v>62</v>
      </c>
      <c r="G142" s="140" t="s">
        <v>42</v>
      </c>
      <c r="H142" s="140" t="s">
        <v>25</v>
      </c>
      <c r="I142" s="140" t="s">
        <v>74</v>
      </c>
      <c r="J142" s="140" t="s">
        <v>55</v>
      </c>
      <c r="K142" s="140" t="s">
        <v>20</v>
      </c>
    </row>
    <row r="143" spans="1:11" ht="12.75" customHeight="1" x14ac:dyDescent="0.3">
      <c r="A143" s="140">
        <v>142</v>
      </c>
      <c r="B143" s="140" t="s">
        <v>739</v>
      </c>
      <c r="C143" s="140" t="s">
        <v>740</v>
      </c>
      <c r="D143" s="140" t="s">
        <v>31</v>
      </c>
      <c r="E143" s="140" t="s">
        <v>19</v>
      </c>
      <c r="F143" s="140" t="s">
        <v>62</v>
      </c>
      <c r="G143" s="140" t="s">
        <v>80</v>
      </c>
      <c r="H143" s="140" t="s">
        <v>25</v>
      </c>
      <c r="I143" s="140" t="s">
        <v>74</v>
      </c>
      <c r="J143" s="140" t="s">
        <v>55</v>
      </c>
      <c r="K143" s="140" t="s">
        <v>42</v>
      </c>
    </row>
    <row r="144" spans="1:11" ht="12.75" customHeight="1" x14ac:dyDescent="0.3">
      <c r="A144" s="140">
        <v>143</v>
      </c>
      <c r="B144" s="140" t="s">
        <v>741</v>
      </c>
      <c r="C144" s="140" t="s">
        <v>742</v>
      </c>
      <c r="D144" s="140" t="s">
        <v>31</v>
      </c>
      <c r="E144" s="140" t="s">
        <v>19</v>
      </c>
      <c r="F144" s="140" t="s">
        <v>42</v>
      </c>
      <c r="G144" s="140" t="s">
        <v>68</v>
      </c>
      <c r="H144" s="140" t="s">
        <v>25</v>
      </c>
      <c r="I144" s="140" t="s">
        <v>62</v>
      </c>
      <c r="J144" s="140" t="s">
        <v>55</v>
      </c>
      <c r="K144" s="140" t="s">
        <v>20</v>
      </c>
    </row>
    <row r="145" spans="1:11" ht="12.75" customHeight="1" x14ac:dyDescent="0.3">
      <c r="A145" s="140">
        <v>144</v>
      </c>
      <c r="B145" s="140" t="s">
        <v>743</v>
      </c>
      <c r="C145" s="140" t="s">
        <v>744</v>
      </c>
      <c r="D145" s="140" t="s">
        <v>31</v>
      </c>
      <c r="E145" s="140" t="s">
        <v>19</v>
      </c>
      <c r="F145" s="140" t="s">
        <v>42</v>
      </c>
      <c r="G145" s="140" t="s">
        <v>80</v>
      </c>
      <c r="H145" s="140" t="s">
        <v>25</v>
      </c>
      <c r="I145" s="140" t="s">
        <v>62</v>
      </c>
      <c r="J145" s="140" t="s">
        <v>55</v>
      </c>
      <c r="K145" s="140" t="s">
        <v>68</v>
      </c>
    </row>
    <row r="146" spans="1:11" ht="12.75" customHeight="1" x14ac:dyDescent="0.3">
      <c r="A146" s="140">
        <v>145</v>
      </c>
      <c r="B146" s="140" t="s">
        <v>745</v>
      </c>
      <c r="C146" s="140" t="s">
        <v>746</v>
      </c>
      <c r="D146" s="140" t="s">
        <v>31</v>
      </c>
      <c r="E146" s="140" t="s">
        <v>19</v>
      </c>
      <c r="F146" s="140" t="s">
        <v>62</v>
      </c>
      <c r="G146" s="140" t="s">
        <v>68</v>
      </c>
      <c r="H146" s="140" t="s">
        <v>25</v>
      </c>
      <c r="I146" s="140" t="s">
        <v>74</v>
      </c>
      <c r="J146" s="140" t="s">
        <v>55</v>
      </c>
      <c r="K146" s="140" t="s">
        <v>42</v>
      </c>
    </row>
    <row r="147" spans="1:11" ht="12.75" customHeight="1" x14ac:dyDescent="0.3">
      <c r="A147" s="140">
        <v>146</v>
      </c>
      <c r="B147" s="140" t="s">
        <v>747</v>
      </c>
      <c r="C147" s="140" t="s">
        <v>748</v>
      </c>
      <c r="D147" s="140" t="s">
        <v>19</v>
      </c>
      <c r="E147" s="140" t="s">
        <v>48</v>
      </c>
      <c r="F147" s="140" t="s">
        <v>31</v>
      </c>
      <c r="G147" s="140" t="s">
        <v>80</v>
      </c>
      <c r="H147" s="140" t="s">
        <v>25</v>
      </c>
      <c r="I147" s="140" t="s">
        <v>42</v>
      </c>
      <c r="J147" s="140" t="s">
        <v>74</v>
      </c>
      <c r="K147" s="140" t="s">
        <v>20</v>
      </c>
    </row>
    <row r="148" spans="1:11" ht="12.75" customHeight="1" x14ac:dyDescent="0.3">
      <c r="A148" s="140">
        <v>147</v>
      </c>
      <c r="B148" s="140" t="s">
        <v>749</v>
      </c>
      <c r="C148" s="140" t="s">
        <v>750</v>
      </c>
      <c r="D148" s="140" t="s">
        <v>19</v>
      </c>
      <c r="E148" s="140" t="s">
        <v>48</v>
      </c>
      <c r="F148" s="140" t="s">
        <v>31</v>
      </c>
      <c r="G148" s="140" t="s">
        <v>80</v>
      </c>
      <c r="H148" s="140" t="s">
        <v>25</v>
      </c>
      <c r="I148" s="140" t="s">
        <v>68</v>
      </c>
      <c r="J148" s="140" t="s">
        <v>42</v>
      </c>
      <c r="K148" s="140" t="s">
        <v>20</v>
      </c>
    </row>
    <row r="149" spans="1:11" ht="12.75" customHeight="1" x14ac:dyDescent="0.3">
      <c r="A149" s="140">
        <v>148</v>
      </c>
      <c r="B149" s="140" t="s">
        <v>751</v>
      </c>
      <c r="C149" s="140" t="s">
        <v>752</v>
      </c>
      <c r="D149" s="140" t="s">
        <v>19</v>
      </c>
      <c r="E149" s="140" t="s">
        <v>48</v>
      </c>
      <c r="F149" s="140" t="s">
        <v>31</v>
      </c>
      <c r="G149" s="140" t="s">
        <v>68</v>
      </c>
      <c r="H149" s="140" t="s">
        <v>25</v>
      </c>
      <c r="I149" s="140" t="s">
        <v>42</v>
      </c>
      <c r="J149" s="140" t="s">
        <v>74</v>
      </c>
      <c r="K149" s="140" t="s">
        <v>20</v>
      </c>
    </row>
    <row r="150" spans="1:11" ht="12.75" customHeight="1" x14ac:dyDescent="0.3">
      <c r="A150" s="140">
        <v>149</v>
      </c>
      <c r="B150" s="140" t="s">
        <v>753</v>
      </c>
      <c r="C150" s="140" t="s">
        <v>754</v>
      </c>
      <c r="D150" s="140" t="s">
        <v>19</v>
      </c>
      <c r="E150" s="140" t="s">
        <v>48</v>
      </c>
      <c r="F150" s="140" t="s">
        <v>31</v>
      </c>
      <c r="G150" s="140" t="s">
        <v>80</v>
      </c>
      <c r="H150" s="140" t="s">
        <v>25</v>
      </c>
      <c r="I150" s="140" t="s">
        <v>42</v>
      </c>
      <c r="J150" s="140" t="s">
        <v>74</v>
      </c>
      <c r="K150" s="140" t="s">
        <v>68</v>
      </c>
    </row>
    <row r="151" spans="1:11" ht="12.75" customHeight="1" x14ac:dyDescent="0.3">
      <c r="A151" s="140">
        <v>150</v>
      </c>
      <c r="B151" s="140" t="s">
        <v>755</v>
      </c>
      <c r="C151" s="140" t="s">
        <v>756</v>
      </c>
      <c r="D151" s="140" t="s">
        <v>19</v>
      </c>
      <c r="E151" s="140" t="s">
        <v>48</v>
      </c>
      <c r="F151" s="140" t="s">
        <v>31</v>
      </c>
      <c r="G151" s="140" t="s">
        <v>80</v>
      </c>
      <c r="H151" s="140" t="s">
        <v>25</v>
      </c>
      <c r="I151" s="140" t="s">
        <v>62</v>
      </c>
      <c r="J151" s="140" t="s">
        <v>42</v>
      </c>
      <c r="K151" s="140" t="s">
        <v>20</v>
      </c>
    </row>
    <row r="152" spans="1:11" ht="12.75" customHeight="1" x14ac:dyDescent="0.3">
      <c r="A152" s="140">
        <v>151</v>
      </c>
      <c r="B152" s="140" t="s">
        <v>757</v>
      </c>
      <c r="C152" s="140" t="s">
        <v>758</v>
      </c>
      <c r="D152" s="140" t="s">
        <v>19</v>
      </c>
      <c r="E152" s="140" t="s">
        <v>48</v>
      </c>
      <c r="F152" s="140" t="s">
        <v>31</v>
      </c>
      <c r="G152" s="140" t="s">
        <v>42</v>
      </c>
      <c r="H152" s="140" t="s">
        <v>25</v>
      </c>
      <c r="I152" s="140" t="s">
        <v>62</v>
      </c>
      <c r="J152" s="140" t="s">
        <v>74</v>
      </c>
      <c r="K152" s="140" t="s">
        <v>20</v>
      </c>
    </row>
    <row r="153" spans="1:11" ht="12.75" customHeight="1" x14ac:dyDescent="0.3">
      <c r="A153" s="140">
        <v>152</v>
      </c>
      <c r="B153" s="140" t="s">
        <v>759</v>
      </c>
      <c r="C153" s="140" t="s">
        <v>760</v>
      </c>
      <c r="D153" s="140" t="s">
        <v>19</v>
      </c>
      <c r="E153" s="140" t="s">
        <v>48</v>
      </c>
      <c r="F153" s="140" t="s">
        <v>31</v>
      </c>
      <c r="G153" s="140" t="s">
        <v>80</v>
      </c>
      <c r="H153" s="140" t="s">
        <v>25</v>
      </c>
      <c r="I153" s="140" t="s">
        <v>62</v>
      </c>
      <c r="J153" s="140" t="s">
        <v>74</v>
      </c>
      <c r="K153" s="140" t="s">
        <v>42</v>
      </c>
    </row>
    <row r="154" spans="1:11" ht="12.75" customHeight="1" x14ac:dyDescent="0.3">
      <c r="A154" s="140">
        <v>153</v>
      </c>
      <c r="B154" s="140" t="s">
        <v>761</v>
      </c>
      <c r="C154" s="140" t="s">
        <v>762</v>
      </c>
      <c r="D154" s="140" t="s">
        <v>19</v>
      </c>
      <c r="E154" s="140" t="s">
        <v>48</v>
      </c>
      <c r="F154" s="140" t="s">
        <v>31</v>
      </c>
      <c r="G154" s="140" t="s">
        <v>68</v>
      </c>
      <c r="H154" s="140" t="s">
        <v>25</v>
      </c>
      <c r="I154" s="140" t="s">
        <v>62</v>
      </c>
      <c r="J154" s="140" t="s">
        <v>42</v>
      </c>
      <c r="K154" s="140" t="s">
        <v>20</v>
      </c>
    </row>
    <row r="155" spans="1:11" ht="12.75" customHeight="1" x14ac:dyDescent="0.3">
      <c r="A155" s="140">
        <v>154</v>
      </c>
      <c r="B155" s="140" t="s">
        <v>763</v>
      </c>
      <c r="C155" s="140" t="s">
        <v>764</v>
      </c>
      <c r="D155" s="140" t="s">
        <v>19</v>
      </c>
      <c r="E155" s="140" t="s">
        <v>48</v>
      </c>
      <c r="F155" s="140" t="s">
        <v>31</v>
      </c>
      <c r="G155" s="140" t="s">
        <v>80</v>
      </c>
      <c r="H155" s="140" t="s">
        <v>25</v>
      </c>
      <c r="I155" s="140" t="s">
        <v>62</v>
      </c>
      <c r="J155" s="140" t="s">
        <v>42</v>
      </c>
      <c r="K155" s="140" t="s">
        <v>68</v>
      </c>
    </row>
    <row r="156" spans="1:11" ht="12.75" customHeight="1" x14ac:dyDescent="0.3">
      <c r="A156" s="140">
        <v>155</v>
      </c>
      <c r="B156" s="140" t="s">
        <v>765</v>
      </c>
      <c r="C156" s="140" t="s">
        <v>766</v>
      </c>
      <c r="D156" s="140" t="s">
        <v>19</v>
      </c>
      <c r="E156" s="140" t="s">
        <v>48</v>
      </c>
      <c r="F156" s="140" t="s">
        <v>31</v>
      </c>
      <c r="G156" s="140" t="s">
        <v>68</v>
      </c>
      <c r="H156" s="140" t="s">
        <v>25</v>
      </c>
      <c r="I156" s="140" t="s">
        <v>62</v>
      </c>
      <c r="J156" s="140" t="s">
        <v>74</v>
      </c>
      <c r="K156" s="140" t="s">
        <v>42</v>
      </c>
    </row>
    <row r="157" spans="1:11" ht="12.75" customHeight="1" x14ac:dyDescent="0.3">
      <c r="A157" s="140">
        <v>156</v>
      </c>
      <c r="B157" s="140" t="s">
        <v>767</v>
      </c>
      <c r="C157" s="140" t="s">
        <v>768</v>
      </c>
      <c r="D157" s="140" t="s">
        <v>19</v>
      </c>
      <c r="E157" s="140" t="s">
        <v>48</v>
      </c>
      <c r="F157" s="140" t="s">
        <v>31</v>
      </c>
      <c r="G157" s="140" t="s">
        <v>80</v>
      </c>
      <c r="H157" s="140" t="s">
        <v>25</v>
      </c>
      <c r="I157" s="140" t="s">
        <v>42</v>
      </c>
      <c r="J157" s="140" t="s">
        <v>55</v>
      </c>
      <c r="K157" s="140" t="s">
        <v>20</v>
      </c>
    </row>
    <row r="158" spans="1:11" ht="12.75" customHeight="1" x14ac:dyDescent="0.3">
      <c r="A158" s="140">
        <v>157</v>
      </c>
      <c r="B158" s="140" t="s">
        <v>769</v>
      </c>
      <c r="C158" s="140" t="s">
        <v>770</v>
      </c>
      <c r="D158" s="140" t="s">
        <v>19</v>
      </c>
      <c r="E158" s="140" t="s">
        <v>48</v>
      </c>
      <c r="F158" s="140" t="s">
        <v>31</v>
      </c>
      <c r="G158" s="140" t="s">
        <v>42</v>
      </c>
      <c r="H158" s="140" t="s">
        <v>25</v>
      </c>
      <c r="I158" s="140" t="s">
        <v>74</v>
      </c>
      <c r="J158" s="140" t="s">
        <v>55</v>
      </c>
      <c r="K158" s="140" t="s">
        <v>20</v>
      </c>
    </row>
    <row r="159" spans="1:11" ht="12.75" customHeight="1" x14ac:dyDescent="0.3">
      <c r="A159" s="140">
        <v>158</v>
      </c>
      <c r="B159" s="140" t="s">
        <v>771</v>
      </c>
      <c r="C159" s="140" t="s">
        <v>772</v>
      </c>
      <c r="D159" s="140" t="s">
        <v>19</v>
      </c>
      <c r="E159" s="140" t="s">
        <v>48</v>
      </c>
      <c r="F159" s="140" t="s">
        <v>31</v>
      </c>
      <c r="G159" s="140" t="s">
        <v>80</v>
      </c>
      <c r="H159" s="140" t="s">
        <v>25</v>
      </c>
      <c r="I159" s="140" t="s">
        <v>74</v>
      </c>
      <c r="J159" s="140" t="s">
        <v>55</v>
      </c>
      <c r="K159" s="140" t="s">
        <v>42</v>
      </c>
    </row>
    <row r="160" spans="1:11" ht="12.75" customHeight="1" x14ac:dyDescent="0.3">
      <c r="A160" s="140">
        <v>159</v>
      </c>
      <c r="B160" s="140" t="s">
        <v>773</v>
      </c>
      <c r="C160" s="140" t="s">
        <v>774</v>
      </c>
      <c r="D160" s="140" t="s">
        <v>19</v>
      </c>
      <c r="E160" s="140" t="s">
        <v>48</v>
      </c>
      <c r="F160" s="140" t="s">
        <v>31</v>
      </c>
      <c r="G160" s="140" t="s">
        <v>68</v>
      </c>
      <c r="H160" s="140" t="s">
        <v>25</v>
      </c>
      <c r="I160" s="140" t="s">
        <v>42</v>
      </c>
      <c r="J160" s="140" t="s">
        <v>55</v>
      </c>
      <c r="K160" s="140" t="s">
        <v>20</v>
      </c>
    </row>
    <row r="161" spans="1:11" ht="12.75" customHeight="1" x14ac:dyDescent="0.3">
      <c r="A161" s="140">
        <v>160</v>
      </c>
      <c r="B161" s="140" t="s">
        <v>775</v>
      </c>
      <c r="C161" s="140" t="s">
        <v>776</v>
      </c>
      <c r="D161" s="140" t="s">
        <v>19</v>
      </c>
      <c r="E161" s="140" t="s">
        <v>48</v>
      </c>
      <c r="F161" s="140" t="s">
        <v>31</v>
      </c>
      <c r="G161" s="140" t="s">
        <v>80</v>
      </c>
      <c r="H161" s="140" t="s">
        <v>25</v>
      </c>
      <c r="I161" s="140" t="s">
        <v>42</v>
      </c>
      <c r="J161" s="140" t="s">
        <v>55</v>
      </c>
      <c r="K161" s="140" t="s">
        <v>68</v>
      </c>
    </row>
    <row r="162" spans="1:11" ht="12.75" customHeight="1" x14ac:dyDescent="0.3">
      <c r="A162" s="140">
        <v>161</v>
      </c>
      <c r="B162" s="140" t="s">
        <v>777</v>
      </c>
      <c r="C162" s="140" t="s">
        <v>778</v>
      </c>
      <c r="D162" s="140" t="s">
        <v>19</v>
      </c>
      <c r="E162" s="140" t="s">
        <v>48</v>
      </c>
      <c r="F162" s="140" t="s">
        <v>31</v>
      </c>
      <c r="G162" s="140" t="s">
        <v>68</v>
      </c>
      <c r="H162" s="140" t="s">
        <v>25</v>
      </c>
      <c r="I162" s="140" t="s">
        <v>74</v>
      </c>
      <c r="J162" s="140" t="s">
        <v>55</v>
      </c>
      <c r="K162" s="140" t="s">
        <v>42</v>
      </c>
    </row>
    <row r="163" spans="1:11" ht="12.75" customHeight="1" x14ac:dyDescent="0.3">
      <c r="A163" s="140">
        <v>162</v>
      </c>
      <c r="B163" s="140" t="s">
        <v>779</v>
      </c>
      <c r="C163" s="140" t="s">
        <v>780</v>
      </c>
      <c r="D163" s="140" t="s">
        <v>19</v>
      </c>
      <c r="E163" s="140" t="s">
        <v>48</v>
      </c>
      <c r="F163" s="140" t="s">
        <v>31</v>
      </c>
      <c r="G163" s="140" t="s">
        <v>42</v>
      </c>
      <c r="H163" s="140" t="s">
        <v>25</v>
      </c>
      <c r="I163" s="140" t="s">
        <v>62</v>
      </c>
      <c r="J163" s="140" t="s">
        <v>55</v>
      </c>
      <c r="K163" s="140" t="s">
        <v>20</v>
      </c>
    </row>
    <row r="164" spans="1:11" ht="12.75" customHeight="1" x14ac:dyDescent="0.3">
      <c r="A164" s="140">
        <v>163</v>
      </c>
      <c r="B164" s="140" t="s">
        <v>781</v>
      </c>
      <c r="C164" s="140" t="s">
        <v>782</v>
      </c>
      <c r="D164" s="140" t="s">
        <v>19</v>
      </c>
      <c r="E164" s="140" t="s">
        <v>48</v>
      </c>
      <c r="F164" s="140" t="s">
        <v>31</v>
      </c>
      <c r="G164" s="140" t="s">
        <v>80</v>
      </c>
      <c r="H164" s="140" t="s">
        <v>25</v>
      </c>
      <c r="I164" s="140" t="s">
        <v>62</v>
      </c>
      <c r="J164" s="140" t="s">
        <v>55</v>
      </c>
      <c r="K164" s="140" t="s">
        <v>42</v>
      </c>
    </row>
    <row r="165" spans="1:11" ht="12.75" customHeight="1" x14ac:dyDescent="0.3">
      <c r="A165" s="140">
        <v>164</v>
      </c>
      <c r="B165" s="140" t="s">
        <v>783</v>
      </c>
      <c r="C165" s="140" t="s">
        <v>784</v>
      </c>
      <c r="D165" s="140" t="s">
        <v>31</v>
      </c>
      <c r="E165" s="140" t="s">
        <v>48</v>
      </c>
      <c r="F165" s="140" t="s">
        <v>62</v>
      </c>
      <c r="G165" s="140" t="s">
        <v>42</v>
      </c>
      <c r="H165" s="140" t="s">
        <v>25</v>
      </c>
      <c r="I165" s="140" t="s">
        <v>74</v>
      </c>
      <c r="J165" s="140" t="s">
        <v>55</v>
      </c>
      <c r="K165" s="140" t="s">
        <v>19</v>
      </c>
    </row>
    <row r="166" spans="1:11" ht="12.75" customHeight="1" x14ac:dyDescent="0.3">
      <c r="A166" s="140">
        <v>165</v>
      </c>
      <c r="B166" s="140" t="s">
        <v>785</v>
      </c>
      <c r="C166" s="140" t="s">
        <v>786</v>
      </c>
      <c r="D166" s="140" t="s">
        <v>19</v>
      </c>
      <c r="E166" s="140" t="s">
        <v>48</v>
      </c>
      <c r="F166" s="140" t="s">
        <v>31</v>
      </c>
      <c r="G166" s="140" t="s">
        <v>68</v>
      </c>
      <c r="H166" s="140" t="s">
        <v>25</v>
      </c>
      <c r="I166" s="140" t="s">
        <v>62</v>
      </c>
      <c r="J166" s="140" t="s">
        <v>55</v>
      </c>
      <c r="K166" s="140" t="s">
        <v>42</v>
      </c>
    </row>
    <row r="167" spans="1:11" ht="12.75" customHeight="1" x14ac:dyDescent="0.3">
      <c r="A167" s="140">
        <v>166</v>
      </c>
      <c r="B167" s="140" t="s">
        <v>787</v>
      </c>
      <c r="C167" s="140" t="s">
        <v>788</v>
      </c>
      <c r="D167" s="140" t="s">
        <v>48</v>
      </c>
      <c r="E167" s="140" t="s">
        <v>55</v>
      </c>
      <c r="F167" s="140" t="s">
        <v>62</v>
      </c>
      <c r="G167" s="140" t="s">
        <v>80</v>
      </c>
      <c r="H167" s="140" t="s">
        <v>68</v>
      </c>
      <c r="I167" s="140" t="s">
        <v>13</v>
      </c>
      <c r="J167" s="140" t="s">
        <v>74</v>
      </c>
      <c r="K167" s="140" t="s">
        <v>20</v>
      </c>
    </row>
    <row r="168" spans="1:11" ht="12.75" customHeight="1" x14ac:dyDescent="0.3">
      <c r="A168" s="140">
        <v>167</v>
      </c>
      <c r="B168" s="140" t="s">
        <v>789</v>
      </c>
      <c r="C168" s="140" t="s">
        <v>790</v>
      </c>
      <c r="D168" s="140" t="s">
        <v>13</v>
      </c>
      <c r="E168" s="140" t="s">
        <v>55</v>
      </c>
      <c r="F168" s="140" t="s">
        <v>42</v>
      </c>
      <c r="G168" s="140" t="s">
        <v>80</v>
      </c>
      <c r="H168" s="140" t="s">
        <v>68</v>
      </c>
      <c r="I168" s="140" t="s">
        <v>62</v>
      </c>
      <c r="J168" s="140" t="s">
        <v>74</v>
      </c>
      <c r="K168" s="140" t="s">
        <v>20</v>
      </c>
    </row>
    <row r="169" spans="1:11" ht="12.75" customHeight="1" x14ac:dyDescent="0.3">
      <c r="A169" s="140">
        <v>168</v>
      </c>
      <c r="B169" s="140" t="s">
        <v>791</v>
      </c>
      <c r="C169" s="140" t="s">
        <v>792</v>
      </c>
      <c r="D169" s="140" t="s">
        <v>48</v>
      </c>
      <c r="E169" s="140" t="s">
        <v>62</v>
      </c>
      <c r="F169" s="140" t="s">
        <v>42</v>
      </c>
      <c r="G169" s="140" t="s">
        <v>80</v>
      </c>
      <c r="H169" s="140" t="s">
        <v>68</v>
      </c>
      <c r="I169" s="140" t="s">
        <v>13</v>
      </c>
      <c r="J169" s="140" t="s">
        <v>74</v>
      </c>
      <c r="K169" s="140" t="s">
        <v>20</v>
      </c>
    </row>
    <row r="170" spans="1:11" ht="12.75" customHeight="1" x14ac:dyDescent="0.3">
      <c r="A170" s="140">
        <v>169</v>
      </c>
      <c r="B170" s="140" t="s">
        <v>793</v>
      </c>
      <c r="C170" s="140" t="s">
        <v>794</v>
      </c>
      <c r="D170" s="140" t="s">
        <v>48</v>
      </c>
      <c r="E170" s="140" t="s">
        <v>55</v>
      </c>
      <c r="F170" s="140" t="s">
        <v>42</v>
      </c>
      <c r="G170" s="140" t="s">
        <v>80</v>
      </c>
      <c r="H170" s="140" t="s">
        <v>68</v>
      </c>
      <c r="I170" s="140" t="s">
        <v>13</v>
      </c>
      <c r="J170" s="140" t="s">
        <v>74</v>
      </c>
      <c r="K170" s="140" t="s">
        <v>20</v>
      </c>
    </row>
    <row r="171" spans="1:11" ht="12.75" customHeight="1" x14ac:dyDescent="0.3">
      <c r="A171" s="140">
        <v>170</v>
      </c>
      <c r="B171" s="140" t="s">
        <v>795</v>
      </c>
      <c r="C171" s="140" t="s">
        <v>796</v>
      </c>
      <c r="D171" s="140" t="s">
        <v>48</v>
      </c>
      <c r="E171" s="140" t="s">
        <v>62</v>
      </c>
      <c r="F171" s="140" t="s">
        <v>42</v>
      </c>
      <c r="G171" s="140" t="s">
        <v>80</v>
      </c>
      <c r="H171" s="140" t="s">
        <v>74</v>
      </c>
      <c r="I171" s="140" t="s">
        <v>13</v>
      </c>
      <c r="J171" s="140" t="s">
        <v>55</v>
      </c>
      <c r="K171" s="140" t="s">
        <v>20</v>
      </c>
    </row>
    <row r="172" spans="1:11" ht="12.75" customHeight="1" x14ac:dyDescent="0.3">
      <c r="A172" s="140">
        <v>171</v>
      </c>
      <c r="B172" s="140" t="s">
        <v>797</v>
      </c>
      <c r="C172" s="140" t="s">
        <v>798</v>
      </c>
      <c r="D172" s="140" t="s">
        <v>48</v>
      </c>
      <c r="E172" s="140" t="s">
        <v>62</v>
      </c>
      <c r="F172" s="140" t="s">
        <v>42</v>
      </c>
      <c r="G172" s="140" t="s">
        <v>80</v>
      </c>
      <c r="H172" s="140" t="s">
        <v>68</v>
      </c>
      <c r="I172" s="140" t="s">
        <v>13</v>
      </c>
      <c r="J172" s="140" t="s">
        <v>55</v>
      </c>
      <c r="K172" s="140" t="s">
        <v>20</v>
      </c>
    </row>
    <row r="173" spans="1:11" ht="12.75" customHeight="1" x14ac:dyDescent="0.3">
      <c r="A173" s="140">
        <v>172</v>
      </c>
      <c r="B173" s="140" t="s">
        <v>799</v>
      </c>
      <c r="C173" s="140" t="s">
        <v>800</v>
      </c>
      <c r="D173" s="140" t="s">
        <v>48</v>
      </c>
      <c r="E173" s="140" t="s">
        <v>62</v>
      </c>
      <c r="F173" s="140" t="s">
        <v>42</v>
      </c>
      <c r="G173" s="140" t="s">
        <v>68</v>
      </c>
      <c r="H173" s="140" t="s">
        <v>74</v>
      </c>
      <c r="I173" s="140" t="s">
        <v>13</v>
      </c>
      <c r="J173" s="140" t="s">
        <v>55</v>
      </c>
      <c r="K173" s="140" t="s">
        <v>20</v>
      </c>
    </row>
    <row r="174" spans="1:11" ht="12.75" customHeight="1" x14ac:dyDescent="0.3">
      <c r="A174" s="140">
        <v>173</v>
      </c>
      <c r="B174" s="140" t="s">
        <v>801</v>
      </c>
      <c r="C174" s="140" t="s">
        <v>802</v>
      </c>
      <c r="D174" s="140" t="s">
        <v>48</v>
      </c>
      <c r="E174" s="140" t="s">
        <v>62</v>
      </c>
      <c r="F174" s="140" t="s">
        <v>42</v>
      </c>
      <c r="G174" s="140" t="s">
        <v>80</v>
      </c>
      <c r="H174" s="140" t="s">
        <v>74</v>
      </c>
      <c r="I174" s="140" t="s">
        <v>13</v>
      </c>
      <c r="J174" s="140" t="s">
        <v>55</v>
      </c>
      <c r="K174" s="140" t="s">
        <v>68</v>
      </c>
    </row>
    <row r="175" spans="1:11" ht="12.75" customHeight="1" x14ac:dyDescent="0.3">
      <c r="A175" s="140">
        <v>174</v>
      </c>
      <c r="B175" s="140" t="s">
        <v>803</v>
      </c>
      <c r="C175" s="140" t="s">
        <v>804</v>
      </c>
      <c r="D175" s="140" t="s">
        <v>19</v>
      </c>
      <c r="E175" s="140" t="s">
        <v>55</v>
      </c>
      <c r="F175" s="140" t="s">
        <v>62</v>
      </c>
      <c r="G175" s="140" t="s">
        <v>80</v>
      </c>
      <c r="H175" s="140" t="s">
        <v>68</v>
      </c>
      <c r="I175" s="140" t="s">
        <v>13</v>
      </c>
      <c r="J175" s="140" t="s">
        <v>74</v>
      </c>
      <c r="K175" s="140" t="s">
        <v>20</v>
      </c>
    </row>
    <row r="176" spans="1:11" ht="12.75" customHeight="1" x14ac:dyDescent="0.3">
      <c r="A176" s="140">
        <v>175</v>
      </c>
      <c r="B176" s="140" t="s">
        <v>805</v>
      </c>
      <c r="C176" s="140" t="s">
        <v>806</v>
      </c>
      <c r="D176" s="140" t="s">
        <v>19</v>
      </c>
      <c r="E176" s="140" t="s">
        <v>48</v>
      </c>
      <c r="F176" s="140" t="s">
        <v>62</v>
      </c>
      <c r="G176" s="140" t="s">
        <v>80</v>
      </c>
      <c r="H176" s="140" t="s">
        <v>68</v>
      </c>
      <c r="I176" s="140" t="s">
        <v>13</v>
      </c>
      <c r="J176" s="140" t="s">
        <v>74</v>
      </c>
      <c r="K176" s="140" t="s">
        <v>20</v>
      </c>
    </row>
    <row r="177" spans="1:11" ht="12.75" customHeight="1" x14ac:dyDescent="0.3">
      <c r="A177" s="140">
        <v>176</v>
      </c>
      <c r="B177" s="140" t="s">
        <v>807</v>
      </c>
      <c r="C177" s="140" t="s">
        <v>808</v>
      </c>
      <c r="D177" s="140" t="s">
        <v>19</v>
      </c>
      <c r="E177" s="140" t="s">
        <v>48</v>
      </c>
      <c r="F177" s="140" t="s">
        <v>68</v>
      </c>
      <c r="G177" s="140" t="s">
        <v>80</v>
      </c>
      <c r="H177" s="140" t="s">
        <v>74</v>
      </c>
      <c r="I177" s="140" t="s">
        <v>13</v>
      </c>
      <c r="J177" s="140" t="s">
        <v>55</v>
      </c>
      <c r="K177" s="140" t="s">
        <v>20</v>
      </c>
    </row>
    <row r="178" spans="1:11" ht="12.75" customHeight="1" x14ac:dyDescent="0.3">
      <c r="A178" s="140">
        <v>177</v>
      </c>
      <c r="B178" s="140" t="s">
        <v>809</v>
      </c>
      <c r="C178" s="140" t="s">
        <v>810</v>
      </c>
      <c r="D178" s="140" t="s">
        <v>19</v>
      </c>
      <c r="E178" s="140" t="s">
        <v>48</v>
      </c>
      <c r="F178" s="140" t="s">
        <v>62</v>
      </c>
      <c r="G178" s="140" t="s">
        <v>80</v>
      </c>
      <c r="H178" s="140" t="s">
        <v>74</v>
      </c>
      <c r="I178" s="140" t="s">
        <v>13</v>
      </c>
      <c r="J178" s="140" t="s">
        <v>55</v>
      </c>
      <c r="K178" s="140" t="s">
        <v>20</v>
      </c>
    </row>
    <row r="179" spans="1:11" ht="12.75" customHeight="1" x14ac:dyDescent="0.3">
      <c r="A179" s="140">
        <v>178</v>
      </c>
      <c r="B179" s="140" t="s">
        <v>811</v>
      </c>
      <c r="C179" s="140" t="s">
        <v>812</v>
      </c>
      <c r="D179" s="140" t="s">
        <v>19</v>
      </c>
      <c r="E179" s="140" t="s">
        <v>48</v>
      </c>
      <c r="F179" s="140" t="s">
        <v>62</v>
      </c>
      <c r="G179" s="140" t="s">
        <v>80</v>
      </c>
      <c r="H179" s="140" t="s">
        <v>68</v>
      </c>
      <c r="I179" s="140" t="s">
        <v>13</v>
      </c>
      <c r="J179" s="140" t="s">
        <v>55</v>
      </c>
      <c r="K179" s="140" t="s">
        <v>20</v>
      </c>
    </row>
    <row r="180" spans="1:11" ht="12.75" customHeight="1" x14ac:dyDescent="0.3">
      <c r="A180" s="140">
        <v>179</v>
      </c>
      <c r="B180" s="140" t="s">
        <v>813</v>
      </c>
      <c r="C180" s="140" t="s">
        <v>814</v>
      </c>
      <c r="D180" s="140" t="s">
        <v>19</v>
      </c>
      <c r="E180" s="140" t="s">
        <v>48</v>
      </c>
      <c r="F180" s="140" t="s">
        <v>62</v>
      </c>
      <c r="G180" s="140" t="s">
        <v>68</v>
      </c>
      <c r="H180" s="140" t="s">
        <v>74</v>
      </c>
      <c r="I180" s="140" t="s">
        <v>13</v>
      </c>
      <c r="J180" s="140" t="s">
        <v>55</v>
      </c>
      <c r="K180" s="140" t="s">
        <v>20</v>
      </c>
    </row>
    <row r="181" spans="1:11" ht="12.75" customHeight="1" x14ac:dyDescent="0.3">
      <c r="A181" s="140">
        <v>180</v>
      </c>
      <c r="B181" s="140" t="s">
        <v>815</v>
      </c>
      <c r="C181" s="140" t="s">
        <v>816</v>
      </c>
      <c r="D181" s="140" t="s">
        <v>19</v>
      </c>
      <c r="E181" s="140" t="s">
        <v>48</v>
      </c>
      <c r="F181" s="140" t="s">
        <v>62</v>
      </c>
      <c r="G181" s="140" t="s">
        <v>80</v>
      </c>
      <c r="H181" s="140" t="s">
        <v>74</v>
      </c>
      <c r="I181" s="140" t="s">
        <v>13</v>
      </c>
      <c r="J181" s="140" t="s">
        <v>55</v>
      </c>
      <c r="K181" s="140" t="s">
        <v>68</v>
      </c>
    </row>
    <row r="182" spans="1:11" ht="12.75" customHeight="1" x14ac:dyDescent="0.3">
      <c r="A182" s="140">
        <v>181</v>
      </c>
      <c r="B182" s="140" t="s">
        <v>817</v>
      </c>
      <c r="C182" s="140" t="s">
        <v>818</v>
      </c>
      <c r="D182" s="140" t="s">
        <v>19</v>
      </c>
      <c r="E182" s="140" t="s">
        <v>62</v>
      </c>
      <c r="F182" s="140" t="s">
        <v>42</v>
      </c>
      <c r="G182" s="140" t="s">
        <v>80</v>
      </c>
      <c r="H182" s="140" t="s">
        <v>68</v>
      </c>
      <c r="I182" s="140" t="s">
        <v>13</v>
      </c>
      <c r="J182" s="140" t="s">
        <v>74</v>
      </c>
      <c r="K182" s="140" t="s">
        <v>20</v>
      </c>
    </row>
    <row r="183" spans="1:11" ht="12.75" customHeight="1" x14ac:dyDescent="0.3">
      <c r="A183" s="140">
        <v>182</v>
      </c>
      <c r="B183" s="140" t="s">
        <v>819</v>
      </c>
      <c r="C183" s="140" t="s">
        <v>820</v>
      </c>
      <c r="D183" s="140" t="s">
        <v>19</v>
      </c>
      <c r="E183" s="140" t="s">
        <v>55</v>
      </c>
      <c r="F183" s="140" t="s">
        <v>42</v>
      </c>
      <c r="G183" s="140" t="s">
        <v>80</v>
      </c>
      <c r="H183" s="140" t="s">
        <v>68</v>
      </c>
      <c r="I183" s="140" t="s">
        <v>13</v>
      </c>
      <c r="J183" s="140" t="s">
        <v>74</v>
      </c>
      <c r="K183" s="140" t="s">
        <v>20</v>
      </c>
    </row>
    <row r="184" spans="1:11" ht="12.75" customHeight="1" x14ac:dyDescent="0.3">
      <c r="A184" s="140">
        <v>183</v>
      </c>
      <c r="B184" s="140" t="s">
        <v>821</v>
      </c>
      <c r="C184" s="140" t="s">
        <v>822</v>
      </c>
      <c r="D184" s="140" t="s">
        <v>19</v>
      </c>
      <c r="E184" s="140" t="s">
        <v>62</v>
      </c>
      <c r="F184" s="140" t="s">
        <v>42</v>
      </c>
      <c r="G184" s="140" t="s">
        <v>80</v>
      </c>
      <c r="H184" s="140" t="s">
        <v>74</v>
      </c>
      <c r="I184" s="140" t="s">
        <v>13</v>
      </c>
      <c r="J184" s="140" t="s">
        <v>55</v>
      </c>
      <c r="K184" s="140" t="s">
        <v>20</v>
      </c>
    </row>
    <row r="185" spans="1:11" ht="12.75" customHeight="1" x14ac:dyDescent="0.3">
      <c r="A185" s="140">
        <v>184</v>
      </c>
      <c r="B185" s="140" t="s">
        <v>823</v>
      </c>
      <c r="C185" s="140" t="s">
        <v>824</v>
      </c>
      <c r="D185" s="140" t="s">
        <v>19</v>
      </c>
      <c r="E185" s="140" t="s">
        <v>62</v>
      </c>
      <c r="F185" s="140" t="s">
        <v>42</v>
      </c>
      <c r="G185" s="140" t="s">
        <v>80</v>
      </c>
      <c r="H185" s="140" t="s">
        <v>68</v>
      </c>
      <c r="I185" s="140" t="s">
        <v>13</v>
      </c>
      <c r="J185" s="140" t="s">
        <v>55</v>
      </c>
      <c r="K185" s="140" t="s">
        <v>20</v>
      </c>
    </row>
    <row r="186" spans="1:11" ht="12.75" customHeight="1" x14ac:dyDescent="0.3">
      <c r="A186" s="140">
        <v>185</v>
      </c>
      <c r="B186" s="140" t="s">
        <v>825</v>
      </c>
      <c r="C186" s="140" t="s">
        <v>826</v>
      </c>
      <c r="D186" s="140" t="s">
        <v>19</v>
      </c>
      <c r="E186" s="140" t="s">
        <v>62</v>
      </c>
      <c r="F186" s="140" t="s">
        <v>42</v>
      </c>
      <c r="G186" s="140" t="s">
        <v>68</v>
      </c>
      <c r="H186" s="140" t="s">
        <v>74</v>
      </c>
      <c r="I186" s="140" t="s">
        <v>13</v>
      </c>
      <c r="J186" s="140" t="s">
        <v>55</v>
      </c>
      <c r="K186" s="140" t="s">
        <v>20</v>
      </c>
    </row>
    <row r="187" spans="1:11" ht="12.75" customHeight="1" x14ac:dyDescent="0.3">
      <c r="A187" s="140">
        <v>186</v>
      </c>
      <c r="B187" s="140" t="s">
        <v>827</v>
      </c>
      <c r="C187" s="140" t="s">
        <v>828</v>
      </c>
      <c r="D187" s="140" t="s">
        <v>19</v>
      </c>
      <c r="E187" s="140" t="s">
        <v>62</v>
      </c>
      <c r="F187" s="140" t="s">
        <v>42</v>
      </c>
      <c r="G187" s="140" t="s">
        <v>80</v>
      </c>
      <c r="H187" s="140" t="s">
        <v>74</v>
      </c>
      <c r="I187" s="140" t="s">
        <v>13</v>
      </c>
      <c r="J187" s="140" t="s">
        <v>55</v>
      </c>
      <c r="K187" s="140" t="s">
        <v>68</v>
      </c>
    </row>
    <row r="188" spans="1:11" ht="12.75" customHeight="1" x14ac:dyDescent="0.3">
      <c r="A188" s="140">
        <v>187</v>
      </c>
      <c r="B188" s="140" t="s">
        <v>829</v>
      </c>
      <c r="C188" s="140" t="s">
        <v>830</v>
      </c>
      <c r="D188" s="140" t="s">
        <v>19</v>
      </c>
      <c r="E188" s="140" t="s">
        <v>48</v>
      </c>
      <c r="F188" s="140" t="s">
        <v>42</v>
      </c>
      <c r="G188" s="140" t="s">
        <v>80</v>
      </c>
      <c r="H188" s="140" t="s">
        <v>68</v>
      </c>
      <c r="I188" s="140" t="s">
        <v>13</v>
      </c>
      <c r="J188" s="140" t="s">
        <v>74</v>
      </c>
      <c r="K188" s="140" t="s">
        <v>20</v>
      </c>
    </row>
    <row r="189" spans="1:11" ht="12.75" customHeight="1" x14ac:dyDescent="0.3">
      <c r="A189" s="140">
        <v>188</v>
      </c>
      <c r="B189" s="140" t="s">
        <v>831</v>
      </c>
      <c r="C189" s="140" t="s">
        <v>832</v>
      </c>
      <c r="D189" s="140" t="s">
        <v>19</v>
      </c>
      <c r="E189" s="140" t="s">
        <v>48</v>
      </c>
      <c r="F189" s="140" t="s">
        <v>62</v>
      </c>
      <c r="G189" s="140" t="s">
        <v>80</v>
      </c>
      <c r="H189" s="140" t="s">
        <v>42</v>
      </c>
      <c r="I189" s="140" t="s">
        <v>13</v>
      </c>
      <c r="J189" s="140" t="s">
        <v>74</v>
      </c>
      <c r="K189" s="140" t="s">
        <v>20</v>
      </c>
    </row>
    <row r="190" spans="1:11" ht="12.75" customHeight="1" x14ac:dyDescent="0.3">
      <c r="A190" s="140">
        <v>189</v>
      </c>
      <c r="B190" s="140" t="s">
        <v>833</v>
      </c>
      <c r="C190" s="140" t="s">
        <v>834</v>
      </c>
      <c r="D190" s="140" t="s">
        <v>19</v>
      </c>
      <c r="E190" s="140" t="s">
        <v>48</v>
      </c>
      <c r="F190" s="140" t="s">
        <v>62</v>
      </c>
      <c r="G190" s="140" t="s">
        <v>80</v>
      </c>
      <c r="H190" s="140" t="s">
        <v>68</v>
      </c>
      <c r="I190" s="140" t="s">
        <v>13</v>
      </c>
      <c r="J190" s="140" t="s">
        <v>42</v>
      </c>
      <c r="K190" s="140" t="s">
        <v>20</v>
      </c>
    </row>
    <row r="191" spans="1:11" ht="12.75" customHeight="1" x14ac:dyDescent="0.3">
      <c r="A191" s="140">
        <v>190</v>
      </c>
      <c r="B191" s="140" t="s">
        <v>835</v>
      </c>
      <c r="C191" s="140" t="s">
        <v>836</v>
      </c>
      <c r="D191" s="140" t="s">
        <v>19</v>
      </c>
      <c r="E191" s="140" t="s">
        <v>48</v>
      </c>
      <c r="F191" s="140" t="s">
        <v>62</v>
      </c>
      <c r="G191" s="140" t="s">
        <v>68</v>
      </c>
      <c r="H191" s="140" t="s">
        <v>42</v>
      </c>
      <c r="I191" s="140" t="s">
        <v>13</v>
      </c>
      <c r="J191" s="140" t="s">
        <v>74</v>
      </c>
      <c r="K191" s="140" t="s">
        <v>20</v>
      </c>
    </row>
    <row r="192" spans="1:11" ht="12.75" customHeight="1" x14ac:dyDescent="0.3">
      <c r="A192" s="140">
        <v>191</v>
      </c>
      <c r="B192" s="140" t="s">
        <v>837</v>
      </c>
      <c r="C192" s="140" t="s">
        <v>838</v>
      </c>
      <c r="D192" s="140" t="s">
        <v>19</v>
      </c>
      <c r="E192" s="140" t="s">
        <v>48</v>
      </c>
      <c r="F192" s="140" t="s">
        <v>62</v>
      </c>
      <c r="G192" s="140" t="s">
        <v>80</v>
      </c>
      <c r="H192" s="140" t="s">
        <v>42</v>
      </c>
      <c r="I192" s="140" t="s">
        <v>13</v>
      </c>
      <c r="J192" s="140" t="s">
        <v>74</v>
      </c>
      <c r="K192" s="140" t="s">
        <v>68</v>
      </c>
    </row>
    <row r="193" spans="1:11" ht="12.75" customHeight="1" x14ac:dyDescent="0.3">
      <c r="A193" s="140">
        <v>192</v>
      </c>
      <c r="B193" s="140" t="s">
        <v>839</v>
      </c>
      <c r="C193" s="140" t="s">
        <v>840</v>
      </c>
      <c r="D193" s="140" t="s">
        <v>19</v>
      </c>
      <c r="E193" s="140" t="s">
        <v>48</v>
      </c>
      <c r="F193" s="140" t="s">
        <v>42</v>
      </c>
      <c r="G193" s="140" t="s">
        <v>80</v>
      </c>
      <c r="H193" s="140" t="s">
        <v>74</v>
      </c>
      <c r="I193" s="140" t="s">
        <v>13</v>
      </c>
      <c r="J193" s="140" t="s">
        <v>55</v>
      </c>
      <c r="K193" s="140" t="s">
        <v>20</v>
      </c>
    </row>
    <row r="194" spans="1:11" ht="12.75" customHeight="1" x14ac:dyDescent="0.3">
      <c r="A194" s="140">
        <v>193</v>
      </c>
      <c r="B194" s="140" t="s">
        <v>841</v>
      </c>
      <c r="C194" s="140" t="s">
        <v>842</v>
      </c>
      <c r="D194" s="140" t="s">
        <v>19</v>
      </c>
      <c r="E194" s="140" t="s">
        <v>48</v>
      </c>
      <c r="F194" s="140" t="s">
        <v>42</v>
      </c>
      <c r="G194" s="140" t="s">
        <v>80</v>
      </c>
      <c r="H194" s="140" t="s">
        <v>68</v>
      </c>
      <c r="I194" s="140" t="s">
        <v>13</v>
      </c>
      <c r="J194" s="140" t="s">
        <v>55</v>
      </c>
      <c r="K194" s="140" t="s">
        <v>20</v>
      </c>
    </row>
    <row r="195" spans="1:11" ht="12.75" customHeight="1" x14ac:dyDescent="0.3">
      <c r="A195" s="140">
        <v>194</v>
      </c>
      <c r="B195" s="140" t="s">
        <v>843</v>
      </c>
      <c r="C195" s="140" t="s">
        <v>844</v>
      </c>
      <c r="D195" s="140" t="s">
        <v>19</v>
      </c>
      <c r="E195" s="140" t="s">
        <v>48</v>
      </c>
      <c r="F195" s="140" t="s">
        <v>42</v>
      </c>
      <c r="G195" s="140" t="s">
        <v>68</v>
      </c>
      <c r="H195" s="140" t="s">
        <v>74</v>
      </c>
      <c r="I195" s="140" t="s">
        <v>13</v>
      </c>
      <c r="J195" s="140" t="s">
        <v>55</v>
      </c>
      <c r="K195" s="140" t="s">
        <v>20</v>
      </c>
    </row>
    <row r="196" spans="1:11" ht="12.75" customHeight="1" x14ac:dyDescent="0.3">
      <c r="A196" s="140">
        <v>195</v>
      </c>
      <c r="B196" s="140" t="s">
        <v>845</v>
      </c>
      <c r="C196" s="140" t="s">
        <v>846</v>
      </c>
      <c r="D196" s="140" t="s">
        <v>19</v>
      </c>
      <c r="E196" s="140" t="s">
        <v>48</v>
      </c>
      <c r="F196" s="140" t="s">
        <v>42</v>
      </c>
      <c r="G196" s="140" t="s">
        <v>80</v>
      </c>
      <c r="H196" s="140" t="s">
        <v>74</v>
      </c>
      <c r="I196" s="140" t="s">
        <v>13</v>
      </c>
      <c r="J196" s="140" t="s">
        <v>55</v>
      </c>
      <c r="K196" s="140" t="s">
        <v>68</v>
      </c>
    </row>
    <row r="197" spans="1:11" ht="12.75" customHeight="1" x14ac:dyDescent="0.3">
      <c r="A197" s="140">
        <v>196</v>
      </c>
      <c r="B197" s="140" t="s">
        <v>847</v>
      </c>
      <c r="C197" s="140" t="s">
        <v>848</v>
      </c>
      <c r="D197" s="140" t="s">
        <v>19</v>
      </c>
      <c r="E197" s="140" t="s">
        <v>48</v>
      </c>
      <c r="F197" s="140" t="s">
        <v>62</v>
      </c>
      <c r="G197" s="140" t="s">
        <v>80</v>
      </c>
      <c r="H197" s="140" t="s">
        <v>42</v>
      </c>
      <c r="I197" s="140" t="s">
        <v>13</v>
      </c>
      <c r="J197" s="140" t="s">
        <v>55</v>
      </c>
      <c r="K197" s="140" t="s">
        <v>20</v>
      </c>
    </row>
    <row r="198" spans="1:11" ht="12.75" customHeight="1" x14ac:dyDescent="0.3">
      <c r="A198" s="140">
        <v>197</v>
      </c>
      <c r="B198" s="140" t="s">
        <v>849</v>
      </c>
      <c r="C198" s="140" t="s">
        <v>850</v>
      </c>
      <c r="D198" s="140" t="s">
        <v>19</v>
      </c>
      <c r="E198" s="140" t="s">
        <v>48</v>
      </c>
      <c r="F198" s="140" t="s">
        <v>62</v>
      </c>
      <c r="G198" s="140" t="s">
        <v>42</v>
      </c>
      <c r="H198" s="140" t="s">
        <v>74</v>
      </c>
      <c r="I198" s="140" t="s">
        <v>13</v>
      </c>
      <c r="J198" s="140" t="s">
        <v>55</v>
      </c>
      <c r="K198" s="140" t="s">
        <v>20</v>
      </c>
    </row>
    <row r="199" spans="1:11" ht="12.75" customHeight="1" x14ac:dyDescent="0.3">
      <c r="A199" s="140">
        <v>198</v>
      </c>
      <c r="B199" s="140" t="s">
        <v>851</v>
      </c>
      <c r="C199" s="140" t="s">
        <v>852</v>
      </c>
      <c r="D199" s="140" t="s">
        <v>19</v>
      </c>
      <c r="E199" s="140" t="s">
        <v>48</v>
      </c>
      <c r="F199" s="140" t="s">
        <v>62</v>
      </c>
      <c r="G199" s="140" t="s">
        <v>80</v>
      </c>
      <c r="H199" s="140" t="s">
        <v>74</v>
      </c>
      <c r="I199" s="140" t="s">
        <v>13</v>
      </c>
      <c r="J199" s="140" t="s">
        <v>55</v>
      </c>
      <c r="K199" s="140" t="s">
        <v>42</v>
      </c>
    </row>
    <row r="200" spans="1:11" ht="12.75" customHeight="1" x14ac:dyDescent="0.3">
      <c r="A200" s="140">
        <v>199</v>
      </c>
      <c r="B200" s="140" t="s">
        <v>853</v>
      </c>
      <c r="C200" s="140" t="s">
        <v>854</v>
      </c>
      <c r="D200" s="140" t="s">
        <v>19</v>
      </c>
      <c r="E200" s="140" t="s">
        <v>48</v>
      </c>
      <c r="F200" s="140" t="s">
        <v>62</v>
      </c>
      <c r="G200" s="140" t="s">
        <v>68</v>
      </c>
      <c r="H200" s="140" t="s">
        <v>42</v>
      </c>
      <c r="I200" s="140" t="s">
        <v>13</v>
      </c>
      <c r="J200" s="140" t="s">
        <v>55</v>
      </c>
      <c r="K200" s="140" t="s">
        <v>20</v>
      </c>
    </row>
    <row r="201" spans="1:11" ht="12.75" customHeight="1" x14ac:dyDescent="0.3">
      <c r="A201" s="140">
        <v>200</v>
      </c>
      <c r="B201" s="140" t="s">
        <v>855</v>
      </c>
      <c r="C201" s="140" t="s">
        <v>856</v>
      </c>
      <c r="D201" s="140" t="s">
        <v>19</v>
      </c>
      <c r="E201" s="140" t="s">
        <v>48</v>
      </c>
      <c r="F201" s="140" t="s">
        <v>62</v>
      </c>
      <c r="G201" s="140" t="s">
        <v>80</v>
      </c>
      <c r="H201" s="140" t="s">
        <v>42</v>
      </c>
      <c r="I201" s="140" t="s">
        <v>13</v>
      </c>
      <c r="J201" s="140" t="s">
        <v>55</v>
      </c>
      <c r="K201" s="140" t="s">
        <v>68</v>
      </c>
    </row>
    <row r="202" spans="1:11" ht="12.75" customHeight="1" x14ac:dyDescent="0.3">
      <c r="A202" s="140">
        <v>201</v>
      </c>
      <c r="B202" s="140" t="s">
        <v>857</v>
      </c>
      <c r="C202" s="140" t="s">
        <v>858</v>
      </c>
      <c r="D202" s="140" t="s">
        <v>19</v>
      </c>
      <c r="E202" s="140" t="s">
        <v>48</v>
      </c>
      <c r="F202" s="140" t="s">
        <v>62</v>
      </c>
      <c r="G202" s="140" t="s">
        <v>68</v>
      </c>
      <c r="H202" s="140" t="s">
        <v>74</v>
      </c>
      <c r="I202" s="140" t="s">
        <v>13</v>
      </c>
      <c r="J202" s="140" t="s">
        <v>55</v>
      </c>
      <c r="K202" s="140" t="s">
        <v>42</v>
      </c>
    </row>
    <row r="203" spans="1:11" ht="12.75" customHeight="1" x14ac:dyDescent="0.3">
      <c r="A203" s="140">
        <v>202</v>
      </c>
      <c r="B203" s="140" t="s">
        <v>859</v>
      </c>
      <c r="C203" s="140" t="s">
        <v>860</v>
      </c>
      <c r="D203" s="140" t="s">
        <v>31</v>
      </c>
      <c r="E203" s="140" t="s">
        <v>55</v>
      </c>
      <c r="F203" s="140" t="s">
        <v>62</v>
      </c>
      <c r="G203" s="140" t="s">
        <v>80</v>
      </c>
      <c r="H203" s="140" t="s">
        <v>68</v>
      </c>
      <c r="I203" s="140" t="s">
        <v>13</v>
      </c>
      <c r="J203" s="140" t="s">
        <v>74</v>
      </c>
      <c r="K203" s="140" t="s">
        <v>20</v>
      </c>
    </row>
    <row r="204" spans="1:11" ht="12.75" customHeight="1" x14ac:dyDescent="0.3">
      <c r="A204" s="140">
        <v>203</v>
      </c>
      <c r="B204" s="140" t="s">
        <v>861</v>
      </c>
      <c r="C204" s="140" t="s">
        <v>862</v>
      </c>
      <c r="D204" s="140" t="s">
        <v>31</v>
      </c>
      <c r="E204" s="140" t="s">
        <v>48</v>
      </c>
      <c r="F204" s="140" t="s">
        <v>62</v>
      </c>
      <c r="G204" s="140" t="s">
        <v>80</v>
      </c>
      <c r="H204" s="140" t="s">
        <v>68</v>
      </c>
      <c r="I204" s="140" t="s">
        <v>13</v>
      </c>
      <c r="J204" s="140" t="s">
        <v>74</v>
      </c>
      <c r="K204" s="140" t="s">
        <v>20</v>
      </c>
    </row>
    <row r="205" spans="1:11" ht="12.75" customHeight="1" x14ac:dyDescent="0.3">
      <c r="A205" s="140">
        <v>204</v>
      </c>
      <c r="B205" s="140" t="s">
        <v>863</v>
      </c>
      <c r="C205" s="140" t="s">
        <v>864</v>
      </c>
      <c r="D205" s="140" t="s">
        <v>31</v>
      </c>
      <c r="E205" s="140" t="s">
        <v>48</v>
      </c>
      <c r="F205" s="140" t="s">
        <v>68</v>
      </c>
      <c r="G205" s="140" t="s">
        <v>80</v>
      </c>
      <c r="H205" s="140" t="s">
        <v>74</v>
      </c>
      <c r="I205" s="140" t="s">
        <v>13</v>
      </c>
      <c r="J205" s="140" t="s">
        <v>55</v>
      </c>
      <c r="K205" s="140" t="s">
        <v>20</v>
      </c>
    </row>
    <row r="206" spans="1:11" ht="12.75" customHeight="1" x14ac:dyDescent="0.3">
      <c r="A206" s="140">
        <v>205</v>
      </c>
      <c r="B206" s="140" t="s">
        <v>865</v>
      </c>
      <c r="C206" s="140" t="s">
        <v>866</v>
      </c>
      <c r="D206" s="140" t="s">
        <v>31</v>
      </c>
      <c r="E206" s="140" t="s">
        <v>48</v>
      </c>
      <c r="F206" s="140" t="s">
        <v>62</v>
      </c>
      <c r="G206" s="140" t="s">
        <v>80</v>
      </c>
      <c r="H206" s="140" t="s">
        <v>74</v>
      </c>
      <c r="I206" s="140" t="s">
        <v>13</v>
      </c>
      <c r="J206" s="140" t="s">
        <v>55</v>
      </c>
      <c r="K206" s="140" t="s">
        <v>20</v>
      </c>
    </row>
    <row r="207" spans="1:11" ht="12.75" customHeight="1" x14ac:dyDescent="0.3">
      <c r="A207" s="140">
        <v>206</v>
      </c>
      <c r="B207" s="140" t="s">
        <v>867</v>
      </c>
      <c r="C207" s="140" t="s">
        <v>868</v>
      </c>
      <c r="D207" s="140" t="s">
        <v>31</v>
      </c>
      <c r="E207" s="140" t="s">
        <v>48</v>
      </c>
      <c r="F207" s="140" t="s">
        <v>62</v>
      </c>
      <c r="G207" s="140" t="s">
        <v>80</v>
      </c>
      <c r="H207" s="140" t="s">
        <v>68</v>
      </c>
      <c r="I207" s="140" t="s">
        <v>13</v>
      </c>
      <c r="J207" s="140" t="s">
        <v>55</v>
      </c>
      <c r="K207" s="140" t="s">
        <v>20</v>
      </c>
    </row>
    <row r="208" spans="1:11" ht="12.75" customHeight="1" x14ac:dyDescent="0.3">
      <c r="A208" s="140">
        <v>207</v>
      </c>
      <c r="B208" s="140" t="s">
        <v>869</v>
      </c>
      <c r="C208" s="140" t="s">
        <v>870</v>
      </c>
      <c r="D208" s="140" t="s">
        <v>31</v>
      </c>
      <c r="E208" s="140" t="s">
        <v>48</v>
      </c>
      <c r="F208" s="140" t="s">
        <v>62</v>
      </c>
      <c r="G208" s="140" t="s">
        <v>68</v>
      </c>
      <c r="H208" s="140" t="s">
        <v>74</v>
      </c>
      <c r="I208" s="140" t="s">
        <v>13</v>
      </c>
      <c r="J208" s="140" t="s">
        <v>55</v>
      </c>
      <c r="K208" s="140" t="s">
        <v>20</v>
      </c>
    </row>
    <row r="209" spans="1:11" ht="12.75" customHeight="1" x14ac:dyDescent="0.3">
      <c r="A209" s="140">
        <v>208</v>
      </c>
      <c r="B209" s="140" t="s">
        <v>871</v>
      </c>
      <c r="C209" s="140" t="s">
        <v>872</v>
      </c>
      <c r="D209" s="140" t="s">
        <v>31</v>
      </c>
      <c r="E209" s="140" t="s">
        <v>48</v>
      </c>
      <c r="F209" s="140" t="s">
        <v>62</v>
      </c>
      <c r="G209" s="140" t="s">
        <v>80</v>
      </c>
      <c r="H209" s="140" t="s">
        <v>74</v>
      </c>
      <c r="I209" s="140" t="s">
        <v>13</v>
      </c>
      <c r="J209" s="140" t="s">
        <v>55</v>
      </c>
      <c r="K209" s="140" t="s">
        <v>68</v>
      </c>
    </row>
    <row r="210" spans="1:11" ht="12.75" customHeight="1" x14ac:dyDescent="0.3">
      <c r="A210" s="140">
        <v>209</v>
      </c>
      <c r="B210" s="140" t="s">
        <v>873</v>
      </c>
      <c r="C210" s="140" t="s">
        <v>874</v>
      </c>
      <c r="D210" s="140" t="s">
        <v>31</v>
      </c>
      <c r="E210" s="140" t="s">
        <v>62</v>
      </c>
      <c r="F210" s="140" t="s">
        <v>42</v>
      </c>
      <c r="G210" s="140" t="s">
        <v>80</v>
      </c>
      <c r="H210" s="140" t="s">
        <v>68</v>
      </c>
      <c r="I210" s="140" t="s">
        <v>13</v>
      </c>
      <c r="J210" s="140" t="s">
        <v>74</v>
      </c>
      <c r="K210" s="140" t="s">
        <v>20</v>
      </c>
    </row>
    <row r="211" spans="1:11" ht="12.75" customHeight="1" x14ac:dyDescent="0.3">
      <c r="A211" s="140">
        <v>210</v>
      </c>
      <c r="B211" s="140" t="s">
        <v>875</v>
      </c>
      <c r="C211" s="140" t="s">
        <v>876</v>
      </c>
      <c r="D211" s="140" t="s">
        <v>31</v>
      </c>
      <c r="E211" s="140" t="s">
        <v>55</v>
      </c>
      <c r="F211" s="140" t="s">
        <v>42</v>
      </c>
      <c r="G211" s="140" t="s">
        <v>80</v>
      </c>
      <c r="H211" s="140" t="s">
        <v>68</v>
      </c>
      <c r="I211" s="140" t="s">
        <v>13</v>
      </c>
      <c r="J211" s="140" t="s">
        <v>74</v>
      </c>
      <c r="K211" s="140" t="s">
        <v>20</v>
      </c>
    </row>
    <row r="212" spans="1:11" ht="12.75" customHeight="1" x14ac:dyDescent="0.3">
      <c r="A212" s="140">
        <v>211</v>
      </c>
      <c r="B212" s="140" t="s">
        <v>877</v>
      </c>
      <c r="C212" s="140" t="s">
        <v>878</v>
      </c>
      <c r="D212" s="140" t="s">
        <v>31</v>
      </c>
      <c r="E212" s="140" t="s">
        <v>62</v>
      </c>
      <c r="F212" s="140" t="s">
        <v>42</v>
      </c>
      <c r="G212" s="140" t="s">
        <v>80</v>
      </c>
      <c r="H212" s="140" t="s">
        <v>74</v>
      </c>
      <c r="I212" s="140" t="s">
        <v>13</v>
      </c>
      <c r="J212" s="140" t="s">
        <v>55</v>
      </c>
      <c r="K212" s="140" t="s">
        <v>20</v>
      </c>
    </row>
    <row r="213" spans="1:11" ht="12.75" customHeight="1" x14ac:dyDescent="0.3">
      <c r="A213" s="140">
        <v>212</v>
      </c>
      <c r="B213" s="140" t="s">
        <v>879</v>
      </c>
      <c r="C213" s="140" t="s">
        <v>880</v>
      </c>
      <c r="D213" s="140" t="s">
        <v>31</v>
      </c>
      <c r="E213" s="140" t="s">
        <v>62</v>
      </c>
      <c r="F213" s="140" t="s">
        <v>42</v>
      </c>
      <c r="G213" s="140" t="s">
        <v>80</v>
      </c>
      <c r="H213" s="140" t="s">
        <v>68</v>
      </c>
      <c r="I213" s="140" t="s">
        <v>13</v>
      </c>
      <c r="J213" s="140" t="s">
        <v>55</v>
      </c>
      <c r="K213" s="140" t="s">
        <v>20</v>
      </c>
    </row>
    <row r="214" spans="1:11" ht="12.75" customHeight="1" x14ac:dyDescent="0.3">
      <c r="A214" s="140">
        <v>213</v>
      </c>
      <c r="B214" s="140" t="s">
        <v>881</v>
      </c>
      <c r="C214" s="140" t="s">
        <v>882</v>
      </c>
      <c r="D214" s="140" t="s">
        <v>31</v>
      </c>
      <c r="E214" s="140" t="s">
        <v>62</v>
      </c>
      <c r="F214" s="140" t="s">
        <v>42</v>
      </c>
      <c r="G214" s="140" t="s">
        <v>68</v>
      </c>
      <c r="H214" s="140" t="s">
        <v>74</v>
      </c>
      <c r="I214" s="140" t="s">
        <v>13</v>
      </c>
      <c r="J214" s="140" t="s">
        <v>55</v>
      </c>
      <c r="K214" s="140" t="s">
        <v>20</v>
      </c>
    </row>
    <row r="215" spans="1:11" ht="12.75" customHeight="1" x14ac:dyDescent="0.3">
      <c r="A215" s="140">
        <v>214</v>
      </c>
      <c r="B215" s="140" t="s">
        <v>883</v>
      </c>
      <c r="C215" s="140" t="s">
        <v>884</v>
      </c>
      <c r="D215" s="140" t="s">
        <v>31</v>
      </c>
      <c r="E215" s="140" t="s">
        <v>62</v>
      </c>
      <c r="F215" s="140" t="s">
        <v>42</v>
      </c>
      <c r="G215" s="140" t="s">
        <v>80</v>
      </c>
      <c r="H215" s="140" t="s">
        <v>74</v>
      </c>
      <c r="I215" s="140" t="s">
        <v>13</v>
      </c>
      <c r="J215" s="140" t="s">
        <v>55</v>
      </c>
      <c r="K215" s="140" t="s">
        <v>68</v>
      </c>
    </row>
    <row r="216" spans="1:11" ht="12.75" customHeight="1" x14ac:dyDescent="0.3">
      <c r="A216" s="140">
        <v>215</v>
      </c>
      <c r="B216" s="140" t="s">
        <v>885</v>
      </c>
      <c r="C216" s="140" t="s">
        <v>886</v>
      </c>
      <c r="D216" s="140" t="s">
        <v>31</v>
      </c>
      <c r="E216" s="140" t="s">
        <v>48</v>
      </c>
      <c r="F216" s="140" t="s">
        <v>42</v>
      </c>
      <c r="G216" s="140" t="s">
        <v>80</v>
      </c>
      <c r="H216" s="140" t="s">
        <v>68</v>
      </c>
      <c r="I216" s="140" t="s">
        <v>13</v>
      </c>
      <c r="J216" s="140" t="s">
        <v>74</v>
      </c>
      <c r="K216" s="140" t="s">
        <v>20</v>
      </c>
    </row>
    <row r="217" spans="1:11" ht="12.75" customHeight="1" x14ac:dyDescent="0.3">
      <c r="A217" s="140">
        <v>216</v>
      </c>
      <c r="B217" s="140" t="s">
        <v>887</v>
      </c>
      <c r="C217" s="140" t="s">
        <v>888</v>
      </c>
      <c r="D217" s="140" t="s">
        <v>31</v>
      </c>
      <c r="E217" s="140" t="s">
        <v>48</v>
      </c>
      <c r="F217" s="140" t="s">
        <v>62</v>
      </c>
      <c r="G217" s="140" t="s">
        <v>80</v>
      </c>
      <c r="H217" s="140" t="s">
        <v>42</v>
      </c>
      <c r="I217" s="140" t="s">
        <v>13</v>
      </c>
      <c r="J217" s="140" t="s">
        <v>74</v>
      </c>
      <c r="K217" s="140" t="s">
        <v>20</v>
      </c>
    </row>
    <row r="218" spans="1:11" ht="12.75" customHeight="1" x14ac:dyDescent="0.3">
      <c r="A218" s="140">
        <v>217</v>
      </c>
      <c r="B218" s="140" t="s">
        <v>889</v>
      </c>
      <c r="C218" s="140" t="s">
        <v>890</v>
      </c>
      <c r="D218" s="140" t="s">
        <v>31</v>
      </c>
      <c r="E218" s="140" t="s">
        <v>48</v>
      </c>
      <c r="F218" s="140" t="s">
        <v>62</v>
      </c>
      <c r="G218" s="140" t="s">
        <v>80</v>
      </c>
      <c r="H218" s="140" t="s">
        <v>68</v>
      </c>
      <c r="I218" s="140" t="s">
        <v>13</v>
      </c>
      <c r="J218" s="140" t="s">
        <v>42</v>
      </c>
      <c r="K218" s="140" t="s">
        <v>20</v>
      </c>
    </row>
    <row r="219" spans="1:11" ht="12.75" customHeight="1" x14ac:dyDescent="0.3">
      <c r="A219" s="140">
        <v>218</v>
      </c>
      <c r="B219" s="140" t="s">
        <v>891</v>
      </c>
      <c r="C219" s="140" t="s">
        <v>892</v>
      </c>
      <c r="D219" s="140" t="s">
        <v>31</v>
      </c>
      <c r="E219" s="140" t="s">
        <v>48</v>
      </c>
      <c r="F219" s="140" t="s">
        <v>62</v>
      </c>
      <c r="G219" s="140" t="s">
        <v>68</v>
      </c>
      <c r="H219" s="140" t="s">
        <v>42</v>
      </c>
      <c r="I219" s="140" t="s">
        <v>13</v>
      </c>
      <c r="J219" s="140" t="s">
        <v>74</v>
      </c>
      <c r="K219" s="140" t="s">
        <v>20</v>
      </c>
    </row>
    <row r="220" spans="1:11" ht="12.75" customHeight="1" x14ac:dyDescent="0.3">
      <c r="A220" s="140">
        <v>219</v>
      </c>
      <c r="B220" s="140" t="s">
        <v>893</v>
      </c>
      <c r="C220" s="140" t="s">
        <v>894</v>
      </c>
      <c r="D220" s="140" t="s">
        <v>31</v>
      </c>
      <c r="E220" s="140" t="s">
        <v>48</v>
      </c>
      <c r="F220" s="140" t="s">
        <v>62</v>
      </c>
      <c r="G220" s="140" t="s">
        <v>80</v>
      </c>
      <c r="H220" s="140" t="s">
        <v>42</v>
      </c>
      <c r="I220" s="140" t="s">
        <v>13</v>
      </c>
      <c r="J220" s="140" t="s">
        <v>74</v>
      </c>
      <c r="K220" s="140" t="s">
        <v>68</v>
      </c>
    </row>
    <row r="221" spans="1:11" ht="12.75" customHeight="1" x14ac:dyDescent="0.3">
      <c r="A221" s="140">
        <v>220</v>
      </c>
      <c r="B221" s="140" t="s">
        <v>895</v>
      </c>
      <c r="C221" s="140" t="s">
        <v>896</v>
      </c>
      <c r="D221" s="140" t="s">
        <v>31</v>
      </c>
      <c r="E221" s="140" t="s">
        <v>48</v>
      </c>
      <c r="F221" s="140" t="s">
        <v>42</v>
      </c>
      <c r="G221" s="140" t="s">
        <v>80</v>
      </c>
      <c r="H221" s="140" t="s">
        <v>74</v>
      </c>
      <c r="I221" s="140" t="s">
        <v>13</v>
      </c>
      <c r="J221" s="140" t="s">
        <v>55</v>
      </c>
      <c r="K221" s="140" t="s">
        <v>20</v>
      </c>
    </row>
    <row r="222" spans="1:11" ht="12.75" customHeight="1" x14ac:dyDescent="0.3">
      <c r="A222" s="140">
        <v>221</v>
      </c>
      <c r="B222" s="140" t="s">
        <v>897</v>
      </c>
      <c r="C222" s="140" t="s">
        <v>898</v>
      </c>
      <c r="D222" s="140" t="s">
        <v>31</v>
      </c>
      <c r="E222" s="140" t="s">
        <v>48</v>
      </c>
      <c r="F222" s="140" t="s">
        <v>42</v>
      </c>
      <c r="G222" s="140" t="s">
        <v>80</v>
      </c>
      <c r="H222" s="140" t="s">
        <v>68</v>
      </c>
      <c r="I222" s="140" t="s">
        <v>13</v>
      </c>
      <c r="J222" s="140" t="s">
        <v>55</v>
      </c>
      <c r="K222" s="140" t="s">
        <v>20</v>
      </c>
    </row>
    <row r="223" spans="1:11" ht="12.75" customHeight="1" x14ac:dyDescent="0.3">
      <c r="A223" s="140">
        <v>222</v>
      </c>
      <c r="B223" s="140" t="s">
        <v>899</v>
      </c>
      <c r="C223" s="140" t="s">
        <v>900</v>
      </c>
      <c r="D223" s="140" t="s">
        <v>31</v>
      </c>
      <c r="E223" s="140" t="s">
        <v>48</v>
      </c>
      <c r="F223" s="140" t="s">
        <v>42</v>
      </c>
      <c r="G223" s="140" t="s">
        <v>68</v>
      </c>
      <c r="H223" s="140" t="s">
        <v>74</v>
      </c>
      <c r="I223" s="140" t="s">
        <v>13</v>
      </c>
      <c r="J223" s="140" t="s">
        <v>55</v>
      </c>
      <c r="K223" s="140" t="s">
        <v>20</v>
      </c>
    </row>
    <row r="224" spans="1:11" ht="12.75" customHeight="1" x14ac:dyDescent="0.3">
      <c r="A224" s="140">
        <v>223</v>
      </c>
      <c r="B224" s="140" t="s">
        <v>901</v>
      </c>
      <c r="C224" s="140" t="s">
        <v>902</v>
      </c>
      <c r="D224" s="140" t="s">
        <v>31</v>
      </c>
      <c r="E224" s="140" t="s">
        <v>48</v>
      </c>
      <c r="F224" s="140" t="s">
        <v>42</v>
      </c>
      <c r="G224" s="140" t="s">
        <v>80</v>
      </c>
      <c r="H224" s="140" t="s">
        <v>74</v>
      </c>
      <c r="I224" s="140" t="s">
        <v>13</v>
      </c>
      <c r="J224" s="140" t="s">
        <v>55</v>
      </c>
      <c r="K224" s="140" t="s">
        <v>68</v>
      </c>
    </row>
    <row r="225" spans="1:11" ht="12.75" customHeight="1" x14ac:dyDescent="0.3">
      <c r="A225" s="140">
        <v>224</v>
      </c>
      <c r="B225" s="140" t="s">
        <v>903</v>
      </c>
      <c r="C225" s="140" t="s">
        <v>904</v>
      </c>
      <c r="D225" s="140" t="s">
        <v>31</v>
      </c>
      <c r="E225" s="140" t="s">
        <v>48</v>
      </c>
      <c r="F225" s="140" t="s">
        <v>62</v>
      </c>
      <c r="G225" s="140" t="s">
        <v>80</v>
      </c>
      <c r="H225" s="140" t="s">
        <v>42</v>
      </c>
      <c r="I225" s="140" t="s">
        <v>13</v>
      </c>
      <c r="J225" s="140" t="s">
        <v>55</v>
      </c>
      <c r="K225" s="140" t="s">
        <v>20</v>
      </c>
    </row>
    <row r="226" spans="1:11" ht="12.75" customHeight="1" x14ac:dyDescent="0.3">
      <c r="A226" s="140">
        <v>225</v>
      </c>
      <c r="B226" s="140" t="s">
        <v>905</v>
      </c>
      <c r="C226" s="140" t="s">
        <v>906</v>
      </c>
      <c r="D226" s="140" t="s">
        <v>31</v>
      </c>
      <c r="E226" s="140" t="s">
        <v>48</v>
      </c>
      <c r="F226" s="140" t="s">
        <v>62</v>
      </c>
      <c r="G226" s="140" t="s">
        <v>42</v>
      </c>
      <c r="H226" s="140" t="s">
        <v>74</v>
      </c>
      <c r="I226" s="140" t="s">
        <v>13</v>
      </c>
      <c r="J226" s="140" t="s">
        <v>55</v>
      </c>
      <c r="K226" s="140" t="s">
        <v>20</v>
      </c>
    </row>
    <row r="227" spans="1:11" ht="12.75" customHeight="1" x14ac:dyDescent="0.3">
      <c r="A227" s="140">
        <v>226</v>
      </c>
      <c r="B227" s="140" t="s">
        <v>907</v>
      </c>
      <c r="C227" s="140" t="s">
        <v>908</v>
      </c>
      <c r="D227" s="140" t="s">
        <v>31</v>
      </c>
      <c r="E227" s="140" t="s">
        <v>48</v>
      </c>
      <c r="F227" s="140" t="s">
        <v>62</v>
      </c>
      <c r="G227" s="140" t="s">
        <v>80</v>
      </c>
      <c r="H227" s="140" t="s">
        <v>74</v>
      </c>
      <c r="I227" s="140" t="s">
        <v>13</v>
      </c>
      <c r="J227" s="140" t="s">
        <v>55</v>
      </c>
      <c r="K227" s="140" t="s">
        <v>42</v>
      </c>
    </row>
    <row r="228" spans="1:11" ht="12.75" customHeight="1" x14ac:dyDescent="0.3">
      <c r="A228" s="140">
        <v>227</v>
      </c>
      <c r="B228" s="140" t="s">
        <v>909</v>
      </c>
      <c r="C228" s="140" t="s">
        <v>910</v>
      </c>
      <c r="D228" s="140" t="s">
        <v>31</v>
      </c>
      <c r="E228" s="140" t="s">
        <v>48</v>
      </c>
      <c r="F228" s="140" t="s">
        <v>62</v>
      </c>
      <c r="G228" s="140" t="s">
        <v>68</v>
      </c>
      <c r="H228" s="140" t="s">
        <v>42</v>
      </c>
      <c r="I228" s="140" t="s">
        <v>13</v>
      </c>
      <c r="J228" s="140" t="s">
        <v>55</v>
      </c>
      <c r="K228" s="140" t="s">
        <v>20</v>
      </c>
    </row>
    <row r="229" spans="1:11" ht="12.75" customHeight="1" x14ac:dyDescent="0.3">
      <c r="A229" s="140">
        <v>228</v>
      </c>
      <c r="B229" s="140" t="s">
        <v>911</v>
      </c>
      <c r="C229" s="140" t="s">
        <v>912</v>
      </c>
      <c r="D229" s="140" t="s">
        <v>31</v>
      </c>
      <c r="E229" s="140" t="s">
        <v>48</v>
      </c>
      <c r="F229" s="140" t="s">
        <v>62</v>
      </c>
      <c r="G229" s="140" t="s">
        <v>80</v>
      </c>
      <c r="H229" s="140" t="s">
        <v>42</v>
      </c>
      <c r="I229" s="140" t="s">
        <v>13</v>
      </c>
      <c r="J229" s="140" t="s">
        <v>55</v>
      </c>
      <c r="K229" s="140" t="s">
        <v>68</v>
      </c>
    </row>
    <row r="230" spans="1:11" ht="12.75" customHeight="1" x14ac:dyDescent="0.3">
      <c r="A230" s="140">
        <v>229</v>
      </c>
      <c r="B230" s="140" t="s">
        <v>913</v>
      </c>
      <c r="C230" s="140" t="s">
        <v>914</v>
      </c>
      <c r="D230" s="140" t="s">
        <v>31</v>
      </c>
      <c r="E230" s="140" t="s">
        <v>48</v>
      </c>
      <c r="F230" s="140" t="s">
        <v>62</v>
      </c>
      <c r="G230" s="140" t="s">
        <v>68</v>
      </c>
      <c r="H230" s="140" t="s">
        <v>74</v>
      </c>
      <c r="I230" s="140" t="s">
        <v>13</v>
      </c>
      <c r="J230" s="140" t="s">
        <v>55</v>
      </c>
      <c r="K230" s="140" t="s">
        <v>42</v>
      </c>
    </row>
    <row r="231" spans="1:11" ht="12.75" customHeight="1" x14ac:dyDescent="0.3">
      <c r="A231" s="140">
        <v>230</v>
      </c>
      <c r="B231" s="140" t="s">
        <v>915</v>
      </c>
      <c r="C231" s="140" t="s">
        <v>916</v>
      </c>
      <c r="D231" s="140" t="s">
        <v>31</v>
      </c>
      <c r="E231" s="140" t="s">
        <v>19</v>
      </c>
      <c r="F231" s="140" t="s">
        <v>62</v>
      </c>
      <c r="G231" s="140" t="s">
        <v>80</v>
      </c>
      <c r="H231" s="140" t="s">
        <v>68</v>
      </c>
      <c r="I231" s="140" t="s">
        <v>13</v>
      </c>
      <c r="J231" s="140" t="s">
        <v>74</v>
      </c>
      <c r="K231" s="140" t="s">
        <v>20</v>
      </c>
    </row>
    <row r="232" spans="1:11" ht="12.75" customHeight="1" x14ac:dyDescent="0.3">
      <c r="A232" s="140">
        <v>231</v>
      </c>
      <c r="B232" s="140" t="s">
        <v>917</v>
      </c>
      <c r="C232" s="140" t="s">
        <v>918</v>
      </c>
      <c r="D232" s="140" t="s">
        <v>31</v>
      </c>
      <c r="E232" s="140" t="s">
        <v>19</v>
      </c>
      <c r="F232" s="140" t="s">
        <v>68</v>
      </c>
      <c r="G232" s="140" t="s">
        <v>80</v>
      </c>
      <c r="H232" s="140" t="s">
        <v>74</v>
      </c>
      <c r="I232" s="140" t="s">
        <v>13</v>
      </c>
      <c r="J232" s="140" t="s">
        <v>55</v>
      </c>
      <c r="K232" s="140" t="s">
        <v>20</v>
      </c>
    </row>
    <row r="233" spans="1:11" ht="12.75" customHeight="1" x14ac:dyDescent="0.3">
      <c r="A233" s="140">
        <v>232</v>
      </c>
      <c r="B233" s="140" t="s">
        <v>919</v>
      </c>
      <c r="C233" s="140" t="s">
        <v>920</v>
      </c>
      <c r="D233" s="140" t="s">
        <v>31</v>
      </c>
      <c r="E233" s="140" t="s">
        <v>19</v>
      </c>
      <c r="F233" s="140" t="s">
        <v>62</v>
      </c>
      <c r="G233" s="140" t="s">
        <v>80</v>
      </c>
      <c r="H233" s="140" t="s">
        <v>74</v>
      </c>
      <c r="I233" s="140" t="s">
        <v>13</v>
      </c>
      <c r="J233" s="140" t="s">
        <v>55</v>
      </c>
      <c r="K233" s="140" t="s">
        <v>20</v>
      </c>
    </row>
    <row r="234" spans="1:11" ht="12.75" customHeight="1" x14ac:dyDescent="0.3">
      <c r="A234" s="140">
        <v>233</v>
      </c>
      <c r="B234" s="140" t="s">
        <v>921</v>
      </c>
      <c r="C234" s="140" t="s">
        <v>922</v>
      </c>
      <c r="D234" s="140" t="s">
        <v>31</v>
      </c>
      <c r="E234" s="140" t="s">
        <v>19</v>
      </c>
      <c r="F234" s="140" t="s">
        <v>62</v>
      </c>
      <c r="G234" s="140" t="s">
        <v>80</v>
      </c>
      <c r="H234" s="140" t="s">
        <v>68</v>
      </c>
      <c r="I234" s="140" t="s">
        <v>13</v>
      </c>
      <c r="J234" s="140" t="s">
        <v>55</v>
      </c>
      <c r="K234" s="140" t="s">
        <v>20</v>
      </c>
    </row>
    <row r="235" spans="1:11" ht="12.75" customHeight="1" x14ac:dyDescent="0.3">
      <c r="A235" s="140">
        <v>234</v>
      </c>
      <c r="B235" s="140" t="s">
        <v>923</v>
      </c>
      <c r="C235" s="140" t="s">
        <v>924</v>
      </c>
      <c r="D235" s="140" t="s">
        <v>31</v>
      </c>
      <c r="E235" s="140" t="s">
        <v>19</v>
      </c>
      <c r="F235" s="140" t="s">
        <v>62</v>
      </c>
      <c r="G235" s="140" t="s">
        <v>68</v>
      </c>
      <c r="H235" s="140" t="s">
        <v>74</v>
      </c>
      <c r="I235" s="140" t="s">
        <v>13</v>
      </c>
      <c r="J235" s="140" t="s">
        <v>55</v>
      </c>
      <c r="K235" s="140" t="s">
        <v>20</v>
      </c>
    </row>
    <row r="236" spans="1:11" ht="12.75" customHeight="1" x14ac:dyDescent="0.3">
      <c r="A236" s="140">
        <v>235</v>
      </c>
      <c r="B236" s="140" t="s">
        <v>925</v>
      </c>
      <c r="C236" s="140" t="s">
        <v>926</v>
      </c>
      <c r="D236" s="140" t="s">
        <v>31</v>
      </c>
      <c r="E236" s="140" t="s">
        <v>19</v>
      </c>
      <c r="F236" s="140" t="s">
        <v>62</v>
      </c>
      <c r="G236" s="140" t="s">
        <v>80</v>
      </c>
      <c r="H236" s="140" t="s">
        <v>74</v>
      </c>
      <c r="I236" s="140" t="s">
        <v>13</v>
      </c>
      <c r="J236" s="140" t="s">
        <v>55</v>
      </c>
      <c r="K236" s="140" t="s">
        <v>68</v>
      </c>
    </row>
    <row r="237" spans="1:11" ht="12.75" customHeight="1" x14ac:dyDescent="0.3">
      <c r="A237" s="140">
        <v>236</v>
      </c>
      <c r="B237" s="140" t="s">
        <v>927</v>
      </c>
      <c r="C237" s="140" t="s">
        <v>928</v>
      </c>
      <c r="D237" s="140" t="s">
        <v>19</v>
      </c>
      <c r="E237" s="140" t="s">
        <v>48</v>
      </c>
      <c r="F237" s="140" t="s">
        <v>31</v>
      </c>
      <c r="G237" s="140" t="s">
        <v>80</v>
      </c>
      <c r="H237" s="140" t="s">
        <v>68</v>
      </c>
      <c r="I237" s="140" t="s">
        <v>13</v>
      </c>
      <c r="J237" s="140" t="s">
        <v>74</v>
      </c>
      <c r="K237" s="140" t="s">
        <v>20</v>
      </c>
    </row>
    <row r="238" spans="1:11" ht="12.75" customHeight="1" x14ac:dyDescent="0.3">
      <c r="A238" s="140">
        <v>237</v>
      </c>
      <c r="B238" s="140" t="s">
        <v>929</v>
      </c>
      <c r="C238" s="140" t="s">
        <v>930</v>
      </c>
      <c r="D238" s="140" t="s">
        <v>31</v>
      </c>
      <c r="E238" s="140" t="s">
        <v>19</v>
      </c>
      <c r="F238" s="140" t="s">
        <v>62</v>
      </c>
      <c r="G238" s="140" t="s">
        <v>80</v>
      </c>
      <c r="H238" s="140" t="s">
        <v>48</v>
      </c>
      <c r="I238" s="140" t="s">
        <v>13</v>
      </c>
      <c r="J238" s="140" t="s">
        <v>74</v>
      </c>
      <c r="K238" s="140" t="s">
        <v>20</v>
      </c>
    </row>
    <row r="239" spans="1:11" ht="12.75" customHeight="1" x14ac:dyDescent="0.3">
      <c r="A239" s="140">
        <v>238</v>
      </c>
      <c r="B239" s="140" t="s">
        <v>931</v>
      </c>
      <c r="C239" s="140" t="s">
        <v>932</v>
      </c>
      <c r="D239" s="140" t="s">
        <v>31</v>
      </c>
      <c r="E239" s="140" t="s">
        <v>19</v>
      </c>
      <c r="F239" s="140" t="s">
        <v>62</v>
      </c>
      <c r="G239" s="140" t="s">
        <v>80</v>
      </c>
      <c r="H239" s="140" t="s">
        <v>68</v>
      </c>
      <c r="I239" s="140" t="s">
        <v>13</v>
      </c>
      <c r="J239" s="140" t="s">
        <v>48</v>
      </c>
      <c r="K239" s="140" t="s">
        <v>20</v>
      </c>
    </row>
    <row r="240" spans="1:11" ht="12.75" customHeight="1" x14ac:dyDescent="0.3">
      <c r="A240" s="140">
        <v>239</v>
      </c>
      <c r="B240" s="140" t="s">
        <v>933</v>
      </c>
      <c r="C240" s="140" t="s">
        <v>934</v>
      </c>
      <c r="D240" s="140" t="s">
        <v>31</v>
      </c>
      <c r="E240" s="140" t="s">
        <v>19</v>
      </c>
      <c r="F240" s="140" t="s">
        <v>62</v>
      </c>
      <c r="G240" s="140" t="s">
        <v>68</v>
      </c>
      <c r="H240" s="140" t="s">
        <v>48</v>
      </c>
      <c r="I240" s="140" t="s">
        <v>13</v>
      </c>
      <c r="J240" s="140" t="s">
        <v>74</v>
      </c>
      <c r="K240" s="140" t="s">
        <v>20</v>
      </c>
    </row>
    <row r="241" spans="1:11" ht="12.75" customHeight="1" x14ac:dyDescent="0.3">
      <c r="A241" s="140">
        <v>240</v>
      </c>
      <c r="B241" s="140" t="s">
        <v>935</v>
      </c>
      <c r="C241" s="140" t="s">
        <v>936</v>
      </c>
      <c r="D241" s="140" t="s">
        <v>31</v>
      </c>
      <c r="E241" s="140" t="s">
        <v>19</v>
      </c>
      <c r="F241" s="140" t="s">
        <v>62</v>
      </c>
      <c r="G241" s="140" t="s">
        <v>80</v>
      </c>
      <c r="H241" s="140" t="s">
        <v>48</v>
      </c>
      <c r="I241" s="140" t="s">
        <v>13</v>
      </c>
      <c r="J241" s="140" t="s">
        <v>74</v>
      </c>
      <c r="K241" s="140" t="s">
        <v>68</v>
      </c>
    </row>
    <row r="242" spans="1:11" ht="12.75" customHeight="1" x14ac:dyDescent="0.3">
      <c r="A242" s="140">
        <v>241</v>
      </c>
      <c r="B242" s="140" t="s">
        <v>937</v>
      </c>
      <c r="C242" s="140" t="s">
        <v>938</v>
      </c>
      <c r="D242" s="140" t="s">
        <v>19</v>
      </c>
      <c r="E242" s="140" t="s">
        <v>48</v>
      </c>
      <c r="F242" s="140" t="s">
        <v>31</v>
      </c>
      <c r="G242" s="140" t="s">
        <v>80</v>
      </c>
      <c r="H242" s="140" t="s">
        <v>74</v>
      </c>
      <c r="I242" s="140" t="s">
        <v>13</v>
      </c>
      <c r="J242" s="140" t="s">
        <v>55</v>
      </c>
      <c r="K242" s="140" t="s">
        <v>20</v>
      </c>
    </row>
    <row r="243" spans="1:11" ht="12.75" customHeight="1" x14ac:dyDescent="0.3">
      <c r="A243" s="140">
        <v>242</v>
      </c>
      <c r="B243" s="140" t="s">
        <v>939</v>
      </c>
      <c r="C243" s="140" t="s">
        <v>940</v>
      </c>
      <c r="D243" s="140" t="s">
        <v>19</v>
      </c>
      <c r="E243" s="140" t="s">
        <v>48</v>
      </c>
      <c r="F243" s="140" t="s">
        <v>31</v>
      </c>
      <c r="G243" s="140" t="s">
        <v>80</v>
      </c>
      <c r="H243" s="140" t="s">
        <v>68</v>
      </c>
      <c r="I243" s="140" t="s">
        <v>13</v>
      </c>
      <c r="J243" s="140" t="s">
        <v>55</v>
      </c>
      <c r="K243" s="140" t="s">
        <v>20</v>
      </c>
    </row>
    <row r="244" spans="1:11" ht="12.75" customHeight="1" x14ac:dyDescent="0.3">
      <c r="A244" s="140">
        <v>243</v>
      </c>
      <c r="B244" s="140" t="s">
        <v>941</v>
      </c>
      <c r="C244" s="140" t="s">
        <v>942</v>
      </c>
      <c r="D244" s="140" t="s">
        <v>19</v>
      </c>
      <c r="E244" s="140" t="s">
        <v>48</v>
      </c>
      <c r="F244" s="140" t="s">
        <v>31</v>
      </c>
      <c r="G244" s="140" t="s">
        <v>68</v>
      </c>
      <c r="H244" s="140" t="s">
        <v>74</v>
      </c>
      <c r="I244" s="140" t="s">
        <v>13</v>
      </c>
      <c r="J244" s="140" t="s">
        <v>55</v>
      </c>
      <c r="K244" s="140" t="s">
        <v>20</v>
      </c>
    </row>
    <row r="245" spans="1:11" ht="12.75" customHeight="1" x14ac:dyDescent="0.3">
      <c r="A245" s="140">
        <v>244</v>
      </c>
      <c r="B245" s="140" t="s">
        <v>943</v>
      </c>
      <c r="C245" s="140" t="s">
        <v>944</v>
      </c>
      <c r="D245" s="140" t="s">
        <v>19</v>
      </c>
      <c r="E245" s="140" t="s">
        <v>48</v>
      </c>
      <c r="F245" s="140" t="s">
        <v>31</v>
      </c>
      <c r="G245" s="140" t="s">
        <v>80</v>
      </c>
      <c r="H245" s="140" t="s">
        <v>74</v>
      </c>
      <c r="I245" s="140" t="s">
        <v>13</v>
      </c>
      <c r="J245" s="140" t="s">
        <v>55</v>
      </c>
      <c r="K245" s="140" t="s">
        <v>68</v>
      </c>
    </row>
    <row r="246" spans="1:11" ht="12.75" customHeight="1" x14ac:dyDescent="0.3">
      <c r="A246" s="140">
        <v>245</v>
      </c>
      <c r="B246" s="140" t="s">
        <v>945</v>
      </c>
      <c r="C246" s="140" t="s">
        <v>946</v>
      </c>
      <c r="D246" s="140" t="s">
        <v>31</v>
      </c>
      <c r="E246" s="140" t="s">
        <v>19</v>
      </c>
      <c r="F246" s="140" t="s">
        <v>62</v>
      </c>
      <c r="G246" s="140" t="s">
        <v>80</v>
      </c>
      <c r="H246" s="140" t="s">
        <v>48</v>
      </c>
      <c r="I246" s="140" t="s">
        <v>13</v>
      </c>
      <c r="J246" s="140" t="s">
        <v>55</v>
      </c>
      <c r="K246" s="140" t="s">
        <v>20</v>
      </c>
    </row>
    <row r="247" spans="1:11" ht="12.75" customHeight="1" x14ac:dyDescent="0.3">
      <c r="A247" s="140">
        <v>246</v>
      </c>
      <c r="B247" s="140" t="s">
        <v>947</v>
      </c>
      <c r="C247" s="140" t="s">
        <v>948</v>
      </c>
      <c r="D247" s="140" t="s">
        <v>19</v>
      </c>
      <c r="E247" s="140" t="s">
        <v>48</v>
      </c>
      <c r="F247" s="140" t="s">
        <v>31</v>
      </c>
      <c r="G247" s="140" t="s">
        <v>62</v>
      </c>
      <c r="H247" s="140" t="s">
        <v>74</v>
      </c>
      <c r="I247" s="140" t="s">
        <v>13</v>
      </c>
      <c r="J247" s="140" t="s">
        <v>55</v>
      </c>
      <c r="K247" s="140" t="s">
        <v>20</v>
      </c>
    </row>
    <row r="248" spans="1:11" ht="12.75" customHeight="1" x14ac:dyDescent="0.3">
      <c r="A248" s="140">
        <v>247</v>
      </c>
      <c r="B248" s="140" t="s">
        <v>949</v>
      </c>
      <c r="C248" s="140" t="s">
        <v>950</v>
      </c>
      <c r="D248" s="140" t="s">
        <v>31</v>
      </c>
      <c r="E248" s="140" t="s">
        <v>48</v>
      </c>
      <c r="F248" s="140" t="s">
        <v>62</v>
      </c>
      <c r="G248" s="140" t="s">
        <v>80</v>
      </c>
      <c r="H248" s="140" t="s">
        <v>74</v>
      </c>
      <c r="I248" s="140" t="s">
        <v>13</v>
      </c>
      <c r="J248" s="140" t="s">
        <v>55</v>
      </c>
      <c r="K248" s="140" t="s">
        <v>19</v>
      </c>
    </row>
    <row r="249" spans="1:11" ht="12.75" customHeight="1" x14ac:dyDescent="0.3">
      <c r="A249" s="140">
        <v>248</v>
      </c>
      <c r="B249" s="140" t="s">
        <v>951</v>
      </c>
      <c r="C249" s="140" t="s">
        <v>952</v>
      </c>
      <c r="D249" s="140" t="s">
        <v>31</v>
      </c>
      <c r="E249" s="140" t="s">
        <v>19</v>
      </c>
      <c r="F249" s="140" t="s">
        <v>62</v>
      </c>
      <c r="G249" s="140" t="s">
        <v>68</v>
      </c>
      <c r="H249" s="140" t="s">
        <v>48</v>
      </c>
      <c r="I249" s="140" t="s">
        <v>13</v>
      </c>
      <c r="J249" s="140" t="s">
        <v>55</v>
      </c>
      <c r="K249" s="140" t="s">
        <v>20</v>
      </c>
    </row>
    <row r="250" spans="1:11" ht="12.75" customHeight="1" x14ac:dyDescent="0.3">
      <c r="A250" s="140">
        <v>249</v>
      </c>
      <c r="B250" s="140" t="s">
        <v>953</v>
      </c>
      <c r="C250" s="140" t="s">
        <v>954</v>
      </c>
      <c r="D250" s="140" t="s">
        <v>31</v>
      </c>
      <c r="E250" s="140" t="s">
        <v>19</v>
      </c>
      <c r="F250" s="140" t="s">
        <v>62</v>
      </c>
      <c r="G250" s="140" t="s">
        <v>80</v>
      </c>
      <c r="H250" s="140" t="s">
        <v>48</v>
      </c>
      <c r="I250" s="140" t="s">
        <v>13</v>
      </c>
      <c r="J250" s="140" t="s">
        <v>55</v>
      </c>
      <c r="K250" s="140" t="s">
        <v>68</v>
      </c>
    </row>
    <row r="251" spans="1:11" ht="12.75" customHeight="1" x14ac:dyDescent="0.3">
      <c r="A251" s="140">
        <v>250</v>
      </c>
      <c r="B251" s="140" t="s">
        <v>955</v>
      </c>
      <c r="C251" s="140" t="s">
        <v>956</v>
      </c>
      <c r="D251" s="140" t="s">
        <v>31</v>
      </c>
      <c r="E251" s="140" t="s">
        <v>48</v>
      </c>
      <c r="F251" s="140" t="s">
        <v>62</v>
      </c>
      <c r="G251" s="140" t="s">
        <v>68</v>
      </c>
      <c r="H251" s="140" t="s">
        <v>74</v>
      </c>
      <c r="I251" s="140" t="s">
        <v>13</v>
      </c>
      <c r="J251" s="140" t="s">
        <v>55</v>
      </c>
      <c r="K251" s="140" t="s">
        <v>19</v>
      </c>
    </row>
    <row r="252" spans="1:11" ht="12.75" customHeight="1" x14ac:dyDescent="0.3">
      <c r="A252" s="140">
        <v>251</v>
      </c>
      <c r="B252" s="140" t="s">
        <v>957</v>
      </c>
      <c r="C252" s="140" t="s">
        <v>958</v>
      </c>
      <c r="D252" s="140" t="s">
        <v>31</v>
      </c>
      <c r="E252" s="140" t="s">
        <v>19</v>
      </c>
      <c r="F252" s="140" t="s">
        <v>42</v>
      </c>
      <c r="G252" s="140" t="s">
        <v>80</v>
      </c>
      <c r="H252" s="140" t="s">
        <v>68</v>
      </c>
      <c r="I252" s="140" t="s">
        <v>13</v>
      </c>
      <c r="J252" s="140" t="s">
        <v>74</v>
      </c>
      <c r="K252" s="140" t="s">
        <v>20</v>
      </c>
    </row>
    <row r="253" spans="1:11" ht="12.75" customHeight="1" x14ac:dyDescent="0.3">
      <c r="A253" s="140">
        <v>252</v>
      </c>
      <c r="B253" s="140" t="s">
        <v>959</v>
      </c>
      <c r="C253" s="140" t="s">
        <v>960</v>
      </c>
      <c r="D253" s="140" t="s">
        <v>31</v>
      </c>
      <c r="E253" s="140" t="s">
        <v>19</v>
      </c>
      <c r="F253" s="140" t="s">
        <v>62</v>
      </c>
      <c r="G253" s="140" t="s">
        <v>80</v>
      </c>
      <c r="H253" s="140" t="s">
        <v>42</v>
      </c>
      <c r="I253" s="140" t="s">
        <v>13</v>
      </c>
      <c r="J253" s="140" t="s">
        <v>74</v>
      </c>
      <c r="K253" s="140" t="s">
        <v>20</v>
      </c>
    </row>
    <row r="254" spans="1:11" ht="12.75" customHeight="1" x14ac:dyDescent="0.3">
      <c r="A254" s="140">
        <v>253</v>
      </c>
      <c r="B254" s="140" t="s">
        <v>961</v>
      </c>
      <c r="C254" s="140" t="s">
        <v>962</v>
      </c>
      <c r="D254" s="140" t="s">
        <v>31</v>
      </c>
      <c r="E254" s="140" t="s">
        <v>19</v>
      </c>
      <c r="F254" s="140" t="s">
        <v>62</v>
      </c>
      <c r="G254" s="140" t="s">
        <v>80</v>
      </c>
      <c r="H254" s="140" t="s">
        <v>68</v>
      </c>
      <c r="I254" s="140" t="s">
        <v>13</v>
      </c>
      <c r="J254" s="140" t="s">
        <v>42</v>
      </c>
      <c r="K254" s="140" t="s">
        <v>20</v>
      </c>
    </row>
    <row r="255" spans="1:11" ht="12.75" customHeight="1" x14ac:dyDescent="0.3">
      <c r="A255" s="140">
        <v>254</v>
      </c>
      <c r="B255" s="140" t="s">
        <v>963</v>
      </c>
      <c r="C255" s="140" t="s">
        <v>964</v>
      </c>
      <c r="D255" s="140" t="s">
        <v>31</v>
      </c>
      <c r="E255" s="140" t="s">
        <v>19</v>
      </c>
      <c r="F255" s="140" t="s">
        <v>62</v>
      </c>
      <c r="G255" s="140" t="s">
        <v>68</v>
      </c>
      <c r="H255" s="140" t="s">
        <v>42</v>
      </c>
      <c r="I255" s="140" t="s">
        <v>13</v>
      </c>
      <c r="J255" s="140" t="s">
        <v>74</v>
      </c>
      <c r="K255" s="140" t="s">
        <v>20</v>
      </c>
    </row>
    <row r="256" spans="1:11" ht="12.75" customHeight="1" x14ac:dyDescent="0.3">
      <c r="A256" s="140">
        <v>255</v>
      </c>
      <c r="B256" s="140" t="s">
        <v>965</v>
      </c>
      <c r="C256" s="140" t="s">
        <v>966</v>
      </c>
      <c r="D256" s="140" t="s">
        <v>31</v>
      </c>
      <c r="E256" s="140" t="s">
        <v>19</v>
      </c>
      <c r="F256" s="140" t="s">
        <v>62</v>
      </c>
      <c r="G256" s="140" t="s">
        <v>80</v>
      </c>
      <c r="H256" s="140" t="s">
        <v>42</v>
      </c>
      <c r="I256" s="140" t="s">
        <v>13</v>
      </c>
      <c r="J256" s="140" t="s">
        <v>74</v>
      </c>
      <c r="K256" s="140" t="s">
        <v>68</v>
      </c>
    </row>
    <row r="257" spans="1:11" ht="12.75" customHeight="1" x14ac:dyDescent="0.3">
      <c r="A257" s="140">
        <v>256</v>
      </c>
      <c r="B257" s="140" t="s">
        <v>967</v>
      </c>
      <c r="C257" s="140" t="s">
        <v>968</v>
      </c>
      <c r="D257" s="140" t="s">
        <v>31</v>
      </c>
      <c r="E257" s="140" t="s">
        <v>19</v>
      </c>
      <c r="F257" s="140" t="s">
        <v>42</v>
      </c>
      <c r="G257" s="140" t="s">
        <v>80</v>
      </c>
      <c r="H257" s="140" t="s">
        <v>74</v>
      </c>
      <c r="I257" s="140" t="s">
        <v>13</v>
      </c>
      <c r="J257" s="140" t="s">
        <v>55</v>
      </c>
      <c r="K257" s="140" t="s">
        <v>20</v>
      </c>
    </row>
    <row r="258" spans="1:11" ht="12.75" customHeight="1" x14ac:dyDescent="0.3">
      <c r="A258" s="140">
        <v>257</v>
      </c>
      <c r="B258" s="140" t="s">
        <v>969</v>
      </c>
      <c r="C258" s="140" t="s">
        <v>970</v>
      </c>
      <c r="D258" s="140" t="s">
        <v>31</v>
      </c>
      <c r="E258" s="140" t="s">
        <v>19</v>
      </c>
      <c r="F258" s="140" t="s">
        <v>42</v>
      </c>
      <c r="G258" s="140" t="s">
        <v>80</v>
      </c>
      <c r="H258" s="140" t="s">
        <v>68</v>
      </c>
      <c r="I258" s="140" t="s">
        <v>13</v>
      </c>
      <c r="J258" s="140" t="s">
        <v>55</v>
      </c>
      <c r="K258" s="140" t="s">
        <v>20</v>
      </c>
    </row>
    <row r="259" spans="1:11" ht="12.75" customHeight="1" x14ac:dyDescent="0.3">
      <c r="A259" s="140">
        <v>258</v>
      </c>
      <c r="B259" s="140" t="s">
        <v>971</v>
      </c>
      <c r="C259" s="140" t="s">
        <v>972</v>
      </c>
      <c r="D259" s="140" t="s">
        <v>31</v>
      </c>
      <c r="E259" s="140" t="s">
        <v>19</v>
      </c>
      <c r="F259" s="140" t="s">
        <v>42</v>
      </c>
      <c r="G259" s="140" t="s">
        <v>68</v>
      </c>
      <c r="H259" s="140" t="s">
        <v>74</v>
      </c>
      <c r="I259" s="140" t="s">
        <v>13</v>
      </c>
      <c r="J259" s="140" t="s">
        <v>55</v>
      </c>
      <c r="K259" s="140" t="s">
        <v>20</v>
      </c>
    </row>
    <row r="260" spans="1:11" ht="12.75" customHeight="1" x14ac:dyDescent="0.3">
      <c r="A260" s="140">
        <v>259</v>
      </c>
      <c r="B260" s="140" t="s">
        <v>973</v>
      </c>
      <c r="C260" s="140" t="s">
        <v>974</v>
      </c>
      <c r="D260" s="140" t="s">
        <v>31</v>
      </c>
      <c r="E260" s="140" t="s">
        <v>19</v>
      </c>
      <c r="F260" s="140" t="s">
        <v>42</v>
      </c>
      <c r="G260" s="140" t="s">
        <v>80</v>
      </c>
      <c r="H260" s="140" t="s">
        <v>74</v>
      </c>
      <c r="I260" s="140" t="s">
        <v>13</v>
      </c>
      <c r="J260" s="140" t="s">
        <v>55</v>
      </c>
      <c r="K260" s="140" t="s">
        <v>68</v>
      </c>
    </row>
    <row r="261" spans="1:11" ht="12.75" customHeight="1" x14ac:dyDescent="0.3">
      <c r="A261" s="140">
        <v>260</v>
      </c>
      <c r="B261" s="140" t="s">
        <v>975</v>
      </c>
      <c r="C261" s="140" t="s">
        <v>976</v>
      </c>
      <c r="D261" s="140" t="s">
        <v>31</v>
      </c>
      <c r="E261" s="140" t="s">
        <v>19</v>
      </c>
      <c r="F261" s="140" t="s">
        <v>62</v>
      </c>
      <c r="G261" s="140" t="s">
        <v>80</v>
      </c>
      <c r="H261" s="140" t="s">
        <v>42</v>
      </c>
      <c r="I261" s="140" t="s">
        <v>13</v>
      </c>
      <c r="J261" s="140" t="s">
        <v>55</v>
      </c>
      <c r="K261" s="140" t="s">
        <v>20</v>
      </c>
    </row>
    <row r="262" spans="1:11" ht="12.75" customHeight="1" x14ac:dyDescent="0.3">
      <c r="A262" s="140">
        <v>261</v>
      </c>
      <c r="B262" s="140" t="s">
        <v>977</v>
      </c>
      <c r="C262" s="140" t="s">
        <v>978</v>
      </c>
      <c r="D262" s="140" t="s">
        <v>31</v>
      </c>
      <c r="E262" s="140" t="s">
        <v>19</v>
      </c>
      <c r="F262" s="140" t="s">
        <v>62</v>
      </c>
      <c r="G262" s="140" t="s">
        <v>42</v>
      </c>
      <c r="H262" s="140" t="s">
        <v>74</v>
      </c>
      <c r="I262" s="140" t="s">
        <v>13</v>
      </c>
      <c r="J262" s="140" t="s">
        <v>55</v>
      </c>
      <c r="K262" s="140" t="s">
        <v>20</v>
      </c>
    </row>
    <row r="263" spans="1:11" ht="12.75" customHeight="1" x14ac:dyDescent="0.3">
      <c r="A263" s="140">
        <v>262</v>
      </c>
      <c r="B263" s="140" t="s">
        <v>979</v>
      </c>
      <c r="C263" s="140" t="s">
        <v>980</v>
      </c>
      <c r="D263" s="140" t="s">
        <v>31</v>
      </c>
      <c r="E263" s="140" t="s">
        <v>19</v>
      </c>
      <c r="F263" s="140" t="s">
        <v>62</v>
      </c>
      <c r="G263" s="140" t="s">
        <v>80</v>
      </c>
      <c r="H263" s="140" t="s">
        <v>74</v>
      </c>
      <c r="I263" s="140" t="s">
        <v>13</v>
      </c>
      <c r="J263" s="140" t="s">
        <v>55</v>
      </c>
      <c r="K263" s="140" t="s">
        <v>42</v>
      </c>
    </row>
    <row r="264" spans="1:11" ht="12.75" customHeight="1" x14ac:dyDescent="0.3">
      <c r="A264" s="140">
        <v>263</v>
      </c>
      <c r="B264" s="140" t="s">
        <v>981</v>
      </c>
      <c r="C264" s="140" t="s">
        <v>982</v>
      </c>
      <c r="D264" s="140" t="s">
        <v>31</v>
      </c>
      <c r="E264" s="140" t="s">
        <v>19</v>
      </c>
      <c r="F264" s="140" t="s">
        <v>62</v>
      </c>
      <c r="G264" s="140" t="s">
        <v>68</v>
      </c>
      <c r="H264" s="140" t="s">
        <v>42</v>
      </c>
      <c r="I264" s="140" t="s">
        <v>13</v>
      </c>
      <c r="J264" s="140" t="s">
        <v>55</v>
      </c>
      <c r="K264" s="140" t="s">
        <v>20</v>
      </c>
    </row>
    <row r="265" spans="1:11" ht="12.75" customHeight="1" x14ac:dyDescent="0.3">
      <c r="A265" s="140">
        <v>264</v>
      </c>
      <c r="B265" s="140" t="s">
        <v>983</v>
      </c>
      <c r="C265" s="140" t="s">
        <v>984</v>
      </c>
      <c r="D265" s="140" t="s">
        <v>31</v>
      </c>
      <c r="E265" s="140" t="s">
        <v>19</v>
      </c>
      <c r="F265" s="140" t="s">
        <v>62</v>
      </c>
      <c r="G265" s="140" t="s">
        <v>80</v>
      </c>
      <c r="H265" s="140" t="s">
        <v>42</v>
      </c>
      <c r="I265" s="140" t="s">
        <v>13</v>
      </c>
      <c r="J265" s="140" t="s">
        <v>55</v>
      </c>
      <c r="K265" s="140" t="s">
        <v>68</v>
      </c>
    </row>
    <row r="266" spans="1:11" ht="12.75" customHeight="1" x14ac:dyDescent="0.3">
      <c r="A266" s="140">
        <v>265</v>
      </c>
      <c r="B266" s="140" t="s">
        <v>985</v>
      </c>
      <c r="C266" s="140" t="s">
        <v>986</v>
      </c>
      <c r="D266" s="140" t="s">
        <v>31</v>
      </c>
      <c r="E266" s="140" t="s">
        <v>19</v>
      </c>
      <c r="F266" s="140" t="s">
        <v>62</v>
      </c>
      <c r="G266" s="140" t="s">
        <v>68</v>
      </c>
      <c r="H266" s="140" t="s">
        <v>74</v>
      </c>
      <c r="I266" s="140" t="s">
        <v>13</v>
      </c>
      <c r="J266" s="140" t="s">
        <v>55</v>
      </c>
      <c r="K266" s="140" t="s">
        <v>42</v>
      </c>
    </row>
    <row r="267" spans="1:11" ht="12.75" customHeight="1" x14ac:dyDescent="0.3">
      <c r="A267" s="140">
        <v>266</v>
      </c>
      <c r="B267" s="140" t="s">
        <v>987</v>
      </c>
      <c r="C267" s="140" t="s">
        <v>988</v>
      </c>
      <c r="D267" s="140" t="s">
        <v>19</v>
      </c>
      <c r="E267" s="140" t="s">
        <v>48</v>
      </c>
      <c r="F267" s="140" t="s">
        <v>31</v>
      </c>
      <c r="G267" s="140" t="s">
        <v>80</v>
      </c>
      <c r="H267" s="140" t="s">
        <v>42</v>
      </c>
      <c r="I267" s="140" t="s">
        <v>13</v>
      </c>
      <c r="J267" s="140" t="s">
        <v>74</v>
      </c>
      <c r="K267" s="140" t="s">
        <v>20</v>
      </c>
    </row>
    <row r="268" spans="1:11" ht="12.75" customHeight="1" x14ac:dyDescent="0.3">
      <c r="A268" s="140">
        <v>267</v>
      </c>
      <c r="B268" s="140" t="s">
        <v>989</v>
      </c>
      <c r="C268" s="140" t="s">
        <v>990</v>
      </c>
      <c r="D268" s="140" t="s">
        <v>19</v>
      </c>
      <c r="E268" s="140" t="s">
        <v>48</v>
      </c>
      <c r="F268" s="140" t="s">
        <v>31</v>
      </c>
      <c r="G268" s="140" t="s">
        <v>80</v>
      </c>
      <c r="H268" s="140" t="s">
        <v>68</v>
      </c>
      <c r="I268" s="140" t="s">
        <v>13</v>
      </c>
      <c r="J268" s="140" t="s">
        <v>42</v>
      </c>
      <c r="K268" s="140" t="s">
        <v>20</v>
      </c>
    </row>
    <row r="269" spans="1:11" ht="12.75" customHeight="1" x14ac:dyDescent="0.3">
      <c r="A269" s="140">
        <v>268</v>
      </c>
      <c r="B269" s="140" t="s">
        <v>991</v>
      </c>
      <c r="C269" s="140" t="s">
        <v>992</v>
      </c>
      <c r="D269" s="140" t="s">
        <v>19</v>
      </c>
      <c r="E269" s="140" t="s">
        <v>48</v>
      </c>
      <c r="F269" s="140" t="s">
        <v>31</v>
      </c>
      <c r="G269" s="140" t="s">
        <v>68</v>
      </c>
      <c r="H269" s="140" t="s">
        <v>42</v>
      </c>
      <c r="I269" s="140" t="s">
        <v>13</v>
      </c>
      <c r="J269" s="140" t="s">
        <v>74</v>
      </c>
      <c r="K269" s="140" t="s">
        <v>20</v>
      </c>
    </row>
    <row r="270" spans="1:11" ht="12.75" customHeight="1" x14ac:dyDescent="0.3">
      <c r="A270" s="140">
        <v>269</v>
      </c>
      <c r="B270" s="140" t="s">
        <v>993</v>
      </c>
      <c r="C270" s="140" t="s">
        <v>994</v>
      </c>
      <c r="D270" s="140" t="s">
        <v>19</v>
      </c>
      <c r="E270" s="140" t="s">
        <v>48</v>
      </c>
      <c r="F270" s="140" t="s">
        <v>31</v>
      </c>
      <c r="G270" s="140" t="s">
        <v>80</v>
      </c>
      <c r="H270" s="140" t="s">
        <v>42</v>
      </c>
      <c r="I270" s="140" t="s">
        <v>13</v>
      </c>
      <c r="J270" s="140" t="s">
        <v>74</v>
      </c>
      <c r="K270" s="140" t="s">
        <v>68</v>
      </c>
    </row>
    <row r="271" spans="1:11" ht="12.75" customHeight="1" x14ac:dyDescent="0.3">
      <c r="A271" s="140">
        <v>270</v>
      </c>
      <c r="B271" s="140" t="s">
        <v>995</v>
      </c>
      <c r="C271" s="140" t="s">
        <v>996</v>
      </c>
      <c r="D271" s="140" t="s">
        <v>31</v>
      </c>
      <c r="E271" s="140" t="s">
        <v>19</v>
      </c>
      <c r="F271" s="140" t="s">
        <v>62</v>
      </c>
      <c r="G271" s="140" t="s">
        <v>80</v>
      </c>
      <c r="H271" s="140" t="s">
        <v>48</v>
      </c>
      <c r="I271" s="140" t="s">
        <v>13</v>
      </c>
      <c r="J271" s="140" t="s">
        <v>42</v>
      </c>
      <c r="K271" s="140" t="s">
        <v>20</v>
      </c>
    </row>
    <row r="272" spans="1:11" ht="12.75" customHeight="1" x14ac:dyDescent="0.3">
      <c r="A272" s="140">
        <v>271</v>
      </c>
      <c r="B272" s="140" t="s">
        <v>997</v>
      </c>
      <c r="C272" s="140" t="s">
        <v>998</v>
      </c>
      <c r="D272" s="140" t="s">
        <v>31</v>
      </c>
      <c r="E272" s="140" t="s">
        <v>19</v>
      </c>
      <c r="F272" s="140" t="s">
        <v>62</v>
      </c>
      <c r="G272" s="140" t="s">
        <v>42</v>
      </c>
      <c r="H272" s="140" t="s">
        <v>48</v>
      </c>
      <c r="I272" s="140" t="s">
        <v>13</v>
      </c>
      <c r="J272" s="140" t="s">
        <v>74</v>
      </c>
      <c r="K272" s="140" t="s">
        <v>20</v>
      </c>
    </row>
    <row r="273" spans="1:11" ht="12.75" customHeight="1" x14ac:dyDescent="0.3">
      <c r="A273" s="140">
        <v>272</v>
      </c>
      <c r="B273" s="140" t="s">
        <v>999</v>
      </c>
      <c r="C273" s="140" t="s">
        <v>1000</v>
      </c>
      <c r="D273" s="140" t="s">
        <v>31</v>
      </c>
      <c r="E273" s="140" t="s">
        <v>48</v>
      </c>
      <c r="F273" s="140" t="s">
        <v>62</v>
      </c>
      <c r="G273" s="140" t="s">
        <v>80</v>
      </c>
      <c r="H273" s="140" t="s">
        <v>42</v>
      </c>
      <c r="I273" s="140" t="s">
        <v>13</v>
      </c>
      <c r="J273" s="140" t="s">
        <v>74</v>
      </c>
      <c r="K273" s="140" t="s">
        <v>19</v>
      </c>
    </row>
    <row r="274" spans="1:11" ht="12.75" customHeight="1" x14ac:dyDescent="0.3">
      <c r="A274" s="140">
        <v>273</v>
      </c>
      <c r="B274" s="140" t="s">
        <v>1001</v>
      </c>
      <c r="C274" s="140" t="s">
        <v>1002</v>
      </c>
      <c r="D274" s="140" t="s">
        <v>31</v>
      </c>
      <c r="E274" s="140" t="s">
        <v>19</v>
      </c>
      <c r="F274" s="140" t="s">
        <v>62</v>
      </c>
      <c r="G274" s="140" t="s">
        <v>68</v>
      </c>
      <c r="H274" s="140" t="s">
        <v>48</v>
      </c>
      <c r="I274" s="140" t="s">
        <v>13</v>
      </c>
      <c r="J274" s="140" t="s">
        <v>42</v>
      </c>
      <c r="K274" s="140" t="s">
        <v>20</v>
      </c>
    </row>
    <row r="275" spans="1:11" ht="12.75" customHeight="1" x14ac:dyDescent="0.3">
      <c r="A275" s="140">
        <v>274</v>
      </c>
      <c r="B275" s="140" t="s">
        <v>1003</v>
      </c>
      <c r="C275" s="140" t="s">
        <v>1004</v>
      </c>
      <c r="D275" s="140" t="s">
        <v>31</v>
      </c>
      <c r="E275" s="140" t="s">
        <v>19</v>
      </c>
      <c r="F275" s="140" t="s">
        <v>62</v>
      </c>
      <c r="G275" s="140" t="s">
        <v>80</v>
      </c>
      <c r="H275" s="140" t="s">
        <v>48</v>
      </c>
      <c r="I275" s="140" t="s">
        <v>13</v>
      </c>
      <c r="J275" s="140" t="s">
        <v>42</v>
      </c>
      <c r="K275" s="140" t="s">
        <v>68</v>
      </c>
    </row>
    <row r="276" spans="1:11" ht="12.75" customHeight="1" x14ac:dyDescent="0.3">
      <c r="A276" s="140">
        <v>275</v>
      </c>
      <c r="B276" s="140" t="s">
        <v>1005</v>
      </c>
      <c r="C276" s="140" t="s">
        <v>1006</v>
      </c>
      <c r="D276" s="140" t="s">
        <v>31</v>
      </c>
      <c r="E276" s="140" t="s">
        <v>48</v>
      </c>
      <c r="F276" s="140" t="s">
        <v>62</v>
      </c>
      <c r="G276" s="140" t="s">
        <v>68</v>
      </c>
      <c r="H276" s="140" t="s">
        <v>42</v>
      </c>
      <c r="I276" s="140" t="s">
        <v>13</v>
      </c>
      <c r="J276" s="140" t="s">
        <v>74</v>
      </c>
      <c r="K276" s="140" t="s">
        <v>19</v>
      </c>
    </row>
    <row r="277" spans="1:11" ht="12.75" customHeight="1" x14ac:dyDescent="0.3">
      <c r="A277" s="140">
        <v>276</v>
      </c>
      <c r="B277" s="140" t="s">
        <v>1007</v>
      </c>
      <c r="C277" s="140" t="s">
        <v>1008</v>
      </c>
      <c r="D277" s="140" t="s">
        <v>19</v>
      </c>
      <c r="E277" s="140" t="s">
        <v>48</v>
      </c>
      <c r="F277" s="140" t="s">
        <v>31</v>
      </c>
      <c r="G277" s="140" t="s">
        <v>80</v>
      </c>
      <c r="H277" s="140" t="s">
        <v>42</v>
      </c>
      <c r="I277" s="140" t="s">
        <v>13</v>
      </c>
      <c r="J277" s="140" t="s">
        <v>55</v>
      </c>
      <c r="K277" s="140" t="s">
        <v>20</v>
      </c>
    </row>
    <row r="278" spans="1:11" ht="12.75" customHeight="1" x14ac:dyDescent="0.3">
      <c r="A278" s="140">
        <v>277</v>
      </c>
      <c r="B278" s="140" t="s">
        <v>1009</v>
      </c>
      <c r="C278" s="140" t="s">
        <v>1010</v>
      </c>
      <c r="D278" s="140" t="s">
        <v>19</v>
      </c>
      <c r="E278" s="140" t="s">
        <v>48</v>
      </c>
      <c r="F278" s="140" t="s">
        <v>31</v>
      </c>
      <c r="G278" s="140" t="s">
        <v>42</v>
      </c>
      <c r="H278" s="140" t="s">
        <v>74</v>
      </c>
      <c r="I278" s="140" t="s">
        <v>13</v>
      </c>
      <c r="J278" s="140" t="s">
        <v>55</v>
      </c>
      <c r="K278" s="140" t="s">
        <v>20</v>
      </c>
    </row>
    <row r="279" spans="1:11" ht="12.75" customHeight="1" x14ac:dyDescent="0.3">
      <c r="A279" s="140">
        <v>278</v>
      </c>
      <c r="B279" s="140" t="s">
        <v>1011</v>
      </c>
      <c r="C279" s="140" t="s">
        <v>1012</v>
      </c>
      <c r="D279" s="140" t="s">
        <v>19</v>
      </c>
      <c r="E279" s="140" t="s">
        <v>48</v>
      </c>
      <c r="F279" s="140" t="s">
        <v>31</v>
      </c>
      <c r="G279" s="140" t="s">
        <v>80</v>
      </c>
      <c r="H279" s="140" t="s">
        <v>74</v>
      </c>
      <c r="I279" s="140" t="s">
        <v>13</v>
      </c>
      <c r="J279" s="140" t="s">
        <v>55</v>
      </c>
      <c r="K279" s="140" t="s">
        <v>42</v>
      </c>
    </row>
    <row r="280" spans="1:11" ht="12.75" customHeight="1" x14ac:dyDescent="0.3">
      <c r="A280" s="140">
        <v>279</v>
      </c>
      <c r="B280" s="140" t="s">
        <v>1013</v>
      </c>
      <c r="C280" s="140" t="s">
        <v>1014</v>
      </c>
      <c r="D280" s="140" t="s">
        <v>19</v>
      </c>
      <c r="E280" s="140" t="s">
        <v>48</v>
      </c>
      <c r="F280" s="140" t="s">
        <v>31</v>
      </c>
      <c r="G280" s="140" t="s">
        <v>68</v>
      </c>
      <c r="H280" s="140" t="s">
        <v>42</v>
      </c>
      <c r="I280" s="140" t="s">
        <v>13</v>
      </c>
      <c r="J280" s="140" t="s">
        <v>55</v>
      </c>
      <c r="K280" s="140" t="s">
        <v>20</v>
      </c>
    </row>
    <row r="281" spans="1:11" ht="12.75" customHeight="1" x14ac:dyDescent="0.3">
      <c r="A281" s="140">
        <v>280</v>
      </c>
      <c r="B281" s="140" t="s">
        <v>1015</v>
      </c>
      <c r="C281" s="140" t="s">
        <v>1016</v>
      </c>
      <c r="D281" s="140" t="s">
        <v>19</v>
      </c>
      <c r="E281" s="140" t="s">
        <v>48</v>
      </c>
      <c r="F281" s="140" t="s">
        <v>31</v>
      </c>
      <c r="G281" s="140" t="s">
        <v>80</v>
      </c>
      <c r="H281" s="140" t="s">
        <v>42</v>
      </c>
      <c r="I281" s="140" t="s">
        <v>13</v>
      </c>
      <c r="J281" s="140" t="s">
        <v>55</v>
      </c>
      <c r="K281" s="140" t="s">
        <v>68</v>
      </c>
    </row>
    <row r="282" spans="1:11" ht="12.75" customHeight="1" x14ac:dyDescent="0.3">
      <c r="A282" s="140">
        <v>281</v>
      </c>
      <c r="B282" s="140" t="s">
        <v>1017</v>
      </c>
      <c r="C282" s="140" t="s">
        <v>1018</v>
      </c>
      <c r="D282" s="140" t="s">
        <v>19</v>
      </c>
      <c r="E282" s="140" t="s">
        <v>48</v>
      </c>
      <c r="F282" s="140" t="s">
        <v>31</v>
      </c>
      <c r="G282" s="140" t="s">
        <v>68</v>
      </c>
      <c r="H282" s="140" t="s">
        <v>74</v>
      </c>
      <c r="I282" s="140" t="s">
        <v>13</v>
      </c>
      <c r="J282" s="140" t="s">
        <v>55</v>
      </c>
      <c r="K282" s="140" t="s">
        <v>42</v>
      </c>
    </row>
    <row r="283" spans="1:11" ht="12.75" customHeight="1" x14ac:dyDescent="0.3">
      <c r="A283" s="140">
        <v>282</v>
      </c>
      <c r="B283" s="140" t="s">
        <v>1019</v>
      </c>
      <c r="C283" s="140" t="s">
        <v>1020</v>
      </c>
      <c r="D283" s="140" t="s">
        <v>31</v>
      </c>
      <c r="E283" s="140" t="s">
        <v>19</v>
      </c>
      <c r="F283" s="140" t="s">
        <v>62</v>
      </c>
      <c r="G283" s="140" t="s">
        <v>42</v>
      </c>
      <c r="H283" s="140" t="s">
        <v>48</v>
      </c>
      <c r="I283" s="140" t="s">
        <v>13</v>
      </c>
      <c r="J283" s="140" t="s">
        <v>55</v>
      </c>
      <c r="K283" s="140" t="s">
        <v>20</v>
      </c>
    </row>
    <row r="284" spans="1:11" ht="12.75" customHeight="1" x14ac:dyDescent="0.3">
      <c r="A284" s="140">
        <v>283</v>
      </c>
      <c r="B284" s="140" t="s">
        <v>1021</v>
      </c>
      <c r="C284" s="140" t="s">
        <v>1022</v>
      </c>
      <c r="D284" s="140" t="s">
        <v>31</v>
      </c>
      <c r="E284" s="140" t="s">
        <v>48</v>
      </c>
      <c r="F284" s="140" t="s">
        <v>62</v>
      </c>
      <c r="G284" s="140" t="s">
        <v>80</v>
      </c>
      <c r="H284" s="140" t="s">
        <v>42</v>
      </c>
      <c r="I284" s="140" t="s">
        <v>13</v>
      </c>
      <c r="J284" s="140" t="s">
        <v>55</v>
      </c>
      <c r="K284" s="140" t="s">
        <v>19</v>
      </c>
    </row>
    <row r="285" spans="1:11" ht="12.75" customHeight="1" x14ac:dyDescent="0.3">
      <c r="A285" s="140">
        <v>284</v>
      </c>
      <c r="B285" s="140" t="s">
        <v>1023</v>
      </c>
      <c r="C285" s="140" t="s">
        <v>1024</v>
      </c>
      <c r="D285" s="140" t="s">
        <v>31</v>
      </c>
      <c r="E285" s="140" t="s">
        <v>48</v>
      </c>
      <c r="F285" s="140" t="s">
        <v>62</v>
      </c>
      <c r="G285" s="140" t="s">
        <v>42</v>
      </c>
      <c r="H285" s="140" t="s">
        <v>74</v>
      </c>
      <c r="I285" s="140" t="s">
        <v>13</v>
      </c>
      <c r="J285" s="140" t="s">
        <v>55</v>
      </c>
      <c r="K285" s="140" t="s">
        <v>19</v>
      </c>
    </row>
    <row r="286" spans="1:11" ht="12.75" customHeight="1" x14ac:dyDescent="0.3">
      <c r="A286" s="140">
        <v>285</v>
      </c>
      <c r="B286" s="140" t="s">
        <v>1025</v>
      </c>
      <c r="C286" s="140" t="s">
        <v>1026</v>
      </c>
      <c r="D286" s="140" t="s">
        <v>31</v>
      </c>
      <c r="E286" s="140" t="s">
        <v>48</v>
      </c>
      <c r="F286" s="140" t="s">
        <v>62</v>
      </c>
      <c r="G286" s="140" t="s">
        <v>68</v>
      </c>
      <c r="H286" s="140" t="s">
        <v>42</v>
      </c>
      <c r="I286" s="140" t="s">
        <v>13</v>
      </c>
      <c r="J286" s="140" t="s">
        <v>55</v>
      </c>
      <c r="K286" s="140" t="s">
        <v>19</v>
      </c>
    </row>
    <row r="287" spans="1:11" ht="12.75" customHeight="1" x14ac:dyDescent="0.3">
      <c r="A287" s="140">
        <v>286</v>
      </c>
      <c r="B287" s="140" t="s">
        <v>1027</v>
      </c>
      <c r="C287" s="140" t="s">
        <v>1028</v>
      </c>
      <c r="D287" s="140" t="s">
        <v>13</v>
      </c>
      <c r="E287" s="140" t="s">
        <v>55</v>
      </c>
      <c r="F287" s="140" t="s">
        <v>62</v>
      </c>
      <c r="G287" s="140" t="s">
        <v>80</v>
      </c>
      <c r="H287" s="140" t="s">
        <v>25</v>
      </c>
      <c r="I287" s="140" t="s">
        <v>68</v>
      </c>
      <c r="J287" s="140" t="s">
        <v>74</v>
      </c>
      <c r="K287" s="140" t="s">
        <v>20</v>
      </c>
    </row>
    <row r="288" spans="1:11" ht="12.75" customHeight="1" x14ac:dyDescent="0.3">
      <c r="A288" s="140">
        <v>287</v>
      </c>
      <c r="B288" s="140" t="s">
        <v>1029</v>
      </c>
      <c r="C288" s="140" t="s">
        <v>1030</v>
      </c>
      <c r="D288" s="140" t="s">
        <v>13</v>
      </c>
      <c r="E288" s="140" t="s">
        <v>48</v>
      </c>
      <c r="F288" s="140" t="s">
        <v>62</v>
      </c>
      <c r="G288" s="140" t="s">
        <v>80</v>
      </c>
      <c r="H288" s="140" t="s">
        <v>25</v>
      </c>
      <c r="I288" s="140" t="s">
        <v>68</v>
      </c>
      <c r="J288" s="140" t="s">
        <v>74</v>
      </c>
      <c r="K288" s="140" t="s">
        <v>20</v>
      </c>
    </row>
    <row r="289" spans="1:11" ht="12.75" customHeight="1" x14ac:dyDescent="0.3">
      <c r="A289" s="140">
        <v>288</v>
      </c>
      <c r="B289" s="140" t="s">
        <v>1031</v>
      </c>
      <c r="C289" s="140" t="s">
        <v>1032</v>
      </c>
      <c r="D289" s="140" t="s">
        <v>48</v>
      </c>
      <c r="E289" s="140" t="s">
        <v>55</v>
      </c>
      <c r="F289" s="140" t="s">
        <v>68</v>
      </c>
      <c r="G289" s="140" t="s">
        <v>80</v>
      </c>
      <c r="H289" s="140" t="s">
        <v>25</v>
      </c>
      <c r="I289" s="140" t="s">
        <v>13</v>
      </c>
      <c r="J289" s="140" t="s">
        <v>74</v>
      </c>
      <c r="K289" s="140" t="s">
        <v>20</v>
      </c>
    </row>
    <row r="290" spans="1:11" ht="12.75" customHeight="1" x14ac:dyDescent="0.3">
      <c r="A290" s="140">
        <v>289</v>
      </c>
      <c r="B290" s="140" t="s">
        <v>1033</v>
      </c>
      <c r="C290" s="140" t="s">
        <v>1034</v>
      </c>
      <c r="D290" s="140" t="s">
        <v>48</v>
      </c>
      <c r="E290" s="140" t="s">
        <v>55</v>
      </c>
      <c r="F290" s="140" t="s">
        <v>62</v>
      </c>
      <c r="G290" s="140" t="s">
        <v>80</v>
      </c>
      <c r="H290" s="140" t="s">
        <v>25</v>
      </c>
      <c r="I290" s="140" t="s">
        <v>13</v>
      </c>
      <c r="J290" s="140" t="s">
        <v>74</v>
      </c>
      <c r="K290" s="140" t="s">
        <v>20</v>
      </c>
    </row>
    <row r="291" spans="1:11" ht="12.75" customHeight="1" x14ac:dyDescent="0.3">
      <c r="A291" s="140">
        <v>290</v>
      </c>
      <c r="B291" s="140" t="s">
        <v>1035</v>
      </c>
      <c r="C291" s="140" t="s">
        <v>1036</v>
      </c>
      <c r="D291" s="140" t="s">
        <v>13</v>
      </c>
      <c r="E291" s="140" t="s">
        <v>48</v>
      </c>
      <c r="F291" s="140" t="s">
        <v>62</v>
      </c>
      <c r="G291" s="140" t="s">
        <v>80</v>
      </c>
      <c r="H291" s="140" t="s">
        <v>25</v>
      </c>
      <c r="I291" s="140" t="s">
        <v>68</v>
      </c>
      <c r="J291" s="140" t="s">
        <v>55</v>
      </c>
      <c r="K291" s="140" t="s">
        <v>20</v>
      </c>
    </row>
    <row r="292" spans="1:11" ht="12.75" customHeight="1" x14ac:dyDescent="0.3">
      <c r="A292" s="140">
        <v>291</v>
      </c>
      <c r="B292" s="140" t="s">
        <v>1037</v>
      </c>
      <c r="C292" s="140" t="s">
        <v>1038</v>
      </c>
      <c r="D292" s="140" t="s">
        <v>48</v>
      </c>
      <c r="E292" s="140" t="s">
        <v>55</v>
      </c>
      <c r="F292" s="140" t="s">
        <v>62</v>
      </c>
      <c r="G292" s="140" t="s">
        <v>68</v>
      </c>
      <c r="H292" s="140" t="s">
        <v>25</v>
      </c>
      <c r="I292" s="140" t="s">
        <v>13</v>
      </c>
      <c r="J292" s="140" t="s">
        <v>74</v>
      </c>
      <c r="K292" s="140" t="s">
        <v>20</v>
      </c>
    </row>
    <row r="293" spans="1:11" ht="12.75" customHeight="1" x14ac:dyDescent="0.3">
      <c r="A293" s="140">
        <v>292</v>
      </c>
      <c r="B293" s="140" t="s">
        <v>1039</v>
      </c>
      <c r="C293" s="140" t="s">
        <v>1040</v>
      </c>
      <c r="D293" s="140" t="s">
        <v>48</v>
      </c>
      <c r="E293" s="140" t="s">
        <v>55</v>
      </c>
      <c r="F293" s="140" t="s">
        <v>62</v>
      </c>
      <c r="G293" s="140" t="s">
        <v>80</v>
      </c>
      <c r="H293" s="140" t="s">
        <v>25</v>
      </c>
      <c r="I293" s="140" t="s">
        <v>13</v>
      </c>
      <c r="J293" s="140" t="s">
        <v>74</v>
      </c>
      <c r="K293" s="140" t="s">
        <v>68</v>
      </c>
    </row>
    <row r="294" spans="1:11" ht="12.75" customHeight="1" x14ac:dyDescent="0.3">
      <c r="A294" s="140">
        <v>293</v>
      </c>
      <c r="B294" s="140" t="s">
        <v>1041</v>
      </c>
      <c r="C294" s="140" t="s">
        <v>1042</v>
      </c>
      <c r="D294" s="140" t="s">
        <v>13</v>
      </c>
      <c r="E294" s="140" t="s">
        <v>62</v>
      </c>
      <c r="F294" s="140" t="s">
        <v>42</v>
      </c>
      <c r="G294" s="140" t="s">
        <v>80</v>
      </c>
      <c r="H294" s="140" t="s">
        <v>25</v>
      </c>
      <c r="I294" s="140" t="s">
        <v>68</v>
      </c>
      <c r="J294" s="140" t="s">
        <v>74</v>
      </c>
      <c r="K294" s="140" t="s">
        <v>20</v>
      </c>
    </row>
    <row r="295" spans="1:11" ht="12.75" customHeight="1" x14ac:dyDescent="0.3">
      <c r="A295" s="140">
        <v>294</v>
      </c>
      <c r="B295" s="140" t="s">
        <v>1043</v>
      </c>
      <c r="C295" s="140" t="s">
        <v>1044</v>
      </c>
      <c r="D295" s="140" t="s">
        <v>13</v>
      </c>
      <c r="E295" s="140" t="s">
        <v>55</v>
      </c>
      <c r="F295" s="140" t="s">
        <v>42</v>
      </c>
      <c r="G295" s="140" t="s">
        <v>80</v>
      </c>
      <c r="H295" s="140" t="s">
        <v>25</v>
      </c>
      <c r="I295" s="140" t="s">
        <v>68</v>
      </c>
      <c r="J295" s="140" t="s">
        <v>74</v>
      </c>
      <c r="K295" s="140" t="s">
        <v>20</v>
      </c>
    </row>
    <row r="296" spans="1:11" ht="12.75" customHeight="1" x14ac:dyDescent="0.3">
      <c r="A296" s="140">
        <v>295</v>
      </c>
      <c r="B296" s="140" t="s">
        <v>1045</v>
      </c>
      <c r="C296" s="140" t="s">
        <v>1046</v>
      </c>
      <c r="D296" s="140" t="s">
        <v>13</v>
      </c>
      <c r="E296" s="140" t="s">
        <v>55</v>
      </c>
      <c r="F296" s="140" t="s">
        <v>42</v>
      </c>
      <c r="G296" s="140" t="s">
        <v>80</v>
      </c>
      <c r="H296" s="140" t="s">
        <v>25</v>
      </c>
      <c r="I296" s="140" t="s">
        <v>62</v>
      </c>
      <c r="J296" s="140" t="s">
        <v>74</v>
      </c>
      <c r="K296" s="140" t="s">
        <v>20</v>
      </c>
    </row>
    <row r="297" spans="1:11" ht="12.75" customHeight="1" x14ac:dyDescent="0.3">
      <c r="A297" s="140">
        <v>296</v>
      </c>
      <c r="B297" s="140" t="s">
        <v>1047</v>
      </c>
      <c r="C297" s="140" t="s">
        <v>1048</v>
      </c>
      <c r="D297" s="140" t="s">
        <v>13</v>
      </c>
      <c r="E297" s="140" t="s">
        <v>62</v>
      </c>
      <c r="F297" s="140" t="s">
        <v>42</v>
      </c>
      <c r="G297" s="140" t="s">
        <v>80</v>
      </c>
      <c r="H297" s="140" t="s">
        <v>25</v>
      </c>
      <c r="I297" s="140" t="s">
        <v>68</v>
      </c>
      <c r="J297" s="140" t="s">
        <v>55</v>
      </c>
      <c r="K297" s="140" t="s">
        <v>20</v>
      </c>
    </row>
    <row r="298" spans="1:11" ht="12.75" customHeight="1" x14ac:dyDescent="0.3">
      <c r="A298" s="140">
        <v>297</v>
      </c>
      <c r="B298" s="140" t="s">
        <v>1049</v>
      </c>
      <c r="C298" s="140" t="s">
        <v>1050</v>
      </c>
      <c r="D298" s="140" t="s">
        <v>13</v>
      </c>
      <c r="E298" s="140" t="s">
        <v>55</v>
      </c>
      <c r="F298" s="140" t="s">
        <v>42</v>
      </c>
      <c r="G298" s="140" t="s">
        <v>68</v>
      </c>
      <c r="H298" s="140" t="s">
        <v>25</v>
      </c>
      <c r="I298" s="140" t="s">
        <v>62</v>
      </c>
      <c r="J298" s="140" t="s">
        <v>74</v>
      </c>
      <c r="K298" s="140" t="s">
        <v>20</v>
      </c>
    </row>
    <row r="299" spans="1:11" ht="12.75" customHeight="1" x14ac:dyDescent="0.3">
      <c r="A299" s="140">
        <v>298</v>
      </c>
      <c r="B299" s="140" t="s">
        <v>1051</v>
      </c>
      <c r="C299" s="140" t="s">
        <v>1052</v>
      </c>
      <c r="D299" s="140" t="s">
        <v>13</v>
      </c>
      <c r="E299" s="140" t="s">
        <v>55</v>
      </c>
      <c r="F299" s="140" t="s">
        <v>42</v>
      </c>
      <c r="G299" s="140" t="s">
        <v>80</v>
      </c>
      <c r="H299" s="140" t="s">
        <v>25</v>
      </c>
      <c r="I299" s="140" t="s">
        <v>62</v>
      </c>
      <c r="J299" s="140" t="s">
        <v>74</v>
      </c>
      <c r="K299" s="140" t="s">
        <v>68</v>
      </c>
    </row>
    <row r="300" spans="1:11" ht="12.75" customHeight="1" x14ac:dyDescent="0.3">
      <c r="A300" s="140">
        <v>299</v>
      </c>
      <c r="B300" s="140" t="s">
        <v>1053</v>
      </c>
      <c r="C300" s="140" t="s">
        <v>1054</v>
      </c>
      <c r="D300" s="140" t="s">
        <v>13</v>
      </c>
      <c r="E300" s="140" t="s">
        <v>48</v>
      </c>
      <c r="F300" s="140" t="s">
        <v>42</v>
      </c>
      <c r="G300" s="140" t="s">
        <v>80</v>
      </c>
      <c r="H300" s="140" t="s">
        <v>25</v>
      </c>
      <c r="I300" s="140" t="s">
        <v>68</v>
      </c>
      <c r="J300" s="140" t="s">
        <v>74</v>
      </c>
      <c r="K300" s="140" t="s">
        <v>20</v>
      </c>
    </row>
    <row r="301" spans="1:11" ht="12.75" customHeight="1" x14ac:dyDescent="0.3">
      <c r="A301" s="140">
        <v>300</v>
      </c>
      <c r="B301" s="140" t="s">
        <v>1055</v>
      </c>
      <c r="C301" s="140" t="s">
        <v>1056</v>
      </c>
      <c r="D301" s="140" t="s">
        <v>48</v>
      </c>
      <c r="E301" s="140" t="s">
        <v>62</v>
      </c>
      <c r="F301" s="140" t="s">
        <v>42</v>
      </c>
      <c r="G301" s="140" t="s">
        <v>80</v>
      </c>
      <c r="H301" s="140" t="s">
        <v>25</v>
      </c>
      <c r="I301" s="140" t="s">
        <v>13</v>
      </c>
      <c r="J301" s="140" t="s">
        <v>74</v>
      </c>
      <c r="K301" s="140" t="s">
        <v>20</v>
      </c>
    </row>
    <row r="302" spans="1:11" ht="12.75" customHeight="1" x14ac:dyDescent="0.3">
      <c r="A302" s="140">
        <v>301</v>
      </c>
      <c r="B302" s="140" t="s">
        <v>1057</v>
      </c>
      <c r="C302" s="140" t="s">
        <v>1058</v>
      </c>
      <c r="D302" s="140" t="s">
        <v>48</v>
      </c>
      <c r="E302" s="140" t="s">
        <v>62</v>
      </c>
      <c r="F302" s="140" t="s">
        <v>42</v>
      </c>
      <c r="G302" s="140" t="s">
        <v>80</v>
      </c>
      <c r="H302" s="140" t="s">
        <v>25</v>
      </c>
      <c r="I302" s="140" t="s">
        <v>13</v>
      </c>
      <c r="J302" s="140" t="s">
        <v>68</v>
      </c>
      <c r="K302" s="140" t="s">
        <v>20</v>
      </c>
    </row>
    <row r="303" spans="1:11" ht="12.75" customHeight="1" x14ac:dyDescent="0.3">
      <c r="A303" s="140">
        <v>302</v>
      </c>
      <c r="B303" s="140" t="s">
        <v>1059</v>
      </c>
      <c r="C303" s="140" t="s">
        <v>1060</v>
      </c>
      <c r="D303" s="140" t="s">
        <v>48</v>
      </c>
      <c r="E303" s="140" t="s">
        <v>62</v>
      </c>
      <c r="F303" s="140" t="s">
        <v>42</v>
      </c>
      <c r="G303" s="140" t="s">
        <v>68</v>
      </c>
      <c r="H303" s="140" t="s">
        <v>25</v>
      </c>
      <c r="I303" s="140" t="s">
        <v>13</v>
      </c>
      <c r="J303" s="140" t="s">
        <v>74</v>
      </c>
      <c r="K303" s="140" t="s">
        <v>20</v>
      </c>
    </row>
    <row r="304" spans="1:11" ht="12.75" customHeight="1" x14ac:dyDescent="0.3">
      <c r="A304" s="140">
        <v>303</v>
      </c>
      <c r="B304" s="140" t="s">
        <v>1061</v>
      </c>
      <c r="C304" s="140" t="s">
        <v>1062</v>
      </c>
      <c r="D304" s="140" t="s">
        <v>48</v>
      </c>
      <c r="E304" s="140" t="s">
        <v>62</v>
      </c>
      <c r="F304" s="140" t="s">
        <v>42</v>
      </c>
      <c r="G304" s="140" t="s">
        <v>80</v>
      </c>
      <c r="H304" s="140" t="s">
        <v>25</v>
      </c>
      <c r="I304" s="140" t="s">
        <v>13</v>
      </c>
      <c r="J304" s="140" t="s">
        <v>74</v>
      </c>
      <c r="K304" s="140" t="s">
        <v>68</v>
      </c>
    </row>
    <row r="305" spans="1:11" ht="12.75" customHeight="1" x14ac:dyDescent="0.3">
      <c r="A305" s="140">
        <v>304</v>
      </c>
      <c r="B305" s="140" t="s">
        <v>1063</v>
      </c>
      <c r="C305" s="140" t="s">
        <v>1064</v>
      </c>
      <c r="D305" s="140" t="s">
        <v>48</v>
      </c>
      <c r="E305" s="140" t="s">
        <v>55</v>
      </c>
      <c r="F305" s="140" t="s">
        <v>42</v>
      </c>
      <c r="G305" s="140" t="s">
        <v>80</v>
      </c>
      <c r="H305" s="140" t="s">
        <v>25</v>
      </c>
      <c r="I305" s="140" t="s">
        <v>13</v>
      </c>
      <c r="J305" s="140" t="s">
        <v>74</v>
      </c>
      <c r="K305" s="140" t="s">
        <v>20</v>
      </c>
    </row>
    <row r="306" spans="1:11" ht="12.75" customHeight="1" x14ac:dyDescent="0.3">
      <c r="A306" s="140">
        <v>305</v>
      </c>
      <c r="B306" s="140" t="s">
        <v>1065</v>
      </c>
      <c r="C306" s="140" t="s">
        <v>1066</v>
      </c>
      <c r="D306" s="140" t="s">
        <v>13</v>
      </c>
      <c r="E306" s="140" t="s">
        <v>48</v>
      </c>
      <c r="F306" s="140" t="s">
        <v>42</v>
      </c>
      <c r="G306" s="140" t="s">
        <v>80</v>
      </c>
      <c r="H306" s="140" t="s">
        <v>25</v>
      </c>
      <c r="I306" s="140" t="s">
        <v>68</v>
      </c>
      <c r="J306" s="140" t="s">
        <v>55</v>
      </c>
      <c r="K306" s="140" t="s">
        <v>20</v>
      </c>
    </row>
    <row r="307" spans="1:11" ht="12.75" customHeight="1" x14ac:dyDescent="0.3">
      <c r="A307" s="140">
        <v>306</v>
      </c>
      <c r="B307" s="140" t="s">
        <v>1067</v>
      </c>
      <c r="C307" s="140" t="s">
        <v>1068</v>
      </c>
      <c r="D307" s="140" t="s">
        <v>48</v>
      </c>
      <c r="E307" s="140" t="s">
        <v>55</v>
      </c>
      <c r="F307" s="140" t="s">
        <v>42</v>
      </c>
      <c r="G307" s="140" t="s">
        <v>68</v>
      </c>
      <c r="H307" s="140" t="s">
        <v>25</v>
      </c>
      <c r="I307" s="140" t="s">
        <v>13</v>
      </c>
      <c r="J307" s="140" t="s">
        <v>74</v>
      </c>
      <c r="K307" s="140" t="s">
        <v>20</v>
      </c>
    </row>
    <row r="308" spans="1:11" ht="12.75" customHeight="1" x14ac:dyDescent="0.3">
      <c r="A308" s="140">
        <v>307</v>
      </c>
      <c r="B308" s="140" t="s">
        <v>1069</v>
      </c>
      <c r="C308" s="140" t="s">
        <v>1070</v>
      </c>
      <c r="D308" s="140" t="s">
        <v>48</v>
      </c>
      <c r="E308" s="140" t="s">
        <v>55</v>
      </c>
      <c r="F308" s="140" t="s">
        <v>42</v>
      </c>
      <c r="G308" s="140" t="s">
        <v>80</v>
      </c>
      <c r="H308" s="140" t="s">
        <v>25</v>
      </c>
      <c r="I308" s="140" t="s">
        <v>13</v>
      </c>
      <c r="J308" s="140" t="s">
        <v>74</v>
      </c>
      <c r="K308" s="140" t="s">
        <v>68</v>
      </c>
    </row>
    <row r="309" spans="1:11" ht="12.75" customHeight="1" x14ac:dyDescent="0.3">
      <c r="A309" s="140">
        <v>308</v>
      </c>
      <c r="B309" s="140" t="s">
        <v>1071</v>
      </c>
      <c r="C309" s="140" t="s">
        <v>1072</v>
      </c>
      <c r="D309" s="140" t="s">
        <v>48</v>
      </c>
      <c r="E309" s="140" t="s">
        <v>62</v>
      </c>
      <c r="F309" s="140" t="s">
        <v>42</v>
      </c>
      <c r="G309" s="140" t="s">
        <v>80</v>
      </c>
      <c r="H309" s="140" t="s">
        <v>25</v>
      </c>
      <c r="I309" s="140" t="s">
        <v>13</v>
      </c>
      <c r="J309" s="140" t="s">
        <v>55</v>
      </c>
      <c r="K309" s="140" t="s">
        <v>20</v>
      </c>
    </row>
    <row r="310" spans="1:11" ht="12.75" customHeight="1" x14ac:dyDescent="0.3">
      <c r="A310" s="140">
        <v>309</v>
      </c>
      <c r="B310" s="140" t="s">
        <v>1073</v>
      </c>
      <c r="C310" s="140" t="s">
        <v>1074</v>
      </c>
      <c r="D310" s="140" t="s">
        <v>48</v>
      </c>
      <c r="E310" s="140" t="s">
        <v>55</v>
      </c>
      <c r="F310" s="140" t="s">
        <v>62</v>
      </c>
      <c r="G310" s="140" t="s">
        <v>42</v>
      </c>
      <c r="H310" s="140" t="s">
        <v>25</v>
      </c>
      <c r="I310" s="140" t="s">
        <v>13</v>
      </c>
      <c r="J310" s="140" t="s">
        <v>74</v>
      </c>
      <c r="K310" s="140" t="s">
        <v>20</v>
      </c>
    </row>
    <row r="311" spans="1:11" ht="12.75" customHeight="1" x14ac:dyDescent="0.3">
      <c r="A311" s="140">
        <v>310</v>
      </c>
      <c r="B311" s="140" t="s">
        <v>1075</v>
      </c>
      <c r="C311" s="140" t="s">
        <v>1076</v>
      </c>
      <c r="D311" s="140" t="s">
        <v>48</v>
      </c>
      <c r="E311" s="140" t="s">
        <v>55</v>
      </c>
      <c r="F311" s="140" t="s">
        <v>62</v>
      </c>
      <c r="G311" s="140" t="s">
        <v>80</v>
      </c>
      <c r="H311" s="140" t="s">
        <v>25</v>
      </c>
      <c r="I311" s="140" t="s">
        <v>13</v>
      </c>
      <c r="J311" s="140" t="s">
        <v>74</v>
      </c>
      <c r="K311" s="140" t="s">
        <v>42</v>
      </c>
    </row>
    <row r="312" spans="1:11" ht="12.75" customHeight="1" x14ac:dyDescent="0.3">
      <c r="A312" s="140">
        <v>311</v>
      </c>
      <c r="B312" s="140" t="s">
        <v>1077</v>
      </c>
      <c r="C312" s="140" t="s">
        <v>1078</v>
      </c>
      <c r="D312" s="140" t="s">
        <v>48</v>
      </c>
      <c r="E312" s="140" t="s">
        <v>62</v>
      </c>
      <c r="F312" s="140" t="s">
        <v>42</v>
      </c>
      <c r="G312" s="140" t="s">
        <v>68</v>
      </c>
      <c r="H312" s="140" t="s">
        <v>25</v>
      </c>
      <c r="I312" s="140" t="s">
        <v>13</v>
      </c>
      <c r="J312" s="140" t="s">
        <v>55</v>
      </c>
      <c r="K312" s="140" t="s">
        <v>20</v>
      </c>
    </row>
    <row r="313" spans="1:11" ht="12.75" customHeight="1" x14ac:dyDescent="0.3">
      <c r="A313" s="140">
        <v>312</v>
      </c>
      <c r="B313" s="140" t="s">
        <v>1079</v>
      </c>
      <c r="C313" s="140" t="s">
        <v>1080</v>
      </c>
      <c r="D313" s="140" t="s">
        <v>48</v>
      </c>
      <c r="E313" s="140" t="s">
        <v>62</v>
      </c>
      <c r="F313" s="140" t="s">
        <v>42</v>
      </c>
      <c r="G313" s="140" t="s">
        <v>80</v>
      </c>
      <c r="H313" s="140" t="s">
        <v>25</v>
      </c>
      <c r="I313" s="140" t="s">
        <v>13</v>
      </c>
      <c r="J313" s="140" t="s">
        <v>55</v>
      </c>
      <c r="K313" s="140" t="s">
        <v>68</v>
      </c>
    </row>
    <row r="314" spans="1:11" ht="12.75" customHeight="1" x14ac:dyDescent="0.3">
      <c r="A314" s="140">
        <v>313</v>
      </c>
      <c r="B314" s="140" t="s">
        <v>1081</v>
      </c>
      <c r="C314" s="140" t="s">
        <v>1082</v>
      </c>
      <c r="D314" s="140" t="s">
        <v>48</v>
      </c>
      <c r="E314" s="140" t="s">
        <v>55</v>
      </c>
      <c r="F314" s="140" t="s">
        <v>62</v>
      </c>
      <c r="G314" s="140" t="s">
        <v>68</v>
      </c>
      <c r="H314" s="140" t="s">
        <v>25</v>
      </c>
      <c r="I314" s="140" t="s">
        <v>13</v>
      </c>
      <c r="J314" s="140" t="s">
        <v>74</v>
      </c>
      <c r="K314" s="140" t="s">
        <v>42</v>
      </c>
    </row>
    <row r="315" spans="1:11" ht="12.75" customHeight="1" x14ac:dyDescent="0.3">
      <c r="A315" s="140">
        <v>314</v>
      </c>
      <c r="B315" s="140" t="s">
        <v>1083</v>
      </c>
      <c r="C315" s="140" t="s">
        <v>1084</v>
      </c>
      <c r="D315" s="140" t="s">
        <v>19</v>
      </c>
      <c r="E315" s="140" t="s">
        <v>62</v>
      </c>
      <c r="F315" s="140" t="s">
        <v>68</v>
      </c>
      <c r="G315" s="140" t="s">
        <v>80</v>
      </c>
      <c r="H315" s="140" t="s">
        <v>25</v>
      </c>
      <c r="I315" s="140" t="s">
        <v>13</v>
      </c>
      <c r="J315" s="140" t="s">
        <v>74</v>
      </c>
      <c r="K315" s="140" t="s">
        <v>20</v>
      </c>
    </row>
    <row r="316" spans="1:11" ht="12.75" customHeight="1" x14ac:dyDescent="0.3">
      <c r="A316" s="140">
        <v>315</v>
      </c>
      <c r="B316" s="140" t="s">
        <v>1085</v>
      </c>
      <c r="C316" s="140" t="s">
        <v>1086</v>
      </c>
      <c r="D316" s="140" t="s">
        <v>19</v>
      </c>
      <c r="E316" s="140" t="s">
        <v>55</v>
      </c>
      <c r="F316" s="140" t="s">
        <v>68</v>
      </c>
      <c r="G316" s="140" t="s">
        <v>80</v>
      </c>
      <c r="H316" s="140" t="s">
        <v>25</v>
      </c>
      <c r="I316" s="140" t="s">
        <v>13</v>
      </c>
      <c r="J316" s="140" t="s">
        <v>74</v>
      </c>
      <c r="K316" s="140" t="s">
        <v>20</v>
      </c>
    </row>
    <row r="317" spans="1:11" ht="12.75" customHeight="1" x14ac:dyDescent="0.3">
      <c r="A317" s="140">
        <v>316</v>
      </c>
      <c r="B317" s="140" t="s">
        <v>1087</v>
      </c>
      <c r="C317" s="140" t="s">
        <v>1088</v>
      </c>
      <c r="D317" s="140" t="s">
        <v>19</v>
      </c>
      <c r="E317" s="140" t="s">
        <v>55</v>
      </c>
      <c r="F317" s="140" t="s">
        <v>62</v>
      </c>
      <c r="G317" s="140" t="s">
        <v>80</v>
      </c>
      <c r="H317" s="140" t="s">
        <v>25</v>
      </c>
      <c r="I317" s="140" t="s">
        <v>13</v>
      </c>
      <c r="J317" s="140" t="s">
        <v>74</v>
      </c>
      <c r="K317" s="140" t="s">
        <v>20</v>
      </c>
    </row>
    <row r="318" spans="1:11" ht="12.75" customHeight="1" x14ac:dyDescent="0.3">
      <c r="A318" s="140">
        <v>317</v>
      </c>
      <c r="B318" s="140" t="s">
        <v>1089</v>
      </c>
      <c r="C318" s="140" t="s">
        <v>1090</v>
      </c>
      <c r="D318" s="140" t="s">
        <v>19</v>
      </c>
      <c r="E318" s="140" t="s">
        <v>62</v>
      </c>
      <c r="F318" s="140" t="s">
        <v>68</v>
      </c>
      <c r="G318" s="140" t="s">
        <v>80</v>
      </c>
      <c r="H318" s="140" t="s">
        <v>25</v>
      </c>
      <c r="I318" s="140" t="s">
        <v>13</v>
      </c>
      <c r="J318" s="140" t="s">
        <v>55</v>
      </c>
      <c r="K318" s="140" t="s">
        <v>20</v>
      </c>
    </row>
    <row r="319" spans="1:11" ht="12.75" customHeight="1" x14ac:dyDescent="0.3">
      <c r="A319" s="140">
        <v>318</v>
      </c>
      <c r="B319" s="140" t="s">
        <v>1091</v>
      </c>
      <c r="C319" s="140" t="s">
        <v>1092</v>
      </c>
      <c r="D319" s="140" t="s">
        <v>19</v>
      </c>
      <c r="E319" s="140" t="s">
        <v>55</v>
      </c>
      <c r="F319" s="140" t="s">
        <v>62</v>
      </c>
      <c r="G319" s="140" t="s">
        <v>68</v>
      </c>
      <c r="H319" s="140" t="s">
        <v>25</v>
      </c>
      <c r="I319" s="140" t="s">
        <v>13</v>
      </c>
      <c r="J319" s="140" t="s">
        <v>74</v>
      </c>
      <c r="K319" s="140" t="s">
        <v>20</v>
      </c>
    </row>
    <row r="320" spans="1:11" ht="12.75" customHeight="1" x14ac:dyDescent="0.3">
      <c r="A320" s="140">
        <v>319</v>
      </c>
      <c r="B320" s="140" t="s">
        <v>1093</v>
      </c>
      <c r="C320" s="140" t="s">
        <v>1094</v>
      </c>
      <c r="D320" s="140" t="s">
        <v>19</v>
      </c>
      <c r="E320" s="140" t="s">
        <v>55</v>
      </c>
      <c r="F320" s="140" t="s">
        <v>62</v>
      </c>
      <c r="G320" s="140" t="s">
        <v>80</v>
      </c>
      <c r="H320" s="140" t="s">
        <v>25</v>
      </c>
      <c r="I320" s="140" t="s">
        <v>13</v>
      </c>
      <c r="J320" s="140" t="s">
        <v>74</v>
      </c>
      <c r="K320" s="140" t="s">
        <v>68</v>
      </c>
    </row>
    <row r="321" spans="1:11" ht="12.75" customHeight="1" x14ac:dyDescent="0.3">
      <c r="A321" s="140">
        <v>320</v>
      </c>
      <c r="B321" s="140" t="s">
        <v>1095</v>
      </c>
      <c r="C321" s="140" t="s">
        <v>1096</v>
      </c>
      <c r="D321" s="140" t="s">
        <v>19</v>
      </c>
      <c r="E321" s="140" t="s">
        <v>48</v>
      </c>
      <c r="F321" s="140" t="s">
        <v>68</v>
      </c>
      <c r="G321" s="140" t="s">
        <v>80</v>
      </c>
      <c r="H321" s="140" t="s">
        <v>25</v>
      </c>
      <c r="I321" s="140" t="s">
        <v>13</v>
      </c>
      <c r="J321" s="140" t="s">
        <v>74</v>
      </c>
      <c r="K321" s="140" t="s">
        <v>20</v>
      </c>
    </row>
    <row r="322" spans="1:11" ht="12.75" customHeight="1" x14ac:dyDescent="0.3">
      <c r="A322" s="140">
        <v>321</v>
      </c>
      <c r="B322" s="140" t="s">
        <v>1097</v>
      </c>
      <c r="C322" s="140" t="s">
        <v>1098</v>
      </c>
      <c r="D322" s="140" t="s">
        <v>19</v>
      </c>
      <c r="E322" s="140" t="s">
        <v>48</v>
      </c>
      <c r="F322" s="140" t="s">
        <v>62</v>
      </c>
      <c r="G322" s="140" t="s">
        <v>80</v>
      </c>
      <c r="H322" s="140" t="s">
        <v>25</v>
      </c>
      <c r="I322" s="140" t="s">
        <v>13</v>
      </c>
      <c r="J322" s="140" t="s">
        <v>74</v>
      </c>
      <c r="K322" s="140" t="s">
        <v>20</v>
      </c>
    </row>
    <row r="323" spans="1:11" ht="12.75" customHeight="1" x14ac:dyDescent="0.3">
      <c r="A323" s="140">
        <v>322</v>
      </c>
      <c r="B323" s="140" t="s">
        <v>1099</v>
      </c>
      <c r="C323" s="140" t="s">
        <v>1100</v>
      </c>
      <c r="D323" s="140" t="s">
        <v>19</v>
      </c>
      <c r="E323" s="140" t="s">
        <v>48</v>
      </c>
      <c r="F323" s="140" t="s">
        <v>62</v>
      </c>
      <c r="G323" s="140" t="s">
        <v>80</v>
      </c>
      <c r="H323" s="140" t="s">
        <v>25</v>
      </c>
      <c r="I323" s="140" t="s">
        <v>13</v>
      </c>
      <c r="J323" s="140" t="s">
        <v>68</v>
      </c>
      <c r="K323" s="140" t="s">
        <v>20</v>
      </c>
    </row>
    <row r="324" spans="1:11" ht="12.75" customHeight="1" x14ac:dyDescent="0.3">
      <c r="A324" s="140">
        <v>323</v>
      </c>
      <c r="B324" s="140" t="s">
        <v>1101</v>
      </c>
      <c r="C324" s="140" t="s">
        <v>1102</v>
      </c>
      <c r="D324" s="140" t="s">
        <v>19</v>
      </c>
      <c r="E324" s="140" t="s">
        <v>48</v>
      </c>
      <c r="F324" s="140" t="s">
        <v>62</v>
      </c>
      <c r="G324" s="140" t="s">
        <v>68</v>
      </c>
      <c r="H324" s="140" t="s">
        <v>25</v>
      </c>
      <c r="I324" s="140" t="s">
        <v>13</v>
      </c>
      <c r="J324" s="140" t="s">
        <v>74</v>
      </c>
      <c r="K324" s="140" t="s">
        <v>20</v>
      </c>
    </row>
    <row r="325" spans="1:11" ht="12.75" customHeight="1" x14ac:dyDescent="0.3">
      <c r="A325" s="140">
        <v>324</v>
      </c>
      <c r="B325" s="140" t="s">
        <v>1103</v>
      </c>
      <c r="C325" s="140" t="s">
        <v>1104</v>
      </c>
      <c r="D325" s="140" t="s">
        <v>19</v>
      </c>
      <c r="E325" s="140" t="s">
        <v>48</v>
      </c>
      <c r="F325" s="140" t="s">
        <v>62</v>
      </c>
      <c r="G325" s="140" t="s">
        <v>80</v>
      </c>
      <c r="H325" s="140" t="s">
        <v>25</v>
      </c>
      <c r="I325" s="140" t="s">
        <v>13</v>
      </c>
      <c r="J325" s="140" t="s">
        <v>74</v>
      </c>
      <c r="K325" s="140" t="s">
        <v>68</v>
      </c>
    </row>
    <row r="326" spans="1:11" ht="12.75" customHeight="1" x14ac:dyDescent="0.3">
      <c r="A326" s="140">
        <v>325</v>
      </c>
      <c r="B326" s="140" t="s">
        <v>1105</v>
      </c>
      <c r="C326" s="140" t="s">
        <v>1106</v>
      </c>
      <c r="D326" s="140" t="s">
        <v>19</v>
      </c>
      <c r="E326" s="140" t="s">
        <v>55</v>
      </c>
      <c r="F326" s="140" t="s">
        <v>48</v>
      </c>
      <c r="G326" s="140" t="s">
        <v>80</v>
      </c>
      <c r="H326" s="140" t="s">
        <v>25</v>
      </c>
      <c r="I326" s="140" t="s">
        <v>13</v>
      </c>
      <c r="J326" s="140" t="s">
        <v>74</v>
      </c>
      <c r="K326" s="140" t="s">
        <v>20</v>
      </c>
    </row>
    <row r="327" spans="1:11" ht="12.75" customHeight="1" x14ac:dyDescent="0.3">
      <c r="A327" s="140">
        <v>326</v>
      </c>
      <c r="B327" s="140" t="s">
        <v>1107</v>
      </c>
      <c r="C327" s="140" t="s">
        <v>1108</v>
      </c>
      <c r="D327" s="140" t="s">
        <v>19</v>
      </c>
      <c r="E327" s="140" t="s">
        <v>48</v>
      </c>
      <c r="F327" s="140" t="s">
        <v>68</v>
      </c>
      <c r="G327" s="140" t="s">
        <v>80</v>
      </c>
      <c r="H327" s="140" t="s">
        <v>25</v>
      </c>
      <c r="I327" s="140" t="s">
        <v>13</v>
      </c>
      <c r="J327" s="140" t="s">
        <v>55</v>
      </c>
      <c r="K327" s="140" t="s">
        <v>20</v>
      </c>
    </row>
    <row r="328" spans="1:11" ht="12.75" customHeight="1" x14ac:dyDescent="0.3">
      <c r="A328" s="140">
        <v>327</v>
      </c>
      <c r="B328" s="140" t="s">
        <v>1109</v>
      </c>
      <c r="C328" s="140" t="s">
        <v>1110</v>
      </c>
      <c r="D328" s="140" t="s">
        <v>19</v>
      </c>
      <c r="E328" s="140" t="s">
        <v>55</v>
      </c>
      <c r="F328" s="140" t="s">
        <v>48</v>
      </c>
      <c r="G328" s="140" t="s">
        <v>68</v>
      </c>
      <c r="H328" s="140" t="s">
        <v>25</v>
      </c>
      <c r="I328" s="140" t="s">
        <v>13</v>
      </c>
      <c r="J328" s="140" t="s">
        <v>74</v>
      </c>
      <c r="K328" s="140" t="s">
        <v>20</v>
      </c>
    </row>
    <row r="329" spans="1:11" ht="12.75" customHeight="1" x14ac:dyDescent="0.3">
      <c r="A329" s="140">
        <v>328</v>
      </c>
      <c r="B329" s="140" t="s">
        <v>1111</v>
      </c>
      <c r="C329" s="140" t="s">
        <v>1112</v>
      </c>
      <c r="D329" s="140" t="s">
        <v>19</v>
      </c>
      <c r="E329" s="140" t="s">
        <v>55</v>
      </c>
      <c r="F329" s="140" t="s">
        <v>48</v>
      </c>
      <c r="G329" s="140" t="s">
        <v>80</v>
      </c>
      <c r="H329" s="140" t="s">
        <v>25</v>
      </c>
      <c r="I329" s="140" t="s">
        <v>13</v>
      </c>
      <c r="J329" s="140" t="s">
        <v>74</v>
      </c>
      <c r="K329" s="140" t="s">
        <v>68</v>
      </c>
    </row>
    <row r="330" spans="1:11" ht="12.75" customHeight="1" x14ac:dyDescent="0.3">
      <c r="A330" s="140">
        <v>329</v>
      </c>
      <c r="B330" s="140" t="s">
        <v>1113</v>
      </c>
      <c r="C330" s="140" t="s">
        <v>1114</v>
      </c>
      <c r="D330" s="140" t="s">
        <v>19</v>
      </c>
      <c r="E330" s="140" t="s">
        <v>48</v>
      </c>
      <c r="F330" s="140" t="s">
        <v>62</v>
      </c>
      <c r="G330" s="140" t="s">
        <v>80</v>
      </c>
      <c r="H330" s="140" t="s">
        <v>25</v>
      </c>
      <c r="I330" s="140" t="s">
        <v>13</v>
      </c>
      <c r="J330" s="140" t="s">
        <v>55</v>
      </c>
      <c r="K330" s="140" t="s">
        <v>20</v>
      </c>
    </row>
    <row r="331" spans="1:11" ht="12.75" customHeight="1" x14ac:dyDescent="0.3">
      <c r="A331" s="140">
        <v>330</v>
      </c>
      <c r="B331" s="140" t="s">
        <v>1115</v>
      </c>
      <c r="C331" s="140" t="s">
        <v>1116</v>
      </c>
      <c r="D331" s="140" t="s">
        <v>19</v>
      </c>
      <c r="E331" s="140" t="s">
        <v>48</v>
      </c>
      <c r="F331" s="140" t="s">
        <v>62</v>
      </c>
      <c r="G331" s="140" t="s">
        <v>74</v>
      </c>
      <c r="H331" s="140" t="s">
        <v>25</v>
      </c>
      <c r="I331" s="140" t="s">
        <v>13</v>
      </c>
      <c r="J331" s="140" t="s">
        <v>55</v>
      </c>
      <c r="K331" s="140" t="s">
        <v>20</v>
      </c>
    </row>
    <row r="332" spans="1:11" ht="12.75" customHeight="1" x14ac:dyDescent="0.3">
      <c r="A332" s="140">
        <v>331</v>
      </c>
      <c r="B332" s="140" t="s">
        <v>1117</v>
      </c>
      <c r="C332" s="140" t="s">
        <v>1118</v>
      </c>
      <c r="D332" s="140" t="s">
        <v>19</v>
      </c>
      <c r="E332" s="140" t="s">
        <v>48</v>
      </c>
      <c r="F332" s="140" t="s">
        <v>62</v>
      </c>
      <c r="G332" s="140" t="s">
        <v>80</v>
      </c>
      <c r="H332" s="140" t="s">
        <v>25</v>
      </c>
      <c r="I332" s="140" t="s">
        <v>13</v>
      </c>
      <c r="J332" s="140" t="s">
        <v>55</v>
      </c>
      <c r="K332" s="140" t="s">
        <v>74</v>
      </c>
    </row>
    <row r="333" spans="1:11" ht="12.75" customHeight="1" x14ac:dyDescent="0.3">
      <c r="A333" s="140">
        <v>332</v>
      </c>
      <c r="B333" s="140" t="s">
        <v>1119</v>
      </c>
      <c r="C333" s="140" t="s">
        <v>1120</v>
      </c>
      <c r="D333" s="140" t="s">
        <v>19</v>
      </c>
      <c r="E333" s="140" t="s">
        <v>48</v>
      </c>
      <c r="F333" s="140" t="s">
        <v>62</v>
      </c>
      <c r="G333" s="140" t="s">
        <v>68</v>
      </c>
      <c r="H333" s="140" t="s">
        <v>25</v>
      </c>
      <c r="I333" s="140" t="s">
        <v>13</v>
      </c>
      <c r="J333" s="140" t="s">
        <v>55</v>
      </c>
      <c r="K333" s="140" t="s">
        <v>20</v>
      </c>
    </row>
    <row r="334" spans="1:11" ht="12.75" customHeight="1" x14ac:dyDescent="0.3">
      <c r="A334" s="140">
        <v>333</v>
      </c>
      <c r="B334" s="140" t="s">
        <v>1121</v>
      </c>
      <c r="C334" s="140" t="s">
        <v>1122</v>
      </c>
      <c r="D334" s="140" t="s">
        <v>19</v>
      </c>
      <c r="E334" s="140" t="s">
        <v>48</v>
      </c>
      <c r="F334" s="140" t="s">
        <v>62</v>
      </c>
      <c r="G334" s="140" t="s">
        <v>80</v>
      </c>
      <c r="H334" s="140" t="s">
        <v>25</v>
      </c>
      <c r="I334" s="140" t="s">
        <v>13</v>
      </c>
      <c r="J334" s="140" t="s">
        <v>55</v>
      </c>
      <c r="K334" s="140" t="s">
        <v>68</v>
      </c>
    </row>
    <row r="335" spans="1:11" ht="12.75" customHeight="1" x14ac:dyDescent="0.3">
      <c r="A335" s="140">
        <v>334</v>
      </c>
      <c r="B335" s="140" t="s">
        <v>1123</v>
      </c>
      <c r="C335" s="140" t="s">
        <v>1124</v>
      </c>
      <c r="D335" s="140" t="s">
        <v>19</v>
      </c>
      <c r="E335" s="140" t="s">
        <v>48</v>
      </c>
      <c r="F335" s="140" t="s">
        <v>62</v>
      </c>
      <c r="G335" s="140" t="s">
        <v>74</v>
      </c>
      <c r="H335" s="140" t="s">
        <v>25</v>
      </c>
      <c r="I335" s="140" t="s">
        <v>13</v>
      </c>
      <c r="J335" s="140" t="s">
        <v>55</v>
      </c>
      <c r="K335" s="140" t="s">
        <v>68</v>
      </c>
    </row>
    <row r="336" spans="1:11" ht="12.75" customHeight="1" x14ac:dyDescent="0.3">
      <c r="A336" s="140">
        <v>335</v>
      </c>
      <c r="B336" s="140" t="s">
        <v>1125</v>
      </c>
      <c r="C336" s="140" t="s">
        <v>1126</v>
      </c>
      <c r="D336" s="140" t="s">
        <v>13</v>
      </c>
      <c r="E336" s="140" t="s">
        <v>19</v>
      </c>
      <c r="F336" s="140" t="s">
        <v>42</v>
      </c>
      <c r="G336" s="140" t="s">
        <v>80</v>
      </c>
      <c r="H336" s="140" t="s">
        <v>25</v>
      </c>
      <c r="I336" s="140" t="s">
        <v>68</v>
      </c>
      <c r="J336" s="140" t="s">
        <v>74</v>
      </c>
      <c r="K336" s="140" t="s">
        <v>20</v>
      </c>
    </row>
    <row r="337" spans="1:11" ht="12.75" customHeight="1" x14ac:dyDescent="0.3">
      <c r="A337" s="140">
        <v>336</v>
      </c>
      <c r="B337" s="140" t="s">
        <v>1127</v>
      </c>
      <c r="C337" s="140" t="s">
        <v>1128</v>
      </c>
      <c r="D337" s="140" t="s">
        <v>19</v>
      </c>
      <c r="E337" s="140" t="s">
        <v>62</v>
      </c>
      <c r="F337" s="140" t="s">
        <v>42</v>
      </c>
      <c r="G337" s="140" t="s">
        <v>80</v>
      </c>
      <c r="H337" s="140" t="s">
        <v>25</v>
      </c>
      <c r="I337" s="140" t="s">
        <v>13</v>
      </c>
      <c r="J337" s="140" t="s">
        <v>74</v>
      </c>
      <c r="K337" s="140" t="s">
        <v>20</v>
      </c>
    </row>
    <row r="338" spans="1:11" ht="12.75" customHeight="1" x14ac:dyDescent="0.3">
      <c r="A338" s="140">
        <v>337</v>
      </c>
      <c r="B338" s="140" t="s">
        <v>1129</v>
      </c>
      <c r="C338" s="140" t="s">
        <v>1130</v>
      </c>
      <c r="D338" s="140" t="s">
        <v>19</v>
      </c>
      <c r="E338" s="140" t="s">
        <v>62</v>
      </c>
      <c r="F338" s="140" t="s">
        <v>42</v>
      </c>
      <c r="G338" s="140" t="s">
        <v>80</v>
      </c>
      <c r="H338" s="140" t="s">
        <v>25</v>
      </c>
      <c r="I338" s="140" t="s">
        <v>13</v>
      </c>
      <c r="J338" s="140" t="s">
        <v>68</v>
      </c>
      <c r="K338" s="140" t="s">
        <v>20</v>
      </c>
    </row>
    <row r="339" spans="1:11" ht="12.75" customHeight="1" x14ac:dyDescent="0.3">
      <c r="A339" s="140">
        <v>338</v>
      </c>
      <c r="B339" s="140" t="s">
        <v>1131</v>
      </c>
      <c r="C339" s="140" t="s">
        <v>1132</v>
      </c>
      <c r="D339" s="140" t="s">
        <v>19</v>
      </c>
      <c r="E339" s="140" t="s">
        <v>62</v>
      </c>
      <c r="F339" s="140" t="s">
        <v>42</v>
      </c>
      <c r="G339" s="140" t="s">
        <v>68</v>
      </c>
      <c r="H339" s="140" t="s">
        <v>25</v>
      </c>
      <c r="I339" s="140" t="s">
        <v>13</v>
      </c>
      <c r="J339" s="140" t="s">
        <v>74</v>
      </c>
      <c r="K339" s="140" t="s">
        <v>20</v>
      </c>
    </row>
    <row r="340" spans="1:11" ht="12.75" customHeight="1" x14ac:dyDescent="0.3">
      <c r="A340" s="140">
        <v>339</v>
      </c>
      <c r="B340" s="140" t="s">
        <v>1133</v>
      </c>
      <c r="C340" s="140" t="s">
        <v>1134</v>
      </c>
      <c r="D340" s="140" t="s">
        <v>19</v>
      </c>
      <c r="E340" s="140" t="s">
        <v>62</v>
      </c>
      <c r="F340" s="140" t="s">
        <v>42</v>
      </c>
      <c r="G340" s="140" t="s">
        <v>80</v>
      </c>
      <c r="H340" s="140" t="s">
        <v>25</v>
      </c>
      <c r="I340" s="140" t="s">
        <v>13</v>
      </c>
      <c r="J340" s="140" t="s">
        <v>74</v>
      </c>
      <c r="K340" s="140" t="s">
        <v>68</v>
      </c>
    </row>
    <row r="341" spans="1:11" ht="12.75" customHeight="1" x14ac:dyDescent="0.3">
      <c r="A341" s="140">
        <v>340</v>
      </c>
      <c r="B341" s="140" t="s">
        <v>1135</v>
      </c>
      <c r="C341" s="140" t="s">
        <v>1136</v>
      </c>
      <c r="D341" s="140" t="s">
        <v>19</v>
      </c>
      <c r="E341" s="140" t="s">
        <v>55</v>
      </c>
      <c r="F341" s="140" t="s">
        <v>42</v>
      </c>
      <c r="G341" s="140" t="s">
        <v>80</v>
      </c>
      <c r="H341" s="140" t="s">
        <v>25</v>
      </c>
      <c r="I341" s="140" t="s">
        <v>13</v>
      </c>
      <c r="J341" s="140" t="s">
        <v>74</v>
      </c>
      <c r="K341" s="140" t="s">
        <v>20</v>
      </c>
    </row>
    <row r="342" spans="1:11" ht="12.75" customHeight="1" x14ac:dyDescent="0.3">
      <c r="A342" s="140">
        <v>341</v>
      </c>
      <c r="B342" s="140" t="s">
        <v>1137</v>
      </c>
      <c r="C342" s="140" t="s">
        <v>1138</v>
      </c>
      <c r="D342" s="140" t="s">
        <v>13</v>
      </c>
      <c r="E342" s="140" t="s">
        <v>19</v>
      </c>
      <c r="F342" s="140" t="s">
        <v>42</v>
      </c>
      <c r="G342" s="140" t="s">
        <v>80</v>
      </c>
      <c r="H342" s="140" t="s">
        <v>25</v>
      </c>
      <c r="I342" s="140" t="s">
        <v>68</v>
      </c>
      <c r="J342" s="140" t="s">
        <v>55</v>
      </c>
      <c r="K342" s="140" t="s">
        <v>20</v>
      </c>
    </row>
    <row r="343" spans="1:11" ht="12.75" customHeight="1" x14ac:dyDescent="0.3">
      <c r="A343" s="140">
        <v>342</v>
      </c>
      <c r="B343" s="140" t="s">
        <v>1139</v>
      </c>
      <c r="C343" s="140" t="s">
        <v>1140</v>
      </c>
      <c r="D343" s="140" t="s">
        <v>19</v>
      </c>
      <c r="E343" s="140" t="s">
        <v>55</v>
      </c>
      <c r="F343" s="140" t="s">
        <v>42</v>
      </c>
      <c r="G343" s="140" t="s">
        <v>68</v>
      </c>
      <c r="H343" s="140" t="s">
        <v>25</v>
      </c>
      <c r="I343" s="140" t="s">
        <v>13</v>
      </c>
      <c r="J343" s="140" t="s">
        <v>74</v>
      </c>
      <c r="K343" s="140" t="s">
        <v>20</v>
      </c>
    </row>
    <row r="344" spans="1:11" ht="12.75" customHeight="1" x14ac:dyDescent="0.3">
      <c r="A344" s="140">
        <v>343</v>
      </c>
      <c r="B344" s="140" t="s">
        <v>1141</v>
      </c>
      <c r="C344" s="140" t="s">
        <v>1142</v>
      </c>
      <c r="D344" s="140" t="s">
        <v>19</v>
      </c>
      <c r="E344" s="140" t="s">
        <v>55</v>
      </c>
      <c r="F344" s="140" t="s">
        <v>42</v>
      </c>
      <c r="G344" s="140" t="s">
        <v>80</v>
      </c>
      <c r="H344" s="140" t="s">
        <v>25</v>
      </c>
      <c r="I344" s="140" t="s">
        <v>13</v>
      </c>
      <c r="J344" s="140" t="s">
        <v>74</v>
      </c>
      <c r="K344" s="140" t="s">
        <v>68</v>
      </c>
    </row>
    <row r="345" spans="1:11" ht="12.75" customHeight="1" x14ac:dyDescent="0.3">
      <c r="A345" s="140">
        <v>344</v>
      </c>
      <c r="B345" s="140" t="s">
        <v>1143</v>
      </c>
      <c r="C345" s="140" t="s">
        <v>1144</v>
      </c>
      <c r="D345" s="140" t="s">
        <v>19</v>
      </c>
      <c r="E345" s="140" t="s">
        <v>62</v>
      </c>
      <c r="F345" s="140" t="s">
        <v>42</v>
      </c>
      <c r="G345" s="140" t="s">
        <v>80</v>
      </c>
      <c r="H345" s="140" t="s">
        <v>25</v>
      </c>
      <c r="I345" s="140" t="s">
        <v>13</v>
      </c>
      <c r="J345" s="140" t="s">
        <v>55</v>
      </c>
      <c r="K345" s="140" t="s">
        <v>20</v>
      </c>
    </row>
    <row r="346" spans="1:11" ht="12.75" customHeight="1" x14ac:dyDescent="0.3">
      <c r="A346" s="140">
        <v>345</v>
      </c>
      <c r="B346" s="140" t="s">
        <v>1145</v>
      </c>
      <c r="C346" s="140" t="s">
        <v>1146</v>
      </c>
      <c r="D346" s="140" t="s">
        <v>19</v>
      </c>
      <c r="E346" s="140" t="s">
        <v>55</v>
      </c>
      <c r="F346" s="140" t="s">
        <v>62</v>
      </c>
      <c r="G346" s="140" t="s">
        <v>42</v>
      </c>
      <c r="H346" s="140" t="s">
        <v>25</v>
      </c>
      <c r="I346" s="140" t="s">
        <v>13</v>
      </c>
      <c r="J346" s="140" t="s">
        <v>74</v>
      </c>
      <c r="K346" s="140" t="s">
        <v>20</v>
      </c>
    </row>
    <row r="347" spans="1:11" ht="12.75" customHeight="1" x14ac:dyDescent="0.3">
      <c r="A347" s="140">
        <v>346</v>
      </c>
      <c r="B347" s="140" t="s">
        <v>1147</v>
      </c>
      <c r="C347" s="140" t="s">
        <v>1148</v>
      </c>
      <c r="D347" s="140" t="s">
        <v>19</v>
      </c>
      <c r="E347" s="140" t="s">
        <v>55</v>
      </c>
      <c r="F347" s="140" t="s">
        <v>62</v>
      </c>
      <c r="G347" s="140" t="s">
        <v>80</v>
      </c>
      <c r="H347" s="140" t="s">
        <v>25</v>
      </c>
      <c r="I347" s="140" t="s">
        <v>13</v>
      </c>
      <c r="J347" s="140" t="s">
        <v>74</v>
      </c>
      <c r="K347" s="140" t="s">
        <v>42</v>
      </c>
    </row>
    <row r="348" spans="1:11" ht="12.75" customHeight="1" x14ac:dyDescent="0.3">
      <c r="A348" s="140">
        <v>347</v>
      </c>
      <c r="B348" s="140" t="s">
        <v>1149</v>
      </c>
      <c r="C348" s="140" t="s">
        <v>1150</v>
      </c>
      <c r="D348" s="140" t="s">
        <v>19</v>
      </c>
      <c r="E348" s="140" t="s">
        <v>62</v>
      </c>
      <c r="F348" s="140" t="s">
        <v>42</v>
      </c>
      <c r="G348" s="140" t="s">
        <v>68</v>
      </c>
      <c r="H348" s="140" t="s">
        <v>25</v>
      </c>
      <c r="I348" s="140" t="s">
        <v>13</v>
      </c>
      <c r="J348" s="140" t="s">
        <v>55</v>
      </c>
      <c r="K348" s="140" t="s">
        <v>20</v>
      </c>
    </row>
    <row r="349" spans="1:11" ht="12.75" customHeight="1" x14ac:dyDescent="0.3">
      <c r="A349" s="140">
        <v>348</v>
      </c>
      <c r="B349" s="140" t="s">
        <v>1151</v>
      </c>
      <c r="C349" s="140" t="s">
        <v>1152</v>
      </c>
      <c r="D349" s="140" t="s">
        <v>19</v>
      </c>
      <c r="E349" s="140" t="s">
        <v>62</v>
      </c>
      <c r="F349" s="140" t="s">
        <v>42</v>
      </c>
      <c r="G349" s="140" t="s">
        <v>80</v>
      </c>
      <c r="H349" s="140" t="s">
        <v>25</v>
      </c>
      <c r="I349" s="140" t="s">
        <v>13</v>
      </c>
      <c r="J349" s="140" t="s">
        <v>55</v>
      </c>
      <c r="K349" s="140" t="s">
        <v>68</v>
      </c>
    </row>
    <row r="350" spans="1:11" ht="12.75" customHeight="1" x14ac:dyDescent="0.3">
      <c r="A350" s="140">
        <v>349</v>
      </c>
      <c r="B350" s="140" t="s">
        <v>1153</v>
      </c>
      <c r="C350" s="140" t="s">
        <v>1154</v>
      </c>
      <c r="D350" s="140" t="s">
        <v>19</v>
      </c>
      <c r="E350" s="140" t="s">
        <v>55</v>
      </c>
      <c r="F350" s="140" t="s">
        <v>62</v>
      </c>
      <c r="G350" s="140" t="s">
        <v>68</v>
      </c>
      <c r="H350" s="140" t="s">
        <v>25</v>
      </c>
      <c r="I350" s="140" t="s">
        <v>13</v>
      </c>
      <c r="J350" s="140" t="s">
        <v>74</v>
      </c>
      <c r="K350" s="140" t="s">
        <v>42</v>
      </c>
    </row>
    <row r="351" spans="1:11" ht="12.75" customHeight="1" x14ac:dyDescent="0.3">
      <c r="A351" s="140">
        <v>350</v>
      </c>
      <c r="B351" s="140" t="s">
        <v>1155</v>
      </c>
      <c r="C351" s="140" t="s">
        <v>1156</v>
      </c>
      <c r="D351" s="140" t="s">
        <v>19</v>
      </c>
      <c r="E351" s="140" t="s">
        <v>48</v>
      </c>
      <c r="F351" s="140" t="s">
        <v>42</v>
      </c>
      <c r="G351" s="140" t="s">
        <v>80</v>
      </c>
      <c r="H351" s="140" t="s">
        <v>25</v>
      </c>
      <c r="I351" s="140" t="s">
        <v>13</v>
      </c>
      <c r="J351" s="140" t="s">
        <v>74</v>
      </c>
      <c r="K351" s="140" t="s">
        <v>20</v>
      </c>
    </row>
    <row r="352" spans="1:11" ht="12.75" customHeight="1" x14ac:dyDescent="0.3">
      <c r="A352" s="140">
        <v>351</v>
      </c>
      <c r="B352" s="140" t="s">
        <v>1157</v>
      </c>
      <c r="C352" s="140" t="s">
        <v>1158</v>
      </c>
      <c r="D352" s="140" t="s">
        <v>19</v>
      </c>
      <c r="E352" s="140" t="s">
        <v>48</v>
      </c>
      <c r="F352" s="140" t="s">
        <v>42</v>
      </c>
      <c r="G352" s="140" t="s">
        <v>80</v>
      </c>
      <c r="H352" s="140" t="s">
        <v>25</v>
      </c>
      <c r="I352" s="140" t="s">
        <v>13</v>
      </c>
      <c r="J352" s="140" t="s">
        <v>68</v>
      </c>
      <c r="K352" s="140" t="s">
        <v>20</v>
      </c>
    </row>
    <row r="353" spans="1:11" ht="12.75" customHeight="1" x14ac:dyDescent="0.3">
      <c r="A353" s="140">
        <v>352</v>
      </c>
      <c r="B353" s="140" t="s">
        <v>1159</v>
      </c>
      <c r="C353" s="140" t="s">
        <v>1160</v>
      </c>
      <c r="D353" s="140" t="s">
        <v>19</v>
      </c>
      <c r="E353" s="140" t="s">
        <v>48</v>
      </c>
      <c r="F353" s="140" t="s">
        <v>42</v>
      </c>
      <c r="G353" s="140" t="s">
        <v>68</v>
      </c>
      <c r="H353" s="140" t="s">
        <v>25</v>
      </c>
      <c r="I353" s="140" t="s">
        <v>13</v>
      </c>
      <c r="J353" s="140" t="s">
        <v>74</v>
      </c>
      <c r="K353" s="140" t="s">
        <v>20</v>
      </c>
    </row>
    <row r="354" spans="1:11" ht="12.75" customHeight="1" x14ac:dyDescent="0.3">
      <c r="A354" s="140">
        <v>353</v>
      </c>
      <c r="B354" s="140" t="s">
        <v>1161</v>
      </c>
      <c r="C354" s="140" t="s">
        <v>1162</v>
      </c>
      <c r="D354" s="140" t="s">
        <v>19</v>
      </c>
      <c r="E354" s="140" t="s">
        <v>48</v>
      </c>
      <c r="F354" s="140" t="s">
        <v>42</v>
      </c>
      <c r="G354" s="140" t="s">
        <v>80</v>
      </c>
      <c r="H354" s="140" t="s">
        <v>25</v>
      </c>
      <c r="I354" s="140" t="s">
        <v>13</v>
      </c>
      <c r="J354" s="140" t="s">
        <v>74</v>
      </c>
      <c r="K354" s="140" t="s">
        <v>68</v>
      </c>
    </row>
    <row r="355" spans="1:11" ht="12.75" customHeight="1" x14ac:dyDescent="0.3">
      <c r="A355" s="140">
        <v>354</v>
      </c>
      <c r="B355" s="140" t="s">
        <v>1163</v>
      </c>
      <c r="C355" s="140" t="s">
        <v>1164</v>
      </c>
      <c r="D355" s="140" t="s">
        <v>19</v>
      </c>
      <c r="E355" s="140" t="s">
        <v>48</v>
      </c>
      <c r="F355" s="140" t="s">
        <v>62</v>
      </c>
      <c r="G355" s="140" t="s">
        <v>80</v>
      </c>
      <c r="H355" s="140" t="s">
        <v>25</v>
      </c>
      <c r="I355" s="140" t="s">
        <v>13</v>
      </c>
      <c r="J355" s="140" t="s">
        <v>42</v>
      </c>
      <c r="K355" s="140" t="s">
        <v>20</v>
      </c>
    </row>
    <row r="356" spans="1:11" ht="12.75" customHeight="1" x14ac:dyDescent="0.3">
      <c r="A356" s="140">
        <v>355</v>
      </c>
      <c r="B356" s="140" t="s">
        <v>1165</v>
      </c>
      <c r="C356" s="140" t="s">
        <v>1166</v>
      </c>
      <c r="D356" s="140" t="s">
        <v>19</v>
      </c>
      <c r="E356" s="140" t="s">
        <v>48</v>
      </c>
      <c r="F356" s="140" t="s">
        <v>62</v>
      </c>
      <c r="G356" s="140" t="s">
        <v>42</v>
      </c>
      <c r="H356" s="140" t="s">
        <v>25</v>
      </c>
      <c r="I356" s="140" t="s">
        <v>13</v>
      </c>
      <c r="J356" s="140" t="s">
        <v>74</v>
      </c>
      <c r="K356" s="140" t="s">
        <v>20</v>
      </c>
    </row>
    <row r="357" spans="1:11" ht="12.75" customHeight="1" x14ac:dyDescent="0.3">
      <c r="A357" s="140">
        <v>356</v>
      </c>
      <c r="B357" s="140" t="s">
        <v>1167</v>
      </c>
      <c r="C357" s="140" t="s">
        <v>1168</v>
      </c>
      <c r="D357" s="140" t="s">
        <v>19</v>
      </c>
      <c r="E357" s="140" t="s">
        <v>48</v>
      </c>
      <c r="F357" s="140" t="s">
        <v>62</v>
      </c>
      <c r="G357" s="140" t="s">
        <v>80</v>
      </c>
      <c r="H357" s="140" t="s">
        <v>25</v>
      </c>
      <c r="I357" s="140" t="s">
        <v>13</v>
      </c>
      <c r="J357" s="140" t="s">
        <v>74</v>
      </c>
      <c r="K357" s="140" t="s">
        <v>42</v>
      </c>
    </row>
    <row r="358" spans="1:11" ht="12.75" customHeight="1" x14ac:dyDescent="0.3">
      <c r="A358" s="140">
        <v>357</v>
      </c>
      <c r="B358" s="140" t="s">
        <v>1169</v>
      </c>
      <c r="C358" s="140" t="s">
        <v>1170</v>
      </c>
      <c r="D358" s="140" t="s">
        <v>19</v>
      </c>
      <c r="E358" s="140" t="s">
        <v>48</v>
      </c>
      <c r="F358" s="140" t="s">
        <v>62</v>
      </c>
      <c r="G358" s="140" t="s">
        <v>68</v>
      </c>
      <c r="H358" s="140" t="s">
        <v>25</v>
      </c>
      <c r="I358" s="140" t="s">
        <v>13</v>
      </c>
      <c r="J358" s="140" t="s">
        <v>42</v>
      </c>
      <c r="K358" s="140" t="s">
        <v>20</v>
      </c>
    </row>
    <row r="359" spans="1:11" ht="12.75" customHeight="1" x14ac:dyDescent="0.3">
      <c r="A359" s="140">
        <v>358</v>
      </c>
      <c r="B359" s="140" t="s">
        <v>1171</v>
      </c>
      <c r="C359" s="140" t="s">
        <v>1172</v>
      </c>
      <c r="D359" s="140" t="s">
        <v>19</v>
      </c>
      <c r="E359" s="140" t="s">
        <v>48</v>
      </c>
      <c r="F359" s="140" t="s">
        <v>62</v>
      </c>
      <c r="G359" s="140" t="s">
        <v>80</v>
      </c>
      <c r="H359" s="140" t="s">
        <v>25</v>
      </c>
      <c r="I359" s="140" t="s">
        <v>13</v>
      </c>
      <c r="J359" s="140" t="s">
        <v>42</v>
      </c>
      <c r="K359" s="140" t="s">
        <v>68</v>
      </c>
    </row>
    <row r="360" spans="1:11" ht="12.75" customHeight="1" x14ac:dyDescent="0.3">
      <c r="A360" s="140">
        <v>359</v>
      </c>
      <c r="B360" s="140" t="s">
        <v>1173</v>
      </c>
      <c r="C360" s="140" t="s">
        <v>1174</v>
      </c>
      <c r="D360" s="140" t="s">
        <v>19</v>
      </c>
      <c r="E360" s="140" t="s">
        <v>48</v>
      </c>
      <c r="F360" s="140" t="s">
        <v>62</v>
      </c>
      <c r="G360" s="140" t="s">
        <v>68</v>
      </c>
      <c r="H360" s="140" t="s">
        <v>25</v>
      </c>
      <c r="I360" s="140" t="s">
        <v>13</v>
      </c>
      <c r="J360" s="140" t="s">
        <v>74</v>
      </c>
      <c r="K360" s="140" t="s">
        <v>42</v>
      </c>
    </row>
    <row r="361" spans="1:11" ht="12.75" customHeight="1" x14ac:dyDescent="0.3">
      <c r="A361" s="140">
        <v>360</v>
      </c>
      <c r="B361" s="140" t="s">
        <v>1175</v>
      </c>
      <c r="C361" s="140" t="s">
        <v>1176</v>
      </c>
      <c r="D361" s="140" t="s">
        <v>19</v>
      </c>
      <c r="E361" s="140" t="s">
        <v>48</v>
      </c>
      <c r="F361" s="140" t="s">
        <v>42</v>
      </c>
      <c r="G361" s="140" t="s">
        <v>80</v>
      </c>
      <c r="H361" s="140" t="s">
        <v>25</v>
      </c>
      <c r="I361" s="140" t="s">
        <v>13</v>
      </c>
      <c r="J361" s="140" t="s">
        <v>55</v>
      </c>
      <c r="K361" s="140" t="s">
        <v>20</v>
      </c>
    </row>
    <row r="362" spans="1:11" ht="12.75" customHeight="1" x14ac:dyDescent="0.3">
      <c r="A362" s="140">
        <v>361</v>
      </c>
      <c r="B362" s="140" t="s">
        <v>1177</v>
      </c>
      <c r="C362" s="140" t="s">
        <v>1178</v>
      </c>
      <c r="D362" s="140" t="s">
        <v>19</v>
      </c>
      <c r="E362" s="140" t="s">
        <v>48</v>
      </c>
      <c r="F362" s="140" t="s">
        <v>42</v>
      </c>
      <c r="G362" s="140" t="s">
        <v>74</v>
      </c>
      <c r="H362" s="140" t="s">
        <v>25</v>
      </c>
      <c r="I362" s="140" t="s">
        <v>13</v>
      </c>
      <c r="J362" s="140" t="s">
        <v>55</v>
      </c>
      <c r="K362" s="140" t="s">
        <v>20</v>
      </c>
    </row>
    <row r="363" spans="1:11" ht="12.75" customHeight="1" x14ac:dyDescent="0.3">
      <c r="A363" s="140">
        <v>362</v>
      </c>
      <c r="B363" s="140" t="s">
        <v>1179</v>
      </c>
      <c r="C363" s="140" t="s">
        <v>1180</v>
      </c>
      <c r="D363" s="140" t="s">
        <v>19</v>
      </c>
      <c r="E363" s="140" t="s">
        <v>48</v>
      </c>
      <c r="F363" s="140" t="s">
        <v>42</v>
      </c>
      <c r="G363" s="140" t="s">
        <v>80</v>
      </c>
      <c r="H363" s="140" t="s">
        <v>25</v>
      </c>
      <c r="I363" s="140" t="s">
        <v>13</v>
      </c>
      <c r="J363" s="140" t="s">
        <v>55</v>
      </c>
      <c r="K363" s="140" t="s">
        <v>74</v>
      </c>
    </row>
    <row r="364" spans="1:11" ht="12.75" customHeight="1" x14ac:dyDescent="0.3">
      <c r="A364" s="140">
        <v>363</v>
      </c>
      <c r="B364" s="140" t="s">
        <v>1181</v>
      </c>
      <c r="C364" s="140" t="s">
        <v>1182</v>
      </c>
      <c r="D364" s="140" t="s">
        <v>19</v>
      </c>
      <c r="E364" s="140" t="s">
        <v>48</v>
      </c>
      <c r="F364" s="140" t="s">
        <v>42</v>
      </c>
      <c r="G364" s="140" t="s">
        <v>68</v>
      </c>
      <c r="H364" s="140" t="s">
        <v>25</v>
      </c>
      <c r="I364" s="140" t="s">
        <v>13</v>
      </c>
      <c r="J364" s="140" t="s">
        <v>55</v>
      </c>
      <c r="K364" s="140" t="s">
        <v>20</v>
      </c>
    </row>
    <row r="365" spans="1:11" ht="12.75" customHeight="1" x14ac:dyDescent="0.3">
      <c r="A365" s="140">
        <v>364</v>
      </c>
      <c r="B365" s="140" t="s">
        <v>1183</v>
      </c>
      <c r="C365" s="140" t="s">
        <v>1184</v>
      </c>
      <c r="D365" s="140" t="s">
        <v>19</v>
      </c>
      <c r="E365" s="140" t="s">
        <v>48</v>
      </c>
      <c r="F365" s="140" t="s">
        <v>42</v>
      </c>
      <c r="G365" s="140" t="s">
        <v>80</v>
      </c>
      <c r="H365" s="140" t="s">
        <v>25</v>
      </c>
      <c r="I365" s="140" t="s">
        <v>13</v>
      </c>
      <c r="J365" s="140" t="s">
        <v>55</v>
      </c>
      <c r="K365" s="140" t="s">
        <v>68</v>
      </c>
    </row>
    <row r="366" spans="1:11" ht="12.75" customHeight="1" x14ac:dyDescent="0.3">
      <c r="A366" s="140">
        <v>365</v>
      </c>
      <c r="B366" s="140" t="s">
        <v>1185</v>
      </c>
      <c r="C366" s="140" t="s">
        <v>1186</v>
      </c>
      <c r="D366" s="140" t="s">
        <v>19</v>
      </c>
      <c r="E366" s="140" t="s">
        <v>48</v>
      </c>
      <c r="F366" s="140" t="s">
        <v>42</v>
      </c>
      <c r="G366" s="140" t="s">
        <v>74</v>
      </c>
      <c r="H366" s="140" t="s">
        <v>25</v>
      </c>
      <c r="I366" s="140" t="s">
        <v>13</v>
      </c>
      <c r="J366" s="140" t="s">
        <v>55</v>
      </c>
      <c r="K366" s="140" t="s">
        <v>68</v>
      </c>
    </row>
    <row r="367" spans="1:11" ht="12.75" customHeight="1" x14ac:dyDescent="0.3">
      <c r="A367" s="140">
        <v>366</v>
      </c>
      <c r="B367" s="140" t="s">
        <v>1187</v>
      </c>
      <c r="C367" s="140" t="s">
        <v>1188</v>
      </c>
      <c r="D367" s="140" t="s">
        <v>19</v>
      </c>
      <c r="E367" s="140" t="s">
        <v>48</v>
      </c>
      <c r="F367" s="140" t="s">
        <v>62</v>
      </c>
      <c r="G367" s="140" t="s">
        <v>42</v>
      </c>
      <c r="H367" s="140" t="s">
        <v>25</v>
      </c>
      <c r="I367" s="140" t="s">
        <v>13</v>
      </c>
      <c r="J367" s="140" t="s">
        <v>55</v>
      </c>
      <c r="K367" s="140" t="s">
        <v>20</v>
      </c>
    </row>
    <row r="368" spans="1:11" ht="12.75" customHeight="1" x14ac:dyDescent="0.3">
      <c r="A368" s="140">
        <v>367</v>
      </c>
      <c r="B368" s="140" t="s">
        <v>1189</v>
      </c>
      <c r="C368" s="140" t="s">
        <v>1190</v>
      </c>
      <c r="D368" s="140" t="s">
        <v>19</v>
      </c>
      <c r="E368" s="140" t="s">
        <v>48</v>
      </c>
      <c r="F368" s="140" t="s">
        <v>62</v>
      </c>
      <c r="G368" s="140" t="s">
        <v>80</v>
      </c>
      <c r="H368" s="140" t="s">
        <v>25</v>
      </c>
      <c r="I368" s="140" t="s">
        <v>13</v>
      </c>
      <c r="J368" s="140" t="s">
        <v>55</v>
      </c>
      <c r="K368" s="140" t="s">
        <v>42</v>
      </c>
    </row>
    <row r="369" spans="1:11" ht="12.75" customHeight="1" x14ac:dyDescent="0.3">
      <c r="A369" s="140">
        <v>368</v>
      </c>
      <c r="B369" s="140" t="s">
        <v>1191</v>
      </c>
      <c r="C369" s="140" t="s">
        <v>1192</v>
      </c>
      <c r="D369" s="140" t="s">
        <v>19</v>
      </c>
      <c r="E369" s="140" t="s">
        <v>48</v>
      </c>
      <c r="F369" s="140" t="s">
        <v>62</v>
      </c>
      <c r="G369" s="140" t="s">
        <v>74</v>
      </c>
      <c r="H369" s="140" t="s">
        <v>25</v>
      </c>
      <c r="I369" s="140" t="s">
        <v>13</v>
      </c>
      <c r="J369" s="140" t="s">
        <v>55</v>
      </c>
      <c r="K369" s="140" t="s">
        <v>42</v>
      </c>
    </row>
    <row r="370" spans="1:11" ht="12.75" customHeight="1" x14ac:dyDescent="0.3">
      <c r="A370" s="140">
        <v>369</v>
      </c>
      <c r="B370" s="140" t="s">
        <v>1193</v>
      </c>
      <c r="C370" s="140" t="s">
        <v>1194</v>
      </c>
      <c r="D370" s="140" t="s">
        <v>19</v>
      </c>
      <c r="E370" s="140" t="s">
        <v>48</v>
      </c>
      <c r="F370" s="140" t="s">
        <v>62</v>
      </c>
      <c r="G370" s="140" t="s">
        <v>68</v>
      </c>
      <c r="H370" s="140" t="s">
        <v>25</v>
      </c>
      <c r="I370" s="140" t="s">
        <v>13</v>
      </c>
      <c r="J370" s="140" t="s">
        <v>55</v>
      </c>
      <c r="K370" s="140" t="s">
        <v>42</v>
      </c>
    </row>
    <row r="371" spans="1:11" ht="12.75" customHeight="1" x14ac:dyDescent="0.3">
      <c r="A371" s="140">
        <v>370</v>
      </c>
      <c r="B371" s="140" t="s">
        <v>1195</v>
      </c>
      <c r="C371" s="140" t="s">
        <v>1196</v>
      </c>
      <c r="D371" s="140" t="s">
        <v>31</v>
      </c>
      <c r="E371" s="140" t="s">
        <v>62</v>
      </c>
      <c r="F371" s="140" t="s">
        <v>68</v>
      </c>
      <c r="G371" s="140" t="s">
        <v>80</v>
      </c>
      <c r="H371" s="140" t="s">
        <v>25</v>
      </c>
      <c r="I371" s="140" t="s">
        <v>13</v>
      </c>
      <c r="J371" s="140" t="s">
        <v>74</v>
      </c>
      <c r="K371" s="140" t="s">
        <v>20</v>
      </c>
    </row>
    <row r="372" spans="1:11" ht="12.75" customHeight="1" x14ac:dyDescent="0.3">
      <c r="A372" s="140">
        <v>371</v>
      </c>
      <c r="B372" s="140" t="s">
        <v>1197</v>
      </c>
      <c r="C372" s="140" t="s">
        <v>1198</v>
      </c>
      <c r="D372" s="140" t="s">
        <v>31</v>
      </c>
      <c r="E372" s="140" t="s">
        <v>55</v>
      </c>
      <c r="F372" s="140" t="s">
        <v>68</v>
      </c>
      <c r="G372" s="140" t="s">
        <v>80</v>
      </c>
      <c r="H372" s="140" t="s">
        <v>25</v>
      </c>
      <c r="I372" s="140" t="s">
        <v>13</v>
      </c>
      <c r="J372" s="140" t="s">
        <v>74</v>
      </c>
      <c r="K372" s="140" t="s">
        <v>20</v>
      </c>
    </row>
    <row r="373" spans="1:11" ht="12.75" customHeight="1" x14ac:dyDescent="0.3">
      <c r="A373" s="140">
        <v>372</v>
      </c>
      <c r="B373" s="140" t="s">
        <v>1199</v>
      </c>
      <c r="C373" s="140" t="s">
        <v>1200</v>
      </c>
      <c r="D373" s="140" t="s">
        <v>31</v>
      </c>
      <c r="E373" s="140" t="s">
        <v>55</v>
      </c>
      <c r="F373" s="140" t="s">
        <v>62</v>
      </c>
      <c r="G373" s="140" t="s">
        <v>80</v>
      </c>
      <c r="H373" s="140" t="s">
        <v>25</v>
      </c>
      <c r="I373" s="140" t="s">
        <v>13</v>
      </c>
      <c r="J373" s="140" t="s">
        <v>74</v>
      </c>
      <c r="K373" s="140" t="s">
        <v>20</v>
      </c>
    </row>
    <row r="374" spans="1:11" ht="12.75" customHeight="1" x14ac:dyDescent="0.3">
      <c r="A374" s="140">
        <v>373</v>
      </c>
      <c r="B374" s="140" t="s">
        <v>1201</v>
      </c>
      <c r="C374" s="140" t="s">
        <v>1202</v>
      </c>
      <c r="D374" s="140" t="s">
        <v>31</v>
      </c>
      <c r="E374" s="140" t="s">
        <v>62</v>
      </c>
      <c r="F374" s="140" t="s">
        <v>68</v>
      </c>
      <c r="G374" s="140" t="s">
        <v>80</v>
      </c>
      <c r="H374" s="140" t="s">
        <v>25</v>
      </c>
      <c r="I374" s="140" t="s">
        <v>13</v>
      </c>
      <c r="J374" s="140" t="s">
        <v>55</v>
      </c>
      <c r="K374" s="140" t="s">
        <v>20</v>
      </c>
    </row>
    <row r="375" spans="1:11" ht="12.75" customHeight="1" x14ac:dyDescent="0.3">
      <c r="A375" s="140">
        <v>374</v>
      </c>
      <c r="B375" s="140" t="s">
        <v>1203</v>
      </c>
      <c r="C375" s="140" t="s">
        <v>1204</v>
      </c>
      <c r="D375" s="140" t="s">
        <v>31</v>
      </c>
      <c r="E375" s="140" t="s">
        <v>55</v>
      </c>
      <c r="F375" s="140" t="s">
        <v>62</v>
      </c>
      <c r="G375" s="140" t="s">
        <v>68</v>
      </c>
      <c r="H375" s="140" t="s">
        <v>25</v>
      </c>
      <c r="I375" s="140" t="s">
        <v>13</v>
      </c>
      <c r="J375" s="140" t="s">
        <v>74</v>
      </c>
      <c r="K375" s="140" t="s">
        <v>20</v>
      </c>
    </row>
    <row r="376" spans="1:11" ht="12.75" customHeight="1" x14ac:dyDescent="0.3">
      <c r="A376" s="140">
        <v>375</v>
      </c>
      <c r="B376" s="140" t="s">
        <v>1205</v>
      </c>
      <c r="C376" s="140" t="s">
        <v>1206</v>
      </c>
      <c r="D376" s="140" t="s">
        <v>31</v>
      </c>
      <c r="E376" s="140" t="s">
        <v>55</v>
      </c>
      <c r="F376" s="140" t="s">
        <v>62</v>
      </c>
      <c r="G376" s="140" t="s">
        <v>80</v>
      </c>
      <c r="H376" s="140" t="s">
        <v>25</v>
      </c>
      <c r="I376" s="140" t="s">
        <v>13</v>
      </c>
      <c r="J376" s="140" t="s">
        <v>74</v>
      </c>
      <c r="K376" s="140" t="s">
        <v>68</v>
      </c>
    </row>
    <row r="377" spans="1:11" ht="12.75" customHeight="1" x14ac:dyDescent="0.3">
      <c r="A377" s="140">
        <v>376</v>
      </c>
      <c r="B377" s="140" t="s">
        <v>1207</v>
      </c>
      <c r="C377" s="140" t="s">
        <v>1208</v>
      </c>
      <c r="D377" s="140" t="s">
        <v>31</v>
      </c>
      <c r="E377" s="140" t="s">
        <v>48</v>
      </c>
      <c r="F377" s="140" t="s">
        <v>68</v>
      </c>
      <c r="G377" s="140" t="s">
        <v>80</v>
      </c>
      <c r="H377" s="140" t="s">
        <v>25</v>
      </c>
      <c r="I377" s="140" t="s">
        <v>13</v>
      </c>
      <c r="J377" s="140" t="s">
        <v>74</v>
      </c>
      <c r="K377" s="140" t="s">
        <v>20</v>
      </c>
    </row>
    <row r="378" spans="1:11" ht="12.75" customHeight="1" x14ac:dyDescent="0.3">
      <c r="A378" s="140">
        <v>377</v>
      </c>
      <c r="B378" s="140" t="s">
        <v>1209</v>
      </c>
      <c r="C378" s="140" t="s">
        <v>1210</v>
      </c>
      <c r="D378" s="140" t="s">
        <v>31</v>
      </c>
      <c r="E378" s="140" t="s">
        <v>48</v>
      </c>
      <c r="F378" s="140" t="s">
        <v>62</v>
      </c>
      <c r="G378" s="140" t="s">
        <v>80</v>
      </c>
      <c r="H378" s="140" t="s">
        <v>25</v>
      </c>
      <c r="I378" s="140" t="s">
        <v>13</v>
      </c>
      <c r="J378" s="140" t="s">
        <v>74</v>
      </c>
      <c r="K378" s="140" t="s">
        <v>20</v>
      </c>
    </row>
    <row r="379" spans="1:11" ht="12.75" customHeight="1" x14ac:dyDescent="0.3">
      <c r="A379" s="140">
        <v>378</v>
      </c>
      <c r="B379" s="140" t="s">
        <v>1211</v>
      </c>
      <c r="C379" s="140" t="s">
        <v>1212</v>
      </c>
      <c r="D379" s="140" t="s">
        <v>31</v>
      </c>
      <c r="E379" s="140" t="s">
        <v>48</v>
      </c>
      <c r="F379" s="140" t="s">
        <v>62</v>
      </c>
      <c r="G379" s="140" t="s">
        <v>80</v>
      </c>
      <c r="H379" s="140" t="s">
        <v>25</v>
      </c>
      <c r="I379" s="140" t="s">
        <v>13</v>
      </c>
      <c r="J379" s="140" t="s">
        <v>68</v>
      </c>
      <c r="K379" s="140" t="s">
        <v>20</v>
      </c>
    </row>
    <row r="380" spans="1:11" ht="12.75" customHeight="1" x14ac:dyDescent="0.3">
      <c r="A380" s="140">
        <v>379</v>
      </c>
      <c r="B380" s="140" t="s">
        <v>1213</v>
      </c>
      <c r="C380" s="140" t="s">
        <v>1214</v>
      </c>
      <c r="D380" s="140" t="s">
        <v>31</v>
      </c>
      <c r="E380" s="140" t="s">
        <v>48</v>
      </c>
      <c r="F380" s="140" t="s">
        <v>62</v>
      </c>
      <c r="G380" s="140" t="s">
        <v>68</v>
      </c>
      <c r="H380" s="140" t="s">
        <v>25</v>
      </c>
      <c r="I380" s="140" t="s">
        <v>13</v>
      </c>
      <c r="J380" s="140" t="s">
        <v>74</v>
      </c>
      <c r="K380" s="140" t="s">
        <v>20</v>
      </c>
    </row>
    <row r="381" spans="1:11" ht="12.75" customHeight="1" x14ac:dyDescent="0.3">
      <c r="A381" s="140">
        <v>380</v>
      </c>
      <c r="B381" s="140" t="s">
        <v>1215</v>
      </c>
      <c r="C381" s="140" t="s">
        <v>1216</v>
      </c>
      <c r="D381" s="140" t="s">
        <v>31</v>
      </c>
      <c r="E381" s="140" t="s">
        <v>48</v>
      </c>
      <c r="F381" s="140" t="s">
        <v>62</v>
      </c>
      <c r="G381" s="140" t="s">
        <v>80</v>
      </c>
      <c r="H381" s="140" t="s">
        <v>25</v>
      </c>
      <c r="I381" s="140" t="s">
        <v>13</v>
      </c>
      <c r="J381" s="140" t="s">
        <v>74</v>
      </c>
      <c r="K381" s="140" t="s">
        <v>68</v>
      </c>
    </row>
    <row r="382" spans="1:11" ht="12.75" customHeight="1" x14ac:dyDescent="0.3">
      <c r="A382" s="140">
        <v>381</v>
      </c>
      <c r="B382" s="140" t="s">
        <v>1217</v>
      </c>
      <c r="C382" s="140" t="s">
        <v>1218</v>
      </c>
      <c r="D382" s="140" t="s">
        <v>48</v>
      </c>
      <c r="E382" s="140" t="s">
        <v>55</v>
      </c>
      <c r="F382" s="140" t="s">
        <v>31</v>
      </c>
      <c r="G382" s="140" t="s">
        <v>80</v>
      </c>
      <c r="H382" s="140" t="s">
        <v>25</v>
      </c>
      <c r="I382" s="140" t="s">
        <v>13</v>
      </c>
      <c r="J382" s="140" t="s">
        <v>74</v>
      </c>
      <c r="K382" s="140" t="s">
        <v>20</v>
      </c>
    </row>
    <row r="383" spans="1:11" ht="12.75" customHeight="1" x14ac:dyDescent="0.3">
      <c r="A383" s="140">
        <v>382</v>
      </c>
      <c r="B383" s="140" t="s">
        <v>1219</v>
      </c>
      <c r="C383" s="140" t="s">
        <v>1220</v>
      </c>
      <c r="D383" s="140" t="s">
        <v>31</v>
      </c>
      <c r="E383" s="140" t="s">
        <v>48</v>
      </c>
      <c r="F383" s="140" t="s">
        <v>68</v>
      </c>
      <c r="G383" s="140" t="s">
        <v>80</v>
      </c>
      <c r="H383" s="140" t="s">
        <v>25</v>
      </c>
      <c r="I383" s="140" t="s">
        <v>13</v>
      </c>
      <c r="J383" s="140" t="s">
        <v>55</v>
      </c>
      <c r="K383" s="140" t="s">
        <v>20</v>
      </c>
    </row>
    <row r="384" spans="1:11" ht="12.75" customHeight="1" x14ac:dyDescent="0.3">
      <c r="A384" s="140">
        <v>383</v>
      </c>
      <c r="B384" s="140" t="s">
        <v>1221</v>
      </c>
      <c r="C384" s="140" t="s">
        <v>1222</v>
      </c>
      <c r="D384" s="140" t="s">
        <v>48</v>
      </c>
      <c r="E384" s="140" t="s">
        <v>55</v>
      </c>
      <c r="F384" s="140" t="s">
        <v>31</v>
      </c>
      <c r="G384" s="140" t="s">
        <v>68</v>
      </c>
      <c r="H384" s="140" t="s">
        <v>25</v>
      </c>
      <c r="I384" s="140" t="s">
        <v>13</v>
      </c>
      <c r="J384" s="140" t="s">
        <v>74</v>
      </c>
      <c r="K384" s="140" t="s">
        <v>20</v>
      </c>
    </row>
    <row r="385" spans="1:11" ht="12.75" customHeight="1" x14ac:dyDescent="0.3">
      <c r="A385" s="140">
        <v>384</v>
      </c>
      <c r="B385" s="140" t="s">
        <v>1223</v>
      </c>
      <c r="C385" s="140" t="s">
        <v>1224</v>
      </c>
      <c r="D385" s="140" t="s">
        <v>48</v>
      </c>
      <c r="E385" s="140" t="s">
        <v>55</v>
      </c>
      <c r="F385" s="140" t="s">
        <v>31</v>
      </c>
      <c r="G385" s="140" t="s">
        <v>80</v>
      </c>
      <c r="H385" s="140" t="s">
        <v>25</v>
      </c>
      <c r="I385" s="140" t="s">
        <v>13</v>
      </c>
      <c r="J385" s="140" t="s">
        <v>74</v>
      </c>
      <c r="K385" s="140" t="s">
        <v>68</v>
      </c>
    </row>
    <row r="386" spans="1:11" ht="12.75" customHeight="1" x14ac:dyDescent="0.3">
      <c r="A386" s="140">
        <v>385</v>
      </c>
      <c r="B386" s="140" t="s">
        <v>1225</v>
      </c>
      <c r="C386" s="140" t="s">
        <v>1226</v>
      </c>
      <c r="D386" s="140" t="s">
        <v>31</v>
      </c>
      <c r="E386" s="140" t="s">
        <v>48</v>
      </c>
      <c r="F386" s="140" t="s">
        <v>62</v>
      </c>
      <c r="G386" s="140" t="s">
        <v>80</v>
      </c>
      <c r="H386" s="140" t="s">
        <v>25</v>
      </c>
      <c r="I386" s="140" t="s">
        <v>13</v>
      </c>
      <c r="J386" s="140" t="s">
        <v>55</v>
      </c>
      <c r="K386" s="140" t="s">
        <v>20</v>
      </c>
    </row>
    <row r="387" spans="1:11" ht="12.75" customHeight="1" x14ac:dyDescent="0.3">
      <c r="A387" s="140">
        <v>386</v>
      </c>
      <c r="B387" s="140" t="s">
        <v>1227</v>
      </c>
      <c r="C387" s="140" t="s">
        <v>1228</v>
      </c>
      <c r="D387" s="140" t="s">
        <v>31</v>
      </c>
      <c r="E387" s="140" t="s">
        <v>48</v>
      </c>
      <c r="F387" s="140" t="s">
        <v>62</v>
      </c>
      <c r="G387" s="140" t="s">
        <v>74</v>
      </c>
      <c r="H387" s="140" t="s">
        <v>25</v>
      </c>
      <c r="I387" s="140" t="s">
        <v>13</v>
      </c>
      <c r="J387" s="140" t="s">
        <v>55</v>
      </c>
      <c r="K387" s="140" t="s">
        <v>20</v>
      </c>
    </row>
    <row r="388" spans="1:11" ht="12.75" customHeight="1" x14ac:dyDescent="0.3">
      <c r="A388" s="140">
        <v>387</v>
      </c>
      <c r="B388" s="140" t="s">
        <v>1229</v>
      </c>
      <c r="C388" s="140" t="s">
        <v>1230</v>
      </c>
      <c r="D388" s="140" t="s">
        <v>31</v>
      </c>
      <c r="E388" s="140" t="s">
        <v>48</v>
      </c>
      <c r="F388" s="140" t="s">
        <v>62</v>
      </c>
      <c r="G388" s="140" t="s">
        <v>80</v>
      </c>
      <c r="H388" s="140" t="s">
        <v>25</v>
      </c>
      <c r="I388" s="140" t="s">
        <v>13</v>
      </c>
      <c r="J388" s="140" t="s">
        <v>55</v>
      </c>
      <c r="K388" s="140" t="s">
        <v>74</v>
      </c>
    </row>
    <row r="389" spans="1:11" ht="12.75" customHeight="1" x14ac:dyDescent="0.3">
      <c r="A389" s="140">
        <v>388</v>
      </c>
      <c r="B389" s="140" t="s">
        <v>1231</v>
      </c>
      <c r="C389" s="140" t="s">
        <v>1232</v>
      </c>
      <c r="D389" s="140" t="s">
        <v>31</v>
      </c>
      <c r="E389" s="140" t="s">
        <v>48</v>
      </c>
      <c r="F389" s="140" t="s">
        <v>62</v>
      </c>
      <c r="G389" s="140" t="s">
        <v>68</v>
      </c>
      <c r="H389" s="140" t="s">
        <v>25</v>
      </c>
      <c r="I389" s="140" t="s">
        <v>13</v>
      </c>
      <c r="J389" s="140" t="s">
        <v>55</v>
      </c>
      <c r="K389" s="140" t="s">
        <v>20</v>
      </c>
    </row>
    <row r="390" spans="1:11" ht="12.75" customHeight="1" x14ac:dyDescent="0.3">
      <c r="A390" s="140">
        <v>389</v>
      </c>
      <c r="B390" s="140" t="s">
        <v>1233</v>
      </c>
      <c r="C390" s="140" t="s">
        <v>1234</v>
      </c>
      <c r="D390" s="140" t="s">
        <v>31</v>
      </c>
      <c r="E390" s="140" t="s">
        <v>48</v>
      </c>
      <c r="F390" s="140" t="s">
        <v>62</v>
      </c>
      <c r="G390" s="140" t="s">
        <v>80</v>
      </c>
      <c r="H390" s="140" t="s">
        <v>25</v>
      </c>
      <c r="I390" s="140" t="s">
        <v>13</v>
      </c>
      <c r="J390" s="140" t="s">
        <v>55</v>
      </c>
      <c r="K390" s="140" t="s">
        <v>68</v>
      </c>
    </row>
    <row r="391" spans="1:11" ht="12.75" customHeight="1" x14ac:dyDescent="0.3">
      <c r="A391" s="140">
        <v>390</v>
      </c>
      <c r="B391" s="140" t="s">
        <v>1235</v>
      </c>
      <c r="C391" s="140" t="s">
        <v>1236</v>
      </c>
      <c r="D391" s="140" t="s">
        <v>31</v>
      </c>
      <c r="E391" s="140" t="s">
        <v>48</v>
      </c>
      <c r="F391" s="140" t="s">
        <v>62</v>
      </c>
      <c r="G391" s="140" t="s">
        <v>74</v>
      </c>
      <c r="H391" s="140" t="s">
        <v>25</v>
      </c>
      <c r="I391" s="140" t="s">
        <v>13</v>
      </c>
      <c r="J391" s="140" t="s">
        <v>55</v>
      </c>
      <c r="K391" s="140" t="s">
        <v>68</v>
      </c>
    </row>
    <row r="392" spans="1:11" ht="12.75" customHeight="1" x14ac:dyDescent="0.3">
      <c r="A392" s="140">
        <v>391</v>
      </c>
      <c r="B392" s="140" t="s">
        <v>1237</v>
      </c>
      <c r="C392" s="140" t="s">
        <v>1238</v>
      </c>
      <c r="D392" s="140" t="s">
        <v>13</v>
      </c>
      <c r="E392" s="140" t="s">
        <v>31</v>
      </c>
      <c r="F392" s="140" t="s">
        <v>42</v>
      </c>
      <c r="G392" s="140" t="s">
        <v>80</v>
      </c>
      <c r="H392" s="140" t="s">
        <v>25</v>
      </c>
      <c r="I392" s="140" t="s">
        <v>68</v>
      </c>
      <c r="J392" s="140" t="s">
        <v>74</v>
      </c>
      <c r="K392" s="140" t="s">
        <v>20</v>
      </c>
    </row>
    <row r="393" spans="1:11" ht="12.75" customHeight="1" x14ac:dyDescent="0.3">
      <c r="A393" s="140">
        <v>392</v>
      </c>
      <c r="B393" s="140" t="s">
        <v>1239</v>
      </c>
      <c r="C393" s="140" t="s">
        <v>1240</v>
      </c>
      <c r="D393" s="140" t="s">
        <v>31</v>
      </c>
      <c r="E393" s="140" t="s">
        <v>62</v>
      </c>
      <c r="F393" s="140" t="s">
        <v>42</v>
      </c>
      <c r="G393" s="140" t="s">
        <v>80</v>
      </c>
      <c r="H393" s="140" t="s">
        <v>25</v>
      </c>
      <c r="I393" s="140" t="s">
        <v>13</v>
      </c>
      <c r="J393" s="140" t="s">
        <v>74</v>
      </c>
      <c r="K393" s="140" t="s">
        <v>20</v>
      </c>
    </row>
    <row r="394" spans="1:11" ht="12.75" customHeight="1" x14ac:dyDescent="0.3">
      <c r="A394" s="140">
        <v>393</v>
      </c>
      <c r="B394" s="140" t="s">
        <v>1241</v>
      </c>
      <c r="C394" s="140" t="s">
        <v>1242</v>
      </c>
      <c r="D394" s="140" t="s">
        <v>31</v>
      </c>
      <c r="E394" s="140" t="s">
        <v>62</v>
      </c>
      <c r="F394" s="140" t="s">
        <v>42</v>
      </c>
      <c r="G394" s="140" t="s">
        <v>80</v>
      </c>
      <c r="H394" s="140" t="s">
        <v>25</v>
      </c>
      <c r="I394" s="140" t="s">
        <v>13</v>
      </c>
      <c r="J394" s="140" t="s">
        <v>68</v>
      </c>
      <c r="K394" s="140" t="s">
        <v>20</v>
      </c>
    </row>
    <row r="395" spans="1:11" ht="12.75" customHeight="1" x14ac:dyDescent="0.3">
      <c r="A395" s="140">
        <v>394</v>
      </c>
      <c r="B395" s="140" t="s">
        <v>1243</v>
      </c>
      <c r="C395" s="140" t="s">
        <v>1244</v>
      </c>
      <c r="D395" s="140" t="s">
        <v>31</v>
      </c>
      <c r="E395" s="140" t="s">
        <v>62</v>
      </c>
      <c r="F395" s="140" t="s">
        <v>42</v>
      </c>
      <c r="G395" s="140" t="s">
        <v>68</v>
      </c>
      <c r="H395" s="140" t="s">
        <v>25</v>
      </c>
      <c r="I395" s="140" t="s">
        <v>13</v>
      </c>
      <c r="J395" s="140" t="s">
        <v>74</v>
      </c>
      <c r="K395" s="140" t="s">
        <v>20</v>
      </c>
    </row>
    <row r="396" spans="1:11" ht="12.75" customHeight="1" x14ac:dyDescent="0.3">
      <c r="A396" s="140">
        <v>395</v>
      </c>
      <c r="B396" s="140" t="s">
        <v>1245</v>
      </c>
      <c r="C396" s="140" t="s">
        <v>1246</v>
      </c>
      <c r="D396" s="140" t="s">
        <v>31</v>
      </c>
      <c r="E396" s="140" t="s">
        <v>62</v>
      </c>
      <c r="F396" s="140" t="s">
        <v>42</v>
      </c>
      <c r="G396" s="140" t="s">
        <v>80</v>
      </c>
      <c r="H396" s="140" t="s">
        <v>25</v>
      </c>
      <c r="I396" s="140" t="s">
        <v>13</v>
      </c>
      <c r="J396" s="140" t="s">
        <v>74</v>
      </c>
      <c r="K396" s="140" t="s">
        <v>68</v>
      </c>
    </row>
    <row r="397" spans="1:11" ht="12.75" customHeight="1" x14ac:dyDescent="0.3">
      <c r="A397" s="140">
        <v>396</v>
      </c>
      <c r="B397" s="140" t="s">
        <v>1247</v>
      </c>
      <c r="C397" s="140" t="s">
        <v>1248</v>
      </c>
      <c r="D397" s="140" t="s">
        <v>31</v>
      </c>
      <c r="E397" s="140" t="s">
        <v>55</v>
      </c>
      <c r="F397" s="140" t="s">
        <v>42</v>
      </c>
      <c r="G397" s="140" t="s">
        <v>80</v>
      </c>
      <c r="H397" s="140" t="s">
        <v>25</v>
      </c>
      <c r="I397" s="140" t="s">
        <v>13</v>
      </c>
      <c r="J397" s="140" t="s">
        <v>74</v>
      </c>
      <c r="K397" s="140" t="s">
        <v>20</v>
      </c>
    </row>
    <row r="398" spans="1:11" ht="12.75" customHeight="1" x14ac:dyDescent="0.3">
      <c r="A398" s="140">
        <v>397</v>
      </c>
      <c r="B398" s="140" t="s">
        <v>1249</v>
      </c>
      <c r="C398" s="140" t="s">
        <v>1250</v>
      </c>
      <c r="D398" s="140" t="s">
        <v>13</v>
      </c>
      <c r="E398" s="140" t="s">
        <v>31</v>
      </c>
      <c r="F398" s="140" t="s">
        <v>42</v>
      </c>
      <c r="G398" s="140" t="s">
        <v>80</v>
      </c>
      <c r="H398" s="140" t="s">
        <v>25</v>
      </c>
      <c r="I398" s="140" t="s">
        <v>68</v>
      </c>
      <c r="J398" s="140" t="s">
        <v>55</v>
      </c>
      <c r="K398" s="140" t="s">
        <v>20</v>
      </c>
    </row>
    <row r="399" spans="1:11" ht="12.75" customHeight="1" x14ac:dyDescent="0.3">
      <c r="A399" s="140">
        <v>398</v>
      </c>
      <c r="B399" s="140" t="s">
        <v>1251</v>
      </c>
      <c r="C399" s="140" t="s">
        <v>1252</v>
      </c>
      <c r="D399" s="140" t="s">
        <v>31</v>
      </c>
      <c r="E399" s="140" t="s">
        <v>55</v>
      </c>
      <c r="F399" s="140" t="s">
        <v>42</v>
      </c>
      <c r="G399" s="140" t="s">
        <v>68</v>
      </c>
      <c r="H399" s="140" t="s">
        <v>25</v>
      </c>
      <c r="I399" s="140" t="s">
        <v>13</v>
      </c>
      <c r="J399" s="140" t="s">
        <v>74</v>
      </c>
      <c r="K399" s="140" t="s">
        <v>20</v>
      </c>
    </row>
    <row r="400" spans="1:11" ht="12.75" customHeight="1" x14ac:dyDescent="0.3">
      <c r="A400" s="140">
        <v>399</v>
      </c>
      <c r="B400" s="140" t="s">
        <v>1253</v>
      </c>
      <c r="C400" s="140" t="s">
        <v>1254</v>
      </c>
      <c r="D400" s="140" t="s">
        <v>31</v>
      </c>
      <c r="E400" s="140" t="s">
        <v>55</v>
      </c>
      <c r="F400" s="140" t="s">
        <v>42</v>
      </c>
      <c r="G400" s="140" t="s">
        <v>80</v>
      </c>
      <c r="H400" s="140" t="s">
        <v>25</v>
      </c>
      <c r="I400" s="140" t="s">
        <v>13</v>
      </c>
      <c r="J400" s="140" t="s">
        <v>74</v>
      </c>
      <c r="K400" s="140" t="s">
        <v>68</v>
      </c>
    </row>
    <row r="401" spans="1:11" ht="12.75" customHeight="1" x14ac:dyDescent="0.3">
      <c r="A401" s="140">
        <v>400</v>
      </c>
      <c r="B401" s="140" t="s">
        <v>1255</v>
      </c>
      <c r="C401" s="140" t="s">
        <v>1256</v>
      </c>
      <c r="D401" s="140" t="s">
        <v>31</v>
      </c>
      <c r="E401" s="140" t="s">
        <v>62</v>
      </c>
      <c r="F401" s="140" t="s">
        <v>42</v>
      </c>
      <c r="G401" s="140" t="s">
        <v>80</v>
      </c>
      <c r="H401" s="140" t="s">
        <v>25</v>
      </c>
      <c r="I401" s="140" t="s">
        <v>13</v>
      </c>
      <c r="J401" s="140" t="s">
        <v>55</v>
      </c>
      <c r="K401" s="140" t="s">
        <v>20</v>
      </c>
    </row>
    <row r="402" spans="1:11" ht="12.75" customHeight="1" x14ac:dyDescent="0.3">
      <c r="A402" s="140">
        <v>401</v>
      </c>
      <c r="B402" s="140" t="s">
        <v>1257</v>
      </c>
      <c r="C402" s="140" t="s">
        <v>1258</v>
      </c>
      <c r="D402" s="140" t="s">
        <v>31</v>
      </c>
      <c r="E402" s="140" t="s">
        <v>55</v>
      </c>
      <c r="F402" s="140" t="s">
        <v>62</v>
      </c>
      <c r="G402" s="140" t="s">
        <v>42</v>
      </c>
      <c r="H402" s="140" t="s">
        <v>25</v>
      </c>
      <c r="I402" s="140" t="s">
        <v>13</v>
      </c>
      <c r="J402" s="140" t="s">
        <v>74</v>
      </c>
      <c r="K402" s="140" t="s">
        <v>20</v>
      </c>
    </row>
    <row r="403" spans="1:11" ht="12.75" customHeight="1" x14ac:dyDescent="0.3">
      <c r="A403" s="140">
        <v>402</v>
      </c>
      <c r="B403" s="140" t="s">
        <v>1259</v>
      </c>
      <c r="C403" s="140" t="s">
        <v>1260</v>
      </c>
      <c r="D403" s="140" t="s">
        <v>31</v>
      </c>
      <c r="E403" s="140" t="s">
        <v>55</v>
      </c>
      <c r="F403" s="140" t="s">
        <v>62</v>
      </c>
      <c r="G403" s="140" t="s">
        <v>80</v>
      </c>
      <c r="H403" s="140" t="s">
        <v>25</v>
      </c>
      <c r="I403" s="140" t="s">
        <v>13</v>
      </c>
      <c r="J403" s="140" t="s">
        <v>74</v>
      </c>
      <c r="K403" s="140" t="s">
        <v>42</v>
      </c>
    </row>
    <row r="404" spans="1:11" ht="12.75" customHeight="1" x14ac:dyDescent="0.3">
      <c r="A404" s="140">
        <v>403</v>
      </c>
      <c r="B404" s="140" t="s">
        <v>1261</v>
      </c>
      <c r="C404" s="140" t="s">
        <v>1262</v>
      </c>
      <c r="D404" s="140" t="s">
        <v>31</v>
      </c>
      <c r="E404" s="140" t="s">
        <v>62</v>
      </c>
      <c r="F404" s="140" t="s">
        <v>42</v>
      </c>
      <c r="G404" s="140" t="s">
        <v>68</v>
      </c>
      <c r="H404" s="140" t="s">
        <v>25</v>
      </c>
      <c r="I404" s="140" t="s">
        <v>13</v>
      </c>
      <c r="J404" s="140" t="s">
        <v>55</v>
      </c>
      <c r="K404" s="140" t="s">
        <v>20</v>
      </c>
    </row>
    <row r="405" spans="1:11" ht="12.75" customHeight="1" x14ac:dyDescent="0.3">
      <c r="A405" s="140">
        <v>404</v>
      </c>
      <c r="B405" s="140" t="s">
        <v>1263</v>
      </c>
      <c r="C405" s="140" t="s">
        <v>1264</v>
      </c>
      <c r="D405" s="140" t="s">
        <v>31</v>
      </c>
      <c r="E405" s="140" t="s">
        <v>62</v>
      </c>
      <c r="F405" s="140" t="s">
        <v>42</v>
      </c>
      <c r="G405" s="140" t="s">
        <v>80</v>
      </c>
      <c r="H405" s="140" t="s">
        <v>25</v>
      </c>
      <c r="I405" s="140" t="s">
        <v>13</v>
      </c>
      <c r="J405" s="140" t="s">
        <v>55</v>
      </c>
      <c r="K405" s="140" t="s">
        <v>68</v>
      </c>
    </row>
    <row r="406" spans="1:11" ht="12.75" customHeight="1" x14ac:dyDescent="0.3">
      <c r="A406" s="140">
        <v>405</v>
      </c>
      <c r="B406" s="140" t="s">
        <v>1265</v>
      </c>
      <c r="C406" s="140" t="s">
        <v>1266</v>
      </c>
      <c r="D406" s="140" t="s">
        <v>31</v>
      </c>
      <c r="E406" s="140" t="s">
        <v>55</v>
      </c>
      <c r="F406" s="140" t="s">
        <v>62</v>
      </c>
      <c r="G406" s="140" t="s">
        <v>68</v>
      </c>
      <c r="H406" s="140" t="s">
        <v>25</v>
      </c>
      <c r="I406" s="140" t="s">
        <v>13</v>
      </c>
      <c r="J406" s="140" t="s">
        <v>74</v>
      </c>
      <c r="K406" s="140" t="s">
        <v>42</v>
      </c>
    </row>
    <row r="407" spans="1:11" ht="12.75" customHeight="1" x14ac:dyDescent="0.3">
      <c r="A407" s="140">
        <v>406</v>
      </c>
      <c r="B407" s="140" t="s">
        <v>1267</v>
      </c>
      <c r="C407" s="140" t="s">
        <v>1268</v>
      </c>
      <c r="D407" s="140" t="s">
        <v>31</v>
      </c>
      <c r="E407" s="140" t="s">
        <v>48</v>
      </c>
      <c r="F407" s="140" t="s">
        <v>42</v>
      </c>
      <c r="G407" s="140" t="s">
        <v>80</v>
      </c>
      <c r="H407" s="140" t="s">
        <v>25</v>
      </c>
      <c r="I407" s="140" t="s">
        <v>13</v>
      </c>
      <c r="J407" s="140" t="s">
        <v>74</v>
      </c>
      <c r="K407" s="140" t="s">
        <v>20</v>
      </c>
    </row>
    <row r="408" spans="1:11" ht="12.75" customHeight="1" x14ac:dyDescent="0.3">
      <c r="A408" s="140">
        <v>407</v>
      </c>
      <c r="B408" s="140" t="s">
        <v>1269</v>
      </c>
      <c r="C408" s="140" t="s">
        <v>1270</v>
      </c>
      <c r="D408" s="140" t="s">
        <v>31</v>
      </c>
      <c r="E408" s="140" t="s">
        <v>48</v>
      </c>
      <c r="F408" s="140" t="s">
        <v>42</v>
      </c>
      <c r="G408" s="140" t="s">
        <v>80</v>
      </c>
      <c r="H408" s="140" t="s">
        <v>25</v>
      </c>
      <c r="I408" s="140" t="s">
        <v>13</v>
      </c>
      <c r="J408" s="140" t="s">
        <v>68</v>
      </c>
      <c r="K408" s="140" t="s">
        <v>20</v>
      </c>
    </row>
    <row r="409" spans="1:11" ht="12.75" customHeight="1" x14ac:dyDescent="0.3">
      <c r="A409" s="140">
        <v>408</v>
      </c>
      <c r="B409" s="140" t="s">
        <v>1271</v>
      </c>
      <c r="C409" s="140" t="s">
        <v>1272</v>
      </c>
      <c r="D409" s="140" t="s">
        <v>31</v>
      </c>
      <c r="E409" s="140" t="s">
        <v>48</v>
      </c>
      <c r="F409" s="140" t="s">
        <v>42</v>
      </c>
      <c r="G409" s="140" t="s">
        <v>68</v>
      </c>
      <c r="H409" s="140" t="s">
        <v>25</v>
      </c>
      <c r="I409" s="140" t="s">
        <v>13</v>
      </c>
      <c r="J409" s="140" t="s">
        <v>74</v>
      </c>
      <c r="K409" s="140" t="s">
        <v>20</v>
      </c>
    </row>
    <row r="410" spans="1:11" ht="12.75" customHeight="1" x14ac:dyDescent="0.3">
      <c r="A410" s="140">
        <v>409</v>
      </c>
      <c r="B410" s="140" t="s">
        <v>1273</v>
      </c>
      <c r="C410" s="140" t="s">
        <v>1274</v>
      </c>
      <c r="D410" s="140" t="s">
        <v>31</v>
      </c>
      <c r="E410" s="140" t="s">
        <v>48</v>
      </c>
      <c r="F410" s="140" t="s">
        <v>42</v>
      </c>
      <c r="G410" s="140" t="s">
        <v>80</v>
      </c>
      <c r="H410" s="140" t="s">
        <v>25</v>
      </c>
      <c r="I410" s="140" t="s">
        <v>13</v>
      </c>
      <c r="J410" s="140" t="s">
        <v>74</v>
      </c>
      <c r="K410" s="140" t="s">
        <v>68</v>
      </c>
    </row>
    <row r="411" spans="1:11" ht="12.75" customHeight="1" x14ac:dyDescent="0.3">
      <c r="A411" s="140">
        <v>410</v>
      </c>
      <c r="B411" s="140" t="s">
        <v>1275</v>
      </c>
      <c r="C411" s="140" t="s">
        <v>1276</v>
      </c>
      <c r="D411" s="140" t="s">
        <v>31</v>
      </c>
      <c r="E411" s="140" t="s">
        <v>48</v>
      </c>
      <c r="F411" s="140" t="s">
        <v>62</v>
      </c>
      <c r="G411" s="140" t="s">
        <v>80</v>
      </c>
      <c r="H411" s="140" t="s">
        <v>25</v>
      </c>
      <c r="I411" s="140" t="s">
        <v>13</v>
      </c>
      <c r="J411" s="140" t="s">
        <v>42</v>
      </c>
      <c r="K411" s="140" t="s">
        <v>20</v>
      </c>
    </row>
    <row r="412" spans="1:11" ht="12.75" customHeight="1" x14ac:dyDescent="0.3">
      <c r="A412" s="140">
        <v>411</v>
      </c>
      <c r="B412" s="140" t="s">
        <v>1277</v>
      </c>
      <c r="C412" s="140" t="s">
        <v>1278</v>
      </c>
      <c r="D412" s="140" t="s">
        <v>31</v>
      </c>
      <c r="E412" s="140" t="s">
        <v>48</v>
      </c>
      <c r="F412" s="140" t="s">
        <v>62</v>
      </c>
      <c r="G412" s="140" t="s">
        <v>42</v>
      </c>
      <c r="H412" s="140" t="s">
        <v>25</v>
      </c>
      <c r="I412" s="140" t="s">
        <v>13</v>
      </c>
      <c r="J412" s="140" t="s">
        <v>74</v>
      </c>
      <c r="K412" s="140" t="s">
        <v>20</v>
      </c>
    </row>
    <row r="413" spans="1:11" ht="12.75" customHeight="1" x14ac:dyDescent="0.3">
      <c r="A413" s="140">
        <v>412</v>
      </c>
      <c r="B413" s="140" t="s">
        <v>1279</v>
      </c>
      <c r="C413" s="140" t="s">
        <v>1280</v>
      </c>
      <c r="D413" s="140" t="s">
        <v>31</v>
      </c>
      <c r="E413" s="140" t="s">
        <v>48</v>
      </c>
      <c r="F413" s="140" t="s">
        <v>62</v>
      </c>
      <c r="G413" s="140" t="s">
        <v>80</v>
      </c>
      <c r="H413" s="140" t="s">
        <v>25</v>
      </c>
      <c r="I413" s="140" t="s">
        <v>13</v>
      </c>
      <c r="J413" s="140" t="s">
        <v>74</v>
      </c>
      <c r="K413" s="140" t="s">
        <v>42</v>
      </c>
    </row>
    <row r="414" spans="1:11" ht="12.75" customHeight="1" x14ac:dyDescent="0.3">
      <c r="A414" s="140">
        <v>413</v>
      </c>
      <c r="B414" s="140" t="s">
        <v>1281</v>
      </c>
      <c r="C414" s="140" t="s">
        <v>1282</v>
      </c>
      <c r="D414" s="140" t="s">
        <v>31</v>
      </c>
      <c r="E414" s="140" t="s">
        <v>48</v>
      </c>
      <c r="F414" s="140" t="s">
        <v>62</v>
      </c>
      <c r="G414" s="140" t="s">
        <v>68</v>
      </c>
      <c r="H414" s="140" t="s">
        <v>25</v>
      </c>
      <c r="I414" s="140" t="s">
        <v>13</v>
      </c>
      <c r="J414" s="140" t="s">
        <v>42</v>
      </c>
      <c r="K414" s="140" t="s">
        <v>20</v>
      </c>
    </row>
    <row r="415" spans="1:11" ht="12.75" customHeight="1" x14ac:dyDescent="0.3">
      <c r="A415" s="140">
        <v>414</v>
      </c>
      <c r="B415" s="140" t="s">
        <v>1283</v>
      </c>
      <c r="C415" s="140" t="s">
        <v>1284</v>
      </c>
      <c r="D415" s="140" t="s">
        <v>31</v>
      </c>
      <c r="E415" s="140" t="s">
        <v>48</v>
      </c>
      <c r="F415" s="140" t="s">
        <v>62</v>
      </c>
      <c r="G415" s="140" t="s">
        <v>80</v>
      </c>
      <c r="H415" s="140" t="s">
        <v>25</v>
      </c>
      <c r="I415" s="140" t="s">
        <v>13</v>
      </c>
      <c r="J415" s="140" t="s">
        <v>42</v>
      </c>
      <c r="K415" s="140" t="s">
        <v>68</v>
      </c>
    </row>
    <row r="416" spans="1:11" ht="12.75" customHeight="1" x14ac:dyDescent="0.3">
      <c r="A416" s="140">
        <v>415</v>
      </c>
      <c r="B416" s="140" t="s">
        <v>1285</v>
      </c>
      <c r="C416" s="140" t="s">
        <v>1286</v>
      </c>
      <c r="D416" s="140" t="s">
        <v>31</v>
      </c>
      <c r="E416" s="140" t="s">
        <v>48</v>
      </c>
      <c r="F416" s="140" t="s">
        <v>62</v>
      </c>
      <c r="G416" s="140" t="s">
        <v>68</v>
      </c>
      <c r="H416" s="140" t="s">
        <v>25</v>
      </c>
      <c r="I416" s="140" t="s">
        <v>13</v>
      </c>
      <c r="J416" s="140" t="s">
        <v>74</v>
      </c>
      <c r="K416" s="140" t="s">
        <v>42</v>
      </c>
    </row>
    <row r="417" spans="1:11" ht="12.75" customHeight="1" x14ac:dyDescent="0.3">
      <c r="A417" s="140">
        <v>416</v>
      </c>
      <c r="B417" s="140" t="s">
        <v>1287</v>
      </c>
      <c r="C417" s="140" t="s">
        <v>1288</v>
      </c>
      <c r="D417" s="140" t="s">
        <v>31</v>
      </c>
      <c r="E417" s="140" t="s">
        <v>48</v>
      </c>
      <c r="F417" s="140" t="s">
        <v>42</v>
      </c>
      <c r="G417" s="140" t="s">
        <v>80</v>
      </c>
      <c r="H417" s="140" t="s">
        <v>25</v>
      </c>
      <c r="I417" s="140" t="s">
        <v>13</v>
      </c>
      <c r="J417" s="140" t="s">
        <v>55</v>
      </c>
      <c r="K417" s="140" t="s">
        <v>20</v>
      </c>
    </row>
    <row r="418" spans="1:11" ht="12.75" customHeight="1" x14ac:dyDescent="0.3">
      <c r="A418" s="140">
        <v>417</v>
      </c>
      <c r="B418" s="140" t="s">
        <v>1289</v>
      </c>
      <c r="C418" s="140" t="s">
        <v>1290</v>
      </c>
      <c r="D418" s="140" t="s">
        <v>31</v>
      </c>
      <c r="E418" s="140" t="s">
        <v>48</v>
      </c>
      <c r="F418" s="140" t="s">
        <v>42</v>
      </c>
      <c r="G418" s="140" t="s">
        <v>74</v>
      </c>
      <c r="H418" s="140" t="s">
        <v>25</v>
      </c>
      <c r="I418" s="140" t="s">
        <v>13</v>
      </c>
      <c r="J418" s="140" t="s">
        <v>55</v>
      </c>
      <c r="K418" s="140" t="s">
        <v>20</v>
      </c>
    </row>
    <row r="419" spans="1:11" ht="12.75" customHeight="1" x14ac:dyDescent="0.3">
      <c r="A419" s="140">
        <v>418</v>
      </c>
      <c r="B419" s="140" t="s">
        <v>1291</v>
      </c>
      <c r="C419" s="140" t="s">
        <v>1292</v>
      </c>
      <c r="D419" s="140" t="s">
        <v>31</v>
      </c>
      <c r="E419" s="140" t="s">
        <v>48</v>
      </c>
      <c r="F419" s="140" t="s">
        <v>42</v>
      </c>
      <c r="G419" s="140" t="s">
        <v>80</v>
      </c>
      <c r="H419" s="140" t="s">
        <v>25</v>
      </c>
      <c r="I419" s="140" t="s">
        <v>13</v>
      </c>
      <c r="J419" s="140" t="s">
        <v>55</v>
      </c>
      <c r="K419" s="140" t="s">
        <v>74</v>
      </c>
    </row>
    <row r="420" spans="1:11" ht="12.75" customHeight="1" x14ac:dyDescent="0.3">
      <c r="A420" s="140">
        <v>419</v>
      </c>
      <c r="B420" s="140" t="s">
        <v>1293</v>
      </c>
      <c r="C420" s="140" t="s">
        <v>1294</v>
      </c>
      <c r="D420" s="140" t="s">
        <v>31</v>
      </c>
      <c r="E420" s="140" t="s">
        <v>48</v>
      </c>
      <c r="F420" s="140" t="s">
        <v>42</v>
      </c>
      <c r="G420" s="140" t="s">
        <v>68</v>
      </c>
      <c r="H420" s="140" t="s">
        <v>25</v>
      </c>
      <c r="I420" s="140" t="s">
        <v>13</v>
      </c>
      <c r="J420" s="140" t="s">
        <v>55</v>
      </c>
      <c r="K420" s="140" t="s">
        <v>20</v>
      </c>
    </row>
    <row r="421" spans="1:11" ht="12.75" customHeight="1" x14ac:dyDescent="0.3">
      <c r="A421" s="140">
        <v>420</v>
      </c>
      <c r="B421" s="140" t="s">
        <v>1295</v>
      </c>
      <c r="C421" s="140" t="s">
        <v>1296</v>
      </c>
      <c r="D421" s="140" t="s">
        <v>31</v>
      </c>
      <c r="E421" s="140" t="s">
        <v>48</v>
      </c>
      <c r="F421" s="140" t="s">
        <v>42</v>
      </c>
      <c r="G421" s="140" t="s">
        <v>80</v>
      </c>
      <c r="H421" s="140" t="s">
        <v>25</v>
      </c>
      <c r="I421" s="140" t="s">
        <v>13</v>
      </c>
      <c r="J421" s="140" t="s">
        <v>55</v>
      </c>
      <c r="K421" s="140" t="s">
        <v>68</v>
      </c>
    </row>
    <row r="422" spans="1:11" ht="12.75" customHeight="1" x14ac:dyDescent="0.3">
      <c r="A422" s="140">
        <v>421</v>
      </c>
      <c r="B422" s="140" t="s">
        <v>1297</v>
      </c>
      <c r="C422" s="140" t="s">
        <v>1298</v>
      </c>
      <c r="D422" s="140" t="s">
        <v>31</v>
      </c>
      <c r="E422" s="140" t="s">
        <v>48</v>
      </c>
      <c r="F422" s="140" t="s">
        <v>42</v>
      </c>
      <c r="G422" s="140" t="s">
        <v>74</v>
      </c>
      <c r="H422" s="140" t="s">
        <v>25</v>
      </c>
      <c r="I422" s="140" t="s">
        <v>13</v>
      </c>
      <c r="J422" s="140" t="s">
        <v>55</v>
      </c>
      <c r="K422" s="140" t="s">
        <v>68</v>
      </c>
    </row>
    <row r="423" spans="1:11" ht="12.75" customHeight="1" x14ac:dyDescent="0.3">
      <c r="A423" s="140">
        <v>422</v>
      </c>
      <c r="B423" s="140" t="s">
        <v>1299</v>
      </c>
      <c r="C423" s="140" t="s">
        <v>1300</v>
      </c>
      <c r="D423" s="140" t="s">
        <v>31</v>
      </c>
      <c r="E423" s="140" t="s">
        <v>48</v>
      </c>
      <c r="F423" s="140" t="s">
        <v>62</v>
      </c>
      <c r="G423" s="140" t="s">
        <v>42</v>
      </c>
      <c r="H423" s="140" t="s">
        <v>25</v>
      </c>
      <c r="I423" s="140" t="s">
        <v>13</v>
      </c>
      <c r="J423" s="140" t="s">
        <v>55</v>
      </c>
      <c r="K423" s="140" t="s">
        <v>20</v>
      </c>
    </row>
    <row r="424" spans="1:11" ht="12.75" customHeight="1" x14ac:dyDescent="0.3">
      <c r="A424" s="140">
        <v>423</v>
      </c>
      <c r="B424" s="140" t="s">
        <v>1301</v>
      </c>
      <c r="C424" s="140" t="s">
        <v>1302</v>
      </c>
      <c r="D424" s="140" t="s">
        <v>31</v>
      </c>
      <c r="E424" s="140" t="s">
        <v>48</v>
      </c>
      <c r="F424" s="140" t="s">
        <v>62</v>
      </c>
      <c r="G424" s="140" t="s">
        <v>80</v>
      </c>
      <c r="H424" s="140" t="s">
        <v>25</v>
      </c>
      <c r="I424" s="140" t="s">
        <v>13</v>
      </c>
      <c r="J424" s="140" t="s">
        <v>55</v>
      </c>
      <c r="K424" s="140" t="s">
        <v>42</v>
      </c>
    </row>
    <row r="425" spans="1:11" ht="12.75" customHeight="1" x14ac:dyDescent="0.3">
      <c r="A425" s="140">
        <v>424</v>
      </c>
      <c r="B425" s="140" t="s">
        <v>1303</v>
      </c>
      <c r="C425" s="140" t="s">
        <v>1304</v>
      </c>
      <c r="D425" s="140" t="s">
        <v>31</v>
      </c>
      <c r="E425" s="140" t="s">
        <v>48</v>
      </c>
      <c r="F425" s="140" t="s">
        <v>62</v>
      </c>
      <c r="G425" s="140" t="s">
        <v>74</v>
      </c>
      <c r="H425" s="140" t="s">
        <v>25</v>
      </c>
      <c r="I425" s="140" t="s">
        <v>13</v>
      </c>
      <c r="J425" s="140" t="s">
        <v>55</v>
      </c>
      <c r="K425" s="140" t="s">
        <v>42</v>
      </c>
    </row>
    <row r="426" spans="1:11" ht="12.75" customHeight="1" x14ac:dyDescent="0.3">
      <c r="A426" s="140">
        <v>425</v>
      </c>
      <c r="B426" s="140" t="s">
        <v>1305</v>
      </c>
      <c r="C426" s="140" t="s">
        <v>1306</v>
      </c>
      <c r="D426" s="140" t="s">
        <v>31</v>
      </c>
      <c r="E426" s="140" t="s">
        <v>48</v>
      </c>
      <c r="F426" s="140" t="s">
        <v>62</v>
      </c>
      <c r="G426" s="140" t="s">
        <v>68</v>
      </c>
      <c r="H426" s="140" t="s">
        <v>25</v>
      </c>
      <c r="I426" s="140" t="s">
        <v>13</v>
      </c>
      <c r="J426" s="140" t="s">
        <v>55</v>
      </c>
      <c r="K426" s="140" t="s">
        <v>42</v>
      </c>
    </row>
    <row r="427" spans="1:11" ht="12.75" customHeight="1" x14ac:dyDescent="0.3">
      <c r="A427" s="140">
        <v>426</v>
      </c>
      <c r="B427" s="140" t="s">
        <v>1307</v>
      </c>
      <c r="C427" s="140" t="s">
        <v>1308</v>
      </c>
      <c r="D427" s="140" t="s">
        <v>31</v>
      </c>
      <c r="E427" s="140" t="s">
        <v>19</v>
      </c>
      <c r="F427" s="140" t="s">
        <v>68</v>
      </c>
      <c r="G427" s="140" t="s">
        <v>80</v>
      </c>
      <c r="H427" s="140" t="s">
        <v>25</v>
      </c>
      <c r="I427" s="140" t="s">
        <v>13</v>
      </c>
      <c r="J427" s="140" t="s">
        <v>74</v>
      </c>
      <c r="K427" s="140" t="s">
        <v>20</v>
      </c>
    </row>
    <row r="428" spans="1:11" ht="12.75" customHeight="1" x14ac:dyDescent="0.3">
      <c r="A428" s="140">
        <v>427</v>
      </c>
      <c r="B428" s="140" t="s">
        <v>1309</v>
      </c>
      <c r="C428" s="140" t="s">
        <v>1310</v>
      </c>
      <c r="D428" s="140" t="s">
        <v>31</v>
      </c>
      <c r="E428" s="140" t="s">
        <v>19</v>
      </c>
      <c r="F428" s="140" t="s">
        <v>62</v>
      </c>
      <c r="G428" s="140" t="s">
        <v>80</v>
      </c>
      <c r="H428" s="140" t="s">
        <v>25</v>
      </c>
      <c r="I428" s="140" t="s">
        <v>13</v>
      </c>
      <c r="J428" s="140" t="s">
        <v>74</v>
      </c>
      <c r="K428" s="140" t="s">
        <v>20</v>
      </c>
    </row>
    <row r="429" spans="1:11" ht="12.75" customHeight="1" x14ac:dyDescent="0.3">
      <c r="A429" s="140">
        <v>428</v>
      </c>
      <c r="B429" s="140" t="s">
        <v>1311</v>
      </c>
      <c r="C429" s="140" t="s">
        <v>1312</v>
      </c>
      <c r="D429" s="140" t="s">
        <v>31</v>
      </c>
      <c r="E429" s="140" t="s">
        <v>19</v>
      </c>
      <c r="F429" s="140" t="s">
        <v>62</v>
      </c>
      <c r="G429" s="140" t="s">
        <v>80</v>
      </c>
      <c r="H429" s="140" t="s">
        <v>25</v>
      </c>
      <c r="I429" s="140" t="s">
        <v>13</v>
      </c>
      <c r="J429" s="140" t="s">
        <v>68</v>
      </c>
      <c r="K429" s="140" t="s">
        <v>20</v>
      </c>
    </row>
    <row r="430" spans="1:11" ht="12.75" customHeight="1" x14ac:dyDescent="0.3">
      <c r="A430" s="140">
        <v>429</v>
      </c>
      <c r="B430" s="140" t="s">
        <v>1313</v>
      </c>
      <c r="C430" s="140" t="s">
        <v>1314</v>
      </c>
      <c r="D430" s="140" t="s">
        <v>31</v>
      </c>
      <c r="E430" s="140" t="s">
        <v>19</v>
      </c>
      <c r="F430" s="140" t="s">
        <v>62</v>
      </c>
      <c r="G430" s="140" t="s">
        <v>68</v>
      </c>
      <c r="H430" s="140" t="s">
        <v>25</v>
      </c>
      <c r="I430" s="140" t="s">
        <v>13</v>
      </c>
      <c r="J430" s="140" t="s">
        <v>74</v>
      </c>
      <c r="K430" s="140" t="s">
        <v>20</v>
      </c>
    </row>
    <row r="431" spans="1:11" ht="12.75" customHeight="1" x14ac:dyDescent="0.3">
      <c r="A431" s="140">
        <v>430</v>
      </c>
      <c r="B431" s="140" t="s">
        <v>1315</v>
      </c>
      <c r="C431" s="140" t="s">
        <v>1316</v>
      </c>
      <c r="D431" s="140" t="s">
        <v>31</v>
      </c>
      <c r="E431" s="140" t="s">
        <v>19</v>
      </c>
      <c r="F431" s="140" t="s">
        <v>62</v>
      </c>
      <c r="G431" s="140" t="s">
        <v>80</v>
      </c>
      <c r="H431" s="140" t="s">
        <v>25</v>
      </c>
      <c r="I431" s="140" t="s">
        <v>13</v>
      </c>
      <c r="J431" s="140" t="s">
        <v>74</v>
      </c>
      <c r="K431" s="140" t="s">
        <v>68</v>
      </c>
    </row>
    <row r="432" spans="1:11" ht="12.75" customHeight="1" x14ac:dyDescent="0.3">
      <c r="A432" s="140">
        <v>431</v>
      </c>
      <c r="B432" s="140" t="s">
        <v>1317</v>
      </c>
      <c r="C432" s="140" t="s">
        <v>1318</v>
      </c>
      <c r="D432" s="140" t="s">
        <v>19</v>
      </c>
      <c r="E432" s="140" t="s">
        <v>55</v>
      </c>
      <c r="F432" s="140" t="s">
        <v>31</v>
      </c>
      <c r="G432" s="140" t="s">
        <v>80</v>
      </c>
      <c r="H432" s="140" t="s">
        <v>25</v>
      </c>
      <c r="I432" s="140" t="s">
        <v>13</v>
      </c>
      <c r="J432" s="140" t="s">
        <v>74</v>
      </c>
      <c r="K432" s="140" t="s">
        <v>20</v>
      </c>
    </row>
    <row r="433" spans="1:11" ht="12.75" customHeight="1" x14ac:dyDescent="0.3">
      <c r="A433" s="140">
        <v>432</v>
      </c>
      <c r="B433" s="140" t="s">
        <v>1319</v>
      </c>
      <c r="C433" s="140" t="s">
        <v>1320</v>
      </c>
      <c r="D433" s="140" t="s">
        <v>31</v>
      </c>
      <c r="E433" s="140" t="s">
        <v>19</v>
      </c>
      <c r="F433" s="140" t="s">
        <v>68</v>
      </c>
      <c r="G433" s="140" t="s">
        <v>80</v>
      </c>
      <c r="H433" s="140" t="s">
        <v>25</v>
      </c>
      <c r="I433" s="140" t="s">
        <v>13</v>
      </c>
      <c r="J433" s="140" t="s">
        <v>55</v>
      </c>
      <c r="K433" s="140" t="s">
        <v>20</v>
      </c>
    </row>
    <row r="434" spans="1:11" ht="12.75" customHeight="1" x14ac:dyDescent="0.3">
      <c r="A434" s="140">
        <v>433</v>
      </c>
      <c r="B434" s="140" t="s">
        <v>1321</v>
      </c>
      <c r="C434" s="140" t="s">
        <v>1322</v>
      </c>
      <c r="D434" s="140" t="s">
        <v>19</v>
      </c>
      <c r="E434" s="140" t="s">
        <v>55</v>
      </c>
      <c r="F434" s="140" t="s">
        <v>31</v>
      </c>
      <c r="G434" s="140" t="s">
        <v>68</v>
      </c>
      <c r="H434" s="140" t="s">
        <v>25</v>
      </c>
      <c r="I434" s="140" t="s">
        <v>13</v>
      </c>
      <c r="J434" s="140" t="s">
        <v>74</v>
      </c>
      <c r="K434" s="140" t="s">
        <v>20</v>
      </c>
    </row>
    <row r="435" spans="1:11" ht="12.75" customHeight="1" x14ac:dyDescent="0.3">
      <c r="A435" s="140">
        <v>434</v>
      </c>
      <c r="B435" s="140" t="s">
        <v>1323</v>
      </c>
      <c r="C435" s="140" t="s">
        <v>1324</v>
      </c>
      <c r="D435" s="140" t="s">
        <v>19</v>
      </c>
      <c r="E435" s="140" t="s">
        <v>55</v>
      </c>
      <c r="F435" s="140" t="s">
        <v>31</v>
      </c>
      <c r="G435" s="140" t="s">
        <v>80</v>
      </c>
      <c r="H435" s="140" t="s">
        <v>25</v>
      </c>
      <c r="I435" s="140" t="s">
        <v>13</v>
      </c>
      <c r="J435" s="140" t="s">
        <v>74</v>
      </c>
      <c r="K435" s="140" t="s">
        <v>68</v>
      </c>
    </row>
    <row r="436" spans="1:11" ht="12.75" customHeight="1" x14ac:dyDescent="0.3">
      <c r="A436" s="140">
        <v>435</v>
      </c>
      <c r="B436" s="140" t="s">
        <v>1325</v>
      </c>
      <c r="C436" s="140" t="s">
        <v>1326</v>
      </c>
      <c r="D436" s="140" t="s">
        <v>31</v>
      </c>
      <c r="E436" s="140" t="s">
        <v>19</v>
      </c>
      <c r="F436" s="140" t="s">
        <v>62</v>
      </c>
      <c r="G436" s="140" t="s">
        <v>80</v>
      </c>
      <c r="H436" s="140" t="s">
        <v>25</v>
      </c>
      <c r="I436" s="140" t="s">
        <v>13</v>
      </c>
      <c r="J436" s="140" t="s">
        <v>55</v>
      </c>
      <c r="K436" s="140" t="s">
        <v>20</v>
      </c>
    </row>
    <row r="437" spans="1:11" ht="12.75" customHeight="1" x14ac:dyDescent="0.3">
      <c r="A437" s="140">
        <v>436</v>
      </c>
      <c r="B437" s="140" t="s">
        <v>1327</v>
      </c>
      <c r="C437" s="140" t="s">
        <v>1328</v>
      </c>
      <c r="D437" s="140" t="s">
        <v>31</v>
      </c>
      <c r="E437" s="140" t="s">
        <v>19</v>
      </c>
      <c r="F437" s="140" t="s">
        <v>62</v>
      </c>
      <c r="G437" s="140" t="s">
        <v>74</v>
      </c>
      <c r="H437" s="140" t="s">
        <v>25</v>
      </c>
      <c r="I437" s="140" t="s">
        <v>13</v>
      </c>
      <c r="J437" s="140" t="s">
        <v>55</v>
      </c>
      <c r="K437" s="140" t="s">
        <v>20</v>
      </c>
    </row>
    <row r="438" spans="1:11" ht="12.75" customHeight="1" x14ac:dyDescent="0.3">
      <c r="A438" s="140">
        <v>437</v>
      </c>
      <c r="B438" s="140" t="s">
        <v>1329</v>
      </c>
      <c r="C438" s="140" t="s">
        <v>1330</v>
      </c>
      <c r="D438" s="140" t="s">
        <v>31</v>
      </c>
      <c r="E438" s="140" t="s">
        <v>19</v>
      </c>
      <c r="F438" s="140" t="s">
        <v>62</v>
      </c>
      <c r="G438" s="140" t="s">
        <v>80</v>
      </c>
      <c r="H438" s="140" t="s">
        <v>25</v>
      </c>
      <c r="I438" s="140" t="s">
        <v>13</v>
      </c>
      <c r="J438" s="140" t="s">
        <v>55</v>
      </c>
      <c r="K438" s="140" t="s">
        <v>74</v>
      </c>
    </row>
    <row r="439" spans="1:11" ht="12.75" customHeight="1" x14ac:dyDescent="0.3">
      <c r="A439" s="140">
        <v>438</v>
      </c>
      <c r="B439" s="140" t="s">
        <v>1331</v>
      </c>
      <c r="C439" s="140" t="s">
        <v>1332</v>
      </c>
      <c r="D439" s="140" t="s">
        <v>31</v>
      </c>
      <c r="E439" s="140" t="s">
        <v>19</v>
      </c>
      <c r="F439" s="140" t="s">
        <v>62</v>
      </c>
      <c r="G439" s="140" t="s">
        <v>68</v>
      </c>
      <c r="H439" s="140" t="s">
        <v>25</v>
      </c>
      <c r="I439" s="140" t="s">
        <v>13</v>
      </c>
      <c r="J439" s="140" t="s">
        <v>55</v>
      </c>
      <c r="K439" s="140" t="s">
        <v>20</v>
      </c>
    </row>
    <row r="440" spans="1:11" ht="12.75" customHeight="1" x14ac:dyDescent="0.3">
      <c r="A440" s="140">
        <v>439</v>
      </c>
      <c r="B440" s="140" t="s">
        <v>1333</v>
      </c>
      <c r="C440" s="140" t="s">
        <v>1334</v>
      </c>
      <c r="D440" s="140" t="s">
        <v>31</v>
      </c>
      <c r="E440" s="140" t="s">
        <v>19</v>
      </c>
      <c r="F440" s="140" t="s">
        <v>62</v>
      </c>
      <c r="G440" s="140" t="s">
        <v>80</v>
      </c>
      <c r="H440" s="140" t="s">
        <v>25</v>
      </c>
      <c r="I440" s="140" t="s">
        <v>13</v>
      </c>
      <c r="J440" s="140" t="s">
        <v>55</v>
      </c>
      <c r="K440" s="140" t="s">
        <v>68</v>
      </c>
    </row>
    <row r="441" spans="1:11" ht="12.75" customHeight="1" x14ac:dyDescent="0.3">
      <c r="A441" s="140">
        <v>440</v>
      </c>
      <c r="B441" s="140" t="s">
        <v>1335</v>
      </c>
      <c r="C441" s="140" t="s">
        <v>1336</v>
      </c>
      <c r="D441" s="140" t="s">
        <v>31</v>
      </c>
      <c r="E441" s="140" t="s">
        <v>19</v>
      </c>
      <c r="F441" s="140" t="s">
        <v>62</v>
      </c>
      <c r="G441" s="140" t="s">
        <v>74</v>
      </c>
      <c r="H441" s="140" t="s">
        <v>25</v>
      </c>
      <c r="I441" s="140" t="s">
        <v>13</v>
      </c>
      <c r="J441" s="140" t="s">
        <v>55</v>
      </c>
      <c r="K441" s="140" t="s">
        <v>68</v>
      </c>
    </row>
    <row r="442" spans="1:11" ht="12.75" customHeight="1" x14ac:dyDescent="0.3">
      <c r="A442" s="140">
        <v>441</v>
      </c>
      <c r="B442" s="140" t="s">
        <v>1337</v>
      </c>
      <c r="C442" s="140" t="s">
        <v>1338</v>
      </c>
      <c r="D442" s="140" t="s">
        <v>19</v>
      </c>
      <c r="E442" s="140" t="s">
        <v>48</v>
      </c>
      <c r="F442" s="140" t="s">
        <v>31</v>
      </c>
      <c r="G442" s="140" t="s">
        <v>80</v>
      </c>
      <c r="H442" s="140" t="s">
        <v>25</v>
      </c>
      <c r="I442" s="140" t="s">
        <v>13</v>
      </c>
      <c r="J442" s="140" t="s">
        <v>74</v>
      </c>
      <c r="K442" s="140" t="s">
        <v>20</v>
      </c>
    </row>
    <row r="443" spans="1:11" ht="12.75" customHeight="1" x14ac:dyDescent="0.3">
      <c r="A443" s="140">
        <v>442</v>
      </c>
      <c r="B443" s="140" t="s">
        <v>1339</v>
      </c>
      <c r="C443" s="140" t="s">
        <v>1340</v>
      </c>
      <c r="D443" s="140" t="s">
        <v>19</v>
      </c>
      <c r="E443" s="140" t="s">
        <v>48</v>
      </c>
      <c r="F443" s="140" t="s">
        <v>31</v>
      </c>
      <c r="G443" s="140" t="s">
        <v>80</v>
      </c>
      <c r="H443" s="140" t="s">
        <v>25</v>
      </c>
      <c r="I443" s="140" t="s">
        <v>13</v>
      </c>
      <c r="J443" s="140" t="s">
        <v>68</v>
      </c>
      <c r="K443" s="140" t="s">
        <v>20</v>
      </c>
    </row>
    <row r="444" spans="1:11" ht="12.75" customHeight="1" x14ac:dyDescent="0.3">
      <c r="A444" s="140">
        <v>443</v>
      </c>
      <c r="B444" s="140" t="s">
        <v>1341</v>
      </c>
      <c r="C444" s="140" t="s">
        <v>1342</v>
      </c>
      <c r="D444" s="140" t="s">
        <v>19</v>
      </c>
      <c r="E444" s="140" t="s">
        <v>48</v>
      </c>
      <c r="F444" s="140" t="s">
        <v>31</v>
      </c>
      <c r="G444" s="140" t="s">
        <v>68</v>
      </c>
      <c r="H444" s="140" t="s">
        <v>25</v>
      </c>
      <c r="I444" s="140" t="s">
        <v>13</v>
      </c>
      <c r="J444" s="140" t="s">
        <v>74</v>
      </c>
      <c r="K444" s="140" t="s">
        <v>20</v>
      </c>
    </row>
    <row r="445" spans="1:11" ht="12.75" customHeight="1" x14ac:dyDescent="0.3">
      <c r="A445" s="140">
        <v>444</v>
      </c>
      <c r="B445" s="140" t="s">
        <v>1343</v>
      </c>
      <c r="C445" s="140" t="s">
        <v>1344</v>
      </c>
      <c r="D445" s="140" t="s">
        <v>19</v>
      </c>
      <c r="E445" s="140" t="s">
        <v>48</v>
      </c>
      <c r="F445" s="140" t="s">
        <v>31</v>
      </c>
      <c r="G445" s="140" t="s">
        <v>80</v>
      </c>
      <c r="H445" s="140" t="s">
        <v>25</v>
      </c>
      <c r="I445" s="140" t="s">
        <v>13</v>
      </c>
      <c r="J445" s="140" t="s">
        <v>74</v>
      </c>
      <c r="K445" s="140" t="s">
        <v>68</v>
      </c>
    </row>
    <row r="446" spans="1:11" ht="12.75" customHeight="1" x14ac:dyDescent="0.3">
      <c r="A446" s="140">
        <v>445</v>
      </c>
      <c r="B446" s="140" t="s">
        <v>1345</v>
      </c>
      <c r="C446" s="140" t="s">
        <v>1346</v>
      </c>
      <c r="D446" s="140" t="s">
        <v>31</v>
      </c>
      <c r="E446" s="140" t="s">
        <v>19</v>
      </c>
      <c r="F446" s="140" t="s">
        <v>62</v>
      </c>
      <c r="G446" s="140" t="s">
        <v>80</v>
      </c>
      <c r="H446" s="140" t="s">
        <v>25</v>
      </c>
      <c r="I446" s="140" t="s">
        <v>13</v>
      </c>
      <c r="J446" s="140" t="s">
        <v>48</v>
      </c>
      <c r="K446" s="140" t="s">
        <v>20</v>
      </c>
    </row>
    <row r="447" spans="1:11" ht="12.75" customHeight="1" x14ac:dyDescent="0.3">
      <c r="A447" s="140">
        <v>446</v>
      </c>
      <c r="B447" s="140" t="s">
        <v>1347</v>
      </c>
      <c r="C447" s="140" t="s">
        <v>1348</v>
      </c>
      <c r="D447" s="140" t="s">
        <v>19</v>
      </c>
      <c r="E447" s="140" t="s">
        <v>48</v>
      </c>
      <c r="F447" s="140" t="s">
        <v>31</v>
      </c>
      <c r="G447" s="140" t="s">
        <v>62</v>
      </c>
      <c r="H447" s="140" t="s">
        <v>25</v>
      </c>
      <c r="I447" s="140" t="s">
        <v>13</v>
      </c>
      <c r="J447" s="140" t="s">
        <v>74</v>
      </c>
      <c r="K447" s="140" t="s">
        <v>20</v>
      </c>
    </row>
    <row r="448" spans="1:11" ht="12.75" customHeight="1" x14ac:dyDescent="0.3">
      <c r="A448" s="140">
        <v>447</v>
      </c>
      <c r="B448" s="140" t="s">
        <v>1349</v>
      </c>
      <c r="C448" s="140" t="s">
        <v>1350</v>
      </c>
      <c r="D448" s="140" t="s">
        <v>31</v>
      </c>
      <c r="E448" s="140" t="s">
        <v>48</v>
      </c>
      <c r="F448" s="140" t="s">
        <v>62</v>
      </c>
      <c r="G448" s="140" t="s">
        <v>80</v>
      </c>
      <c r="H448" s="140" t="s">
        <v>25</v>
      </c>
      <c r="I448" s="140" t="s">
        <v>13</v>
      </c>
      <c r="J448" s="140" t="s">
        <v>74</v>
      </c>
      <c r="K448" s="140" t="s">
        <v>19</v>
      </c>
    </row>
    <row r="449" spans="1:11" ht="12.75" customHeight="1" x14ac:dyDescent="0.3">
      <c r="A449" s="140">
        <v>448</v>
      </c>
      <c r="B449" s="140" t="s">
        <v>1351</v>
      </c>
      <c r="C449" s="140" t="s">
        <v>1352</v>
      </c>
      <c r="D449" s="140" t="s">
        <v>31</v>
      </c>
      <c r="E449" s="140" t="s">
        <v>19</v>
      </c>
      <c r="F449" s="140" t="s">
        <v>62</v>
      </c>
      <c r="G449" s="140" t="s">
        <v>68</v>
      </c>
      <c r="H449" s="140" t="s">
        <v>25</v>
      </c>
      <c r="I449" s="140" t="s">
        <v>13</v>
      </c>
      <c r="J449" s="140" t="s">
        <v>48</v>
      </c>
      <c r="K449" s="140" t="s">
        <v>20</v>
      </c>
    </row>
    <row r="450" spans="1:11" ht="12.75" customHeight="1" x14ac:dyDescent="0.3">
      <c r="A450" s="140">
        <v>449</v>
      </c>
      <c r="B450" s="140" t="s">
        <v>1353</v>
      </c>
      <c r="C450" s="140" t="s">
        <v>1354</v>
      </c>
      <c r="D450" s="140" t="s">
        <v>31</v>
      </c>
      <c r="E450" s="140" t="s">
        <v>19</v>
      </c>
      <c r="F450" s="140" t="s">
        <v>62</v>
      </c>
      <c r="G450" s="140" t="s">
        <v>80</v>
      </c>
      <c r="H450" s="140" t="s">
        <v>25</v>
      </c>
      <c r="I450" s="140" t="s">
        <v>13</v>
      </c>
      <c r="J450" s="140" t="s">
        <v>48</v>
      </c>
      <c r="K450" s="140" t="s">
        <v>68</v>
      </c>
    </row>
    <row r="451" spans="1:11" ht="12.75" customHeight="1" x14ac:dyDescent="0.3">
      <c r="A451" s="140">
        <v>450</v>
      </c>
      <c r="B451" s="140" t="s">
        <v>1355</v>
      </c>
      <c r="C451" s="140" t="s">
        <v>1356</v>
      </c>
      <c r="D451" s="140" t="s">
        <v>31</v>
      </c>
      <c r="E451" s="140" t="s">
        <v>48</v>
      </c>
      <c r="F451" s="140" t="s">
        <v>62</v>
      </c>
      <c r="G451" s="140" t="s">
        <v>68</v>
      </c>
      <c r="H451" s="140" t="s">
        <v>25</v>
      </c>
      <c r="I451" s="140" t="s">
        <v>13</v>
      </c>
      <c r="J451" s="140" t="s">
        <v>74</v>
      </c>
      <c r="K451" s="140" t="s">
        <v>19</v>
      </c>
    </row>
    <row r="452" spans="1:11" ht="12.75" customHeight="1" x14ac:dyDescent="0.3">
      <c r="A452" s="140">
        <v>451</v>
      </c>
      <c r="B452" s="140" t="s">
        <v>1357</v>
      </c>
      <c r="C452" s="140" t="s">
        <v>1358</v>
      </c>
      <c r="D452" s="140" t="s">
        <v>19</v>
      </c>
      <c r="E452" s="140" t="s">
        <v>48</v>
      </c>
      <c r="F452" s="140" t="s">
        <v>31</v>
      </c>
      <c r="G452" s="140" t="s">
        <v>80</v>
      </c>
      <c r="H452" s="140" t="s">
        <v>25</v>
      </c>
      <c r="I452" s="140" t="s">
        <v>13</v>
      </c>
      <c r="J452" s="140" t="s">
        <v>55</v>
      </c>
      <c r="K452" s="140" t="s">
        <v>20</v>
      </c>
    </row>
    <row r="453" spans="1:11" ht="12.75" customHeight="1" x14ac:dyDescent="0.3">
      <c r="A453" s="140">
        <v>452</v>
      </c>
      <c r="B453" s="140" t="s">
        <v>1359</v>
      </c>
      <c r="C453" s="140" t="s">
        <v>1360</v>
      </c>
      <c r="D453" s="140" t="s">
        <v>19</v>
      </c>
      <c r="E453" s="140" t="s">
        <v>48</v>
      </c>
      <c r="F453" s="140" t="s">
        <v>31</v>
      </c>
      <c r="G453" s="140" t="s">
        <v>74</v>
      </c>
      <c r="H453" s="140" t="s">
        <v>25</v>
      </c>
      <c r="I453" s="140" t="s">
        <v>13</v>
      </c>
      <c r="J453" s="140" t="s">
        <v>55</v>
      </c>
      <c r="K453" s="140" t="s">
        <v>20</v>
      </c>
    </row>
    <row r="454" spans="1:11" ht="12.75" customHeight="1" x14ac:dyDescent="0.3">
      <c r="A454" s="140">
        <v>453</v>
      </c>
      <c r="B454" s="140" t="s">
        <v>1361</v>
      </c>
      <c r="C454" s="140" t="s">
        <v>1362</v>
      </c>
      <c r="D454" s="140" t="s">
        <v>19</v>
      </c>
      <c r="E454" s="140" t="s">
        <v>48</v>
      </c>
      <c r="F454" s="140" t="s">
        <v>31</v>
      </c>
      <c r="G454" s="140" t="s">
        <v>80</v>
      </c>
      <c r="H454" s="140" t="s">
        <v>25</v>
      </c>
      <c r="I454" s="140" t="s">
        <v>13</v>
      </c>
      <c r="J454" s="140" t="s">
        <v>55</v>
      </c>
      <c r="K454" s="140" t="s">
        <v>74</v>
      </c>
    </row>
    <row r="455" spans="1:11" ht="12.75" customHeight="1" x14ac:dyDescent="0.3">
      <c r="A455" s="140">
        <v>454</v>
      </c>
      <c r="B455" s="140" t="s">
        <v>1363</v>
      </c>
      <c r="C455" s="140" t="s">
        <v>1364</v>
      </c>
      <c r="D455" s="140" t="s">
        <v>19</v>
      </c>
      <c r="E455" s="140" t="s">
        <v>48</v>
      </c>
      <c r="F455" s="140" t="s">
        <v>31</v>
      </c>
      <c r="G455" s="140" t="s">
        <v>68</v>
      </c>
      <c r="H455" s="140" t="s">
        <v>25</v>
      </c>
      <c r="I455" s="140" t="s">
        <v>13</v>
      </c>
      <c r="J455" s="140" t="s">
        <v>55</v>
      </c>
      <c r="K455" s="140" t="s">
        <v>20</v>
      </c>
    </row>
    <row r="456" spans="1:11" ht="12.75" customHeight="1" x14ac:dyDescent="0.3">
      <c r="A456" s="140">
        <v>455</v>
      </c>
      <c r="B456" s="140" t="s">
        <v>1365</v>
      </c>
      <c r="C456" s="140" t="s">
        <v>1366</v>
      </c>
      <c r="D456" s="140" t="s">
        <v>19</v>
      </c>
      <c r="E456" s="140" t="s">
        <v>48</v>
      </c>
      <c r="F456" s="140" t="s">
        <v>31</v>
      </c>
      <c r="G456" s="140" t="s">
        <v>80</v>
      </c>
      <c r="H456" s="140" t="s">
        <v>25</v>
      </c>
      <c r="I456" s="140" t="s">
        <v>13</v>
      </c>
      <c r="J456" s="140" t="s">
        <v>55</v>
      </c>
      <c r="K456" s="140" t="s">
        <v>68</v>
      </c>
    </row>
    <row r="457" spans="1:11" ht="12.75" customHeight="1" x14ac:dyDescent="0.3">
      <c r="A457" s="140">
        <v>456</v>
      </c>
      <c r="B457" s="140" t="s">
        <v>1367</v>
      </c>
      <c r="C457" s="140" t="s">
        <v>1368</v>
      </c>
      <c r="D457" s="140" t="s">
        <v>19</v>
      </c>
      <c r="E457" s="140" t="s">
        <v>48</v>
      </c>
      <c r="F457" s="140" t="s">
        <v>31</v>
      </c>
      <c r="G457" s="140" t="s">
        <v>74</v>
      </c>
      <c r="H457" s="140" t="s">
        <v>25</v>
      </c>
      <c r="I457" s="140" t="s">
        <v>13</v>
      </c>
      <c r="J457" s="140" t="s">
        <v>55</v>
      </c>
      <c r="K457" s="140" t="s">
        <v>68</v>
      </c>
    </row>
    <row r="458" spans="1:11" ht="12.75" customHeight="1" x14ac:dyDescent="0.3">
      <c r="A458" s="140">
        <v>457</v>
      </c>
      <c r="B458" s="140" t="s">
        <v>1369</v>
      </c>
      <c r="C458" s="140" t="s">
        <v>1370</v>
      </c>
      <c r="D458" s="140" t="s">
        <v>19</v>
      </c>
      <c r="E458" s="140" t="s">
        <v>48</v>
      </c>
      <c r="F458" s="140" t="s">
        <v>31</v>
      </c>
      <c r="G458" s="140" t="s">
        <v>62</v>
      </c>
      <c r="H458" s="140" t="s">
        <v>25</v>
      </c>
      <c r="I458" s="140" t="s">
        <v>13</v>
      </c>
      <c r="J458" s="140" t="s">
        <v>55</v>
      </c>
      <c r="K458" s="140" t="s">
        <v>20</v>
      </c>
    </row>
    <row r="459" spans="1:11" ht="12.75" customHeight="1" x14ac:dyDescent="0.3">
      <c r="A459" s="140">
        <v>458</v>
      </c>
      <c r="B459" s="140" t="s">
        <v>1371</v>
      </c>
      <c r="C459" s="140" t="s">
        <v>1372</v>
      </c>
      <c r="D459" s="140" t="s">
        <v>31</v>
      </c>
      <c r="E459" s="140" t="s">
        <v>48</v>
      </c>
      <c r="F459" s="140" t="s">
        <v>62</v>
      </c>
      <c r="G459" s="140" t="s">
        <v>80</v>
      </c>
      <c r="H459" s="140" t="s">
        <v>25</v>
      </c>
      <c r="I459" s="140" t="s">
        <v>13</v>
      </c>
      <c r="J459" s="140" t="s">
        <v>55</v>
      </c>
      <c r="K459" s="140" t="s">
        <v>19</v>
      </c>
    </row>
    <row r="460" spans="1:11" ht="12.75" customHeight="1" x14ac:dyDescent="0.3">
      <c r="A460" s="140">
        <v>459</v>
      </c>
      <c r="B460" s="140" t="s">
        <v>1373</v>
      </c>
      <c r="C460" s="140" t="s">
        <v>1374</v>
      </c>
      <c r="D460" s="140" t="s">
        <v>31</v>
      </c>
      <c r="E460" s="140" t="s">
        <v>48</v>
      </c>
      <c r="F460" s="140" t="s">
        <v>62</v>
      </c>
      <c r="G460" s="140" t="s">
        <v>74</v>
      </c>
      <c r="H460" s="140" t="s">
        <v>25</v>
      </c>
      <c r="I460" s="140" t="s">
        <v>13</v>
      </c>
      <c r="J460" s="140" t="s">
        <v>55</v>
      </c>
      <c r="K460" s="140" t="s">
        <v>19</v>
      </c>
    </row>
    <row r="461" spans="1:11" ht="12.75" customHeight="1" x14ac:dyDescent="0.3">
      <c r="A461" s="140">
        <v>460</v>
      </c>
      <c r="B461" s="140" t="s">
        <v>1375</v>
      </c>
      <c r="C461" s="140" t="s">
        <v>1376</v>
      </c>
      <c r="D461" s="140" t="s">
        <v>31</v>
      </c>
      <c r="E461" s="140" t="s">
        <v>48</v>
      </c>
      <c r="F461" s="140" t="s">
        <v>62</v>
      </c>
      <c r="G461" s="140" t="s">
        <v>68</v>
      </c>
      <c r="H461" s="140" t="s">
        <v>25</v>
      </c>
      <c r="I461" s="140" t="s">
        <v>13</v>
      </c>
      <c r="J461" s="140" t="s">
        <v>55</v>
      </c>
      <c r="K461" s="140" t="s">
        <v>19</v>
      </c>
    </row>
    <row r="462" spans="1:11" ht="12.75" customHeight="1" x14ac:dyDescent="0.3">
      <c r="A462" s="140">
        <v>461</v>
      </c>
      <c r="B462" s="140" t="s">
        <v>1377</v>
      </c>
      <c r="C462" s="140" t="s">
        <v>1378</v>
      </c>
      <c r="D462" s="140" t="s">
        <v>31</v>
      </c>
      <c r="E462" s="140" t="s">
        <v>19</v>
      </c>
      <c r="F462" s="140" t="s">
        <v>42</v>
      </c>
      <c r="G462" s="140" t="s">
        <v>80</v>
      </c>
      <c r="H462" s="140" t="s">
        <v>25</v>
      </c>
      <c r="I462" s="140" t="s">
        <v>13</v>
      </c>
      <c r="J462" s="140" t="s">
        <v>74</v>
      </c>
      <c r="K462" s="140" t="s">
        <v>20</v>
      </c>
    </row>
    <row r="463" spans="1:11" ht="12.75" customHeight="1" x14ac:dyDescent="0.3">
      <c r="A463" s="140">
        <v>462</v>
      </c>
      <c r="B463" s="140" t="s">
        <v>1379</v>
      </c>
      <c r="C463" s="140" t="s">
        <v>1380</v>
      </c>
      <c r="D463" s="140" t="s">
        <v>31</v>
      </c>
      <c r="E463" s="140" t="s">
        <v>19</v>
      </c>
      <c r="F463" s="140" t="s">
        <v>42</v>
      </c>
      <c r="G463" s="140" t="s">
        <v>80</v>
      </c>
      <c r="H463" s="140" t="s">
        <v>25</v>
      </c>
      <c r="I463" s="140" t="s">
        <v>13</v>
      </c>
      <c r="J463" s="140" t="s">
        <v>68</v>
      </c>
      <c r="K463" s="140" t="s">
        <v>20</v>
      </c>
    </row>
    <row r="464" spans="1:11" ht="12.75" customHeight="1" x14ac:dyDescent="0.3">
      <c r="A464" s="140">
        <v>463</v>
      </c>
      <c r="B464" s="140" t="s">
        <v>1381</v>
      </c>
      <c r="C464" s="140" t="s">
        <v>1382</v>
      </c>
      <c r="D464" s="140" t="s">
        <v>31</v>
      </c>
      <c r="E464" s="140" t="s">
        <v>19</v>
      </c>
      <c r="F464" s="140" t="s">
        <v>42</v>
      </c>
      <c r="G464" s="140" t="s">
        <v>68</v>
      </c>
      <c r="H464" s="140" t="s">
        <v>25</v>
      </c>
      <c r="I464" s="140" t="s">
        <v>13</v>
      </c>
      <c r="J464" s="140" t="s">
        <v>74</v>
      </c>
      <c r="K464" s="140" t="s">
        <v>20</v>
      </c>
    </row>
    <row r="465" spans="1:11" ht="12.75" customHeight="1" x14ac:dyDescent="0.3">
      <c r="A465" s="140">
        <v>464</v>
      </c>
      <c r="B465" s="140" t="s">
        <v>1383</v>
      </c>
      <c r="C465" s="140" t="s">
        <v>1384</v>
      </c>
      <c r="D465" s="140" t="s">
        <v>31</v>
      </c>
      <c r="E465" s="140" t="s">
        <v>19</v>
      </c>
      <c r="F465" s="140" t="s">
        <v>42</v>
      </c>
      <c r="G465" s="140" t="s">
        <v>80</v>
      </c>
      <c r="H465" s="140" t="s">
        <v>25</v>
      </c>
      <c r="I465" s="140" t="s">
        <v>13</v>
      </c>
      <c r="J465" s="140" t="s">
        <v>74</v>
      </c>
      <c r="K465" s="140" t="s">
        <v>68</v>
      </c>
    </row>
    <row r="466" spans="1:11" ht="12.75" customHeight="1" x14ac:dyDescent="0.3">
      <c r="A466" s="140">
        <v>465</v>
      </c>
      <c r="B466" s="140" t="s">
        <v>1385</v>
      </c>
      <c r="C466" s="140" t="s">
        <v>1386</v>
      </c>
      <c r="D466" s="140" t="s">
        <v>31</v>
      </c>
      <c r="E466" s="140" t="s">
        <v>19</v>
      </c>
      <c r="F466" s="140" t="s">
        <v>62</v>
      </c>
      <c r="G466" s="140" t="s">
        <v>80</v>
      </c>
      <c r="H466" s="140" t="s">
        <v>25</v>
      </c>
      <c r="I466" s="140" t="s">
        <v>13</v>
      </c>
      <c r="J466" s="140" t="s">
        <v>42</v>
      </c>
      <c r="K466" s="140" t="s">
        <v>20</v>
      </c>
    </row>
    <row r="467" spans="1:11" ht="12.75" customHeight="1" x14ac:dyDescent="0.3">
      <c r="A467" s="140">
        <v>466</v>
      </c>
      <c r="B467" s="140" t="s">
        <v>1387</v>
      </c>
      <c r="C467" s="140" t="s">
        <v>1388</v>
      </c>
      <c r="D467" s="140" t="s">
        <v>31</v>
      </c>
      <c r="E467" s="140" t="s">
        <v>19</v>
      </c>
      <c r="F467" s="140" t="s">
        <v>62</v>
      </c>
      <c r="G467" s="140" t="s">
        <v>42</v>
      </c>
      <c r="H467" s="140" t="s">
        <v>25</v>
      </c>
      <c r="I467" s="140" t="s">
        <v>13</v>
      </c>
      <c r="J467" s="140" t="s">
        <v>74</v>
      </c>
      <c r="K467" s="140" t="s">
        <v>20</v>
      </c>
    </row>
    <row r="468" spans="1:11" ht="12.75" customHeight="1" x14ac:dyDescent="0.3">
      <c r="A468" s="140">
        <v>467</v>
      </c>
      <c r="B468" s="140" t="s">
        <v>1389</v>
      </c>
      <c r="C468" s="140" t="s">
        <v>1390</v>
      </c>
      <c r="D468" s="140" t="s">
        <v>31</v>
      </c>
      <c r="E468" s="140" t="s">
        <v>19</v>
      </c>
      <c r="F468" s="140" t="s">
        <v>62</v>
      </c>
      <c r="G468" s="140" t="s">
        <v>80</v>
      </c>
      <c r="H468" s="140" t="s">
        <v>25</v>
      </c>
      <c r="I468" s="140" t="s">
        <v>13</v>
      </c>
      <c r="J468" s="140" t="s">
        <v>74</v>
      </c>
      <c r="K468" s="140" t="s">
        <v>42</v>
      </c>
    </row>
    <row r="469" spans="1:11" ht="12.75" customHeight="1" x14ac:dyDescent="0.3">
      <c r="A469" s="140">
        <v>468</v>
      </c>
      <c r="B469" s="140" t="s">
        <v>1391</v>
      </c>
      <c r="C469" s="140" t="s">
        <v>1392</v>
      </c>
      <c r="D469" s="140" t="s">
        <v>31</v>
      </c>
      <c r="E469" s="140" t="s">
        <v>19</v>
      </c>
      <c r="F469" s="140" t="s">
        <v>62</v>
      </c>
      <c r="G469" s="140" t="s">
        <v>68</v>
      </c>
      <c r="H469" s="140" t="s">
        <v>25</v>
      </c>
      <c r="I469" s="140" t="s">
        <v>13</v>
      </c>
      <c r="J469" s="140" t="s">
        <v>42</v>
      </c>
      <c r="K469" s="140" t="s">
        <v>20</v>
      </c>
    </row>
    <row r="470" spans="1:11" ht="12.75" customHeight="1" x14ac:dyDescent="0.3">
      <c r="A470" s="140">
        <v>469</v>
      </c>
      <c r="B470" s="140" t="s">
        <v>1393</v>
      </c>
      <c r="C470" s="140" t="s">
        <v>1394</v>
      </c>
      <c r="D470" s="140" t="s">
        <v>31</v>
      </c>
      <c r="E470" s="140" t="s">
        <v>19</v>
      </c>
      <c r="F470" s="140" t="s">
        <v>62</v>
      </c>
      <c r="G470" s="140" t="s">
        <v>80</v>
      </c>
      <c r="H470" s="140" t="s">
        <v>25</v>
      </c>
      <c r="I470" s="140" t="s">
        <v>13</v>
      </c>
      <c r="J470" s="140" t="s">
        <v>42</v>
      </c>
      <c r="K470" s="140" t="s">
        <v>68</v>
      </c>
    </row>
    <row r="471" spans="1:11" ht="12.75" customHeight="1" x14ac:dyDescent="0.3">
      <c r="A471" s="140">
        <v>470</v>
      </c>
      <c r="B471" s="140" t="s">
        <v>1395</v>
      </c>
      <c r="C471" s="140" t="s">
        <v>1396</v>
      </c>
      <c r="D471" s="140" t="s">
        <v>31</v>
      </c>
      <c r="E471" s="140" t="s">
        <v>19</v>
      </c>
      <c r="F471" s="140" t="s">
        <v>62</v>
      </c>
      <c r="G471" s="140" t="s">
        <v>68</v>
      </c>
      <c r="H471" s="140" t="s">
        <v>25</v>
      </c>
      <c r="I471" s="140" t="s">
        <v>13</v>
      </c>
      <c r="J471" s="140" t="s">
        <v>74</v>
      </c>
      <c r="K471" s="140" t="s">
        <v>42</v>
      </c>
    </row>
    <row r="472" spans="1:11" ht="12.75" customHeight="1" x14ac:dyDescent="0.3">
      <c r="A472" s="140">
        <v>471</v>
      </c>
      <c r="B472" s="140" t="s">
        <v>1397</v>
      </c>
      <c r="C472" s="140" t="s">
        <v>1398</v>
      </c>
      <c r="D472" s="140" t="s">
        <v>31</v>
      </c>
      <c r="E472" s="140" t="s">
        <v>19</v>
      </c>
      <c r="F472" s="140" t="s">
        <v>42</v>
      </c>
      <c r="G472" s="140" t="s">
        <v>80</v>
      </c>
      <c r="H472" s="140" t="s">
        <v>25</v>
      </c>
      <c r="I472" s="140" t="s">
        <v>13</v>
      </c>
      <c r="J472" s="140" t="s">
        <v>55</v>
      </c>
      <c r="K472" s="140" t="s">
        <v>20</v>
      </c>
    </row>
    <row r="473" spans="1:11" ht="12.75" customHeight="1" x14ac:dyDescent="0.3">
      <c r="A473" s="140">
        <v>472</v>
      </c>
      <c r="B473" s="140" t="s">
        <v>1399</v>
      </c>
      <c r="C473" s="140" t="s">
        <v>1400</v>
      </c>
      <c r="D473" s="140" t="s">
        <v>31</v>
      </c>
      <c r="E473" s="140" t="s">
        <v>19</v>
      </c>
      <c r="F473" s="140" t="s">
        <v>42</v>
      </c>
      <c r="G473" s="140" t="s">
        <v>74</v>
      </c>
      <c r="H473" s="140" t="s">
        <v>25</v>
      </c>
      <c r="I473" s="140" t="s">
        <v>13</v>
      </c>
      <c r="J473" s="140" t="s">
        <v>55</v>
      </c>
      <c r="K473" s="140" t="s">
        <v>20</v>
      </c>
    </row>
    <row r="474" spans="1:11" ht="12.75" customHeight="1" x14ac:dyDescent="0.3">
      <c r="A474" s="140">
        <v>473</v>
      </c>
      <c r="B474" s="140" t="s">
        <v>1401</v>
      </c>
      <c r="C474" s="140" t="s">
        <v>1402</v>
      </c>
      <c r="D474" s="140" t="s">
        <v>31</v>
      </c>
      <c r="E474" s="140" t="s">
        <v>19</v>
      </c>
      <c r="F474" s="140" t="s">
        <v>42</v>
      </c>
      <c r="G474" s="140" t="s">
        <v>80</v>
      </c>
      <c r="H474" s="140" t="s">
        <v>25</v>
      </c>
      <c r="I474" s="140" t="s">
        <v>13</v>
      </c>
      <c r="J474" s="140" t="s">
        <v>55</v>
      </c>
      <c r="K474" s="140" t="s">
        <v>74</v>
      </c>
    </row>
    <row r="475" spans="1:11" ht="12.75" customHeight="1" x14ac:dyDescent="0.3">
      <c r="A475" s="140">
        <v>474</v>
      </c>
      <c r="B475" s="140" t="s">
        <v>1403</v>
      </c>
      <c r="C475" s="140" t="s">
        <v>1404</v>
      </c>
      <c r="D475" s="140" t="s">
        <v>31</v>
      </c>
      <c r="E475" s="140" t="s">
        <v>19</v>
      </c>
      <c r="F475" s="140" t="s">
        <v>42</v>
      </c>
      <c r="G475" s="140" t="s">
        <v>68</v>
      </c>
      <c r="H475" s="140" t="s">
        <v>25</v>
      </c>
      <c r="I475" s="140" t="s">
        <v>13</v>
      </c>
      <c r="J475" s="140" t="s">
        <v>55</v>
      </c>
      <c r="K475" s="140" t="s">
        <v>20</v>
      </c>
    </row>
    <row r="476" spans="1:11" ht="12.75" customHeight="1" x14ac:dyDescent="0.3">
      <c r="A476" s="140">
        <v>475</v>
      </c>
      <c r="B476" s="140" t="s">
        <v>1405</v>
      </c>
      <c r="C476" s="140" t="s">
        <v>1406</v>
      </c>
      <c r="D476" s="140" t="s">
        <v>31</v>
      </c>
      <c r="E476" s="140" t="s">
        <v>19</v>
      </c>
      <c r="F476" s="140" t="s">
        <v>42</v>
      </c>
      <c r="G476" s="140" t="s">
        <v>80</v>
      </c>
      <c r="H476" s="140" t="s">
        <v>25</v>
      </c>
      <c r="I476" s="140" t="s">
        <v>13</v>
      </c>
      <c r="J476" s="140" t="s">
        <v>55</v>
      </c>
      <c r="K476" s="140" t="s">
        <v>68</v>
      </c>
    </row>
    <row r="477" spans="1:11" ht="12.75" customHeight="1" x14ac:dyDescent="0.3">
      <c r="A477" s="140">
        <v>476</v>
      </c>
      <c r="B477" s="140" t="s">
        <v>1407</v>
      </c>
      <c r="C477" s="140" t="s">
        <v>1408</v>
      </c>
      <c r="D477" s="140" t="s">
        <v>31</v>
      </c>
      <c r="E477" s="140" t="s">
        <v>19</v>
      </c>
      <c r="F477" s="140" t="s">
        <v>42</v>
      </c>
      <c r="G477" s="140" t="s">
        <v>74</v>
      </c>
      <c r="H477" s="140" t="s">
        <v>25</v>
      </c>
      <c r="I477" s="140" t="s">
        <v>13</v>
      </c>
      <c r="J477" s="140" t="s">
        <v>55</v>
      </c>
      <c r="K477" s="140" t="s">
        <v>68</v>
      </c>
    </row>
    <row r="478" spans="1:11" ht="12.75" customHeight="1" x14ac:dyDescent="0.3">
      <c r="A478" s="140">
        <v>477</v>
      </c>
      <c r="B478" s="140" t="s">
        <v>1409</v>
      </c>
      <c r="C478" s="140" t="s">
        <v>1410</v>
      </c>
      <c r="D478" s="140" t="s">
        <v>31</v>
      </c>
      <c r="E478" s="140" t="s">
        <v>19</v>
      </c>
      <c r="F478" s="140" t="s">
        <v>62</v>
      </c>
      <c r="G478" s="140" t="s">
        <v>42</v>
      </c>
      <c r="H478" s="140" t="s">
        <v>25</v>
      </c>
      <c r="I478" s="140" t="s">
        <v>13</v>
      </c>
      <c r="J478" s="140" t="s">
        <v>55</v>
      </c>
      <c r="K478" s="140" t="s">
        <v>20</v>
      </c>
    </row>
    <row r="479" spans="1:11" ht="12.75" customHeight="1" x14ac:dyDescent="0.3">
      <c r="A479" s="140">
        <v>478</v>
      </c>
      <c r="B479" s="140" t="s">
        <v>1411</v>
      </c>
      <c r="C479" s="140" t="s">
        <v>1412</v>
      </c>
      <c r="D479" s="140" t="s">
        <v>31</v>
      </c>
      <c r="E479" s="140" t="s">
        <v>19</v>
      </c>
      <c r="F479" s="140" t="s">
        <v>62</v>
      </c>
      <c r="G479" s="140" t="s">
        <v>80</v>
      </c>
      <c r="H479" s="140" t="s">
        <v>25</v>
      </c>
      <c r="I479" s="140" t="s">
        <v>13</v>
      </c>
      <c r="J479" s="140" t="s">
        <v>55</v>
      </c>
      <c r="K479" s="140" t="s">
        <v>42</v>
      </c>
    </row>
    <row r="480" spans="1:11" ht="12.75" customHeight="1" x14ac:dyDescent="0.3">
      <c r="A480" s="140">
        <v>479</v>
      </c>
      <c r="B480" s="140" t="s">
        <v>1413</v>
      </c>
      <c r="C480" s="140" t="s">
        <v>1414</v>
      </c>
      <c r="D480" s="140" t="s">
        <v>31</v>
      </c>
      <c r="E480" s="140" t="s">
        <v>19</v>
      </c>
      <c r="F480" s="140" t="s">
        <v>62</v>
      </c>
      <c r="G480" s="140" t="s">
        <v>74</v>
      </c>
      <c r="H480" s="140" t="s">
        <v>25</v>
      </c>
      <c r="I480" s="140" t="s">
        <v>13</v>
      </c>
      <c r="J480" s="140" t="s">
        <v>55</v>
      </c>
      <c r="K480" s="140" t="s">
        <v>42</v>
      </c>
    </row>
    <row r="481" spans="1:11" ht="12.75" customHeight="1" x14ac:dyDescent="0.3">
      <c r="A481" s="140">
        <v>480</v>
      </c>
      <c r="B481" s="140" t="s">
        <v>1415</v>
      </c>
      <c r="C481" s="140" t="s">
        <v>1416</v>
      </c>
      <c r="D481" s="140" t="s">
        <v>31</v>
      </c>
      <c r="E481" s="140" t="s">
        <v>19</v>
      </c>
      <c r="F481" s="140" t="s">
        <v>62</v>
      </c>
      <c r="G481" s="140" t="s">
        <v>68</v>
      </c>
      <c r="H481" s="140" t="s">
        <v>25</v>
      </c>
      <c r="I481" s="140" t="s">
        <v>13</v>
      </c>
      <c r="J481" s="140" t="s">
        <v>55</v>
      </c>
      <c r="K481" s="140" t="s">
        <v>42</v>
      </c>
    </row>
    <row r="482" spans="1:11" ht="12.75" customHeight="1" x14ac:dyDescent="0.3">
      <c r="A482" s="140">
        <v>481</v>
      </c>
      <c r="B482" s="140" t="s">
        <v>1417</v>
      </c>
      <c r="C482" s="140" t="s">
        <v>1418</v>
      </c>
      <c r="D482" s="140" t="s">
        <v>19</v>
      </c>
      <c r="E482" s="140" t="s">
        <v>48</v>
      </c>
      <c r="F482" s="140" t="s">
        <v>31</v>
      </c>
      <c r="G482" s="140" t="s">
        <v>80</v>
      </c>
      <c r="H482" s="140" t="s">
        <v>25</v>
      </c>
      <c r="I482" s="140" t="s">
        <v>13</v>
      </c>
      <c r="J482" s="140" t="s">
        <v>42</v>
      </c>
      <c r="K482" s="140" t="s">
        <v>20</v>
      </c>
    </row>
    <row r="483" spans="1:11" ht="12.75" customHeight="1" x14ac:dyDescent="0.3">
      <c r="A483" s="140">
        <v>482</v>
      </c>
      <c r="B483" s="140" t="s">
        <v>1419</v>
      </c>
      <c r="C483" s="140" t="s">
        <v>1420</v>
      </c>
      <c r="D483" s="140" t="s">
        <v>19</v>
      </c>
      <c r="E483" s="140" t="s">
        <v>48</v>
      </c>
      <c r="F483" s="140" t="s">
        <v>31</v>
      </c>
      <c r="G483" s="140" t="s">
        <v>42</v>
      </c>
      <c r="H483" s="140" t="s">
        <v>25</v>
      </c>
      <c r="I483" s="140" t="s">
        <v>13</v>
      </c>
      <c r="J483" s="140" t="s">
        <v>74</v>
      </c>
      <c r="K483" s="140" t="s">
        <v>20</v>
      </c>
    </row>
    <row r="484" spans="1:11" ht="12.75" customHeight="1" x14ac:dyDescent="0.3">
      <c r="A484" s="140">
        <v>483</v>
      </c>
      <c r="B484" s="140" t="s">
        <v>1421</v>
      </c>
      <c r="C484" s="140" t="s">
        <v>1422</v>
      </c>
      <c r="D484" s="140" t="s">
        <v>19</v>
      </c>
      <c r="E484" s="140" t="s">
        <v>48</v>
      </c>
      <c r="F484" s="140" t="s">
        <v>31</v>
      </c>
      <c r="G484" s="140" t="s">
        <v>80</v>
      </c>
      <c r="H484" s="140" t="s">
        <v>25</v>
      </c>
      <c r="I484" s="140" t="s">
        <v>13</v>
      </c>
      <c r="J484" s="140" t="s">
        <v>74</v>
      </c>
      <c r="K484" s="140" t="s">
        <v>42</v>
      </c>
    </row>
    <row r="485" spans="1:11" ht="12.75" customHeight="1" x14ac:dyDescent="0.3">
      <c r="A485" s="140">
        <v>484</v>
      </c>
      <c r="B485" s="140" t="s">
        <v>1423</v>
      </c>
      <c r="C485" s="140" t="s">
        <v>1424</v>
      </c>
      <c r="D485" s="140" t="s">
        <v>19</v>
      </c>
      <c r="E485" s="140" t="s">
        <v>48</v>
      </c>
      <c r="F485" s="140" t="s">
        <v>31</v>
      </c>
      <c r="G485" s="140" t="s">
        <v>68</v>
      </c>
      <c r="H485" s="140" t="s">
        <v>25</v>
      </c>
      <c r="I485" s="140" t="s">
        <v>13</v>
      </c>
      <c r="J485" s="140" t="s">
        <v>42</v>
      </c>
      <c r="K485" s="140" t="s">
        <v>20</v>
      </c>
    </row>
    <row r="486" spans="1:11" ht="12.75" customHeight="1" x14ac:dyDescent="0.3">
      <c r="A486" s="140">
        <v>485</v>
      </c>
      <c r="B486" s="140" t="s">
        <v>1425</v>
      </c>
      <c r="C486" s="140" t="s">
        <v>1426</v>
      </c>
      <c r="D486" s="140" t="s">
        <v>19</v>
      </c>
      <c r="E486" s="140" t="s">
        <v>48</v>
      </c>
      <c r="F486" s="140" t="s">
        <v>31</v>
      </c>
      <c r="G486" s="140" t="s">
        <v>80</v>
      </c>
      <c r="H486" s="140" t="s">
        <v>25</v>
      </c>
      <c r="I486" s="140" t="s">
        <v>13</v>
      </c>
      <c r="J486" s="140" t="s">
        <v>42</v>
      </c>
      <c r="K486" s="140" t="s">
        <v>68</v>
      </c>
    </row>
    <row r="487" spans="1:11" ht="12.75" customHeight="1" x14ac:dyDescent="0.3">
      <c r="A487" s="140">
        <v>486</v>
      </c>
      <c r="B487" s="140" t="s">
        <v>1427</v>
      </c>
      <c r="C487" s="140" t="s">
        <v>1428</v>
      </c>
      <c r="D487" s="140" t="s">
        <v>19</v>
      </c>
      <c r="E487" s="140" t="s">
        <v>48</v>
      </c>
      <c r="F487" s="140" t="s">
        <v>31</v>
      </c>
      <c r="G487" s="140" t="s">
        <v>68</v>
      </c>
      <c r="H487" s="140" t="s">
        <v>25</v>
      </c>
      <c r="I487" s="140" t="s">
        <v>13</v>
      </c>
      <c r="J487" s="140" t="s">
        <v>74</v>
      </c>
      <c r="K487" s="140" t="s">
        <v>42</v>
      </c>
    </row>
    <row r="488" spans="1:11" ht="12.75" customHeight="1" x14ac:dyDescent="0.3">
      <c r="A488" s="140">
        <v>487</v>
      </c>
      <c r="B488" s="140" t="s">
        <v>1429</v>
      </c>
      <c r="C488" s="140" t="s">
        <v>1430</v>
      </c>
      <c r="D488" s="140" t="s">
        <v>31</v>
      </c>
      <c r="E488" s="140" t="s">
        <v>19</v>
      </c>
      <c r="F488" s="140" t="s">
        <v>62</v>
      </c>
      <c r="G488" s="140" t="s">
        <v>42</v>
      </c>
      <c r="H488" s="140" t="s">
        <v>25</v>
      </c>
      <c r="I488" s="140" t="s">
        <v>13</v>
      </c>
      <c r="J488" s="140" t="s">
        <v>48</v>
      </c>
      <c r="K488" s="140" t="s">
        <v>20</v>
      </c>
    </row>
    <row r="489" spans="1:11" ht="12.75" customHeight="1" x14ac:dyDescent="0.3">
      <c r="A489" s="140">
        <v>488</v>
      </c>
      <c r="B489" s="140" t="s">
        <v>1431</v>
      </c>
      <c r="C489" s="140" t="s">
        <v>1432</v>
      </c>
      <c r="D489" s="140" t="s">
        <v>31</v>
      </c>
      <c r="E489" s="140" t="s">
        <v>48</v>
      </c>
      <c r="F489" s="140" t="s">
        <v>62</v>
      </c>
      <c r="G489" s="140" t="s">
        <v>80</v>
      </c>
      <c r="H489" s="140" t="s">
        <v>25</v>
      </c>
      <c r="I489" s="140" t="s">
        <v>13</v>
      </c>
      <c r="J489" s="140" t="s">
        <v>42</v>
      </c>
      <c r="K489" s="140" t="s">
        <v>19</v>
      </c>
    </row>
    <row r="490" spans="1:11" ht="12.75" customHeight="1" x14ac:dyDescent="0.3">
      <c r="A490" s="140">
        <v>489</v>
      </c>
      <c r="B490" s="140" t="s">
        <v>1433</v>
      </c>
      <c r="C490" s="140" t="s">
        <v>1434</v>
      </c>
      <c r="D490" s="140" t="s">
        <v>31</v>
      </c>
      <c r="E490" s="140" t="s">
        <v>48</v>
      </c>
      <c r="F490" s="140" t="s">
        <v>62</v>
      </c>
      <c r="G490" s="140" t="s">
        <v>42</v>
      </c>
      <c r="H490" s="140" t="s">
        <v>25</v>
      </c>
      <c r="I490" s="140" t="s">
        <v>13</v>
      </c>
      <c r="J490" s="140" t="s">
        <v>74</v>
      </c>
      <c r="K490" s="140" t="s">
        <v>19</v>
      </c>
    </row>
    <row r="491" spans="1:11" ht="12.75" customHeight="1" x14ac:dyDescent="0.3">
      <c r="A491" s="140">
        <v>490</v>
      </c>
      <c r="B491" s="140" t="s">
        <v>1435</v>
      </c>
      <c r="C491" s="140" t="s">
        <v>1436</v>
      </c>
      <c r="D491" s="140" t="s">
        <v>31</v>
      </c>
      <c r="E491" s="140" t="s">
        <v>48</v>
      </c>
      <c r="F491" s="140" t="s">
        <v>62</v>
      </c>
      <c r="G491" s="140" t="s">
        <v>68</v>
      </c>
      <c r="H491" s="140" t="s">
        <v>25</v>
      </c>
      <c r="I491" s="140" t="s">
        <v>13</v>
      </c>
      <c r="J491" s="140" t="s">
        <v>42</v>
      </c>
      <c r="K491" s="140" t="s">
        <v>19</v>
      </c>
    </row>
    <row r="492" spans="1:11" ht="12.75" customHeight="1" x14ac:dyDescent="0.3">
      <c r="A492" s="140">
        <v>491</v>
      </c>
      <c r="B492" s="140" t="s">
        <v>1437</v>
      </c>
      <c r="C492" s="140" t="s">
        <v>1438</v>
      </c>
      <c r="D492" s="140" t="s">
        <v>19</v>
      </c>
      <c r="E492" s="140" t="s">
        <v>48</v>
      </c>
      <c r="F492" s="140" t="s">
        <v>31</v>
      </c>
      <c r="G492" s="140" t="s">
        <v>42</v>
      </c>
      <c r="H492" s="140" t="s">
        <v>25</v>
      </c>
      <c r="I492" s="140" t="s">
        <v>13</v>
      </c>
      <c r="J492" s="140" t="s">
        <v>55</v>
      </c>
      <c r="K492" s="140" t="s">
        <v>20</v>
      </c>
    </row>
    <row r="493" spans="1:11" ht="12.75" customHeight="1" x14ac:dyDescent="0.3">
      <c r="A493" s="140">
        <v>492</v>
      </c>
      <c r="B493" s="140" t="s">
        <v>1439</v>
      </c>
      <c r="C493" s="140" t="s">
        <v>1440</v>
      </c>
      <c r="D493" s="140" t="s">
        <v>19</v>
      </c>
      <c r="E493" s="140" t="s">
        <v>48</v>
      </c>
      <c r="F493" s="140" t="s">
        <v>31</v>
      </c>
      <c r="G493" s="140" t="s">
        <v>80</v>
      </c>
      <c r="H493" s="140" t="s">
        <v>25</v>
      </c>
      <c r="I493" s="140" t="s">
        <v>13</v>
      </c>
      <c r="J493" s="140" t="s">
        <v>55</v>
      </c>
      <c r="K493" s="140" t="s">
        <v>42</v>
      </c>
    </row>
    <row r="494" spans="1:11" ht="12.75" customHeight="1" x14ac:dyDescent="0.3">
      <c r="A494" s="140">
        <v>493</v>
      </c>
      <c r="B494" s="140" t="s">
        <v>1441</v>
      </c>
      <c r="C494" s="140" t="s">
        <v>1442</v>
      </c>
      <c r="D494" s="140" t="s">
        <v>19</v>
      </c>
      <c r="E494" s="140" t="s">
        <v>48</v>
      </c>
      <c r="F494" s="140" t="s">
        <v>31</v>
      </c>
      <c r="G494" s="140" t="s">
        <v>74</v>
      </c>
      <c r="H494" s="140" t="s">
        <v>25</v>
      </c>
      <c r="I494" s="140" t="s">
        <v>13</v>
      </c>
      <c r="J494" s="140" t="s">
        <v>55</v>
      </c>
      <c r="K494" s="140" t="s">
        <v>42</v>
      </c>
    </row>
    <row r="495" spans="1:11" ht="12.75" customHeight="1" x14ac:dyDescent="0.3">
      <c r="A495" s="140">
        <v>494</v>
      </c>
      <c r="B495" s="140" t="s">
        <v>1443</v>
      </c>
      <c r="C495" s="140" t="s">
        <v>1444</v>
      </c>
      <c r="D495" s="140" t="s">
        <v>19</v>
      </c>
      <c r="E495" s="140" t="s">
        <v>48</v>
      </c>
      <c r="F495" s="140" t="s">
        <v>31</v>
      </c>
      <c r="G495" s="140" t="s">
        <v>68</v>
      </c>
      <c r="H495" s="140" t="s">
        <v>25</v>
      </c>
      <c r="I495" s="140" t="s">
        <v>13</v>
      </c>
      <c r="J495" s="140" t="s">
        <v>55</v>
      </c>
      <c r="K495" s="140" t="s">
        <v>42</v>
      </c>
    </row>
    <row r="496" spans="1:11" ht="12.75" customHeight="1" x14ac:dyDescent="0.3">
      <c r="A496" s="140">
        <v>495</v>
      </c>
      <c r="B496" s="140" t="s">
        <v>1445</v>
      </c>
      <c r="C496" s="140" t="s">
        <v>1446</v>
      </c>
      <c r="D496" s="140" t="s">
        <v>31</v>
      </c>
      <c r="E496" s="140" t="s">
        <v>48</v>
      </c>
      <c r="F496" s="140" t="s">
        <v>62</v>
      </c>
      <c r="G496" s="140" t="s">
        <v>42</v>
      </c>
      <c r="H496" s="140" t="s">
        <v>25</v>
      </c>
      <c r="I496" s="140" t="s">
        <v>13</v>
      </c>
      <c r="J496" s="140" t="s">
        <v>55</v>
      </c>
      <c r="K496" s="140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2026-07-05T05:47:12Z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