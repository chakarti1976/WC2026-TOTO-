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95EAA7A7-C606-41B7-9A08-65C75E2E0E5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L6" i="2" s="1"/>
  <c r="Q8" i="2"/>
  <c r="R8" i="2" s="1"/>
  <c r="Q12" i="2"/>
  <c r="R12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L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5" i="2" l="1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<sst xmlns="http://schemas.openxmlformats.org/spreadsheetml/2006/main" count="6828" uniqueCount="1446">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</sst>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  <xf numFmtId="0" fontId="45" fillId="5" borderId="0" xfId="0" applyFont="1" applyFill="1" applyAlignment="1">
      <alignment horizontal="left" vertical="center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E1" zoomScale="60" zoomScaleNormal="60" workbookViewId="0">
      <pane ySplit="4" topLeftCell="A30" activePane="bottomLeft" state="frozen"/>
      <selection pane="bottomLeft" activeCell="W47" sqref="W47:X4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K4" sqref="K4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Karolis Marcinkevičius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128.5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68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128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426.5</v>
      </c>
      <c r="L4" s="30">
        <f t="shared" ref="L4:L35" si="0">IFERROR(IF(B4="","",VLOOKUP(A4,$N$4:$R$12,5,FALSE())),0)</f>
        <v>1102.5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2</v>
      </c>
      <c r="R4" s="34">
        <f t="shared" ref="R4:R12" si="3">IF(Q4=0,0,SUMPRODUCT(($N$4:$N$12&gt;=N4)*($N$4:$N$12&lt;=N4+Q4-1)*$P$4:$P$12)/Q4)</f>
        <v>1102.5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1</v>
      </c>
      <c r="B5" s="27" t="str">
        <f>IF(2&gt;COUNTIF(' Toto teams'!$A$4:$A$119,"&lt;&gt;"),"",INDEX(' Toto teams'!$A$4:$A$119,MATCH(LARGE(' Toto teams'!$T$4:$T$119,2),' Toto teams'!$T$4:$T$119,0)))</f>
        <v xml:space="preserve">Paulius Bernotas 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140.5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112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426.5</v>
      </c>
      <c r="L5" s="30">
        <f t="shared" si="0"/>
        <v>1102.5</v>
      </c>
      <c r="N5" s="31">
        <v>2</v>
      </c>
      <c r="O5" s="32">
        <v>0.2</v>
      </c>
      <c r="P5" s="33">
        <f t="shared" si="1"/>
        <v>630</v>
      </c>
      <c r="Q5" s="31">
        <f t="shared" si="2"/>
        <v>0</v>
      </c>
      <c r="R5" s="34">
        <f t="shared" si="3"/>
        <v>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Simona Jociūtė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143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96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112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423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Justinas Novoruckis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136.5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112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422.5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Renata Čižauskienė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144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104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422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Paulina Bungardė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134.5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112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420.5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Gintautas Beržanskis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133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112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419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2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Benas&amp;Šaras Oleknavičius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141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104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419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Kamran Mikayilov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138.5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104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416.5</v>
      </c>
      <c r="L12" s="30">
        <f t="shared" si="0"/>
        <v>26.25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3</v>
      </c>
      <c r="R12" s="34">
        <f t="shared" si="3"/>
        <v>26.25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9</v>
      </c>
      <c r="B13" s="27" t="str">
        <f>IF(10&gt;COUNTIF(' Toto teams'!$A$4:$A$119,"&lt;&gt;"),"",INDEX(' Toto teams'!$A$4:$A$119,MATCH(LARGE(' Toto teams'!$T$4:$T$119,10),' Toto teams'!$T$4:$T$119,0)))</f>
        <v>Saulius Pipiras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130.5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112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416.5</v>
      </c>
      <c r="L13" s="30">
        <f t="shared" si="0"/>
        <v>26.25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9</v>
      </c>
      <c r="B14" s="27" t="str">
        <f>IF(11&gt;COUNTIF(' Toto teams'!$A$4:$A$119,"&lt;&gt;"),"",INDEX(' Toto teams'!$A$4:$A$119,MATCH(LARGE(' Toto teams'!$T$4:$T$119,11),' Toto teams'!$T$4:$T$119,0)))</f>
        <v>Deividas Jančius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102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104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416.5</v>
      </c>
      <c r="L14" s="30">
        <f t="shared" si="0"/>
        <v>26.25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Arnoldas Molis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137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104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415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Aurimas Šumbrauskis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144.5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96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414.5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Giedrius Stanulis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136.5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104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414.5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Darius Jalo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136.5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72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102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104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414.5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Gianmarco Monti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139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104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411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Benediktas Babraitis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140.5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96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410.5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Yagub Alizada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131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104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409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Gedas Girdžiūnas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96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104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403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Partrikas Oleknavičius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133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96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403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Elijus Benetis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138.5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96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96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402.5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Thomas Wolke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125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68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96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401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Alberto Canova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134.5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104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400.5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Benas Bruzga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134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90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104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400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Raimondas Juška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137.5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102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88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399.5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Slava Maltsev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139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68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88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397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Tomas Šunskis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133.5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88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395.5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Simonas Sipavičius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134.5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68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96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96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394.5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Deividas Jodenis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121.5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64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96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112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393.5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Dainius Breivė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136.5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102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80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390.5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Anton Panasenko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121.5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68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389.5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Dovilė Smetonė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127.5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104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389.5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Gintas Bungarda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137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68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88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389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Jonas Juška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68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96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388.5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Davide Speranza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146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72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388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Danielius Pažusys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135.5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96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88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387.5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Ivan Manev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138.5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96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80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386.5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Todor Velikov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139.5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72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385.5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Giedrius Šadbaras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133.5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88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385.5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Donatas Bakėjus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136.5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96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80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384.5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Nadia Mercurio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80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383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Benas VII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140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64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88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382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Donatas Pocius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135.5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102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72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381.5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Enrico Ancarola, Pietro Rivera, Riccardo Gatti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135.5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102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72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381.5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Gintas Bungarda 2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127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80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381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Evelina Tiščenkė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132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64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96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380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Simas Baubonis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141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64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379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47</v>
      </c>
      <c r="B51" s="27" t="str">
        <f>IF(48&gt;COUNTIF(' Toto teams'!$A$4:$A$119,"&lt;&gt;"),"",INDEX(' Toto teams'!$A$4:$A$119,MATCH(LARGE(' Toto teams'!$T$4:$T$119,48),' Toto teams'!$T$4:$T$119,0)))</f>
        <v>Edgar Moroz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125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80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379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Mindaugas Čižauskas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130.5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88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378.5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Sergey Zhaltuchin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137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72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377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Jokūbas Kušleika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80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377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Saulius Lileikis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134.5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72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90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80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376.5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52</v>
      </c>
      <c r="B56" s="27" t="str">
        <f>IF(53&gt;COUNTIF(' Toto teams'!$A$4:$A$119,"&lt;&gt;"),"",INDEX(' Toto teams'!$A$4:$A$119,MATCH(LARGE(' Toto teams'!$T$4:$T$119,53),' Toto teams'!$T$4:$T$119,0)))</f>
        <v>Edita Oršauskė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126.5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80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376.5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52</v>
      </c>
      <c r="B57" s="27" t="str">
        <f>IF(54&gt;COUNTIF(' Toto teams'!$A$4:$A$119,"&lt;&gt;"),"",INDEX(' Toto teams'!$A$4:$A$119,MATCH(LARGE(' Toto teams'!$T$4:$T$119,54),' Toto teams'!$T$4:$T$119,0)))</f>
        <v>Nikolay Lenkov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126.5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102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80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376.5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52</v>
      </c>
      <c r="B58" s="27" t="str">
        <f>IF(55&gt;COUNTIF(' Toto teams'!$A$4:$A$119,"&lt;&gt;"),"",INDEX(' Toto teams'!$A$4:$A$119,MATCH(LARGE(' Toto teams'!$T$4:$T$119,55),' Toto teams'!$T$4:$T$119,0)))</f>
        <v>Tihomir Chakarov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130.5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102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72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376.5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Vytautas Gliaubicas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124.5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102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80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374.5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Pijus Jalo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138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96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72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374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Dobilas III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131.5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90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373.5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Aurimas Oleknavičius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126.5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102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72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372.5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Žygimantas Ryliškis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126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68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90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88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372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Andrea Signorini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128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68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96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80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372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60</v>
      </c>
      <c r="B65" s="27" t="str">
        <f>IF(62&gt;COUNTIF(' Toto teams'!$A$4:$A$119,"&lt;&gt;"),"",INDEX(' Toto teams'!$A$4:$A$119,MATCH(LARGE(' Toto teams'!$T$4:$T$119,62),' Toto teams'!$T$4:$T$119,0)))</f>
        <v>Ernesta Čebienė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132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96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72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372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Martynas Bruzga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133.5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64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371.5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Zaur Yusubov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139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72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102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56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369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Alexey Nikitenko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120.5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64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96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88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368.5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Rustam Roikov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129.5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68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80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367.5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Miglė Juškaitė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121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102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72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367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Sofus Wolke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124.5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366.5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Donatas Keras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135.5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78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80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365.5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Rimas Baubonis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117.5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102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72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363.5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Artem Lavrov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144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68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102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48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362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Giuseppe Diana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118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96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362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Paolo Papiri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128.5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72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358.5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Rolandas Urbelis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128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72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358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Joris Jalo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121.5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96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357.5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Lukas Vaitukaitis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121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102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64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355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Alius Antulis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116.5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96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72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352.5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Audi club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137.5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96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48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349.5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Egidijus Navickas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119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102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56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345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Juozas Žimkus Jr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131.5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84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56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343.5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Sigitas Petraitis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126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72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48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342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Michele Sette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115.5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64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90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72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341.5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Dainius Visackas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72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64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341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Denis Kazarezov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114.5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90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64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336.5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N&amp;A Pociai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116.5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96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56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336.5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Algirdas Čižauskas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124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84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56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336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Mario Calvi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125.5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68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78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64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335.5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Virginija Čižauskienė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135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84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48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335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Vaidas Pažusys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136.5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78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48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334.5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Sigitas Šarauskis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125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64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84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329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Vytautas Podrezas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112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68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96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48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324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Lukas Danielevičius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121.5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60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60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80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321.5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Arūnas Čižauskas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122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84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40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318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Sampaio Carlos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116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96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32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316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Kristina I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121.5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66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56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315.5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Simonas Anikinas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127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56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315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Mindaugas Sipavičius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120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66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56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314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Jurga Šantaraitė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117.5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68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72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48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305.5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Susie Wolke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138.5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32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302.5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Tomas Bruzga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112.5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298.5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Titas Jodenis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124.5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32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294.5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280.5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271.5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B77" sqref="B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150</v>
      </c>
      <c r="K4" s="28">
        <f>IFERROR(VLOOKUP(C4,Scoring!$A$4:$N$51,14,FALSE())*4,"-")</f>
        <v>76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4.5</v>
      </c>
      <c r="R4" s="36">
        <f t="shared" ref="R4:R35" si="0">IF(A4="","-",SUM(J4:Q4))</f>
        <v>376.5</v>
      </c>
      <c r="S4">
        <f t="shared" ref="S4:S35" si="1">IF(A4="","",RANK(R4,$R$4:$R$119))</f>
        <v>52</v>
      </c>
      <c r="T4">
        <f t="shared" ref="T4:T35" si="2">IF(A4="",-1,R4-ROW(R4)/1000000)</f>
        <v>376.49999600000001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50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372</v>
      </c>
      <c r="S5">
        <f t="shared" si="1"/>
        <v>60</v>
      </c>
      <c r="T5">
        <f t="shared" si="2"/>
        <v>371.99999500000001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100</v>
      </c>
      <c r="L6" s="28">
        <f>IFERROR(VLOOKUP(D6,Scoring!$A$4:$N$51,14,FALSE())*3,"-")</f>
        <v>57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397</v>
      </c>
      <c r="S6">
        <f t="shared" si="1"/>
        <v>26</v>
      </c>
      <c r="T6">
        <f t="shared" si="2"/>
        <v>396.99999400000002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150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401</v>
      </c>
      <c r="S7">
        <f t="shared" si="1"/>
        <v>22</v>
      </c>
      <c r="T7">
        <f t="shared" si="2"/>
        <v>400.99999300000002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150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4.5</v>
      </c>
      <c r="R8" s="36">
        <f t="shared" si="0"/>
        <v>366.5</v>
      </c>
      <c r="S8">
        <f t="shared" si="1"/>
        <v>68</v>
      </c>
      <c r="T8">
        <f t="shared" si="2"/>
        <v>366.49999200000002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76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4.5</v>
      </c>
      <c r="R9" s="36">
        <f t="shared" si="0"/>
        <v>302.5</v>
      </c>
      <c r="S9">
        <f t="shared" si="1"/>
        <v>99</v>
      </c>
      <c r="T9">
        <f t="shared" si="2"/>
        <v>302.49999100000002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100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4.5</v>
      </c>
      <c r="R10" s="36">
        <f t="shared" si="0"/>
        <v>336.5</v>
      </c>
      <c r="S10">
        <f t="shared" si="1"/>
        <v>84</v>
      </c>
      <c r="T10">
        <f t="shared" si="2"/>
        <v>336.49999000000003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50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342</v>
      </c>
      <c r="S11">
        <f t="shared" si="1"/>
        <v>81</v>
      </c>
      <c r="T11">
        <f t="shared" si="2"/>
        <v>341.99998900000003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76</v>
      </c>
      <c r="L12" s="28">
        <f>IFERROR(VLOOKUP(D12,Scoring!$A$4:$N$51,14,FALSE())*3,"-")</f>
        <v>75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382</v>
      </c>
      <c r="S12">
        <f t="shared" si="1"/>
        <v>42</v>
      </c>
      <c r="T12">
        <f t="shared" si="2"/>
        <v>381.99998799999997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150</v>
      </c>
      <c r="K13" s="28">
        <f>IFERROR(VLOOKUP(C13,Scoring!$A$4:$N$51,14,FALSE())*4,"-")</f>
        <v>100</v>
      </c>
      <c r="L13" s="28">
        <f>IFERROR(VLOOKUP(D13,Scoring!$A$4:$N$51,14,FALSE())*3,"-")</f>
        <v>57</v>
      </c>
      <c r="M13" s="28">
        <f>IFERROR(VLOOKUP(E13,Scoring!$A$4:$N$51,14,FALSE())*2,"-")</f>
        <v>22</v>
      </c>
      <c r="N13" s="28">
        <f>IFERROR(VLOOKUP(F13,Scoring!$A$4:$N$51,14,FALSE()),"-")</f>
        <v>17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373.5</v>
      </c>
      <c r="S13">
        <f t="shared" si="1"/>
        <v>58</v>
      </c>
      <c r="T13">
        <f t="shared" si="2"/>
        <v>373.49998699999998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100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315.5</v>
      </c>
      <c r="S14">
        <f t="shared" si="1"/>
        <v>95</v>
      </c>
      <c r="T14">
        <f t="shared" si="2"/>
        <v>315.49998599999998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150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4.5</v>
      </c>
      <c r="R15" s="36">
        <f t="shared" si="0"/>
        <v>352.5</v>
      </c>
      <c r="S15">
        <f t="shared" si="1"/>
        <v>77</v>
      </c>
      <c r="T15">
        <f t="shared" si="2"/>
        <v>352.49998499999998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114</v>
      </c>
      <c r="K16" s="28">
        <f>IFERROR(VLOOKUP(C16,Scoring!$A$4:$N$51,14,FALSE())*4,"-")</f>
        <v>100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4.5</v>
      </c>
      <c r="R16" s="36">
        <f t="shared" si="0"/>
        <v>385.5</v>
      </c>
      <c r="S16">
        <f t="shared" si="1"/>
        <v>38</v>
      </c>
      <c r="T16">
        <f t="shared" si="2"/>
        <v>385.49998399999998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50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4.5</v>
      </c>
      <c r="R17" s="36">
        <f t="shared" si="0"/>
        <v>426.5</v>
      </c>
      <c r="S17">
        <f t="shared" si="1"/>
        <v>1</v>
      </c>
      <c r="T17">
        <f t="shared" si="2"/>
        <v>426.49998299999999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75</v>
      </c>
      <c r="M18" s="28">
        <f>IFERROR(VLOOKUP(E18,Scoring!$A$4:$N$51,14,FALSE())*2,"-")</f>
        <v>38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4.5</v>
      </c>
      <c r="R18" s="36">
        <f t="shared" si="0"/>
        <v>381.5</v>
      </c>
      <c r="S18">
        <f t="shared" si="1"/>
        <v>43</v>
      </c>
      <c r="T18">
        <f t="shared" si="2"/>
        <v>381.49998199999999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150</v>
      </c>
      <c r="K19" s="28">
        <f>IFERROR(VLOOKUP(C19,Scoring!$A$4:$N$51,14,FALSE())*4,"-")</f>
        <v>108</v>
      </c>
      <c r="L19" s="28">
        <f>IFERROR(VLOOKUP(D19,Scoring!$A$4:$N$51,14,FALSE())*3,"-")</f>
        <v>57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4.5</v>
      </c>
      <c r="R19" s="36">
        <f t="shared" si="0"/>
        <v>416.5</v>
      </c>
      <c r="S19">
        <f t="shared" si="1"/>
        <v>9</v>
      </c>
      <c r="T19">
        <f t="shared" si="2"/>
        <v>416.49998099999999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75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4.5</v>
      </c>
      <c r="R20" s="36">
        <f t="shared" si="0"/>
        <v>368.5</v>
      </c>
      <c r="S20">
        <f t="shared" si="1"/>
        <v>65</v>
      </c>
      <c r="T20">
        <f t="shared" si="2"/>
        <v>368.49997999999999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150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17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4.5</v>
      </c>
      <c r="R21" s="36">
        <f t="shared" si="0"/>
        <v>376.5</v>
      </c>
      <c r="S21">
        <f t="shared" si="1"/>
        <v>52</v>
      </c>
      <c r="T21">
        <f t="shared" si="2"/>
        <v>376.499979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150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4.5</v>
      </c>
      <c r="R22" s="36">
        <f t="shared" si="0"/>
        <v>416.5</v>
      </c>
      <c r="S22">
        <f t="shared" si="1"/>
        <v>9</v>
      </c>
      <c r="T22">
        <f t="shared" si="2"/>
        <v>416.499978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150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38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4.5</v>
      </c>
      <c r="R23" s="36">
        <f t="shared" si="0"/>
        <v>374.5</v>
      </c>
      <c r="S23">
        <f t="shared" si="1"/>
        <v>56</v>
      </c>
      <c r="T23">
        <f t="shared" si="2"/>
        <v>374.499977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75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400</v>
      </c>
      <c r="S24">
        <f t="shared" si="1"/>
        <v>24</v>
      </c>
      <c r="T24">
        <f t="shared" si="2"/>
        <v>399.999976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50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298.5</v>
      </c>
      <c r="S25">
        <f t="shared" si="1"/>
        <v>100</v>
      </c>
      <c r="T25">
        <f t="shared" si="2"/>
        <v>298.49997500000001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150</v>
      </c>
      <c r="K26" s="28">
        <f>IFERROR(VLOOKUP(C26,Scoring!$A$4:$N$51,14,FALSE())*4,"-")</f>
        <v>68</v>
      </c>
      <c r="L26" s="28">
        <f>IFERROR(VLOOKUP(D26,Scoring!$A$4:$N$51,14,FALSE())*3,"-")</f>
        <v>57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4.5</v>
      </c>
      <c r="R26" s="36">
        <f t="shared" si="0"/>
        <v>371.5</v>
      </c>
      <c r="S26">
        <f t="shared" si="1"/>
        <v>63</v>
      </c>
      <c r="T26">
        <f t="shared" si="2"/>
        <v>371.49997400000001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50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403</v>
      </c>
      <c r="S27">
        <f t="shared" si="1"/>
        <v>19</v>
      </c>
      <c r="T27">
        <f t="shared" si="2"/>
        <v>402.99997300000001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150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38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4.5</v>
      </c>
      <c r="R28" s="36">
        <f t="shared" si="0"/>
        <v>426.5</v>
      </c>
      <c r="S28">
        <f t="shared" si="1"/>
        <v>1</v>
      </c>
      <c r="T28">
        <f t="shared" si="2"/>
        <v>426.49997200000001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50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280.5</v>
      </c>
      <c r="S29">
        <f t="shared" si="1"/>
        <v>102</v>
      </c>
      <c r="T29">
        <f t="shared" si="2"/>
        <v>280.49997100000002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100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17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336</v>
      </c>
      <c r="S30">
        <f t="shared" si="1"/>
        <v>86</v>
      </c>
      <c r="T30">
        <f t="shared" si="2"/>
        <v>335.99997000000002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57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335</v>
      </c>
      <c r="S31">
        <f t="shared" si="1"/>
        <v>88</v>
      </c>
      <c r="T31">
        <f t="shared" si="2"/>
        <v>334.99996900000002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150</v>
      </c>
      <c r="K32" s="28">
        <f>IFERROR(VLOOKUP(C32,Scoring!$A$4:$N$51,14,FALSE())*4,"-")</f>
        <v>76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17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4.5</v>
      </c>
      <c r="R32" s="36">
        <f t="shared" si="0"/>
        <v>385.5</v>
      </c>
      <c r="S32">
        <f t="shared" si="1"/>
        <v>38</v>
      </c>
      <c r="T32">
        <f t="shared" si="2"/>
        <v>385.49996800000002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50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271.5</v>
      </c>
      <c r="S33">
        <f t="shared" si="1"/>
        <v>103</v>
      </c>
      <c r="T33">
        <f t="shared" si="2"/>
        <v>271.49996700000003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150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38</v>
      </c>
      <c r="N34" s="28">
        <f>IFERROR(VLOOKUP(F34,Scoring!$A$4:$N$51,14,FALSE()),"-")</f>
        <v>17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4.5</v>
      </c>
      <c r="R34" s="36">
        <f t="shared" si="0"/>
        <v>390.5</v>
      </c>
      <c r="S34">
        <f t="shared" si="1"/>
        <v>30</v>
      </c>
      <c r="T34">
        <f t="shared" si="2"/>
        <v>390.49996599999997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150</v>
      </c>
      <c r="K35" s="28">
        <f>IFERROR(VLOOKUP(C35,Scoring!$A$4:$N$51,14,FALSE())*4,"-")</f>
        <v>76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17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4.5</v>
      </c>
      <c r="R35" s="36">
        <f t="shared" si="0"/>
        <v>343.5</v>
      </c>
      <c r="S35">
        <f t="shared" si="1"/>
        <v>80</v>
      </c>
      <c r="T35">
        <f t="shared" si="2"/>
        <v>343.49996499999997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92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75</v>
      </c>
      <c r="M37" s="28">
        <f>IFERROR(VLOOKUP(E37,Scoring!$A$4:$N$51,14,FALSE())*2,"-")</f>
        <v>38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379</v>
      </c>
      <c r="S37">
        <f t="shared" si="4"/>
        <v>47</v>
      </c>
      <c r="T37">
        <f t="shared" si="5"/>
        <v>378.99996299999998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150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341</v>
      </c>
      <c r="S38">
        <f t="shared" si="4"/>
        <v>83</v>
      </c>
      <c r="T38">
        <f t="shared" si="5"/>
        <v>340.99996199999998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150</v>
      </c>
      <c r="K39" s="28">
        <f>IFERROR(VLOOKUP(C39,Scoring!$A$4:$N$51,14,FALSE())*4,"-")</f>
        <v>108</v>
      </c>
      <c r="L39" s="28">
        <f>IFERROR(VLOOKUP(D39,Scoring!$A$4:$N$51,14,FALSE())*3,"-")</f>
        <v>57</v>
      </c>
      <c r="M39" s="28">
        <f>IFERROR(VLOOKUP(E39,Scoring!$A$4:$N$51,14,FALSE())*2,"-")</f>
        <v>34</v>
      </c>
      <c r="N39" s="28">
        <f>IFERROR(VLOOKUP(F39,Scoring!$A$4:$N$51,14,FALSE()),"-")</f>
        <v>17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4.5</v>
      </c>
      <c r="R39" s="36">
        <f t="shared" si="3"/>
        <v>386.5</v>
      </c>
      <c r="S39">
        <f t="shared" si="4"/>
        <v>37</v>
      </c>
      <c r="T39">
        <f t="shared" si="5"/>
        <v>386.49996099999998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100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367.5</v>
      </c>
      <c r="S40">
        <f t="shared" si="4"/>
        <v>66</v>
      </c>
      <c r="T40">
        <f t="shared" si="5"/>
        <v>367.49995999999999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100</v>
      </c>
      <c r="L41" s="28">
        <f>IFERROR(VLOOKUP(D41,Scoring!$A$4:$N$51,14,FALSE())*3,"-")</f>
        <v>57</v>
      </c>
      <c r="M41" s="28">
        <f>IFERROR(VLOOKUP(E41,Scoring!$A$4:$N$51,14,FALSE())*2,"-")</f>
        <v>54</v>
      </c>
      <c r="N41" s="28">
        <f>IFERROR(VLOOKUP(F41,Scoring!$A$4:$N$51,14,FALSE()),"-")</f>
        <v>17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369</v>
      </c>
      <c r="S41">
        <f t="shared" si="4"/>
        <v>64</v>
      </c>
      <c r="T41">
        <f t="shared" si="5"/>
        <v>368.99995899999999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150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38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4.5</v>
      </c>
      <c r="R42" s="36">
        <f t="shared" si="3"/>
        <v>376.5</v>
      </c>
      <c r="S42">
        <f t="shared" si="4"/>
        <v>52</v>
      </c>
      <c r="T42">
        <f t="shared" si="5"/>
        <v>376.49995799999999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75</v>
      </c>
      <c r="M43" s="28">
        <f>IFERROR(VLOOKUP(E43,Scoring!$A$4:$N$51,14,FALSE())*2,"-")</f>
        <v>38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423</v>
      </c>
      <c r="S43">
        <f t="shared" si="4"/>
        <v>3</v>
      </c>
      <c r="T43">
        <f t="shared" si="5"/>
        <v>422.99995699999999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150</v>
      </c>
      <c r="K44" s="28">
        <f>IFERROR(VLOOKUP(C44,Scoring!$A$4:$N$51,14,FALSE())*4,"-")</f>
        <v>76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4.5</v>
      </c>
      <c r="R44" s="36">
        <f t="shared" si="3"/>
        <v>402.5</v>
      </c>
      <c r="S44">
        <f t="shared" si="4"/>
        <v>21</v>
      </c>
      <c r="T44">
        <f t="shared" si="5"/>
        <v>402.499956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100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389.5</v>
      </c>
      <c r="S45">
        <f t="shared" si="4"/>
        <v>31</v>
      </c>
      <c r="T45">
        <f t="shared" si="5"/>
        <v>389.499955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150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38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4.5</v>
      </c>
      <c r="R46" s="36">
        <f t="shared" si="3"/>
        <v>422.5</v>
      </c>
      <c r="S46">
        <f t="shared" si="4"/>
        <v>4</v>
      </c>
      <c r="T46">
        <f t="shared" si="5"/>
        <v>422.499954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50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345</v>
      </c>
      <c r="S47">
        <f t="shared" si="4"/>
        <v>79</v>
      </c>
      <c r="T47">
        <f t="shared" si="5"/>
        <v>344.999953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150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4.5</v>
      </c>
      <c r="R48" s="36">
        <f t="shared" si="3"/>
        <v>393.5</v>
      </c>
      <c r="S48">
        <f t="shared" si="4"/>
        <v>29</v>
      </c>
      <c r="T48">
        <f t="shared" si="5"/>
        <v>393.49995200000001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75</v>
      </c>
      <c r="M49" s="28">
        <f>IFERROR(VLOOKUP(E49,Scoring!$A$4:$N$51,14,FALSE())*2,"-")</f>
        <v>38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294.5</v>
      </c>
      <c r="S49">
        <f t="shared" si="4"/>
        <v>101</v>
      </c>
      <c r="T49">
        <f t="shared" si="5"/>
        <v>294.49995100000001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100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409</v>
      </c>
      <c r="S50">
        <f t="shared" si="4"/>
        <v>18</v>
      </c>
      <c r="T50">
        <f t="shared" si="5"/>
        <v>408.99995000000001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150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379</v>
      </c>
      <c r="S51">
        <f t="shared" si="4"/>
        <v>47</v>
      </c>
      <c r="T51">
        <f t="shared" si="5"/>
        <v>378.99994900000002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150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38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4.5</v>
      </c>
      <c r="R52" s="36">
        <f t="shared" si="3"/>
        <v>400.5</v>
      </c>
      <c r="S52">
        <f t="shared" si="4"/>
        <v>23</v>
      </c>
      <c r="T52">
        <f t="shared" si="5"/>
        <v>400.49994800000002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50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372</v>
      </c>
      <c r="S53">
        <f t="shared" si="4"/>
        <v>60</v>
      </c>
      <c r="T53">
        <f t="shared" si="5"/>
        <v>371.99994700000002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100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324</v>
      </c>
      <c r="S54">
        <f t="shared" si="4"/>
        <v>91</v>
      </c>
      <c r="T54">
        <f t="shared" si="5"/>
        <v>323.99994600000002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75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377</v>
      </c>
      <c r="S55">
        <f t="shared" si="4"/>
        <v>50</v>
      </c>
      <c r="T55">
        <f t="shared" si="5"/>
        <v>376.99994500000003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150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38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4.5</v>
      </c>
      <c r="R56" s="36">
        <f t="shared" si="3"/>
        <v>378.5</v>
      </c>
      <c r="S56">
        <f t="shared" si="4"/>
        <v>49</v>
      </c>
      <c r="T56">
        <f t="shared" si="5"/>
        <v>378.49994400000003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75</v>
      </c>
      <c r="M57" s="28">
        <f>IFERROR(VLOOKUP(E57,Scoring!$A$4:$N$51,14,FALSE())*2,"-")</f>
        <v>38</v>
      </c>
      <c r="N57" s="28">
        <f>IFERROR(VLOOKUP(F57,Scoring!$A$4:$N$51,14,FALSE()),"-")</f>
        <v>17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422</v>
      </c>
      <c r="S57">
        <f t="shared" si="4"/>
        <v>5</v>
      </c>
      <c r="T57">
        <f t="shared" si="5"/>
        <v>421.99994299999997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100</v>
      </c>
      <c r="L58" s="28">
        <f>IFERROR(VLOOKUP(D58,Scoring!$A$4:$N$51,14,FALSE())*3,"-")</f>
        <v>57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4.5</v>
      </c>
      <c r="R58" s="36">
        <f t="shared" si="3"/>
        <v>414.5</v>
      </c>
      <c r="S58">
        <f t="shared" si="4"/>
        <v>13</v>
      </c>
      <c r="T58">
        <f t="shared" si="5"/>
        <v>414.49994199999998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100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4.5</v>
      </c>
      <c r="R59" s="36">
        <f t="shared" si="3"/>
        <v>389.5</v>
      </c>
      <c r="S59">
        <f t="shared" si="4"/>
        <v>31</v>
      </c>
      <c r="T59">
        <f t="shared" si="5"/>
        <v>389.49994099999998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100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318</v>
      </c>
      <c r="S60">
        <f t="shared" si="4"/>
        <v>93</v>
      </c>
      <c r="T60">
        <f t="shared" si="5"/>
        <v>317.99993999999998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75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4.5</v>
      </c>
      <c r="R61" s="36">
        <f t="shared" si="3"/>
        <v>336.5</v>
      </c>
      <c r="S61">
        <f t="shared" si="4"/>
        <v>84</v>
      </c>
      <c r="T61">
        <f t="shared" si="5"/>
        <v>336.49993899999998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75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380</v>
      </c>
      <c r="S63">
        <f t="shared" si="4"/>
        <v>46</v>
      </c>
      <c r="T63">
        <f t="shared" si="5"/>
        <v>379.99993699999999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100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411</v>
      </c>
      <c r="S64">
        <f t="shared" si="4"/>
        <v>16</v>
      </c>
      <c r="T64">
        <f t="shared" si="5"/>
        <v>410.99993599999999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75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355</v>
      </c>
      <c r="S65">
        <f t="shared" si="4"/>
        <v>76</v>
      </c>
      <c r="T65">
        <f t="shared" si="5"/>
        <v>354.99993499999999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150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314</v>
      </c>
      <c r="S66">
        <f t="shared" si="4"/>
        <v>97</v>
      </c>
      <c r="T66">
        <f t="shared" si="5"/>
        <v>313.999934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150</v>
      </c>
      <c r="K67" s="28">
        <f>IFERROR(VLOOKUP(C67,Scoring!$A$4:$N$51,14,FALSE())*4,"-")</f>
        <v>76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4.5</v>
      </c>
      <c r="R67" s="36">
        <f t="shared" si="3"/>
        <v>394.5</v>
      </c>
      <c r="S67">
        <f t="shared" si="4"/>
        <v>28</v>
      </c>
      <c r="T67">
        <f t="shared" si="5"/>
        <v>394.499933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100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358</v>
      </c>
      <c r="S68">
        <f t="shared" ref="S68:S99" si="7">IF(A68="","",RANK(R68,$R$4:$R$119))</f>
        <v>74</v>
      </c>
      <c r="T68">
        <f t="shared" ref="T68:T99" si="8">IF(A68="",-1,R68-ROW(R68)/1000000)</f>
        <v>357.999932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75</v>
      </c>
      <c r="M69" s="28">
        <f>IFERROR(VLOOKUP(E69,Scoring!$A$4:$N$51,14,FALSE())*2,"-")</f>
        <v>38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4.5</v>
      </c>
      <c r="R69" s="36">
        <f t="shared" si="6"/>
        <v>381.5</v>
      </c>
      <c r="S69">
        <f t="shared" si="7"/>
        <v>43</v>
      </c>
      <c r="T69">
        <f t="shared" si="8"/>
        <v>381.499931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114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50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362</v>
      </c>
      <c r="S70">
        <f t="shared" si="7"/>
        <v>71</v>
      </c>
      <c r="T70">
        <f t="shared" si="8"/>
        <v>361.99993000000001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150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38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4.5</v>
      </c>
      <c r="R71" s="36">
        <f t="shared" si="6"/>
        <v>365.5</v>
      </c>
      <c r="S71">
        <f t="shared" si="7"/>
        <v>69</v>
      </c>
      <c r="T71">
        <f t="shared" si="8"/>
        <v>365.49992900000001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150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38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4.5</v>
      </c>
      <c r="R72" s="36">
        <f t="shared" si="6"/>
        <v>384.5</v>
      </c>
      <c r="S72">
        <f t="shared" si="7"/>
        <v>40</v>
      </c>
      <c r="T72">
        <f t="shared" si="8"/>
        <v>384.49992800000001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100</v>
      </c>
      <c r="L73" s="28">
        <f>IFERROR(VLOOKUP(D73,Scoring!$A$4:$N$51,14,FALSE())*3,"-")</f>
        <v>69</v>
      </c>
      <c r="M73" s="28">
        <f>IFERROR(VLOOKUP(E73,Scoring!$A$4:$N$51,14,FALSE())*2,"-")</f>
        <v>38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315</v>
      </c>
      <c r="S73">
        <f t="shared" si="7"/>
        <v>96</v>
      </c>
      <c r="T73">
        <f t="shared" si="8"/>
        <v>314.99992700000001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150</v>
      </c>
      <c r="K74" s="28">
        <f>IFERROR(VLOOKUP(C74,Scoring!$A$4:$N$51,14,FALSE())*4,"-")</f>
        <v>108</v>
      </c>
      <c r="L74" s="28">
        <f>IFERROR(VLOOKUP(D74,Scoring!$A$4:$N$51,14,FALSE())*3,"-")</f>
        <v>57</v>
      </c>
      <c r="M74" s="28">
        <f>IFERROR(VLOOKUP(E74,Scoring!$A$4:$N$51,14,FALSE())*2,"-")</f>
        <v>30</v>
      </c>
      <c r="N74" s="28">
        <f>IFERROR(VLOOKUP(F74,Scoring!$A$4:$N$51,14,FALSE()),"-")</f>
        <v>17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399.5</v>
      </c>
      <c r="S74">
        <f t="shared" si="7"/>
        <v>25</v>
      </c>
      <c r="T74">
        <f t="shared" si="8"/>
        <v>399.49992600000002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100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4.5</v>
      </c>
      <c r="R75" s="36">
        <f t="shared" si="6"/>
        <v>388.5</v>
      </c>
      <c r="S75">
        <f t="shared" si="7"/>
        <v>34</v>
      </c>
      <c r="T75">
        <f t="shared" si="8"/>
        <v>388.49992500000002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67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59" t="s">
        <v>60</v>
      </c>
      <c r="C77" s="43" t="s">
        <v>72</v>
      </c>
      <c r="D77" s="159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150</v>
      </c>
      <c r="K77" s="28">
        <f>IFERROR(VLOOKUP(C77,Scoring!$A$4:$N$51,14,FALSE())*4,"-")</f>
        <v>76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4.5</v>
      </c>
      <c r="R77" s="36">
        <f t="shared" si="6"/>
        <v>376.5</v>
      </c>
      <c r="S77">
        <f t="shared" si="7"/>
        <v>52</v>
      </c>
      <c r="T77">
        <f t="shared" si="8"/>
        <v>376.49992300000002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100</v>
      </c>
      <c r="L78" s="28">
        <f>IFERROR(VLOOKUP(D78,Scoring!$A$4:$N$51,14,FALSE())*3,"-")</f>
        <v>57</v>
      </c>
      <c r="M78" s="28">
        <f>IFERROR(VLOOKUP(E78,Scoring!$A$4:$N$51,14,FALSE())*2,"-")</f>
        <v>54</v>
      </c>
      <c r="N78" s="28">
        <f>IFERROR(VLOOKUP(F78,Scoring!$A$4:$N$51,14,FALSE()),"-")</f>
        <v>17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4.5</v>
      </c>
      <c r="R78" s="36">
        <f t="shared" si="6"/>
        <v>414.5</v>
      </c>
      <c r="S78">
        <f t="shared" si="7"/>
        <v>13</v>
      </c>
      <c r="T78">
        <f t="shared" si="8"/>
        <v>414.49992200000003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100</v>
      </c>
      <c r="L79" s="28">
        <f>IFERROR(VLOOKUP(D79,Scoring!$A$4:$N$51,14,FALSE())*3,"-")</f>
        <v>51</v>
      </c>
      <c r="M79" s="28">
        <f>IFERROR(VLOOKUP(E79,Scoring!$A$4:$N$51,14,FALSE())*2,"-")</f>
        <v>38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316</v>
      </c>
      <c r="S79">
        <f t="shared" si="7"/>
        <v>94</v>
      </c>
      <c r="T79">
        <f t="shared" si="8"/>
        <v>315.99992099999997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150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17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4.5</v>
      </c>
      <c r="R80" s="36">
        <f t="shared" si="6"/>
        <v>372.5</v>
      </c>
      <c r="S80">
        <f t="shared" si="7"/>
        <v>59</v>
      </c>
      <c r="T80">
        <f t="shared" si="8"/>
        <v>372.49991999999997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75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403</v>
      </c>
      <c r="S81">
        <f t="shared" si="7"/>
        <v>19</v>
      </c>
      <c r="T81">
        <f t="shared" si="8"/>
        <v>402.99991899999998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150</v>
      </c>
      <c r="K82" s="28">
        <f>IFERROR(VLOOKUP(C82,Scoring!$A$4:$N$51,14,FALSE())*4,"-")</f>
        <v>40</v>
      </c>
      <c r="L82" s="28">
        <f>IFERROR(VLOOKUP(D82,Scoring!$A$4:$N$51,14,FALSE())*3,"-")</f>
        <v>57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305.5</v>
      </c>
      <c r="S82">
        <f t="shared" si="7"/>
        <v>98</v>
      </c>
      <c r="T82">
        <f t="shared" si="8"/>
        <v>305.49991799999998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75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362</v>
      </c>
      <c r="S83">
        <f t="shared" si="7"/>
        <v>71</v>
      </c>
      <c r="T83">
        <f t="shared" si="8"/>
        <v>361.99991699999998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150</v>
      </c>
      <c r="K84" s="28">
        <f>IFERROR(VLOOKUP(C84,Scoring!$A$4:$N$51,14,FALSE())*4,"-")</f>
        <v>76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4.5</v>
      </c>
      <c r="R84" s="36">
        <f t="shared" si="6"/>
        <v>387.5</v>
      </c>
      <c r="S84">
        <f t="shared" si="7"/>
        <v>36</v>
      </c>
      <c r="T84">
        <f t="shared" si="8"/>
        <v>387.49991599999998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150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4.5</v>
      </c>
      <c r="R85" s="36">
        <f t="shared" si="6"/>
        <v>341.5</v>
      </c>
      <c r="S85">
        <f t="shared" si="7"/>
        <v>82</v>
      </c>
      <c r="T85">
        <f t="shared" si="8"/>
        <v>341.49991499999999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150</v>
      </c>
      <c r="K86" s="28">
        <f>IFERROR(VLOOKUP(C86,Scoring!$A$4:$N$51,14,FALSE())*4,"-")</f>
        <v>76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4.5</v>
      </c>
      <c r="R86" s="36">
        <f t="shared" si="6"/>
        <v>335.5</v>
      </c>
      <c r="S86">
        <f t="shared" si="7"/>
        <v>87</v>
      </c>
      <c r="T86">
        <f t="shared" si="8"/>
        <v>335.49991399999999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76</v>
      </c>
      <c r="L87" s="28">
        <f>IFERROR(VLOOKUP(D87,Scoring!$A$4:$N$51,14,FALSE())*3,"-")</f>
        <v>75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388</v>
      </c>
      <c r="S87">
        <f t="shared" si="7"/>
        <v>35</v>
      </c>
      <c r="T87">
        <f t="shared" si="8"/>
        <v>387.99991299999999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75</v>
      </c>
      <c r="M88" s="28">
        <f>IFERROR(VLOOKUP(E88,Scoring!$A$4:$N$51,14,FALSE())*2,"-")</f>
        <v>38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383</v>
      </c>
      <c r="S88">
        <f t="shared" si="7"/>
        <v>41</v>
      </c>
      <c r="T88">
        <f t="shared" si="8"/>
        <v>382.99991199999999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75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4.5</v>
      </c>
      <c r="R89" s="36">
        <f t="shared" si="6"/>
        <v>358.5</v>
      </c>
      <c r="S89">
        <f t="shared" si="7"/>
        <v>73</v>
      </c>
      <c r="T89">
        <f t="shared" si="8"/>
        <v>358.499911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100</v>
      </c>
      <c r="L90" s="28">
        <f>IFERROR(VLOOKUP(D90,Scoring!$A$4:$N$51,14,FALSE())*3,"-")</f>
        <v>57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389</v>
      </c>
      <c r="S90">
        <f t="shared" si="7"/>
        <v>33</v>
      </c>
      <c r="T90">
        <f t="shared" si="8"/>
        <v>388.99991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150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4.5</v>
      </c>
      <c r="R91" s="36">
        <f t="shared" si="6"/>
        <v>420.5</v>
      </c>
      <c r="S91">
        <f t="shared" si="7"/>
        <v>6</v>
      </c>
      <c r="T91">
        <f t="shared" si="8"/>
        <v>420.499909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75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381</v>
      </c>
      <c r="S92">
        <f t="shared" si="7"/>
        <v>45</v>
      </c>
      <c r="T92">
        <f t="shared" si="8"/>
        <v>380.999908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150</v>
      </c>
      <c r="K93" s="28">
        <f>IFERROR(VLOOKUP(C93,Scoring!$A$4:$N$51,14,FALSE())*4,"-")</f>
        <v>100</v>
      </c>
      <c r="L93" s="28">
        <f>IFERROR(VLOOKUP(D93,Scoring!$A$4:$N$51,14,FALSE())*3,"-")</f>
        <v>57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4.5</v>
      </c>
      <c r="R93" s="36">
        <f t="shared" si="6"/>
        <v>395.5</v>
      </c>
      <c r="S93">
        <f t="shared" si="7"/>
        <v>27</v>
      </c>
      <c r="T93">
        <f t="shared" si="8"/>
        <v>395.49990700000001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150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419</v>
      </c>
      <c r="S94">
        <f t="shared" si="7"/>
        <v>7</v>
      </c>
      <c r="T94">
        <f t="shared" si="8"/>
        <v>418.99990600000001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114</v>
      </c>
      <c r="K95" s="28">
        <f>IFERROR(VLOOKUP(C95,Scoring!$A$4:$N$51,14,FALSE())*4,"-")</f>
        <v>40</v>
      </c>
      <c r="L95" s="28">
        <f>IFERROR(VLOOKUP(D95,Scoring!$A$4:$N$51,14,FALSE())*3,"-")</f>
        <v>75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4.5</v>
      </c>
      <c r="R95" s="36">
        <f t="shared" si="6"/>
        <v>334.5</v>
      </c>
      <c r="S95">
        <f t="shared" si="7"/>
        <v>89</v>
      </c>
      <c r="T95">
        <f t="shared" si="8"/>
        <v>334.49990500000001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100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4.5</v>
      </c>
      <c r="R96" s="36">
        <f t="shared" si="6"/>
        <v>416.5</v>
      </c>
      <c r="S96">
        <f t="shared" si="7"/>
        <v>9</v>
      </c>
      <c r="T96">
        <f t="shared" si="8"/>
        <v>416.49990400000002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75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372</v>
      </c>
      <c r="S97">
        <f t="shared" si="7"/>
        <v>60</v>
      </c>
      <c r="T97">
        <f t="shared" si="8"/>
        <v>371.99990300000002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100</v>
      </c>
      <c r="L98" s="28">
        <f>IFERROR(VLOOKUP(D98,Scoring!$A$4:$N$51,14,FALSE())*3,"-")</f>
        <v>57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4.5</v>
      </c>
      <c r="R98" s="36">
        <f t="shared" si="6"/>
        <v>414.5</v>
      </c>
      <c r="S98">
        <f t="shared" si="7"/>
        <v>13</v>
      </c>
      <c r="T98">
        <f t="shared" si="8"/>
        <v>414.49990200000002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75</v>
      </c>
      <c r="M99" s="28">
        <f>IFERROR(VLOOKUP(E99,Scoring!$A$4:$N$51,14,FALSE())*2,"-")</f>
        <v>38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374</v>
      </c>
      <c r="S99">
        <f t="shared" si="7"/>
        <v>57</v>
      </c>
      <c r="T99">
        <f t="shared" si="8"/>
        <v>373.99990100000002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150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4.5</v>
      </c>
      <c r="R100" s="36">
        <f t="shared" ref="R100:R119" si="9">IF(A100="","-",SUM(J100:Q100))</f>
        <v>357.5</v>
      </c>
      <c r="S100">
        <f t="shared" ref="S100:S119" si="10">IF(A100="","",RANK(R100,$R$4:$R$119))</f>
        <v>75</v>
      </c>
      <c r="T100">
        <f t="shared" ref="T100:T119" si="11">IF(A100="",-1,R100-ROW(R100)/1000000)</f>
        <v>357.49990000000003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114</v>
      </c>
      <c r="K101" s="28">
        <f>IFERROR(VLOOKUP(C101,Scoring!$A$4:$N$51,14,FALSE())*4,"-")</f>
        <v>100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4.5</v>
      </c>
      <c r="R101" s="36">
        <f t="shared" si="9"/>
        <v>349.5</v>
      </c>
      <c r="S101">
        <f t="shared" si="10"/>
        <v>78</v>
      </c>
      <c r="T101">
        <f t="shared" si="11"/>
        <v>349.49989900000003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150</v>
      </c>
      <c r="K102" s="28">
        <f>IFERROR(VLOOKUP(C102,Scoring!$A$4:$N$51,14,FALSE())*4,"-")</f>
        <v>76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4.5</v>
      </c>
      <c r="R102" s="36">
        <f t="shared" si="9"/>
        <v>410.5</v>
      </c>
      <c r="S102">
        <f t="shared" si="10"/>
        <v>17</v>
      </c>
      <c r="T102">
        <f t="shared" si="11"/>
        <v>410.49989799999997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100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17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4.5</v>
      </c>
      <c r="R103" s="36">
        <f t="shared" si="9"/>
        <v>363.5</v>
      </c>
      <c r="S103">
        <f t="shared" si="10"/>
        <v>70</v>
      </c>
      <c r="T103">
        <f t="shared" si="11"/>
        <v>363.49989699999998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150</v>
      </c>
      <c r="K104" s="28">
        <f>IFERROR(VLOOKUP(C104,Scoring!$A$4:$N$51,14,FALSE())*4,"-")</f>
        <v>76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329</v>
      </c>
      <c r="S104">
        <f t="shared" si="10"/>
        <v>90</v>
      </c>
      <c r="T104">
        <f t="shared" si="11"/>
        <v>328.99989599999998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100</v>
      </c>
      <c r="L105" s="28">
        <f>IFERROR(VLOOKUP(D105,Scoring!$A$4:$N$51,14,FALSE())*3,"-")</f>
        <v>45</v>
      </c>
      <c r="M105" s="28">
        <f>IFERROR(VLOOKUP(E105,Scoring!$A$4:$N$51,14,FALSE())*2,"-")</f>
        <v>38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377</v>
      </c>
      <c r="S105">
        <f t="shared" si="10"/>
        <v>50</v>
      </c>
      <c r="T105">
        <f t="shared" si="11"/>
        <v>376.99989499999998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150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38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419</v>
      </c>
      <c r="S106">
        <f t="shared" si="10"/>
        <v>7</v>
      </c>
      <c r="T106">
        <f t="shared" si="11"/>
        <v>418.99989399999998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75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415</v>
      </c>
      <c r="S108">
        <f t="shared" si="10"/>
        <v>12</v>
      </c>
      <c r="T108">
        <f t="shared" si="11"/>
        <v>414.99989199999999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336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348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371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381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399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21.5</v>
      </c>
      <c r="N11" s="110">
        <f t="shared" si="1"/>
        <v>17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3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18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29.5</v>
      </c>
      <c r="N32" s="110">
        <f t="shared" si="1"/>
        <v>25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4.5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23.5</v>
      </c>
      <c r="N40" s="110">
        <f t="shared" si="1"/>
        <v>19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2026-07-07T02:28:12Z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