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515C2F12-A216-4C5F-9C2E-A4D8C07562C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K51" i="1" s="1"/>
  <c r="BM51" i="1" s="1" a="1"/>
  <c r="BE51" i="1" a="1"/>
  <c r="BE51" i="1" s="1"/>
  <c r="AE51" i="1"/>
  <c r="D51" i="1"/>
  <c r="C51" i="1"/>
  <c r="B51" i="1"/>
  <c r="BO50" i="1" a="1"/>
  <c r="BN50" i="1" a="1"/>
  <c r="BK50" i="1"/>
  <c r="BM50" i="1" s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K49" i="1" s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K48" i="1" s="1"/>
  <c r="BM48" i="1" s="1" a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M51" i="1" l="1"/>
  <c r="BM49" i="1" a="1"/>
  <c r="BM49" i="1" s="1"/>
  <c r="BO49" i="1"/>
  <c r="BH51" i="1"/>
  <c r="BM48" i="1"/>
  <c r="BO48" i="1"/>
  <c r="BM50" i="1"/>
  <c r="BN48" i="1"/>
  <c r="BN50" i="1"/>
  <c r="BO50" i="1"/>
  <c r="BH49" i="1"/>
  <c r="BN51" i="1"/>
  <c r="BN49" i="1"/>
  <c r="BO51" i="1"/>
  <c r="BL51" i="1" s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38" i="1" l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P7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39" i="1" l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Q37" i="1" l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<sst xmlns="http://schemas.openxmlformats.org/spreadsheetml/2006/main" count="6931" uniqueCount="1447">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</sst>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39" activePane="bottomLeft" state="frozen"/>
      <selection pane="bottomLeft" activeCell="H47" sqref="H47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1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0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1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1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1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1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0</v>
      </c>
      <c r="P15" s="11" t="str">
        <f>INDEX(BI12:BI15,MATCH(3,BL12:BL15,0))&amp;" - "&amp;INDEX(BJ12:BJ15,MATCH(3,BL12:BL15,0))</f>
        <v>1 - 1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1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1</v>
      </c>
      <c r="BJ15">
        <f t="array" ref="BJ15">SUMPRODUCT((E11:E16=BD15)*IFERROR(G11:G16,0))+SUMPRODUCT((H11:H16=BD15)*IFERROR(F11:F16,0))</f>
        <v>1</v>
      </c>
      <c r="BK15">
        <f>BF15*3+BG15</f>
        <v>1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1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1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1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0</v>
      </c>
      <c r="P16" s="18" t="str">
        <f>INDEX(BI12:BI15,MATCH(4,BL12:BL15,0))&amp;" - "&amp;INDEX(BJ12:BJ15,MATCH(4,BL12:BL15,0))</f>
        <v>1 - 1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BCFGHIJK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J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I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1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2</v>
      </c>
      <c r="AV82" t="str">
        <f>IFERROR(INDEX($AQ$81:$AQ$92,MATCH(2,$AT$81:$AT$92,0)),"")</f>
        <v>Qatar</v>
      </c>
      <c r="AW82" t="str">
        <f>IFERROR(INDEX($AN$81:$AN$92,MATCH(2,$AT$81:$AT$92,0)),"")</f>
        <v>B</v>
      </c>
      <c r="BU82">
        <f>IFERROR(INDEX(BI12:BI15,MATCH(3,BL12:BL15,0)),0)</f>
        <v>1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3</v>
      </c>
      <c r="AV83" t="str">
        <f>IFERROR(INDEX($AQ$81:$AQ$92,MATCH(3,$AT$81:$AT$92,0)),"")</f>
        <v>Morocco</v>
      </c>
      <c r="AW83" t="str">
        <f>IFERROR(INDEX($AN$81:$AN$92,MATCH(3,$AT$81:$AT$92,0)),"")</f>
        <v>C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Iran</v>
      </c>
      <c r="AW84" t="str">
        <f>IFERROR(INDEX($AN$81:$AN$92,MATCH(4,$AT$81:$AT$92,0)),"")</f>
        <v>G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11</v>
      </c>
      <c r="AV85" t="str">
        <f>IFERROR(INDEX($AQ$81:$AQ$92,MATCH(5,$AT$81:$AT$92,0)),"")</f>
        <v>Saudi Arabia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Iraq</v>
      </c>
      <c r="AW86" t="str">
        <f>IFERROR(INDEX($AN$81:$AN$92,MATCH(6,$AT$81:$AT$92,0)),"")</f>
        <v>I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Austria</v>
      </c>
      <c r="AW87" t="str">
        <f>IFERROR(INDEX($AN$81:$AN$92,MATCH(7,$AT$81:$AT$92,0)),"")</f>
        <v>J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Uzbekistan</v>
      </c>
      <c r="AW88" t="str">
        <f>IFERROR(INDEX($AN$81:$AN$92,MATCH(8,$AT$81:$AT$92,0)),"")</f>
        <v>K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6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7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8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C19" sqref="C19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32.5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32.5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Tomas Bruzga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28.5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28.5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Eugenijus Petrošius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26.5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26.5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Arūnas Čižauskas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23.5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23.5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2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4</v>
      </c>
      <c r="B8" s="27" t="str">
        <f>IF(5&gt;COUNTIF(' Toto teams'!$A$4:$A$119,"&lt;&gt;"),"",INDEX(' Toto teams'!$A$4:$A$119,MATCH(LARGE(' Toto teams'!$T$4:$T$119,5),' Toto teams'!$T$4:$T$119,0)))</f>
        <v>Donatas Celesius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23.5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23.5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Mindaugas Sipavičius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22.5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22.5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Algirdas Čižauskas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20.5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20.5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Jurga Šantaraitė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19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19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2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8</v>
      </c>
      <c r="B12" s="27" t="str">
        <f>IF(9&gt;COUNTIF(' Toto teams'!$A$4:$A$119,"&lt;&gt;"),"",INDEX(' Toto teams'!$A$4:$A$119,MATCH(LARGE(' Toto teams'!$T$4:$T$119,9),' Toto teams'!$T$4:$T$119,0)))</f>
        <v>Mario Calvi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19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19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Juozas Žimkus Jr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18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18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Vaidas Pažusys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18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18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Simonas Anikinas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17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17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Lukas Danielevičius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16.5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16.5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Sigitas Šarauskis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16.5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16.5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Sigitas Petraitis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15.5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15.5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15</v>
      </c>
      <c r="B19" s="27" t="str">
        <f>IF(16&gt;COUNTIF(' Toto teams'!$A$4:$A$119,"&lt;&gt;"),"",INDEX(' Toto teams'!$A$4:$A$119,MATCH(LARGE(' Toto teams'!$T$4:$T$119,16),' Toto teams'!$T$4:$T$119,0)))</f>
        <v>Rolandas Urbelis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15.5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15.5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Sergey Zhaltuchin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15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Rustam Roikov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14.5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Edgar Moroz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14.5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Martynas Bruzga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14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Donatas Keras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13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Donatas Bakėjus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13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Aurimas Oleknavičius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13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Simas Baubonis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12.5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12.5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Dainius Visackas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12.5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12.5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Kristina 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12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Ivan Manev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12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12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Tomas Šunskis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12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Dobilas III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11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11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29</v>
      </c>
      <c r="B33" s="27" t="str">
        <f>IF(30&gt;COUNTIF(' Toto teams'!$A$4:$A$119,"&lt;&gt;"),"",INDEX(' Toto teams'!$A$4:$A$119,MATCH(LARGE(' Toto teams'!$T$4:$T$119,30),' Toto teams'!$T$4:$T$119,0)))</f>
        <v>Alius Antulis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11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11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29</v>
      </c>
      <c r="B34" s="27" t="str">
        <f>IF(31&gt;COUNTIF(' Toto teams'!$A$4:$A$119,"&lt;&gt;"),"",INDEX(' Toto teams'!$A$4:$A$119,MATCH(LARGE(' Toto teams'!$T$4:$T$119,31),' Toto teams'!$T$4:$T$119,0)))</f>
        <v>Edita Oršauskė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11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11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29</v>
      </c>
      <c r="B35" s="27" t="str">
        <f>IF(32&gt;COUNTIF(' Toto teams'!$A$4:$A$119,"&lt;&gt;"),"",INDEX(' Toto teams'!$A$4:$A$119,MATCH(LARGE(' Toto teams'!$T$4:$T$119,32),' Toto teams'!$T$4:$T$119,0)))</f>
        <v>Dainius Breivė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11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11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29</v>
      </c>
      <c r="B36" s="27" t="str">
        <f>IF(33&gt;COUNTIF(' Toto teams'!$A$4:$A$119,"&lt;&gt;"),"",INDEX(' Toto teams'!$A$4:$A$119,MATCH(LARGE(' Toto teams'!$T$4:$T$119,33),' Toto teams'!$T$4:$T$119,0)))</f>
        <v>Zaur Yusubov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11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29</v>
      </c>
      <c r="B37" s="27" t="str">
        <f>IF(34&gt;COUNTIF(' Toto teams'!$A$4:$A$119,"&lt;&gt;"),"",INDEX(' Toto teams'!$A$4:$A$119,MATCH(LARGE(' Toto teams'!$T$4:$T$119,34),' Toto teams'!$T$4:$T$119,0)))</f>
        <v>Alberto Canova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11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11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29</v>
      </c>
      <c r="B38" s="27" t="str">
        <f>IF(35&gt;COUNTIF(' Toto teams'!$A$4:$A$119,"&lt;&gt;"),"",INDEX(' Toto teams'!$A$4:$A$119,MATCH(LARGE(' Toto teams'!$T$4:$T$119,35),' Toto teams'!$T$4:$T$119,0)))</f>
        <v>Paolo Papiri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11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11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29</v>
      </c>
      <c r="B39" s="27" t="str">
        <f>IF(36&gt;COUNTIF(' Toto teams'!$A$4:$A$119,"&lt;&gt;"),"",INDEX(' Toto teams'!$A$4:$A$119,MATCH(LARGE(' Toto teams'!$T$4:$T$119,36),' Toto teams'!$T$4:$T$119,0)))</f>
        <v>Joris Jalo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11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11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Gintautas Beržanskis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10.5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10.5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Denis Kazarezov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10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10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Egidijus Mačiukas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10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10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38</v>
      </c>
      <c r="B43" s="27" t="str">
        <f>IF(40&gt;COUNTIF(' Toto teams'!$A$4:$A$119,"&lt;&gt;"),"",INDEX(' Toto teams'!$A$4:$A$119,MATCH(LARGE(' Toto teams'!$T$4:$T$119,40),' Toto teams'!$T$4:$T$119,0)))</f>
        <v>Jonas Juška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10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10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38</v>
      </c>
      <c r="B44" s="27" t="str">
        <f>IF(41&gt;COUNTIF(' Toto teams'!$A$4:$A$119,"&lt;&gt;"),"",INDEX(' Toto teams'!$A$4:$A$119,MATCH(LARGE(' Toto teams'!$T$4:$T$119,41),' Toto teams'!$T$4:$T$119,0)))</f>
        <v>Tihomir Chakarov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10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10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38</v>
      </c>
      <c r="B45" s="27" t="str">
        <f>IF(42&gt;COUNTIF(' Toto teams'!$A$4:$A$119,"&lt;&gt;"),"",INDEX(' Toto teams'!$A$4:$A$119,MATCH(LARGE(' Toto teams'!$T$4:$T$119,42),' Toto teams'!$T$4:$T$119,0)))</f>
        <v>Danielius Pažusys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10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10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38</v>
      </c>
      <c r="B46" s="27" t="str">
        <f>IF(43&gt;COUNTIF(' Toto teams'!$A$4:$A$119,"&lt;&gt;"),"",INDEX(' Toto teams'!$A$4:$A$119,MATCH(LARGE(' Toto teams'!$T$4:$T$119,43),' Toto teams'!$T$4:$T$119,0)))</f>
        <v>Davide Speranza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10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10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38</v>
      </c>
      <c r="B47" s="27" t="str">
        <f>IF(44&gt;COUNTIF(' Toto teams'!$A$4:$A$119,"&lt;&gt;"),"",INDEX(' Toto teams'!$A$4:$A$119,MATCH(LARGE(' Toto teams'!$T$4:$T$119,44),' Toto teams'!$T$4:$T$119,0)))</f>
        <v>Benediktas Babraitis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10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10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38</v>
      </c>
      <c r="B48" s="27" t="str">
        <f>IF(45&gt;COUNTIF(' Toto teams'!$A$4:$A$119,"&lt;&gt;"),"",INDEX(' Toto teams'!$A$4:$A$119,MATCH(LARGE(' Toto teams'!$T$4:$T$119,45),' Toto teams'!$T$4:$T$119,0)))</f>
        <v>Benas&amp;Šaras Oleknavičius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10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10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Andrea Signorini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9.5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9.5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Sofus Wolke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9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9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Susie Wolke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9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9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47</v>
      </c>
      <c r="B52" s="27" t="str">
        <f>IF(49&gt;COUNTIF(' Toto teams'!$A$4:$A$119,"&lt;&gt;"),"",INDEX(' Toto teams'!$A$4:$A$119,MATCH(LARGE(' Toto teams'!$T$4:$T$119,49),' Toto teams'!$T$4:$T$119,0)))</f>
        <v>Todor Velikov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9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9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47</v>
      </c>
      <c r="B53" s="27" t="str">
        <f>IF(50&gt;COUNTIF(' Toto teams'!$A$4:$A$119,"&lt;&gt;"),"",INDEX(' Toto teams'!$A$4:$A$119,MATCH(LARGE(' Toto teams'!$T$4:$T$119,50),' Toto teams'!$T$4:$T$119,0)))</f>
        <v>Karolis Marcinkevičius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9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9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47</v>
      </c>
      <c r="B54" s="27" t="str">
        <f>IF(51&gt;COUNTIF(' Toto teams'!$A$4:$A$119,"&lt;&gt;"),"",INDEX(' Toto teams'!$A$4:$A$119,MATCH(LARGE(' Toto teams'!$T$4:$T$119,51),' Toto teams'!$T$4:$T$119,0)))</f>
        <v>Kamran Mikayilov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9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9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47</v>
      </c>
      <c r="B55" s="27" t="str">
        <f>IF(52&gt;COUNTIF(' Toto teams'!$A$4:$A$119,"&lt;&gt;"),"",INDEX(' Toto teams'!$A$4:$A$119,MATCH(LARGE(' Toto teams'!$T$4:$T$119,52),' Toto teams'!$T$4:$T$119,0)))</f>
        <v>Saulius Pipiras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9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9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47</v>
      </c>
      <c r="B56" s="27" t="str">
        <f>IF(53&gt;COUNTIF(' Toto teams'!$A$4:$A$119,"&lt;&gt;"),"",INDEX(' Toto teams'!$A$4:$A$119,MATCH(LARGE(' Toto teams'!$T$4:$T$119,53),' Toto teams'!$T$4:$T$119,0)))</f>
        <v xml:space="preserve">Paulius Bernotas 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9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9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47</v>
      </c>
      <c r="B57" s="27" t="str">
        <f>IF(54&gt;COUNTIF(' Toto teams'!$A$4:$A$119,"&lt;&gt;"),"",INDEX(' Toto teams'!$A$4:$A$119,MATCH(LARGE(' Toto teams'!$T$4:$T$119,54),' Toto teams'!$T$4:$T$119,0)))</f>
        <v>Virginija Čižauskienė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9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9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47</v>
      </c>
      <c r="B58" s="27" t="str">
        <f>IF(55&gt;COUNTIF(' Toto teams'!$A$4:$A$119,"&lt;&gt;"),"",INDEX(' Toto teams'!$A$4:$A$119,MATCH(LARGE(' Toto teams'!$T$4:$T$119,55),' Toto teams'!$T$4:$T$119,0)))</f>
        <v>Nikolay Lenkov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9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9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47</v>
      </c>
      <c r="B59" s="27" t="str">
        <f>IF(56&gt;COUNTIF(' Toto teams'!$A$4:$A$119,"&lt;&gt;"),"",INDEX(' Toto teams'!$A$4:$A$119,MATCH(LARGE(' Toto teams'!$T$4:$T$119,56),' Toto teams'!$T$4:$T$119,0)))</f>
        <v>Mindaugas Čižauskas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9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9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47</v>
      </c>
      <c r="B60" s="27" t="str">
        <f>IF(57&gt;COUNTIF(' Toto teams'!$A$4:$A$119,"&lt;&gt;"),"",INDEX(' Toto teams'!$A$4:$A$119,MATCH(LARGE(' Toto teams'!$T$4:$T$119,57),' Toto teams'!$T$4:$T$119,0)))</f>
        <v>Michele Sette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9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9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47</v>
      </c>
      <c r="B61" s="27" t="str">
        <f>IF(58&gt;COUNTIF(' Toto teams'!$A$4:$A$119,"&lt;&gt;"),"",INDEX(' Toto teams'!$A$4:$A$119,MATCH(LARGE(' Toto teams'!$T$4:$T$119,58),' Toto teams'!$T$4:$T$119,0)))</f>
        <v>Gintas Bungarda 2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9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9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Nadia Mercurio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8.5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8.5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59</v>
      </c>
      <c r="B63" s="27" t="str">
        <f>IF(60&gt;COUNTIF(' Toto teams'!$A$4:$A$119,"&lt;&gt;"),"",INDEX(' Toto teams'!$A$4:$A$119,MATCH(LARGE(' Toto teams'!$T$4:$T$119,60),' Toto teams'!$T$4:$T$119,0)))</f>
        <v>Pijus Jalo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8.5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8.5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Saulius Lileikis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8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8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61</v>
      </c>
      <c r="B65" s="27" t="str">
        <f>IF(62&gt;COUNTIF(' Toto teams'!$A$4:$A$119,"&lt;&gt;"),"",INDEX(' Toto teams'!$A$4:$A$119,MATCH(LARGE(' Toto teams'!$T$4:$T$119,62),' Toto teams'!$T$4:$T$119,0)))</f>
        <v>Elijus Benetis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8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8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61</v>
      </c>
      <c r="B66" s="27" t="str">
        <f>IF(63&gt;COUNTIF(' Toto teams'!$A$4:$A$119,"&lt;&gt;"),"",INDEX(' Toto teams'!$A$4:$A$119,MATCH(LARGE(' Toto teams'!$T$4:$T$119,63),' Toto teams'!$T$4:$T$119,0)))</f>
        <v>Aurimas Šumbrauskis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8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8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61</v>
      </c>
      <c r="B67" s="27" t="str">
        <f>IF(64&gt;COUNTIF(' Toto teams'!$A$4:$A$119,"&lt;&gt;"),"",INDEX(' Toto teams'!$A$4:$A$119,MATCH(LARGE(' Toto teams'!$T$4:$T$119,64),' Toto teams'!$T$4:$T$119,0)))</f>
        <v>Dovilė Smetonė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8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8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61</v>
      </c>
      <c r="B68" s="27" t="str">
        <f>IF(65&gt;COUNTIF(' Toto teams'!$A$4:$A$119,"&lt;&gt;"),"",INDEX(' Toto teams'!$A$4:$A$119,MATCH(LARGE(' Toto teams'!$T$4:$T$119,65),' Toto teams'!$T$4:$T$119,0)))</f>
        <v>Evelina Tiščenkė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8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8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61</v>
      </c>
      <c r="B69" s="27" t="str">
        <f>IF(66&gt;COUNTIF(' Toto teams'!$A$4:$A$119,"&lt;&gt;"),"",INDEX(' Toto teams'!$A$4:$A$119,MATCH(LARGE(' Toto teams'!$T$4:$T$119,66),' Toto teams'!$T$4:$T$119,0)))</f>
        <v>Gianmarco Monti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8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8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61</v>
      </c>
      <c r="B70" s="27" t="str">
        <f>IF(67&gt;COUNTIF(' Toto teams'!$A$4:$A$119,"&lt;&gt;"),"",INDEX(' Toto teams'!$A$4:$A$119,MATCH(LARGE(' Toto teams'!$T$4:$T$119,67),' Toto teams'!$T$4:$T$119,0)))</f>
        <v>Raimondas Juška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8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8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61</v>
      </c>
      <c r="B71" s="27" t="str">
        <f>IF(68&gt;COUNTIF(' Toto teams'!$A$4:$A$119,"&lt;&gt;"),"",INDEX(' Toto teams'!$A$4:$A$119,MATCH(LARGE(' Toto teams'!$T$4:$T$119,68),' Toto teams'!$T$4:$T$119,0)))</f>
        <v>Sampaio Carlos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8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61</v>
      </c>
      <c r="B72" s="27" t="str">
        <f>IF(69&gt;COUNTIF(' Toto teams'!$A$4:$A$119,"&lt;&gt;"),"",INDEX(' Toto teams'!$A$4:$A$119,MATCH(LARGE(' Toto teams'!$T$4:$T$119,69),' Toto teams'!$T$4:$T$119,0)))</f>
        <v>Paulina Bungardė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8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8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61</v>
      </c>
      <c r="B73" s="27" t="str">
        <f>IF(70&gt;COUNTIF(' Toto teams'!$A$4:$A$119,"&lt;&gt;"),"",INDEX(' Toto teams'!$A$4:$A$119,MATCH(LARGE(' Toto teams'!$T$4:$T$119,70),' Toto teams'!$T$4:$T$119,0)))</f>
        <v>Deividas Jančius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8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8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61</v>
      </c>
      <c r="B74" s="27" t="str">
        <f>IF(71&gt;COUNTIF(' Toto teams'!$A$4:$A$119,"&lt;&gt;"),"",INDEX(' Toto teams'!$A$4:$A$119,MATCH(LARGE(' Toto teams'!$T$4:$T$119,71),' Toto teams'!$T$4:$T$119,0)))</f>
        <v>Ernesta Čebienė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8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8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61</v>
      </c>
      <c r="B75" s="27" t="str">
        <f>IF(72&gt;COUNTIF(' Toto teams'!$A$4:$A$119,"&lt;&gt;"),"",INDEX(' Toto teams'!$A$4:$A$119,MATCH(LARGE(' Toto teams'!$T$4:$T$119,72),' Toto teams'!$T$4:$T$119,0)))</f>
        <v>Audi club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8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8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61</v>
      </c>
      <c r="B76" s="27" t="str">
        <f>IF(73&gt;COUNTIF(' Toto teams'!$A$4:$A$119,"&lt;&gt;"),"",INDEX(' Toto teams'!$A$4:$A$119,MATCH(LARGE(' Toto teams'!$T$4:$T$119,73),' Toto teams'!$T$4:$T$119,0)))</f>
        <v>Arnoldas Molis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8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8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Thomas Wolke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7.5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7.5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74</v>
      </c>
      <c r="B78" s="27" t="str">
        <f>IF(75&gt;COUNTIF(' Toto teams'!$A$4:$A$119,"&lt;&gt;"),"",INDEX(' Toto teams'!$A$4:$A$119,MATCH(LARGE(' Toto teams'!$T$4:$T$119,75),' Toto teams'!$T$4:$T$119,0)))</f>
        <v>Yagub Alizada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7.5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7.5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Donatas Pocius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7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7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76</v>
      </c>
      <c r="B80" s="27" t="str">
        <f>IF(77&gt;COUNTIF(' Toto teams'!$A$4:$A$119,"&lt;&gt;"),"",INDEX(' Toto teams'!$A$4:$A$119,MATCH(LARGE(' Toto teams'!$T$4:$T$119,77),' Toto teams'!$T$4:$T$119,0)))</f>
        <v>Giedrius Šadbaras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7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7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76</v>
      </c>
      <c r="B81" s="27" t="str">
        <f>IF(78&gt;COUNTIF(' Toto teams'!$A$4:$A$119,"&lt;&gt;"),"",INDEX(' Toto teams'!$A$4:$A$119,MATCH(LARGE(' Toto teams'!$T$4:$T$119,78),' Toto teams'!$T$4:$T$119,0)))</f>
        <v>Justinas Novoruckis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7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7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76</v>
      </c>
      <c r="B82" s="27" t="str">
        <f>IF(79&gt;COUNTIF(' Toto teams'!$A$4:$A$119,"&lt;&gt;"),"",INDEX(' Toto teams'!$A$4:$A$119,MATCH(LARGE(' Toto teams'!$T$4:$T$119,79),' Toto teams'!$T$4:$T$119,0)))</f>
        <v>Vytautas Podrezas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7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7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76</v>
      </c>
      <c r="B83" s="27" t="str">
        <f>IF(80&gt;COUNTIF(' Toto teams'!$A$4:$A$119,"&lt;&gt;"),"",INDEX(' Toto teams'!$A$4:$A$119,MATCH(LARGE(' Toto teams'!$T$4:$T$119,80),' Toto teams'!$T$4:$T$119,0)))</f>
        <v>Simonas Sipavičius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7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7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Vytautas Gliaubicas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6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6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81</v>
      </c>
      <c r="B85" s="27" t="str">
        <f>IF(82&gt;COUNTIF(' Toto teams'!$A$4:$A$119,"&lt;&gt;"),"",INDEX(' Toto teams'!$A$4:$A$119,MATCH(LARGE(' Toto teams'!$T$4:$T$119,82),' Toto teams'!$T$4:$T$119,0)))</f>
        <v>Benas Bruzga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6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6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81</v>
      </c>
      <c r="B86" s="27" t="str">
        <f>IF(83&gt;COUNTIF(' Toto teams'!$A$4:$A$119,"&lt;&gt;"),"",INDEX(' Toto teams'!$A$4:$A$119,MATCH(LARGE(' Toto teams'!$T$4:$T$119,83),' Toto teams'!$T$4:$T$119,0)))</f>
        <v>Gedas Girdžiūnas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6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6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81</v>
      </c>
      <c r="B87" s="27" t="str">
        <f>IF(84&gt;COUNTIF(' Toto teams'!$A$4:$A$119,"&lt;&gt;"),"",INDEX(' Toto teams'!$A$4:$A$119,MATCH(LARGE(' Toto teams'!$T$4:$T$119,84),' Toto teams'!$T$4:$T$119,0)))</f>
        <v>Deividas Jodenis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6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6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81</v>
      </c>
      <c r="B88" s="27" t="str">
        <f>IF(85&gt;COUNTIF(' Toto teams'!$A$4:$A$119,"&lt;&gt;"),"",INDEX(' Toto teams'!$A$4:$A$119,MATCH(LARGE(' Toto teams'!$T$4:$T$119,85),' Toto teams'!$T$4:$T$119,0)))</f>
        <v>N&amp;A Pociai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6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6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81</v>
      </c>
      <c r="B89" s="27" t="str">
        <f>IF(86&gt;COUNTIF(' Toto teams'!$A$4:$A$119,"&lt;&gt;"),"",INDEX(' Toto teams'!$A$4:$A$119,MATCH(LARGE(' Toto teams'!$T$4:$T$119,86),' Toto teams'!$T$4:$T$119,0)))</f>
        <v>Enrico Ancarola, Pietro Rivera, Riccardo Gatti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81</v>
      </c>
      <c r="B90" s="27" t="str">
        <f>IF(87&gt;COUNTIF(' Toto teams'!$A$4:$A$119,"&lt;&gt;"),"",INDEX(' Toto teams'!$A$4:$A$119,MATCH(LARGE(' Toto teams'!$T$4:$T$119,87),' Toto teams'!$T$4:$T$119,0)))</f>
        <v>Giedrius Stanulis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6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6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Egidijus Navickas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5.5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5.5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Gintarė Paipulė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5.5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5.5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Žygimantas Ryliškis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90</v>
      </c>
      <c r="B94" s="27" t="str">
        <f>IF(91&gt;COUNTIF(' Toto teams'!$A$4:$A$119,"&lt;&gt;"),"",INDEX(' Toto teams'!$A$4:$A$119,MATCH(LARGE(' Toto teams'!$T$4:$T$119,91),' Toto teams'!$T$4:$T$119,0)))</f>
        <v>Simona Jociūtė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90</v>
      </c>
      <c r="B95" s="27" t="str">
        <f>IF(92&gt;COUNTIF(' Toto teams'!$A$4:$A$119,"&lt;&gt;"),"",INDEX(' Toto teams'!$A$4:$A$119,MATCH(LARGE(' Toto teams'!$T$4:$T$119,92),' Toto teams'!$T$4:$T$119,0)))</f>
        <v>Anton Panasenko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90</v>
      </c>
      <c r="B96" s="27" t="str">
        <f>IF(93&gt;COUNTIF(' Toto teams'!$A$4:$A$119,"&lt;&gt;"),"",INDEX(' Toto teams'!$A$4:$A$119,MATCH(LARGE(' Toto teams'!$T$4:$T$119,93),' Toto teams'!$T$4:$T$119,0)))</f>
        <v>Lukas Vaitukaitis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90</v>
      </c>
      <c r="B97" s="27" t="str">
        <f>IF(94&gt;COUNTIF(' Toto teams'!$A$4:$A$119,"&lt;&gt;"),"",INDEX(' Toto teams'!$A$4:$A$119,MATCH(LARGE(' Toto teams'!$T$4:$T$119,94),' Toto teams'!$T$4:$T$119,0)))</f>
        <v>Artem Lavrov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90</v>
      </c>
      <c r="B98" s="27" t="str">
        <f>IF(95&gt;COUNTIF(' Toto teams'!$A$4:$A$119,"&lt;&gt;"),"",INDEX(' Toto teams'!$A$4:$A$119,MATCH(LARGE(' Toto teams'!$T$4:$T$119,95),' Toto teams'!$T$4:$T$119,0)))</f>
        <v>Gintas Bungarda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90</v>
      </c>
      <c r="B99" s="27" t="str">
        <f>IF(96&gt;COUNTIF(' Toto teams'!$A$4:$A$119,"&lt;&gt;"),"",INDEX(' Toto teams'!$A$4:$A$119,MATCH(LARGE(' Toto teams'!$T$4:$T$119,96),' Toto teams'!$T$4:$T$119,0)))</f>
        <v>Darius Jalo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90</v>
      </c>
      <c r="B100" s="27" t="str">
        <f>IF(97&gt;COUNTIF(' Toto teams'!$A$4:$A$119,"&lt;&gt;"),"",INDEX(' Toto teams'!$A$4:$A$119,MATCH(LARGE(' Toto teams'!$T$4:$T$119,97),' Toto teams'!$T$4:$T$119,0)))</f>
        <v>Rimas Baubonis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90</v>
      </c>
      <c r="B101" s="27" t="str">
        <f>IF(98&gt;COUNTIF(' Toto teams'!$A$4:$A$119,"&lt;&gt;"),"",INDEX(' Toto teams'!$A$4:$A$119,MATCH(LARGE(' Toto teams'!$T$4:$T$119,98),' Toto teams'!$T$4:$T$119,0)))</f>
        <v>Jokūbas Kušleika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Slava Maltsev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4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99</v>
      </c>
      <c r="B103" s="27" t="str">
        <f>IF(100&gt;COUNTIF(' Toto teams'!$A$4:$A$119,"&lt;&gt;"),"",INDEX(' Toto teams'!$A$4:$A$119,MATCH(LARGE(' Toto teams'!$T$4:$T$119,100),' Toto teams'!$T$4:$T$119,0)))</f>
        <v>Alexey Nikitenko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4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4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99</v>
      </c>
      <c r="B104" s="27" t="str">
        <f>IF(101&gt;COUNTIF(' Toto teams'!$A$4:$A$119,"&lt;&gt;"),"",INDEX(' Toto teams'!$A$4:$A$119,MATCH(LARGE(' Toto teams'!$T$4:$T$119,101),' Toto teams'!$T$4:$T$119,0)))</f>
        <v>Renata Čižauskienė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4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4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99</v>
      </c>
      <c r="B105" s="27" t="str">
        <f>IF(102&gt;COUNTIF(' Toto teams'!$A$4:$A$119,"&lt;&gt;"),"",INDEX(' Toto teams'!$A$4:$A$119,MATCH(LARGE(' Toto teams'!$T$4:$T$119,102),' Toto teams'!$T$4:$T$119,0)))</f>
        <v>Miglė Juškaitė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4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4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Benas VII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Partrikas Oleknavičius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3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3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103</v>
      </c>
      <c r="B108" s="27" t="str">
        <f>IF(105&gt;COUNTIF(' Toto teams'!$A$4:$A$119,"&lt;&gt;"),"",INDEX(' Toto teams'!$A$4:$A$119,MATCH(LARGE(' Toto teams'!$T$4:$T$119,105),' Toto teams'!$T$4:$T$119,0)))</f>
        <v>Giuseppe Diana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3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3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4" activePane="bottomLeft" state="frozen"/>
      <selection pane="bottomLeft" sqref="A1:T1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2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8</v>
      </c>
      <c r="S4">
        <f t="shared" ref="S4:S35" si="1">IF(A4="","",RANK(R4,$R$4:$R$119))</f>
        <v>61</v>
      </c>
      <c r="T4">
        <f t="shared" ref="T4:T35" si="2">IF(A4="",-1,R4-ROW(R4)/1000000)</f>
        <v>7.9999960000000003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2</v>
      </c>
      <c r="N5" s="28">
        <f>IFERROR(VLOOKUP(F5,Scoring!$A$4:$N$51,14,FALSE()),"-")</f>
        <v>0</v>
      </c>
      <c r="O5" s="28">
        <f>IFERROR(VLOOKUP(G5,Scoring!$A$4:$N$51,14,FALSE()),"-")</f>
        <v>3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5</v>
      </c>
      <c r="S5">
        <f t="shared" si="1"/>
        <v>90</v>
      </c>
      <c r="T5">
        <f t="shared" si="2"/>
        <v>4.9999950000000002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4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4</v>
      </c>
      <c r="S6">
        <f t="shared" si="1"/>
        <v>99</v>
      </c>
      <c r="T6">
        <f t="shared" si="2"/>
        <v>3.999994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1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7.5</v>
      </c>
      <c r="S7">
        <f t="shared" si="1"/>
        <v>74</v>
      </c>
      <c r="T7">
        <f t="shared" si="2"/>
        <v>7.4999929999999999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2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9</v>
      </c>
      <c r="S8">
        <f t="shared" si="1"/>
        <v>47</v>
      </c>
      <c r="T8">
        <f t="shared" si="2"/>
        <v>8.9999920000000007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9</v>
      </c>
      <c r="S9">
        <f t="shared" si="1"/>
        <v>47</v>
      </c>
      <c r="T9">
        <f t="shared" si="2"/>
        <v>8.9999909999999996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4</v>
      </c>
      <c r="L10" s="28">
        <f>IFERROR(VLOOKUP(D10,Scoring!$A$4:$N$51,14,FALSE())*3,"-")</f>
        <v>0</v>
      </c>
      <c r="M10" s="28">
        <f>IFERROR(VLOOKUP(E10,Scoring!$A$4:$N$51,14,FALSE())*2,"-")</f>
        <v>6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10</v>
      </c>
      <c r="S10">
        <f t="shared" si="1"/>
        <v>38</v>
      </c>
      <c r="T10">
        <f t="shared" si="2"/>
        <v>9.9999900000000004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15.5</v>
      </c>
      <c r="S11">
        <f t="shared" si="1"/>
        <v>15</v>
      </c>
      <c r="T11">
        <f t="shared" si="2"/>
        <v>15.499988999999999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3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3</v>
      </c>
      <c r="S12">
        <f t="shared" si="1"/>
        <v>103</v>
      </c>
      <c r="T12">
        <f t="shared" si="2"/>
        <v>2.9999880000000001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2</v>
      </c>
      <c r="N13" s="28">
        <f>IFERROR(VLOOKUP(F13,Scoring!$A$4:$N$51,14,FALSE()),"-")</f>
        <v>1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11</v>
      </c>
      <c r="S13">
        <f t="shared" si="1"/>
        <v>29</v>
      </c>
      <c r="T13">
        <f t="shared" si="2"/>
        <v>10.999987000000001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12</v>
      </c>
      <c r="S14">
        <f t="shared" si="1"/>
        <v>26</v>
      </c>
      <c r="T14">
        <f t="shared" si="2"/>
        <v>11.999986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11</v>
      </c>
      <c r="S15">
        <f t="shared" si="1"/>
        <v>29</v>
      </c>
      <c r="T15">
        <f t="shared" si="2"/>
        <v>10.999985000000001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4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9</v>
      </c>
      <c r="S16">
        <f t="shared" si="1"/>
        <v>47</v>
      </c>
      <c r="T16">
        <f t="shared" si="2"/>
        <v>8.9999839999999995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4</v>
      </c>
      <c r="L17" s="28">
        <f>IFERROR(VLOOKUP(D17,Scoring!$A$4:$N$51,14,FALSE())*3,"-")</f>
        <v>0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9</v>
      </c>
      <c r="S17">
        <f t="shared" si="1"/>
        <v>47</v>
      </c>
      <c r="T17">
        <f t="shared" si="2"/>
        <v>8.9999830000000003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3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7</v>
      </c>
      <c r="S18">
        <f t="shared" si="1"/>
        <v>76</v>
      </c>
      <c r="T18">
        <f t="shared" si="2"/>
        <v>6.9999820000000001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9</v>
      </c>
      <c r="S19">
        <f t="shared" si="1"/>
        <v>47</v>
      </c>
      <c r="T19">
        <f t="shared" si="2"/>
        <v>8.999981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3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4</v>
      </c>
      <c r="S20">
        <f t="shared" si="1"/>
        <v>99</v>
      </c>
      <c r="T20">
        <f t="shared" si="2"/>
        <v>3.9999799999999999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1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11</v>
      </c>
      <c r="S21">
        <f t="shared" si="1"/>
        <v>29</v>
      </c>
      <c r="T21">
        <f t="shared" si="2"/>
        <v>10.999979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9</v>
      </c>
      <c r="S22">
        <f t="shared" si="1"/>
        <v>47</v>
      </c>
      <c r="T22">
        <f t="shared" si="2"/>
        <v>8.9999780000000005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6</v>
      </c>
      <c r="S23">
        <f t="shared" si="1"/>
        <v>81</v>
      </c>
      <c r="T23">
        <f t="shared" si="2"/>
        <v>5.9999770000000003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3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6</v>
      </c>
      <c r="S24">
        <f t="shared" si="1"/>
        <v>81</v>
      </c>
      <c r="T24">
        <f t="shared" si="2"/>
        <v>5.9999760000000002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28.5</v>
      </c>
      <c r="S25">
        <f t="shared" si="1"/>
        <v>2</v>
      </c>
      <c r="T25">
        <f t="shared" si="2"/>
        <v>28.499974999999999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14</v>
      </c>
      <c r="S26">
        <f t="shared" si="1"/>
        <v>20</v>
      </c>
      <c r="T26">
        <f t="shared" si="2"/>
        <v>13.999974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6</v>
      </c>
      <c r="S27">
        <f t="shared" si="1"/>
        <v>81</v>
      </c>
      <c r="T27">
        <f t="shared" si="2"/>
        <v>5.9999729999999998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9</v>
      </c>
      <c r="S28">
        <f t="shared" si="1"/>
        <v>47</v>
      </c>
      <c r="T28">
        <f t="shared" si="2"/>
        <v>8.9999719999999996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1</v>
      </c>
      <c r="R29" s="36">
        <f t="shared" si="0"/>
        <v>10</v>
      </c>
      <c r="S29">
        <f t="shared" si="1"/>
        <v>38</v>
      </c>
      <c r="T29">
        <f t="shared" si="2"/>
        <v>9.9999710000000004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0</v>
      </c>
      <c r="N30" s="28">
        <f>IFERROR(VLOOKUP(F30,Scoring!$A$4:$N$51,14,FALSE()),"-")</f>
        <v>1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20.5</v>
      </c>
      <c r="S30">
        <f t="shared" si="1"/>
        <v>7</v>
      </c>
      <c r="T30">
        <f t="shared" si="2"/>
        <v>20.499970000000001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2</v>
      </c>
      <c r="N31" s="28">
        <f>IFERROR(VLOOKUP(F31,Scoring!$A$4:$N$51,14,FALSE()),"-")</f>
        <v>3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9</v>
      </c>
      <c r="S31">
        <f t="shared" si="1"/>
        <v>47</v>
      </c>
      <c r="T31">
        <f t="shared" si="2"/>
        <v>8.9999690000000001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1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7</v>
      </c>
      <c r="S32">
        <f t="shared" si="1"/>
        <v>76</v>
      </c>
      <c r="T32">
        <f t="shared" si="2"/>
        <v>6.999968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3</v>
      </c>
      <c r="O33" s="28">
        <f>IFERROR(VLOOKUP(G33,Scoring!$A$4:$N$51,14,FALSE()),"-")</f>
        <v>3</v>
      </c>
      <c r="P33" s="29">
        <f>IFERROR(VLOOKUP(H33,Scoring!$A$4:$N$51,14,FALSE()),"-")</f>
        <v>0</v>
      </c>
      <c r="Q33" s="29">
        <f>IFERROR(VLOOKUP(I33,Scoring!$A$4:$N$51,6,FALSE()),"-")</f>
        <v>3.5</v>
      </c>
      <c r="R33" s="36">
        <f t="shared" si="0"/>
        <v>26.5</v>
      </c>
      <c r="S33">
        <f t="shared" si="1"/>
        <v>3</v>
      </c>
      <c r="T33">
        <f t="shared" si="2"/>
        <v>26.499967000000002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1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11</v>
      </c>
      <c r="S34">
        <f t="shared" si="1"/>
        <v>29</v>
      </c>
      <c r="T34">
        <f t="shared" si="2"/>
        <v>10.999966000000001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0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1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18</v>
      </c>
      <c r="S35">
        <f t="shared" si="1"/>
        <v>10</v>
      </c>
      <c r="T35">
        <f t="shared" si="2"/>
        <v>17.999965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12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1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3.5</v>
      </c>
      <c r="R36" s="36">
        <f t="shared" ref="R36:R67" si="3">IF(A36="","-",SUM(J36:Q36))</f>
        <v>16.5</v>
      </c>
      <c r="S36">
        <f t="shared" ref="S36:S67" si="4">IF(A36="","",RANK(R36,$R$4:$R$119))</f>
        <v>13</v>
      </c>
      <c r="T36">
        <f t="shared" ref="T36:T67" si="5">IF(A36="",-1,R36-ROW(R36)/1000000)</f>
        <v>16.499963999999999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0</v>
      </c>
      <c r="L37" s="28">
        <f>IFERROR(VLOOKUP(D37,Scoring!$A$4:$N$51,14,FALSE())*3,"-")</f>
        <v>3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0.5</v>
      </c>
      <c r="R37" s="36">
        <f t="shared" si="3"/>
        <v>12.5</v>
      </c>
      <c r="S37">
        <f t="shared" si="4"/>
        <v>24</v>
      </c>
      <c r="T37">
        <f t="shared" si="5"/>
        <v>12.499962999999999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0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0.5</v>
      </c>
      <c r="R38" s="36">
        <f t="shared" si="3"/>
        <v>12.5</v>
      </c>
      <c r="S38">
        <f t="shared" si="4"/>
        <v>24</v>
      </c>
      <c r="T38">
        <f t="shared" si="5"/>
        <v>12.499962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2</v>
      </c>
      <c r="N39" s="28">
        <f>IFERROR(VLOOKUP(F39,Scoring!$A$4:$N$51,14,FALSE()),"-")</f>
        <v>1</v>
      </c>
      <c r="O39" s="28">
        <f>IFERROR(VLOOKUP(G39,Scoring!$A$4:$N$51,14,FALSE()),"-")</f>
        <v>3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12</v>
      </c>
      <c r="S39">
        <f t="shared" si="4"/>
        <v>26</v>
      </c>
      <c r="T39">
        <f t="shared" si="5"/>
        <v>11.999961000000001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14.5</v>
      </c>
      <c r="S40">
        <f t="shared" si="4"/>
        <v>18</v>
      </c>
      <c r="T40">
        <f t="shared" si="5"/>
        <v>14.49996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1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11</v>
      </c>
      <c r="S41">
        <f t="shared" si="4"/>
        <v>29</v>
      </c>
      <c r="T41">
        <f t="shared" si="5"/>
        <v>10.999959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9</v>
      </c>
      <c r="S42">
        <f t="shared" si="4"/>
        <v>47</v>
      </c>
      <c r="T42">
        <f t="shared" si="5"/>
        <v>8.9999579999999995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3</v>
      </c>
      <c r="M43" s="28">
        <f>IFERROR(VLOOKUP(E43,Scoring!$A$4:$N$51,14,FALSE())*2,"-")</f>
        <v>0</v>
      </c>
      <c r="N43" s="28">
        <f>IFERROR(VLOOKUP(F43,Scoring!$A$4:$N$51,14,FALSE()),"-")</f>
        <v>1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5</v>
      </c>
      <c r="S43">
        <f t="shared" si="4"/>
        <v>90</v>
      </c>
      <c r="T43">
        <f t="shared" si="5"/>
        <v>4.9999570000000002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1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8</v>
      </c>
      <c r="S44">
        <f t="shared" si="4"/>
        <v>61</v>
      </c>
      <c r="T44">
        <f t="shared" si="5"/>
        <v>7.9999560000000001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4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5</v>
      </c>
      <c r="S45">
        <f t="shared" si="4"/>
        <v>90</v>
      </c>
      <c r="T45">
        <f t="shared" si="5"/>
        <v>4.9999549999999999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7</v>
      </c>
      <c r="S46">
        <f t="shared" si="4"/>
        <v>76</v>
      </c>
      <c r="T46">
        <f t="shared" si="5"/>
        <v>6.9999539999999998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5.5</v>
      </c>
      <c r="S47">
        <f t="shared" si="4"/>
        <v>88</v>
      </c>
      <c r="T47">
        <f t="shared" si="5"/>
        <v>5.4999529999999996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6</v>
      </c>
      <c r="S48">
        <f t="shared" si="4"/>
        <v>81</v>
      </c>
      <c r="T48">
        <f t="shared" si="5"/>
        <v>5.9999520000000004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32.5</v>
      </c>
      <c r="S49">
        <f t="shared" si="4"/>
        <v>1</v>
      </c>
      <c r="T49">
        <f t="shared" si="5"/>
        <v>32.499951000000003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0.5</v>
      </c>
      <c r="R50" s="36">
        <f t="shared" si="3"/>
        <v>7.5</v>
      </c>
      <c r="S50">
        <f t="shared" si="4"/>
        <v>74</v>
      </c>
      <c r="T50">
        <f t="shared" si="5"/>
        <v>7.4999500000000001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14.5</v>
      </c>
      <c r="S51">
        <f t="shared" si="4"/>
        <v>18</v>
      </c>
      <c r="T51">
        <f t="shared" si="5"/>
        <v>14.499949000000001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11</v>
      </c>
      <c r="S52">
        <f t="shared" si="4"/>
        <v>29</v>
      </c>
      <c r="T52">
        <f t="shared" si="5"/>
        <v>10.999948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2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9.5</v>
      </c>
      <c r="S53">
        <f t="shared" si="4"/>
        <v>46</v>
      </c>
      <c r="T53">
        <f t="shared" si="5"/>
        <v>9.4999470000000006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7</v>
      </c>
      <c r="S54">
        <f t="shared" si="4"/>
        <v>76</v>
      </c>
      <c r="T54">
        <f t="shared" si="5"/>
        <v>6.9999459999999996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0</v>
      </c>
      <c r="L55" s="28">
        <f>IFERROR(VLOOKUP(D55,Scoring!$A$4:$N$51,14,FALSE())*3,"-")</f>
        <v>3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3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15</v>
      </c>
      <c r="S55">
        <f t="shared" si="4"/>
        <v>17</v>
      </c>
      <c r="T55">
        <f t="shared" si="5"/>
        <v>14.999945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0</v>
      </c>
      <c r="L56" s="28">
        <f>IFERROR(VLOOKUP(D56,Scoring!$A$4:$N$51,14,FALSE())*3,"-")</f>
        <v>3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9</v>
      </c>
      <c r="S56">
        <f t="shared" si="4"/>
        <v>47</v>
      </c>
      <c r="T56">
        <f t="shared" si="5"/>
        <v>8.9999439999999993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3</v>
      </c>
      <c r="M57" s="28">
        <f>IFERROR(VLOOKUP(E57,Scoring!$A$4:$N$51,14,FALSE())*2,"-")</f>
        <v>0</v>
      </c>
      <c r="N57" s="28">
        <f>IFERROR(VLOOKUP(F57,Scoring!$A$4:$N$51,14,FALSE()),"-")</f>
        <v>1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4</v>
      </c>
      <c r="S57">
        <f t="shared" si="4"/>
        <v>99</v>
      </c>
      <c r="T57">
        <f t="shared" si="5"/>
        <v>3.999943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4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8</v>
      </c>
      <c r="S58">
        <f t="shared" si="4"/>
        <v>61</v>
      </c>
      <c r="T58">
        <f t="shared" si="5"/>
        <v>7.9999419999999999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4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8</v>
      </c>
      <c r="S59">
        <f t="shared" si="4"/>
        <v>61</v>
      </c>
      <c r="T59">
        <f t="shared" si="5"/>
        <v>7.9999409999999997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23.5</v>
      </c>
      <c r="S60">
        <f t="shared" si="4"/>
        <v>4</v>
      </c>
      <c r="T60">
        <f t="shared" si="5"/>
        <v>23.499939999999999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6</v>
      </c>
      <c r="S61">
        <f t="shared" si="4"/>
        <v>81</v>
      </c>
      <c r="T61">
        <f t="shared" si="5"/>
        <v>5.9999390000000004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12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23.5</v>
      </c>
      <c r="S62">
        <f t="shared" si="4"/>
        <v>4</v>
      </c>
      <c r="T62">
        <f t="shared" si="5"/>
        <v>23.499938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1</v>
      </c>
      <c r="Q63" s="29">
        <f>IFERROR(VLOOKUP(I63,Scoring!$A$4:$N$51,6,FALSE()),"-")</f>
        <v>0</v>
      </c>
      <c r="R63" s="36">
        <f t="shared" si="3"/>
        <v>8</v>
      </c>
      <c r="S63">
        <f t="shared" si="4"/>
        <v>61</v>
      </c>
      <c r="T63">
        <f t="shared" si="5"/>
        <v>7.9999370000000001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0</v>
      </c>
      <c r="N64" s="28">
        <f>IFERROR(VLOOKUP(F64,Scoring!$A$4:$N$51,14,FALSE()),"-")</f>
        <v>1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8</v>
      </c>
      <c r="S64">
        <f t="shared" si="4"/>
        <v>61</v>
      </c>
      <c r="T64">
        <f t="shared" si="5"/>
        <v>7.9999359999999999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5</v>
      </c>
      <c r="S65">
        <f t="shared" si="4"/>
        <v>90</v>
      </c>
      <c r="T65">
        <f t="shared" si="5"/>
        <v>4.9999349999999998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22.5</v>
      </c>
      <c r="S66">
        <f t="shared" si="4"/>
        <v>6</v>
      </c>
      <c r="T66">
        <f t="shared" si="5"/>
        <v>22.499934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1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7</v>
      </c>
      <c r="S67">
        <f t="shared" si="4"/>
        <v>76</v>
      </c>
      <c r="T67">
        <f t="shared" si="5"/>
        <v>6.9999330000000004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15.5</v>
      </c>
      <c r="S68">
        <f t="shared" ref="S68:S99" si="7">IF(A68="","",RANK(R68,$R$4:$R$119))</f>
        <v>15</v>
      </c>
      <c r="T68">
        <f t="shared" ref="T68:T99" si="8">IF(A68="",-1,R68-ROW(R68)/1000000)</f>
        <v>15.499931999999999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3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6</v>
      </c>
      <c r="S69">
        <f t="shared" si="7"/>
        <v>81</v>
      </c>
      <c r="T69">
        <f t="shared" si="8"/>
        <v>5.9999310000000001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5</v>
      </c>
      <c r="S70">
        <f t="shared" si="7"/>
        <v>90</v>
      </c>
      <c r="T70">
        <f t="shared" si="8"/>
        <v>4.99993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13</v>
      </c>
      <c r="S71">
        <f t="shared" si="7"/>
        <v>21</v>
      </c>
      <c r="T71">
        <f t="shared" si="8"/>
        <v>12.999929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0</v>
      </c>
      <c r="L72" s="28">
        <f>IFERROR(VLOOKUP(D72,Scoring!$A$4:$N$51,14,FALSE())*3,"-")</f>
        <v>3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13</v>
      </c>
      <c r="S72">
        <f t="shared" si="7"/>
        <v>21</v>
      </c>
      <c r="T72">
        <f t="shared" si="8"/>
        <v>12.999928000000001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17</v>
      </c>
      <c r="S73">
        <f t="shared" si="7"/>
        <v>12</v>
      </c>
      <c r="T73">
        <f t="shared" si="8"/>
        <v>16.999927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1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8</v>
      </c>
      <c r="S74">
        <f t="shared" si="7"/>
        <v>61</v>
      </c>
      <c r="T74">
        <f t="shared" si="8"/>
        <v>7.9999260000000003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10</v>
      </c>
      <c r="S75">
        <f t="shared" si="7"/>
        <v>38</v>
      </c>
      <c r="T75">
        <f t="shared" si="8"/>
        <v>9.9999249999999993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99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10</v>
      </c>
      <c r="S77">
        <f t="shared" si="7"/>
        <v>38</v>
      </c>
      <c r="T77">
        <f t="shared" si="8"/>
        <v>9.9999230000000008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4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1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6</v>
      </c>
      <c r="S78">
        <f t="shared" si="7"/>
        <v>81</v>
      </c>
      <c r="T78">
        <f t="shared" si="8"/>
        <v>5.9999219999999998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8</v>
      </c>
      <c r="S79">
        <f t="shared" si="7"/>
        <v>61</v>
      </c>
      <c r="T79">
        <f t="shared" si="8"/>
        <v>7.9999209999999996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1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13</v>
      </c>
      <c r="S80">
        <f t="shared" si="7"/>
        <v>21</v>
      </c>
      <c r="T80">
        <f t="shared" si="8"/>
        <v>12.999919999999999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3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3</v>
      </c>
      <c r="S81">
        <f t="shared" si="7"/>
        <v>103</v>
      </c>
      <c r="T81">
        <f t="shared" si="8"/>
        <v>2.9999189999999998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19</v>
      </c>
      <c r="S82">
        <f t="shared" si="7"/>
        <v>8</v>
      </c>
      <c r="T82">
        <f t="shared" si="8"/>
        <v>18.999918000000001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3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3</v>
      </c>
      <c r="S83">
        <f t="shared" si="7"/>
        <v>103</v>
      </c>
      <c r="T83">
        <f t="shared" si="8"/>
        <v>2.9999169999999999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10</v>
      </c>
      <c r="S84">
        <f t="shared" si="7"/>
        <v>38</v>
      </c>
      <c r="T84">
        <f t="shared" si="8"/>
        <v>9.9999160000000007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9</v>
      </c>
      <c r="S85">
        <f t="shared" si="7"/>
        <v>47</v>
      </c>
      <c r="T85">
        <f t="shared" si="8"/>
        <v>8.9999149999999997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0</v>
      </c>
      <c r="L86" s="28">
        <f>IFERROR(VLOOKUP(D86,Scoring!$A$4:$N$51,14,FALSE())*3,"-")</f>
        <v>9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19</v>
      </c>
      <c r="S86">
        <f t="shared" si="7"/>
        <v>8</v>
      </c>
      <c r="T86">
        <f t="shared" si="8"/>
        <v>18.999914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1</v>
      </c>
      <c r="Q87" s="29">
        <f>IFERROR(VLOOKUP(I87,Scoring!$A$4:$N$51,6,FALSE()),"-")</f>
        <v>0</v>
      </c>
      <c r="R87" s="36">
        <f t="shared" si="6"/>
        <v>10</v>
      </c>
      <c r="S87">
        <f t="shared" si="7"/>
        <v>38</v>
      </c>
      <c r="T87">
        <f t="shared" si="8"/>
        <v>9.9999129999999994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8.5</v>
      </c>
      <c r="S88">
        <f t="shared" si="7"/>
        <v>59</v>
      </c>
      <c r="T88">
        <f t="shared" si="8"/>
        <v>8.4999120000000001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11</v>
      </c>
      <c r="S89">
        <f t="shared" si="7"/>
        <v>29</v>
      </c>
      <c r="T89">
        <f t="shared" si="8"/>
        <v>10.999911000000001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4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1</v>
      </c>
      <c r="Q90" s="29">
        <f>IFERROR(VLOOKUP(I90,Scoring!$A$4:$N$51,6,FALSE()),"-")</f>
        <v>0</v>
      </c>
      <c r="R90" s="36">
        <f t="shared" si="6"/>
        <v>5</v>
      </c>
      <c r="S90">
        <f t="shared" si="7"/>
        <v>90</v>
      </c>
      <c r="T90">
        <f t="shared" si="8"/>
        <v>4.9999099999999999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2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8</v>
      </c>
      <c r="S91">
        <f t="shared" si="7"/>
        <v>61</v>
      </c>
      <c r="T91">
        <f t="shared" si="8"/>
        <v>7.9999089999999997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9</v>
      </c>
      <c r="S92">
        <f t="shared" si="7"/>
        <v>47</v>
      </c>
      <c r="T92">
        <f t="shared" si="8"/>
        <v>8.9999079999999996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2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12</v>
      </c>
      <c r="S93">
        <f t="shared" si="7"/>
        <v>26</v>
      </c>
      <c r="T93">
        <f t="shared" si="8"/>
        <v>11.999907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10.5</v>
      </c>
      <c r="S94">
        <f t="shared" si="7"/>
        <v>37</v>
      </c>
      <c r="T94">
        <f t="shared" si="8"/>
        <v>10.499905999999999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18</v>
      </c>
      <c r="S95">
        <f t="shared" si="7"/>
        <v>10</v>
      </c>
      <c r="T95">
        <f t="shared" si="8"/>
        <v>17.999904999999998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8</v>
      </c>
      <c r="S96">
        <f t="shared" si="7"/>
        <v>61</v>
      </c>
      <c r="T96">
        <f t="shared" si="8"/>
        <v>7.9999039999999999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8</v>
      </c>
      <c r="S97">
        <f t="shared" si="7"/>
        <v>61</v>
      </c>
      <c r="T97">
        <f t="shared" si="8"/>
        <v>7.9999029999999998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4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5</v>
      </c>
      <c r="S98">
        <f t="shared" si="7"/>
        <v>90</v>
      </c>
      <c r="T98">
        <f t="shared" si="8"/>
        <v>4.9999019999999996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8.5</v>
      </c>
      <c r="S99">
        <f t="shared" si="7"/>
        <v>59</v>
      </c>
      <c r="T99">
        <f t="shared" si="8"/>
        <v>8.4999009999999995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1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11</v>
      </c>
      <c r="S100">
        <f t="shared" ref="S100:S119" si="10">IF(A100="","",RANK(R100,$R$4:$R$119))</f>
        <v>29</v>
      </c>
      <c r="T100">
        <f t="shared" ref="T100:T119" si="11">IF(A100="",-1,R100-ROW(R100)/1000000)</f>
        <v>10.9999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8</v>
      </c>
      <c r="S101">
        <f t="shared" si="10"/>
        <v>61</v>
      </c>
      <c r="T101">
        <f t="shared" si="11"/>
        <v>7.9998990000000001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10</v>
      </c>
      <c r="S102">
        <f t="shared" si="10"/>
        <v>38</v>
      </c>
      <c r="T102">
        <f t="shared" si="11"/>
        <v>9.999898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4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1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5</v>
      </c>
      <c r="S103">
        <f t="shared" si="10"/>
        <v>90</v>
      </c>
      <c r="T103">
        <f t="shared" si="11"/>
        <v>4.9998969999999998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0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16.5</v>
      </c>
      <c r="S104">
        <f t="shared" si="10"/>
        <v>13</v>
      </c>
      <c r="T104">
        <f t="shared" si="11"/>
        <v>16.499896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4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5</v>
      </c>
      <c r="S105">
        <f t="shared" si="10"/>
        <v>90</v>
      </c>
      <c r="T105">
        <f t="shared" si="11"/>
        <v>4.9998950000000004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10</v>
      </c>
      <c r="S106">
        <f t="shared" si="10"/>
        <v>38</v>
      </c>
      <c r="T106">
        <f t="shared" si="11"/>
        <v>9.9998939999999994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5.5</v>
      </c>
      <c r="S107">
        <f t="shared" si="10"/>
        <v>88</v>
      </c>
      <c r="T107">
        <f t="shared" si="11"/>
        <v>5.4998930000000001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3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8</v>
      </c>
      <c r="S108">
        <f t="shared" si="10"/>
        <v>61</v>
      </c>
      <c r="T108">
        <f t="shared" si="11"/>
        <v>7.999892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1.5</v>
      </c>
      <c r="N11" s="110">
        <f t="shared" si="1"/>
        <v>1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2026-06-15T18:36:48Z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