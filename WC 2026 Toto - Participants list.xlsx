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C35D0CF9-539D-4345-B436-9DBCE1786E07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3" i="1" l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73" i="1" l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74" i="1" l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K75" i="1" l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<sst xmlns="http://schemas.openxmlformats.org/spreadsheetml/2006/main" count="6931" uniqueCount="1447">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</sst>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58" activePane="bottomLeft" state="frozen"/>
      <selection pane="bottomLeft" activeCell="E66" sqref="E66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7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ABCEFGHK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2</v>
      </c>
      <c r="AV82" t="str">
        <f>IFERROR(INDEX($AQ$81:$AQ$92,MATCH(2,$AT$81:$AT$92,0)),"")</f>
        <v>Qatar</v>
      </c>
      <c r="AW82" t="str">
        <f>IFERROR(INDEX($AN$81:$AN$92,MATCH(2,$AT$81:$AT$92,0)),"")</f>
        <v>B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3</v>
      </c>
      <c r="AV83" t="str">
        <f>IFERROR(INDEX($AQ$81:$AQ$92,MATCH(3,$AT$81:$AT$92,0)),"")</f>
        <v>Morocco</v>
      </c>
      <c r="AW83" t="str">
        <f>IFERROR(INDEX($AN$81:$AN$92,MATCH(3,$AT$81:$AT$92,0)),"")</f>
        <v>C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8</v>
      </c>
      <c r="AV85" t="str">
        <f>IFERROR(INDEX($AQ$81:$AQ$92,MATCH(5,$AT$81:$AT$92,0)),"")</f>
        <v>DR Congo</v>
      </c>
      <c r="AW85" t="str">
        <f>IFERROR(INDEX($AN$81:$AN$92,MATCH(5,$AT$81:$AT$92,0)),"")</f>
        <v>K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Spain</v>
      </c>
      <c r="AW86" t="str">
        <f>IFERROR(INDEX($AN$81:$AN$92,MATCH(6,$AT$81:$AT$92,0)),"")</f>
        <v>H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Czechia</v>
      </c>
      <c r="AW87" t="str">
        <f>IFERROR(INDEX($AN$81:$AN$92,MATCH(7,$AT$81:$AT$92,0)),"")</f>
        <v>A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6</v>
      </c>
      <c r="AV88" t="str">
        <f>IFERROR(INDEX($AQ$81:$AQ$92,MATCH(8,$AT$81:$AT$92,0)),"")</f>
        <v>Ecuador</v>
      </c>
      <c r="AW88" t="str">
        <f>IFERROR(INDEX($AN$81:$AN$92,MATCH(8,$AT$81:$AT$92,0)),"")</f>
        <v>E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10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11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5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A5" sqref="A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Lukas Danielevičius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49.5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49.5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Vaidas Pažusys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48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48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Donatas Celesius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46.5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46.5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Simona Jociūtė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45.5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45.5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2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4</v>
      </c>
      <c r="B8" s="27" t="str">
        <f>IF(5&gt;COUNTIF(' Toto teams'!$A$4:$A$119,"&lt;&gt;"),"",INDEX(' Toto teams'!$A$4:$A$119,MATCH(LARGE(' Toto teams'!$T$4:$T$119,5),' Toto teams'!$T$4:$T$119,0)))</f>
        <v>Renata Čižauskienė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45.5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45.5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0</v>
      </c>
      <c r="R8" s="34">
        <f t="shared" si="3"/>
        <v>0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Aurimas Šumbrauskis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44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44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2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Darius Jalo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44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44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Tomas Bruzga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43.5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43.5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Benas Bruzga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42.5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42.5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Todor Velikov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42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42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 xml:space="preserve">Paulius Bernotas 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42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42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10</v>
      </c>
      <c r="B15" s="27" t="str">
        <f>IF(12&gt;COUNTIF(' Toto teams'!$A$4:$A$119,"&lt;&gt;"),"",INDEX(' Toto teams'!$A$4:$A$119,MATCH(LARGE(' Toto teams'!$T$4:$T$119,12),' Toto teams'!$T$4:$T$119,0)))</f>
        <v>Giedrius Stanulis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42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42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Žygimantas Ryliškis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41.5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41.5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13</v>
      </c>
      <c r="B17" s="27" t="str">
        <f>IF(14&gt;COUNTIF(' Toto teams'!$A$4:$A$119,"&lt;&gt;"),"",INDEX(' Toto teams'!$A$4:$A$119,MATCH(LARGE(' Toto teams'!$T$4:$T$119,14),' Toto teams'!$T$4:$T$119,0)))</f>
        <v>Karolis Marcinkevičius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41.5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41.5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13</v>
      </c>
      <c r="B18" s="27" t="str">
        <f>IF(15&gt;COUNTIF(' Toto teams'!$A$4:$A$119,"&lt;&gt;"),"",INDEX(' Toto teams'!$A$4:$A$119,MATCH(LARGE(' Toto teams'!$T$4:$T$119,15),' Toto teams'!$T$4:$T$119,0)))</f>
        <v>Titas Jodenis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41.5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41.5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13</v>
      </c>
      <c r="B19" s="27" t="str">
        <f>IF(16&gt;COUNTIF(' Toto teams'!$A$4:$A$119,"&lt;&gt;"),"",INDEX(' Toto teams'!$A$4:$A$119,MATCH(LARGE(' Toto teams'!$T$4:$T$119,16),' Toto teams'!$T$4:$T$119,0)))</f>
        <v>Miglė Juškaitė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41.5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41.5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13</v>
      </c>
      <c r="B20" s="27" t="str">
        <f>IF(17&gt;COUNTIF(' Toto teams'!$A$4:$A$119,"&lt;&gt;"),"",INDEX(' Toto teams'!$A$4:$A$119,MATCH(LARGE(' Toto teams'!$T$4:$T$119,17),' Toto teams'!$T$4:$T$119,0)))</f>
        <v>Davide Speranza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41.5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41.5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13</v>
      </c>
      <c r="B21" s="27" t="str">
        <f>IF(18&gt;COUNTIF(' Toto teams'!$A$4:$A$119,"&lt;&gt;"),"",INDEX(' Toto teams'!$A$4:$A$119,MATCH(LARGE(' Toto teams'!$T$4:$T$119,18),' Toto teams'!$T$4:$T$119,0)))</f>
        <v>Benas&amp;Šaras Oleknavičius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41.5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41.5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13</v>
      </c>
      <c r="B22" s="27" t="str">
        <f>IF(19&gt;COUNTIF(' Toto teams'!$A$4:$A$119,"&lt;&gt;"),"",INDEX(' Toto teams'!$A$4:$A$119,MATCH(LARGE(' Toto teams'!$T$4:$T$119,19),' Toto teams'!$T$4:$T$119,0)))</f>
        <v>Arnoldas Molis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41.5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41.5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Slava Maltsev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40.5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40.5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Benas VII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40.5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40.5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20</v>
      </c>
      <c r="B25" s="27" t="str">
        <f>IF(22&gt;COUNTIF(' Toto teams'!$A$4:$A$119,"&lt;&gt;"),"",INDEX(' Toto teams'!$A$4:$A$119,MATCH(LARGE(' Toto teams'!$T$4:$T$119,22),' Toto teams'!$T$4:$T$119,0)))</f>
        <v>Gedas Girdžiūnas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40.5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40.5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20</v>
      </c>
      <c r="B26" s="27" t="str">
        <f>IF(23&gt;COUNTIF(' Toto teams'!$A$4:$A$119,"&lt;&gt;"),"",INDEX(' Toto teams'!$A$4:$A$119,MATCH(LARGE(' Toto teams'!$T$4:$T$119,23),' Toto teams'!$T$4:$T$119,0)))</f>
        <v>Virginija Čižauskienė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40.5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40.5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20</v>
      </c>
      <c r="B27" s="27" t="str">
        <f>IF(24&gt;COUNTIF(' Toto teams'!$A$4:$A$119,"&lt;&gt;"),"",INDEX(' Toto teams'!$A$4:$A$119,MATCH(LARGE(' Toto teams'!$T$4:$T$119,24),' Toto teams'!$T$4:$T$119,0)))</f>
        <v>Yagub Alizada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40.5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40.5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20</v>
      </c>
      <c r="B28" s="27" t="str">
        <f>IF(25&gt;COUNTIF(' Toto teams'!$A$4:$A$119,"&lt;&gt;"),"",INDEX(' Toto teams'!$A$4:$A$119,MATCH(LARGE(' Toto teams'!$T$4:$T$119,25),' Toto teams'!$T$4:$T$119,0)))</f>
        <v>Artem Lavrov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40.5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40.5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Justinas Novoruckis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40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40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26</v>
      </c>
      <c r="B30" s="27" t="str">
        <f>IF(27&gt;COUNTIF(' Toto teams'!$A$4:$A$119,"&lt;&gt;"),"",INDEX(' Toto teams'!$A$4:$A$119,MATCH(LARGE(' Toto teams'!$T$4:$T$119,27),' Toto teams'!$T$4:$T$119,0)))</f>
        <v>Danielius Pažusys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40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40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26</v>
      </c>
      <c r="B31" s="27" t="str">
        <f>IF(28&gt;COUNTIF(' Toto teams'!$A$4:$A$119,"&lt;&gt;"),"",INDEX(' Toto teams'!$A$4:$A$119,MATCH(LARGE(' Toto teams'!$T$4:$T$119,28),' Toto teams'!$T$4:$T$119,0)))</f>
        <v>Benediktas Babraitis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40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40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Gianmarco Monti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39.5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39.5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29</v>
      </c>
      <c r="B33" s="27" t="str">
        <f>IF(30&gt;COUNTIF(' Toto teams'!$A$4:$A$119,"&lt;&gt;"),"",INDEX(' Toto teams'!$A$4:$A$119,MATCH(LARGE(' Toto teams'!$T$4:$T$119,30),' Toto teams'!$T$4:$T$119,0)))</f>
        <v>Partrikas Oleknavičius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39.5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39.5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29</v>
      </c>
      <c r="B34" s="27" t="str">
        <f>IF(31&gt;COUNTIF(' Toto teams'!$A$4:$A$119,"&lt;&gt;"),"",INDEX(' Toto teams'!$A$4:$A$119,MATCH(LARGE(' Toto teams'!$T$4:$T$119,31),' Toto teams'!$T$4:$T$119,0)))</f>
        <v>Gintas Bungarda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39.5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39.5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Saulius Lileikis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38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38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Kamran Mikayilov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38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38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Saulius Pipiras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38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38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32</v>
      </c>
      <c r="B38" s="27" t="str">
        <f>IF(35&gt;COUNTIF(' Toto teams'!$A$4:$A$119,"&lt;&gt;"),"",INDEX(' Toto teams'!$A$4:$A$119,MATCH(LARGE(' Toto teams'!$T$4:$T$119,35),' Toto teams'!$T$4:$T$119,0)))</f>
        <v>Elijus Benetis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38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38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32</v>
      </c>
      <c r="B39" s="27" t="str">
        <f>IF(36&gt;COUNTIF(' Toto teams'!$A$4:$A$119,"&lt;&gt;"),"",INDEX(' Toto teams'!$A$4:$A$119,MATCH(LARGE(' Toto teams'!$T$4:$T$119,36),' Toto teams'!$T$4:$T$119,0)))</f>
        <v>Alberto Canova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38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38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32</v>
      </c>
      <c r="B40" s="27" t="str">
        <f>IF(37&gt;COUNTIF(' Toto teams'!$A$4:$A$119,"&lt;&gt;"),"",INDEX(' Toto teams'!$A$4:$A$119,MATCH(LARGE(' Toto teams'!$T$4:$T$119,37),' Toto teams'!$T$4:$T$119,0)))</f>
        <v>Dovilė Smetonė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38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38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32</v>
      </c>
      <c r="B41" s="27" t="str">
        <f>IF(38&gt;COUNTIF(' Toto teams'!$A$4:$A$119,"&lt;&gt;"),"",INDEX(' Toto teams'!$A$4:$A$119,MATCH(LARGE(' Toto teams'!$T$4:$T$119,38),' Toto teams'!$T$4:$T$119,0)))</f>
        <v>Enrico Ancarola, Pietro Rivera, Riccardo Gatti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38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38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32</v>
      </c>
      <c r="B42" s="27" t="str">
        <f>IF(39&gt;COUNTIF(' Toto teams'!$A$4:$A$119,"&lt;&gt;"),"",INDEX(' Toto teams'!$A$4:$A$119,MATCH(LARGE(' Toto teams'!$T$4:$T$119,39),' Toto teams'!$T$4:$T$119,0)))</f>
        <v>Paulina Bungardė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38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38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32</v>
      </c>
      <c r="B43" s="27" t="str">
        <f>IF(40&gt;COUNTIF(' Toto teams'!$A$4:$A$119,"&lt;&gt;"),"",INDEX(' Toto teams'!$A$4:$A$119,MATCH(LARGE(' Toto teams'!$T$4:$T$119,40),' Toto teams'!$T$4:$T$119,0)))</f>
        <v>Deividas Jančius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38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38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Giedrius Šadbaras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37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37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Anton Panasenko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37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37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41</v>
      </c>
      <c r="B46" s="27" t="str">
        <f>IF(43&gt;COUNTIF(' Toto teams'!$A$4:$A$119,"&lt;&gt;"),"",INDEX(' Toto teams'!$A$4:$A$119,MATCH(LARGE(' Toto teams'!$T$4:$T$119,43),' Toto teams'!$T$4:$T$119,0)))</f>
        <v>Simonas Sipavičius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37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37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41</v>
      </c>
      <c r="B47" s="27" t="str">
        <f>IF(44&gt;COUNTIF(' Toto teams'!$A$4:$A$119,"&lt;&gt;"),"",INDEX(' Toto teams'!$A$4:$A$119,MATCH(LARGE(' Toto teams'!$T$4:$T$119,44),' Toto teams'!$T$4:$T$119,0)))</f>
        <v>Mario Calvi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37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37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Simas Baubonis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36.5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36.5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45</v>
      </c>
      <c r="B49" s="27" t="str">
        <f>IF(46&gt;COUNTIF(' Toto teams'!$A$4:$A$119,"&lt;&gt;"),"",INDEX(' Toto teams'!$A$4:$A$119,MATCH(LARGE(' Toto teams'!$T$4:$T$119,46),' Toto teams'!$T$4:$T$119,0)))</f>
        <v>Gintautas Beržanskis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36.5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36.5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Susie Wolke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36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36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47</v>
      </c>
      <c r="B51" s="27" t="str">
        <f>IF(48&gt;COUNTIF(' Toto teams'!$A$4:$A$119,"&lt;&gt;"),"",INDEX(' Toto teams'!$A$4:$A$119,MATCH(LARGE(' Toto teams'!$T$4:$T$119,48),' Toto teams'!$T$4:$T$119,0)))</f>
        <v>Donatas Pocius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36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36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47</v>
      </c>
      <c r="B52" s="27" t="str">
        <f>IF(49&gt;COUNTIF(' Toto teams'!$A$4:$A$119,"&lt;&gt;"),"",INDEX(' Toto teams'!$A$4:$A$119,MATCH(LARGE(' Toto teams'!$T$4:$T$119,49),' Toto teams'!$T$4:$T$119,0)))</f>
        <v>Ivan Manev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36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36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47</v>
      </c>
      <c r="B53" s="27" t="str">
        <f>IF(50&gt;COUNTIF(' Toto teams'!$A$4:$A$119,"&lt;&gt;"),"",INDEX(' Toto teams'!$A$4:$A$119,MATCH(LARGE(' Toto teams'!$T$4:$T$119,50),' Toto teams'!$T$4:$T$119,0)))</f>
        <v>Raimondas Juška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36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36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47</v>
      </c>
      <c r="B54" s="27" t="str">
        <f>IF(51&gt;COUNTIF(' Toto teams'!$A$4:$A$119,"&lt;&gt;"),"",INDEX(' Toto teams'!$A$4:$A$119,MATCH(LARGE(' Toto teams'!$T$4:$T$119,51),' Toto teams'!$T$4:$T$119,0)))</f>
        <v>Jurga Šantaraitė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36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36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47</v>
      </c>
      <c r="B55" s="27" t="str">
        <f>IF(52&gt;COUNTIF(' Toto teams'!$A$4:$A$119,"&lt;&gt;"),"",INDEX(' Toto teams'!$A$4:$A$119,MATCH(LARGE(' Toto teams'!$T$4:$T$119,52),' Toto teams'!$T$4:$T$119,0)))</f>
        <v>Tomas Šunskis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36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36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Sergey Zhaltuchin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35.5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35.5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Evelina Tiščenkė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35.5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35.5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Nadia Mercurio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35.5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35.5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53</v>
      </c>
      <c r="B59" s="27" t="str">
        <f>IF(56&gt;COUNTIF(' Toto teams'!$A$4:$A$119,"&lt;&gt;"),"",INDEX(' Toto teams'!$A$4:$A$119,MATCH(LARGE(' Toto teams'!$T$4:$T$119,56),' Toto teams'!$T$4:$T$119,0)))</f>
        <v>Jokūbas Kušleika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35.5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35.5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Jonas Juška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Rustam Roikov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34.5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34.5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58</v>
      </c>
      <c r="B62" s="27" t="str">
        <f>IF(59&gt;COUNTIF(' Toto teams'!$A$4:$A$119,"&lt;&gt;"),"",INDEX(' Toto teams'!$A$4:$A$119,MATCH(LARGE(' Toto teams'!$T$4:$T$119,59),' Toto teams'!$T$4:$T$119,0)))</f>
        <v>Andrea Signorini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34.5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34.5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58</v>
      </c>
      <c r="B63" s="27" t="str">
        <f>IF(60&gt;COUNTIF(' Toto teams'!$A$4:$A$119,"&lt;&gt;"),"",INDEX(' Toto teams'!$A$4:$A$119,MATCH(LARGE(' Toto teams'!$T$4:$T$119,60),' Toto teams'!$T$4:$T$119,0)))</f>
        <v>Audi club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34.5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34.5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Dobilas III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34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34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61</v>
      </c>
      <c r="B65" s="27" t="str">
        <f>IF(62&gt;COUNTIF(' Toto teams'!$A$4:$A$119,"&lt;&gt;"),"",INDEX(' Toto teams'!$A$4:$A$119,MATCH(LARGE(' Toto teams'!$T$4:$T$119,62),' Toto teams'!$T$4:$T$119,0)))</f>
        <v>Juozas Žimkus Jr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34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34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61</v>
      </c>
      <c r="B66" s="27" t="str">
        <f>IF(63&gt;COUNTIF(' Toto teams'!$A$4:$A$119,"&lt;&gt;"),"",INDEX(' Toto teams'!$A$4:$A$119,MATCH(LARGE(' Toto teams'!$T$4:$T$119,63),' Toto teams'!$T$4:$T$119,0)))</f>
        <v>Donatas Bakėjus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34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34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Thomas Wolke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33.5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33.5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64</v>
      </c>
      <c r="B68" s="27" t="str">
        <f>IF(65&gt;COUNTIF(' Toto teams'!$A$4:$A$119,"&lt;&gt;"),"",INDEX(' Toto teams'!$A$4:$A$119,MATCH(LARGE(' Toto teams'!$T$4:$T$119,65),' Toto teams'!$T$4:$T$119,0)))</f>
        <v>Eugenijus Petrošius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33.5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33.5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64</v>
      </c>
      <c r="B69" s="27" t="str">
        <f>IF(66&gt;COUNTIF(' Toto teams'!$A$4:$A$119,"&lt;&gt;"),"",INDEX(' Toto teams'!$A$4:$A$119,MATCH(LARGE(' Toto teams'!$T$4:$T$119,66),' Toto teams'!$T$4:$T$119,0)))</f>
        <v>Zaur Yusubov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33.5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33.5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64</v>
      </c>
      <c r="B70" s="27" t="str">
        <f>IF(67&gt;COUNTIF(' Toto teams'!$A$4:$A$119,"&lt;&gt;"),"",INDEX(' Toto teams'!$A$4:$A$119,MATCH(LARGE(' Toto teams'!$T$4:$T$119,67),' Toto teams'!$T$4:$T$119,0)))</f>
        <v>Pijus Jalo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33.5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33.5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Alexey Nikitenko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33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33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68</v>
      </c>
      <c r="B72" s="27" t="str">
        <f>IF(69&gt;COUNTIF(' Toto teams'!$A$4:$A$119,"&lt;&gt;"),"",INDEX(' Toto teams'!$A$4:$A$119,MATCH(LARGE(' Toto teams'!$T$4:$T$119,69),' Toto teams'!$T$4:$T$119,0)))</f>
        <v>Deividas Jodenis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33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33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68</v>
      </c>
      <c r="B73" s="27" t="str">
        <f>IF(70&gt;COUNTIF(' Toto teams'!$A$4:$A$119,"&lt;&gt;"),"",INDEX(' Toto teams'!$A$4:$A$119,MATCH(LARGE(' Toto teams'!$T$4:$T$119,70),' Toto teams'!$T$4:$T$119,0)))</f>
        <v>Tihomir Chakarov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33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33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Sigitas Šarauskis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32.5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32.5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Dainius Breivė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32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32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72</v>
      </c>
      <c r="B76" s="27" t="str">
        <f>IF(73&gt;COUNTIF(' Toto teams'!$A$4:$A$119,"&lt;&gt;"),"",INDEX(' Toto teams'!$A$4:$A$119,MATCH(LARGE(' Toto teams'!$T$4:$T$119,73),' Toto teams'!$T$4:$T$119,0)))</f>
        <v>Mindaugas Čižauskas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32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32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72</v>
      </c>
      <c r="B77" s="27" t="str">
        <f>IF(74&gt;COUNTIF(' Toto teams'!$A$4:$A$119,"&lt;&gt;"),"",INDEX(' Toto teams'!$A$4:$A$119,MATCH(LARGE(' Toto teams'!$T$4:$T$119,74),' Toto teams'!$T$4:$T$119,0)))</f>
        <v>Donatas Keras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32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32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Gintas Bungarda 2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31.5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31.5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Denis Kazarezov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31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31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76</v>
      </c>
      <c r="B80" s="27" t="str">
        <f>IF(77&gt;COUNTIF(' Toto teams'!$A$4:$A$119,"&lt;&gt;"),"",INDEX(' Toto teams'!$A$4:$A$119,MATCH(LARGE(' Toto teams'!$T$4:$T$119,77),' Toto teams'!$T$4:$T$119,0)))</f>
        <v>Vytautas Gliaubicas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31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76</v>
      </c>
      <c r="B81" s="27" t="str">
        <f>IF(78&gt;COUNTIF(' Toto teams'!$A$4:$A$119,"&lt;&gt;"),"",INDEX(' Toto teams'!$A$4:$A$119,MATCH(LARGE(' Toto teams'!$T$4:$T$119,78),' Toto teams'!$T$4:$T$119,0)))</f>
        <v>Nikolay Lenkov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31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31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76</v>
      </c>
      <c r="B82" s="27" t="str">
        <f>IF(79&gt;COUNTIF(' Toto teams'!$A$4:$A$119,"&lt;&gt;"),"",INDEX(' Toto teams'!$A$4:$A$119,MATCH(LARGE(' Toto teams'!$T$4:$T$119,79),' Toto teams'!$T$4:$T$119,0)))</f>
        <v>Paolo Papiri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31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31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Sigitas Petraitis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30.5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30.5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80</v>
      </c>
      <c r="B84" s="27" t="str">
        <f>IF(81&gt;COUNTIF(' Toto teams'!$A$4:$A$119,"&lt;&gt;"),"",INDEX(' Toto teams'!$A$4:$A$119,MATCH(LARGE(' Toto teams'!$T$4:$T$119,81),' Toto teams'!$T$4:$T$119,0)))</f>
        <v>Lukas Vaitukaitis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30.5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30.5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80</v>
      </c>
      <c r="B85" s="27" t="str">
        <f>IF(82&gt;COUNTIF(' Toto teams'!$A$4:$A$119,"&lt;&gt;"),"",INDEX(' Toto teams'!$A$4:$A$119,MATCH(LARGE(' Toto teams'!$T$4:$T$119,82),' Toto teams'!$T$4:$T$119,0)))</f>
        <v>Rolandas Urbelis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30.5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30.5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80</v>
      </c>
      <c r="B86" s="27" t="str">
        <f>IF(83&gt;COUNTIF(' Toto teams'!$A$4:$A$119,"&lt;&gt;"),"",INDEX(' Toto teams'!$A$4:$A$119,MATCH(LARGE(' Toto teams'!$T$4:$T$119,83),' Toto teams'!$T$4:$T$119,0)))</f>
        <v>Giuseppe Diana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30.5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30.5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80</v>
      </c>
      <c r="B87" s="27" t="str">
        <f>IF(84&gt;COUNTIF(' Toto teams'!$A$4:$A$119,"&lt;&gt;"),"",INDEX(' Toto teams'!$A$4:$A$119,MATCH(LARGE(' Toto teams'!$T$4:$T$119,84),' Toto teams'!$T$4:$T$119,0)))</f>
        <v>Ernesta Čebienė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30.5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30.5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Rimas Baubonis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30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30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Sofus Wolke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29.5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29.5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Algirdas Čižauskas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29.5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29.5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86</v>
      </c>
      <c r="B91" s="27" t="str">
        <f>IF(88&gt;COUNTIF(' Toto teams'!$A$4:$A$119,"&lt;&gt;"),"",INDEX(' Toto teams'!$A$4:$A$119,MATCH(LARGE(' Toto teams'!$T$4:$T$119,88),' Toto teams'!$T$4:$T$119,0)))</f>
        <v>Egidijus Navickas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29.5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29.5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Martynas Bruzga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29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29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Edgar Moroz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28.5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28.5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90</v>
      </c>
      <c r="B94" s="27" t="str">
        <f>IF(91&gt;COUNTIF(' Toto teams'!$A$4:$A$119,"&lt;&gt;"),"",INDEX(' Toto teams'!$A$4:$A$119,MATCH(LARGE(' Toto teams'!$T$4:$T$119,91),' Toto teams'!$T$4:$T$119,0)))</f>
        <v>Arūnas Čižauskas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28.5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28.5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90</v>
      </c>
      <c r="B95" s="27" t="str">
        <f>IF(92&gt;COUNTIF(' Toto teams'!$A$4:$A$119,"&lt;&gt;"),"",INDEX(' Toto teams'!$A$4:$A$119,MATCH(LARGE(' Toto teams'!$T$4:$T$119,92),' Toto teams'!$T$4:$T$119,0)))</f>
        <v>Mindaugas Sipavičius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28.5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28.5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Simonas Anikinas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27.5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27.5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N&amp;A Pociai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27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27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Kristina I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26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26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Edita Oršauskė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26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26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95</v>
      </c>
      <c r="B100" s="27" t="str">
        <f>IF(97&gt;COUNTIF(' Toto teams'!$A$4:$A$119,"&lt;&gt;"),"",INDEX(' Toto teams'!$A$4:$A$119,MATCH(LARGE(' Toto teams'!$T$4:$T$119,97),' Toto teams'!$T$4:$T$119,0)))</f>
        <v>Egidijus Mačiukas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26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26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Vytautas Podrezas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24.5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24.5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98</v>
      </c>
      <c r="B102" s="27" t="str">
        <f>IF(99&gt;COUNTIF(' Toto teams'!$A$4:$A$119,"&lt;&gt;"),"",INDEX(' Toto teams'!$A$4:$A$119,MATCH(LARGE(' Toto teams'!$T$4:$T$119,99),' Toto teams'!$T$4:$T$119,0)))</f>
        <v>Sampaio Carlos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24.5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24.5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Aurimas Oleknavičius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24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24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Gintarė Paipulė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23.5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23.5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Alius Antulis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23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23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102</v>
      </c>
      <c r="B106" s="27" t="str">
        <f>IF(103&gt;COUNTIF(' Toto teams'!$A$4:$A$119,"&lt;&gt;"),"",INDEX(' Toto teams'!$A$4:$A$119,MATCH(LARGE(' Toto teams'!$T$4:$T$119,103),' Toto teams'!$T$4:$T$119,0)))</f>
        <v>Joris Jalo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23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23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Michele Sette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22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22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Dainius Visackas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17.5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17.5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2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0</v>
      </c>
      <c r="R4" s="36">
        <f t="shared" ref="R4:R35" si="0">IF(A4="","-",SUM(J4:Q4))</f>
        <v>38</v>
      </c>
      <c r="S4">
        <f t="shared" ref="S4:S35" si="1">IF(A4="","",RANK(R4,$R$4:$R$119))</f>
        <v>32</v>
      </c>
      <c r="T4">
        <f t="shared" ref="T4:T35" si="2">IF(A4="",-1,R4-ROW(R4)/1000000)</f>
        <v>37.999996000000003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41.5</v>
      </c>
      <c r="S5">
        <f t="shared" si="1"/>
        <v>13</v>
      </c>
      <c r="T5">
        <f t="shared" si="2"/>
        <v>41.499994999999998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40.5</v>
      </c>
      <c r="S6">
        <f t="shared" si="1"/>
        <v>20</v>
      </c>
      <c r="T6">
        <f t="shared" si="2"/>
        <v>40.499994000000001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33.5</v>
      </c>
      <c r="S7">
        <f t="shared" si="1"/>
        <v>64</v>
      </c>
      <c r="T7">
        <f t="shared" si="2"/>
        <v>33.499993000000003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29.5</v>
      </c>
      <c r="S8">
        <f t="shared" si="1"/>
        <v>86</v>
      </c>
      <c r="T8">
        <f t="shared" si="2"/>
        <v>29.499991999999999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0</v>
      </c>
      <c r="R9" s="36">
        <f t="shared" si="0"/>
        <v>36</v>
      </c>
      <c r="S9">
        <f t="shared" si="1"/>
        <v>47</v>
      </c>
      <c r="T9">
        <f t="shared" si="2"/>
        <v>35.999991000000001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31</v>
      </c>
      <c r="S10">
        <f t="shared" si="1"/>
        <v>76</v>
      </c>
      <c r="T10">
        <f t="shared" si="2"/>
        <v>30.99999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30.5</v>
      </c>
      <c r="S11">
        <f t="shared" si="1"/>
        <v>80</v>
      </c>
      <c r="T11">
        <f t="shared" si="2"/>
        <v>30.499988999999999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1.5</v>
      </c>
      <c r="R12" s="36">
        <f t="shared" si="0"/>
        <v>40.5</v>
      </c>
      <c r="S12">
        <f t="shared" si="1"/>
        <v>20</v>
      </c>
      <c r="T12">
        <f t="shared" si="2"/>
        <v>40.499988000000002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34</v>
      </c>
      <c r="S13">
        <f t="shared" si="1"/>
        <v>61</v>
      </c>
      <c r="T13">
        <f t="shared" si="2"/>
        <v>33.999986999999997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26</v>
      </c>
      <c r="S14">
        <f t="shared" si="1"/>
        <v>95</v>
      </c>
      <c r="T14">
        <f t="shared" si="2"/>
        <v>25.999986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23</v>
      </c>
      <c r="S15">
        <f t="shared" si="1"/>
        <v>102</v>
      </c>
      <c r="T15">
        <f t="shared" si="2"/>
        <v>22.999984999999999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42</v>
      </c>
      <c r="S16">
        <f t="shared" si="1"/>
        <v>10</v>
      </c>
      <c r="T16">
        <f t="shared" si="2"/>
        <v>41.999983999999998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4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41.5</v>
      </c>
      <c r="S17">
        <f t="shared" si="1"/>
        <v>13</v>
      </c>
      <c r="T17">
        <f t="shared" si="2"/>
        <v>41.499983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3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36</v>
      </c>
      <c r="S18">
        <f t="shared" si="1"/>
        <v>47</v>
      </c>
      <c r="T18">
        <f t="shared" si="2"/>
        <v>35.999982000000003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3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0</v>
      </c>
      <c r="R19" s="36">
        <f t="shared" si="0"/>
        <v>38</v>
      </c>
      <c r="S19">
        <f t="shared" si="1"/>
        <v>32</v>
      </c>
      <c r="T19">
        <f t="shared" si="2"/>
        <v>37.999980999999998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3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33</v>
      </c>
      <c r="S20">
        <f t="shared" si="1"/>
        <v>68</v>
      </c>
      <c r="T20">
        <f t="shared" si="2"/>
        <v>32.999980000000001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1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26</v>
      </c>
      <c r="S21">
        <f t="shared" si="1"/>
        <v>95</v>
      </c>
      <c r="T21">
        <f t="shared" si="2"/>
        <v>25.999979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3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0</v>
      </c>
      <c r="R22" s="36">
        <f t="shared" si="0"/>
        <v>38</v>
      </c>
      <c r="S22">
        <f t="shared" si="1"/>
        <v>32</v>
      </c>
      <c r="T22">
        <f t="shared" si="2"/>
        <v>37.999977999999999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31</v>
      </c>
      <c r="S23">
        <f t="shared" si="1"/>
        <v>76</v>
      </c>
      <c r="T23">
        <f t="shared" si="2"/>
        <v>30.999977000000001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3</v>
      </c>
      <c r="M24" s="28">
        <f>IFERROR(VLOOKUP(E24,Scoring!$A$4:$N$51,14,FALSE())*2,"-")</f>
        <v>2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42.5</v>
      </c>
      <c r="S24">
        <f t="shared" si="1"/>
        <v>9</v>
      </c>
      <c r="T24">
        <f t="shared" si="2"/>
        <v>42.499975999999997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43.5</v>
      </c>
      <c r="S25">
        <f t="shared" si="1"/>
        <v>8</v>
      </c>
      <c r="T25">
        <f t="shared" si="2"/>
        <v>43.499974999999999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29</v>
      </c>
      <c r="S26">
        <f t="shared" si="1"/>
        <v>89</v>
      </c>
      <c r="T26">
        <f t="shared" si="2"/>
        <v>28.999974000000002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40.5</v>
      </c>
      <c r="S27">
        <f t="shared" si="1"/>
        <v>20</v>
      </c>
      <c r="T27">
        <f t="shared" si="2"/>
        <v>40.499972999999997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3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0</v>
      </c>
      <c r="R28" s="36">
        <f t="shared" si="0"/>
        <v>42</v>
      </c>
      <c r="S28">
        <f t="shared" si="1"/>
        <v>10</v>
      </c>
      <c r="T28">
        <f t="shared" si="2"/>
        <v>41.999972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3</v>
      </c>
      <c r="Q29" s="29">
        <f>IFERROR(VLOOKUP(I29,Scoring!$A$4:$N$51,6,FALSE()),"-")</f>
        <v>1</v>
      </c>
      <c r="R29" s="36">
        <f t="shared" si="0"/>
        <v>26</v>
      </c>
      <c r="S29">
        <f t="shared" si="1"/>
        <v>95</v>
      </c>
      <c r="T29">
        <f t="shared" si="2"/>
        <v>25.999970999999999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6</v>
      </c>
      <c r="N30" s="28">
        <f>IFERROR(VLOOKUP(F30,Scoring!$A$4:$N$51,14,FALSE()),"-")</f>
        <v>1</v>
      </c>
      <c r="O30" s="28">
        <f>IFERROR(VLOOKUP(G30,Scoring!$A$4:$N$51,14,FALSE()),"-")</f>
        <v>3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29.5</v>
      </c>
      <c r="S30">
        <f t="shared" si="1"/>
        <v>86</v>
      </c>
      <c r="T30">
        <f t="shared" si="2"/>
        <v>29.499970000000001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40.5</v>
      </c>
      <c r="S31">
        <f t="shared" si="1"/>
        <v>20</v>
      </c>
      <c r="T31">
        <f t="shared" si="2"/>
        <v>40.499969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3</v>
      </c>
      <c r="Q32" s="29">
        <f>IFERROR(VLOOKUP(I32,Scoring!$A$4:$N$51,6,FALSE()),"-")</f>
        <v>0</v>
      </c>
      <c r="R32" s="36">
        <f t="shared" si="0"/>
        <v>37</v>
      </c>
      <c r="S32">
        <f t="shared" si="1"/>
        <v>41</v>
      </c>
      <c r="T32">
        <f t="shared" si="2"/>
        <v>36.999968000000003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3.5</v>
      </c>
      <c r="R33" s="36">
        <f t="shared" si="0"/>
        <v>33.5</v>
      </c>
      <c r="S33">
        <f t="shared" si="1"/>
        <v>64</v>
      </c>
      <c r="T33">
        <f t="shared" si="2"/>
        <v>33.499966999999998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1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0</v>
      </c>
      <c r="R34" s="36">
        <f t="shared" si="0"/>
        <v>32</v>
      </c>
      <c r="S34">
        <f t="shared" si="1"/>
        <v>72</v>
      </c>
      <c r="T34">
        <f t="shared" si="2"/>
        <v>31.999966000000001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0</v>
      </c>
      <c r="R35" s="36">
        <f t="shared" si="0"/>
        <v>34</v>
      </c>
      <c r="S35">
        <f t="shared" si="1"/>
        <v>61</v>
      </c>
      <c r="T35">
        <f t="shared" si="2"/>
        <v>33.999965000000003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49.5</v>
      </c>
      <c r="S36">
        <f t="shared" ref="S36:S67" si="4">IF(A36="","",RANK(R36,$R$4:$R$119))</f>
        <v>1</v>
      </c>
      <c r="T36">
        <f t="shared" ref="T36:T67" si="5">IF(A36="",-1,R36-ROW(R36)/1000000)</f>
        <v>49.499963999999999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3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0.5</v>
      </c>
      <c r="R37" s="36">
        <f t="shared" si="3"/>
        <v>36.5</v>
      </c>
      <c r="S37">
        <f t="shared" si="4"/>
        <v>45</v>
      </c>
      <c r="T37">
        <f t="shared" si="5"/>
        <v>36.499963000000001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4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0.5</v>
      </c>
      <c r="R38" s="36">
        <f t="shared" si="3"/>
        <v>17.5</v>
      </c>
      <c r="S38">
        <f t="shared" si="4"/>
        <v>105</v>
      </c>
      <c r="T38">
        <f t="shared" si="5"/>
        <v>17.499962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0</v>
      </c>
      <c r="R39" s="36">
        <f t="shared" si="3"/>
        <v>36</v>
      </c>
      <c r="S39">
        <f t="shared" si="4"/>
        <v>47</v>
      </c>
      <c r="T39">
        <f t="shared" si="5"/>
        <v>35.999960999999999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34.5</v>
      </c>
      <c r="S40">
        <f t="shared" si="4"/>
        <v>58</v>
      </c>
      <c r="T40">
        <f t="shared" si="5"/>
        <v>34.499960000000002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1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33.5</v>
      </c>
      <c r="S41">
        <f t="shared" si="4"/>
        <v>64</v>
      </c>
      <c r="T41">
        <f t="shared" si="5"/>
        <v>33.499958999999997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3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31</v>
      </c>
      <c r="S42">
        <f t="shared" si="4"/>
        <v>76</v>
      </c>
      <c r="T42">
        <f t="shared" si="5"/>
        <v>30.999957999999999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45.5</v>
      </c>
      <c r="S43">
        <f t="shared" si="4"/>
        <v>4</v>
      </c>
      <c r="T43">
        <f t="shared" si="5"/>
        <v>45.499957000000002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38</v>
      </c>
      <c r="S44">
        <f t="shared" si="4"/>
        <v>32</v>
      </c>
      <c r="T44">
        <f t="shared" si="5"/>
        <v>37.999955999999997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4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37</v>
      </c>
      <c r="S45">
        <f t="shared" si="4"/>
        <v>41</v>
      </c>
      <c r="T45">
        <f t="shared" si="5"/>
        <v>36.999955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40</v>
      </c>
      <c r="S46">
        <f t="shared" si="4"/>
        <v>26</v>
      </c>
      <c r="T46">
        <f t="shared" si="5"/>
        <v>39.999954000000002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29.5</v>
      </c>
      <c r="S47">
        <f t="shared" si="4"/>
        <v>86</v>
      </c>
      <c r="T47">
        <f t="shared" si="5"/>
        <v>29.499953000000001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33</v>
      </c>
      <c r="S48">
        <f t="shared" si="4"/>
        <v>68</v>
      </c>
      <c r="T48">
        <f t="shared" si="5"/>
        <v>32.999952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3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41.5</v>
      </c>
      <c r="S49">
        <f t="shared" si="4"/>
        <v>13</v>
      </c>
      <c r="T49">
        <f t="shared" si="5"/>
        <v>41.499951000000003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0.5</v>
      </c>
      <c r="R50" s="36">
        <f t="shared" si="3"/>
        <v>40.5</v>
      </c>
      <c r="S50">
        <f t="shared" si="4"/>
        <v>20</v>
      </c>
      <c r="T50">
        <f t="shared" si="5"/>
        <v>40.499949999999998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3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28.5</v>
      </c>
      <c r="S51">
        <f t="shared" si="4"/>
        <v>90</v>
      </c>
      <c r="T51">
        <f t="shared" si="5"/>
        <v>28.499949000000001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38</v>
      </c>
      <c r="S52">
        <f t="shared" si="4"/>
        <v>32</v>
      </c>
      <c r="T52">
        <f t="shared" si="5"/>
        <v>37.999948000000003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34.5</v>
      </c>
      <c r="S53">
        <f t="shared" si="4"/>
        <v>58</v>
      </c>
      <c r="T53">
        <f t="shared" si="5"/>
        <v>34.499946999999999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24.5</v>
      </c>
      <c r="S54">
        <f t="shared" si="4"/>
        <v>98</v>
      </c>
      <c r="T54">
        <f t="shared" si="5"/>
        <v>24.499946000000001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6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35.5</v>
      </c>
      <c r="S55">
        <f t="shared" si="4"/>
        <v>53</v>
      </c>
      <c r="T55">
        <f t="shared" si="5"/>
        <v>35.499944999999997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3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32</v>
      </c>
      <c r="S56">
        <f t="shared" si="4"/>
        <v>72</v>
      </c>
      <c r="T56">
        <f t="shared" si="5"/>
        <v>31.999943999999999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1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45.5</v>
      </c>
      <c r="S57">
        <f t="shared" si="4"/>
        <v>4</v>
      </c>
      <c r="T57">
        <f t="shared" si="5"/>
        <v>45.499943000000002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3</v>
      </c>
      <c r="Q58" s="29">
        <f>IFERROR(VLOOKUP(I58,Scoring!$A$4:$N$51,6,FALSE()),"-")</f>
        <v>0</v>
      </c>
      <c r="R58" s="36">
        <f t="shared" si="3"/>
        <v>44</v>
      </c>
      <c r="S58">
        <f t="shared" si="4"/>
        <v>6</v>
      </c>
      <c r="T58">
        <f t="shared" si="5"/>
        <v>43.999941999999997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38</v>
      </c>
      <c r="S59">
        <f t="shared" si="4"/>
        <v>32</v>
      </c>
      <c r="T59">
        <f t="shared" si="5"/>
        <v>37.999941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2</v>
      </c>
      <c r="N60" s="28">
        <f>IFERROR(VLOOKUP(F60,Scoring!$A$4:$N$51,14,FALSE()),"-")</f>
        <v>3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28.5</v>
      </c>
      <c r="S60">
        <f t="shared" si="4"/>
        <v>90</v>
      </c>
      <c r="T60">
        <f t="shared" si="5"/>
        <v>28.499939999999999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3</v>
      </c>
      <c r="Q61" s="29">
        <f>IFERROR(VLOOKUP(I61,Scoring!$A$4:$N$51,6,FALSE()),"-")</f>
        <v>0</v>
      </c>
      <c r="R61" s="36">
        <f t="shared" si="3"/>
        <v>27</v>
      </c>
      <c r="S61">
        <f t="shared" si="4"/>
        <v>94</v>
      </c>
      <c r="T61">
        <f t="shared" si="5"/>
        <v>26.999939000000001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2</v>
      </c>
      <c r="N62" s="28">
        <f>IFERROR(VLOOKUP(F62,Scoring!$A$4:$N$51,14,FALSE()),"-")</f>
        <v>3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46.5</v>
      </c>
      <c r="S62">
        <f t="shared" si="4"/>
        <v>3</v>
      </c>
      <c r="T62">
        <f t="shared" si="5"/>
        <v>46.499938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35.5</v>
      </c>
      <c r="S63">
        <f t="shared" si="4"/>
        <v>53</v>
      </c>
      <c r="T63">
        <f t="shared" si="5"/>
        <v>35.499937000000003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6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39.5</v>
      </c>
      <c r="S64">
        <f t="shared" si="4"/>
        <v>29</v>
      </c>
      <c r="T64">
        <f t="shared" si="5"/>
        <v>39.499935999999998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30.5</v>
      </c>
      <c r="S65">
        <f t="shared" si="4"/>
        <v>80</v>
      </c>
      <c r="T65">
        <f t="shared" si="5"/>
        <v>30.499935000000001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28.5</v>
      </c>
      <c r="S66">
        <f t="shared" si="4"/>
        <v>90</v>
      </c>
      <c r="T66">
        <f t="shared" si="5"/>
        <v>28.499934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37</v>
      </c>
      <c r="S67">
        <f t="shared" si="4"/>
        <v>41</v>
      </c>
      <c r="T67">
        <f t="shared" si="5"/>
        <v>36.999932999999999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30.5</v>
      </c>
      <c r="S68">
        <f t="shared" ref="S68:S99" si="7">IF(A68="","",RANK(R68,$R$4:$R$119))</f>
        <v>80</v>
      </c>
      <c r="T68">
        <f t="shared" ref="T68:T99" si="8">IF(A68="",-1,R68-ROW(R68)/1000000)</f>
        <v>30.499932000000001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3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0</v>
      </c>
      <c r="R69" s="36">
        <f t="shared" si="6"/>
        <v>38</v>
      </c>
      <c r="S69">
        <f t="shared" si="7"/>
        <v>32</v>
      </c>
      <c r="T69">
        <f t="shared" si="8"/>
        <v>37.999930999999997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3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40.5</v>
      </c>
      <c r="S70">
        <f t="shared" si="7"/>
        <v>20</v>
      </c>
      <c r="T70">
        <f t="shared" si="8"/>
        <v>40.499929999999999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3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0</v>
      </c>
      <c r="R71" s="36">
        <f t="shared" si="6"/>
        <v>32</v>
      </c>
      <c r="S71">
        <f t="shared" si="7"/>
        <v>72</v>
      </c>
      <c r="T71">
        <f t="shared" si="8"/>
        <v>31.999929000000002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3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34</v>
      </c>
      <c r="S72">
        <f t="shared" si="7"/>
        <v>61</v>
      </c>
      <c r="T72">
        <f t="shared" si="8"/>
        <v>33.999927999999997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27.5</v>
      </c>
      <c r="S73">
        <f t="shared" si="7"/>
        <v>93</v>
      </c>
      <c r="T73">
        <f t="shared" si="8"/>
        <v>27.499927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1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36</v>
      </c>
      <c r="S74">
        <f t="shared" si="7"/>
        <v>47</v>
      </c>
      <c r="T74">
        <f t="shared" si="8"/>
        <v>35.999926000000002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0</v>
      </c>
      <c r="R75" s="36">
        <f t="shared" si="6"/>
        <v>35</v>
      </c>
      <c r="S75">
        <f t="shared" si="7"/>
        <v>57</v>
      </c>
      <c r="T75">
        <f t="shared" si="8"/>
        <v>34.999924999999998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41.5</v>
      </c>
      <c r="S76">
        <f t="shared" si="7"/>
        <v>13</v>
      </c>
      <c r="T76">
        <f t="shared" si="8"/>
        <v>41.499924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33</v>
      </c>
      <c r="S77">
        <f t="shared" si="7"/>
        <v>68</v>
      </c>
      <c r="T77">
        <f t="shared" si="8"/>
        <v>32.999923000000003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1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42</v>
      </c>
      <c r="S78">
        <f t="shared" si="7"/>
        <v>10</v>
      </c>
      <c r="T78">
        <f t="shared" si="8"/>
        <v>41.999921999999998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24.5</v>
      </c>
      <c r="S79">
        <f t="shared" si="7"/>
        <v>98</v>
      </c>
      <c r="T79">
        <f t="shared" si="8"/>
        <v>24.499921000000001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24</v>
      </c>
      <c r="S80">
        <f t="shared" si="7"/>
        <v>100</v>
      </c>
      <c r="T80">
        <f t="shared" si="8"/>
        <v>23.999919999999999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3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39.5</v>
      </c>
      <c r="S81">
        <f t="shared" si="7"/>
        <v>29</v>
      </c>
      <c r="T81">
        <f t="shared" si="8"/>
        <v>39.499918999999998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1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36</v>
      </c>
      <c r="S82">
        <f t="shared" si="7"/>
        <v>47</v>
      </c>
      <c r="T82">
        <f t="shared" si="8"/>
        <v>35.999918000000001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0</v>
      </c>
      <c r="Q83" s="29">
        <f>IFERROR(VLOOKUP(I83,Scoring!$A$4:$N$51,6,FALSE()),"-")</f>
        <v>0.5</v>
      </c>
      <c r="R83" s="36">
        <f t="shared" si="6"/>
        <v>30.5</v>
      </c>
      <c r="S83">
        <f t="shared" si="7"/>
        <v>80</v>
      </c>
      <c r="T83">
        <f t="shared" si="8"/>
        <v>30.499917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40</v>
      </c>
      <c r="S84">
        <f t="shared" si="7"/>
        <v>26</v>
      </c>
      <c r="T84">
        <f t="shared" si="8"/>
        <v>39.999915999999999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22</v>
      </c>
      <c r="S85">
        <f t="shared" si="7"/>
        <v>104</v>
      </c>
      <c r="T85">
        <f t="shared" si="8"/>
        <v>21.999915000000001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6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37</v>
      </c>
      <c r="S86">
        <f t="shared" si="7"/>
        <v>41</v>
      </c>
      <c r="T86">
        <f t="shared" si="8"/>
        <v>36.999913999999997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41.5</v>
      </c>
      <c r="S87">
        <f t="shared" si="7"/>
        <v>13</v>
      </c>
      <c r="T87">
        <f t="shared" si="8"/>
        <v>41.499912999999999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35.5</v>
      </c>
      <c r="S88">
        <f t="shared" si="7"/>
        <v>53</v>
      </c>
      <c r="T88">
        <f t="shared" si="8"/>
        <v>35.499912000000002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31</v>
      </c>
      <c r="S89">
        <f t="shared" si="7"/>
        <v>76</v>
      </c>
      <c r="T89">
        <f t="shared" si="8"/>
        <v>30.999911000000001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39.5</v>
      </c>
      <c r="S90">
        <f t="shared" si="7"/>
        <v>29</v>
      </c>
      <c r="T90">
        <f t="shared" si="8"/>
        <v>39.49991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2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0</v>
      </c>
      <c r="R91" s="36">
        <f t="shared" si="6"/>
        <v>38</v>
      </c>
      <c r="S91">
        <f t="shared" si="7"/>
        <v>32</v>
      </c>
      <c r="T91">
        <f t="shared" si="8"/>
        <v>37.999909000000002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31.5</v>
      </c>
      <c r="S92">
        <f t="shared" si="7"/>
        <v>75</v>
      </c>
      <c r="T92">
        <f t="shared" si="8"/>
        <v>31.499908000000001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36</v>
      </c>
      <c r="S93">
        <f t="shared" si="7"/>
        <v>47</v>
      </c>
      <c r="T93">
        <f t="shared" si="8"/>
        <v>35.999907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3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36.5</v>
      </c>
      <c r="S94">
        <f t="shared" si="7"/>
        <v>45</v>
      </c>
      <c r="T94">
        <f t="shared" si="8"/>
        <v>36.499906000000003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6</v>
      </c>
      <c r="N95" s="28">
        <f>IFERROR(VLOOKUP(F95,Scoring!$A$4:$N$51,14,FALSE()),"-")</f>
        <v>3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0</v>
      </c>
      <c r="R95" s="36">
        <f t="shared" si="6"/>
        <v>48</v>
      </c>
      <c r="S95">
        <f t="shared" si="7"/>
        <v>2</v>
      </c>
      <c r="T95">
        <f t="shared" si="8"/>
        <v>47.999904999999998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38</v>
      </c>
      <c r="S96">
        <f t="shared" si="7"/>
        <v>32</v>
      </c>
      <c r="T96">
        <f t="shared" si="8"/>
        <v>37.999904000000001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30.5</v>
      </c>
      <c r="S97">
        <f t="shared" si="7"/>
        <v>80</v>
      </c>
      <c r="T97">
        <f t="shared" si="8"/>
        <v>30.499903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44</v>
      </c>
      <c r="S98">
        <f t="shared" si="7"/>
        <v>6</v>
      </c>
      <c r="T98">
        <f t="shared" si="8"/>
        <v>43.999901999999999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33.5</v>
      </c>
      <c r="S99">
        <f t="shared" si="7"/>
        <v>64</v>
      </c>
      <c r="T99">
        <f t="shared" si="8"/>
        <v>33.499901000000001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23</v>
      </c>
      <c r="S100">
        <f t="shared" ref="S100:S119" si="10">IF(A100="","",RANK(R100,$R$4:$R$119))</f>
        <v>102</v>
      </c>
      <c r="T100">
        <f t="shared" ref="T100:T119" si="11">IF(A100="",-1,R100-ROW(R100)/1000000)</f>
        <v>22.9999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34.5</v>
      </c>
      <c r="S101">
        <f t="shared" si="10"/>
        <v>58</v>
      </c>
      <c r="T101">
        <f t="shared" si="11"/>
        <v>34.499898999999999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3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40</v>
      </c>
      <c r="S102">
        <f t="shared" si="10"/>
        <v>26</v>
      </c>
      <c r="T102">
        <f t="shared" si="11"/>
        <v>39.999898000000002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4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1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0</v>
      </c>
      <c r="R103" s="36">
        <f t="shared" si="9"/>
        <v>30</v>
      </c>
      <c r="S103">
        <f t="shared" si="10"/>
        <v>85</v>
      </c>
      <c r="T103">
        <f t="shared" si="11"/>
        <v>29.999897000000001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32.5</v>
      </c>
      <c r="S104">
        <f t="shared" si="10"/>
        <v>71</v>
      </c>
      <c r="T104">
        <f t="shared" si="11"/>
        <v>32.499896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35.5</v>
      </c>
      <c r="S105">
        <f t="shared" si="10"/>
        <v>53</v>
      </c>
      <c r="T105">
        <f t="shared" si="11"/>
        <v>35.499895000000002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41.5</v>
      </c>
      <c r="S106">
        <f t="shared" si="10"/>
        <v>13</v>
      </c>
      <c r="T106">
        <f t="shared" si="11"/>
        <v>41.499893999999998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23.5</v>
      </c>
      <c r="S107">
        <f t="shared" si="10"/>
        <v>101</v>
      </c>
      <c r="T107">
        <f t="shared" si="11"/>
        <v>23.499893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3</v>
      </c>
      <c r="M108" s="28">
        <f>IFERROR(VLOOKUP(E108,Scoring!$A$4:$N$51,14,FALSE())*2,"-")</f>
        <v>2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41.5</v>
      </c>
      <c r="S108">
        <f t="shared" si="10"/>
        <v>13</v>
      </c>
      <c r="T108">
        <f t="shared" si="11"/>
        <v>41.499892000000003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2026-06-18T04:02:24Z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