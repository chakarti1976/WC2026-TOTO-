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9A9E153E-ACDE-4AB2-A2C2-081E92A5E0DB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3" i="1" l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O73" i="1" s="1"/>
  <c r="BN73" i="1" a="1"/>
  <c r="BN73" i="1" s="1"/>
  <c r="BM73" i="1" a="1"/>
  <c r="BM73" i="1" s="1"/>
  <c r="BM36" i="1" a="1"/>
  <c r="BN43" i="1" a="1"/>
  <c r="BN43" i="1" s="1"/>
  <c r="BK66" i="1"/>
  <c r="BH66" i="1"/>
  <c r="BM74" i="1" a="1"/>
  <c r="BM74" i="1" s="1"/>
  <c r="BO74" i="1" a="1"/>
  <c r="BO74" i="1" s="1"/>
  <c r="BN74" i="1" a="1"/>
  <c r="BN74" i="1" s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BO75" i="1" s="1"/>
  <c r="G119" i="2"/>
  <c r="J119" i="2"/>
  <c r="D119" i="2"/>
  <c r="C119" i="2"/>
  <c r="L119" i="2"/>
  <c r="I119" i="2"/>
  <c r="H119" i="2"/>
  <c r="F119" i="2"/>
  <c r="E119" i="2"/>
  <c r="K119" i="2"/>
  <c r="BM72" i="1" a="1"/>
  <c r="BM72" i="1" s="1"/>
  <c r="BM75" i="1" a="1"/>
  <c r="BM75" i="1" s="1"/>
  <c r="BN72" i="1" a="1"/>
  <c r="BN72" i="1" s="1"/>
  <c r="BN75" i="1" a="1"/>
  <c r="BN75" i="1" s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60" i="1" l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BL74" i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BL72" i="1"/>
  <c r="M75" i="1" s="1"/>
  <c r="BL73" i="1"/>
  <c r="P74" i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L75" i="1"/>
  <c r="O76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60" i="1" l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5" i="1"/>
  <c r="O74" i="1"/>
  <c r="Q75" i="1"/>
  <c r="AR92" i="1"/>
  <c r="AQ92" i="1"/>
  <c r="K74" i="1"/>
  <c r="N73" i="1"/>
  <c r="Q73" i="1"/>
  <c r="BU92" i="1"/>
  <c r="K75" i="1"/>
  <c r="L74" i="1"/>
  <c r="AO92" i="1"/>
  <c r="O75" i="1"/>
  <c r="K73" i="1"/>
  <c r="O73" i="1"/>
  <c r="AS92" i="1"/>
  <c r="M74" i="1"/>
  <c r="L75" i="1"/>
  <c r="P75" i="1"/>
  <c r="L73" i="1"/>
  <c r="AP92" i="1"/>
  <c r="Q74" i="1"/>
  <c r="N74" i="1"/>
  <c r="P73" i="1"/>
  <c r="M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M7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Q76" i="1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N76" i="1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K76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N57" i="1" l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<sst xmlns="http://schemas.openxmlformats.org/spreadsheetml/2006/main" count="6931" uniqueCount="1447">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</sst>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39" activePane="bottomLeft" state="frozen"/>
      <selection pane="bottomLeft" activeCell="G60" sqref="G60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/>
      <c r="G65" s="7"/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0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0</v>
      </c>
      <c r="BH66">
        <f>BE66-BF66-BG66</f>
        <v>0</v>
      </c>
      <c r="BI66">
        <f t="array" ref="BI66">SUMPRODUCT((E65:E70=BD66)*IFERROR(F65:F70,0))+SUMPRODUCT((H65:H70=BD66)*IFERROR(G65:G70,0))</f>
        <v>0</v>
      </c>
      <c r="BJ66">
        <f t="array" ref="BJ66">SUMPRODUCT((E65:E70=BD66)*IFERROR(G65:G70,0))+SUMPRODUCT((H65:H70=BD66)*IFERROR(F65:F70,0))</f>
        <v>0</v>
      </c>
      <c r="BK66">
        <f>BF66*3+BG66</f>
        <v>0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0</v>
      </c>
      <c r="M67" s="11">
        <f>INDEX(BF66:BF69,MATCH(1,BL66:BL69,0))</f>
        <v>0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0 - 0</v>
      </c>
      <c r="Q67" s="14">
        <f>INDEX(BK66:BK69,MATCH(1,BL66:BL69,0))</f>
        <v>0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0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0</v>
      </c>
      <c r="BH67">
        <f>BE67-BF67-BG67</f>
        <v>0</v>
      </c>
      <c r="BI67">
        <f t="array" ref="BI67">SUMPRODUCT((E65:E70=BD67)*IFERROR(F65:F70,0))+SUMPRODUCT((H65:H70=BD67)*IFERROR(G65:G70,0))</f>
        <v>0</v>
      </c>
      <c r="BJ67">
        <f t="array" ref="BJ67">SUMPRODUCT((E65:E70=BD67)*IFERROR(G65:G70,0))+SUMPRODUCT((H65:H70=BD67)*IFERROR(F65:F70,0))</f>
        <v>0</v>
      </c>
      <c r="BK67">
        <f>BF67*3+BG67</f>
        <v>0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0</v>
      </c>
      <c r="M68" s="11">
        <f>INDEX(BF66:BF69,MATCH(2,BL66:BL69,0))</f>
        <v>0</v>
      </c>
      <c r="N68" s="11">
        <f>INDEX(BG66:BG69,MATCH(2,BL66:BL69,0))</f>
        <v>0</v>
      </c>
      <c r="O68" s="11">
        <f>INDEX(BH66:BH69,MATCH(2,BL66:BL69,0))</f>
        <v>0</v>
      </c>
      <c r="P68" s="11" t="str">
        <f>INDEX(BI66:BI69,MATCH(2,BL66:BL69,0))&amp;" - "&amp;INDEX(BJ66:BJ69,MATCH(2,BL66:BL69,0))</f>
        <v>0 - 0</v>
      </c>
      <c r="Q68" s="14">
        <f>INDEX(BK66:BK69,MATCH(2,BL66:BL69,0))</f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/>
      <c r="G71" s="7"/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/>
      <c r="G72" s="7"/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0</v>
      </c>
      <c r="BF72">
        <f t="array" ref="BF72">SUMPRODUCT((E71:E76=BD72)*ISNUMBER(F71:F76)*ISNUMBER(G71:G76)*(F71:F76&gt;G71:G76))+SUMPRODUCT((H71:H76=BD72)*ISNUMBER(F71:F76)*ISNUMBER(G71:G76)*(G71:G76&gt;F71:F76))</f>
        <v>0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0</v>
      </c>
      <c r="BJ72">
        <f t="array" ref="BJ72">SUMPRODUCT((E71:E76=BD72)*IFERROR(G71:G76,0))+SUMPRODUCT((H71:H76=BD72)*IFERROR(F71:F76,0))</f>
        <v>0</v>
      </c>
      <c r="BK72">
        <f>BF72*3+BG72</f>
        <v>0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0</v>
      </c>
      <c r="M73" s="11">
        <f>INDEX(BF72:BF75,MATCH(1,BL72:BL75,0))</f>
        <v>0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0 - 0</v>
      </c>
      <c r="Q73" s="14">
        <f>INDEX(BK72:BK75,MATCH(1,BL72:BL75,0))</f>
        <v>0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0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0</v>
      </c>
      <c r="BI73">
        <f t="array" ref="BI73">SUMPRODUCT((E71:E76=BD73)*IFERROR(F71:F76,0))+SUMPRODUCT((H71:H76=BD73)*IFERROR(G71:G76,0))</f>
        <v>0</v>
      </c>
      <c r="BJ73">
        <f t="array" ref="BJ73">SUMPRODUCT((E71:E76=BD73)*IFERROR(G71:G76,0))+SUMPRODUCT((H71:H76=BD73)*IFERROR(F71:F76,0))</f>
        <v>0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0</v>
      </c>
      <c r="M74" s="11">
        <f>INDEX(BF72:BF75,MATCH(2,BL72:BL75,0))</f>
        <v>0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0 - 0</v>
      </c>
      <c r="Q74" s="14">
        <f>INDEX(BK72:BK75,MATCH(2,BL72:BL75,0))</f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0</v>
      </c>
      <c r="BF74">
        <f t="array" ref="BF74">SUMPRODUCT((E71:E76=BD74)*ISNUMBER(F71:F76)*ISNUMBER(G71:G76)*(F71:F76&gt;G71:G76))+SUMPRODUCT((H71:H76=BD74)*ISNUMBER(F71:F76)*ISNUMBER(G71:G76)*(G71:G76&gt;F71:F76))</f>
        <v>0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0</v>
      </c>
      <c r="BJ74">
        <f t="array" ref="BJ74">SUMPRODUCT((E71:E76=BD74)*IFERROR(G71:G76,0))+SUMPRODUCT((H71:H76=BD74)*IFERROR(F71:F76,0))</f>
        <v>0</v>
      </c>
      <c r="BK74">
        <f>BF74*3+BG74</f>
        <v>0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0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0</v>
      </c>
      <c r="P75" s="11" t="str">
        <f>INDEX(BI72:BI75,MATCH(3,BL72:BL75,0))&amp;" - "&amp;INDEX(BJ72:BJ75,MATCH(3,BL72:BL75,0))</f>
        <v>0 - 0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0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0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0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0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0</v>
      </c>
      <c r="P76" s="18" t="str">
        <f>INDEX(BI72:BI75,MATCH(4,BL72:BL75,0))&amp;" - "&amp;INDEX(BJ72:BJ75,MATCH(4,BL72:BL75,0))</f>
        <v>0 - 0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8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ABCFGHKL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L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2</v>
      </c>
      <c r="AV82" t="str">
        <f>IFERROR(INDEX($AQ$81:$AQ$92,MATCH(2,$AT$81:$AT$92,0)),"")</f>
        <v>Qatar</v>
      </c>
      <c r="AW82" t="str">
        <f>IFERROR(INDEX($AN$81:$AN$92,MATCH(2,$AT$81:$AT$92,0)),"")</f>
        <v>B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3</v>
      </c>
      <c r="AV83" t="str">
        <f>IFERROR(INDEX($AQ$81:$AQ$92,MATCH(3,$AT$81:$AT$92,0)),"")</f>
        <v>Morocco</v>
      </c>
      <c r="AW83" t="str">
        <f>IFERROR(INDEX($AN$81:$AN$92,MATCH(3,$AT$81:$AT$92,0)),"")</f>
        <v>C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Belgium</v>
      </c>
      <c r="AW84" t="str">
        <f>IFERROR(INDEX($AN$81:$AN$92,MATCH(4,$AT$81:$AT$92,0)),"")</f>
        <v>G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9</v>
      </c>
      <c r="AV85" t="str">
        <f>IFERROR(INDEX($AQ$81:$AQ$92,MATCH(5,$AT$81:$AT$92,0)),"")</f>
        <v>Spain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Uzbekistan</v>
      </c>
      <c r="AW86" t="str">
        <f>IFERROR(INDEX($AN$81:$AN$92,MATCH(6,$AT$81:$AT$92,0)),"")</f>
        <v>K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Ghana</v>
      </c>
      <c r="AW87" t="str">
        <f>IFERROR(INDEX($AN$81:$AN$92,MATCH(7,$AT$81:$AT$92,0)),"")</f>
        <v>L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Czechia</v>
      </c>
      <c r="AW88" t="str">
        <f>IFERROR(INDEX($AN$81:$AN$92,MATCH(8,$AT$81:$AT$92,0)),"")</f>
        <v>A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10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11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6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0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7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74" activePane="bottomLeft" state="frozen"/>
      <selection pane="bottomLeft" activeCell="C87" sqref="C87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Titas Jodenis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41.5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41.5</v>
      </c>
      <c r="L4" s="30">
        <f t="shared" ref="L4:L35" si="0">IFERROR(IF(B4="","",VLOOKUP(A4,$N$4:$R$12,5,FALSE())),0)</f>
        <v>1102.5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2</v>
      </c>
      <c r="R4" s="34">
        <f t="shared" ref="R4:R12" si="3">IF(Q4=0,0,SUMPRODUCT(($N$4:$N$12&gt;=N4)*($N$4:$N$12&lt;=N4+Q4-1)*$P$4:$P$12)/Q4)</f>
        <v>1102.5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1</v>
      </c>
      <c r="B5" s="27" t="str">
        <f>IF(2&gt;COUNTIF(' Toto teams'!$A$4:$A$119,"&lt;&gt;"),"",INDEX(' Toto teams'!$A$4:$A$119,MATCH(LARGE(' Toto teams'!$T$4:$T$119,2),' Toto teams'!$T$4:$T$119,0)))</f>
        <v>Davide Speranza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41.5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41.5</v>
      </c>
      <c r="L5" s="30">
        <f t="shared" si="0"/>
        <v>1102.5</v>
      </c>
      <c r="N5" s="31">
        <v>2</v>
      </c>
      <c r="O5" s="32">
        <v>0.2</v>
      </c>
      <c r="P5" s="33">
        <f t="shared" si="1"/>
        <v>630</v>
      </c>
      <c r="Q5" s="31">
        <f t="shared" si="2"/>
        <v>0</v>
      </c>
      <c r="R5" s="34">
        <f t="shared" si="3"/>
        <v>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Lukas Danielevičius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40.5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40.5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Vaidas Pažusys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39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39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Artem Lavrov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37.5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37.5</v>
      </c>
      <c r="L8" s="30">
        <f t="shared" si="0"/>
        <v>118.125</v>
      </c>
      <c r="N8" s="31">
        <v>5</v>
      </c>
      <c r="O8" s="32">
        <v>0.05</v>
      </c>
      <c r="P8" s="33">
        <f t="shared" si="1"/>
        <v>157.5</v>
      </c>
      <c r="Q8" s="31">
        <f t="shared" si="2"/>
        <v>2</v>
      </c>
      <c r="R8" s="34">
        <f t="shared" si="3"/>
        <v>118.125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5</v>
      </c>
      <c r="B9" s="27" t="str">
        <f>IF(6&gt;COUNTIF(' Toto teams'!$A$4:$A$119,"&lt;&gt;"),"",INDEX(' Toto teams'!$A$4:$A$119,MATCH(LARGE(' Toto teams'!$T$4:$T$119,6),' Toto teams'!$T$4:$T$119,0)))</f>
        <v>Gintas Bungarda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37.5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37.5</v>
      </c>
      <c r="L9" s="30">
        <f t="shared" si="0"/>
        <v>118.125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0</v>
      </c>
      <c r="R9" s="34">
        <f t="shared" si="3"/>
        <v>0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Virginija Čižauskienė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36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36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Slava Maltsev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35.5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35.5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2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8</v>
      </c>
      <c r="B12" s="27" t="str">
        <f>IF(9&gt;COUNTIF(' Toto teams'!$A$4:$A$119,"&lt;&gt;"),"",INDEX(' Toto teams'!$A$4:$A$119,MATCH(LARGE(' Toto teams'!$T$4:$T$119,9),' Toto teams'!$T$4:$T$119,0)))</f>
        <v>Nadia Mercurio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35.5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35.5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Kamran Mikayilov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35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35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Aurimas Šumbrauskis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35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35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Benas VII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34.5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34.5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>Audi club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34.5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34.5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Simas Baubonis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33.5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33.5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14</v>
      </c>
      <c r="B18" s="27" t="str">
        <f>IF(15&gt;COUNTIF(' Toto teams'!$A$4:$A$119,"&lt;&gt;"),"",INDEX(' Toto teams'!$A$4:$A$119,MATCH(LARGE(' Toto teams'!$T$4:$T$119,15),' Toto teams'!$T$4:$T$119,0)))</f>
        <v>Simona Jociūtė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33.5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33.5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14</v>
      </c>
      <c r="B19" s="27" t="str">
        <f>IF(16&gt;COUNTIF(' Toto teams'!$A$4:$A$119,"&lt;&gt;"),"",INDEX(' Toto teams'!$A$4:$A$119,MATCH(LARGE(' Toto teams'!$T$4:$T$119,16),' Toto teams'!$T$4:$T$119,0)))</f>
        <v>Pijus Jalo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33.5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33.5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Susie Wolke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33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33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Todor Velikov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33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33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17</v>
      </c>
      <c r="B22" s="27" t="str">
        <f>IF(19&gt;COUNTIF(' Toto teams'!$A$4:$A$119,"&lt;&gt;"),"",INDEX(' Toto teams'!$A$4:$A$119,MATCH(LARGE(' Toto teams'!$T$4:$T$119,19),' Toto teams'!$T$4:$T$119,0)))</f>
        <v>Juozas Žimkus Jr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33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33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17</v>
      </c>
      <c r="B23" s="27" t="str">
        <f>IF(20&gt;COUNTIF(' Toto teams'!$A$4:$A$119,"&lt;&gt;"),"",INDEX(' Toto teams'!$A$4:$A$119,MATCH(LARGE(' Toto teams'!$T$4:$T$119,20),' Toto teams'!$T$4:$T$119,0)))</f>
        <v>Ivan Manev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33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33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Rustam Roikov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32.5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32.5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21</v>
      </c>
      <c r="B25" s="27" t="str">
        <f>IF(22&gt;COUNTIF(' Toto teams'!$A$4:$A$119,"&lt;&gt;"),"",INDEX(' Toto teams'!$A$4:$A$119,MATCH(LARGE(' Toto teams'!$T$4:$T$119,22),' Toto teams'!$T$4:$T$119,0)))</f>
        <v>Sigitas Šarauskis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32.5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32.5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21</v>
      </c>
      <c r="B26" s="27" t="str">
        <f>IF(23&gt;COUNTIF(' Toto teams'!$A$4:$A$119,"&lt;&gt;"),"",INDEX(' Toto teams'!$A$4:$A$119,MATCH(LARGE(' Toto teams'!$T$4:$T$119,23),' Toto teams'!$T$4:$T$119,0)))</f>
        <v>Jokūbas Kušleika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32.5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32.5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Donatas Pocius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32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32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>Elijus Benetis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32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32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24</v>
      </c>
      <c r="B29" s="27" t="str">
        <f>IF(26&gt;COUNTIF(' Toto teams'!$A$4:$A$119,"&lt;&gt;"),"",INDEX(' Toto teams'!$A$4:$A$119,MATCH(LARGE(' Toto teams'!$T$4:$T$119,26),' Toto teams'!$T$4:$T$119,0)))</f>
        <v>Mindaugas Čižauskas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32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32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24</v>
      </c>
      <c r="B30" s="27" t="str">
        <f>IF(27&gt;COUNTIF(' Toto teams'!$A$4:$A$119,"&lt;&gt;"),"",INDEX(' Toto teams'!$A$4:$A$119,MATCH(LARGE(' Toto teams'!$T$4:$T$119,27),' Toto teams'!$T$4:$T$119,0)))</f>
        <v>Raimondas Juška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32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32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24</v>
      </c>
      <c r="B31" s="27" t="str">
        <f>IF(28&gt;COUNTIF(' Toto teams'!$A$4:$A$119,"&lt;&gt;"),"",INDEX(' Toto teams'!$A$4:$A$119,MATCH(LARGE(' Toto teams'!$T$4:$T$119,28),' Toto teams'!$T$4:$T$119,0)))</f>
        <v>Jurga Šantaraitė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32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32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Simonas Sipavičius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31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31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29</v>
      </c>
      <c r="B33" s="27" t="str">
        <f>IF(30&gt;COUNTIF(' Toto teams'!$A$4:$A$119,"&lt;&gt;"),"",INDEX(' Toto teams'!$A$4:$A$119,MATCH(LARGE(' Toto teams'!$T$4:$T$119,30),' Toto teams'!$T$4:$T$119,0)))</f>
        <v>Enrico Ancarola, Pietro Rivera, Riccardo Gatti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31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31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29</v>
      </c>
      <c r="B34" s="27" t="str">
        <f>IF(31&gt;COUNTIF(' Toto teams'!$A$4:$A$119,"&lt;&gt;"),"",INDEX(' Toto teams'!$A$4:$A$119,MATCH(LARGE(' Toto teams'!$T$4:$T$119,31),' Toto teams'!$T$4:$T$119,0)))</f>
        <v>Donatas Keras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31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31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29</v>
      </c>
      <c r="B35" s="27" t="str">
        <f>IF(32&gt;COUNTIF(' Toto teams'!$A$4:$A$119,"&lt;&gt;"),"",INDEX(' Toto teams'!$A$4:$A$119,MATCH(LARGE(' Toto teams'!$T$4:$T$119,32),' Toto teams'!$T$4:$T$119,0)))</f>
        <v>Donatas Bakėjus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31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31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29</v>
      </c>
      <c r="B36" s="27" t="str">
        <f>IF(33&gt;COUNTIF(' Toto teams'!$A$4:$A$119,"&lt;&gt;"),"",INDEX(' Toto teams'!$A$4:$A$119,MATCH(LARGE(' Toto teams'!$T$4:$T$119,33),' Toto teams'!$T$4:$T$119,0)))</f>
        <v>Danielius Pažusys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31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31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29</v>
      </c>
      <c r="B37" s="27" t="str">
        <f>IF(34&gt;COUNTIF(' Toto teams'!$A$4:$A$119,"&lt;&gt;"),"",INDEX(' Toto teams'!$A$4:$A$119,MATCH(LARGE(' Toto teams'!$T$4:$T$119,34),' Toto teams'!$T$4:$T$119,0)))</f>
        <v>Mario Calvi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31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31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29</v>
      </c>
      <c r="B38" s="27" t="str">
        <f>IF(35&gt;COUNTIF(' Toto teams'!$A$4:$A$119,"&lt;&gt;"),"",INDEX(' Toto teams'!$A$4:$A$119,MATCH(LARGE(' Toto teams'!$T$4:$T$119,35),' Toto teams'!$T$4:$T$119,0)))</f>
        <v>Benediktas Babraitis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31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31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Zaur Yusubov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30.5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30.5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36</v>
      </c>
      <c r="B40" s="27" t="str">
        <f>IF(37&gt;COUNTIF(' Toto teams'!$A$4:$A$119,"&lt;&gt;"),"",INDEX(' Toto teams'!$A$4:$A$119,MATCH(LARGE(' Toto teams'!$T$4:$T$119,37),' Toto teams'!$T$4:$T$119,0)))</f>
        <v>Renata Čižauskienė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30.5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30.5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36</v>
      </c>
      <c r="B41" s="27" t="str">
        <f>IF(38&gt;COUNTIF(' Toto teams'!$A$4:$A$119,"&lt;&gt;"),"",INDEX(' Toto teams'!$A$4:$A$119,MATCH(LARGE(' Toto teams'!$T$4:$T$119,38),' Toto teams'!$T$4:$T$119,0)))</f>
        <v>Gianmarco Monti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30.5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30.5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 xml:space="preserve">Paulius Bernotas 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30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30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Evelina Tiščenkė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29.5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29.5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40</v>
      </c>
      <c r="B44" s="27" t="str">
        <f>IF(41&gt;COUNTIF(' Toto teams'!$A$4:$A$119,"&lt;&gt;"),"",INDEX(' Toto teams'!$A$4:$A$119,MATCH(LARGE(' Toto teams'!$T$4:$T$119,41),' Toto teams'!$T$4:$T$119,0)))</f>
        <v>Benas&amp;Šaras Oleknavičius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29.5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29.5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Martynas Bruzga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29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29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42</v>
      </c>
      <c r="B46" s="27" t="str">
        <f>IF(43&gt;COUNTIF(' Toto teams'!$A$4:$A$119,"&lt;&gt;"),"",INDEX(' Toto teams'!$A$4:$A$119,MATCH(LARGE(' Toto teams'!$T$4:$T$119,43),' Toto teams'!$T$4:$T$119,0)))</f>
        <v>Dainius Breivė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29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29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42</v>
      </c>
      <c r="B47" s="27" t="str">
        <f>IF(44&gt;COUNTIF(' Toto teams'!$A$4:$A$119,"&lt;&gt;"),"",INDEX(' Toto teams'!$A$4:$A$119,MATCH(LARGE(' Toto teams'!$T$4:$T$119,44),' Toto teams'!$T$4:$T$119,0)))</f>
        <v>Alberto Canova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29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29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42</v>
      </c>
      <c r="B48" s="27" t="str">
        <f>IF(45&gt;COUNTIF(' Toto teams'!$A$4:$A$119,"&lt;&gt;"),"",INDEX(' Toto teams'!$A$4:$A$119,MATCH(LARGE(' Toto teams'!$T$4:$T$119,45),' Toto teams'!$T$4:$T$119,0)))</f>
        <v>Paolo Papiri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29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29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42</v>
      </c>
      <c r="B49" s="27" t="str">
        <f>IF(46&gt;COUNTIF(' Toto teams'!$A$4:$A$119,"&lt;&gt;"),"",INDEX(' Toto teams'!$A$4:$A$119,MATCH(LARGE(' Toto teams'!$T$4:$T$119,46),' Toto teams'!$T$4:$T$119,0)))</f>
        <v>Deividas Jančius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29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29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Tomas Bruzga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28.5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28.5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47</v>
      </c>
      <c r="B51" s="27" t="str">
        <f>IF(48&gt;COUNTIF(' Toto teams'!$A$4:$A$119,"&lt;&gt;"),"",INDEX(' Toto teams'!$A$4:$A$119,MATCH(LARGE(' Toto teams'!$T$4:$T$119,48),' Toto teams'!$T$4:$T$119,0)))</f>
        <v>Gedas Girdžiūnas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28.5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28.5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47</v>
      </c>
      <c r="B52" s="27" t="str">
        <f>IF(49&gt;COUNTIF(' Toto teams'!$A$4:$A$119,"&lt;&gt;"),"",INDEX(' Toto teams'!$A$4:$A$119,MATCH(LARGE(' Toto teams'!$T$4:$T$119,49),' Toto teams'!$T$4:$T$119,0)))</f>
        <v>Sergey Zhaltuchin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28.5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28.5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47</v>
      </c>
      <c r="B53" s="27" t="str">
        <f>IF(50&gt;COUNTIF(' Toto teams'!$A$4:$A$119,"&lt;&gt;"),"",INDEX(' Toto teams'!$A$4:$A$119,MATCH(LARGE(' Toto teams'!$T$4:$T$119,50),' Toto teams'!$T$4:$T$119,0)))</f>
        <v>Mindaugas Sipavičius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28.5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28.5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47</v>
      </c>
      <c r="B54" s="27" t="str">
        <f>IF(51&gt;COUNTIF(' Toto teams'!$A$4:$A$119,"&lt;&gt;"),"",INDEX(' Toto teams'!$A$4:$A$119,MATCH(LARGE(' Toto teams'!$T$4:$T$119,51),' Toto teams'!$T$4:$T$119,0)))</f>
        <v>Ernesta Čebienė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28.5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28.5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Jonas Juška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28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28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Sigitas Petraitis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27.5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27.5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53</v>
      </c>
      <c r="B57" s="27" t="str">
        <f>IF(54&gt;COUNTIF(' Toto teams'!$A$4:$A$119,"&lt;&gt;"),"",INDEX(' Toto teams'!$A$4:$A$119,MATCH(LARGE(' Toto teams'!$T$4:$T$119,54),' Toto teams'!$T$4:$T$119,0)))</f>
        <v>Simonas Anikinas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27.5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27.5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53</v>
      </c>
      <c r="B58" s="27" t="str">
        <f>IF(55&gt;COUNTIF(' Toto teams'!$A$4:$A$119,"&lt;&gt;"),"",INDEX(' Toto teams'!$A$4:$A$119,MATCH(LARGE(' Toto teams'!$T$4:$T$119,55),' Toto teams'!$T$4:$T$119,0)))</f>
        <v>Arnoldas Molis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27.5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27.5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Nikolay Lenkov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27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27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56</v>
      </c>
      <c r="B60" s="27" t="str">
        <f>IF(57&gt;COUNTIF(' Toto teams'!$A$4:$A$119,"&lt;&gt;"),"",INDEX(' Toto teams'!$A$4:$A$119,MATCH(LARGE(' Toto teams'!$T$4:$T$119,57),' Toto teams'!$T$4:$T$119,0)))</f>
        <v>Dovilė Smetonė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27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27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Eugenijus Petrošius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26.5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26.5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58</v>
      </c>
      <c r="B62" s="27" t="str">
        <f>IF(59&gt;COUNTIF(' Toto teams'!$A$4:$A$119,"&lt;&gt;"),"",INDEX(' Toto teams'!$A$4:$A$119,MATCH(LARGE(' Toto teams'!$T$4:$T$119,59),' Toto teams'!$T$4:$T$119,0)))</f>
        <v>Arūnas Čižauskas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26.5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26.5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Žygimantas Ryliškis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25.5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25.5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60</v>
      </c>
      <c r="B64" s="27" t="str">
        <f>IF(61&gt;COUNTIF(' Toto teams'!$A$4:$A$119,"&lt;&gt;"),"",INDEX(' Toto teams'!$A$4:$A$119,MATCH(LARGE(' Toto teams'!$T$4:$T$119,61),' Toto teams'!$T$4:$T$119,0)))</f>
        <v>Benas Bruzga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25.5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25.5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60</v>
      </c>
      <c r="B65" s="27" t="str">
        <f>IF(62&gt;COUNTIF(' Toto teams'!$A$4:$A$119,"&lt;&gt;"),"",INDEX(' Toto teams'!$A$4:$A$119,MATCH(LARGE(' Toto teams'!$T$4:$T$119,62),' Toto teams'!$T$4:$T$119,0)))</f>
        <v>Donatas Celesius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25.5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25.5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60</v>
      </c>
      <c r="B66" s="27" t="str">
        <f>IF(63&gt;COUNTIF(' Toto teams'!$A$4:$A$119,"&lt;&gt;"),"",INDEX(' Toto teams'!$A$4:$A$119,MATCH(LARGE(' Toto teams'!$T$4:$T$119,63),' Toto teams'!$T$4:$T$119,0)))</f>
        <v>Partrikas Oleknavičius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25.5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25.5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60</v>
      </c>
      <c r="B67" s="27" t="str">
        <f>IF(64&gt;COUNTIF(' Toto teams'!$A$4:$A$119,"&lt;&gt;"),"",INDEX(' Toto teams'!$A$4:$A$119,MATCH(LARGE(' Toto teams'!$T$4:$T$119,64),' Toto teams'!$T$4:$T$119,0)))</f>
        <v>Gintas Bungarda 2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25.5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25.5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60</v>
      </c>
      <c r="B68" s="27" t="str">
        <f>IF(65&gt;COUNTIF(' Toto teams'!$A$4:$A$119,"&lt;&gt;"),"",INDEX(' Toto teams'!$A$4:$A$119,MATCH(LARGE(' Toto teams'!$T$4:$T$119,65),' Toto teams'!$T$4:$T$119,0)))</f>
        <v>Gintautas Beržanskis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25.5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25.5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Giedrius Šadbaras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25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25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66</v>
      </c>
      <c r="B70" s="27" t="str">
        <f>IF(67&gt;COUNTIF(' Toto teams'!$A$4:$A$119,"&lt;&gt;"),"",INDEX(' Toto teams'!$A$4:$A$119,MATCH(LARGE(' Toto teams'!$T$4:$T$119,67),' Toto teams'!$T$4:$T$119,0)))</f>
        <v>Justinas Novoruckis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25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25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68</v>
      </c>
      <c r="B71" s="27" t="str">
        <f>IF(68&gt;COUNTIF(' Toto teams'!$A$4:$A$119,"&lt;&gt;"),"",INDEX(' Toto teams'!$A$4:$A$119,MATCH(LARGE(' Toto teams'!$T$4:$T$119,68),' Toto teams'!$T$4:$T$119,0)))</f>
        <v>Rolandas Urbelis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24.5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24.5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Edita Oršauskė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24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24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Vytautas Gliaubicas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24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24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69</v>
      </c>
      <c r="B74" s="27" t="str">
        <f>IF(71&gt;COUNTIF(' Toto teams'!$A$4:$A$119,"&lt;&gt;"),"",INDEX(' Toto teams'!$A$4:$A$119,MATCH(LARGE(' Toto teams'!$T$4:$T$119,71),' Toto teams'!$T$4:$T$119,0)))</f>
        <v>Giedrius Stanulis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24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24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69</v>
      </c>
      <c r="B75" s="27" t="str">
        <f>IF(72&gt;COUNTIF(' Toto teams'!$A$4:$A$119,"&lt;&gt;"),"",INDEX(' Toto teams'!$A$4:$A$119,MATCH(LARGE(' Toto teams'!$T$4:$T$119,72),' Toto teams'!$T$4:$T$119,0)))</f>
        <v>Tomas Šunskis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24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24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Karolis Marcinkevičius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23.5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23.5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Algirdas Čižauskas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23.5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23.5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Saulius Lileikis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23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23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75</v>
      </c>
      <c r="B79" s="27" t="str">
        <f>IF(76&gt;COUNTIF(' Toto teams'!$A$4:$A$119,"&lt;&gt;"),"",INDEX(' Toto teams'!$A$4:$A$119,MATCH(LARGE(' Toto teams'!$T$4:$T$119,76),' Toto teams'!$T$4:$T$119,0)))</f>
        <v>Alexey Nikitenko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23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23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75</v>
      </c>
      <c r="B80" s="27" t="str">
        <f>IF(77&gt;COUNTIF(' Toto teams'!$A$4:$A$119,"&lt;&gt;"),"",INDEX(' Toto teams'!$A$4:$A$119,MATCH(LARGE(' Toto teams'!$T$4:$T$119,77),' Toto teams'!$T$4:$T$119,0)))</f>
        <v>Paulina Bungardė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23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23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75</v>
      </c>
      <c r="B81" s="27" t="str">
        <f>IF(78&gt;COUNTIF(' Toto teams'!$A$4:$A$119,"&lt;&gt;"),"",INDEX(' Toto teams'!$A$4:$A$119,MATCH(LARGE(' Toto teams'!$T$4:$T$119,78),' Toto teams'!$T$4:$T$119,0)))</f>
        <v>Darius Jalo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23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23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Thomas Wolke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22.5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22.5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79</v>
      </c>
      <c r="B83" s="27" t="str">
        <f>IF(80&gt;COUNTIF(' Toto teams'!$A$4:$A$119,"&lt;&gt;"),"",INDEX(' Toto teams'!$A$4:$A$119,MATCH(LARGE(' Toto teams'!$T$4:$T$119,80),' Toto teams'!$T$4:$T$119,0)))</f>
        <v>Sofus Wolke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22.5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22.5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79</v>
      </c>
      <c r="B84" s="27" t="str">
        <f>IF(81&gt;COUNTIF(' Toto teams'!$A$4:$A$119,"&lt;&gt;"),"",INDEX(' Toto teams'!$A$4:$A$119,MATCH(LARGE(' Toto teams'!$T$4:$T$119,81),' Toto teams'!$T$4:$T$119,0)))</f>
        <v>Andrea Signorini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22.5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22.5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Denis Kazarezov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22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22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82</v>
      </c>
      <c r="B86" s="27" t="str">
        <f>IF(83&gt;COUNTIF(' Toto teams'!$A$4:$A$119,"&lt;&gt;"),"",INDEX(' Toto teams'!$A$4:$A$119,MATCH(LARGE(' Toto teams'!$T$4:$T$119,83),' Toto teams'!$T$4:$T$119,0)))</f>
        <v>Deividas Jodenis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22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22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82</v>
      </c>
      <c r="B87" s="27" t="str">
        <f>IF(84&gt;COUNTIF(' Toto teams'!$A$4:$A$119,"&lt;&gt;"),"",INDEX(' Toto teams'!$A$4:$A$119,MATCH(LARGE(' Toto teams'!$T$4:$T$119,84),' Toto teams'!$T$4:$T$119,0)))</f>
        <v>Tihomir Chakarov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22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22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82</v>
      </c>
      <c r="B88" s="27" t="str">
        <f>IF(85&gt;COUNTIF(' Toto teams'!$A$4:$A$119,"&lt;&gt;"),"",INDEX(' Toto teams'!$A$4:$A$119,MATCH(LARGE(' Toto teams'!$T$4:$T$119,85),' Toto teams'!$T$4:$T$119,0)))</f>
        <v>Aurimas Oleknavičius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22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22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Lukas Vaitukaitis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21.5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21.5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Saulius Pipiras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21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21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87</v>
      </c>
      <c r="B91" s="27" t="str">
        <f>IF(88&gt;COUNTIF(' Toto teams'!$A$4:$A$119,"&lt;&gt;"),"",INDEX(' Toto teams'!$A$4:$A$119,MATCH(LARGE(' Toto teams'!$T$4:$T$119,88),' Toto teams'!$T$4:$T$119,0)))</f>
        <v>Joris Jalo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21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21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Egidijus Navickas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20.5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20.5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89</v>
      </c>
      <c r="B93" s="27" t="str">
        <f>IF(90&gt;COUNTIF(' Toto teams'!$A$4:$A$119,"&lt;&gt;"),"",INDEX(' Toto teams'!$A$4:$A$119,MATCH(LARGE(' Toto teams'!$T$4:$T$119,90),' Toto teams'!$T$4:$T$119,0)))</f>
        <v>Miglė Juškaitė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20.5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20.5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Dobilas III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20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20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Egidijus Mačiukas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19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19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N&amp;A Pociai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18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18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93</v>
      </c>
      <c r="B97" s="27" t="str">
        <f>IF(94&gt;COUNTIF(' Toto teams'!$A$4:$A$119,"&lt;&gt;"),"",INDEX(' Toto teams'!$A$4:$A$119,MATCH(LARGE(' Toto teams'!$T$4:$T$119,94),' Toto teams'!$T$4:$T$119,0)))</f>
        <v>Giuseppe Diana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18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18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93</v>
      </c>
      <c r="B98" s="27" t="str">
        <f>IF(95&gt;COUNTIF(' Toto teams'!$A$4:$A$119,"&lt;&gt;"),"",INDEX(' Toto teams'!$A$4:$A$119,MATCH(LARGE(' Toto teams'!$T$4:$T$119,95),' Toto teams'!$T$4:$T$119,0)))</f>
        <v>Michele Sette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18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18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Edgar Moroz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17.5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17.5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96</v>
      </c>
      <c r="B100" s="27" t="str">
        <f>IF(97&gt;COUNTIF(' Toto teams'!$A$4:$A$119,"&lt;&gt;"),"",INDEX(' Toto teams'!$A$4:$A$119,MATCH(LARGE(' Toto teams'!$T$4:$T$119,97),' Toto teams'!$T$4:$T$119,0)))</f>
        <v>Gintarė Paipulė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17.5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17.5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Yagub Alizada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16.5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16.5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Sampaio Carlos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15.5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15.5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Vytautas Podrezas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15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Alius Antulis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14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14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101</v>
      </c>
      <c r="B105" s="27" t="str">
        <f>IF(102&gt;COUNTIF(' Toto teams'!$A$4:$A$119,"&lt;&gt;"),"",INDEX(' Toto teams'!$A$4:$A$119,MATCH(LARGE(' Toto teams'!$T$4:$T$119,102),' Toto teams'!$T$4:$T$119,0)))</f>
        <v>Anton Panasenko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14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14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Dainius Visackas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12.5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12.5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Kristina I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12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12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104</v>
      </c>
      <c r="B108" s="27" t="str">
        <f>IF(105&gt;COUNTIF(' Toto teams'!$A$4:$A$119,"&lt;&gt;"),"",INDEX(' Toto teams'!$A$4:$A$119,MATCH(LARGE(' Toto teams'!$T$4:$T$119,105),' Toto teams'!$T$4:$T$119,0)))</f>
        <v>Rimas Baubonis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12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12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12</v>
      </c>
      <c r="L4" s="28">
        <f>IFERROR(VLOOKUP(D4,Scoring!$A$4:$N$51,14,FALSE())*3,"-")</f>
        <v>0</v>
      </c>
      <c r="M4" s="28">
        <f>IFERROR(VLOOKUP(E4,Scoring!$A$4:$N$51,14,FALSE())*2,"-")</f>
        <v>2</v>
      </c>
      <c r="N4" s="28">
        <f>IFERROR(VLOOKUP(F4,Scoring!$A$4:$N$51,14,FALSE()),"-")</f>
        <v>0</v>
      </c>
      <c r="O4" s="28">
        <f>IFERROR(VLOOKUP(G4,Scoring!$A$4:$N$51,14,FALSE()),"-")</f>
        <v>3</v>
      </c>
      <c r="P4" s="29">
        <f>IFERROR(VLOOKUP(H4,Scoring!$A$4:$N$51,14,FALSE()),"-")</f>
        <v>0</v>
      </c>
      <c r="Q4" s="29">
        <f>IFERROR(VLOOKUP(I4,Scoring!$A$4:$N$51,6,FALSE()),"-")</f>
        <v>0</v>
      </c>
      <c r="R4" s="36">
        <f t="shared" ref="R4:R35" si="0">IF(A4="","-",SUM(J4:Q4))</f>
        <v>23</v>
      </c>
      <c r="S4">
        <f t="shared" ref="S4:S35" si="1">IF(A4="","",RANK(R4,$R$4:$R$119))</f>
        <v>75</v>
      </c>
      <c r="T4">
        <f t="shared" ref="T4:T35" si="2">IF(A4="",-1,R4-ROW(R4)/1000000)</f>
        <v>22.999995999999999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0</v>
      </c>
      <c r="L5" s="28">
        <f>IFERROR(VLOOKUP(D5,Scoring!$A$4:$N$51,14,FALSE())*3,"-")</f>
        <v>0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0</v>
      </c>
      <c r="Q5" s="29">
        <f>IFERROR(VLOOKUP(I5,Scoring!$A$4:$N$51,6,FALSE()),"-")</f>
        <v>1.5</v>
      </c>
      <c r="R5" s="36">
        <f t="shared" si="0"/>
        <v>25.5</v>
      </c>
      <c r="S5">
        <f t="shared" si="1"/>
        <v>60</v>
      </c>
      <c r="T5">
        <f t="shared" si="2"/>
        <v>25.499994999999998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4</v>
      </c>
      <c r="L6" s="28">
        <f>IFERROR(VLOOKUP(D6,Scoring!$A$4:$N$51,14,FALSE())*3,"-")</f>
        <v>9</v>
      </c>
      <c r="M6" s="28">
        <f>IFERROR(VLOOKUP(E6,Scoring!$A$4:$N$51,14,FALSE())*2,"-")</f>
        <v>0</v>
      </c>
      <c r="N6" s="28">
        <f>IFERROR(VLOOKUP(F6,Scoring!$A$4:$N$51,14,FALSE()),"-")</f>
        <v>0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35.5</v>
      </c>
      <c r="S6">
        <f t="shared" si="1"/>
        <v>8</v>
      </c>
      <c r="T6">
        <f t="shared" si="2"/>
        <v>35.499994000000001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12</v>
      </c>
      <c r="L7" s="28">
        <f>IFERROR(VLOOKUP(D7,Scoring!$A$4:$N$51,14,FALSE())*3,"-")</f>
        <v>0</v>
      </c>
      <c r="M7" s="28">
        <f>IFERROR(VLOOKUP(E7,Scoring!$A$4:$N$51,14,FALSE())*2,"-")</f>
        <v>0</v>
      </c>
      <c r="N7" s="28">
        <f>IFERROR(VLOOKUP(F7,Scoring!$A$4:$N$51,14,FALSE()),"-")</f>
        <v>1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22.5</v>
      </c>
      <c r="S7">
        <f t="shared" si="1"/>
        <v>79</v>
      </c>
      <c r="T7">
        <f t="shared" si="2"/>
        <v>22.499993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0</v>
      </c>
      <c r="L8" s="28">
        <f>IFERROR(VLOOKUP(D8,Scoring!$A$4:$N$51,14,FALSE())*3,"-")</f>
        <v>9</v>
      </c>
      <c r="M8" s="28">
        <f>IFERROR(VLOOKUP(E8,Scoring!$A$4:$N$51,14,FALSE())*2,"-")</f>
        <v>2</v>
      </c>
      <c r="N8" s="28">
        <f>IFERROR(VLOOKUP(F8,Scoring!$A$4:$N$51,14,FALSE()),"-")</f>
        <v>0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22.5</v>
      </c>
      <c r="S8">
        <f t="shared" si="1"/>
        <v>79</v>
      </c>
      <c r="T8">
        <f t="shared" si="2"/>
        <v>22.499991999999999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3</v>
      </c>
      <c r="P9" s="29">
        <f>IFERROR(VLOOKUP(H9,Scoring!$A$4:$N$51,14,FALSE()),"-")</f>
        <v>0</v>
      </c>
      <c r="Q9" s="29">
        <f>IFERROR(VLOOKUP(I9,Scoring!$A$4:$N$51,6,FALSE()),"-")</f>
        <v>0</v>
      </c>
      <c r="R9" s="36">
        <f t="shared" si="0"/>
        <v>33</v>
      </c>
      <c r="S9">
        <f t="shared" si="1"/>
        <v>17</v>
      </c>
      <c r="T9">
        <f t="shared" si="2"/>
        <v>32.999991000000001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0</v>
      </c>
      <c r="K10" s="28">
        <f>IFERROR(VLOOKUP(C10,Scoring!$A$4:$N$51,14,FALSE())*4,"-")</f>
        <v>4</v>
      </c>
      <c r="L10" s="28">
        <f>IFERROR(VLOOKUP(D10,Scoring!$A$4:$N$51,14,FALSE())*3,"-")</f>
        <v>9</v>
      </c>
      <c r="M10" s="28">
        <f>IFERROR(VLOOKUP(E10,Scoring!$A$4:$N$51,14,FALSE())*2,"-")</f>
        <v>6</v>
      </c>
      <c r="N10" s="28">
        <f>IFERROR(VLOOKUP(F10,Scoring!$A$4:$N$51,14,FALSE()),"-")</f>
        <v>0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22</v>
      </c>
      <c r="S10">
        <f t="shared" si="1"/>
        <v>82</v>
      </c>
      <c r="T10">
        <f t="shared" si="2"/>
        <v>21.99999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12</v>
      </c>
      <c r="L11" s="28">
        <f>IFERROR(VLOOKUP(D11,Scoring!$A$4:$N$51,14,FALSE())*3,"-")</f>
        <v>0</v>
      </c>
      <c r="M11" s="28">
        <f>IFERROR(VLOOKUP(E11,Scoring!$A$4:$N$51,14,FALSE())*2,"-")</f>
        <v>2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27.5</v>
      </c>
      <c r="S11">
        <f t="shared" si="1"/>
        <v>53</v>
      </c>
      <c r="T11">
        <f t="shared" si="2"/>
        <v>27.499988999999999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3</v>
      </c>
      <c r="M12" s="28">
        <f>IFERROR(VLOOKUP(E12,Scoring!$A$4:$N$51,14,FALSE())*2,"-")</f>
        <v>0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1.5</v>
      </c>
      <c r="R12" s="36">
        <f t="shared" si="0"/>
        <v>34.5</v>
      </c>
      <c r="S12">
        <f t="shared" si="1"/>
        <v>12</v>
      </c>
      <c r="T12">
        <f t="shared" si="2"/>
        <v>34.499988000000002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0</v>
      </c>
      <c r="L13" s="28">
        <f>IFERROR(VLOOKUP(D13,Scoring!$A$4:$N$51,14,FALSE())*3,"-")</f>
        <v>9</v>
      </c>
      <c r="M13" s="28">
        <f>IFERROR(VLOOKUP(E13,Scoring!$A$4:$N$51,14,FALSE())*2,"-")</f>
        <v>2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0</v>
      </c>
      <c r="R13" s="36">
        <f t="shared" si="0"/>
        <v>20</v>
      </c>
      <c r="S13">
        <f t="shared" si="1"/>
        <v>91</v>
      </c>
      <c r="T13">
        <f t="shared" si="2"/>
        <v>19.999987000000001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0</v>
      </c>
      <c r="M14" s="28">
        <f>IFERROR(VLOOKUP(E14,Scoring!$A$4:$N$51,14,FALSE())*2,"-")</f>
        <v>0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12</v>
      </c>
      <c r="S14">
        <f t="shared" si="1"/>
        <v>104</v>
      </c>
      <c r="T14">
        <f t="shared" si="2"/>
        <v>11.999986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4</v>
      </c>
      <c r="L15" s="28">
        <f>IFERROR(VLOOKUP(D15,Scoring!$A$4:$N$51,14,FALSE())*3,"-")</f>
        <v>0</v>
      </c>
      <c r="M15" s="28">
        <f>IFERROR(VLOOKUP(E15,Scoring!$A$4:$N$51,14,FALSE())*2,"-")</f>
        <v>0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14</v>
      </c>
      <c r="S15">
        <f t="shared" si="1"/>
        <v>101</v>
      </c>
      <c r="T15">
        <f t="shared" si="2"/>
        <v>13.999985000000001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4</v>
      </c>
      <c r="L16" s="28">
        <f>IFERROR(VLOOKUP(D16,Scoring!$A$4:$N$51,14,FALSE())*3,"-")</f>
        <v>0</v>
      </c>
      <c r="M16" s="28">
        <f>IFERROR(VLOOKUP(E16,Scoring!$A$4:$N$51,14,FALSE())*2,"-")</f>
        <v>6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33</v>
      </c>
      <c r="S16">
        <f t="shared" si="1"/>
        <v>17</v>
      </c>
      <c r="T16">
        <f t="shared" si="2"/>
        <v>32.999983999999998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0</v>
      </c>
      <c r="K17" s="28">
        <f>IFERROR(VLOOKUP(C17,Scoring!$A$4:$N$51,14,FALSE())*4,"-")</f>
        <v>4</v>
      </c>
      <c r="L17" s="28">
        <f>IFERROR(VLOOKUP(D17,Scoring!$A$4:$N$51,14,FALSE())*3,"-")</f>
        <v>9</v>
      </c>
      <c r="M17" s="28">
        <f>IFERROR(VLOOKUP(E17,Scoring!$A$4:$N$51,14,FALSE())*2,"-")</f>
        <v>2</v>
      </c>
      <c r="N17" s="28">
        <f>IFERROR(VLOOKUP(F17,Scoring!$A$4:$N$51,14,FALSE()),"-")</f>
        <v>3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23.5</v>
      </c>
      <c r="S17">
        <f t="shared" si="1"/>
        <v>73</v>
      </c>
      <c r="T17">
        <f t="shared" si="2"/>
        <v>23.499983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0</v>
      </c>
      <c r="L18" s="28">
        <f>IFERROR(VLOOKUP(D18,Scoring!$A$4:$N$51,14,FALSE())*3,"-")</f>
        <v>3</v>
      </c>
      <c r="M18" s="28">
        <f>IFERROR(VLOOKUP(E18,Scoring!$A$4:$N$51,14,FALSE())*2,"-")</f>
        <v>6</v>
      </c>
      <c r="N18" s="28">
        <f>IFERROR(VLOOKUP(F18,Scoring!$A$4:$N$51,14,FALSE()),"-")</f>
        <v>3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32</v>
      </c>
      <c r="S18">
        <f t="shared" si="1"/>
        <v>24</v>
      </c>
      <c r="T18">
        <f t="shared" si="2"/>
        <v>31.999981999999999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3</v>
      </c>
      <c r="O19" s="28">
        <f>IFERROR(VLOOKUP(G19,Scoring!$A$4:$N$51,14,FALSE()),"-")</f>
        <v>3</v>
      </c>
      <c r="P19" s="29">
        <f>IFERROR(VLOOKUP(H19,Scoring!$A$4:$N$51,14,FALSE()),"-")</f>
        <v>0</v>
      </c>
      <c r="Q19" s="29">
        <f>IFERROR(VLOOKUP(I19,Scoring!$A$4:$N$51,6,FALSE()),"-")</f>
        <v>0</v>
      </c>
      <c r="R19" s="36">
        <f t="shared" si="0"/>
        <v>35</v>
      </c>
      <c r="S19">
        <f t="shared" si="1"/>
        <v>10</v>
      </c>
      <c r="T19">
        <f t="shared" si="2"/>
        <v>34.999980999999998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0</v>
      </c>
      <c r="L20" s="28">
        <f>IFERROR(VLOOKUP(D20,Scoring!$A$4:$N$51,14,FALSE())*3,"-")</f>
        <v>3</v>
      </c>
      <c r="M20" s="28">
        <f>IFERROR(VLOOKUP(E20,Scoring!$A$4:$N$51,14,FALSE())*2,"-")</f>
        <v>0</v>
      </c>
      <c r="N20" s="28">
        <f>IFERROR(VLOOKUP(F20,Scoring!$A$4:$N$51,14,FALSE()),"-")</f>
        <v>1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23</v>
      </c>
      <c r="S20">
        <f t="shared" si="1"/>
        <v>75</v>
      </c>
      <c r="T20">
        <f t="shared" si="2"/>
        <v>22.999980000000001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4</v>
      </c>
      <c r="L21" s="28">
        <f>IFERROR(VLOOKUP(D21,Scoring!$A$4:$N$51,14,FALSE())*3,"-")</f>
        <v>9</v>
      </c>
      <c r="M21" s="28">
        <f>IFERROR(VLOOKUP(E21,Scoring!$A$4:$N$51,14,FALSE())*2,"-")</f>
        <v>0</v>
      </c>
      <c r="N21" s="28">
        <f>IFERROR(VLOOKUP(F21,Scoring!$A$4:$N$51,14,FALSE()),"-")</f>
        <v>1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24</v>
      </c>
      <c r="S21">
        <f t="shared" si="1"/>
        <v>69</v>
      </c>
      <c r="T21">
        <f t="shared" si="2"/>
        <v>23.999979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0</v>
      </c>
      <c r="L22" s="28">
        <f>IFERROR(VLOOKUP(D22,Scoring!$A$4:$N$51,14,FALSE())*3,"-")</f>
        <v>9</v>
      </c>
      <c r="M22" s="28">
        <f>IFERROR(VLOOKUP(E22,Scoring!$A$4:$N$51,14,FALSE())*2,"-")</f>
        <v>0</v>
      </c>
      <c r="N22" s="28">
        <f>IFERROR(VLOOKUP(F22,Scoring!$A$4:$N$51,14,FALSE()),"-")</f>
        <v>3</v>
      </c>
      <c r="O22" s="28">
        <f>IFERROR(VLOOKUP(G22,Scoring!$A$4:$N$51,14,FALSE()),"-")</f>
        <v>3</v>
      </c>
      <c r="P22" s="29">
        <f>IFERROR(VLOOKUP(H22,Scoring!$A$4:$N$51,14,FALSE()),"-")</f>
        <v>0</v>
      </c>
      <c r="Q22" s="29">
        <f>IFERROR(VLOOKUP(I22,Scoring!$A$4:$N$51,6,FALSE()),"-")</f>
        <v>0</v>
      </c>
      <c r="R22" s="36">
        <f t="shared" si="0"/>
        <v>21</v>
      </c>
      <c r="S22">
        <f t="shared" si="1"/>
        <v>87</v>
      </c>
      <c r="T22">
        <f t="shared" si="2"/>
        <v>20.999977999999999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0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0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24</v>
      </c>
      <c r="S23">
        <f t="shared" si="1"/>
        <v>69</v>
      </c>
      <c r="T23">
        <f t="shared" si="2"/>
        <v>23.999977000000001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0</v>
      </c>
      <c r="L24" s="28">
        <f>IFERROR(VLOOKUP(D24,Scoring!$A$4:$N$51,14,FALSE())*3,"-")</f>
        <v>3</v>
      </c>
      <c r="M24" s="28">
        <f>IFERROR(VLOOKUP(E24,Scoring!$A$4:$N$51,14,FALSE())*2,"-")</f>
        <v>0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0</v>
      </c>
      <c r="Q24" s="29">
        <f>IFERROR(VLOOKUP(I24,Scoring!$A$4:$N$51,6,FALSE()),"-")</f>
        <v>1.5</v>
      </c>
      <c r="R24" s="36">
        <f t="shared" si="0"/>
        <v>25.5</v>
      </c>
      <c r="S24">
        <f t="shared" si="1"/>
        <v>60</v>
      </c>
      <c r="T24">
        <f t="shared" si="2"/>
        <v>25.499976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0</v>
      </c>
      <c r="L25" s="28">
        <f>IFERROR(VLOOKUP(D25,Scoring!$A$4:$N$51,14,FALSE())*3,"-")</f>
        <v>0</v>
      </c>
      <c r="M25" s="28">
        <f>IFERROR(VLOOKUP(E25,Scoring!$A$4:$N$51,14,FALSE())*2,"-")</f>
        <v>2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28.5</v>
      </c>
      <c r="S25">
        <f t="shared" si="1"/>
        <v>47</v>
      </c>
      <c r="T25">
        <f t="shared" si="2"/>
        <v>28.499974999999999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4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29</v>
      </c>
      <c r="S26">
        <f t="shared" si="1"/>
        <v>42</v>
      </c>
      <c r="T26">
        <f t="shared" si="2"/>
        <v>28.999974000000002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0</v>
      </c>
      <c r="L27" s="28">
        <f>IFERROR(VLOOKUP(D27,Scoring!$A$4:$N$51,14,FALSE())*3,"-")</f>
        <v>3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28.5</v>
      </c>
      <c r="S27">
        <f t="shared" si="1"/>
        <v>47</v>
      </c>
      <c r="T27">
        <f t="shared" si="2"/>
        <v>28.499973000000001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12</v>
      </c>
      <c r="L28" s="28">
        <f>IFERROR(VLOOKUP(D28,Scoring!$A$4:$N$51,14,FALSE())*3,"-")</f>
        <v>0</v>
      </c>
      <c r="M28" s="28">
        <f>IFERROR(VLOOKUP(E28,Scoring!$A$4:$N$51,14,FALSE())*2,"-")</f>
        <v>6</v>
      </c>
      <c r="N28" s="28">
        <f>IFERROR(VLOOKUP(F28,Scoring!$A$4:$N$51,14,FALSE()),"-")</f>
        <v>3</v>
      </c>
      <c r="O28" s="28">
        <f>IFERROR(VLOOKUP(G28,Scoring!$A$4:$N$51,14,FALSE()),"-")</f>
        <v>3</v>
      </c>
      <c r="P28" s="29">
        <f>IFERROR(VLOOKUP(H28,Scoring!$A$4:$N$51,14,FALSE()),"-")</f>
        <v>0</v>
      </c>
      <c r="Q28" s="29">
        <f>IFERROR(VLOOKUP(I28,Scoring!$A$4:$N$51,6,FALSE()),"-")</f>
        <v>0</v>
      </c>
      <c r="R28" s="36">
        <f t="shared" si="0"/>
        <v>30</v>
      </c>
      <c r="S28">
        <f t="shared" si="1"/>
        <v>39</v>
      </c>
      <c r="T28">
        <f t="shared" si="2"/>
        <v>29.999972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0</v>
      </c>
      <c r="L29" s="28">
        <f>IFERROR(VLOOKUP(D29,Scoring!$A$4:$N$51,14,FALSE())*3,"-")</f>
        <v>9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0</v>
      </c>
      <c r="P29" s="29">
        <f>IFERROR(VLOOKUP(H29,Scoring!$A$4:$N$51,14,FALSE()),"-")</f>
        <v>0</v>
      </c>
      <c r="Q29" s="29">
        <f>IFERROR(VLOOKUP(I29,Scoring!$A$4:$N$51,6,FALSE()),"-")</f>
        <v>1</v>
      </c>
      <c r="R29" s="36">
        <f t="shared" si="0"/>
        <v>19</v>
      </c>
      <c r="S29">
        <f t="shared" si="1"/>
        <v>92</v>
      </c>
      <c r="T29">
        <f t="shared" si="2"/>
        <v>18.999970999999999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0</v>
      </c>
      <c r="N30" s="28">
        <f>IFERROR(VLOOKUP(F30,Scoring!$A$4:$N$51,14,FALSE()),"-")</f>
        <v>1</v>
      </c>
      <c r="O30" s="28">
        <f>IFERROR(VLOOKUP(G30,Scoring!$A$4:$N$51,14,FALSE()),"-")</f>
        <v>3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23.5</v>
      </c>
      <c r="S30">
        <f t="shared" si="1"/>
        <v>73</v>
      </c>
      <c r="T30">
        <f t="shared" si="2"/>
        <v>23.499970000000001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0</v>
      </c>
      <c r="L31" s="28">
        <f>IFERROR(VLOOKUP(D31,Scoring!$A$4:$N$51,14,FALSE())*3,"-")</f>
        <v>9</v>
      </c>
      <c r="M31" s="28">
        <f>IFERROR(VLOOKUP(E31,Scoring!$A$4:$N$51,14,FALSE())*2,"-")</f>
        <v>2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</v>
      </c>
      <c r="R31" s="36">
        <f t="shared" si="0"/>
        <v>36</v>
      </c>
      <c r="S31">
        <f t="shared" si="1"/>
        <v>7</v>
      </c>
      <c r="T31">
        <f t="shared" si="2"/>
        <v>35.999969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12</v>
      </c>
      <c r="L32" s="28">
        <f>IFERROR(VLOOKUP(D32,Scoring!$A$4:$N$51,14,FALSE())*3,"-")</f>
        <v>0</v>
      </c>
      <c r="M32" s="28">
        <f>IFERROR(VLOOKUP(E32,Scoring!$A$4:$N$51,14,FALSE())*2,"-")</f>
        <v>6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0</v>
      </c>
      <c r="Q32" s="29">
        <f>IFERROR(VLOOKUP(I32,Scoring!$A$4:$N$51,6,FALSE()),"-")</f>
        <v>0</v>
      </c>
      <c r="R32" s="36">
        <f t="shared" si="0"/>
        <v>25</v>
      </c>
      <c r="S32">
        <f t="shared" si="1"/>
        <v>66</v>
      </c>
      <c r="T32">
        <f t="shared" si="2"/>
        <v>24.999967999999999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0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2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0</v>
      </c>
      <c r="Q33" s="29">
        <f>IFERROR(VLOOKUP(I33,Scoring!$A$4:$N$51,6,FALSE()),"-")</f>
        <v>3.5</v>
      </c>
      <c r="R33" s="36">
        <f t="shared" si="0"/>
        <v>26.5</v>
      </c>
      <c r="S33">
        <f t="shared" si="1"/>
        <v>58</v>
      </c>
      <c r="T33">
        <f t="shared" si="2"/>
        <v>26.499967000000002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4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1</v>
      </c>
      <c r="O34" s="28">
        <f>IFERROR(VLOOKUP(G34,Scoring!$A$4:$N$51,14,FALSE()),"-")</f>
        <v>3</v>
      </c>
      <c r="P34" s="29">
        <f>IFERROR(VLOOKUP(H34,Scoring!$A$4:$N$51,14,FALSE()),"-")</f>
        <v>0</v>
      </c>
      <c r="Q34" s="29">
        <f>IFERROR(VLOOKUP(I34,Scoring!$A$4:$N$51,6,FALSE()),"-")</f>
        <v>0</v>
      </c>
      <c r="R34" s="36">
        <f t="shared" si="0"/>
        <v>29</v>
      </c>
      <c r="S34">
        <f t="shared" si="1"/>
        <v>42</v>
      </c>
      <c r="T34">
        <f t="shared" si="2"/>
        <v>28.999966000000001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12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3</v>
      </c>
      <c r="P35" s="29">
        <f>IFERROR(VLOOKUP(H35,Scoring!$A$4:$N$51,14,FALSE()),"-")</f>
        <v>0</v>
      </c>
      <c r="Q35" s="29">
        <f>IFERROR(VLOOKUP(I35,Scoring!$A$4:$N$51,6,FALSE()),"-")</f>
        <v>0</v>
      </c>
      <c r="R35" s="36">
        <f t="shared" si="0"/>
        <v>33</v>
      </c>
      <c r="S35">
        <f t="shared" si="1"/>
        <v>17</v>
      </c>
      <c r="T35">
        <f t="shared" si="2"/>
        <v>32.999965000000003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12</v>
      </c>
      <c r="L36" s="28">
        <f>IFERROR(VLOOKUP(D36,Scoring!$A$4:$N$51,14,FALSE())*3,"-")</f>
        <v>0</v>
      </c>
      <c r="M36" s="28">
        <f>IFERROR(VLOOKUP(E36,Scoring!$A$4:$N$51,14,FALSE())*2,"-")</f>
        <v>2</v>
      </c>
      <c r="N36" s="28">
        <f>IFERROR(VLOOKUP(F36,Scoring!$A$4:$N$51,14,FALSE()),"-")</f>
        <v>1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3.5</v>
      </c>
      <c r="R36" s="36">
        <f t="shared" ref="R36:R67" si="3">IF(A36="","-",SUM(J36:Q36))</f>
        <v>40.5</v>
      </c>
      <c r="S36">
        <f t="shared" ref="S36:S67" si="4">IF(A36="","",RANK(R36,$R$4:$R$119))</f>
        <v>3</v>
      </c>
      <c r="T36">
        <f t="shared" ref="T36:T67" si="5">IF(A36="",-1,R36-ROW(R36)/1000000)</f>
        <v>40.499963999999999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12</v>
      </c>
      <c r="L37" s="28">
        <f>IFERROR(VLOOKUP(D37,Scoring!$A$4:$N$51,14,FALSE())*3,"-")</f>
        <v>3</v>
      </c>
      <c r="M37" s="28">
        <f>IFERROR(VLOOKUP(E37,Scoring!$A$4:$N$51,14,FALSE())*2,"-")</f>
        <v>6</v>
      </c>
      <c r="N37" s="28">
        <f>IFERROR(VLOOKUP(F37,Scoring!$A$4:$N$51,14,FALSE()),"-")</f>
        <v>3</v>
      </c>
      <c r="O37" s="28">
        <f>IFERROR(VLOOKUP(G37,Scoring!$A$4:$N$51,14,FALSE()),"-")</f>
        <v>3</v>
      </c>
      <c r="P37" s="29">
        <f>IFERROR(VLOOKUP(H37,Scoring!$A$4:$N$51,14,FALSE()),"-")</f>
        <v>0</v>
      </c>
      <c r="Q37" s="29">
        <f>IFERROR(VLOOKUP(I37,Scoring!$A$4:$N$51,6,FALSE()),"-")</f>
        <v>0.5</v>
      </c>
      <c r="R37" s="36">
        <f t="shared" si="3"/>
        <v>33.5</v>
      </c>
      <c r="S37">
        <f t="shared" si="4"/>
        <v>14</v>
      </c>
      <c r="T37">
        <f t="shared" si="5"/>
        <v>33.499963000000001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0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0</v>
      </c>
      <c r="Q38" s="29">
        <f>IFERROR(VLOOKUP(I38,Scoring!$A$4:$N$51,6,FALSE()),"-")</f>
        <v>0.5</v>
      </c>
      <c r="R38" s="36">
        <f t="shared" si="3"/>
        <v>12.5</v>
      </c>
      <c r="S38">
        <f t="shared" si="4"/>
        <v>103</v>
      </c>
      <c r="T38">
        <f t="shared" si="5"/>
        <v>12.499962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3</v>
      </c>
      <c r="P39" s="29">
        <f>IFERROR(VLOOKUP(H39,Scoring!$A$4:$N$51,14,FALSE()),"-")</f>
        <v>0</v>
      </c>
      <c r="Q39" s="29">
        <f>IFERROR(VLOOKUP(I39,Scoring!$A$4:$N$51,6,FALSE()),"-")</f>
        <v>0</v>
      </c>
      <c r="R39" s="36">
        <f t="shared" si="3"/>
        <v>33</v>
      </c>
      <c r="S39">
        <f t="shared" si="4"/>
        <v>17</v>
      </c>
      <c r="T39">
        <f t="shared" si="5"/>
        <v>32.999960999999999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4</v>
      </c>
      <c r="L40" s="28">
        <f>IFERROR(VLOOKUP(D40,Scoring!$A$4:$N$51,14,FALSE())*3,"-")</f>
        <v>3</v>
      </c>
      <c r="M40" s="28">
        <f>IFERROR(VLOOKUP(E40,Scoring!$A$4:$N$51,14,FALSE())*2,"-")</f>
        <v>0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32.5</v>
      </c>
      <c r="S40">
        <f t="shared" si="4"/>
        <v>21</v>
      </c>
      <c r="T40">
        <f t="shared" si="5"/>
        <v>32.499960000000002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4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1</v>
      </c>
      <c r="O41" s="28">
        <f>IFERROR(VLOOKUP(G41,Scoring!$A$4:$N$51,14,FALSE()),"-")</f>
        <v>3</v>
      </c>
      <c r="P41" s="29">
        <f>IFERROR(VLOOKUP(H41,Scoring!$A$4:$N$51,14,FALSE()),"-")</f>
        <v>0</v>
      </c>
      <c r="Q41" s="29">
        <f>IFERROR(VLOOKUP(I41,Scoring!$A$4:$N$51,6,FALSE()),"-")</f>
        <v>1.5</v>
      </c>
      <c r="R41" s="36">
        <f t="shared" si="3"/>
        <v>30.5</v>
      </c>
      <c r="S41">
        <f t="shared" si="4"/>
        <v>36</v>
      </c>
      <c r="T41">
        <f t="shared" si="5"/>
        <v>30.499959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0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3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27</v>
      </c>
      <c r="S42">
        <f t="shared" si="4"/>
        <v>56</v>
      </c>
      <c r="T42">
        <f t="shared" si="5"/>
        <v>26.999957999999999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0</v>
      </c>
      <c r="L43" s="28">
        <f>IFERROR(VLOOKUP(D43,Scoring!$A$4:$N$51,14,FALSE())*3,"-")</f>
        <v>3</v>
      </c>
      <c r="M43" s="28">
        <f>IFERROR(VLOOKUP(E43,Scoring!$A$4:$N$51,14,FALSE())*2,"-")</f>
        <v>6</v>
      </c>
      <c r="N43" s="28">
        <f>IFERROR(VLOOKUP(F43,Scoring!$A$4:$N$51,14,FALSE()),"-")</f>
        <v>1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33.5</v>
      </c>
      <c r="S43">
        <f t="shared" si="4"/>
        <v>14</v>
      </c>
      <c r="T43">
        <f t="shared" si="5"/>
        <v>33.499957000000002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0</v>
      </c>
      <c r="N44" s="28">
        <f>IFERROR(VLOOKUP(F44,Scoring!$A$4:$N$51,14,FALSE()),"-")</f>
        <v>1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32</v>
      </c>
      <c r="S44">
        <f t="shared" si="4"/>
        <v>24</v>
      </c>
      <c r="T44">
        <f t="shared" si="5"/>
        <v>31.999956000000001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0</v>
      </c>
      <c r="K45" s="28">
        <f>IFERROR(VLOOKUP(C45,Scoring!$A$4:$N$51,14,FALSE())*4,"-")</f>
        <v>4</v>
      </c>
      <c r="L45" s="28">
        <f>IFERROR(VLOOKUP(D45,Scoring!$A$4:$N$51,14,FALSE())*3,"-")</f>
        <v>0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0</v>
      </c>
      <c r="R45" s="36">
        <f t="shared" si="3"/>
        <v>14</v>
      </c>
      <c r="S45">
        <f t="shared" si="4"/>
        <v>101</v>
      </c>
      <c r="T45">
        <f t="shared" si="5"/>
        <v>13.999955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0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0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25</v>
      </c>
      <c r="S46">
        <f t="shared" si="4"/>
        <v>66</v>
      </c>
      <c r="T46">
        <f t="shared" si="5"/>
        <v>24.999953999999999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0</v>
      </c>
      <c r="K47" s="28">
        <f>IFERROR(VLOOKUP(C47,Scoring!$A$4:$N$51,14,FALSE())*4,"-")</f>
        <v>12</v>
      </c>
      <c r="L47" s="28">
        <f>IFERROR(VLOOKUP(D47,Scoring!$A$4:$N$51,14,FALSE())*3,"-")</f>
        <v>3</v>
      </c>
      <c r="M47" s="28">
        <f>IFERROR(VLOOKUP(E47,Scoring!$A$4:$N$51,14,FALSE())*2,"-")</f>
        <v>2</v>
      </c>
      <c r="N47" s="28">
        <f>IFERROR(VLOOKUP(F47,Scoring!$A$4:$N$51,14,FALSE()),"-")</f>
        <v>0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20.5</v>
      </c>
      <c r="S47">
        <f t="shared" si="4"/>
        <v>89</v>
      </c>
      <c r="T47">
        <f t="shared" si="5"/>
        <v>20.499953000000001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12</v>
      </c>
      <c r="L48" s="28">
        <f>IFERROR(VLOOKUP(D48,Scoring!$A$4:$N$51,14,FALSE())*3,"-")</f>
        <v>0</v>
      </c>
      <c r="M48" s="28">
        <f>IFERROR(VLOOKUP(E48,Scoring!$A$4:$N$51,14,FALSE())*2,"-")</f>
        <v>0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22</v>
      </c>
      <c r="S48">
        <f t="shared" si="4"/>
        <v>82</v>
      </c>
      <c r="T48">
        <f t="shared" si="5"/>
        <v>21.999952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3</v>
      </c>
      <c r="M49" s="28">
        <f>IFERROR(VLOOKUP(E49,Scoring!$A$4:$N$51,14,FALSE())*2,"-")</f>
        <v>6</v>
      </c>
      <c r="N49" s="28">
        <f>IFERROR(VLOOKUP(F49,Scoring!$A$4:$N$51,14,FALSE()),"-")</f>
        <v>3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41.5</v>
      </c>
      <c r="S49">
        <f t="shared" si="4"/>
        <v>1</v>
      </c>
      <c r="T49">
        <f t="shared" si="5"/>
        <v>41.499951000000003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0</v>
      </c>
      <c r="K50" s="28">
        <f>IFERROR(VLOOKUP(C50,Scoring!$A$4:$N$51,14,FALSE())*4,"-")</f>
        <v>4</v>
      </c>
      <c r="L50" s="28">
        <f>IFERROR(VLOOKUP(D50,Scoring!$A$4:$N$51,14,FALSE())*3,"-")</f>
        <v>3</v>
      </c>
      <c r="M50" s="28">
        <f>IFERROR(VLOOKUP(E50,Scoring!$A$4:$N$51,14,FALSE())*2,"-")</f>
        <v>6</v>
      </c>
      <c r="N50" s="28">
        <f>IFERROR(VLOOKUP(F50,Scoring!$A$4:$N$51,14,FALSE()),"-")</f>
        <v>0</v>
      </c>
      <c r="O50" s="28">
        <f>IFERROR(VLOOKUP(G50,Scoring!$A$4:$N$51,14,FALSE()),"-")</f>
        <v>3</v>
      </c>
      <c r="P50" s="29">
        <f>IFERROR(VLOOKUP(H50,Scoring!$A$4:$N$51,14,FALSE()),"-")</f>
        <v>0</v>
      </c>
      <c r="Q50" s="29">
        <f>IFERROR(VLOOKUP(I50,Scoring!$A$4:$N$51,6,FALSE()),"-")</f>
        <v>0.5</v>
      </c>
      <c r="R50" s="36">
        <f t="shared" si="3"/>
        <v>16.5</v>
      </c>
      <c r="S50">
        <f t="shared" si="4"/>
        <v>98</v>
      </c>
      <c r="T50">
        <f t="shared" si="5"/>
        <v>16.499949999999998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4</v>
      </c>
      <c r="L51" s="28">
        <f>IFERROR(VLOOKUP(D51,Scoring!$A$4:$N$51,14,FALSE())*3,"-")</f>
        <v>0</v>
      </c>
      <c r="M51" s="28">
        <f>IFERROR(VLOOKUP(E51,Scoring!$A$4:$N$51,14,FALSE())*2,"-")</f>
        <v>0</v>
      </c>
      <c r="N51" s="28">
        <f>IFERROR(VLOOKUP(F51,Scoring!$A$4:$N$51,14,FALSE()),"-")</f>
        <v>3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17.5</v>
      </c>
      <c r="S51">
        <f t="shared" si="4"/>
        <v>96</v>
      </c>
      <c r="T51">
        <f t="shared" si="5"/>
        <v>17.499949000000001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12</v>
      </c>
      <c r="L52" s="28">
        <f>IFERROR(VLOOKUP(D52,Scoring!$A$4:$N$51,14,FALSE())*3,"-")</f>
        <v>0</v>
      </c>
      <c r="M52" s="28">
        <f>IFERROR(VLOOKUP(E52,Scoring!$A$4:$N$51,14,FALSE())*2,"-")</f>
        <v>6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29</v>
      </c>
      <c r="S52">
        <f t="shared" si="4"/>
        <v>42</v>
      </c>
      <c r="T52">
        <f t="shared" si="5"/>
        <v>28.999948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0</v>
      </c>
      <c r="L53" s="28">
        <f>IFERROR(VLOOKUP(D53,Scoring!$A$4:$N$51,14,FALSE())*3,"-")</f>
        <v>9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22.5</v>
      </c>
      <c r="S53">
        <f t="shared" si="4"/>
        <v>79</v>
      </c>
      <c r="T53">
        <f t="shared" si="5"/>
        <v>22.499946999999999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0</v>
      </c>
      <c r="K54" s="28">
        <f>IFERROR(VLOOKUP(C54,Scoring!$A$4:$N$51,14,FALSE())*4,"-")</f>
        <v>4</v>
      </c>
      <c r="L54" s="28">
        <f>IFERROR(VLOOKUP(D54,Scoring!$A$4:$N$51,14,FALSE())*3,"-")</f>
        <v>3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0</v>
      </c>
      <c r="Q54" s="29">
        <f>IFERROR(VLOOKUP(I54,Scoring!$A$4:$N$51,6,FALSE()),"-")</f>
        <v>0</v>
      </c>
      <c r="R54" s="36">
        <f t="shared" si="3"/>
        <v>15</v>
      </c>
      <c r="S54">
        <f t="shared" si="4"/>
        <v>100</v>
      </c>
      <c r="T54">
        <f t="shared" si="5"/>
        <v>14.999946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12</v>
      </c>
      <c r="L55" s="28">
        <f>IFERROR(VLOOKUP(D55,Scoring!$A$4:$N$51,14,FALSE())*3,"-")</f>
        <v>3</v>
      </c>
      <c r="M55" s="28">
        <f>IFERROR(VLOOKUP(E55,Scoring!$A$4:$N$51,14,FALSE())*2,"-")</f>
        <v>0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0</v>
      </c>
      <c r="Q55" s="29">
        <f>IFERROR(VLOOKUP(I55,Scoring!$A$4:$N$51,6,FALSE()),"-")</f>
        <v>1.5</v>
      </c>
      <c r="R55" s="36">
        <f t="shared" si="3"/>
        <v>28.5</v>
      </c>
      <c r="S55">
        <f t="shared" si="4"/>
        <v>47</v>
      </c>
      <c r="T55">
        <f t="shared" si="5"/>
        <v>28.499945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12</v>
      </c>
      <c r="L56" s="28">
        <f>IFERROR(VLOOKUP(D56,Scoring!$A$4:$N$51,14,FALSE())*3,"-")</f>
        <v>3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32</v>
      </c>
      <c r="S56">
        <f t="shared" si="4"/>
        <v>24</v>
      </c>
      <c r="T56">
        <f t="shared" si="5"/>
        <v>31.999943999999999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0</v>
      </c>
      <c r="L57" s="28">
        <f>IFERROR(VLOOKUP(D57,Scoring!$A$4:$N$51,14,FALSE())*3,"-")</f>
        <v>3</v>
      </c>
      <c r="M57" s="28">
        <f>IFERROR(VLOOKUP(E57,Scoring!$A$4:$N$51,14,FALSE())*2,"-")</f>
        <v>6</v>
      </c>
      <c r="N57" s="28">
        <f>IFERROR(VLOOKUP(F57,Scoring!$A$4:$N$51,14,FALSE()),"-")</f>
        <v>1</v>
      </c>
      <c r="O57" s="28">
        <f>IFERROR(VLOOKUP(G57,Scoring!$A$4:$N$51,14,FALSE()),"-")</f>
        <v>1</v>
      </c>
      <c r="P57" s="29">
        <f>IFERROR(VLOOKUP(H57,Scoring!$A$4:$N$51,14,FALSE()),"-")</f>
        <v>0</v>
      </c>
      <c r="Q57" s="29">
        <f>IFERROR(VLOOKUP(I57,Scoring!$A$4:$N$51,6,FALSE()),"-")</f>
        <v>1.5</v>
      </c>
      <c r="R57" s="36">
        <f t="shared" si="3"/>
        <v>30.5</v>
      </c>
      <c r="S57">
        <f t="shared" si="4"/>
        <v>36</v>
      </c>
      <c r="T57">
        <f t="shared" si="5"/>
        <v>30.499942999999998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4</v>
      </c>
      <c r="L58" s="28">
        <f>IFERROR(VLOOKUP(D58,Scoring!$A$4:$N$51,14,FALSE())*3,"-")</f>
        <v>9</v>
      </c>
      <c r="M58" s="28">
        <f>IFERROR(VLOOKUP(E58,Scoring!$A$4:$N$51,14,FALSE())*2,"-")</f>
        <v>0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0</v>
      </c>
      <c r="Q58" s="29">
        <f>IFERROR(VLOOKUP(I58,Scoring!$A$4:$N$51,6,FALSE()),"-")</f>
        <v>0</v>
      </c>
      <c r="R58" s="36">
        <f t="shared" si="3"/>
        <v>35</v>
      </c>
      <c r="S58">
        <f t="shared" si="4"/>
        <v>10</v>
      </c>
      <c r="T58">
        <f t="shared" si="5"/>
        <v>34.999941999999997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4</v>
      </c>
      <c r="L59" s="28">
        <f>IFERROR(VLOOKUP(D59,Scoring!$A$4:$N$51,14,FALSE())*3,"-")</f>
        <v>0</v>
      </c>
      <c r="M59" s="28">
        <f>IFERROR(VLOOKUP(E59,Scoring!$A$4:$N$51,14,FALSE())*2,"-")</f>
        <v>0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27</v>
      </c>
      <c r="S59">
        <f t="shared" si="4"/>
        <v>56</v>
      </c>
      <c r="T59">
        <f t="shared" si="5"/>
        <v>26.999941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0</v>
      </c>
      <c r="N60" s="28">
        <f>IFERROR(VLOOKUP(F60,Scoring!$A$4:$N$51,14,FALSE()),"-")</f>
        <v>3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26.5</v>
      </c>
      <c r="S60">
        <f t="shared" si="4"/>
        <v>58</v>
      </c>
      <c r="T60">
        <f t="shared" si="5"/>
        <v>26.499939999999999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0</v>
      </c>
      <c r="K61" s="28">
        <f>IFERROR(VLOOKUP(C61,Scoring!$A$4:$N$51,14,FALSE())*4,"-")</f>
        <v>12</v>
      </c>
      <c r="L61" s="28">
        <f>IFERROR(VLOOKUP(D61,Scoring!$A$4:$N$51,14,FALSE())*3,"-")</f>
        <v>3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0</v>
      </c>
      <c r="Q61" s="29">
        <f>IFERROR(VLOOKUP(I61,Scoring!$A$4:$N$51,6,FALSE()),"-")</f>
        <v>0</v>
      </c>
      <c r="R61" s="36">
        <f t="shared" si="3"/>
        <v>18</v>
      </c>
      <c r="S61">
        <f t="shared" si="4"/>
        <v>93</v>
      </c>
      <c r="T61">
        <f t="shared" si="5"/>
        <v>17.999939000000001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12</v>
      </c>
      <c r="L62" s="28">
        <f>IFERROR(VLOOKUP(D62,Scoring!$A$4:$N$51,14,FALSE())*3,"-")</f>
        <v>9</v>
      </c>
      <c r="M62" s="28">
        <f>IFERROR(VLOOKUP(E62,Scoring!$A$4:$N$51,14,FALSE())*2,"-")</f>
        <v>2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25.5</v>
      </c>
      <c r="S62">
        <f t="shared" si="4"/>
        <v>60</v>
      </c>
      <c r="T62">
        <f t="shared" si="5"/>
        <v>25.499938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4</v>
      </c>
      <c r="L63" s="28">
        <f>IFERROR(VLOOKUP(D63,Scoring!$A$4:$N$51,14,FALSE())*3,"-")</f>
        <v>3</v>
      </c>
      <c r="M63" s="28">
        <f>IFERROR(VLOOKUP(E63,Scoring!$A$4:$N$51,14,FALSE())*2,"-")</f>
        <v>0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29.5</v>
      </c>
      <c r="S63">
        <f t="shared" si="4"/>
        <v>40</v>
      </c>
      <c r="T63">
        <f t="shared" si="5"/>
        <v>29.499936999999999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4</v>
      </c>
      <c r="L64" s="28">
        <f>IFERROR(VLOOKUP(D64,Scoring!$A$4:$N$51,14,FALSE())*3,"-")</f>
        <v>3</v>
      </c>
      <c r="M64" s="28">
        <f>IFERROR(VLOOKUP(E64,Scoring!$A$4:$N$51,14,FALSE())*2,"-")</f>
        <v>0</v>
      </c>
      <c r="N64" s="28">
        <f>IFERROR(VLOOKUP(F64,Scoring!$A$4:$N$51,14,FALSE()),"-")</f>
        <v>1</v>
      </c>
      <c r="O64" s="28">
        <f>IFERROR(VLOOKUP(G64,Scoring!$A$4:$N$51,14,FALSE()),"-")</f>
        <v>3</v>
      </c>
      <c r="P64" s="29">
        <f>IFERROR(VLOOKUP(H64,Scoring!$A$4:$N$51,14,FALSE()),"-")</f>
        <v>0</v>
      </c>
      <c r="Q64" s="29">
        <f>IFERROR(VLOOKUP(I64,Scoring!$A$4:$N$51,6,FALSE()),"-")</f>
        <v>1.5</v>
      </c>
      <c r="R64" s="36">
        <f t="shared" si="3"/>
        <v>30.5</v>
      </c>
      <c r="S64">
        <f t="shared" si="4"/>
        <v>36</v>
      </c>
      <c r="T64">
        <f t="shared" si="5"/>
        <v>30.499936000000002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0</v>
      </c>
      <c r="K65" s="28">
        <f>IFERROR(VLOOKUP(C65,Scoring!$A$4:$N$51,14,FALSE())*4,"-")</f>
        <v>12</v>
      </c>
      <c r="L65" s="28">
        <f>IFERROR(VLOOKUP(D65,Scoring!$A$4:$N$51,14,FALSE())*3,"-")</f>
        <v>3</v>
      </c>
      <c r="M65" s="28">
        <f>IFERROR(VLOOKUP(E65,Scoring!$A$4:$N$51,14,FALSE())*2,"-")</f>
        <v>2</v>
      </c>
      <c r="N65" s="28">
        <f>IFERROR(VLOOKUP(F65,Scoring!$A$4:$N$51,14,FALSE()),"-")</f>
        <v>0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21.5</v>
      </c>
      <c r="S65">
        <f t="shared" si="4"/>
        <v>86</v>
      </c>
      <c r="T65">
        <f t="shared" si="5"/>
        <v>21.499935000000001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0.5</v>
      </c>
      <c r="R66" s="36">
        <f t="shared" si="3"/>
        <v>28.5</v>
      </c>
      <c r="S66">
        <f t="shared" si="4"/>
        <v>47</v>
      </c>
      <c r="T66">
        <f t="shared" si="5"/>
        <v>28.499934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0</v>
      </c>
      <c r="N67" s="28">
        <f>IFERROR(VLOOKUP(F67,Scoring!$A$4:$N$51,14,FALSE()),"-")</f>
        <v>1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31</v>
      </c>
      <c r="S67">
        <f t="shared" si="4"/>
        <v>29</v>
      </c>
      <c r="T67">
        <f t="shared" si="5"/>
        <v>30.999932999999999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4</v>
      </c>
      <c r="L68" s="28">
        <f>IFERROR(VLOOKUP(D68,Scoring!$A$4:$N$51,14,FALSE())*3,"-")</f>
        <v>9</v>
      </c>
      <c r="M68" s="28">
        <f>IFERROR(VLOOKUP(E68,Scoring!$A$4:$N$51,14,FALSE())*2,"-")</f>
        <v>0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24.5</v>
      </c>
      <c r="S68">
        <f t="shared" ref="S68:S99" si="7">IF(A68="","",RANK(R68,$R$4:$R$119))</f>
        <v>68</v>
      </c>
      <c r="T68">
        <f t="shared" ref="T68:T99" si="8">IF(A68="",-1,R68-ROW(R68)/1000000)</f>
        <v>24.499932000000001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0</v>
      </c>
      <c r="L69" s="28">
        <f>IFERROR(VLOOKUP(D69,Scoring!$A$4:$N$51,14,FALSE())*3,"-")</f>
        <v>3</v>
      </c>
      <c r="M69" s="28">
        <f>IFERROR(VLOOKUP(E69,Scoring!$A$4:$N$51,14,FALSE())*2,"-")</f>
        <v>6</v>
      </c>
      <c r="N69" s="28">
        <f>IFERROR(VLOOKUP(F69,Scoring!$A$4:$N$51,14,FALSE()),"-")</f>
        <v>3</v>
      </c>
      <c r="O69" s="28">
        <f>IFERROR(VLOOKUP(G69,Scoring!$A$4:$N$51,14,FALSE()),"-")</f>
        <v>1</v>
      </c>
      <c r="P69" s="29">
        <f>IFERROR(VLOOKUP(H69,Scoring!$A$4:$N$51,14,FALSE()),"-")</f>
        <v>0</v>
      </c>
      <c r="Q69" s="29">
        <f>IFERROR(VLOOKUP(I69,Scoring!$A$4:$N$51,6,FALSE()),"-")</f>
        <v>0</v>
      </c>
      <c r="R69" s="36">
        <f t="shared" si="6"/>
        <v>31</v>
      </c>
      <c r="S69">
        <f t="shared" si="7"/>
        <v>29</v>
      </c>
      <c r="T69">
        <f t="shared" si="8"/>
        <v>30.999931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3</v>
      </c>
      <c r="M70" s="28">
        <f>IFERROR(VLOOKUP(E70,Scoring!$A$4:$N$51,14,FALSE())*2,"-")</f>
        <v>2</v>
      </c>
      <c r="N70" s="28">
        <f>IFERROR(VLOOKUP(F70,Scoring!$A$4:$N$51,14,FALSE()),"-")</f>
        <v>0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37.5</v>
      </c>
      <c r="S70">
        <f t="shared" si="7"/>
        <v>5</v>
      </c>
      <c r="T70">
        <f t="shared" si="8"/>
        <v>37.499929999999999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3</v>
      </c>
      <c r="O71" s="28">
        <f>IFERROR(VLOOKUP(G71,Scoring!$A$4:$N$51,14,FALSE()),"-")</f>
        <v>3</v>
      </c>
      <c r="P71" s="29">
        <f>IFERROR(VLOOKUP(H71,Scoring!$A$4:$N$51,14,FALSE()),"-")</f>
        <v>0</v>
      </c>
      <c r="Q71" s="29">
        <f>IFERROR(VLOOKUP(I71,Scoring!$A$4:$N$51,6,FALSE()),"-")</f>
        <v>0</v>
      </c>
      <c r="R71" s="36">
        <f t="shared" si="6"/>
        <v>31</v>
      </c>
      <c r="S71">
        <f t="shared" si="7"/>
        <v>29</v>
      </c>
      <c r="T71">
        <f t="shared" si="8"/>
        <v>30.999929000000002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12</v>
      </c>
      <c r="L72" s="28">
        <f>IFERROR(VLOOKUP(D72,Scoring!$A$4:$N$51,14,FALSE())*3,"-")</f>
        <v>3</v>
      </c>
      <c r="M72" s="28">
        <f>IFERROR(VLOOKUP(E72,Scoring!$A$4:$N$51,14,FALSE())*2,"-")</f>
        <v>6</v>
      </c>
      <c r="N72" s="28">
        <f>IFERROR(VLOOKUP(F72,Scoring!$A$4:$N$51,14,FALSE()),"-")</f>
        <v>0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31</v>
      </c>
      <c r="S72">
        <f t="shared" si="7"/>
        <v>29</v>
      </c>
      <c r="T72">
        <f t="shared" si="8"/>
        <v>30.999928000000001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3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27.5</v>
      </c>
      <c r="S73">
        <f t="shared" si="7"/>
        <v>53</v>
      </c>
      <c r="T73">
        <f t="shared" si="8"/>
        <v>27.499927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0</v>
      </c>
      <c r="N74" s="28">
        <f>IFERROR(VLOOKUP(F74,Scoring!$A$4:$N$51,14,FALSE()),"-")</f>
        <v>1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0</v>
      </c>
      <c r="R74" s="36">
        <f t="shared" si="6"/>
        <v>32</v>
      </c>
      <c r="S74">
        <f t="shared" si="7"/>
        <v>24</v>
      </c>
      <c r="T74">
        <f t="shared" si="8"/>
        <v>31.999925999999999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4</v>
      </c>
      <c r="L75" s="28">
        <f>IFERROR(VLOOKUP(D75,Scoring!$A$4:$N$51,14,FALSE())*3,"-")</f>
        <v>3</v>
      </c>
      <c r="M75" s="28">
        <f>IFERROR(VLOOKUP(E75,Scoring!$A$4:$N$51,14,FALSE())*2,"-")</f>
        <v>0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0</v>
      </c>
      <c r="Q75" s="29">
        <f>IFERROR(VLOOKUP(I75,Scoring!$A$4:$N$51,6,FALSE()),"-")</f>
        <v>0</v>
      </c>
      <c r="R75" s="36">
        <f t="shared" si="6"/>
        <v>28</v>
      </c>
      <c r="S75">
        <f t="shared" si="7"/>
        <v>52</v>
      </c>
      <c r="T75">
        <f t="shared" si="8"/>
        <v>27.999925000000001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0</v>
      </c>
      <c r="K76" s="28">
        <f>IFERROR(VLOOKUP(C76,Scoring!$A$4:$N$51,14,FALSE())*4,"-")</f>
        <v>0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0</v>
      </c>
      <c r="Q76" s="29">
        <f>IFERROR(VLOOKUP(I76,Scoring!$A$4:$N$51,6,FALSE()),"-")</f>
        <v>1.5</v>
      </c>
      <c r="R76" s="36">
        <f t="shared" si="6"/>
        <v>20.5</v>
      </c>
      <c r="S76">
        <f t="shared" si="7"/>
        <v>89</v>
      </c>
      <c r="T76">
        <f t="shared" si="8"/>
        <v>20.499924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12</v>
      </c>
      <c r="L77" s="28">
        <f>IFERROR(VLOOKUP(D77,Scoring!$A$4:$N$51,14,FALSE())*3,"-")</f>
        <v>0</v>
      </c>
      <c r="M77" s="28">
        <f>IFERROR(VLOOKUP(E77,Scoring!$A$4:$N$51,14,FALSE())*2,"-")</f>
        <v>0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22</v>
      </c>
      <c r="S77">
        <f t="shared" si="7"/>
        <v>82</v>
      </c>
      <c r="T77">
        <f t="shared" si="8"/>
        <v>21.999922999999999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0</v>
      </c>
      <c r="K78" s="28">
        <f>IFERROR(VLOOKUP(C78,Scoring!$A$4:$N$51,14,FALSE())*4,"-")</f>
        <v>4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1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24</v>
      </c>
      <c r="S78">
        <f t="shared" si="7"/>
        <v>69</v>
      </c>
      <c r="T78">
        <f t="shared" si="8"/>
        <v>23.999922000000002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0</v>
      </c>
      <c r="K79" s="28">
        <f>IFERROR(VLOOKUP(C79,Scoring!$A$4:$N$51,14,FALSE())*4,"-")</f>
        <v>4</v>
      </c>
      <c r="L79" s="28">
        <f>IFERROR(VLOOKUP(D79,Scoring!$A$4:$N$51,14,FALSE())*3,"-")</f>
        <v>3</v>
      </c>
      <c r="M79" s="28">
        <f>IFERROR(VLOOKUP(E79,Scoring!$A$4:$N$51,14,FALSE())*2,"-")</f>
        <v>6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0</v>
      </c>
      <c r="Q79" s="29">
        <f>IFERROR(VLOOKUP(I79,Scoring!$A$4:$N$51,6,FALSE()),"-")</f>
        <v>1.5</v>
      </c>
      <c r="R79" s="36">
        <f t="shared" si="6"/>
        <v>15.5</v>
      </c>
      <c r="S79">
        <f t="shared" si="7"/>
        <v>99</v>
      </c>
      <c r="T79">
        <f t="shared" si="8"/>
        <v>15.499921000000001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4</v>
      </c>
      <c r="L80" s="28">
        <f>IFERROR(VLOOKUP(D80,Scoring!$A$4:$N$51,14,FALSE())*3,"-")</f>
        <v>9</v>
      </c>
      <c r="M80" s="28">
        <f>IFERROR(VLOOKUP(E80,Scoring!$A$4:$N$51,14,FALSE())*2,"-")</f>
        <v>0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22</v>
      </c>
      <c r="S80">
        <f t="shared" si="7"/>
        <v>82</v>
      </c>
      <c r="T80">
        <f t="shared" si="8"/>
        <v>21.999919999999999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0</v>
      </c>
      <c r="L81" s="28">
        <f>IFERROR(VLOOKUP(D81,Scoring!$A$4:$N$51,14,FALSE())*3,"-")</f>
        <v>3</v>
      </c>
      <c r="M81" s="28">
        <f>IFERROR(VLOOKUP(E81,Scoring!$A$4:$N$51,14,FALSE())*2,"-")</f>
        <v>0</v>
      </c>
      <c r="N81" s="28">
        <f>IFERROR(VLOOKUP(F81,Scoring!$A$4:$N$51,14,FALSE()),"-")</f>
        <v>0</v>
      </c>
      <c r="O81" s="28">
        <f>IFERROR(VLOOKUP(G81,Scoring!$A$4:$N$51,14,FALSE()),"-")</f>
        <v>3</v>
      </c>
      <c r="P81" s="29">
        <f>IFERROR(VLOOKUP(H81,Scoring!$A$4:$N$51,14,FALSE()),"-")</f>
        <v>0</v>
      </c>
      <c r="Q81" s="29">
        <f>IFERROR(VLOOKUP(I81,Scoring!$A$4:$N$51,6,FALSE()),"-")</f>
        <v>1.5</v>
      </c>
      <c r="R81" s="36">
        <f t="shared" si="6"/>
        <v>25.5</v>
      </c>
      <c r="S81">
        <f t="shared" si="7"/>
        <v>60</v>
      </c>
      <c r="T81">
        <f t="shared" si="8"/>
        <v>25.499918999999998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9</v>
      </c>
      <c r="M82" s="28">
        <f>IFERROR(VLOOKUP(E82,Scoring!$A$4:$N$51,14,FALSE())*2,"-")</f>
        <v>0</v>
      </c>
      <c r="N82" s="28">
        <f>IFERROR(VLOOKUP(F82,Scoring!$A$4:$N$51,14,FALSE()),"-")</f>
        <v>3</v>
      </c>
      <c r="O82" s="28">
        <f>IFERROR(VLOOKUP(G82,Scoring!$A$4:$N$51,14,FALSE()),"-")</f>
        <v>1</v>
      </c>
      <c r="P82" s="29">
        <f>IFERROR(VLOOKUP(H82,Scoring!$A$4:$N$51,14,FALSE()),"-")</f>
        <v>1</v>
      </c>
      <c r="Q82" s="29">
        <f>IFERROR(VLOOKUP(I82,Scoring!$A$4:$N$51,6,FALSE()),"-")</f>
        <v>0</v>
      </c>
      <c r="R82" s="36">
        <f t="shared" si="6"/>
        <v>32</v>
      </c>
      <c r="S82">
        <f t="shared" si="7"/>
        <v>24</v>
      </c>
      <c r="T82">
        <f t="shared" si="8"/>
        <v>31.999918000000001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0</v>
      </c>
      <c r="K83" s="28">
        <f>IFERROR(VLOOKUP(C83,Scoring!$A$4:$N$51,14,FALSE())*4,"-")</f>
        <v>12</v>
      </c>
      <c r="L83" s="28">
        <f>IFERROR(VLOOKUP(D83,Scoring!$A$4:$N$51,14,FALSE())*3,"-")</f>
        <v>3</v>
      </c>
      <c r="M83" s="28">
        <f>IFERROR(VLOOKUP(E83,Scoring!$A$4:$N$51,14,FALSE())*2,"-")</f>
        <v>0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0</v>
      </c>
      <c r="Q83" s="29">
        <f>IFERROR(VLOOKUP(I83,Scoring!$A$4:$N$51,6,FALSE()),"-")</f>
        <v>0</v>
      </c>
      <c r="R83" s="36">
        <f t="shared" si="6"/>
        <v>18</v>
      </c>
      <c r="S83">
        <f t="shared" si="7"/>
        <v>93</v>
      </c>
      <c r="T83">
        <f t="shared" si="8"/>
        <v>17.999917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0</v>
      </c>
      <c r="N84" s="28">
        <f>IFERROR(VLOOKUP(F84,Scoring!$A$4:$N$51,14,FALSE()),"-")</f>
        <v>0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31</v>
      </c>
      <c r="S84">
        <f t="shared" si="7"/>
        <v>29</v>
      </c>
      <c r="T84">
        <f t="shared" si="8"/>
        <v>30.999915999999999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0</v>
      </c>
      <c r="L85" s="28">
        <f>IFERROR(VLOOKUP(D85,Scoring!$A$4:$N$51,14,FALSE())*3,"-")</f>
        <v>9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18</v>
      </c>
      <c r="S85">
        <f t="shared" si="7"/>
        <v>93</v>
      </c>
      <c r="T85">
        <f t="shared" si="8"/>
        <v>17.999915000000001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12</v>
      </c>
      <c r="L86" s="28">
        <f>IFERROR(VLOOKUP(D86,Scoring!$A$4:$N$51,14,FALSE())*3,"-")</f>
        <v>9</v>
      </c>
      <c r="M86" s="28">
        <f>IFERROR(VLOOKUP(E86,Scoring!$A$4:$N$51,14,FALSE())*2,"-")</f>
        <v>0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31</v>
      </c>
      <c r="S86">
        <f t="shared" si="7"/>
        <v>29</v>
      </c>
      <c r="T86">
        <f t="shared" si="8"/>
        <v>30.999914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3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41.5</v>
      </c>
      <c r="S87">
        <f t="shared" si="7"/>
        <v>1</v>
      </c>
      <c r="T87">
        <f t="shared" si="8"/>
        <v>41.499912999999999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4</v>
      </c>
      <c r="L88" s="28">
        <f>IFERROR(VLOOKUP(D88,Scoring!$A$4:$N$51,14,FALSE())*3,"-")</f>
        <v>3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35.5</v>
      </c>
      <c r="S88">
        <f t="shared" si="7"/>
        <v>8</v>
      </c>
      <c r="T88">
        <f t="shared" si="8"/>
        <v>35.499912000000002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4</v>
      </c>
      <c r="L89" s="28">
        <f>IFERROR(VLOOKUP(D89,Scoring!$A$4:$N$51,14,FALSE())*3,"-")</f>
        <v>3</v>
      </c>
      <c r="M89" s="28">
        <f>IFERROR(VLOOKUP(E89,Scoring!$A$4:$N$51,14,FALSE())*2,"-")</f>
        <v>0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29</v>
      </c>
      <c r="S89">
        <f t="shared" si="7"/>
        <v>42</v>
      </c>
      <c r="T89">
        <f t="shared" si="8"/>
        <v>28.999911000000001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4</v>
      </c>
      <c r="L90" s="28">
        <f>IFERROR(VLOOKUP(D90,Scoring!$A$4:$N$51,14,FALSE())*3,"-")</f>
        <v>9</v>
      </c>
      <c r="M90" s="28">
        <f>IFERROR(VLOOKUP(E90,Scoring!$A$4:$N$51,14,FALSE())*2,"-")</f>
        <v>0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37.5</v>
      </c>
      <c r="S90">
        <f t="shared" si="7"/>
        <v>5</v>
      </c>
      <c r="T90">
        <f t="shared" si="8"/>
        <v>37.49991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12</v>
      </c>
      <c r="L91" s="28">
        <f>IFERROR(VLOOKUP(D91,Scoring!$A$4:$N$51,14,FALSE())*3,"-")</f>
        <v>0</v>
      </c>
      <c r="M91" s="28">
        <f>IFERROR(VLOOKUP(E91,Scoring!$A$4:$N$51,14,FALSE())*2,"-")</f>
        <v>2</v>
      </c>
      <c r="N91" s="28">
        <f>IFERROR(VLOOKUP(F91,Scoring!$A$4:$N$51,14,FALSE()),"-")</f>
        <v>0</v>
      </c>
      <c r="O91" s="28">
        <f>IFERROR(VLOOKUP(G91,Scoring!$A$4:$N$51,14,FALSE()),"-")</f>
        <v>3</v>
      </c>
      <c r="P91" s="29">
        <f>IFERROR(VLOOKUP(H91,Scoring!$A$4:$N$51,14,FALSE()),"-")</f>
        <v>0</v>
      </c>
      <c r="Q91" s="29">
        <f>IFERROR(VLOOKUP(I91,Scoring!$A$4:$N$51,6,FALSE()),"-")</f>
        <v>0</v>
      </c>
      <c r="R91" s="36">
        <f t="shared" si="6"/>
        <v>23</v>
      </c>
      <c r="S91">
        <f t="shared" si="7"/>
        <v>75</v>
      </c>
      <c r="T91">
        <f t="shared" si="8"/>
        <v>22.999908999999999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0</v>
      </c>
      <c r="K92" s="28">
        <f>IFERROR(VLOOKUP(C92,Scoring!$A$4:$N$51,14,FALSE())*4,"-")</f>
        <v>12</v>
      </c>
      <c r="L92" s="28">
        <f>IFERROR(VLOOKUP(D92,Scoring!$A$4:$N$51,14,FALSE())*3,"-")</f>
        <v>3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25.5</v>
      </c>
      <c r="S92">
        <f t="shared" si="7"/>
        <v>60</v>
      </c>
      <c r="T92">
        <f t="shared" si="8"/>
        <v>25.499908000000001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0</v>
      </c>
      <c r="L93" s="28">
        <f>IFERROR(VLOOKUP(D93,Scoring!$A$4:$N$51,14,FALSE())*3,"-")</f>
        <v>9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24</v>
      </c>
      <c r="S93">
        <f t="shared" si="7"/>
        <v>69</v>
      </c>
      <c r="T93">
        <f t="shared" si="8"/>
        <v>23.999907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12</v>
      </c>
      <c r="L94" s="28">
        <f>IFERROR(VLOOKUP(D94,Scoring!$A$4:$N$51,14,FALSE())*3,"-")</f>
        <v>0</v>
      </c>
      <c r="M94" s="28">
        <f>IFERROR(VLOOKUP(E94,Scoring!$A$4:$N$51,14,FALSE())*2,"-")</f>
        <v>0</v>
      </c>
      <c r="N94" s="28">
        <f>IFERROR(VLOOKUP(F94,Scoring!$A$4:$N$51,14,FALSE()),"-")</f>
        <v>3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25.5</v>
      </c>
      <c r="S94">
        <f t="shared" si="7"/>
        <v>60</v>
      </c>
      <c r="T94">
        <f t="shared" si="8"/>
        <v>25.499905999999999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0</v>
      </c>
      <c r="N95" s="28">
        <f>IFERROR(VLOOKUP(F95,Scoring!$A$4:$N$51,14,FALSE()),"-")</f>
        <v>3</v>
      </c>
      <c r="O95" s="28">
        <f>IFERROR(VLOOKUP(G95,Scoring!$A$4:$N$51,14,FALSE()),"-")</f>
        <v>3</v>
      </c>
      <c r="P95" s="29">
        <f>IFERROR(VLOOKUP(H95,Scoring!$A$4:$N$51,14,FALSE()),"-")</f>
        <v>0</v>
      </c>
      <c r="Q95" s="29">
        <f>IFERROR(VLOOKUP(I95,Scoring!$A$4:$N$51,6,FALSE()),"-")</f>
        <v>0</v>
      </c>
      <c r="R95" s="36">
        <f t="shared" si="6"/>
        <v>39</v>
      </c>
      <c r="S95">
        <f t="shared" si="7"/>
        <v>4</v>
      </c>
      <c r="T95">
        <f t="shared" si="8"/>
        <v>38.999904999999998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4</v>
      </c>
      <c r="L96" s="28">
        <f>IFERROR(VLOOKUP(D96,Scoring!$A$4:$N$51,14,FALSE())*3,"-")</f>
        <v>3</v>
      </c>
      <c r="M96" s="28">
        <f>IFERROR(VLOOKUP(E96,Scoring!$A$4:$N$51,14,FALSE())*2,"-")</f>
        <v>0</v>
      </c>
      <c r="N96" s="28">
        <f>IFERROR(VLOOKUP(F96,Scoring!$A$4:$N$51,14,FALSE()),"-")</f>
        <v>0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29</v>
      </c>
      <c r="S96">
        <f t="shared" si="7"/>
        <v>42</v>
      </c>
      <c r="T96">
        <f t="shared" si="8"/>
        <v>28.999904000000001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4</v>
      </c>
      <c r="L97" s="28">
        <f>IFERROR(VLOOKUP(D97,Scoring!$A$4:$N$51,14,FALSE())*3,"-")</f>
        <v>3</v>
      </c>
      <c r="M97" s="28">
        <f>IFERROR(VLOOKUP(E97,Scoring!$A$4:$N$51,14,FALSE())*2,"-")</f>
        <v>0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28.5</v>
      </c>
      <c r="S97">
        <f t="shared" si="7"/>
        <v>47</v>
      </c>
      <c r="T97">
        <f t="shared" si="8"/>
        <v>28.499903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0</v>
      </c>
      <c r="K98" s="28">
        <f>IFERROR(VLOOKUP(C98,Scoring!$A$4:$N$51,14,FALSE())*4,"-")</f>
        <v>4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0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23</v>
      </c>
      <c r="S98">
        <f t="shared" si="7"/>
        <v>75</v>
      </c>
      <c r="T98">
        <f t="shared" si="8"/>
        <v>22.999901999999999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4</v>
      </c>
      <c r="L99" s="28">
        <f>IFERROR(VLOOKUP(D99,Scoring!$A$4:$N$51,14,FALSE())*3,"-")</f>
        <v>3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33.5</v>
      </c>
      <c r="S99">
        <f t="shared" si="7"/>
        <v>14</v>
      </c>
      <c r="T99">
        <f t="shared" si="8"/>
        <v>33.499901000000001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4</v>
      </c>
      <c r="L100" s="28">
        <f>IFERROR(VLOOKUP(D100,Scoring!$A$4:$N$51,14,FALSE())*3,"-")</f>
        <v>9</v>
      </c>
      <c r="M100" s="28">
        <f>IFERROR(VLOOKUP(E100,Scoring!$A$4:$N$51,14,FALSE())*2,"-")</f>
        <v>0</v>
      </c>
      <c r="N100" s="28">
        <f>IFERROR(VLOOKUP(F100,Scoring!$A$4:$N$51,14,FALSE()),"-")</f>
        <v>1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21</v>
      </c>
      <c r="S100">
        <f t="shared" ref="S100:S119" si="10">IF(A100="","",RANK(R100,$R$4:$R$119))</f>
        <v>87</v>
      </c>
      <c r="T100">
        <f t="shared" ref="T100:T119" si="11">IF(A100="",-1,R100-ROW(R100)/1000000)</f>
        <v>20.9999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4</v>
      </c>
      <c r="L101" s="28">
        <f>IFERROR(VLOOKUP(D101,Scoring!$A$4:$N$51,14,FALSE())*3,"-")</f>
        <v>3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34.5</v>
      </c>
      <c r="S101">
        <f t="shared" si="10"/>
        <v>12</v>
      </c>
      <c r="T101">
        <f t="shared" si="11"/>
        <v>34.499898999999999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12</v>
      </c>
      <c r="L102" s="28">
        <f>IFERROR(VLOOKUP(D102,Scoring!$A$4:$N$51,14,FALSE())*3,"-")</f>
        <v>0</v>
      </c>
      <c r="M102" s="28">
        <f>IFERROR(VLOOKUP(E102,Scoring!$A$4:$N$51,14,FALSE())*2,"-")</f>
        <v>6</v>
      </c>
      <c r="N102" s="28">
        <f>IFERROR(VLOOKUP(F102,Scoring!$A$4:$N$51,14,FALSE()),"-")</f>
        <v>3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31</v>
      </c>
      <c r="S102">
        <f t="shared" si="10"/>
        <v>29</v>
      </c>
      <c r="T102">
        <f t="shared" si="11"/>
        <v>30.999898000000002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0</v>
      </c>
      <c r="K103" s="28">
        <f>IFERROR(VLOOKUP(C103,Scoring!$A$4:$N$51,14,FALSE())*4,"-")</f>
        <v>4</v>
      </c>
      <c r="L103" s="28">
        <f>IFERROR(VLOOKUP(D103,Scoring!$A$4:$N$51,14,FALSE())*3,"-")</f>
        <v>0</v>
      </c>
      <c r="M103" s="28">
        <f>IFERROR(VLOOKUP(E103,Scoring!$A$4:$N$51,14,FALSE())*2,"-")</f>
        <v>6</v>
      </c>
      <c r="N103" s="28">
        <f>IFERROR(VLOOKUP(F103,Scoring!$A$4:$N$51,14,FALSE()),"-")</f>
        <v>1</v>
      </c>
      <c r="O103" s="28">
        <f>IFERROR(VLOOKUP(G103,Scoring!$A$4:$N$51,14,FALSE()),"-")</f>
        <v>1</v>
      </c>
      <c r="P103" s="29">
        <f>IFERROR(VLOOKUP(H103,Scoring!$A$4:$N$51,14,FALSE()),"-")</f>
        <v>0</v>
      </c>
      <c r="Q103" s="29">
        <f>IFERROR(VLOOKUP(I103,Scoring!$A$4:$N$51,6,FALSE()),"-")</f>
        <v>0</v>
      </c>
      <c r="R103" s="36">
        <f t="shared" si="9"/>
        <v>12</v>
      </c>
      <c r="S103">
        <f t="shared" si="10"/>
        <v>104</v>
      </c>
      <c r="T103">
        <f t="shared" si="11"/>
        <v>11.999897000000001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12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32.5</v>
      </c>
      <c r="S104">
        <f t="shared" si="10"/>
        <v>21</v>
      </c>
      <c r="T104">
        <f t="shared" si="11"/>
        <v>32.499896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4</v>
      </c>
      <c r="L105" s="28">
        <f>IFERROR(VLOOKUP(D105,Scoring!$A$4:$N$51,14,FALSE())*3,"-")</f>
        <v>0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32.5</v>
      </c>
      <c r="S105">
        <f t="shared" si="10"/>
        <v>21</v>
      </c>
      <c r="T105">
        <f t="shared" si="11"/>
        <v>32.499895000000002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12</v>
      </c>
      <c r="L106" s="28">
        <f>IFERROR(VLOOKUP(D106,Scoring!$A$4:$N$51,14,FALSE())*3,"-")</f>
        <v>0</v>
      </c>
      <c r="M106" s="28">
        <f>IFERROR(VLOOKUP(E106,Scoring!$A$4:$N$51,14,FALSE())*2,"-")</f>
        <v>6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0</v>
      </c>
      <c r="Q106" s="29">
        <f>IFERROR(VLOOKUP(I106,Scoring!$A$4:$N$51,6,FALSE()),"-")</f>
        <v>1.5</v>
      </c>
      <c r="R106" s="36">
        <f t="shared" si="9"/>
        <v>29.5</v>
      </c>
      <c r="S106">
        <f t="shared" si="10"/>
        <v>40</v>
      </c>
      <c r="T106">
        <f t="shared" si="11"/>
        <v>29.499894000000001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0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17.5</v>
      </c>
      <c r="S107">
        <f t="shared" si="10"/>
        <v>96</v>
      </c>
      <c r="T107">
        <f t="shared" si="11"/>
        <v>17.499893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0</v>
      </c>
      <c r="L108" s="28">
        <f>IFERROR(VLOOKUP(D108,Scoring!$A$4:$N$51,14,FALSE())*3,"-")</f>
        <v>3</v>
      </c>
      <c r="M108" s="28">
        <f>IFERROR(VLOOKUP(E108,Scoring!$A$4:$N$51,14,FALSE())*2,"-")</f>
        <v>0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27.5</v>
      </c>
      <c r="S108">
        <f t="shared" si="10"/>
        <v>53</v>
      </c>
      <c r="T108">
        <f t="shared" si="11"/>
        <v>27.499891999999999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0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0</v>
      </c>
      <c r="N44" s="110">
        <f t="shared" si="1"/>
        <v>0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0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0</v>
      </c>
      <c r="N45" s="110">
        <f t="shared" si="1"/>
        <v>0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0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0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0</v>
      </c>
      <c r="N48" s="110">
        <f t="shared" si="1"/>
        <v>0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0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0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0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0</v>
      </c>
      <c r="N50" s="110">
        <f t="shared" si="1"/>
        <v>0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2026-06-17T06:16:35Z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