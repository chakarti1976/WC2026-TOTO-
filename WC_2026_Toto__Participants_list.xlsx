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500" firstSheet="0" activeTab="0" autoFilterDateGrouping="1"/>
  </bookViews>
  <sheets>
    <sheet name="FIFA WC 2026" sheetId="1" state="visible" r:id="rId1"/>
    <sheet name="Results" sheetId="2" state="visible" r:id="rId2"/>
    <sheet name=" Toto teams" sheetId="3" state="visible" r:id="rId3"/>
    <sheet name="Rules EN" sheetId="4" state="visible" r:id="rId4"/>
    <sheet name="Taisyklės LT" sheetId="5" state="visible" r:id="rId5"/>
    <sheet name="Scoring" sheetId="6" state="hidden" r:id="rId6"/>
    <sheet name="Settings" sheetId="7" state="visible" r:id="rId7"/>
    <sheet name="Helpers" sheetId="8" state="hidden" r:id="rId8"/>
    <sheet name="Annex C (generated)" sheetId="9" state="hidden" r:id="rId9"/>
  </sheets>
  <definedNames>
    <definedName name="AllTeams">Settings!$B$9:$B$56</definedName>
    <definedName name="champ">#REF!</definedName>
    <definedName name="Champion">#REF!</definedName>
    <definedName name="db_fifarank">Settings!$B$9:$C$56</definedName>
    <definedName name="ExtraTeams">#REF!</definedName>
    <definedName name="FifaRank13_24">Settings!$G$9:$G$20</definedName>
    <definedName name="FifaRank25_36">Settings!$H$9:$H$18</definedName>
    <definedName name="FifaRank37Plus">Settings!$I$9:$I$32</definedName>
    <definedName name="Final">#REF!</definedName>
    <definedName name="finalas\">#REF!</definedName>
    <definedName name="gmt_delta">Settings!#REF!</definedName>
    <definedName name="GmtOffset">Settings!$C$4</definedName>
    <definedName name="Goals_Final">#REF!</definedName>
    <definedName name="Goals_Final_OT">#REF!</definedName>
    <definedName name="Goals_Quart">#REF!</definedName>
    <definedName name="Goals_Quart_OT">#REF!</definedName>
    <definedName name="Goals_Ro16">#REF!</definedName>
    <definedName name="Goals_Ro16_OT">#REF!</definedName>
    <definedName name="Goals_Semi">#REF!</definedName>
    <definedName name="GoalsSemi_OT">#REF!</definedName>
    <definedName name="HomeGoals">#REF!</definedName>
    <definedName name="ID_Home">#REF!</definedName>
    <definedName name="ID_Visitor">#REF!</definedName>
    <definedName name="itype">Settings!#REF!</definedName>
    <definedName name="lang">Settings!#REF!</definedName>
    <definedName name="lang_list">#REF!</definedName>
    <definedName name="lookup_3rd">#REF!</definedName>
    <definedName name="qfinal">#REF!</definedName>
    <definedName name="Quarterfinals">#REF!</definedName>
    <definedName name="Round_16">#REF!</definedName>
    <definedName name="round16">#REF!</definedName>
    <definedName name="Semifinals">#REF!</definedName>
    <definedName name="sfinal">#REF!</definedName>
    <definedName name="T">#REF!</definedName>
    <definedName name="tbl_lookup_3rd">#REF!</definedName>
    <definedName name="Teams">#REF!</definedName>
    <definedName name="Teams_Quart">#REF!</definedName>
    <definedName name="Teams_Ro16">#REF!</definedName>
    <definedName name="Teams_Semi">#REF!</definedName>
    <definedName name="TeamsFinal">#REF!</definedName>
    <definedName name="ThirdPlace">#REF!</definedName>
    <definedName name="VisitorsGoals">#REF!</definedName>
    <definedName name="WeakTeams">Settings!$I$9:$I$32</definedName>
    <definedName name="champ" localSheetId="8">#REF!</definedName>
    <definedName name="Champion" localSheetId="8">#REF!</definedName>
    <definedName name="ExtraTeams" localSheetId="8">#REF!</definedName>
    <definedName name="Final" localSheetId="8">#REF!</definedName>
    <definedName name="finalas\" localSheetId="8">#REF!</definedName>
    <definedName name="Goals_Final" localSheetId="8">#REF!</definedName>
    <definedName name="Goals_Final_OT" localSheetId="8">#REF!</definedName>
    <definedName name="Goals_Quart" localSheetId="8">#REF!</definedName>
    <definedName name="Goals_Quart_OT" localSheetId="8">#REF!</definedName>
    <definedName name="Goals_Ro16" localSheetId="8">#REF!</definedName>
    <definedName name="Goals_Ro16_OT" localSheetId="8">#REF!</definedName>
    <definedName name="Goals_Semi" localSheetId="8">#REF!</definedName>
    <definedName name="GoalsSemi_OT" localSheetId="8">#REF!</definedName>
    <definedName name="HomeGoals" localSheetId="8">#REF!</definedName>
    <definedName name="ID_Home" localSheetId="8">#REF!</definedName>
    <definedName name="ID_Visitor" localSheetId="8">#REF!</definedName>
    <definedName name="lang_list" localSheetId="8">#REF!</definedName>
    <definedName name="lookup_3rd" localSheetId="8">#REF!</definedName>
    <definedName name="qfinal" localSheetId="8">#REF!</definedName>
    <definedName name="Quarterfinals" localSheetId="8">#REF!</definedName>
    <definedName name="Round_16" localSheetId="8">#REF!</definedName>
    <definedName name="round16" localSheetId="8">#REF!</definedName>
    <definedName name="Semifinals" localSheetId="8">#REF!</definedName>
    <definedName name="sfinal" localSheetId="8">#REF!</definedName>
    <definedName name="T" localSheetId="8">#REF!</definedName>
    <definedName name="tbl_lookup_3rd" localSheetId="8">#REF!</definedName>
    <definedName name="Teams" localSheetId="8">#REF!</definedName>
    <definedName name="Teams_Quart" localSheetId="8">#REF!</definedName>
    <definedName name="Teams_Ro16" localSheetId="8">#REF!</definedName>
    <definedName name="Teams_Semi" localSheetId="8">#REF!</definedName>
    <definedName name="TeamsFinal" localSheetId="8">#REF!</definedName>
    <definedName name="ThirdPlace" localSheetId="8">#REF!</definedName>
    <definedName name="VisitorsGoals" localSheetId="8">#REF!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0.0;\-0.0;\-"/>
    <numFmt numFmtId="165" formatCode="\€#,##0;&quot;-€&quot;#,##0;\-"/>
    <numFmt numFmtId="166" formatCode="\€#,##0"/>
    <numFmt numFmtId="167" formatCode="0.0%"/>
    <numFmt numFmtId="168" formatCode="[$-419]d\ mmm"/>
    <numFmt numFmtId="169" formatCode="0.0"/>
    <numFmt numFmtId="170" formatCode="\+0;\-0;0"/>
    <numFmt numFmtId="171" formatCode=";;;"/>
  </numFmts>
  <fonts count="45">
    <font>
      <name val="Calibri"/>
      <charset val="204"/>
      <sz val="10"/>
    </font>
    <font>
      <name val="Calibri"/>
      <charset val="186"/>
      <family val="2"/>
      <color theme="1"/>
      <sz val="11"/>
    </font>
    <font>
      <name val="Calibri"/>
      <charset val="186"/>
      <family val="2"/>
      <color theme="10"/>
      <sz val="10"/>
      <u val="single"/>
    </font>
    <font>
      <name val="Calibri"/>
      <charset val="204"/>
      <family val="2"/>
      <color rgb="FF800080"/>
      <sz val="10"/>
      <u val="single"/>
    </font>
    <font>
      <name val="Calibri"/>
      <charset val="186"/>
      <family val="2"/>
      <sz val="10"/>
    </font>
    <font>
      <name val="Arial CYR"/>
      <charset val="204"/>
      <sz val="8"/>
    </font>
    <font>
      <name val="Calibri"/>
      <charset val="1"/>
      <family val="2"/>
      <sz val="10"/>
    </font>
    <font>
      <name val="Arial"/>
      <charset val="186"/>
      <family val="2"/>
      <sz val="10"/>
    </font>
    <font>
      <name val="Calibri"/>
      <charset val="1"/>
      <family val="2"/>
      <b val="1"/>
      <color theme="0"/>
      <sz val="24"/>
    </font>
    <font>
      <name val="Calibri"/>
      <charset val="1"/>
      <family val="2"/>
      <i val="1"/>
      <color theme="0"/>
      <sz val="10"/>
    </font>
    <font>
      <name val="Calibri"/>
      <charset val="1"/>
      <family val="2"/>
      <color rgb="FF000000"/>
      <sz val="10"/>
    </font>
    <font>
      <name val="Calibri"/>
      <charset val="1"/>
      <family val="2"/>
      <b val="1"/>
      <color rgb="FFFFFFFF"/>
      <sz val="18"/>
    </font>
    <font>
      <name val="Calibri"/>
      <charset val="1"/>
      <family val="2"/>
      <sz val="18"/>
    </font>
    <font>
      <name val="Calibri"/>
      <charset val="1"/>
      <family val="2"/>
      <b val="1"/>
      <color rgb="FF000000"/>
      <sz val="10"/>
    </font>
    <font>
      <name val="Calibri"/>
      <charset val="1"/>
      <family val="2"/>
      <b val="1"/>
      <color rgb="FFFFFFFF"/>
      <sz val="12"/>
    </font>
    <font>
      <name val="Calibri"/>
      <charset val="1"/>
      <family val="2"/>
      <b val="1"/>
      <color rgb="FF1F3864"/>
      <sz val="14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color rgb="FF666666"/>
      <sz val="10"/>
    </font>
    <font>
      <name val="Calibri"/>
      <charset val="186"/>
      <family val="2"/>
      <b val="1"/>
      <sz val="10"/>
    </font>
    <font>
      <name val="Calibri"/>
      <charset val="1"/>
      <family val="2"/>
      <b val="1"/>
      <color rgb="FFFFFFFF"/>
      <sz val="14"/>
    </font>
    <font>
      <name val="Calibri"/>
      <charset val="1"/>
      <family val="2"/>
      <b val="1"/>
      <sz val="10"/>
    </font>
    <font>
      <name val="Calibri"/>
      <charset val="186"/>
      <family val="2"/>
      <b val="1"/>
      <color rgb="FFFFFFFF"/>
      <sz val="16"/>
    </font>
    <font>
      <name val="Calibri"/>
      <charset val="1"/>
      <family val="2"/>
      <b val="1"/>
      <i val="1"/>
      <color rgb="FF000000"/>
      <sz val="10"/>
    </font>
    <font>
      <name val="Calibri"/>
      <charset val="186"/>
      <family val="2"/>
      <b val="1"/>
      <color rgb="FF000000"/>
      <sz val="10"/>
    </font>
    <font>
      <name val="Calibri"/>
      <charset val="1"/>
      <family val="2"/>
      <b val="1"/>
      <i val="1"/>
      <color rgb="FFFFFFFF"/>
      <sz val="9"/>
    </font>
    <font>
      <name val="Calibri"/>
      <charset val="186"/>
      <family val="2"/>
      <b val="1"/>
      <color rgb="FFFFFFFF"/>
      <sz val="10"/>
    </font>
    <font>
      <name val="Arial Black"/>
      <charset val="1"/>
      <family val="2"/>
      <color rgb="FF121D47"/>
      <sz val="20"/>
    </font>
    <font>
      <name val="Tahoma"/>
      <charset val="1"/>
      <family val="2"/>
      <color theme="1"/>
      <sz val="10"/>
    </font>
    <font>
      <name val="Tahoma"/>
      <charset val="1"/>
      <family val="2"/>
      <color rgb="FF0066CC"/>
      <sz val="10"/>
    </font>
    <font>
      <name val="Tahoma"/>
      <charset val="1"/>
      <family val="2"/>
      <b val="1"/>
      <color rgb="FF0066CC"/>
      <sz val="10"/>
    </font>
    <font>
      <name val="Calibri"/>
      <charset val="1"/>
      <family val="2"/>
      <color theme="1"/>
      <sz val="10"/>
    </font>
    <font>
      <name val="Tahoma"/>
      <charset val="1"/>
      <family val="2"/>
      <b val="1"/>
      <color theme="1"/>
      <sz val="10"/>
    </font>
    <font>
      <name val="Arial"/>
      <family val="2"/>
      <color theme="1"/>
      <sz val="8"/>
    </font>
    <font>
      <name val="Tahoma"/>
      <charset val="186"/>
      <family val="2"/>
      <b val="1"/>
      <color theme="1"/>
      <sz val="10"/>
    </font>
    <font>
      <name val="Calibri"/>
      <charset val="204"/>
      <family val="2"/>
      <sz val="10"/>
    </font>
    <font>
      <name val="Tahoma"/>
      <charset val="1"/>
      <family val="2"/>
      <b val="1"/>
      <color rgb="FF7F7F7F"/>
      <sz val="10"/>
    </font>
    <font>
      <name val="Tahoma"/>
      <charset val="1"/>
      <family val="2"/>
      <b val="1"/>
      <color theme="0"/>
      <sz val="10"/>
    </font>
    <font>
      <name val="Arial"/>
      <charset val="1"/>
      <family val="2"/>
      <color theme="1"/>
      <sz val="10"/>
    </font>
    <font>
      <name val="Calibri"/>
      <charset val="204"/>
      <family val="2"/>
      <b val="1"/>
      <sz val="12"/>
    </font>
    <font>
      <name val="Calibri"/>
      <charset val="204"/>
      <family val="2"/>
      <b val="1"/>
      <color rgb="FF0000FF"/>
      <sz val="10"/>
    </font>
    <font>
      <name val="Calibri"/>
      <charset val="204"/>
      <family val="2"/>
      <sz val="8"/>
    </font>
    <font>
      <name val="Calibri"/>
      <charset val="204"/>
      <family val="2"/>
      <b val="1"/>
      <sz val="10"/>
    </font>
    <font>
      <name val="Calibri"/>
      <charset val="204"/>
      <family val="2"/>
      <b val="1"/>
      <color rgb="FFFFFFFF"/>
      <sz val="10"/>
    </font>
    <font>
      <name val="Arial"/>
      <charset val="186"/>
      <family val="2"/>
      <sz val="8"/>
    </font>
    <font>
      <name val="Calibri"/>
      <family val="2"/>
      <sz val="10"/>
      <u val="single"/>
    </font>
  </fonts>
  <fills count="16">
    <fill>
      <patternFill/>
    </fill>
    <fill>
      <patternFill patternType="gray125"/>
    </fill>
    <fill>
      <patternFill patternType="solid">
        <fgColor theme="4" tint="0.7997985778374584"/>
        <bgColor rgb="FFD9E1F2"/>
      </patternFill>
    </fill>
    <fill>
      <patternFill patternType="solid">
        <fgColor rgb="FF1F3864"/>
        <bgColor rgb="FF1F4E78"/>
      </patternFill>
    </fill>
    <fill>
      <patternFill patternType="solid">
        <fgColor rgb="FFFFFFFF"/>
        <bgColor rgb="FFFFF9E6"/>
      </patternFill>
    </fill>
    <fill>
      <patternFill patternType="solid">
        <fgColor rgb="FFFFF9E6"/>
        <bgColor rgb="FFFFFFFF"/>
      </patternFill>
    </fill>
    <fill>
      <patternFill patternType="solid">
        <fgColor rgb="FFD9E1F2"/>
        <bgColor rgb="FFDAE3F3"/>
      </patternFill>
    </fill>
    <fill>
      <patternFill patternType="solid">
        <fgColor rgb="FF1F4E78"/>
        <bgColor rgb="FF1F3864"/>
      </patternFill>
    </fill>
    <fill>
      <patternFill patternType="solid">
        <fgColor rgb="FFD9EAF7"/>
        <bgColor rgb="FFDAE3F3"/>
      </patternFill>
    </fill>
    <fill>
      <patternFill patternType="solid">
        <fgColor rgb="FF5B9BD5"/>
        <bgColor rgb="FF969696"/>
      </patternFill>
    </fill>
    <fill>
      <patternFill patternType="solid">
        <fgColor rgb="FFF2F2F2"/>
        <bgColor rgb="FFFFF9E6"/>
      </patternFill>
    </fill>
    <fill>
      <patternFill patternType="solid">
        <fgColor theme="1"/>
        <bgColor rgb="FF1F1F1F"/>
      </patternFill>
    </fill>
    <fill>
      <patternFill patternType="solid">
        <fgColor rgb="FF99CCFF"/>
        <bgColor rgb="FFD0D0D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9E6"/>
      </patternFill>
    </fill>
    <fill>
      <patternFill patternType="solid">
        <fgColor rgb="FFCCFFFF"/>
        <bgColor rgb="FFD9EAF7"/>
      </patternFill>
    </fill>
  </fills>
  <borders count="32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 style="thin">
        <color auto="1"/>
      </left>
      <right/>
      <top style="thin">
        <color auto="1"/>
      </top>
      <bottom style="thin">
        <color rgb="FFD0D0D0"/>
      </bottom>
      <diagonal/>
    </border>
    <border>
      <left/>
      <right style="thin">
        <color auto="1"/>
      </right>
      <top style="thin">
        <color auto="1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 style="thin">
        <color auto="1"/>
      </left>
      <right/>
      <top style="thin">
        <color rgb="FFD0D0D0"/>
      </top>
      <bottom style="thin">
        <color auto="1"/>
      </bottom>
      <diagonal/>
    </border>
    <border>
      <left/>
      <right style="thin">
        <color auto="1"/>
      </right>
      <top style="thin">
        <color rgb="FFD0D0D0"/>
      </top>
      <bottom style="thin">
        <color auto="1"/>
      </bottom>
      <diagonal/>
    </border>
    <border>
      <left/>
      <right/>
      <top style="thin">
        <color rgb="FFD0D0D0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121D47"/>
      </left>
      <right style="thin">
        <color rgb="FF121D47"/>
      </right>
      <top style="thin">
        <color rgb="FF121D47"/>
      </top>
      <bottom/>
      <diagonal/>
    </border>
    <border>
      <left style="thin">
        <color rgb="FF121D47"/>
      </left>
      <right/>
      <top/>
      <bottom/>
      <diagonal/>
    </border>
    <border>
      <left/>
      <right style="thin">
        <color rgb="FF121D47"/>
      </right>
      <top/>
      <bottom/>
      <diagonal/>
    </border>
    <border>
      <left style="thin">
        <color rgb="FF121D47"/>
      </left>
      <right/>
      <top/>
      <bottom style="thin">
        <color rgb="FF121D47"/>
      </bottom>
      <diagonal/>
    </border>
    <border>
      <left/>
      <right/>
      <top/>
      <bottom style="thin">
        <color rgb="FF121D47"/>
      </bottom>
      <diagonal/>
    </border>
    <border>
      <left/>
      <right style="thin">
        <color rgb="FF121D47"/>
      </right>
      <top/>
      <bottom style="thin">
        <color rgb="FF121D4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21D47"/>
      </left>
      <right style="thin">
        <color rgb="FF121D47"/>
      </right>
      <top/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121D47"/>
      </top>
      <bottom/>
      <diagonal/>
    </border>
    <border>
      <left/>
      <right style="thin">
        <color rgb="FF121D47"/>
      </right>
      <top style="thin">
        <color rgb="FF121D47"/>
      </top>
      <bottom/>
      <diagonal/>
    </border>
  </borders>
  <cellStyleXfs count="10">
    <xf numFmtId="0" fontId="0" fillId="0" borderId="0"/>
    <xf numFmtId="0" fontId="1" fillId="2" borderId="0"/>
    <xf numFmtId="0" fontId="1" fillId="2" borderId="0"/>
    <xf numFmtId="0" fontId="2" fillId="0" borderId="0"/>
    <xf numFmtId="0" fontId="3" fillId="0" borderId="0" applyAlignment="1" applyProtection="1">
      <alignment vertical="top"/>
      <protection locked="0" hidden="0"/>
    </xf>
    <xf numFmtId="0" fontId="4" fillId="0" borderId="0"/>
    <xf numFmtId="0" fontId="5" fillId="0" borderId="0"/>
    <xf numFmtId="0" fontId="6" fillId="0" borderId="0"/>
    <xf numFmtId="0" fontId="7" fillId="0" borderId="0"/>
    <xf numFmtId="9" fontId="4" fillId="0" borderId="0"/>
  </cellStyleXfs>
  <cellXfs count="164">
    <xf numFmtId="0" fontId="0" fillId="0" borderId="0" pivotButton="0" quotePrefix="0" xfId="0"/>
    <xf numFmtId="0" fontId="13" fillId="6" borderId="1" applyAlignment="1" pivotButton="0" quotePrefix="0" xfId="0">
      <alignment horizontal="left"/>
    </xf>
    <xf numFmtId="0" fontId="11" fillId="3" borderId="0" applyAlignment="1" pivotButton="0" quotePrefix="0" xfId="0">
      <alignment horizontal="center"/>
    </xf>
    <xf numFmtId="0" fontId="10" fillId="0" borderId="0" pivotButton="0" quotePrefix="0" xfId="0"/>
    <xf numFmtId="0" fontId="12" fillId="0" borderId="0" pivotButton="0" quotePrefix="0" xfId="0"/>
    <xf numFmtId="0" fontId="10" fillId="4" borderId="1" applyAlignment="1" pivotButton="0" quotePrefix="0" xfId="0">
      <alignment horizontal="center"/>
    </xf>
    <xf numFmtId="0" fontId="10" fillId="4" borderId="1" applyAlignment="1" pivotButton="0" quotePrefix="0" xfId="0">
      <alignment horizontal="right"/>
    </xf>
    <xf numFmtId="0" fontId="10" fillId="5" borderId="0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/>
    </xf>
    <xf numFmtId="0" fontId="10" fillId="4" borderId="2" applyAlignment="1" pivotButton="0" quotePrefix="0" xfId="0">
      <alignment horizontal="left"/>
    </xf>
    <xf numFmtId="0" fontId="13" fillId="5" borderId="3" applyAlignment="1" pivotButton="0" quotePrefix="0" xfId="0">
      <alignment horizontal="center"/>
    </xf>
    <xf numFmtId="0" fontId="10" fillId="4" borderId="4" applyAlignment="1" pivotButton="0" quotePrefix="0" xfId="0">
      <alignment horizontal="center"/>
    </xf>
    <xf numFmtId="0" fontId="10" fillId="4" borderId="4" applyAlignment="1" pivotButton="0" quotePrefix="0" xfId="0">
      <alignment horizontal="right"/>
    </xf>
    <xf numFmtId="0" fontId="10" fillId="4" borderId="4" applyAlignment="1" pivotButton="0" quotePrefix="0" xfId="0">
      <alignment horizontal="left"/>
    </xf>
    <xf numFmtId="0" fontId="13" fillId="4" borderId="4" applyAlignment="1" pivotButton="0" quotePrefix="0" xfId="0">
      <alignment horizontal="center"/>
    </xf>
    <xf numFmtId="0" fontId="10" fillId="4" borderId="5" applyAlignment="1" pivotButton="0" quotePrefix="0" xfId="0">
      <alignment horizontal="left"/>
    </xf>
    <xf numFmtId="0" fontId="13" fillId="5" borderId="6" applyAlignment="1" pivotButton="0" quotePrefix="0" xfId="0">
      <alignment horizontal="center"/>
    </xf>
    <xf numFmtId="0" fontId="10" fillId="4" borderId="7" applyAlignment="1" pivotButton="0" quotePrefix="0" xfId="0">
      <alignment horizontal="left"/>
    </xf>
    <xf numFmtId="0" fontId="10" fillId="4" borderId="7" applyAlignment="1" pivotButton="0" quotePrefix="0" xfId="0">
      <alignment horizontal="center"/>
    </xf>
    <xf numFmtId="0" fontId="13" fillId="4" borderId="7" applyAlignment="1" pivotButton="0" quotePrefix="0" xfId="0">
      <alignment horizontal="center"/>
    </xf>
    <xf numFmtId="0" fontId="10" fillId="6" borderId="1" pivotButton="0" quotePrefix="0" xfId="0"/>
    <xf numFmtId="0" fontId="10" fillId="4" borderId="0" pivotButton="0" quotePrefix="0" xfId="0"/>
    <xf numFmtId="0" fontId="10" fillId="4" borderId="7" applyAlignment="1" pivotButton="0" quotePrefix="0" xfId="0">
      <alignment horizontal="right"/>
    </xf>
    <xf numFmtId="0" fontId="17" fillId="0" borderId="0" pivotButton="0" quotePrefix="0" xfId="0"/>
    <xf numFmtId="0" fontId="18" fillId="0" borderId="0" pivotButton="0" quotePrefix="0" xfId="0"/>
    <xf numFmtId="0" fontId="20" fillId="6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  <xf numFmtId="164" fontId="2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9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6" fontId="20" fillId="0" borderId="0" applyAlignment="1" pivotButton="0" quotePrefix="0" xfId="0">
      <alignment horizontal="center"/>
    </xf>
    <xf numFmtId="167" fontId="0" fillId="0" borderId="0" pivotButton="0" quotePrefix="0" xfId="0"/>
    <xf numFmtId="164" fontId="0" fillId="0" borderId="0" pivotButton="0" quotePrefix="0" xfId="0"/>
    <xf numFmtId="0" fontId="22" fillId="8" borderId="0" applyAlignment="1" pivotButton="0" quotePrefix="0" xfId="0">
      <alignment horizontal="center" vertical="center"/>
    </xf>
    <xf numFmtId="0" fontId="23" fillId="8" borderId="0" applyAlignment="1" pivotButton="0" quotePrefix="0" xfId="0">
      <alignment horizontal="center" vertical="center"/>
    </xf>
    <xf numFmtId="0" fontId="23" fillId="8" borderId="0" applyAlignment="1" pivotButton="0" quotePrefix="0" xfId="0">
      <alignment horizontal="center"/>
    </xf>
    <xf numFmtId="0" fontId="16" fillId="9" borderId="0" applyAlignment="1" pivotButton="0" quotePrefix="0" xfId="0">
      <alignment horizontal="center" vertical="center" wrapText="1"/>
    </xf>
    <xf numFmtId="0" fontId="24" fillId="9" borderId="0" applyAlignment="1" pivotButton="0" quotePrefix="0" xfId="0">
      <alignment horizontal="center" vertical="center" wrapText="1"/>
    </xf>
    <xf numFmtId="0" fontId="25" fillId="9" borderId="0" applyAlignment="1" pivotButton="0" quotePrefix="0" xfId="0">
      <alignment horizontal="center"/>
    </xf>
    <xf numFmtId="0" fontId="0" fillId="5" borderId="0" applyAlignment="1" pivotButton="0" quotePrefix="0" xfId="0">
      <alignment horizontal="left" vertical="center"/>
    </xf>
    <xf numFmtId="0" fontId="4" fillId="0" borderId="0" pivotButton="0" quotePrefix="0" xfId="0"/>
    <xf numFmtId="0" fontId="4" fillId="5" borderId="0" applyAlignment="1" pivotButton="0" quotePrefix="0" xfId="0">
      <alignment horizontal="left" vertical="center"/>
    </xf>
    <xf numFmtId="0" fontId="27" fillId="0" borderId="0" applyAlignment="1" pivotButton="0" quotePrefix="0" xfId="0">
      <alignment vertical="center"/>
    </xf>
    <xf numFmtId="168" fontId="28" fillId="10" borderId="10" applyAlignment="1" pivotButton="0" quotePrefix="0" xfId="0">
      <alignment horizontal="right" vertical="center"/>
    </xf>
    <xf numFmtId="20" fontId="28" fillId="10" borderId="0" applyAlignment="1" pivotButton="0" quotePrefix="0" xfId="0">
      <alignment vertical="center"/>
    </xf>
    <xf numFmtId="20" fontId="28" fillId="10" borderId="0" applyAlignment="1" pivotButton="0" quotePrefix="0" xfId="0">
      <alignment horizontal="left" vertical="center"/>
    </xf>
    <xf numFmtId="0" fontId="27" fillId="10" borderId="0" applyAlignment="1" pivotButton="0" quotePrefix="0" xfId="0">
      <alignment horizontal="right" vertical="center" shrinkToFit="1"/>
    </xf>
    <xf numFmtId="0" fontId="27" fillId="10" borderId="0" applyAlignment="1" pivotButton="0" quotePrefix="0" xfId="0">
      <alignment horizontal="center" vertical="center"/>
    </xf>
    <xf numFmtId="0" fontId="27" fillId="10" borderId="0" applyAlignment="1" pivotButton="0" quotePrefix="0" xfId="0">
      <alignment vertical="center"/>
    </xf>
    <xf numFmtId="0" fontId="27" fillId="10" borderId="0" applyAlignment="1" pivotButton="0" quotePrefix="0" xfId="0">
      <alignment vertical="center" shrinkToFit="1"/>
    </xf>
    <xf numFmtId="0" fontId="27" fillId="10" borderId="11" applyAlignment="1" pivotButton="0" quotePrefix="0" xfId="0">
      <alignment vertical="center"/>
    </xf>
    <xf numFmtId="168" fontId="29" fillId="10" borderId="12" applyAlignment="1" pivotButton="0" quotePrefix="0" xfId="0">
      <alignment horizontal="right" vertical="center"/>
    </xf>
    <xf numFmtId="20" fontId="29" fillId="10" borderId="13" applyAlignment="1" pivotButton="0" quotePrefix="0" xfId="0">
      <alignment vertical="center"/>
    </xf>
    <xf numFmtId="0" fontId="30" fillId="10" borderId="13" pivotButton="0" quotePrefix="0" xfId="0"/>
    <xf numFmtId="0" fontId="31" fillId="10" borderId="13" applyAlignment="1" pivotButton="0" quotePrefix="0" xfId="0">
      <alignment horizontal="right" vertical="center" shrinkToFit="1"/>
    </xf>
    <xf numFmtId="0" fontId="31" fillId="10" borderId="13" applyAlignment="1" pivotButton="0" quotePrefix="0" xfId="0">
      <alignment horizontal="center" vertical="center"/>
    </xf>
    <xf numFmtId="0" fontId="31" fillId="10" borderId="13" applyAlignment="1" pivotButton="0" quotePrefix="0" xfId="0">
      <alignment horizontal="left" vertical="center" shrinkToFit="1"/>
    </xf>
    <xf numFmtId="0" fontId="31" fillId="10" borderId="13" applyAlignment="1" pivotButton="0" quotePrefix="0" xfId="0">
      <alignment vertical="center"/>
    </xf>
    <xf numFmtId="0" fontId="27" fillId="10" borderId="14" applyAlignment="1" pivotButton="0" quotePrefix="0" xfId="0">
      <alignment vertical="center"/>
    </xf>
    <xf numFmtId="0" fontId="32" fillId="10" borderId="10" pivotButton="0" quotePrefix="0" xfId="0"/>
    <xf numFmtId="20" fontId="31" fillId="10" borderId="0" applyAlignment="1" pivotButton="0" quotePrefix="0" xfId="0">
      <alignment horizontal="left" vertical="center"/>
    </xf>
    <xf numFmtId="0" fontId="31" fillId="10" borderId="0" applyAlignment="1" pivotButton="0" quotePrefix="0" xfId="0">
      <alignment horizontal="right" vertical="center" shrinkToFit="1"/>
    </xf>
    <xf numFmtId="0" fontId="31" fillId="10" borderId="0" applyAlignment="1" pivotButton="0" quotePrefix="0" xfId="0">
      <alignment horizontal="center" vertical="center"/>
    </xf>
    <xf numFmtId="0" fontId="31" fillId="10" borderId="0" applyAlignment="1" pivotButton="0" quotePrefix="0" xfId="0">
      <alignment horizontal="left" vertical="center" shrinkToFit="1"/>
    </xf>
    <xf numFmtId="0" fontId="31" fillId="10" borderId="0" applyAlignment="1" pivotButton="0" quotePrefix="0" xfId="0">
      <alignment vertical="center"/>
    </xf>
    <xf numFmtId="0" fontId="31" fillId="10" borderId="10" applyAlignment="1" pivotButton="0" quotePrefix="0" xfId="0">
      <alignment horizontal="left" vertical="top" wrapText="1"/>
    </xf>
    <xf numFmtId="0" fontId="30" fillId="0" borderId="0" pivotButton="0" quotePrefix="0" xfId="0"/>
    <xf numFmtId="0" fontId="31" fillId="10" borderId="0" applyAlignment="1" pivotButton="0" quotePrefix="0" xfId="0">
      <alignment horizontal="left" vertical="top" wrapText="1"/>
    </xf>
    <xf numFmtId="0" fontId="31" fillId="10" borderId="0" applyAlignment="1" pivotButton="0" quotePrefix="0" xfId="0">
      <alignment horizontal="left" vertical="top"/>
    </xf>
    <xf numFmtId="0" fontId="0" fillId="10" borderId="0" pivotButton="0" quotePrefix="0" xfId="0"/>
    <xf numFmtId="0" fontId="31" fillId="10" borderId="0" applyAlignment="1" pivotButton="0" quotePrefix="0" xfId="0">
      <alignment horizontal="center" vertical="top" wrapText="1"/>
    </xf>
    <xf numFmtId="0" fontId="33" fillId="10" borderId="0" applyAlignment="1" pivotButton="0" quotePrefix="0" xfId="0">
      <alignment horizontal="center" vertical="center"/>
    </xf>
    <xf numFmtId="0" fontId="34" fillId="10" borderId="0" applyProtection="1" pivotButton="0" quotePrefix="0" xfId="0">
      <protection locked="1" hidden="1"/>
    </xf>
    <xf numFmtId="0" fontId="33" fillId="10" borderId="0" applyAlignment="1" pivotButton="0" quotePrefix="0" xfId="0">
      <alignment vertical="center"/>
    </xf>
    <xf numFmtId="0" fontId="30" fillId="10" borderId="0" pivotButton="0" quotePrefix="0" xfId="0"/>
    <xf numFmtId="0" fontId="30" fillId="10" borderId="0" applyAlignment="1" pivotButton="0" quotePrefix="0" xfId="0">
      <alignment horizontal="left"/>
    </xf>
    <xf numFmtId="168" fontId="31" fillId="10" borderId="10" applyAlignment="1" pivotButton="0" quotePrefix="0" xfId="0">
      <alignment horizontal="left" vertical="center"/>
    </xf>
    <xf numFmtId="0" fontId="35" fillId="10" borderId="0" applyAlignment="1" pivotButton="0" quotePrefix="0" xfId="0">
      <alignment horizontal="left" vertical="center" shrinkToFit="1"/>
    </xf>
    <xf numFmtId="20" fontId="36" fillId="11" borderId="15" applyAlignment="1" pivotButton="0" quotePrefix="0" xfId="0">
      <alignment horizontal="left" vertical="center"/>
    </xf>
    <xf numFmtId="20" fontId="36" fillId="11" borderId="15" applyAlignment="1" pivotButton="0" quotePrefix="0" xfId="0">
      <alignment horizontal="right" vertical="center"/>
    </xf>
    <xf numFmtId="20" fontId="31" fillId="10" borderId="15" applyAlignment="1" pivotButton="0" quotePrefix="0" xfId="0">
      <alignment horizontal="left" vertical="center"/>
    </xf>
    <xf numFmtId="0" fontId="31" fillId="10" borderId="15" applyAlignment="1" pivotButton="0" quotePrefix="0" xfId="0">
      <alignment horizontal="right" vertical="center"/>
    </xf>
    <xf numFmtId="17" fontId="31" fillId="10" borderId="15" applyAlignment="1" pivotButton="0" quotePrefix="0" xfId="0">
      <alignment horizontal="left" vertical="center"/>
    </xf>
    <xf numFmtId="0" fontId="31" fillId="10" borderId="15" applyAlignment="1" pivotButton="0" quotePrefix="0" xfId="0">
      <alignment horizontal="left" vertical="center"/>
    </xf>
    <xf numFmtId="0" fontId="32" fillId="10" borderId="11" pivotButton="0" quotePrefix="0" xfId="0"/>
    <xf numFmtId="0" fontId="37" fillId="0" borderId="0" pivotButton="0" quotePrefix="0" xfId="0"/>
    <xf numFmtId="0" fontId="27" fillId="10" borderId="12" applyAlignment="1" pivotButton="0" quotePrefix="0" xfId="0">
      <alignment vertical="center"/>
    </xf>
    <xf numFmtId="0" fontId="27" fillId="10" borderId="13" applyAlignment="1" pivotButton="0" quotePrefix="0" xfId="0">
      <alignment vertical="center"/>
    </xf>
    <xf numFmtId="0" fontId="27" fillId="10" borderId="13" applyAlignment="1" pivotButton="0" quotePrefix="0" xfId="0">
      <alignment horizontal="left" vertical="center" shrinkToFit="1"/>
    </xf>
    <xf numFmtId="0" fontId="27" fillId="10" borderId="13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shrinkToFit="1"/>
    </xf>
    <xf numFmtId="0" fontId="27" fillId="0" borderId="0" applyAlignment="1" pivotButton="0" quotePrefix="0" xfId="0">
      <alignment horizontal="center" vertical="center"/>
    </xf>
    <xf numFmtId="168" fontId="27" fillId="0" borderId="0" applyAlignment="1" pivotButton="0" quotePrefix="0" xfId="0">
      <alignment horizontal="right" vertical="center"/>
    </xf>
    <xf numFmtId="20" fontId="27" fillId="0" borderId="0" applyAlignment="1" pivotButton="0" quotePrefix="0" xfId="0">
      <alignment vertical="center"/>
    </xf>
    <xf numFmtId="20" fontId="27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right" vertical="center" shrinkToFit="1"/>
    </xf>
    <xf numFmtId="168" fontId="28" fillId="0" borderId="0" applyAlignment="1" pivotButton="0" quotePrefix="0" xfId="0">
      <alignment horizontal="right" vertical="center"/>
    </xf>
    <xf numFmtId="20" fontId="28" fillId="0" borderId="0" applyAlignment="1" pivotButton="0" quotePrefix="0" xfId="0">
      <alignment vertical="center"/>
    </xf>
    <xf numFmtId="20" fontId="28" fillId="0" borderId="0" applyAlignment="1" pivotButton="0" quotePrefix="0" xfId="0">
      <alignment horizontal="left" vertical="center"/>
    </xf>
    <xf numFmtId="49" fontId="31" fillId="10" borderId="15" applyAlignment="1" pivotButton="0" quotePrefix="0" xfId="0">
      <alignment horizontal="left" vertical="center"/>
    </xf>
    <xf numFmtId="0" fontId="20" fillId="6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20" fillId="10" borderId="0" applyAlignment="1" pivotButton="0" quotePrefix="0" xfId="0">
      <alignment horizontal="left" vertical="center"/>
    </xf>
    <xf numFmtId="0" fontId="0" fillId="10" borderId="0" applyAlignment="1" pivotButton="0" quotePrefix="0" xfId="0">
      <alignment horizontal="center" vertical="center"/>
    </xf>
    <xf numFmtId="164" fontId="0" fillId="10" borderId="0" applyAlignment="1" pivotButton="0" quotePrefix="0" xfId="0">
      <alignment horizontal="center" vertical="center"/>
    </xf>
    <xf numFmtId="169" fontId="20" fillId="10" borderId="0" applyAlignment="1" pivotButton="0" quotePrefix="0" xfId="0">
      <alignment horizontal="center" vertical="center"/>
    </xf>
    <xf numFmtId="169" fontId="20" fillId="0" borderId="0" applyAlignment="1" pivotButton="0" quotePrefix="0" xfId="0">
      <alignment horizontal="center"/>
    </xf>
    <xf numFmtId="169" fontId="20" fillId="0" borderId="0" applyAlignment="1" pivotButton="0" quotePrefix="0" xfId="0">
      <alignment horizontal="center" vertical="center"/>
    </xf>
    <xf numFmtId="0" fontId="34" fillId="0" borderId="0" applyProtection="1" pivotButton="0" quotePrefix="0" xfId="0">
      <protection locked="1" hidden="1"/>
    </xf>
    <xf numFmtId="0" fontId="34" fillId="0" borderId="0" applyAlignment="1" applyProtection="1" pivotButton="0" quotePrefix="0" xfId="0">
      <alignment horizontal="left"/>
      <protection locked="1" hidden="1"/>
    </xf>
    <xf numFmtId="0" fontId="38" fillId="12" borderId="17" applyAlignment="1" applyProtection="1" pivotButton="0" quotePrefix="0" xfId="0">
      <alignment horizontal="left" vertical="center"/>
      <protection locked="1" hidden="1"/>
    </xf>
    <xf numFmtId="0" fontId="34" fillId="12" borderId="18" applyAlignment="1" applyProtection="1" pivotButton="0" quotePrefix="0" xfId="0">
      <alignment horizontal="left"/>
      <protection locked="1" hidden="1"/>
    </xf>
    <xf numFmtId="0" fontId="34" fillId="12" borderId="19" applyProtection="1" pivotButton="0" quotePrefix="0" xfId="0">
      <protection locked="1" hidden="1"/>
    </xf>
    <xf numFmtId="0" fontId="34" fillId="12" borderId="20" applyAlignment="1" applyProtection="1" pivotButton="0" quotePrefix="0" xfId="0">
      <alignment horizontal="left" vertical="center"/>
      <protection locked="1" hidden="1"/>
    </xf>
    <xf numFmtId="0" fontId="34" fillId="13" borderId="0" applyAlignment="1" applyProtection="1" pivotButton="0" quotePrefix="0" xfId="0">
      <alignment horizontal="center" vertical="center"/>
      <protection locked="1" hidden="1"/>
    </xf>
    <xf numFmtId="0" fontId="34" fillId="12" borderId="21" applyProtection="1" pivotButton="0" quotePrefix="0" xfId="0">
      <protection locked="1" hidden="1"/>
    </xf>
    <xf numFmtId="170" fontId="39" fillId="14" borderId="0" applyAlignment="1" applyProtection="1" pivotButton="0" quotePrefix="0" xfId="0">
      <alignment horizontal="center"/>
      <protection locked="1" hidden="1"/>
    </xf>
    <xf numFmtId="0" fontId="34" fillId="12" borderId="22" applyProtection="1" pivotButton="0" quotePrefix="0" xfId="0">
      <protection locked="1" hidden="1"/>
    </xf>
    <xf numFmtId="0" fontId="34" fillId="12" borderId="8" applyAlignment="1" applyProtection="1" pivotButton="0" quotePrefix="0" xfId="0">
      <alignment horizontal="left"/>
      <protection locked="1" hidden="1"/>
    </xf>
    <xf numFmtId="0" fontId="34" fillId="12" borderId="23" applyProtection="1" pivotButton="0" quotePrefix="0" xfId="0">
      <protection locked="1" hidden="1"/>
    </xf>
    <xf numFmtId="0" fontId="40" fillId="0" borderId="0" applyAlignment="1" applyProtection="1" pivotButton="0" quotePrefix="0" xfId="0">
      <alignment horizontal="left" vertical="center"/>
      <protection locked="1" hidden="1"/>
    </xf>
    <xf numFmtId="0" fontId="40" fillId="12" borderId="24" applyAlignment="1" applyProtection="1" pivotButton="0" quotePrefix="0" xfId="0">
      <alignment horizontal="left" vertical="center"/>
      <protection locked="1" hidden="1"/>
    </xf>
    <xf numFmtId="0" fontId="40" fillId="12" borderId="25" applyAlignment="1" applyProtection="1" pivotButton="0" quotePrefix="0" xfId="0">
      <alignment horizontal="left" vertical="center"/>
      <protection locked="1" hidden="1"/>
    </xf>
    <xf numFmtId="0" fontId="34" fillId="12" borderId="26" applyProtection="1" pivotButton="0" quotePrefix="0" xfId="0">
      <protection locked="1" hidden="1"/>
    </xf>
    <xf numFmtId="171" fontId="40" fillId="0" borderId="0" applyAlignment="1" applyProtection="1" pivotButton="0" quotePrefix="0" xfId="0">
      <alignment horizontal="left" vertical="center"/>
      <protection locked="1" hidden="1"/>
    </xf>
    <xf numFmtId="171" fontId="34" fillId="0" borderId="0" applyProtection="1" pivotButton="0" quotePrefix="0" xfId="0">
      <protection locked="1" hidden="1"/>
    </xf>
    <xf numFmtId="0" fontId="41" fillId="12" borderId="20" applyAlignment="1" applyProtection="1" pivotButton="0" quotePrefix="0" xfId="0">
      <alignment horizontal="left" vertical="center"/>
      <protection locked="1" hidden="1"/>
    </xf>
    <xf numFmtId="0" fontId="38" fillId="12" borderId="0" applyAlignment="1" applyProtection="1" pivotButton="0" quotePrefix="0" xfId="0">
      <alignment horizontal="center" vertical="center"/>
      <protection locked="1" hidden="1"/>
    </xf>
    <xf numFmtId="0" fontId="42" fillId="9" borderId="0" applyProtection="1" pivotButton="0" quotePrefix="0" xfId="0">
      <protection locked="1" hidden="1"/>
    </xf>
    <xf numFmtId="3" fontId="34" fillId="15" borderId="27" applyAlignment="1" applyProtection="1" pivotButton="0" quotePrefix="0" xfId="0">
      <alignment horizontal="center" vertical="center"/>
      <protection locked="1" hidden="1"/>
    </xf>
    <xf numFmtId="171" fontId="40" fillId="0" borderId="0" applyAlignment="1" applyProtection="1" pivotButton="0" quotePrefix="0" xfId="0">
      <alignment horizontal="center" vertical="center"/>
      <protection locked="1" hidden="1"/>
    </xf>
    <xf numFmtId="3" fontId="34" fillId="15" borderId="28" applyAlignment="1" applyProtection="1" pivotButton="0" quotePrefix="0" xfId="0">
      <alignment horizontal="center" vertical="center"/>
      <protection locked="1" hidden="1"/>
    </xf>
    <xf numFmtId="0" fontId="34" fillId="15" borderId="28" applyAlignment="1" applyProtection="1" pivotButton="0" quotePrefix="0" xfId="0">
      <alignment horizontal="center" vertical="center"/>
      <protection locked="1" hidden="1"/>
    </xf>
    <xf numFmtId="0" fontId="34" fillId="12" borderId="28" applyAlignment="1" applyProtection="1" pivotButton="0" quotePrefix="0" xfId="0">
      <alignment horizontal="left" indent="2"/>
      <protection locked="1" hidden="1"/>
    </xf>
    <xf numFmtId="3" fontId="34" fillId="15" borderId="29" applyAlignment="1" applyProtection="1" pivotButton="0" quotePrefix="0" xfId="0">
      <alignment horizontal="center" vertical="center"/>
      <protection locked="1" hidden="1"/>
    </xf>
    <xf numFmtId="0" fontId="40" fillId="12" borderId="22" applyAlignment="1" applyProtection="1" pivotButton="0" quotePrefix="0" xfId="0">
      <alignment horizontal="left" vertical="center"/>
      <protection locked="1" hidden="1"/>
    </xf>
    <xf numFmtId="0" fontId="40" fillId="12" borderId="8" applyAlignment="1" applyProtection="1" pivotButton="0" quotePrefix="0" xfId="0">
      <alignment horizontal="left" vertical="center"/>
      <protection locked="1" hidden="1"/>
    </xf>
    <xf numFmtId="0" fontId="6" fillId="0" borderId="0" pivotButton="0" quotePrefix="0" xfId="0"/>
    <xf numFmtId="0" fontId="20" fillId="0" borderId="0" applyAlignment="1" pivotButton="0" quotePrefix="0" xfId="0">
      <alignment horizontal="center" vertical="center" wrapText="1"/>
    </xf>
    <xf numFmtId="0" fontId="43" fillId="0" borderId="0" pivotButton="0" quotePrefix="0" xfId="0"/>
    <xf numFmtId="0" fontId="44" fillId="0" borderId="0" pivotButton="0" quotePrefix="0" xfId="0"/>
    <xf numFmtId="0" fontId="13" fillId="6" borderId="1" applyAlignment="1" pivotButton="0" quotePrefix="0" xfId="0">
      <alignment horizontal="left"/>
    </xf>
    <xf numFmtId="0" fontId="14" fillId="3" borderId="0" applyAlignment="1" pivotButton="0" quotePrefix="0" xfId="0">
      <alignment horizontal="center"/>
    </xf>
    <xf numFmtId="0" fontId="15" fillId="4" borderId="0" applyAlignment="1" pivotButton="0" quotePrefix="0" xfId="0">
      <alignment horizontal="center"/>
    </xf>
    <xf numFmtId="0" fontId="16" fillId="3" borderId="8" applyAlignment="1" pivotButton="0" quotePrefix="0" xfId="0">
      <alignment horizontal="center"/>
    </xf>
    <xf numFmtId="0" fontId="8" fillId="0" borderId="0" applyAlignment="1" pivotButton="0" quotePrefix="0" xfId="0">
      <alignment horizontal="left" vertical="center"/>
    </xf>
    <xf numFmtId="0" fontId="9" fillId="0" borderId="0" pivotButton="0" quotePrefix="0" xfId="0"/>
    <xf numFmtId="0" fontId="11" fillId="3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center"/>
    </xf>
    <xf numFmtId="0" fontId="19" fillId="3" borderId="0" applyAlignment="1" pivotButton="0" quotePrefix="0" xfId="0">
      <alignment horizontal="center" vertical="center"/>
    </xf>
    <xf numFmtId="0" fontId="16" fillId="3" borderId="0" applyAlignment="1" pivotButton="0" quotePrefix="0" xfId="0">
      <alignment horizontal="center" vertical="center"/>
    </xf>
    <xf numFmtId="0" fontId="21" fillId="7" borderId="0" pivotButton="0" quotePrefix="0" xfId="0"/>
    <xf numFmtId="0" fontId="26" fillId="10" borderId="9" applyAlignment="1" pivotButton="0" quotePrefix="0" xfId="0">
      <alignment horizontal="left" shrinkToFit="1"/>
    </xf>
    <xf numFmtId="0" fontId="31" fillId="10" borderId="10" applyAlignment="1" pivotButton="0" quotePrefix="0" xfId="0">
      <alignment horizontal="left" vertical="top" wrapText="1"/>
    </xf>
    <xf numFmtId="168" fontId="31" fillId="10" borderId="16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8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11" pivotButton="0" quotePrefix="0" xfId="0"/>
  </cellXfs>
  <cellStyles count="10">
    <cellStyle name="Normal" xfId="0" builtinId="0"/>
    <cellStyle name="20% - Accent1 2" xfId="1"/>
    <cellStyle name="20% - Accent1 2 2" xfId="2"/>
    <cellStyle name="Hyperlink 2" xfId="3"/>
    <cellStyle name="Hyperlink 3" xfId="4"/>
    <cellStyle name="Normal 2" xfId="5"/>
    <cellStyle name="Normal 2 2" xfId="6"/>
    <cellStyle name="Normal 3" xfId="7"/>
    <cellStyle name="Normal 3 2" xfId="8"/>
    <cellStyle name="Percent 2" xfId="9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E5E5E"/>
      <rgbColor rgb="FF800080"/>
      <rgbColor rgb="FF0563C1"/>
      <rgbColor rgb="FFD9E1F2"/>
      <rgbColor rgb="FF7F7F7F"/>
      <rgbColor rgb="FF5B9BD5"/>
      <rgbColor rgb="FF993366"/>
      <rgbColor rgb="FFFFF9E6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F7"/>
      <rgbColor rgb="FFDAE3F3"/>
      <rgbColor rgb="FFFFF2CC"/>
      <rgbColor rgb="FF99CCFF"/>
      <rgbColor rgb="FFFF99CC"/>
      <rgbColor rgb="FFCC99FF"/>
      <rgbColor rgb="FFF2F2F2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121D47"/>
      <rgbColor rgb="FF1F1F1F"/>
      <rgbColor rgb="FF993300"/>
      <rgbColor rgb="FF993366"/>
      <rgbColor rgb="FF1F4E78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mailto:benas.bruzg@gmail.com" TargetMode="External" Id="rId1" /><Relationship Type="http://schemas.openxmlformats.org/officeDocument/2006/relationships/hyperlink" Target="mailto:vytautas.podrezas@gmail.com" TargetMode="External" Id="rId2" /><Relationship Type="http://schemas.openxmlformats.org/officeDocument/2006/relationships/hyperlink" Target="mailto:fillup@mail.ru" TargetMode="External" Id="rId3" /><Relationship Type="http://schemas.openxmlformats.org/officeDocument/2006/relationships/hyperlink" Target="mailto:mindaugas.cizauskas@svyturys.lt" TargetMode="External" Id="rId4" /><Relationship Type="http://schemas.openxmlformats.org/officeDocument/2006/relationships/hyperlink" Target="mailto:renata.baublyte@gmail.com" TargetMode="External" Id="rId5" /><Relationship Type="http://schemas.openxmlformats.org/officeDocument/2006/relationships/hyperlink" Target="mailto:dovile.smetone@svyturys.lt" TargetMode="External" Id="rId6" /><Relationship Type="http://schemas.openxmlformats.org/officeDocument/2006/relationships/hyperlink" Target="mailto:a.cizauskas@gmail.com" TargetMode="External" Id="rId7" /><Relationship Type="http://schemas.openxmlformats.org/officeDocument/2006/relationships/hyperlink" Target="mailto:arnas.pocius@gmail.com" TargetMode="External" Id="rId8" /><Relationship Type="http://schemas.openxmlformats.org/officeDocument/2006/relationships/hyperlink" Target="mailto:Enrico.Ancarola@carlsberg.it;" TargetMode="External" Id="rId9" /><Relationship Type="http://schemas.openxmlformats.org/officeDocument/2006/relationships/hyperlink" Target="mailto:Donatas.Keras@gjensidige.lt" TargetMode="External" Id="rId10" /><Relationship Type="http://schemas.openxmlformats.org/officeDocument/2006/relationships/hyperlink" Target="mailto:simas.design@gmail.com" TargetMode="External" Id="rId11" /><Relationship Type="http://schemas.openxmlformats.org/officeDocument/2006/relationships/hyperlink" Target="mailto:vaidas.pazusys@svyturys.lt" TargetMode="External" Id="rId12" /><Relationship Type="http://schemas.openxmlformats.org/officeDocument/2006/relationships/hyperlink" Target="mailto:pijusjalo@gmail.com" TargetMode="External" Id="rId13" /><Relationship Type="http://schemas.openxmlformats.org/officeDocument/2006/relationships/hyperlink" Target="mailto:benediktas.babraitis@gmail.com" TargetMode="External" Id="rId14" /><Relationship Type="http://schemas.openxmlformats.org/officeDocument/2006/relationships/hyperlink" Target="mailto:sigitas.sarauskis@gmail.com" TargetMode="External" Id="rId15" /><Relationship Type="http://schemas.openxmlformats.org/officeDocument/2006/relationships/hyperlink" Target="mailto:kusleikajokubas@gmail.com" TargetMode="External" Id="rId16" /><Relationship Type="http://schemas.openxmlformats.org/officeDocument/2006/relationships/hyperlink" Target="mailto:saras.oleknavicius@gmail.com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01"/>
  <sheetViews>
    <sheetView showGridLines="0" tabSelected="1" zoomScale="99" zoomScaleNormal="99" workbookViewId="0">
      <pane ySplit="4" topLeftCell="A5" activePane="bottomLeft" state="frozen"/>
      <selection pane="bottomLeft" activeCell="D5" sqref="D5"/>
    </sheetView>
  </sheetViews>
  <sheetFormatPr baseColWidth="8" defaultColWidth="11.3984375" defaultRowHeight="13"/>
  <cols>
    <col width="6.3984375" customWidth="1" min="1" max="1"/>
    <col width="7.59765625" customWidth="1" min="2" max="2"/>
    <col width="16" customWidth="1" min="3" max="3"/>
    <col width="8.3984375" customWidth="1" min="4" max="4"/>
    <col width="26" customWidth="1" min="5" max="5"/>
    <col width="6.3984375" customWidth="1" min="6" max="7"/>
    <col width="26" customWidth="1" min="8" max="8"/>
    <col width="6.3984375" customWidth="1" min="9" max="9"/>
    <col width="1.59765625" customWidth="1" min="10" max="10"/>
    <col width="24" customWidth="1" min="11" max="11"/>
    <col width="6" customWidth="1" min="12" max="13"/>
    <col width="8.3984375" customWidth="1" min="14" max="14"/>
    <col width="6" customWidth="1" min="15" max="15"/>
    <col width="7.59765625" customWidth="1" min="17" max="18"/>
    <col width="28" customWidth="1" min="19" max="19"/>
    <col width="10.19921875" customWidth="1" min="20" max="22"/>
    <col width="28" customWidth="1" min="23" max="23"/>
    <col width="10.19921875" customWidth="1" min="24" max="26"/>
    <col width="28" customWidth="1" min="27" max="27"/>
    <col width="10.19921875" customWidth="1" min="28" max="30"/>
    <col width="28" customWidth="1" min="31" max="31"/>
    <col width="10.19921875" customWidth="1" min="32" max="34"/>
    <col width="30" customWidth="1" min="35" max="35"/>
    <col width="10.19921875" customWidth="1" min="36" max="38"/>
    <col hidden="1" width="12.59765625" customWidth="1" min="39" max="73"/>
  </cols>
  <sheetData>
    <row r="1" ht="49.5" customHeight="1">
      <c r="A1" s="149" t="inlineStr">
        <is>
          <t>FIFA WORLD CUP 2026</t>
        </is>
      </c>
    </row>
    <row r="2" ht="12.75" customHeight="1">
      <c r="A2" s="150">
        <f>"Times shown in GMT" &amp; IF(GmtOffset=0,"",IF(GmtOffset&gt;0," + "&amp;GmtOffset&amp;"h"," "&amp;GmtOffset&amp;"h"))</f>
        <v/>
      </c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</row>
    <row r="3" ht="27.75" customHeight="1">
      <c r="A3" s="151" t="inlineStr">
        <is>
          <t>Group Stage</t>
        </is>
      </c>
      <c r="R3" s="4" t="n"/>
      <c r="S3" s="152" t="inlineStr">
        <is>
          <t>Round of 32</t>
        </is>
      </c>
      <c r="W3" s="152" t="inlineStr">
        <is>
          <t>Round of 16</t>
        </is>
      </c>
      <c r="AA3" s="152" t="inlineStr">
        <is>
          <t>Quarterfinals</t>
        </is>
      </c>
      <c r="AE3" s="152" t="inlineStr">
        <is>
          <t>Semifinals</t>
        </is>
      </c>
      <c r="AI3" s="152" t="inlineStr">
        <is>
          <t>Final</t>
        </is>
      </c>
      <c r="AM3" s="3" t="n"/>
      <c r="AN3" s="3" t="n"/>
    </row>
    <row r="4" ht="27.75" customHeight="1">
      <c r="R4" s="4" t="n"/>
      <c r="S4" s="152" t="inlineStr">
        <is>
          <t>Team</t>
        </is>
      </c>
      <c r="T4" s="152" t="inlineStr">
        <is>
          <t>Score</t>
        </is>
      </c>
      <c r="U4" s="152" t="inlineStr">
        <is>
          <t>ET</t>
        </is>
      </c>
      <c r="V4" s="152" t="inlineStr">
        <is>
          <t>PEN</t>
        </is>
      </c>
      <c r="W4" s="152" t="inlineStr">
        <is>
          <t>Team</t>
        </is>
      </c>
      <c r="X4" s="152" t="inlineStr">
        <is>
          <t>Score</t>
        </is>
      </c>
      <c r="Y4" s="152" t="inlineStr">
        <is>
          <t>ET</t>
        </is>
      </c>
      <c r="Z4" s="152" t="inlineStr">
        <is>
          <t>PEN</t>
        </is>
      </c>
      <c r="AA4" s="152" t="inlineStr">
        <is>
          <t>Team</t>
        </is>
      </c>
      <c r="AB4" s="152" t="inlineStr">
        <is>
          <t>Score</t>
        </is>
      </c>
      <c r="AC4" s="152" t="inlineStr">
        <is>
          <t>ET</t>
        </is>
      </c>
      <c r="AD4" s="152" t="inlineStr">
        <is>
          <t>PEN</t>
        </is>
      </c>
      <c r="AE4" s="152" t="inlineStr">
        <is>
          <t>Team</t>
        </is>
      </c>
      <c r="AF4" s="152" t="inlineStr">
        <is>
          <t>Score</t>
        </is>
      </c>
      <c r="AG4" s="152" t="inlineStr">
        <is>
          <t>ET</t>
        </is>
      </c>
      <c r="AH4" s="152" t="inlineStr">
        <is>
          <t>PEN</t>
        </is>
      </c>
      <c r="AI4" s="152" t="inlineStr">
        <is>
          <t>Team</t>
        </is>
      </c>
      <c r="AJ4" s="152" t="inlineStr">
        <is>
          <t>Score</t>
        </is>
      </c>
      <c r="AK4" s="152" t="inlineStr">
        <is>
          <t>ET</t>
        </is>
      </c>
      <c r="AL4" s="152" t="inlineStr">
        <is>
          <t>PEN</t>
        </is>
      </c>
      <c r="AM4" s="3" t="n"/>
      <c r="AN4" s="3" t="n"/>
    </row>
    <row r="5" ht="12.75" customHeight="1">
      <c r="A5" s="5" t="n">
        <v>1</v>
      </c>
      <c r="B5" s="5">
        <f>TEXT((46184)+(15+4+GmtOffset)/24,"ddd")</f>
        <v/>
      </c>
      <c r="C5" s="5">
        <f>TEXT((46184)+(15+4+GmtOffset)/24,"mmm d, yyyy")</f>
        <v/>
      </c>
      <c r="D5" s="5">
        <f>TEXT((46184)+(15+4+GmtOffset)/24,"h:mm")</f>
        <v/>
      </c>
      <c r="E5" s="6" t="inlineStr">
        <is>
          <t>Mexico</t>
        </is>
      </c>
      <c r="F5" s="7" t="n">
        <v>2</v>
      </c>
      <c r="G5" s="7" t="n">
        <v>0</v>
      </c>
      <c r="H5" s="8" t="inlineStr">
        <is>
          <t>South Africa</t>
        </is>
      </c>
      <c r="I5" s="5" t="inlineStr">
        <is>
          <t>A</t>
        </is>
      </c>
      <c r="J5" s="3" t="n"/>
      <c r="K5" s="145" t="inlineStr">
        <is>
          <t>Group A</t>
        </is>
      </c>
      <c r="L5" s="159" t="n"/>
      <c r="M5" s="159" t="n"/>
      <c r="N5" s="159" t="n"/>
      <c r="O5" s="159" t="n"/>
      <c r="P5" s="159" t="n"/>
      <c r="Q5" s="159" t="n"/>
      <c r="S5" s="9">
        <f>IF((COUNTIF($F$5:$G$76,"&gt;=0")=144),IFERROR(INDEX($AP$81:$AP$92,1),"Runner-up A"),"Runner-up A")</f>
        <v/>
      </c>
      <c r="T5" s="10" t="n"/>
      <c r="U5" s="10" t="n"/>
      <c r="V5" s="10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</row>
    <row r="6" ht="12.75" customHeight="1">
      <c r="A6" s="11" t="n">
        <v>2</v>
      </c>
      <c r="B6" s="11">
        <f>TEXT((46184)+(22+4+GmtOffset)/24,"ddd")</f>
        <v/>
      </c>
      <c r="C6" s="11">
        <f>TEXT((46184)+(22+4+GmtOffset)/24,"mmm d, yyyy")</f>
        <v/>
      </c>
      <c r="D6" s="11">
        <f>TEXT((46184)+(22+4+GmtOffset)/24,"h:mm")</f>
        <v/>
      </c>
      <c r="E6" s="12" t="inlineStr">
        <is>
          <t>South Korea</t>
        </is>
      </c>
      <c r="F6" s="7" t="n">
        <v>2</v>
      </c>
      <c r="G6" s="7" t="n">
        <v>1</v>
      </c>
      <c r="H6" s="13" t="inlineStr">
        <is>
          <t>Czechia</t>
        </is>
      </c>
      <c r="I6" s="11" t="inlineStr">
        <is>
          <t>A</t>
        </is>
      </c>
      <c r="J6" s="3" t="n"/>
      <c r="K6" s="14" t="n"/>
      <c r="L6" s="14" t="inlineStr">
        <is>
          <t>PL</t>
        </is>
      </c>
      <c r="M6" s="14" t="inlineStr">
        <is>
          <t>W</t>
        </is>
      </c>
      <c r="N6" s="14" t="inlineStr">
        <is>
          <t>D</t>
        </is>
      </c>
      <c r="O6" s="14" t="inlineStr">
        <is>
          <t>L</t>
        </is>
      </c>
      <c r="P6" s="14" t="inlineStr">
        <is>
          <t>GF - GA</t>
        </is>
      </c>
      <c r="Q6" s="14" t="inlineStr">
        <is>
          <t>P</t>
        </is>
      </c>
      <c r="S6" s="15">
        <f>IF((COUNTIF($F$5:$G$76,"&gt;=0")=144),IFERROR(INDEX($AP$81:$AP$92,2),"Runner-up B"),"Runner-up B")</f>
        <v/>
      </c>
      <c r="T6" s="16" t="n"/>
      <c r="U6" s="16" t="n"/>
      <c r="V6" s="16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BD6" t="inlineStr">
        <is>
          <t>Mexico</t>
        </is>
      </c>
      <c r="BE6">
        <f t="array" ref="BE6">SUMPRODUCT((((E5:E10=BD6)+(H5:H10=BD6))&gt;0)*ISNUMBER(F5:F10)*ISNUMBER(G5:G10))</f>
        <v/>
      </c>
      <c r="BF6">
        <f t="array" ref="BF6">SUMPRODUCT((E5:E10=BD6)*ISNUMBER(F5:F10)*ISNUMBER(G5:G10)*(F5:F10&gt;G5:G10))+SUMPRODUCT((H5:H10=BD6)*ISNUMBER(F5:F10)*ISNUMBER(G5:G10)*(G5:G10&gt;F5:F10))</f>
        <v/>
      </c>
      <c r="BG6">
        <f t="array" ref="BG6">SUMPRODUCT((((E5:E10=BD6)+(H5:H10=BD6))&gt;0)*ISNUMBER(F5:F10)*ISNUMBER(G5:G10)*(F5:F10=G5:G10))</f>
        <v/>
      </c>
      <c r="BH6">
        <f>BE6-BF6-BG6</f>
        <v/>
      </c>
      <c r="BI6">
        <f t="array" ref="BI6">SUMPRODUCT((E5:E10=BD6)*IFERROR(F5:F10,0))+SUMPRODUCT((H5:H10=BD6)*IFERROR(G5:G10,0))</f>
        <v/>
      </c>
      <c r="BJ6">
        <f t="array" ref="BJ6">SUMPRODUCT((E5:E10=BD6)*IFERROR(G5:G10,0))+SUMPRODUCT((H5:H10=BD6)*IFERROR(F5:F10,0))</f>
        <v/>
      </c>
      <c r="BK6">
        <f>BF6*3+BG6</f>
        <v/>
      </c>
      <c r="BL6">
        <f>1+SUMPRODUCT(((BK$6:BK$9&gt;BK6)+(BK$6:BK$9=BK6)*(BM$6:BM$9&gt;BM6)+(BK$6:BK$9=BK6)*(BM$6:BM$9=BM6)*(BN$6:BN$9&gt;BN6)+(BK$6:BK$9=BK6)*(BM$6:BM$9=BM6)*(BN$6:BN$9=BN6)*(BO$6:BO$9&gt;BO6)+(BK$6:BK$9=BK6)*(BM$6:BM$9=BM6)*(BN$6:BN$9=BN6)*(BO$6:BO$9=BO6)*((BI$6:BI$9-BJ$6:BJ$9)&gt;(BI6-BJ6))+(BK$6:BK$9=BK6)*(BM$6:BM$9=BM6)*(BN$6:BN$9=BN6)*(BO$6:BO$9=BO6)*((BI$6:BI$9-BJ$6:BJ$9)=(BI6-BJ6))*(BI$6:BI$9&gt;BI6)+(BK$6:BK$9=BK6)*(BM$6:BM$9=BM6)*(BN$6:BN$9=BN6)*(BO$6:BO$9=BO6)*((BI$6:BI$9-BJ$6:BJ$9)=(BI6-BJ6))*(BI$6:BI$9=BI6)*(ROW(BK$6:BK$9)&lt;ROW(BK6)))*1)</f>
        <v/>
      </c>
      <c r="BM6">
        <f t="array" ref="BM6">SUMPRODUCT((E$5:E$10=BD6)*ISNUMBER(F$5:F$10)*ISNUMBER(G$5:G$10)*COUNTIFS(BD$6:BD$9,H$5:H$10,BK$6:BK$9,BK6)*((F$5:F$10&gt;G$5:G$10)*3+(F$5:F$10=G$5:G$10)))+SUMPRODUCT((H$5:H$10=BD6)*ISNUMBER(F$5:F$10)*ISNUMBER(G$5:G$10)*COUNTIFS(BD$6:BD$9,E$5:E$10,BK$6:BK$9,BK6)*((G$5:G$10&gt;F$5:F$10)*3+(F$5:F$10=G$5:G$10)))</f>
        <v/>
      </c>
      <c r="BN6">
        <f t="array" ref="BN6">SUMPRODUCT((E$5:E$10=BD6)*ISNUMBER(F$5:F$10)*ISNUMBER(G$5:G$10)*COUNTIFS(BD$6:BD$9,H$5:H$10,BK$6:BK$9,BK6)*(F$5:F$10-G$5:G$10))+SUMPRODUCT((H$5:H$10=BD6)*ISNUMBER(F$5:F$10)*ISNUMBER(G$5:G$10)*COUNTIFS(BD$6:BD$9,E$5:E$10,BK$6:BK$9,BK6)*(G$5:G$10-F$5:F$10))</f>
        <v/>
      </c>
      <c r="BO6">
        <f t="array" ref="BO6">SUMPRODUCT((E$5:E$10=BD6)*ISNUMBER(F$5:F$10)*ISNUMBER(G$5:G$10)*COUNTIFS(BD$6:BD$9,H$5:H$10,BK$6:BK$9,BK6)*F$5:F$10)+SUMPRODUCT((H$5:H$10=BD6)*ISNUMBER(F$5:F$10)*ISNUMBER(G$5:G$10)*COUNTIFS(BD$6:BD$9,E$5:E$10,BK$6:BK$9,BK6)*G$5:G$10)</f>
        <v/>
      </c>
    </row>
    <row r="7" ht="12.75" customHeight="1">
      <c r="A7" s="11" t="n">
        <v>3</v>
      </c>
      <c r="B7" s="11">
        <f>TEXT((46191)+(21+4+GmtOffset)/24,"ddd")</f>
        <v/>
      </c>
      <c r="C7" s="11">
        <f>TEXT((46191)+(21+4+GmtOffset)/24,"mmm d, yyyy")</f>
        <v/>
      </c>
      <c r="D7" s="11">
        <f>TEXT((46191)+(21+4+GmtOffset)/24,"h:mm")</f>
        <v/>
      </c>
      <c r="E7" s="12" t="inlineStr">
        <is>
          <t>Mexico</t>
        </is>
      </c>
      <c r="F7" s="7" t="n"/>
      <c r="G7" s="7" t="n"/>
      <c r="H7" s="13" t="inlineStr">
        <is>
          <t>South Korea</t>
        </is>
      </c>
      <c r="I7" s="11" t="inlineStr">
        <is>
          <t>A</t>
        </is>
      </c>
      <c r="J7" s="3" t="n"/>
      <c r="K7" s="13">
        <f>INDEX(BD6:BD9,MATCH(1,BL6:BL9,0))</f>
        <v/>
      </c>
      <c r="L7" s="11">
        <f>INDEX(BE6:BE9,MATCH(1,BL6:BL9,0))</f>
        <v/>
      </c>
      <c r="M7" s="11">
        <f>INDEX(BF6:BF9,MATCH(1,BL6:BL9,0))</f>
        <v/>
      </c>
      <c r="N7" s="11">
        <f>INDEX(BG6:BG9,MATCH(1,BL6:BL9,0))</f>
        <v/>
      </c>
      <c r="O7" s="11">
        <f>INDEX(BH6:BH9,MATCH(1,BL6:BL9,0))</f>
        <v/>
      </c>
      <c r="P7" s="11">
        <f>INDEX(BI6:BI9,MATCH(1,BL6:BL9,0))&amp;" - "&amp;INDEX(BJ6:BJ9,MATCH(1,BL6:BL9,0))</f>
        <v/>
      </c>
      <c r="Q7" s="14">
        <f>INDEX(BK6:BK9,MATCH(1,BL6:BL9,0))</f>
        <v/>
      </c>
      <c r="S7" s="3" t="n"/>
      <c r="T7" s="3" t="n"/>
      <c r="U7" s="3" t="n"/>
      <c r="V7" s="3" t="n"/>
      <c r="W7" s="9">
        <f>IF(AND(ISNUMBER(T9),ISNUMBER(T10)),IF(T9&gt;T10,S9,IF(T10&gt;T9,S10,IF(NOT(AND(ISNUMBER(U9),ISNUMBER(U10))),"",IF(U9&gt;U10,S9,IF(U10&gt;U9,S10,IF(NOT(AND(ISNUMBER(V9),ISNUMBER(V10))),"",IF(V9&gt;V10,S9,IF(V10&gt;V9,S10,"")))))))),"W74")</f>
        <v/>
      </c>
      <c r="X7" s="10" t="n"/>
      <c r="Y7" s="10" t="n"/>
      <c r="Z7" s="10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BD7" t="inlineStr">
        <is>
          <t>South Africa</t>
        </is>
      </c>
      <c r="BE7">
        <f t="array" ref="BE7">SUMPRODUCT((((E5:E10=BD7)+(H5:H10=BD7))&gt;0)*ISNUMBER(F5:F10)*ISNUMBER(G5:G10))</f>
        <v/>
      </c>
      <c r="BF7">
        <f t="array" ref="BF7">SUMPRODUCT((E5:E10=BD7)*ISNUMBER(F5:F10)*ISNUMBER(G5:G10)*(F5:F10&gt;G5:G10))+SUMPRODUCT((H5:H10=BD7)*ISNUMBER(F5:F10)*ISNUMBER(G5:G10)*(G5:G10&gt;F5:F10))</f>
        <v/>
      </c>
      <c r="BG7">
        <f t="array" ref="BG7">SUMPRODUCT((((E5:E10=BD7)+(H5:H10=BD7))&gt;0)*ISNUMBER(F5:F10)*ISNUMBER(G5:G10)*(F5:F10=G5:G10))</f>
        <v/>
      </c>
      <c r="BH7">
        <f>BE7-BF7-BG7</f>
        <v/>
      </c>
      <c r="BI7">
        <f t="array" ref="BI7">SUMPRODUCT((E5:E10=BD7)*IFERROR(F5:F10,0))+SUMPRODUCT((H5:H10=BD7)*IFERROR(G5:G10,0))</f>
        <v/>
      </c>
      <c r="BJ7">
        <f t="array" ref="BJ7">SUMPRODUCT((E5:E10=BD7)*IFERROR(G5:G10,0))+SUMPRODUCT((H5:H10=BD7)*IFERROR(F5:F10,0))</f>
        <v/>
      </c>
      <c r="BK7">
        <f>BF7*3+BG7</f>
        <v/>
      </c>
      <c r="BL7">
        <f>1+SUMPRODUCT(((BK$6:BK$9&gt;BK7)+(BK$6:BK$9=BK7)*(BM$6:BM$9&gt;BM7)+(BK$6:BK$9=BK7)*(BM$6:BM$9=BM7)*(BN$6:BN$9&gt;BN7)+(BK$6:BK$9=BK7)*(BM$6:BM$9=BM7)*(BN$6:BN$9=BN7)*(BO$6:BO$9&gt;BO7)+(BK$6:BK$9=BK7)*(BM$6:BM$9=BM7)*(BN$6:BN$9=BN7)*(BO$6:BO$9=BO7)*((BI$6:BI$9-BJ$6:BJ$9)&gt;(BI7-BJ7))+(BK$6:BK$9=BK7)*(BM$6:BM$9=BM7)*(BN$6:BN$9=BN7)*(BO$6:BO$9=BO7)*((BI$6:BI$9-BJ$6:BJ$9)=(BI7-BJ7))*(BI$6:BI$9&gt;BI7)+(BK$6:BK$9=BK7)*(BM$6:BM$9=BM7)*(BN$6:BN$9=BN7)*(BO$6:BO$9=BO7)*((BI$6:BI$9-BJ$6:BJ$9)=(BI7-BJ7))*(BI$6:BI$9=BI7)*(ROW(BK$6:BK$9)&lt;ROW(BK7)))*1)</f>
        <v/>
      </c>
      <c r="BM7">
        <f t="array" ref="BM7">SUMPRODUCT((E$5:E$10=BD7)*ISNUMBER(F$5:F$10)*ISNUMBER(G$5:G$10)*COUNTIFS(BD$6:BD$9,H$5:H$10,BK$6:BK$9,BK7)*((F$5:F$10&gt;G$5:G$10)*3+(F$5:F$10=G$5:G$10)))+SUMPRODUCT((H$5:H$10=BD7)*ISNUMBER(F$5:F$10)*ISNUMBER(G$5:G$10)*COUNTIFS(BD$6:BD$9,E$5:E$10,BK$6:BK$9,BK7)*((G$5:G$10&gt;F$5:F$10)*3+(F$5:F$10=G$5:G$10)))</f>
        <v/>
      </c>
      <c r="BN7">
        <f t="array" ref="BN7">SUMPRODUCT((E$5:E$10=BD7)*ISNUMBER(F$5:F$10)*ISNUMBER(G$5:G$10)*COUNTIFS(BD$6:BD$9,H$5:H$10,BK$6:BK$9,BK7)*(F$5:F$10-G$5:G$10))+SUMPRODUCT((H$5:H$10=BD7)*ISNUMBER(F$5:F$10)*ISNUMBER(G$5:G$10)*COUNTIFS(BD$6:BD$9,E$5:E$10,BK$6:BK$9,BK7)*(G$5:G$10-F$5:F$10))</f>
        <v/>
      </c>
      <c r="BO7">
        <f t="array" ref="BO7">SUMPRODUCT((E$5:E$10=BD7)*ISNUMBER(F$5:F$10)*ISNUMBER(G$5:G$10)*COUNTIFS(BD$6:BD$9,H$5:H$10,BK$6:BK$9,BK7)*F$5:F$10)+SUMPRODUCT((H$5:H$10=BD7)*ISNUMBER(F$5:F$10)*ISNUMBER(G$5:G$10)*COUNTIFS(BD$6:BD$9,E$5:E$10,BK$6:BK$9,BK7)*G$5:G$10)</f>
        <v/>
      </c>
    </row>
    <row r="8" ht="12.75" customHeight="1">
      <c r="A8" s="11" t="n">
        <v>4</v>
      </c>
      <c r="B8" s="11">
        <f>TEXT((46191)+(12+4+GmtOffset)/24,"ddd")</f>
        <v/>
      </c>
      <c r="C8" s="11">
        <f>TEXT((46191)+(12+4+GmtOffset)/24,"mmm d, yyyy")</f>
        <v/>
      </c>
      <c r="D8" s="11">
        <f>TEXT((46191)+(12+4+GmtOffset)/24,"h:mm")</f>
        <v/>
      </c>
      <c r="E8" s="12" t="inlineStr">
        <is>
          <t>Czechia</t>
        </is>
      </c>
      <c r="F8" s="7" t="n"/>
      <c r="G8" s="7" t="n"/>
      <c r="H8" s="13" t="inlineStr">
        <is>
          <t>South Africa</t>
        </is>
      </c>
      <c r="I8" s="11" t="inlineStr">
        <is>
          <t>A</t>
        </is>
      </c>
      <c r="J8" s="3" t="n"/>
      <c r="K8" s="13">
        <f>INDEX(BD6:BD9,MATCH(2,BL6:BL9,0))</f>
        <v/>
      </c>
      <c r="L8" s="11">
        <f>INDEX(BE6:BE9,MATCH(2,BL6:BL9,0))</f>
        <v/>
      </c>
      <c r="M8" s="11">
        <f>INDEX(BF6:BF9,MATCH(2,BL6:BL9,0))</f>
        <v/>
      </c>
      <c r="N8" s="11">
        <f>INDEX(BG6:BG9,MATCH(2,BL6:BL9,0))</f>
        <v/>
      </c>
      <c r="O8" s="11">
        <f>INDEX(BH6:BH9,MATCH(2,BL6:BL9,0))</f>
        <v/>
      </c>
      <c r="P8" s="11">
        <f>INDEX(BI6:BI9,MATCH(2,BL6:BL9,0))&amp;" - "&amp;INDEX(BJ6:BJ9,MATCH(2,BL6:BL9,0))</f>
        <v/>
      </c>
      <c r="Q8" s="14">
        <f>INDEX(BK6:BK9,MATCH(2,BL6:BL9,0))</f>
        <v/>
      </c>
      <c r="S8" s="3" t="n"/>
      <c r="T8" s="3" t="n"/>
      <c r="U8" s="3" t="n"/>
      <c r="V8" s="3" t="n"/>
      <c r="W8" s="15">
        <f>IF(AND(ISNUMBER(T21),ISNUMBER(T22)),IF(T21&gt;T22,S21,IF(T22&gt;T21,S22,IF(NOT(AND(ISNUMBER(U21),ISNUMBER(U22))),"",IF(U21&gt;U22,S21,IF(U22&gt;U21,S22,IF(NOT(AND(ISNUMBER(V21),ISNUMBER(V22))),"",IF(V21&gt;V22,S21,IF(V22&gt;V21,S22,"")))))))),"W77")</f>
        <v/>
      </c>
      <c r="X8" s="16" t="n"/>
      <c r="Y8" s="16" t="n"/>
      <c r="Z8" s="16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BD8" t="inlineStr">
        <is>
          <t>South Korea</t>
        </is>
      </c>
      <c r="BE8">
        <f t="array" ref="BE8">SUMPRODUCT((((E5:E10=BD8)+(H5:H10=BD8))&gt;0)*ISNUMBER(F5:F10)*ISNUMBER(G5:G10))</f>
        <v/>
      </c>
      <c r="BF8">
        <f t="array" ref="BF8">SUMPRODUCT((E5:E10=BD8)*ISNUMBER(F5:F10)*ISNUMBER(G5:G10)*(F5:F10&gt;G5:G10))+SUMPRODUCT((H5:H10=BD8)*ISNUMBER(F5:F10)*ISNUMBER(G5:G10)*(G5:G10&gt;F5:F10))</f>
        <v/>
      </c>
      <c r="BG8">
        <f t="array" ref="BG8">SUMPRODUCT((((E5:E10=BD8)+(H5:H10=BD8))&gt;0)*ISNUMBER(F5:F10)*ISNUMBER(G5:G10)*(F5:F10=G5:G10))</f>
        <v/>
      </c>
      <c r="BH8">
        <f>BE8-BF8-BG8</f>
        <v/>
      </c>
      <c r="BI8">
        <f t="array" ref="BI8">SUMPRODUCT((E5:E10=BD8)*IFERROR(F5:F10,0))+SUMPRODUCT((H5:H10=BD8)*IFERROR(G5:G10,0))</f>
        <v/>
      </c>
      <c r="BJ8">
        <f t="array" ref="BJ8">SUMPRODUCT((E5:E10=BD8)*IFERROR(G5:G10,0))+SUMPRODUCT((H5:H10=BD8)*IFERROR(F5:F10,0))</f>
        <v/>
      </c>
      <c r="BK8">
        <f>BF8*3+BG8</f>
        <v/>
      </c>
      <c r="BL8">
        <f>1+SUMPRODUCT(((BK$6:BK$9&gt;BK8)+(BK$6:BK$9=BK8)*(BM$6:BM$9&gt;BM8)+(BK$6:BK$9=BK8)*(BM$6:BM$9=BM8)*(BN$6:BN$9&gt;BN8)+(BK$6:BK$9=BK8)*(BM$6:BM$9=BM8)*(BN$6:BN$9=BN8)*(BO$6:BO$9&gt;BO8)+(BK$6:BK$9=BK8)*(BM$6:BM$9=BM8)*(BN$6:BN$9=BN8)*(BO$6:BO$9=BO8)*((BI$6:BI$9-BJ$6:BJ$9)&gt;(BI8-BJ8))+(BK$6:BK$9=BK8)*(BM$6:BM$9=BM8)*(BN$6:BN$9=BN8)*(BO$6:BO$9=BO8)*((BI$6:BI$9-BJ$6:BJ$9)=(BI8-BJ8))*(BI$6:BI$9&gt;BI8)+(BK$6:BK$9=BK8)*(BM$6:BM$9=BM8)*(BN$6:BN$9=BN8)*(BO$6:BO$9=BO8)*((BI$6:BI$9-BJ$6:BJ$9)=(BI8-BJ8))*(BI$6:BI$9=BI8)*(ROW(BK$6:BK$9)&lt;ROW(BK8)))*1)</f>
        <v/>
      </c>
      <c r="BM8">
        <f t="array" ref="BM8">SUMPRODUCT((E$5:E$10=BD8)*ISNUMBER(F$5:F$10)*ISNUMBER(G$5:G$10)*COUNTIFS(BD$6:BD$9,H$5:H$10,BK$6:BK$9,BK8)*((F$5:F$10&gt;G$5:G$10)*3+(F$5:F$10=G$5:G$10)))+SUMPRODUCT((H$5:H$10=BD8)*ISNUMBER(F$5:F$10)*ISNUMBER(G$5:G$10)*COUNTIFS(BD$6:BD$9,E$5:E$10,BK$6:BK$9,BK8)*((G$5:G$10&gt;F$5:F$10)*3+(F$5:F$10=G$5:G$10)))</f>
        <v/>
      </c>
      <c r="BN8">
        <f t="array" ref="BN8">SUMPRODUCT((E$5:E$10=BD8)*ISNUMBER(F$5:F$10)*ISNUMBER(G$5:G$10)*COUNTIFS(BD$6:BD$9,H$5:H$10,BK$6:BK$9,BK8)*(F$5:F$10-G$5:G$10))+SUMPRODUCT((H$5:H$10=BD8)*ISNUMBER(F$5:F$10)*ISNUMBER(G$5:G$10)*COUNTIFS(BD$6:BD$9,E$5:E$10,BK$6:BK$9,BK8)*(G$5:G$10-F$5:F$10))</f>
        <v/>
      </c>
      <c r="BO8">
        <f t="array" ref="BO8">SUMPRODUCT((E$5:E$10=BD8)*ISNUMBER(F$5:F$10)*ISNUMBER(G$5:G$10)*COUNTIFS(BD$6:BD$9,H$5:H$10,BK$6:BK$9,BK8)*F$5:F$10)+SUMPRODUCT((H$5:H$10=BD8)*ISNUMBER(F$5:F$10)*ISNUMBER(G$5:G$10)*COUNTIFS(BD$6:BD$9,E$5:E$10,BK$6:BK$9,BK8)*G$5:G$10)</f>
        <v/>
      </c>
    </row>
    <row r="9" ht="12.75" customHeight="1">
      <c r="A9" s="11" t="n">
        <v>5</v>
      </c>
      <c r="B9" s="11">
        <f>TEXT((46197)+(21+4+GmtOffset)/24,"ddd")</f>
        <v/>
      </c>
      <c r="C9" s="11">
        <f>TEXT((46197)+(21+4+GmtOffset)/24,"mmm d, yyyy")</f>
        <v/>
      </c>
      <c r="D9" s="11">
        <f>TEXT((46197)+(21+4+GmtOffset)/24,"h:mm")</f>
        <v/>
      </c>
      <c r="E9" s="12" t="inlineStr">
        <is>
          <t>Czechia</t>
        </is>
      </c>
      <c r="F9" s="7" t="n"/>
      <c r="G9" s="7" t="n"/>
      <c r="H9" s="13" t="inlineStr">
        <is>
          <t>Mexico</t>
        </is>
      </c>
      <c r="I9" s="11" t="inlineStr">
        <is>
          <t>A</t>
        </is>
      </c>
      <c r="J9" s="3" t="n"/>
      <c r="K9" s="13">
        <f>INDEX(BD6:BD9,MATCH(3,BL6:BL9,0))</f>
        <v/>
      </c>
      <c r="L9" s="11">
        <f>INDEX(BE6:BE9,MATCH(3,BL6:BL9,0))</f>
        <v/>
      </c>
      <c r="M9" s="11">
        <f>INDEX(BF6:BF9,MATCH(3,BL6:BL9,0))</f>
        <v/>
      </c>
      <c r="N9" s="11">
        <f>INDEX(BG6:BG9,MATCH(3,BL6:BL9,0))</f>
        <v/>
      </c>
      <c r="O9" s="11">
        <f>INDEX(BH6:BH9,MATCH(3,BL6:BL9,0))</f>
        <v/>
      </c>
      <c r="P9" s="11">
        <f>INDEX(BI6:BI9,MATCH(3,BL6:BL9,0))&amp;" - "&amp;INDEX(BJ6:BJ9,MATCH(3,BL6:BL9,0))</f>
        <v/>
      </c>
      <c r="Q9" s="14">
        <f>INDEX(BK6:BK9,MATCH(3,BL6:BL9,0))</f>
        <v/>
      </c>
      <c r="S9" s="9">
        <f>IF((COUNTIF($F$5:$G$76,"&gt;=0")=144),IFERROR(INDEX($AO$81:$AO$92,5),"Winner E"),"Winner E")</f>
        <v/>
      </c>
      <c r="T9" s="10" t="n"/>
      <c r="U9" s="10" t="n"/>
      <c r="V9" s="10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BD9" t="inlineStr">
        <is>
          <t>Czechia</t>
        </is>
      </c>
      <c r="BE9">
        <f t="array" ref="BE9">SUMPRODUCT((((E5:E10=BD9)+(H5:H10=BD9))&gt;0)*ISNUMBER(F5:F10)*ISNUMBER(G5:G10))</f>
        <v/>
      </c>
      <c r="BF9">
        <f t="array" ref="BF9">SUMPRODUCT((E5:E10=BD9)*ISNUMBER(F5:F10)*ISNUMBER(G5:G10)*(F5:F10&gt;G5:G10))+SUMPRODUCT((H5:H10=BD9)*ISNUMBER(F5:F10)*ISNUMBER(G5:G10)*(G5:G10&gt;F5:F10))</f>
        <v/>
      </c>
      <c r="BG9">
        <f t="array" ref="BG9">SUMPRODUCT((((E5:E10=BD9)+(H5:H10=BD9))&gt;0)*ISNUMBER(F5:F10)*ISNUMBER(G5:G10)*(F5:F10=G5:G10))</f>
        <v/>
      </c>
      <c r="BH9">
        <f>BE9-BF9-BG9</f>
        <v/>
      </c>
      <c r="BI9">
        <f t="array" ref="BI9">SUMPRODUCT((E5:E10=BD9)*IFERROR(F5:F10,0))+SUMPRODUCT((H5:H10=BD9)*IFERROR(G5:G10,0))</f>
        <v/>
      </c>
      <c r="BJ9">
        <f t="array" ref="BJ9">SUMPRODUCT((E5:E10=BD9)*IFERROR(G5:G10,0))+SUMPRODUCT((H5:H10=BD9)*IFERROR(F5:F10,0))</f>
        <v/>
      </c>
      <c r="BK9">
        <f>BF9*3+BG9</f>
        <v/>
      </c>
      <c r="BL9">
        <f>1+SUMPRODUCT(((BK$6:BK$9&gt;BK9)+(BK$6:BK$9=BK9)*(BM$6:BM$9&gt;BM9)+(BK$6:BK$9=BK9)*(BM$6:BM$9=BM9)*(BN$6:BN$9&gt;BN9)+(BK$6:BK$9=BK9)*(BM$6:BM$9=BM9)*(BN$6:BN$9=BN9)*(BO$6:BO$9&gt;BO9)+(BK$6:BK$9=BK9)*(BM$6:BM$9=BM9)*(BN$6:BN$9=BN9)*(BO$6:BO$9=BO9)*((BI$6:BI$9-BJ$6:BJ$9)&gt;(BI9-BJ9))+(BK$6:BK$9=BK9)*(BM$6:BM$9=BM9)*(BN$6:BN$9=BN9)*(BO$6:BO$9=BO9)*((BI$6:BI$9-BJ$6:BJ$9)=(BI9-BJ9))*(BI$6:BI$9&gt;BI9)+(BK$6:BK$9=BK9)*(BM$6:BM$9=BM9)*(BN$6:BN$9=BN9)*(BO$6:BO$9=BO9)*((BI$6:BI$9-BJ$6:BJ$9)=(BI9-BJ9))*(BI$6:BI$9=BI9)*(ROW(BK$6:BK$9)&lt;ROW(BK9)))*1)</f>
        <v/>
      </c>
      <c r="BM9">
        <f t="array" ref="BM9">SUMPRODUCT((E$5:E$10=BD9)*ISNUMBER(F$5:F$10)*ISNUMBER(G$5:G$10)*COUNTIFS(BD$6:BD$9,H$5:H$10,BK$6:BK$9,BK9)*((F$5:F$10&gt;G$5:G$10)*3+(F$5:F$10=G$5:G$10)))+SUMPRODUCT((H$5:H$10=BD9)*ISNUMBER(F$5:F$10)*ISNUMBER(G$5:G$10)*COUNTIFS(BD$6:BD$9,E$5:E$10,BK$6:BK$9,BK9)*((G$5:G$10&gt;F$5:F$10)*3+(F$5:F$10=G$5:G$10)))</f>
        <v/>
      </c>
      <c r="BN9">
        <f t="array" ref="BN9">SUMPRODUCT((E$5:E$10=BD9)*ISNUMBER(F$5:F$10)*ISNUMBER(G$5:G$10)*COUNTIFS(BD$6:BD$9,H$5:H$10,BK$6:BK$9,BK9)*(F$5:F$10-G$5:G$10))+SUMPRODUCT((H$5:H$10=BD9)*ISNUMBER(F$5:F$10)*ISNUMBER(G$5:G$10)*COUNTIFS(BD$6:BD$9,E$5:E$10,BK$6:BK$9,BK9)*(G$5:G$10-F$5:F$10))</f>
        <v/>
      </c>
      <c r="BO9">
        <f t="array" ref="BO9">SUMPRODUCT((E$5:E$10=BD9)*ISNUMBER(F$5:F$10)*ISNUMBER(G$5:G$10)*COUNTIFS(BD$6:BD$9,H$5:H$10,BK$6:BK$9,BK9)*F$5:F$10)+SUMPRODUCT((H$5:H$10=BD9)*ISNUMBER(F$5:F$10)*ISNUMBER(G$5:G$10)*COUNTIFS(BD$6:BD$9,E$5:E$10,BK$6:BK$9,BK9)*G$5:G$10)</f>
        <v/>
      </c>
    </row>
    <row r="10" ht="12.75" customHeight="1">
      <c r="A10" s="11" t="n">
        <v>6</v>
      </c>
      <c r="B10" s="11">
        <f>TEXT((46197)+(21+4+GmtOffset)/24,"ddd")</f>
        <v/>
      </c>
      <c r="C10" s="11">
        <f>TEXT((46197)+(21+4+GmtOffset)/24,"mmm d, yyyy")</f>
        <v/>
      </c>
      <c r="D10" s="11">
        <f>TEXT((46197)+(21+4+GmtOffset)/24,"h:mm")</f>
        <v/>
      </c>
      <c r="E10" s="12" t="inlineStr">
        <is>
          <t>South Africa</t>
        </is>
      </c>
      <c r="F10" s="7" t="n"/>
      <c r="G10" s="7" t="n"/>
      <c r="H10" s="13" t="inlineStr">
        <is>
          <t>South Korea</t>
        </is>
      </c>
      <c r="I10" s="11" t="inlineStr">
        <is>
          <t>A</t>
        </is>
      </c>
      <c r="J10" s="3" t="n"/>
      <c r="K10" s="17">
        <f>INDEX(BD6:BD9,MATCH(4,BL6:BL9,0))</f>
        <v/>
      </c>
      <c r="L10" s="18">
        <f>INDEX(BE6:BE9,MATCH(4,BL6:BL9,0))</f>
        <v/>
      </c>
      <c r="M10" s="18">
        <f>INDEX(BF6:BF9,MATCH(4,BL6:BL9,0))</f>
        <v/>
      </c>
      <c r="N10" s="18">
        <f>INDEX(BG6:BG9,MATCH(4,BL6:BL9,0))</f>
        <v/>
      </c>
      <c r="O10" s="18">
        <f>INDEX(BH6:BH9,MATCH(4,BL6:BL9,0))</f>
        <v/>
      </c>
      <c r="P10" s="18">
        <f>INDEX(BI6:BI9,MATCH(4,BL6:BL9,0))&amp;" - "&amp;INDEX(BJ6:BJ9,MATCH(4,BL6:BL9,0))</f>
        <v/>
      </c>
      <c r="Q10" s="19">
        <f>INDEX(BK6:BK9,MATCH(4,BL6:BL9,0))</f>
        <v/>
      </c>
      <c r="S10" s="15">
        <f>IF((COUNTIF($F$5:$G$76,"&gt;=0")=144),IFERROR(INDEX($AQ$81:$AQ$92,MATCH($BM$81,$AN$81:$AN$92,0)),"Best 3rd A/B/C/D/F"),"Best 3rd A/B/C/D/F")</f>
        <v/>
      </c>
      <c r="T10" s="16" t="n"/>
      <c r="U10" s="16" t="n"/>
      <c r="V10" s="16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</row>
    <row r="11" ht="12.75" customHeight="1">
      <c r="A11" s="11" t="n">
        <v>7</v>
      </c>
      <c r="B11" s="11">
        <f>TEXT((46185)+(15+4+GmtOffset)/24,"ddd")</f>
        <v/>
      </c>
      <c r="C11" s="11">
        <f>TEXT((46185)+(15+4+GmtOffset)/24,"mmm d, yyyy")</f>
        <v/>
      </c>
      <c r="D11" s="11">
        <f>TEXT((46185)+(15+4+GmtOffset)/24,"h:mm")</f>
        <v/>
      </c>
      <c r="E11" s="12" t="inlineStr">
        <is>
          <t>Canada</t>
        </is>
      </c>
      <c r="F11" s="7" t="n">
        <v>1</v>
      </c>
      <c r="G11" s="7" t="n">
        <v>1</v>
      </c>
      <c r="H11" s="13" t="inlineStr">
        <is>
          <t>Bosnia &amp; Herzegovina</t>
        </is>
      </c>
      <c r="I11" s="11" t="inlineStr">
        <is>
          <t>B</t>
        </is>
      </c>
      <c r="J11" s="3" t="n"/>
      <c r="K11" s="145" t="inlineStr">
        <is>
          <t>Group B</t>
        </is>
      </c>
      <c r="L11" s="20" t="n"/>
      <c r="M11" s="20" t="n"/>
      <c r="N11" s="20" t="n"/>
      <c r="O11" s="20" t="n"/>
      <c r="P11" s="20" t="n"/>
      <c r="Q11" s="20" t="n"/>
      <c r="S11" s="3" t="n"/>
      <c r="T11" s="3" t="n"/>
      <c r="U11" s="3" t="n"/>
      <c r="V11" s="3" t="n"/>
      <c r="W11" s="3" t="n"/>
      <c r="X11" s="3" t="n"/>
      <c r="Y11" s="3" t="n"/>
      <c r="Z11" s="3" t="n"/>
      <c r="AA11" s="9">
        <f>IF(AND(ISNUMBER(X7),ISNUMBER(X8)),IF(X7&gt;X8,W7,IF(X8&gt;X7,W8,IF(NOT(AND(ISNUMBER(Y7),ISNUMBER(Y8))),"",IF(Y7&gt;Y8,W7,IF(Y8&gt;Y7,W8,IF(NOT(AND(ISNUMBER(Z7),ISNUMBER(Z8))),"",IF(Z7&gt;Z8,W7,IF(Z8&gt;Z7,W8,"")))))))),"W89")</f>
        <v/>
      </c>
      <c r="AB11" s="10" t="n"/>
      <c r="AC11" s="10" t="n"/>
      <c r="AD11" s="10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</row>
    <row r="12" ht="12.75" customHeight="1">
      <c r="A12" s="11" t="n">
        <v>8</v>
      </c>
      <c r="B12" s="11">
        <f>TEXT((46186)+(15+4+GmtOffset)/24,"ddd")</f>
        <v/>
      </c>
      <c r="C12" s="11">
        <f>TEXT((46186)+(15+4+GmtOffset)/24,"mmm d, yyyy")</f>
        <v/>
      </c>
      <c r="D12" s="11">
        <f>TEXT((46186)+(15+4+GmtOffset)/24,"h:mm")</f>
        <v/>
      </c>
      <c r="E12" s="12" t="inlineStr">
        <is>
          <t>Qatar</t>
        </is>
      </c>
      <c r="F12" s="7" t="n"/>
      <c r="G12" s="7" t="n"/>
      <c r="H12" s="13" t="inlineStr">
        <is>
          <t>Switzerland</t>
        </is>
      </c>
      <c r="I12" s="11" t="inlineStr">
        <is>
          <t>B</t>
        </is>
      </c>
      <c r="J12" s="3" t="n"/>
      <c r="K12" s="14" t="n"/>
      <c r="L12" s="14" t="inlineStr">
        <is>
          <t>PL</t>
        </is>
      </c>
      <c r="M12" s="14" t="inlineStr">
        <is>
          <t>W</t>
        </is>
      </c>
      <c r="N12" s="14" t="inlineStr">
        <is>
          <t>D</t>
        </is>
      </c>
      <c r="O12" s="14" t="inlineStr">
        <is>
          <t>L</t>
        </is>
      </c>
      <c r="P12" s="14" t="inlineStr">
        <is>
          <t>GF - GA</t>
        </is>
      </c>
      <c r="Q12" s="14" t="inlineStr">
        <is>
          <t>P</t>
        </is>
      </c>
      <c r="S12" s="3" t="n"/>
      <c r="T12" s="3" t="n"/>
      <c r="U12" s="3" t="n"/>
      <c r="V12" s="3" t="n"/>
      <c r="W12" s="3" t="n"/>
      <c r="X12" s="3" t="n"/>
      <c r="Y12" s="3" t="n"/>
      <c r="Z12" s="3" t="n"/>
      <c r="AA12" s="15">
        <f>IF(AND(ISNUMBER(X15),ISNUMBER(X16)),IF(X15&gt;X16,W15,IF(X16&gt;X15,W16,IF(NOT(AND(ISNUMBER(Y15),ISNUMBER(Y16))),"",IF(Y15&gt;Y16,W15,IF(Y16&gt;Y15,W16,IF(NOT(AND(ISNUMBER(Z15),ISNUMBER(Z16))),"",IF(Z15&gt;Z16,W15,IF(Z16&gt;Z15,W16,"")))))))),"W90")</f>
        <v/>
      </c>
      <c r="AB12" s="16" t="n"/>
      <c r="AC12" s="16" t="n"/>
      <c r="AD12" s="16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BD12" t="inlineStr">
        <is>
          <t>Canada</t>
        </is>
      </c>
      <c r="BE12">
        <f t="array" ref="BE12">SUMPRODUCT((((E11:E16=BD12)+(H11:H16=BD12))&gt;0)*ISNUMBER(F11:F16)*ISNUMBER(G11:G16))</f>
        <v/>
      </c>
      <c r="BF12">
        <f t="array" ref="BF12">SUMPRODUCT((E11:E16=BD12)*ISNUMBER(F11:F16)*ISNUMBER(G11:G16)*(F11:F16&gt;G11:G16))+SUMPRODUCT((H11:H16=BD12)*ISNUMBER(F11:F16)*ISNUMBER(G11:G16)*(G11:G16&gt;F11:F16))</f>
        <v/>
      </c>
      <c r="BG12">
        <f t="array" ref="BG12">SUMPRODUCT((((E11:E16=BD12)+(H11:H16=BD12))&gt;0)*ISNUMBER(F11:F16)*ISNUMBER(G11:G16)*(F11:F16=G11:G16))</f>
        <v/>
      </c>
      <c r="BH12">
        <f>BE12-BF12-BG12</f>
        <v/>
      </c>
      <c r="BI12">
        <f t="array" ref="BI12">SUMPRODUCT((E11:E16=BD12)*IFERROR(F11:F16,0))+SUMPRODUCT((H11:H16=BD12)*IFERROR(G11:G16,0))</f>
        <v/>
      </c>
      <c r="BJ12">
        <f t="array" ref="BJ12">SUMPRODUCT((E11:E16=BD12)*IFERROR(G11:G16,0))+SUMPRODUCT((H11:H16=BD12)*IFERROR(F11:F16,0))</f>
        <v/>
      </c>
      <c r="BK12">
        <f>BF12*3+BG12</f>
        <v/>
      </c>
      <c r="BL12">
        <f>1+SUMPRODUCT(((BK$12:BK$15&gt;BK12)+(BK$12:BK$15=BK12)*(BM$12:BM$15&gt;BM12)+(BK$12:BK$15=BK12)*(BM$12:BM$15=BM12)*(BN$12:BN$15&gt;BN12)+(BK$12:BK$15=BK12)*(BM$12:BM$15=BM12)*(BN$12:BN$15=BN12)*(BO$12:BO$15&gt;BO12)+(BK$12:BK$15=BK12)*(BM$12:BM$15=BM12)*(BN$12:BN$15=BN12)*(BO$12:BO$15=BO12)*((BI$12:BI$15-BJ$12:BJ$15)&gt;(BI12-BJ12))+(BK$12:BK$15=BK12)*(BM$12:BM$15=BM12)*(BN$12:BN$15=BN12)*(BO$12:BO$15=BO12)*((BI$12:BI$15-BJ$12:BJ$15)=(BI12-BJ12))*(BI$12:BI$15&gt;BI12)+(BK$12:BK$15=BK12)*(BM$12:BM$15=BM12)*(BN$12:BN$15=BN12)*(BO$12:BO$15=BO12)*((BI$12:BI$15-BJ$12:BJ$15)=(BI12-BJ12))*(BI$12:BI$15=BI12)*(ROW(BK$12:BK$15)&lt;ROW(BK12)))*1)</f>
        <v/>
      </c>
      <c r="BM12">
        <f t="array" ref="BM12">SUMPRODUCT((E$11:E$16=BD12)*ISNUMBER(F$11:F$16)*ISNUMBER(G$11:G$16)*COUNTIFS(BD$12:BD$15,H$11:H$16,BK$12:BK$15,BK12)*((F$11:F$16&gt;G$11:G$16)*3+(F$11:F$16=G$11:G$16)))+SUMPRODUCT((H$11:H$16=BD12)*ISNUMBER(F$11:F$16)*ISNUMBER(G$11:G$16)*COUNTIFS(BD$12:BD$15,E$11:E$16,BK$12:BK$15,BK12)*((G$11:G$16&gt;F$11:F$16)*3+(F$11:F$16=G$11:G$16)))</f>
        <v/>
      </c>
      <c r="BN12">
        <f t="array" ref="BN12">SUMPRODUCT((E$11:E$16=BD12)*ISNUMBER(F$11:F$16)*ISNUMBER(G$11:G$16)*COUNTIFS(BD$12:BD$15,H$11:H$16,BK$12:BK$15,BK12)*(F$11:F$16-G$11:G$16))+SUMPRODUCT((H$11:H$16=BD12)*ISNUMBER(F$11:F$16)*ISNUMBER(G$11:G$16)*COUNTIFS(BD$12:BD$15,E$11:E$16,BK$12:BK$15,BK12)*(G$11:G$16-F$11:F$16))</f>
        <v/>
      </c>
      <c r="BO12">
        <f t="array" ref="BO12">SUMPRODUCT((E$11:E$16=BD12)*ISNUMBER(F$11:F$16)*ISNUMBER(G$11:G$16)*COUNTIFS(BD$12:BD$15,H$11:H$16,BK$12:BK$15,BK12)*F$11:F$16)+SUMPRODUCT((H$11:H$16=BD12)*ISNUMBER(F$11:F$16)*ISNUMBER(G$11:G$16)*COUNTIFS(BD$12:BD$15,E$11:E$16,BK$12:BK$15,BK12)*G$11:G$16)</f>
        <v/>
      </c>
    </row>
    <row r="13" ht="12.75" customHeight="1">
      <c r="A13" s="11" t="n">
        <v>9</v>
      </c>
      <c r="B13" s="11">
        <f>TEXT((46191)+(18+4+GmtOffset)/24,"ddd")</f>
        <v/>
      </c>
      <c r="C13" s="11">
        <f>TEXT((46191)+(18+4+GmtOffset)/24,"mmm d, yyyy")</f>
        <v/>
      </c>
      <c r="D13" s="11">
        <f>TEXT((46191)+(18+4+GmtOffset)/24,"h:mm")</f>
        <v/>
      </c>
      <c r="E13" s="12" t="inlineStr">
        <is>
          <t>Canada</t>
        </is>
      </c>
      <c r="F13" s="7" t="n"/>
      <c r="G13" s="7" t="n"/>
      <c r="H13" s="13" t="inlineStr">
        <is>
          <t>Qatar</t>
        </is>
      </c>
      <c r="I13" s="11" t="inlineStr">
        <is>
          <t>B</t>
        </is>
      </c>
      <c r="J13" s="3" t="n"/>
      <c r="K13" s="13">
        <f>INDEX(BD12:BD15,MATCH(1,BL12:BL15,0))</f>
        <v/>
      </c>
      <c r="L13" s="11">
        <f>INDEX(BE12:BE15,MATCH(1,BL12:BL15,0))</f>
        <v/>
      </c>
      <c r="M13" s="11">
        <f>INDEX(BF12:BF15,MATCH(1,BL12:BL15,0))</f>
        <v/>
      </c>
      <c r="N13" s="11">
        <f>INDEX(BG12:BG15,MATCH(1,BL12:BL15,0))</f>
        <v/>
      </c>
      <c r="O13" s="11">
        <f>INDEX(BH12:BH15,MATCH(1,BL12:BL15,0))</f>
        <v/>
      </c>
      <c r="P13" s="11">
        <f>INDEX(BI12:BI15,MATCH(1,BL12:BL15,0))&amp;" - "&amp;INDEX(BJ12:BJ15,MATCH(1,BL12:BL15,0))</f>
        <v/>
      </c>
      <c r="Q13" s="14">
        <f>INDEX(BK12:BK15,MATCH(1,BL12:BL15,0))</f>
        <v/>
      </c>
      <c r="S13" s="9">
        <f>IF((COUNTIF($F$5:$G$76,"&gt;=0")=144),IFERROR(INDEX($AO$81:$AO$92,6),"Winner F"),"Winner F")</f>
        <v/>
      </c>
      <c r="T13" s="10" t="n"/>
      <c r="U13" s="10" t="n"/>
      <c r="V13" s="10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BD13" t="inlineStr">
        <is>
          <t>Bosnia &amp; Herzegovina</t>
        </is>
      </c>
      <c r="BE13">
        <f t="array" ref="BE13">SUMPRODUCT((((E11:E16=BD13)+(H11:H16=BD13))&gt;0)*ISNUMBER(F11:F16)*ISNUMBER(G11:G16))</f>
        <v/>
      </c>
      <c r="BF13">
        <f t="array" ref="BF13">SUMPRODUCT((E11:E16=BD13)*ISNUMBER(F11:F16)*ISNUMBER(G11:G16)*(F11:F16&gt;G11:G16))+SUMPRODUCT((H11:H16=BD13)*ISNUMBER(F11:F16)*ISNUMBER(G11:G16)*(G11:G16&gt;F11:F16))</f>
        <v/>
      </c>
      <c r="BG13">
        <f t="array" ref="BG13">SUMPRODUCT((((E11:E16=BD13)+(H11:H16=BD13))&gt;0)*ISNUMBER(F11:F16)*ISNUMBER(G11:G16)*(F11:F16=G11:G16))</f>
        <v/>
      </c>
      <c r="BH13">
        <f>BE13-BF13-BG13</f>
        <v/>
      </c>
      <c r="BI13">
        <f t="array" ref="BI13">SUMPRODUCT((E11:E16=BD13)*IFERROR(F11:F16,0))+SUMPRODUCT((H11:H16=BD13)*IFERROR(G11:G16,0))</f>
        <v/>
      </c>
      <c r="BJ13">
        <f t="array" ref="BJ13">SUMPRODUCT((E11:E16=BD13)*IFERROR(G11:G16,0))+SUMPRODUCT((H11:H16=BD13)*IFERROR(F11:F16,0))</f>
        <v/>
      </c>
      <c r="BK13">
        <f>BF13*3+BG13</f>
        <v/>
      </c>
      <c r="BL13">
        <f>1+SUMPRODUCT(((BK$12:BK$15&gt;BK13)+(BK$12:BK$15=BK13)*(BM$12:BM$15&gt;BM13)+(BK$12:BK$15=BK13)*(BM$12:BM$15=BM13)*(BN$12:BN$15&gt;BN13)+(BK$12:BK$15=BK13)*(BM$12:BM$15=BM13)*(BN$12:BN$15=BN13)*(BO$12:BO$15&gt;BO13)+(BK$12:BK$15=BK13)*(BM$12:BM$15=BM13)*(BN$12:BN$15=BN13)*(BO$12:BO$15=BO13)*((BI$12:BI$15-BJ$12:BJ$15)&gt;(BI13-BJ13))+(BK$12:BK$15=BK13)*(BM$12:BM$15=BM13)*(BN$12:BN$15=BN13)*(BO$12:BO$15=BO13)*((BI$12:BI$15-BJ$12:BJ$15)=(BI13-BJ13))*(BI$12:BI$15&gt;BI13)+(BK$12:BK$15=BK13)*(BM$12:BM$15=BM13)*(BN$12:BN$15=BN13)*(BO$12:BO$15=BO13)*((BI$12:BI$15-BJ$12:BJ$15)=(BI13-BJ13))*(BI$12:BI$15=BI13)*(ROW(BK$12:BK$15)&lt;ROW(BK13)))*1)</f>
        <v/>
      </c>
      <c r="BM13">
        <f t="array" ref="BM13">SUMPRODUCT((E$11:E$16=BD13)*ISNUMBER(F$11:F$16)*ISNUMBER(G$11:G$16)*COUNTIFS(BD$12:BD$15,H$11:H$16,BK$12:BK$15,BK13)*((F$11:F$16&gt;G$11:G$16)*3+(F$11:F$16=G$11:G$16)))+SUMPRODUCT((H$11:H$16=BD13)*ISNUMBER(F$11:F$16)*ISNUMBER(G$11:G$16)*COUNTIFS(BD$12:BD$15,E$11:E$16,BK$12:BK$15,BK13)*((G$11:G$16&gt;F$11:F$16)*3+(F$11:F$16=G$11:G$16)))</f>
        <v/>
      </c>
      <c r="BN13">
        <f t="array" ref="BN13">SUMPRODUCT((E$11:E$16=BD13)*ISNUMBER(F$11:F$16)*ISNUMBER(G$11:G$16)*COUNTIFS(BD$12:BD$15,H$11:H$16,BK$12:BK$15,BK13)*(F$11:F$16-G$11:G$16))+SUMPRODUCT((H$11:H$16=BD13)*ISNUMBER(F$11:F$16)*ISNUMBER(G$11:G$16)*COUNTIFS(BD$12:BD$15,E$11:E$16,BK$12:BK$15,BK13)*(G$11:G$16-F$11:F$16))</f>
        <v/>
      </c>
      <c r="BO13">
        <f t="array" ref="BO13">SUMPRODUCT((E$11:E$16=BD13)*ISNUMBER(F$11:F$16)*ISNUMBER(G$11:G$16)*COUNTIFS(BD$12:BD$15,H$11:H$16,BK$12:BK$15,BK13)*F$11:F$16)+SUMPRODUCT((H$11:H$16=BD13)*ISNUMBER(F$11:F$16)*ISNUMBER(G$11:G$16)*COUNTIFS(BD$12:BD$15,E$11:E$16,BK$12:BK$15,BK13)*G$11:G$16)</f>
        <v/>
      </c>
    </row>
    <row r="14" ht="12.75" customHeight="1">
      <c r="A14" s="11" t="n">
        <v>10</v>
      </c>
      <c r="B14" s="11">
        <f>TEXT((46191)+(15+4+GmtOffset)/24,"ddd")</f>
        <v/>
      </c>
      <c r="C14" s="11">
        <f>TEXT((46191)+(15+4+GmtOffset)/24,"mmm d, yyyy")</f>
        <v/>
      </c>
      <c r="D14" s="11">
        <f>TEXT((46191)+(15+4+GmtOffset)/24,"h:mm")</f>
        <v/>
      </c>
      <c r="E14" s="12" t="inlineStr">
        <is>
          <t>Switzerland</t>
        </is>
      </c>
      <c r="F14" s="7" t="n"/>
      <c r="G14" s="7" t="n"/>
      <c r="H14" s="13" t="inlineStr">
        <is>
          <t>Bosnia &amp; Herzegovina</t>
        </is>
      </c>
      <c r="I14" s="11" t="inlineStr">
        <is>
          <t>B</t>
        </is>
      </c>
      <c r="J14" s="3" t="n"/>
      <c r="K14" s="13">
        <f>INDEX(BD12:BD15,MATCH(2,BL12:BL15,0))</f>
        <v/>
      </c>
      <c r="L14" s="11">
        <f>INDEX(BE12:BE15,MATCH(2,BL12:BL15,0))</f>
        <v/>
      </c>
      <c r="M14" s="11">
        <f>INDEX(BF12:BF15,MATCH(2,BL12:BL15,0))</f>
        <v/>
      </c>
      <c r="N14" s="11">
        <f>INDEX(BG12:BG15,MATCH(2,BL12:BL15,0))</f>
        <v/>
      </c>
      <c r="O14" s="11">
        <f>INDEX(BH12:BH15,MATCH(2,BL12:BL15,0))</f>
        <v/>
      </c>
      <c r="P14" s="11">
        <f>INDEX(BI12:BI15,MATCH(2,BL12:BL15,0))&amp;" - "&amp;INDEX(BJ12:BJ15,MATCH(2,BL12:BL15,0))</f>
        <v/>
      </c>
      <c r="Q14" s="14">
        <f>INDEX(BK12:BK15,MATCH(2,BL12:BL15,0))</f>
        <v/>
      </c>
      <c r="S14" s="15">
        <f>IF((COUNTIF($F$5:$G$76,"&gt;=0")=144),IFERROR(INDEX($AP$81:$AP$92,3),"Runner-up C"),"Runner-up C")</f>
        <v/>
      </c>
      <c r="T14" s="16" t="n"/>
      <c r="U14" s="16" t="n"/>
      <c r="V14" s="16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BD14" t="inlineStr">
        <is>
          <t>Qatar</t>
        </is>
      </c>
      <c r="BE14">
        <f t="array" ref="BE14">SUMPRODUCT((((E11:E16=BD14)+(H11:H16=BD14))&gt;0)*ISNUMBER(F11:F16)*ISNUMBER(G11:G16))</f>
        <v/>
      </c>
      <c r="BF14">
        <f t="array" ref="BF14">SUMPRODUCT((E11:E16=BD14)*ISNUMBER(F11:F16)*ISNUMBER(G11:G16)*(F11:F16&gt;G11:G16))+SUMPRODUCT((H11:H16=BD14)*ISNUMBER(F11:F16)*ISNUMBER(G11:G16)*(G11:G16&gt;F11:F16))</f>
        <v/>
      </c>
      <c r="BG14">
        <f t="array" ref="BG14">SUMPRODUCT((((E11:E16=BD14)+(H11:H16=BD14))&gt;0)*ISNUMBER(F11:F16)*ISNUMBER(G11:G16)*(F11:F16=G11:G16))</f>
        <v/>
      </c>
      <c r="BH14">
        <f>BE14-BF14-BG14</f>
        <v/>
      </c>
      <c r="BI14">
        <f t="array" ref="BI14">SUMPRODUCT((E11:E16=BD14)*IFERROR(F11:F16,0))+SUMPRODUCT((H11:H16=BD14)*IFERROR(G11:G16,0))</f>
        <v/>
      </c>
      <c r="BJ14">
        <f t="array" ref="BJ14">SUMPRODUCT((E11:E16=BD14)*IFERROR(G11:G16,0))+SUMPRODUCT((H11:H16=BD14)*IFERROR(F11:F16,0))</f>
        <v/>
      </c>
      <c r="BK14">
        <f>BF14*3+BG14</f>
        <v/>
      </c>
      <c r="BL14">
        <f>1+SUMPRODUCT(((BK$12:BK$15&gt;BK14)+(BK$12:BK$15=BK14)*(BM$12:BM$15&gt;BM14)+(BK$12:BK$15=BK14)*(BM$12:BM$15=BM14)*(BN$12:BN$15&gt;BN14)+(BK$12:BK$15=BK14)*(BM$12:BM$15=BM14)*(BN$12:BN$15=BN14)*(BO$12:BO$15&gt;BO14)+(BK$12:BK$15=BK14)*(BM$12:BM$15=BM14)*(BN$12:BN$15=BN14)*(BO$12:BO$15=BO14)*((BI$12:BI$15-BJ$12:BJ$15)&gt;(BI14-BJ14))+(BK$12:BK$15=BK14)*(BM$12:BM$15=BM14)*(BN$12:BN$15=BN14)*(BO$12:BO$15=BO14)*((BI$12:BI$15-BJ$12:BJ$15)=(BI14-BJ14))*(BI$12:BI$15&gt;BI14)+(BK$12:BK$15=BK14)*(BM$12:BM$15=BM14)*(BN$12:BN$15=BN14)*(BO$12:BO$15=BO14)*((BI$12:BI$15-BJ$12:BJ$15)=(BI14-BJ14))*(BI$12:BI$15=BI14)*(ROW(BK$12:BK$15)&lt;ROW(BK14)))*1)</f>
        <v/>
      </c>
      <c r="BM14">
        <f t="array" ref="BM14">SUMPRODUCT((E$11:E$16=BD14)*ISNUMBER(F$11:F$16)*ISNUMBER(G$11:G$16)*COUNTIFS(BD$12:BD$15,H$11:H$16,BK$12:BK$15,BK14)*((F$11:F$16&gt;G$11:G$16)*3+(F$11:F$16=G$11:G$16)))+SUMPRODUCT((H$11:H$16=BD14)*ISNUMBER(F$11:F$16)*ISNUMBER(G$11:G$16)*COUNTIFS(BD$12:BD$15,E$11:E$16,BK$12:BK$15,BK14)*((G$11:G$16&gt;F$11:F$16)*3+(F$11:F$16=G$11:G$16)))</f>
        <v/>
      </c>
      <c r="BN14">
        <f t="array" ref="BN14">SUMPRODUCT((E$11:E$16=BD14)*ISNUMBER(F$11:F$16)*ISNUMBER(G$11:G$16)*COUNTIFS(BD$12:BD$15,H$11:H$16,BK$12:BK$15,BK14)*(F$11:F$16-G$11:G$16))+SUMPRODUCT((H$11:H$16=BD14)*ISNUMBER(F$11:F$16)*ISNUMBER(G$11:G$16)*COUNTIFS(BD$12:BD$15,E$11:E$16,BK$12:BK$15,BK14)*(G$11:G$16-F$11:F$16))</f>
        <v/>
      </c>
      <c r="BO14">
        <f t="array" ref="BO14">SUMPRODUCT((E$11:E$16=BD14)*ISNUMBER(F$11:F$16)*ISNUMBER(G$11:G$16)*COUNTIFS(BD$12:BD$15,H$11:H$16,BK$12:BK$15,BK14)*F$11:F$16)+SUMPRODUCT((H$11:H$16=BD14)*ISNUMBER(F$11:F$16)*ISNUMBER(G$11:G$16)*COUNTIFS(BD$12:BD$15,E$11:E$16,BK$12:BK$15,BK14)*G$11:G$16)</f>
        <v/>
      </c>
    </row>
    <row r="15" ht="12.75" customHeight="1">
      <c r="A15" s="11" t="n">
        <v>11</v>
      </c>
      <c r="B15" s="11">
        <f>TEXT((46197)+(15+4+GmtOffset)/24,"ddd")</f>
        <v/>
      </c>
      <c r="C15" s="11">
        <f>TEXT((46197)+(15+4+GmtOffset)/24,"mmm d, yyyy")</f>
        <v/>
      </c>
      <c r="D15" s="11">
        <f>TEXT((46197)+(15+4+GmtOffset)/24,"h:mm")</f>
        <v/>
      </c>
      <c r="E15" s="12" t="inlineStr">
        <is>
          <t>Switzerland</t>
        </is>
      </c>
      <c r="F15" s="7" t="n"/>
      <c r="G15" s="7" t="n"/>
      <c r="H15" s="13" t="inlineStr">
        <is>
          <t>Canada</t>
        </is>
      </c>
      <c r="I15" s="11" t="inlineStr">
        <is>
          <t>B</t>
        </is>
      </c>
      <c r="J15" s="3" t="n"/>
      <c r="K15" s="13">
        <f>INDEX(BD12:BD15,MATCH(3,BL12:BL15,0))</f>
        <v/>
      </c>
      <c r="L15" s="11">
        <f>INDEX(BE12:BE15,MATCH(3,BL12:BL15,0))</f>
        <v/>
      </c>
      <c r="M15" s="11">
        <f>INDEX(BF12:BF15,MATCH(3,BL12:BL15,0))</f>
        <v/>
      </c>
      <c r="N15" s="11">
        <f>INDEX(BG12:BG15,MATCH(3,BL12:BL15,0))</f>
        <v/>
      </c>
      <c r="O15" s="11">
        <f>INDEX(BH12:BH15,MATCH(3,BL12:BL15,0))</f>
        <v/>
      </c>
      <c r="P15" s="11">
        <f>INDEX(BI12:BI15,MATCH(3,BL12:BL15,0))&amp;" - "&amp;INDEX(BJ12:BJ15,MATCH(3,BL12:BL15,0))</f>
        <v/>
      </c>
      <c r="Q15" s="14">
        <f>INDEX(BK12:BK15,MATCH(3,BL12:BL15,0))</f>
        <v/>
      </c>
      <c r="S15" s="3" t="n"/>
      <c r="T15" s="3" t="n"/>
      <c r="U15" s="3" t="n"/>
      <c r="V15" s="3" t="n"/>
      <c r="W15" s="9">
        <f>IF(AND(ISNUMBER(T5),ISNUMBER(T6)),IF(T5&gt;T6,S5,IF(T6&gt;T5,S6,IF(NOT(AND(ISNUMBER(U5),ISNUMBER(U6))),"",IF(U5&gt;U6,S5,IF(U6&gt;U5,S6,IF(NOT(AND(ISNUMBER(V5),ISNUMBER(V6))),"",IF(V5&gt;V6,S5,IF(V6&gt;V5,S6,"")))))))),"W73")</f>
        <v/>
      </c>
      <c r="X15" s="10" t="n"/>
      <c r="Y15" s="10" t="n"/>
      <c r="Z15" s="10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BD15" t="inlineStr">
        <is>
          <t>Switzerland</t>
        </is>
      </c>
      <c r="BE15">
        <f t="array" ref="BE15">SUMPRODUCT((((E11:E16=BD15)+(H11:H16=BD15))&gt;0)*ISNUMBER(F11:F16)*ISNUMBER(G11:G16))</f>
        <v/>
      </c>
      <c r="BF15">
        <f t="array" ref="BF15">SUMPRODUCT((E11:E16=BD15)*ISNUMBER(F11:F16)*ISNUMBER(G11:G16)*(F11:F16&gt;G11:G16))+SUMPRODUCT((H11:H16=BD15)*ISNUMBER(F11:F16)*ISNUMBER(G11:G16)*(G11:G16&gt;F11:F16))</f>
        <v/>
      </c>
      <c r="BG15">
        <f t="array" ref="BG15">SUMPRODUCT((((E11:E16=BD15)+(H11:H16=BD15))&gt;0)*ISNUMBER(F11:F16)*ISNUMBER(G11:G16)*(F11:F16=G11:G16))</f>
        <v/>
      </c>
      <c r="BH15">
        <f>BE15-BF15-BG15</f>
        <v/>
      </c>
      <c r="BI15">
        <f t="array" ref="BI15">SUMPRODUCT((E11:E16=BD15)*IFERROR(F11:F16,0))+SUMPRODUCT((H11:H16=BD15)*IFERROR(G11:G16,0))</f>
        <v/>
      </c>
      <c r="BJ15">
        <f t="array" ref="BJ15">SUMPRODUCT((E11:E16=BD15)*IFERROR(G11:G16,0))+SUMPRODUCT((H11:H16=BD15)*IFERROR(F11:F16,0))</f>
        <v/>
      </c>
      <c r="BK15">
        <f>BF15*3+BG15</f>
        <v/>
      </c>
      <c r="BL15">
        <f>1+SUMPRODUCT(((BK$12:BK$15&gt;BK15)+(BK$12:BK$15=BK15)*(BM$12:BM$15&gt;BM15)+(BK$12:BK$15=BK15)*(BM$12:BM$15=BM15)*(BN$12:BN$15&gt;BN15)+(BK$12:BK$15=BK15)*(BM$12:BM$15=BM15)*(BN$12:BN$15=BN15)*(BO$12:BO$15&gt;BO15)+(BK$12:BK$15=BK15)*(BM$12:BM$15=BM15)*(BN$12:BN$15=BN15)*(BO$12:BO$15=BO15)*((BI$12:BI$15-BJ$12:BJ$15)&gt;(BI15-BJ15))+(BK$12:BK$15=BK15)*(BM$12:BM$15=BM15)*(BN$12:BN$15=BN15)*(BO$12:BO$15=BO15)*((BI$12:BI$15-BJ$12:BJ$15)=(BI15-BJ15))*(BI$12:BI$15&gt;BI15)+(BK$12:BK$15=BK15)*(BM$12:BM$15=BM15)*(BN$12:BN$15=BN15)*(BO$12:BO$15=BO15)*((BI$12:BI$15-BJ$12:BJ$15)=(BI15-BJ15))*(BI$12:BI$15=BI15)*(ROW(BK$12:BK$15)&lt;ROW(BK15)))*1)</f>
        <v/>
      </c>
      <c r="BM15">
        <f t="array" ref="BM15">SUMPRODUCT((E$11:E$16=BD15)*ISNUMBER(F$11:F$16)*ISNUMBER(G$11:G$16)*COUNTIFS(BD$12:BD$15,H$11:H$16,BK$12:BK$15,BK15)*((F$11:F$16&gt;G$11:G$16)*3+(F$11:F$16=G$11:G$16)))+SUMPRODUCT((H$11:H$16=BD15)*ISNUMBER(F$11:F$16)*ISNUMBER(G$11:G$16)*COUNTIFS(BD$12:BD$15,E$11:E$16,BK$12:BK$15,BK15)*((G$11:G$16&gt;F$11:F$16)*3+(F$11:F$16=G$11:G$16)))</f>
        <v/>
      </c>
      <c r="BN15">
        <f t="array" ref="BN15">SUMPRODUCT((E$11:E$16=BD15)*ISNUMBER(F$11:F$16)*ISNUMBER(G$11:G$16)*COUNTIFS(BD$12:BD$15,H$11:H$16,BK$12:BK$15,BK15)*(F$11:F$16-G$11:G$16))+SUMPRODUCT((H$11:H$16=BD15)*ISNUMBER(F$11:F$16)*ISNUMBER(G$11:G$16)*COUNTIFS(BD$12:BD$15,E$11:E$16,BK$12:BK$15,BK15)*(G$11:G$16-F$11:F$16))</f>
        <v/>
      </c>
      <c r="BO15">
        <f t="array" ref="BO15">SUMPRODUCT((E$11:E$16=BD15)*ISNUMBER(F$11:F$16)*ISNUMBER(G$11:G$16)*COUNTIFS(BD$12:BD$15,H$11:H$16,BK$12:BK$15,BK15)*F$11:F$16)+SUMPRODUCT((H$11:H$16=BD15)*ISNUMBER(F$11:F$16)*ISNUMBER(G$11:G$16)*COUNTIFS(BD$12:BD$15,E$11:E$16,BK$12:BK$15,BK15)*G$11:G$16)</f>
        <v/>
      </c>
    </row>
    <row r="16" ht="12.75" customHeight="1">
      <c r="A16" s="11" t="n">
        <v>12</v>
      </c>
      <c r="B16" s="11">
        <f>TEXT((46197)+(15+4+GmtOffset)/24,"ddd")</f>
        <v/>
      </c>
      <c r="C16" s="11">
        <f>TEXT((46197)+(15+4+GmtOffset)/24,"mmm d, yyyy")</f>
        <v/>
      </c>
      <c r="D16" s="11">
        <f>TEXT((46197)+(15+4+GmtOffset)/24,"h:mm")</f>
        <v/>
      </c>
      <c r="E16" s="12" t="inlineStr">
        <is>
          <t>Bosnia &amp; Herzegovina</t>
        </is>
      </c>
      <c r="F16" s="7" t="n"/>
      <c r="G16" s="7" t="n"/>
      <c r="H16" s="13" t="inlineStr">
        <is>
          <t>Qatar</t>
        </is>
      </c>
      <c r="I16" s="11" t="inlineStr">
        <is>
          <t>B</t>
        </is>
      </c>
      <c r="J16" s="3" t="n"/>
      <c r="K16" s="17">
        <f>INDEX(BD12:BD15,MATCH(4,BL12:BL15,0))</f>
        <v/>
      </c>
      <c r="L16" s="18">
        <f>INDEX(BE12:BE15,MATCH(4,BL12:BL15,0))</f>
        <v/>
      </c>
      <c r="M16" s="18">
        <f>INDEX(BF12:BF15,MATCH(4,BL12:BL15,0))</f>
        <v/>
      </c>
      <c r="N16" s="18">
        <f>INDEX(BG12:BG15,MATCH(4,BL12:BL15,0))</f>
        <v/>
      </c>
      <c r="O16" s="18">
        <f>INDEX(BH12:BH15,MATCH(4,BL12:BL15,0))</f>
        <v/>
      </c>
      <c r="P16" s="18">
        <f>INDEX(BI12:BI15,MATCH(4,BL12:BL15,0))&amp;" - "&amp;INDEX(BJ12:BJ15,MATCH(4,BL12:BL15,0))</f>
        <v/>
      </c>
      <c r="Q16" s="19">
        <f>INDEX(BK12:BK15,MATCH(4,BL12:BL15,0))</f>
        <v/>
      </c>
      <c r="S16" s="3" t="n"/>
      <c r="T16" s="3" t="n"/>
      <c r="U16" s="3" t="n"/>
      <c r="V16" s="3" t="n"/>
      <c r="W16" s="15">
        <f>IF(AND(ISNUMBER(T13),ISNUMBER(T14)),IF(T13&gt;T14,S13,IF(T14&gt;T13,S14,IF(NOT(AND(ISNUMBER(U13),ISNUMBER(U14))),"",IF(U13&gt;U14,S13,IF(U14&gt;U13,S14,IF(NOT(AND(ISNUMBER(V13),ISNUMBER(V14))),"",IF(V13&gt;V14,S13,IF(V14&gt;V13,S14,"")))))))),"W75")</f>
        <v/>
      </c>
      <c r="X16" s="16" t="n"/>
      <c r="Y16" s="16" t="n"/>
      <c r="Z16" s="16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</row>
    <row r="17" ht="12.75" customHeight="1">
      <c r="A17" s="11" t="n">
        <v>13</v>
      </c>
      <c r="B17" s="11">
        <f>TEXT((46186)+(18+4+GmtOffset)/24,"ddd")</f>
        <v/>
      </c>
      <c r="C17" s="11">
        <f>TEXT((46186)+(18+4+GmtOffset)/24,"mmm d, yyyy")</f>
        <v/>
      </c>
      <c r="D17" s="11">
        <f>TEXT((46186)+(18+4+GmtOffset)/24,"h:mm")</f>
        <v/>
      </c>
      <c r="E17" s="12" t="inlineStr">
        <is>
          <t>Brazil</t>
        </is>
      </c>
      <c r="F17" s="7" t="n">
        <v>0</v>
      </c>
      <c r="G17" s="7" t="n">
        <v>2</v>
      </c>
      <c r="H17" s="13" t="inlineStr">
        <is>
          <t>Morocco</t>
        </is>
      </c>
      <c r="I17" s="11" t="inlineStr">
        <is>
          <t>C</t>
        </is>
      </c>
      <c r="J17" s="3" t="n"/>
      <c r="K17" s="145" t="inlineStr">
        <is>
          <t>Group C</t>
        </is>
      </c>
      <c r="L17" s="20" t="n"/>
      <c r="M17" s="20" t="n"/>
      <c r="N17" s="20" t="n"/>
      <c r="O17" s="20" t="n"/>
      <c r="P17" s="20" t="n"/>
      <c r="Q17" s="20" t="n"/>
      <c r="S17" s="9">
        <f>IF((COUNTIF($F$5:$G$76,"&gt;=0")=144),IFERROR(INDEX($AO$81:$AO$92,3),"Winner C"),"Winner C")</f>
        <v/>
      </c>
      <c r="T17" s="10" t="n"/>
      <c r="U17" s="10" t="n"/>
      <c r="V17" s="10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</row>
    <row r="18" ht="12.75" customHeight="1">
      <c r="A18" s="11" t="n">
        <v>14</v>
      </c>
      <c r="B18" s="11">
        <f>TEXT((46186)+(21+4+GmtOffset)/24,"ddd")</f>
        <v/>
      </c>
      <c r="C18" s="11">
        <f>TEXT((46186)+(21+4+GmtOffset)/24,"mmm d, yyyy")</f>
        <v/>
      </c>
      <c r="D18" s="11">
        <f>TEXT((46186)+(21+4+GmtOffset)/24,"h:mm")</f>
        <v/>
      </c>
      <c r="E18" s="12" t="inlineStr">
        <is>
          <t>Haiti</t>
        </is>
      </c>
      <c r="F18" s="7" t="n"/>
      <c r="G18" s="7" t="n"/>
      <c r="H18" s="13" t="inlineStr">
        <is>
          <t>Scotland</t>
        </is>
      </c>
      <c r="I18" s="11" t="inlineStr">
        <is>
          <t>C</t>
        </is>
      </c>
      <c r="J18" s="3" t="n"/>
      <c r="K18" s="14" t="n"/>
      <c r="L18" s="14" t="inlineStr">
        <is>
          <t>PL</t>
        </is>
      </c>
      <c r="M18" s="14" t="inlineStr">
        <is>
          <t>W</t>
        </is>
      </c>
      <c r="N18" s="14" t="inlineStr">
        <is>
          <t>D</t>
        </is>
      </c>
      <c r="O18" s="14" t="inlineStr">
        <is>
          <t>L</t>
        </is>
      </c>
      <c r="P18" s="14" t="inlineStr">
        <is>
          <t>GF - GA</t>
        </is>
      </c>
      <c r="Q18" s="14" t="inlineStr">
        <is>
          <t>P</t>
        </is>
      </c>
      <c r="S18" s="15">
        <f>IF((COUNTIF($F$5:$G$76,"&gt;=0")=144),IFERROR(INDEX($AP$81:$AP$92,6),"Runner-up F"),"Runner-up F")</f>
        <v/>
      </c>
      <c r="T18" s="16" t="n"/>
      <c r="U18" s="16" t="n"/>
      <c r="V18" s="16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BD18" t="inlineStr">
        <is>
          <t>Brazil</t>
        </is>
      </c>
      <c r="BE18">
        <f t="array" ref="BE18">SUMPRODUCT((((E17:E22=BD18)+(H17:H22=BD18))&gt;0)*ISNUMBER(F17:F22)*ISNUMBER(G17:G22))</f>
        <v/>
      </c>
      <c r="BF18">
        <f t="array" ref="BF18">SUMPRODUCT((E17:E22=BD18)*ISNUMBER(F17:F22)*ISNUMBER(G17:G22)*(F17:F22&gt;G17:G22))+SUMPRODUCT((H17:H22=BD18)*ISNUMBER(F17:F22)*ISNUMBER(G17:G22)*(G17:G22&gt;F17:F22))</f>
        <v/>
      </c>
      <c r="BG18">
        <f t="array" ref="BG18">SUMPRODUCT((((E17:E22=BD18)+(H17:H22=BD18))&gt;0)*ISNUMBER(F17:F22)*ISNUMBER(G17:G22)*(F17:F22=G17:G22))</f>
        <v/>
      </c>
      <c r="BH18">
        <f>BE18-BF18-BG18</f>
        <v/>
      </c>
      <c r="BI18">
        <f t="array" ref="BI18">SUMPRODUCT((E17:E22=BD18)*IFERROR(F17:F22,0))+SUMPRODUCT((H17:H22=BD18)*IFERROR(G17:G22,0))</f>
        <v/>
      </c>
      <c r="BJ18">
        <f t="array" ref="BJ18">SUMPRODUCT((E17:E22=BD18)*IFERROR(G17:G22,0))+SUMPRODUCT((H17:H22=BD18)*IFERROR(F17:F22,0))</f>
        <v/>
      </c>
      <c r="BK18">
        <f>BF18*3+BG18</f>
        <v/>
      </c>
      <c r="BL18">
        <f>1+SUMPRODUCT(((BK$18:BK$21&gt;BK18)+(BK$18:BK$21=BK18)*(BM$18:BM$21&gt;BM18)+(BK$18:BK$21=BK18)*(BM$18:BM$21=BM18)*(BN$18:BN$21&gt;BN18)+(BK$18:BK$21=BK18)*(BM$18:BM$21=BM18)*(BN$18:BN$21=BN18)*(BO$18:BO$21&gt;BO18)+(BK$18:BK$21=BK18)*(BM$18:BM$21=BM18)*(BN$18:BN$21=BN18)*(BO$18:BO$21=BO18)*((BI$18:BI$21-BJ$18:BJ$21)&gt;(BI18-BJ18))+(BK$18:BK$21=BK18)*(BM$18:BM$21=BM18)*(BN$18:BN$21=BN18)*(BO$18:BO$21=BO18)*((BI$18:BI$21-BJ$18:BJ$21)=(BI18-BJ18))*(BI$18:BI$21&gt;BI18)+(BK$18:BK$21=BK18)*(BM$18:BM$21=BM18)*(BN$18:BN$21=BN18)*(BO$18:BO$21=BO18)*((BI$18:BI$21-BJ$18:BJ$21)=(BI18-BJ18))*(BI$18:BI$21=BI18)*(ROW(BK$18:BK$21)&lt;ROW(BK18)))*1)</f>
        <v/>
      </c>
      <c r="BM18">
        <f t="array" ref="BM18">SUMPRODUCT((E$17:E$22=BD18)*ISNUMBER(F$17:F$22)*ISNUMBER(G$17:G$22)*COUNTIFS(BD$18:BD$21,H$17:H$22,BK$18:BK$21,BK18)*((F$17:F$22&gt;G$17:G$22)*3+(F$17:F$22=G$17:G$22)))+SUMPRODUCT((H$17:H$22=BD18)*ISNUMBER(F$17:F$22)*ISNUMBER(G$17:G$22)*COUNTIFS(BD$18:BD$21,E$17:E$22,BK$18:BK$21,BK18)*((G$17:G$22&gt;F$17:F$22)*3+(F$17:F$22=G$17:G$22)))</f>
        <v/>
      </c>
      <c r="BN18">
        <f t="array" ref="BN18">SUMPRODUCT((E$17:E$22=BD18)*ISNUMBER(F$17:F$22)*ISNUMBER(G$17:G$22)*COUNTIFS(BD$18:BD$21,H$17:H$22,BK$18:BK$21,BK18)*(F$17:F$22-G$17:G$22))+SUMPRODUCT((H$17:H$22=BD18)*ISNUMBER(F$17:F$22)*ISNUMBER(G$17:G$22)*COUNTIFS(BD$18:BD$21,E$17:E$22,BK$18:BK$21,BK18)*(G$17:G$22-F$17:F$22))</f>
        <v/>
      </c>
      <c r="BO18">
        <f t="array" ref="BO18">SUMPRODUCT((E$17:E$22=BD18)*ISNUMBER(F$17:F$22)*ISNUMBER(G$17:G$22)*COUNTIFS(BD$18:BD$21,H$17:H$22,BK$18:BK$21,BK18)*F$17:F$22)+SUMPRODUCT((H$17:H$22=BD18)*ISNUMBER(F$17:F$22)*ISNUMBER(G$17:G$22)*COUNTIFS(BD$18:BD$21,E$17:E$22,BK$18:BK$21,BK18)*G$17:G$22)</f>
        <v/>
      </c>
    </row>
    <row r="19" ht="12.75" customHeight="1">
      <c r="A19" s="11" t="n">
        <v>15</v>
      </c>
      <c r="B19" s="11">
        <f>TEXT((46192)+(20.5+4+GmtOffset)/24,"ddd")</f>
        <v/>
      </c>
      <c r="C19" s="11">
        <f>TEXT((46192)+(20.5+4+GmtOffset)/24,"mmm d, yyyy")</f>
        <v/>
      </c>
      <c r="D19" s="11">
        <f>TEXT((46192)+(20.5+4+GmtOffset)/24,"h:mm")</f>
        <v/>
      </c>
      <c r="E19" s="12" t="inlineStr">
        <is>
          <t>Brazil</t>
        </is>
      </c>
      <c r="F19" s="7" t="n"/>
      <c r="G19" s="7" t="n"/>
      <c r="H19" s="13" t="inlineStr">
        <is>
          <t>Haiti</t>
        </is>
      </c>
      <c r="I19" s="11" t="inlineStr">
        <is>
          <t>C</t>
        </is>
      </c>
      <c r="J19" s="3" t="n"/>
      <c r="K19" s="13">
        <f>INDEX(BD18:BD21,MATCH(1,BL18:BL21,0))</f>
        <v/>
      </c>
      <c r="L19" s="11">
        <f>INDEX(BE18:BE21,MATCH(1,BL18:BL21,0))</f>
        <v/>
      </c>
      <c r="M19" s="11">
        <f>INDEX(BF18:BF21,MATCH(1,BL18:BL21,0))</f>
        <v/>
      </c>
      <c r="N19" s="11">
        <f>INDEX(BG18:BG21,MATCH(1,BL18:BL21,0))</f>
        <v/>
      </c>
      <c r="O19" s="11">
        <f>INDEX(BH18:BH21,MATCH(1,BL18:BL21,0))</f>
        <v/>
      </c>
      <c r="P19" s="11">
        <f>INDEX(BI18:BI21,MATCH(1,BL18:BL21,0))&amp;" - "&amp;INDEX(BJ18:BJ21,MATCH(1,BL18:BL21,0))</f>
        <v/>
      </c>
      <c r="Q19" s="14">
        <f>INDEX(BK18:BK21,MATCH(1,BL18:BL21,0))</f>
        <v/>
      </c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9">
        <f>IF(AND(ISNUMBER(AB11),ISNUMBER(AB12)),IF(AB11&gt;AB12,AA11,IF(AB12&gt;AB11,AA12,IF(NOT(AND(ISNUMBER(AC11),ISNUMBER(AC12))),"",IF(AC11&gt;AC12,AA11,IF(AC12&gt;AC11,AA12,IF(NOT(AND(ISNUMBER(AD11),ISNUMBER(AD12))),"",IF(AD11&gt;AD12,AA11,IF(AD12&gt;AD11,AA12,"")))))))),"W97")</f>
        <v/>
      </c>
      <c r="AF19" s="10" t="n"/>
      <c r="AG19" s="10" t="n"/>
      <c r="AH19" s="10" t="n"/>
      <c r="AI19" s="3" t="n"/>
      <c r="AJ19" s="3" t="n"/>
      <c r="AK19" s="3" t="n"/>
      <c r="AL19" s="3" t="n"/>
      <c r="AM19" s="3" t="n"/>
      <c r="AN19" s="3" t="n"/>
      <c r="BD19" t="inlineStr">
        <is>
          <t>Morocco</t>
        </is>
      </c>
      <c r="BE19">
        <f t="array" ref="BE19">SUMPRODUCT((((E17:E22=BD19)+(H17:H22=BD19))&gt;0)*ISNUMBER(F17:F22)*ISNUMBER(G17:G22))</f>
        <v/>
      </c>
      <c r="BF19">
        <f t="array" ref="BF19">SUMPRODUCT((E17:E22=BD19)*ISNUMBER(F17:F22)*ISNUMBER(G17:G22)*(F17:F22&gt;G17:G22))+SUMPRODUCT((H17:H22=BD19)*ISNUMBER(F17:F22)*ISNUMBER(G17:G22)*(G17:G22&gt;F17:F22))</f>
        <v/>
      </c>
      <c r="BG19">
        <f t="array" ref="BG19">SUMPRODUCT((((E17:E22=BD19)+(H17:H22=BD19))&gt;0)*ISNUMBER(F17:F22)*ISNUMBER(G17:G22)*(F17:F22=G17:G22))</f>
        <v/>
      </c>
      <c r="BH19">
        <f>BE19-BF19-BG19</f>
        <v/>
      </c>
      <c r="BI19">
        <f t="array" ref="BI19">SUMPRODUCT((E17:E22=BD19)*IFERROR(F17:F22,0))+SUMPRODUCT((H17:H22=BD19)*IFERROR(G17:G22,0))</f>
        <v/>
      </c>
      <c r="BJ19">
        <f t="array" ref="BJ19">SUMPRODUCT((E17:E22=BD19)*IFERROR(G17:G22,0))+SUMPRODUCT((H17:H22=BD19)*IFERROR(F17:F22,0))</f>
        <v/>
      </c>
      <c r="BK19">
        <f>BF19*3+BG19</f>
        <v/>
      </c>
      <c r="BL19">
        <f>1+SUMPRODUCT(((BK$18:BK$21&gt;BK19)+(BK$18:BK$21=BK19)*(BM$18:BM$21&gt;BM19)+(BK$18:BK$21=BK19)*(BM$18:BM$21=BM19)*(BN$18:BN$21&gt;BN19)+(BK$18:BK$21=BK19)*(BM$18:BM$21=BM19)*(BN$18:BN$21=BN19)*(BO$18:BO$21&gt;BO19)+(BK$18:BK$21=BK19)*(BM$18:BM$21=BM19)*(BN$18:BN$21=BN19)*(BO$18:BO$21=BO19)*((BI$18:BI$21-BJ$18:BJ$21)&gt;(BI19-BJ19))+(BK$18:BK$21=BK19)*(BM$18:BM$21=BM19)*(BN$18:BN$21=BN19)*(BO$18:BO$21=BO19)*((BI$18:BI$21-BJ$18:BJ$21)=(BI19-BJ19))*(BI$18:BI$21&gt;BI19)+(BK$18:BK$21=BK19)*(BM$18:BM$21=BM19)*(BN$18:BN$21=BN19)*(BO$18:BO$21=BO19)*((BI$18:BI$21-BJ$18:BJ$21)=(BI19-BJ19))*(BI$18:BI$21=BI19)*(ROW(BK$18:BK$21)&lt;ROW(BK19)))*1)</f>
        <v/>
      </c>
      <c r="BM19">
        <f t="array" ref="BM19">SUMPRODUCT((E$17:E$22=BD19)*ISNUMBER(F$17:F$22)*ISNUMBER(G$17:G$22)*COUNTIFS(BD$18:BD$21,H$17:H$22,BK$18:BK$21,BK19)*((F$17:F$22&gt;G$17:G$22)*3+(F$17:F$22=G$17:G$22)))+SUMPRODUCT((H$17:H$22=BD19)*ISNUMBER(F$17:F$22)*ISNUMBER(G$17:G$22)*COUNTIFS(BD$18:BD$21,E$17:E$22,BK$18:BK$21,BK19)*((G$17:G$22&gt;F$17:F$22)*3+(F$17:F$22=G$17:G$22)))</f>
        <v/>
      </c>
      <c r="BN19">
        <f t="array" ref="BN19">SUMPRODUCT((E$17:E$22=BD19)*ISNUMBER(F$17:F$22)*ISNUMBER(G$17:G$22)*COUNTIFS(BD$18:BD$21,H$17:H$22,BK$18:BK$21,BK19)*(F$17:F$22-G$17:G$22))+SUMPRODUCT((H$17:H$22=BD19)*ISNUMBER(F$17:F$22)*ISNUMBER(G$17:G$22)*COUNTIFS(BD$18:BD$21,E$17:E$22,BK$18:BK$21,BK19)*(G$17:G$22-F$17:F$22))</f>
        <v/>
      </c>
      <c r="BO19">
        <f t="array" ref="BO19">SUMPRODUCT((E$17:E$22=BD19)*ISNUMBER(F$17:F$22)*ISNUMBER(G$17:G$22)*COUNTIFS(BD$18:BD$21,H$17:H$22,BK$18:BK$21,BK19)*F$17:F$22)+SUMPRODUCT((H$17:H$22=BD19)*ISNUMBER(F$17:F$22)*ISNUMBER(G$17:G$22)*COUNTIFS(BD$18:BD$21,E$17:E$22,BK$18:BK$21,BK19)*G$17:G$22)</f>
        <v/>
      </c>
    </row>
    <row r="20" ht="12.75" customHeight="1">
      <c r="A20" s="11" t="n">
        <v>16</v>
      </c>
      <c r="B20" s="11">
        <f>TEXT((46192)+(18+4+GmtOffset)/24,"ddd")</f>
        <v/>
      </c>
      <c r="C20" s="11">
        <f>TEXT((46192)+(18+4+GmtOffset)/24,"mmm d, yyyy")</f>
        <v/>
      </c>
      <c r="D20" s="11">
        <f>TEXT((46192)+(18+4+GmtOffset)/24,"h:mm")</f>
        <v/>
      </c>
      <c r="E20" s="12" t="inlineStr">
        <is>
          <t>Scotland</t>
        </is>
      </c>
      <c r="F20" s="7" t="n"/>
      <c r="G20" s="7" t="n"/>
      <c r="H20" s="13" t="inlineStr">
        <is>
          <t>Morocco</t>
        </is>
      </c>
      <c r="I20" s="11" t="inlineStr">
        <is>
          <t>C</t>
        </is>
      </c>
      <c r="J20" s="3" t="n"/>
      <c r="K20" s="13">
        <f>INDEX(BD18:BD21,MATCH(2,BL18:BL21,0))</f>
        <v/>
      </c>
      <c r="L20" s="11">
        <f>INDEX(BE18:BE21,MATCH(2,BL18:BL21,0))</f>
        <v/>
      </c>
      <c r="M20" s="11">
        <f>INDEX(BF18:BF21,MATCH(2,BL18:BL21,0))</f>
        <v/>
      </c>
      <c r="N20" s="11">
        <f>INDEX(BG18:BG21,MATCH(2,BL18:BL21,0))</f>
        <v/>
      </c>
      <c r="O20" s="11">
        <f>INDEX(BH18:BH21,MATCH(2,BL18:BL21,0))</f>
        <v/>
      </c>
      <c r="P20" s="11">
        <f>INDEX(BI18:BI21,MATCH(2,BL18:BL21,0))&amp;" - "&amp;INDEX(BJ18:BJ21,MATCH(2,BL18:BL21,0))</f>
        <v/>
      </c>
      <c r="Q20" s="14">
        <f>INDEX(BK18:BK21,MATCH(2,BL18:BL21,0))</f>
        <v/>
      </c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15">
        <f>IF(AND(ISNUMBER(AB27),ISNUMBER(AB28)),IF(AB27&gt;AB28,AA27,IF(AB28&gt;AB27,AA28,IF(NOT(AND(ISNUMBER(AC27),ISNUMBER(AC28))),"",IF(AC27&gt;AC28,AA27,IF(AC28&gt;AC27,AA28,IF(NOT(AND(ISNUMBER(AD27),ISNUMBER(AD28))),"",IF(AD27&gt;AD28,AA27,IF(AD28&gt;AD27,AA28,"")))))))),"W98")</f>
        <v/>
      </c>
      <c r="AF20" s="16" t="n"/>
      <c r="AG20" s="16" t="n"/>
      <c r="AH20" s="16" t="n"/>
      <c r="AI20" s="3" t="n"/>
      <c r="AJ20" s="3" t="n"/>
      <c r="AK20" s="3" t="n"/>
      <c r="AL20" s="3" t="n"/>
      <c r="AM20" s="3" t="n"/>
      <c r="AN20" s="3" t="n"/>
      <c r="BD20" t="inlineStr">
        <is>
          <t>Haiti</t>
        </is>
      </c>
      <c r="BE20">
        <f t="array" ref="BE20">SUMPRODUCT((((E17:E22=BD20)+(H17:H22=BD20))&gt;0)*ISNUMBER(F17:F22)*ISNUMBER(G17:G22))</f>
        <v/>
      </c>
      <c r="BF20">
        <f t="array" ref="BF20">SUMPRODUCT((E17:E22=BD20)*ISNUMBER(F17:F22)*ISNUMBER(G17:G22)*(F17:F22&gt;G17:G22))+SUMPRODUCT((H17:H22=BD20)*ISNUMBER(F17:F22)*ISNUMBER(G17:G22)*(G17:G22&gt;F17:F22))</f>
        <v/>
      </c>
      <c r="BG20">
        <f t="array" ref="BG20">SUMPRODUCT((((E17:E22=BD20)+(H17:H22=BD20))&gt;0)*ISNUMBER(F17:F22)*ISNUMBER(G17:G22)*(F17:F22=G17:G22))</f>
        <v/>
      </c>
      <c r="BH20">
        <f>BE20-BF20-BG20</f>
        <v/>
      </c>
      <c r="BI20">
        <f t="array" ref="BI20">SUMPRODUCT((E17:E22=BD20)*IFERROR(F17:F22,0))+SUMPRODUCT((H17:H22=BD20)*IFERROR(G17:G22,0))</f>
        <v/>
      </c>
      <c r="BJ20">
        <f t="array" ref="BJ20">SUMPRODUCT((E17:E22=BD20)*IFERROR(G17:G22,0))+SUMPRODUCT((H17:H22=BD20)*IFERROR(F17:F22,0))</f>
        <v/>
      </c>
      <c r="BK20">
        <f>BF20*3+BG20</f>
        <v/>
      </c>
      <c r="BL20">
        <f>1+SUMPRODUCT(((BK$18:BK$21&gt;BK20)+(BK$18:BK$21=BK20)*(BM$18:BM$21&gt;BM20)+(BK$18:BK$21=BK20)*(BM$18:BM$21=BM20)*(BN$18:BN$21&gt;BN20)+(BK$18:BK$21=BK20)*(BM$18:BM$21=BM20)*(BN$18:BN$21=BN20)*(BO$18:BO$21&gt;BO20)+(BK$18:BK$21=BK20)*(BM$18:BM$21=BM20)*(BN$18:BN$21=BN20)*(BO$18:BO$21=BO20)*((BI$18:BI$21-BJ$18:BJ$21)&gt;(BI20-BJ20))+(BK$18:BK$21=BK20)*(BM$18:BM$21=BM20)*(BN$18:BN$21=BN20)*(BO$18:BO$21=BO20)*((BI$18:BI$21-BJ$18:BJ$21)=(BI20-BJ20))*(BI$18:BI$21&gt;BI20)+(BK$18:BK$21=BK20)*(BM$18:BM$21=BM20)*(BN$18:BN$21=BN20)*(BO$18:BO$21=BO20)*((BI$18:BI$21-BJ$18:BJ$21)=(BI20-BJ20))*(BI$18:BI$21=BI20)*(ROW(BK$18:BK$21)&lt;ROW(BK20)))*1)</f>
        <v/>
      </c>
      <c r="BM20">
        <f t="array" ref="BM20">SUMPRODUCT((E$17:E$22=BD20)*ISNUMBER(F$17:F$22)*ISNUMBER(G$17:G$22)*COUNTIFS(BD$18:BD$21,H$17:H$22,BK$18:BK$21,BK20)*((F$17:F$22&gt;G$17:G$22)*3+(F$17:F$22=G$17:G$22)))+SUMPRODUCT((H$17:H$22=BD20)*ISNUMBER(F$17:F$22)*ISNUMBER(G$17:G$22)*COUNTIFS(BD$18:BD$21,E$17:E$22,BK$18:BK$21,BK20)*((G$17:G$22&gt;F$17:F$22)*3+(F$17:F$22=G$17:G$22)))</f>
        <v/>
      </c>
      <c r="BN20">
        <f t="array" ref="BN20">SUMPRODUCT((E$17:E$22=BD20)*ISNUMBER(F$17:F$22)*ISNUMBER(G$17:G$22)*COUNTIFS(BD$18:BD$21,H$17:H$22,BK$18:BK$21,BK20)*(F$17:F$22-G$17:G$22))+SUMPRODUCT((H$17:H$22=BD20)*ISNUMBER(F$17:F$22)*ISNUMBER(G$17:G$22)*COUNTIFS(BD$18:BD$21,E$17:E$22,BK$18:BK$21,BK20)*(G$17:G$22-F$17:F$22))</f>
        <v/>
      </c>
      <c r="BO20">
        <f t="array" ref="BO20">SUMPRODUCT((E$17:E$22=BD20)*ISNUMBER(F$17:F$22)*ISNUMBER(G$17:G$22)*COUNTIFS(BD$18:BD$21,H$17:H$22,BK$18:BK$21,BK20)*F$17:F$22)+SUMPRODUCT((H$17:H$22=BD20)*ISNUMBER(F$17:F$22)*ISNUMBER(G$17:G$22)*COUNTIFS(BD$18:BD$21,E$17:E$22,BK$18:BK$21,BK20)*G$17:G$22)</f>
        <v/>
      </c>
    </row>
    <row r="21" ht="12.75" customHeight="1">
      <c r="A21" s="11" t="n">
        <v>17</v>
      </c>
      <c r="B21" s="11">
        <f>TEXT((46197)+(18+4+GmtOffset)/24,"ddd")</f>
        <v/>
      </c>
      <c r="C21" s="11">
        <f>TEXT((46197)+(18+4+GmtOffset)/24,"mmm d, yyyy")</f>
        <v/>
      </c>
      <c r="D21" s="11">
        <f>TEXT((46197)+(18+4+GmtOffset)/24,"h:mm")</f>
        <v/>
      </c>
      <c r="E21" s="12" t="inlineStr">
        <is>
          <t>Scotland</t>
        </is>
      </c>
      <c r="F21" s="7" t="n"/>
      <c r="G21" s="7" t="n"/>
      <c r="H21" s="13" t="inlineStr">
        <is>
          <t>Brazil</t>
        </is>
      </c>
      <c r="I21" s="11" t="inlineStr">
        <is>
          <t>C</t>
        </is>
      </c>
      <c r="J21" s="3" t="n"/>
      <c r="K21" s="13">
        <f>INDEX(BD18:BD21,MATCH(3,BL18:BL21,0))</f>
        <v/>
      </c>
      <c r="L21" s="11">
        <f>INDEX(BE18:BE21,MATCH(3,BL18:BL21,0))</f>
        <v/>
      </c>
      <c r="M21" s="11">
        <f>INDEX(BF18:BF21,MATCH(3,BL18:BL21,0))</f>
        <v/>
      </c>
      <c r="N21" s="11">
        <f>INDEX(BG18:BG21,MATCH(3,BL18:BL21,0))</f>
        <v/>
      </c>
      <c r="O21" s="11">
        <f>INDEX(BH18:BH21,MATCH(3,BL18:BL21,0))</f>
        <v/>
      </c>
      <c r="P21" s="11">
        <f>INDEX(BI18:BI21,MATCH(3,BL18:BL21,0))&amp;" - "&amp;INDEX(BJ18:BJ21,MATCH(3,BL18:BL21,0))</f>
        <v/>
      </c>
      <c r="Q21" s="14">
        <f>INDEX(BK18:BK21,MATCH(3,BL18:BL21,0))</f>
        <v/>
      </c>
      <c r="S21" s="9">
        <f>IF((COUNTIF($F$5:$G$76,"&gt;=0")=144),IFERROR(INDEX($AO$81:$AO$92,9),"Winner I"),"Winner I")</f>
        <v/>
      </c>
      <c r="T21" s="10" t="n"/>
      <c r="U21" s="10" t="n"/>
      <c r="V21" s="10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BD21" t="inlineStr">
        <is>
          <t>Scotland</t>
        </is>
      </c>
      <c r="BE21">
        <f t="array" ref="BE21">SUMPRODUCT((((E17:E22=BD21)+(H17:H22=BD21))&gt;0)*ISNUMBER(F17:F22)*ISNUMBER(G17:G22))</f>
        <v/>
      </c>
      <c r="BF21">
        <f t="array" ref="BF21">SUMPRODUCT((E17:E22=BD21)*ISNUMBER(F17:F22)*ISNUMBER(G17:G22)*(F17:F22&gt;G17:G22))+SUMPRODUCT((H17:H22=BD21)*ISNUMBER(F17:F22)*ISNUMBER(G17:G22)*(G17:G22&gt;F17:F22))</f>
        <v/>
      </c>
      <c r="BG21">
        <f t="array" ref="BG21">SUMPRODUCT((((E17:E22=BD21)+(H17:H22=BD21))&gt;0)*ISNUMBER(F17:F22)*ISNUMBER(G17:G22)*(F17:F22=G17:G22))</f>
        <v/>
      </c>
      <c r="BH21">
        <f>BE21-BF21-BG21</f>
        <v/>
      </c>
      <c r="BI21">
        <f t="array" ref="BI21">SUMPRODUCT((E17:E22=BD21)*IFERROR(F17:F22,0))+SUMPRODUCT((H17:H22=BD21)*IFERROR(G17:G22,0))</f>
        <v/>
      </c>
      <c r="BJ21">
        <f t="array" ref="BJ21">SUMPRODUCT((E17:E22=BD21)*IFERROR(G17:G22,0))+SUMPRODUCT((H17:H22=BD21)*IFERROR(F17:F22,0))</f>
        <v/>
      </c>
      <c r="BK21">
        <f>BF21*3+BG21</f>
        <v/>
      </c>
      <c r="BL21">
        <f>1+SUMPRODUCT(((BK$18:BK$21&gt;BK21)+(BK$18:BK$21=BK21)*(BM$18:BM$21&gt;BM21)+(BK$18:BK$21=BK21)*(BM$18:BM$21=BM21)*(BN$18:BN$21&gt;BN21)+(BK$18:BK$21=BK21)*(BM$18:BM$21=BM21)*(BN$18:BN$21=BN21)*(BO$18:BO$21&gt;BO21)+(BK$18:BK$21=BK21)*(BM$18:BM$21=BM21)*(BN$18:BN$21=BN21)*(BO$18:BO$21=BO21)*((BI$18:BI$21-BJ$18:BJ$21)&gt;(BI21-BJ21))+(BK$18:BK$21=BK21)*(BM$18:BM$21=BM21)*(BN$18:BN$21=BN21)*(BO$18:BO$21=BO21)*((BI$18:BI$21-BJ$18:BJ$21)=(BI21-BJ21))*(BI$18:BI$21&gt;BI21)+(BK$18:BK$21=BK21)*(BM$18:BM$21=BM21)*(BN$18:BN$21=BN21)*(BO$18:BO$21=BO21)*((BI$18:BI$21-BJ$18:BJ$21)=(BI21-BJ21))*(BI$18:BI$21=BI21)*(ROW(BK$18:BK$21)&lt;ROW(BK21)))*1)</f>
        <v/>
      </c>
      <c r="BM21">
        <f t="array" ref="BM21">SUMPRODUCT((E$17:E$22=BD21)*ISNUMBER(F$17:F$22)*ISNUMBER(G$17:G$22)*COUNTIFS(BD$18:BD$21,H$17:H$22,BK$18:BK$21,BK21)*((F$17:F$22&gt;G$17:G$22)*3+(F$17:F$22=G$17:G$22)))+SUMPRODUCT((H$17:H$22=BD21)*ISNUMBER(F$17:F$22)*ISNUMBER(G$17:G$22)*COUNTIFS(BD$18:BD$21,E$17:E$22,BK$18:BK$21,BK21)*((G$17:G$22&gt;F$17:F$22)*3+(F$17:F$22=G$17:G$22)))</f>
        <v/>
      </c>
      <c r="BN21">
        <f t="array" ref="BN21">SUMPRODUCT((E$17:E$22=BD21)*ISNUMBER(F$17:F$22)*ISNUMBER(G$17:G$22)*COUNTIFS(BD$18:BD$21,H$17:H$22,BK$18:BK$21,BK21)*(F$17:F$22-G$17:G$22))+SUMPRODUCT((H$17:H$22=BD21)*ISNUMBER(F$17:F$22)*ISNUMBER(G$17:G$22)*COUNTIFS(BD$18:BD$21,E$17:E$22,BK$18:BK$21,BK21)*(G$17:G$22-F$17:F$22))</f>
        <v/>
      </c>
      <c r="BO21">
        <f t="array" ref="BO21">SUMPRODUCT((E$17:E$22=BD21)*ISNUMBER(F$17:F$22)*ISNUMBER(G$17:G$22)*COUNTIFS(BD$18:BD$21,H$17:H$22,BK$18:BK$21,BK21)*F$17:F$22)+SUMPRODUCT((H$17:H$22=BD21)*ISNUMBER(F$17:F$22)*ISNUMBER(G$17:G$22)*COUNTIFS(BD$18:BD$21,E$17:E$22,BK$18:BK$21,BK21)*G$17:G$22)</f>
        <v/>
      </c>
    </row>
    <row r="22" ht="12.75" customHeight="1">
      <c r="A22" s="11" t="n">
        <v>18</v>
      </c>
      <c r="B22" s="11">
        <f>TEXT((46197)+(18+4+GmtOffset)/24,"ddd")</f>
        <v/>
      </c>
      <c r="C22" s="11">
        <f>TEXT((46197)+(18+4+GmtOffset)/24,"mmm d, yyyy")</f>
        <v/>
      </c>
      <c r="D22" s="11">
        <f>TEXT((46197)+(18+4+GmtOffset)/24,"h:mm")</f>
        <v/>
      </c>
      <c r="E22" s="12" t="inlineStr">
        <is>
          <t>Morocco</t>
        </is>
      </c>
      <c r="F22" s="7" t="n"/>
      <c r="G22" s="7" t="n"/>
      <c r="H22" s="13" t="inlineStr">
        <is>
          <t>Haiti</t>
        </is>
      </c>
      <c r="I22" s="11" t="inlineStr">
        <is>
          <t>C</t>
        </is>
      </c>
      <c r="J22" s="3" t="n"/>
      <c r="K22" s="17">
        <f>INDEX(BD18:BD21,MATCH(4,BL18:BL21,0))</f>
        <v/>
      </c>
      <c r="L22" s="18">
        <f>INDEX(BE18:BE21,MATCH(4,BL18:BL21,0))</f>
        <v/>
      </c>
      <c r="M22" s="18">
        <f>INDEX(BF18:BF21,MATCH(4,BL18:BL21,0))</f>
        <v/>
      </c>
      <c r="N22" s="18">
        <f>INDEX(BG18:BG21,MATCH(4,BL18:BL21,0))</f>
        <v/>
      </c>
      <c r="O22" s="18">
        <f>INDEX(BH18:BH21,MATCH(4,BL18:BL21,0))</f>
        <v/>
      </c>
      <c r="P22" s="18">
        <f>INDEX(BI18:BI21,MATCH(4,BL18:BL21,0))&amp;" - "&amp;INDEX(BJ18:BJ21,MATCH(4,BL18:BL21,0))</f>
        <v/>
      </c>
      <c r="Q22" s="19">
        <f>INDEX(BK18:BK21,MATCH(4,BL18:BL21,0))</f>
        <v/>
      </c>
      <c r="S22" s="15">
        <f>IF((COUNTIF($F$5:$G$76,"&gt;=0")=144),IFERROR(INDEX($AQ$81:$AQ$92,MATCH($BN$81,$AN$81:$AN$92,0)),"Best 3rd C/D/F/G/H"),"Best 3rd C/D/F/G/H")</f>
        <v/>
      </c>
      <c r="T22" s="16" t="n"/>
      <c r="U22" s="16" t="n"/>
      <c r="V22" s="16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</row>
    <row r="23" ht="12.75" customHeight="1">
      <c r="A23" s="11" t="n">
        <v>19</v>
      </c>
      <c r="B23" s="11">
        <f>TEXT((46185)+(21+4+GmtOffset)/24,"ddd")</f>
        <v/>
      </c>
      <c r="C23" s="11">
        <f>TEXT((46185)+(21+4+GmtOffset)/24,"mmm d, yyyy")</f>
        <v/>
      </c>
      <c r="D23" s="11">
        <f>TEXT((46185)+(21+4+GmtOffset)/24,"h:mm")</f>
        <v/>
      </c>
      <c r="E23" s="12" t="inlineStr">
        <is>
          <t>United States</t>
        </is>
      </c>
      <c r="F23" s="7" t="n">
        <v>4</v>
      </c>
      <c r="G23" s="7" t="n">
        <v>1</v>
      </c>
      <c r="H23" s="13" t="inlineStr">
        <is>
          <t>Paraguay</t>
        </is>
      </c>
      <c r="I23" s="11" t="inlineStr">
        <is>
          <t>D</t>
        </is>
      </c>
      <c r="J23" s="3" t="n"/>
      <c r="K23" s="145" t="inlineStr">
        <is>
          <t>Group D</t>
        </is>
      </c>
      <c r="L23" s="20" t="n"/>
      <c r="M23" s="20" t="n"/>
      <c r="N23" s="20" t="n"/>
      <c r="O23" s="20" t="n"/>
      <c r="P23" s="20" t="n"/>
      <c r="Q23" s="20" t="n"/>
      <c r="S23" s="3" t="n"/>
      <c r="T23" s="3" t="n"/>
      <c r="U23" s="3" t="n"/>
      <c r="V23" s="3" t="n"/>
      <c r="W23" s="9">
        <f>IF(AND(ISNUMBER(T17),ISNUMBER(T18)),IF(T17&gt;T18,S17,IF(T18&gt;T17,S18,IF(NOT(AND(ISNUMBER(U17),ISNUMBER(U18))),"",IF(U17&gt;U18,S17,IF(U18&gt;U17,S18,IF(NOT(AND(ISNUMBER(V17),ISNUMBER(V18))),"",IF(V17&gt;V18,S17,IF(V18&gt;V17,S18,"")))))))),"W76")</f>
        <v/>
      </c>
      <c r="X23" s="10" t="n"/>
      <c r="Y23" s="10" t="n"/>
      <c r="Z23" s="10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</row>
    <row r="24" ht="12.75" customHeight="1">
      <c r="A24" s="11" t="n">
        <v>20</v>
      </c>
      <c r="B24" s="11">
        <f>TEXT((46187)+(0+4+GmtOffset)/24,"ddd")</f>
        <v/>
      </c>
      <c r="C24" s="11">
        <f>TEXT((46187)+(0+4+GmtOffset)/24,"mmm d, yyyy")</f>
        <v/>
      </c>
      <c r="D24" s="11">
        <f>TEXT((46187)+(0+4+GmtOffset)/24,"h:mm")</f>
        <v/>
      </c>
      <c r="E24" s="12" t="inlineStr">
        <is>
          <t>Australia</t>
        </is>
      </c>
      <c r="F24" s="7" t="n"/>
      <c r="G24" s="7" t="n"/>
      <c r="H24" s="13" t="inlineStr">
        <is>
          <t>Türkiye</t>
        </is>
      </c>
      <c r="I24" s="11" t="inlineStr">
        <is>
          <t>D</t>
        </is>
      </c>
      <c r="J24" s="3" t="n"/>
      <c r="K24" s="14" t="n"/>
      <c r="L24" s="14" t="inlineStr">
        <is>
          <t>PL</t>
        </is>
      </c>
      <c r="M24" s="14" t="inlineStr">
        <is>
          <t>W</t>
        </is>
      </c>
      <c r="N24" s="14" t="inlineStr">
        <is>
          <t>D</t>
        </is>
      </c>
      <c r="O24" s="14" t="inlineStr">
        <is>
          <t>L</t>
        </is>
      </c>
      <c r="P24" s="14" t="inlineStr">
        <is>
          <t>GF - GA</t>
        </is>
      </c>
      <c r="Q24" s="14" t="inlineStr">
        <is>
          <t>P</t>
        </is>
      </c>
      <c r="S24" s="3" t="n"/>
      <c r="T24" s="3" t="n"/>
      <c r="U24" s="3" t="n"/>
      <c r="V24" s="3" t="n"/>
      <c r="W24" s="15">
        <f>IF(AND(ISNUMBER(T25),ISNUMBER(T26)),IF(T25&gt;T26,S25,IF(T26&gt;T25,S26,IF(NOT(AND(ISNUMBER(U25),ISNUMBER(U26))),"",IF(U25&gt;U26,S25,IF(U26&gt;U25,S26,IF(NOT(AND(ISNUMBER(V25),ISNUMBER(V26))),"",IF(V25&gt;V26,S25,IF(V26&gt;V25,S26,"")))))))),"W78")</f>
        <v/>
      </c>
      <c r="X24" s="16" t="n"/>
      <c r="Y24" s="16" t="n"/>
      <c r="Z24" s="16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BD24" t="inlineStr">
        <is>
          <t>United States</t>
        </is>
      </c>
      <c r="BE24">
        <f t="array" ref="BE24">SUMPRODUCT((((E23:E28=BD24)+(H23:H28=BD24))&gt;0)*ISNUMBER(F23:F28)*ISNUMBER(G23:G28))</f>
        <v/>
      </c>
      <c r="BF24">
        <f t="array" ref="BF24">SUMPRODUCT((E23:E28=BD24)*ISNUMBER(F23:F28)*ISNUMBER(G23:G28)*(F23:F28&gt;G23:G28))+SUMPRODUCT((H23:H28=BD24)*ISNUMBER(F23:F28)*ISNUMBER(G23:G28)*(G23:G28&gt;F23:F28))</f>
        <v/>
      </c>
      <c r="BG24">
        <f t="array" ref="BG24">SUMPRODUCT((((E23:E28=BD24)+(H23:H28=BD24))&gt;0)*ISNUMBER(F23:F28)*ISNUMBER(G23:G28)*(F23:F28=G23:G28))</f>
        <v/>
      </c>
      <c r="BH24">
        <f>BE24-BF24-BG24</f>
        <v/>
      </c>
      <c r="BI24">
        <f t="array" ref="BI24">SUMPRODUCT((E23:E28=BD24)*IFERROR(F23:F28,0))+SUMPRODUCT((H23:H28=BD24)*IFERROR(G23:G28,0))</f>
        <v/>
      </c>
      <c r="BJ24">
        <f t="array" ref="BJ24">SUMPRODUCT((E23:E28=BD24)*IFERROR(G23:G28,0))+SUMPRODUCT((H23:H28=BD24)*IFERROR(F23:F28,0))</f>
        <v/>
      </c>
      <c r="BK24">
        <f>BF24*3+BG24</f>
        <v/>
      </c>
      <c r="BL24">
        <f>1+SUMPRODUCT(((BK$24:BK$27&gt;BK24)+(BK$24:BK$27=BK24)*(BM$24:BM$27&gt;BM24)+(BK$24:BK$27=BK24)*(BM$24:BM$27=BM24)*(BN$24:BN$27&gt;BN24)+(BK$24:BK$27=BK24)*(BM$24:BM$27=BM24)*(BN$24:BN$27=BN24)*(BO$24:BO$27&gt;BO24)+(BK$24:BK$27=BK24)*(BM$24:BM$27=BM24)*(BN$24:BN$27=BN24)*(BO$24:BO$27=BO24)*((BI$24:BI$27-BJ$24:BJ$27)&gt;(BI24-BJ24))+(BK$24:BK$27=BK24)*(BM$24:BM$27=BM24)*(BN$24:BN$27=BN24)*(BO$24:BO$27=BO24)*((BI$24:BI$27-BJ$24:BJ$27)=(BI24-BJ24))*(BI$24:BI$27&gt;BI24)+(BK$24:BK$27=BK24)*(BM$24:BM$27=BM24)*(BN$24:BN$27=BN24)*(BO$24:BO$27=BO24)*((BI$24:BI$27-BJ$24:BJ$27)=(BI24-BJ24))*(BI$24:BI$27=BI24)*(ROW(BK$24:BK$27)&lt;ROW(BK24)))*1)</f>
        <v/>
      </c>
      <c r="BM24">
        <f t="array" ref="BM24">SUMPRODUCT((E$23:E$28=BD24)*ISNUMBER(F$23:F$28)*ISNUMBER(G$23:G$28)*COUNTIFS(BD$24:BD$27,H$23:H$28,BK$24:BK$27,BK24)*((F$23:F$28&gt;G$23:G$28)*3+(F$23:F$28=G$23:G$28)))+SUMPRODUCT((H$23:H$28=BD24)*ISNUMBER(F$23:F$28)*ISNUMBER(G$23:G$28)*COUNTIFS(BD$24:BD$27,E$23:E$28,BK$24:BK$27,BK24)*((G$23:G$28&gt;F$23:F$28)*3+(F$23:F$28=G$23:G$28)))</f>
        <v/>
      </c>
      <c r="BN24">
        <f t="array" ref="BN24">SUMPRODUCT((E$23:E$28=BD24)*ISNUMBER(F$23:F$28)*ISNUMBER(G$23:G$28)*COUNTIFS(BD$24:BD$27,H$23:H$28,BK$24:BK$27,BK24)*(F$23:F$28-G$23:G$28))+SUMPRODUCT((H$23:H$28=BD24)*ISNUMBER(F$23:F$28)*ISNUMBER(G$23:G$28)*COUNTIFS(BD$24:BD$27,E$23:E$28,BK$24:BK$27,BK24)*(G$23:G$28-F$23:F$28))</f>
        <v/>
      </c>
      <c r="BO24">
        <f t="array" ref="BO24">SUMPRODUCT((E$23:E$28=BD24)*ISNUMBER(F$23:F$28)*ISNUMBER(G$23:G$28)*COUNTIFS(BD$24:BD$27,H$23:H$28,BK$24:BK$27,BK24)*F$23:F$28)+SUMPRODUCT((H$23:H$28=BD24)*ISNUMBER(F$23:F$28)*ISNUMBER(G$23:G$28)*COUNTIFS(BD$24:BD$27,E$23:E$28,BK$24:BK$27,BK24)*G$23:G$28)</f>
        <v/>
      </c>
    </row>
    <row r="25" ht="12.75" customHeight="1">
      <c r="A25" s="11" t="n">
        <v>21</v>
      </c>
      <c r="B25" s="11">
        <f>TEXT((46192)+(15+4+GmtOffset)/24,"ddd")</f>
        <v/>
      </c>
      <c r="C25" s="11">
        <f>TEXT((46192)+(15+4+GmtOffset)/24,"mmm d, yyyy")</f>
        <v/>
      </c>
      <c r="D25" s="11">
        <f>TEXT((46192)+(15+4+GmtOffset)/24,"h:mm")</f>
        <v/>
      </c>
      <c r="E25" s="12" t="inlineStr">
        <is>
          <t>United States</t>
        </is>
      </c>
      <c r="F25" s="7" t="n"/>
      <c r="G25" s="7" t="n"/>
      <c r="H25" s="13" t="inlineStr">
        <is>
          <t>Australia</t>
        </is>
      </c>
      <c r="I25" s="11" t="inlineStr">
        <is>
          <t>D</t>
        </is>
      </c>
      <c r="J25" s="3" t="n"/>
      <c r="K25" s="13">
        <f>INDEX(BD24:BD27,MATCH(1,BL24:BL27,0))</f>
        <v/>
      </c>
      <c r="L25" s="11">
        <f>INDEX(BE24:BE27,MATCH(1,BL24:BL27,0))</f>
        <v/>
      </c>
      <c r="M25" s="11">
        <f>INDEX(BF24:BF27,MATCH(1,BL24:BL27,0))</f>
        <v/>
      </c>
      <c r="N25" s="11">
        <f>INDEX(BG24:BG27,MATCH(1,BL24:BL27,0))</f>
        <v/>
      </c>
      <c r="O25" s="11">
        <f>INDEX(BH24:BH27,MATCH(1,BL24:BL27,0))</f>
        <v/>
      </c>
      <c r="P25" s="11">
        <f>INDEX(BI24:BI27,MATCH(1,BL24:BL27,0))&amp;" - "&amp;INDEX(BJ24:BJ27,MATCH(1,BL24:BL27,0))</f>
        <v/>
      </c>
      <c r="Q25" s="14">
        <f>INDEX(BK24:BK27,MATCH(1,BL24:BL27,0))</f>
        <v/>
      </c>
      <c r="S25" s="9">
        <f>IF((COUNTIF($F$5:$G$76,"&gt;=0")=144),IFERROR(INDEX($AP$81:$AP$92,5),"Runner-up E"),"Runner-up E")</f>
        <v/>
      </c>
      <c r="T25" s="10" t="n"/>
      <c r="U25" s="10" t="n"/>
      <c r="V25" s="10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BD25" t="inlineStr">
        <is>
          <t>Paraguay</t>
        </is>
      </c>
      <c r="BE25">
        <f t="array" ref="BE25">SUMPRODUCT((((E23:E28=BD25)+(H23:H28=BD25))&gt;0)*ISNUMBER(F23:F28)*ISNUMBER(G23:G28))</f>
        <v/>
      </c>
      <c r="BF25">
        <f t="array" ref="BF25">SUMPRODUCT((E23:E28=BD25)*ISNUMBER(F23:F28)*ISNUMBER(G23:G28)*(F23:F28&gt;G23:G28))+SUMPRODUCT((H23:H28=BD25)*ISNUMBER(F23:F28)*ISNUMBER(G23:G28)*(G23:G28&gt;F23:F28))</f>
        <v/>
      </c>
      <c r="BG25">
        <f t="array" ref="BG25">SUMPRODUCT((((E23:E28=BD25)+(H23:H28=BD25))&gt;0)*ISNUMBER(F23:F28)*ISNUMBER(G23:G28)*(F23:F28=G23:G28))</f>
        <v/>
      </c>
      <c r="BH25">
        <f>BE25-BF25-BG25</f>
        <v/>
      </c>
      <c r="BI25">
        <f t="array" ref="BI25">SUMPRODUCT((E23:E28=BD25)*IFERROR(F23:F28,0))+SUMPRODUCT((H23:H28=BD25)*IFERROR(G23:G28,0))</f>
        <v/>
      </c>
      <c r="BJ25">
        <f t="array" ref="BJ25">SUMPRODUCT((E23:E28=BD25)*IFERROR(G23:G28,0))+SUMPRODUCT((H23:H28=BD25)*IFERROR(F23:F28,0))</f>
        <v/>
      </c>
      <c r="BK25">
        <f>BF25*3+BG25</f>
        <v/>
      </c>
      <c r="BL25">
        <f>1+SUMPRODUCT(((BK$24:BK$27&gt;BK25)+(BK$24:BK$27=BK25)*(BM$24:BM$27&gt;BM25)+(BK$24:BK$27=BK25)*(BM$24:BM$27=BM25)*(BN$24:BN$27&gt;BN25)+(BK$24:BK$27=BK25)*(BM$24:BM$27=BM25)*(BN$24:BN$27=BN25)*(BO$24:BO$27&gt;BO25)+(BK$24:BK$27=BK25)*(BM$24:BM$27=BM25)*(BN$24:BN$27=BN25)*(BO$24:BO$27=BO25)*((BI$24:BI$27-BJ$24:BJ$27)&gt;(BI25-BJ25))+(BK$24:BK$27=BK25)*(BM$24:BM$27=BM25)*(BN$24:BN$27=BN25)*(BO$24:BO$27=BO25)*((BI$24:BI$27-BJ$24:BJ$27)=(BI25-BJ25))*(BI$24:BI$27&gt;BI25)+(BK$24:BK$27=BK25)*(BM$24:BM$27=BM25)*(BN$24:BN$27=BN25)*(BO$24:BO$27=BO25)*((BI$24:BI$27-BJ$24:BJ$27)=(BI25-BJ25))*(BI$24:BI$27=BI25)*(ROW(BK$24:BK$27)&lt;ROW(BK25)))*1)</f>
        <v/>
      </c>
      <c r="BM25">
        <f t="array" ref="BM25">SUMPRODUCT((E$23:E$28=BD25)*ISNUMBER(F$23:F$28)*ISNUMBER(G$23:G$28)*COUNTIFS(BD$24:BD$27,H$23:H$28,BK$24:BK$27,BK25)*((F$23:F$28&gt;G$23:G$28)*3+(F$23:F$28=G$23:G$28)))+SUMPRODUCT((H$23:H$28=BD25)*ISNUMBER(F$23:F$28)*ISNUMBER(G$23:G$28)*COUNTIFS(BD$24:BD$27,E$23:E$28,BK$24:BK$27,BK25)*((G$23:G$28&gt;F$23:F$28)*3+(F$23:F$28=G$23:G$28)))</f>
        <v/>
      </c>
      <c r="BN25">
        <f t="array" ref="BN25">SUMPRODUCT((E$23:E$28=BD25)*ISNUMBER(F$23:F$28)*ISNUMBER(G$23:G$28)*COUNTIFS(BD$24:BD$27,H$23:H$28,BK$24:BK$27,BK25)*(F$23:F$28-G$23:G$28))+SUMPRODUCT((H$23:H$28=BD25)*ISNUMBER(F$23:F$28)*ISNUMBER(G$23:G$28)*COUNTIFS(BD$24:BD$27,E$23:E$28,BK$24:BK$27,BK25)*(G$23:G$28-F$23:F$28))</f>
        <v/>
      </c>
      <c r="BO25">
        <f t="array" ref="BO25">SUMPRODUCT((E$23:E$28=BD25)*ISNUMBER(F$23:F$28)*ISNUMBER(G$23:G$28)*COUNTIFS(BD$24:BD$27,H$23:H$28,BK$24:BK$27,BK25)*F$23:F$28)+SUMPRODUCT((H$23:H$28=BD25)*ISNUMBER(F$23:F$28)*ISNUMBER(G$23:G$28)*COUNTIFS(BD$24:BD$27,E$23:E$28,BK$24:BK$27,BK25)*G$23:G$28)</f>
        <v/>
      </c>
    </row>
    <row r="26" ht="12.75" customHeight="1">
      <c r="A26" s="11" t="n">
        <v>22</v>
      </c>
      <c r="B26" s="11">
        <f>TEXT((46192)+(23+4+GmtOffset)/24,"ddd")</f>
        <v/>
      </c>
      <c r="C26" s="11">
        <f>TEXT((46192)+(23+4+GmtOffset)/24,"mmm d, yyyy")</f>
        <v/>
      </c>
      <c r="D26" s="11">
        <f>TEXT((46192)+(23+4+GmtOffset)/24,"h:mm")</f>
        <v/>
      </c>
      <c r="E26" s="12" t="inlineStr">
        <is>
          <t>Türkiye</t>
        </is>
      </c>
      <c r="F26" s="7" t="n"/>
      <c r="G26" s="7" t="n"/>
      <c r="H26" s="13" t="inlineStr">
        <is>
          <t>Paraguay</t>
        </is>
      </c>
      <c r="I26" s="11" t="inlineStr">
        <is>
          <t>D</t>
        </is>
      </c>
      <c r="J26" s="3" t="n"/>
      <c r="K26" s="13">
        <f>INDEX(BD24:BD27,MATCH(2,BL24:BL27,0))</f>
        <v/>
      </c>
      <c r="L26" s="11">
        <f>INDEX(BE24:BE27,MATCH(2,BL24:BL27,0))</f>
        <v/>
      </c>
      <c r="M26" s="11">
        <f>INDEX(BF24:BF27,MATCH(2,BL24:BL27,0))</f>
        <v/>
      </c>
      <c r="N26" s="11">
        <f>INDEX(BG24:BG27,MATCH(2,BL24:BL27,0))</f>
        <v/>
      </c>
      <c r="O26" s="11">
        <f>INDEX(BH24:BH27,MATCH(2,BL24:BL27,0))</f>
        <v/>
      </c>
      <c r="P26" s="11">
        <f>INDEX(BI24:BI27,MATCH(2,BL24:BL27,0))&amp;" - "&amp;INDEX(BJ24:BJ27,MATCH(2,BL24:BL27,0))</f>
        <v/>
      </c>
      <c r="Q26" s="14">
        <f>INDEX(BK24:BK27,MATCH(2,BL24:BL27,0))</f>
        <v/>
      </c>
      <c r="S26" s="15">
        <f>IF((COUNTIF($F$5:$G$76,"&gt;=0")=144),IFERROR(INDEX($AP$81:$AP$92,9),"Runner-up I"),"Runner-up I")</f>
        <v/>
      </c>
      <c r="T26" s="16" t="n"/>
      <c r="U26" s="16" t="n"/>
      <c r="V26" s="16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BD26" t="inlineStr">
        <is>
          <t>Australia</t>
        </is>
      </c>
      <c r="BE26">
        <f t="array" ref="BE26">SUMPRODUCT((((E23:E28=BD26)+(H23:H28=BD26))&gt;0)*ISNUMBER(F23:F28)*ISNUMBER(G23:G28))</f>
        <v/>
      </c>
      <c r="BF26">
        <f t="array" ref="BF26">SUMPRODUCT((E23:E28=BD26)*ISNUMBER(F23:F28)*ISNUMBER(G23:G28)*(F23:F28&gt;G23:G28))+SUMPRODUCT((H23:H28=BD26)*ISNUMBER(F23:F28)*ISNUMBER(G23:G28)*(G23:G28&gt;F23:F28))</f>
        <v/>
      </c>
      <c r="BG26">
        <f t="array" ref="BG26">SUMPRODUCT((((E23:E28=BD26)+(H23:H28=BD26))&gt;0)*ISNUMBER(F23:F28)*ISNUMBER(G23:G28)*(F23:F28=G23:G28))</f>
        <v/>
      </c>
      <c r="BH26">
        <f>BE26-BF26-BG26</f>
        <v/>
      </c>
      <c r="BI26">
        <f t="array" ref="BI26">SUMPRODUCT((E23:E28=BD26)*IFERROR(F23:F28,0))+SUMPRODUCT((H23:H28=BD26)*IFERROR(G23:G28,0))</f>
        <v/>
      </c>
      <c r="BJ26">
        <f t="array" ref="BJ26">SUMPRODUCT((E23:E28=BD26)*IFERROR(G23:G28,0))+SUMPRODUCT((H23:H28=BD26)*IFERROR(F23:F28,0))</f>
        <v/>
      </c>
      <c r="BK26">
        <f>BF26*3+BG26</f>
        <v/>
      </c>
      <c r="BL26">
        <f>1+SUMPRODUCT(((BK$24:BK$27&gt;BK26)+(BK$24:BK$27=BK26)*(BM$24:BM$27&gt;BM26)+(BK$24:BK$27=BK26)*(BM$24:BM$27=BM26)*(BN$24:BN$27&gt;BN26)+(BK$24:BK$27=BK26)*(BM$24:BM$27=BM26)*(BN$24:BN$27=BN26)*(BO$24:BO$27&gt;BO26)+(BK$24:BK$27=BK26)*(BM$24:BM$27=BM26)*(BN$24:BN$27=BN26)*(BO$24:BO$27=BO26)*((BI$24:BI$27-BJ$24:BJ$27)&gt;(BI26-BJ26))+(BK$24:BK$27=BK26)*(BM$24:BM$27=BM26)*(BN$24:BN$27=BN26)*(BO$24:BO$27=BO26)*((BI$24:BI$27-BJ$24:BJ$27)=(BI26-BJ26))*(BI$24:BI$27&gt;BI26)+(BK$24:BK$27=BK26)*(BM$24:BM$27=BM26)*(BN$24:BN$27=BN26)*(BO$24:BO$27=BO26)*((BI$24:BI$27-BJ$24:BJ$27)=(BI26-BJ26))*(BI$24:BI$27=BI26)*(ROW(BK$24:BK$27)&lt;ROW(BK26)))*1)</f>
        <v/>
      </c>
      <c r="BM26">
        <f t="array" ref="BM26">SUMPRODUCT((E$23:E$28=BD26)*ISNUMBER(F$23:F$28)*ISNUMBER(G$23:G$28)*COUNTIFS(BD$24:BD$27,H$23:H$28,BK$24:BK$27,BK26)*((F$23:F$28&gt;G$23:G$28)*3+(F$23:F$28=G$23:G$28)))+SUMPRODUCT((H$23:H$28=BD26)*ISNUMBER(F$23:F$28)*ISNUMBER(G$23:G$28)*COUNTIFS(BD$24:BD$27,E$23:E$28,BK$24:BK$27,BK26)*((G$23:G$28&gt;F$23:F$28)*3+(F$23:F$28=G$23:G$28)))</f>
        <v/>
      </c>
      <c r="BN26">
        <f t="array" ref="BN26">SUMPRODUCT((E$23:E$28=BD26)*ISNUMBER(F$23:F$28)*ISNUMBER(G$23:G$28)*COUNTIFS(BD$24:BD$27,H$23:H$28,BK$24:BK$27,BK26)*(F$23:F$28-G$23:G$28))+SUMPRODUCT((H$23:H$28=BD26)*ISNUMBER(F$23:F$28)*ISNUMBER(G$23:G$28)*COUNTIFS(BD$24:BD$27,E$23:E$28,BK$24:BK$27,BK26)*(G$23:G$28-F$23:F$28))</f>
        <v/>
      </c>
      <c r="BO26">
        <f t="array" ref="BO26">SUMPRODUCT((E$23:E$28=BD26)*ISNUMBER(F$23:F$28)*ISNUMBER(G$23:G$28)*COUNTIFS(BD$24:BD$27,H$23:H$28,BK$24:BK$27,BK26)*F$23:F$28)+SUMPRODUCT((H$23:H$28=BD26)*ISNUMBER(F$23:F$28)*ISNUMBER(G$23:G$28)*COUNTIFS(BD$24:BD$27,E$23:E$28,BK$24:BK$27,BK26)*G$23:G$28)</f>
        <v/>
      </c>
    </row>
    <row r="27" ht="12.75" customHeight="1">
      <c r="A27" s="11" t="n">
        <v>23</v>
      </c>
      <c r="B27" s="11">
        <f>TEXT((46198)+(22+4+GmtOffset)/24,"ddd")</f>
        <v/>
      </c>
      <c r="C27" s="11">
        <f>TEXT((46198)+(22+4+GmtOffset)/24,"mmm d, yyyy")</f>
        <v/>
      </c>
      <c r="D27" s="11">
        <f>TEXT((46198)+(22+4+GmtOffset)/24,"h:mm")</f>
        <v/>
      </c>
      <c r="E27" s="12" t="inlineStr">
        <is>
          <t>Türkiye</t>
        </is>
      </c>
      <c r="F27" s="7" t="n"/>
      <c r="G27" s="7" t="n"/>
      <c r="H27" s="13" t="inlineStr">
        <is>
          <t>United States</t>
        </is>
      </c>
      <c r="I27" s="11" t="inlineStr">
        <is>
          <t>D</t>
        </is>
      </c>
      <c r="J27" s="3" t="n"/>
      <c r="K27" s="13">
        <f>INDEX(BD24:BD27,MATCH(3,BL24:BL27,0))</f>
        <v/>
      </c>
      <c r="L27" s="11">
        <f>INDEX(BE24:BE27,MATCH(3,BL24:BL27,0))</f>
        <v/>
      </c>
      <c r="M27" s="11">
        <f>INDEX(BF24:BF27,MATCH(3,BL24:BL27,0))</f>
        <v/>
      </c>
      <c r="N27" s="11">
        <f>INDEX(BG24:BG27,MATCH(3,BL24:BL27,0))</f>
        <v/>
      </c>
      <c r="O27" s="11">
        <f>INDEX(BH24:BH27,MATCH(3,BL24:BL27,0))</f>
        <v/>
      </c>
      <c r="P27" s="11">
        <f>INDEX(BI24:BI27,MATCH(3,BL24:BL27,0))&amp;" - "&amp;INDEX(BJ24:BJ27,MATCH(3,BL24:BL27,0))</f>
        <v/>
      </c>
      <c r="Q27" s="14">
        <f>INDEX(BK24:BK27,MATCH(3,BL24:BL27,0))</f>
        <v/>
      </c>
      <c r="S27" s="3" t="n"/>
      <c r="T27" s="3" t="n"/>
      <c r="U27" s="3" t="n"/>
      <c r="V27" s="3" t="n"/>
      <c r="W27" s="3" t="n"/>
      <c r="X27" s="3" t="n"/>
      <c r="Y27" s="3" t="n"/>
      <c r="Z27" s="3" t="n"/>
      <c r="AA27" s="9">
        <f>IF(AND(ISNUMBER(X39),ISNUMBER(X40)),IF(X39&gt;X40,W39,IF(X40&gt;X39,W40,IF(NOT(AND(ISNUMBER(Y39),ISNUMBER(Y40))),"",IF(Y39&gt;Y40,W39,IF(Y40&gt;Y39,W40,IF(NOT(AND(ISNUMBER(Z39),ISNUMBER(Z40))),"",IF(Z39&gt;Z40,W39,IF(Z40&gt;Z39,W40,"")))))))),"W93")</f>
        <v/>
      </c>
      <c r="AB27" s="10" t="n"/>
      <c r="AC27" s="10" t="n"/>
      <c r="AD27" s="10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BD27" t="inlineStr">
        <is>
          <t>Türkiye</t>
        </is>
      </c>
      <c r="BE27">
        <f t="array" ref="BE27">SUMPRODUCT((((E23:E28=BD27)+(H23:H28=BD27))&gt;0)*ISNUMBER(F23:F28)*ISNUMBER(G23:G28))</f>
        <v/>
      </c>
      <c r="BF27">
        <f t="array" ref="BF27">SUMPRODUCT((E23:E28=BD27)*ISNUMBER(F23:F28)*ISNUMBER(G23:G28)*(F23:F28&gt;G23:G28))+SUMPRODUCT((H23:H28=BD27)*ISNUMBER(F23:F28)*ISNUMBER(G23:G28)*(G23:G28&gt;F23:F28))</f>
        <v/>
      </c>
      <c r="BG27">
        <f t="array" ref="BG27">SUMPRODUCT((((E23:E28=BD27)+(H23:H28=BD27))&gt;0)*ISNUMBER(F23:F28)*ISNUMBER(G23:G28)*(F23:F28=G23:G28))</f>
        <v/>
      </c>
      <c r="BH27">
        <f>BE27-BF27-BG27</f>
        <v/>
      </c>
      <c r="BI27">
        <f t="array" ref="BI27">SUMPRODUCT((E23:E28=BD27)*IFERROR(F23:F28,0))+SUMPRODUCT((H23:H28=BD27)*IFERROR(G23:G28,0))</f>
        <v/>
      </c>
      <c r="BJ27">
        <f t="array" ref="BJ27">SUMPRODUCT((E23:E28=BD27)*IFERROR(G23:G28,0))+SUMPRODUCT((H23:H28=BD27)*IFERROR(F23:F28,0))</f>
        <v/>
      </c>
      <c r="BK27">
        <f>BF27*3+BG27</f>
        <v/>
      </c>
      <c r="BL27">
        <f>1+SUMPRODUCT(((BK$24:BK$27&gt;BK27)+(BK$24:BK$27=BK27)*(BM$24:BM$27&gt;BM27)+(BK$24:BK$27=BK27)*(BM$24:BM$27=BM27)*(BN$24:BN$27&gt;BN27)+(BK$24:BK$27=BK27)*(BM$24:BM$27=BM27)*(BN$24:BN$27=BN27)*(BO$24:BO$27&gt;BO27)+(BK$24:BK$27=BK27)*(BM$24:BM$27=BM27)*(BN$24:BN$27=BN27)*(BO$24:BO$27=BO27)*((BI$24:BI$27-BJ$24:BJ$27)&gt;(BI27-BJ27))+(BK$24:BK$27=BK27)*(BM$24:BM$27=BM27)*(BN$24:BN$27=BN27)*(BO$24:BO$27=BO27)*((BI$24:BI$27-BJ$24:BJ$27)=(BI27-BJ27))*(BI$24:BI$27&gt;BI27)+(BK$24:BK$27=BK27)*(BM$24:BM$27=BM27)*(BN$24:BN$27=BN27)*(BO$24:BO$27=BO27)*((BI$24:BI$27-BJ$24:BJ$27)=(BI27-BJ27))*(BI$24:BI$27=BI27)*(ROW(BK$24:BK$27)&lt;ROW(BK27)))*1)</f>
        <v/>
      </c>
      <c r="BM27">
        <f t="array" ref="BM27">SUMPRODUCT((E$23:E$28=BD27)*ISNUMBER(F$23:F$28)*ISNUMBER(G$23:G$28)*COUNTIFS(BD$24:BD$27,H$23:H$28,BK$24:BK$27,BK27)*((F$23:F$28&gt;G$23:G$28)*3+(F$23:F$28=G$23:G$28)))+SUMPRODUCT((H$23:H$28=BD27)*ISNUMBER(F$23:F$28)*ISNUMBER(G$23:G$28)*COUNTIFS(BD$24:BD$27,E$23:E$28,BK$24:BK$27,BK27)*((G$23:G$28&gt;F$23:F$28)*3+(F$23:F$28=G$23:G$28)))</f>
        <v/>
      </c>
      <c r="BN27">
        <f t="array" ref="BN27">SUMPRODUCT((E$23:E$28=BD27)*ISNUMBER(F$23:F$28)*ISNUMBER(G$23:G$28)*COUNTIFS(BD$24:BD$27,H$23:H$28,BK$24:BK$27,BK27)*(F$23:F$28-G$23:G$28))+SUMPRODUCT((H$23:H$28=BD27)*ISNUMBER(F$23:F$28)*ISNUMBER(G$23:G$28)*COUNTIFS(BD$24:BD$27,E$23:E$28,BK$24:BK$27,BK27)*(G$23:G$28-F$23:F$28))</f>
        <v/>
      </c>
      <c r="BO27">
        <f t="array" ref="BO27">SUMPRODUCT((E$23:E$28=BD27)*ISNUMBER(F$23:F$28)*ISNUMBER(G$23:G$28)*COUNTIFS(BD$24:BD$27,H$23:H$28,BK$24:BK$27,BK27)*F$23:F$28)+SUMPRODUCT((H$23:H$28=BD27)*ISNUMBER(F$23:F$28)*ISNUMBER(G$23:G$28)*COUNTIFS(BD$24:BD$27,E$23:E$28,BK$24:BK$27,BK27)*G$23:G$28)</f>
        <v/>
      </c>
    </row>
    <row r="28" ht="12.75" customHeight="1">
      <c r="A28" s="11" t="n">
        <v>24</v>
      </c>
      <c r="B28" s="11">
        <f>TEXT((46198)+(22+4+GmtOffset)/24,"ddd")</f>
        <v/>
      </c>
      <c r="C28" s="11">
        <f>TEXT((46198)+(22+4+GmtOffset)/24,"mmm d, yyyy")</f>
        <v/>
      </c>
      <c r="D28" s="11">
        <f>TEXT((46198)+(22+4+GmtOffset)/24,"h:mm")</f>
        <v/>
      </c>
      <c r="E28" s="12" t="inlineStr">
        <is>
          <t>Paraguay</t>
        </is>
      </c>
      <c r="F28" s="7" t="n"/>
      <c r="G28" s="7" t="n"/>
      <c r="H28" s="13" t="inlineStr">
        <is>
          <t>Australia</t>
        </is>
      </c>
      <c r="I28" s="11" t="inlineStr">
        <is>
          <t>D</t>
        </is>
      </c>
      <c r="J28" s="3" t="n"/>
      <c r="K28" s="17">
        <f>INDEX(BD24:BD27,MATCH(4,BL24:BL27,0))</f>
        <v/>
      </c>
      <c r="L28" s="18">
        <f>INDEX(BE24:BE27,MATCH(4,BL24:BL27,0))</f>
        <v/>
      </c>
      <c r="M28" s="18">
        <f>INDEX(BF24:BF27,MATCH(4,BL24:BL27,0))</f>
        <v/>
      </c>
      <c r="N28" s="18">
        <f>INDEX(BG24:BG27,MATCH(4,BL24:BL27,0))</f>
        <v/>
      </c>
      <c r="O28" s="18">
        <f>INDEX(BH24:BH27,MATCH(4,BL24:BL27,0))</f>
        <v/>
      </c>
      <c r="P28" s="18">
        <f>INDEX(BI24:BI27,MATCH(4,BL24:BL27,0))&amp;" - "&amp;INDEX(BJ24:BJ27,MATCH(4,BL24:BL27,0))</f>
        <v/>
      </c>
      <c r="Q28" s="19">
        <f>INDEX(BK24:BK27,MATCH(4,BL24:BL27,0))</f>
        <v/>
      </c>
      <c r="S28" s="3" t="n"/>
      <c r="T28" s="3" t="n"/>
      <c r="U28" s="3" t="n"/>
      <c r="V28" s="3" t="n"/>
      <c r="W28" s="3" t="n"/>
      <c r="X28" s="3" t="n"/>
      <c r="Y28" s="3" t="n"/>
      <c r="Z28" s="3" t="n"/>
      <c r="AA28" s="15">
        <f>IF(AND(ISNUMBER(X47),ISNUMBER(X48)),IF(X47&gt;X48,W47,IF(X48&gt;X47,W48,IF(NOT(AND(ISNUMBER(Y47),ISNUMBER(Y48))),"",IF(Y47&gt;Y48,W47,IF(Y48&gt;Y47,W48,IF(NOT(AND(ISNUMBER(Z47),ISNUMBER(Z48))),"",IF(Z47&gt;Z48,W47,IF(Z48&gt;Z47,W48,"")))))))),"W94")</f>
        <v/>
      </c>
      <c r="AB28" s="16" t="n"/>
      <c r="AC28" s="16" t="n"/>
      <c r="AD28" s="16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</row>
    <row r="29" ht="12.75" customHeight="1">
      <c r="A29" s="11" t="n">
        <v>25</v>
      </c>
      <c r="B29" s="11">
        <f>TEXT((46187)+(13+4+GmtOffset)/24,"ddd")</f>
        <v/>
      </c>
      <c r="C29" s="11">
        <f>TEXT((46187)+(13+4+GmtOffset)/24,"mmm d, yyyy")</f>
        <v/>
      </c>
      <c r="D29" s="11">
        <f>TEXT((46187)+(13+4+GmtOffset)/24,"h:mm")</f>
        <v/>
      </c>
      <c r="E29" s="12" t="inlineStr">
        <is>
          <t>Germany</t>
        </is>
      </c>
      <c r="F29" s="7" t="n"/>
      <c r="G29" s="7" t="n"/>
      <c r="H29" s="13" t="inlineStr">
        <is>
          <t>Curaçao</t>
        </is>
      </c>
      <c r="I29" s="11" t="inlineStr">
        <is>
          <t>E</t>
        </is>
      </c>
      <c r="J29" s="3" t="n"/>
      <c r="K29" s="145" t="inlineStr">
        <is>
          <t>Group E</t>
        </is>
      </c>
      <c r="L29" s="20" t="n"/>
      <c r="M29" s="20" t="n"/>
      <c r="N29" s="20" t="n"/>
      <c r="O29" s="20" t="n"/>
      <c r="P29" s="20" t="n"/>
      <c r="Q29" s="20" t="n"/>
      <c r="S29" s="9">
        <f>IF((COUNTIF($F$5:$G$76,"&gt;=0")=144),IFERROR(INDEX($AO$81:$AO$92,1),"Winner A"),"Winner A")</f>
        <v/>
      </c>
      <c r="T29" s="10" t="n"/>
      <c r="U29" s="10" t="n"/>
      <c r="V29" s="10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</row>
    <row r="30" ht="12.75" customHeight="1">
      <c r="A30" s="11" t="n">
        <v>26</v>
      </c>
      <c r="B30" s="11">
        <f>TEXT((46187)+(19+4+GmtOffset)/24,"ddd")</f>
        <v/>
      </c>
      <c r="C30" s="11">
        <f>TEXT((46187)+(19+4+GmtOffset)/24,"mmm d, yyyy")</f>
        <v/>
      </c>
      <c r="D30" s="11">
        <f>TEXT((46187)+(19+4+GmtOffset)/24,"h:mm")</f>
        <v/>
      </c>
      <c r="E30" s="12" t="inlineStr">
        <is>
          <t>Ivory Coast</t>
        </is>
      </c>
      <c r="F30" s="7" t="n"/>
      <c r="G30" s="7" t="n"/>
      <c r="H30" s="13" t="inlineStr">
        <is>
          <t>Ecuador</t>
        </is>
      </c>
      <c r="I30" s="11" t="inlineStr">
        <is>
          <t>E</t>
        </is>
      </c>
      <c r="J30" s="3" t="n"/>
      <c r="K30" s="14" t="n"/>
      <c r="L30" s="14" t="inlineStr">
        <is>
          <t>PL</t>
        </is>
      </c>
      <c r="M30" s="14" t="inlineStr">
        <is>
          <t>W</t>
        </is>
      </c>
      <c r="N30" s="14" t="inlineStr">
        <is>
          <t>D</t>
        </is>
      </c>
      <c r="O30" s="14" t="inlineStr">
        <is>
          <t>L</t>
        </is>
      </c>
      <c r="P30" s="14" t="inlineStr">
        <is>
          <t>GF - GA</t>
        </is>
      </c>
      <c r="Q30" s="14" t="inlineStr">
        <is>
          <t>P</t>
        </is>
      </c>
      <c r="S30" s="15">
        <f>IF((COUNTIF($F$5:$G$76,"&gt;=0")=144),IFERROR(INDEX($AQ$81:$AQ$92,MATCH($BO$81,$AN$81:$AN$92,0)),"Best 3rd C/E/F/H/I"),"Best 3rd C/E/F/H/I")</f>
        <v/>
      </c>
      <c r="T30" s="16" t="n"/>
      <c r="U30" s="16" t="n"/>
      <c r="V30" s="16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BD30" t="inlineStr">
        <is>
          <t>Germany</t>
        </is>
      </c>
      <c r="BE30">
        <f t="array" ref="BE30">SUMPRODUCT((((E29:E34=BD30)+(H29:H34=BD30))&gt;0)*ISNUMBER(F29:F34)*ISNUMBER(G29:G34))</f>
        <v/>
      </c>
      <c r="BF30">
        <f t="array" ref="BF30">SUMPRODUCT((E29:E34=BD30)*ISNUMBER(F29:F34)*ISNUMBER(G29:G34)*(F29:F34&gt;G29:G34))+SUMPRODUCT((H29:H34=BD30)*ISNUMBER(F29:F34)*ISNUMBER(G29:G34)*(G29:G34&gt;F29:F34))</f>
        <v/>
      </c>
      <c r="BG30">
        <f t="array" ref="BG30">SUMPRODUCT((((E29:E34=BD30)+(H29:H34=BD30))&gt;0)*ISNUMBER(F29:F34)*ISNUMBER(G29:G34)*(F29:F34=G29:G34))</f>
        <v/>
      </c>
      <c r="BH30">
        <f>BE30-BF30-BG30</f>
        <v/>
      </c>
      <c r="BI30">
        <f t="array" ref="BI30">SUMPRODUCT((E29:E34=BD30)*IFERROR(F29:F34,0))+SUMPRODUCT((H29:H34=BD30)*IFERROR(G29:G34,0))</f>
        <v/>
      </c>
      <c r="BJ30">
        <f t="array" ref="BJ30">SUMPRODUCT((E29:E34=BD30)*IFERROR(G29:G34,0))+SUMPRODUCT((H29:H34=BD30)*IFERROR(F29:F34,0))</f>
        <v/>
      </c>
      <c r="BK30">
        <f>BF30*3+BG30</f>
        <v/>
      </c>
      <c r="BL30">
        <f>1+SUMPRODUCT(((BK$30:BK$33&gt;BK30)+(BK$30:BK$33=BK30)*(BM$30:BM$33&gt;BM30)+(BK$30:BK$33=BK30)*(BM$30:BM$33=BM30)*(BN$30:BN$33&gt;BN30)+(BK$30:BK$33=BK30)*(BM$30:BM$33=BM30)*(BN$30:BN$33=BN30)*(BO$30:BO$33&gt;BO30)+(BK$30:BK$33=BK30)*(BM$30:BM$33=BM30)*(BN$30:BN$33=BN30)*(BO$30:BO$33=BO30)*((BI$30:BI$33-BJ$30:BJ$33)&gt;(BI30-BJ30))+(BK$30:BK$33=BK30)*(BM$30:BM$33=BM30)*(BN$30:BN$33=BN30)*(BO$30:BO$33=BO30)*((BI$30:BI$33-BJ$30:BJ$33)=(BI30-BJ30))*(BI$30:BI$33&gt;BI30)+(BK$30:BK$33=BK30)*(BM$30:BM$33=BM30)*(BN$30:BN$33=BN30)*(BO$30:BO$33=BO30)*((BI$30:BI$33-BJ$30:BJ$33)=(BI30-BJ30))*(BI$30:BI$33=BI30)*(ROW(BK$30:BK$33)&lt;ROW(BK30)))*1)</f>
        <v/>
      </c>
      <c r="BM30">
        <f t="array" ref="BM30">SUMPRODUCT((E$29:E$34=BD30)*ISNUMBER(F$29:F$34)*ISNUMBER(G$29:G$34)*COUNTIFS(BD$30:BD$33,H$29:H$34,BK$30:BK$33,BK30)*((F$29:F$34&gt;G$29:G$34)*3+(F$29:F$34=G$29:G$34)))+SUMPRODUCT((H$29:H$34=BD30)*ISNUMBER(F$29:F$34)*ISNUMBER(G$29:G$34)*COUNTIFS(BD$30:BD$33,E$29:E$34,BK$30:BK$33,BK30)*((G$29:G$34&gt;F$29:F$34)*3+(F$29:F$34=G$29:G$34)))</f>
        <v/>
      </c>
      <c r="BN30">
        <f t="array" ref="BN30">SUMPRODUCT((E$29:E$34=BD30)*ISNUMBER(F$29:F$34)*ISNUMBER(G$29:G$34)*COUNTIFS(BD$30:BD$33,H$29:H$34,BK$30:BK$33,BK30)*(F$29:F$34-G$29:G$34))+SUMPRODUCT((H$29:H$34=BD30)*ISNUMBER(F$29:F$34)*ISNUMBER(G$29:G$34)*COUNTIFS(BD$30:BD$33,E$29:E$34,BK$30:BK$33,BK30)*(G$29:G$34-F$29:F$34))</f>
        <v/>
      </c>
      <c r="BO30">
        <f t="array" ref="BO30">SUMPRODUCT((E$29:E$34=BD30)*ISNUMBER(F$29:F$34)*ISNUMBER(G$29:G$34)*COUNTIFS(BD$30:BD$33,H$29:H$34,BK$30:BK$33,BK30)*F$29:F$34)+SUMPRODUCT((H$29:H$34=BD30)*ISNUMBER(F$29:F$34)*ISNUMBER(G$29:G$34)*COUNTIFS(BD$30:BD$33,E$29:E$34,BK$30:BK$33,BK30)*G$29:G$34)</f>
        <v/>
      </c>
    </row>
    <row r="31" ht="12.75" customHeight="1">
      <c r="A31" s="11" t="n">
        <v>27</v>
      </c>
      <c r="B31" s="11">
        <f>TEXT((46193)+(16+4+GmtOffset)/24,"ddd")</f>
        <v/>
      </c>
      <c r="C31" s="11">
        <f>TEXT((46193)+(16+4+GmtOffset)/24,"mmm d, yyyy")</f>
        <v/>
      </c>
      <c r="D31" s="11">
        <f>TEXT((46193)+(16+4+GmtOffset)/24,"h:mm")</f>
        <v/>
      </c>
      <c r="E31" s="12" t="inlineStr">
        <is>
          <t>Germany</t>
        </is>
      </c>
      <c r="F31" s="7" t="n"/>
      <c r="G31" s="7" t="n"/>
      <c r="H31" s="13" t="inlineStr">
        <is>
          <t>Ivory Coast</t>
        </is>
      </c>
      <c r="I31" s="11" t="inlineStr">
        <is>
          <t>E</t>
        </is>
      </c>
      <c r="J31" s="3" t="n"/>
      <c r="K31" s="13">
        <f>INDEX(BD30:BD33,MATCH(1,BL30:BL33,0))</f>
        <v/>
      </c>
      <c r="L31" s="11">
        <f>INDEX(BE30:BE33,MATCH(1,BL30:BL33,0))</f>
        <v/>
      </c>
      <c r="M31" s="11">
        <f>INDEX(BF30:BF33,MATCH(1,BL30:BL33,0))</f>
        <v/>
      </c>
      <c r="N31" s="11">
        <f>INDEX(BG30:BG33,MATCH(1,BL30:BL33,0))</f>
        <v/>
      </c>
      <c r="O31" s="11">
        <f>INDEX(BH30:BH33,MATCH(1,BL30:BL33,0))</f>
        <v/>
      </c>
      <c r="P31" s="11">
        <f>INDEX(BI30:BI33,MATCH(1,BL30:BL33,0))&amp;" - "&amp;INDEX(BJ30:BJ33,MATCH(1,BL30:BL33,0))</f>
        <v/>
      </c>
      <c r="Q31" s="14">
        <f>INDEX(BK30:BK33,MATCH(1,BL30:BL33,0))</f>
        <v/>
      </c>
      <c r="S31" s="3" t="n"/>
      <c r="T31" s="3" t="n"/>
      <c r="U31" s="3" t="n"/>
      <c r="V31" s="3" t="n"/>
      <c r="W31" s="9">
        <f>IF(AND(ISNUMBER(T29),ISNUMBER(T30)),IF(T29&gt;T30,S29,IF(T30&gt;T29,S30,IF(NOT(AND(ISNUMBER(U29),ISNUMBER(U30))),"",IF(U29&gt;U30,S29,IF(U30&gt;U29,S30,IF(NOT(AND(ISNUMBER(V29),ISNUMBER(V30))),"",IF(V29&gt;V30,S29,IF(V30&gt;V29,S30,"")))))))),"W79")</f>
        <v/>
      </c>
      <c r="X31" s="10" t="n"/>
      <c r="Y31" s="10" t="n"/>
      <c r="Z31" s="10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BD31" t="inlineStr">
        <is>
          <t>Curaçao</t>
        </is>
      </c>
      <c r="BE31">
        <f t="array" ref="BE31">SUMPRODUCT((((E29:E34=BD31)+(H29:H34=BD31))&gt;0)*ISNUMBER(F29:F34)*ISNUMBER(G29:G34))</f>
        <v/>
      </c>
      <c r="BF31">
        <f t="array" ref="BF31">SUMPRODUCT((E29:E34=BD31)*ISNUMBER(F29:F34)*ISNUMBER(G29:G34)*(F29:F34&gt;G29:G34))+SUMPRODUCT((H29:H34=BD31)*ISNUMBER(F29:F34)*ISNUMBER(G29:G34)*(G29:G34&gt;F29:F34))</f>
        <v/>
      </c>
      <c r="BG31">
        <f t="array" ref="BG31">SUMPRODUCT((((E29:E34=BD31)+(H29:H34=BD31))&gt;0)*ISNUMBER(F29:F34)*ISNUMBER(G29:G34)*(F29:F34=G29:G34))</f>
        <v/>
      </c>
      <c r="BH31">
        <f>BE31-BF31-BG31</f>
        <v/>
      </c>
      <c r="BI31">
        <f t="array" ref="BI31">SUMPRODUCT((E29:E34=BD31)*IFERROR(F29:F34,0))+SUMPRODUCT((H29:H34=BD31)*IFERROR(G29:G34,0))</f>
        <v/>
      </c>
      <c r="BJ31">
        <f t="array" ref="BJ31">SUMPRODUCT((E29:E34=BD31)*IFERROR(G29:G34,0))+SUMPRODUCT((H29:H34=BD31)*IFERROR(F29:F34,0))</f>
        <v/>
      </c>
      <c r="BK31">
        <f>BF31*3+BG31</f>
        <v/>
      </c>
      <c r="BL31">
        <f>1+SUMPRODUCT(((BK$30:BK$33&gt;BK31)+(BK$30:BK$33=BK31)*(BM$30:BM$33&gt;BM31)+(BK$30:BK$33=BK31)*(BM$30:BM$33=BM31)*(BN$30:BN$33&gt;BN31)+(BK$30:BK$33=BK31)*(BM$30:BM$33=BM31)*(BN$30:BN$33=BN31)*(BO$30:BO$33&gt;BO31)+(BK$30:BK$33=BK31)*(BM$30:BM$33=BM31)*(BN$30:BN$33=BN31)*(BO$30:BO$33=BO31)*((BI$30:BI$33-BJ$30:BJ$33)&gt;(BI31-BJ31))+(BK$30:BK$33=BK31)*(BM$30:BM$33=BM31)*(BN$30:BN$33=BN31)*(BO$30:BO$33=BO31)*((BI$30:BI$33-BJ$30:BJ$33)=(BI31-BJ31))*(BI$30:BI$33&gt;BI31)+(BK$30:BK$33=BK31)*(BM$30:BM$33=BM31)*(BN$30:BN$33=BN31)*(BO$30:BO$33=BO31)*((BI$30:BI$33-BJ$30:BJ$33)=(BI31-BJ31))*(BI$30:BI$33=BI31)*(ROW(BK$30:BK$33)&lt;ROW(BK31)))*1)</f>
        <v/>
      </c>
      <c r="BM31">
        <f t="array" ref="BM31">SUMPRODUCT((E$29:E$34=BD31)*ISNUMBER(F$29:F$34)*ISNUMBER(G$29:G$34)*COUNTIFS(BD$30:BD$33,H$29:H$34,BK$30:BK$33,BK31)*((F$29:F$34&gt;G$29:G$34)*3+(F$29:F$34=G$29:G$34)))+SUMPRODUCT((H$29:H$34=BD31)*ISNUMBER(F$29:F$34)*ISNUMBER(G$29:G$34)*COUNTIFS(BD$30:BD$33,E$29:E$34,BK$30:BK$33,BK31)*((G$29:G$34&gt;F$29:F$34)*3+(F$29:F$34=G$29:G$34)))</f>
        <v/>
      </c>
      <c r="BN31">
        <f t="array" ref="BN31">SUMPRODUCT((E$29:E$34=BD31)*ISNUMBER(F$29:F$34)*ISNUMBER(G$29:G$34)*COUNTIFS(BD$30:BD$33,H$29:H$34,BK$30:BK$33,BK31)*(F$29:F$34-G$29:G$34))+SUMPRODUCT((H$29:H$34=BD31)*ISNUMBER(F$29:F$34)*ISNUMBER(G$29:G$34)*COUNTIFS(BD$30:BD$33,E$29:E$34,BK$30:BK$33,BK31)*(G$29:G$34-F$29:F$34))</f>
        <v/>
      </c>
      <c r="BO31">
        <f t="array" ref="BO31">SUMPRODUCT((E$29:E$34=BD31)*ISNUMBER(F$29:F$34)*ISNUMBER(G$29:G$34)*COUNTIFS(BD$30:BD$33,H$29:H$34,BK$30:BK$33,BK31)*F$29:F$34)+SUMPRODUCT((H$29:H$34=BD31)*ISNUMBER(F$29:F$34)*ISNUMBER(G$29:G$34)*COUNTIFS(BD$30:BD$33,E$29:E$34,BK$30:BK$33,BK31)*G$29:G$34)</f>
        <v/>
      </c>
    </row>
    <row r="32" ht="12.75" customHeight="1">
      <c r="A32" s="11" t="n">
        <v>28</v>
      </c>
      <c r="B32" s="11">
        <f>TEXT((46193)+(20+4+GmtOffset)/24,"ddd")</f>
        <v/>
      </c>
      <c r="C32" s="11">
        <f>TEXT((46193)+(20+4+GmtOffset)/24,"mmm d, yyyy")</f>
        <v/>
      </c>
      <c r="D32" s="11">
        <f>TEXT((46193)+(20+4+GmtOffset)/24,"h:mm")</f>
        <v/>
      </c>
      <c r="E32" s="12" t="inlineStr">
        <is>
          <t>Ecuador</t>
        </is>
      </c>
      <c r="F32" s="7" t="n"/>
      <c r="G32" s="7" t="n"/>
      <c r="H32" s="13" t="inlineStr">
        <is>
          <t>Curaçao</t>
        </is>
      </c>
      <c r="I32" s="11" t="inlineStr">
        <is>
          <t>E</t>
        </is>
      </c>
      <c r="J32" s="3" t="n"/>
      <c r="K32" s="13">
        <f>INDEX(BD30:BD33,MATCH(2,BL30:BL33,0))</f>
        <v/>
      </c>
      <c r="L32" s="11">
        <f>INDEX(BE30:BE33,MATCH(2,BL30:BL33,0))</f>
        <v/>
      </c>
      <c r="M32" s="11">
        <f>INDEX(BF30:BF33,MATCH(2,BL30:BL33,0))</f>
        <v/>
      </c>
      <c r="N32" s="11">
        <f>INDEX(BG30:BG33,MATCH(2,BL30:BL33,0))</f>
        <v/>
      </c>
      <c r="O32" s="11">
        <f>INDEX(BH30:BH33,MATCH(2,BL30:BL33,0))</f>
        <v/>
      </c>
      <c r="P32" s="11">
        <f>INDEX(BI30:BI33,MATCH(2,BL30:BL33,0))&amp;" - "&amp;INDEX(BJ30:BJ33,MATCH(2,BL30:BL33,0))</f>
        <v/>
      </c>
      <c r="Q32" s="14">
        <f>INDEX(BK30:BK33,MATCH(2,BL30:BL33,0))</f>
        <v/>
      </c>
      <c r="S32" s="3" t="n"/>
      <c r="T32" s="3" t="n"/>
      <c r="U32" s="3" t="n"/>
      <c r="V32" s="3" t="n"/>
      <c r="W32" s="15">
        <f>IF(AND(ISNUMBER(T33),ISNUMBER(T34)),IF(T33&gt;T34,S33,IF(T34&gt;T33,S34,IF(NOT(AND(ISNUMBER(U33),ISNUMBER(U34))),"",IF(U33&gt;U34,S33,IF(U34&gt;U33,S34,IF(NOT(AND(ISNUMBER(V33),ISNUMBER(V34))),"",IF(V33&gt;V34,S33,IF(V34&gt;V33,S34,"")))))))),"W80")</f>
        <v/>
      </c>
      <c r="X32" s="16" t="n"/>
      <c r="Y32" s="16" t="n"/>
      <c r="Z32" s="16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BD32" t="inlineStr">
        <is>
          <t>Ivory Coast</t>
        </is>
      </c>
      <c r="BE32">
        <f t="array" ref="BE32">SUMPRODUCT((((E29:E34=BD32)+(H29:H34=BD32))&gt;0)*ISNUMBER(F29:F34)*ISNUMBER(G29:G34))</f>
        <v/>
      </c>
      <c r="BF32">
        <f t="array" ref="BF32">SUMPRODUCT((E29:E34=BD32)*ISNUMBER(F29:F34)*ISNUMBER(G29:G34)*(F29:F34&gt;G29:G34))+SUMPRODUCT((H29:H34=BD32)*ISNUMBER(F29:F34)*ISNUMBER(G29:G34)*(G29:G34&gt;F29:F34))</f>
        <v/>
      </c>
      <c r="BG32">
        <f t="array" ref="BG32">SUMPRODUCT((((E29:E34=BD32)+(H29:H34=BD32))&gt;0)*ISNUMBER(F29:F34)*ISNUMBER(G29:G34)*(F29:F34=G29:G34))</f>
        <v/>
      </c>
      <c r="BH32">
        <f>BE32-BF32-BG32</f>
        <v/>
      </c>
      <c r="BI32">
        <f t="array" ref="BI32">SUMPRODUCT((E29:E34=BD32)*IFERROR(F29:F34,0))+SUMPRODUCT((H29:H34=BD32)*IFERROR(G29:G34,0))</f>
        <v/>
      </c>
      <c r="BJ32">
        <f t="array" ref="BJ32">SUMPRODUCT((E29:E34=BD32)*IFERROR(G29:G34,0))+SUMPRODUCT((H29:H34=BD32)*IFERROR(F29:F34,0))</f>
        <v/>
      </c>
      <c r="BK32">
        <f>BF32*3+BG32</f>
        <v/>
      </c>
      <c r="BL32">
        <f>1+SUMPRODUCT(((BK$30:BK$33&gt;BK32)+(BK$30:BK$33=BK32)*(BM$30:BM$33&gt;BM32)+(BK$30:BK$33=BK32)*(BM$30:BM$33=BM32)*(BN$30:BN$33&gt;BN32)+(BK$30:BK$33=BK32)*(BM$30:BM$33=BM32)*(BN$30:BN$33=BN32)*(BO$30:BO$33&gt;BO32)+(BK$30:BK$33=BK32)*(BM$30:BM$33=BM32)*(BN$30:BN$33=BN32)*(BO$30:BO$33=BO32)*((BI$30:BI$33-BJ$30:BJ$33)&gt;(BI32-BJ32))+(BK$30:BK$33=BK32)*(BM$30:BM$33=BM32)*(BN$30:BN$33=BN32)*(BO$30:BO$33=BO32)*((BI$30:BI$33-BJ$30:BJ$33)=(BI32-BJ32))*(BI$30:BI$33&gt;BI32)+(BK$30:BK$33=BK32)*(BM$30:BM$33=BM32)*(BN$30:BN$33=BN32)*(BO$30:BO$33=BO32)*((BI$30:BI$33-BJ$30:BJ$33)=(BI32-BJ32))*(BI$30:BI$33=BI32)*(ROW(BK$30:BK$33)&lt;ROW(BK32)))*1)</f>
        <v/>
      </c>
      <c r="BM32">
        <f t="array" ref="BM32">SUMPRODUCT((E$29:E$34=BD32)*ISNUMBER(F$29:F$34)*ISNUMBER(G$29:G$34)*COUNTIFS(BD$30:BD$33,H$29:H$34,BK$30:BK$33,BK32)*((F$29:F$34&gt;G$29:G$34)*3+(F$29:F$34=G$29:G$34)))+SUMPRODUCT((H$29:H$34=BD32)*ISNUMBER(F$29:F$34)*ISNUMBER(G$29:G$34)*COUNTIFS(BD$30:BD$33,E$29:E$34,BK$30:BK$33,BK32)*((G$29:G$34&gt;F$29:F$34)*3+(F$29:F$34=G$29:G$34)))</f>
        <v/>
      </c>
      <c r="BN32">
        <f t="array" ref="BN32">SUMPRODUCT((E$29:E$34=BD32)*ISNUMBER(F$29:F$34)*ISNUMBER(G$29:G$34)*COUNTIFS(BD$30:BD$33,H$29:H$34,BK$30:BK$33,BK32)*(F$29:F$34-G$29:G$34))+SUMPRODUCT((H$29:H$34=BD32)*ISNUMBER(F$29:F$34)*ISNUMBER(G$29:G$34)*COUNTIFS(BD$30:BD$33,E$29:E$34,BK$30:BK$33,BK32)*(G$29:G$34-F$29:F$34))</f>
        <v/>
      </c>
      <c r="BO32">
        <f t="array" ref="BO32">SUMPRODUCT((E$29:E$34=BD32)*ISNUMBER(F$29:F$34)*ISNUMBER(G$29:G$34)*COUNTIFS(BD$30:BD$33,H$29:H$34,BK$30:BK$33,BK32)*F$29:F$34)+SUMPRODUCT((H$29:H$34=BD32)*ISNUMBER(F$29:F$34)*ISNUMBER(G$29:G$34)*COUNTIFS(BD$30:BD$33,E$29:E$34,BK$30:BK$33,BK32)*G$29:G$34)</f>
        <v/>
      </c>
    </row>
    <row r="33" ht="12.75" customHeight="1">
      <c r="A33" s="11" t="n">
        <v>29</v>
      </c>
      <c r="B33" s="11">
        <f>TEXT((46198)+(16+4+GmtOffset)/24,"ddd")</f>
        <v/>
      </c>
      <c r="C33" s="11">
        <f>TEXT((46198)+(16+4+GmtOffset)/24,"mmm d, yyyy")</f>
        <v/>
      </c>
      <c r="D33" s="11">
        <f>TEXT((46198)+(16+4+GmtOffset)/24,"h:mm")</f>
        <v/>
      </c>
      <c r="E33" s="12" t="inlineStr">
        <is>
          <t>Ecuador</t>
        </is>
      </c>
      <c r="F33" s="7" t="n"/>
      <c r="G33" s="7" t="n"/>
      <c r="H33" s="13" t="inlineStr">
        <is>
          <t>Germany</t>
        </is>
      </c>
      <c r="I33" s="11" t="inlineStr">
        <is>
          <t>E</t>
        </is>
      </c>
      <c r="J33" s="3" t="n"/>
      <c r="K33" s="13">
        <f>INDEX(BD30:BD33,MATCH(3,BL30:BL33,0))</f>
        <v/>
      </c>
      <c r="L33" s="11">
        <f>INDEX(BE30:BE33,MATCH(3,BL30:BL33,0))</f>
        <v/>
      </c>
      <c r="M33" s="11">
        <f>INDEX(BF30:BF33,MATCH(3,BL30:BL33,0))</f>
        <v/>
      </c>
      <c r="N33" s="11">
        <f>INDEX(BG30:BG33,MATCH(3,BL30:BL33,0))</f>
        <v/>
      </c>
      <c r="O33" s="11">
        <f>INDEX(BH30:BH33,MATCH(3,BL30:BL33,0))</f>
        <v/>
      </c>
      <c r="P33" s="11">
        <f>INDEX(BI30:BI33,MATCH(3,BL30:BL33,0))&amp;" - "&amp;INDEX(BJ30:BJ33,MATCH(3,BL30:BL33,0))</f>
        <v/>
      </c>
      <c r="Q33" s="14">
        <f>INDEX(BK30:BK33,MATCH(3,BL30:BL33,0))</f>
        <v/>
      </c>
      <c r="S33" s="9">
        <f>IF((COUNTIF($F$5:$G$76,"&gt;=0")=144),IFERROR(INDEX($AO$81:$AO$92,12),"Winner L"),"Winner L")</f>
        <v/>
      </c>
      <c r="T33" s="10" t="n"/>
      <c r="U33" s="10" t="n"/>
      <c r="V33" s="10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BD33" t="inlineStr">
        <is>
          <t>Ecuador</t>
        </is>
      </c>
      <c r="BE33">
        <f t="array" ref="BE33">SUMPRODUCT((((E29:E34=BD33)+(H29:H34=BD33))&gt;0)*ISNUMBER(F29:F34)*ISNUMBER(G29:G34))</f>
        <v/>
      </c>
      <c r="BF33">
        <f t="array" ref="BF33">SUMPRODUCT((E29:E34=BD33)*ISNUMBER(F29:F34)*ISNUMBER(G29:G34)*(F29:F34&gt;G29:G34))+SUMPRODUCT((H29:H34=BD33)*ISNUMBER(F29:F34)*ISNUMBER(G29:G34)*(G29:G34&gt;F29:F34))</f>
        <v/>
      </c>
      <c r="BG33">
        <f t="array" ref="BG33">SUMPRODUCT((((E29:E34=BD33)+(H29:H34=BD33))&gt;0)*ISNUMBER(F29:F34)*ISNUMBER(G29:G34)*(F29:F34=G29:G34))</f>
        <v/>
      </c>
      <c r="BH33">
        <f>BE33-BF33-BG33</f>
        <v/>
      </c>
      <c r="BI33">
        <f t="array" ref="BI33">SUMPRODUCT((E29:E34=BD33)*IFERROR(F29:F34,0))+SUMPRODUCT((H29:H34=BD33)*IFERROR(G29:G34,0))</f>
        <v/>
      </c>
      <c r="BJ33">
        <f t="array" ref="BJ33">SUMPRODUCT((E29:E34=BD33)*IFERROR(G29:G34,0))+SUMPRODUCT((H29:H34=BD33)*IFERROR(F29:F34,0))</f>
        <v/>
      </c>
      <c r="BK33">
        <f>BF33*3+BG33</f>
        <v/>
      </c>
      <c r="BL33">
        <f>1+SUMPRODUCT(((BK$30:BK$33&gt;BK33)+(BK$30:BK$33=BK33)*(BM$30:BM$33&gt;BM33)+(BK$30:BK$33=BK33)*(BM$30:BM$33=BM33)*(BN$30:BN$33&gt;BN33)+(BK$30:BK$33=BK33)*(BM$30:BM$33=BM33)*(BN$30:BN$33=BN33)*(BO$30:BO$33&gt;BO33)+(BK$30:BK$33=BK33)*(BM$30:BM$33=BM33)*(BN$30:BN$33=BN33)*(BO$30:BO$33=BO33)*((BI$30:BI$33-BJ$30:BJ$33)&gt;(BI33-BJ33))+(BK$30:BK$33=BK33)*(BM$30:BM$33=BM33)*(BN$30:BN$33=BN33)*(BO$30:BO$33=BO33)*((BI$30:BI$33-BJ$30:BJ$33)=(BI33-BJ33))*(BI$30:BI$33&gt;BI33)+(BK$30:BK$33=BK33)*(BM$30:BM$33=BM33)*(BN$30:BN$33=BN33)*(BO$30:BO$33=BO33)*((BI$30:BI$33-BJ$30:BJ$33)=(BI33-BJ33))*(BI$30:BI$33=BI33)*(ROW(BK$30:BK$33)&lt;ROW(BK33)))*1)</f>
        <v/>
      </c>
      <c r="BM33">
        <f t="array" ref="BM33">SUMPRODUCT((E$29:E$34=BD33)*ISNUMBER(F$29:F$34)*ISNUMBER(G$29:G$34)*COUNTIFS(BD$30:BD$33,H$29:H$34,BK$30:BK$33,BK33)*((F$29:F$34&gt;G$29:G$34)*3+(F$29:F$34=G$29:G$34)))+SUMPRODUCT((H$29:H$34=BD33)*ISNUMBER(F$29:F$34)*ISNUMBER(G$29:G$34)*COUNTIFS(BD$30:BD$33,E$29:E$34,BK$30:BK$33,BK33)*((G$29:G$34&gt;F$29:F$34)*3+(F$29:F$34=G$29:G$34)))</f>
        <v/>
      </c>
      <c r="BN33">
        <f t="array" ref="BN33">SUMPRODUCT((E$29:E$34=BD33)*ISNUMBER(F$29:F$34)*ISNUMBER(G$29:G$34)*COUNTIFS(BD$30:BD$33,H$29:H$34,BK$30:BK$33,BK33)*(F$29:F$34-G$29:G$34))+SUMPRODUCT((H$29:H$34=BD33)*ISNUMBER(F$29:F$34)*ISNUMBER(G$29:G$34)*COUNTIFS(BD$30:BD$33,E$29:E$34,BK$30:BK$33,BK33)*(G$29:G$34-F$29:F$34))</f>
        <v/>
      </c>
      <c r="BO33">
        <f t="array" ref="BO33">SUMPRODUCT((E$29:E$34=BD33)*ISNUMBER(F$29:F$34)*ISNUMBER(G$29:G$34)*COUNTIFS(BD$30:BD$33,H$29:H$34,BK$30:BK$33,BK33)*F$29:F$34)+SUMPRODUCT((H$29:H$34=BD33)*ISNUMBER(F$29:F$34)*ISNUMBER(G$29:G$34)*COUNTIFS(BD$30:BD$33,E$29:E$34,BK$30:BK$33,BK33)*G$29:G$34)</f>
        <v/>
      </c>
    </row>
    <row r="34" ht="12.75" customHeight="1">
      <c r="A34" s="11" t="n">
        <v>30</v>
      </c>
      <c r="B34" s="11">
        <f>TEXT((46198)+(16+4+GmtOffset)/24,"ddd")</f>
        <v/>
      </c>
      <c r="C34" s="11">
        <f>TEXT((46198)+(16+4+GmtOffset)/24,"mmm d, yyyy")</f>
        <v/>
      </c>
      <c r="D34" s="11">
        <f>TEXT((46198)+(16+4+GmtOffset)/24,"h:mm")</f>
        <v/>
      </c>
      <c r="E34" s="12" t="inlineStr">
        <is>
          <t>Curaçao</t>
        </is>
      </c>
      <c r="F34" s="7" t="n"/>
      <c r="G34" s="7" t="n"/>
      <c r="H34" s="13" t="inlineStr">
        <is>
          <t>Ivory Coast</t>
        </is>
      </c>
      <c r="I34" s="11" t="inlineStr">
        <is>
          <t>E</t>
        </is>
      </c>
      <c r="J34" s="3" t="n"/>
      <c r="K34" s="17">
        <f>INDEX(BD30:BD33,MATCH(4,BL30:BL33,0))</f>
        <v/>
      </c>
      <c r="L34" s="18">
        <f>INDEX(BE30:BE33,MATCH(4,BL30:BL33,0))</f>
        <v/>
      </c>
      <c r="M34" s="18">
        <f>INDEX(BF30:BF33,MATCH(4,BL30:BL33,0))</f>
        <v/>
      </c>
      <c r="N34" s="18">
        <f>INDEX(BG30:BG33,MATCH(4,BL30:BL33,0))</f>
        <v/>
      </c>
      <c r="O34" s="18">
        <f>INDEX(BH30:BH33,MATCH(4,BL30:BL33,0))</f>
        <v/>
      </c>
      <c r="P34" s="18">
        <f>INDEX(BI30:BI33,MATCH(4,BL30:BL33,0))&amp;" - "&amp;INDEX(BJ30:BJ33,MATCH(4,BL30:BL33,0))</f>
        <v/>
      </c>
      <c r="Q34" s="19">
        <f>INDEX(BK30:BK33,MATCH(4,BL30:BL33,0))</f>
        <v/>
      </c>
      <c r="S34" s="15">
        <f>IF((COUNTIF($F$5:$G$76,"&gt;=0")=144),IFERROR(INDEX($AQ$81:$AQ$92,MATCH($BP$81,$AN$81:$AN$92,0)),"Best 3rd E/H/I/J/K"),"Best 3rd E/H/I/J/K")</f>
        <v/>
      </c>
      <c r="T34" s="16" t="n"/>
      <c r="U34" s="16" t="n"/>
      <c r="V34" s="16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</row>
    <row r="35" ht="12.75" customHeight="1">
      <c r="A35" s="11" t="n">
        <v>31</v>
      </c>
      <c r="B35" s="11">
        <f>TEXT((46187)+(16+4+GmtOffset)/24,"ddd")</f>
        <v/>
      </c>
      <c r="C35" s="11">
        <f>TEXT((46187)+(16+4+GmtOffset)/24,"mmm d, yyyy")</f>
        <v/>
      </c>
      <c r="D35" s="11">
        <f>TEXT((46187)+(16+4+GmtOffset)/24,"h:mm")</f>
        <v/>
      </c>
      <c r="E35" s="12" t="inlineStr">
        <is>
          <t>Netherlands</t>
        </is>
      </c>
      <c r="F35" s="7" t="n"/>
      <c r="G35" s="7" t="n"/>
      <c r="H35" s="13" t="inlineStr">
        <is>
          <t>Japan</t>
        </is>
      </c>
      <c r="I35" s="11" t="inlineStr">
        <is>
          <t>F</t>
        </is>
      </c>
      <c r="J35" s="3" t="n"/>
      <c r="K35" s="145" t="inlineStr">
        <is>
          <t>Group F</t>
        </is>
      </c>
      <c r="L35" s="20" t="n"/>
      <c r="M35" s="20" t="n"/>
      <c r="N35" s="20" t="n"/>
      <c r="O35" s="20" t="n"/>
      <c r="P35" s="20" t="n"/>
      <c r="Q35" s="20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9">
        <f>IF(AND(ISNUMBER(AF19),ISNUMBER(AF20)),IF(AF19&gt;AF20,AE19,IF(AF20&gt;AF19,AE20,IF(NOT(AND(ISNUMBER(AG19),ISNUMBER(AG20))),"",IF(AG19&gt;AG20,AE19,IF(AG20&gt;AG19,AE20,IF(NOT(AND(ISNUMBER(AH19),ISNUMBER(AH20))),"",IF(AH19&gt;AH20,AE19,IF(AH20&gt;AH19,AE20,"")))))))),"W101")</f>
        <v/>
      </c>
      <c r="AJ35" s="10" t="n"/>
      <c r="AK35" s="10" t="n"/>
      <c r="AL35" s="10" t="n"/>
      <c r="AM35" s="3" t="n"/>
      <c r="AN35" s="3" t="n"/>
    </row>
    <row r="36" ht="12.75" customHeight="1">
      <c r="A36" s="11" t="n">
        <v>32</v>
      </c>
      <c r="B36" s="11">
        <f>TEXT((46187)+(22+4+GmtOffset)/24,"ddd")</f>
        <v/>
      </c>
      <c r="C36" s="11">
        <f>TEXT((46187)+(22+4+GmtOffset)/24,"mmm d, yyyy")</f>
        <v/>
      </c>
      <c r="D36" s="11">
        <f>TEXT((46187)+(22+4+GmtOffset)/24,"h:mm")</f>
        <v/>
      </c>
      <c r="E36" s="12" t="inlineStr">
        <is>
          <t>Sweden</t>
        </is>
      </c>
      <c r="F36" s="7" t="n"/>
      <c r="G36" s="7" t="n"/>
      <c r="H36" s="13" t="inlineStr">
        <is>
          <t>Tunisia</t>
        </is>
      </c>
      <c r="I36" s="11" t="inlineStr">
        <is>
          <t>F</t>
        </is>
      </c>
      <c r="J36" s="3" t="n"/>
      <c r="K36" s="14" t="n"/>
      <c r="L36" s="14" t="inlineStr">
        <is>
          <t>PL</t>
        </is>
      </c>
      <c r="M36" s="14" t="inlineStr">
        <is>
          <t>W</t>
        </is>
      </c>
      <c r="N36" s="14" t="inlineStr">
        <is>
          <t>D</t>
        </is>
      </c>
      <c r="O36" s="14" t="inlineStr">
        <is>
          <t>L</t>
        </is>
      </c>
      <c r="P36" s="14" t="inlineStr">
        <is>
          <t>GF - GA</t>
        </is>
      </c>
      <c r="Q36" s="14" t="inlineStr">
        <is>
          <t>P</t>
        </is>
      </c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15">
        <f>IF(AND(ISNUMBER(AF51),ISNUMBER(AF52)),IF(AF51&gt;AF52,AE51,IF(AF52&gt;AF51,AE52,IF(NOT(AND(ISNUMBER(AG51),ISNUMBER(AG52))),"",IF(AG51&gt;AG52,AE51,IF(AG52&gt;AG51,AE52,IF(NOT(AND(ISNUMBER(AH51),ISNUMBER(AH52))),"",IF(AH51&gt;AH52,AE51,IF(AH52&gt;AH51,AE52,"")))))))),"W102")</f>
        <v/>
      </c>
      <c r="AJ36" s="16" t="n"/>
      <c r="AK36" s="16" t="n"/>
      <c r="AL36" s="16" t="n"/>
      <c r="AM36" s="3" t="n"/>
      <c r="AN36" s="3" t="n"/>
      <c r="BD36" t="inlineStr">
        <is>
          <t>Netherlands</t>
        </is>
      </c>
      <c r="BE36">
        <f t="array" ref="BE36">SUMPRODUCT((((E35:E40=BD36)+(H35:H40=BD36))&gt;0)*ISNUMBER(F35:F40)*ISNUMBER(G35:G40))</f>
        <v/>
      </c>
      <c r="BF36">
        <f t="array" ref="BF36">SUMPRODUCT((E35:E40=BD36)*ISNUMBER(F35:F40)*ISNUMBER(G35:G40)*(F35:F40&gt;G35:G40))+SUMPRODUCT((H35:H40=BD36)*ISNUMBER(F35:F40)*ISNUMBER(G35:G40)*(G35:G40&gt;F35:F40))</f>
        <v/>
      </c>
      <c r="BG36">
        <f t="array" ref="BG36">SUMPRODUCT((((E35:E40=BD36)+(H35:H40=BD36))&gt;0)*ISNUMBER(F35:F40)*ISNUMBER(G35:G40)*(F35:F40=G35:G40))</f>
        <v/>
      </c>
      <c r="BH36">
        <f>BE36-BF36-BG36</f>
        <v/>
      </c>
      <c r="BI36">
        <f t="array" ref="BI36">SUMPRODUCT((E35:E40=BD36)*IFERROR(F35:F40,0))+SUMPRODUCT((H35:H40=BD36)*IFERROR(G35:G40,0))</f>
        <v/>
      </c>
      <c r="BJ36">
        <f t="array" ref="BJ36">SUMPRODUCT((E35:E40=BD36)*IFERROR(G35:G40,0))+SUMPRODUCT((H35:H40=BD36)*IFERROR(F35:F40,0))</f>
        <v/>
      </c>
      <c r="BK36">
        <f>BF36*3+BG36</f>
        <v/>
      </c>
      <c r="BL36">
        <f>1+SUMPRODUCT(((BK$36:BK$39&gt;BK36)+(BK$36:BK$39=BK36)*(BM$36:BM$39&gt;BM36)+(BK$36:BK$39=BK36)*(BM$36:BM$39=BM36)*(BN$36:BN$39&gt;BN36)+(BK$36:BK$39=BK36)*(BM$36:BM$39=BM36)*(BN$36:BN$39=BN36)*(BO$36:BO$39&gt;BO36)+(BK$36:BK$39=BK36)*(BM$36:BM$39=BM36)*(BN$36:BN$39=BN36)*(BO$36:BO$39=BO36)*((BI$36:BI$39-BJ$36:BJ$39)&gt;(BI36-BJ36))+(BK$36:BK$39=BK36)*(BM$36:BM$39=BM36)*(BN$36:BN$39=BN36)*(BO$36:BO$39=BO36)*((BI$36:BI$39-BJ$36:BJ$39)=(BI36-BJ36))*(BI$36:BI$39&gt;BI36)+(BK$36:BK$39=BK36)*(BM$36:BM$39=BM36)*(BN$36:BN$39=BN36)*(BO$36:BO$39=BO36)*((BI$36:BI$39-BJ$36:BJ$39)=(BI36-BJ36))*(BI$36:BI$39=BI36)*(ROW(BK$36:BK$39)&lt;ROW(BK36)))*1)</f>
        <v/>
      </c>
      <c r="BM36">
        <f t="array" ref="BM36">SUMPRODUCT((E$35:E$40=BD36)*ISNUMBER(F$35:F$40)*ISNUMBER(G$35:G$40)*COUNTIFS(BD$36:BD$39,H$35:H$40,BK$36:BK$39,BK36)*((F$35:F$40&gt;G$35:G$40)*3+(F$35:F$40=G$35:G$40)))+SUMPRODUCT((H$35:H$40=BD36)*ISNUMBER(F$35:F$40)*ISNUMBER(G$35:G$40)*COUNTIFS(BD$36:BD$39,E$35:E$40,BK$36:BK$39,BK36)*((G$35:G$40&gt;F$35:F$40)*3+(F$35:F$40=G$35:G$40)))</f>
        <v/>
      </c>
      <c r="BN36">
        <f t="array" ref="BN36">SUMPRODUCT((E$35:E$40=BD36)*ISNUMBER(F$35:F$40)*ISNUMBER(G$35:G$40)*COUNTIFS(BD$36:BD$39,H$35:H$40,BK$36:BK$39,BK36)*(F$35:F$40-G$35:G$40))+SUMPRODUCT((H$35:H$40=BD36)*ISNUMBER(F$35:F$40)*ISNUMBER(G$35:G$40)*COUNTIFS(BD$36:BD$39,E$35:E$40,BK$36:BK$39,BK36)*(G$35:G$40-F$35:F$40))</f>
        <v/>
      </c>
      <c r="BO36">
        <f t="array" ref="BO36">SUMPRODUCT((E$35:E$40=BD36)*ISNUMBER(F$35:F$40)*ISNUMBER(G$35:G$40)*COUNTIFS(BD$36:BD$39,H$35:H$40,BK$36:BK$39,BK36)*F$35:F$40)+SUMPRODUCT((H$35:H$40=BD36)*ISNUMBER(F$35:F$40)*ISNUMBER(G$35:G$40)*COUNTIFS(BD$36:BD$39,E$35:E$40,BK$36:BK$39,BK36)*G$35:G$40)</f>
        <v/>
      </c>
    </row>
    <row r="37" ht="12.75" customHeight="1">
      <c r="A37" s="11" t="n">
        <v>33</v>
      </c>
      <c r="B37" s="11">
        <f>TEXT((46193)+(13+4+GmtOffset)/24,"ddd")</f>
        <v/>
      </c>
      <c r="C37" s="11">
        <f>TEXT((46193)+(13+4+GmtOffset)/24,"mmm d, yyyy")</f>
        <v/>
      </c>
      <c r="D37" s="11">
        <f>TEXT((46193)+(13+4+GmtOffset)/24,"h:mm")</f>
        <v/>
      </c>
      <c r="E37" s="12" t="inlineStr">
        <is>
          <t>Netherlands</t>
        </is>
      </c>
      <c r="F37" s="7" t="n"/>
      <c r="G37" s="7" t="n"/>
      <c r="H37" s="13" t="inlineStr">
        <is>
          <t>Sweden</t>
        </is>
      </c>
      <c r="I37" s="11" t="inlineStr">
        <is>
          <t>F</t>
        </is>
      </c>
      <c r="J37" s="3" t="n"/>
      <c r="K37" s="13">
        <f>INDEX(BD36:BD39,MATCH(1,BL36:BL39,0))</f>
        <v/>
      </c>
      <c r="L37" s="11">
        <f>INDEX(BE36:BE39,MATCH(1,BL36:BL39,0))</f>
        <v/>
      </c>
      <c r="M37" s="11">
        <f>INDEX(BF36:BF39,MATCH(1,BL36:BL39,0))</f>
        <v/>
      </c>
      <c r="N37" s="11">
        <f>INDEX(BG36:BG39,MATCH(1,BL36:BL39,0))</f>
        <v/>
      </c>
      <c r="O37" s="11">
        <f>INDEX(BH36:BH39,MATCH(1,BL36:BL39,0))</f>
        <v/>
      </c>
      <c r="P37" s="11">
        <f>INDEX(BI36:BI39,MATCH(1,BL36:BL39,0))&amp;" - "&amp;INDEX(BJ36:BJ39,MATCH(1,BL36:BL39,0))</f>
        <v/>
      </c>
      <c r="Q37" s="14">
        <f>INDEX(BK36:BK39,MATCH(1,BL36:BL39,0))</f>
        <v/>
      </c>
      <c r="S37" s="9">
        <f>IF((COUNTIF($F$5:$G$76,"&gt;=0")=144),IFERROR(INDEX($AO$81:$AO$92,4),"Winner D"),"Winner D")</f>
        <v/>
      </c>
      <c r="T37" s="10" t="n"/>
      <c r="U37" s="10" t="n"/>
      <c r="V37" s="10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BD37" t="inlineStr">
        <is>
          <t>Japan</t>
        </is>
      </c>
      <c r="BE37">
        <f t="array" ref="BE37">SUMPRODUCT((((E35:E40=BD37)+(H35:H40=BD37))&gt;0)*ISNUMBER(F35:F40)*ISNUMBER(G35:G40))</f>
        <v/>
      </c>
      <c r="BF37">
        <f t="array" ref="BF37">SUMPRODUCT((E35:E40=BD37)*ISNUMBER(F35:F40)*ISNUMBER(G35:G40)*(F35:F40&gt;G35:G40))+SUMPRODUCT((H35:H40=BD37)*ISNUMBER(F35:F40)*ISNUMBER(G35:G40)*(G35:G40&gt;F35:F40))</f>
        <v/>
      </c>
      <c r="BG37">
        <f t="array" ref="BG37">SUMPRODUCT((((E35:E40=BD37)+(H35:H40=BD37))&gt;0)*ISNUMBER(F35:F40)*ISNUMBER(G35:G40)*(F35:F40=G35:G40))</f>
        <v/>
      </c>
      <c r="BH37">
        <f>BE37-BF37-BG37</f>
        <v/>
      </c>
      <c r="BI37">
        <f t="array" ref="BI37">SUMPRODUCT((E35:E40=BD37)*IFERROR(F35:F40,0))+SUMPRODUCT((H35:H40=BD37)*IFERROR(G35:G40,0))</f>
        <v/>
      </c>
      <c r="BJ37">
        <f t="array" ref="BJ37">SUMPRODUCT((E35:E40=BD37)*IFERROR(G35:G40,0))+SUMPRODUCT((H35:H40=BD37)*IFERROR(F35:F40,0))</f>
        <v/>
      </c>
      <c r="BK37">
        <f>BF37*3+BG37</f>
        <v/>
      </c>
      <c r="BL37">
        <f>1+SUMPRODUCT(((BK$36:BK$39&gt;BK37)+(BK$36:BK$39=BK37)*(BM$36:BM$39&gt;BM37)+(BK$36:BK$39=BK37)*(BM$36:BM$39=BM37)*(BN$36:BN$39&gt;BN37)+(BK$36:BK$39=BK37)*(BM$36:BM$39=BM37)*(BN$36:BN$39=BN37)*(BO$36:BO$39&gt;BO37)+(BK$36:BK$39=BK37)*(BM$36:BM$39=BM37)*(BN$36:BN$39=BN37)*(BO$36:BO$39=BO37)*((BI$36:BI$39-BJ$36:BJ$39)&gt;(BI37-BJ37))+(BK$36:BK$39=BK37)*(BM$36:BM$39=BM37)*(BN$36:BN$39=BN37)*(BO$36:BO$39=BO37)*((BI$36:BI$39-BJ$36:BJ$39)=(BI37-BJ37))*(BI$36:BI$39&gt;BI37)+(BK$36:BK$39=BK37)*(BM$36:BM$39=BM37)*(BN$36:BN$39=BN37)*(BO$36:BO$39=BO37)*((BI$36:BI$39-BJ$36:BJ$39)=(BI37-BJ37))*(BI$36:BI$39=BI37)*(ROW(BK$36:BK$39)&lt;ROW(BK37)))*1)</f>
        <v/>
      </c>
      <c r="BM37">
        <f t="array" ref="BM37">SUMPRODUCT((E$35:E$40=BD37)*ISNUMBER(F$35:F$40)*ISNUMBER(G$35:G$40)*COUNTIFS(BD$36:BD$39,H$35:H$40,BK$36:BK$39,BK37)*((F$35:F$40&gt;G$35:G$40)*3+(F$35:F$40=G$35:G$40)))+SUMPRODUCT((H$35:H$40=BD37)*ISNUMBER(F$35:F$40)*ISNUMBER(G$35:G$40)*COUNTIFS(BD$36:BD$39,E$35:E$40,BK$36:BK$39,BK37)*((G$35:G$40&gt;F$35:F$40)*3+(F$35:F$40=G$35:G$40)))</f>
        <v/>
      </c>
      <c r="BN37">
        <f t="array" ref="BN37">SUMPRODUCT((E$35:E$40=BD37)*ISNUMBER(F$35:F$40)*ISNUMBER(G$35:G$40)*COUNTIFS(BD$36:BD$39,H$35:H$40,BK$36:BK$39,BK37)*(F$35:F$40-G$35:G$40))+SUMPRODUCT((H$35:H$40=BD37)*ISNUMBER(F$35:F$40)*ISNUMBER(G$35:G$40)*COUNTIFS(BD$36:BD$39,E$35:E$40,BK$36:BK$39,BK37)*(G$35:G$40-F$35:F$40))</f>
        <v/>
      </c>
      <c r="BO37">
        <f t="array" ref="BO37">SUMPRODUCT((E$35:E$40=BD37)*ISNUMBER(F$35:F$40)*ISNUMBER(G$35:G$40)*COUNTIFS(BD$36:BD$39,H$35:H$40,BK$36:BK$39,BK37)*F$35:F$40)+SUMPRODUCT((H$35:H$40=BD37)*ISNUMBER(F$35:F$40)*ISNUMBER(G$35:G$40)*COUNTIFS(BD$36:BD$39,E$35:E$40,BK$36:BK$39,BK37)*G$35:G$40)</f>
        <v/>
      </c>
    </row>
    <row r="38" ht="15.75" customHeight="1">
      <c r="A38" s="11" t="n">
        <v>34</v>
      </c>
      <c r="B38" s="11">
        <f>TEXT((46194)+(0+4+GmtOffset)/24,"ddd")</f>
        <v/>
      </c>
      <c r="C38" s="11">
        <f>TEXT((46194)+(0+4+GmtOffset)/24,"mmm d, yyyy")</f>
        <v/>
      </c>
      <c r="D38" s="11">
        <f>TEXT((46194)+(0+4+GmtOffset)/24,"h:mm")</f>
        <v/>
      </c>
      <c r="E38" s="12" t="inlineStr">
        <is>
          <t>Tunisia</t>
        </is>
      </c>
      <c r="F38" s="7" t="n"/>
      <c r="G38" s="7" t="n"/>
      <c r="H38" s="13" t="inlineStr">
        <is>
          <t>Japan</t>
        </is>
      </c>
      <c r="I38" s="11" t="inlineStr">
        <is>
          <t>F</t>
        </is>
      </c>
      <c r="J38" s="3" t="n"/>
      <c r="K38" s="13">
        <f>INDEX(BD36:BD39,MATCH(2,BL36:BL39,0))</f>
        <v/>
      </c>
      <c r="L38" s="11">
        <f>INDEX(BE36:BE39,MATCH(2,BL36:BL39,0))</f>
        <v/>
      </c>
      <c r="M38" s="11">
        <f>INDEX(BF36:BF39,MATCH(2,BL36:BL39,0))</f>
        <v/>
      </c>
      <c r="N38" s="11">
        <f>INDEX(BG36:BG39,MATCH(2,BL36:BL39,0))</f>
        <v/>
      </c>
      <c r="O38" s="11">
        <f>INDEX(BH36:BH39,MATCH(2,BL36:BL39,0))</f>
        <v/>
      </c>
      <c r="P38" s="11">
        <f>INDEX(BI36:BI39,MATCH(2,BL36:BL39,0))&amp;" - "&amp;INDEX(BJ36:BJ39,MATCH(2,BL36:BL39,0))</f>
        <v/>
      </c>
      <c r="Q38" s="14">
        <f>INDEX(BK36:BK39,MATCH(2,BL36:BL39,0))</f>
        <v/>
      </c>
      <c r="S38" s="15">
        <f>IF((COUNTIF($F$5:$G$76,"&gt;=0")=144),IFERROR(INDEX($AQ$81:$AQ$92,MATCH($BQ$81,$AN$81:$AN$92,0)),"Best 3rd B/E/F/I/J"),"Best 3rd B/E/F/I/J")</f>
        <v/>
      </c>
      <c r="T38" s="16" t="n"/>
      <c r="U38" s="16" t="n"/>
      <c r="V38" s="16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146" t="inlineStr">
        <is>
          <t>Champion 2026</t>
        </is>
      </c>
      <c r="AM38" s="3" t="n"/>
      <c r="AN38" s="3" t="n"/>
      <c r="BD38" t="inlineStr">
        <is>
          <t>Sweden</t>
        </is>
      </c>
      <c r="BE38">
        <f t="array" ref="BE38">SUMPRODUCT((((E35:E40=BD38)+(H35:H40=BD38))&gt;0)*ISNUMBER(F35:F40)*ISNUMBER(G35:G40))</f>
        <v/>
      </c>
      <c r="BF38">
        <f t="array" ref="BF38">SUMPRODUCT((E35:E40=BD38)*ISNUMBER(F35:F40)*ISNUMBER(G35:G40)*(F35:F40&gt;G35:G40))+SUMPRODUCT((H35:H40=BD38)*ISNUMBER(F35:F40)*ISNUMBER(G35:G40)*(G35:G40&gt;F35:F40))</f>
        <v/>
      </c>
      <c r="BG38">
        <f t="array" ref="BG38">SUMPRODUCT((((E35:E40=BD38)+(H35:H40=BD38))&gt;0)*ISNUMBER(F35:F40)*ISNUMBER(G35:G40)*(F35:F40=G35:G40))</f>
        <v/>
      </c>
      <c r="BH38">
        <f>BE38-BF38-BG38</f>
        <v/>
      </c>
      <c r="BI38">
        <f t="array" ref="BI38">SUMPRODUCT((E35:E40=BD38)*IFERROR(F35:F40,0))+SUMPRODUCT((H35:H40=BD38)*IFERROR(G35:G40,0))</f>
        <v/>
      </c>
      <c r="BJ38">
        <f t="array" ref="BJ38">SUMPRODUCT((E35:E40=BD38)*IFERROR(G35:G40,0))+SUMPRODUCT((H35:H40=BD38)*IFERROR(F35:F40,0))</f>
        <v/>
      </c>
      <c r="BK38">
        <f>BF38*3+BG38</f>
        <v/>
      </c>
      <c r="BL38">
        <f>1+SUMPRODUCT(((BK$36:BK$39&gt;BK38)+(BK$36:BK$39=BK38)*(BM$36:BM$39&gt;BM38)+(BK$36:BK$39=BK38)*(BM$36:BM$39=BM38)*(BN$36:BN$39&gt;BN38)+(BK$36:BK$39=BK38)*(BM$36:BM$39=BM38)*(BN$36:BN$39=BN38)*(BO$36:BO$39&gt;BO38)+(BK$36:BK$39=BK38)*(BM$36:BM$39=BM38)*(BN$36:BN$39=BN38)*(BO$36:BO$39=BO38)*((BI$36:BI$39-BJ$36:BJ$39)&gt;(BI38-BJ38))+(BK$36:BK$39=BK38)*(BM$36:BM$39=BM38)*(BN$36:BN$39=BN38)*(BO$36:BO$39=BO38)*((BI$36:BI$39-BJ$36:BJ$39)=(BI38-BJ38))*(BI$36:BI$39&gt;BI38)+(BK$36:BK$39=BK38)*(BM$36:BM$39=BM38)*(BN$36:BN$39=BN38)*(BO$36:BO$39=BO38)*((BI$36:BI$39-BJ$36:BJ$39)=(BI38-BJ38))*(BI$36:BI$39=BI38)*(ROW(BK$36:BK$39)&lt;ROW(BK38)))*1)</f>
        <v/>
      </c>
      <c r="BM38">
        <f t="array" ref="BM38">SUMPRODUCT((E$35:E$40=BD38)*ISNUMBER(F$35:F$40)*ISNUMBER(G$35:G$40)*COUNTIFS(BD$36:BD$39,H$35:H$40,BK$36:BK$39,BK38)*((F$35:F$40&gt;G$35:G$40)*3+(F$35:F$40=G$35:G$40)))+SUMPRODUCT((H$35:H$40=BD38)*ISNUMBER(F$35:F$40)*ISNUMBER(G$35:G$40)*COUNTIFS(BD$36:BD$39,E$35:E$40,BK$36:BK$39,BK38)*((G$35:G$40&gt;F$35:F$40)*3+(F$35:F$40=G$35:G$40)))</f>
        <v/>
      </c>
      <c r="BN38">
        <f t="array" ref="BN38">SUMPRODUCT((E$35:E$40=BD38)*ISNUMBER(F$35:F$40)*ISNUMBER(G$35:G$40)*COUNTIFS(BD$36:BD$39,H$35:H$40,BK$36:BK$39,BK38)*(F$35:F$40-G$35:G$40))+SUMPRODUCT((H$35:H$40=BD38)*ISNUMBER(F$35:F$40)*ISNUMBER(G$35:G$40)*COUNTIFS(BD$36:BD$39,E$35:E$40,BK$36:BK$39,BK38)*(G$35:G$40-F$35:F$40))</f>
        <v/>
      </c>
      <c r="BO38">
        <f t="array" ref="BO38">SUMPRODUCT((E$35:E$40=BD38)*ISNUMBER(F$35:F$40)*ISNUMBER(G$35:G$40)*COUNTIFS(BD$36:BD$39,H$35:H$40,BK$36:BK$39,BK38)*F$35:F$40)+SUMPRODUCT((H$35:H$40=BD38)*ISNUMBER(F$35:F$40)*ISNUMBER(G$35:G$40)*COUNTIFS(BD$36:BD$39,E$35:E$40,BK$36:BK$39,BK38)*G$35:G$40)</f>
        <v/>
      </c>
    </row>
    <row r="39" ht="12.75" customHeight="1">
      <c r="A39" s="11" t="n">
        <v>35</v>
      </c>
      <c r="B39" s="11">
        <f>TEXT((46198)+(19+4+GmtOffset)/24,"ddd")</f>
        <v/>
      </c>
      <c r="C39" s="11">
        <f>TEXT((46198)+(19+4+GmtOffset)/24,"mmm d, yyyy")</f>
        <v/>
      </c>
      <c r="D39" s="11">
        <f>TEXT((46198)+(19+4+GmtOffset)/24,"h:mm")</f>
        <v/>
      </c>
      <c r="E39" s="12" t="inlineStr">
        <is>
          <t>Tunisia</t>
        </is>
      </c>
      <c r="F39" s="7" t="n"/>
      <c r="G39" s="7" t="n"/>
      <c r="H39" s="13" t="inlineStr">
        <is>
          <t>Netherlands</t>
        </is>
      </c>
      <c r="I39" s="11" t="inlineStr">
        <is>
          <t>F</t>
        </is>
      </c>
      <c r="J39" s="3" t="n"/>
      <c r="K39" s="13">
        <f>INDEX(BD36:BD39,MATCH(3,BL36:BL39,0))</f>
        <v/>
      </c>
      <c r="L39" s="11">
        <f>INDEX(BE36:BE39,MATCH(3,BL36:BL39,0))</f>
        <v/>
      </c>
      <c r="M39" s="11">
        <f>INDEX(BF36:BF39,MATCH(3,BL36:BL39,0))</f>
        <v/>
      </c>
      <c r="N39" s="11">
        <f>INDEX(BG36:BG39,MATCH(3,BL36:BL39,0))</f>
        <v/>
      </c>
      <c r="O39" s="11">
        <f>INDEX(BH36:BH39,MATCH(3,BL36:BL39,0))</f>
        <v/>
      </c>
      <c r="P39" s="11">
        <f>INDEX(BI36:BI39,MATCH(3,BL36:BL39,0))&amp;" - "&amp;INDEX(BJ36:BJ39,MATCH(3,BL36:BL39,0))</f>
        <v/>
      </c>
      <c r="Q39" s="14">
        <f>INDEX(BK36:BK39,MATCH(3,BL36:BL39,0))</f>
        <v/>
      </c>
      <c r="S39" s="3" t="n"/>
      <c r="T39" s="3" t="n"/>
      <c r="U39" s="3" t="n"/>
      <c r="V39" s="3" t="n"/>
      <c r="W39" s="9">
        <f>IF(AND(ISNUMBER(T45),ISNUMBER(T46)),IF(T45&gt;T46,S45,IF(T46&gt;T45,S46,IF(NOT(AND(ISNUMBER(U45),ISNUMBER(U46))),"",IF(U45&gt;U46,S45,IF(U46&gt;U45,S46,IF(NOT(AND(ISNUMBER(V45),ISNUMBER(V46))),"",IF(V45&gt;V46,S45,IF(V46&gt;V45,S46,"")))))))),"W83")</f>
        <v/>
      </c>
      <c r="X39" s="10" t="n"/>
      <c r="Y39" s="10" t="n"/>
      <c r="Z39" s="10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BD39" t="inlineStr">
        <is>
          <t>Tunisia</t>
        </is>
      </c>
      <c r="BE39">
        <f t="array" ref="BE39">SUMPRODUCT((((E35:E40=BD39)+(H35:H40=BD39))&gt;0)*ISNUMBER(F35:F40)*ISNUMBER(G35:G40))</f>
        <v/>
      </c>
      <c r="BF39">
        <f t="array" ref="BF39">SUMPRODUCT((E35:E40=BD39)*ISNUMBER(F35:F40)*ISNUMBER(G35:G40)*(F35:F40&gt;G35:G40))+SUMPRODUCT((H35:H40=BD39)*ISNUMBER(F35:F40)*ISNUMBER(G35:G40)*(G35:G40&gt;F35:F40))</f>
        <v/>
      </c>
      <c r="BG39">
        <f t="array" ref="BG39">SUMPRODUCT((((E35:E40=BD39)+(H35:H40=BD39))&gt;0)*ISNUMBER(F35:F40)*ISNUMBER(G35:G40)*(F35:F40=G35:G40))</f>
        <v/>
      </c>
      <c r="BH39">
        <f>BE39-BF39-BG39</f>
        <v/>
      </c>
      <c r="BI39">
        <f t="array" ref="BI39">SUMPRODUCT((E35:E40=BD39)*IFERROR(F35:F40,0))+SUMPRODUCT((H35:H40=BD39)*IFERROR(G35:G40,0))</f>
        <v/>
      </c>
      <c r="BJ39">
        <f t="array" ref="BJ39">SUMPRODUCT((E35:E40=BD39)*IFERROR(G35:G40,0))+SUMPRODUCT((H35:H40=BD39)*IFERROR(F35:F40,0))</f>
        <v/>
      </c>
      <c r="BK39">
        <f>BF39*3+BG39</f>
        <v/>
      </c>
      <c r="BL39">
        <f>1+SUMPRODUCT(((BK$36:BK$39&gt;BK39)+(BK$36:BK$39=BK39)*(BM$36:BM$39&gt;BM39)+(BK$36:BK$39=BK39)*(BM$36:BM$39=BM39)*(BN$36:BN$39&gt;BN39)+(BK$36:BK$39=BK39)*(BM$36:BM$39=BM39)*(BN$36:BN$39=BN39)*(BO$36:BO$39&gt;BO39)+(BK$36:BK$39=BK39)*(BM$36:BM$39=BM39)*(BN$36:BN$39=BN39)*(BO$36:BO$39=BO39)*((BI$36:BI$39-BJ$36:BJ$39)&gt;(BI39-BJ39))+(BK$36:BK$39=BK39)*(BM$36:BM$39=BM39)*(BN$36:BN$39=BN39)*(BO$36:BO$39=BO39)*((BI$36:BI$39-BJ$36:BJ$39)=(BI39-BJ39))*(BI$36:BI$39&gt;BI39)+(BK$36:BK$39=BK39)*(BM$36:BM$39=BM39)*(BN$36:BN$39=BN39)*(BO$36:BO$39=BO39)*((BI$36:BI$39-BJ$36:BJ$39)=(BI39-BJ39))*(BI$36:BI$39=BI39)*(ROW(BK$36:BK$39)&lt;ROW(BK39)))*1)</f>
        <v/>
      </c>
      <c r="BM39">
        <f t="array" ref="BM39">SUMPRODUCT((E$35:E$40=BD39)*ISNUMBER(F$35:F$40)*ISNUMBER(G$35:G$40)*COUNTIFS(BD$36:BD$39,H$35:H$40,BK$36:BK$39,BK39)*((F$35:F$40&gt;G$35:G$40)*3+(F$35:F$40=G$35:G$40)))+SUMPRODUCT((H$35:H$40=BD39)*ISNUMBER(F$35:F$40)*ISNUMBER(G$35:G$40)*COUNTIFS(BD$36:BD$39,E$35:E$40,BK$36:BK$39,BK39)*((G$35:G$40&gt;F$35:F$40)*3+(F$35:F$40=G$35:G$40)))</f>
        <v/>
      </c>
      <c r="BN39">
        <f t="array" ref="BN39">SUMPRODUCT((E$35:E$40=BD39)*ISNUMBER(F$35:F$40)*ISNUMBER(G$35:G$40)*COUNTIFS(BD$36:BD$39,H$35:H$40,BK$36:BK$39,BK39)*(F$35:F$40-G$35:G$40))+SUMPRODUCT((H$35:H$40=BD39)*ISNUMBER(F$35:F$40)*ISNUMBER(G$35:G$40)*COUNTIFS(BD$36:BD$39,E$35:E$40,BK$36:BK$39,BK39)*(G$35:G$40-F$35:F$40))</f>
        <v/>
      </c>
      <c r="BO39">
        <f t="array" ref="BO39">SUMPRODUCT((E$35:E$40=BD39)*ISNUMBER(F$35:F$40)*ISNUMBER(G$35:G$40)*COUNTIFS(BD$36:BD$39,H$35:H$40,BK$36:BK$39,BK39)*F$35:F$40)+SUMPRODUCT((H$35:H$40=BD39)*ISNUMBER(F$35:F$40)*ISNUMBER(G$35:G$40)*COUNTIFS(BD$36:BD$39,E$35:E$40,BK$36:BK$39,BK39)*G$35:G$40)</f>
        <v/>
      </c>
    </row>
    <row r="40" ht="18.75" customHeight="1">
      <c r="A40" s="11" t="n">
        <v>36</v>
      </c>
      <c r="B40" s="11">
        <f>TEXT((46198)+(19+4+GmtOffset)/24,"ddd")</f>
        <v/>
      </c>
      <c r="C40" s="11">
        <f>TEXT((46198)+(19+4+GmtOffset)/24,"mmm d, yyyy")</f>
        <v/>
      </c>
      <c r="D40" s="11">
        <f>TEXT((46198)+(19+4+GmtOffset)/24,"h:mm")</f>
        <v/>
      </c>
      <c r="E40" s="12" t="inlineStr">
        <is>
          <t>Japan</t>
        </is>
      </c>
      <c r="F40" s="7" t="n"/>
      <c r="G40" s="7" t="n"/>
      <c r="H40" s="13" t="inlineStr">
        <is>
          <t>Sweden</t>
        </is>
      </c>
      <c r="I40" s="11" t="inlineStr">
        <is>
          <t>F</t>
        </is>
      </c>
      <c r="J40" s="3" t="n"/>
      <c r="K40" s="17">
        <f>INDEX(BD36:BD39,MATCH(4,BL36:BL39,0))</f>
        <v/>
      </c>
      <c r="L40" s="18">
        <f>INDEX(BE36:BE39,MATCH(4,BL36:BL39,0))</f>
        <v/>
      </c>
      <c r="M40" s="18">
        <f>INDEX(BF36:BF39,MATCH(4,BL36:BL39,0))</f>
        <v/>
      </c>
      <c r="N40" s="18">
        <f>INDEX(BG36:BG39,MATCH(4,BL36:BL39,0))</f>
        <v/>
      </c>
      <c r="O40" s="18">
        <f>INDEX(BH36:BH39,MATCH(4,BL36:BL39,0))</f>
        <v/>
      </c>
      <c r="P40" s="18">
        <f>INDEX(BI36:BI39,MATCH(4,BL36:BL39,0))&amp;" - "&amp;INDEX(BJ36:BJ39,MATCH(4,BL36:BL39,0))</f>
        <v/>
      </c>
      <c r="Q40" s="19">
        <f>INDEX(BK36:BK39,MATCH(4,BL36:BL39,0))</f>
        <v/>
      </c>
      <c r="S40" s="3" t="n"/>
      <c r="T40" s="3" t="n"/>
      <c r="U40" s="3" t="n"/>
      <c r="V40" s="3" t="n"/>
      <c r="W40" s="15">
        <f>IF(AND(ISNUMBER(T49),ISNUMBER(T50)),IF(T49&gt;T50,S49,IF(T50&gt;T49,S50,IF(NOT(AND(ISNUMBER(U49),ISNUMBER(U50))),"",IF(U49&gt;U50,S49,IF(U50&gt;U49,S50,IF(NOT(AND(ISNUMBER(V49),ISNUMBER(V50))),"",IF(V49&gt;V50,S49,IF(V50&gt;V49,S50,"")))))))),"W84")</f>
        <v/>
      </c>
      <c r="X40" s="16" t="n"/>
      <c r="Y40" s="16" t="n"/>
      <c r="Z40" s="16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147">
        <f>IF(AND(ISNUMBER(AJ35),ISNUMBER(AJ36)),IF(AJ35&gt;AJ36,AI35,IF(AJ36&gt;AJ35,AI36,IF(NOT(AND(ISNUMBER(AK35),ISNUMBER(AK36))),"",IF(AK35&gt;AK36,AI35,IF(AK36&gt;AK35,AI36,IF(NOT(AND(ISNUMBER(AL35),ISNUMBER(AL36))),"",IF(AL35&gt;AL36,AI35,IF(AL36&gt;AL35,AI36,"")))))))),"")</f>
        <v/>
      </c>
      <c r="AK40" s="21" t="n"/>
      <c r="AL40" s="21" t="n"/>
      <c r="AM40" s="3" t="n"/>
      <c r="AN40" s="3" t="n"/>
    </row>
    <row r="41" ht="12.75" customHeight="1">
      <c r="A41" s="11" t="n">
        <v>37</v>
      </c>
      <c r="B41" s="11">
        <f>TEXT((46188)+(15+4+GmtOffset)/24,"ddd")</f>
        <v/>
      </c>
      <c r="C41" s="11">
        <f>TEXT((46188)+(15+4+GmtOffset)/24,"mmm d, yyyy")</f>
        <v/>
      </c>
      <c r="D41" s="11">
        <f>TEXT((46188)+(15+4+GmtOffset)/24,"h:mm")</f>
        <v/>
      </c>
      <c r="E41" s="12" t="inlineStr">
        <is>
          <t>Belgium</t>
        </is>
      </c>
      <c r="F41" s="7" t="n"/>
      <c r="G41" s="7" t="n"/>
      <c r="H41" s="13" t="inlineStr">
        <is>
          <t>Egypt</t>
        </is>
      </c>
      <c r="I41" s="11" t="inlineStr">
        <is>
          <t>G</t>
        </is>
      </c>
      <c r="J41" s="3" t="n"/>
      <c r="K41" s="145" t="inlineStr">
        <is>
          <t>Group G</t>
        </is>
      </c>
      <c r="L41" s="20" t="n"/>
      <c r="M41" s="20" t="n"/>
      <c r="N41" s="20" t="n"/>
      <c r="O41" s="20" t="n"/>
      <c r="P41" s="20" t="n"/>
      <c r="Q41" s="20" t="n"/>
      <c r="S41" s="9">
        <f>IF((COUNTIF($F$5:$G$76,"&gt;=0")=144),IFERROR(INDEX($AO$81:$AO$92,7),"Winner G"),"Winner G")</f>
        <v/>
      </c>
      <c r="T41" s="10" t="n"/>
      <c r="U41" s="10" t="n"/>
      <c r="V41" s="10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>
        <f>IF(AND(ISNUMBER(AJ43),ISNUMBER(AJ44)),IF(AJ43&gt;AJ44,AI43,IF(AJ44&gt;AJ43,AI44,IF(NOT(AND(ISNUMBER(AK43),ISNUMBER(AK44))),"",IF(AK43&gt;AK44,AI43,IF(AK44&gt;AK43,AI44,IF(NOT(AND(ISNUMBER(AL43),ISNUMBER(AL44))),"",IF(AL43&gt;AL44,AI43,IF(AL44&gt;AL43,AI44,"")))))))),"")</f>
        <v/>
      </c>
      <c r="AJ41" s="3" t="n"/>
      <c r="AK41" s="3" t="n"/>
      <c r="AL41" s="3" t="n"/>
      <c r="AM41" s="3" t="n"/>
      <c r="AN41" s="3" t="n"/>
    </row>
    <row r="42" ht="12.75" customHeight="1">
      <c r="A42" s="11" t="n">
        <v>38</v>
      </c>
      <c r="B42" s="11">
        <f>TEXT((46188)+(21+4+GmtOffset)/24,"ddd")</f>
        <v/>
      </c>
      <c r="C42" s="11">
        <f>TEXT((46188)+(21+4+GmtOffset)/24,"mmm d, yyyy")</f>
        <v/>
      </c>
      <c r="D42" s="11">
        <f>TEXT((46188)+(21+4+GmtOffset)/24,"h:mm")</f>
        <v/>
      </c>
      <c r="E42" s="12" t="inlineStr">
        <is>
          <t>Iran</t>
        </is>
      </c>
      <c r="F42" s="7" t="n"/>
      <c r="G42" s="7" t="n"/>
      <c r="H42" s="13" t="inlineStr">
        <is>
          <t>New Zealand</t>
        </is>
      </c>
      <c r="I42" s="11" t="inlineStr">
        <is>
          <t>G</t>
        </is>
      </c>
      <c r="J42" s="3" t="n"/>
      <c r="K42" s="14" t="n"/>
      <c r="L42" s="14" t="inlineStr">
        <is>
          <t>PL</t>
        </is>
      </c>
      <c r="M42" s="14" t="inlineStr">
        <is>
          <t>W</t>
        </is>
      </c>
      <c r="N42" s="14" t="inlineStr">
        <is>
          <t>D</t>
        </is>
      </c>
      <c r="O42" s="14" t="inlineStr">
        <is>
          <t>L</t>
        </is>
      </c>
      <c r="P42" s="14" t="inlineStr">
        <is>
          <t>GF - GA</t>
        </is>
      </c>
      <c r="Q42" s="14" t="inlineStr">
        <is>
          <t>P</t>
        </is>
      </c>
      <c r="S42" s="15">
        <f>IF((COUNTIF($F$5:$G$76,"&gt;=0")=144),IFERROR(INDEX($AQ$81:$AQ$92,MATCH($BR$81,$AN$81:$AN$92,0)),"Best 3rd A/E/H/I/J"),"Best 3rd A/E/H/I/J")</f>
        <v/>
      </c>
      <c r="T42" s="16" t="n"/>
      <c r="U42" s="16" t="n"/>
      <c r="V42" s="16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148" t="inlineStr">
        <is>
          <t>3rd Place</t>
        </is>
      </c>
      <c r="AJ42" s="160" t="n"/>
      <c r="AK42" s="160" t="n"/>
      <c r="AL42" s="160" t="n"/>
      <c r="AM42" s="3" t="n"/>
      <c r="AN42" s="3" t="n"/>
      <c r="BD42" t="inlineStr">
        <is>
          <t>Belgium</t>
        </is>
      </c>
      <c r="BE42">
        <f t="array" ref="BE42">SUMPRODUCT((((E41:E46=BD42)+(H41:H46=BD42))&gt;0)*ISNUMBER(F41:F46)*ISNUMBER(G41:G46))</f>
        <v/>
      </c>
      <c r="BF42">
        <f t="array" ref="BF42">SUMPRODUCT((E41:E46=BD42)*ISNUMBER(F41:F46)*ISNUMBER(G41:G46)*(F41:F46&gt;G41:G46))+SUMPRODUCT((H41:H46=BD42)*ISNUMBER(F41:F46)*ISNUMBER(G41:G46)*(G41:G46&gt;F41:F46))</f>
        <v/>
      </c>
      <c r="BG42">
        <f t="array" ref="BG42">SUMPRODUCT((((E41:E46=BD42)+(H41:H46=BD42))&gt;0)*ISNUMBER(F41:F46)*ISNUMBER(G41:G46)*(F41:F46=G41:G46))</f>
        <v/>
      </c>
      <c r="BH42">
        <f>BE42-BF42-BG42</f>
        <v/>
      </c>
      <c r="BI42">
        <f t="array" ref="BI42">SUMPRODUCT((E41:E46=BD42)*IFERROR(F41:F46,0))+SUMPRODUCT((H41:H46=BD42)*IFERROR(G41:G46,0))</f>
        <v/>
      </c>
      <c r="BJ42">
        <f t="array" ref="BJ42">SUMPRODUCT((E41:E46=BD42)*IFERROR(G41:G46,0))+SUMPRODUCT((H41:H46=BD42)*IFERROR(F41:F46,0))</f>
        <v/>
      </c>
      <c r="BK42">
        <f>BF42*3+BG42</f>
        <v/>
      </c>
      <c r="BL42">
        <f>1+SUMPRODUCT(((BK$42:BK$45&gt;BK42)+(BK$42:BK$45=BK42)*(BM$42:BM$45&gt;BM42)+(BK$42:BK$45=BK42)*(BM$42:BM$45=BM42)*(BN$42:BN$45&gt;BN42)+(BK$42:BK$45=BK42)*(BM$42:BM$45=BM42)*(BN$42:BN$45=BN42)*(BO$42:BO$45&gt;BO42)+(BK$42:BK$45=BK42)*(BM$42:BM$45=BM42)*(BN$42:BN$45=BN42)*(BO$42:BO$45=BO42)*((BI$42:BI$45-BJ$42:BJ$45)&gt;(BI42-BJ42))+(BK$42:BK$45=BK42)*(BM$42:BM$45=BM42)*(BN$42:BN$45=BN42)*(BO$42:BO$45=BO42)*((BI$42:BI$45-BJ$42:BJ$45)=(BI42-BJ42))*(BI$42:BI$45&gt;BI42)+(BK$42:BK$45=BK42)*(BM$42:BM$45=BM42)*(BN$42:BN$45=BN42)*(BO$42:BO$45=BO42)*((BI$42:BI$45-BJ$42:BJ$45)=(BI42-BJ42))*(BI$42:BI$45=BI42)*(ROW(BK$42:BK$45)&lt;ROW(BK42)))*1)</f>
        <v/>
      </c>
      <c r="BM42">
        <f t="array" ref="BM42">SUMPRODUCT((E$41:E$46=BD42)*ISNUMBER(F$41:F$46)*ISNUMBER(G$41:G$46)*COUNTIFS(BD$42:BD$45,H$41:H$46,BK$42:BK$45,BK42)*((F$41:F$46&gt;G$41:G$46)*3+(F$41:F$46=G$41:G$46)))+SUMPRODUCT((H$41:H$46=BD42)*ISNUMBER(F$41:F$46)*ISNUMBER(G$41:G$46)*COUNTIFS(BD$42:BD$45,E$41:E$46,BK$42:BK$45,BK42)*((G$41:G$46&gt;F$41:F$46)*3+(F$41:F$46=G$41:G$46)))</f>
        <v/>
      </c>
      <c r="BN42">
        <f t="array" ref="BN42">SUMPRODUCT((E$41:E$46=BD42)*ISNUMBER(F$41:F$46)*ISNUMBER(G$41:G$46)*COUNTIFS(BD$42:BD$45,H$41:H$46,BK$42:BK$45,BK42)*(F$41:F$46-G$41:G$46))+SUMPRODUCT((H$41:H$46=BD42)*ISNUMBER(F$41:F$46)*ISNUMBER(G$41:G$46)*COUNTIFS(BD$42:BD$45,E$41:E$46,BK$42:BK$45,BK42)*(G$41:G$46-F$41:F$46))</f>
        <v/>
      </c>
      <c r="BO42">
        <f t="array" ref="BO42">SUMPRODUCT((E$41:E$46=BD42)*ISNUMBER(F$41:F$46)*ISNUMBER(G$41:G$46)*COUNTIFS(BD$42:BD$45,H$41:H$46,BK$42:BK$45,BK42)*F$41:F$46)+SUMPRODUCT((H$41:H$46=BD42)*ISNUMBER(F$41:F$46)*ISNUMBER(G$41:G$46)*COUNTIFS(BD$42:BD$45,E$41:E$46,BK$42:BK$45,BK42)*G$41:G$46)</f>
        <v/>
      </c>
    </row>
    <row r="43" ht="12.75" customHeight="1">
      <c r="A43" s="11" t="n">
        <v>39</v>
      </c>
      <c r="B43" s="11">
        <f>TEXT((46194)+(15+4+GmtOffset)/24,"ddd")</f>
        <v/>
      </c>
      <c r="C43" s="11">
        <f>TEXT((46194)+(15+4+GmtOffset)/24,"mmm d, yyyy")</f>
        <v/>
      </c>
      <c r="D43" s="11">
        <f>TEXT((46194)+(15+4+GmtOffset)/24,"h:mm")</f>
        <v/>
      </c>
      <c r="E43" s="12" t="inlineStr">
        <is>
          <t>Belgium</t>
        </is>
      </c>
      <c r="F43" s="7" t="n"/>
      <c r="G43" s="7" t="n"/>
      <c r="H43" s="13" t="inlineStr">
        <is>
          <t>Iran</t>
        </is>
      </c>
      <c r="I43" s="11" t="inlineStr">
        <is>
          <t>G</t>
        </is>
      </c>
      <c r="J43" s="3" t="n"/>
      <c r="K43" s="13">
        <f>INDEX(BD42:BD45,MATCH(1,BL42:BL45,0))</f>
        <v/>
      </c>
      <c r="L43" s="11">
        <f>INDEX(BE42:BE45,MATCH(1,BL42:BL45,0))</f>
        <v/>
      </c>
      <c r="M43" s="11">
        <f>INDEX(BF42:BF45,MATCH(1,BL42:BL45,0))</f>
        <v/>
      </c>
      <c r="N43" s="11">
        <f>INDEX(BG42:BG45,MATCH(1,BL42:BL45,0))</f>
        <v/>
      </c>
      <c r="O43" s="11">
        <f>INDEX(BH42:BH45,MATCH(1,BL42:BL45,0))</f>
        <v/>
      </c>
      <c r="P43" s="11">
        <f>INDEX(BI42:BI45,MATCH(1,BL42:BL45,0))&amp;" - "&amp;INDEX(BJ42:BJ45,MATCH(1,BL42:BL45,0))</f>
        <v/>
      </c>
      <c r="Q43" s="14">
        <f>INDEX(BK42:BK45,MATCH(1,BL42:BL45,0))</f>
        <v/>
      </c>
      <c r="S43" s="3" t="n"/>
      <c r="T43" s="3" t="n"/>
      <c r="U43" s="3" t="n"/>
      <c r="V43" s="3" t="n"/>
      <c r="W43" s="3" t="n"/>
      <c r="X43" s="3" t="n"/>
      <c r="Y43" s="3" t="n"/>
      <c r="Z43" s="3" t="n"/>
      <c r="AA43" s="9">
        <f>IF(AND(ISNUMBER(X23),ISNUMBER(X24)),IF(X23&gt;X24,W23,IF(X24&gt;X23,W24,IF(NOT(AND(ISNUMBER(Y23),ISNUMBER(Y24))),"",IF(Y23&gt;Y24,W23,IF(Y24&gt;Y23,W24,IF(NOT(AND(ISNUMBER(Z23),ISNUMBER(Z24))),"",IF(Z23&gt;Z24,W23,IF(Z24&gt;Z23,W24,"")))))))),"W91")</f>
        <v/>
      </c>
      <c r="AB43" s="10" t="n"/>
      <c r="AC43" s="10" t="n"/>
      <c r="AD43" s="10" t="n"/>
      <c r="AE43" s="3" t="n"/>
      <c r="AF43" s="3" t="n"/>
      <c r="AG43" s="3" t="n"/>
      <c r="AH43" s="3" t="n"/>
      <c r="AI43" s="9">
        <f>IF(AND(ISNUMBER(AF19),ISNUMBER(AF20)),IF(AF19&lt;AF20,AE19,IF(AF20&lt;AF19,AE20,IF(NOT(AND(ISNUMBER(AG19),ISNUMBER(AG20))),"",IF(AG19&lt;AG20,AE19,IF(AG20&lt;AG19,AE20,IF(NOT(AND(ISNUMBER(AH19),ISNUMBER(AH20))),"",IF(AH19&lt;AH20,AE19,IF(AH20&lt;AH19,AE20,"")))))))),"L101")</f>
        <v/>
      </c>
      <c r="AJ43" s="10" t="n"/>
      <c r="AK43" s="10" t="n"/>
      <c r="AL43" s="10" t="n"/>
      <c r="AM43" s="3" t="n"/>
      <c r="AN43" s="3" t="n"/>
      <c r="BD43" t="inlineStr">
        <is>
          <t>Egypt</t>
        </is>
      </c>
      <c r="BE43">
        <f t="array" ref="BE43">SUMPRODUCT((((E41:E46=BD43)+(H41:H46=BD43))&gt;0)*ISNUMBER(F41:F46)*ISNUMBER(G41:G46))</f>
        <v/>
      </c>
      <c r="BF43">
        <f t="array" ref="BF43">SUMPRODUCT((E41:E46=BD43)*ISNUMBER(F41:F46)*ISNUMBER(G41:G46)*(F41:F46&gt;G41:G46))+SUMPRODUCT((H41:H46=BD43)*ISNUMBER(F41:F46)*ISNUMBER(G41:G46)*(G41:G46&gt;F41:F46))</f>
        <v/>
      </c>
      <c r="BG43">
        <f t="array" ref="BG43">SUMPRODUCT((((E41:E46=BD43)+(H41:H46=BD43))&gt;0)*ISNUMBER(F41:F46)*ISNUMBER(G41:G46)*(F41:F46=G41:G46))</f>
        <v/>
      </c>
      <c r="BH43">
        <f>BE43-BF43-BG43</f>
        <v/>
      </c>
      <c r="BI43">
        <f t="array" ref="BI43">SUMPRODUCT((E41:E46=BD43)*IFERROR(F41:F46,0))+SUMPRODUCT((H41:H46=BD43)*IFERROR(G41:G46,0))</f>
        <v/>
      </c>
      <c r="BJ43">
        <f t="array" ref="BJ43">SUMPRODUCT((E41:E46=BD43)*IFERROR(G41:G46,0))+SUMPRODUCT((H41:H46=BD43)*IFERROR(F41:F46,0))</f>
        <v/>
      </c>
      <c r="BK43">
        <f>BF43*3+BG43</f>
        <v/>
      </c>
      <c r="BL43">
        <f>1+SUMPRODUCT(((BK$42:BK$45&gt;BK43)+(BK$42:BK$45=BK43)*(BM$42:BM$45&gt;BM43)+(BK$42:BK$45=BK43)*(BM$42:BM$45=BM43)*(BN$42:BN$45&gt;BN43)+(BK$42:BK$45=BK43)*(BM$42:BM$45=BM43)*(BN$42:BN$45=BN43)*(BO$42:BO$45&gt;BO43)+(BK$42:BK$45=BK43)*(BM$42:BM$45=BM43)*(BN$42:BN$45=BN43)*(BO$42:BO$45=BO43)*((BI$42:BI$45-BJ$42:BJ$45)&gt;(BI43-BJ43))+(BK$42:BK$45=BK43)*(BM$42:BM$45=BM43)*(BN$42:BN$45=BN43)*(BO$42:BO$45=BO43)*((BI$42:BI$45-BJ$42:BJ$45)=(BI43-BJ43))*(BI$42:BI$45&gt;BI43)+(BK$42:BK$45=BK43)*(BM$42:BM$45=BM43)*(BN$42:BN$45=BN43)*(BO$42:BO$45=BO43)*((BI$42:BI$45-BJ$42:BJ$45)=(BI43-BJ43))*(BI$42:BI$45=BI43)*(ROW(BK$42:BK$45)&lt;ROW(BK43)))*1)</f>
        <v/>
      </c>
      <c r="BM43">
        <f t="array" ref="BM43">SUMPRODUCT((E$41:E$46=BD43)*ISNUMBER(F$41:F$46)*ISNUMBER(G$41:G$46)*COUNTIFS(BD$42:BD$45,H$41:H$46,BK$42:BK$45,BK43)*((F$41:F$46&gt;G$41:G$46)*3+(F$41:F$46=G$41:G$46)))+SUMPRODUCT((H$41:H$46=BD43)*ISNUMBER(F$41:F$46)*ISNUMBER(G$41:G$46)*COUNTIFS(BD$42:BD$45,E$41:E$46,BK$42:BK$45,BK43)*((G$41:G$46&gt;F$41:F$46)*3+(F$41:F$46=G$41:G$46)))</f>
        <v/>
      </c>
      <c r="BN43">
        <f t="array" ref="BN43">SUMPRODUCT((E$41:E$46=BD43)*ISNUMBER(F$41:F$46)*ISNUMBER(G$41:G$46)*COUNTIFS(BD$42:BD$45,H$41:H$46,BK$42:BK$45,BK43)*(F$41:F$46-G$41:G$46))+SUMPRODUCT((H$41:H$46=BD43)*ISNUMBER(F$41:F$46)*ISNUMBER(G$41:G$46)*COUNTIFS(BD$42:BD$45,E$41:E$46,BK$42:BK$45,BK43)*(G$41:G$46-F$41:F$46))</f>
        <v/>
      </c>
      <c r="BO43">
        <f t="array" ref="BO43">SUMPRODUCT((E$41:E$46=BD43)*ISNUMBER(F$41:F$46)*ISNUMBER(G$41:G$46)*COUNTIFS(BD$42:BD$45,H$41:H$46,BK$42:BK$45,BK43)*F$41:F$46)+SUMPRODUCT((H$41:H$46=BD43)*ISNUMBER(F$41:F$46)*ISNUMBER(G$41:G$46)*COUNTIFS(BD$42:BD$45,E$41:E$46,BK$42:BK$45,BK43)*G$41:G$46)</f>
        <v/>
      </c>
    </row>
    <row r="44" ht="12.75" customHeight="1">
      <c r="A44" s="11" t="n">
        <v>40</v>
      </c>
      <c r="B44" s="11">
        <f>TEXT((46194)+(21+4+GmtOffset)/24,"ddd")</f>
        <v/>
      </c>
      <c r="C44" s="11">
        <f>TEXT((46194)+(21+4+GmtOffset)/24,"mmm d, yyyy")</f>
        <v/>
      </c>
      <c r="D44" s="11">
        <f>TEXT((46194)+(21+4+GmtOffset)/24,"h:mm")</f>
        <v/>
      </c>
      <c r="E44" s="12" t="inlineStr">
        <is>
          <t>New Zealand</t>
        </is>
      </c>
      <c r="F44" s="7" t="n"/>
      <c r="G44" s="7" t="n"/>
      <c r="H44" s="13" t="inlineStr">
        <is>
          <t>Egypt</t>
        </is>
      </c>
      <c r="I44" s="11" t="inlineStr">
        <is>
          <t>G</t>
        </is>
      </c>
      <c r="J44" s="3" t="n"/>
      <c r="K44" s="13">
        <f>INDEX(BD42:BD45,MATCH(2,BL42:BL45,0))</f>
        <v/>
      </c>
      <c r="L44" s="11">
        <f>INDEX(BE42:BE45,MATCH(2,BL42:BL45,0))</f>
        <v/>
      </c>
      <c r="M44" s="11">
        <f>INDEX(BF42:BF45,MATCH(2,BL42:BL45,0))</f>
        <v/>
      </c>
      <c r="N44" s="11">
        <f>INDEX(BG42:BG45,MATCH(2,BL42:BL45,0))</f>
        <v/>
      </c>
      <c r="O44" s="11">
        <f>INDEX(BH42:BH45,MATCH(2,BL42:BL45,0))</f>
        <v/>
      </c>
      <c r="P44" s="11">
        <f>INDEX(BI42:BI45,MATCH(2,BL42:BL45,0))&amp;" - "&amp;INDEX(BJ42:BJ45,MATCH(2,BL42:BL45,0))</f>
        <v/>
      </c>
      <c r="Q44" s="14">
        <f>INDEX(BK42:BK45,MATCH(2,BL42:BL45,0))</f>
        <v/>
      </c>
      <c r="S44" s="3" t="n"/>
      <c r="T44" s="3" t="n"/>
      <c r="U44" s="3" t="n"/>
      <c r="V44" s="3" t="n"/>
      <c r="W44" s="3" t="n"/>
      <c r="X44" s="3" t="n"/>
      <c r="Y44" s="3" t="n"/>
      <c r="Z44" s="3" t="n"/>
      <c r="AA44" s="15">
        <f>IF(AND(ISNUMBER(X31),ISNUMBER(X32)),IF(X31&gt;X32,W31,IF(X32&gt;X31,W32,IF(NOT(AND(ISNUMBER(Y31),ISNUMBER(Y32))),"",IF(Y31&gt;Y32,W31,IF(Y32&gt;Y31,W32,IF(NOT(AND(ISNUMBER(Z31),ISNUMBER(Z32))),"",IF(Z31&gt;Z32,W31,IF(Z32&gt;Z31,W32,"")))))))),"W92")</f>
        <v/>
      </c>
      <c r="AB44" s="16" t="n"/>
      <c r="AC44" s="16" t="n"/>
      <c r="AD44" s="16" t="n"/>
      <c r="AE44" s="3" t="n"/>
      <c r="AF44" s="3" t="n"/>
      <c r="AG44" s="3" t="n"/>
      <c r="AH44" s="3" t="n"/>
      <c r="AI44" s="15">
        <f>IF(AND(ISNUMBER(AF51),ISNUMBER(AF52)),IF(AF51&lt;AF52,AE51,IF(AF52&lt;AF51,AE52,IF(NOT(AND(ISNUMBER(AG51),ISNUMBER(AG52))),"",IF(AG51&lt;AG52,AE51,IF(AG52&lt;AG51,AE52,IF(NOT(AND(ISNUMBER(AH51),ISNUMBER(AH52))),"",IF(AH51&lt;AH52,AE51,IF(AH52&lt;AH51,AE52,"")))))))),"L102")</f>
        <v/>
      </c>
      <c r="AJ44" s="16" t="n"/>
      <c r="AK44" s="16" t="n"/>
      <c r="AL44" s="16" t="n"/>
      <c r="AM44" s="3" t="n"/>
      <c r="AN44" s="3" t="n"/>
      <c r="BD44" t="inlineStr">
        <is>
          <t>Iran</t>
        </is>
      </c>
      <c r="BE44">
        <f t="array" ref="BE44">SUMPRODUCT((((E41:E46=BD44)+(H41:H46=BD44))&gt;0)*ISNUMBER(F41:F46)*ISNUMBER(G41:G46))</f>
        <v/>
      </c>
      <c r="BF44">
        <f t="array" ref="BF44">SUMPRODUCT((E41:E46=BD44)*ISNUMBER(F41:F46)*ISNUMBER(G41:G46)*(F41:F46&gt;G41:G46))+SUMPRODUCT((H41:H46=BD44)*ISNUMBER(F41:F46)*ISNUMBER(G41:G46)*(G41:G46&gt;F41:F46))</f>
        <v/>
      </c>
      <c r="BG44">
        <f t="array" ref="BG44">SUMPRODUCT((((E41:E46=BD44)+(H41:H46=BD44))&gt;0)*ISNUMBER(F41:F46)*ISNUMBER(G41:G46)*(F41:F46=G41:G46))</f>
        <v/>
      </c>
      <c r="BH44">
        <f>BE44-BF44-BG44</f>
        <v/>
      </c>
      <c r="BI44">
        <f t="array" ref="BI44">SUMPRODUCT((E41:E46=BD44)*IFERROR(F41:F46,0))+SUMPRODUCT((H41:H46=BD44)*IFERROR(G41:G46,0))</f>
        <v/>
      </c>
      <c r="BJ44">
        <f t="array" ref="BJ44">SUMPRODUCT((E41:E46=BD44)*IFERROR(G41:G46,0))+SUMPRODUCT((H41:H46=BD44)*IFERROR(F41:F46,0))</f>
        <v/>
      </c>
      <c r="BK44">
        <f>BF44*3+BG44</f>
        <v/>
      </c>
      <c r="BL44">
        <f>1+SUMPRODUCT(((BK$42:BK$45&gt;BK44)+(BK$42:BK$45=BK44)*(BM$42:BM$45&gt;BM44)+(BK$42:BK$45=BK44)*(BM$42:BM$45=BM44)*(BN$42:BN$45&gt;BN44)+(BK$42:BK$45=BK44)*(BM$42:BM$45=BM44)*(BN$42:BN$45=BN44)*(BO$42:BO$45&gt;BO44)+(BK$42:BK$45=BK44)*(BM$42:BM$45=BM44)*(BN$42:BN$45=BN44)*(BO$42:BO$45=BO44)*((BI$42:BI$45-BJ$42:BJ$45)&gt;(BI44-BJ44))+(BK$42:BK$45=BK44)*(BM$42:BM$45=BM44)*(BN$42:BN$45=BN44)*(BO$42:BO$45=BO44)*((BI$42:BI$45-BJ$42:BJ$45)=(BI44-BJ44))*(BI$42:BI$45&gt;BI44)+(BK$42:BK$45=BK44)*(BM$42:BM$45=BM44)*(BN$42:BN$45=BN44)*(BO$42:BO$45=BO44)*((BI$42:BI$45-BJ$42:BJ$45)=(BI44-BJ44))*(BI$42:BI$45=BI44)*(ROW(BK$42:BK$45)&lt;ROW(BK44)))*1)</f>
        <v/>
      </c>
      <c r="BM44">
        <f t="array" ref="BM44">SUMPRODUCT((E$41:E$46=BD44)*ISNUMBER(F$41:F$46)*ISNUMBER(G$41:G$46)*COUNTIFS(BD$42:BD$45,H$41:H$46,BK$42:BK$45,BK44)*((F$41:F$46&gt;G$41:G$46)*3+(F$41:F$46=G$41:G$46)))+SUMPRODUCT((H$41:H$46=BD44)*ISNUMBER(F$41:F$46)*ISNUMBER(G$41:G$46)*COUNTIFS(BD$42:BD$45,E$41:E$46,BK$42:BK$45,BK44)*((G$41:G$46&gt;F$41:F$46)*3+(F$41:F$46=G$41:G$46)))</f>
        <v/>
      </c>
      <c r="BN44">
        <f t="array" ref="BN44">SUMPRODUCT((E$41:E$46=BD44)*ISNUMBER(F$41:F$46)*ISNUMBER(G$41:G$46)*COUNTIFS(BD$42:BD$45,H$41:H$46,BK$42:BK$45,BK44)*(F$41:F$46-G$41:G$46))+SUMPRODUCT((H$41:H$46=BD44)*ISNUMBER(F$41:F$46)*ISNUMBER(G$41:G$46)*COUNTIFS(BD$42:BD$45,E$41:E$46,BK$42:BK$45,BK44)*(G$41:G$46-F$41:F$46))</f>
        <v/>
      </c>
      <c r="BO44">
        <f t="array" ref="BO44">SUMPRODUCT((E$41:E$46=BD44)*ISNUMBER(F$41:F$46)*ISNUMBER(G$41:G$46)*COUNTIFS(BD$42:BD$45,H$41:H$46,BK$42:BK$45,BK44)*F$41:F$46)+SUMPRODUCT((H$41:H$46=BD44)*ISNUMBER(F$41:F$46)*ISNUMBER(G$41:G$46)*COUNTIFS(BD$42:BD$45,E$41:E$46,BK$42:BK$45,BK44)*G$41:G$46)</f>
        <v/>
      </c>
    </row>
    <row r="45" ht="12.75" customHeight="1">
      <c r="A45" s="11" t="n">
        <v>41</v>
      </c>
      <c r="B45" s="11">
        <f>TEXT((46199)+(23+4+GmtOffset)/24,"ddd")</f>
        <v/>
      </c>
      <c r="C45" s="11">
        <f>TEXT((46199)+(23+4+GmtOffset)/24,"mmm d, yyyy")</f>
        <v/>
      </c>
      <c r="D45" s="11">
        <f>TEXT((46199)+(23+4+GmtOffset)/24,"h:mm")</f>
        <v/>
      </c>
      <c r="E45" s="12" t="inlineStr">
        <is>
          <t>New Zealand</t>
        </is>
      </c>
      <c r="F45" s="7" t="n"/>
      <c r="G45" s="7" t="n"/>
      <c r="H45" s="13" t="inlineStr">
        <is>
          <t>Belgium</t>
        </is>
      </c>
      <c r="I45" s="11" t="inlineStr">
        <is>
          <t>G</t>
        </is>
      </c>
      <c r="J45" s="3" t="n"/>
      <c r="K45" s="13">
        <f>INDEX(BD42:BD45,MATCH(3,BL42:BL45,0))</f>
        <v/>
      </c>
      <c r="L45" s="11">
        <f>INDEX(BE42:BE45,MATCH(3,BL42:BL45,0))</f>
        <v/>
      </c>
      <c r="M45" s="11">
        <f>INDEX(BF42:BF45,MATCH(3,BL42:BL45,0))</f>
        <v/>
      </c>
      <c r="N45" s="11">
        <f>INDEX(BG42:BG45,MATCH(3,BL42:BL45,0))</f>
        <v/>
      </c>
      <c r="O45" s="11">
        <f>INDEX(BH42:BH45,MATCH(3,BL42:BL45,0))</f>
        <v/>
      </c>
      <c r="P45" s="11">
        <f>INDEX(BI42:BI45,MATCH(3,BL42:BL45,0))&amp;" - "&amp;INDEX(BJ42:BJ45,MATCH(3,BL42:BL45,0))</f>
        <v/>
      </c>
      <c r="Q45" s="14">
        <f>INDEX(BK42:BK45,MATCH(3,BL42:BL45,0))</f>
        <v/>
      </c>
      <c r="S45" s="9">
        <f>IF((COUNTIF($F$5:$G$76,"&gt;=0")=144),IFERROR(INDEX($AP$81:$AP$92,11),"Runner-up K"),"Runner-up K")</f>
        <v/>
      </c>
      <c r="T45" s="10" t="n"/>
      <c r="U45" s="10" t="n"/>
      <c r="V45" s="10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BD45" t="inlineStr">
        <is>
          <t>New Zealand</t>
        </is>
      </c>
      <c r="BE45">
        <f t="array" ref="BE45">SUMPRODUCT((((E41:E46=BD45)+(H41:H46=BD45))&gt;0)*ISNUMBER(F41:F46)*ISNUMBER(G41:G46))</f>
        <v/>
      </c>
      <c r="BF45">
        <f t="array" ref="BF45">SUMPRODUCT((E41:E46=BD45)*ISNUMBER(F41:F46)*ISNUMBER(G41:G46)*(F41:F46&gt;G41:G46))+SUMPRODUCT((H41:H46=BD45)*ISNUMBER(F41:F46)*ISNUMBER(G41:G46)*(G41:G46&gt;F41:F46))</f>
        <v/>
      </c>
      <c r="BG45">
        <f t="array" ref="BG45">SUMPRODUCT((((E41:E46=BD45)+(H41:H46=BD45))&gt;0)*ISNUMBER(F41:F46)*ISNUMBER(G41:G46)*(F41:F46=G41:G46))</f>
        <v/>
      </c>
      <c r="BH45">
        <f>BE45-BF45-BG45</f>
        <v/>
      </c>
      <c r="BI45">
        <f t="array" ref="BI45">SUMPRODUCT((E41:E46=BD45)*IFERROR(F41:F46,0))+SUMPRODUCT((H41:H46=BD45)*IFERROR(G41:G46,0))</f>
        <v/>
      </c>
      <c r="BJ45">
        <f t="array" ref="BJ45">SUMPRODUCT((E41:E46=BD45)*IFERROR(G41:G46,0))+SUMPRODUCT((H41:H46=BD45)*IFERROR(F41:F46,0))</f>
        <v/>
      </c>
      <c r="BK45">
        <f>BF45*3+BG45</f>
        <v/>
      </c>
      <c r="BL45">
        <f>1+SUMPRODUCT(((BK$42:BK$45&gt;BK45)+(BK$42:BK$45=BK45)*(BM$42:BM$45&gt;BM45)+(BK$42:BK$45=BK45)*(BM$42:BM$45=BM45)*(BN$42:BN$45&gt;BN45)+(BK$42:BK$45=BK45)*(BM$42:BM$45=BM45)*(BN$42:BN$45=BN45)*(BO$42:BO$45&gt;BO45)+(BK$42:BK$45=BK45)*(BM$42:BM$45=BM45)*(BN$42:BN$45=BN45)*(BO$42:BO$45=BO45)*((BI$42:BI$45-BJ$42:BJ$45)&gt;(BI45-BJ45))+(BK$42:BK$45=BK45)*(BM$42:BM$45=BM45)*(BN$42:BN$45=BN45)*(BO$42:BO$45=BO45)*((BI$42:BI$45-BJ$42:BJ$45)=(BI45-BJ45))*(BI$42:BI$45&gt;BI45)+(BK$42:BK$45=BK45)*(BM$42:BM$45=BM45)*(BN$42:BN$45=BN45)*(BO$42:BO$45=BO45)*((BI$42:BI$45-BJ$42:BJ$45)=(BI45-BJ45))*(BI$42:BI$45=BI45)*(ROW(BK$42:BK$45)&lt;ROW(BK45)))*1)</f>
        <v/>
      </c>
      <c r="BM45">
        <f t="array" ref="BM45">SUMPRODUCT((E$41:E$46=BD45)*ISNUMBER(F$41:F$46)*ISNUMBER(G$41:G$46)*COUNTIFS(BD$42:BD$45,H$41:H$46,BK$42:BK$45,BK45)*((F$41:F$46&gt;G$41:G$46)*3+(F$41:F$46=G$41:G$46)))+SUMPRODUCT((H$41:H$46=BD45)*ISNUMBER(F$41:F$46)*ISNUMBER(G$41:G$46)*COUNTIFS(BD$42:BD$45,E$41:E$46,BK$42:BK$45,BK45)*((G$41:G$46&gt;F$41:F$46)*3+(F$41:F$46=G$41:G$46)))</f>
        <v/>
      </c>
      <c r="BN45">
        <f t="array" ref="BN45">SUMPRODUCT((E$41:E$46=BD45)*ISNUMBER(F$41:F$46)*ISNUMBER(G$41:G$46)*COUNTIFS(BD$42:BD$45,H$41:H$46,BK$42:BK$45,BK45)*(F$41:F$46-G$41:G$46))+SUMPRODUCT((H$41:H$46=BD45)*ISNUMBER(F$41:F$46)*ISNUMBER(G$41:G$46)*COUNTIFS(BD$42:BD$45,E$41:E$46,BK$42:BK$45,BK45)*(G$41:G$46-F$41:F$46))</f>
        <v/>
      </c>
      <c r="BO45">
        <f t="array" ref="BO45">SUMPRODUCT((E$41:E$46=BD45)*ISNUMBER(F$41:F$46)*ISNUMBER(G$41:G$46)*COUNTIFS(BD$42:BD$45,H$41:H$46,BK$42:BK$45,BK45)*F$41:F$46)+SUMPRODUCT((H$41:H$46=BD45)*ISNUMBER(F$41:F$46)*ISNUMBER(G$41:G$46)*COUNTIFS(BD$42:BD$45,E$41:E$46,BK$42:BK$45,BK45)*G$41:G$46)</f>
        <v/>
      </c>
    </row>
    <row r="46" ht="12.75" customHeight="1">
      <c r="A46" s="11" t="n">
        <v>42</v>
      </c>
      <c r="B46" s="11">
        <f>TEXT((46199)+(23+4+GmtOffset)/24,"ddd")</f>
        <v/>
      </c>
      <c r="C46" s="11">
        <f>TEXT((46199)+(23+4+GmtOffset)/24,"mmm d, yyyy")</f>
        <v/>
      </c>
      <c r="D46" s="11">
        <f>TEXT((46199)+(23+4+GmtOffset)/24,"h:mm")</f>
        <v/>
      </c>
      <c r="E46" s="12" t="inlineStr">
        <is>
          <t>Egypt</t>
        </is>
      </c>
      <c r="F46" s="7" t="n"/>
      <c r="G46" s="7" t="n"/>
      <c r="H46" s="13" t="inlineStr">
        <is>
          <t>Iran</t>
        </is>
      </c>
      <c r="I46" s="11" t="inlineStr">
        <is>
          <t>G</t>
        </is>
      </c>
      <c r="J46" s="3" t="n"/>
      <c r="K46" s="17">
        <f>INDEX(BD42:BD45,MATCH(4,BL42:BL45,0))</f>
        <v/>
      </c>
      <c r="L46" s="18">
        <f>INDEX(BE42:BE45,MATCH(4,BL42:BL45,0))</f>
        <v/>
      </c>
      <c r="M46" s="18">
        <f>INDEX(BF42:BF45,MATCH(4,BL42:BL45,0))</f>
        <v/>
      </c>
      <c r="N46" s="18">
        <f>INDEX(BG42:BG45,MATCH(4,BL42:BL45,0))</f>
        <v/>
      </c>
      <c r="O46" s="18">
        <f>INDEX(BH42:BH45,MATCH(4,BL42:BL45,0))</f>
        <v/>
      </c>
      <c r="P46" s="18">
        <f>INDEX(BI42:BI45,MATCH(4,BL42:BL45,0))&amp;" - "&amp;INDEX(BJ42:BJ45,MATCH(4,BL42:BL45,0))</f>
        <v/>
      </c>
      <c r="Q46" s="19">
        <f>INDEX(BK42:BK45,MATCH(4,BL42:BL45,0))</f>
        <v/>
      </c>
      <c r="S46" s="15">
        <f>IF((COUNTIF($F$5:$G$76,"&gt;=0")=144),IFERROR(INDEX($AP$81:$AP$92,12),"Runner-up L"),"Runner-up L")</f>
        <v/>
      </c>
      <c r="T46" s="16" t="n"/>
      <c r="U46" s="16" t="n"/>
      <c r="V46" s="16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</row>
    <row r="47" ht="12.75" customHeight="1">
      <c r="A47" s="11" t="n">
        <v>43</v>
      </c>
      <c r="B47" s="11">
        <f>TEXT((46188)+(12+4+GmtOffset)/24,"ddd")</f>
        <v/>
      </c>
      <c r="C47" s="11">
        <f>TEXT((46188)+(12+4+GmtOffset)/24,"mmm d, yyyy")</f>
        <v/>
      </c>
      <c r="D47" s="11">
        <f>TEXT((46188)+(12+4+GmtOffset)/24,"h:mm")</f>
        <v/>
      </c>
      <c r="E47" s="12" t="inlineStr">
        <is>
          <t>Spain</t>
        </is>
      </c>
      <c r="F47" s="7" t="n"/>
      <c r="G47" s="7" t="n"/>
      <c r="H47" s="13" t="inlineStr">
        <is>
          <t>Cape Verde</t>
        </is>
      </c>
      <c r="I47" s="11" t="inlineStr">
        <is>
          <t>H</t>
        </is>
      </c>
      <c r="J47" s="3" t="n"/>
      <c r="K47" s="145" t="inlineStr">
        <is>
          <t>Group H</t>
        </is>
      </c>
      <c r="L47" s="20" t="n"/>
      <c r="M47" s="20" t="n"/>
      <c r="N47" s="20" t="n"/>
      <c r="O47" s="20" t="n"/>
      <c r="P47" s="20" t="n"/>
      <c r="Q47" s="20" t="n"/>
      <c r="S47" s="3" t="n"/>
      <c r="T47" s="3" t="n"/>
      <c r="U47" s="3" t="n"/>
      <c r="V47" s="3" t="n"/>
      <c r="W47" s="9">
        <f>IF(AND(ISNUMBER(T37),ISNUMBER(T38)),IF(T37&gt;T38,S37,IF(T38&gt;T37,S38,IF(NOT(AND(ISNUMBER(U37),ISNUMBER(U38))),"",IF(U37&gt;U38,S37,IF(U38&gt;U37,S38,IF(NOT(AND(ISNUMBER(V37),ISNUMBER(V38))),"",IF(V37&gt;V38,S37,IF(V38&gt;V37,S38,"")))))))),"W81")</f>
        <v/>
      </c>
      <c r="X47" s="10" t="n"/>
      <c r="Y47" s="10" t="n"/>
      <c r="Z47" s="10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</row>
    <row r="48" ht="12.75" customHeight="1">
      <c r="A48" s="11" t="n">
        <v>44</v>
      </c>
      <c r="B48" s="11">
        <f>TEXT((46188)+(18+4+GmtOffset)/24,"ddd")</f>
        <v/>
      </c>
      <c r="C48" s="11">
        <f>TEXT((46188)+(18+4+GmtOffset)/24,"mmm d, yyyy")</f>
        <v/>
      </c>
      <c r="D48" s="11">
        <f>TEXT((46188)+(18+4+GmtOffset)/24,"h:mm")</f>
        <v/>
      </c>
      <c r="E48" s="12" t="inlineStr">
        <is>
          <t>Saudi Arabia</t>
        </is>
      </c>
      <c r="F48" s="7" t="n"/>
      <c r="G48" s="7" t="n"/>
      <c r="H48" s="13" t="inlineStr">
        <is>
          <t>Uruguay</t>
        </is>
      </c>
      <c r="I48" s="11" t="inlineStr">
        <is>
          <t>H</t>
        </is>
      </c>
      <c r="J48" s="3" t="n"/>
      <c r="K48" s="14" t="n"/>
      <c r="L48" s="14" t="inlineStr">
        <is>
          <t>PL</t>
        </is>
      </c>
      <c r="M48" s="14" t="inlineStr">
        <is>
          <t>W</t>
        </is>
      </c>
      <c r="N48" s="14" t="inlineStr">
        <is>
          <t>D</t>
        </is>
      </c>
      <c r="O48" s="14" t="inlineStr">
        <is>
          <t>L</t>
        </is>
      </c>
      <c r="P48" s="14" t="inlineStr">
        <is>
          <t>GF - GA</t>
        </is>
      </c>
      <c r="Q48" s="14" t="inlineStr">
        <is>
          <t>P</t>
        </is>
      </c>
      <c r="S48" s="3" t="n"/>
      <c r="T48" s="3" t="n"/>
      <c r="U48" s="3" t="n"/>
      <c r="V48" s="3" t="n"/>
      <c r="W48" s="15">
        <f>IF(AND(ISNUMBER(T41),ISNUMBER(T42)),IF(T41&gt;T42,S41,IF(T42&gt;T41,S42,IF(NOT(AND(ISNUMBER(U41),ISNUMBER(U42))),"",IF(U41&gt;U42,S41,IF(U42&gt;U41,S42,IF(NOT(AND(ISNUMBER(V41),ISNUMBER(V42))),"",IF(V41&gt;V42,S41,IF(V42&gt;V41,S42,"")))))))),"W82")</f>
        <v/>
      </c>
      <c r="X48" s="16" t="n"/>
      <c r="Y48" s="16" t="n"/>
      <c r="Z48" s="16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BD48" t="inlineStr">
        <is>
          <t>Spain</t>
        </is>
      </c>
      <c r="BE48">
        <f t="array" ref="BE48">SUMPRODUCT((((E47:E52=BD48)+(H47:H52=BD48))&gt;0)*ISNUMBER(F47:F52)*ISNUMBER(G47:G52))</f>
        <v/>
      </c>
      <c r="BF48">
        <f t="array" ref="BF48">SUMPRODUCT((E47:E52=BD48)*ISNUMBER(F47:F52)*ISNUMBER(G47:G52)*(F47:F52&gt;G47:G52))+SUMPRODUCT((H47:H52=BD48)*ISNUMBER(F47:F52)*ISNUMBER(G47:G52)*(G47:G52&gt;F47:F52))</f>
        <v/>
      </c>
      <c r="BG48">
        <f t="array" ref="BG48">SUMPRODUCT((((E47:E52=BD48)+(H47:H52=BD48))&gt;0)*ISNUMBER(F47:F52)*ISNUMBER(G47:G52)*(F47:F52=G47:G52))</f>
        <v/>
      </c>
      <c r="BH48">
        <f>BE48-BF48-BG48</f>
        <v/>
      </c>
      <c r="BI48">
        <f t="array" ref="BI48">SUMPRODUCT((E47:E52=BD48)*IFERROR(F47:F52,0))+SUMPRODUCT((H47:H52=BD48)*IFERROR(G47:G52,0))</f>
        <v/>
      </c>
      <c r="BJ48">
        <f t="array" ref="BJ48">SUMPRODUCT((E47:E52=BD48)*IFERROR(G47:G52,0))+SUMPRODUCT((H47:H52=BD48)*IFERROR(F47:F52,0))</f>
        <v/>
      </c>
      <c r="BK48">
        <f>BF48*3+BG48</f>
        <v/>
      </c>
      <c r="BL48">
        <f>1+SUMPRODUCT(((BK$48:BK$51&gt;BK48)+(BK$48:BK$51=BK48)*(BM$48:BM$51&gt;BM48)+(BK$48:BK$51=BK48)*(BM$48:BM$51=BM48)*(BN$48:BN$51&gt;BN48)+(BK$48:BK$51=BK48)*(BM$48:BM$51=BM48)*(BN$48:BN$51=BN48)*(BO$48:BO$51&gt;BO48)+(BK$48:BK$51=BK48)*(BM$48:BM$51=BM48)*(BN$48:BN$51=BN48)*(BO$48:BO$51=BO48)*((BI$48:BI$51-BJ$48:BJ$51)&gt;(BI48-BJ48))+(BK$48:BK$51=BK48)*(BM$48:BM$51=BM48)*(BN$48:BN$51=BN48)*(BO$48:BO$51=BO48)*((BI$48:BI$51-BJ$48:BJ$51)=(BI48-BJ48))*(BI$48:BI$51&gt;BI48)+(BK$48:BK$51=BK48)*(BM$48:BM$51=BM48)*(BN$48:BN$51=BN48)*(BO$48:BO$51=BO48)*((BI$48:BI$51-BJ$48:BJ$51)=(BI48-BJ48))*(BI$48:BI$51=BI48)*(ROW(BK$48:BK$51)&lt;ROW(BK48)))*1)</f>
        <v/>
      </c>
      <c r="BM48">
        <f t="array" ref="BM48">SUMPRODUCT((E$47:E$52=BD48)*ISNUMBER(F$47:F$52)*ISNUMBER(G$47:G$52)*COUNTIFS(BD$48:BD$51,H$47:H$52,BK$48:BK$51,BK48)*((F$47:F$52&gt;G$47:G$52)*3+(F$47:F$52=G$47:G$52)))+SUMPRODUCT((H$47:H$52=BD48)*ISNUMBER(F$47:F$52)*ISNUMBER(G$47:G$52)*COUNTIFS(BD$48:BD$51,E$47:E$52,BK$48:BK$51,BK48)*((G$47:G$52&gt;F$47:F$52)*3+(F$47:F$52=G$47:G$52)))</f>
        <v/>
      </c>
      <c r="BN48">
        <f t="array" ref="BN48">SUMPRODUCT((E$47:E$52=BD48)*ISNUMBER(F$47:F$52)*ISNUMBER(G$47:G$52)*COUNTIFS(BD$48:BD$51,H$47:H$52,BK$48:BK$51,BK48)*(F$47:F$52-G$47:G$52))+SUMPRODUCT((H$47:H$52=BD48)*ISNUMBER(F$47:F$52)*ISNUMBER(G$47:G$52)*COUNTIFS(BD$48:BD$51,E$47:E$52,BK$48:BK$51,BK48)*(G$47:G$52-F$47:F$52))</f>
        <v/>
      </c>
      <c r="BO48">
        <f t="array" ref="BO48">SUMPRODUCT((E$47:E$52=BD48)*ISNUMBER(F$47:F$52)*ISNUMBER(G$47:G$52)*COUNTIFS(BD$48:BD$51,H$47:H$52,BK$48:BK$51,BK48)*F$47:F$52)+SUMPRODUCT((H$47:H$52=BD48)*ISNUMBER(F$47:F$52)*ISNUMBER(G$47:G$52)*COUNTIFS(BD$48:BD$51,E$47:E$52,BK$48:BK$51,BK48)*G$47:G$52)</f>
        <v/>
      </c>
    </row>
    <row r="49" ht="12.75" customHeight="1">
      <c r="A49" s="11" t="n">
        <v>45</v>
      </c>
      <c r="B49" s="11">
        <f>TEXT((46194)+(12+4+GmtOffset)/24,"ddd")</f>
        <v/>
      </c>
      <c r="C49" s="11">
        <f>TEXT((46194)+(12+4+GmtOffset)/24,"mmm d, yyyy")</f>
        <v/>
      </c>
      <c r="D49" s="11">
        <f>TEXT((46194)+(12+4+GmtOffset)/24,"h:mm")</f>
        <v/>
      </c>
      <c r="E49" s="12" t="inlineStr">
        <is>
          <t>Spain</t>
        </is>
      </c>
      <c r="F49" s="7" t="n"/>
      <c r="G49" s="7" t="n"/>
      <c r="H49" s="13" t="inlineStr">
        <is>
          <t>Saudi Arabia</t>
        </is>
      </c>
      <c r="I49" s="11" t="inlineStr">
        <is>
          <t>H</t>
        </is>
      </c>
      <c r="J49" s="3" t="n"/>
      <c r="K49" s="13">
        <f>INDEX(BD48:BD51,MATCH(1,BL48:BL51,0))</f>
        <v/>
      </c>
      <c r="L49" s="11">
        <f>INDEX(BE48:BE51,MATCH(1,BL48:BL51,0))</f>
        <v/>
      </c>
      <c r="M49" s="11">
        <f>INDEX(BF48:BF51,MATCH(1,BL48:BL51,0))</f>
        <v/>
      </c>
      <c r="N49" s="11">
        <f>INDEX(BG48:BG51,MATCH(1,BL48:BL51,0))</f>
        <v/>
      </c>
      <c r="O49" s="11">
        <f>INDEX(BH48:BH51,MATCH(1,BL48:BL51,0))</f>
        <v/>
      </c>
      <c r="P49" s="11">
        <f>INDEX(BI48:BI51,MATCH(1,BL48:BL51,0))&amp;" - "&amp;INDEX(BJ48:BJ51,MATCH(1,BL48:BL51,0))</f>
        <v/>
      </c>
      <c r="Q49" s="14">
        <f>INDEX(BK48:BK51,MATCH(1,BL48:BL51,0))</f>
        <v/>
      </c>
      <c r="S49" s="9">
        <f>IF((COUNTIF($F$5:$G$76,"&gt;=0")=144),IFERROR(INDEX($AO$81:$AO$92,8),"Winner H"),"Winner H")</f>
        <v/>
      </c>
      <c r="T49" s="10" t="n"/>
      <c r="U49" s="10" t="n"/>
      <c r="V49" s="10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BD49" t="inlineStr">
        <is>
          <t>Cape Verde</t>
        </is>
      </c>
      <c r="BE49">
        <f t="array" ref="BE49">SUMPRODUCT((((E47:E52=BD49)+(H47:H52=BD49))&gt;0)*ISNUMBER(F47:F52)*ISNUMBER(G47:G52))</f>
        <v/>
      </c>
      <c r="BF49">
        <f t="array" ref="BF49">SUMPRODUCT((E47:E52=BD49)*ISNUMBER(F47:F52)*ISNUMBER(G47:G52)*(F47:F52&gt;G47:G52))+SUMPRODUCT((H47:H52=BD49)*ISNUMBER(F47:F52)*ISNUMBER(G47:G52)*(G47:G52&gt;F47:F52))</f>
        <v/>
      </c>
      <c r="BG49">
        <f t="array" ref="BG49">SUMPRODUCT((((E47:E52=BD49)+(H47:H52=BD49))&gt;0)*ISNUMBER(F47:F52)*ISNUMBER(G47:G52)*(F47:F52=G47:G52))</f>
        <v/>
      </c>
      <c r="BH49">
        <f>BE49-BF49-BG49</f>
        <v/>
      </c>
      <c r="BI49">
        <f t="array" ref="BI49">SUMPRODUCT((E47:E52=BD49)*IFERROR(F47:F52,0))+SUMPRODUCT((H47:H52=BD49)*IFERROR(G47:G52,0))</f>
        <v/>
      </c>
      <c r="BJ49">
        <f t="array" ref="BJ49">SUMPRODUCT((E47:E52=BD49)*IFERROR(G47:G52,0))+SUMPRODUCT((H47:H52=BD49)*IFERROR(F47:F52,0))</f>
        <v/>
      </c>
      <c r="BK49">
        <f>BF49*3+BG49</f>
        <v/>
      </c>
      <c r="BL49">
        <f>1+SUMPRODUCT(((BK$48:BK$51&gt;BK49)+(BK$48:BK$51=BK49)*(BM$48:BM$51&gt;BM49)+(BK$48:BK$51=BK49)*(BM$48:BM$51=BM49)*(BN$48:BN$51&gt;BN49)+(BK$48:BK$51=BK49)*(BM$48:BM$51=BM49)*(BN$48:BN$51=BN49)*(BO$48:BO$51&gt;BO49)+(BK$48:BK$51=BK49)*(BM$48:BM$51=BM49)*(BN$48:BN$51=BN49)*(BO$48:BO$51=BO49)*((BI$48:BI$51-BJ$48:BJ$51)&gt;(BI49-BJ49))+(BK$48:BK$51=BK49)*(BM$48:BM$51=BM49)*(BN$48:BN$51=BN49)*(BO$48:BO$51=BO49)*((BI$48:BI$51-BJ$48:BJ$51)=(BI49-BJ49))*(BI$48:BI$51&gt;BI49)+(BK$48:BK$51=BK49)*(BM$48:BM$51=BM49)*(BN$48:BN$51=BN49)*(BO$48:BO$51=BO49)*((BI$48:BI$51-BJ$48:BJ$51)=(BI49-BJ49))*(BI$48:BI$51=BI49)*(ROW(BK$48:BK$51)&lt;ROW(BK49)))*1)</f>
        <v/>
      </c>
      <c r="BM49">
        <f t="array" ref="BM49">SUMPRODUCT((E$47:E$52=BD49)*ISNUMBER(F$47:F$52)*ISNUMBER(G$47:G$52)*COUNTIFS(BD$48:BD$51,H$47:H$52,BK$48:BK$51,BK49)*((F$47:F$52&gt;G$47:G$52)*3+(F$47:F$52=G$47:G$52)))+SUMPRODUCT((H$47:H$52=BD49)*ISNUMBER(F$47:F$52)*ISNUMBER(G$47:G$52)*COUNTIFS(BD$48:BD$51,E$47:E$52,BK$48:BK$51,BK49)*((G$47:G$52&gt;F$47:F$52)*3+(F$47:F$52=G$47:G$52)))</f>
        <v/>
      </c>
      <c r="BN49">
        <f t="array" ref="BN49">SUMPRODUCT((E$47:E$52=BD49)*ISNUMBER(F$47:F$52)*ISNUMBER(G$47:G$52)*COUNTIFS(BD$48:BD$51,H$47:H$52,BK$48:BK$51,BK49)*(F$47:F$52-G$47:G$52))+SUMPRODUCT((H$47:H$52=BD49)*ISNUMBER(F$47:F$52)*ISNUMBER(G$47:G$52)*COUNTIFS(BD$48:BD$51,E$47:E$52,BK$48:BK$51,BK49)*(G$47:G$52-F$47:F$52))</f>
        <v/>
      </c>
      <c r="BO49">
        <f t="array" ref="BO49">SUMPRODUCT((E$47:E$52=BD49)*ISNUMBER(F$47:F$52)*ISNUMBER(G$47:G$52)*COUNTIFS(BD$48:BD$51,H$47:H$52,BK$48:BK$51,BK49)*F$47:F$52)+SUMPRODUCT((H$47:H$52=BD49)*ISNUMBER(F$47:F$52)*ISNUMBER(G$47:G$52)*COUNTIFS(BD$48:BD$51,E$47:E$52,BK$48:BK$51,BK49)*G$47:G$52)</f>
        <v/>
      </c>
    </row>
    <row r="50" ht="12.75" customHeight="1">
      <c r="A50" s="11" t="n">
        <v>46</v>
      </c>
      <c r="B50" s="11">
        <f>TEXT((46194)+(18+4+GmtOffset)/24,"ddd")</f>
        <v/>
      </c>
      <c r="C50" s="11">
        <f>TEXT((46194)+(18+4+GmtOffset)/24,"mmm d, yyyy")</f>
        <v/>
      </c>
      <c r="D50" s="11">
        <f>TEXT((46194)+(18+4+GmtOffset)/24,"h:mm")</f>
        <v/>
      </c>
      <c r="E50" s="12" t="inlineStr">
        <is>
          <t>Uruguay</t>
        </is>
      </c>
      <c r="F50" s="7" t="n"/>
      <c r="G50" s="7" t="n"/>
      <c r="H50" s="13" t="inlineStr">
        <is>
          <t>Cape Verde</t>
        </is>
      </c>
      <c r="I50" s="11" t="inlineStr">
        <is>
          <t>H</t>
        </is>
      </c>
      <c r="J50" s="3" t="n"/>
      <c r="K50" s="13">
        <f>INDEX(BD48:BD51,MATCH(2,BL48:BL51,0))</f>
        <v/>
      </c>
      <c r="L50" s="11">
        <f>INDEX(BE48:BE51,MATCH(2,BL48:BL51,0))</f>
        <v/>
      </c>
      <c r="M50" s="11">
        <f>INDEX(BF48:BF51,MATCH(2,BL48:BL51,0))</f>
        <v/>
      </c>
      <c r="N50" s="11">
        <f>INDEX(BG48:BG51,MATCH(2,BL48:BL51,0))</f>
        <v/>
      </c>
      <c r="O50" s="11">
        <f>INDEX(BH48:BH51,MATCH(2,BL48:BL51,0))</f>
        <v/>
      </c>
      <c r="P50" s="11">
        <f>INDEX(BI48:BI51,MATCH(2,BL48:BL51,0))&amp;" - "&amp;INDEX(BJ48:BJ51,MATCH(2,BL48:BL51,0))</f>
        <v/>
      </c>
      <c r="Q50" s="14">
        <f>INDEX(BK48:BK51,MATCH(2,BL48:BL51,0))</f>
        <v/>
      </c>
      <c r="S50" s="15">
        <f>IF((COUNTIF($F$5:$G$76,"&gt;=0")=144),IFERROR(INDEX($AP$81:$AP$92,10),"Runner-up J"),"Runner-up J")</f>
        <v/>
      </c>
      <c r="T50" s="16" t="n"/>
      <c r="U50" s="16" t="n"/>
      <c r="V50" s="16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BD50" t="inlineStr">
        <is>
          <t>Saudi Arabia</t>
        </is>
      </c>
      <c r="BE50">
        <f t="array" ref="BE50">SUMPRODUCT((((E47:E52=BD50)+(H47:H52=BD50))&gt;0)*ISNUMBER(F47:F52)*ISNUMBER(G47:G52))</f>
        <v/>
      </c>
      <c r="BF50">
        <f t="array" ref="BF50">SUMPRODUCT((E47:E52=BD50)*ISNUMBER(F47:F52)*ISNUMBER(G47:G52)*(F47:F52&gt;G47:G52))+SUMPRODUCT((H47:H52=BD50)*ISNUMBER(F47:F52)*ISNUMBER(G47:G52)*(G47:G52&gt;F47:F52))</f>
        <v/>
      </c>
      <c r="BG50">
        <f t="array" ref="BG50">SUMPRODUCT((((E47:E52=BD50)+(H47:H52=BD50))&gt;0)*ISNUMBER(F47:F52)*ISNUMBER(G47:G52)*(F47:F52=G47:G52))</f>
        <v/>
      </c>
      <c r="BH50">
        <f>BE50-BF50-BG50</f>
        <v/>
      </c>
      <c r="BI50">
        <f t="array" ref="BI50">SUMPRODUCT((E47:E52=BD50)*IFERROR(F47:F52,0))+SUMPRODUCT((H47:H52=BD50)*IFERROR(G47:G52,0))</f>
        <v/>
      </c>
      <c r="BJ50">
        <f t="array" ref="BJ50">SUMPRODUCT((E47:E52=BD50)*IFERROR(G47:G52,0))+SUMPRODUCT((H47:H52=BD50)*IFERROR(F47:F52,0))</f>
        <v/>
      </c>
      <c r="BK50">
        <f>BF50*3+BG50</f>
        <v/>
      </c>
      <c r="BL50">
        <f>1+SUMPRODUCT(((BK$48:BK$51&gt;BK50)+(BK$48:BK$51=BK50)*(BM$48:BM$51&gt;BM50)+(BK$48:BK$51=BK50)*(BM$48:BM$51=BM50)*(BN$48:BN$51&gt;BN50)+(BK$48:BK$51=BK50)*(BM$48:BM$51=BM50)*(BN$48:BN$51=BN50)*(BO$48:BO$51&gt;BO50)+(BK$48:BK$51=BK50)*(BM$48:BM$51=BM50)*(BN$48:BN$51=BN50)*(BO$48:BO$51=BO50)*((BI$48:BI$51-BJ$48:BJ$51)&gt;(BI50-BJ50))+(BK$48:BK$51=BK50)*(BM$48:BM$51=BM50)*(BN$48:BN$51=BN50)*(BO$48:BO$51=BO50)*((BI$48:BI$51-BJ$48:BJ$51)=(BI50-BJ50))*(BI$48:BI$51&gt;BI50)+(BK$48:BK$51=BK50)*(BM$48:BM$51=BM50)*(BN$48:BN$51=BN50)*(BO$48:BO$51=BO50)*((BI$48:BI$51-BJ$48:BJ$51)=(BI50-BJ50))*(BI$48:BI$51=BI50)*(ROW(BK$48:BK$51)&lt;ROW(BK50)))*1)</f>
        <v/>
      </c>
      <c r="BM50">
        <f t="array" ref="BM50">SUMPRODUCT((E$47:E$52=BD50)*ISNUMBER(F$47:F$52)*ISNUMBER(G$47:G$52)*COUNTIFS(BD$48:BD$51,H$47:H$52,BK$48:BK$51,BK50)*((F$47:F$52&gt;G$47:G$52)*3+(F$47:F$52=G$47:G$52)))+SUMPRODUCT((H$47:H$52=BD50)*ISNUMBER(F$47:F$52)*ISNUMBER(G$47:G$52)*COUNTIFS(BD$48:BD$51,E$47:E$52,BK$48:BK$51,BK50)*((G$47:G$52&gt;F$47:F$52)*3+(F$47:F$52=G$47:G$52)))</f>
        <v/>
      </c>
      <c r="BN50">
        <f t="array" ref="BN50">SUMPRODUCT((E$47:E$52=BD50)*ISNUMBER(F$47:F$52)*ISNUMBER(G$47:G$52)*COUNTIFS(BD$48:BD$51,H$47:H$52,BK$48:BK$51,BK50)*(F$47:F$52-G$47:G$52))+SUMPRODUCT((H$47:H$52=BD50)*ISNUMBER(F$47:F$52)*ISNUMBER(G$47:G$52)*COUNTIFS(BD$48:BD$51,E$47:E$52,BK$48:BK$51,BK50)*(G$47:G$52-F$47:F$52))</f>
        <v/>
      </c>
      <c r="BO50">
        <f t="array" ref="BO50">SUMPRODUCT((E$47:E$52=BD50)*ISNUMBER(F$47:F$52)*ISNUMBER(G$47:G$52)*COUNTIFS(BD$48:BD$51,H$47:H$52,BK$48:BK$51,BK50)*F$47:F$52)+SUMPRODUCT((H$47:H$52=BD50)*ISNUMBER(F$47:F$52)*ISNUMBER(G$47:G$52)*COUNTIFS(BD$48:BD$51,E$47:E$52,BK$48:BK$51,BK50)*G$47:G$52)</f>
        <v/>
      </c>
    </row>
    <row r="51" ht="12.75" customHeight="1">
      <c r="A51" s="11" t="n">
        <v>47</v>
      </c>
      <c r="B51" s="11">
        <f>TEXT((46199)+(20+4+GmtOffset)/24,"ddd")</f>
        <v/>
      </c>
      <c r="C51" s="11">
        <f>TEXT((46199)+(20+4+GmtOffset)/24,"mmm d, yyyy")</f>
        <v/>
      </c>
      <c r="D51" s="11">
        <f>TEXT((46199)+(20+4+GmtOffset)/24,"h:mm")</f>
        <v/>
      </c>
      <c r="E51" s="12" t="inlineStr">
        <is>
          <t>Uruguay</t>
        </is>
      </c>
      <c r="F51" s="7" t="n"/>
      <c r="G51" s="7" t="n"/>
      <c r="H51" s="13" t="inlineStr">
        <is>
          <t>Spain</t>
        </is>
      </c>
      <c r="I51" s="11" t="inlineStr">
        <is>
          <t>H</t>
        </is>
      </c>
      <c r="J51" s="3" t="n"/>
      <c r="K51" s="13">
        <f>INDEX(BD48:BD51,MATCH(3,BL48:BL51,0))</f>
        <v/>
      </c>
      <c r="L51" s="11">
        <f>INDEX(BE48:BE51,MATCH(3,BL48:BL51,0))</f>
        <v/>
      </c>
      <c r="M51" s="11">
        <f>INDEX(BF48:BF51,MATCH(3,BL48:BL51,0))</f>
        <v/>
      </c>
      <c r="N51" s="11">
        <f>INDEX(BG48:BG51,MATCH(3,BL48:BL51,0))</f>
        <v/>
      </c>
      <c r="O51" s="11">
        <f>INDEX(BH48:BH51,MATCH(3,BL48:BL51,0))</f>
        <v/>
      </c>
      <c r="P51" s="11">
        <f>INDEX(BI48:BI51,MATCH(3,BL48:BL51,0))&amp;" - "&amp;INDEX(BJ48:BJ51,MATCH(3,BL48:BL51,0))</f>
        <v/>
      </c>
      <c r="Q51" s="14">
        <f>INDEX(BK48:BK51,MATCH(3,BL48:BL51,0))</f>
        <v/>
      </c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9">
        <f>IF(AND(ISNUMBER(AB43),ISNUMBER(AB44)),IF(AB43&gt;AB44,AA43,IF(AB44&gt;AB43,AA44,IF(NOT(AND(ISNUMBER(AC43),ISNUMBER(AC44))),"",IF(AC43&gt;AC44,AA43,IF(AC44&gt;AC43,AA44,IF(NOT(AND(ISNUMBER(AD43),ISNUMBER(AD44))),"",IF(AD43&gt;AD44,AA43,IF(AD44&gt;AD43,AA44,"")))))))),"W99")</f>
        <v/>
      </c>
      <c r="AF51" s="10" t="n"/>
      <c r="AG51" s="10" t="n"/>
      <c r="AH51" s="10" t="n"/>
      <c r="AI51" s="3" t="n"/>
      <c r="AJ51" s="3" t="n"/>
      <c r="AK51" s="3" t="n"/>
      <c r="AL51" s="3" t="n"/>
      <c r="AM51" s="3" t="n"/>
      <c r="AN51" s="3" t="n"/>
      <c r="BD51" t="inlineStr">
        <is>
          <t>Uruguay</t>
        </is>
      </c>
      <c r="BE51">
        <f t="array" ref="BE51">SUMPRODUCT((((E47:E52=BD51)+(H47:H52=BD51))&gt;0)*ISNUMBER(F47:F52)*ISNUMBER(G47:G52))</f>
        <v/>
      </c>
      <c r="BF51">
        <f t="array" ref="BF51">SUMPRODUCT((E47:E52=BD51)*ISNUMBER(F47:F52)*ISNUMBER(G47:G52)*(F47:F52&gt;G47:G52))+SUMPRODUCT((H47:H52=BD51)*ISNUMBER(F47:F52)*ISNUMBER(G47:G52)*(G47:G52&gt;F47:F52))</f>
        <v/>
      </c>
      <c r="BG51">
        <f t="array" ref="BG51">SUMPRODUCT((((E47:E52=BD51)+(H47:H52=BD51))&gt;0)*ISNUMBER(F47:F52)*ISNUMBER(G47:G52)*(F47:F52=G47:G52))</f>
        <v/>
      </c>
      <c r="BH51">
        <f>BE51-BF51-BG51</f>
        <v/>
      </c>
      <c r="BI51">
        <f t="array" ref="BI51">SUMPRODUCT((E47:E52=BD51)*IFERROR(F47:F52,0))+SUMPRODUCT((H47:H52=BD51)*IFERROR(G47:G52,0))</f>
        <v/>
      </c>
      <c r="BJ51">
        <f t="array" ref="BJ51">SUMPRODUCT((E47:E52=BD51)*IFERROR(G47:G52,0))+SUMPRODUCT((H47:H52=BD51)*IFERROR(F47:F52,0))</f>
        <v/>
      </c>
      <c r="BK51">
        <f>BF51*3+BG51</f>
        <v/>
      </c>
      <c r="BL51">
        <f>1+SUMPRODUCT(((BK$48:BK$51&gt;BK51)+(BK$48:BK$51=BK51)*(BM$48:BM$51&gt;BM51)+(BK$48:BK$51=BK51)*(BM$48:BM$51=BM51)*(BN$48:BN$51&gt;BN51)+(BK$48:BK$51=BK51)*(BM$48:BM$51=BM51)*(BN$48:BN$51=BN51)*(BO$48:BO$51&gt;BO51)+(BK$48:BK$51=BK51)*(BM$48:BM$51=BM51)*(BN$48:BN$51=BN51)*(BO$48:BO$51=BO51)*((BI$48:BI$51-BJ$48:BJ$51)&gt;(BI51-BJ51))+(BK$48:BK$51=BK51)*(BM$48:BM$51=BM51)*(BN$48:BN$51=BN51)*(BO$48:BO$51=BO51)*((BI$48:BI$51-BJ$48:BJ$51)=(BI51-BJ51))*(BI$48:BI$51&gt;BI51)+(BK$48:BK$51=BK51)*(BM$48:BM$51=BM51)*(BN$48:BN$51=BN51)*(BO$48:BO$51=BO51)*((BI$48:BI$51-BJ$48:BJ$51)=(BI51-BJ51))*(BI$48:BI$51=BI51)*(ROW(BK$48:BK$51)&lt;ROW(BK51)))*1)</f>
        <v/>
      </c>
      <c r="BM51">
        <f t="array" ref="BM51">SUMPRODUCT((E$47:E$52=BD51)*ISNUMBER(F$47:F$52)*ISNUMBER(G$47:G$52)*COUNTIFS(BD$48:BD$51,H$47:H$52,BK$48:BK$51,BK51)*((F$47:F$52&gt;G$47:G$52)*3+(F$47:F$52=G$47:G$52)))+SUMPRODUCT((H$47:H$52=BD51)*ISNUMBER(F$47:F$52)*ISNUMBER(G$47:G$52)*COUNTIFS(BD$48:BD$51,E$47:E$52,BK$48:BK$51,BK51)*((G$47:G$52&gt;F$47:F$52)*3+(F$47:F$52=G$47:G$52)))</f>
        <v/>
      </c>
      <c r="BN51">
        <f t="array" ref="BN51">SUMPRODUCT((E$47:E$52=BD51)*ISNUMBER(F$47:F$52)*ISNUMBER(G$47:G$52)*COUNTIFS(BD$48:BD$51,H$47:H$52,BK$48:BK$51,BK51)*(F$47:F$52-G$47:G$52))+SUMPRODUCT((H$47:H$52=BD51)*ISNUMBER(F$47:F$52)*ISNUMBER(G$47:G$52)*COUNTIFS(BD$48:BD$51,E$47:E$52,BK$48:BK$51,BK51)*(G$47:G$52-F$47:F$52))</f>
        <v/>
      </c>
      <c r="BO51">
        <f t="array" ref="BO51">SUMPRODUCT((E$47:E$52=BD51)*ISNUMBER(F$47:F$52)*ISNUMBER(G$47:G$52)*COUNTIFS(BD$48:BD$51,H$47:H$52,BK$48:BK$51,BK51)*F$47:F$52)+SUMPRODUCT((H$47:H$52=BD51)*ISNUMBER(F$47:F$52)*ISNUMBER(G$47:G$52)*COUNTIFS(BD$48:BD$51,E$47:E$52,BK$48:BK$51,BK51)*G$47:G$52)</f>
        <v/>
      </c>
    </row>
    <row r="52" ht="12.75" customHeight="1">
      <c r="A52" s="11" t="n">
        <v>48</v>
      </c>
      <c r="B52" s="11">
        <f>TEXT((46199)+(20+4+GmtOffset)/24,"ddd")</f>
        <v/>
      </c>
      <c r="C52" s="11">
        <f>TEXT((46199)+(20+4+GmtOffset)/24,"mmm d, yyyy")</f>
        <v/>
      </c>
      <c r="D52" s="11">
        <f>TEXT((46199)+(20+4+GmtOffset)/24,"h:mm")</f>
        <v/>
      </c>
      <c r="E52" s="12" t="inlineStr">
        <is>
          <t>Cape Verde</t>
        </is>
      </c>
      <c r="F52" s="7" t="n"/>
      <c r="G52" s="7" t="n"/>
      <c r="H52" s="13" t="inlineStr">
        <is>
          <t>Saudi Arabia</t>
        </is>
      </c>
      <c r="I52" s="11" t="inlineStr">
        <is>
          <t>H</t>
        </is>
      </c>
      <c r="J52" s="3" t="n"/>
      <c r="K52" s="17">
        <f>INDEX(BD48:BD51,MATCH(4,BL48:BL51,0))</f>
        <v/>
      </c>
      <c r="L52" s="18">
        <f>INDEX(BE48:BE51,MATCH(4,BL48:BL51,0))</f>
        <v/>
      </c>
      <c r="M52" s="18">
        <f>INDEX(BF48:BF51,MATCH(4,BL48:BL51,0))</f>
        <v/>
      </c>
      <c r="N52" s="18">
        <f>INDEX(BG48:BG51,MATCH(4,BL48:BL51,0))</f>
        <v/>
      </c>
      <c r="O52" s="18">
        <f>INDEX(BH48:BH51,MATCH(4,BL48:BL51,0))</f>
        <v/>
      </c>
      <c r="P52" s="18">
        <f>INDEX(BI48:BI51,MATCH(4,BL48:BL51,0))&amp;" - "&amp;INDEX(BJ48:BJ51,MATCH(4,BL48:BL51,0))</f>
        <v/>
      </c>
      <c r="Q52" s="19">
        <f>INDEX(BK48:BK51,MATCH(4,BL48:BL51,0))</f>
        <v/>
      </c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15">
        <f>IF(AND(ISNUMBER(AB59),ISNUMBER(AB60)),IF(AB59&gt;AB60,AA59,IF(AB60&gt;AB59,AA60,IF(NOT(AND(ISNUMBER(AC59),ISNUMBER(AC60))),"",IF(AC59&gt;AC60,AA59,IF(AC60&gt;AC59,AA60,IF(NOT(AND(ISNUMBER(AD59),ISNUMBER(AD60))),"",IF(AD59&gt;AD60,AA59,IF(AD60&gt;AD59,AA60,"")))))))),"W100")</f>
        <v/>
      </c>
      <c r="AF52" s="16" t="n"/>
      <c r="AG52" s="16" t="n"/>
      <c r="AH52" s="16" t="n"/>
      <c r="AI52" s="3" t="n"/>
      <c r="AJ52" s="3" t="n"/>
      <c r="AK52" s="3" t="n"/>
      <c r="AL52" s="3" t="n"/>
      <c r="AM52" s="3" t="n"/>
      <c r="AN52" s="3" t="n"/>
    </row>
    <row r="53" ht="12.75" customHeight="1">
      <c r="A53" s="11" t="n">
        <v>49</v>
      </c>
      <c r="B53" s="11">
        <f>TEXT((46189)+(15+4+GmtOffset)/24,"ddd")</f>
        <v/>
      </c>
      <c r="C53" s="11">
        <f>TEXT((46189)+(15+4+GmtOffset)/24,"mmm d, yyyy")</f>
        <v/>
      </c>
      <c r="D53" s="11">
        <f>TEXT((46189)+(15+4+GmtOffset)/24,"h:mm")</f>
        <v/>
      </c>
      <c r="E53" s="12" t="inlineStr">
        <is>
          <t>France</t>
        </is>
      </c>
      <c r="F53" s="7" t="n"/>
      <c r="G53" s="7" t="n"/>
      <c r="H53" s="13" t="inlineStr">
        <is>
          <t>Senegal</t>
        </is>
      </c>
      <c r="I53" s="11" t="inlineStr">
        <is>
          <t>I</t>
        </is>
      </c>
      <c r="J53" s="3" t="n"/>
      <c r="K53" s="145" t="inlineStr">
        <is>
          <t>Group I</t>
        </is>
      </c>
      <c r="L53" s="20" t="n"/>
      <c r="M53" s="20" t="n"/>
      <c r="N53" s="20" t="n"/>
      <c r="O53" s="20" t="n"/>
      <c r="P53" s="20" t="n"/>
      <c r="Q53" s="20" t="n"/>
      <c r="S53" s="9">
        <f>IF((COUNTIF($F$5:$G$76,"&gt;=0")=144),IFERROR(INDEX($AO$81:$AO$92,2),"Winner B"),"Winner B")</f>
        <v/>
      </c>
      <c r="T53" s="10" t="n"/>
      <c r="U53" s="10" t="n"/>
      <c r="V53" s="10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</row>
    <row r="54" ht="12.75" customHeight="1">
      <c r="A54" s="11" t="n">
        <v>50</v>
      </c>
      <c r="B54" s="11">
        <f>TEXT((46189)+(18+4+GmtOffset)/24,"ddd")</f>
        <v/>
      </c>
      <c r="C54" s="11">
        <f>TEXT((46189)+(18+4+GmtOffset)/24,"mmm d, yyyy")</f>
        <v/>
      </c>
      <c r="D54" s="11">
        <f>TEXT((46189)+(18+4+GmtOffset)/24,"h:mm")</f>
        <v/>
      </c>
      <c r="E54" s="12" t="inlineStr">
        <is>
          <t>Iraq</t>
        </is>
      </c>
      <c r="F54" s="7" t="n"/>
      <c r="G54" s="7" t="n"/>
      <c r="H54" s="13" t="inlineStr">
        <is>
          <t>Norway</t>
        </is>
      </c>
      <c r="I54" s="11" t="inlineStr">
        <is>
          <t>I</t>
        </is>
      </c>
      <c r="J54" s="3" t="n"/>
      <c r="K54" s="14" t="n"/>
      <c r="L54" s="14" t="inlineStr">
        <is>
          <t>PL</t>
        </is>
      </c>
      <c r="M54" s="14" t="inlineStr">
        <is>
          <t>W</t>
        </is>
      </c>
      <c r="N54" s="14" t="inlineStr">
        <is>
          <t>D</t>
        </is>
      </c>
      <c r="O54" s="14" t="inlineStr">
        <is>
          <t>L</t>
        </is>
      </c>
      <c r="P54" s="14" t="inlineStr">
        <is>
          <t>GF - GA</t>
        </is>
      </c>
      <c r="Q54" s="14" t="inlineStr">
        <is>
          <t>P</t>
        </is>
      </c>
      <c r="S54" s="15">
        <f>IF((COUNTIF($F$5:$G$76,"&gt;=0")=144),IFERROR(INDEX($AQ$81:$AQ$92,MATCH($BS$81,$AN$81:$AN$92,0)),"Best 3rd E/F/G/I/J"),"Best 3rd E/F/G/I/J")</f>
        <v/>
      </c>
      <c r="T54" s="16" t="n"/>
      <c r="U54" s="16" t="n"/>
      <c r="V54" s="16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BD54" t="inlineStr">
        <is>
          <t>France</t>
        </is>
      </c>
      <c r="BE54">
        <f t="array" ref="BE54">SUMPRODUCT((((E53:E58=BD54)+(H53:H58=BD54))&gt;0)*ISNUMBER(F53:F58)*ISNUMBER(G53:G58))</f>
        <v/>
      </c>
      <c r="BF54">
        <f t="array" ref="BF54">SUMPRODUCT((E53:E58=BD54)*ISNUMBER(F53:F58)*ISNUMBER(G53:G58)*(F53:F58&gt;G53:G58))+SUMPRODUCT((H53:H58=BD54)*ISNUMBER(F53:F58)*ISNUMBER(G53:G58)*(G53:G58&gt;F53:F58))</f>
        <v/>
      </c>
      <c r="BG54">
        <f t="array" ref="BG54">SUMPRODUCT((((E53:E58=BD54)+(H53:H58=BD54))&gt;0)*ISNUMBER(F53:F58)*ISNUMBER(G53:G58)*(F53:F58=G53:G58))</f>
        <v/>
      </c>
      <c r="BH54">
        <f>BE54-BF54-BG54</f>
        <v/>
      </c>
      <c r="BI54">
        <f t="array" ref="BI54">SUMPRODUCT((E53:E58=BD54)*IFERROR(F53:F58,0))+SUMPRODUCT((H53:H58=BD54)*IFERROR(G53:G58,0))</f>
        <v/>
      </c>
      <c r="BJ54">
        <f t="array" ref="BJ54">SUMPRODUCT((E53:E58=BD54)*IFERROR(G53:G58,0))+SUMPRODUCT((H53:H58=BD54)*IFERROR(F53:F58,0))</f>
        <v/>
      </c>
      <c r="BK54">
        <f>BF54*3+BG54</f>
        <v/>
      </c>
      <c r="BL54">
        <f>1+SUMPRODUCT(((BK$54:BK$57&gt;BK54)+(BK$54:BK$57=BK54)*(BM$54:BM$57&gt;BM54)+(BK$54:BK$57=BK54)*(BM$54:BM$57=BM54)*(BN$54:BN$57&gt;BN54)+(BK$54:BK$57=BK54)*(BM$54:BM$57=BM54)*(BN$54:BN$57=BN54)*(BO$54:BO$57&gt;BO54)+(BK$54:BK$57=BK54)*(BM$54:BM$57=BM54)*(BN$54:BN$57=BN54)*(BO$54:BO$57=BO54)*((BI$54:BI$57-BJ$54:BJ$57)&gt;(BI54-BJ54))+(BK$54:BK$57=BK54)*(BM$54:BM$57=BM54)*(BN$54:BN$57=BN54)*(BO$54:BO$57=BO54)*((BI$54:BI$57-BJ$54:BJ$57)=(BI54-BJ54))*(BI$54:BI$57&gt;BI54)+(BK$54:BK$57=BK54)*(BM$54:BM$57=BM54)*(BN$54:BN$57=BN54)*(BO$54:BO$57=BO54)*((BI$54:BI$57-BJ$54:BJ$57)=(BI54-BJ54))*(BI$54:BI$57=BI54)*(ROW(BK$54:BK$57)&lt;ROW(BK54)))*1)</f>
        <v/>
      </c>
      <c r="BM54">
        <f t="array" ref="BM54">SUMPRODUCT((E$53:E$58=BD54)*ISNUMBER(F$53:F$58)*ISNUMBER(G$53:G$58)*COUNTIFS(BD$54:BD$57,H$53:H$58,BK$54:BK$57,BK54)*((F$53:F$58&gt;G$53:G$58)*3+(F$53:F$58=G$53:G$58)))+SUMPRODUCT((H$53:H$58=BD54)*ISNUMBER(F$53:F$58)*ISNUMBER(G$53:G$58)*COUNTIFS(BD$54:BD$57,E$53:E$58,BK$54:BK$57,BK54)*((G$53:G$58&gt;F$53:F$58)*3+(F$53:F$58=G$53:G$58)))</f>
        <v/>
      </c>
      <c r="BN54">
        <f t="array" ref="BN54">SUMPRODUCT((E$53:E$58=BD54)*ISNUMBER(F$53:F$58)*ISNUMBER(G$53:G$58)*COUNTIFS(BD$54:BD$57,H$53:H$58,BK$54:BK$57,BK54)*(F$53:F$58-G$53:G$58))+SUMPRODUCT((H$53:H$58=BD54)*ISNUMBER(F$53:F$58)*ISNUMBER(G$53:G$58)*COUNTIFS(BD$54:BD$57,E$53:E$58,BK$54:BK$57,BK54)*(G$53:G$58-F$53:F$58))</f>
        <v/>
      </c>
      <c r="BO54">
        <f t="array" ref="BO54">SUMPRODUCT((E$53:E$58=BD54)*ISNUMBER(F$53:F$58)*ISNUMBER(G$53:G$58)*COUNTIFS(BD$54:BD$57,H$53:H$58,BK$54:BK$57,BK54)*F$53:F$58)+SUMPRODUCT((H$53:H$58=BD54)*ISNUMBER(F$53:F$58)*ISNUMBER(G$53:G$58)*COUNTIFS(BD$54:BD$57,E$53:E$58,BK$54:BK$57,BK54)*G$53:G$58)</f>
        <v/>
      </c>
    </row>
    <row r="55" ht="12.75" customHeight="1">
      <c r="A55" s="11" t="n">
        <v>51</v>
      </c>
      <c r="B55" s="11">
        <f>TEXT((46195)+(17+4+GmtOffset)/24,"ddd")</f>
        <v/>
      </c>
      <c r="C55" s="11">
        <f>TEXT((46195)+(17+4+GmtOffset)/24,"mmm d, yyyy")</f>
        <v/>
      </c>
      <c r="D55" s="11">
        <f>TEXT((46195)+(17+4+GmtOffset)/24,"h:mm")</f>
        <v/>
      </c>
      <c r="E55" s="12" t="inlineStr">
        <is>
          <t>France</t>
        </is>
      </c>
      <c r="F55" s="7" t="n"/>
      <c r="G55" s="7" t="n"/>
      <c r="H55" s="13" t="inlineStr">
        <is>
          <t>Iraq</t>
        </is>
      </c>
      <c r="I55" s="11" t="inlineStr">
        <is>
          <t>I</t>
        </is>
      </c>
      <c r="J55" s="3" t="n"/>
      <c r="K55" s="13">
        <f>INDEX(BD54:BD57,MATCH(1,BL54:BL57,0))</f>
        <v/>
      </c>
      <c r="L55" s="11">
        <f>INDEX(BE54:BE57,MATCH(1,BL54:BL57,0))</f>
        <v/>
      </c>
      <c r="M55" s="11">
        <f>INDEX(BF54:BF57,MATCH(1,BL54:BL57,0))</f>
        <v/>
      </c>
      <c r="N55" s="11">
        <f>INDEX(BG54:BG57,MATCH(1,BL54:BL57,0))</f>
        <v/>
      </c>
      <c r="O55" s="11">
        <f>INDEX(BH54:BH57,MATCH(1,BL54:BL57,0))</f>
        <v/>
      </c>
      <c r="P55" s="11">
        <f>INDEX(BI54:BI57,MATCH(1,BL54:BL57,0))&amp;" - "&amp;INDEX(BJ54:BJ57,MATCH(1,BL54:BL57,0))</f>
        <v/>
      </c>
      <c r="Q55" s="14">
        <f>INDEX(BK54:BK57,MATCH(1,BL54:BL57,0))</f>
        <v/>
      </c>
      <c r="S55" s="3" t="n"/>
      <c r="T55" s="3" t="n"/>
      <c r="U55" s="3" t="n"/>
      <c r="V55" s="3" t="n"/>
      <c r="W55" s="9">
        <f>IF(AND(ISNUMBER(T57),ISNUMBER(T58)),IF(T57&gt;T58,S57,IF(T58&gt;T57,S58,IF(NOT(AND(ISNUMBER(U57),ISNUMBER(U58))),"",IF(U57&gt;U58,S57,IF(U58&gt;U57,S58,IF(NOT(AND(ISNUMBER(V57),ISNUMBER(V58))),"",IF(V57&gt;V58,S57,IF(V58&gt;V57,S58,"")))))))),"W86")</f>
        <v/>
      </c>
      <c r="X55" s="10" t="n"/>
      <c r="Y55" s="10" t="n"/>
      <c r="Z55" s="10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BD55" t="inlineStr">
        <is>
          <t>Senegal</t>
        </is>
      </c>
      <c r="BE55">
        <f t="array" ref="BE55">SUMPRODUCT((((E53:E58=BD55)+(H53:H58=BD55))&gt;0)*ISNUMBER(F53:F58)*ISNUMBER(G53:G58))</f>
        <v/>
      </c>
      <c r="BF55">
        <f t="array" ref="BF55">SUMPRODUCT((E53:E58=BD55)*ISNUMBER(F53:F58)*ISNUMBER(G53:G58)*(F53:F58&gt;G53:G58))+SUMPRODUCT((H53:H58=BD55)*ISNUMBER(F53:F58)*ISNUMBER(G53:G58)*(G53:G58&gt;F53:F58))</f>
        <v/>
      </c>
      <c r="BG55">
        <f t="array" ref="BG55">SUMPRODUCT((((E53:E58=BD55)+(H53:H58=BD55))&gt;0)*ISNUMBER(F53:F58)*ISNUMBER(G53:G58)*(F53:F58=G53:G58))</f>
        <v/>
      </c>
      <c r="BH55">
        <f>BE55-BF55-BG55</f>
        <v/>
      </c>
      <c r="BI55">
        <f t="array" ref="BI55">SUMPRODUCT((E53:E58=BD55)*IFERROR(F53:F58,0))+SUMPRODUCT((H53:H58=BD55)*IFERROR(G53:G58,0))</f>
        <v/>
      </c>
      <c r="BJ55">
        <f t="array" ref="BJ55">SUMPRODUCT((E53:E58=BD55)*IFERROR(G53:G58,0))+SUMPRODUCT((H53:H58=BD55)*IFERROR(F53:F58,0))</f>
        <v/>
      </c>
      <c r="BK55">
        <f>BF55*3+BG55</f>
        <v/>
      </c>
      <c r="BL55">
        <f>1+SUMPRODUCT(((BK$54:BK$57&gt;BK55)+(BK$54:BK$57=BK55)*(BM$54:BM$57&gt;BM55)+(BK$54:BK$57=BK55)*(BM$54:BM$57=BM55)*(BN$54:BN$57&gt;BN55)+(BK$54:BK$57=BK55)*(BM$54:BM$57=BM55)*(BN$54:BN$57=BN55)*(BO$54:BO$57&gt;BO55)+(BK$54:BK$57=BK55)*(BM$54:BM$57=BM55)*(BN$54:BN$57=BN55)*(BO$54:BO$57=BO55)*((BI$54:BI$57-BJ$54:BJ$57)&gt;(BI55-BJ55))+(BK$54:BK$57=BK55)*(BM$54:BM$57=BM55)*(BN$54:BN$57=BN55)*(BO$54:BO$57=BO55)*((BI$54:BI$57-BJ$54:BJ$57)=(BI55-BJ55))*(BI$54:BI$57&gt;BI55)+(BK$54:BK$57=BK55)*(BM$54:BM$57=BM55)*(BN$54:BN$57=BN55)*(BO$54:BO$57=BO55)*((BI$54:BI$57-BJ$54:BJ$57)=(BI55-BJ55))*(BI$54:BI$57=BI55)*(ROW(BK$54:BK$57)&lt;ROW(BK55)))*1)</f>
        <v/>
      </c>
      <c r="BM55">
        <f t="array" ref="BM55">SUMPRODUCT((E$53:E$58=BD55)*ISNUMBER(F$53:F$58)*ISNUMBER(G$53:G$58)*COUNTIFS(BD$54:BD$57,H$53:H$58,BK$54:BK$57,BK55)*((F$53:F$58&gt;G$53:G$58)*3+(F$53:F$58=G$53:G$58)))+SUMPRODUCT((H$53:H$58=BD55)*ISNUMBER(F$53:F$58)*ISNUMBER(G$53:G$58)*COUNTIFS(BD$54:BD$57,E$53:E$58,BK$54:BK$57,BK55)*((G$53:G$58&gt;F$53:F$58)*3+(F$53:F$58=G$53:G$58)))</f>
        <v/>
      </c>
      <c r="BN55">
        <f t="array" ref="BN55">SUMPRODUCT((E$53:E$58=BD55)*ISNUMBER(F$53:F$58)*ISNUMBER(G$53:G$58)*COUNTIFS(BD$54:BD$57,H$53:H$58,BK$54:BK$57,BK55)*(F$53:F$58-G$53:G$58))+SUMPRODUCT((H$53:H$58=BD55)*ISNUMBER(F$53:F$58)*ISNUMBER(G$53:G$58)*COUNTIFS(BD$54:BD$57,E$53:E$58,BK$54:BK$57,BK55)*(G$53:G$58-F$53:F$58))</f>
        <v/>
      </c>
      <c r="BO55">
        <f t="array" ref="BO55">SUMPRODUCT((E$53:E$58=BD55)*ISNUMBER(F$53:F$58)*ISNUMBER(G$53:G$58)*COUNTIFS(BD$54:BD$57,H$53:H$58,BK$54:BK$57,BK55)*F$53:F$58)+SUMPRODUCT((H$53:H$58=BD55)*ISNUMBER(F$53:F$58)*ISNUMBER(G$53:G$58)*COUNTIFS(BD$54:BD$57,E$53:E$58,BK$54:BK$57,BK55)*G$53:G$58)</f>
        <v/>
      </c>
    </row>
    <row r="56" ht="12.75" customHeight="1">
      <c r="A56" s="11" t="n">
        <v>52</v>
      </c>
      <c r="B56" s="11">
        <f>TEXT((46195)+(20+4+GmtOffset)/24,"ddd")</f>
        <v/>
      </c>
      <c r="C56" s="11">
        <f>TEXT((46195)+(20+4+GmtOffset)/24,"mmm d, yyyy")</f>
        <v/>
      </c>
      <c r="D56" s="11">
        <f>TEXT((46195)+(20+4+GmtOffset)/24,"h:mm")</f>
        <v/>
      </c>
      <c r="E56" s="12" t="inlineStr">
        <is>
          <t>Norway</t>
        </is>
      </c>
      <c r="F56" s="7" t="n"/>
      <c r="G56" s="7" t="n"/>
      <c r="H56" s="13" t="inlineStr">
        <is>
          <t>Senegal</t>
        </is>
      </c>
      <c r="I56" s="11" t="inlineStr">
        <is>
          <t>I</t>
        </is>
      </c>
      <c r="J56" s="3" t="n"/>
      <c r="K56" s="13">
        <f>INDEX(BD54:BD57,MATCH(2,BL54:BL57,0))</f>
        <v/>
      </c>
      <c r="L56" s="11">
        <f>INDEX(BE54:BE57,MATCH(2,BL54:BL57,0))</f>
        <v/>
      </c>
      <c r="M56" s="11">
        <f>INDEX(BF54:BF57,MATCH(2,BL54:BL57,0))</f>
        <v/>
      </c>
      <c r="N56" s="11">
        <f>INDEX(BG54:BG57,MATCH(2,BL54:BL57,0))</f>
        <v/>
      </c>
      <c r="O56" s="11">
        <f>INDEX(BH54:BH57,MATCH(2,BL54:BL57,0))</f>
        <v/>
      </c>
      <c r="P56" s="11">
        <f>INDEX(BI54:BI57,MATCH(2,BL54:BL57,0))&amp;" - "&amp;INDEX(BJ54:BJ57,MATCH(2,BL54:BL57,0))</f>
        <v/>
      </c>
      <c r="Q56" s="14">
        <f>INDEX(BK54:BK57,MATCH(2,BL54:BL57,0))</f>
        <v/>
      </c>
      <c r="S56" s="3" t="n"/>
      <c r="T56" s="3" t="n"/>
      <c r="U56" s="3" t="n"/>
      <c r="V56" s="3" t="n"/>
      <c r="W56" s="15">
        <f>IF(AND(ISNUMBER(T65),ISNUMBER(T66)),IF(T65&gt;T66,S65,IF(T66&gt;T65,S66,IF(NOT(AND(ISNUMBER(U65),ISNUMBER(U66))),"",IF(U65&gt;U66,S65,IF(U66&gt;U65,S66,IF(NOT(AND(ISNUMBER(V65),ISNUMBER(V66))),"",IF(V65&gt;V66,S65,IF(V66&gt;V65,S66,"")))))))),"W88")</f>
        <v/>
      </c>
      <c r="X56" s="16" t="n"/>
      <c r="Y56" s="16" t="n"/>
      <c r="Z56" s="16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BD56" t="inlineStr">
        <is>
          <t>Iraq</t>
        </is>
      </c>
      <c r="BE56">
        <f t="array" ref="BE56">SUMPRODUCT((((E53:E58=BD56)+(H53:H58=BD56))&gt;0)*ISNUMBER(F53:F58)*ISNUMBER(G53:G58))</f>
        <v/>
      </c>
      <c r="BF56">
        <f t="array" ref="BF56">SUMPRODUCT((E53:E58=BD56)*ISNUMBER(F53:F58)*ISNUMBER(G53:G58)*(F53:F58&gt;G53:G58))+SUMPRODUCT((H53:H58=BD56)*ISNUMBER(F53:F58)*ISNUMBER(G53:G58)*(G53:G58&gt;F53:F58))</f>
        <v/>
      </c>
      <c r="BG56">
        <f t="array" ref="BG56">SUMPRODUCT((((E53:E58=BD56)+(H53:H58=BD56))&gt;0)*ISNUMBER(F53:F58)*ISNUMBER(G53:G58)*(F53:F58=G53:G58))</f>
        <v/>
      </c>
      <c r="BH56">
        <f>BE56-BF56-BG56</f>
        <v/>
      </c>
      <c r="BI56">
        <f t="array" ref="BI56">SUMPRODUCT((E53:E58=BD56)*IFERROR(F53:F58,0))+SUMPRODUCT((H53:H58=BD56)*IFERROR(G53:G58,0))</f>
        <v/>
      </c>
      <c r="BJ56">
        <f t="array" ref="BJ56">SUMPRODUCT((E53:E58=BD56)*IFERROR(G53:G58,0))+SUMPRODUCT((H53:H58=BD56)*IFERROR(F53:F58,0))</f>
        <v/>
      </c>
      <c r="BK56">
        <f>BF56*3+BG56</f>
        <v/>
      </c>
      <c r="BL56">
        <f>1+SUMPRODUCT(((BK$54:BK$57&gt;BK56)+(BK$54:BK$57=BK56)*(BM$54:BM$57&gt;BM56)+(BK$54:BK$57=BK56)*(BM$54:BM$57=BM56)*(BN$54:BN$57&gt;BN56)+(BK$54:BK$57=BK56)*(BM$54:BM$57=BM56)*(BN$54:BN$57=BN56)*(BO$54:BO$57&gt;BO56)+(BK$54:BK$57=BK56)*(BM$54:BM$57=BM56)*(BN$54:BN$57=BN56)*(BO$54:BO$57=BO56)*((BI$54:BI$57-BJ$54:BJ$57)&gt;(BI56-BJ56))+(BK$54:BK$57=BK56)*(BM$54:BM$57=BM56)*(BN$54:BN$57=BN56)*(BO$54:BO$57=BO56)*((BI$54:BI$57-BJ$54:BJ$57)=(BI56-BJ56))*(BI$54:BI$57&gt;BI56)+(BK$54:BK$57=BK56)*(BM$54:BM$57=BM56)*(BN$54:BN$57=BN56)*(BO$54:BO$57=BO56)*((BI$54:BI$57-BJ$54:BJ$57)=(BI56-BJ56))*(BI$54:BI$57=BI56)*(ROW(BK$54:BK$57)&lt;ROW(BK56)))*1)</f>
        <v/>
      </c>
      <c r="BM56">
        <f t="array" ref="BM56">SUMPRODUCT((E$53:E$58=BD56)*ISNUMBER(F$53:F$58)*ISNUMBER(G$53:G$58)*COUNTIFS(BD$54:BD$57,H$53:H$58,BK$54:BK$57,BK56)*((F$53:F$58&gt;G$53:G$58)*3+(F$53:F$58=G$53:G$58)))+SUMPRODUCT((H$53:H$58=BD56)*ISNUMBER(F$53:F$58)*ISNUMBER(G$53:G$58)*COUNTIFS(BD$54:BD$57,E$53:E$58,BK$54:BK$57,BK56)*((G$53:G$58&gt;F$53:F$58)*3+(F$53:F$58=G$53:G$58)))</f>
        <v/>
      </c>
      <c r="BN56">
        <f t="array" ref="BN56">SUMPRODUCT((E$53:E$58=BD56)*ISNUMBER(F$53:F$58)*ISNUMBER(G$53:G$58)*COUNTIFS(BD$54:BD$57,H$53:H$58,BK$54:BK$57,BK56)*(F$53:F$58-G$53:G$58))+SUMPRODUCT((H$53:H$58=BD56)*ISNUMBER(F$53:F$58)*ISNUMBER(G$53:G$58)*COUNTIFS(BD$54:BD$57,E$53:E$58,BK$54:BK$57,BK56)*(G$53:G$58-F$53:F$58))</f>
        <v/>
      </c>
      <c r="BO56">
        <f t="array" ref="BO56">SUMPRODUCT((E$53:E$58=BD56)*ISNUMBER(F$53:F$58)*ISNUMBER(G$53:G$58)*COUNTIFS(BD$54:BD$57,H$53:H$58,BK$54:BK$57,BK56)*F$53:F$58)+SUMPRODUCT((H$53:H$58=BD56)*ISNUMBER(F$53:F$58)*ISNUMBER(G$53:G$58)*COUNTIFS(BD$54:BD$57,E$53:E$58,BK$54:BK$57,BK56)*G$53:G$58)</f>
        <v/>
      </c>
    </row>
    <row r="57" ht="12.75" customHeight="1">
      <c r="A57" s="11" t="n">
        <v>53</v>
      </c>
      <c r="B57" s="11">
        <f>TEXT((46199)+(15+4+GmtOffset)/24,"ddd")</f>
        <v/>
      </c>
      <c r="C57" s="11">
        <f>TEXT((46199)+(15+4+GmtOffset)/24,"mmm d, yyyy")</f>
        <v/>
      </c>
      <c r="D57" s="11">
        <f>TEXT((46199)+(15+4+GmtOffset)/24,"h:mm")</f>
        <v/>
      </c>
      <c r="E57" s="12" t="inlineStr">
        <is>
          <t>Norway</t>
        </is>
      </c>
      <c r="F57" s="7" t="n"/>
      <c r="G57" s="7" t="n"/>
      <c r="H57" s="13" t="inlineStr">
        <is>
          <t>France</t>
        </is>
      </c>
      <c r="I57" s="11" t="inlineStr">
        <is>
          <t>I</t>
        </is>
      </c>
      <c r="J57" s="3" t="n"/>
      <c r="K57" s="13">
        <f>INDEX(BD54:BD57,MATCH(3,BL54:BL57,0))</f>
        <v/>
      </c>
      <c r="L57" s="11">
        <f>INDEX(BE54:BE57,MATCH(3,BL54:BL57,0))</f>
        <v/>
      </c>
      <c r="M57" s="11">
        <f>INDEX(BF54:BF57,MATCH(3,BL54:BL57,0))</f>
        <v/>
      </c>
      <c r="N57" s="11">
        <f>INDEX(BG54:BG57,MATCH(3,BL54:BL57,0))</f>
        <v/>
      </c>
      <c r="O57" s="11">
        <f>INDEX(BH54:BH57,MATCH(3,BL54:BL57,0))</f>
        <v/>
      </c>
      <c r="P57" s="11">
        <f>INDEX(BI54:BI57,MATCH(3,BL54:BL57,0))&amp;" - "&amp;INDEX(BJ54:BJ57,MATCH(3,BL54:BL57,0))</f>
        <v/>
      </c>
      <c r="Q57" s="14">
        <f>INDEX(BK54:BK57,MATCH(3,BL54:BL57,0))</f>
        <v/>
      </c>
      <c r="S57" s="9">
        <f>IF((COUNTIF($F$5:$G$76,"&gt;=0")=144),IFERROR(INDEX($AO$81:$AO$92,10),"Winner J"),"Winner J")</f>
        <v/>
      </c>
      <c r="T57" s="10" t="n"/>
      <c r="U57" s="10" t="n"/>
      <c r="V57" s="10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BD57" t="inlineStr">
        <is>
          <t>Norway</t>
        </is>
      </c>
      <c r="BE57">
        <f t="array" ref="BE57">SUMPRODUCT((((E53:E58=BD57)+(H53:H58=BD57))&gt;0)*ISNUMBER(F53:F58)*ISNUMBER(G53:G58))</f>
        <v/>
      </c>
      <c r="BF57">
        <f t="array" ref="BF57">SUMPRODUCT((E53:E58=BD57)*ISNUMBER(F53:F58)*ISNUMBER(G53:G58)*(F53:F58&gt;G53:G58))+SUMPRODUCT((H53:H58=BD57)*ISNUMBER(F53:F58)*ISNUMBER(G53:G58)*(G53:G58&gt;F53:F58))</f>
        <v/>
      </c>
      <c r="BG57">
        <f t="array" ref="BG57">SUMPRODUCT((((E53:E58=BD57)+(H53:H58=BD57))&gt;0)*ISNUMBER(F53:F58)*ISNUMBER(G53:G58)*(F53:F58=G53:G58))</f>
        <v/>
      </c>
      <c r="BH57">
        <f>BE57-BF57-BG57</f>
        <v/>
      </c>
      <c r="BI57">
        <f t="array" ref="BI57">SUMPRODUCT((E53:E58=BD57)*IFERROR(F53:F58,0))+SUMPRODUCT((H53:H58=BD57)*IFERROR(G53:G58,0))</f>
        <v/>
      </c>
      <c r="BJ57">
        <f t="array" ref="BJ57">SUMPRODUCT((E53:E58=BD57)*IFERROR(G53:G58,0))+SUMPRODUCT((H53:H58=BD57)*IFERROR(F53:F58,0))</f>
        <v/>
      </c>
      <c r="BK57">
        <f>BF57*3+BG57</f>
        <v/>
      </c>
      <c r="BL57">
        <f>1+SUMPRODUCT(((BK$54:BK$57&gt;BK57)+(BK$54:BK$57=BK57)*(BM$54:BM$57&gt;BM57)+(BK$54:BK$57=BK57)*(BM$54:BM$57=BM57)*(BN$54:BN$57&gt;BN57)+(BK$54:BK$57=BK57)*(BM$54:BM$57=BM57)*(BN$54:BN$57=BN57)*(BO$54:BO$57&gt;BO57)+(BK$54:BK$57=BK57)*(BM$54:BM$57=BM57)*(BN$54:BN$57=BN57)*(BO$54:BO$57=BO57)*((BI$54:BI$57-BJ$54:BJ$57)&gt;(BI57-BJ57))+(BK$54:BK$57=BK57)*(BM$54:BM$57=BM57)*(BN$54:BN$57=BN57)*(BO$54:BO$57=BO57)*((BI$54:BI$57-BJ$54:BJ$57)=(BI57-BJ57))*(BI$54:BI$57&gt;BI57)+(BK$54:BK$57=BK57)*(BM$54:BM$57=BM57)*(BN$54:BN$57=BN57)*(BO$54:BO$57=BO57)*((BI$54:BI$57-BJ$54:BJ$57)=(BI57-BJ57))*(BI$54:BI$57=BI57)*(ROW(BK$54:BK$57)&lt;ROW(BK57)))*1)</f>
        <v/>
      </c>
      <c r="BM57">
        <f t="array" ref="BM57">SUMPRODUCT((E$53:E$58=BD57)*ISNUMBER(F$53:F$58)*ISNUMBER(G$53:G$58)*COUNTIFS(BD$54:BD$57,H$53:H$58,BK$54:BK$57,BK57)*((F$53:F$58&gt;G$53:G$58)*3+(F$53:F$58=G$53:G$58)))+SUMPRODUCT((H$53:H$58=BD57)*ISNUMBER(F$53:F$58)*ISNUMBER(G$53:G$58)*COUNTIFS(BD$54:BD$57,E$53:E$58,BK$54:BK$57,BK57)*((G$53:G$58&gt;F$53:F$58)*3+(F$53:F$58=G$53:G$58)))</f>
        <v/>
      </c>
      <c r="BN57">
        <f t="array" ref="BN57">SUMPRODUCT((E$53:E$58=BD57)*ISNUMBER(F$53:F$58)*ISNUMBER(G$53:G$58)*COUNTIFS(BD$54:BD$57,H$53:H$58,BK$54:BK$57,BK57)*(F$53:F$58-G$53:G$58))+SUMPRODUCT((H$53:H$58=BD57)*ISNUMBER(F$53:F$58)*ISNUMBER(G$53:G$58)*COUNTIFS(BD$54:BD$57,E$53:E$58,BK$54:BK$57,BK57)*(G$53:G$58-F$53:F$58))</f>
        <v/>
      </c>
      <c r="BO57">
        <f t="array" ref="BO57">SUMPRODUCT((E$53:E$58=BD57)*ISNUMBER(F$53:F$58)*ISNUMBER(G$53:G$58)*COUNTIFS(BD$54:BD$57,H$53:H$58,BK$54:BK$57,BK57)*F$53:F$58)+SUMPRODUCT((H$53:H$58=BD57)*ISNUMBER(F$53:F$58)*ISNUMBER(G$53:G$58)*COUNTIFS(BD$54:BD$57,E$53:E$58,BK$54:BK$57,BK57)*G$53:G$58)</f>
        <v/>
      </c>
    </row>
    <row r="58" ht="12.75" customHeight="1">
      <c r="A58" s="11" t="n">
        <v>54</v>
      </c>
      <c r="B58" s="11">
        <f>TEXT((46199)+(15+4+GmtOffset)/24,"ddd")</f>
        <v/>
      </c>
      <c r="C58" s="11">
        <f>TEXT((46199)+(15+4+GmtOffset)/24,"mmm d, yyyy")</f>
        <v/>
      </c>
      <c r="D58" s="11">
        <f>TEXT((46199)+(15+4+GmtOffset)/24,"h:mm")</f>
        <v/>
      </c>
      <c r="E58" s="12" t="inlineStr">
        <is>
          <t>Senegal</t>
        </is>
      </c>
      <c r="F58" s="7" t="n"/>
      <c r="G58" s="7" t="n"/>
      <c r="H58" s="13" t="inlineStr">
        <is>
          <t>Iraq</t>
        </is>
      </c>
      <c r="I58" s="11" t="inlineStr">
        <is>
          <t>I</t>
        </is>
      </c>
      <c r="J58" s="3" t="n"/>
      <c r="K58" s="17">
        <f>INDEX(BD54:BD57,MATCH(4,BL54:BL57,0))</f>
        <v/>
      </c>
      <c r="L58" s="18">
        <f>INDEX(BE54:BE57,MATCH(4,BL54:BL57,0))</f>
        <v/>
      </c>
      <c r="M58" s="18">
        <f>INDEX(BF54:BF57,MATCH(4,BL54:BL57,0))</f>
        <v/>
      </c>
      <c r="N58" s="18">
        <f>INDEX(BG54:BG57,MATCH(4,BL54:BL57,0))</f>
        <v/>
      </c>
      <c r="O58" s="18">
        <f>INDEX(BH54:BH57,MATCH(4,BL54:BL57,0))</f>
        <v/>
      </c>
      <c r="P58" s="18">
        <f>INDEX(BI54:BI57,MATCH(4,BL54:BL57,0))&amp;" - "&amp;INDEX(BJ54:BJ57,MATCH(4,BL54:BL57,0))</f>
        <v/>
      </c>
      <c r="Q58" s="19">
        <f>INDEX(BK54:BK57,MATCH(4,BL54:BL57,0))</f>
        <v/>
      </c>
      <c r="S58" s="15">
        <f>IF((COUNTIF($F$5:$G$76,"&gt;=0")=144),IFERROR(INDEX($AP$81:$AP$92,8),"Runner-up H"),"Runner-up H")</f>
        <v/>
      </c>
      <c r="T58" s="16" t="n"/>
      <c r="U58" s="16" t="n"/>
      <c r="V58" s="16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</row>
    <row r="59" ht="12.75" customHeight="1">
      <c r="A59" s="11" t="n">
        <v>55</v>
      </c>
      <c r="B59" s="11">
        <f>TEXT((46189)+(21+4+GmtOffset)/24,"ddd")</f>
        <v/>
      </c>
      <c r="C59" s="11">
        <f>TEXT((46189)+(21+4+GmtOffset)/24,"mmm d, yyyy")</f>
        <v/>
      </c>
      <c r="D59" s="11">
        <f>TEXT((46189)+(21+4+GmtOffset)/24,"h:mm")</f>
        <v/>
      </c>
      <c r="E59" s="12" t="inlineStr">
        <is>
          <t>Argentina</t>
        </is>
      </c>
      <c r="F59" s="7" t="n"/>
      <c r="G59" s="7" t="n"/>
      <c r="H59" s="13" t="inlineStr">
        <is>
          <t>Algeria</t>
        </is>
      </c>
      <c r="I59" s="11" t="inlineStr">
        <is>
          <t>J</t>
        </is>
      </c>
      <c r="J59" s="3" t="n"/>
      <c r="K59" s="145" t="inlineStr">
        <is>
          <t>Group J</t>
        </is>
      </c>
      <c r="L59" s="20" t="n"/>
      <c r="M59" s="20" t="n"/>
      <c r="N59" s="20" t="n"/>
      <c r="O59" s="20" t="n"/>
      <c r="P59" s="20" t="n"/>
      <c r="Q59" s="20" t="n"/>
      <c r="S59" s="3" t="n"/>
      <c r="T59" s="3" t="n"/>
      <c r="U59" s="3" t="n"/>
      <c r="V59" s="3" t="n"/>
      <c r="W59" s="3" t="n"/>
      <c r="X59" s="3" t="n"/>
      <c r="Y59" s="3" t="n"/>
      <c r="Z59" s="3" t="n"/>
      <c r="AA59" s="9">
        <f>IF(AND(ISNUMBER(X55),ISNUMBER(X56)),IF(X55&gt;X56,W55,IF(X56&gt;X55,W56,IF(NOT(AND(ISNUMBER(Y55),ISNUMBER(Y56))),"",IF(Y55&gt;Y56,W55,IF(Y56&gt;Y55,W56,IF(NOT(AND(ISNUMBER(Z55),ISNUMBER(Z56))),"",IF(Z55&gt;Z56,W55,IF(Z56&gt;Z55,W56,"")))))))),"W95")</f>
        <v/>
      </c>
      <c r="AB59" s="10" t="n"/>
      <c r="AC59" s="10" t="n"/>
      <c r="AD59" s="10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</row>
    <row r="60" ht="12.75" customHeight="1">
      <c r="A60" s="11" t="n">
        <v>56</v>
      </c>
      <c r="B60" s="11">
        <f>TEXT((46190)+(0+4+GmtOffset)/24,"ddd")</f>
        <v/>
      </c>
      <c r="C60" s="11">
        <f>TEXT((46190)+(0+4+GmtOffset)/24,"mmm d, yyyy")</f>
        <v/>
      </c>
      <c r="D60" s="11">
        <f>TEXT((46190)+(0+4+GmtOffset)/24,"h:mm")</f>
        <v/>
      </c>
      <c r="E60" s="12" t="inlineStr">
        <is>
          <t>Austria</t>
        </is>
      </c>
      <c r="F60" s="7" t="n"/>
      <c r="G60" s="7" t="n"/>
      <c r="H60" s="13" t="inlineStr">
        <is>
          <t>Jordan</t>
        </is>
      </c>
      <c r="I60" s="11" t="inlineStr">
        <is>
          <t>J</t>
        </is>
      </c>
      <c r="J60" s="3" t="n"/>
      <c r="K60" s="14" t="n"/>
      <c r="L60" s="14" t="inlineStr">
        <is>
          <t>PL</t>
        </is>
      </c>
      <c r="M60" s="14" t="inlineStr">
        <is>
          <t>W</t>
        </is>
      </c>
      <c r="N60" s="14" t="inlineStr">
        <is>
          <t>D</t>
        </is>
      </c>
      <c r="O60" s="14" t="inlineStr">
        <is>
          <t>L</t>
        </is>
      </c>
      <c r="P60" s="14" t="inlineStr">
        <is>
          <t>GF - GA</t>
        </is>
      </c>
      <c r="Q60" s="14" t="inlineStr">
        <is>
          <t>P</t>
        </is>
      </c>
      <c r="S60" s="3" t="n"/>
      <c r="T60" s="3" t="n"/>
      <c r="U60" s="3" t="n"/>
      <c r="V60" s="3" t="n"/>
      <c r="W60" s="3" t="n"/>
      <c r="X60" s="3" t="n"/>
      <c r="Y60" s="3" t="n"/>
      <c r="Z60" s="3" t="n"/>
      <c r="AA60" s="15">
        <f>IF(AND(ISNUMBER(X63),ISNUMBER(X64)),IF(X63&gt;X64,W63,IF(X64&gt;X63,W64,IF(NOT(AND(ISNUMBER(Y63),ISNUMBER(Y64))),"",IF(Y63&gt;Y64,W63,IF(Y64&gt;Y63,W64,IF(NOT(AND(ISNUMBER(Z63),ISNUMBER(Z64))),"",IF(Z63&gt;Z64,W63,IF(Z64&gt;Z63,W64,"")))))))),"W96")</f>
        <v/>
      </c>
      <c r="AB60" s="16" t="n"/>
      <c r="AC60" s="16" t="n"/>
      <c r="AD60" s="16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BD60" t="inlineStr">
        <is>
          <t>Argentina</t>
        </is>
      </c>
      <c r="BE60">
        <f t="array" ref="BE60">SUMPRODUCT((((E59:E64=BD60)+(H59:H64=BD60))&gt;0)*ISNUMBER(F59:F64)*ISNUMBER(G59:G64))</f>
        <v/>
      </c>
      <c r="BF60">
        <f t="array" ref="BF60">SUMPRODUCT((E59:E64=BD60)*ISNUMBER(F59:F64)*ISNUMBER(G59:G64)*(F59:F64&gt;G59:G64))+SUMPRODUCT((H59:H64=BD60)*ISNUMBER(F59:F64)*ISNUMBER(G59:G64)*(G59:G64&gt;F59:F64))</f>
        <v/>
      </c>
      <c r="BG60">
        <f t="array" ref="BG60">SUMPRODUCT((((E59:E64=BD60)+(H59:H64=BD60))&gt;0)*ISNUMBER(F59:F64)*ISNUMBER(G59:G64)*(F59:F64=G59:G64))</f>
        <v/>
      </c>
      <c r="BH60">
        <f>BE60-BF60-BG60</f>
        <v/>
      </c>
      <c r="BI60">
        <f t="array" ref="BI60">SUMPRODUCT((E59:E64=BD60)*IFERROR(F59:F64,0))+SUMPRODUCT((H59:H64=BD60)*IFERROR(G59:G64,0))</f>
        <v/>
      </c>
      <c r="BJ60">
        <f t="array" ref="BJ60">SUMPRODUCT((E59:E64=BD60)*IFERROR(G59:G64,0))+SUMPRODUCT((H59:H64=BD60)*IFERROR(F59:F64,0))</f>
        <v/>
      </c>
      <c r="BK60">
        <f>BF60*3+BG60</f>
        <v/>
      </c>
      <c r="BL60">
        <f>1+SUMPRODUCT(((BK$60:BK$63&gt;BK60)+(BK$60:BK$63=BK60)*(BM$60:BM$63&gt;BM60)+(BK$60:BK$63=BK60)*(BM$60:BM$63=BM60)*(BN$60:BN$63&gt;BN60)+(BK$60:BK$63=BK60)*(BM$60:BM$63=BM60)*(BN$60:BN$63=BN60)*(BO$60:BO$63&gt;BO60)+(BK$60:BK$63=BK60)*(BM$60:BM$63=BM60)*(BN$60:BN$63=BN60)*(BO$60:BO$63=BO60)*((BI$60:BI$63-BJ$60:BJ$63)&gt;(BI60-BJ60))+(BK$60:BK$63=BK60)*(BM$60:BM$63=BM60)*(BN$60:BN$63=BN60)*(BO$60:BO$63=BO60)*((BI$60:BI$63-BJ$60:BJ$63)=(BI60-BJ60))*(BI$60:BI$63&gt;BI60)+(BK$60:BK$63=BK60)*(BM$60:BM$63=BM60)*(BN$60:BN$63=BN60)*(BO$60:BO$63=BO60)*((BI$60:BI$63-BJ$60:BJ$63)=(BI60-BJ60))*(BI$60:BI$63=BI60)*(ROW(BK$60:BK$63)&lt;ROW(BK60)))*1)</f>
        <v/>
      </c>
      <c r="BM60">
        <f t="array" ref="BM60">SUMPRODUCT((E$59:E$64=BD60)*ISNUMBER(F$59:F$64)*ISNUMBER(G$59:G$64)*COUNTIFS(BD$60:BD$63,H$59:H$64,BK$60:BK$63,BK60)*((F$59:F$64&gt;G$59:G$64)*3+(F$59:F$64=G$59:G$64)))+SUMPRODUCT((H$59:H$64=BD60)*ISNUMBER(F$59:F$64)*ISNUMBER(G$59:G$64)*COUNTIFS(BD$60:BD$63,E$59:E$64,BK$60:BK$63,BK60)*((G$59:G$64&gt;F$59:F$64)*3+(F$59:F$64=G$59:G$64)))</f>
        <v/>
      </c>
      <c r="BN60">
        <f t="array" ref="BN60">SUMPRODUCT((E$59:E$64=BD60)*ISNUMBER(F$59:F$64)*ISNUMBER(G$59:G$64)*COUNTIFS(BD$60:BD$63,H$59:H$64,BK$60:BK$63,BK60)*(F$59:F$64-G$59:G$64))+SUMPRODUCT((H$59:H$64=BD60)*ISNUMBER(F$59:F$64)*ISNUMBER(G$59:G$64)*COUNTIFS(BD$60:BD$63,E$59:E$64,BK$60:BK$63,BK60)*(G$59:G$64-F$59:F$64))</f>
        <v/>
      </c>
      <c r="BO60">
        <f t="array" ref="BO60">SUMPRODUCT((E$59:E$64=BD60)*ISNUMBER(F$59:F$64)*ISNUMBER(G$59:G$64)*COUNTIFS(BD$60:BD$63,H$59:H$64,BK$60:BK$63,BK60)*F$59:F$64)+SUMPRODUCT((H$59:H$64=BD60)*ISNUMBER(F$59:F$64)*ISNUMBER(G$59:G$64)*COUNTIFS(BD$60:BD$63,E$59:E$64,BK$60:BK$63,BK60)*G$59:G$64)</f>
        <v/>
      </c>
    </row>
    <row r="61" ht="12.75" customHeight="1">
      <c r="A61" s="11" t="n">
        <v>57</v>
      </c>
      <c r="B61" s="11">
        <f>TEXT((46195)+(13+4+GmtOffset)/24,"ddd")</f>
        <v/>
      </c>
      <c r="C61" s="11">
        <f>TEXT((46195)+(13+4+GmtOffset)/24,"mmm d, yyyy")</f>
        <v/>
      </c>
      <c r="D61" s="11">
        <f>TEXT((46195)+(13+4+GmtOffset)/24,"h:mm")</f>
        <v/>
      </c>
      <c r="E61" s="12" t="inlineStr">
        <is>
          <t>Argentina</t>
        </is>
      </c>
      <c r="F61" s="7" t="n"/>
      <c r="G61" s="7" t="n"/>
      <c r="H61" s="13" t="inlineStr">
        <is>
          <t>Austria</t>
        </is>
      </c>
      <c r="I61" s="11" t="inlineStr">
        <is>
          <t>J</t>
        </is>
      </c>
      <c r="J61" s="3" t="n"/>
      <c r="K61" s="13">
        <f>INDEX(BD60:BD63,MATCH(1,BL60:BL63,0))</f>
        <v/>
      </c>
      <c r="L61" s="11">
        <f>INDEX(BE60:BE63,MATCH(1,BL60:BL63,0))</f>
        <v/>
      </c>
      <c r="M61" s="11">
        <f>INDEX(BF60:BF63,MATCH(1,BL60:BL63,0))</f>
        <v/>
      </c>
      <c r="N61" s="11">
        <f>INDEX(BG60:BG63,MATCH(1,BL60:BL63,0))</f>
        <v/>
      </c>
      <c r="O61" s="11">
        <f>INDEX(BH60:BH63,MATCH(1,BL60:BL63,0))</f>
        <v/>
      </c>
      <c r="P61" s="11">
        <f>INDEX(BI60:BI63,MATCH(1,BL60:BL63,0))&amp;" - "&amp;INDEX(BJ60:BJ63,MATCH(1,BL60:BL63,0))</f>
        <v/>
      </c>
      <c r="Q61" s="14">
        <f>INDEX(BK60:BK63,MATCH(1,BL60:BL63,0))</f>
        <v/>
      </c>
      <c r="S61" s="9">
        <f>IF((COUNTIF($F$5:$G$76,"&gt;=0")=144),IFERROR(INDEX($AO$81:$AO$92,11),"Winner K"),"Winner K")</f>
        <v/>
      </c>
      <c r="T61" s="10" t="n"/>
      <c r="U61" s="10" t="n"/>
      <c r="V61" s="10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BD61" t="inlineStr">
        <is>
          <t>Algeria</t>
        </is>
      </c>
      <c r="BE61">
        <f t="array" ref="BE61">SUMPRODUCT((((E59:E64=BD61)+(H59:H64=BD61))&gt;0)*ISNUMBER(F59:F64)*ISNUMBER(G59:G64))</f>
        <v/>
      </c>
      <c r="BF61">
        <f t="array" ref="BF61">SUMPRODUCT((E59:E64=BD61)*ISNUMBER(F59:F64)*ISNUMBER(G59:G64)*(F59:F64&gt;G59:G64))+SUMPRODUCT((H59:H64=BD61)*ISNUMBER(F59:F64)*ISNUMBER(G59:G64)*(G59:G64&gt;F59:F64))</f>
        <v/>
      </c>
      <c r="BG61">
        <f t="array" ref="BG61">SUMPRODUCT((((E59:E64=BD61)+(H59:H64=BD61))&gt;0)*ISNUMBER(F59:F64)*ISNUMBER(G59:G64)*(F59:F64=G59:G64))</f>
        <v/>
      </c>
      <c r="BH61">
        <f>BE61-BF61-BG61</f>
        <v/>
      </c>
      <c r="BI61">
        <f t="array" ref="BI61">SUMPRODUCT((E59:E64=BD61)*IFERROR(F59:F64,0))+SUMPRODUCT((H59:H64=BD61)*IFERROR(G59:G64,0))</f>
        <v/>
      </c>
      <c r="BJ61">
        <f t="array" ref="BJ61">SUMPRODUCT((E59:E64=BD61)*IFERROR(G59:G64,0))+SUMPRODUCT((H59:H64=BD61)*IFERROR(F59:F64,0))</f>
        <v/>
      </c>
      <c r="BK61">
        <f>BF61*3+BG61</f>
        <v/>
      </c>
      <c r="BL61">
        <f>1+SUMPRODUCT(((BK$60:BK$63&gt;BK61)+(BK$60:BK$63=BK61)*(BM$60:BM$63&gt;BM61)+(BK$60:BK$63=BK61)*(BM$60:BM$63=BM61)*(BN$60:BN$63&gt;BN61)+(BK$60:BK$63=BK61)*(BM$60:BM$63=BM61)*(BN$60:BN$63=BN61)*(BO$60:BO$63&gt;BO61)+(BK$60:BK$63=BK61)*(BM$60:BM$63=BM61)*(BN$60:BN$63=BN61)*(BO$60:BO$63=BO61)*((BI$60:BI$63-BJ$60:BJ$63)&gt;(BI61-BJ61))+(BK$60:BK$63=BK61)*(BM$60:BM$63=BM61)*(BN$60:BN$63=BN61)*(BO$60:BO$63=BO61)*((BI$60:BI$63-BJ$60:BJ$63)=(BI61-BJ61))*(BI$60:BI$63&gt;BI61)+(BK$60:BK$63=BK61)*(BM$60:BM$63=BM61)*(BN$60:BN$63=BN61)*(BO$60:BO$63=BO61)*((BI$60:BI$63-BJ$60:BJ$63)=(BI61-BJ61))*(BI$60:BI$63=BI61)*(ROW(BK$60:BK$63)&lt;ROW(BK61)))*1)</f>
        <v/>
      </c>
      <c r="BM61">
        <f t="array" ref="BM61">SUMPRODUCT((E$59:E$64=BD61)*ISNUMBER(F$59:F$64)*ISNUMBER(G$59:G$64)*COUNTIFS(BD$60:BD$63,H$59:H$64,BK$60:BK$63,BK61)*((F$59:F$64&gt;G$59:G$64)*3+(F$59:F$64=G$59:G$64)))+SUMPRODUCT((H$59:H$64=BD61)*ISNUMBER(F$59:F$64)*ISNUMBER(G$59:G$64)*COUNTIFS(BD$60:BD$63,E$59:E$64,BK$60:BK$63,BK61)*((G$59:G$64&gt;F$59:F$64)*3+(F$59:F$64=G$59:G$64)))</f>
        <v/>
      </c>
      <c r="BN61">
        <f t="array" ref="BN61">SUMPRODUCT((E$59:E$64=BD61)*ISNUMBER(F$59:F$64)*ISNUMBER(G$59:G$64)*COUNTIFS(BD$60:BD$63,H$59:H$64,BK$60:BK$63,BK61)*(F$59:F$64-G$59:G$64))+SUMPRODUCT((H$59:H$64=BD61)*ISNUMBER(F$59:F$64)*ISNUMBER(G$59:G$64)*COUNTIFS(BD$60:BD$63,E$59:E$64,BK$60:BK$63,BK61)*(G$59:G$64-F$59:F$64))</f>
        <v/>
      </c>
      <c r="BO61">
        <f t="array" ref="BO61">SUMPRODUCT((E$59:E$64=BD61)*ISNUMBER(F$59:F$64)*ISNUMBER(G$59:G$64)*COUNTIFS(BD$60:BD$63,H$59:H$64,BK$60:BK$63,BK61)*F$59:F$64)+SUMPRODUCT((H$59:H$64=BD61)*ISNUMBER(F$59:F$64)*ISNUMBER(G$59:G$64)*COUNTIFS(BD$60:BD$63,E$59:E$64,BK$60:BK$63,BK61)*G$59:G$64)</f>
        <v/>
      </c>
    </row>
    <row r="62" ht="12.75" customHeight="1">
      <c r="A62" s="11" t="n">
        <v>58</v>
      </c>
      <c r="B62" s="11">
        <f>TEXT((46195)+(23+4+GmtOffset)/24,"ddd")</f>
        <v/>
      </c>
      <c r="C62" s="11">
        <f>TEXT((46195)+(23+4+GmtOffset)/24,"mmm d, yyyy")</f>
        <v/>
      </c>
      <c r="D62" s="11">
        <f>TEXT((46195)+(23+4+GmtOffset)/24,"h:mm")</f>
        <v/>
      </c>
      <c r="E62" s="12" t="inlineStr">
        <is>
          <t>Jordan</t>
        </is>
      </c>
      <c r="F62" s="7" t="n"/>
      <c r="G62" s="7" t="n"/>
      <c r="H62" s="13" t="inlineStr">
        <is>
          <t>Algeria</t>
        </is>
      </c>
      <c r="I62" s="11" t="inlineStr">
        <is>
          <t>J</t>
        </is>
      </c>
      <c r="J62" s="3" t="n"/>
      <c r="K62" s="13">
        <f>INDEX(BD60:BD63,MATCH(2,BL60:BL63,0))</f>
        <v/>
      </c>
      <c r="L62" s="11">
        <f>INDEX(BE60:BE63,MATCH(2,BL60:BL63,0))</f>
        <v/>
      </c>
      <c r="M62" s="11">
        <f>INDEX(BF60:BF63,MATCH(2,BL60:BL63,0))</f>
        <v/>
      </c>
      <c r="N62" s="11">
        <f>INDEX(BG60:BG63,MATCH(2,BL60:BL63,0))</f>
        <v/>
      </c>
      <c r="O62" s="11">
        <f>INDEX(BH60:BH63,MATCH(2,BL60:BL63,0))</f>
        <v/>
      </c>
      <c r="P62" s="11">
        <f>INDEX(BI60:BI63,MATCH(2,BL60:BL63,0))&amp;" - "&amp;INDEX(BJ60:BJ63,MATCH(2,BL60:BL63,0))</f>
        <v/>
      </c>
      <c r="Q62" s="14">
        <f>INDEX(BK60:BK63,MATCH(2,BL60:BL63,0))</f>
        <v/>
      </c>
      <c r="S62" s="15">
        <f>IF((COUNTIF($F$5:$G$76,"&gt;=0")=144),IFERROR(INDEX($AQ$81:$AQ$92,MATCH($BT$81,$AN$81:$AN$92,0)),"Best 3rd D/E/I/J/L"),"Best 3rd D/E/I/J/L")</f>
        <v/>
      </c>
      <c r="T62" s="16" t="n"/>
      <c r="U62" s="16" t="n"/>
      <c r="V62" s="16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BD62" t="inlineStr">
        <is>
          <t>Austria</t>
        </is>
      </c>
      <c r="BE62">
        <f t="array" ref="BE62">SUMPRODUCT((((E59:E64=BD62)+(H59:H64=BD62))&gt;0)*ISNUMBER(F59:F64)*ISNUMBER(G59:G64))</f>
        <v/>
      </c>
      <c r="BF62">
        <f t="array" ref="BF62">SUMPRODUCT((E59:E64=BD62)*ISNUMBER(F59:F64)*ISNUMBER(G59:G64)*(F59:F64&gt;G59:G64))+SUMPRODUCT((H59:H64=BD62)*ISNUMBER(F59:F64)*ISNUMBER(G59:G64)*(G59:G64&gt;F59:F64))</f>
        <v/>
      </c>
      <c r="BG62">
        <f t="array" ref="BG62">SUMPRODUCT((((E59:E64=BD62)+(H59:H64=BD62))&gt;0)*ISNUMBER(F59:F64)*ISNUMBER(G59:G64)*(F59:F64=G59:G64))</f>
        <v/>
      </c>
      <c r="BH62">
        <f>BE62-BF62-BG62</f>
        <v/>
      </c>
      <c r="BI62">
        <f t="array" ref="BI62">SUMPRODUCT((E59:E64=BD62)*IFERROR(F59:F64,0))+SUMPRODUCT((H59:H64=BD62)*IFERROR(G59:G64,0))</f>
        <v/>
      </c>
      <c r="BJ62">
        <f t="array" ref="BJ62">SUMPRODUCT((E59:E64=BD62)*IFERROR(G59:G64,0))+SUMPRODUCT((H59:H64=BD62)*IFERROR(F59:F64,0))</f>
        <v/>
      </c>
      <c r="BK62">
        <f>BF62*3+BG62</f>
        <v/>
      </c>
      <c r="BL62">
        <f>1+SUMPRODUCT(((BK$60:BK$63&gt;BK62)+(BK$60:BK$63=BK62)*(BM$60:BM$63&gt;BM62)+(BK$60:BK$63=BK62)*(BM$60:BM$63=BM62)*(BN$60:BN$63&gt;BN62)+(BK$60:BK$63=BK62)*(BM$60:BM$63=BM62)*(BN$60:BN$63=BN62)*(BO$60:BO$63&gt;BO62)+(BK$60:BK$63=BK62)*(BM$60:BM$63=BM62)*(BN$60:BN$63=BN62)*(BO$60:BO$63=BO62)*((BI$60:BI$63-BJ$60:BJ$63)&gt;(BI62-BJ62))+(BK$60:BK$63=BK62)*(BM$60:BM$63=BM62)*(BN$60:BN$63=BN62)*(BO$60:BO$63=BO62)*((BI$60:BI$63-BJ$60:BJ$63)=(BI62-BJ62))*(BI$60:BI$63&gt;BI62)+(BK$60:BK$63=BK62)*(BM$60:BM$63=BM62)*(BN$60:BN$63=BN62)*(BO$60:BO$63=BO62)*((BI$60:BI$63-BJ$60:BJ$63)=(BI62-BJ62))*(BI$60:BI$63=BI62)*(ROW(BK$60:BK$63)&lt;ROW(BK62)))*1)</f>
        <v/>
      </c>
      <c r="BM62">
        <f t="array" ref="BM62">SUMPRODUCT((E$59:E$64=BD62)*ISNUMBER(F$59:F$64)*ISNUMBER(G$59:G$64)*COUNTIFS(BD$60:BD$63,H$59:H$64,BK$60:BK$63,BK62)*((F$59:F$64&gt;G$59:G$64)*3+(F$59:F$64=G$59:G$64)))+SUMPRODUCT((H$59:H$64=BD62)*ISNUMBER(F$59:F$64)*ISNUMBER(G$59:G$64)*COUNTIFS(BD$60:BD$63,E$59:E$64,BK$60:BK$63,BK62)*((G$59:G$64&gt;F$59:F$64)*3+(F$59:F$64=G$59:G$64)))</f>
        <v/>
      </c>
      <c r="BN62">
        <f t="array" ref="BN62">SUMPRODUCT((E$59:E$64=BD62)*ISNUMBER(F$59:F$64)*ISNUMBER(G$59:G$64)*COUNTIFS(BD$60:BD$63,H$59:H$64,BK$60:BK$63,BK62)*(F$59:F$64-G$59:G$64))+SUMPRODUCT((H$59:H$64=BD62)*ISNUMBER(F$59:F$64)*ISNUMBER(G$59:G$64)*COUNTIFS(BD$60:BD$63,E$59:E$64,BK$60:BK$63,BK62)*(G$59:G$64-F$59:F$64))</f>
        <v/>
      </c>
      <c r="BO62">
        <f t="array" ref="BO62">SUMPRODUCT((E$59:E$64=BD62)*ISNUMBER(F$59:F$64)*ISNUMBER(G$59:G$64)*COUNTIFS(BD$60:BD$63,H$59:H$64,BK$60:BK$63,BK62)*F$59:F$64)+SUMPRODUCT((H$59:H$64=BD62)*ISNUMBER(F$59:F$64)*ISNUMBER(G$59:G$64)*COUNTIFS(BD$60:BD$63,E$59:E$64,BK$60:BK$63,BK62)*G$59:G$64)</f>
        <v/>
      </c>
    </row>
    <row r="63" ht="12.75" customHeight="1">
      <c r="A63" s="11" t="n">
        <v>59</v>
      </c>
      <c r="B63" s="11">
        <f>TEXT((46200)+(22+4+GmtOffset)/24,"ddd")</f>
        <v/>
      </c>
      <c r="C63" s="11">
        <f>TEXT((46200)+(22+4+GmtOffset)/24,"mmm d, yyyy")</f>
        <v/>
      </c>
      <c r="D63" s="11">
        <f>TEXT((46200)+(22+4+GmtOffset)/24,"h:mm")</f>
        <v/>
      </c>
      <c r="E63" s="12" t="inlineStr">
        <is>
          <t>Jordan</t>
        </is>
      </c>
      <c r="F63" s="7" t="n"/>
      <c r="G63" s="7" t="n"/>
      <c r="H63" s="13" t="inlineStr">
        <is>
          <t>Argentina</t>
        </is>
      </c>
      <c r="I63" s="11" t="inlineStr">
        <is>
          <t>J</t>
        </is>
      </c>
      <c r="J63" s="3" t="n"/>
      <c r="K63" s="13">
        <f>INDEX(BD60:BD63,MATCH(3,BL60:BL63,0))</f>
        <v/>
      </c>
      <c r="L63" s="11">
        <f>INDEX(BE60:BE63,MATCH(3,BL60:BL63,0))</f>
        <v/>
      </c>
      <c r="M63" s="11">
        <f>INDEX(BF60:BF63,MATCH(3,BL60:BL63,0))</f>
        <v/>
      </c>
      <c r="N63" s="11">
        <f>INDEX(BG60:BG63,MATCH(3,BL60:BL63,0))</f>
        <v/>
      </c>
      <c r="O63" s="11">
        <f>INDEX(BH60:BH63,MATCH(3,BL60:BL63,0))</f>
        <v/>
      </c>
      <c r="P63" s="11">
        <f>INDEX(BI60:BI63,MATCH(3,BL60:BL63,0))&amp;" - "&amp;INDEX(BJ60:BJ63,MATCH(3,BL60:BL63,0))</f>
        <v/>
      </c>
      <c r="Q63" s="14">
        <f>INDEX(BK60:BK63,MATCH(3,BL60:BL63,0))</f>
        <v/>
      </c>
      <c r="S63" s="3" t="n"/>
      <c r="T63" s="3" t="n"/>
      <c r="U63" s="3" t="n"/>
      <c r="V63" s="3" t="n"/>
      <c r="W63" s="9">
        <f>IF(AND(ISNUMBER(T53),ISNUMBER(T54)),IF(T53&gt;T54,S53,IF(T54&gt;T53,S54,IF(NOT(AND(ISNUMBER(U53),ISNUMBER(U54))),"",IF(U53&gt;U54,S53,IF(U54&gt;U53,S54,IF(NOT(AND(ISNUMBER(V53),ISNUMBER(V54))),"",IF(V53&gt;V54,S53,IF(V54&gt;V53,S54,"")))))))),"W85")</f>
        <v/>
      </c>
      <c r="X63" s="10" t="n"/>
      <c r="Y63" s="10" t="n"/>
      <c r="Z63" s="10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BD63" t="inlineStr">
        <is>
          <t>Jordan</t>
        </is>
      </c>
      <c r="BE63">
        <f t="array" ref="BE63">SUMPRODUCT((((E59:E64=BD63)+(H59:H64=BD63))&gt;0)*ISNUMBER(F59:F64)*ISNUMBER(G59:G64))</f>
        <v/>
      </c>
      <c r="BF63">
        <f t="array" ref="BF63">SUMPRODUCT((E59:E64=BD63)*ISNUMBER(F59:F64)*ISNUMBER(G59:G64)*(F59:F64&gt;G59:G64))+SUMPRODUCT((H59:H64=BD63)*ISNUMBER(F59:F64)*ISNUMBER(G59:G64)*(G59:G64&gt;F59:F64))</f>
        <v/>
      </c>
      <c r="BG63">
        <f t="array" ref="BG63">SUMPRODUCT((((E59:E64=BD63)+(H59:H64=BD63))&gt;0)*ISNUMBER(F59:F64)*ISNUMBER(G59:G64)*(F59:F64=G59:G64))</f>
        <v/>
      </c>
      <c r="BH63">
        <f>BE63-BF63-BG63</f>
        <v/>
      </c>
      <c r="BI63">
        <f t="array" ref="BI63">SUMPRODUCT((E59:E64=BD63)*IFERROR(F59:F64,0))+SUMPRODUCT((H59:H64=BD63)*IFERROR(G59:G64,0))</f>
        <v/>
      </c>
      <c r="BJ63">
        <f t="array" ref="BJ63">SUMPRODUCT((E59:E64=BD63)*IFERROR(G59:G64,0))+SUMPRODUCT((H59:H64=BD63)*IFERROR(F59:F64,0))</f>
        <v/>
      </c>
      <c r="BK63">
        <f>BF63*3+BG63</f>
        <v/>
      </c>
      <c r="BL63">
        <f>1+SUMPRODUCT(((BK$60:BK$63&gt;BK63)+(BK$60:BK$63=BK63)*(BM$60:BM$63&gt;BM63)+(BK$60:BK$63=BK63)*(BM$60:BM$63=BM63)*(BN$60:BN$63&gt;BN63)+(BK$60:BK$63=BK63)*(BM$60:BM$63=BM63)*(BN$60:BN$63=BN63)*(BO$60:BO$63&gt;BO63)+(BK$60:BK$63=BK63)*(BM$60:BM$63=BM63)*(BN$60:BN$63=BN63)*(BO$60:BO$63=BO63)*((BI$60:BI$63-BJ$60:BJ$63)&gt;(BI63-BJ63))+(BK$60:BK$63=BK63)*(BM$60:BM$63=BM63)*(BN$60:BN$63=BN63)*(BO$60:BO$63=BO63)*((BI$60:BI$63-BJ$60:BJ$63)=(BI63-BJ63))*(BI$60:BI$63&gt;BI63)+(BK$60:BK$63=BK63)*(BM$60:BM$63=BM63)*(BN$60:BN$63=BN63)*(BO$60:BO$63=BO63)*((BI$60:BI$63-BJ$60:BJ$63)=(BI63-BJ63))*(BI$60:BI$63=BI63)*(ROW(BK$60:BK$63)&lt;ROW(BK63)))*1)</f>
        <v/>
      </c>
      <c r="BM63">
        <f t="array" ref="BM63">SUMPRODUCT((E$59:E$64=BD63)*ISNUMBER(F$59:F$64)*ISNUMBER(G$59:G$64)*COUNTIFS(BD$60:BD$63,H$59:H$64,BK$60:BK$63,BK63)*((F$59:F$64&gt;G$59:G$64)*3+(F$59:F$64=G$59:G$64)))+SUMPRODUCT((H$59:H$64=BD63)*ISNUMBER(F$59:F$64)*ISNUMBER(G$59:G$64)*COUNTIFS(BD$60:BD$63,E$59:E$64,BK$60:BK$63,BK63)*((G$59:G$64&gt;F$59:F$64)*3+(F$59:F$64=G$59:G$64)))</f>
        <v/>
      </c>
      <c r="BN63">
        <f t="array" ref="BN63">SUMPRODUCT((E$59:E$64=BD63)*ISNUMBER(F$59:F$64)*ISNUMBER(G$59:G$64)*COUNTIFS(BD$60:BD$63,H$59:H$64,BK$60:BK$63,BK63)*(F$59:F$64-G$59:G$64))+SUMPRODUCT((H$59:H$64=BD63)*ISNUMBER(F$59:F$64)*ISNUMBER(G$59:G$64)*COUNTIFS(BD$60:BD$63,E$59:E$64,BK$60:BK$63,BK63)*(G$59:G$64-F$59:F$64))</f>
        <v/>
      </c>
      <c r="BO63">
        <f t="array" ref="BO63">SUMPRODUCT((E$59:E$64=BD63)*ISNUMBER(F$59:F$64)*ISNUMBER(G$59:G$64)*COUNTIFS(BD$60:BD$63,H$59:H$64,BK$60:BK$63,BK63)*F$59:F$64)+SUMPRODUCT((H$59:H$64=BD63)*ISNUMBER(F$59:F$64)*ISNUMBER(G$59:G$64)*COUNTIFS(BD$60:BD$63,E$59:E$64,BK$60:BK$63,BK63)*G$59:G$64)</f>
        <v/>
      </c>
    </row>
    <row r="64" ht="12.75" customHeight="1">
      <c r="A64" s="11" t="n">
        <v>60</v>
      </c>
      <c r="B64" s="11">
        <f>TEXT((46200)+(22+4+GmtOffset)/24,"ddd")</f>
        <v/>
      </c>
      <c r="C64" s="11">
        <f>TEXT((46200)+(22+4+GmtOffset)/24,"mmm d, yyyy")</f>
        <v/>
      </c>
      <c r="D64" s="11">
        <f>TEXT((46200)+(22+4+GmtOffset)/24,"h:mm")</f>
        <v/>
      </c>
      <c r="E64" s="12" t="inlineStr">
        <is>
          <t>Algeria</t>
        </is>
      </c>
      <c r="F64" s="7" t="n"/>
      <c r="G64" s="7" t="n"/>
      <c r="H64" s="13" t="inlineStr">
        <is>
          <t>Austria</t>
        </is>
      </c>
      <c r="I64" s="11" t="inlineStr">
        <is>
          <t>J</t>
        </is>
      </c>
      <c r="J64" s="3" t="n"/>
      <c r="K64" s="17">
        <f>INDEX(BD60:BD63,MATCH(4,BL60:BL63,0))</f>
        <v/>
      </c>
      <c r="L64" s="18">
        <f>INDEX(BE60:BE63,MATCH(4,BL60:BL63,0))</f>
        <v/>
      </c>
      <c r="M64" s="18">
        <f>INDEX(BF60:BF63,MATCH(4,BL60:BL63,0))</f>
        <v/>
      </c>
      <c r="N64" s="18">
        <f>INDEX(BG60:BG63,MATCH(4,BL60:BL63,0))</f>
        <v/>
      </c>
      <c r="O64" s="18">
        <f>INDEX(BH60:BH63,MATCH(4,BL60:BL63,0))</f>
        <v/>
      </c>
      <c r="P64" s="18">
        <f>INDEX(BI60:BI63,MATCH(4,BL60:BL63,0))&amp;" - "&amp;INDEX(BJ60:BJ63,MATCH(4,BL60:BL63,0))</f>
        <v/>
      </c>
      <c r="Q64" s="19">
        <f>INDEX(BK60:BK63,MATCH(4,BL60:BL63,0))</f>
        <v/>
      </c>
      <c r="S64" s="3" t="n"/>
      <c r="T64" s="3" t="n"/>
      <c r="U64" s="3" t="n"/>
      <c r="V64" s="3" t="n"/>
      <c r="W64" s="15">
        <f>IF(AND(ISNUMBER(T61),ISNUMBER(T62)),IF(T61&gt;T62,S61,IF(T62&gt;T61,S62,IF(NOT(AND(ISNUMBER(U61),ISNUMBER(U62))),"",IF(U61&gt;U62,S61,IF(U62&gt;U61,S62,IF(NOT(AND(ISNUMBER(V61),ISNUMBER(V62))),"",IF(V61&gt;V62,S61,IF(V62&gt;V61,S62,"")))))))),"W87")</f>
        <v/>
      </c>
      <c r="X64" s="16" t="n"/>
      <c r="Y64" s="16" t="n"/>
      <c r="Z64" s="16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</row>
    <row r="65" ht="12.75" customHeight="1">
      <c r="A65" s="11" t="n">
        <v>61</v>
      </c>
      <c r="B65" s="11">
        <f>TEXT((46190)+(13+4+GmtOffset)/24,"ddd")</f>
        <v/>
      </c>
      <c r="C65" s="11">
        <f>TEXT((46190)+(13+4+GmtOffset)/24,"mmm d, yyyy")</f>
        <v/>
      </c>
      <c r="D65" s="11">
        <f>TEXT((46190)+(13+4+GmtOffset)/24,"h:mm")</f>
        <v/>
      </c>
      <c r="E65" s="12" t="inlineStr">
        <is>
          <t>Portugal</t>
        </is>
      </c>
      <c r="F65" s="7" t="n"/>
      <c r="G65" s="7" t="n"/>
      <c r="H65" s="13" t="inlineStr">
        <is>
          <t>DR Congo</t>
        </is>
      </c>
      <c r="I65" s="11" t="inlineStr">
        <is>
          <t>K</t>
        </is>
      </c>
      <c r="J65" s="3" t="n"/>
      <c r="K65" s="145" t="inlineStr">
        <is>
          <t>Group K</t>
        </is>
      </c>
      <c r="L65" s="20" t="n"/>
      <c r="M65" s="20" t="n"/>
      <c r="N65" s="20" t="n"/>
      <c r="O65" s="20" t="n"/>
      <c r="P65" s="20" t="n"/>
      <c r="Q65" s="20" t="n"/>
      <c r="S65" s="9">
        <f>IF((COUNTIF($F$5:$G$76,"&gt;=0")=144),IFERROR(INDEX($AP$81:$AP$92,4),"Runner-up D"),"Runner-up D")</f>
        <v/>
      </c>
      <c r="T65" s="10" t="n"/>
      <c r="U65" s="10" t="n"/>
      <c r="V65" s="10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</row>
    <row r="66" ht="12.75" customHeight="1">
      <c r="A66" s="11" t="n">
        <v>62</v>
      </c>
      <c r="B66" s="11">
        <f>TEXT((46190)+(22+4+GmtOffset)/24,"ddd")</f>
        <v/>
      </c>
      <c r="C66" s="11">
        <f>TEXT((46190)+(22+4+GmtOffset)/24,"mmm d, yyyy")</f>
        <v/>
      </c>
      <c r="D66" s="11">
        <f>TEXT((46190)+(22+4+GmtOffset)/24,"h:mm")</f>
        <v/>
      </c>
      <c r="E66" s="12" t="inlineStr">
        <is>
          <t>Uzbekistan</t>
        </is>
      </c>
      <c r="F66" s="7" t="n"/>
      <c r="G66" s="7" t="n"/>
      <c r="H66" s="13" t="inlineStr">
        <is>
          <t>Colombia</t>
        </is>
      </c>
      <c r="I66" s="11" t="inlineStr">
        <is>
          <t>K</t>
        </is>
      </c>
      <c r="J66" s="3" t="n"/>
      <c r="K66" s="14" t="n"/>
      <c r="L66" s="14" t="inlineStr">
        <is>
          <t>PL</t>
        </is>
      </c>
      <c r="M66" s="14" t="inlineStr">
        <is>
          <t>W</t>
        </is>
      </c>
      <c r="N66" s="14" t="inlineStr">
        <is>
          <t>D</t>
        </is>
      </c>
      <c r="O66" s="14" t="inlineStr">
        <is>
          <t>L</t>
        </is>
      </c>
      <c r="P66" s="14" t="inlineStr">
        <is>
          <t>GF - GA</t>
        </is>
      </c>
      <c r="Q66" s="14" t="inlineStr">
        <is>
          <t>P</t>
        </is>
      </c>
      <c r="S66" s="15">
        <f>IF((COUNTIF($F$5:$G$76,"&gt;=0")=144),IFERROR(INDEX($AP$81:$AP$92,7),"Runner-up G"),"Runner-up G")</f>
        <v/>
      </c>
      <c r="T66" s="16" t="n"/>
      <c r="U66" s="16" t="n"/>
      <c r="V66" s="16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BD66" t="inlineStr">
        <is>
          <t>Portugal</t>
        </is>
      </c>
      <c r="BE66">
        <f t="array" ref="BE66">SUMPRODUCT((((E65:E70=BD66)+(H65:H70=BD66))&gt;0)*ISNUMBER(F65:F70)*ISNUMBER(G65:G70))</f>
        <v/>
      </c>
      <c r="BF66">
        <f t="array" ref="BF66">SUMPRODUCT((E65:E70=BD66)*ISNUMBER(F65:F70)*ISNUMBER(G65:G70)*(F65:F70&gt;G65:G70))+SUMPRODUCT((H65:H70=BD66)*ISNUMBER(F65:F70)*ISNUMBER(G65:G70)*(G65:G70&gt;F65:F70))</f>
        <v/>
      </c>
      <c r="BG66">
        <f t="array" ref="BG66">SUMPRODUCT((((E65:E70=BD66)+(H65:H70=BD66))&gt;0)*ISNUMBER(F65:F70)*ISNUMBER(G65:G70)*(F65:F70=G65:G70))</f>
        <v/>
      </c>
      <c r="BH66">
        <f>BE66-BF66-BG66</f>
        <v/>
      </c>
      <c r="BI66">
        <f t="array" ref="BI66">SUMPRODUCT((E65:E70=BD66)*IFERROR(F65:F70,0))+SUMPRODUCT((H65:H70=BD66)*IFERROR(G65:G70,0))</f>
        <v/>
      </c>
      <c r="BJ66">
        <f t="array" ref="BJ66">SUMPRODUCT((E65:E70=BD66)*IFERROR(G65:G70,0))+SUMPRODUCT((H65:H70=BD66)*IFERROR(F65:F70,0))</f>
        <v/>
      </c>
      <c r="BK66">
        <f>BF66*3+BG66</f>
        <v/>
      </c>
      <c r="BL66">
        <f>1+SUMPRODUCT(((BK$66:BK$69&gt;BK66)+(BK$66:BK$69=BK66)*(BM$66:BM$69&gt;BM66)+(BK$66:BK$69=BK66)*(BM$66:BM$69=BM66)*(BN$66:BN$69&gt;BN66)+(BK$66:BK$69=BK66)*(BM$66:BM$69=BM66)*(BN$66:BN$69=BN66)*(BO$66:BO$69&gt;BO66)+(BK$66:BK$69=BK66)*(BM$66:BM$69=BM66)*(BN$66:BN$69=BN66)*(BO$66:BO$69=BO66)*((BI$66:BI$69-BJ$66:BJ$69)&gt;(BI66-BJ66))+(BK$66:BK$69=BK66)*(BM$66:BM$69=BM66)*(BN$66:BN$69=BN66)*(BO$66:BO$69=BO66)*((BI$66:BI$69-BJ$66:BJ$69)=(BI66-BJ66))*(BI$66:BI$69&gt;BI66)+(BK$66:BK$69=BK66)*(BM$66:BM$69=BM66)*(BN$66:BN$69=BN66)*(BO$66:BO$69=BO66)*((BI$66:BI$69-BJ$66:BJ$69)=(BI66-BJ66))*(BI$66:BI$69=BI66)*(ROW(BK$66:BK$69)&lt;ROW(BK66)))*1)</f>
        <v/>
      </c>
      <c r="BM66">
        <f t="array" ref="BM66">SUMPRODUCT((E$65:E$70=BD66)*ISNUMBER(F$65:F$70)*ISNUMBER(G$65:G$70)*COUNTIFS(BD$66:BD$69,H$65:H$70,BK$66:BK$69,BK66)*((F$65:F$70&gt;G$65:G$70)*3+(F$65:F$70=G$65:G$70)))+SUMPRODUCT((H$65:H$70=BD66)*ISNUMBER(F$65:F$70)*ISNUMBER(G$65:G$70)*COUNTIFS(BD$66:BD$69,E$65:E$70,BK$66:BK$69,BK66)*((G$65:G$70&gt;F$65:F$70)*3+(F$65:F$70=G$65:G$70)))</f>
        <v/>
      </c>
      <c r="BN66">
        <f t="array" ref="BN66">SUMPRODUCT((E$65:E$70=BD66)*ISNUMBER(F$65:F$70)*ISNUMBER(G$65:G$70)*COUNTIFS(BD$66:BD$69,H$65:H$70,BK$66:BK$69,BK66)*(F$65:F$70-G$65:G$70))+SUMPRODUCT((H$65:H$70=BD66)*ISNUMBER(F$65:F$70)*ISNUMBER(G$65:G$70)*COUNTIFS(BD$66:BD$69,E$65:E$70,BK$66:BK$69,BK66)*(G$65:G$70-F$65:F$70))</f>
        <v/>
      </c>
      <c r="BO66">
        <f t="array" ref="BO66">SUMPRODUCT((E$65:E$70=BD66)*ISNUMBER(F$65:F$70)*ISNUMBER(G$65:G$70)*COUNTIFS(BD$66:BD$69,H$65:H$70,BK$66:BK$69,BK66)*F$65:F$70)+SUMPRODUCT((H$65:H$70=BD66)*ISNUMBER(F$65:F$70)*ISNUMBER(G$65:G$70)*COUNTIFS(BD$66:BD$69,E$65:E$70,BK$66:BK$69,BK66)*G$65:G$70)</f>
        <v/>
      </c>
    </row>
    <row r="67" ht="12.75" customHeight="1">
      <c r="A67" s="11" t="n">
        <v>63</v>
      </c>
      <c r="B67" s="11">
        <f>TEXT((46196)+(13+4+GmtOffset)/24,"ddd")</f>
        <v/>
      </c>
      <c r="C67" s="11">
        <f>TEXT((46196)+(13+4+GmtOffset)/24,"mmm d, yyyy")</f>
        <v/>
      </c>
      <c r="D67" s="11">
        <f>TEXT((46196)+(13+4+GmtOffset)/24,"h:mm")</f>
        <v/>
      </c>
      <c r="E67" s="12" t="inlineStr">
        <is>
          <t>Portugal</t>
        </is>
      </c>
      <c r="F67" s="7" t="n"/>
      <c r="G67" s="7" t="n"/>
      <c r="H67" s="13" t="inlineStr">
        <is>
          <t>Uzbekistan</t>
        </is>
      </c>
      <c r="I67" s="11" t="inlineStr">
        <is>
          <t>K</t>
        </is>
      </c>
      <c r="J67" s="3" t="n"/>
      <c r="K67" s="13">
        <f>INDEX(BD66:BD69,MATCH(1,BL66:BL69,0))</f>
        <v/>
      </c>
      <c r="L67" s="11">
        <f>INDEX(BE66:BE69,MATCH(1,BL66:BL69,0))</f>
        <v/>
      </c>
      <c r="M67" s="11">
        <f>INDEX(BF66:BF69,MATCH(1,BL66:BL69,0))</f>
        <v/>
      </c>
      <c r="N67" s="11">
        <f>INDEX(BG66:BG69,MATCH(1,BL66:BL69,0))</f>
        <v/>
      </c>
      <c r="O67" s="11">
        <f>INDEX(BH66:BH69,MATCH(1,BL66:BL69,0))</f>
        <v/>
      </c>
      <c r="P67" s="11">
        <f>INDEX(BI66:BI69,MATCH(1,BL66:BL69,0))&amp;" - "&amp;INDEX(BJ66:BJ69,MATCH(1,BL66:BL69,0))</f>
        <v/>
      </c>
      <c r="Q67" s="14">
        <f>INDEX(BK66:BK69,MATCH(1,BL66:BL69,0))</f>
        <v/>
      </c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BD67" t="inlineStr">
        <is>
          <t>DR Congo</t>
        </is>
      </c>
      <c r="BE67">
        <f t="array" ref="BE67">SUMPRODUCT((((E65:E70=BD67)+(H65:H70=BD67))&gt;0)*ISNUMBER(F65:F70)*ISNUMBER(G65:G70))</f>
        <v/>
      </c>
      <c r="BF67">
        <f t="array" ref="BF67">SUMPRODUCT((E65:E70=BD67)*ISNUMBER(F65:F70)*ISNUMBER(G65:G70)*(F65:F70&gt;G65:G70))+SUMPRODUCT((H65:H70=BD67)*ISNUMBER(F65:F70)*ISNUMBER(G65:G70)*(G65:G70&gt;F65:F70))</f>
        <v/>
      </c>
      <c r="BG67">
        <f t="array" ref="BG67">SUMPRODUCT((((E65:E70=BD67)+(H65:H70=BD67))&gt;0)*ISNUMBER(F65:F70)*ISNUMBER(G65:G70)*(F65:F70=G65:G70))</f>
        <v/>
      </c>
      <c r="BH67">
        <f>BE67-BF67-BG67</f>
        <v/>
      </c>
      <c r="BI67">
        <f t="array" ref="BI67">SUMPRODUCT((E65:E70=BD67)*IFERROR(F65:F70,0))+SUMPRODUCT((H65:H70=BD67)*IFERROR(G65:G70,0))</f>
        <v/>
      </c>
      <c r="BJ67">
        <f t="array" ref="BJ67">SUMPRODUCT((E65:E70=BD67)*IFERROR(G65:G70,0))+SUMPRODUCT((H65:H70=BD67)*IFERROR(F65:F70,0))</f>
        <v/>
      </c>
      <c r="BK67">
        <f>BF67*3+BG67</f>
        <v/>
      </c>
      <c r="BL67">
        <f>1+SUMPRODUCT(((BK$66:BK$69&gt;BK67)+(BK$66:BK$69=BK67)*(BM$66:BM$69&gt;BM67)+(BK$66:BK$69=BK67)*(BM$66:BM$69=BM67)*(BN$66:BN$69&gt;BN67)+(BK$66:BK$69=BK67)*(BM$66:BM$69=BM67)*(BN$66:BN$69=BN67)*(BO$66:BO$69&gt;BO67)+(BK$66:BK$69=BK67)*(BM$66:BM$69=BM67)*(BN$66:BN$69=BN67)*(BO$66:BO$69=BO67)*((BI$66:BI$69-BJ$66:BJ$69)&gt;(BI67-BJ67))+(BK$66:BK$69=BK67)*(BM$66:BM$69=BM67)*(BN$66:BN$69=BN67)*(BO$66:BO$69=BO67)*((BI$66:BI$69-BJ$66:BJ$69)=(BI67-BJ67))*(BI$66:BI$69&gt;BI67)+(BK$66:BK$69=BK67)*(BM$66:BM$69=BM67)*(BN$66:BN$69=BN67)*(BO$66:BO$69=BO67)*((BI$66:BI$69-BJ$66:BJ$69)=(BI67-BJ67))*(BI$66:BI$69=BI67)*(ROW(BK$66:BK$69)&lt;ROW(BK67)))*1)</f>
        <v/>
      </c>
      <c r="BM67">
        <f t="array" ref="BM67">SUMPRODUCT((E$65:E$70=BD67)*ISNUMBER(F$65:F$70)*ISNUMBER(G$65:G$70)*COUNTIFS(BD$66:BD$69,H$65:H$70,BK$66:BK$69,BK67)*((F$65:F$70&gt;G$65:G$70)*3+(F$65:F$70=G$65:G$70)))+SUMPRODUCT((H$65:H$70=BD67)*ISNUMBER(F$65:F$70)*ISNUMBER(G$65:G$70)*COUNTIFS(BD$66:BD$69,E$65:E$70,BK$66:BK$69,BK67)*((G$65:G$70&gt;F$65:F$70)*3+(F$65:F$70=G$65:G$70)))</f>
        <v/>
      </c>
      <c r="BN67">
        <f t="array" ref="BN67">SUMPRODUCT((E$65:E$70=BD67)*ISNUMBER(F$65:F$70)*ISNUMBER(G$65:G$70)*COUNTIFS(BD$66:BD$69,H$65:H$70,BK$66:BK$69,BK67)*(F$65:F$70-G$65:G$70))+SUMPRODUCT((H$65:H$70=BD67)*ISNUMBER(F$65:F$70)*ISNUMBER(G$65:G$70)*COUNTIFS(BD$66:BD$69,E$65:E$70,BK$66:BK$69,BK67)*(G$65:G$70-F$65:F$70))</f>
        <v/>
      </c>
      <c r="BO67">
        <f t="array" ref="BO67">SUMPRODUCT((E$65:E$70=BD67)*ISNUMBER(F$65:F$70)*ISNUMBER(G$65:G$70)*COUNTIFS(BD$66:BD$69,H$65:H$70,BK$66:BK$69,BK67)*F$65:F$70)+SUMPRODUCT((H$65:H$70=BD67)*ISNUMBER(F$65:F$70)*ISNUMBER(G$65:G$70)*COUNTIFS(BD$66:BD$69,E$65:E$70,BK$66:BK$69,BK67)*G$65:G$70)</f>
        <v/>
      </c>
    </row>
    <row r="68" ht="12.75" customHeight="1">
      <c r="A68" s="11" t="n">
        <v>64</v>
      </c>
      <c r="B68" s="11">
        <f>TEXT((46196)+(22+4+GmtOffset)/24,"ddd")</f>
        <v/>
      </c>
      <c r="C68" s="11">
        <f>TEXT((46196)+(22+4+GmtOffset)/24,"mmm d, yyyy")</f>
        <v/>
      </c>
      <c r="D68" s="11">
        <f>TEXT((46196)+(22+4+GmtOffset)/24,"h:mm")</f>
        <v/>
      </c>
      <c r="E68" s="12" t="inlineStr">
        <is>
          <t>Colombia</t>
        </is>
      </c>
      <c r="F68" s="7" t="n"/>
      <c r="G68" s="7" t="n"/>
      <c r="H68" s="13" t="inlineStr">
        <is>
          <t>DR Congo</t>
        </is>
      </c>
      <c r="I68" s="11" t="inlineStr">
        <is>
          <t>K</t>
        </is>
      </c>
      <c r="J68" s="3" t="n"/>
      <c r="K68" s="13">
        <f>INDEX(BD66:BD69,MATCH(2,BL66:BL69,0))</f>
        <v/>
      </c>
      <c r="L68" s="11">
        <f>INDEX(BE66:BE69,MATCH(2,BL66:BL69,0))</f>
        <v/>
      </c>
      <c r="M68" s="11">
        <f>INDEX(BF66:BF69,MATCH(2,BL66:BL69,0))</f>
        <v/>
      </c>
      <c r="N68" s="11">
        <f>INDEX(BG66:BG69,MATCH(2,BL66:BL69,0))</f>
        <v/>
      </c>
      <c r="O68" s="11">
        <f>INDEX(BH66:BH69,MATCH(2,BL66:BL69,0))</f>
        <v/>
      </c>
      <c r="P68" s="11">
        <f>INDEX(BI66:BI69,MATCH(2,BL66:BL69,0))&amp;" - "&amp;INDEX(BJ66:BJ69,MATCH(2,BL66:BL69,0))</f>
        <v/>
      </c>
      <c r="Q68" s="14">
        <f>INDEX(BK66:BK69,MATCH(2,BL66:BL69,0))</f>
        <v/>
      </c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BD68" t="inlineStr">
        <is>
          <t>Uzbekistan</t>
        </is>
      </c>
      <c r="BE68">
        <f t="array" ref="BE68">SUMPRODUCT((((E65:E70=BD68)+(H65:H70=BD68))&gt;0)*ISNUMBER(F65:F70)*ISNUMBER(G65:G70))</f>
        <v/>
      </c>
      <c r="BF68">
        <f t="array" ref="BF68">SUMPRODUCT((E65:E70=BD68)*ISNUMBER(F65:F70)*ISNUMBER(G65:G70)*(F65:F70&gt;G65:G70))+SUMPRODUCT((H65:H70=BD68)*ISNUMBER(F65:F70)*ISNUMBER(G65:G70)*(G65:G70&gt;F65:F70))</f>
        <v/>
      </c>
      <c r="BG68">
        <f t="array" ref="BG68">SUMPRODUCT((((E65:E70=BD68)+(H65:H70=BD68))&gt;0)*ISNUMBER(F65:F70)*ISNUMBER(G65:G70)*(F65:F70=G65:G70))</f>
        <v/>
      </c>
      <c r="BH68">
        <f>BE68-BF68-BG68</f>
        <v/>
      </c>
      <c r="BI68">
        <f t="array" ref="BI68">SUMPRODUCT((E65:E70=BD68)*IFERROR(F65:F70,0))+SUMPRODUCT((H65:H70=BD68)*IFERROR(G65:G70,0))</f>
        <v/>
      </c>
      <c r="BJ68">
        <f t="array" ref="BJ68">SUMPRODUCT((E65:E70=BD68)*IFERROR(G65:G70,0))+SUMPRODUCT((H65:H70=BD68)*IFERROR(F65:F70,0))</f>
        <v/>
      </c>
      <c r="BK68">
        <f>BF68*3+BG68</f>
        <v/>
      </c>
      <c r="BL68">
        <f>1+SUMPRODUCT(((BK$66:BK$69&gt;BK68)+(BK$66:BK$69=BK68)*(BM$66:BM$69&gt;BM68)+(BK$66:BK$69=BK68)*(BM$66:BM$69=BM68)*(BN$66:BN$69&gt;BN68)+(BK$66:BK$69=BK68)*(BM$66:BM$69=BM68)*(BN$66:BN$69=BN68)*(BO$66:BO$69&gt;BO68)+(BK$66:BK$69=BK68)*(BM$66:BM$69=BM68)*(BN$66:BN$69=BN68)*(BO$66:BO$69=BO68)*((BI$66:BI$69-BJ$66:BJ$69)&gt;(BI68-BJ68))+(BK$66:BK$69=BK68)*(BM$66:BM$69=BM68)*(BN$66:BN$69=BN68)*(BO$66:BO$69=BO68)*((BI$66:BI$69-BJ$66:BJ$69)=(BI68-BJ68))*(BI$66:BI$69&gt;BI68)+(BK$66:BK$69=BK68)*(BM$66:BM$69=BM68)*(BN$66:BN$69=BN68)*(BO$66:BO$69=BO68)*((BI$66:BI$69-BJ$66:BJ$69)=(BI68-BJ68))*(BI$66:BI$69=BI68)*(ROW(BK$66:BK$69)&lt;ROW(BK68)))*1)</f>
        <v/>
      </c>
      <c r="BM68">
        <f t="array" ref="BM68">SUMPRODUCT((E$65:E$70=BD68)*ISNUMBER(F$65:F$70)*ISNUMBER(G$65:G$70)*COUNTIFS(BD$66:BD$69,H$65:H$70,BK$66:BK$69,BK68)*((F$65:F$70&gt;G$65:G$70)*3+(F$65:F$70=G$65:G$70)))+SUMPRODUCT((H$65:H$70=BD68)*ISNUMBER(F$65:F$70)*ISNUMBER(G$65:G$70)*COUNTIFS(BD$66:BD$69,E$65:E$70,BK$66:BK$69,BK68)*((G$65:G$70&gt;F$65:F$70)*3+(F$65:F$70=G$65:G$70)))</f>
        <v/>
      </c>
      <c r="BN68">
        <f t="array" ref="BN68">SUMPRODUCT((E$65:E$70=BD68)*ISNUMBER(F$65:F$70)*ISNUMBER(G$65:G$70)*COUNTIFS(BD$66:BD$69,H$65:H$70,BK$66:BK$69,BK68)*(F$65:F$70-G$65:G$70))+SUMPRODUCT((H$65:H$70=BD68)*ISNUMBER(F$65:F$70)*ISNUMBER(G$65:G$70)*COUNTIFS(BD$66:BD$69,E$65:E$70,BK$66:BK$69,BK68)*(G$65:G$70-F$65:F$70))</f>
        <v/>
      </c>
      <c r="BO68">
        <f t="array" ref="BO68">SUMPRODUCT((E$65:E$70=BD68)*ISNUMBER(F$65:F$70)*ISNUMBER(G$65:G$70)*COUNTIFS(BD$66:BD$69,H$65:H$70,BK$66:BK$69,BK68)*F$65:F$70)+SUMPRODUCT((H$65:H$70=BD68)*ISNUMBER(F$65:F$70)*ISNUMBER(G$65:G$70)*COUNTIFS(BD$66:BD$69,E$65:E$70,BK$66:BK$69,BK68)*G$65:G$70)</f>
        <v/>
      </c>
    </row>
    <row r="69" ht="12.75" customHeight="1">
      <c r="A69" s="11" t="n">
        <v>65</v>
      </c>
      <c r="B69" s="11">
        <f>TEXT((46200)+(19.5+4+GmtOffset)/24,"ddd")</f>
        <v/>
      </c>
      <c r="C69" s="11">
        <f>TEXT((46200)+(19.5+4+GmtOffset)/24,"mmm d, yyyy")</f>
        <v/>
      </c>
      <c r="D69" s="11">
        <f>TEXT((46200)+(19.5+4+GmtOffset)/24,"h:mm")</f>
        <v/>
      </c>
      <c r="E69" s="12" t="inlineStr">
        <is>
          <t>Colombia</t>
        </is>
      </c>
      <c r="F69" s="7" t="n"/>
      <c r="G69" s="7" t="n"/>
      <c r="H69" s="13" t="inlineStr">
        <is>
          <t>Portugal</t>
        </is>
      </c>
      <c r="I69" s="11" t="inlineStr">
        <is>
          <t>K</t>
        </is>
      </c>
      <c r="J69" s="3" t="n"/>
      <c r="K69" s="13">
        <f>INDEX(BD66:BD69,MATCH(3,BL66:BL69,0))</f>
        <v/>
      </c>
      <c r="L69" s="11">
        <f>INDEX(BE66:BE69,MATCH(3,BL66:BL69,0))</f>
        <v/>
      </c>
      <c r="M69" s="11">
        <f>INDEX(BF66:BF69,MATCH(3,BL66:BL69,0))</f>
        <v/>
      </c>
      <c r="N69" s="11">
        <f>INDEX(BG66:BG69,MATCH(3,BL66:BL69,0))</f>
        <v/>
      </c>
      <c r="O69" s="11">
        <f>INDEX(BH66:BH69,MATCH(3,BL66:BL69,0))</f>
        <v/>
      </c>
      <c r="P69" s="11">
        <f>INDEX(BI66:BI69,MATCH(3,BL66:BL69,0))&amp;" - "&amp;INDEX(BJ66:BJ69,MATCH(3,BL66:BL69,0))</f>
        <v/>
      </c>
      <c r="Q69" s="14">
        <f>INDEX(BK66:BK69,MATCH(3,BL66:BL69,0))</f>
        <v/>
      </c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BD69" t="inlineStr">
        <is>
          <t>Colombia</t>
        </is>
      </c>
      <c r="BE69">
        <f t="array" ref="BE69">SUMPRODUCT((((E65:E70=BD69)+(H65:H70=BD69))&gt;0)*ISNUMBER(F65:F70)*ISNUMBER(G65:G70))</f>
        <v/>
      </c>
      <c r="BF69">
        <f t="array" ref="BF69">SUMPRODUCT((E65:E70=BD69)*ISNUMBER(F65:F70)*ISNUMBER(G65:G70)*(F65:F70&gt;G65:G70))+SUMPRODUCT((H65:H70=BD69)*ISNUMBER(F65:F70)*ISNUMBER(G65:G70)*(G65:G70&gt;F65:F70))</f>
        <v/>
      </c>
      <c r="BG69">
        <f t="array" ref="BG69">SUMPRODUCT((((E65:E70=BD69)+(H65:H70=BD69))&gt;0)*ISNUMBER(F65:F70)*ISNUMBER(G65:G70)*(F65:F70=G65:G70))</f>
        <v/>
      </c>
      <c r="BH69">
        <f>BE69-BF69-BG69</f>
        <v/>
      </c>
      <c r="BI69">
        <f t="array" ref="BI69">SUMPRODUCT((E65:E70=BD69)*IFERROR(F65:F70,0))+SUMPRODUCT((H65:H70=BD69)*IFERROR(G65:G70,0))</f>
        <v/>
      </c>
      <c r="BJ69">
        <f t="array" ref="BJ69">SUMPRODUCT((E65:E70=BD69)*IFERROR(G65:G70,0))+SUMPRODUCT((H65:H70=BD69)*IFERROR(F65:F70,0))</f>
        <v/>
      </c>
      <c r="BK69">
        <f>BF69*3+BG69</f>
        <v/>
      </c>
      <c r="BL69">
        <f>1+SUMPRODUCT(((BK$66:BK$69&gt;BK69)+(BK$66:BK$69=BK69)*(BM$66:BM$69&gt;BM69)+(BK$66:BK$69=BK69)*(BM$66:BM$69=BM69)*(BN$66:BN$69&gt;BN69)+(BK$66:BK$69=BK69)*(BM$66:BM$69=BM69)*(BN$66:BN$69=BN69)*(BO$66:BO$69&gt;BO69)+(BK$66:BK$69=BK69)*(BM$66:BM$69=BM69)*(BN$66:BN$69=BN69)*(BO$66:BO$69=BO69)*((BI$66:BI$69-BJ$66:BJ$69)&gt;(BI69-BJ69))+(BK$66:BK$69=BK69)*(BM$66:BM$69=BM69)*(BN$66:BN$69=BN69)*(BO$66:BO$69=BO69)*((BI$66:BI$69-BJ$66:BJ$69)=(BI69-BJ69))*(BI$66:BI$69&gt;BI69)+(BK$66:BK$69=BK69)*(BM$66:BM$69=BM69)*(BN$66:BN$69=BN69)*(BO$66:BO$69=BO69)*((BI$66:BI$69-BJ$66:BJ$69)=(BI69-BJ69))*(BI$66:BI$69=BI69)*(ROW(BK$66:BK$69)&lt;ROW(BK69)))*1)</f>
        <v/>
      </c>
      <c r="BM69">
        <f t="array" ref="BM69">SUMPRODUCT((E$65:E$70=BD69)*ISNUMBER(F$65:F$70)*ISNUMBER(G$65:G$70)*COUNTIFS(BD$66:BD$69,H$65:H$70,BK$66:BK$69,BK69)*((F$65:F$70&gt;G$65:G$70)*3+(F$65:F$70=G$65:G$70)))+SUMPRODUCT((H$65:H$70=BD69)*ISNUMBER(F$65:F$70)*ISNUMBER(G$65:G$70)*COUNTIFS(BD$66:BD$69,E$65:E$70,BK$66:BK$69,BK69)*((G$65:G$70&gt;F$65:F$70)*3+(F$65:F$70=G$65:G$70)))</f>
        <v/>
      </c>
      <c r="BN69">
        <f t="array" ref="BN69">SUMPRODUCT((E$65:E$70=BD69)*ISNUMBER(F$65:F$70)*ISNUMBER(G$65:G$70)*COUNTIFS(BD$66:BD$69,H$65:H$70,BK$66:BK$69,BK69)*(F$65:F$70-G$65:G$70))+SUMPRODUCT((H$65:H$70=BD69)*ISNUMBER(F$65:F$70)*ISNUMBER(G$65:G$70)*COUNTIFS(BD$66:BD$69,E$65:E$70,BK$66:BK$69,BK69)*(G$65:G$70-F$65:F$70))</f>
        <v/>
      </c>
      <c r="BO69">
        <f t="array" ref="BO69">SUMPRODUCT((E$65:E$70=BD69)*ISNUMBER(F$65:F$70)*ISNUMBER(G$65:G$70)*COUNTIFS(BD$66:BD$69,H$65:H$70,BK$66:BK$69,BK69)*F$65:F$70)+SUMPRODUCT((H$65:H$70=BD69)*ISNUMBER(F$65:F$70)*ISNUMBER(G$65:G$70)*COUNTIFS(BD$66:BD$69,E$65:E$70,BK$66:BK$69,BK69)*G$65:G$70)</f>
        <v/>
      </c>
    </row>
    <row r="70" ht="12.75" customHeight="1">
      <c r="A70" s="11" t="n">
        <v>66</v>
      </c>
      <c r="B70" s="11">
        <f>TEXT((46200)+(19.5+4+GmtOffset)/24,"ddd")</f>
        <v/>
      </c>
      <c r="C70" s="11">
        <f>TEXT((46200)+(19.5+4+GmtOffset)/24,"mmm d, yyyy")</f>
        <v/>
      </c>
      <c r="D70" s="11">
        <f>TEXT((46200)+(19.5+4+GmtOffset)/24,"h:mm")</f>
        <v/>
      </c>
      <c r="E70" s="12" t="inlineStr">
        <is>
          <t>DR Congo</t>
        </is>
      </c>
      <c r="F70" s="7" t="n"/>
      <c r="G70" s="7" t="n"/>
      <c r="H70" s="13" t="inlineStr">
        <is>
          <t>Uzbekistan</t>
        </is>
      </c>
      <c r="I70" s="11" t="inlineStr">
        <is>
          <t>K</t>
        </is>
      </c>
      <c r="J70" s="3" t="n"/>
      <c r="K70" s="17">
        <f>INDEX(BD66:BD69,MATCH(4,BL66:BL69,0))</f>
        <v/>
      </c>
      <c r="L70" s="18">
        <f>INDEX(BE66:BE69,MATCH(4,BL66:BL69,0))</f>
        <v/>
      </c>
      <c r="M70" s="18">
        <f>INDEX(BF66:BF69,MATCH(4,BL66:BL69,0))</f>
        <v/>
      </c>
      <c r="N70" s="18">
        <f>INDEX(BG66:BG69,MATCH(4,BL66:BL69,0))</f>
        <v/>
      </c>
      <c r="O70" s="18">
        <f>INDEX(BH66:BH69,MATCH(4,BL66:BL69,0))</f>
        <v/>
      </c>
      <c r="P70" s="18">
        <f>INDEX(BI66:BI69,MATCH(4,BL66:BL69,0))&amp;" - "&amp;INDEX(BJ66:BJ69,MATCH(4,BL66:BL69,0))</f>
        <v/>
      </c>
      <c r="Q70" s="19">
        <f>INDEX(BK66:BK69,MATCH(4,BL66:BL69,0))</f>
        <v/>
      </c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</row>
    <row r="71" ht="12.75" customHeight="1">
      <c r="A71" s="11" t="n">
        <v>67</v>
      </c>
      <c r="B71" s="11">
        <f>TEXT((46190)+(16+4+GmtOffset)/24,"ddd")</f>
        <v/>
      </c>
      <c r="C71" s="11">
        <f>TEXT((46190)+(16+4+GmtOffset)/24,"mmm d, yyyy")</f>
        <v/>
      </c>
      <c r="D71" s="11">
        <f>TEXT((46190)+(16+4+GmtOffset)/24,"h:mm")</f>
        <v/>
      </c>
      <c r="E71" s="12" t="inlineStr">
        <is>
          <t>England</t>
        </is>
      </c>
      <c r="F71" s="7" t="n"/>
      <c r="G71" s="7" t="n"/>
      <c r="H71" s="13" t="inlineStr">
        <is>
          <t>Croatia</t>
        </is>
      </c>
      <c r="I71" s="11" t="inlineStr">
        <is>
          <t>L</t>
        </is>
      </c>
      <c r="J71" s="3" t="n"/>
      <c r="K71" s="145" t="inlineStr">
        <is>
          <t>Group L</t>
        </is>
      </c>
      <c r="L71" s="20" t="n"/>
      <c r="M71" s="20" t="n"/>
      <c r="N71" s="20" t="n"/>
      <c r="O71" s="20" t="n"/>
      <c r="P71" s="20" t="n"/>
      <c r="Q71" s="20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</row>
    <row r="72" ht="12.75" customHeight="1">
      <c r="A72" s="11" t="n">
        <v>68</v>
      </c>
      <c r="B72" s="11">
        <f>TEXT((46190)+(19+4+GmtOffset)/24,"ddd")</f>
        <v/>
      </c>
      <c r="C72" s="11">
        <f>TEXT((46190)+(19+4+GmtOffset)/24,"mmm d, yyyy")</f>
        <v/>
      </c>
      <c r="D72" s="11">
        <f>TEXT((46190)+(19+4+GmtOffset)/24,"h:mm")</f>
        <v/>
      </c>
      <c r="E72" s="12" t="inlineStr">
        <is>
          <t>Ghana</t>
        </is>
      </c>
      <c r="F72" s="7" t="n"/>
      <c r="G72" s="7" t="n"/>
      <c r="H72" s="13" t="inlineStr">
        <is>
          <t>Panama</t>
        </is>
      </c>
      <c r="I72" s="11" t="inlineStr">
        <is>
          <t>L</t>
        </is>
      </c>
      <c r="J72" s="3" t="n"/>
      <c r="K72" s="14" t="n"/>
      <c r="L72" s="14" t="inlineStr">
        <is>
          <t>PL</t>
        </is>
      </c>
      <c r="M72" s="14" t="inlineStr">
        <is>
          <t>W</t>
        </is>
      </c>
      <c r="N72" s="14" t="inlineStr">
        <is>
          <t>D</t>
        </is>
      </c>
      <c r="O72" s="14" t="inlineStr">
        <is>
          <t>L</t>
        </is>
      </c>
      <c r="P72" s="14" t="inlineStr">
        <is>
          <t>GF - GA</t>
        </is>
      </c>
      <c r="Q72" s="14" t="inlineStr">
        <is>
          <t>P</t>
        </is>
      </c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BD72" t="inlineStr">
        <is>
          <t>England</t>
        </is>
      </c>
      <c r="BE72">
        <f t="array" ref="BE72">SUMPRODUCT((((E71:E76=BD72)+(H71:H76=BD72))&gt;0)*ISNUMBER(F71:F76)*ISNUMBER(G71:G76))</f>
        <v/>
      </c>
      <c r="BF72">
        <f t="array" ref="BF72">SUMPRODUCT((E71:E76=BD72)*ISNUMBER(F71:F76)*ISNUMBER(G71:G76)*(F71:F76&gt;G71:G76))+SUMPRODUCT((H71:H76=BD72)*ISNUMBER(F71:F76)*ISNUMBER(G71:G76)*(G71:G76&gt;F71:F76))</f>
        <v/>
      </c>
      <c r="BG72">
        <f t="array" ref="BG72">SUMPRODUCT((((E71:E76=BD72)+(H71:H76=BD72))&gt;0)*ISNUMBER(F71:F76)*ISNUMBER(G71:G76)*(F71:F76=G71:G76))</f>
        <v/>
      </c>
      <c r="BH72">
        <f>BE72-BF72-BG72</f>
        <v/>
      </c>
      <c r="BI72">
        <f t="array" ref="BI72">SUMPRODUCT((E71:E76=BD72)*IFERROR(F71:F76,0))+SUMPRODUCT((H71:H76=BD72)*IFERROR(G71:G76,0))</f>
        <v/>
      </c>
      <c r="BJ72">
        <f t="array" ref="BJ72">SUMPRODUCT((E71:E76=BD72)*IFERROR(G71:G76,0))+SUMPRODUCT((H71:H76=BD72)*IFERROR(F71:F76,0))</f>
        <v/>
      </c>
      <c r="BK72">
        <f>BF72*3+BG72</f>
        <v/>
      </c>
      <c r="BL72">
        <f>1+SUMPRODUCT(((BK$72:BK$75&gt;BK72)+(BK$72:BK$75=BK72)*(BM$72:BM$75&gt;BM72)+(BK$72:BK$75=BK72)*(BM$72:BM$75=BM72)*(BN$72:BN$75&gt;BN72)+(BK$72:BK$75=BK72)*(BM$72:BM$75=BM72)*(BN$72:BN$75=BN72)*(BO$72:BO$75&gt;BO72)+(BK$72:BK$75=BK72)*(BM$72:BM$75=BM72)*(BN$72:BN$75=BN72)*(BO$72:BO$75=BO72)*((BI$72:BI$75-BJ$72:BJ$75)&gt;(BI72-BJ72))+(BK$72:BK$75=BK72)*(BM$72:BM$75=BM72)*(BN$72:BN$75=BN72)*(BO$72:BO$75=BO72)*((BI$72:BI$75-BJ$72:BJ$75)=(BI72-BJ72))*(BI$72:BI$75&gt;BI72)+(BK$72:BK$75=BK72)*(BM$72:BM$75=BM72)*(BN$72:BN$75=BN72)*(BO$72:BO$75=BO72)*((BI$72:BI$75-BJ$72:BJ$75)=(BI72-BJ72))*(BI$72:BI$75=BI72)*(ROW(BK$72:BK$75)&lt;ROW(BK72)))*1)</f>
        <v/>
      </c>
      <c r="BM72">
        <f t="array" ref="BM72">SUMPRODUCT((E$71:E$76=BD72)*ISNUMBER(F$71:F$76)*ISNUMBER(G$71:G$76)*COUNTIFS(BD$72:BD$75,H$71:H$76,BK$72:BK$75,BK72)*((F$71:F$76&gt;G$71:G$76)*3+(F$71:F$76=G$71:G$76)))+SUMPRODUCT((H$71:H$76=BD72)*ISNUMBER(F$71:F$76)*ISNUMBER(G$71:G$76)*COUNTIFS(BD$72:BD$75,E$71:E$76,BK$72:BK$75,BK72)*((G$71:G$76&gt;F$71:F$76)*3+(F$71:F$76=G$71:G$76)))</f>
        <v/>
      </c>
      <c r="BN72">
        <f t="array" ref="BN72">SUMPRODUCT((E$71:E$76=BD72)*ISNUMBER(F$71:F$76)*ISNUMBER(G$71:G$76)*COUNTIFS(BD$72:BD$75,H$71:H$76,BK$72:BK$75,BK72)*(F$71:F$76-G$71:G$76))+SUMPRODUCT((H$71:H$76=BD72)*ISNUMBER(F$71:F$76)*ISNUMBER(G$71:G$76)*COUNTIFS(BD$72:BD$75,E$71:E$76,BK$72:BK$75,BK72)*(G$71:G$76-F$71:F$76))</f>
        <v/>
      </c>
      <c r="BO72">
        <f t="array" ref="BO72">SUMPRODUCT((E$71:E$76=BD72)*ISNUMBER(F$71:F$76)*ISNUMBER(G$71:G$76)*COUNTIFS(BD$72:BD$75,H$71:H$76,BK$72:BK$75,BK72)*F$71:F$76)+SUMPRODUCT((H$71:H$76=BD72)*ISNUMBER(F$71:F$76)*ISNUMBER(G$71:G$76)*COUNTIFS(BD$72:BD$75,E$71:E$76,BK$72:BK$75,BK72)*G$71:G$76)</f>
        <v/>
      </c>
    </row>
    <row r="73" ht="12.75" customHeight="1">
      <c r="A73" s="11" t="n">
        <v>69</v>
      </c>
      <c r="B73" s="11">
        <f>TEXT((46196)+(16+4+GmtOffset)/24,"ddd")</f>
        <v/>
      </c>
      <c r="C73" s="11">
        <f>TEXT((46196)+(16+4+GmtOffset)/24,"mmm d, yyyy")</f>
        <v/>
      </c>
      <c r="D73" s="11">
        <f>TEXT((46196)+(16+4+GmtOffset)/24,"h:mm")</f>
        <v/>
      </c>
      <c r="E73" s="12" t="inlineStr">
        <is>
          <t>England</t>
        </is>
      </c>
      <c r="F73" s="7" t="n"/>
      <c r="G73" s="7" t="n"/>
      <c r="H73" s="13" t="inlineStr">
        <is>
          <t>Ghana</t>
        </is>
      </c>
      <c r="I73" s="11" t="inlineStr">
        <is>
          <t>L</t>
        </is>
      </c>
      <c r="J73" s="3" t="n"/>
      <c r="K73" s="13">
        <f>INDEX(BD72:BD75,MATCH(1,BL72:BL75,0))</f>
        <v/>
      </c>
      <c r="L73" s="11">
        <f>INDEX(BE72:BE75,MATCH(1,BL72:BL75,0))</f>
        <v/>
      </c>
      <c r="M73" s="11">
        <f>INDEX(BF72:BF75,MATCH(1,BL72:BL75,0))</f>
        <v/>
      </c>
      <c r="N73" s="11">
        <f>INDEX(BG72:BG75,MATCH(1,BL72:BL75,0))</f>
        <v/>
      </c>
      <c r="O73" s="11">
        <f>INDEX(BH72:BH75,MATCH(1,BL72:BL75,0))</f>
        <v/>
      </c>
      <c r="P73" s="11">
        <f>INDEX(BI72:BI75,MATCH(1,BL72:BL75,0))&amp;" - "&amp;INDEX(BJ72:BJ75,MATCH(1,BL72:BL75,0))</f>
        <v/>
      </c>
      <c r="Q73" s="14">
        <f>INDEX(BK72:BK75,MATCH(1,BL72:BL75,0))</f>
        <v/>
      </c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BD73" t="inlineStr">
        <is>
          <t>Croatia</t>
        </is>
      </c>
      <c r="BE73">
        <f t="array" ref="BE73">SUMPRODUCT((((E71:E76=BD73)+(H71:H76=BD73))&gt;0)*ISNUMBER(F71:F76)*ISNUMBER(G71:G76))</f>
        <v/>
      </c>
      <c r="BF73">
        <f t="array" ref="BF73">SUMPRODUCT((E71:E76=BD73)*ISNUMBER(F71:F76)*ISNUMBER(G71:G76)*(F71:F76&gt;G71:G76))+SUMPRODUCT((H71:H76=BD73)*ISNUMBER(F71:F76)*ISNUMBER(G71:G76)*(G71:G76&gt;F71:F76))</f>
        <v/>
      </c>
      <c r="BG73">
        <f t="array" ref="BG73">SUMPRODUCT((((E71:E76=BD73)+(H71:H76=BD73))&gt;0)*ISNUMBER(F71:F76)*ISNUMBER(G71:G76)*(F71:F76=G71:G76))</f>
        <v/>
      </c>
      <c r="BH73">
        <f>BE73-BF73-BG73</f>
        <v/>
      </c>
      <c r="BI73">
        <f t="array" ref="BI73">SUMPRODUCT((E71:E76=BD73)*IFERROR(F71:F76,0))+SUMPRODUCT((H71:H76=BD73)*IFERROR(G71:G76,0))</f>
        <v/>
      </c>
      <c r="BJ73">
        <f t="array" ref="BJ73">SUMPRODUCT((E71:E76=BD73)*IFERROR(G71:G76,0))+SUMPRODUCT((H71:H76=BD73)*IFERROR(F71:F76,0))</f>
        <v/>
      </c>
      <c r="BK73">
        <f>BF73*3+BG73</f>
        <v/>
      </c>
      <c r="BL73">
        <f>1+SUMPRODUCT(((BK$72:BK$75&gt;BK73)+(BK$72:BK$75=BK73)*(BM$72:BM$75&gt;BM73)+(BK$72:BK$75=BK73)*(BM$72:BM$75=BM73)*(BN$72:BN$75&gt;BN73)+(BK$72:BK$75=BK73)*(BM$72:BM$75=BM73)*(BN$72:BN$75=BN73)*(BO$72:BO$75&gt;BO73)+(BK$72:BK$75=BK73)*(BM$72:BM$75=BM73)*(BN$72:BN$75=BN73)*(BO$72:BO$75=BO73)*((BI$72:BI$75-BJ$72:BJ$75)&gt;(BI73-BJ73))+(BK$72:BK$75=BK73)*(BM$72:BM$75=BM73)*(BN$72:BN$75=BN73)*(BO$72:BO$75=BO73)*((BI$72:BI$75-BJ$72:BJ$75)=(BI73-BJ73))*(BI$72:BI$75&gt;BI73)+(BK$72:BK$75=BK73)*(BM$72:BM$75=BM73)*(BN$72:BN$75=BN73)*(BO$72:BO$75=BO73)*((BI$72:BI$75-BJ$72:BJ$75)=(BI73-BJ73))*(BI$72:BI$75=BI73)*(ROW(BK$72:BK$75)&lt;ROW(BK73)))*1)</f>
        <v/>
      </c>
      <c r="BM73">
        <f t="array" ref="BM73">SUMPRODUCT((E$71:E$76=BD73)*ISNUMBER(F$71:F$76)*ISNUMBER(G$71:G$76)*COUNTIFS(BD$72:BD$75,H$71:H$76,BK$72:BK$75,BK73)*((F$71:F$76&gt;G$71:G$76)*3+(F$71:F$76=G$71:G$76)))+SUMPRODUCT((H$71:H$76=BD73)*ISNUMBER(F$71:F$76)*ISNUMBER(G$71:G$76)*COUNTIFS(BD$72:BD$75,E$71:E$76,BK$72:BK$75,BK73)*((G$71:G$76&gt;F$71:F$76)*3+(F$71:F$76=G$71:G$76)))</f>
        <v/>
      </c>
      <c r="BN73">
        <f t="array" ref="BN73">SUMPRODUCT((E$71:E$76=BD73)*ISNUMBER(F$71:F$76)*ISNUMBER(G$71:G$76)*COUNTIFS(BD$72:BD$75,H$71:H$76,BK$72:BK$75,BK73)*(F$71:F$76-G$71:G$76))+SUMPRODUCT((H$71:H$76=BD73)*ISNUMBER(F$71:F$76)*ISNUMBER(G$71:G$76)*COUNTIFS(BD$72:BD$75,E$71:E$76,BK$72:BK$75,BK73)*(G$71:G$76-F$71:F$76))</f>
        <v/>
      </c>
      <c r="BO73">
        <f t="array" ref="BO73">SUMPRODUCT((E$71:E$76=BD73)*ISNUMBER(F$71:F$76)*ISNUMBER(G$71:G$76)*COUNTIFS(BD$72:BD$75,H$71:H$76,BK$72:BK$75,BK73)*F$71:F$76)+SUMPRODUCT((H$71:H$76=BD73)*ISNUMBER(F$71:F$76)*ISNUMBER(G$71:G$76)*COUNTIFS(BD$72:BD$75,E$71:E$76,BK$72:BK$75,BK73)*G$71:G$76)</f>
        <v/>
      </c>
    </row>
    <row r="74" ht="12.75" customHeight="1">
      <c r="A74" s="11" t="n">
        <v>70</v>
      </c>
      <c r="B74" s="11">
        <f>TEXT((46196)+(19+4+GmtOffset)/24,"ddd")</f>
        <v/>
      </c>
      <c r="C74" s="11">
        <f>TEXT((46196)+(19+4+GmtOffset)/24,"mmm d, yyyy")</f>
        <v/>
      </c>
      <c r="D74" s="11">
        <f>TEXT((46196)+(19+4+GmtOffset)/24,"h:mm")</f>
        <v/>
      </c>
      <c r="E74" s="12" t="inlineStr">
        <is>
          <t>Panama</t>
        </is>
      </c>
      <c r="F74" s="7" t="n"/>
      <c r="G74" s="7" t="n"/>
      <c r="H74" s="13" t="inlineStr">
        <is>
          <t>Croatia</t>
        </is>
      </c>
      <c r="I74" s="11" t="inlineStr">
        <is>
          <t>L</t>
        </is>
      </c>
      <c r="J74" s="3" t="n"/>
      <c r="K74" s="13">
        <f>INDEX(BD72:BD75,MATCH(2,BL72:BL75,0))</f>
        <v/>
      </c>
      <c r="L74" s="11">
        <f>INDEX(BE72:BE75,MATCH(2,BL72:BL75,0))</f>
        <v/>
      </c>
      <c r="M74" s="11">
        <f>INDEX(BF72:BF75,MATCH(2,BL72:BL75,0))</f>
        <v/>
      </c>
      <c r="N74" s="11">
        <f>INDEX(BG72:BG75,MATCH(2,BL72:BL75,0))</f>
        <v/>
      </c>
      <c r="O74" s="11">
        <f>INDEX(BH72:BH75,MATCH(2,BL72:BL75,0))</f>
        <v/>
      </c>
      <c r="P74" s="11">
        <f>INDEX(BI72:BI75,MATCH(2,BL72:BL75,0))&amp;" - "&amp;INDEX(BJ72:BJ75,MATCH(2,BL72:BL75,0))</f>
        <v/>
      </c>
      <c r="Q74" s="14">
        <f>INDEX(BK72:BK75,MATCH(2,BL72:BL75,0))</f>
        <v/>
      </c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BD74" t="inlineStr">
        <is>
          <t>Ghana</t>
        </is>
      </c>
      <c r="BE74">
        <f t="array" ref="BE74">SUMPRODUCT((((E71:E76=BD74)+(H71:H76=BD74))&gt;0)*ISNUMBER(F71:F76)*ISNUMBER(G71:G76))</f>
        <v/>
      </c>
      <c r="BF74">
        <f t="array" ref="BF74">SUMPRODUCT((E71:E76=BD74)*ISNUMBER(F71:F76)*ISNUMBER(G71:G76)*(F71:F76&gt;G71:G76))+SUMPRODUCT((H71:H76=BD74)*ISNUMBER(F71:F76)*ISNUMBER(G71:G76)*(G71:G76&gt;F71:F76))</f>
        <v/>
      </c>
      <c r="BG74">
        <f t="array" ref="BG74">SUMPRODUCT((((E71:E76=BD74)+(H71:H76=BD74))&gt;0)*ISNUMBER(F71:F76)*ISNUMBER(G71:G76)*(F71:F76=G71:G76))</f>
        <v/>
      </c>
      <c r="BH74">
        <f>BE74-BF74-BG74</f>
        <v/>
      </c>
      <c r="BI74">
        <f t="array" ref="BI74">SUMPRODUCT((E71:E76=BD74)*IFERROR(F71:F76,0))+SUMPRODUCT((H71:H76=BD74)*IFERROR(G71:G76,0))</f>
        <v/>
      </c>
      <c r="BJ74">
        <f t="array" ref="BJ74">SUMPRODUCT((E71:E76=BD74)*IFERROR(G71:G76,0))+SUMPRODUCT((H71:H76=BD74)*IFERROR(F71:F76,0))</f>
        <v/>
      </c>
      <c r="BK74">
        <f>BF74*3+BG74</f>
        <v/>
      </c>
      <c r="BL74">
        <f>1+SUMPRODUCT(((BK$72:BK$75&gt;BK74)+(BK$72:BK$75=BK74)*(BM$72:BM$75&gt;BM74)+(BK$72:BK$75=BK74)*(BM$72:BM$75=BM74)*(BN$72:BN$75&gt;BN74)+(BK$72:BK$75=BK74)*(BM$72:BM$75=BM74)*(BN$72:BN$75=BN74)*(BO$72:BO$75&gt;BO74)+(BK$72:BK$75=BK74)*(BM$72:BM$75=BM74)*(BN$72:BN$75=BN74)*(BO$72:BO$75=BO74)*((BI$72:BI$75-BJ$72:BJ$75)&gt;(BI74-BJ74))+(BK$72:BK$75=BK74)*(BM$72:BM$75=BM74)*(BN$72:BN$75=BN74)*(BO$72:BO$75=BO74)*((BI$72:BI$75-BJ$72:BJ$75)=(BI74-BJ74))*(BI$72:BI$75&gt;BI74)+(BK$72:BK$75=BK74)*(BM$72:BM$75=BM74)*(BN$72:BN$75=BN74)*(BO$72:BO$75=BO74)*((BI$72:BI$75-BJ$72:BJ$75)=(BI74-BJ74))*(BI$72:BI$75=BI74)*(ROW(BK$72:BK$75)&lt;ROW(BK74)))*1)</f>
        <v/>
      </c>
      <c r="BM74">
        <f t="array" ref="BM74">SUMPRODUCT((E$71:E$76=BD74)*ISNUMBER(F$71:F$76)*ISNUMBER(G$71:G$76)*COUNTIFS(BD$72:BD$75,H$71:H$76,BK$72:BK$75,BK74)*((F$71:F$76&gt;G$71:G$76)*3+(F$71:F$76=G$71:G$76)))+SUMPRODUCT((H$71:H$76=BD74)*ISNUMBER(F$71:F$76)*ISNUMBER(G$71:G$76)*COUNTIFS(BD$72:BD$75,E$71:E$76,BK$72:BK$75,BK74)*((G$71:G$76&gt;F$71:F$76)*3+(F$71:F$76=G$71:G$76)))</f>
        <v/>
      </c>
      <c r="BN74">
        <f t="array" ref="BN74">SUMPRODUCT((E$71:E$76=BD74)*ISNUMBER(F$71:F$76)*ISNUMBER(G$71:G$76)*COUNTIFS(BD$72:BD$75,H$71:H$76,BK$72:BK$75,BK74)*(F$71:F$76-G$71:G$76))+SUMPRODUCT((H$71:H$76=BD74)*ISNUMBER(F$71:F$76)*ISNUMBER(G$71:G$76)*COUNTIFS(BD$72:BD$75,E$71:E$76,BK$72:BK$75,BK74)*(G$71:G$76-F$71:F$76))</f>
        <v/>
      </c>
      <c r="BO74">
        <f t="array" ref="BO74">SUMPRODUCT((E$71:E$76=BD74)*ISNUMBER(F$71:F$76)*ISNUMBER(G$71:G$76)*COUNTIFS(BD$72:BD$75,H$71:H$76,BK$72:BK$75,BK74)*F$71:F$76)+SUMPRODUCT((H$71:H$76=BD74)*ISNUMBER(F$71:F$76)*ISNUMBER(G$71:G$76)*COUNTIFS(BD$72:BD$75,E$71:E$76,BK$72:BK$75,BK74)*G$71:G$76)</f>
        <v/>
      </c>
    </row>
    <row r="75" ht="12.75" customHeight="1">
      <c r="A75" s="11" t="n">
        <v>71</v>
      </c>
      <c r="B75" s="11">
        <f>TEXT((46200)+(17+4+GmtOffset)/24,"ddd")</f>
        <v/>
      </c>
      <c r="C75" s="11">
        <f>TEXT((46200)+(17+4+GmtOffset)/24,"mmm d, yyyy")</f>
        <v/>
      </c>
      <c r="D75" s="11">
        <f>TEXT((46200)+(17+4+GmtOffset)/24,"h:mm")</f>
        <v/>
      </c>
      <c r="E75" s="12" t="inlineStr">
        <is>
          <t>Panama</t>
        </is>
      </c>
      <c r="F75" s="7" t="n"/>
      <c r="G75" s="7" t="n"/>
      <c r="H75" s="13" t="inlineStr">
        <is>
          <t>England</t>
        </is>
      </c>
      <c r="I75" s="11" t="inlineStr">
        <is>
          <t>L</t>
        </is>
      </c>
      <c r="J75" s="3" t="n"/>
      <c r="K75" s="13">
        <f>INDEX(BD72:BD75,MATCH(3,BL72:BL75,0))</f>
        <v/>
      </c>
      <c r="L75" s="11">
        <f>INDEX(BE72:BE75,MATCH(3,BL72:BL75,0))</f>
        <v/>
      </c>
      <c r="M75" s="11">
        <f>INDEX(BF72:BF75,MATCH(3,BL72:BL75,0))</f>
        <v/>
      </c>
      <c r="N75" s="11">
        <f>INDEX(BG72:BG75,MATCH(3,BL72:BL75,0))</f>
        <v/>
      </c>
      <c r="O75" s="11">
        <f>INDEX(BH72:BH75,MATCH(3,BL72:BL75,0))</f>
        <v/>
      </c>
      <c r="P75" s="11">
        <f>INDEX(BI72:BI75,MATCH(3,BL72:BL75,0))&amp;" - "&amp;INDEX(BJ72:BJ75,MATCH(3,BL72:BL75,0))</f>
        <v/>
      </c>
      <c r="Q75" s="14">
        <f>INDEX(BK72:BK75,MATCH(3,BL72:BL75,0))</f>
        <v/>
      </c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BD75" t="inlineStr">
        <is>
          <t>Panama</t>
        </is>
      </c>
      <c r="BE75">
        <f t="array" ref="BE75">SUMPRODUCT((((E71:E76=BD75)+(H71:H76=BD75))&gt;0)*ISNUMBER(F71:F76)*ISNUMBER(G71:G76))</f>
        <v/>
      </c>
      <c r="BF75">
        <f t="array" ref="BF75">SUMPRODUCT((E71:E76=BD75)*ISNUMBER(F71:F76)*ISNUMBER(G71:G76)*(F71:F76&gt;G71:G76))+SUMPRODUCT((H71:H76=BD75)*ISNUMBER(F71:F76)*ISNUMBER(G71:G76)*(G71:G76&gt;F71:F76))</f>
        <v/>
      </c>
      <c r="BG75">
        <f t="array" ref="BG75">SUMPRODUCT((((E71:E76=BD75)+(H71:H76=BD75))&gt;0)*ISNUMBER(F71:F76)*ISNUMBER(G71:G76)*(F71:F76=G71:G76))</f>
        <v/>
      </c>
      <c r="BH75">
        <f>BE75-BF75-BG75</f>
        <v/>
      </c>
      <c r="BI75">
        <f t="array" ref="BI75">SUMPRODUCT((E71:E76=BD75)*IFERROR(F71:F76,0))+SUMPRODUCT((H71:H76=BD75)*IFERROR(G71:G76,0))</f>
        <v/>
      </c>
      <c r="BJ75">
        <f t="array" ref="BJ75">SUMPRODUCT((E71:E76=BD75)*IFERROR(G71:G76,0))+SUMPRODUCT((H71:H76=BD75)*IFERROR(F71:F76,0))</f>
        <v/>
      </c>
      <c r="BK75">
        <f>BF75*3+BG75</f>
        <v/>
      </c>
      <c r="BL75">
        <f>1+SUMPRODUCT(((BK$72:BK$75&gt;BK75)+(BK$72:BK$75=BK75)*(BM$72:BM$75&gt;BM75)+(BK$72:BK$75=BK75)*(BM$72:BM$75=BM75)*(BN$72:BN$75&gt;BN75)+(BK$72:BK$75=BK75)*(BM$72:BM$75=BM75)*(BN$72:BN$75=BN75)*(BO$72:BO$75&gt;BO75)+(BK$72:BK$75=BK75)*(BM$72:BM$75=BM75)*(BN$72:BN$75=BN75)*(BO$72:BO$75=BO75)*((BI$72:BI$75-BJ$72:BJ$75)&gt;(BI75-BJ75))+(BK$72:BK$75=BK75)*(BM$72:BM$75=BM75)*(BN$72:BN$75=BN75)*(BO$72:BO$75=BO75)*((BI$72:BI$75-BJ$72:BJ$75)=(BI75-BJ75))*(BI$72:BI$75&gt;BI75)+(BK$72:BK$75=BK75)*(BM$72:BM$75=BM75)*(BN$72:BN$75=BN75)*(BO$72:BO$75=BO75)*((BI$72:BI$75-BJ$72:BJ$75)=(BI75-BJ75))*(BI$72:BI$75=BI75)*(ROW(BK$72:BK$75)&lt;ROW(BK75)))*1)</f>
        <v/>
      </c>
      <c r="BM75">
        <f t="array" ref="BM75">SUMPRODUCT((E$71:E$76=BD75)*ISNUMBER(F$71:F$76)*ISNUMBER(G$71:G$76)*COUNTIFS(BD$72:BD$75,H$71:H$76,BK$72:BK$75,BK75)*((F$71:F$76&gt;G$71:G$76)*3+(F$71:F$76=G$71:G$76)))+SUMPRODUCT((H$71:H$76=BD75)*ISNUMBER(F$71:F$76)*ISNUMBER(G$71:G$76)*COUNTIFS(BD$72:BD$75,E$71:E$76,BK$72:BK$75,BK75)*((G$71:G$76&gt;F$71:F$76)*3+(F$71:F$76=G$71:G$76)))</f>
        <v/>
      </c>
      <c r="BN75">
        <f t="array" ref="BN75">SUMPRODUCT((E$71:E$76=BD75)*ISNUMBER(F$71:F$76)*ISNUMBER(G$71:G$76)*COUNTIFS(BD$72:BD$75,H$71:H$76,BK$72:BK$75,BK75)*(F$71:F$76-G$71:G$76))+SUMPRODUCT((H$71:H$76=BD75)*ISNUMBER(F$71:F$76)*ISNUMBER(G$71:G$76)*COUNTIFS(BD$72:BD$75,E$71:E$76,BK$72:BK$75,BK75)*(G$71:G$76-F$71:F$76))</f>
        <v/>
      </c>
      <c r="BO75">
        <f t="array" ref="BO75">SUMPRODUCT((E$71:E$76=BD75)*ISNUMBER(F$71:F$76)*ISNUMBER(G$71:G$76)*COUNTIFS(BD$72:BD$75,H$71:H$76,BK$72:BK$75,BK75)*F$71:F$76)+SUMPRODUCT((H$71:H$76=BD75)*ISNUMBER(F$71:F$76)*ISNUMBER(G$71:G$76)*COUNTIFS(BD$72:BD$75,E$71:E$76,BK$72:BK$75,BK75)*G$71:G$76)</f>
        <v/>
      </c>
    </row>
    <row r="76" ht="12.75" customHeight="1">
      <c r="A76" s="18" t="n">
        <v>72</v>
      </c>
      <c r="B76" s="18">
        <f>TEXT((46200)+(17+4+GmtOffset)/24,"ddd")</f>
        <v/>
      </c>
      <c r="C76" s="18">
        <f>TEXT((46200)+(17+4+GmtOffset)/24,"mmm d, yyyy")</f>
        <v/>
      </c>
      <c r="D76" s="18">
        <f>TEXT((46200)+(17+4+GmtOffset)/24,"h:mm")</f>
        <v/>
      </c>
      <c r="E76" s="22" t="inlineStr">
        <is>
          <t>Croatia</t>
        </is>
      </c>
      <c r="F76" s="7" t="n"/>
      <c r="G76" s="7" t="n"/>
      <c r="H76" s="17" t="inlineStr">
        <is>
          <t>Ghana</t>
        </is>
      </c>
      <c r="I76" s="18" t="inlineStr">
        <is>
          <t>L</t>
        </is>
      </c>
      <c r="J76" s="3" t="n"/>
      <c r="K76" s="17">
        <f>INDEX(BD72:BD75,MATCH(4,BL72:BL75,0))</f>
        <v/>
      </c>
      <c r="L76" s="18">
        <f>INDEX(BE72:BE75,MATCH(4,BL72:BL75,0))</f>
        <v/>
      </c>
      <c r="M76" s="18">
        <f>INDEX(BF72:BF75,MATCH(4,BL72:BL75,0))</f>
        <v/>
      </c>
      <c r="N76" s="18">
        <f>INDEX(BG72:BG75,MATCH(4,BL72:BL75,0))</f>
        <v/>
      </c>
      <c r="O76" s="18">
        <f>INDEX(BH72:BH75,MATCH(4,BL72:BL75,0))</f>
        <v/>
      </c>
      <c r="P76" s="18">
        <f>INDEX(BI72:BI75,MATCH(4,BL72:BL75,0))&amp;" - "&amp;INDEX(BJ72:BJ75,MATCH(4,BL72:BL75,0))</f>
        <v/>
      </c>
      <c r="Q76" s="19">
        <f>INDEX(BK72:BK75,MATCH(4,BL72:BL75,0))</f>
        <v/>
      </c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</row>
    <row r="77" ht="12.75" customHeight="1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</row>
    <row r="78" ht="12.75" customHeight="1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</row>
    <row r="79" ht="12.75" customHeight="1">
      <c r="A79" s="2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</row>
    <row r="80" ht="12.75" customHeight="1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BM80" s="24" t="inlineStr">
        <is>
          <t>H2H Pts</t>
        </is>
      </c>
      <c r="BN80" s="24" t="inlineStr">
        <is>
          <t>H2H GD</t>
        </is>
      </c>
      <c r="BO80" s="24" t="inlineStr">
        <is>
          <t>H2H GF</t>
        </is>
      </c>
    </row>
    <row r="81" ht="12.75" customHeight="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inlineStr">
        <is>
          <t>A</t>
        </is>
      </c>
      <c r="AO81">
        <f>IFERROR(INDEX(BD6:BD9,MATCH(1,BL6:BL9,0)),"")</f>
        <v/>
      </c>
      <c r="AP81">
        <f>IFERROR(INDEX(BD6:BD9,MATCH(2,BL6:BL9,0)),"")</f>
        <v/>
      </c>
      <c r="AQ81">
        <f>IFERROR(INDEX(BD6:BD9,MATCH(3,BL6:BL9,0)),"")</f>
        <v/>
      </c>
      <c r="AR81">
        <f>IFERROR(INDEX(BK6:BK9,MATCH(3,BL6:BL9,0)),0)</f>
        <v/>
      </c>
      <c r="AS81">
        <f>IFERROR(INDEX(BI6:BI9,MATCH(3,BL6:BL9,0))-INDEX(BJ6:BJ9,MATCH(3,BL6:BL9,0)),0)</f>
        <v/>
      </c>
      <c r="AT81">
        <f t="array" ref="AT81">SUMPRODUCT((($AR$81:$AR$92*1000000000000+($AS$81:$AS$92+20)*100000000+$BU$81:$BU$92*10000-ROW($AR$81:$AR$92))&gt;(AR81*1000000000000+(AS81+20)*100000000+BU81*10000-ROW(AR81)))*1)+1</f>
        <v/>
      </c>
      <c r="AV81">
        <f>IFERROR(INDEX($AQ$81:$AQ$92,MATCH(1,$AT$81:$AT$92,0)),"")</f>
        <v/>
      </c>
      <c r="AW81">
        <f>IFERROR(INDEX($AN$81:$AN$92,MATCH(1,$AT$81:$AT$92,0)),"")</f>
        <v/>
      </c>
      <c r="AX81">
        <f>IF(COUNTIF($AW$81:$AW$88,"A")&gt;0,"A","")&amp;IF(COUNTIF($AW$81:$AW$88,"B")&gt;0,"B","")&amp;IF(COUNTIF($AW$81:$AW$88,"C")&gt;0,"C","")&amp;IF(COUNTIF($AW$81:$AW$88,"D")&gt;0,"D","")&amp;IF(COUNTIF($AW$81:$AW$88,"E")&gt;0,"E","")&amp;IF(COUNTIF($AW$81:$AW$88,"F")&gt;0,"F","")&amp;IF(COUNTIF($AW$81:$AW$88,"G")&gt;0,"G","")&amp;IF(COUNTIF($AW$81:$AW$88,"H")&gt;0,"H","")&amp;IF(COUNTIF($AW$81:$AW$88,"I")&gt;0,"I","")&amp;IF(COUNTIF($AW$81:$AW$88,"J")&gt;0,"J","")&amp;IF(COUNTIF($AW$81:$AW$88,"K")&gt;0,"K","")&amp;IF(COUNTIF($AW$81:$AW$88,"L")&gt;0,"L","")</f>
        <v/>
      </c>
      <c r="BM81">
        <f>IFERROR(INDEX('Annex C (generated)'!$D$2:$D$496,MATCH($AX$81,'Annex C (generated)'!$B$2:$B$496,0)),"")</f>
        <v/>
      </c>
      <c r="BN81">
        <f>IFERROR(INDEX('Annex C (generated)'!$E$2:$E$496,MATCH($AX$81,'Annex C (generated)'!$B$2:$B$496,0)),"")</f>
        <v/>
      </c>
      <c r="BO81">
        <f>IFERROR(INDEX('Annex C (generated)'!$F$2:$F$496,MATCH($AX$81,'Annex C (generated)'!$B$2:$B$496,0)),"")</f>
        <v/>
      </c>
      <c r="BP81">
        <f>IFERROR(INDEX('Annex C (generated)'!$G$2:$G$496,MATCH($AX$81,'Annex C (generated)'!$B$2:$B$496,0)),"")</f>
        <v/>
      </c>
      <c r="BQ81">
        <f>IFERROR(INDEX('Annex C (generated)'!$H$2:$H$496,MATCH($AX$81,'Annex C (generated)'!$B$2:$B$496,0)),"")</f>
        <v/>
      </c>
      <c r="BR81">
        <f>IFERROR(INDEX('Annex C (generated)'!$I$2:$I$496,MATCH($AX$81,'Annex C (generated)'!$B$2:$B$496,0)),"")</f>
        <v/>
      </c>
      <c r="BS81">
        <f>IFERROR(INDEX('Annex C (generated)'!$J$2:$J$496,MATCH($AX$81,'Annex C (generated)'!$B$2:$B$496,0)),"")</f>
        <v/>
      </c>
      <c r="BT81">
        <f>IFERROR(INDEX('Annex C (generated)'!$K$2:$K$496,MATCH($AX$81,'Annex C (generated)'!$B$2:$B$496,0)),"")</f>
        <v/>
      </c>
      <c r="BU81">
        <f>IFERROR(INDEX(BI6:BI9,MATCH(3,BL6:BL9,0)),0)</f>
        <v/>
      </c>
    </row>
    <row r="82" ht="12.75" customHeight="1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inlineStr">
        <is>
          <t>B</t>
        </is>
      </c>
      <c r="AO82">
        <f>IFERROR(INDEX(BD12:BD15,MATCH(1,BL12:BL15,0)),"")</f>
        <v/>
      </c>
      <c r="AP82">
        <f>IFERROR(INDEX(BD12:BD15,MATCH(2,BL12:BL15,0)),"")</f>
        <v/>
      </c>
      <c r="AQ82">
        <f>IFERROR(INDEX(BD12:BD15,MATCH(3,BL12:BL15,0)),"")</f>
        <v/>
      </c>
      <c r="AR82">
        <f>IFERROR(INDEX(BK12:BK15,MATCH(3,BL12:BL15,0)),0)</f>
        <v/>
      </c>
      <c r="AS82">
        <f>IFERROR(INDEX(BI12:BI15,MATCH(3,BL12:BL15,0))-INDEX(BJ12:BJ15,MATCH(3,BL12:BL15,0)),0)</f>
        <v/>
      </c>
      <c r="AT82">
        <f t="array" ref="AT82">SUMPRODUCT((($AR$81:$AR$92*1000000000000+($AS$81:$AS$92+20)*100000000+$BU$81:$BU$92*10000-ROW($AR$81:$AR$92))&gt;(AR82*1000000000000+(AS82+20)*100000000+BU82*10000-ROW(AR82)))*1)+1</f>
        <v/>
      </c>
      <c r="AV82">
        <f>IFERROR(INDEX($AQ$81:$AQ$92,MATCH(2,$AT$81:$AT$92,0)),"")</f>
        <v/>
      </c>
      <c r="AW82">
        <f>IFERROR(INDEX($AN$81:$AN$92,MATCH(2,$AT$81:$AT$92,0)),"")</f>
        <v/>
      </c>
      <c r="BU82">
        <f>IFERROR(INDEX(BI12:BI15,MATCH(3,BL12:BL15,0)),0)</f>
        <v/>
      </c>
    </row>
    <row r="83" ht="12.75" customHeight="1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inlineStr">
        <is>
          <t>C</t>
        </is>
      </c>
      <c r="AO83">
        <f>IFERROR(INDEX(BD18:BD21,MATCH(1,BL18:BL21,0)),"")</f>
        <v/>
      </c>
      <c r="AP83">
        <f>IFERROR(INDEX(BD18:BD21,MATCH(2,BL18:BL21,0)),"")</f>
        <v/>
      </c>
      <c r="AQ83">
        <f>IFERROR(INDEX(BD18:BD21,MATCH(3,BL18:BL21,0)),"")</f>
        <v/>
      </c>
      <c r="AR83">
        <f>IFERROR(INDEX(BK18:BK21,MATCH(3,BL18:BL21,0)),0)</f>
        <v/>
      </c>
      <c r="AS83">
        <f>IFERROR(INDEX(BI18:BI21,MATCH(3,BL18:BL21,0))-INDEX(BJ18:BJ21,MATCH(3,BL18:BL21,0)),0)</f>
        <v/>
      </c>
      <c r="AT83">
        <f t="array" ref="AT83">SUMPRODUCT((($AR$81:$AR$92*1000000000000+($AS$81:$AS$92+20)*100000000+$BU$81:$BU$92*10000-ROW($AR$81:$AR$92))&gt;(AR83*1000000000000+(AS83+20)*100000000+BU83*10000-ROW(AR83)))*1)+1</f>
        <v/>
      </c>
      <c r="AV83">
        <f>IFERROR(INDEX($AQ$81:$AQ$92,MATCH(3,$AT$81:$AT$92,0)),"")</f>
        <v/>
      </c>
      <c r="AW83">
        <f>IFERROR(INDEX($AN$81:$AN$92,MATCH(3,$AT$81:$AT$92,0)),"")</f>
        <v/>
      </c>
      <c r="BU83">
        <f>IFERROR(INDEX(BI18:BI21,MATCH(3,BL18:BL21,0)),0)</f>
        <v/>
      </c>
    </row>
    <row r="84" ht="12.75" customHeight="1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inlineStr">
        <is>
          <t>D</t>
        </is>
      </c>
      <c r="AO84">
        <f>IFERROR(INDEX(BD24:BD27,MATCH(1,BL24:BL27,0)),"")</f>
        <v/>
      </c>
      <c r="AP84">
        <f>IFERROR(INDEX(BD24:BD27,MATCH(2,BL24:BL27,0)),"")</f>
        <v/>
      </c>
      <c r="AQ84">
        <f>IFERROR(INDEX(BD24:BD27,MATCH(3,BL24:BL27,0)),"")</f>
        <v/>
      </c>
      <c r="AR84">
        <f>IFERROR(INDEX(BK24:BK27,MATCH(3,BL24:BL27,0)),0)</f>
        <v/>
      </c>
      <c r="AS84">
        <f>IFERROR(INDEX(BI24:BI27,MATCH(3,BL24:BL27,0))-INDEX(BJ24:BJ27,MATCH(3,BL24:BL27,0)),0)</f>
        <v/>
      </c>
      <c r="AT84">
        <f t="array" ref="AT84">SUMPRODUCT((($AR$81:$AR$92*1000000000000+($AS$81:$AS$92+20)*100000000+$BU$81:$BU$92*10000-ROW($AR$81:$AR$92))&gt;(AR84*1000000000000+(AS84+20)*100000000+BU84*10000-ROW(AR84)))*1)+1</f>
        <v/>
      </c>
      <c r="AV84">
        <f>IFERROR(INDEX($AQ$81:$AQ$92,MATCH(4,$AT$81:$AT$92,0)),"")</f>
        <v/>
      </c>
      <c r="AW84">
        <f>IFERROR(INDEX($AN$81:$AN$92,MATCH(4,$AT$81:$AT$92,0)),"")</f>
        <v/>
      </c>
      <c r="BU84">
        <f>IFERROR(INDEX(BI24:BI27,MATCH(3,BL24:BL27,0)),0)</f>
        <v/>
      </c>
    </row>
    <row r="85" ht="12.75" customHeight="1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inlineStr">
        <is>
          <t>E</t>
        </is>
      </c>
      <c r="AO85">
        <f>IFERROR(INDEX(BD30:BD33,MATCH(1,BL30:BL33,0)),"")</f>
        <v/>
      </c>
      <c r="AP85">
        <f>IFERROR(INDEX(BD30:BD33,MATCH(2,BL30:BL33,0)),"")</f>
        <v/>
      </c>
      <c r="AQ85">
        <f>IFERROR(INDEX(BD30:BD33,MATCH(3,BL30:BL33,0)),"")</f>
        <v/>
      </c>
      <c r="AR85">
        <f>IFERROR(INDEX(BK30:BK33,MATCH(3,BL30:BL33,0)),0)</f>
        <v/>
      </c>
      <c r="AS85">
        <f>IFERROR(INDEX(BI30:BI33,MATCH(3,BL30:BL33,0))-INDEX(BJ30:BJ33,MATCH(3,BL30:BL33,0)),0)</f>
        <v/>
      </c>
      <c r="AT85">
        <f t="array" ref="AT85">SUMPRODUCT((($AR$81:$AR$92*1000000000000+($AS$81:$AS$92+20)*100000000+$BU$81:$BU$92*10000-ROW($AR$81:$AR$92))&gt;(AR85*1000000000000+(AS85+20)*100000000+BU85*10000-ROW(AR85)))*1)+1</f>
        <v/>
      </c>
      <c r="AV85">
        <f>IFERROR(INDEX($AQ$81:$AQ$92,MATCH(5,$AT$81:$AT$92,0)),"")</f>
        <v/>
      </c>
      <c r="AW85">
        <f>IFERROR(INDEX($AN$81:$AN$92,MATCH(5,$AT$81:$AT$92,0)),"")</f>
        <v/>
      </c>
      <c r="BU85">
        <f>IFERROR(INDEX(BI30:BI33,MATCH(3,BL30:BL33,0)),0)</f>
        <v/>
      </c>
    </row>
    <row r="86" ht="12.75" customHeight="1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inlineStr">
        <is>
          <t>F</t>
        </is>
      </c>
      <c r="AO86">
        <f>IFERROR(INDEX(BD36:BD39,MATCH(1,BL36:BL39,0)),"")</f>
        <v/>
      </c>
      <c r="AP86">
        <f>IFERROR(INDEX(BD36:BD39,MATCH(2,BL36:BL39,0)),"")</f>
        <v/>
      </c>
      <c r="AQ86">
        <f>IFERROR(INDEX(BD36:BD39,MATCH(3,BL36:BL39,0)),"")</f>
        <v/>
      </c>
      <c r="AR86">
        <f>IFERROR(INDEX(BK36:BK39,MATCH(3,BL36:BL39,0)),0)</f>
        <v/>
      </c>
      <c r="AS86">
        <f>IFERROR(INDEX(BI36:BI39,MATCH(3,BL36:BL39,0))-INDEX(BJ36:BJ39,MATCH(3,BL36:BL39,0)),0)</f>
        <v/>
      </c>
      <c r="AT86">
        <f t="array" ref="AT86">SUMPRODUCT((($AR$81:$AR$92*1000000000000+($AS$81:$AS$92+20)*100000000+$BU$81:$BU$92*10000-ROW($AR$81:$AR$92))&gt;(AR86*1000000000000+(AS86+20)*100000000+BU86*10000-ROW(AR86)))*1)+1</f>
        <v/>
      </c>
      <c r="AV86">
        <f>IFERROR(INDEX($AQ$81:$AQ$92,MATCH(6,$AT$81:$AT$92,0)),"")</f>
        <v/>
      </c>
      <c r="AW86">
        <f>IFERROR(INDEX($AN$81:$AN$92,MATCH(6,$AT$81:$AT$92,0)),"")</f>
        <v/>
      </c>
      <c r="BU86">
        <f>IFERROR(INDEX(BI36:BI39,MATCH(3,BL36:BL39,0)),0)</f>
        <v/>
      </c>
    </row>
    <row r="87" ht="12.75" customHeight="1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inlineStr">
        <is>
          <t>G</t>
        </is>
      </c>
      <c r="AO87">
        <f>IFERROR(INDEX(BD42:BD45,MATCH(1,BL42:BL45,0)),"")</f>
        <v/>
      </c>
      <c r="AP87">
        <f>IFERROR(INDEX(BD42:BD45,MATCH(2,BL42:BL45,0)),"")</f>
        <v/>
      </c>
      <c r="AQ87">
        <f>IFERROR(INDEX(BD42:BD45,MATCH(3,BL42:BL45,0)),"")</f>
        <v/>
      </c>
      <c r="AR87">
        <f>IFERROR(INDEX(BK42:BK45,MATCH(3,BL42:BL45,0)),0)</f>
        <v/>
      </c>
      <c r="AS87">
        <f>IFERROR(INDEX(BI42:BI45,MATCH(3,BL42:BL45,0))-INDEX(BJ42:BJ45,MATCH(3,BL42:BL45,0)),0)</f>
        <v/>
      </c>
      <c r="AT87">
        <f t="array" ref="AT87">SUMPRODUCT((($AR$81:$AR$92*1000000000000+($AS$81:$AS$92+20)*100000000+$BU$81:$BU$92*10000-ROW($AR$81:$AR$92))&gt;(AR87*1000000000000+(AS87+20)*100000000+BU87*10000-ROW(AR87)))*1)+1</f>
        <v/>
      </c>
      <c r="AV87">
        <f>IFERROR(INDEX($AQ$81:$AQ$92,MATCH(7,$AT$81:$AT$92,0)),"")</f>
        <v/>
      </c>
      <c r="AW87">
        <f>IFERROR(INDEX($AN$81:$AN$92,MATCH(7,$AT$81:$AT$92,0)),"")</f>
        <v/>
      </c>
      <c r="BU87">
        <f>IFERROR(INDEX(BI42:BI45,MATCH(3,BL42:BL45,0)),0)</f>
        <v/>
      </c>
    </row>
    <row r="88" ht="12.75" customHeight="1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inlineStr">
        <is>
          <t>H</t>
        </is>
      </c>
      <c r="AO88">
        <f>IFERROR(INDEX(BD48:BD51,MATCH(1,BL48:BL51,0)),"")</f>
        <v/>
      </c>
      <c r="AP88">
        <f>IFERROR(INDEX(BD48:BD51,MATCH(2,BL48:BL51,0)),"")</f>
        <v/>
      </c>
      <c r="AQ88">
        <f>IFERROR(INDEX(BD48:BD51,MATCH(3,BL48:BL51,0)),"")</f>
        <v/>
      </c>
      <c r="AR88">
        <f>IFERROR(INDEX(BK48:BK51,MATCH(3,BL48:BL51,0)),0)</f>
        <v/>
      </c>
      <c r="AS88">
        <f>IFERROR(INDEX(BI48:BI51,MATCH(3,BL48:BL51,0))-INDEX(BJ48:BJ51,MATCH(3,BL48:BL51,0)),0)</f>
        <v/>
      </c>
      <c r="AT88">
        <f t="array" ref="AT88">SUMPRODUCT((($AR$81:$AR$92*1000000000000+($AS$81:$AS$92+20)*100000000+$BU$81:$BU$92*10000-ROW($AR$81:$AR$92))&gt;(AR88*1000000000000+(AS88+20)*100000000+BU88*10000-ROW(AR88)))*1)+1</f>
        <v/>
      </c>
      <c r="AV88">
        <f>IFERROR(INDEX($AQ$81:$AQ$92,MATCH(8,$AT$81:$AT$92,0)),"")</f>
        <v/>
      </c>
      <c r="AW88">
        <f>IFERROR(INDEX($AN$81:$AN$92,MATCH(8,$AT$81:$AT$92,0)),"")</f>
        <v/>
      </c>
      <c r="BU88">
        <f>IFERROR(INDEX(BI48:BI51,MATCH(3,BL48:BL51,0)),0)</f>
        <v/>
      </c>
    </row>
    <row r="89" ht="12.75" customHeight="1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inlineStr">
        <is>
          <t>I</t>
        </is>
      </c>
      <c r="AO89">
        <f>IFERROR(INDEX(BD54:BD57,MATCH(1,BL54:BL57,0)),"")</f>
        <v/>
      </c>
      <c r="AP89">
        <f>IFERROR(INDEX(BD54:BD57,MATCH(2,BL54:BL57,0)),"")</f>
        <v/>
      </c>
      <c r="AQ89">
        <f>IFERROR(INDEX(BD54:BD57,MATCH(3,BL54:BL57,0)),"")</f>
        <v/>
      </c>
      <c r="AR89">
        <f>IFERROR(INDEX(BK54:BK57,MATCH(3,BL54:BL57,0)),0)</f>
        <v/>
      </c>
      <c r="AS89">
        <f>IFERROR(INDEX(BI54:BI57,MATCH(3,BL54:BL57,0))-INDEX(BJ54:BJ57,MATCH(3,BL54:BL57,0)),0)</f>
        <v/>
      </c>
      <c r="AT89">
        <f t="array" ref="AT89">SUMPRODUCT((($AR$81:$AR$92*1000000000000+($AS$81:$AS$92+20)*100000000+$BU$81:$BU$92*10000-ROW($AR$81:$AR$92))&gt;(AR89*1000000000000+(AS89+20)*100000000+BU89*10000-ROW(AR89)))*1)+1</f>
        <v/>
      </c>
      <c r="BU89">
        <f>IFERROR(INDEX(BI54:BI57,MATCH(3,BL54:BL57,0)),0)</f>
        <v/>
      </c>
    </row>
    <row r="90" ht="12.75" customHeight="1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inlineStr">
        <is>
          <t>J</t>
        </is>
      </c>
      <c r="AO90">
        <f>IFERROR(INDEX(BD60:BD63,MATCH(1,BL60:BL63,0)),"")</f>
        <v/>
      </c>
      <c r="AP90">
        <f>IFERROR(INDEX(BD60:BD63,MATCH(2,BL60:BL63,0)),"")</f>
        <v/>
      </c>
      <c r="AQ90">
        <f>IFERROR(INDEX(BD60:BD63,MATCH(3,BL60:BL63,0)),"")</f>
        <v/>
      </c>
      <c r="AR90">
        <f>IFERROR(INDEX(BK60:BK63,MATCH(3,BL60:BL63,0)),0)</f>
        <v/>
      </c>
      <c r="AS90">
        <f>IFERROR(INDEX(BI60:BI63,MATCH(3,BL60:BL63,0))-INDEX(BJ60:BJ63,MATCH(3,BL60:BL63,0)),0)</f>
        <v/>
      </c>
      <c r="AT90">
        <f t="array" ref="AT90">SUMPRODUCT((($AR$81:$AR$92*1000000000000+($AS$81:$AS$92+20)*100000000+$BU$81:$BU$92*10000-ROW($AR$81:$AR$92))&gt;(AR90*1000000000000+(AS90+20)*100000000+BU90*10000-ROW(AR90)))*1)+1</f>
        <v/>
      </c>
      <c r="BU90">
        <f>IFERROR(INDEX(BI60:BI63,MATCH(3,BL60:BL63,0)),0)</f>
        <v/>
      </c>
    </row>
    <row r="91" ht="12.75" customHeight="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inlineStr">
        <is>
          <t>K</t>
        </is>
      </c>
      <c r="AO91">
        <f>IFERROR(INDEX(BD66:BD69,MATCH(1,BL66:BL69,0)),"")</f>
        <v/>
      </c>
      <c r="AP91">
        <f>IFERROR(INDEX(BD66:BD69,MATCH(2,BL66:BL69,0)),"")</f>
        <v/>
      </c>
      <c r="AQ91">
        <f>IFERROR(INDEX(BD66:BD69,MATCH(3,BL66:BL69,0)),"")</f>
        <v/>
      </c>
      <c r="AR91">
        <f>IFERROR(INDEX(BK66:BK69,MATCH(3,BL66:BL69,0)),0)</f>
        <v/>
      </c>
      <c r="AS91">
        <f>IFERROR(INDEX(BI66:BI69,MATCH(3,BL66:BL69,0))-INDEX(BJ66:BJ69,MATCH(3,BL66:BL69,0)),0)</f>
        <v/>
      </c>
      <c r="AT91">
        <f t="array" ref="AT91">SUMPRODUCT((($AR$81:$AR$92*1000000000000+($AS$81:$AS$92+20)*100000000+$BU$81:$BU$92*10000-ROW($AR$81:$AR$92))&gt;(AR91*1000000000000+(AS91+20)*100000000+BU91*10000-ROW(AR91)))*1)+1</f>
        <v/>
      </c>
      <c r="BU91">
        <f>IFERROR(INDEX(BI66:BI69,MATCH(3,BL66:BL69,0)),0)</f>
        <v/>
      </c>
    </row>
    <row r="92" ht="12.75" customHeight="1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inlineStr">
        <is>
          <t>L</t>
        </is>
      </c>
      <c r="AO92">
        <f>IFERROR(INDEX(BD72:BD75,MATCH(1,BL72:BL75,0)),"")</f>
        <v/>
      </c>
      <c r="AP92">
        <f>IFERROR(INDEX(BD72:BD75,MATCH(2,BL72:BL75,0)),"")</f>
        <v/>
      </c>
      <c r="AQ92">
        <f>IFERROR(INDEX(BD72:BD75,MATCH(3,BL72:BL75,0)),"")</f>
        <v/>
      </c>
      <c r="AR92">
        <f>IFERROR(INDEX(BK72:BK75,MATCH(3,BL72:BL75,0)),0)</f>
        <v/>
      </c>
      <c r="AS92">
        <f>IFERROR(INDEX(BI72:BI75,MATCH(3,BL72:BL75,0))-INDEX(BJ72:BJ75,MATCH(3,BL72:BL75,0)),0)</f>
        <v/>
      </c>
      <c r="AT92">
        <f t="array" ref="AT92">SUMPRODUCT((($AR$81:$AR$92*1000000000000+($AS$81:$AS$92+20)*100000000+$BU$81:$BU$92*10000-ROW($AR$81:$AR$92))&gt;(AR92*1000000000000+(AS92+20)*100000000+BU92*10000-ROW(AR92)))*1)+1</f>
        <v/>
      </c>
      <c r="BU92">
        <f>IFERROR(INDEX(BI72:BI75,MATCH(3,BL72:BL75,0)),0)</f>
        <v/>
      </c>
    </row>
    <row r="93" ht="12.75" customHeight="1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</row>
    <row r="94" ht="12.75" customHeight="1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</row>
    <row r="95" ht="12.75" customHeight="1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</row>
    <row r="96" ht="12.75" customHeight="1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</row>
    <row r="97" ht="12.75" customHeight="1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</row>
    <row r="98" ht="12.75" customHeight="1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</row>
    <row r="99" ht="12.75" customHeight="1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</row>
    <row r="100" ht="12.75" customHeight="1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</row>
    <row r="101" ht="12.75" customHeight="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</row>
    <row r="102" ht="12.75" customHeight="1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</row>
    <row r="103" ht="12.75" customHeight="1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</row>
    <row r="104" ht="12.75" customHeight="1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</row>
    <row r="105" ht="12.75" customHeight="1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</row>
    <row r="106" ht="12.75" customHeight="1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</row>
    <row r="107" ht="12.75" customHeight="1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</row>
    <row r="108" ht="12.75" customHeight="1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</row>
    <row r="109" ht="12.75" customHeight="1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</row>
    <row r="110" ht="12.75" customHeight="1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</row>
    <row r="111" ht="12.75" customHeight="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</row>
    <row r="112" ht="12.75" customHeight="1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</row>
    <row r="113" ht="12.75" customHeight="1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</row>
    <row r="114" ht="12.75" customHeight="1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</row>
    <row r="115" ht="12.75" customHeight="1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</row>
    <row r="116" ht="12.75" customHeight="1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</row>
    <row r="117" ht="12.75" customHeight="1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</row>
    <row r="118" ht="12.75" customHeight="1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</row>
    <row r="119" ht="12.75" customHeight="1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</row>
    <row r="120" ht="12.75" customHeight="1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</row>
    <row r="121" ht="12.75" customHeight="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</row>
    <row r="122" ht="12.75" customHeight="1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</row>
    <row r="123" ht="12.75" customHeight="1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</row>
    <row r="124" ht="12.75" customHeight="1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</row>
    <row r="125" ht="12.75" customHeight="1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</row>
    <row r="126" ht="12.75" customHeight="1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</row>
    <row r="127" ht="12.75" customHeight="1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</row>
    <row r="128" ht="12.75" customHeight="1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</row>
    <row r="129" ht="12.75" customHeight="1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</row>
    <row r="130" ht="12.75" customHeight="1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</row>
    <row r="131" ht="12.75" customHeight="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</row>
    <row r="132" ht="12.75" customHeight="1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</row>
    <row r="133" ht="12.75" customHeight="1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</row>
    <row r="134" ht="12.75" customHeight="1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</row>
    <row r="135" ht="12.75" customHeight="1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</row>
    <row r="136" ht="12.75" customHeight="1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</row>
    <row r="137" ht="12.75" customHeight="1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</row>
    <row r="138" ht="12.75" customHeight="1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</row>
    <row r="139" ht="12.75" customHeight="1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</row>
    <row r="140" ht="12.75" customHeight="1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</row>
    <row r="141" ht="12.75" customHeight="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</row>
    <row r="142" ht="12.75" customHeight="1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</row>
    <row r="143" ht="12.75" customHeight="1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</row>
    <row r="144" ht="12.75" customHeight="1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</row>
    <row r="145" ht="12.75" customHeight="1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</row>
    <row r="146" ht="12.75" customHeight="1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</row>
    <row r="147" ht="12.75" customHeight="1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</row>
    <row r="148" ht="12.75" customHeight="1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</row>
    <row r="149" ht="12.75" customHeight="1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</row>
    <row r="150" ht="12.75" customHeight="1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</row>
    <row r="151" ht="12.75" customHeight="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</row>
    <row r="152" ht="12.75" customHeight="1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</row>
    <row r="153" ht="12.75" customHeight="1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</row>
    <row r="154" ht="12.75" customHeight="1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</row>
    <row r="155" ht="12.75" customHeight="1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</row>
    <row r="156" ht="12.75" customHeight="1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/>
      <c r="AL156" s="3" t="n"/>
      <c r="AM156" s="3" t="n"/>
      <c r="AN156" s="3" t="n"/>
    </row>
    <row r="157" ht="12.75" customHeight="1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</row>
    <row r="158" ht="12.75" customHeight="1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</row>
    <row r="159" ht="12.75" customHeight="1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</row>
    <row r="160" ht="12.75" customHeight="1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</row>
    <row r="161" ht="12.75" customHeight="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</row>
    <row r="162" ht="12.75" customHeight="1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</row>
    <row r="163" ht="12.75" customHeight="1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</row>
    <row r="164" ht="12.75" customHeight="1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</row>
    <row r="165" ht="12.75" customHeight="1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</row>
    <row r="166" ht="12.75" customHeight="1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</row>
    <row r="167" ht="12.75" customHeight="1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</row>
    <row r="168" ht="12.75" customHeight="1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</row>
    <row r="169" ht="12.75" customHeight="1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</row>
    <row r="170" ht="12.75" customHeight="1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</row>
    <row r="171" ht="12.75" customHeight="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</row>
    <row r="172" ht="12.75" customHeight="1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</row>
    <row r="173" ht="12.75" customHeight="1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</row>
    <row r="174" ht="12.75" customHeight="1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</row>
    <row r="175" ht="12.75" customHeight="1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</row>
    <row r="176" ht="12.75" customHeight="1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</row>
    <row r="177" ht="12.75" customHeight="1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</row>
    <row r="178" ht="12.75" customHeight="1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</row>
    <row r="179" ht="12.75" customHeight="1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</row>
    <row r="180" ht="12.75" customHeight="1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</row>
    <row r="181" ht="12.75" customHeight="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</row>
    <row r="182" ht="12.75" customHeight="1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s="3" t="n"/>
      <c r="AN182" s="3" t="n"/>
    </row>
    <row r="183" ht="12.75" customHeight="1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</row>
    <row r="184" ht="12.75" customHeight="1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</row>
    <row r="185" ht="12.75" customHeight="1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</row>
    <row r="186" ht="12.75" customHeight="1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</row>
    <row r="187" ht="12.75" customHeight="1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</row>
    <row r="188" ht="12.75" customHeight="1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</row>
    <row r="189" ht="12.75" customHeight="1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</row>
    <row r="190" ht="12.75" customHeight="1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</row>
    <row r="191" ht="12.75" customHeight="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</row>
    <row r="192" ht="12.75" customHeight="1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</row>
    <row r="193" ht="12.75" customHeight="1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</row>
    <row r="194" ht="12.75" customHeight="1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</row>
    <row r="195" ht="12.75" customHeight="1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</row>
    <row r="196" ht="12.75" customHeight="1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</row>
    <row r="197" ht="12.75" customHeight="1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</row>
    <row r="198" ht="12.75" customHeight="1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</row>
    <row r="199" ht="12.75" customHeight="1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</row>
    <row r="200" ht="12.75" customHeight="1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</row>
    <row r="201" ht="12.75" customHeight="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</row>
  </sheetData>
  <mergeCells count="12">
    <mergeCell ref="K5:Q5"/>
    <mergeCell ref="AI40:AJ40"/>
    <mergeCell ref="W3:Z3"/>
    <mergeCell ref="A2:I2"/>
    <mergeCell ref="S3:V3"/>
    <mergeCell ref="A3:Q4"/>
    <mergeCell ref="AA3:AD3"/>
    <mergeCell ref="AE3:AH3"/>
    <mergeCell ref="AI3:AL3"/>
    <mergeCell ref="AI38:AL38"/>
    <mergeCell ref="A1:AN1"/>
    <mergeCell ref="AI42:AL42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9"/>
  <sheetViews>
    <sheetView zoomScale="150" zoomScaleNormal="97" workbookViewId="0">
      <pane ySplit="3" topLeftCell="A4" activePane="bottomLeft" state="frozen"/>
      <selection pane="bottomLeft" activeCell="B4" sqref="B4"/>
    </sheetView>
  </sheetViews>
  <sheetFormatPr baseColWidth="8" defaultColWidth="11.3984375" defaultRowHeight="13"/>
  <cols>
    <col width="15.3984375" customWidth="1" min="1" max="1"/>
    <col width="46.796875" customWidth="1" min="2" max="2"/>
    <col width="10.59765625" customWidth="1" min="3" max="11"/>
    <col width="15.3984375" customWidth="1" min="12" max="12"/>
    <col width="6.796875" customWidth="1" min="13" max="13"/>
    <col width="12" customWidth="1" min="15" max="15"/>
    <col width="15" customWidth="1" min="16" max="16"/>
    <col width="11" customWidth="1" min="17" max="17"/>
    <col width="18" customWidth="1" min="18" max="18"/>
    <col width="18" customWidth="1" min="20" max="20"/>
  </cols>
  <sheetData>
    <row r="1" ht="18.75" customHeight="1">
      <c r="A1" s="153" t="inlineStr">
        <is>
          <t>FIFA WC 2026 — Toto Leaderboard</t>
        </is>
      </c>
      <c r="N1" s="154" t="inlineStr">
        <is>
          <t>PRIZE POOL</t>
        </is>
      </c>
    </row>
    <row r="3" ht="27.75" customHeight="1">
      <c r="A3" s="25" t="inlineStr">
        <is>
          <t>Rank</t>
        </is>
      </c>
      <c r="B3" s="25" t="inlineStr">
        <is>
          <t>Participant</t>
        </is>
      </c>
      <c r="C3" s="25" t="inlineStr">
        <is>
          <t>Group</t>
        </is>
      </c>
      <c r="D3" s="25" t="inlineStr">
        <is>
          <t>R32</t>
        </is>
      </c>
      <c r="E3" s="25" t="inlineStr">
        <is>
          <t>R16</t>
        </is>
      </c>
      <c r="F3" s="25" t="inlineStr">
        <is>
          <t>QF</t>
        </is>
      </c>
      <c r="G3" s="25" t="inlineStr">
        <is>
          <t>SF</t>
        </is>
      </c>
      <c r="H3" s="25" t="inlineStr">
        <is>
          <t>Final</t>
        </is>
      </c>
      <c r="I3" s="25" t="inlineStr">
        <is>
          <t>3rd</t>
        </is>
      </c>
      <c r="J3" s="25" t="inlineStr">
        <is>
          <t>Champ</t>
        </is>
      </c>
      <c r="K3" s="25" t="inlineStr">
        <is>
          <t>TOTAL</t>
        </is>
      </c>
      <c r="L3" s="25" t="inlineStr">
        <is>
          <t>Prize €</t>
        </is>
      </c>
      <c r="N3" s="25" t="inlineStr">
        <is>
          <t>Place</t>
        </is>
      </c>
      <c r="O3" s="25" t="inlineStr">
        <is>
          <t>%</t>
        </is>
      </c>
      <c r="P3" s="25" t="inlineStr">
        <is>
          <t>€ Pool</t>
        </is>
      </c>
      <c r="Q3" s="25" t="inlineStr">
        <is>
          <t># Tied</t>
        </is>
      </c>
      <c r="R3" s="25" t="inlineStr">
        <is>
          <t>€ / Winner</t>
        </is>
      </c>
    </row>
    <row r="4" ht="12.75" customHeight="1">
      <c r="A4" s="26">
        <f>IF(1&gt;COUNTIF(' Toto teams'!$A$4:$A$119,"&lt;&gt;"),"",INDEX(' Toto teams'!$S$4:$S$119,MATCH(LARGE(' Toto teams'!$T$4:$T$119,1),' Toto teams'!$T$4:$T$119,0)))</f>
        <v/>
      </c>
      <c r="B4" s="27">
        <f>IF(1&gt;COUNTIF(' Toto teams'!$A$4:$A$119,"&lt;&gt;"),"",INDEX(' Toto teams'!$A$4:$A$119,MATCH(LARGE(' Toto teams'!$T$4:$T$119,1),' Toto teams'!$T$4:$T$119,0)))</f>
        <v/>
      </c>
      <c r="C4" s="28">
        <f>IF($B4="","",6*(IFERROR(VLOOKUP(INDEX(' Toto teams'!$B$4:$B$119,MATCH($B4,' Toto teams'!$A$4:$A$119,0)),Scoring!$A$4:$N$51,3,FALSE()),0)+IFERROR(VLOOKUP(INDEX(' Toto teams'!$B$4:$B$119,MATCH($B4,' Toto teams'!$A$4:$A$119,0)),Scoring!$A$4:$N$51,4,FALSE()),0)+IFERROR(VLOOKUP(INDEX(' Toto teams'!$B$4:$B$119,MATCH($B4,' Toto teams'!$A$4:$A$119,0)),Scoring!$A$4:$N$51,5,FALSE()),0))+4*(IFERROR(VLOOKUP(INDEX(' Toto teams'!$C$4:$C$119,MATCH($B4,' Toto teams'!$A$4:$A$119,0)),Scoring!$A$4:$N$51,3,FALSE()),0)+IFERROR(VLOOKUP(INDEX(' Toto teams'!$C$4:$C$119,MATCH($B4,' Toto teams'!$A$4:$A$119,0)),Scoring!$A$4:$N$51,4,FALSE()),0)+IFERROR(VLOOKUP(INDEX(' Toto teams'!$C$4:$C$119,MATCH($B4,' Toto teams'!$A$4:$A$119,0)),Scoring!$A$4:$N$51,5,FALSE()),0))+3*(IFERROR(VLOOKUP(INDEX(' Toto teams'!$D$4:$D$119,MATCH($B4,' Toto teams'!$A$4:$A$119,0)),Scoring!$A$4:$N$51,3,FALSE()),0)+IFERROR(VLOOKUP(INDEX(' Toto teams'!$D$4:$D$119,MATCH($B4,' Toto teams'!$A$4:$A$119,0)),Scoring!$A$4:$N$51,4,FALSE()),0)+IFERROR(VLOOKUP(INDEX(' Toto teams'!$D$4:$D$119,MATCH($B4,' Toto teams'!$A$4:$A$119,0)),Scoring!$A$4:$N$51,5,FALSE()),0))+2*(IFERROR(VLOOKUP(INDEX(' Toto teams'!$E$4:$E$119,MATCH($B4,' Toto teams'!$A$4:$A$119,0)),Scoring!$A$4:$N$51,3,FALSE()),0)+IFERROR(VLOOKUP(INDEX(' Toto teams'!$E$4:$E$119,MATCH($B4,' Toto teams'!$A$4:$A$119,0)),Scoring!$A$4:$N$51,4,FALSE()),0)+IFERROR(VLOOKUP(INDEX(' Toto teams'!$E$4:$E$119,MATCH($B4,' Toto teams'!$A$4:$A$119,0)),Scoring!$A$4:$N$51,5,FALSE()),0))+1*(IFERROR(VLOOKUP(INDEX(' Toto teams'!$F$4:$F$119,MATCH($B4,' Toto teams'!$A$4:$A$119,0)),Scoring!$A$4:$N$51,3,FALSE()),0)+IFERROR(VLOOKUP(INDEX(' Toto teams'!$F$4:$F$119,MATCH($B4,' Toto teams'!$A$4:$A$119,0)),Scoring!$A$4:$N$51,4,FALSE()),0)+IFERROR(VLOOKUP(INDEX(' Toto teams'!$F$4:$F$119,MATCH($B4,' Toto teams'!$A$4:$A$119,0)),Scoring!$A$4:$N$51,5,FALSE()),0))+1*(IFERROR(VLOOKUP(INDEX(' Toto teams'!$G$4:$G$119,MATCH($B4,' Toto teams'!$A$4:$A$119,0)),Scoring!$A$4:$N$51,3,FALSE()),0)+IFERROR(VLOOKUP(INDEX(' Toto teams'!$G$4:$G$119,MATCH($B4,' Toto teams'!$A$4:$A$119,0)),Scoring!$A$4:$N$51,4,FALSE()),0)+IFERROR(VLOOKUP(INDEX(' Toto teams'!$G$4:$G$119,MATCH($B4,' Toto teams'!$A$4:$A$119,0)),Scoring!$A$4:$N$51,5,FALSE()),0))+1*(IFERROR(VLOOKUP(INDEX(' Toto teams'!$H$4:$H$119,MATCH($B4,' Toto teams'!$A$4:$A$119,0)),Scoring!$A$4:$N$51,3,FALSE()),0)+IFERROR(VLOOKUP(INDEX(' Toto teams'!$H$4:$H$119,MATCH($B4,' Toto teams'!$A$4:$A$119,0)),Scoring!$A$4:$N$51,4,FALSE()),0)+IFERROR(VLOOKUP(INDEX(' Toto teams'!$H$4:$H$119,MATCH($B4,' Toto teams'!$A$4:$A$119,0)),Scoring!$A$4:$N$51,5,FALSE()),0))+IFERROR(INDEX(' Toto teams'!$Q$4:$Q$119,MATCH($B4,' Toto teams'!$A$4:$A$119,0))*1,0))</f>
        <v/>
      </c>
      <c r="D4" s="28">
        <f>IF($B4="","",6*IFERROR(VLOOKUP(INDEX(' Toto teams'!$B$4:$B$119,MATCH($B4,' Toto teams'!$A$4:$A$119,0)),Scoring!$A$4:$N$51,7,FALSE()),0)+4*IFERROR(VLOOKUP(INDEX(' Toto teams'!$C$4:$C$119,MATCH($B4,' Toto teams'!$A$4:$A$119,0)),Scoring!$A$4:$N$51,7,FALSE()),0)+3*IFERROR(VLOOKUP(INDEX(' Toto teams'!$D$4:$D$119,MATCH($B4,' Toto teams'!$A$4:$A$119,0)),Scoring!$A$4:$N$51,7,FALSE()),0)+2*IFERROR(VLOOKUP(INDEX(' Toto teams'!$E$4:$E$119,MATCH($B4,' Toto teams'!$A$4:$A$119,0)),Scoring!$A$4:$N$51,7,FALSE()),0)+1*IFERROR(VLOOKUP(INDEX(' Toto teams'!$F$4:$F$119,MATCH($B4,' Toto teams'!$A$4:$A$119,0)),Scoring!$A$4:$N$51,7,FALSE()),0)+1*IFERROR(VLOOKUP(INDEX(' Toto teams'!$G$4:$G$119,MATCH($B4,' Toto teams'!$A$4:$A$119,0)),Scoring!$A$4:$N$51,7,FALSE()),0)+1*IFERROR(VLOOKUP(INDEX(' Toto teams'!$H$4:$H$119,MATCH($B4,' Toto teams'!$A$4:$A$119,0)),Scoring!$A$4:$N$51,7,FALSE()),0))</f>
        <v/>
      </c>
      <c r="E4" s="28">
        <f>IF($B4="","",6*IFERROR(VLOOKUP(INDEX(' Toto teams'!$B$4:$B$119,MATCH($B4,' Toto teams'!$A$4:$A$119,0)),Scoring!$A$4:$N$51,8,FALSE()),0)+4*IFERROR(VLOOKUP(INDEX(' Toto teams'!$C$4:$C$119,MATCH($B4,' Toto teams'!$A$4:$A$119,0)),Scoring!$A$4:$N$51,8,FALSE()),0)+3*IFERROR(VLOOKUP(INDEX(' Toto teams'!$D$4:$D$119,MATCH($B4,' Toto teams'!$A$4:$A$119,0)),Scoring!$A$4:$N$51,8,FALSE()),0)+2*IFERROR(VLOOKUP(INDEX(' Toto teams'!$E$4:$E$119,MATCH($B4,' Toto teams'!$A$4:$A$119,0)),Scoring!$A$4:$N$51,8,FALSE()),0)+1*IFERROR(VLOOKUP(INDEX(' Toto teams'!$F$4:$F$119,MATCH($B4,' Toto teams'!$A$4:$A$119,0)),Scoring!$A$4:$N$51,8,FALSE()),0)+1*IFERROR(VLOOKUP(INDEX(' Toto teams'!$G$4:$G$119,MATCH($B4,' Toto teams'!$A$4:$A$119,0)),Scoring!$A$4:$N$51,8,FALSE()),0)+1*IFERROR(VLOOKUP(INDEX(' Toto teams'!$H$4:$H$119,MATCH($B4,' Toto teams'!$A$4:$A$119,0)),Scoring!$A$4:$N$51,8,FALSE()),0))</f>
        <v/>
      </c>
      <c r="F4" s="28">
        <f>IF($B4="","",6*IFERROR(VLOOKUP(INDEX(' Toto teams'!$B$4:$B$119,MATCH($B4,' Toto teams'!$A$4:$A$119,0)),Scoring!$A$4:$N$51,9,FALSE()),0)+4*IFERROR(VLOOKUP(INDEX(' Toto teams'!$C$4:$C$119,MATCH($B4,' Toto teams'!$A$4:$A$119,0)),Scoring!$A$4:$N$51,9,FALSE()),0)+3*IFERROR(VLOOKUP(INDEX(' Toto teams'!$D$4:$D$119,MATCH($B4,' Toto teams'!$A$4:$A$119,0)),Scoring!$A$4:$N$51,9,FALSE()),0)+2*IFERROR(VLOOKUP(INDEX(' Toto teams'!$E$4:$E$119,MATCH($B4,' Toto teams'!$A$4:$A$119,0)),Scoring!$A$4:$N$51,9,FALSE()),0)+1*IFERROR(VLOOKUP(INDEX(' Toto teams'!$F$4:$F$119,MATCH($B4,' Toto teams'!$A$4:$A$119,0)),Scoring!$A$4:$N$51,9,FALSE()),0)+1*IFERROR(VLOOKUP(INDEX(' Toto teams'!$G$4:$G$119,MATCH($B4,' Toto teams'!$A$4:$A$119,0)),Scoring!$A$4:$N$51,9,FALSE()),0)+1*IFERROR(VLOOKUP(INDEX(' Toto teams'!$H$4:$H$119,MATCH($B4,' Toto teams'!$A$4:$A$119,0)),Scoring!$A$4:$N$51,9,FALSE()),0))</f>
        <v/>
      </c>
      <c r="G4" s="28">
        <f>IF($B4="","",6*IFERROR(VLOOKUP(INDEX(' Toto teams'!$B$4:$B$119,MATCH($B4,' Toto teams'!$A$4:$A$119,0)),Scoring!$A$4:$N$51,10,FALSE()),0)+4*IFERROR(VLOOKUP(INDEX(' Toto teams'!$C$4:$C$119,MATCH($B4,' Toto teams'!$A$4:$A$119,0)),Scoring!$A$4:$N$51,10,FALSE()),0)+3*IFERROR(VLOOKUP(INDEX(' Toto teams'!$D$4:$D$119,MATCH($B4,' Toto teams'!$A$4:$A$119,0)),Scoring!$A$4:$N$51,10,FALSE()),0)+2*IFERROR(VLOOKUP(INDEX(' Toto teams'!$E$4:$E$119,MATCH($B4,' Toto teams'!$A$4:$A$119,0)),Scoring!$A$4:$N$51,10,FALSE()),0)+1*IFERROR(VLOOKUP(INDEX(' Toto teams'!$F$4:$F$119,MATCH($B4,' Toto teams'!$A$4:$A$119,0)),Scoring!$A$4:$N$51,10,FALSE()),0)+1*IFERROR(VLOOKUP(INDEX(' Toto teams'!$G$4:$G$119,MATCH($B4,' Toto teams'!$A$4:$A$119,0)),Scoring!$A$4:$N$51,10,FALSE()),0)+1*IFERROR(VLOOKUP(INDEX(' Toto teams'!$H$4:$H$119,MATCH($B4,' Toto teams'!$A$4:$A$119,0)),Scoring!$A$4:$N$51,10,FALSE()),0))</f>
        <v/>
      </c>
      <c r="H4" s="28">
        <f>IF($B4="","",6*IFERROR(VLOOKUP(INDEX(' Toto teams'!$B$4:$B$119,MATCH($B4,' Toto teams'!$A$4:$A$119,0)),Scoring!$A$4:$N$51,11,FALSE()),0)+4*IFERROR(VLOOKUP(INDEX(' Toto teams'!$C$4:$C$119,MATCH($B4,' Toto teams'!$A$4:$A$119,0)),Scoring!$A$4:$N$51,11,FALSE()),0)+3*IFERROR(VLOOKUP(INDEX(' Toto teams'!$D$4:$D$119,MATCH($B4,' Toto teams'!$A$4:$A$119,0)),Scoring!$A$4:$N$51,11,FALSE()),0)+2*IFERROR(VLOOKUP(INDEX(' Toto teams'!$E$4:$E$119,MATCH($B4,' Toto teams'!$A$4:$A$119,0)),Scoring!$A$4:$N$51,11,FALSE()),0)+1*IFERROR(VLOOKUP(INDEX(' Toto teams'!$F$4:$F$119,MATCH($B4,' Toto teams'!$A$4:$A$119,0)),Scoring!$A$4:$N$51,11,FALSE()),0)+1*IFERROR(VLOOKUP(INDEX(' Toto teams'!$G$4:$G$119,MATCH($B4,' Toto teams'!$A$4:$A$119,0)),Scoring!$A$4:$N$51,11,FALSE()),0)+1*IFERROR(VLOOKUP(INDEX(' Toto teams'!$H$4:$H$119,MATCH($B4,' Toto teams'!$A$4:$A$119,0)),Scoring!$A$4:$N$51,11,FALSE()),0))</f>
        <v/>
      </c>
      <c r="I4" s="28">
        <f>IF($B4="","",6*IFERROR(VLOOKUP(INDEX(' Toto teams'!$B$4:$B$119,MATCH($B4,' Toto teams'!$A$4:$A$119,0)),Scoring!$A$4:$O$51,15,FALSE()),0)+4*IFERROR(VLOOKUP(INDEX(' Toto teams'!$C$4:$C$119,MATCH($B4,' Toto teams'!$A$4:$A$119,0)),Scoring!$A$4:$O$51,15,FALSE()),0)+3*IFERROR(VLOOKUP(INDEX(' Toto teams'!$D$4:$D$119,MATCH($B4,' Toto teams'!$A$4:$A$119,0)),Scoring!$A$4:$O$51,15,FALSE()),0)+2*IFERROR(VLOOKUP(INDEX(' Toto teams'!$E$4:$E$119,MATCH($B4,' Toto teams'!$A$4:$A$119,0)),Scoring!$A$4:$O$51,15,FALSE()),0)+1*IFERROR(VLOOKUP(INDEX(' Toto teams'!$F$4:$F$119,MATCH($B4,' Toto teams'!$A$4:$A$119,0)),Scoring!$A$4:$O$51,15,FALSE()),0)+1*IFERROR(VLOOKUP(INDEX(' Toto teams'!$G$4:$G$119,MATCH($B4,' Toto teams'!$A$4:$A$119,0)),Scoring!$A$4:$O$51,15,FALSE()),0)+1*IFERROR(VLOOKUP(INDEX(' Toto teams'!$H$4:$H$119,MATCH($B4,' Toto teams'!$A$4:$A$119,0)),Scoring!$A$4:$O$51,15,FALSE()),0))</f>
        <v/>
      </c>
      <c r="J4" s="28">
        <f>IF($B4="","",6*IFERROR(VLOOKUP(INDEX(' Toto teams'!$B$4:$B$119,MATCH($B4,' Toto teams'!$A$4:$A$119,0)),Scoring!$A$4:$N$51,12,FALSE()),0)+4*IFERROR(VLOOKUP(INDEX(' Toto teams'!$C$4:$C$119,MATCH($B4,' Toto teams'!$A$4:$A$119,0)),Scoring!$A$4:$N$51,12,FALSE()),0)+3*IFERROR(VLOOKUP(INDEX(' Toto teams'!$D$4:$D$119,MATCH($B4,' Toto teams'!$A$4:$A$119,0)),Scoring!$A$4:$N$51,12,FALSE()),0)+2*IFERROR(VLOOKUP(INDEX(' Toto teams'!$E$4:$E$119,MATCH($B4,' Toto teams'!$A$4:$A$119,0)),Scoring!$A$4:$N$51,12,FALSE()),0)+1*IFERROR(VLOOKUP(INDEX(' Toto teams'!$F$4:$F$119,MATCH($B4,' Toto teams'!$A$4:$A$119,0)),Scoring!$A$4:$N$51,12,FALSE()),0)+1*IFERROR(VLOOKUP(INDEX(' Toto teams'!$G$4:$G$119,MATCH($B4,' Toto teams'!$A$4:$A$119,0)),Scoring!$A$4:$N$51,12,FALSE()),0)+1*IFERROR(VLOOKUP(INDEX(' Toto teams'!$H$4:$H$119,MATCH($B4,' Toto teams'!$A$4:$A$119,0)),Scoring!$A$4:$N$51,12,FALSE()),0))</f>
        <v/>
      </c>
      <c r="K4" s="29">
        <f>IF($B4="","",IFERROR(INDEX(' Toto teams'!$R$4:$R$119,MATCH($B4,' Toto teams'!$A$4:$A$119,0)),""))</f>
        <v/>
      </c>
      <c r="L4" s="30">
        <f>IFERROR(IF(B4="","",VLOOKUP(A4,$N$4:$R$12,5,FALSE())),0)</f>
        <v/>
      </c>
      <c r="N4" s="31" t="n">
        <v>1</v>
      </c>
      <c r="O4" s="32" t="n">
        <v>0.5</v>
      </c>
      <c r="P4" s="33">
        <f>$O$15*O4</f>
        <v/>
      </c>
      <c r="Q4" s="31">
        <f>COUNTIF($A$4:$A$119,N4)</f>
        <v/>
      </c>
      <c r="R4" s="34">
        <f>IF(Q4=0,0,SUMPRODUCT(($N$4:$N$12&gt;=N4)*($N$4:$N$12&lt;=N4+Q4-1)*$P$4:$P$12)/Q4)</f>
        <v/>
      </c>
    </row>
    <row r="5" ht="12.75" customHeight="1">
      <c r="A5" s="26">
        <f>IF(2&gt;COUNTIF(' Toto teams'!$A$4:$A$119,"&lt;&gt;"),"",INDEX(' Toto teams'!$S$4:$S$119,MATCH(LARGE(' Toto teams'!$T$4:$T$119,2),' Toto teams'!$T$4:$T$119,0)))</f>
        <v/>
      </c>
      <c r="B5" s="27">
        <f>IF(2&gt;COUNTIF(' Toto teams'!$A$4:$A$119,"&lt;&gt;"),"",INDEX(' Toto teams'!$A$4:$A$119,MATCH(LARGE(' Toto teams'!$T$4:$T$119,2),' Toto teams'!$T$4:$T$119,0)))</f>
        <v/>
      </c>
      <c r="C5" s="28">
        <f>IF($B5="","",6*(IFERROR(VLOOKUP(INDEX(' Toto teams'!$B$4:$B$119,MATCH($B5,' Toto teams'!$A$4:$A$119,0)),Scoring!$A$4:$N$51,3,FALSE()),0)+IFERROR(VLOOKUP(INDEX(' Toto teams'!$B$4:$B$119,MATCH($B5,' Toto teams'!$A$4:$A$119,0)),Scoring!$A$4:$N$51,4,FALSE()),0)+IFERROR(VLOOKUP(INDEX(' Toto teams'!$B$4:$B$119,MATCH($B5,' Toto teams'!$A$4:$A$119,0)),Scoring!$A$4:$N$51,5,FALSE()),0))+4*(IFERROR(VLOOKUP(INDEX(' Toto teams'!$C$4:$C$119,MATCH($B5,' Toto teams'!$A$4:$A$119,0)),Scoring!$A$4:$N$51,3,FALSE()),0)+IFERROR(VLOOKUP(INDEX(' Toto teams'!$C$4:$C$119,MATCH($B5,' Toto teams'!$A$4:$A$119,0)),Scoring!$A$4:$N$51,4,FALSE()),0)+IFERROR(VLOOKUP(INDEX(' Toto teams'!$C$4:$C$119,MATCH($B5,' Toto teams'!$A$4:$A$119,0)),Scoring!$A$4:$N$51,5,FALSE()),0))+3*(IFERROR(VLOOKUP(INDEX(' Toto teams'!$D$4:$D$119,MATCH($B5,' Toto teams'!$A$4:$A$119,0)),Scoring!$A$4:$N$51,3,FALSE()),0)+IFERROR(VLOOKUP(INDEX(' Toto teams'!$D$4:$D$119,MATCH($B5,' Toto teams'!$A$4:$A$119,0)),Scoring!$A$4:$N$51,4,FALSE()),0)+IFERROR(VLOOKUP(INDEX(' Toto teams'!$D$4:$D$119,MATCH($B5,' Toto teams'!$A$4:$A$119,0)),Scoring!$A$4:$N$51,5,FALSE()),0))+2*(IFERROR(VLOOKUP(INDEX(' Toto teams'!$E$4:$E$119,MATCH($B5,' Toto teams'!$A$4:$A$119,0)),Scoring!$A$4:$N$51,3,FALSE()),0)+IFERROR(VLOOKUP(INDEX(' Toto teams'!$E$4:$E$119,MATCH($B5,' Toto teams'!$A$4:$A$119,0)),Scoring!$A$4:$N$51,4,FALSE()),0)+IFERROR(VLOOKUP(INDEX(' Toto teams'!$E$4:$E$119,MATCH($B5,' Toto teams'!$A$4:$A$119,0)),Scoring!$A$4:$N$51,5,FALSE()),0))+1*(IFERROR(VLOOKUP(INDEX(' Toto teams'!$F$4:$F$119,MATCH($B5,' Toto teams'!$A$4:$A$119,0)),Scoring!$A$4:$N$51,3,FALSE()),0)+IFERROR(VLOOKUP(INDEX(' Toto teams'!$F$4:$F$119,MATCH($B5,' Toto teams'!$A$4:$A$119,0)),Scoring!$A$4:$N$51,4,FALSE()),0)+IFERROR(VLOOKUP(INDEX(' Toto teams'!$F$4:$F$119,MATCH($B5,' Toto teams'!$A$4:$A$119,0)),Scoring!$A$4:$N$51,5,FALSE()),0))+1*(IFERROR(VLOOKUP(INDEX(' Toto teams'!$G$4:$G$119,MATCH($B5,' Toto teams'!$A$4:$A$119,0)),Scoring!$A$4:$N$51,3,FALSE()),0)+IFERROR(VLOOKUP(INDEX(' Toto teams'!$G$4:$G$119,MATCH($B5,' Toto teams'!$A$4:$A$119,0)),Scoring!$A$4:$N$51,4,FALSE()),0)+IFERROR(VLOOKUP(INDEX(' Toto teams'!$G$4:$G$119,MATCH($B5,' Toto teams'!$A$4:$A$119,0)),Scoring!$A$4:$N$51,5,FALSE()),0))+1*(IFERROR(VLOOKUP(INDEX(' Toto teams'!$H$4:$H$119,MATCH($B5,' Toto teams'!$A$4:$A$119,0)),Scoring!$A$4:$N$51,3,FALSE()),0)+IFERROR(VLOOKUP(INDEX(' Toto teams'!$H$4:$H$119,MATCH($B5,' Toto teams'!$A$4:$A$119,0)),Scoring!$A$4:$N$51,4,FALSE()),0)+IFERROR(VLOOKUP(INDEX(' Toto teams'!$H$4:$H$119,MATCH($B5,' Toto teams'!$A$4:$A$119,0)),Scoring!$A$4:$N$51,5,FALSE()),0))+IFERROR(INDEX(' Toto teams'!$Q$4:$Q$119,MATCH($B5,' Toto teams'!$A$4:$A$119,0))*1,0))</f>
        <v/>
      </c>
      <c r="D5" s="28">
        <f>IF($B5="","",6*IFERROR(VLOOKUP(INDEX(' Toto teams'!$B$4:$B$119,MATCH($B5,' Toto teams'!$A$4:$A$119,0)),Scoring!$A$4:$N$51,7,FALSE()),0)+4*IFERROR(VLOOKUP(INDEX(' Toto teams'!$C$4:$C$119,MATCH($B5,' Toto teams'!$A$4:$A$119,0)),Scoring!$A$4:$N$51,7,FALSE()),0)+3*IFERROR(VLOOKUP(INDEX(' Toto teams'!$D$4:$D$119,MATCH($B5,' Toto teams'!$A$4:$A$119,0)),Scoring!$A$4:$N$51,7,FALSE()),0)+2*IFERROR(VLOOKUP(INDEX(' Toto teams'!$E$4:$E$119,MATCH($B5,' Toto teams'!$A$4:$A$119,0)),Scoring!$A$4:$N$51,7,FALSE()),0)+1*IFERROR(VLOOKUP(INDEX(' Toto teams'!$F$4:$F$119,MATCH($B5,' Toto teams'!$A$4:$A$119,0)),Scoring!$A$4:$N$51,7,FALSE()),0)+1*IFERROR(VLOOKUP(INDEX(' Toto teams'!$G$4:$G$119,MATCH($B5,' Toto teams'!$A$4:$A$119,0)),Scoring!$A$4:$N$51,7,FALSE()),0)+1*IFERROR(VLOOKUP(INDEX(' Toto teams'!$H$4:$H$119,MATCH($B5,' Toto teams'!$A$4:$A$119,0)),Scoring!$A$4:$N$51,7,FALSE()),0))</f>
        <v/>
      </c>
      <c r="E5" s="28">
        <f>IF($B5="","",6*IFERROR(VLOOKUP(INDEX(' Toto teams'!$B$4:$B$119,MATCH($B5,' Toto teams'!$A$4:$A$119,0)),Scoring!$A$4:$N$51,8,FALSE()),0)+4*IFERROR(VLOOKUP(INDEX(' Toto teams'!$C$4:$C$119,MATCH($B5,' Toto teams'!$A$4:$A$119,0)),Scoring!$A$4:$N$51,8,FALSE()),0)+3*IFERROR(VLOOKUP(INDEX(' Toto teams'!$D$4:$D$119,MATCH($B5,' Toto teams'!$A$4:$A$119,0)),Scoring!$A$4:$N$51,8,FALSE()),0)+2*IFERROR(VLOOKUP(INDEX(' Toto teams'!$E$4:$E$119,MATCH($B5,' Toto teams'!$A$4:$A$119,0)),Scoring!$A$4:$N$51,8,FALSE()),0)+1*IFERROR(VLOOKUP(INDEX(' Toto teams'!$F$4:$F$119,MATCH($B5,' Toto teams'!$A$4:$A$119,0)),Scoring!$A$4:$N$51,8,FALSE()),0)+1*IFERROR(VLOOKUP(INDEX(' Toto teams'!$G$4:$G$119,MATCH($B5,' Toto teams'!$A$4:$A$119,0)),Scoring!$A$4:$N$51,8,FALSE()),0)+1*IFERROR(VLOOKUP(INDEX(' Toto teams'!$H$4:$H$119,MATCH($B5,' Toto teams'!$A$4:$A$119,0)),Scoring!$A$4:$N$51,8,FALSE()),0))</f>
        <v/>
      </c>
      <c r="F5" s="28">
        <f>IF($B5="","",6*IFERROR(VLOOKUP(INDEX(' Toto teams'!$B$4:$B$119,MATCH($B5,' Toto teams'!$A$4:$A$119,0)),Scoring!$A$4:$N$51,9,FALSE()),0)+4*IFERROR(VLOOKUP(INDEX(' Toto teams'!$C$4:$C$119,MATCH($B5,' Toto teams'!$A$4:$A$119,0)),Scoring!$A$4:$N$51,9,FALSE()),0)+3*IFERROR(VLOOKUP(INDEX(' Toto teams'!$D$4:$D$119,MATCH($B5,' Toto teams'!$A$4:$A$119,0)),Scoring!$A$4:$N$51,9,FALSE()),0)+2*IFERROR(VLOOKUP(INDEX(' Toto teams'!$E$4:$E$119,MATCH($B5,' Toto teams'!$A$4:$A$119,0)),Scoring!$A$4:$N$51,9,FALSE()),0)+1*IFERROR(VLOOKUP(INDEX(' Toto teams'!$F$4:$F$119,MATCH($B5,' Toto teams'!$A$4:$A$119,0)),Scoring!$A$4:$N$51,9,FALSE()),0)+1*IFERROR(VLOOKUP(INDEX(' Toto teams'!$G$4:$G$119,MATCH($B5,' Toto teams'!$A$4:$A$119,0)),Scoring!$A$4:$N$51,9,FALSE()),0)+1*IFERROR(VLOOKUP(INDEX(' Toto teams'!$H$4:$H$119,MATCH($B5,' Toto teams'!$A$4:$A$119,0)),Scoring!$A$4:$N$51,9,FALSE()),0))</f>
        <v/>
      </c>
      <c r="G5" s="28">
        <f>IF($B5="","",6*IFERROR(VLOOKUP(INDEX(' Toto teams'!$B$4:$B$119,MATCH($B5,' Toto teams'!$A$4:$A$119,0)),Scoring!$A$4:$N$51,10,FALSE()),0)+4*IFERROR(VLOOKUP(INDEX(' Toto teams'!$C$4:$C$119,MATCH($B5,' Toto teams'!$A$4:$A$119,0)),Scoring!$A$4:$N$51,10,FALSE()),0)+3*IFERROR(VLOOKUP(INDEX(' Toto teams'!$D$4:$D$119,MATCH($B5,' Toto teams'!$A$4:$A$119,0)),Scoring!$A$4:$N$51,10,FALSE()),0)+2*IFERROR(VLOOKUP(INDEX(' Toto teams'!$E$4:$E$119,MATCH($B5,' Toto teams'!$A$4:$A$119,0)),Scoring!$A$4:$N$51,10,FALSE()),0)+1*IFERROR(VLOOKUP(INDEX(' Toto teams'!$F$4:$F$119,MATCH($B5,' Toto teams'!$A$4:$A$119,0)),Scoring!$A$4:$N$51,10,FALSE()),0)+1*IFERROR(VLOOKUP(INDEX(' Toto teams'!$G$4:$G$119,MATCH($B5,' Toto teams'!$A$4:$A$119,0)),Scoring!$A$4:$N$51,10,FALSE()),0)+1*IFERROR(VLOOKUP(INDEX(' Toto teams'!$H$4:$H$119,MATCH($B5,' Toto teams'!$A$4:$A$119,0)),Scoring!$A$4:$N$51,10,FALSE()),0))</f>
        <v/>
      </c>
      <c r="H5" s="28">
        <f>IF($B5="","",6*IFERROR(VLOOKUP(INDEX(' Toto teams'!$B$4:$B$119,MATCH($B5,' Toto teams'!$A$4:$A$119,0)),Scoring!$A$4:$N$51,11,FALSE()),0)+4*IFERROR(VLOOKUP(INDEX(' Toto teams'!$C$4:$C$119,MATCH($B5,' Toto teams'!$A$4:$A$119,0)),Scoring!$A$4:$N$51,11,FALSE()),0)+3*IFERROR(VLOOKUP(INDEX(' Toto teams'!$D$4:$D$119,MATCH($B5,' Toto teams'!$A$4:$A$119,0)),Scoring!$A$4:$N$51,11,FALSE()),0)+2*IFERROR(VLOOKUP(INDEX(' Toto teams'!$E$4:$E$119,MATCH($B5,' Toto teams'!$A$4:$A$119,0)),Scoring!$A$4:$N$51,11,FALSE()),0)+1*IFERROR(VLOOKUP(INDEX(' Toto teams'!$F$4:$F$119,MATCH($B5,' Toto teams'!$A$4:$A$119,0)),Scoring!$A$4:$N$51,11,FALSE()),0)+1*IFERROR(VLOOKUP(INDEX(' Toto teams'!$G$4:$G$119,MATCH($B5,' Toto teams'!$A$4:$A$119,0)),Scoring!$A$4:$N$51,11,FALSE()),0)+1*IFERROR(VLOOKUP(INDEX(' Toto teams'!$H$4:$H$119,MATCH($B5,' Toto teams'!$A$4:$A$119,0)),Scoring!$A$4:$N$51,11,FALSE()),0))</f>
        <v/>
      </c>
      <c r="I5" s="28">
        <f>IF($B5="","",6*IFERROR(VLOOKUP(INDEX(' Toto teams'!$B$4:$B$119,MATCH($B5,' Toto teams'!$A$4:$A$119,0)),Scoring!$A$4:$O$51,15,FALSE()),0)+4*IFERROR(VLOOKUP(INDEX(' Toto teams'!$C$4:$C$119,MATCH($B5,' Toto teams'!$A$4:$A$119,0)),Scoring!$A$4:$O$51,15,FALSE()),0)+3*IFERROR(VLOOKUP(INDEX(' Toto teams'!$D$4:$D$119,MATCH($B5,' Toto teams'!$A$4:$A$119,0)),Scoring!$A$4:$O$51,15,FALSE()),0)+2*IFERROR(VLOOKUP(INDEX(' Toto teams'!$E$4:$E$119,MATCH($B5,' Toto teams'!$A$4:$A$119,0)),Scoring!$A$4:$O$51,15,FALSE()),0)+1*IFERROR(VLOOKUP(INDEX(' Toto teams'!$F$4:$F$119,MATCH($B5,' Toto teams'!$A$4:$A$119,0)),Scoring!$A$4:$O$51,15,FALSE()),0)+1*IFERROR(VLOOKUP(INDEX(' Toto teams'!$G$4:$G$119,MATCH($B5,' Toto teams'!$A$4:$A$119,0)),Scoring!$A$4:$O$51,15,FALSE()),0)+1*IFERROR(VLOOKUP(INDEX(' Toto teams'!$H$4:$H$119,MATCH($B5,' Toto teams'!$A$4:$A$119,0)),Scoring!$A$4:$O$51,15,FALSE()),0))</f>
        <v/>
      </c>
      <c r="J5" s="28">
        <f>IF($B5="","",6*IFERROR(VLOOKUP(INDEX(' Toto teams'!$B$4:$B$119,MATCH($B5,' Toto teams'!$A$4:$A$119,0)),Scoring!$A$4:$N$51,12,FALSE()),0)+4*IFERROR(VLOOKUP(INDEX(' Toto teams'!$C$4:$C$119,MATCH($B5,' Toto teams'!$A$4:$A$119,0)),Scoring!$A$4:$N$51,12,FALSE()),0)+3*IFERROR(VLOOKUP(INDEX(' Toto teams'!$D$4:$D$119,MATCH($B5,' Toto teams'!$A$4:$A$119,0)),Scoring!$A$4:$N$51,12,FALSE()),0)+2*IFERROR(VLOOKUP(INDEX(' Toto teams'!$E$4:$E$119,MATCH($B5,' Toto teams'!$A$4:$A$119,0)),Scoring!$A$4:$N$51,12,FALSE()),0)+1*IFERROR(VLOOKUP(INDEX(' Toto teams'!$F$4:$F$119,MATCH($B5,' Toto teams'!$A$4:$A$119,0)),Scoring!$A$4:$N$51,12,FALSE()),0)+1*IFERROR(VLOOKUP(INDEX(' Toto teams'!$G$4:$G$119,MATCH($B5,' Toto teams'!$A$4:$A$119,0)),Scoring!$A$4:$N$51,12,FALSE()),0)+1*IFERROR(VLOOKUP(INDEX(' Toto teams'!$H$4:$H$119,MATCH($B5,' Toto teams'!$A$4:$A$119,0)),Scoring!$A$4:$N$51,12,FALSE()),0))</f>
        <v/>
      </c>
      <c r="K5" s="29">
        <f>IF($B5="","",IFERROR(INDEX(' Toto teams'!$R$4:$R$119,MATCH($B5,' Toto teams'!$A$4:$A$119,0)),""))</f>
        <v/>
      </c>
      <c r="L5" s="30">
        <f>IFERROR(IF(B5="","",VLOOKUP(A5,$N$4:$R$12,5,FALSE())),0)</f>
        <v/>
      </c>
      <c r="N5" s="31" t="n">
        <v>2</v>
      </c>
      <c r="O5" s="32" t="n">
        <v>0.2</v>
      </c>
      <c r="P5" s="33">
        <f>$O$15*O5</f>
        <v/>
      </c>
      <c r="Q5" s="31">
        <f>COUNTIF($A$4:$A$119,N5)</f>
        <v/>
      </c>
      <c r="R5" s="34">
        <f>IF(Q5=0,0,SUMPRODUCT(($N$4:$N$12&gt;=N5)*($N$4:$N$12&lt;=N5+Q5-1)*$P$4:$P$12)/Q5)</f>
        <v/>
      </c>
    </row>
    <row r="6" ht="12.75" customHeight="1">
      <c r="A6" s="26">
        <f>IF(3&gt;COUNTIF(' Toto teams'!$A$4:$A$119,"&lt;&gt;"),"",INDEX(' Toto teams'!$S$4:$S$119,MATCH(LARGE(' Toto teams'!$T$4:$T$119,3),' Toto teams'!$T$4:$T$119,0)))</f>
        <v/>
      </c>
      <c r="B6" s="27">
        <f>IF(3&gt;COUNTIF(' Toto teams'!$A$4:$A$119,"&lt;&gt;"),"",INDEX(' Toto teams'!$A$4:$A$119,MATCH(LARGE(' Toto teams'!$T$4:$T$119,3),' Toto teams'!$T$4:$T$119,0)))</f>
        <v/>
      </c>
      <c r="C6" s="28">
        <f>IF($B6="","",6*(IFERROR(VLOOKUP(INDEX(' Toto teams'!$B$4:$B$119,MATCH($B6,' Toto teams'!$A$4:$A$119,0)),Scoring!$A$4:$N$51,3,FALSE()),0)+IFERROR(VLOOKUP(INDEX(' Toto teams'!$B$4:$B$119,MATCH($B6,' Toto teams'!$A$4:$A$119,0)),Scoring!$A$4:$N$51,4,FALSE()),0)+IFERROR(VLOOKUP(INDEX(' Toto teams'!$B$4:$B$119,MATCH($B6,' Toto teams'!$A$4:$A$119,0)),Scoring!$A$4:$N$51,5,FALSE()),0))+4*(IFERROR(VLOOKUP(INDEX(' Toto teams'!$C$4:$C$119,MATCH($B6,' Toto teams'!$A$4:$A$119,0)),Scoring!$A$4:$N$51,3,FALSE()),0)+IFERROR(VLOOKUP(INDEX(' Toto teams'!$C$4:$C$119,MATCH($B6,' Toto teams'!$A$4:$A$119,0)),Scoring!$A$4:$N$51,4,FALSE()),0)+IFERROR(VLOOKUP(INDEX(' Toto teams'!$C$4:$C$119,MATCH($B6,' Toto teams'!$A$4:$A$119,0)),Scoring!$A$4:$N$51,5,FALSE()),0))+3*(IFERROR(VLOOKUP(INDEX(' Toto teams'!$D$4:$D$119,MATCH($B6,' Toto teams'!$A$4:$A$119,0)),Scoring!$A$4:$N$51,3,FALSE()),0)+IFERROR(VLOOKUP(INDEX(' Toto teams'!$D$4:$D$119,MATCH($B6,' Toto teams'!$A$4:$A$119,0)),Scoring!$A$4:$N$51,4,FALSE()),0)+IFERROR(VLOOKUP(INDEX(' Toto teams'!$D$4:$D$119,MATCH($B6,' Toto teams'!$A$4:$A$119,0)),Scoring!$A$4:$N$51,5,FALSE()),0))+2*(IFERROR(VLOOKUP(INDEX(' Toto teams'!$E$4:$E$119,MATCH($B6,' Toto teams'!$A$4:$A$119,0)),Scoring!$A$4:$N$51,3,FALSE()),0)+IFERROR(VLOOKUP(INDEX(' Toto teams'!$E$4:$E$119,MATCH($B6,' Toto teams'!$A$4:$A$119,0)),Scoring!$A$4:$N$51,4,FALSE()),0)+IFERROR(VLOOKUP(INDEX(' Toto teams'!$E$4:$E$119,MATCH($B6,' Toto teams'!$A$4:$A$119,0)),Scoring!$A$4:$N$51,5,FALSE()),0))+1*(IFERROR(VLOOKUP(INDEX(' Toto teams'!$F$4:$F$119,MATCH($B6,' Toto teams'!$A$4:$A$119,0)),Scoring!$A$4:$N$51,3,FALSE()),0)+IFERROR(VLOOKUP(INDEX(' Toto teams'!$F$4:$F$119,MATCH($B6,' Toto teams'!$A$4:$A$119,0)),Scoring!$A$4:$N$51,4,FALSE()),0)+IFERROR(VLOOKUP(INDEX(' Toto teams'!$F$4:$F$119,MATCH($B6,' Toto teams'!$A$4:$A$119,0)),Scoring!$A$4:$N$51,5,FALSE()),0))+1*(IFERROR(VLOOKUP(INDEX(' Toto teams'!$G$4:$G$119,MATCH($B6,' Toto teams'!$A$4:$A$119,0)),Scoring!$A$4:$N$51,3,FALSE()),0)+IFERROR(VLOOKUP(INDEX(' Toto teams'!$G$4:$G$119,MATCH($B6,' Toto teams'!$A$4:$A$119,0)),Scoring!$A$4:$N$51,4,FALSE()),0)+IFERROR(VLOOKUP(INDEX(' Toto teams'!$G$4:$G$119,MATCH($B6,' Toto teams'!$A$4:$A$119,0)),Scoring!$A$4:$N$51,5,FALSE()),0))+1*(IFERROR(VLOOKUP(INDEX(' Toto teams'!$H$4:$H$119,MATCH($B6,' Toto teams'!$A$4:$A$119,0)),Scoring!$A$4:$N$51,3,FALSE()),0)+IFERROR(VLOOKUP(INDEX(' Toto teams'!$H$4:$H$119,MATCH($B6,' Toto teams'!$A$4:$A$119,0)),Scoring!$A$4:$N$51,4,FALSE()),0)+IFERROR(VLOOKUP(INDEX(' Toto teams'!$H$4:$H$119,MATCH($B6,' Toto teams'!$A$4:$A$119,0)),Scoring!$A$4:$N$51,5,FALSE()),0))+IFERROR(INDEX(' Toto teams'!$Q$4:$Q$119,MATCH($B6,' Toto teams'!$A$4:$A$119,0))*1,0))</f>
        <v/>
      </c>
      <c r="D6" s="28">
        <f>IF($B6="","",6*IFERROR(VLOOKUP(INDEX(' Toto teams'!$B$4:$B$119,MATCH($B6,' Toto teams'!$A$4:$A$119,0)),Scoring!$A$4:$N$51,7,FALSE()),0)+4*IFERROR(VLOOKUP(INDEX(' Toto teams'!$C$4:$C$119,MATCH($B6,' Toto teams'!$A$4:$A$119,0)),Scoring!$A$4:$N$51,7,FALSE()),0)+3*IFERROR(VLOOKUP(INDEX(' Toto teams'!$D$4:$D$119,MATCH($B6,' Toto teams'!$A$4:$A$119,0)),Scoring!$A$4:$N$51,7,FALSE()),0)+2*IFERROR(VLOOKUP(INDEX(' Toto teams'!$E$4:$E$119,MATCH($B6,' Toto teams'!$A$4:$A$119,0)),Scoring!$A$4:$N$51,7,FALSE()),0)+1*IFERROR(VLOOKUP(INDEX(' Toto teams'!$F$4:$F$119,MATCH($B6,' Toto teams'!$A$4:$A$119,0)),Scoring!$A$4:$N$51,7,FALSE()),0)+1*IFERROR(VLOOKUP(INDEX(' Toto teams'!$G$4:$G$119,MATCH($B6,' Toto teams'!$A$4:$A$119,0)),Scoring!$A$4:$N$51,7,FALSE()),0)+1*IFERROR(VLOOKUP(INDEX(' Toto teams'!$H$4:$H$119,MATCH($B6,' Toto teams'!$A$4:$A$119,0)),Scoring!$A$4:$N$51,7,FALSE()),0))</f>
        <v/>
      </c>
      <c r="E6" s="28">
        <f>IF($B6="","",6*IFERROR(VLOOKUP(INDEX(' Toto teams'!$B$4:$B$119,MATCH($B6,' Toto teams'!$A$4:$A$119,0)),Scoring!$A$4:$N$51,8,FALSE()),0)+4*IFERROR(VLOOKUP(INDEX(' Toto teams'!$C$4:$C$119,MATCH($B6,' Toto teams'!$A$4:$A$119,0)),Scoring!$A$4:$N$51,8,FALSE()),0)+3*IFERROR(VLOOKUP(INDEX(' Toto teams'!$D$4:$D$119,MATCH($B6,' Toto teams'!$A$4:$A$119,0)),Scoring!$A$4:$N$51,8,FALSE()),0)+2*IFERROR(VLOOKUP(INDEX(' Toto teams'!$E$4:$E$119,MATCH($B6,' Toto teams'!$A$4:$A$119,0)),Scoring!$A$4:$N$51,8,FALSE()),0)+1*IFERROR(VLOOKUP(INDEX(' Toto teams'!$F$4:$F$119,MATCH($B6,' Toto teams'!$A$4:$A$119,0)),Scoring!$A$4:$N$51,8,FALSE()),0)+1*IFERROR(VLOOKUP(INDEX(' Toto teams'!$G$4:$G$119,MATCH($B6,' Toto teams'!$A$4:$A$119,0)),Scoring!$A$4:$N$51,8,FALSE()),0)+1*IFERROR(VLOOKUP(INDEX(' Toto teams'!$H$4:$H$119,MATCH($B6,' Toto teams'!$A$4:$A$119,0)),Scoring!$A$4:$N$51,8,FALSE()),0))</f>
        <v/>
      </c>
      <c r="F6" s="28">
        <f>IF($B6="","",6*IFERROR(VLOOKUP(INDEX(' Toto teams'!$B$4:$B$119,MATCH($B6,' Toto teams'!$A$4:$A$119,0)),Scoring!$A$4:$N$51,9,FALSE()),0)+4*IFERROR(VLOOKUP(INDEX(' Toto teams'!$C$4:$C$119,MATCH($B6,' Toto teams'!$A$4:$A$119,0)),Scoring!$A$4:$N$51,9,FALSE()),0)+3*IFERROR(VLOOKUP(INDEX(' Toto teams'!$D$4:$D$119,MATCH($B6,' Toto teams'!$A$4:$A$119,0)),Scoring!$A$4:$N$51,9,FALSE()),0)+2*IFERROR(VLOOKUP(INDEX(' Toto teams'!$E$4:$E$119,MATCH($B6,' Toto teams'!$A$4:$A$119,0)),Scoring!$A$4:$N$51,9,FALSE()),0)+1*IFERROR(VLOOKUP(INDEX(' Toto teams'!$F$4:$F$119,MATCH($B6,' Toto teams'!$A$4:$A$119,0)),Scoring!$A$4:$N$51,9,FALSE()),0)+1*IFERROR(VLOOKUP(INDEX(' Toto teams'!$G$4:$G$119,MATCH($B6,' Toto teams'!$A$4:$A$119,0)),Scoring!$A$4:$N$51,9,FALSE()),0)+1*IFERROR(VLOOKUP(INDEX(' Toto teams'!$H$4:$H$119,MATCH($B6,' Toto teams'!$A$4:$A$119,0)),Scoring!$A$4:$N$51,9,FALSE()),0))</f>
        <v/>
      </c>
      <c r="G6" s="28">
        <f>IF($B6="","",6*IFERROR(VLOOKUP(INDEX(' Toto teams'!$B$4:$B$119,MATCH($B6,' Toto teams'!$A$4:$A$119,0)),Scoring!$A$4:$N$51,10,FALSE()),0)+4*IFERROR(VLOOKUP(INDEX(' Toto teams'!$C$4:$C$119,MATCH($B6,' Toto teams'!$A$4:$A$119,0)),Scoring!$A$4:$N$51,10,FALSE()),0)+3*IFERROR(VLOOKUP(INDEX(' Toto teams'!$D$4:$D$119,MATCH($B6,' Toto teams'!$A$4:$A$119,0)),Scoring!$A$4:$N$51,10,FALSE()),0)+2*IFERROR(VLOOKUP(INDEX(' Toto teams'!$E$4:$E$119,MATCH($B6,' Toto teams'!$A$4:$A$119,0)),Scoring!$A$4:$N$51,10,FALSE()),0)+1*IFERROR(VLOOKUP(INDEX(' Toto teams'!$F$4:$F$119,MATCH($B6,' Toto teams'!$A$4:$A$119,0)),Scoring!$A$4:$N$51,10,FALSE()),0)+1*IFERROR(VLOOKUP(INDEX(' Toto teams'!$G$4:$G$119,MATCH($B6,' Toto teams'!$A$4:$A$119,0)),Scoring!$A$4:$N$51,10,FALSE()),0)+1*IFERROR(VLOOKUP(INDEX(' Toto teams'!$H$4:$H$119,MATCH($B6,' Toto teams'!$A$4:$A$119,0)),Scoring!$A$4:$N$51,10,FALSE()),0))</f>
        <v/>
      </c>
      <c r="H6" s="28">
        <f>IF($B6="","",6*IFERROR(VLOOKUP(INDEX(' Toto teams'!$B$4:$B$119,MATCH($B6,' Toto teams'!$A$4:$A$119,0)),Scoring!$A$4:$N$51,11,FALSE()),0)+4*IFERROR(VLOOKUP(INDEX(' Toto teams'!$C$4:$C$119,MATCH($B6,' Toto teams'!$A$4:$A$119,0)),Scoring!$A$4:$N$51,11,FALSE()),0)+3*IFERROR(VLOOKUP(INDEX(' Toto teams'!$D$4:$D$119,MATCH($B6,' Toto teams'!$A$4:$A$119,0)),Scoring!$A$4:$N$51,11,FALSE()),0)+2*IFERROR(VLOOKUP(INDEX(' Toto teams'!$E$4:$E$119,MATCH($B6,' Toto teams'!$A$4:$A$119,0)),Scoring!$A$4:$N$51,11,FALSE()),0)+1*IFERROR(VLOOKUP(INDEX(' Toto teams'!$F$4:$F$119,MATCH($B6,' Toto teams'!$A$4:$A$119,0)),Scoring!$A$4:$N$51,11,FALSE()),0)+1*IFERROR(VLOOKUP(INDEX(' Toto teams'!$G$4:$G$119,MATCH($B6,' Toto teams'!$A$4:$A$119,0)),Scoring!$A$4:$N$51,11,FALSE()),0)+1*IFERROR(VLOOKUP(INDEX(' Toto teams'!$H$4:$H$119,MATCH($B6,' Toto teams'!$A$4:$A$119,0)),Scoring!$A$4:$N$51,11,FALSE()),0))</f>
        <v/>
      </c>
      <c r="I6" s="28">
        <f>IF($B6="","",6*IFERROR(VLOOKUP(INDEX(' Toto teams'!$B$4:$B$119,MATCH($B6,' Toto teams'!$A$4:$A$119,0)),Scoring!$A$4:$O$51,15,FALSE()),0)+4*IFERROR(VLOOKUP(INDEX(' Toto teams'!$C$4:$C$119,MATCH($B6,' Toto teams'!$A$4:$A$119,0)),Scoring!$A$4:$O$51,15,FALSE()),0)+3*IFERROR(VLOOKUP(INDEX(' Toto teams'!$D$4:$D$119,MATCH($B6,' Toto teams'!$A$4:$A$119,0)),Scoring!$A$4:$O$51,15,FALSE()),0)+2*IFERROR(VLOOKUP(INDEX(' Toto teams'!$E$4:$E$119,MATCH($B6,' Toto teams'!$A$4:$A$119,0)),Scoring!$A$4:$O$51,15,FALSE()),0)+1*IFERROR(VLOOKUP(INDEX(' Toto teams'!$F$4:$F$119,MATCH($B6,' Toto teams'!$A$4:$A$119,0)),Scoring!$A$4:$O$51,15,FALSE()),0)+1*IFERROR(VLOOKUP(INDEX(' Toto teams'!$G$4:$G$119,MATCH($B6,' Toto teams'!$A$4:$A$119,0)),Scoring!$A$4:$O$51,15,FALSE()),0)+1*IFERROR(VLOOKUP(INDEX(' Toto teams'!$H$4:$H$119,MATCH($B6,' Toto teams'!$A$4:$A$119,0)),Scoring!$A$4:$O$51,15,FALSE()),0))</f>
        <v/>
      </c>
      <c r="J6" s="28">
        <f>IF($B6="","",6*IFERROR(VLOOKUP(INDEX(' Toto teams'!$B$4:$B$119,MATCH($B6,' Toto teams'!$A$4:$A$119,0)),Scoring!$A$4:$N$51,12,FALSE()),0)+4*IFERROR(VLOOKUP(INDEX(' Toto teams'!$C$4:$C$119,MATCH($B6,' Toto teams'!$A$4:$A$119,0)),Scoring!$A$4:$N$51,12,FALSE()),0)+3*IFERROR(VLOOKUP(INDEX(' Toto teams'!$D$4:$D$119,MATCH($B6,' Toto teams'!$A$4:$A$119,0)),Scoring!$A$4:$N$51,12,FALSE()),0)+2*IFERROR(VLOOKUP(INDEX(' Toto teams'!$E$4:$E$119,MATCH($B6,' Toto teams'!$A$4:$A$119,0)),Scoring!$A$4:$N$51,12,FALSE()),0)+1*IFERROR(VLOOKUP(INDEX(' Toto teams'!$F$4:$F$119,MATCH($B6,' Toto teams'!$A$4:$A$119,0)),Scoring!$A$4:$N$51,12,FALSE()),0)+1*IFERROR(VLOOKUP(INDEX(' Toto teams'!$G$4:$G$119,MATCH($B6,' Toto teams'!$A$4:$A$119,0)),Scoring!$A$4:$N$51,12,FALSE()),0)+1*IFERROR(VLOOKUP(INDEX(' Toto teams'!$H$4:$H$119,MATCH($B6,' Toto teams'!$A$4:$A$119,0)),Scoring!$A$4:$N$51,12,FALSE()),0))</f>
        <v/>
      </c>
      <c r="K6" s="29">
        <f>IF($B6="","",IFERROR(INDEX(' Toto teams'!$R$4:$R$119,MATCH($B6,' Toto teams'!$A$4:$A$119,0)),""))</f>
        <v/>
      </c>
      <c r="L6" s="30">
        <f>IFERROR(IF(B6="","",VLOOKUP(A6,$N$4:$R$12,5,FALSE())),0)</f>
        <v/>
      </c>
      <c r="N6" s="31" t="n">
        <v>3</v>
      </c>
      <c r="O6" s="32" t="n">
        <v>0.1</v>
      </c>
      <c r="P6" s="33">
        <f>$O$15*O6</f>
        <v/>
      </c>
      <c r="Q6" s="31">
        <f>COUNTIF($A$4:$A$119,N6)</f>
        <v/>
      </c>
      <c r="R6" s="34">
        <f>IF(Q6=0,0,SUMPRODUCT(($N$4:$N$12&gt;=N6)*($N$4:$N$12&lt;=N6+Q6-1)*$P$4:$P$12)/Q6)</f>
        <v/>
      </c>
    </row>
    <row r="7" ht="12.75" customHeight="1">
      <c r="A7" s="26">
        <f>IF(4&gt;COUNTIF(' Toto teams'!$A$4:$A$119,"&lt;&gt;"),"",INDEX(' Toto teams'!$S$4:$S$119,MATCH(LARGE(' Toto teams'!$T$4:$T$119,4),' Toto teams'!$T$4:$T$119,0)))</f>
        <v/>
      </c>
      <c r="B7" s="27">
        <f>IF(4&gt;COUNTIF(' Toto teams'!$A$4:$A$119,"&lt;&gt;"),"",INDEX(' Toto teams'!$A$4:$A$119,MATCH(LARGE(' Toto teams'!$T$4:$T$119,4),' Toto teams'!$T$4:$T$119,0)))</f>
        <v/>
      </c>
      <c r="C7" s="28">
        <f>IF($B7="","",6*(IFERROR(VLOOKUP(INDEX(' Toto teams'!$B$4:$B$119,MATCH($B7,' Toto teams'!$A$4:$A$119,0)),Scoring!$A$4:$N$51,3,FALSE()),0)+IFERROR(VLOOKUP(INDEX(' Toto teams'!$B$4:$B$119,MATCH($B7,' Toto teams'!$A$4:$A$119,0)),Scoring!$A$4:$N$51,4,FALSE()),0)+IFERROR(VLOOKUP(INDEX(' Toto teams'!$B$4:$B$119,MATCH($B7,' Toto teams'!$A$4:$A$119,0)),Scoring!$A$4:$N$51,5,FALSE()),0))+4*(IFERROR(VLOOKUP(INDEX(' Toto teams'!$C$4:$C$119,MATCH($B7,' Toto teams'!$A$4:$A$119,0)),Scoring!$A$4:$N$51,3,FALSE()),0)+IFERROR(VLOOKUP(INDEX(' Toto teams'!$C$4:$C$119,MATCH($B7,' Toto teams'!$A$4:$A$119,0)),Scoring!$A$4:$N$51,4,FALSE()),0)+IFERROR(VLOOKUP(INDEX(' Toto teams'!$C$4:$C$119,MATCH($B7,' Toto teams'!$A$4:$A$119,0)),Scoring!$A$4:$N$51,5,FALSE()),0))+3*(IFERROR(VLOOKUP(INDEX(' Toto teams'!$D$4:$D$119,MATCH($B7,' Toto teams'!$A$4:$A$119,0)),Scoring!$A$4:$N$51,3,FALSE()),0)+IFERROR(VLOOKUP(INDEX(' Toto teams'!$D$4:$D$119,MATCH($B7,' Toto teams'!$A$4:$A$119,0)),Scoring!$A$4:$N$51,4,FALSE()),0)+IFERROR(VLOOKUP(INDEX(' Toto teams'!$D$4:$D$119,MATCH($B7,' Toto teams'!$A$4:$A$119,0)),Scoring!$A$4:$N$51,5,FALSE()),0))+2*(IFERROR(VLOOKUP(INDEX(' Toto teams'!$E$4:$E$119,MATCH($B7,' Toto teams'!$A$4:$A$119,0)),Scoring!$A$4:$N$51,3,FALSE()),0)+IFERROR(VLOOKUP(INDEX(' Toto teams'!$E$4:$E$119,MATCH($B7,' Toto teams'!$A$4:$A$119,0)),Scoring!$A$4:$N$51,4,FALSE()),0)+IFERROR(VLOOKUP(INDEX(' Toto teams'!$E$4:$E$119,MATCH($B7,' Toto teams'!$A$4:$A$119,0)),Scoring!$A$4:$N$51,5,FALSE()),0))+1*(IFERROR(VLOOKUP(INDEX(' Toto teams'!$F$4:$F$119,MATCH($B7,' Toto teams'!$A$4:$A$119,0)),Scoring!$A$4:$N$51,3,FALSE()),0)+IFERROR(VLOOKUP(INDEX(' Toto teams'!$F$4:$F$119,MATCH($B7,' Toto teams'!$A$4:$A$119,0)),Scoring!$A$4:$N$51,4,FALSE()),0)+IFERROR(VLOOKUP(INDEX(' Toto teams'!$F$4:$F$119,MATCH($B7,' Toto teams'!$A$4:$A$119,0)),Scoring!$A$4:$N$51,5,FALSE()),0))+1*(IFERROR(VLOOKUP(INDEX(' Toto teams'!$G$4:$G$119,MATCH($B7,' Toto teams'!$A$4:$A$119,0)),Scoring!$A$4:$N$51,3,FALSE()),0)+IFERROR(VLOOKUP(INDEX(' Toto teams'!$G$4:$G$119,MATCH($B7,' Toto teams'!$A$4:$A$119,0)),Scoring!$A$4:$N$51,4,FALSE()),0)+IFERROR(VLOOKUP(INDEX(' Toto teams'!$G$4:$G$119,MATCH($B7,' Toto teams'!$A$4:$A$119,0)),Scoring!$A$4:$N$51,5,FALSE()),0))+1*(IFERROR(VLOOKUP(INDEX(' Toto teams'!$H$4:$H$119,MATCH($B7,' Toto teams'!$A$4:$A$119,0)),Scoring!$A$4:$N$51,3,FALSE()),0)+IFERROR(VLOOKUP(INDEX(' Toto teams'!$H$4:$H$119,MATCH($B7,' Toto teams'!$A$4:$A$119,0)),Scoring!$A$4:$N$51,4,FALSE()),0)+IFERROR(VLOOKUP(INDEX(' Toto teams'!$H$4:$H$119,MATCH($B7,' Toto teams'!$A$4:$A$119,0)),Scoring!$A$4:$N$51,5,FALSE()),0))+IFERROR(INDEX(' Toto teams'!$Q$4:$Q$119,MATCH($B7,' Toto teams'!$A$4:$A$119,0))*1,0))</f>
        <v/>
      </c>
      <c r="D7" s="28">
        <f>IF($B7="","",6*IFERROR(VLOOKUP(INDEX(' Toto teams'!$B$4:$B$119,MATCH($B7,' Toto teams'!$A$4:$A$119,0)),Scoring!$A$4:$N$51,7,FALSE()),0)+4*IFERROR(VLOOKUP(INDEX(' Toto teams'!$C$4:$C$119,MATCH($B7,' Toto teams'!$A$4:$A$119,0)),Scoring!$A$4:$N$51,7,FALSE()),0)+3*IFERROR(VLOOKUP(INDEX(' Toto teams'!$D$4:$D$119,MATCH($B7,' Toto teams'!$A$4:$A$119,0)),Scoring!$A$4:$N$51,7,FALSE()),0)+2*IFERROR(VLOOKUP(INDEX(' Toto teams'!$E$4:$E$119,MATCH($B7,' Toto teams'!$A$4:$A$119,0)),Scoring!$A$4:$N$51,7,FALSE()),0)+1*IFERROR(VLOOKUP(INDEX(' Toto teams'!$F$4:$F$119,MATCH($B7,' Toto teams'!$A$4:$A$119,0)),Scoring!$A$4:$N$51,7,FALSE()),0)+1*IFERROR(VLOOKUP(INDEX(' Toto teams'!$G$4:$G$119,MATCH($B7,' Toto teams'!$A$4:$A$119,0)),Scoring!$A$4:$N$51,7,FALSE()),0)+1*IFERROR(VLOOKUP(INDEX(' Toto teams'!$H$4:$H$119,MATCH($B7,' Toto teams'!$A$4:$A$119,0)),Scoring!$A$4:$N$51,7,FALSE()),0))</f>
        <v/>
      </c>
      <c r="E7" s="28">
        <f>IF($B7="","",6*IFERROR(VLOOKUP(INDEX(' Toto teams'!$B$4:$B$119,MATCH($B7,' Toto teams'!$A$4:$A$119,0)),Scoring!$A$4:$N$51,8,FALSE()),0)+4*IFERROR(VLOOKUP(INDEX(' Toto teams'!$C$4:$C$119,MATCH($B7,' Toto teams'!$A$4:$A$119,0)),Scoring!$A$4:$N$51,8,FALSE()),0)+3*IFERROR(VLOOKUP(INDEX(' Toto teams'!$D$4:$D$119,MATCH($B7,' Toto teams'!$A$4:$A$119,0)),Scoring!$A$4:$N$51,8,FALSE()),0)+2*IFERROR(VLOOKUP(INDEX(' Toto teams'!$E$4:$E$119,MATCH($B7,' Toto teams'!$A$4:$A$119,0)),Scoring!$A$4:$N$51,8,FALSE()),0)+1*IFERROR(VLOOKUP(INDEX(' Toto teams'!$F$4:$F$119,MATCH($B7,' Toto teams'!$A$4:$A$119,0)),Scoring!$A$4:$N$51,8,FALSE()),0)+1*IFERROR(VLOOKUP(INDEX(' Toto teams'!$G$4:$G$119,MATCH($B7,' Toto teams'!$A$4:$A$119,0)),Scoring!$A$4:$N$51,8,FALSE()),0)+1*IFERROR(VLOOKUP(INDEX(' Toto teams'!$H$4:$H$119,MATCH($B7,' Toto teams'!$A$4:$A$119,0)),Scoring!$A$4:$N$51,8,FALSE()),0))</f>
        <v/>
      </c>
      <c r="F7" s="28">
        <f>IF($B7="","",6*IFERROR(VLOOKUP(INDEX(' Toto teams'!$B$4:$B$119,MATCH($B7,' Toto teams'!$A$4:$A$119,0)),Scoring!$A$4:$N$51,9,FALSE()),0)+4*IFERROR(VLOOKUP(INDEX(' Toto teams'!$C$4:$C$119,MATCH($B7,' Toto teams'!$A$4:$A$119,0)),Scoring!$A$4:$N$51,9,FALSE()),0)+3*IFERROR(VLOOKUP(INDEX(' Toto teams'!$D$4:$D$119,MATCH($B7,' Toto teams'!$A$4:$A$119,0)),Scoring!$A$4:$N$51,9,FALSE()),0)+2*IFERROR(VLOOKUP(INDEX(' Toto teams'!$E$4:$E$119,MATCH($B7,' Toto teams'!$A$4:$A$119,0)),Scoring!$A$4:$N$51,9,FALSE()),0)+1*IFERROR(VLOOKUP(INDEX(' Toto teams'!$F$4:$F$119,MATCH($B7,' Toto teams'!$A$4:$A$119,0)),Scoring!$A$4:$N$51,9,FALSE()),0)+1*IFERROR(VLOOKUP(INDEX(' Toto teams'!$G$4:$G$119,MATCH($B7,' Toto teams'!$A$4:$A$119,0)),Scoring!$A$4:$N$51,9,FALSE()),0)+1*IFERROR(VLOOKUP(INDEX(' Toto teams'!$H$4:$H$119,MATCH($B7,' Toto teams'!$A$4:$A$119,0)),Scoring!$A$4:$N$51,9,FALSE()),0))</f>
        <v/>
      </c>
      <c r="G7" s="28">
        <f>IF($B7="","",6*IFERROR(VLOOKUP(INDEX(' Toto teams'!$B$4:$B$119,MATCH($B7,' Toto teams'!$A$4:$A$119,0)),Scoring!$A$4:$N$51,10,FALSE()),0)+4*IFERROR(VLOOKUP(INDEX(' Toto teams'!$C$4:$C$119,MATCH($B7,' Toto teams'!$A$4:$A$119,0)),Scoring!$A$4:$N$51,10,FALSE()),0)+3*IFERROR(VLOOKUP(INDEX(' Toto teams'!$D$4:$D$119,MATCH($B7,' Toto teams'!$A$4:$A$119,0)),Scoring!$A$4:$N$51,10,FALSE()),0)+2*IFERROR(VLOOKUP(INDEX(' Toto teams'!$E$4:$E$119,MATCH($B7,' Toto teams'!$A$4:$A$119,0)),Scoring!$A$4:$N$51,10,FALSE()),0)+1*IFERROR(VLOOKUP(INDEX(' Toto teams'!$F$4:$F$119,MATCH($B7,' Toto teams'!$A$4:$A$119,0)),Scoring!$A$4:$N$51,10,FALSE()),0)+1*IFERROR(VLOOKUP(INDEX(' Toto teams'!$G$4:$G$119,MATCH($B7,' Toto teams'!$A$4:$A$119,0)),Scoring!$A$4:$N$51,10,FALSE()),0)+1*IFERROR(VLOOKUP(INDEX(' Toto teams'!$H$4:$H$119,MATCH($B7,' Toto teams'!$A$4:$A$119,0)),Scoring!$A$4:$N$51,10,FALSE()),0))</f>
        <v/>
      </c>
      <c r="H7" s="28">
        <f>IF($B7="","",6*IFERROR(VLOOKUP(INDEX(' Toto teams'!$B$4:$B$119,MATCH($B7,' Toto teams'!$A$4:$A$119,0)),Scoring!$A$4:$N$51,11,FALSE()),0)+4*IFERROR(VLOOKUP(INDEX(' Toto teams'!$C$4:$C$119,MATCH($B7,' Toto teams'!$A$4:$A$119,0)),Scoring!$A$4:$N$51,11,FALSE()),0)+3*IFERROR(VLOOKUP(INDEX(' Toto teams'!$D$4:$D$119,MATCH($B7,' Toto teams'!$A$4:$A$119,0)),Scoring!$A$4:$N$51,11,FALSE()),0)+2*IFERROR(VLOOKUP(INDEX(' Toto teams'!$E$4:$E$119,MATCH($B7,' Toto teams'!$A$4:$A$119,0)),Scoring!$A$4:$N$51,11,FALSE()),0)+1*IFERROR(VLOOKUP(INDEX(' Toto teams'!$F$4:$F$119,MATCH($B7,' Toto teams'!$A$4:$A$119,0)),Scoring!$A$4:$N$51,11,FALSE()),0)+1*IFERROR(VLOOKUP(INDEX(' Toto teams'!$G$4:$G$119,MATCH($B7,' Toto teams'!$A$4:$A$119,0)),Scoring!$A$4:$N$51,11,FALSE()),0)+1*IFERROR(VLOOKUP(INDEX(' Toto teams'!$H$4:$H$119,MATCH($B7,' Toto teams'!$A$4:$A$119,0)),Scoring!$A$4:$N$51,11,FALSE()),0))</f>
        <v/>
      </c>
      <c r="I7" s="28">
        <f>IF($B7="","",6*IFERROR(VLOOKUP(INDEX(' Toto teams'!$B$4:$B$119,MATCH($B7,' Toto teams'!$A$4:$A$119,0)),Scoring!$A$4:$O$51,15,FALSE()),0)+4*IFERROR(VLOOKUP(INDEX(' Toto teams'!$C$4:$C$119,MATCH($B7,' Toto teams'!$A$4:$A$119,0)),Scoring!$A$4:$O$51,15,FALSE()),0)+3*IFERROR(VLOOKUP(INDEX(' Toto teams'!$D$4:$D$119,MATCH($B7,' Toto teams'!$A$4:$A$119,0)),Scoring!$A$4:$O$51,15,FALSE()),0)+2*IFERROR(VLOOKUP(INDEX(' Toto teams'!$E$4:$E$119,MATCH($B7,' Toto teams'!$A$4:$A$119,0)),Scoring!$A$4:$O$51,15,FALSE()),0)+1*IFERROR(VLOOKUP(INDEX(' Toto teams'!$F$4:$F$119,MATCH($B7,' Toto teams'!$A$4:$A$119,0)),Scoring!$A$4:$O$51,15,FALSE()),0)+1*IFERROR(VLOOKUP(INDEX(' Toto teams'!$G$4:$G$119,MATCH($B7,' Toto teams'!$A$4:$A$119,0)),Scoring!$A$4:$O$51,15,FALSE()),0)+1*IFERROR(VLOOKUP(INDEX(' Toto teams'!$H$4:$H$119,MATCH($B7,' Toto teams'!$A$4:$A$119,0)),Scoring!$A$4:$O$51,15,FALSE()),0))</f>
        <v/>
      </c>
      <c r="J7" s="28">
        <f>IF($B7="","",6*IFERROR(VLOOKUP(INDEX(' Toto teams'!$B$4:$B$119,MATCH($B7,' Toto teams'!$A$4:$A$119,0)),Scoring!$A$4:$N$51,12,FALSE()),0)+4*IFERROR(VLOOKUP(INDEX(' Toto teams'!$C$4:$C$119,MATCH($B7,' Toto teams'!$A$4:$A$119,0)),Scoring!$A$4:$N$51,12,FALSE()),0)+3*IFERROR(VLOOKUP(INDEX(' Toto teams'!$D$4:$D$119,MATCH($B7,' Toto teams'!$A$4:$A$119,0)),Scoring!$A$4:$N$51,12,FALSE()),0)+2*IFERROR(VLOOKUP(INDEX(' Toto teams'!$E$4:$E$119,MATCH($B7,' Toto teams'!$A$4:$A$119,0)),Scoring!$A$4:$N$51,12,FALSE()),0)+1*IFERROR(VLOOKUP(INDEX(' Toto teams'!$F$4:$F$119,MATCH($B7,' Toto teams'!$A$4:$A$119,0)),Scoring!$A$4:$N$51,12,FALSE()),0)+1*IFERROR(VLOOKUP(INDEX(' Toto teams'!$G$4:$G$119,MATCH($B7,' Toto teams'!$A$4:$A$119,0)),Scoring!$A$4:$N$51,12,FALSE()),0)+1*IFERROR(VLOOKUP(INDEX(' Toto teams'!$H$4:$H$119,MATCH($B7,' Toto teams'!$A$4:$A$119,0)),Scoring!$A$4:$N$51,12,FALSE()),0))</f>
        <v/>
      </c>
      <c r="K7" s="29">
        <f>IF($B7="","",IFERROR(INDEX(' Toto teams'!$R$4:$R$119,MATCH($B7,' Toto teams'!$A$4:$A$119,0)),""))</f>
        <v/>
      </c>
      <c r="L7" s="30">
        <f>IFERROR(IF(B7="","",VLOOKUP(A7,$N$4:$R$12,5,FALSE())),0)</f>
        <v/>
      </c>
      <c r="N7" s="31" t="n">
        <v>4</v>
      </c>
      <c r="O7" s="32" t="n">
        <v>0.05</v>
      </c>
      <c r="P7" s="33">
        <f>$O$15*O7</f>
        <v/>
      </c>
      <c r="Q7" s="31">
        <f>COUNTIF($A$4:$A$119,N7)</f>
        <v/>
      </c>
      <c r="R7" s="34">
        <f>IF(Q7=0,0,SUMPRODUCT(($N$4:$N$12&gt;=N7)*($N$4:$N$12&lt;=N7+Q7-1)*$P$4:$P$12)/Q7)</f>
        <v/>
      </c>
    </row>
    <row r="8" ht="12.75" customHeight="1">
      <c r="A8" s="26">
        <f>IF(5&gt;COUNTIF(' Toto teams'!$A$4:$A$119,"&lt;&gt;"),"",INDEX(' Toto teams'!$S$4:$S$119,MATCH(LARGE(' Toto teams'!$T$4:$T$119,5),' Toto teams'!$T$4:$T$119,0)))</f>
        <v/>
      </c>
      <c r="B8" s="27">
        <f>IF(5&gt;COUNTIF(' Toto teams'!$A$4:$A$119,"&lt;&gt;"),"",INDEX(' Toto teams'!$A$4:$A$119,MATCH(LARGE(' Toto teams'!$T$4:$T$119,5),' Toto teams'!$T$4:$T$119,0)))</f>
        <v/>
      </c>
      <c r="C8" s="28">
        <f>IF($B8="","",6*(IFERROR(VLOOKUP(INDEX(' Toto teams'!$B$4:$B$119,MATCH($B8,' Toto teams'!$A$4:$A$119,0)),Scoring!$A$4:$N$51,3,FALSE()),0)+IFERROR(VLOOKUP(INDEX(' Toto teams'!$B$4:$B$119,MATCH($B8,' Toto teams'!$A$4:$A$119,0)),Scoring!$A$4:$N$51,4,FALSE()),0)+IFERROR(VLOOKUP(INDEX(' Toto teams'!$B$4:$B$119,MATCH($B8,' Toto teams'!$A$4:$A$119,0)),Scoring!$A$4:$N$51,5,FALSE()),0))+4*(IFERROR(VLOOKUP(INDEX(' Toto teams'!$C$4:$C$119,MATCH($B8,' Toto teams'!$A$4:$A$119,0)),Scoring!$A$4:$N$51,3,FALSE()),0)+IFERROR(VLOOKUP(INDEX(' Toto teams'!$C$4:$C$119,MATCH($B8,' Toto teams'!$A$4:$A$119,0)),Scoring!$A$4:$N$51,4,FALSE()),0)+IFERROR(VLOOKUP(INDEX(' Toto teams'!$C$4:$C$119,MATCH($B8,' Toto teams'!$A$4:$A$119,0)),Scoring!$A$4:$N$51,5,FALSE()),0))+3*(IFERROR(VLOOKUP(INDEX(' Toto teams'!$D$4:$D$119,MATCH($B8,' Toto teams'!$A$4:$A$119,0)),Scoring!$A$4:$N$51,3,FALSE()),0)+IFERROR(VLOOKUP(INDEX(' Toto teams'!$D$4:$D$119,MATCH($B8,' Toto teams'!$A$4:$A$119,0)),Scoring!$A$4:$N$51,4,FALSE()),0)+IFERROR(VLOOKUP(INDEX(' Toto teams'!$D$4:$D$119,MATCH($B8,' Toto teams'!$A$4:$A$119,0)),Scoring!$A$4:$N$51,5,FALSE()),0))+2*(IFERROR(VLOOKUP(INDEX(' Toto teams'!$E$4:$E$119,MATCH($B8,' Toto teams'!$A$4:$A$119,0)),Scoring!$A$4:$N$51,3,FALSE()),0)+IFERROR(VLOOKUP(INDEX(' Toto teams'!$E$4:$E$119,MATCH($B8,' Toto teams'!$A$4:$A$119,0)),Scoring!$A$4:$N$51,4,FALSE()),0)+IFERROR(VLOOKUP(INDEX(' Toto teams'!$E$4:$E$119,MATCH($B8,' Toto teams'!$A$4:$A$119,0)),Scoring!$A$4:$N$51,5,FALSE()),0))+1*(IFERROR(VLOOKUP(INDEX(' Toto teams'!$F$4:$F$119,MATCH($B8,' Toto teams'!$A$4:$A$119,0)),Scoring!$A$4:$N$51,3,FALSE()),0)+IFERROR(VLOOKUP(INDEX(' Toto teams'!$F$4:$F$119,MATCH($B8,' Toto teams'!$A$4:$A$119,0)),Scoring!$A$4:$N$51,4,FALSE()),0)+IFERROR(VLOOKUP(INDEX(' Toto teams'!$F$4:$F$119,MATCH($B8,' Toto teams'!$A$4:$A$119,0)),Scoring!$A$4:$N$51,5,FALSE()),0))+1*(IFERROR(VLOOKUP(INDEX(' Toto teams'!$G$4:$G$119,MATCH($B8,' Toto teams'!$A$4:$A$119,0)),Scoring!$A$4:$N$51,3,FALSE()),0)+IFERROR(VLOOKUP(INDEX(' Toto teams'!$G$4:$G$119,MATCH($B8,' Toto teams'!$A$4:$A$119,0)),Scoring!$A$4:$N$51,4,FALSE()),0)+IFERROR(VLOOKUP(INDEX(' Toto teams'!$G$4:$G$119,MATCH($B8,' Toto teams'!$A$4:$A$119,0)),Scoring!$A$4:$N$51,5,FALSE()),0))+1*(IFERROR(VLOOKUP(INDEX(' Toto teams'!$H$4:$H$119,MATCH($B8,' Toto teams'!$A$4:$A$119,0)),Scoring!$A$4:$N$51,3,FALSE()),0)+IFERROR(VLOOKUP(INDEX(' Toto teams'!$H$4:$H$119,MATCH($B8,' Toto teams'!$A$4:$A$119,0)),Scoring!$A$4:$N$51,4,FALSE()),0)+IFERROR(VLOOKUP(INDEX(' Toto teams'!$H$4:$H$119,MATCH($B8,' Toto teams'!$A$4:$A$119,0)),Scoring!$A$4:$N$51,5,FALSE()),0))+IFERROR(INDEX(' Toto teams'!$Q$4:$Q$119,MATCH($B8,' Toto teams'!$A$4:$A$119,0))*1,0))</f>
        <v/>
      </c>
      <c r="D8" s="28">
        <f>IF($B8="","",6*IFERROR(VLOOKUP(INDEX(' Toto teams'!$B$4:$B$119,MATCH($B8,' Toto teams'!$A$4:$A$119,0)),Scoring!$A$4:$N$51,7,FALSE()),0)+4*IFERROR(VLOOKUP(INDEX(' Toto teams'!$C$4:$C$119,MATCH($B8,' Toto teams'!$A$4:$A$119,0)),Scoring!$A$4:$N$51,7,FALSE()),0)+3*IFERROR(VLOOKUP(INDEX(' Toto teams'!$D$4:$D$119,MATCH($B8,' Toto teams'!$A$4:$A$119,0)),Scoring!$A$4:$N$51,7,FALSE()),0)+2*IFERROR(VLOOKUP(INDEX(' Toto teams'!$E$4:$E$119,MATCH($B8,' Toto teams'!$A$4:$A$119,0)),Scoring!$A$4:$N$51,7,FALSE()),0)+1*IFERROR(VLOOKUP(INDEX(' Toto teams'!$F$4:$F$119,MATCH($B8,' Toto teams'!$A$4:$A$119,0)),Scoring!$A$4:$N$51,7,FALSE()),0)+1*IFERROR(VLOOKUP(INDEX(' Toto teams'!$G$4:$G$119,MATCH($B8,' Toto teams'!$A$4:$A$119,0)),Scoring!$A$4:$N$51,7,FALSE()),0)+1*IFERROR(VLOOKUP(INDEX(' Toto teams'!$H$4:$H$119,MATCH($B8,' Toto teams'!$A$4:$A$119,0)),Scoring!$A$4:$N$51,7,FALSE()),0))</f>
        <v/>
      </c>
      <c r="E8" s="28">
        <f>IF($B8="","",6*IFERROR(VLOOKUP(INDEX(' Toto teams'!$B$4:$B$119,MATCH($B8,' Toto teams'!$A$4:$A$119,0)),Scoring!$A$4:$N$51,8,FALSE()),0)+4*IFERROR(VLOOKUP(INDEX(' Toto teams'!$C$4:$C$119,MATCH($B8,' Toto teams'!$A$4:$A$119,0)),Scoring!$A$4:$N$51,8,FALSE()),0)+3*IFERROR(VLOOKUP(INDEX(' Toto teams'!$D$4:$D$119,MATCH($B8,' Toto teams'!$A$4:$A$119,0)),Scoring!$A$4:$N$51,8,FALSE()),0)+2*IFERROR(VLOOKUP(INDEX(' Toto teams'!$E$4:$E$119,MATCH($B8,' Toto teams'!$A$4:$A$119,0)),Scoring!$A$4:$N$51,8,FALSE()),0)+1*IFERROR(VLOOKUP(INDEX(' Toto teams'!$F$4:$F$119,MATCH($B8,' Toto teams'!$A$4:$A$119,0)),Scoring!$A$4:$N$51,8,FALSE()),0)+1*IFERROR(VLOOKUP(INDEX(' Toto teams'!$G$4:$G$119,MATCH($B8,' Toto teams'!$A$4:$A$119,0)),Scoring!$A$4:$N$51,8,FALSE()),0)+1*IFERROR(VLOOKUP(INDEX(' Toto teams'!$H$4:$H$119,MATCH($B8,' Toto teams'!$A$4:$A$119,0)),Scoring!$A$4:$N$51,8,FALSE()),0))</f>
        <v/>
      </c>
      <c r="F8" s="28">
        <f>IF($B8="","",6*IFERROR(VLOOKUP(INDEX(' Toto teams'!$B$4:$B$119,MATCH($B8,' Toto teams'!$A$4:$A$119,0)),Scoring!$A$4:$N$51,9,FALSE()),0)+4*IFERROR(VLOOKUP(INDEX(' Toto teams'!$C$4:$C$119,MATCH($B8,' Toto teams'!$A$4:$A$119,0)),Scoring!$A$4:$N$51,9,FALSE()),0)+3*IFERROR(VLOOKUP(INDEX(' Toto teams'!$D$4:$D$119,MATCH($B8,' Toto teams'!$A$4:$A$119,0)),Scoring!$A$4:$N$51,9,FALSE()),0)+2*IFERROR(VLOOKUP(INDEX(' Toto teams'!$E$4:$E$119,MATCH($B8,' Toto teams'!$A$4:$A$119,0)),Scoring!$A$4:$N$51,9,FALSE()),0)+1*IFERROR(VLOOKUP(INDEX(' Toto teams'!$F$4:$F$119,MATCH($B8,' Toto teams'!$A$4:$A$119,0)),Scoring!$A$4:$N$51,9,FALSE()),0)+1*IFERROR(VLOOKUP(INDEX(' Toto teams'!$G$4:$G$119,MATCH($B8,' Toto teams'!$A$4:$A$119,0)),Scoring!$A$4:$N$51,9,FALSE()),0)+1*IFERROR(VLOOKUP(INDEX(' Toto teams'!$H$4:$H$119,MATCH($B8,' Toto teams'!$A$4:$A$119,0)),Scoring!$A$4:$N$51,9,FALSE()),0))</f>
        <v/>
      </c>
      <c r="G8" s="28">
        <f>IF($B8="","",6*IFERROR(VLOOKUP(INDEX(' Toto teams'!$B$4:$B$119,MATCH($B8,' Toto teams'!$A$4:$A$119,0)),Scoring!$A$4:$N$51,10,FALSE()),0)+4*IFERROR(VLOOKUP(INDEX(' Toto teams'!$C$4:$C$119,MATCH($B8,' Toto teams'!$A$4:$A$119,0)),Scoring!$A$4:$N$51,10,FALSE()),0)+3*IFERROR(VLOOKUP(INDEX(' Toto teams'!$D$4:$D$119,MATCH($B8,' Toto teams'!$A$4:$A$119,0)),Scoring!$A$4:$N$51,10,FALSE()),0)+2*IFERROR(VLOOKUP(INDEX(' Toto teams'!$E$4:$E$119,MATCH($B8,' Toto teams'!$A$4:$A$119,0)),Scoring!$A$4:$N$51,10,FALSE()),0)+1*IFERROR(VLOOKUP(INDEX(' Toto teams'!$F$4:$F$119,MATCH($B8,' Toto teams'!$A$4:$A$119,0)),Scoring!$A$4:$N$51,10,FALSE()),0)+1*IFERROR(VLOOKUP(INDEX(' Toto teams'!$G$4:$G$119,MATCH($B8,' Toto teams'!$A$4:$A$119,0)),Scoring!$A$4:$N$51,10,FALSE()),0)+1*IFERROR(VLOOKUP(INDEX(' Toto teams'!$H$4:$H$119,MATCH($B8,' Toto teams'!$A$4:$A$119,0)),Scoring!$A$4:$N$51,10,FALSE()),0))</f>
        <v/>
      </c>
      <c r="H8" s="28">
        <f>IF($B8="","",6*IFERROR(VLOOKUP(INDEX(' Toto teams'!$B$4:$B$119,MATCH($B8,' Toto teams'!$A$4:$A$119,0)),Scoring!$A$4:$N$51,11,FALSE()),0)+4*IFERROR(VLOOKUP(INDEX(' Toto teams'!$C$4:$C$119,MATCH($B8,' Toto teams'!$A$4:$A$119,0)),Scoring!$A$4:$N$51,11,FALSE()),0)+3*IFERROR(VLOOKUP(INDEX(' Toto teams'!$D$4:$D$119,MATCH($B8,' Toto teams'!$A$4:$A$119,0)),Scoring!$A$4:$N$51,11,FALSE()),0)+2*IFERROR(VLOOKUP(INDEX(' Toto teams'!$E$4:$E$119,MATCH($B8,' Toto teams'!$A$4:$A$119,0)),Scoring!$A$4:$N$51,11,FALSE()),0)+1*IFERROR(VLOOKUP(INDEX(' Toto teams'!$F$4:$F$119,MATCH($B8,' Toto teams'!$A$4:$A$119,0)),Scoring!$A$4:$N$51,11,FALSE()),0)+1*IFERROR(VLOOKUP(INDEX(' Toto teams'!$G$4:$G$119,MATCH($B8,' Toto teams'!$A$4:$A$119,0)),Scoring!$A$4:$N$51,11,FALSE()),0)+1*IFERROR(VLOOKUP(INDEX(' Toto teams'!$H$4:$H$119,MATCH($B8,' Toto teams'!$A$4:$A$119,0)),Scoring!$A$4:$N$51,11,FALSE()),0))</f>
        <v/>
      </c>
      <c r="I8" s="28">
        <f>IF($B8="","",6*IFERROR(VLOOKUP(INDEX(' Toto teams'!$B$4:$B$119,MATCH($B8,' Toto teams'!$A$4:$A$119,0)),Scoring!$A$4:$O$51,15,FALSE()),0)+4*IFERROR(VLOOKUP(INDEX(' Toto teams'!$C$4:$C$119,MATCH($B8,' Toto teams'!$A$4:$A$119,0)),Scoring!$A$4:$O$51,15,FALSE()),0)+3*IFERROR(VLOOKUP(INDEX(' Toto teams'!$D$4:$D$119,MATCH($B8,' Toto teams'!$A$4:$A$119,0)),Scoring!$A$4:$O$51,15,FALSE()),0)+2*IFERROR(VLOOKUP(INDEX(' Toto teams'!$E$4:$E$119,MATCH($B8,' Toto teams'!$A$4:$A$119,0)),Scoring!$A$4:$O$51,15,FALSE()),0)+1*IFERROR(VLOOKUP(INDEX(' Toto teams'!$F$4:$F$119,MATCH($B8,' Toto teams'!$A$4:$A$119,0)),Scoring!$A$4:$O$51,15,FALSE()),0)+1*IFERROR(VLOOKUP(INDEX(' Toto teams'!$G$4:$G$119,MATCH($B8,' Toto teams'!$A$4:$A$119,0)),Scoring!$A$4:$O$51,15,FALSE()),0)+1*IFERROR(VLOOKUP(INDEX(' Toto teams'!$H$4:$H$119,MATCH($B8,' Toto teams'!$A$4:$A$119,0)),Scoring!$A$4:$O$51,15,FALSE()),0))</f>
        <v/>
      </c>
      <c r="J8" s="28">
        <f>IF($B8="","",6*IFERROR(VLOOKUP(INDEX(' Toto teams'!$B$4:$B$119,MATCH($B8,' Toto teams'!$A$4:$A$119,0)),Scoring!$A$4:$N$51,12,FALSE()),0)+4*IFERROR(VLOOKUP(INDEX(' Toto teams'!$C$4:$C$119,MATCH($B8,' Toto teams'!$A$4:$A$119,0)),Scoring!$A$4:$N$51,12,FALSE()),0)+3*IFERROR(VLOOKUP(INDEX(' Toto teams'!$D$4:$D$119,MATCH($B8,' Toto teams'!$A$4:$A$119,0)),Scoring!$A$4:$N$51,12,FALSE()),0)+2*IFERROR(VLOOKUP(INDEX(' Toto teams'!$E$4:$E$119,MATCH($B8,' Toto teams'!$A$4:$A$119,0)),Scoring!$A$4:$N$51,12,FALSE()),0)+1*IFERROR(VLOOKUP(INDEX(' Toto teams'!$F$4:$F$119,MATCH($B8,' Toto teams'!$A$4:$A$119,0)),Scoring!$A$4:$N$51,12,FALSE()),0)+1*IFERROR(VLOOKUP(INDEX(' Toto teams'!$G$4:$G$119,MATCH($B8,' Toto teams'!$A$4:$A$119,0)),Scoring!$A$4:$N$51,12,FALSE()),0)+1*IFERROR(VLOOKUP(INDEX(' Toto teams'!$H$4:$H$119,MATCH($B8,' Toto teams'!$A$4:$A$119,0)),Scoring!$A$4:$N$51,12,FALSE()),0))</f>
        <v/>
      </c>
      <c r="K8" s="29">
        <f>IF($B8="","",IFERROR(INDEX(' Toto teams'!$R$4:$R$119,MATCH($B8,' Toto teams'!$A$4:$A$119,0)),""))</f>
        <v/>
      </c>
      <c r="L8" s="30">
        <f>IFERROR(IF(B8="","",VLOOKUP(A8,$N$4:$R$12,5,FALSE())),0)</f>
        <v/>
      </c>
      <c r="N8" s="31" t="n">
        <v>5</v>
      </c>
      <c r="O8" s="32" t="n">
        <v>0.05</v>
      </c>
      <c r="P8" s="33">
        <f>$O$15*O8</f>
        <v/>
      </c>
      <c r="Q8" s="31">
        <f>COUNTIF($A$4:$A$119,N8)</f>
        <v/>
      </c>
      <c r="R8" s="34">
        <f>IF(Q8=0,0,SUMPRODUCT(($N$4:$N$12&gt;=N8)*($N$4:$N$12&lt;=N8+Q8-1)*$P$4:$P$12)/Q8)</f>
        <v/>
      </c>
    </row>
    <row r="9" ht="12.75" customHeight="1">
      <c r="A9" s="26">
        <f>IF(6&gt;COUNTIF(' Toto teams'!$A$4:$A$119,"&lt;&gt;"),"",INDEX(' Toto teams'!$S$4:$S$119,MATCH(LARGE(' Toto teams'!$T$4:$T$119,6),' Toto teams'!$T$4:$T$119,0)))</f>
        <v/>
      </c>
      <c r="B9" s="27">
        <f>IF(6&gt;COUNTIF(' Toto teams'!$A$4:$A$119,"&lt;&gt;"),"",INDEX(' Toto teams'!$A$4:$A$119,MATCH(LARGE(' Toto teams'!$T$4:$T$119,6),' Toto teams'!$T$4:$T$119,0)))</f>
        <v/>
      </c>
      <c r="C9" s="28">
        <f>IF($B9="","",6*(IFERROR(VLOOKUP(INDEX(' Toto teams'!$B$4:$B$119,MATCH($B9,' Toto teams'!$A$4:$A$119,0)),Scoring!$A$4:$N$51,3,FALSE()),0)+IFERROR(VLOOKUP(INDEX(' Toto teams'!$B$4:$B$119,MATCH($B9,' Toto teams'!$A$4:$A$119,0)),Scoring!$A$4:$N$51,4,FALSE()),0)+IFERROR(VLOOKUP(INDEX(' Toto teams'!$B$4:$B$119,MATCH($B9,' Toto teams'!$A$4:$A$119,0)),Scoring!$A$4:$N$51,5,FALSE()),0))+4*(IFERROR(VLOOKUP(INDEX(' Toto teams'!$C$4:$C$119,MATCH($B9,' Toto teams'!$A$4:$A$119,0)),Scoring!$A$4:$N$51,3,FALSE()),0)+IFERROR(VLOOKUP(INDEX(' Toto teams'!$C$4:$C$119,MATCH($B9,' Toto teams'!$A$4:$A$119,0)),Scoring!$A$4:$N$51,4,FALSE()),0)+IFERROR(VLOOKUP(INDEX(' Toto teams'!$C$4:$C$119,MATCH($B9,' Toto teams'!$A$4:$A$119,0)),Scoring!$A$4:$N$51,5,FALSE()),0))+3*(IFERROR(VLOOKUP(INDEX(' Toto teams'!$D$4:$D$119,MATCH($B9,' Toto teams'!$A$4:$A$119,0)),Scoring!$A$4:$N$51,3,FALSE()),0)+IFERROR(VLOOKUP(INDEX(' Toto teams'!$D$4:$D$119,MATCH($B9,' Toto teams'!$A$4:$A$119,0)),Scoring!$A$4:$N$51,4,FALSE()),0)+IFERROR(VLOOKUP(INDEX(' Toto teams'!$D$4:$D$119,MATCH($B9,' Toto teams'!$A$4:$A$119,0)),Scoring!$A$4:$N$51,5,FALSE()),0))+2*(IFERROR(VLOOKUP(INDEX(' Toto teams'!$E$4:$E$119,MATCH($B9,' Toto teams'!$A$4:$A$119,0)),Scoring!$A$4:$N$51,3,FALSE()),0)+IFERROR(VLOOKUP(INDEX(' Toto teams'!$E$4:$E$119,MATCH($B9,' Toto teams'!$A$4:$A$119,0)),Scoring!$A$4:$N$51,4,FALSE()),0)+IFERROR(VLOOKUP(INDEX(' Toto teams'!$E$4:$E$119,MATCH($B9,' Toto teams'!$A$4:$A$119,0)),Scoring!$A$4:$N$51,5,FALSE()),0))+1*(IFERROR(VLOOKUP(INDEX(' Toto teams'!$F$4:$F$119,MATCH($B9,' Toto teams'!$A$4:$A$119,0)),Scoring!$A$4:$N$51,3,FALSE()),0)+IFERROR(VLOOKUP(INDEX(' Toto teams'!$F$4:$F$119,MATCH($B9,' Toto teams'!$A$4:$A$119,0)),Scoring!$A$4:$N$51,4,FALSE()),0)+IFERROR(VLOOKUP(INDEX(' Toto teams'!$F$4:$F$119,MATCH($B9,' Toto teams'!$A$4:$A$119,0)),Scoring!$A$4:$N$51,5,FALSE()),0))+1*(IFERROR(VLOOKUP(INDEX(' Toto teams'!$G$4:$G$119,MATCH($B9,' Toto teams'!$A$4:$A$119,0)),Scoring!$A$4:$N$51,3,FALSE()),0)+IFERROR(VLOOKUP(INDEX(' Toto teams'!$G$4:$G$119,MATCH($B9,' Toto teams'!$A$4:$A$119,0)),Scoring!$A$4:$N$51,4,FALSE()),0)+IFERROR(VLOOKUP(INDEX(' Toto teams'!$G$4:$G$119,MATCH($B9,' Toto teams'!$A$4:$A$119,0)),Scoring!$A$4:$N$51,5,FALSE()),0))+1*(IFERROR(VLOOKUP(INDEX(' Toto teams'!$H$4:$H$119,MATCH($B9,' Toto teams'!$A$4:$A$119,0)),Scoring!$A$4:$N$51,3,FALSE()),0)+IFERROR(VLOOKUP(INDEX(' Toto teams'!$H$4:$H$119,MATCH($B9,' Toto teams'!$A$4:$A$119,0)),Scoring!$A$4:$N$51,4,FALSE()),0)+IFERROR(VLOOKUP(INDEX(' Toto teams'!$H$4:$H$119,MATCH($B9,' Toto teams'!$A$4:$A$119,0)),Scoring!$A$4:$N$51,5,FALSE()),0))+IFERROR(INDEX(' Toto teams'!$Q$4:$Q$119,MATCH($B9,' Toto teams'!$A$4:$A$119,0))*1,0))</f>
        <v/>
      </c>
      <c r="D9" s="28">
        <f>IF($B9="","",6*IFERROR(VLOOKUP(INDEX(' Toto teams'!$B$4:$B$119,MATCH($B9,' Toto teams'!$A$4:$A$119,0)),Scoring!$A$4:$N$51,7,FALSE()),0)+4*IFERROR(VLOOKUP(INDEX(' Toto teams'!$C$4:$C$119,MATCH($B9,' Toto teams'!$A$4:$A$119,0)),Scoring!$A$4:$N$51,7,FALSE()),0)+3*IFERROR(VLOOKUP(INDEX(' Toto teams'!$D$4:$D$119,MATCH($B9,' Toto teams'!$A$4:$A$119,0)),Scoring!$A$4:$N$51,7,FALSE()),0)+2*IFERROR(VLOOKUP(INDEX(' Toto teams'!$E$4:$E$119,MATCH($B9,' Toto teams'!$A$4:$A$119,0)),Scoring!$A$4:$N$51,7,FALSE()),0)+1*IFERROR(VLOOKUP(INDEX(' Toto teams'!$F$4:$F$119,MATCH($B9,' Toto teams'!$A$4:$A$119,0)),Scoring!$A$4:$N$51,7,FALSE()),0)+1*IFERROR(VLOOKUP(INDEX(' Toto teams'!$G$4:$G$119,MATCH($B9,' Toto teams'!$A$4:$A$119,0)),Scoring!$A$4:$N$51,7,FALSE()),0)+1*IFERROR(VLOOKUP(INDEX(' Toto teams'!$H$4:$H$119,MATCH($B9,' Toto teams'!$A$4:$A$119,0)),Scoring!$A$4:$N$51,7,FALSE()),0))</f>
        <v/>
      </c>
      <c r="E9" s="28">
        <f>IF($B9="","",6*IFERROR(VLOOKUP(INDEX(' Toto teams'!$B$4:$B$119,MATCH($B9,' Toto teams'!$A$4:$A$119,0)),Scoring!$A$4:$N$51,8,FALSE()),0)+4*IFERROR(VLOOKUP(INDEX(' Toto teams'!$C$4:$C$119,MATCH($B9,' Toto teams'!$A$4:$A$119,0)),Scoring!$A$4:$N$51,8,FALSE()),0)+3*IFERROR(VLOOKUP(INDEX(' Toto teams'!$D$4:$D$119,MATCH($B9,' Toto teams'!$A$4:$A$119,0)),Scoring!$A$4:$N$51,8,FALSE()),0)+2*IFERROR(VLOOKUP(INDEX(' Toto teams'!$E$4:$E$119,MATCH($B9,' Toto teams'!$A$4:$A$119,0)),Scoring!$A$4:$N$51,8,FALSE()),0)+1*IFERROR(VLOOKUP(INDEX(' Toto teams'!$F$4:$F$119,MATCH($B9,' Toto teams'!$A$4:$A$119,0)),Scoring!$A$4:$N$51,8,FALSE()),0)+1*IFERROR(VLOOKUP(INDEX(' Toto teams'!$G$4:$G$119,MATCH($B9,' Toto teams'!$A$4:$A$119,0)),Scoring!$A$4:$N$51,8,FALSE()),0)+1*IFERROR(VLOOKUP(INDEX(' Toto teams'!$H$4:$H$119,MATCH($B9,' Toto teams'!$A$4:$A$119,0)),Scoring!$A$4:$N$51,8,FALSE()),0))</f>
        <v/>
      </c>
      <c r="F9" s="28">
        <f>IF($B9="","",6*IFERROR(VLOOKUP(INDEX(' Toto teams'!$B$4:$B$119,MATCH($B9,' Toto teams'!$A$4:$A$119,0)),Scoring!$A$4:$N$51,9,FALSE()),0)+4*IFERROR(VLOOKUP(INDEX(' Toto teams'!$C$4:$C$119,MATCH($B9,' Toto teams'!$A$4:$A$119,0)),Scoring!$A$4:$N$51,9,FALSE()),0)+3*IFERROR(VLOOKUP(INDEX(' Toto teams'!$D$4:$D$119,MATCH($B9,' Toto teams'!$A$4:$A$119,0)),Scoring!$A$4:$N$51,9,FALSE()),0)+2*IFERROR(VLOOKUP(INDEX(' Toto teams'!$E$4:$E$119,MATCH($B9,' Toto teams'!$A$4:$A$119,0)),Scoring!$A$4:$N$51,9,FALSE()),0)+1*IFERROR(VLOOKUP(INDEX(' Toto teams'!$F$4:$F$119,MATCH($B9,' Toto teams'!$A$4:$A$119,0)),Scoring!$A$4:$N$51,9,FALSE()),0)+1*IFERROR(VLOOKUP(INDEX(' Toto teams'!$G$4:$G$119,MATCH($B9,' Toto teams'!$A$4:$A$119,0)),Scoring!$A$4:$N$51,9,FALSE()),0)+1*IFERROR(VLOOKUP(INDEX(' Toto teams'!$H$4:$H$119,MATCH($B9,' Toto teams'!$A$4:$A$119,0)),Scoring!$A$4:$N$51,9,FALSE()),0))</f>
        <v/>
      </c>
      <c r="G9" s="28">
        <f>IF($B9="","",6*IFERROR(VLOOKUP(INDEX(' Toto teams'!$B$4:$B$119,MATCH($B9,' Toto teams'!$A$4:$A$119,0)),Scoring!$A$4:$N$51,10,FALSE()),0)+4*IFERROR(VLOOKUP(INDEX(' Toto teams'!$C$4:$C$119,MATCH($B9,' Toto teams'!$A$4:$A$119,0)),Scoring!$A$4:$N$51,10,FALSE()),0)+3*IFERROR(VLOOKUP(INDEX(' Toto teams'!$D$4:$D$119,MATCH($B9,' Toto teams'!$A$4:$A$119,0)),Scoring!$A$4:$N$51,10,FALSE()),0)+2*IFERROR(VLOOKUP(INDEX(' Toto teams'!$E$4:$E$119,MATCH($B9,' Toto teams'!$A$4:$A$119,0)),Scoring!$A$4:$N$51,10,FALSE()),0)+1*IFERROR(VLOOKUP(INDEX(' Toto teams'!$F$4:$F$119,MATCH($B9,' Toto teams'!$A$4:$A$119,0)),Scoring!$A$4:$N$51,10,FALSE()),0)+1*IFERROR(VLOOKUP(INDEX(' Toto teams'!$G$4:$G$119,MATCH($B9,' Toto teams'!$A$4:$A$119,0)),Scoring!$A$4:$N$51,10,FALSE()),0)+1*IFERROR(VLOOKUP(INDEX(' Toto teams'!$H$4:$H$119,MATCH($B9,' Toto teams'!$A$4:$A$119,0)),Scoring!$A$4:$N$51,10,FALSE()),0))</f>
        <v/>
      </c>
      <c r="H9" s="28">
        <f>IF($B9="","",6*IFERROR(VLOOKUP(INDEX(' Toto teams'!$B$4:$B$119,MATCH($B9,' Toto teams'!$A$4:$A$119,0)),Scoring!$A$4:$N$51,11,FALSE()),0)+4*IFERROR(VLOOKUP(INDEX(' Toto teams'!$C$4:$C$119,MATCH($B9,' Toto teams'!$A$4:$A$119,0)),Scoring!$A$4:$N$51,11,FALSE()),0)+3*IFERROR(VLOOKUP(INDEX(' Toto teams'!$D$4:$D$119,MATCH($B9,' Toto teams'!$A$4:$A$119,0)),Scoring!$A$4:$N$51,11,FALSE()),0)+2*IFERROR(VLOOKUP(INDEX(' Toto teams'!$E$4:$E$119,MATCH($B9,' Toto teams'!$A$4:$A$119,0)),Scoring!$A$4:$N$51,11,FALSE()),0)+1*IFERROR(VLOOKUP(INDEX(' Toto teams'!$F$4:$F$119,MATCH($B9,' Toto teams'!$A$4:$A$119,0)),Scoring!$A$4:$N$51,11,FALSE()),0)+1*IFERROR(VLOOKUP(INDEX(' Toto teams'!$G$4:$G$119,MATCH($B9,' Toto teams'!$A$4:$A$119,0)),Scoring!$A$4:$N$51,11,FALSE()),0)+1*IFERROR(VLOOKUP(INDEX(' Toto teams'!$H$4:$H$119,MATCH($B9,' Toto teams'!$A$4:$A$119,0)),Scoring!$A$4:$N$51,11,FALSE()),0))</f>
        <v/>
      </c>
      <c r="I9" s="28">
        <f>IF($B9="","",6*IFERROR(VLOOKUP(INDEX(' Toto teams'!$B$4:$B$119,MATCH($B9,' Toto teams'!$A$4:$A$119,0)),Scoring!$A$4:$O$51,15,FALSE()),0)+4*IFERROR(VLOOKUP(INDEX(' Toto teams'!$C$4:$C$119,MATCH($B9,' Toto teams'!$A$4:$A$119,0)),Scoring!$A$4:$O$51,15,FALSE()),0)+3*IFERROR(VLOOKUP(INDEX(' Toto teams'!$D$4:$D$119,MATCH($B9,' Toto teams'!$A$4:$A$119,0)),Scoring!$A$4:$O$51,15,FALSE()),0)+2*IFERROR(VLOOKUP(INDEX(' Toto teams'!$E$4:$E$119,MATCH($B9,' Toto teams'!$A$4:$A$119,0)),Scoring!$A$4:$O$51,15,FALSE()),0)+1*IFERROR(VLOOKUP(INDEX(' Toto teams'!$F$4:$F$119,MATCH($B9,' Toto teams'!$A$4:$A$119,0)),Scoring!$A$4:$O$51,15,FALSE()),0)+1*IFERROR(VLOOKUP(INDEX(' Toto teams'!$G$4:$G$119,MATCH($B9,' Toto teams'!$A$4:$A$119,0)),Scoring!$A$4:$O$51,15,FALSE()),0)+1*IFERROR(VLOOKUP(INDEX(' Toto teams'!$H$4:$H$119,MATCH($B9,' Toto teams'!$A$4:$A$119,0)),Scoring!$A$4:$O$51,15,FALSE()),0))</f>
        <v/>
      </c>
      <c r="J9" s="28">
        <f>IF($B9="","",6*IFERROR(VLOOKUP(INDEX(' Toto teams'!$B$4:$B$119,MATCH($B9,' Toto teams'!$A$4:$A$119,0)),Scoring!$A$4:$N$51,12,FALSE()),0)+4*IFERROR(VLOOKUP(INDEX(' Toto teams'!$C$4:$C$119,MATCH($B9,' Toto teams'!$A$4:$A$119,0)),Scoring!$A$4:$N$51,12,FALSE()),0)+3*IFERROR(VLOOKUP(INDEX(' Toto teams'!$D$4:$D$119,MATCH($B9,' Toto teams'!$A$4:$A$119,0)),Scoring!$A$4:$N$51,12,FALSE()),0)+2*IFERROR(VLOOKUP(INDEX(' Toto teams'!$E$4:$E$119,MATCH($B9,' Toto teams'!$A$4:$A$119,0)),Scoring!$A$4:$N$51,12,FALSE()),0)+1*IFERROR(VLOOKUP(INDEX(' Toto teams'!$F$4:$F$119,MATCH($B9,' Toto teams'!$A$4:$A$119,0)),Scoring!$A$4:$N$51,12,FALSE()),0)+1*IFERROR(VLOOKUP(INDEX(' Toto teams'!$G$4:$G$119,MATCH($B9,' Toto teams'!$A$4:$A$119,0)),Scoring!$A$4:$N$51,12,FALSE()),0)+1*IFERROR(VLOOKUP(INDEX(' Toto teams'!$H$4:$H$119,MATCH($B9,' Toto teams'!$A$4:$A$119,0)),Scoring!$A$4:$N$51,12,FALSE()),0))</f>
        <v/>
      </c>
      <c r="K9" s="29">
        <f>IF($B9="","",IFERROR(INDEX(' Toto teams'!$R$4:$R$119,MATCH($B9,' Toto teams'!$A$4:$A$119,0)),""))</f>
        <v/>
      </c>
      <c r="L9" s="30">
        <f>IFERROR(IF(B9="","",VLOOKUP(A9,$N$4:$R$12,5,FALSE())),0)</f>
        <v/>
      </c>
      <c r="N9" s="31" t="n">
        <v>6</v>
      </c>
      <c r="O9" s="32" t="n">
        <v>0.025</v>
      </c>
      <c r="P9" s="33">
        <f>$O$15*O9</f>
        <v/>
      </c>
      <c r="Q9" s="31">
        <f>COUNTIF($A$4:$A$119,N9)</f>
        <v/>
      </c>
      <c r="R9" s="34">
        <f>IF(Q9=0,0,SUMPRODUCT(($N$4:$N$12&gt;=N9)*($N$4:$N$12&lt;=N9+Q9-1)*$P$4:$P$12)/Q9)</f>
        <v/>
      </c>
    </row>
    <row r="10" ht="12.75" customHeight="1">
      <c r="A10" s="26">
        <f>IF(7&gt;COUNTIF(' Toto teams'!$A$4:$A$119,"&lt;&gt;"),"",INDEX(' Toto teams'!$S$4:$S$119,MATCH(LARGE(' Toto teams'!$T$4:$T$119,7),' Toto teams'!$T$4:$T$119,0)))</f>
        <v/>
      </c>
      <c r="B10" s="27">
        <f>IF(7&gt;COUNTIF(' Toto teams'!$A$4:$A$119,"&lt;&gt;"),"",INDEX(' Toto teams'!$A$4:$A$119,MATCH(LARGE(' Toto teams'!$T$4:$T$119,7),' Toto teams'!$T$4:$T$119,0)))</f>
        <v/>
      </c>
      <c r="C10" s="28">
        <f>IF($B10="","",6*(IFERROR(VLOOKUP(INDEX(' Toto teams'!$B$4:$B$119,MATCH($B10,' Toto teams'!$A$4:$A$119,0)),Scoring!$A$4:$N$51,3,FALSE()),0)+IFERROR(VLOOKUP(INDEX(' Toto teams'!$B$4:$B$119,MATCH($B10,' Toto teams'!$A$4:$A$119,0)),Scoring!$A$4:$N$51,4,FALSE()),0)+IFERROR(VLOOKUP(INDEX(' Toto teams'!$B$4:$B$119,MATCH($B10,' Toto teams'!$A$4:$A$119,0)),Scoring!$A$4:$N$51,5,FALSE()),0))+4*(IFERROR(VLOOKUP(INDEX(' Toto teams'!$C$4:$C$119,MATCH($B10,' Toto teams'!$A$4:$A$119,0)),Scoring!$A$4:$N$51,3,FALSE()),0)+IFERROR(VLOOKUP(INDEX(' Toto teams'!$C$4:$C$119,MATCH($B10,' Toto teams'!$A$4:$A$119,0)),Scoring!$A$4:$N$51,4,FALSE()),0)+IFERROR(VLOOKUP(INDEX(' Toto teams'!$C$4:$C$119,MATCH($B10,' Toto teams'!$A$4:$A$119,0)),Scoring!$A$4:$N$51,5,FALSE()),0))+3*(IFERROR(VLOOKUP(INDEX(' Toto teams'!$D$4:$D$119,MATCH($B10,' Toto teams'!$A$4:$A$119,0)),Scoring!$A$4:$N$51,3,FALSE()),0)+IFERROR(VLOOKUP(INDEX(' Toto teams'!$D$4:$D$119,MATCH($B10,' Toto teams'!$A$4:$A$119,0)),Scoring!$A$4:$N$51,4,FALSE()),0)+IFERROR(VLOOKUP(INDEX(' Toto teams'!$D$4:$D$119,MATCH($B10,' Toto teams'!$A$4:$A$119,0)),Scoring!$A$4:$N$51,5,FALSE()),0))+2*(IFERROR(VLOOKUP(INDEX(' Toto teams'!$E$4:$E$119,MATCH($B10,' Toto teams'!$A$4:$A$119,0)),Scoring!$A$4:$N$51,3,FALSE()),0)+IFERROR(VLOOKUP(INDEX(' Toto teams'!$E$4:$E$119,MATCH($B10,' Toto teams'!$A$4:$A$119,0)),Scoring!$A$4:$N$51,4,FALSE()),0)+IFERROR(VLOOKUP(INDEX(' Toto teams'!$E$4:$E$119,MATCH($B10,' Toto teams'!$A$4:$A$119,0)),Scoring!$A$4:$N$51,5,FALSE()),0))+1*(IFERROR(VLOOKUP(INDEX(' Toto teams'!$F$4:$F$119,MATCH($B10,' Toto teams'!$A$4:$A$119,0)),Scoring!$A$4:$N$51,3,FALSE()),0)+IFERROR(VLOOKUP(INDEX(' Toto teams'!$F$4:$F$119,MATCH($B10,' Toto teams'!$A$4:$A$119,0)),Scoring!$A$4:$N$51,4,FALSE()),0)+IFERROR(VLOOKUP(INDEX(' Toto teams'!$F$4:$F$119,MATCH($B10,' Toto teams'!$A$4:$A$119,0)),Scoring!$A$4:$N$51,5,FALSE()),0))+1*(IFERROR(VLOOKUP(INDEX(' Toto teams'!$G$4:$G$119,MATCH($B10,' Toto teams'!$A$4:$A$119,0)),Scoring!$A$4:$N$51,3,FALSE()),0)+IFERROR(VLOOKUP(INDEX(' Toto teams'!$G$4:$G$119,MATCH($B10,' Toto teams'!$A$4:$A$119,0)),Scoring!$A$4:$N$51,4,FALSE()),0)+IFERROR(VLOOKUP(INDEX(' Toto teams'!$G$4:$G$119,MATCH($B10,' Toto teams'!$A$4:$A$119,0)),Scoring!$A$4:$N$51,5,FALSE()),0))+1*(IFERROR(VLOOKUP(INDEX(' Toto teams'!$H$4:$H$119,MATCH($B10,' Toto teams'!$A$4:$A$119,0)),Scoring!$A$4:$N$51,3,FALSE()),0)+IFERROR(VLOOKUP(INDEX(' Toto teams'!$H$4:$H$119,MATCH($B10,' Toto teams'!$A$4:$A$119,0)),Scoring!$A$4:$N$51,4,FALSE()),0)+IFERROR(VLOOKUP(INDEX(' Toto teams'!$H$4:$H$119,MATCH($B10,' Toto teams'!$A$4:$A$119,0)),Scoring!$A$4:$N$51,5,FALSE()),0))+IFERROR(INDEX(' Toto teams'!$Q$4:$Q$119,MATCH($B10,' Toto teams'!$A$4:$A$119,0))*1,0))</f>
        <v/>
      </c>
      <c r="D10" s="28">
        <f>IF($B10="","",6*IFERROR(VLOOKUP(INDEX(' Toto teams'!$B$4:$B$119,MATCH($B10,' Toto teams'!$A$4:$A$119,0)),Scoring!$A$4:$N$51,7,FALSE()),0)+4*IFERROR(VLOOKUP(INDEX(' Toto teams'!$C$4:$C$119,MATCH($B10,' Toto teams'!$A$4:$A$119,0)),Scoring!$A$4:$N$51,7,FALSE()),0)+3*IFERROR(VLOOKUP(INDEX(' Toto teams'!$D$4:$D$119,MATCH($B10,' Toto teams'!$A$4:$A$119,0)),Scoring!$A$4:$N$51,7,FALSE()),0)+2*IFERROR(VLOOKUP(INDEX(' Toto teams'!$E$4:$E$119,MATCH($B10,' Toto teams'!$A$4:$A$119,0)),Scoring!$A$4:$N$51,7,FALSE()),0)+1*IFERROR(VLOOKUP(INDEX(' Toto teams'!$F$4:$F$119,MATCH($B10,' Toto teams'!$A$4:$A$119,0)),Scoring!$A$4:$N$51,7,FALSE()),0)+1*IFERROR(VLOOKUP(INDEX(' Toto teams'!$G$4:$G$119,MATCH($B10,' Toto teams'!$A$4:$A$119,0)),Scoring!$A$4:$N$51,7,FALSE()),0)+1*IFERROR(VLOOKUP(INDEX(' Toto teams'!$H$4:$H$119,MATCH($B10,' Toto teams'!$A$4:$A$119,0)),Scoring!$A$4:$N$51,7,FALSE()),0))</f>
        <v/>
      </c>
      <c r="E10" s="28">
        <f>IF($B10="","",6*IFERROR(VLOOKUP(INDEX(' Toto teams'!$B$4:$B$119,MATCH($B10,' Toto teams'!$A$4:$A$119,0)),Scoring!$A$4:$N$51,8,FALSE()),0)+4*IFERROR(VLOOKUP(INDEX(' Toto teams'!$C$4:$C$119,MATCH($B10,' Toto teams'!$A$4:$A$119,0)),Scoring!$A$4:$N$51,8,FALSE()),0)+3*IFERROR(VLOOKUP(INDEX(' Toto teams'!$D$4:$D$119,MATCH($B10,' Toto teams'!$A$4:$A$119,0)),Scoring!$A$4:$N$51,8,FALSE()),0)+2*IFERROR(VLOOKUP(INDEX(' Toto teams'!$E$4:$E$119,MATCH($B10,' Toto teams'!$A$4:$A$119,0)),Scoring!$A$4:$N$51,8,FALSE()),0)+1*IFERROR(VLOOKUP(INDEX(' Toto teams'!$F$4:$F$119,MATCH($B10,' Toto teams'!$A$4:$A$119,0)),Scoring!$A$4:$N$51,8,FALSE()),0)+1*IFERROR(VLOOKUP(INDEX(' Toto teams'!$G$4:$G$119,MATCH($B10,' Toto teams'!$A$4:$A$119,0)),Scoring!$A$4:$N$51,8,FALSE()),0)+1*IFERROR(VLOOKUP(INDEX(' Toto teams'!$H$4:$H$119,MATCH($B10,' Toto teams'!$A$4:$A$119,0)),Scoring!$A$4:$N$51,8,FALSE()),0))</f>
        <v/>
      </c>
      <c r="F10" s="28">
        <f>IF($B10="","",6*IFERROR(VLOOKUP(INDEX(' Toto teams'!$B$4:$B$119,MATCH($B10,' Toto teams'!$A$4:$A$119,0)),Scoring!$A$4:$N$51,9,FALSE()),0)+4*IFERROR(VLOOKUP(INDEX(' Toto teams'!$C$4:$C$119,MATCH($B10,' Toto teams'!$A$4:$A$119,0)),Scoring!$A$4:$N$51,9,FALSE()),0)+3*IFERROR(VLOOKUP(INDEX(' Toto teams'!$D$4:$D$119,MATCH($B10,' Toto teams'!$A$4:$A$119,0)),Scoring!$A$4:$N$51,9,FALSE()),0)+2*IFERROR(VLOOKUP(INDEX(' Toto teams'!$E$4:$E$119,MATCH($B10,' Toto teams'!$A$4:$A$119,0)),Scoring!$A$4:$N$51,9,FALSE()),0)+1*IFERROR(VLOOKUP(INDEX(' Toto teams'!$F$4:$F$119,MATCH($B10,' Toto teams'!$A$4:$A$119,0)),Scoring!$A$4:$N$51,9,FALSE()),0)+1*IFERROR(VLOOKUP(INDEX(' Toto teams'!$G$4:$G$119,MATCH($B10,' Toto teams'!$A$4:$A$119,0)),Scoring!$A$4:$N$51,9,FALSE()),0)+1*IFERROR(VLOOKUP(INDEX(' Toto teams'!$H$4:$H$119,MATCH($B10,' Toto teams'!$A$4:$A$119,0)),Scoring!$A$4:$N$51,9,FALSE()),0))</f>
        <v/>
      </c>
      <c r="G10" s="28">
        <f>IF($B10="","",6*IFERROR(VLOOKUP(INDEX(' Toto teams'!$B$4:$B$119,MATCH($B10,' Toto teams'!$A$4:$A$119,0)),Scoring!$A$4:$N$51,10,FALSE()),0)+4*IFERROR(VLOOKUP(INDEX(' Toto teams'!$C$4:$C$119,MATCH($B10,' Toto teams'!$A$4:$A$119,0)),Scoring!$A$4:$N$51,10,FALSE()),0)+3*IFERROR(VLOOKUP(INDEX(' Toto teams'!$D$4:$D$119,MATCH($B10,' Toto teams'!$A$4:$A$119,0)),Scoring!$A$4:$N$51,10,FALSE()),0)+2*IFERROR(VLOOKUP(INDEX(' Toto teams'!$E$4:$E$119,MATCH($B10,' Toto teams'!$A$4:$A$119,0)),Scoring!$A$4:$N$51,10,FALSE()),0)+1*IFERROR(VLOOKUP(INDEX(' Toto teams'!$F$4:$F$119,MATCH($B10,' Toto teams'!$A$4:$A$119,0)),Scoring!$A$4:$N$51,10,FALSE()),0)+1*IFERROR(VLOOKUP(INDEX(' Toto teams'!$G$4:$G$119,MATCH($B10,' Toto teams'!$A$4:$A$119,0)),Scoring!$A$4:$N$51,10,FALSE()),0)+1*IFERROR(VLOOKUP(INDEX(' Toto teams'!$H$4:$H$119,MATCH($B10,' Toto teams'!$A$4:$A$119,0)),Scoring!$A$4:$N$51,10,FALSE()),0))</f>
        <v/>
      </c>
      <c r="H10" s="28">
        <f>IF($B10="","",6*IFERROR(VLOOKUP(INDEX(' Toto teams'!$B$4:$B$119,MATCH($B10,' Toto teams'!$A$4:$A$119,0)),Scoring!$A$4:$N$51,11,FALSE()),0)+4*IFERROR(VLOOKUP(INDEX(' Toto teams'!$C$4:$C$119,MATCH($B10,' Toto teams'!$A$4:$A$119,0)),Scoring!$A$4:$N$51,11,FALSE()),0)+3*IFERROR(VLOOKUP(INDEX(' Toto teams'!$D$4:$D$119,MATCH($B10,' Toto teams'!$A$4:$A$119,0)),Scoring!$A$4:$N$51,11,FALSE()),0)+2*IFERROR(VLOOKUP(INDEX(' Toto teams'!$E$4:$E$119,MATCH($B10,' Toto teams'!$A$4:$A$119,0)),Scoring!$A$4:$N$51,11,FALSE()),0)+1*IFERROR(VLOOKUP(INDEX(' Toto teams'!$F$4:$F$119,MATCH($B10,' Toto teams'!$A$4:$A$119,0)),Scoring!$A$4:$N$51,11,FALSE()),0)+1*IFERROR(VLOOKUP(INDEX(' Toto teams'!$G$4:$G$119,MATCH($B10,' Toto teams'!$A$4:$A$119,0)),Scoring!$A$4:$N$51,11,FALSE()),0)+1*IFERROR(VLOOKUP(INDEX(' Toto teams'!$H$4:$H$119,MATCH($B10,' Toto teams'!$A$4:$A$119,0)),Scoring!$A$4:$N$51,11,FALSE()),0))</f>
        <v/>
      </c>
      <c r="I10" s="28">
        <f>IF($B10="","",6*IFERROR(VLOOKUP(INDEX(' Toto teams'!$B$4:$B$119,MATCH($B10,' Toto teams'!$A$4:$A$119,0)),Scoring!$A$4:$O$51,15,FALSE()),0)+4*IFERROR(VLOOKUP(INDEX(' Toto teams'!$C$4:$C$119,MATCH($B10,' Toto teams'!$A$4:$A$119,0)),Scoring!$A$4:$O$51,15,FALSE()),0)+3*IFERROR(VLOOKUP(INDEX(' Toto teams'!$D$4:$D$119,MATCH($B10,' Toto teams'!$A$4:$A$119,0)),Scoring!$A$4:$O$51,15,FALSE()),0)+2*IFERROR(VLOOKUP(INDEX(' Toto teams'!$E$4:$E$119,MATCH($B10,' Toto teams'!$A$4:$A$119,0)),Scoring!$A$4:$O$51,15,FALSE()),0)+1*IFERROR(VLOOKUP(INDEX(' Toto teams'!$F$4:$F$119,MATCH($B10,' Toto teams'!$A$4:$A$119,0)),Scoring!$A$4:$O$51,15,FALSE()),0)+1*IFERROR(VLOOKUP(INDEX(' Toto teams'!$G$4:$G$119,MATCH($B10,' Toto teams'!$A$4:$A$119,0)),Scoring!$A$4:$O$51,15,FALSE()),0)+1*IFERROR(VLOOKUP(INDEX(' Toto teams'!$H$4:$H$119,MATCH($B10,' Toto teams'!$A$4:$A$119,0)),Scoring!$A$4:$O$51,15,FALSE()),0))</f>
        <v/>
      </c>
      <c r="J10" s="28">
        <f>IF($B10="","",6*IFERROR(VLOOKUP(INDEX(' Toto teams'!$B$4:$B$119,MATCH($B10,' Toto teams'!$A$4:$A$119,0)),Scoring!$A$4:$N$51,12,FALSE()),0)+4*IFERROR(VLOOKUP(INDEX(' Toto teams'!$C$4:$C$119,MATCH($B10,' Toto teams'!$A$4:$A$119,0)),Scoring!$A$4:$N$51,12,FALSE()),0)+3*IFERROR(VLOOKUP(INDEX(' Toto teams'!$D$4:$D$119,MATCH($B10,' Toto teams'!$A$4:$A$119,0)),Scoring!$A$4:$N$51,12,FALSE()),0)+2*IFERROR(VLOOKUP(INDEX(' Toto teams'!$E$4:$E$119,MATCH($B10,' Toto teams'!$A$4:$A$119,0)),Scoring!$A$4:$N$51,12,FALSE()),0)+1*IFERROR(VLOOKUP(INDEX(' Toto teams'!$F$4:$F$119,MATCH($B10,' Toto teams'!$A$4:$A$119,0)),Scoring!$A$4:$N$51,12,FALSE()),0)+1*IFERROR(VLOOKUP(INDEX(' Toto teams'!$G$4:$G$119,MATCH($B10,' Toto teams'!$A$4:$A$119,0)),Scoring!$A$4:$N$51,12,FALSE()),0)+1*IFERROR(VLOOKUP(INDEX(' Toto teams'!$H$4:$H$119,MATCH($B10,' Toto teams'!$A$4:$A$119,0)),Scoring!$A$4:$N$51,12,FALSE()),0))</f>
        <v/>
      </c>
      <c r="K10" s="29">
        <f>IF($B10="","",IFERROR(INDEX(' Toto teams'!$R$4:$R$119,MATCH($B10,' Toto teams'!$A$4:$A$119,0)),""))</f>
        <v/>
      </c>
      <c r="L10" s="30">
        <f>IFERROR(IF(B10="","",VLOOKUP(A10,$N$4:$R$12,5,FALSE())),0)</f>
        <v/>
      </c>
      <c r="N10" s="31" t="n">
        <v>7</v>
      </c>
      <c r="O10" s="32" t="n">
        <v>0.025</v>
      </c>
      <c r="P10" s="33">
        <f>$O$15*O10</f>
        <v/>
      </c>
      <c r="Q10" s="31">
        <f>COUNTIF($A$4:$A$119,N10)</f>
        <v/>
      </c>
      <c r="R10" s="34">
        <f>IF(Q10=0,0,SUMPRODUCT(($N$4:$N$12&gt;=N10)*($N$4:$N$12&lt;=N10+Q10-1)*$P$4:$P$12)/Q10)</f>
        <v/>
      </c>
    </row>
    <row r="11" ht="12.75" customHeight="1">
      <c r="A11" s="26">
        <f>IF(8&gt;COUNTIF(' Toto teams'!$A$4:$A$119,"&lt;&gt;"),"",INDEX(' Toto teams'!$S$4:$S$119,MATCH(LARGE(' Toto teams'!$T$4:$T$119,8),' Toto teams'!$T$4:$T$119,0)))</f>
        <v/>
      </c>
      <c r="B11" s="27">
        <f>IF(8&gt;COUNTIF(' Toto teams'!$A$4:$A$119,"&lt;&gt;"),"",INDEX(' Toto teams'!$A$4:$A$119,MATCH(LARGE(' Toto teams'!$T$4:$T$119,8),' Toto teams'!$T$4:$T$119,0)))</f>
        <v/>
      </c>
      <c r="C11" s="28">
        <f>IF($B11="","",6*(IFERROR(VLOOKUP(INDEX(' Toto teams'!$B$4:$B$119,MATCH($B11,' Toto teams'!$A$4:$A$119,0)),Scoring!$A$4:$N$51,3,FALSE()),0)+IFERROR(VLOOKUP(INDEX(' Toto teams'!$B$4:$B$119,MATCH($B11,' Toto teams'!$A$4:$A$119,0)),Scoring!$A$4:$N$51,4,FALSE()),0)+IFERROR(VLOOKUP(INDEX(' Toto teams'!$B$4:$B$119,MATCH($B11,' Toto teams'!$A$4:$A$119,0)),Scoring!$A$4:$N$51,5,FALSE()),0))+4*(IFERROR(VLOOKUP(INDEX(' Toto teams'!$C$4:$C$119,MATCH($B11,' Toto teams'!$A$4:$A$119,0)),Scoring!$A$4:$N$51,3,FALSE()),0)+IFERROR(VLOOKUP(INDEX(' Toto teams'!$C$4:$C$119,MATCH($B11,' Toto teams'!$A$4:$A$119,0)),Scoring!$A$4:$N$51,4,FALSE()),0)+IFERROR(VLOOKUP(INDEX(' Toto teams'!$C$4:$C$119,MATCH($B11,' Toto teams'!$A$4:$A$119,0)),Scoring!$A$4:$N$51,5,FALSE()),0))+3*(IFERROR(VLOOKUP(INDEX(' Toto teams'!$D$4:$D$119,MATCH($B11,' Toto teams'!$A$4:$A$119,0)),Scoring!$A$4:$N$51,3,FALSE()),0)+IFERROR(VLOOKUP(INDEX(' Toto teams'!$D$4:$D$119,MATCH($B11,' Toto teams'!$A$4:$A$119,0)),Scoring!$A$4:$N$51,4,FALSE()),0)+IFERROR(VLOOKUP(INDEX(' Toto teams'!$D$4:$D$119,MATCH($B11,' Toto teams'!$A$4:$A$119,0)),Scoring!$A$4:$N$51,5,FALSE()),0))+2*(IFERROR(VLOOKUP(INDEX(' Toto teams'!$E$4:$E$119,MATCH($B11,' Toto teams'!$A$4:$A$119,0)),Scoring!$A$4:$N$51,3,FALSE()),0)+IFERROR(VLOOKUP(INDEX(' Toto teams'!$E$4:$E$119,MATCH($B11,' Toto teams'!$A$4:$A$119,0)),Scoring!$A$4:$N$51,4,FALSE()),0)+IFERROR(VLOOKUP(INDEX(' Toto teams'!$E$4:$E$119,MATCH($B11,' Toto teams'!$A$4:$A$119,0)),Scoring!$A$4:$N$51,5,FALSE()),0))+1*(IFERROR(VLOOKUP(INDEX(' Toto teams'!$F$4:$F$119,MATCH($B11,' Toto teams'!$A$4:$A$119,0)),Scoring!$A$4:$N$51,3,FALSE()),0)+IFERROR(VLOOKUP(INDEX(' Toto teams'!$F$4:$F$119,MATCH($B11,' Toto teams'!$A$4:$A$119,0)),Scoring!$A$4:$N$51,4,FALSE()),0)+IFERROR(VLOOKUP(INDEX(' Toto teams'!$F$4:$F$119,MATCH($B11,' Toto teams'!$A$4:$A$119,0)),Scoring!$A$4:$N$51,5,FALSE()),0))+1*(IFERROR(VLOOKUP(INDEX(' Toto teams'!$G$4:$G$119,MATCH($B11,' Toto teams'!$A$4:$A$119,0)),Scoring!$A$4:$N$51,3,FALSE()),0)+IFERROR(VLOOKUP(INDEX(' Toto teams'!$G$4:$G$119,MATCH($B11,' Toto teams'!$A$4:$A$119,0)),Scoring!$A$4:$N$51,4,FALSE()),0)+IFERROR(VLOOKUP(INDEX(' Toto teams'!$G$4:$G$119,MATCH($B11,' Toto teams'!$A$4:$A$119,0)),Scoring!$A$4:$N$51,5,FALSE()),0))+1*(IFERROR(VLOOKUP(INDEX(' Toto teams'!$H$4:$H$119,MATCH($B11,' Toto teams'!$A$4:$A$119,0)),Scoring!$A$4:$N$51,3,FALSE()),0)+IFERROR(VLOOKUP(INDEX(' Toto teams'!$H$4:$H$119,MATCH($B11,' Toto teams'!$A$4:$A$119,0)),Scoring!$A$4:$N$51,4,FALSE()),0)+IFERROR(VLOOKUP(INDEX(' Toto teams'!$H$4:$H$119,MATCH($B11,' Toto teams'!$A$4:$A$119,0)),Scoring!$A$4:$N$51,5,FALSE()),0))+IFERROR(INDEX(' Toto teams'!$Q$4:$Q$119,MATCH($B11,' Toto teams'!$A$4:$A$119,0))*1,0))</f>
        <v/>
      </c>
      <c r="D11" s="28">
        <f>IF($B11="","",6*IFERROR(VLOOKUP(INDEX(' Toto teams'!$B$4:$B$119,MATCH($B11,' Toto teams'!$A$4:$A$119,0)),Scoring!$A$4:$N$51,7,FALSE()),0)+4*IFERROR(VLOOKUP(INDEX(' Toto teams'!$C$4:$C$119,MATCH($B11,' Toto teams'!$A$4:$A$119,0)),Scoring!$A$4:$N$51,7,FALSE()),0)+3*IFERROR(VLOOKUP(INDEX(' Toto teams'!$D$4:$D$119,MATCH($B11,' Toto teams'!$A$4:$A$119,0)),Scoring!$A$4:$N$51,7,FALSE()),0)+2*IFERROR(VLOOKUP(INDEX(' Toto teams'!$E$4:$E$119,MATCH($B11,' Toto teams'!$A$4:$A$119,0)),Scoring!$A$4:$N$51,7,FALSE()),0)+1*IFERROR(VLOOKUP(INDEX(' Toto teams'!$F$4:$F$119,MATCH($B11,' Toto teams'!$A$4:$A$119,0)),Scoring!$A$4:$N$51,7,FALSE()),0)+1*IFERROR(VLOOKUP(INDEX(' Toto teams'!$G$4:$G$119,MATCH($B11,' Toto teams'!$A$4:$A$119,0)),Scoring!$A$4:$N$51,7,FALSE()),0)+1*IFERROR(VLOOKUP(INDEX(' Toto teams'!$H$4:$H$119,MATCH($B11,' Toto teams'!$A$4:$A$119,0)),Scoring!$A$4:$N$51,7,FALSE()),0))</f>
        <v/>
      </c>
      <c r="E11" s="28">
        <f>IF($B11="","",6*IFERROR(VLOOKUP(INDEX(' Toto teams'!$B$4:$B$119,MATCH($B11,' Toto teams'!$A$4:$A$119,0)),Scoring!$A$4:$N$51,8,FALSE()),0)+4*IFERROR(VLOOKUP(INDEX(' Toto teams'!$C$4:$C$119,MATCH($B11,' Toto teams'!$A$4:$A$119,0)),Scoring!$A$4:$N$51,8,FALSE()),0)+3*IFERROR(VLOOKUP(INDEX(' Toto teams'!$D$4:$D$119,MATCH($B11,' Toto teams'!$A$4:$A$119,0)),Scoring!$A$4:$N$51,8,FALSE()),0)+2*IFERROR(VLOOKUP(INDEX(' Toto teams'!$E$4:$E$119,MATCH($B11,' Toto teams'!$A$4:$A$119,0)),Scoring!$A$4:$N$51,8,FALSE()),0)+1*IFERROR(VLOOKUP(INDEX(' Toto teams'!$F$4:$F$119,MATCH($B11,' Toto teams'!$A$4:$A$119,0)),Scoring!$A$4:$N$51,8,FALSE()),0)+1*IFERROR(VLOOKUP(INDEX(' Toto teams'!$G$4:$G$119,MATCH($B11,' Toto teams'!$A$4:$A$119,0)),Scoring!$A$4:$N$51,8,FALSE()),0)+1*IFERROR(VLOOKUP(INDEX(' Toto teams'!$H$4:$H$119,MATCH($B11,' Toto teams'!$A$4:$A$119,0)),Scoring!$A$4:$N$51,8,FALSE()),0))</f>
        <v/>
      </c>
      <c r="F11" s="28">
        <f>IF($B11="","",6*IFERROR(VLOOKUP(INDEX(' Toto teams'!$B$4:$B$119,MATCH($B11,' Toto teams'!$A$4:$A$119,0)),Scoring!$A$4:$N$51,9,FALSE()),0)+4*IFERROR(VLOOKUP(INDEX(' Toto teams'!$C$4:$C$119,MATCH($B11,' Toto teams'!$A$4:$A$119,0)),Scoring!$A$4:$N$51,9,FALSE()),0)+3*IFERROR(VLOOKUP(INDEX(' Toto teams'!$D$4:$D$119,MATCH($B11,' Toto teams'!$A$4:$A$119,0)),Scoring!$A$4:$N$51,9,FALSE()),0)+2*IFERROR(VLOOKUP(INDEX(' Toto teams'!$E$4:$E$119,MATCH($B11,' Toto teams'!$A$4:$A$119,0)),Scoring!$A$4:$N$51,9,FALSE()),0)+1*IFERROR(VLOOKUP(INDEX(' Toto teams'!$F$4:$F$119,MATCH($B11,' Toto teams'!$A$4:$A$119,0)),Scoring!$A$4:$N$51,9,FALSE()),0)+1*IFERROR(VLOOKUP(INDEX(' Toto teams'!$G$4:$G$119,MATCH($B11,' Toto teams'!$A$4:$A$119,0)),Scoring!$A$4:$N$51,9,FALSE()),0)+1*IFERROR(VLOOKUP(INDEX(' Toto teams'!$H$4:$H$119,MATCH($B11,' Toto teams'!$A$4:$A$119,0)),Scoring!$A$4:$N$51,9,FALSE()),0))</f>
        <v/>
      </c>
      <c r="G11" s="28">
        <f>IF($B11="","",6*IFERROR(VLOOKUP(INDEX(' Toto teams'!$B$4:$B$119,MATCH($B11,' Toto teams'!$A$4:$A$119,0)),Scoring!$A$4:$N$51,10,FALSE()),0)+4*IFERROR(VLOOKUP(INDEX(' Toto teams'!$C$4:$C$119,MATCH($B11,' Toto teams'!$A$4:$A$119,0)),Scoring!$A$4:$N$51,10,FALSE()),0)+3*IFERROR(VLOOKUP(INDEX(' Toto teams'!$D$4:$D$119,MATCH($B11,' Toto teams'!$A$4:$A$119,0)),Scoring!$A$4:$N$51,10,FALSE()),0)+2*IFERROR(VLOOKUP(INDEX(' Toto teams'!$E$4:$E$119,MATCH($B11,' Toto teams'!$A$4:$A$119,0)),Scoring!$A$4:$N$51,10,FALSE()),0)+1*IFERROR(VLOOKUP(INDEX(' Toto teams'!$F$4:$F$119,MATCH($B11,' Toto teams'!$A$4:$A$119,0)),Scoring!$A$4:$N$51,10,FALSE()),0)+1*IFERROR(VLOOKUP(INDEX(' Toto teams'!$G$4:$G$119,MATCH($B11,' Toto teams'!$A$4:$A$119,0)),Scoring!$A$4:$N$51,10,FALSE()),0)+1*IFERROR(VLOOKUP(INDEX(' Toto teams'!$H$4:$H$119,MATCH($B11,' Toto teams'!$A$4:$A$119,0)),Scoring!$A$4:$N$51,10,FALSE()),0))</f>
        <v/>
      </c>
      <c r="H11" s="28">
        <f>IF($B11="","",6*IFERROR(VLOOKUP(INDEX(' Toto teams'!$B$4:$B$119,MATCH($B11,' Toto teams'!$A$4:$A$119,0)),Scoring!$A$4:$N$51,11,FALSE()),0)+4*IFERROR(VLOOKUP(INDEX(' Toto teams'!$C$4:$C$119,MATCH($B11,' Toto teams'!$A$4:$A$119,0)),Scoring!$A$4:$N$51,11,FALSE()),0)+3*IFERROR(VLOOKUP(INDEX(' Toto teams'!$D$4:$D$119,MATCH($B11,' Toto teams'!$A$4:$A$119,0)),Scoring!$A$4:$N$51,11,FALSE()),0)+2*IFERROR(VLOOKUP(INDEX(' Toto teams'!$E$4:$E$119,MATCH($B11,' Toto teams'!$A$4:$A$119,0)),Scoring!$A$4:$N$51,11,FALSE()),0)+1*IFERROR(VLOOKUP(INDEX(' Toto teams'!$F$4:$F$119,MATCH($B11,' Toto teams'!$A$4:$A$119,0)),Scoring!$A$4:$N$51,11,FALSE()),0)+1*IFERROR(VLOOKUP(INDEX(' Toto teams'!$G$4:$G$119,MATCH($B11,' Toto teams'!$A$4:$A$119,0)),Scoring!$A$4:$N$51,11,FALSE()),0)+1*IFERROR(VLOOKUP(INDEX(' Toto teams'!$H$4:$H$119,MATCH($B11,' Toto teams'!$A$4:$A$119,0)),Scoring!$A$4:$N$51,11,FALSE()),0))</f>
        <v/>
      </c>
      <c r="I11" s="28">
        <f>IF($B11="","",6*IFERROR(VLOOKUP(INDEX(' Toto teams'!$B$4:$B$119,MATCH($B11,' Toto teams'!$A$4:$A$119,0)),Scoring!$A$4:$O$51,15,FALSE()),0)+4*IFERROR(VLOOKUP(INDEX(' Toto teams'!$C$4:$C$119,MATCH($B11,' Toto teams'!$A$4:$A$119,0)),Scoring!$A$4:$O$51,15,FALSE()),0)+3*IFERROR(VLOOKUP(INDEX(' Toto teams'!$D$4:$D$119,MATCH($B11,' Toto teams'!$A$4:$A$119,0)),Scoring!$A$4:$O$51,15,FALSE()),0)+2*IFERROR(VLOOKUP(INDEX(' Toto teams'!$E$4:$E$119,MATCH($B11,' Toto teams'!$A$4:$A$119,0)),Scoring!$A$4:$O$51,15,FALSE()),0)+1*IFERROR(VLOOKUP(INDEX(' Toto teams'!$F$4:$F$119,MATCH($B11,' Toto teams'!$A$4:$A$119,0)),Scoring!$A$4:$O$51,15,FALSE()),0)+1*IFERROR(VLOOKUP(INDEX(' Toto teams'!$G$4:$G$119,MATCH($B11,' Toto teams'!$A$4:$A$119,0)),Scoring!$A$4:$O$51,15,FALSE()),0)+1*IFERROR(VLOOKUP(INDEX(' Toto teams'!$H$4:$H$119,MATCH($B11,' Toto teams'!$A$4:$A$119,0)),Scoring!$A$4:$O$51,15,FALSE()),0))</f>
        <v/>
      </c>
      <c r="J11" s="28">
        <f>IF($B11="","",6*IFERROR(VLOOKUP(INDEX(' Toto teams'!$B$4:$B$119,MATCH($B11,' Toto teams'!$A$4:$A$119,0)),Scoring!$A$4:$N$51,12,FALSE()),0)+4*IFERROR(VLOOKUP(INDEX(' Toto teams'!$C$4:$C$119,MATCH($B11,' Toto teams'!$A$4:$A$119,0)),Scoring!$A$4:$N$51,12,FALSE()),0)+3*IFERROR(VLOOKUP(INDEX(' Toto teams'!$D$4:$D$119,MATCH($B11,' Toto teams'!$A$4:$A$119,0)),Scoring!$A$4:$N$51,12,FALSE()),0)+2*IFERROR(VLOOKUP(INDEX(' Toto teams'!$E$4:$E$119,MATCH($B11,' Toto teams'!$A$4:$A$119,0)),Scoring!$A$4:$N$51,12,FALSE()),0)+1*IFERROR(VLOOKUP(INDEX(' Toto teams'!$F$4:$F$119,MATCH($B11,' Toto teams'!$A$4:$A$119,0)),Scoring!$A$4:$N$51,12,FALSE()),0)+1*IFERROR(VLOOKUP(INDEX(' Toto teams'!$G$4:$G$119,MATCH($B11,' Toto teams'!$A$4:$A$119,0)),Scoring!$A$4:$N$51,12,FALSE()),0)+1*IFERROR(VLOOKUP(INDEX(' Toto teams'!$H$4:$H$119,MATCH($B11,' Toto teams'!$A$4:$A$119,0)),Scoring!$A$4:$N$51,12,FALSE()),0))</f>
        <v/>
      </c>
      <c r="K11" s="29">
        <f>IF($B11="","",IFERROR(INDEX(' Toto teams'!$R$4:$R$119,MATCH($B11,' Toto teams'!$A$4:$A$119,0)),""))</f>
        <v/>
      </c>
      <c r="L11" s="30">
        <f>IFERROR(IF(B11="","",VLOOKUP(A11,$N$4:$R$12,5,FALSE())),0)</f>
        <v/>
      </c>
      <c r="N11" s="31" t="n">
        <v>8</v>
      </c>
      <c r="O11" s="32" t="n">
        <v>0.025</v>
      </c>
      <c r="P11" s="33">
        <f>$O$15*O11</f>
        <v/>
      </c>
      <c r="Q11" s="31">
        <f>COUNTIF($A$4:$A$119,N11)</f>
        <v/>
      </c>
      <c r="R11" s="34">
        <f>IF(Q11=0,0,SUMPRODUCT(($N$4:$N$12&gt;=N11)*($N$4:$N$12&lt;=N11+Q11-1)*$P$4:$P$12)/Q11)</f>
        <v/>
      </c>
    </row>
    <row r="12" ht="12.75" customHeight="1">
      <c r="A12" s="26">
        <f>IF(9&gt;COUNTIF(' Toto teams'!$A$4:$A$119,"&lt;&gt;"),"",INDEX(' Toto teams'!$S$4:$S$119,MATCH(LARGE(' Toto teams'!$T$4:$T$119,9),' Toto teams'!$T$4:$T$119,0)))</f>
        <v/>
      </c>
      <c r="B12" s="27">
        <f>IF(9&gt;COUNTIF(' Toto teams'!$A$4:$A$119,"&lt;&gt;"),"",INDEX(' Toto teams'!$A$4:$A$119,MATCH(LARGE(' Toto teams'!$T$4:$T$119,9),' Toto teams'!$T$4:$T$119,0)))</f>
        <v/>
      </c>
      <c r="C12" s="28">
        <f>IF($B12="","",6*(IFERROR(VLOOKUP(INDEX(' Toto teams'!$B$4:$B$119,MATCH($B12,' Toto teams'!$A$4:$A$119,0)),Scoring!$A$4:$N$51,3,FALSE()),0)+IFERROR(VLOOKUP(INDEX(' Toto teams'!$B$4:$B$119,MATCH($B12,' Toto teams'!$A$4:$A$119,0)),Scoring!$A$4:$N$51,4,FALSE()),0)+IFERROR(VLOOKUP(INDEX(' Toto teams'!$B$4:$B$119,MATCH($B12,' Toto teams'!$A$4:$A$119,0)),Scoring!$A$4:$N$51,5,FALSE()),0))+4*(IFERROR(VLOOKUP(INDEX(' Toto teams'!$C$4:$C$119,MATCH($B12,' Toto teams'!$A$4:$A$119,0)),Scoring!$A$4:$N$51,3,FALSE()),0)+IFERROR(VLOOKUP(INDEX(' Toto teams'!$C$4:$C$119,MATCH($B12,' Toto teams'!$A$4:$A$119,0)),Scoring!$A$4:$N$51,4,FALSE()),0)+IFERROR(VLOOKUP(INDEX(' Toto teams'!$C$4:$C$119,MATCH($B12,' Toto teams'!$A$4:$A$119,0)),Scoring!$A$4:$N$51,5,FALSE()),0))+3*(IFERROR(VLOOKUP(INDEX(' Toto teams'!$D$4:$D$119,MATCH($B12,' Toto teams'!$A$4:$A$119,0)),Scoring!$A$4:$N$51,3,FALSE()),0)+IFERROR(VLOOKUP(INDEX(' Toto teams'!$D$4:$D$119,MATCH($B12,' Toto teams'!$A$4:$A$119,0)),Scoring!$A$4:$N$51,4,FALSE()),0)+IFERROR(VLOOKUP(INDEX(' Toto teams'!$D$4:$D$119,MATCH($B12,' Toto teams'!$A$4:$A$119,0)),Scoring!$A$4:$N$51,5,FALSE()),0))+2*(IFERROR(VLOOKUP(INDEX(' Toto teams'!$E$4:$E$119,MATCH($B12,' Toto teams'!$A$4:$A$119,0)),Scoring!$A$4:$N$51,3,FALSE()),0)+IFERROR(VLOOKUP(INDEX(' Toto teams'!$E$4:$E$119,MATCH($B12,' Toto teams'!$A$4:$A$119,0)),Scoring!$A$4:$N$51,4,FALSE()),0)+IFERROR(VLOOKUP(INDEX(' Toto teams'!$E$4:$E$119,MATCH($B12,' Toto teams'!$A$4:$A$119,0)),Scoring!$A$4:$N$51,5,FALSE()),0))+1*(IFERROR(VLOOKUP(INDEX(' Toto teams'!$F$4:$F$119,MATCH($B12,' Toto teams'!$A$4:$A$119,0)),Scoring!$A$4:$N$51,3,FALSE()),0)+IFERROR(VLOOKUP(INDEX(' Toto teams'!$F$4:$F$119,MATCH($B12,' Toto teams'!$A$4:$A$119,0)),Scoring!$A$4:$N$51,4,FALSE()),0)+IFERROR(VLOOKUP(INDEX(' Toto teams'!$F$4:$F$119,MATCH($B12,' Toto teams'!$A$4:$A$119,0)),Scoring!$A$4:$N$51,5,FALSE()),0))+1*(IFERROR(VLOOKUP(INDEX(' Toto teams'!$G$4:$G$119,MATCH($B12,' Toto teams'!$A$4:$A$119,0)),Scoring!$A$4:$N$51,3,FALSE()),0)+IFERROR(VLOOKUP(INDEX(' Toto teams'!$G$4:$G$119,MATCH($B12,' Toto teams'!$A$4:$A$119,0)),Scoring!$A$4:$N$51,4,FALSE()),0)+IFERROR(VLOOKUP(INDEX(' Toto teams'!$G$4:$G$119,MATCH($B12,' Toto teams'!$A$4:$A$119,0)),Scoring!$A$4:$N$51,5,FALSE()),0))+1*(IFERROR(VLOOKUP(INDEX(' Toto teams'!$H$4:$H$119,MATCH($B12,' Toto teams'!$A$4:$A$119,0)),Scoring!$A$4:$N$51,3,FALSE()),0)+IFERROR(VLOOKUP(INDEX(' Toto teams'!$H$4:$H$119,MATCH($B12,' Toto teams'!$A$4:$A$119,0)),Scoring!$A$4:$N$51,4,FALSE()),0)+IFERROR(VLOOKUP(INDEX(' Toto teams'!$H$4:$H$119,MATCH($B12,' Toto teams'!$A$4:$A$119,0)),Scoring!$A$4:$N$51,5,FALSE()),0))+IFERROR(INDEX(' Toto teams'!$Q$4:$Q$119,MATCH($B12,' Toto teams'!$A$4:$A$119,0))*1,0))</f>
        <v/>
      </c>
      <c r="D12" s="28">
        <f>IF($B12="","",6*IFERROR(VLOOKUP(INDEX(' Toto teams'!$B$4:$B$119,MATCH($B12,' Toto teams'!$A$4:$A$119,0)),Scoring!$A$4:$N$51,7,FALSE()),0)+4*IFERROR(VLOOKUP(INDEX(' Toto teams'!$C$4:$C$119,MATCH($B12,' Toto teams'!$A$4:$A$119,0)),Scoring!$A$4:$N$51,7,FALSE()),0)+3*IFERROR(VLOOKUP(INDEX(' Toto teams'!$D$4:$D$119,MATCH($B12,' Toto teams'!$A$4:$A$119,0)),Scoring!$A$4:$N$51,7,FALSE()),0)+2*IFERROR(VLOOKUP(INDEX(' Toto teams'!$E$4:$E$119,MATCH($B12,' Toto teams'!$A$4:$A$119,0)),Scoring!$A$4:$N$51,7,FALSE()),0)+1*IFERROR(VLOOKUP(INDEX(' Toto teams'!$F$4:$F$119,MATCH($B12,' Toto teams'!$A$4:$A$119,0)),Scoring!$A$4:$N$51,7,FALSE()),0)+1*IFERROR(VLOOKUP(INDEX(' Toto teams'!$G$4:$G$119,MATCH($B12,' Toto teams'!$A$4:$A$119,0)),Scoring!$A$4:$N$51,7,FALSE()),0)+1*IFERROR(VLOOKUP(INDEX(' Toto teams'!$H$4:$H$119,MATCH($B12,' Toto teams'!$A$4:$A$119,0)),Scoring!$A$4:$N$51,7,FALSE()),0))</f>
        <v/>
      </c>
      <c r="E12" s="28">
        <f>IF($B12="","",6*IFERROR(VLOOKUP(INDEX(' Toto teams'!$B$4:$B$119,MATCH($B12,' Toto teams'!$A$4:$A$119,0)),Scoring!$A$4:$N$51,8,FALSE()),0)+4*IFERROR(VLOOKUP(INDEX(' Toto teams'!$C$4:$C$119,MATCH($B12,' Toto teams'!$A$4:$A$119,0)),Scoring!$A$4:$N$51,8,FALSE()),0)+3*IFERROR(VLOOKUP(INDEX(' Toto teams'!$D$4:$D$119,MATCH($B12,' Toto teams'!$A$4:$A$119,0)),Scoring!$A$4:$N$51,8,FALSE()),0)+2*IFERROR(VLOOKUP(INDEX(' Toto teams'!$E$4:$E$119,MATCH($B12,' Toto teams'!$A$4:$A$119,0)),Scoring!$A$4:$N$51,8,FALSE()),0)+1*IFERROR(VLOOKUP(INDEX(' Toto teams'!$F$4:$F$119,MATCH($B12,' Toto teams'!$A$4:$A$119,0)),Scoring!$A$4:$N$51,8,FALSE()),0)+1*IFERROR(VLOOKUP(INDEX(' Toto teams'!$G$4:$G$119,MATCH($B12,' Toto teams'!$A$4:$A$119,0)),Scoring!$A$4:$N$51,8,FALSE()),0)+1*IFERROR(VLOOKUP(INDEX(' Toto teams'!$H$4:$H$119,MATCH($B12,' Toto teams'!$A$4:$A$119,0)),Scoring!$A$4:$N$51,8,FALSE()),0))</f>
        <v/>
      </c>
      <c r="F12" s="28">
        <f>IF($B12="","",6*IFERROR(VLOOKUP(INDEX(' Toto teams'!$B$4:$B$119,MATCH($B12,' Toto teams'!$A$4:$A$119,0)),Scoring!$A$4:$N$51,9,FALSE()),0)+4*IFERROR(VLOOKUP(INDEX(' Toto teams'!$C$4:$C$119,MATCH($B12,' Toto teams'!$A$4:$A$119,0)),Scoring!$A$4:$N$51,9,FALSE()),0)+3*IFERROR(VLOOKUP(INDEX(' Toto teams'!$D$4:$D$119,MATCH($B12,' Toto teams'!$A$4:$A$119,0)),Scoring!$A$4:$N$51,9,FALSE()),0)+2*IFERROR(VLOOKUP(INDEX(' Toto teams'!$E$4:$E$119,MATCH($B12,' Toto teams'!$A$4:$A$119,0)),Scoring!$A$4:$N$51,9,FALSE()),0)+1*IFERROR(VLOOKUP(INDEX(' Toto teams'!$F$4:$F$119,MATCH($B12,' Toto teams'!$A$4:$A$119,0)),Scoring!$A$4:$N$51,9,FALSE()),0)+1*IFERROR(VLOOKUP(INDEX(' Toto teams'!$G$4:$G$119,MATCH($B12,' Toto teams'!$A$4:$A$119,0)),Scoring!$A$4:$N$51,9,FALSE()),0)+1*IFERROR(VLOOKUP(INDEX(' Toto teams'!$H$4:$H$119,MATCH($B12,' Toto teams'!$A$4:$A$119,0)),Scoring!$A$4:$N$51,9,FALSE()),0))</f>
        <v/>
      </c>
      <c r="G12" s="28">
        <f>IF($B12="","",6*IFERROR(VLOOKUP(INDEX(' Toto teams'!$B$4:$B$119,MATCH($B12,' Toto teams'!$A$4:$A$119,0)),Scoring!$A$4:$N$51,10,FALSE()),0)+4*IFERROR(VLOOKUP(INDEX(' Toto teams'!$C$4:$C$119,MATCH($B12,' Toto teams'!$A$4:$A$119,0)),Scoring!$A$4:$N$51,10,FALSE()),0)+3*IFERROR(VLOOKUP(INDEX(' Toto teams'!$D$4:$D$119,MATCH($B12,' Toto teams'!$A$4:$A$119,0)),Scoring!$A$4:$N$51,10,FALSE()),0)+2*IFERROR(VLOOKUP(INDEX(' Toto teams'!$E$4:$E$119,MATCH($B12,' Toto teams'!$A$4:$A$119,0)),Scoring!$A$4:$N$51,10,FALSE()),0)+1*IFERROR(VLOOKUP(INDEX(' Toto teams'!$F$4:$F$119,MATCH($B12,' Toto teams'!$A$4:$A$119,0)),Scoring!$A$4:$N$51,10,FALSE()),0)+1*IFERROR(VLOOKUP(INDEX(' Toto teams'!$G$4:$G$119,MATCH($B12,' Toto teams'!$A$4:$A$119,0)),Scoring!$A$4:$N$51,10,FALSE()),0)+1*IFERROR(VLOOKUP(INDEX(' Toto teams'!$H$4:$H$119,MATCH($B12,' Toto teams'!$A$4:$A$119,0)),Scoring!$A$4:$N$51,10,FALSE()),0))</f>
        <v/>
      </c>
      <c r="H12" s="28">
        <f>IF($B12="","",6*IFERROR(VLOOKUP(INDEX(' Toto teams'!$B$4:$B$119,MATCH($B12,' Toto teams'!$A$4:$A$119,0)),Scoring!$A$4:$N$51,11,FALSE()),0)+4*IFERROR(VLOOKUP(INDEX(' Toto teams'!$C$4:$C$119,MATCH($B12,' Toto teams'!$A$4:$A$119,0)),Scoring!$A$4:$N$51,11,FALSE()),0)+3*IFERROR(VLOOKUP(INDEX(' Toto teams'!$D$4:$D$119,MATCH($B12,' Toto teams'!$A$4:$A$119,0)),Scoring!$A$4:$N$51,11,FALSE()),0)+2*IFERROR(VLOOKUP(INDEX(' Toto teams'!$E$4:$E$119,MATCH($B12,' Toto teams'!$A$4:$A$119,0)),Scoring!$A$4:$N$51,11,FALSE()),0)+1*IFERROR(VLOOKUP(INDEX(' Toto teams'!$F$4:$F$119,MATCH($B12,' Toto teams'!$A$4:$A$119,0)),Scoring!$A$4:$N$51,11,FALSE()),0)+1*IFERROR(VLOOKUP(INDEX(' Toto teams'!$G$4:$G$119,MATCH($B12,' Toto teams'!$A$4:$A$119,0)),Scoring!$A$4:$N$51,11,FALSE()),0)+1*IFERROR(VLOOKUP(INDEX(' Toto teams'!$H$4:$H$119,MATCH($B12,' Toto teams'!$A$4:$A$119,0)),Scoring!$A$4:$N$51,11,FALSE()),0))</f>
        <v/>
      </c>
      <c r="I12" s="28">
        <f>IF($B12="","",6*IFERROR(VLOOKUP(INDEX(' Toto teams'!$B$4:$B$119,MATCH($B12,' Toto teams'!$A$4:$A$119,0)),Scoring!$A$4:$O$51,15,FALSE()),0)+4*IFERROR(VLOOKUP(INDEX(' Toto teams'!$C$4:$C$119,MATCH($B12,' Toto teams'!$A$4:$A$119,0)),Scoring!$A$4:$O$51,15,FALSE()),0)+3*IFERROR(VLOOKUP(INDEX(' Toto teams'!$D$4:$D$119,MATCH($B12,' Toto teams'!$A$4:$A$119,0)),Scoring!$A$4:$O$51,15,FALSE()),0)+2*IFERROR(VLOOKUP(INDEX(' Toto teams'!$E$4:$E$119,MATCH($B12,' Toto teams'!$A$4:$A$119,0)),Scoring!$A$4:$O$51,15,FALSE()),0)+1*IFERROR(VLOOKUP(INDEX(' Toto teams'!$F$4:$F$119,MATCH($B12,' Toto teams'!$A$4:$A$119,0)),Scoring!$A$4:$O$51,15,FALSE()),0)+1*IFERROR(VLOOKUP(INDEX(' Toto teams'!$G$4:$G$119,MATCH($B12,' Toto teams'!$A$4:$A$119,0)),Scoring!$A$4:$O$51,15,FALSE()),0)+1*IFERROR(VLOOKUP(INDEX(' Toto teams'!$H$4:$H$119,MATCH($B12,' Toto teams'!$A$4:$A$119,0)),Scoring!$A$4:$O$51,15,FALSE()),0))</f>
        <v/>
      </c>
      <c r="J12" s="28">
        <f>IF($B12="","",6*IFERROR(VLOOKUP(INDEX(' Toto teams'!$B$4:$B$119,MATCH($B12,' Toto teams'!$A$4:$A$119,0)),Scoring!$A$4:$N$51,12,FALSE()),0)+4*IFERROR(VLOOKUP(INDEX(' Toto teams'!$C$4:$C$119,MATCH($B12,' Toto teams'!$A$4:$A$119,0)),Scoring!$A$4:$N$51,12,FALSE()),0)+3*IFERROR(VLOOKUP(INDEX(' Toto teams'!$D$4:$D$119,MATCH($B12,' Toto teams'!$A$4:$A$119,0)),Scoring!$A$4:$N$51,12,FALSE()),0)+2*IFERROR(VLOOKUP(INDEX(' Toto teams'!$E$4:$E$119,MATCH($B12,' Toto teams'!$A$4:$A$119,0)),Scoring!$A$4:$N$51,12,FALSE()),0)+1*IFERROR(VLOOKUP(INDEX(' Toto teams'!$F$4:$F$119,MATCH($B12,' Toto teams'!$A$4:$A$119,0)),Scoring!$A$4:$N$51,12,FALSE()),0)+1*IFERROR(VLOOKUP(INDEX(' Toto teams'!$G$4:$G$119,MATCH($B12,' Toto teams'!$A$4:$A$119,0)),Scoring!$A$4:$N$51,12,FALSE()),0)+1*IFERROR(VLOOKUP(INDEX(' Toto teams'!$H$4:$H$119,MATCH($B12,' Toto teams'!$A$4:$A$119,0)),Scoring!$A$4:$N$51,12,FALSE()),0))</f>
        <v/>
      </c>
      <c r="K12" s="29">
        <f>IF($B12="","",IFERROR(INDEX(' Toto teams'!$R$4:$R$119,MATCH($B12,' Toto teams'!$A$4:$A$119,0)),""))</f>
        <v/>
      </c>
      <c r="L12" s="30">
        <f>IFERROR(IF(B12="","",VLOOKUP(A12,$N$4:$R$12,5,FALSE())),0)</f>
        <v/>
      </c>
      <c r="N12" s="31" t="n">
        <v>9</v>
      </c>
      <c r="O12" s="32" t="n">
        <v>0.025</v>
      </c>
      <c r="P12" s="33">
        <f>$O$15*O12</f>
        <v/>
      </c>
      <c r="Q12" s="31">
        <f>COUNTIF($A$4:$A$119,N12)</f>
        <v/>
      </c>
      <c r="R12" s="34">
        <f>IF(Q12=0,0,SUMPRODUCT(($N$4:$N$12&gt;=N12)*($N$4:$N$12&lt;=N12+Q12-1)*$P$4:$P$12)/Q12)</f>
        <v/>
      </c>
    </row>
    <row r="13" ht="12.75" customHeight="1">
      <c r="A13" s="26">
        <f>IF(10&gt;COUNTIF(' Toto teams'!$A$4:$A$119,"&lt;&gt;"),"",INDEX(' Toto teams'!$S$4:$S$119,MATCH(LARGE(' Toto teams'!$T$4:$T$119,10),' Toto teams'!$T$4:$T$119,0)))</f>
        <v/>
      </c>
      <c r="B13" s="27">
        <f>IF(10&gt;COUNTIF(' Toto teams'!$A$4:$A$119,"&lt;&gt;"),"",INDEX(' Toto teams'!$A$4:$A$119,MATCH(LARGE(' Toto teams'!$T$4:$T$119,10),' Toto teams'!$T$4:$T$119,0)))</f>
        <v/>
      </c>
      <c r="C13" s="28">
        <f>IF($B13="","",6*(IFERROR(VLOOKUP(INDEX(' Toto teams'!$B$4:$B$119,MATCH($B13,' Toto teams'!$A$4:$A$119,0)),Scoring!$A$4:$N$51,3,FALSE()),0)+IFERROR(VLOOKUP(INDEX(' Toto teams'!$B$4:$B$119,MATCH($B13,' Toto teams'!$A$4:$A$119,0)),Scoring!$A$4:$N$51,4,FALSE()),0)+IFERROR(VLOOKUP(INDEX(' Toto teams'!$B$4:$B$119,MATCH($B13,' Toto teams'!$A$4:$A$119,0)),Scoring!$A$4:$N$51,5,FALSE()),0))+4*(IFERROR(VLOOKUP(INDEX(' Toto teams'!$C$4:$C$119,MATCH($B13,' Toto teams'!$A$4:$A$119,0)),Scoring!$A$4:$N$51,3,FALSE()),0)+IFERROR(VLOOKUP(INDEX(' Toto teams'!$C$4:$C$119,MATCH($B13,' Toto teams'!$A$4:$A$119,0)),Scoring!$A$4:$N$51,4,FALSE()),0)+IFERROR(VLOOKUP(INDEX(' Toto teams'!$C$4:$C$119,MATCH($B13,' Toto teams'!$A$4:$A$119,0)),Scoring!$A$4:$N$51,5,FALSE()),0))+3*(IFERROR(VLOOKUP(INDEX(' Toto teams'!$D$4:$D$119,MATCH($B13,' Toto teams'!$A$4:$A$119,0)),Scoring!$A$4:$N$51,3,FALSE()),0)+IFERROR(VLOOKUP(INDEX(' Toto teams'!$D$4:$D$119,MATCH($B13,' Toto teams'!$A$4:$A$119,0)),Scoring!$A$4:$N$51,4,FALSE()),0)+IFERROR(VLOOKUP(INDEX(' Toto teams'!$D$4:$D$119,MATCH($B13,' Toto teams'!$A$4:$A$119,0)),Scoring!$A$4:$N$51,5,FALSE()),0))+2*(IFERROR(VLOOKUP(INDEX(' Toto teams'!$E$4:$E$119,MATCH($B13,' Toto teams'!$A$4:$A$119,0)),Scoring!$A$4:$N$51,3,FALSE()),0)+IFERROR(VLOOKUP(INDEX(' Toto teams'!$E$4:$E$119,MATCH($B13,' Toto teams'!$A$4:$A$119,0)),Scoring!$A$4:$N$51,4,FALSE()),0)+IFERROR(VLOOKUP(INDEX(' Toto teams'!$E$4:$E$119,MATCH($B13,' Toto teams'!$A$4:$A$119,0)),Scoring!$A$4:$N$51,5,FALSE()),0))+1*(IFERROR(VLOOKUP(INDEX(' Toto teams'!$F$4:$F$119,MATCH($B13,' Toto teams'!$A$4:$A$119,0)),Scoring!$A$4:$N$51,3,FALSE()),0)+IFERROR(VLOOKUP(INDEX(' Toto teams'!$F$4:$F$119,MATCH($B13,' Toto teams'!$A$4:$A$119,0)),Scoring!$A$4:$N$51,4,FALSE()),0)+IFERROR(VLOOKUP(INDEX(' Toto teams'!$F$4:$F$119,MATCH($B13,' Toto teams'!$A$4:$A$119,0)),Scoring!$A$4:$N$51,5,FALSE()),0))+1*(IFERROR(VLOOKUP(INDEX(' Toto teams'!$G$4:$G$119,MATCH($B13,' Toto teams'!$A$4:$A$119,0)),Scoring!$A$4:$N$51,3,FALSE()),0)+IFERROR(VLOOKUP(INDEX(' Toto teams'!$G$4:$G$119,MATCH($B13,' Toto teams'!$A$4:$A$119,0)),Scoring!$A$4:$N$51,4,FALSE()),0)+IFERROR(VLOOKUP(INDEX(' Toto teams'!$G$4:$G$119,MATCH($B13,' Toto teams'!$A$4:$A$119,0)),Scoring!$A$4:$N$51,5,FALSE()),0))+1*(IFERROR(VLOOKUP(INDEX(' Toto teams'!$H$4:$H$119,MATCH($B13,' Toto teams'!$A$4:$A$119,0)),Scoring!$A$4:$N$51,3,FALSE()),0)+IFERROR(VLOOKUP(INDEX(' Toto teams'!$H$4:$H$119,MATCH($B13,' Toto teams'!$A$4:$A$119,0)),Scoring!$A$4:$N$51,4,FALSE()),0)+IFERROR(VLOOKUP(INDEX(' Toto teams'!$H$4:$H$119,MATCH($B13,' Toto teams'!$A$4:$A$119,0)),Scoring!$A$4:$N$51,5,FALSE()),0))+IFERROR(INDEX(' Toto teams'!$Q$4:$Q$119,MATCH($B13,' Toto teams'!$A$4:$A$119,0))*1,0))</f>
        <v/>
      </c>
      <c r="D13" s="28">
        <f>IF($B13="","",6*IFERROR(VLOOKUP(INDEX(' Toto teams'!$B$4:$B$119,MATCH($B13,' Toto teams'!$A$4:$A$119,0)),Scoring!$A$4:$N$51,7,FALSE()),0)+4*IFERROR(VLOOKUP(INDEX(' Toto teams'!$C$4:$C$119,MATCH($B13,' Toto teams'!$A$4:$A$119,0)),Scoring!$A$4:$N$51,7,FALSE()),0)+3*IFERROR(VLOOKUP(INDEX(' Toto teams'!$D$4:$D$119,MATCH($B13,' Toto teams'!$A$4:$A$119,0)),Scoring!$A$4:$N$51,7,FALSE()),0)+2*IFERROR(VLOOKUP(INDEX(' Toto teams'!$E$4:$E$119,MATCH($B13,' Toto teams'!$A$4:$A$119,0)),Scoring!$A$4:$N$51,7,FALSE()),0)+1*IFERROR(VLOOKUP(INDEX(' Toto teams'!$F$4:$F$119,MATCH($B13,' Toto teams'!$A$4:$A$119,0)),Scoring!$A$4:$N$51,7,FALSE()),0)+1*IFERROR(VLOOKUP(INDEX(' Toto teams'!$G$4:$G$119,MATCH($B13,' Toto teams'!$A$4:$A$119,0)),Scoring!$A$4:$N$51,7,FALSE()),0)+1*IFERROR(VLOOKUP(INDEX(' Toto teams'!$H$4:$H$119,MATCH($B13,' Toto teams'!$A$4:$A$119,0)),Scoring!$A$4:$N$51,7,FALSE()),0))</f>
        <v/>
      </c>
      <c r="E13" s="28">
        <f>IF($B13="","",6*IFERROR(VLOOKUP(INDEX(' Toto teams'!$B$4:$B$119,MATCH($B13,' Toto teams'!$A$4:$A$119,0)),Scoring!$A$4:$N$51,8,FALSE()),0)+4*IFERROR(VLOOKUP(INDEX(' Toto teams'!$C$4:$C$119,MATCH($B13,' Toto teams'!$A$4:$A$119,0)),Scoring!$A$4:$N$51,8,FALSE()),0)+3*IFERROR(VLOOKUP(INDEX(' Toto teams'!$D$4:$D$119,MATCH($B13,' Toto teams'!$A$4:$A$119,0)),Scoring!$A$4:$N$51,8,FALSE()),0)+2*IFERROR(VLOOKUP(INDEX(' Toto teams'!$E$4:$E$119,MATCH($B13,' Toto teams'!$A$4:$A$119,0)),Scoring!$A$4:$N$51,8,FALSE()),0)+1*IFERROR(VLOOKUP(INDEX(' Toto teams'!$F$4:$F$119,MATCH($B13,' Toto teams'!$A$4:$A$119,0)),Scoring!$A$4:$N$51,8,FALSE()),0)+1*IFERROR(VLOOKUP(INDEX(' Toto teams'!$G$4:$G$119,MATCH($B13,' Toto teams'!$A$4:$A$119,0)),Scoring!$A$4:$N$51,8,FALSE()),0)+1*IFERROR(VLOOKUP(INDEX(' Toto teams'!$H$4:$H$119,MATCH($B13,' Toto teams'!$A$4:$A$119,0)),Scoring!$A$4:$N$51,8,FALSE()),0))</f>
        <v/>
      </c>
      <c r="F13" s="28">
        <f>IF($B13="","",6*IFERROR(VLOOKUP(INDEX(' Toto teams'!$B$4:$B$119,MATCH($B13,' Toto teams'!$A$4:$A$119,0)),Scoring!$A$4:$N$51,9,FALSE()),0)+4*IFERROR(VLOOKUP(INDEX(' Toto teams'!$C$4:$C$119,MATCH($B13,' Toto teams'!$A$4:$A$119,0)),Scoring!$A$4:$N$51,9,FALSE()),0)+3*IFERROR(VLOOKUP(INDEX(' Toto teams'!$D$4:$D$119,MATCH($B13,' Toto teams'!$A$4:$A$119,0)),Scoring!$A$4:$N$51,9,FALSE()),0)+2*IFERROR(VLOOKUP(INDEX(' Toto teams'!$E$4:$E$119,MATCH($B13,' Toto teams'!$A$4:$A$119,0)),Scoring!$A$4:$N$51,9,FALSE()),0)+1*IFERROR(VLOOKUP(INDEX(' Toto teams'!$F$4:$F$119,MATCH($B13,' Toto teams'!$A$4:$A$119,0)),Scoring!$A$4:$N$51,9,FALSE()),0)+1*IFERROR(VLOOKUP(INDEX(' Toto teams'!$G$4:$G$119,MATCH($B13,' Toto teams'!$A$4:$A$119,0)),Scoring!$A$4:$N$51,9,FALSE()),0)+1*IFERROR(VLOOKUP(INDEX(' Toto teams'!$H$4:$H$119,MATCH($B13,' Toto teams'!$A$4:$A$119,0)),Scoring!$A$4:$N$51,9,FALSE()),0))</f>
        <v/>
      </c>
      <c r="G13" s="28">
        <f>IF($B13="","",6*IFERROR(VLOOKUP(INDEX(' Toto teams'!$B$4:$B$119,MATCH($B13,' Toto teams'!$A$4:$A$119,0)),Scoring!$A$4:$N$51,10,FALSE()),0)+4*IFERROR(VLOOKUP(INDEX(' Toto teams'!$C$4:$C$119,MATCH($B13,' Toto teams'!$A$4:$A$119,0)),Scoring!$A$4:$N$51,10,FALSE()),0)+3*IFERROR(VLOOKUP(INDEX(' Toto teams'!$D$4:$D$119,MATCH($B13,' Toto teams'!$A$4:$A$119,0)),Scoring!$A$4:$N$51,10,FALSE()),0)+2*IFERROR(VLOOKUP(INDEX(' Toto teams'!$E$4:$E$119,MATCH($B13,' Toto teams'!$A$4:$A$119,0)),Scoring!$A$4:$N$51,10,FALSE()),0)+1*IFERROR(VLOOKUP(INDEX(' Toto teams'!$F$4:$F$119,MATCH($B13,' Toto teams'!$A$4:$A$119,0)),Scoring!$A$4:$N$51,10,FALSE()),0)+1*IFERROR(VLOOKUP(INDEX(' Toto teams'!$G$4:$G$119,MATCH($B13,' Toto teams'!$A$4:$A$119,0)),Scoring!$A$4:$N$51,10,FALSE()),0)+1*IFERROR(VLOOKUP(INDEX(' Toto teams'!$H$4:$H$119,MATCH($B13,' Toto teams'!$A$4:$A$119,0)),Scoring!$A$4:$N$51,10,FALSE()),0))</f>
        <v/>
      </c>
      <c r="H13" s="28">
        <f>IF($B13="","",6*IFERROR(VLOOKUP(INDEX(' Toto teams'!$B$4:$B$119,MATCH($B13,' Toto teams'!$A$4:$A$119,0)),Scoring!$A$4:$N$51,11,FALSE()),0)+4*IFERROR(VLOOKUP(INDEX(' Toto teams'!$C$4:$C$119,MATCH($B13,' Toto teams'!$A$4:$A$119,0)),Scoring!$A$4:$N$51,11,FALSE()),0)+3*IFERROR(VLOOKUP(INDEX(' Toto teams'!$D$4:$D$119,MATCH($B13,' Toto teams'!$A$4:$A$119,0)),Scoring!$A$4:$N$51,11,FALSE()),0)+2*IFERROR(VLOOKUP(INDEX(' Toto teams'!$E$4:$E$119,MATCH($B13,' Toto teams'!$A$4:$A$119,0)),Scoring!$A$4:$N$51,11,FALSE()),0)+1*IFERROR(VLOOKUP(INDEX(' Toto teams'!$F$4:$F$119,MATCH($B13,' Toto teams'!$A$4:$A$119,0)),Scoring!$A$4:$N$51,11,FALSE()),0)+1*IFERROR(VLOOKUP(INDEX(' Toto teams'!$G$4:$G$119,MATCH($B13,' Toto teams'!$A$4:$A$119,0)),Scoring!$A$4:$N$51,11,FALSE()),0)+1*IFERROR(VLOOKUP(INDEX(' Toto teams'!$H$4:$H$119,MATCH($B13,' Toto teams'!$A$4:$A$119,0)),Scoring!$A$4:$N$51,11,FALSE()),0))</f>
        <v/>
      </c>
      <c r="I13" s="28">
        <f>IF($B13="","",6*IFERROR(VLOOKUP(INDEX(' Toto teams'!$B$4:$B$119,MATCH($B13,' Toto teams'!$A$4:$A$119,0)),Scoring!$A$4:$O$51,15,FALSE()),0)+4*IFERROR(VLOOKUP(INDEX(' Toto teams'!$C$4:$C$119,MATCH($B13,' Toto teams'!$A$4:$A$119,0)),Scoring!$A$4:$O$51,15,FALSE()),0)+3*IFERROR(VLOOKUP(INDEX(' Toto teams'!$D$4:$D$119,MATCH($B13,' Toto teams'!$A$4:$A$119,0)),Scoring!$A$4:$O$51,15,FALSE()),0)+2*IFERROR(VLOOKUP(INDEX(' Toto teams'!$E$4:$E$119,MATCH($B13,' Toto teams'!$A$4:$A$119,0)),Scoring!$A$4:$O$51,15,FALSE()),0)+1*IFERROR(VLOOKUP(INDEX(' Toto teams'!$F$4:$F$119,MATCH($B13,' Toto teams'!$A$4:$A$119,0)),Scoring!$A$4:$O$51,15,FALSE()),0)+1*IFERROR(VLOOKUP(INDEX(' Toto teams'!$G$4:$G$119,MATCH($B13,' Toto teams'!$A$4:$A$119,0)),Scoring!$A$4:$O$51,15,FALSE()),0)+1*IFERROR(VLOOKUP(INDEX(' Toto teams'!$H$4:$H$119,MATCH($B13,' Toto teams'!$A$4:$A$119,0)),Scoring!$A$4:$O$51,15,FALSE()),0))</f>
        <v/>
      </c>
      <c r="J13" s="28">
        <f>IF($B13="","",6*IFERROR(VLOOKUP(INDEX(' Toto teams'!$B$4:$B$119,MATCH($B13,' Toto teams'!$A$4:$A$119,0)),Scoring!$A$4:$N$51,12,FALSE()),0)+4*IFERROR(VLOOKUP(INDEX(' Toto teams'!$C$4:$C$119,MATCH($B13,' Toto teams'!$A$4:$A$119,0)),Scoring!$A$4:$N$51,12,FALSE()),0)+3*IFERROR(VLOOKUP(INDEX(' Toto teams'!$D$4:$D$119,MATCH($B13,' Toto teams'!$A$4:$A$119,0)),Scoring!$A$4:$N$51,12,FALSE()),0)+2*IFERROR(VLOOKUP(INDEX(' Toto teams'!$E$4:$E$119,MATCH($B13,' Toto teams'!$A$4:$A$119,0)),Scoring!$A$4:$N$51,12,FALSE()),0)+1*IFERROR(VLOOKUP(INDEX(' Toto teams'!$F$4:$F$119,MATCH($B13,' Toto teams'!$A$4:$A$119,0)),Scoring!$A$4:$N$51,12,FALSE()),0)+1*IFERROR(VLOOKUP(INDEX(' Toto teams'!$G$4:$G$119,MATCH($B13,' Toto teams'!$A$4:$A$119,0)),Scoring!$A$4:$N$51,12,FALSE()),0)+1*IFERROR(VLOOKUP(INDEX(' Toto teams'!$H$4:$H$119,MATCH($B13,' Toto teams'!$A$4:$A$119,0)),Scoring!$A$4:$N$51,12,FALSE()),0))</f>
        <v/>
      </c>
      <c r="K13" s="29">
        <f>IF($B13="","",IFERROR(INDEX(' Toto teams'!$R$4:$R$119,MATCH($B13,' Toto teams'!$A$4:$A$119,0)),""))</f>
        <v/>
      </c>
      <c r="L13" s="30">
        <f>IFERROR(IF(B13="","",VLOOKUP(A13,$N$4:$R$12,5,FALSE())),0)</f>
        <v/>
      </c>
      <c r="N13" t="inlineStr">
        <is>
          <t>Total</t>
        </is>
      </c>
      <c r="O13" s="35">
        <f>SUM(O4:O12)</f>
        <v/>
      </c>
      <c r="P13">
        <f>SUM(P4:P12)</f>
        <v/>
      </c>
    </row>
    <row r="14" ht="12.75" customHeight="1">
      <c r="A14" s="26">
        <f>IF(11&gt;COUNTIF(' Toto teams'!$A$4:$A$119,"&lt;&gt;"),"",INDEX(' Toto teams'!$S$4:$S$119,MATCH(LARGE(' Toto teams'!$T$4:$T$119,11),' Toto teams'!$T$4:$T$119,0)))</f>
        <v/>
      </c>
      <c r="B14" s="27">
        <f>IF(11&gt;COUNTIF(' Toto teams'!$A$4:$A$119,"&lt;&gt;"),"",INDEX(' Toto teams'!$A$4:$A$119,MATCH(LARGE(' Toto teams'!$T$4:$T$119,11),' Toto teams'!$T$4:$T$119,0)))</f>
        <v/>
      </c>
      <c r="C14" s="28">
        <f>IF($B14="","",6*(IFERROR(VLOOKUP(INDEX(' Toto teams'!$B$4:$B$119,MATCH($B14,' Toto teams'!$A$4:$A$119,0)),Scoring!$A$4:$N$51,3,FALSE()),0)+IFERROR(VLOOKUP(INDEX(' Toto teams'!$B$4:$B$119,MATCH($B14,' Toto teams'!$A$4:$A$119,0)),Scoring!$A$4:$N$51,4,FALSE()),0)+IFERROR(VLOOKUP(INDEX(' Toto teams'!$B$4:$B$119,MATCH($B14,' Toto teams'!$A$4:$A$119,0)),Scoring!$A$4:$N$51,5,FALSE()),0))+4*(IFERROR(VLOOKUP(INDEX(' Toto teams'!$C$4:$C$119,MATCH($B14,' Toto teams'!$A$4:$A$119,0)),Scoring!$A$4:$N$51,3,FALSE()),0)+IFERROR(VLOOKUP(INDEX(' Toto teams'!$C$4:$C$119,MATCH($B14,' Toto teams'!$A$4:$A$119,0)),Scoring!$A$4:$N$51,4,FALSE()),0)+IFERROR(VLOOKUP(INDEX(' Toto teams'!$C$4:$C$119,MATCH($B14,' Toto teams'!$A$4:$A$119,0)),Scoring!$A$4:$N$51,5,FALSE()),0))+3*(IFERROR(VLOOKUP(INDEX(' Toto teams'!$D$4:$D$119,MATCH($B14,' Toto teams'!$A$4:$A$119,0)),Scoring!$A$4:$N$51,3,FALSE()),0)+IFERROR(VLOOKUP(INDEX(' Toto teams'!$D$4:$D$119,MATCH($B14,' Toto teams'!$A$4:$A$119,0)),Scoring!$A$4:$N$51,4,FALSE()),0)+IFERROR(VLOOKUP(INDEX(' Toto teams'!$D$4:$D$119,MATCH($B14,' Toto teams'!$A$4:$A$119,0)),Scoring!$A$4:$N$51,5,FALSE()),0))+2*(IFERROR(VLOOKUP(INDEX(' Toto teams'!$E$4:$E$119,MATCH($B14,' Toto teams'!$A$4:$A$119,0)),Scoring!$A$4:$N$51,3,FALSE()),0)+IFERROR(VLOOKUP(INDEX(' Toto teams'!$E$4:$E$119,MATCH($B14,' Toto teams'!$A$4:$A$119,0)),Scoring!$A$4:$N$51,4,FALSE()),0)+IFERROR(VLOOKUP(INDEX(' Toto teams'!$E$4:$E$119,MATCH($B14,' Toto teams'!$A$4:$A$119,0)),Scoring!$A$4:$N$51,5,FALSE()),0))+1*(IFERROR(VLOOKUP(INDEX(' Toto teams'!$F$4:$F$119,MATCH($B14,' Toto teams'!$A$4:$A$119,0)),Scoring!$A$4:$N$51,3,FALSE()),0)+IFERROR(VLOOKUP(INDEX(' Toto teams'!$F$4:$F$119,MATCH($B14,' Toto teams'!$A$4:$A$119,0)),Scoring!$A$4:$N$51,4,FALSE()),0)+IFERROR(VLOOKUP(INDEX(' Toto teams'!$F$4:$F$119,MATCH($B14,' Toto teams'!$A$4:$A$119,0)),Scoring!$A$4:$N$51,5,FALSE()),0))+1*(IFERROR(VLOOKUP(INDEX(' Toto teams'!$G$4:$G$119,MATCH($B14,' Toto teams'!$A$4:$A$119,0)),Scoring!$A$4:$N$51,3,FALSE()),0)+IFERROR(VLOOKUP(INDEX(' Toto teams'!$G$4:$G$119,MATCH($B14,' Toto teams'!$A$4:$A$119,0)),Scoring!$A$4:$N$51,4,FALSE()),0)+IFERROR(VLOOKUP(INDEX(' Toto teams'!$G$4:$G$119,MATCH($B14,' Toto teams'!$A$4:$A$119,0)),Scoring!$A$4:$N$51,5,FALSE()),0))+1*(IFERROR(VLOOKUP(INDEX(' Toto teams'!$H$4:$H$119,MATCH($B14,' Toto teams'!$A$4:$A$119,0)),Scoring!$A$4:$N$51,3,FALSE()),0)+IFERROR(VLOOKUP(INDEX(' Toto teams'!$H$4:$H$119,MATCH($B14,' Toto teams'!$A$4:$A$119,0)),Scoring!$A$4:$N$51,4,FALSE()),0)+IFERROR(VLOOKUP(INDEX(' Toto teams'!$H$4:$H$119,MATCH($B14,' Toto teams'!$A$4:$A$119,0)),Scoring!$A$4:$N$51,5,FALSE()),0))+IFERROR(INDEX(' Toto teams'!$Q$4:$Q$119,MATCH($B14,' Toto teams'!$A$4:$A$119,0))*1,0))</f>
        <v/>
      </c>
      <c r="D14" s="28">
        <f>IF($B14="","",6*IFERROR(VLOOKUP(INDEX(' Toto teams'!$B$4:$B$119,MATCH($B14,' Toto teams'!$A$4:$A$119,0)),Scoring!$A$4:$N$51,7,FALSE()),0)+4*IFERROR(VLOOKUP(INDEX(' Toto teams'!$C$4:$C$119,MATCH($B14,' Toto teams'!$A$4:$A$119,0)),Scoring!$A$4:$N$51,7,FALSE()),0)+3*IFERROR(VLOOKUP(INDEX(' Toto teams'!$D$4:$D$119,MATCH($B14,' Toto teams'!$A$4:$A$119,0)),Scoring!$A$4:$N$51,7,FALSE()),0)+2*IFERROR(VLOOKUP(INDEX(' Toto teams'!$E$4:$E$119,MATCH($B14,' Toto teams'!$A$4:$A$119,0)),Scoring!$A$4:$N$51,7,FALSE()),0)+1*IFERROR(VLOOKUP(INDEX(' Toto teams'!$F$4:$F$119,MATCH($B14,' Toto teams'!$A$4:$A$119,0)),Scoring!$A$4:$N$51,7,FALSE()),0)+1*IFERROR(VLOOKUP(INDEX(' Toto teams'!$G$4:$G$119,MATCH($B14,' Toto teams'!$A$4:$A$119,0)),Scoring!$A$4:$N$51,7,FALSE()),0)+1*IFERROR(VLOOKUP(INDEX(' Toto teams'!$H$4:$H$119,MATCH($B14,' Toto teams'!$A$4:$A$119,0)),Scoring!$A$4:$N$51,7,FALSE()),0))</f>
        <v/>
      </c>
      <c r="E14" s="28">
        <f>IF($B14="","",6*IFERROR(VLOOKUP(INDEX(' Toto teams'!$B$4:$B$119,MATCH($B14,' Toto teams'!$A$4:$A$119,0)),Scoring!$A$4:$N$51,8,FALSE()),0)+4*IFERROR(VLOOKUP(INDEX(' Toto teams'!$C$4:$C$119,MATCH($B14,' Toto teams'!$A$4:$A$119,0)),Scoring!$A$4:$N$51,8,FALSE()),0)+3*IFERROR(VLOOKUP(INDEX(' Toto teams'!$D$4:$D$119,MATCH($B14,' Toto teams'!$A$4:$A$119,0)),Scoring!$A$4:$N$51,8,FALSE()),0)+2*IFERROR(VLOOKUP(INDEX(' Toto teams'!$E$4:$E$119,MATCH($B14,' Toto teams'!$A$4:$A$119,0)),Scoring!$A$4:$N$51,8,FALSE()),0)+1*IFERROR(VLOOKUP(INDEX(' Toto teams'!$F$4:$F$119,MATCH($B14,' Toto teams'!$A$4:$A$119,0)),Scoring!$A$4:$N$51,8,FALSE()),0)+1*IFERROR(VLOOKUP(INDEX(' Toto teams'!$G$4:$G$119,MATCH($B14,' Toto teams'!$A$4:$A$119,0)),Scoring!$A$4:$N$51,8,FALSE()),0)+1*IFERROR(VLOOKUP(INDEX(' Toto teams'!$H$4:$H$119,MATCH($B14,' Toto teams'!$A$4:$A$119,0)),Scoring!$A$4:$N$51,8,FALSE()),0))</f>
        <v/>
      </c>
      <c r="F14" s="28">
        <f>IF($B14="","",6*IFERROR(VLOOKUP(INDEX(' Toto teams'!$B$4:$B$119,MATCH($B14,' Toto teams'!$A$4:$A$119,0)),Scoring!$A$4:$N$51,9,FALSE()),0)+4*IFERROR(VLOOKUP(INDEX(' Toto teams'!$C$4:$C$119,MATCH($B14,' Toto teams'!$A$4:$A$119,0)),Scoring!$A$4:$N$51,9,FALSE()),0)+3*IFERROR(VLOOKUP(INDEX(' Toto teams'!$D$4:$D$119,MATCH($B14,' Toto teams'!$A$4:$A$119,0)),Scoring!$A$4:$N$51,9,FALSE()),0)+2*IFERROR(VLOOKUP(INDEX(' Toto teams'!$E$4:$E$119,MATCH($B14,' Toto teams'!$A$4:$A$119,0)),Scoring!$A$4:$N$51,9,FALSE()),0)+1*IFERROR(VLOOKUP(INDEX(' Toto teams'!$F$4:$F$119,MATCH($B14,' Toto teams'!$A$4:$A$119,0)),Scoring!$A$4:$N$51,9,FALSE()),0)+1*IFERROR(VLOOKUP(INDEX(' Toto teams'!$G$4:$G$119,MATCH($B14,' Toto teams'!$A$4:$A$119,0)),Scoring!$A$4:$N$51,9,FALSE()),0)+1*IFERROR(VLOOKUP(INDEX(' Toto teams'!$H$4:$H$119,MATCH($B14,' Toto teams'!$A$4:$A$119,0)),Scoring!$A$4:$N$51,9,FALSE()),0))</f>
        <v/>
      </c>
      <c r="G14" s="28">
        <f>IF($B14="","",6*IFERROR(VLOOKUP(INDEX(' Toto teams'!$B$4:$B$119,MATCH($B14,' Toto teams'!$A$4:$A$119,0)),Scoring!$A$4:$N$51,10,FALSE()),0)+4*IFERROR(VLOOKUP(INDEX(' Toto teams'!$C$4:$C$119,MATCH($B14,' Toto teams'!$A$4:$A$119,0)),Scoring!$A$4:$N$51,10,FALSE()),0)+3*IFERROR(VLOOKUP(INDEX(' Toto teams'!$D$4:$D$119,MATCH($B14,' Toto teams'!$A$4:$A$119,0)),Scoring!$A$4:$N$51,10,FALSE()),0)+2*IFERROR(VLOOKUP(INDEX(' Toto teams'!$E$4:$E$119,MATCH($B14,' Toto teams'!$A$4:$A$119,0)),Scoring!$A$4:$N$51,10,FALSE()),0)+1*IFERROR(VLOOKUP(INDEX(' Toto teams'!$F$4:$F$119,MATCH($B14,' Toto teams'!$A$4:$A$119,0)),Scoring!$A$4:$N$51,10,FALSE()),0)+1*IFERROR(VLOOKUP(INDEX(' Toto teams'!$G$4:$G$119,MATCH($B14,' Toto teams'!$A$4:$A$119,0)),Scoring!$A$4:$N$51,10,FALSE()),0)+1*IFERROR(VLOOKUP(INDEX(' Toto teams'!$H$4:$H$119,MATCH($B14,' Toto teams'!$A$4:$A$119,0)),Scoring!$A$4:$N$51,10,FALSE()),0))</f>
        <v/>
      </c>
      <c r="H14" s="28">
        <f>IF($B14="","",6*IFERROR(VLOOKUP(INDEX(' Toto teams'!$B$4:$B$119,MATCH($B14,' Toto teams'!$A$4:$A$119,0)),Scoring!$A$4:$N$51,11,FALSE()),0)+4*IFERROR(VLOOKUP(INDEX(' Toto teams'!$C$4:$C$119,MATCH($B14,' Toto teams'!$A$4:$A$119,0)),Scoring!$A$4:$N$51,11,FALSE()),0)+3*IFERROR(VLOOKUP(INDEX(' Toto teams'!$D$4:$D$119,MATCH($B14,' Toto teams'!$A$4:$A$119,0)),Scoring!$A$4:$N$51,11,FALSE()),0)+2*IFERROR(VLOOKUP(INDEX(' Toto teams'!$E$4:$E$119,MATCH($B14,' Toto teams'!$A$4:$A$119,0)),Scoring!$A$4:$N$51,11,FALSE()),0)+1*IFERROR(VLOOKUP(INDEX(' Toto teams'!$F$4:$F$119,MATCH($B14,' Toto teams'!$A$4:$A$119,0)),Scoring!$A$4:$N$51,11,FALSE()),0)+1*IFERROR(VLOOKUP(INDEX(' Toto teams'!$G$4:$G$119,MATCH($B14,' Toto teams'!$A$4:$A$119,0)),Scoring!$A$4:$N$51,11,FALSE()),0)+1*IFERROR(VLOOKUP(INDEX(' Toto teams'!$H$4:$H$119,MATCH($B14,' Toto teams'!$A$4:$A$119,0)),Scoring!$A$4:$N$51,11,FALSE()),0))</f>
        <v/>
      </c>
      <c r="I14" s="28">
        <f>IF($B14="","",6*IFERROR(VLOOKUP(INDEX(' Toto teams'!$B$4:$B$119,MATCH($B14,' Toto teams'!$A$4:$A$119,0)),Scoring!$A$4:$O$51,15,FALSE()),0)+4*IFERROR(VLOOKUP(INDEX(' Toto teams'!$C$4:$C$119,MATCH($B14,' Toto teams'!$A$4:$A$119,0)),Scoring!$A$4:$O$51,15,FALSE()),0)+3*IFERROR(VLOOKUP(INDEX(' Toto teams'!$D$4:$D$119,MATCH($B14,' Toto teams'!$A$4:$A$119,0)),Scoring!$A$4:$O$51,15,FALSE()),0)+2*IFERROR(VLOOKUP(INDEX(' Toto teams'!$E$4:$E$119,MATCH($B14,' Toto teams'!$A$4:$A$119,0)),Scoring!$A$4:$O$51,15,FALSE()),0)+1*IFERROR(VLOOKUP(INDEX(' Toto teams'!$F$4:$F$119,MATCH($B14,' Toto teams'!$A$4:$A$119,0)),Scoring!$A$4:$O$51,15,FALSE()),0)+1*IFERROR(VLOOKUP(INDEX(' Toto teams'!$G$4:$G$119,MATCH($B14,' Toto teams'!$A$4:$A$119,0)),Scoring!$A$4:$O$51,15,FALSE()),0)+1*IFERROR(VLOOKUP(INDEX(' Toto teams'!$H$4:$H$119,MATCH($B14,' Toto teams'!$A$4:$A$119,0)),Scoring!$A$4:$O$51,15,FALSE()),0))</f>
        <v/>
      </c>
      <c r="J14" s="28">
        <f>IF($B14="","",6*IFERROR(VLOOKUP(INDEX(' Toto teams'!$B$4:$B$119,MATCH($B14,' Toto teams'!$A$4:$A$119,0)),Scoring!$A$4:$N$51,12,FALSE()),0)+4*IFERROR(VLOOKUP(INDEX(' Toto teams'!$C$4:$C$119,MATCH($B14,' Toto teams'!$A$4:$A$119,0)),Scoring!$A$4:$N$51,12,FALSE()),0)+3*IFERROR(VLOOKUP(INDEX(' Toto teams'!$D$4:$D$119,MATCH($B14,' Toto teams'!$A$4:$A$119,0)),Scoring!$A$4:$N$51,12,FALSE()),0)+2*IFERROR(VLOOKUP(INDEX(' Toto teams'!$E$4:$E$119,MATCH($B14,' Toto teams'!$A$4:$A$119,0)),Scoring!$A$4:$N$51,12,FALSE()),0)+1*IFERROR(VLOOKUP(INDEX(' Toto teams'!$F$4:$F$119,MATCH($B14,' Toto teams'!$A$4:$A$119,0)),Scoring!$A$4:$N$51,12,FALSE()),0)+1*IFERROR(VLOOKUP(INDEX(' Toto teams'!$G$4:$G$119,MATCH($B14,' Toto teams'!$A$4:$A$119,0)),Scoring!$A$4:$N$51,12,FALSE()),0)+1*IFERROR(VLOOKUP(INDEX(' Toto teams'!$H$4:$H$119,MATCH($B14,' Toto teams'!$A$4:$A$119,0)),Scoring!$A$4:$N$51,12,FALSE()),0))</f>
        <v/>
      </c>
      <c r="K14" s="29">
        <f>IF($B14="","",IFERROR(INDEX(' Toto teams'!$R$4:$R$119,MATCH($B14,' Toto teams'!$A$4:$A$119,0)),""))</f>
        <v/>
      </c>
      <c r="L14" s="30">
        <f>IFERROR(IF(B14="","",VLOOKUP(A14,$N$4:$R$12,5,FALSE())),0)</f>
        <v/>
      </c>
    </row>
    <row r="15" ht="12.75" customHeight="1">
      <c r="A15" s="26">
        <f>IF(12&gt;COUNTIF(' Toto teams'!$A$4:$A$119,"&lt;&gt;"),"",INDEX(' Toto teams'!$S$4:$S$119,MATCH(LARGE(' Toto teams'!$T$4:$T$119,12),' Toto teams'!$T$4:$T$119,0)))</f>
        <v/>
      </c>
      <c r="B15" s="27">
        <f>IF(12&gt;COUNTIF(' Toto teams'!$A$4:$A$119,"&lt;&gt;"),"",INDEX(' Toto teams'!$A$4:$A$119,MATCH(LARGE(' Toto teams'!$T$4:$T$119,12),' Toto teams'!$T$4:$T$119,0)))</f>
        <v/>
      </c>
      <c r="C15" s="28">
        <f>IF($B15="","",6*(IFERROR(VLOOKUP(INDEX(' Toto teams'!$B$4:$B$119,MATCH($B15,' Toto teams'!$A$4:$A$119,0)),Scoring!$A$4:$N$51,3,FALSE()),0)+IFERROR(VLOOKUP(INDEX(' Toto teams'!$B$4:$B$119,MATCH($B15,' Toto teams'!$A$4:$A$119,0)),Scoring!$A$4:$N$51,4,FALSE()),0)+IFERROR(VLOOKUP(INDEX(' Toto teams'!$B$4:$B$119,MATCH($B15,' Toto teams'!$A$4:$A$119,0)),Scoring!$A$4:$N$51,5,FALSE()),0))+4*(IFERROR(VLOOKUP(INDEX(' Toto teams'!$C$4:$C$119,MATCH($B15,' Toto teams'!$A$4:$A$119,0)),Scoring!$A$4:$N$51,3,FALSE()),0)+IFERROR(VLOOKUP(INDEX(' Toto teams'!$C$4:$C$119,MATCH($B15,' Toto teams'!$A$4:$A$119,0)),Scoring!$A$4:$N$51,4,FALSE()),0)+IFERROR(VLOOKUP(INDEX(' Toto teams'!$C$4:$C$119,MATCH($B15,' Toto teams'!$A$4:$A$119,0)),Scoring!$A$4:$N$51,5,FALSE()),0))+3*(IFERROR(VLOOKUP(INDEX(' Toto teams'!$D$4:$D$119,MATCH($B15,' Toto teams'!$A$4:$A$119,0)),Scoring!$A$4:$N$51,3,FALSE()),0)+IFERROR(VLOOKUP(INDEX(' Toto teams'!$D$4:$D$119,MATCH($B15,' Toto teams'!$A$4:$A$119,0)),Scoring!$A$4:$N$51,4,FALSE()),0)+IFERROR(VLOOKUP(INDEX(' Toto teams'!$D$4:$D$119,MATCH($B15,' Toto teams'!$A$4:$A$119,0)),Scoring!$A$4:$N$51,5,FALSE()),0))+2*(IFERROR(VLOOKUP(INDEX(' Toto teams'!$E$4:$E$119,MATCH($B15,' Toto teams'!$A$4:$A$119,0)),Scoring!$A$4:$N$51,3,FALSE()),0)+IFERROR(VLOOKUP(INDEX(' Toto teams'!$E$4:$E$119,MATCH($B15,' Toto teams'!$A$4:$A$119,0)),Scoring!$A$4:$N$51,4,FALSE()),0)+IFERROR(VLOOKUP(INDEX(' Toto teams'!$E$4:$E$119,MATCH($B15,' Toto teams'!$A$4:$A$119,0)),Scoring!$A$4:$N$51,5,FALSE()),0))+1*(IFERROR(VLOOKUP(INDEX(' Toto teams'!$F$4:$F$119,MATCH($B15,' Toto teams'!$A$4:$A$119,0)),Scoring!$A$4:$N$51,3,FALSE()),0)+IFERROR(VLOOKUP(INDEX(' Toto teams'!$F$4:$F$119,MATCH($B15,' Toto teams'!$A$4:$A$119,0)),Scoring!$A$4:$N$51,4,FALSE()),0)+IFERROR(VLOOKUP(INDEX(' Toto teams'!$F$4:$F$119,MATCH($B15,' Toto teams'!$A$4:$A$119,0)),Scoring!$A$4:$N$51,5,FALSE()),0))+1*(IFERROR(VLOOKUP(INDEX(' Toto teams'!$G$4:$G$119,MATCH($B15,' Toto teams'!$A$4:$A$119,0)),Scoring!$A$4:$N$51,3,FALSE()),0)+IFERROR(VLOOKUP(INDEX(' Toto teams'!$G$4:$G$119,MATCH($B15,' Toto teams'!$A$4:$A$119,0)),Scoring!$A$4:$N$51,4,FALSE()),0)+IFERROR(VLOOKUP(INDEX(' Toto teams'!$G$4:$G$119,MATCH($B15,' Toto teams'!$A$4:$A$119,0)),Scoring!$A$4:$N$51,5,FALSE()),0))+1*(IFERROR(VLOOKUP(INDEX(' Toto teams'!$H$4:$H$119,MATCH($B15,' Toto teams'!$A$4:$A$119,0)),Scoring!$A$4:$N$51,3,FALSE()),0)+IFERROR(VLOOKUP(INDEX(' Toto teams'!$H$4:$H$119,MATCH($B15,' Toto teams'!$A$4:$A$119,0)),Scoring!$A$4:$N$51,4,FALSE()),0)+IFERROR(VLOOKUP(INDEX(' Toto teams'!$H$4:$H$119,MATCH($B15,' Toto teams'!$A$4:$A$119,0)),Scoring!$A$4:$N$51,5,FALSE()),0))+IFERROR(INDEX(' Toto teams'!$Q$4:$Q$119,MATCH($B15,' Toto teams'!$A$4:$A$119,0))*1,0))</f>
        <v/>
      </c>
      <c r="D15" s="28">
        <f>IF($B15="","",6*IFERROR(VLOOKUP(INDEX(' Toto teams'!$B$4:$B$119,MATCH($B15,' Toto teams'!$A$4:$A$119,0)),Scoring!$A$4:$N$51,7,FALSE()),0)+4*IFERROR(VLOOKUP(INDEX(' Toto teams'!$C$4:$C$119,MATCH($B15,' Toto teams'!$A$4:$A$119,0)),Scoring!$A$4:$N$51,7,FALSE()),0)+3*IFERROR(VLOOKUP(INDEX(' Toto teams'!$D$4:$D$119,MATCH($B15,' Toto teams'!$A$4:$A$119,0)),Scoring!$A$4:$N$51,7,FALSE()),0)+2*IFERROR(VLOOKUP(INDEX(' Toto teams'!$E$4:$E$119,MATCH($B15,' Toto teams'!$A$4:$A$119,0)),Scoring!$A$4:$N$51,7,FALSE()),0)+1*IFERROR(VLOOKUP(INDEX(' Toto teams'!$F$4:$F$119,MATCH($B15,' Toto teams'!$A$4:$A$119,0)),Scoring!$A$4:$N$51,7,FALSE()),0)+1*IFERROR(VLOOKUP(INDEX(' Toto teams'!$G$4:$G$119,MATCH($B15,' Toto teams'!$A$4:$A$119,0)),Scoring!$A$4:$N$51,7,FALSE()),0)+1*IFERROR(VLOOKUP(INDEX(' Toto teams'!$H$4:$H$119,MATCH($B15,' Toto teams'!$A$4:$A$119,0)),Scoring!$A$4:$N$51,7,FALSE()),0))</f>
        <v/>
      </c>
      <c r="E15" s="28">
        <f>IF($B15="","",6*IFERROR(VLOOKUP(INDEX(' Toto teams'!$B$4:$B$119,MATCH($B15,' Toto teams'!$A$4:$A$119,0)),Scoring!$A$4:$N$51,8,FALSE()),0)+4*IFERROR(VLOOKUP(INDEX(' Toto teams'!$C$4:$C$119,MATCH($B15,' Toto teams'!$A$4:$A$119,0)),Scoring!$A$4:$N$51,8,FALSE()),0)+3*IFERROR(VLOOKUP(INDEX(' Toto teams'!$D$4:$D$119,MATCH($B15,' Toto teams'!$A$4:$A$119,0)),Scoring!$A$4:$N$51,8,FALSE()),0)+2*IFERROR(VLOOKUP(INDEX(' Toto teams'!$E$4:$E$119,MATCH($B15,' Toto teams'!$A$4:$A$119,0)),Scoring!$A$4:$N$51,8,FALSE()),0)+1*IFERROR(VLOOKUP(INDEX(' Toto teams'!$F$4:$F$119,MATCH($B15,' Toto teams'!$A$4:$A$119,0)),Scoring!$A$4:$N$51,8,FALSE()),0)+1*IFERROR(VLOOKUP(INDEX(' Toto teams'!$G$4:$G$119,MATCH($B15,' Toto teams'!$A$4:$A$119,0)),Scoring!$A$4:$N$51,8,FALSE()),0)+1*IFERROR(VLOOKUP(INDEX(' Toto teams'!$H$4:$H$119,MATCH($B15,' Toto teams'!$A$4:$A$119,0)),Scoring!$A$4:$N$51,8,FALSE()),0))</f>
        <v/>
      </c>
      <c r="F15" s="28">
        <f>IF($B15="","",6*IFERROR(VLOOKUP(INDEX(' Toto teams'!$B$4:$B$119,MATCH($B15,' Toto teams'!$A$4:$A$119,0)),Scoring!$A$4:$N$51,9,FALSE()),0)+4*IFERROR(VLOOKUP(INDEX(' Toto teams'!$C$4:$C$119,MATCH($B15,' Toto teams'!$A$4:$A$119,0)),Scoring!$A$4:$N$51,9,FALSE()),0)+3*IFERROR(VLOOKUP(INDEX(' Toto teams'!$D$4:$D$119,MATCH($B15,' Toto teams'!$A$4:$A$119,0)),Scoring!$A$4:$N$51,9,FALSE()),0)+2*IFERROR(VLOOKUP(INDEX(' Toto teams'!$E$4:$E$119,MATCH($B15,' Toto teams'!$A$4:$A$119,0)),Scoring!$A$4:$N$51,9,FALSE()),0)+1*IFERROR(VLOOKUP(INDEX(' Toto teams'!$F$4:$F$119,MATCH($B15,' Toto teams'!$A$4:$A$119,0)),Scoring!$A$4:$N$51,9,FALSE()),0)+1*IFERROR(VLOOKUP(INDEX(' Toto teams'!$G$4:$G$119,MATCH($B15,' Toto teams'!$A$4:$A$119,0)),Scoring!$A$4:$N$51,9,FALSE()),0)+1*IFERROR(VLOOKUP(INDEX(' Toto teams'!$H$4:$H$119,MATCH($B15,' Toto teams'!$A$4:$A$119,0)),Scoring!$A$4:$N$51,9,FALSE()),0))</f>
        <v/>
      </c>
      <c r="G15" s="28">
        <f>IF($B15="","",6*IFERROR(VLOOKUP(INDEX(' Toto teams'!$B$4:$B$119,MATCH($B15,' Toto teams'!$A$4:$A$119,0)),Scoring!$A$4:$N$51,10,FALSE()),0)+4*IFERROR(VLOOKUP(INDEX(' Toto teams'!$C$4:$C$119,MATCH($B15,' Toto teams'!$A$4:$A$119,0)),Scoring!$A$4:$N$51,10,FALSE()),0)+3*IFERROR(VLOOKUP(INDEX(' Toto teams'!$D$4:$D$119,MATCH($B15,' Toto teams'!$A$4:$A$119,0)),Scoring!$A$4:$N$51,10,FALSE()),0)+2*IFERROR(VLOOKUP(INDEX(' Toto teams'!$E$4:$E$119,MATCH($B15,' Toto teams'!$A$4:$A$119,0)),Scoring!$A$4:$N$51,10,FALSE()),0)+1*IFERROR(VLOOKUP(INDEX(' Toto teams'!$F$4:$F$119,MATCH($B15,' Toto teams'!$A$4:$A$119,0)),Scoring!$A$4:$N$51,10,FALSE()),0)+1*IFERROR(VLOOKUP(INDEX(' Toto teams'!$G$4:$G$119,MATCH($B15,' Toto teams'!$A$4:$A$119,0)),Scoring!$A$4:$N$51,10,FALSE()),0)+1*IFERROR(VLOOKUP(INDEX(' Toto teams'!$H$4:$H$119,MATCH($B15,' Toto teams'!$A$4:$A$119,0)),Scoring!$A$4:$N$51,10,FALSE()),0))</f>
        <v/>
      </c>
      <c r="H15" s="28">
        <f>IF($B15="","",6*IFERROR(VLOOKUP(INDEX(' Toto teams'!$B$4:$B$119,MATCH($B15,' Toto teams'!$A$4:$A$119,0)),Scoring!$A$4:$N$51,11,FALSE()),0)+4*IFERROR(VLOOKUP(INDEX(' Toto teams'!$C$4:$C$119,MATCH($B15,' Toto teams'!$A$4:$A$119,0)),Scoring!$A$4:$N$51,11,FALSE()),0)+3*IFERROR(VLOOKUP(INDEX(' Toto teams'!$D$4:$D$119,MATCH($B15,' Toto teams'!$A$4:$A$119,0)),Scoring!$A$4:$N$51,11,FALSE()),0)+2*IFERROR(VLOOKUP(INDEX(' Toto teams'!$E$4:$E$119,MATCH($B15,' Toto teams'!$A$4:$A$119,0)),Scoring!$A$4:$N$51,11,FALSE()),0)+1*IFERROR(VLOOKUP(INDEX(' Toto teams'!$F$4:$F$119,MATCH($B15,' Toto teams'!$A$4:$A$119,0)),Scoring!$A$4:$N$51,11,FALSE()),0)+1*IFERROR(VLOOKUP(INDEX(' Toto teams'!$G$4:$G$119,MATCH($B15,' Toto teams'!$A$4:$A$119,0)),Scoring!$A$4:$N$51,11,FALSE()),0)+1*IFERROR(VLOOKUP(INDEX(' Toto teams'!$H$4:$H$119,MATCH($B15,' Toto teams'!$A$4:$A$119,0)),Scoring!$A$4:$N$51,11,FALSE()),0))</f>
        <v/>
      </c>
      <c r="I15" s="28">
        <f>IF($B15="","",6*IFERROR(VLOOKUP(INDEX(' Toto teams'!$B$4:$B$119,MATCH($B15,' Toto teams'!$A$4:$A$119,0)),Scoring!$A$4:$O$51,15,FALSE()),0)+4*IFERROR(VLOOKUP(INDEX(' Toto teams'!$C$4:$C$119,MATCH($B15,' Toto teams'!$A$4:$A$119,0)),Scoring!$A$4:$O$51,15,FALSE()),0)+3*IFERROR(VLOOKUP(INDEX(' Toto teams'!$D$4:$D$119,MATCH($B15,' Toto teams'!$A$4:$A$119,0)),Scoring!$A$4:$O$51,15,FALSE()),0)+2*IFERROR(VLOOKUP(INDEX(' Toto teams'!$E$4:$E$119,MATCH($B15,' Toto teams'!$A$4:$A$119,0)),Scoring!$A$4:$O$51,15,FALSE()),0)+1*IFERROR(VLOOKUP(INDEX(' Toto teams'!$F$4:$F$119,MATCH($B15,' Toto teams'!$A$4:$A$119,0)),Scoring!$A$4:$O$51,15,FALSE()),0)+1*IFERROR(VLOOKUP(INDEX(' Toto teams'!$G$4:$G$119,MATCH($B15,' Toto teams'!$A$4:$A$119,0)),Scoring!$A$4:$O$51,15,FALSE()),0)+1*IFERROR(VLOOKUP(INDEX(' Toto teams'!$H$4:$H$119,MATCH($B15,' Toto teams'!$A$4:$A$119,0)),Scoring!$A$4:$O$51,15,FALSE()),0))</f>
        <v/>
      </c>
      <c r="J15" s="28">
        <f>IF($B15="","",6*IFERROR(VLOOKUP(INDEX(' Toto teams'!$B$4:$B$119,MATCH($B15,' Toto teams'!$A$4:$A$119,0)),Scoring!$A$4:$N$51,12,FALSE()),0)+4*IFERROR(VLOOKUP(INDEX(' Toto teams'!$C$4:$C$119,MATCH($B15,' Toto teams'!$A$4:$A$119,0)),Scoring!$A$4:$N$51,12,FALSE()),0)+3*IFERROR(VLOOKUP(INDEX(' Toto teams'!$D$4:$D$119,MATCH($B15,' Toto teams'!$A$4:$A$119,0)),Scoring!$A$4:$N$51,12,FALSE()),0)+2*IFERROR(VLOOKUP(INDEX(' Toto teams'!$E$4:$E$119,MATCH($B15,' Toto teams'!$A$4:$A$119,0)),Scoring!$A$4:$N$51,12,FALSE()),0)+1*IFERROR(VLOOKUP(INDEX(' Toto teams'!$F$4:$F$119,MATCH($B15,' Toto teams'!$A$4:$A$119,0)),Scoring!$A$4:$N$51,12,FALSE()),0)+1*IFERROR(VLOOKUP(INDEX(' Toto teams'!$G$4:$G$119,MATCH($B15,' Toto teams'!$A$4:$A$119,0)),Scoring!$A$4:$N$51,12,FALSE()),0)+1*IFERROR(VLOOKUP(INDEX(' Toto teams'!$H$4:$H$119,MATCH($B15,' Toto teams'!$A$4:$A$119,0)),Scoring!$A$4:$N$51,12,FALSE()),0))</f>
        <v/>
      </c>
      <c r="K15" s="29">
        <f>IF($B15="","",IFERROR(INDEX(' Toto teams'!$R$4:$R$119,MATCH($B15,' Toto teams'!$A$4:$A$119,0)),""))</f>
        <v/>
      </c>
      <c r="L15" s="30">
        <f>IFERROR(IF(B15="","",VLOOKUP(A15,$N$4:$R$12,5,FALSE())),0)</f>
        <v/>
      </c>
      <c r="N15" t="inlineStr">
        <is>
          <t>Total Pot €:</t>
        </is>
      </c>
      <c r="O15" t="n">
        <v>3150</v>
      </c>
    </row>
    <row r="16" ht="12.75" customHeight="1">
      <c r="A16" s="26">
        <f>IF(13&gt;COUNTIF(' Toto teams'!$A$4:$A$119,"&lt;&gt;"),"",INDEX(' Toto teams'!$S$4:$S$119,MATCH(LARGE(' Toto teams'!$T$4:$T$119,13),' Toto teams'!$T$4:$T$119,0)))</f>
        <v/>
      </c>
      <c r="B16" s="27">
        <f>IF(13&gt;COUNTIF(' Toto teams'!$A$4:$A$119,"&lt;&gt;"),"",INDEX(' Toto teams'!$A$4:$A$119,MATCH(LARGE(' Toto teams'!$T$4:$T$119,13),' Toto teams'!$T$4:$T$119,0)))</f>
        <v/>
      </c>
      <c r="C16" s="28">
        <f>IF($B16="","",6*(IFERROR(VLOOKUP(INDEX(' Toto teams'!$B$4:$B$119,MATCH($B16,' Toto teams'!$A$4:$A$119,0)),Scoring!$A$4:$N$51,3,FALSE()),0)+IFERROR(VLOOKUP(INDEX(' Toto teams'!$B$4:$B$119,MATCH($B16,' Toto teams'!$A$4:$A$119,0)),Scoring!$A$4:$N$51,4,FALSE()),0)+IFERROR(VLOOKUP(INDEX(' Toto teams'!$B$4:$B$119,MATCH($B16,' Toto teams'!$A$4:$A$119,0)),Scoring!$A$4:$N$51,5,FALSE()),0))+4*(IFERROR(VLOOKUP(INDEX(' Toto teams'!$C$4:$C$119,MATCH($B16,' Toto teams'!$A$4:$A$119,0)),Scoring!$A$4:$N$51,3,FALSE()),0)+IFERROR(VLOOKUP(INDEX(' Toto teams'!$C$4:$C$119,MATCH($B16,' Toto teams'!$A$4:$A$119,0)),Scoring!$A$4:$N$51,4,FALSE()),0)+IFERROR(VLOOKUP(INDEX(' Toto teams'!$C$4:$C$119,MATCH($B16,' Toto teams'!$A$4:$A$119,0)),Scoring!$A$4:$N$51,5,FALSE()),0))+3*(IFERROR(VLOOKUP(INDEX(' Toto teams'!$D$4:$D$119,MATCH($B16,' Toto teams'!$A$4:$A$119,0)),Scoring!$A$4:$N$51,3,FALSE()),0)+IFERROR(VLOOKUP(INDEX(' Toto teams'!$D$4:$D$119,MATCH($B16,' Toto teams'!$A$4:$A$119,0)),Scoring!$A$4:$N$51,4,FALSE()),0)+IFERROR(VLOOKUP(INDEX(' Toto teams'!$D$4:$D$119,MATCH($B16,' Toto teams'!$A$4:$A$119,0)),Scoring!$A$4:$N$51,5,FALSE()),0))+2*(IFERROR(VLOOKUP(INDEX(' Toto teams'!$E$4:$E$119,MATCH($B16,' Toto teams'!$A$4:$A$119,0)),Scoring!$A$4:$N$51,3,FALSE()),0)+IFERROR(VLOOKUP(INDEX(' Toto teams'!$E$4:$E$119,MATCH($B16,' Toto teams'!$A$4:$A$119,0)),Scoring!$A$4:$N$51,4,FALSE()),0)+IFERROR(VLOOKUP(INDEX(' Toto teams'!$E$4:$E$119,MATCH($B16,' Toto teams'!$A$4:$A$119,0)),Scoring!$A$4:$N$51,5,FALSE()),0))+1*(IFERROR(VLOOKUP(INDEX(' Toto teams'!$F$4:$F$119,MATCH($B16,' Toto teams'!$A$4:$A$119,0)),Scoring!$A$4:$N$51,3,FALSE()),0)+IFERROR(VLOOKUP(INDEX(' Toto teams'!$F$4:$F$119,MATCH($B16,' Toto teams'!$A$4:$A$119,0)),Scoring!$A$4:$N$51,4,FALSE()),0)+IFERROR(VLOOKUP(INDEX(' Toto teams'!$F$4:$F$119,MATCH($B16,' Toto teams'!$A$4:$A$119,0)),Scoring!$A$4:$N$51,5,FALSE()),0))+1*(IFERROR(VLOOKUP(INDEX(' Toto teams'!$G$4:$G$119,MATCH($B16,' Toto teams'!$A$4:$A$119,0)),Scoring!$A$4:$N$51,3,FALSE()),0)+IFERROR(VLOOKUP(INDEX(' Toto teams'!$G$4:$G$119,MATCH($B16,' Toto teams'!$A$4:$A$119,0)),Scoring!$A$4:$N$51,4,FALSE()),0)+IFERROR(VLOOKUP(INDEX(' Toto teams'!$G$4:$G$119,MATCH($B16,' Toto teams'!$A$4:$A$119,0)),Scoring!$A$4:$N$51,5,FALSE()),0))+1*(IFERROR(VLOOKUP(INDEX(' Toto teams'!$H$4:$H$119,MATCH($B16,' Toto teams'!$A$4:$A$119,0)),Scoring!$A$4:$N$51,3,FALSE()),0)+IFERROR(VLOOKUP(INDEX(' Toto teams'!$H$4:$H$119,MATCH($B16,' Toto teams'!$A$4:$A$119,0)),Scoring!$A$4:$N$51,4,FALSE()),0)+IFERROR(VLOOKUP(INDEX(' Toto teams'!$H$4:$H$119,MATCH($B16,' Toto teams'!$A$4:$A$119,0)),Scoring!$A$4:$N$51,5,FALSE()),0))+IFERROR(INDEX(' Toto teams'!$Q$4:$Q$119,MATCH($B16,' Toto teams'!$A$4:$A$119,0))*1,0))</f>
        <v/>
      </c>
      <c r="D16" s="28">
        <f>IF($B16="","",6*IFERROR(VLOOKUP(INDEX(' Toto teams'!$B$4:$B$119,MATCH($B16,' Toto teams'!$A$4:$A$119,0)),Scoring!$A$4:$N$51,7,FALSE()),0)+4*IFERROR(VLOOKUP(INDEX(' Toto teams'!$C$4:$C$119,MATCH($B16,' Toto teams'!$A$4:$A$119,0)),Scoring!$A$4:$N$51,7,FALSE()),0)+3*IFERROR(VLOOKUP(INDEX(' Toto teams'!$D$4:$D$119,MATCH($B16,' Toto teams'!$A$4:$A$119,0)),Scoring!$A$4:$N$51,7,FALSE()),0)+2*IFERROR(VLOOKUP(INDEX(' Toto teams'!$E$4:$E$119,MATCH($B16,' Toto teams'!$A$4:$A$119,0)),Scoring!$A$4:$N$51,7,FALSE()),0)+1*IFERROR(VLOOKUP(INDEX(' Toto teams'!$F$4:$F$119,MATCH($B16,' Toto teams'!$A$4:$A$119,0)),Scoring!$A$4:$N$51,7,FALSE()),0)+1*IFERROR(VLOOKUP(INDEX(' Toto teams'!$G$4:$G$119,MATCH($B16,' Toto teams'!$A$4:$A$119,0)),Scoring!$A$4:$N$51,7,FALSE()),0)+1*IFERROR(VLOOKUP(INDEX(' Toto teams'!$H$4:$H$119,MATCH($B16,' Toto teams'!$A$4:$A$119,0)),Scoring!$A$4:$N$51,7,FALSE()),0))</f>
        <v/>
      </c>
      <c r="E16" s="28">
        <f>IF($B16="","",6*IFERROR(VLOOKUP(INDEX(' Toto teams'!$B$4:$B$119,MATCH($B16,' Toto teams'!$A$4:$A$119,0)),Scoring!$A$4:$N$51,8,FALSE()),0)+4*IFERROR(VLOOKUP(INDEX(' Toto teams'!$C$4:$C$119,MATCH($B16,' Toto teams'!$A$4:$A$119,0)),Scoring!$A$4:$N$51,8,FALSE()),0)+3*IFERROR(VLOOKUP(INDEX(' Toto teams'!$D$4:$D$119,MATCH($B16,' Toto teams'!$A$4:$A$119,0)),Scoring!$A$4:$N$51,8,FALSE()),0)+2*IFERROR(VLOOKUP(INDEX(' Toto teams'!$E$4:$E$119,MATCH($B16,' Toto teams'!$A$4:$A$119,0)),Scoring!$A$4:$N$51,8,FALSE()),0)+1*IFERROR(VLOOKUP(INDEX(' Toto teams'!$F$4:$F$119,MATCH($B16,' Toto teams'!$A$4:$A$119,0)),Scoring!$A$4:$N$51,8,FALSE()),0)+1*IFERROR(VLOOKUP(INDEX(' Toto teams'!$G$4:$G$119,MATCH($B16,' Toto teams'!$A$4:$A$119,0)),Scoring!$A$4:$N$51,8,FALSE()),0)+1*IFERROR(VLOOKUP(INDEX(' Toto teams'!$H$4:$H$119,MATCH($B16,' Toto teams'!$A$4:$A$119,0)),Scoring!$A$4:$N$51,8,FALSE()),0))</f>
        <v/>
      </c>
      <c r="F16" s="28">
        <f>IF($B16="","",6*IFERROR(VLOOKUP(INDEX(' Toto teams'!$B$4:$B$119,MATCH($B16,' Toto teams'!$A$4:$A$119,0)),Scoring!$A$4:$N$51,9,FALSE()),0)+4*IFERROR(VLOOKUP(INDEX(' Toto teams'!$C$4:$C$119,MATCH($B16,' Toto teams'!$A$4:$A$119,0)),Scoring!$A$4:$N$51,9,FALSE()),0)+3*IFERROR(VLOOKUP(INDEX(' Toto teams'!$D$4:$D$119,MATCH($B16,' Toto teams'!$A$4:$A$119,0)),Scoring!$A$4:$N$51,9,FALSE()),0)+2*IFERROR(VLOOKUP(INDEX(' Toto teams'!$E$4:$E$119,MATCH($B16,' Toto teams'!$A$4:$A$119,0)),Scoring!$A$4:$N$51,9,FALSE()),0)+1*IFERROR(VLOOKUP(INDEX(' Toto teams'!$F$4:$F$119,MATCH($B16,' Toto teams'!$A$4:$A$119,0)),Scoring!$A$4:$N$51,9,FALSE()),0)+1*IFERROR(VLOOKUP(INDEX(' Toto teams'!$G$4:$G$119,MATCH($B16,' Toto teams'!$A$4:$A$119,0)),Scoring!$A$4:$N$51,9,FALSE()),0)+1*IFERROR(VLOOKUP(INDEX(' Toto teams'!$H$4:$H$119,MATCH($B16,' Toto teams'!$A$4:$A$119,0)),Scoring!$A$4:$N$51,9,FALSE()),0))</f>
        <v/>
      </c>
      <c r="G16" s="28">
        <f>IF($B16="","",6*IFERROR(VLOOKUP(INDEX(' Toto teams'!$B$4:$B$119,MATCH($B16,' Toto teams'!$A$4:$A$119,0)),Scoring!$A$4:$N$51,10,FALSE()),0)+4*IFERROR(VLOOKUP(INDEX(' Toto teams'!$C$4:$C$119,MATCH($B16,' Toto teams'!$A$4:$A$119,0)),Scoring!$A$4:$N$51,10,FALSE()),0)+3*IFERROR(VLOOKUP(INDEX(' Toto teams'!$D$4:$D$119,MATCH($B16,' Toto teams'!$A$4:$A$119,0)),Scoring!$A$4:$N$51,10,FALSE()),0)+2*IFERROR(VLOOKUP(INDEX(' Toto teams'!$E$4:$E$119,MATCH($B16,' Toto teams'!$A$4:$A$119,0)),Scoring!$A$4:$N$51,10,FALSE()),0)+1*IFERROR(VLOOKUP(INDEX(' Toto teams'!$F$4:$F$119,MATCH($B16,' Toto teams'!$A$4:$A$119,0)),Scoring!$A$4:$N$51,10,FALSE()),0)+1*IFERROR(VLOOKUP(INDEX(' Toto teams'!$G$4:$G$119,MATCH($B16,' Toto teams'!$A$4:$A$119,0)),Scoring!$A$4:$N$51,10,FALSE()),0)+1*IFERROR(VLOOKUP(INDEX(' Toto teams'!$H$4:$H$119,MATCH($B16,' Toto teams'!$A$4:$A$119,0)),Scoring!$A$4:$N$51,10,FALSE()),0))</f>
        <v/>
      </c>
      <c r="H16" s="28">
        <f>IF($B16="","",6*IFERROR(VLOOKUP(INDEX(' Toto teams'!$B$4:$B$119,MATCH($B16,' Toto teams'!$A$4:$A$119,0)),Scoring!$A$4:$N$51,11,FALSE()),0)+4*IFERROR(VLOOKUP(INDEX(' Toto teams'!$C$4:$C$119,MATCH($B16,' Toto teams'!$A$4:$A$119,0)),Scoring!$A$4:$N$51,11,FALSE()),0)+3*IFERROR(VLOOKUP(INDEX(' Toto teams'!$D$4:$D$119,MATCH($B16,' Toto teams'!$A$4:$A$119,0)),Scoring!$A$4:$N$51,11,FALSE()),0)+2*IFERROR(VLOOKUP(INDEX(' Toto teams'!$E$4:$E$119,MATCH($B16,' Toto teams'!$A$4:$A$119,0)),Scoring!$A$4:$N$51,11,FALSE()),0)+1*IFERROR(VLOOKUP(INDEX(' Toto teams'!$F$4:$F$119,MATCH($B16,' Toto teams'!$A$4:$A$119,0)),Scoring!$A$4:$N$51,11,FALSE()),0)+1*IFERROR(VLOOKUP(INDEX(' Toto teams'!$G$4:$G$119,MATCH($B16,' Toto teams'!$A$4:$A$119,0)),Scoring!$A$4:$N$51,11,FALSE()),0)+1*IFERROR(VLOOKUP(INDEX(' Toto teams'!$H$4:$H$119,MATCH($B16,' Toto teams'!$A$4:$A$119,0)),Scoring!$A$4:$N$51,11,FALSE()),0))</f>
        <v/>
      </c>
      <c r="I16" s="28">
        <f>IF($B16="","",6*IFERROR(VLOOKUP(INDEX(' Toto teams'!$B$4:$B$119,MATCH($B16,' Toto teams'!$A$4:$A$119,0)),Scoring!$A$4:$O$51,15,FALSE()),0)+4*IFERROR(VLOOKUP(INDEX(' Toto teams'!$C$4:$C$119,MATCH($B16,' Toto teams'!$A$4:$A$119,0)),Scoring!$A$4:$O$51,15,FALSE()),0)+3*IFERROR(VLOOKUP(INDEX(' Toto teams'!$D$4:$D$119,MATCH($B16,' Toto teams'!$A$4:$A$119,0)),Scoring!$A$4:$O$51,15,FALSE()),0)+2*IFERROR(VLOOKUP(INDEX(' Toto teams'!$E$4:$E$119,MATCH($B16,' Toto teams'!$A$4:$A$119,0)),Scoring!$A$4:$O$51,15,FALSE()),0)+1*IFERROR(VLOOKUP(INDEX(' Toto teams'!$F$4:$F$119,MATCH($B16,' Toto teams'!$A$4:$A$119,0)),Scoring!$A$4:$O$51,15,FALSE()),0)+1*IFERROR(VLOOKUP(INDEX(' Toto teams'!$G$4:$G$119,MATCH($B16,' Toto teams'!$A$4:$A$119,0)),Scoring!$A$4:$O$51,15,FALSE()),0)+1*IFERROR(VLOOKUP(INDEX(' Toto teams'!$H$4:$H$119,MATCH($B16,' Toto teams'!$A$4:$A$119,0)),Scoring!$A$4:$O$51,15,FALSE()),0))</f>
        <v/>
      </c>
      <c r="J16" s="28">
        <f>IF($B16="","",6*IFERROR(VLOOKUP(INDEX(' Toto teams'!$B$4:$B$119,MATCH($B16,' Toto teams'!$A$4:$A$119,0)),Scoring!$A$4:$N$51,12,FALSE()),0)+4*IFERROR(VLOOKUP(INDEX(' Toto teams'!$C$4:$C$119,MATCH($B16,' Toto teams'!$A$4:$A$119,0)),Scoring!$A$4:$N$51,12,FALSE()),0)+3*IFERROR(VLOOKUP(INDEX(' Toto teams'!$D$4:$D$119,MATCH($B16,' Toto teams'!$A$4:$A$119,0)),Scoring!$A$4:$N$51,12,FALSE()),0)+2*IFERROR(VLOOKUP(INDEX(' Toto teams'!$E$4:$E$119,MATCH($B16,' Toto teams'!$A$4:$A$119,0)),Scoring!$A$4:$N$51,12,FALSE()),0)+1*IFERROR(VLOOKUP(INDEX(' Toto teams'!$F$4:$F$119,MATCH($B16,' Toto teams'!$A$4:$A$119,0)),Scoring!$A$4:$N$51,12,FALSE()),0)+1*IFERROR(VLOOKUP(INDEX(' Toto teams'!$G$4:$G$119,MATCH($B16,' Toto teams'!$A$4:$A$119,0)),Scoring!$A$4:$N$51,12,FALSE()),0)+1*IFERROR(VLOOKUP(INDEX(' Toto teams'!$H$4:$H$119,MATCH($B16,' Toto teams'!$A$4:$A$119,0)),Scoring!$A$4:$N$51,12,FALSE()),0))</f>
        <v/>
      </c>
      <c r="K16" s="29">
        <f>IF($B16="","",IFERROR(INDEX(' Toto teams'!$R$4:$R$119,MATCH($B16,' Toto teams'!$A$4:$A$119,0)),""))</f>
        <v/>
      </c>
      <c r="L16" s="30">
        <f>IFERROR(IF(B16="","",VLOOKUP(A16,$N$4:$R$12,5,FALSE())),0)</f>
        <v/>
      </c>
    </row>
    <row r="17" ht="12.75" customHeight="1">
      <c r="A17" s="26">
        <f>IF(14&gt;COUNTIF(' Toto teams'!$A$4:$A$119,"&lt;&gt;"),"",INDEX(' Toto teams'!$S$4:$S$119,MATCH(LARGE(' Toto teams'!$T$4:$T$119,14),' Toto teams'!$T$4:$T$119,0)))</f>
        <v/>
      </c>
      <c r="B17" s="27">
        <f>IF(14&gt;COUNTIF(' Toto teams'!$A$4:$A$119,"&lt;&gt;"),"",INDEX(' Toto teams'!$A$4:$A$119,MATCH(LARGE(' Toto teams'!$T$4:$T$119,14),' Toto teams'!$T$4:$T$119,0)))</f>
        <v/>
      </c>
      <c r="C17" s="28">
        <f>IF($B17="","",6*(IFERROR(VLOOKUP(INDEX(' Toto teams'!$B$4:$B$119,MATCH($B17,' Toto teams'!$A$4:$A$119,0)),Scoring!$A$4:$N$51,3,FALSE()),0)+IFERROR(VLOOKUP(INDEX(' Toto teams'!$B$4:$B$119,MATCH($B17,' Toto teams'!$A$4:$A$119,0)),Scoring!$A$4:$N$51,4,FALSE()),0)+IFERROR(VLOOKUP(INDEX(' Toto teams'!$B$4:$B$119,MATCH($B17,' Toto teams'!$A$4:$A$119,0)),Scoring!$A$4:$N$51,5,FALSE()),0))+4*(IFERROR(VLOOKUP(INDEX(' Toto teams'!$C$4:$C$119,MATCH($B17,' Toto teams'!$A$4:$A$119,0)),Scoring!$A$4:$N$51,3,FALSE()),0)+IFERROR(VLOOKUP(INDEX(' Toto teams'!$C$4:$C$119,MATCH($B17,' Toto teams'!$A$4:$A$119,0)),Scoring!$A$4:$N$51,4,FALSE()),0)+IFERROR(VLOOKUP(INDEX(' Toto teams'!$C$4:$C$119,MATCH($B17,' Toto teams'!$A$4:$A$119,0)),Scoring!$A$4:$N$51,5,FALSE()),0))+3*(IFERROR(VLOOKUP(INDEX(' Toto teams'!$D$4:$D$119,MATCH($B17,' Toto teams'!$A$4:$A$119,0)),Scoring!$A$4:$N$51,3,FALSE()),0)+IFERROR(VLOOKUP(INDEX(' Toto teams'!$D$4:$D$119,MATCH($B17,' Toto teams'!$A$4:$A$119,0)),Scoring!$A$4:$N$51,4,FALSE()),0)+IFERROR(VLOOKUP(INDEX(' Toto teams'!$D$4:$D$119,MATCH($B17,' Toto teams'!$A$4:$A$119,0)),Scoring!$A$4:$N$51,5,FALSE()),0))+2*(IFERROR(VLOOKUP(INDEX(' Toto teams'!$E$4:$E$119,MATCH($B17,' Toto teams'!$A$4:$A$119,0)),Scoring!$A$4:$N$51,3,FALSE()),0)+IFERROR(VLOOKUP(INDEX(' Toto teams'!$E$4:$E$119,MATCH($B17,' Toto teams'!$A$4:$A$119,0)),Scoring!$A$4:$N$51,4,FALSE()),0)+IFERROR(VLOOKUP(INDEX(' Toto teams'!$E$4:$E$119,MATCH($B17,' Toto teams'!$A$4:$A$119,0)),Scoring!$A$4:$N$51,5,FALSE()),0))+1*(IFERROR(VLOOKUP(INDEX(' Toto teams'!$F$4:$F$119,MATCH($B17,' Toto teams'!$A$4:$A$119,0)),Scoring!$A$4:$N$51,3,FALSE()),0)+IFERROR(VLOOKUP(INDEX(' Toto teams'!$F$4:$F$119,MATCH($B17,' Toto teams'!$A$4:$A$119,0)),Scoring!$A$4:$N$51,4,FALSE()),0)+IFERROR(VLOOKUP(INDEX(' Toto teams'!$F$4:$F$119,MATCH($B17,' Toto teams'!$A$4:$A$119,0)),Scoring!$A$4:$N$51,5,FALSE()),0))+1*(IFERROR(VLOOKUP(INDEX(' Toto teams'!$G$4:$G$119,MATCH($B17,' Toto teams'!$A$4:$A$119,0)),Scoring!$A$4:$N$51,3,FALSE()),0)+IFERROR(VLOOKUP(INDEX(' Toto teams'!$G$4:$G$119,MATCH($B17,' Toto teams'!$A$4:$A$119,0)),Scoring!$A$4:$N$51,4,FALSE()),0)+IFERROR(VLOOKUP(INDEX(' Toto teams'!$G$4:$G$119,MATCH($B17,' Toto teams'!$A$4:$A$119,0)),Scoring!$A$4:$N$51,5,FALSE()),0))+1*(IFERROR(VLOOKUP(INDEX(' Toto teams'!$H$4:$H$119,MATCH($B17,' Toto teams'!$A$4:$A$119,0)),Scoring!$A$4:$N$51,3,FALSE()),0)+IFERROR(VLOOKUP(INDEX(' Toto teams'!$H$4:$H$119,MATCH($B17,' Toto teams'!$A$4:$A$119,0)),Scoring!$A$4:$N$51,4,FALSE()),0)+IFERROR(VLOOKUP(INDEX(' Toto teams'!$H$4:$H$119,MATCH($B17,' Toto teams'!$A$4:$A$119,0)),Scoring!$A$4:$N$51,5,FALSE()),0))+IFERROR(INDEX(' Toto teams'!$Q$4:$Q$119,MATCH($B17,' Toto teams'!$A$4:$A$119,0))*1,0))</f>
        <v/>
      </c>
      <c r="D17" s="28">
        <f>IF($B17="","",6*IFERROR(VLOOKUP(INDEX(' Toto teams'!$B$4:$B$119,MATCH($B17,' Toto teams'!$A$4:$A$119,0)),Scoring!$A$4:$N$51,7,FALSE()),0)+4*IFERROR(VLOOKUP(INDEX(' Toto teams'!$C$4:$C$119,MATCH($B17,' Toto teams'!$A$4:$A$119,0)),Scoring!$A$4:$N$51,7,FALSE()),0)+3*IFERROR(VLOOKUP(INDEX(' Toto teams'!$D$4:$D$119,MATCH($B17,' Toto teams'!$A$4:$A$119,0)),Scoring!$A$4:$N$51,7,FALSE()),0)+2*IFERROR(VLOOKUP(INDEX(' Toto teams'!$E$4:$E$119,MATCH($B17,' Toto teams'!$A$4:$A$119,0)),Scoring!$A$4:$N$51,7,FALSE()),0)+1*IFERROR(VLOOKUP(INDEX(' Toto teams'!$F$4:$F$119,MATCH($B17,' Toto teams'!$A$4:$A$119,0)),Scoring!$A$4:$N$51,7,FALSE()),0)+1*IFERROR(VLOOKUP(INDEX(' Toto teams'!$G$4:$G$119,MATCH($B17,' Toto teams'!$A$4:$A$119,0)),Scoring!$A$4:$N$51,7,FALSE()),0)+1*IFERROR(VLOOKUP(INDEX(' Toto teams'!$H$4:$H$119,MATCH($B17,' Toto teams'!$A$4:$A$119,0)),Scoring!$A$4:$N$51,7,FALSE()),0))</f>
        <v/>
      </c>
      <c r="E17" s="28">
        <f>IF($B17="","",6*IFERROR(VLOOKUP(INDEX(' Toto teams'!$B$4:$B$119,MATCH($B17,' Toto teams'!$A$4:$A$119,0)),Scoring!$A$4:$N$51,8,FALSE()),0)+4*IFERROR(VLOOKUP(INDEX(' Toto teams'!$C$4:$C$119,MATCH($B17,' Toto teams'!$A$4:$A$119,0)),Scoring!$A$4:$N$51,8,FALSE()),0)+3*IFERROR(VLOOKUP(INDEX(' Toto teams'!$D$4:$D$119,MATCH($B17,' Toto teams'!$A$4:$A$119,0)),Scoring!$A$4:$N$51,8,FALSE()),0)+2*IFERROR(VLOOKUP(INDEX(' Toto teams'!$E$4:$E$119,MATCH($B17,' Toto teams'!$A$4:$A$119,0)),Scoring!$A$4:$N$51,8,FALSE()),0)+1*IFERROR(VLOOKUP(INDEX(' Toto teams'!$F$4:$F$119,MATCH($B17,' Toto teams'!$A$4:$A$119,0)),Scoring!$A$4:$N$51,8,FALSE()),0)+1*IFERROR(VLOOKUP(INDEX(' Toto teams'!$G$4:$G$119,MATCH($B17,' Toto teams'!$A$4:$A$119,0)),Scoring!$A$4:$N$51,8,FALSE()),0)+1*IFERROR(VLOOKUP(INDEX(' Toto teams'!$H$4:$H$119,MATCH($B17,' Toto teams'!$A$4:$A$119,0)),Scoring!$A$4:$N$51,8,FALSE()),0))</f>
        <v/>
      </c>
      <c r="F17" s="28">
        <f>IF($B17="","",6*IFERROR(VLOOKUP(INDEX(' Toto teams'!$B$4:$B$119,MATCH($B17,' Toto teams'!$A$4:$A$119,0)),Scoring!$A$4:$N$51,9,FALSE()),0)+4*IFERROR(VLOOKUP(INDEX(' Toto teams'!$C$4:$C$119,MATCH($B17,' Toto teams'!$A$4:$A$119,0)),Scoring!$A$4:$N$51,9,FALSE()),0)+3*IFERROR(VLOOKUP(INDEX(' Toto teams'!$D$4:$D$119,MATCH($B17,' Toto teams'!$A$4:$A$119,0)),Scoring!$A$4:$N$51,9,FALSE()),0)+2*IFERROR(VLOOKUP(INDEX(' Toto teams'!$E$4:$E$119,MATCH($B17,' Toto teams'!$A$4:$A$119,0)),Scoring!$A$4:$N$51,9,FALSE()),0)+1*IFERROR(VLOOKUP(INDEX(' Toto teams'!$F$4:$F$119,MATCH($B17,' Toto teams'!$A$4:$A$119,0)),Scoring!$A$4:$N$51,9,FALSE()),0)+1*IFERROR(VLOOKUP(INDEX(' Toto teams'!$G$4:$G$119,MATCH($B17,' Toto teams'!$A$4:$A$119,0)),Scoring!$A$4:$N$51,9,FALSE()),0)+1*IFERROR(VLOOKUP(INDEX(' Toto teams'!$H$4:$H$119,MATCH($B17,' Toto teams'!$A$4:$A$119,0)),Scoring!$A$4:$N$51,9,FALSE()),0))</f>
        <v/>
      </c>
      <c r="G17" s="28">
        <f>IF($B17="","",6*IFERROR(VLOOKUP(INDEX(' Toto teams'!$B$4:$B$119,MATCH($B17,' Toto teams'!$A$4:$A$119,0)),Scoring!$A$4:$N$51,10,FALSE()),0)+4*IFERROR(VLOOKUP(INDEX(' Toto teams'!$C$4:$C$119,MATCH($B17,' Toto teams'!$A$4:$A$119,0)),Scoring!$A$4:$N$51,10,FALSE()),0)+3*IFERROR(VLOOKUP(INDEX(' Toto teams'!$D$4:$D$119,MATCH($B17,' Toto teams'!$A$4:$A$119,0)),Scoring!$A$4:$N$51,10,FALSE()),0)+2*IFERROR(VLOOKUP(INDEX(' Toto teams'!$E$4:$E$119,MATCH($B17,' Toto teams'!$A$4:$A$119,0)),Scoring!$A$4:$N$51,10,FALSE()),0)+1*IFERROR(VLOOKUP(INDEX(' Toto teams'!$F$4:$F$119,MATCH($B17,' Toto teams'!$A$4:$A$119,0)),Scoring!$A$4:$N$51,10,FALSE()),0)+1*IFERROR(VLOOKUP(INDEX(' Toto teams'!$G$4:$G$119,MATCH($B17,' Toto teams'!$A$4:$A$119,0)),Scoring!$A$4:$N$51,10,FALSE()),0)+1*IFERROR(VLOOKUP(INDEX(' Toto teams'!$H$4:$H$119,MATCH($B17,' Toto teams'!$A$4:$A$119,0)),Scoring!$A$4:$N$51,10,FALSE()),0))</f>
        <v/>
      </c>
      <c r="H17" s="28">
        <f>IF($B17="","",6*IFERROR(VLOOKUP(INDEX(' Toto teams'!$B$4:$B$119,MATCH($B17,' Toto teams'!$A$4:$A$119,0)),Scoring!$A$4:$N$51,11,FALSE()),0)+4*IFERROR(VLOOKUP(INDEX(' Toto teams'!$C$4:$C$119,MATCH($B17,' Toto teams'!$A$4:$A$119,0)),Scoring!$A$4:$N$51,11,FALSE()),0)+3*IFERROR(VLOOKUP(INDEX(' Toto teams'!$D$4:$D$119,MATCH($B17,' Toto teams'!$A$4:$A$119,0)),Scoring!$A$4:$N$51,11,FALSE()),0)+2*IFERROR(VLOOKUP(INDEX(' Toto teams'!$E$4:$E$119,MATCH($B17,' Toto teams'!$A$4:$A$119,0)),Scoring!$A$4:$N$51,11,FALSE()),0)+1*IFERROR(VLOOKUP(INDEX(' Toto teams'!$F$4:$F$119,MATCH($B17,' Toto teams'!$A$4:$A$119,0)),Scoring!$A$4:$N$51,11,FALSE()),0)+1*IFERROR(VLOOKUP(INDEX(' Toto teams'!$G$4:$G$119,MATCH($B17,' Toto teams'!$A$4:$A$119,0)),Scoring!$A$4:$N$51,11,FALSE()),0)+1*IFERROR(VLOOKUP(INDEX(' Toto teams'!$H$4:$H$119,MATCH($B17,' Toto teams'!$A$4:$A$119,0)),Scoring!$A$4:$N$51,11,FALSE()),0))</f>
        <v/>
      </c>
      <c r="I17" s="28">
        <f>IF($B17="","",6*IFERROR(VLOOKUP(INDEX(' Toto teams'!$B$4:$B$119,MATCH($B17,' Toto teams'!$A$4:$A$119,0)),Scoring!$A$4:$O$51,15,FALSE()),0)+4*IFERROR(VLOOKUP(INDEX(' Toto teams'!$C$4:$C$119,MATCH($B17,' Toto teams'!$A$4:$A$119,0)),Scoring!$A$4:$O$51,15,FALSE()),0)+3*IFERROR(VLOOKUP(INDEX(' Toto teams'!$D$4:$D$119,MATCH($B17,' Toto teams'!$A$4:$A$119,0)),Scoring!$A$4:$O$51,15,FALSE()),0)+2*IFERROR(VLOOKUP(INDEX(' Toto teams'!$E$4:$E$119,MATCH($B17,' Toto teams'!$A$4:$A$119,0)),Scoring!$A$4:$O$51,15,FALSE()),0)+1*IFERROR(VLOOKUP(INDEX(' Toto teams'!$F$4:$F$119,MATCH($B17,' Toto teams'!$A$4:$A$119,0)),Scoring!$A$4:$O$51,15,FALSE()),0)+1*IFERROR(VLOOKUP(INDEX(' Toto teams'!$G$4:$G$119,MATCH($B17,' Toto teams'!$A$4:$A$119,0)),Scoring!$A$4:$O$51,15,FALSE()),0)+1*IFERROR(VLOOKUP(INDEX(' Toto teams'!$H$4:$H$119,MATCH($B17,' Toto teams'!$A$4:$A$119,0)),Scoring!$A$4:$O$51,15,FALSE()),0))</f>
        <v/>
      </c>
      <c r="J17" s="28">
        <f>IF($B17="","",6*IFERROR(VLOOKUP(INDEX(' Toto teams'!$B$4:$B$119,MATCH($B17,' Toto teams'!$A$4:$A$119,0)),Scoring!$A$4:$N$51,12,FALSE()),0)+4*IFERROR(VLOOKUP(INDEX(' Toto teams'!$C$4:$C$119,MATCH($B17,' Toto teams'!$A$4:$A$119,0)),Scoring!$A$4:$N$51,12,FALSE()),0)+3*IFERROR(VLOOKUP(INDEX(' Toto teams'!$D$4:$D$119,MATCH($B17,' Toto teams'!$A$4:$A$119,0)),Scoring!$A$4:$N$51,12,FALSE()),0)+2*IFERROR(VLOOKUP(INDEX(' Toto teams'!$E$4:$E$119,MATCH($B17,' Toto teams'!$A$4:$A$119,0)),Scoring!$A$4:$N$51,12,FALSE()),0)+1*IFERROR(VLOOKUP(INDEX(' Toto teams'!$F$4:$F$119,MATCH($B17,' Toto teams'!$A$4:$A$119,0)),Scoring!$A$4:$N$51,12,FALSE()),0)+1*IFERROR(VLOOKUP(INDEX(' Toto teams'!$G$4:$G$119,MATCH($B17,' Toto teams'!$A$4:$A$119,0)),Scoring!$A$4:$N$51,12,FALSE()),0)+1*IFERROR(VLOOKUP(INDEX(' Toto teams'!$H$4:$H$119,MATCH($B17,' Toto teams'!$A$4:$A$119,0)),Scoring!$A$4:$N$51,12,FALSE()),0))</f>
        <v/>
      </c>
      <c r="K17" s="29">
        <f>IF($B17="","",IFERROR(INDEX(' Toto teams'!$R$4:$R$119,MATCH($B17,' Toto teams'!$A$4:$A$119,0)),""))</f>
        <v/>
      </c>
      <c r="L17" s="30">
        <f>IFERROR(IF(B17="","",VLOOKUP(A17,$N$4:$R$12,5,FALSE())),0)</f>
        <v/>
      </c>
    </row>
    <row r="18" ht="12.75" customHeight="1">
      <c r="A18" s="26">
        <f>IF(15&gt;COUNTIF(' Toto teams'!$A$4:$A$119,"&lt;&gt;"),"",INDEX(' Toto teams'!$S$4:$S$119,MATCH(LARGE(' Toto teams'!$T$4:$T$119,15),' Toto teams'!$T$4:$T$119,0)))</f>
        <v/>
      </c>
      <c r="B18" s="27">
        <f>IF(15&gt;COUNTIF(' Toto teams'!$A$4:$A$119,"&lt;&gt;"),"",INDEX(' Toto teams'!$A$4:$A$119,MATCH(LARGE(' Toto teams'!$T$4:$T$119,15),' Toto teams'!$T$4:$T$119,0)))</f>
        <v/>
      </c>
      <c r="C18" s="28">
        <f>IF($B18="","",6*(IFERROR(VLOOKUP(INDEX(' Toto teams'!$B$4:$B$119,MATCH($B18,' Toto teams'!$A$4:$A$119,0)),Scoring!$A$4:$N$51,3,FALSE()),0)+IFERROR(VLOOKUP(INDEX(' Toto teams'!$B$4:$B$119,MATCH($B18,' Toto teams'!$A$4:$A$119,0)),Scoring!$A$4:$N$51,4,FALSE()),0)+IFERROR(VLOOKUP(INDEX(' Toto teams'!$B$4:$B$119,MATCH($B18,' Toto teams'!$A$4:$A$119,0)),Scoring!$A$4:$N$51,5,FALSE()),0))+4*(IFERROR(VLOOKUP(INDEX(' Toto teams'!$C$4:$C$119,MATCH($B18,' Toto teams'!$A$4:$A$119,0)),Scoring!$A$4:$N$51,3,FALSE()),0)+IFERROR(VLOOKUP(INDEX(' Toto teams'!$C$4:$C$119,MATCH($B18,' Toto teams'!$A$4:$A$119,0)),Scoring!$A$4:$N$51,4,FALSE()),0)+IFERROR(VLOOKUP(INDEX(' Toto teams'!$C$4:$C$119,MATCH($B18,' Toto teams'!$A$4:$A$119,0)),Scoring!$A$4:$N$51,5,FALSE()),0))+3*(IFERROR(VLOOKUP(INDEX(' Toto teams'!$D$4:$D$119,MATCH($B18,' Toto teams'!$A$4:$A$119,0)),Scoring!$A$4:$N$51,3,FALSE()),0)+IFERROR(VLOOKUP(INDEX(' Toto teams'!$D$4:$D$119,MATCH($B18,' Toto teams'!$A$4:$A$119,0)),Scoring!$A$4:$N$51,4,FALSE()),0)+IFERROR(VLOOKUP(INDEX(' Toto teams'!$D$4:$D$119,MATCH($B18,' Toto teams'!$A$4:$A$119,0)),Scoring!$A$4:$N$51,5,FALSE()),0))+2*(IFERROR(VLOOKUP(INDEX(' Toto teams'!$E$4:$E$119,MATCH($B18,' Toto teams'!$A$4:$A$119,0)),Scoring!$A$4:$N$51,3,FALSE()),0)+IFERROR(VLOOKUP(INDEX(' Toto teams'!$E$4:$E$119,MATCH($B18,' Toto teams'!$A$4:$A$119,0)),Scoring!$A$4:$N$51,4,FALSE()),0)+IFERROR(VLOOKUP(INDEX(' Toto teams'!$E$4:$E$119,MATCH($B18,' Toto teams'!$A$4:$A$119,0)),Scoring!$A$4:$N$51,5,FALSE()),0))+1*(IFERROR(VLOOKUP(INDEX(' Toto teams'!$F$4:$F$119,MATCH($B18,' Toto teams'!$A$4:$A$119,0)),Scoring!$A$4:$N$51,3,FALSE()),0)+IFERROR(VLOOKUP(INDEX(' Toto teams'!$F$4:$F$119,MATCH($B18,' Toto teams'!$A$4:$A$119,0)),Scoring!$A$4:$N$51,4,FALSE()),0)+IFERROR(VLOOKUP(INDEX(' Toto teams'!$F$4:$F$119,MATCH($B18,' Toto teams'!$A$4:$A$119,0)),Scoring!$A$4:$N$51,5,FALSE()),0))+1*(IFERROR(VLOOKUP(INDEX(' Toto teams'!$G$4:$G$119,MATCH($B18,' Toto teams'!$A$4:$A$119,0)),Scoring!$A$4:$N$51,3,FALSE()),0)+IFERROR(VLOOKUP(INDEX(' Toto teams'!$G$4:$G$119,MATCH($B18,' Toto teams'!$A$4:$A$119,0)),Scoring!$A$4:$N$51,4,FALSE()),0)+IFERROR(VLOOKUP(INDEX(' Toto teams'!$G$4:$G$119,MATCH($B18,' Toto teams'!$A$4:$A$119,0)),Scoring!$A$4:$N$51,5,FALSE()),0))+1*(IFERROR(VLOOKUP(INDEX(' Toto teams'!$H$4:$H$119,MATCH($B18,' Toto teams'!$A$4:$A$119,0)),Scoring!$A$4:$N$51,3,FALSE()),0)+IFERROR(VLOOKUP(INDEX(' Toto teams'!$H$4:$H$119,MATCH($B18,' Toto teams'!$A$4:$A$119,0)),Scoring!$A$4:$N$51,4,FALSE()),0)+IFERROR(VLOOKUP(INDEX(' Toto teams'!$H$4:$H$119,MATCH($B18,' Toto teams'!$A$4:$A$119,0)),Scoring!$A$4:$N$51,5,FALSE()),0))+IFERROR(INDEX(' Toto teams'!$Q$4:$Q$119,MATCH($B18,' Toto teams'!$A$4:$A$119,0))*1,0))</f>
        <v/>
      </c>
      <c r="D18" s="28">
        <f>IF($B18="","",6*IFERROR(VLOOKUP(INDEX(' Toto teams'!$B$4:$B$119,MATCH($B18,' Toto teams'!$A$4:$A$119,0)),Scoring!$A$4:$N$51,7,FALSE()),0)+4*IFERROR(VLOOKUP(INDEX(' Toto teams'!$C$4:$C$119,MATCH($B18,' Toto teams'!$A$4:$A$119,0)),Scoring!$A$4:$N$51,7,FALSE()),0)+3*IFERROR(VLOOKUP(INDEX(' Toto teams'!$D$4:$D$119,MATCH($B18,' Toto teams'!$A$4:$A$119,0)),Scoring!$A$4:$N$51,7,FALSE()),0)+2*IFERROR(VLOOKUP(INDEX(' Toto teams'!$E$4:$E$119,MATCH($B18,' Toto teams'!$A$4:$A$119,0)),Scoring!$A$4:$N$51,7,FALSE()),0)+1*IFERROR(VLOOKUP(INDEX(' Toto teams'!$F$4:$F$119,MATCH($B18,' Toto teams'!$A$4:$A$119,0)),Scoring!$A$4:$N$51,7,FALSE()),0)+1*IFERROR(VLOOKUP(INDEX(' Toto teams'!$G$4:$G$119,MATCH($B18,' Toto teams'!$A$4:$A$119,0)),Scoring!$A$4:$N$51,7,FALSE()),0)+1*IFERROR(VLOOKUP(INDEX(' Toto teams'!$H$4:$H$119,MATCH($B18,' Toto teams'!$A$4:$A$119,0)),Scoring!$A$4:$N$51,7,FALSE()),0))</f>
        <v/>
      </c>
      <c r="E18" s="28">
        <f>IF($B18="","",6*IFERROR(VLOOKUP(INDEX(' Toto teams'!$B$4:$B$119,MATCH($B18,' Toto teams'!$A$4:$A$119,0)),Scoring!$A$4:$N$51,8,FALSE()),0)+4*IFERROR(VLOOKUP(INDEX(' Toto teams'!$C$4:$C$119,MATCH($B18,' Toto teams'!$A$4:$A$119,0)),Scoring!$A$4:$N$51,8,FALSE()),0)+3*IFERROR(VLOOKUP(INDEX(' Toto teams'!$D$4:$D$119,MATCH($B18,' Toto teams'!$A$4:$A$119,0)),Scoring!$A$4:$N$51,8,FALSE()),0)+2*IFERROR(VLOOKUP(INDEX(' Toto teams'!$E$4:$E$119,MATCH($B18,' Toto teams'!$A$4:$A$119,0)),Scoring!$A$4:$N$51,8,FALSE()),0)+1*IFERROR(VLOOKUP(INDEX(' Toto teams'!$F$4:$F$119,MATCH($B18,' Toto teams'!$A$4:$A$119,0)),Scoring!$A$4:$N$51,8,FALSE()),0)+1*IFERROR(VLOOKUP(INDEX(' Toto teams'!$G$4:$G$119,MATCH($B18,' Toto teams'!$A$4:$A$119,0)),Scoring!$A$4:$N$51,8,FALSE()),0)+1*IFERROR(VLOOKUP(INDEX(' Toto teams'!$H$4:$H$119,MATCH($B18,' Toto teams'!$A$4:$A$119,0)),Scoring!$A$4:$N$51,8,FALSE()),0))</f>
        <v/>
      </c>
      <c r="F18" s="28">
        <f>IF($B18="","",6*IFERROR(VLOOKUP(INDEX(' Toto teams'!$B$4:$B$119,MATCH($B18,' Toto teams'!$A$4:$A$119,0)),Scoring!$A$4:$N$51,9,FALSE()),0)+4*IFERROR(VLOOKUP(INDEX(' Toto teams'!$C$4:$C$119,MATCH($B18,' Toto teams'!$A$4:$A$119,0)),Scoring!$A$4:$N$51,9,FALSE()),0)+3*IFERROR(VLOOKUP(INDEX(' Toto teams'!$D$4:$D$119,MATCH($B18,' Toto teams'!$A$4:$A$119,0)),Scoring!$A$4:$N$51,9,FALSE()),0)+2*IFERROR(VLOOKUP(INDEX(' Toto teams'!$E$4:$E$119,MATCH($B18,' Toto teams'!$A$4:$A$119,0)),Scoring!$A$4:$N$51,9,FALSE()),0)+1*IFERROR(VLOOKUP(INDEX(' Toto teams'!$F$4:$F$119,MATCH($B18,' Toto teams'!$A$4:$A$119,0)),Scoring!$A$4:$N$51,9,FALSE()),0)+1*IFERROR(VLOOKUP(INDEX(' Toto teams'!$G$4:$G$119,MATCH($B18,' Toto teams'!$A$4:$A$119,0)),Scoring!$A$4:$N$51,9,FALSE()),0)+1*IFERROR(VLOOKUP(INDEX(' Toto teams'!$H$4:$H$119,MATCH($B18,' Toto teams'!$A$4:$A$119,0)),Scoring!$A$4:$N$51,9,FALSE()),0))</f>
        <v/>
      </c>
      <c r="G18" s="28">
        <f>IF($B18="","",6*IFERROR(VLOOKUP(INDEX(' Toto teams'!$B$4:$B$119,MATCH($B18,' Toto teams'!$A$4:$A$119,0)),Scoring!$A$4:$N$51,10,FALSE()),0)+4*IFERROR(VLOOKUP(INDEX(' Toto teams'!$C$4:$C$119,MATCH($B18,' Toto teams'!$A$4:$A$119,0)),Scoring!$A$4:$N$51,10,FALSE()),0)+3*IFERROR(VLOOKUP(INDEX(' Toto teams'!$D$4:$D$119,MATCH($B18,' Toto teams'!$A$4:$A$119,0)),Scoring!$A$4:$N$51,10,FALSE()),0)+2*IFERROR(VLOOKUP(INDEX(' Toto teams'!$E$4:$E$119,MATCH($B18,' Toto teams'!$A$4:$A$119,0)),Scoring!$A$4:$N$51,10,FALSE()),0)+1*IFERROR(VLOOKUP(INDEX(' Toto teams'!$F$4:$F$119,MATCH($B18,' Toto teams'!$A$4:$A$119,0)),Scoring!$A$4:$N$51,10,FALSE()),0)+1*IFERROR(VLOOKUP(INDEX(' Toto teams'!$G$4:$G$119,MATCH($B18,' Toto teams'!$A$4:$A$119,0)),Scoring!$A$4:$N$51,10,FALSE()),0)+1*IFERROR(VLOOKUP(INDEX(' Toto teams'!$H$4:$H$119,MATCH($B18,' Toto teams'!$A$4:$A$119,0)),Scoring!$A$4:$N$51,10,FALSE()),0))</f>
        <v/>
      </c>
      <c r="H18" s="28">
        <f>IF($B18="","",6*IFERROR(VLOOKUP(INDEX(' Toto teams'!$B$4:$B$119,MATCH($B18,' Toto teams'!$A$4:$A$119,0)),Scoring!$A$4:$N$51,11,FALSE()),0)+4*IFERROR(VLOOKUP(INDEX(' Toto teams'!$C$4:$C$119,MATCH($B18,' Toto teams'!$A$4:$A$119,0)),Scoring!$A$4:$N$51,11,FALSE()),0)+3*IFERROR(VLOOKUP(INDEX(' Toto teams'!$D$4:$D$119,MATCH($B18,' Toto teams'!$A$4:$A$119,0)),Scoring!$A$4:$N$51,11,FALSE()),0)+2*IFERROR(VLOOKUP(INDEX(' Toto teams'!$E$4:$E$119,MATCH($B18,' Toto teams'!$A$4:$A$119,0)),Scoring!$A$4:$N$51,11,FALSE()),0)+1*IFERROR(VLOOKUP(INDEX(' Toto teams'!$F$4:$F$119,MATCH($B18,' Toto teams'!$A$4:$A$119,0)),Scoring!$A$4:$N$51,11,FALSE()),0)+1*IFERROR(VLOOKUP(INDEX(' Toto teams'!$G$4:$G$119,MATCH($B18,' Toto teams'!$A$4:$A$119,0)),Scoring!$A$4:$N$51,11,FALSE()),0)+1*IFERROR(VLOOKUP(INDEX(' Toto teams'!$H$4:$H$119,MATCH($B18,' Toto teams'!$A$4:$A$119,0)),Scoring!$A$4:$N$51,11,FALSE()),0))</f>
        <v/>
      </c>
      <c r="I18" s="28">
        <f>IF($B18="","",6*IFERROR(VLOOKUP(INDEX(' Toto teams'!$B$4:$B$119,MATCH($B18,' Toto teams'!$A$4:$A$119,0)),Scoring!$A$4:$O$51,15,FALSE()),0)+4*IFERROR(VLOOKUP(INDEX(' Toto teams'!$C$4:$C$119,MATCH($B18,' Toto teams'!$A$4:$A$119,0)),Scoring!$A$4:$O$51,15,FALSE()),0)+3*IFERROR(VLOOKUP(INDEX(' Toto teams'!$D$4:$D$119,MATCH($B18,' Toto teams'!$A$4:$A$119,0)),Scoring!$A$4:$O$51,15,FALSE()),0)+2*IFERROR(VLOOKUP(INDEX(' Toto teams'!$E$4:$E$119,MATCH($B18,' Toto teams'!$A$4:$A$119,0)),Scoring!$A$4:$O$51,15,FALSE()),0)+1*IFERROR(VLOOKUP(INDEX(' Toto teams'!$F$4:$F$119,MATCH($B18,' Toto teams'!$A$4:$A$119,0)),Scoring!$A$4:$O$51,15,FALSE()),0)+1*IFERROR(VLOOKUP(INDEX(' Toto teams'!$G$4:$G$119,MATCH($B18,' Toto teams'!$A$4:$A$119,0)),Scoring!$A$4:$O$51,15,FALSE()),0)+1*IFERROR(VLOOKUP(INDEX(' Toto teams'!$H$4:$H$119,MATCH($B18,' Toto teams'!$A$4:$A$119,0)),Scoring!$A$4:$O$51,15,FALSE()),0))</f>
        <v/>
      </c>
      <c r="J18" s="28">
        <f>IF($B18="","",6*IFERROR(VLOOKUP(INDEX(' Toto teams'!$B$4:$B$119,MATCH($B18,' Toto teams'!$A$4:$A$119,0)),Scoring!$A$4:$N$51,12,FALSE()),0)+4*IFERROR(VLOOKUP(INDEX(' Toto teams'!$C$4:$C$119,MATCH($B18,' Toto teams'!$A$4:$A$119,0)),Scoring!$A$4:$N$51,12,FALSE()),0)+3*IFERROR(VLOOKUP(INDEX(' Toto teams'!$D$4:$D$119,MATCH($B18,' Toto teams'!$A$4:$A$119,0)),Scoring!$A$4:$N$51,12,FALSE()),0)+2*IFERROR(VLOOKUP(INDEX(' Toto teams'!$E$4:$E$119,MATCH($B18,' Toto teams'!$A$4:$A$119,0)),Scoring!$A$4:$N$51,12,FALSE()),0)+1*IFERROR(VLOOKUP(INDEX(' Toto teams'!$F$4:$F$119,MATCH($B18,' Toto teams'!$A$4:$A$119,0)),Scoring!$A$4:$N$51,12,FALSE()),0)+1*IFERROR(VLOOKUP(INDEX(' Toto teams'!$G$4:$G$119,MATCH($B18,' Toto teams'!$A$4:$A$119,0)),Scoring!$A$4:$N$51,12,FALSE()),0)+1*IFERROR(VLOOKUP(INDEX(' Toto teams'!$H$4:$H$119,MATCH($B18,' Toto teams'!$A$4:$A$119,0)),Scoring!$A$4:$N$51,12,FALSE()),0))</f>
        <v/>
      </c>
      <c r="K18" s="29">
        <f>IF($B18="","",IFERROR(INDEX(' Toto teams'!$R$4:$R$119,MATCH($B18,' Toto teams'!$A$4:$A$119,0)),""))</f>
        <v/>
      </c>
      <c r="L18" s="30">
        <f>IFERROR(IF(B18="","",VLOOKUP(A18,$N$4:$R$12,5,FALSE())),0)</f>
        <v/>
      </c>
    </row>
    <row r="19" ht="12.75" customHeight="1">
      <c r="A19" s="26">
        <f>IF(16&gt;COUNTIF(' Toto teams'!$A$4:$A$119,"&lt;&gt;"),"",INDEX(' Toto teams'!$S$4:$S$119,MATCH(LARGE(' Toto teams'!$T$4:$T$119,16),' Toto teams'!$T$4:$T$119,0)))</f>
        <v/>
      </c>
      <c r="B19" s="27">
        <f>IF(16&gt;COUNTIF(' Toto teams'!$A$4:$A$119,"&lt;&gt;"),"",INDEX(' Toto teams'!$A$4:$A$119,MATCH(LARGE(' Toto teams'!$T$4:$T$119,16),' Toto teams'!$T$4:$T$119,0)))</f>
        <v/>
      </c>
      <c r="C19" s="28">
        <f>IF($B19="","",6*(IFERROR(VLOOKUP(INDEX(' Toto teams'!$B$4:$B$119,MATCH($B19,' Toto teams'!$A$4:$A$119,0)),Scoring!$A$4:$N$51,3,FALSE()),0)+IFERROR(VLOOKUP(INDEX(' Toto teams'!$B$4:$B$119,MATCH($B19,' Toto teams'!$A$4:$A$119,0)),Scoring!$A$4:$N$51,4,FALSE()),0)+IFERROR(VLOOKUP(INDEX(' Toto teams'!$B$4:$B$119,MATCH($B19,' Toto teams'!$A$4:$A$119,0)),Scoring!$A$4:$N$51,5,FALSE()),0))+4*(IFERROR(VLOOKUP(INDEX(' Toto teams'!$C$4:$C$119,MATCH($B19,' Toto teams'!$A$4:$A$119,0)),Scoring!$A$4:$N$51,3,FALSE()),0)+IFERROR(VLOOKUP(INDEX(' Toto teams'!$C$4:$C$119,MATCH($B19,' Toto teams'!$A$4:$A$119,0)),Scoring!$A$4:$N$51,4,FALSE()),0)+IFERROR(VLOOKUP(INDEX(' Toto teams'!$C$4:$C$119,MATCH($B19,' Toto teams'!$A$4:$A$119,0)),Scoring!$A$4:$N$51,5,FALSE()),0))+3*(IFERROR(VLOOKUP(INDEX(' Toto teams'!$D$4:$D$119,MATCH($B19,' Toto teams'!$A$4:$A$119,0)),Scoring!$A$4:$N$51,3,FALSE()),0)+IFERROR(VLOOKUP(INDEX(' Toto teams'!$D$4:$D$119,MATCH($B19,' Toto teams'!$A$4:$A$119,0)),Scoring!$A$4:$N$51,4,FALSE()),0)+IFERROR(VLOOKUP(INDEX(' Toto teams'!$D$4:$D$119,MATCH($B19,' Toto teams'!$A$4:$A$119,0)),Scoring!$A$4:$N$51,5,FALSE()),0))+2*(IFERROR(VLOOKUP(INDEX(' Toto teams'!$E$4:$E$119,MATCH($B19,' Toto teams'!$A$4:$A$119,0)),Scoring!$A$4:$N$51,3,FALSE()),0)+IFERROR(VLOOKUP(INDEX(' Toto teams'!$E$4:$E$119,MATCH($B19,' Toto teams'!$A$4:$A$119,0)),Scoring!$A$4:$N$51,4,FALSE()),0)+IFERROR(VLOOKUP(INDEX(' Toto teams'!$E$4:$E$119,MATCH($B19,' Toto teams'!$A$4:$A$119,0)),Scoring!$A$4:$N$51,5,FALSE()),0))+1*(IFERROR(VLOOKUP(INDEX(' Toto teams'!$F$4:$F$119,MATCH($B19,' Toto teams'!$A$4:$A$119,0)),Scoring!$A$4:$N$51,3,FALSE()),0)+IFERROR(VLOOKUP(INDEX(' Toto teams'!$F$4:$F$119,MATCH($B19,' Toto teams'!$A$4:$A$119,0)),Scoring!$A$4:$N$51,4,FALSE()),0)+IFERROR(VLOOKUP(INDEX(' Toto teams'!$F$4:$F$119,MATCH($B19,' Toto teams'!$A$4:$A$119,0)),Scoring!$A$4:$N$51,5,FALSE()),0))+1*(IFERROR(VLOOKUP(INDEX(' Toto teams'!$G$4:$G$119,MATCH($B19,' Toto teams'!$A$4:$A$119,0)),Scoring!$A$4:$N$51,3,FALSE()),0)+IFERROR(VLOOKUP(INDEX(' Toto teams'!$G$4:$G$119,MATCH($B19,' Toto teams'!$A$4:$A$119,0)),Scoring!$A$4:$N$51,4,FALSE()),0)+IFERROR(VLOOKUP(INDEX(' Toto teams'!$G$4:$G$119,MATCH($B19,' Toto teams'!$A$4:$A$119,0)),Scoring!$A$4:$N$51,5,FALSE()),0))+1*(IFERROR(VLOOKUP(INDEX(' Toto teams'!$H$4:$H$119,MATCH($B19,' Toto teams'!$A$4:$A$119,0)),Scoring!$A$4:$N$51,3,FALSE()),0)+IFERROR(VLOOKUP(INDEX(' Toto teams'!$H$4:$H$119,MATCH($B19,' Toto teams'!$A$4:$A$119,0)),Scoring!$A$4:$N$51,4,FALSE()),0)+IFERROR(VLOOKUP(INDEX(' Toto teams'!$H$4:$H$119,MATCH($B19,' Toto teams'!$A$4:$A$119,0)),Scoring!$A$4:$N$51,5,FALSE()),0))+IFERROR(INDEX(' Toto teams'!$Q$4:$Q$119,MATCH($B19,' Toto teams'!$A$4:$A$119,0))*1,0))</f>
        <v/>
      </c>
      <c r="D19" s="28">
        <f>IF($B19="","",6*IFERROR(VLOOKUP(INDEX(' Toto teams'!$B$4:$B$119,MATCH($B19,' Toto teams'!$A$4:$A$119,0)),Scoring!$A$4:$N$51,7,FALSE()),0)+4*IFERROR(VLOOKUP(INDEX(' Toto teams'!$C$4:$C$119,MATCH($B19,' Toto teams'!$A$4:$A$119,0)),Scoring!$A$4:$N$51,7,FALSE()),0)+3*IFERROR(VLOOKUP(INDEX(' Toto teams'!$D$4:$D$119,MATCH($B19,' Toto teams'!$A$4:$A$119,0)),Scoring!$A$4:$N$51,7,FALSE()),0)+2*IFERROR(VLOOKUP(INDEX(' Toto teams'!$E$4:$E$119,MATCH($B19,' Toto teams'!$A$4:$A$119,0)),Scoring!$A$4:$N$51,7,FALSE()),0)+1*IFERROR(VLOOKUP(INDEX(' Toto teams'!$F$4:$F$119,MATCH($B19,' Toto teams'!$A$4:$A$119,0)),Scoring!$A$4:$N$51,7,FALSE()),0)+1*IFERROR(VLOOKUP(INDEX(' Toto teams'!$G$4:$G$119,MATCH($B19,' Toto teams'!$A$4:$A$119,0)),Scoring!$A$4:$N$51,7,FALSE()),0)+1*IFERROR(VLOOKUP(INDEX(' Toto teams'!$H$4:$H$119,MATCH($B19,' Toto teams'!$A$4:$A$119,0)),Scoring!$A$4:$N$51,7,FALSE()),0))</f>
        <v/>
      </c>
      <c r="E19" s="28">
        <f>IF($B19="","",6*IFERROR(VLOOKUP(INDEX(' Toto teams'!$B$4:$B$119,MATCH($B19,' Toto teams'!$A$4:$A$119,0)),Scoring!$A$4:$N$51,8,FALSE()),0)+4*IFERROR(VLOOKUP(INDEX(' Toto teams'!$C$4:$C$119,MATCH($B19,' Toto teams'!$A$4:$A$119,0)),Scoring!$A$4:$N$51,8,FALSE()),0)+3*IFERROR(VLOOKUP(INDEX(' Toto teams'!$D$4:$D$119,MATCH($B19,' Toto teams'!$A$4:$A$119,0)),Scoring!$A$4:$N$51,8,FALSE()),0)+2*IFERROR(VLOOKUP(INDEX(' Toto teams'!$E$4:$E$119,MATCH($B19,' Toto teams'!$A$4:$A$119,0)),Scoring!$A$4:$N$51,8,FALSE()),0)+1*IFERROR(VLOOKUP(INDEX(' Toto teams'!$F$4:$F$119,MATCH($B19,' Toto teams'!$A$4:$A$119,0)),Scoring!$A$4:$N$51,8,FALSE()),0)+1*IFERROR(VLOOKUP(INDEX(' Toto teams'!$G$4:$G$119,MATCH($B19,' Toto teams'!$A$4:$A$119,0)),Scoring!$A$4:$N$51,8,FALSE()),0)+1*IFERROR(VLOOKUP(INDEX(' Toto teams'!$H$4:$H$119,MATCH($B19,' Toto teams'!$A$4:$A$119,0)),Scoring!$A$4:$N$51,8,FALSE()),0))</f>
        <v/>
      </c>
      <c r="F19" s="28">
        <f>IF($B19="","",6*IFERROR(VLOOKUP(INDEX(' Toto teams'!$B$4:$B$119,MATCH($B19,' Toto teams'!$A$4:$A$119,0)),Scoring!$A$4:$N$51,9,FALSE()),0)+4*IFERROR(VLOOKUP(INDEX(' Toto teams'!$C$4:$C$119,MATCH($B19,' Toto teams'!$A$4:$A$119,0)),Scoring!$A$4:$N$51,9,FALSE()),0)+3*IFERROR(VLOOKUP(INDEX(' Toto teams'!$D$4:$D$119,MATCH($B19,' Toto teams'!$A$4:$A$119,0)),Scoring!$A$4:$N$51,9,FALSE()),0)+2*IFERROR(VLOOKUP(INDEX(' Toto teams'!$E$4:$E$119,MATCH($B19,' Toto teams'!$A$4:$A$119,0)),Scoring!$A$4:$N$51,9,FALSE()),0)+1*IFERROR(VLOOKUP(INDEX(' Toto teams'!$F$4:$F$119,MATCH($B19,' Toto teams'!$A$4:$A$119,0)),Scoring!$A$4:$N$51,9,FALSE()),0)+1*IFERROR(VLOOKUP(INDEX(' Toto teams'!$G$4:$G$119,MATCH($B19,' Toto teams'!$A$4:$A$119,0)),Scoring!$A$4:$N$51,9,FALSE()),0)+1*IFERROR(VLOOKUP(INDEX(' Toto teams'!$H$4:$H$119,MATCH($B19,' Toto teams'!$A$4:$A$119,0)),Scoring!$A$4:$N$51,9,FALSE()),0))</f>
        <v/>
      </c>
      <c r="G19" s="28">
        <f>IF($B19="","",6*IFERROR(VLOOKUP(INDEX(' Toto teams'!$B$4:$B$119,MATCH($B19,' Toto teams'!$A$4:$A$119,0)),Scoring!$A$4:$N$51,10,FALSE()),0)+4*IFERROR(VLOOKUP(INDEX(' Toto teams'!$C$4:$C$119,MATCH($B19,' Toto teams'!$A$4:$A$119,0)),Scoring!$A$4:$N$51,10,FALSE()),0)+3*IFERROR(VLOOKUP(INDEX(' Toto teams'!$D$4:$D$119,MATCH($B19,' Toto teams'!$A$4:$A$119,0)),Scoring!$A$4:$N$51,10,FALSE()),0)+2*IFERROR(VLOOKUP(INDEX(' Toto teams'!$E$4:$E$119,MATCH($B19,' Toto teams'!$A$4:$A$119,0)),Scoring!$A$4:$N$51,10,FALSE()),0)+1*IFERROR(VLOOKUP(INDEX(' Toto teams'!$F$4:$F$119,MATCH($B19,' Toto teams'!$A$4:$A$119,0)),Scoring!$A$4:$N$51,10,FALSE()),0)+1*IFERROR(VLOOKUP(INDEX(' Toto teams'!$G$4:$G$119,MATCH($B19,' Toto teams'!$A$4:$A$119,0)),Scoring!$A$4:$N$51,10,FALSE()),0)+1*IFERROR(VLOOKUP(INDEX(' Toto teams'!$H$4:$H$119,MATCH($B19,' Toto teams'!$A$4:$A$119,0)),Scoring!$A$4:$N$51,10,FALSE()),0))</f>
        <v/>
      </c>
      <c r="H19" s="28">
        <f>IF($B19="","",6*IFERROR(VLOOKUP(INDEX(' Toto teams'!$B$4:$B$119,MATCH($B19,' Toto teams'!$A$4:$A$119,0)),Scoring!$A$4:$N$51,11,FALSE()),0)+4*IFERROR(VLOOKUP(INDEX(' Toto teams'!$C$4:$C$119,MATCH($B19,' Toto teams'!$A$4:$A$119,0)),Scoring!$A$4:$N$51,11,FALSE()),0)+3*IFERROR(VLOOKUP(INDEX(' Toto teams'!$D$4:$D$119,MATCH($B19,' Toto teams'!$A$4:$A$119,0)),Scoring!$A$4:$N$51,11,FALSE()),0)+2*IFERROR(VLOOKUP(INDEX(' Toto teams'!$E$4:$E$119,MATCH($B19,' Toto teams'!$A$4:$A$119,0)),Scoring!$A$4:$N$51,11,FALSE()),0)+1*IFERROR(VLOOKUP(INDEX(' Toto teams'!$F$4:$F$119,MATCH($B19,' Toto teams'!$A$4:$A$119,0)),Scoring!$A$4:$N$51,11,FALSE()),0)+1*IFERROR(VLOOKUP(INDEX(' Toto teams'!$G$4:$G$119,MATCH($B19,' Toto teams'!$A$4:$A$119,0)),Scoring!$A$4:$N$51,11,FALSE()),0)+1*IFERROR(VLOOKUP(INDEX(' Toto teams'!$H$4:$H$119,MATCH($B19,' Toto teams'!$A$4:$A$119,0)),Scoring!$A$4:$N$51,11,FALSE()),0))</f>
        <v/>
      </c>
      <c r="I19" s="28">
        <f>IF($B19="","",6*IFERROR(VLOOKUP(INDEX(' Toto teams'!$B$4:$B$119,MATCH($B19,' Toto teams'!$A$4:$A$119,0)),Scoring!$A$4:$O$51,15,FALSE()),0)+4*IFERROR(VLOOKUP(INDEX(' Toto teams'!$C$4:$C$119,MATCH($B19,' Toto teams'!$A$4:$A$119,0)),Scoring!$A$4:$O$51,15,FALSE()),0)+3*IFERROR(VLOOKUP(INDEX(' Toto teams'!$D$4:$D$119,MATCH($B19,' Toto teams'!$A$4:$A$119,0)),Scoring!$A$4:$O$51,15,FALSE()),0)+2*IFERROR(VLOOKUP(INDEX(' Toto teams'!$E$4:$E$119,MATCH($B19,' Toto teams'!$A$4:$A$119,0)),Scoring!$A$4:$O$51,15,FALSE()),0)+1*IFERROR(VLOOKUP(INDEX(' Toto teams'!$F$4:$F$119,MATCH($B19,' Toto teams'!$A$4:$A$119,0)),Scoring!$A$4:$O$51,15,FALSE()),0)+1*IFERROR(VLOOKUP(INDEX(' Toto teams'!$G$4:$G$119,MATCH($B19,' Toto teams'!$A$4:$A$119,0)),Scoring!$A$4:$O$51,15,FALSE()),0)+1*IFERROR(VLOOKUP(INDEX(' Toto teams'!$H$4:$H$119,MATCH($B19,' Toto teams'!$A$4:$A$119,0)),Scoring!$A$4:$O$51,15,FALSE()),0))</f>
        <v/>
      </c>
      <c r="J19" s="28">
        <f>IF($B19="","",6*IFERROR(VLOOKUP(INDEX(' Toto teams'!$B$4:$B$119,MATCH($B19,' Toto teams'!$A$4:$A$119,0)),Scoring!$A$4:$N$51,12,FALSE()),0)+4*IFERROR(VLOOKUP(INDEX(' Toto teams'!$C$4:$C$119,MATCH($B19,' Toto teams'!$A$4:$A$119,0)),Scoring!$A$4:$N$51,12,FALSE()),0)+3*IFERROR(VLOOKUP(INDEX(' Toto teams'!$D$4:$D$119,MATCH($B19,' Toto teams'!$A$4:$A$119,0)),Scoring!$A$4:$N$51,12,FALSE()),0)+2*IFERROR(VLOOKUP(INDEX(' Toto teams'!$E$4:$E$119,MATCH($B19,' Toto teams'!$A$4:$A$119,0)),Scoring!$A$4:$N$51,12,FALSE()),0)+1*IFERROR(VLOOKUP(INDEX(' Toto teams'!$F$4:$F$119,MATCH($B19,' Toto teams'!$A$4:$A$119,0)),Scoring!$A$4:$N$51,12,FALSE()),0)+1*IFERROR(VLOOKUP(INDEX(' Toto teams'!$G$4:$G$119,MATCH($B19,' Toto teams'!$A$4:$A$119,0)),Scoring!$A$4:$N$51,12,FALSE()),0)+1*IFERROR(VLOOKUP(INDEX(' Toto teams'!$H$4:$H$119,MATCH($B19,' Toto teams'!$A$4:$A$119,0)),Scoring!$A$4:$N$51,12,FALSE()),0))</f>
        <v/>
      </c>
      <c r="K19" s="29">
        <f>IF($B19="","",IFERROR(INDEX(' Toto teams'!$R$4:$R$119,MATCH($B19,' Toto teams'!$A$4:$A$119,0)),""))</f>
        <v/>
      </c>
      <c r="L19" s="30">
        <f>IFERROR(IF(B19="","",VLOOKUP(A19,$N$4:$R$12,5,FALSE())),0)</f>
        <v/>
      </c>
    </row>
    <row r="20" ht="12.75" customHeight="1">
      <c r="A20" s="26">
        <f>IF(17&gt;COUNTIF(' Toto teams'!$A$4:$A$119,"&lt;&gt;"),"",INDEX(' Toto teams'!$S$4:$S$119,MATCH(LARGE(' Toto teams'!$T$4:$T$119,17),' Toto teams'!$T$4:$T$119,0)))</f>
        <v/>
      </c>
      <c r="B20" s="27">
        <f>IF(17&gt;COUNTIF(' Toto teams'!$A$4:$A$119,"&lt;&gt;"),"",INDEX(' Toto teams'!$A$4:$A$119,MATCH(LARGE(' Toto teams'!$T$4:$T$119,17),' Toto teams'!$T$4:$T$119,0)))</f>
        <v/>
      </c>
      <c r="C20" s="28">
        <f>IF($B20="","",6*(IFERROR(VLOOKUP(INDEX(' Toto teams'!$B$4:$B$119,MATCH($B20,' Toto teams'!$A$4:$A$119,0)),Scoring!$A$4:$N$51,3,FALSE()),0)+IFERROR(VLOOKUP(INDEX(' Toto teams'!$B$4:$B$119,MATCH($B20,' Toto teams'!$A$4:$A$119,0)),Scoring!$A$4:$N$51,4,FALSE()),0)+IFERROR(VLOOKUP(INDEX(' Toto teams'!$B$4:$B$119,MATCH($B20,' Toto teams'!$A$4:$A$119,0)),Scoring!$A$4:$N$51,5,FALSE()),0))+4*(IFERROR(VLOOKUP(INDEX(' Toto teams'!$C$4:$C$119,MATCH($B20,' Toto teams'!$A$4:$A$119,0)),Scoring!$A$4:$N$51,3,FALSE()),0)+IFERROR(VLOOKUP(INDEX(' Toto teams'!$C$4:$C$119,MATCH($B20,' Toto teams'!$A$4:$A$119,0)),Scoring!$A$4:$N$51,4,FALSE()),0)+IFERROR(VLOOKUP(INDEX(' Toto teams'!$C$4:$C$119,MATCH($B20,' Toto teams'!$A$4:$A$119,0)),Scoring!$A$4:$N$51,5,FALSE()),0))+3*(IFERROR(VLOOKUP(INDEX(' Toto teams'!$D$4:$D$119,MATCH($B20,' Toto teams'!$A$4:$A$119,0)),Scoring!$A$4:$N$51,3,FALSE()),0)+IFERROR(VLOOKUP(INDEX(' Toto teams'!$D$4:$D$119,MATCH($B20,' Toto teams'!$A$4:$A$119,0)),Scoring!$A$4:$N$51,4,FALSE()),0)+IFERROR(VLOOKUP(INDEX(' Toto teams'!$D$4:$D$119,MATCH($B20,' Toto teams'!$A$4:$A$119,0)),Scoring!$A$4:$N$51,5,FALSE()),0))+2*(IFERROR(VLOOKUP(INDEX(' Toto teams'!$E$4:$E$119,MATCH($B20,' Toto teams'!$A$4:$A$119,0)),Scoring!$A$4:$N$51,3,FALSE()),0)+IFERROR(VLOOKUP(INDEX(' Toto teams'!$E$4:$E$119,MATCH($B20,' Toto teams'!$A$4:$A$119,0)),Scoring!$A$4:$N$51,4,FALSE()),0)+IFERROR(VLOOKUP(INDEX(' Toto teams'!$E$4:$E$119,MATCH($B20,' Toto teams'!$A$4:$A$119,0)),Scoring!$A$4:$N$51,5,FALSE()),0))+1*(IFERROR(VLOOKUP(INDEX(' Toto teams'!$F$4:$F$119,MATCH($B20,' Toto teams'!$A$4:$A$119,0)),Scoring!$A$4:$N$51,3,FALSE()),0)+IFERROR(VLOOKUP(INDEX(' Toto teams'!$F$4:$F$119,MATCH($B20,' Toto teams'!$A$4:$A$119,0)),Scoring!$A$4:$N$51,4,FALSE()),0)+IFERROR(VLOOKUP(INDEX(' Toto teams'!$F$4:$F$119,MATCH($B20,' Toto teams'!$A$4:$A$119,0)),Scoring!$A$4:$N$51,5,FALSE()),0))+1*(IFERROR(VLOOKUP(INDEX(' Toto teams'!$G$4:$G$119,MATCH($B20,' Toto teams'!$A$4:$A$119,0)),Scoring!$A$4:$N$51,3,FALSE()),0)+IFERROR(VLOOKUP(INDEX(' Toto teams'!$G$4:$G$119,MATCH($B20,' Toto teams'!$A$4:$A$119,0)),Scoring!$A$4:$N$51,4,FALSE()),0)+IFERROR(VLOOKUP(INDEX(' Toto teams'!$G$4:$G$119,MATCH($B20,' Toto teams'!$A$4:$A$119,0)),Scoring!$A$4:$N$51,5,FALSE()),0))+1*(IFERROR(VLOOKUP(INDEX(' Toto teams'!$H$4:$H$119,MATCH($B20,' Toto teams'!$A$4:$A$119,0)),Scoring!$A$4:$N$51,3,FALSE()),0)+IFERROR(VLOOKUP(INDEX(' Toto teams'!$H$4:$H$119,MATCH($B20,' Toto teams'!$A$4:$A$119,0)),Scoring!$A$4:$N$51,4,FALSE()),0)+IFERROR(VLOOKUP(INDEX(' Toto teams'!$H$4:$H$119,MATCH($B20,' Toto teams'!$A$4:$A$119,0)),Scoring!$A$4:$N$51,5,FALSE()),0))+IFERROR(INDEX(' Toto teams'!$Q$4:$Q$119,MATCH($B20,' Toto teams'!$A$4:$A$119,0))*1,0))</f>
        <v/>
      </c>
      <c r="D20" s="28">
        <f>IF($B20="","",6*IFERROR(VLOOKUP(INDEX(' Toto teams'!$B$4:$B$119,MATCH($B20,' Toto teams'!$A$4:$A$119,0)),Scoring!$A$4:$N$51,7,FALSE()),0)+4*IFERROR(VLOOKUP(INDEX(' Toto teams'!$C$4:$C$119,MATCH($B20,' Toto teams'!$A$4:$A$119,0)),Scoring!$A$4:$N$51,7,FALSE()),0)+3*IFERROR(VLOOKUP(INDEX(' Toto teams'!$D$4:$D$119,MATCH($B20,' Toto teams'!$A$4:$A$119,0)),Scoring!$A$4:$N$51,7,FALSE()),0)+2*IFERROR(VLOOKUP(INDEX(' Toto teams'!$E$4:$E$119,MATCH($B20,' Toto teams'!$A$4:$A$119,0)),Scoring!$A$4:$N$51,7,FALSE()),0)+1*IFERROR(VLOOKUP(INDEX(' Toto teams'!$F$4:$F$119,MATCH($B20,' Toto teams'!$A$4:$A$119,0)),Scoring!$A$4:$N$51,7,FALSE()),0)+1*IFERROR(VLOOKUP(INDEX(' Toto teams'!$G$4:$G$119,MATCH($B20,' Toto teams'!$A$4:$A$119,0)),Scoring!$A$4:$N$51,7,FALSE()),0)+1*IFERROR(VLOOKUP(INDEX(' Toto teams'!$H$4:$H$119,MATCH($B20,' Toto teams'!$A$4:$A$119,0)),Scoring!$A$4:$N$51,7,FALSE()),0))</f>
        <v/>
      </c>
      <c r="E20" s="28">
        <f>IF($B20="","",6*IFERROR(VLOOKUP(INDEX(' Toto teams'!$B$4:$B$119,MATCH($B20,' Toto teams'!$A$4:$A$119,0)),Scoring!$A$4:$N$51,8,FALSE()),0)+4*IFERROR(VLOOKUP(INDEX(' Toto teams'!$C$4:$C$119,MATCH($B20,' Toto teams'!$A$4:$A$119,0)),Scoring!$A$4:$N$51,8,FALSE()),0)+3*IFERROR(VLOOKUP(INDEX(' Toto teams'!$D$4:$D$119,MATCH($B20,' Toto teams'!$A$4:$A$119,0)),Scoring!$A$4:$N$51,8,FALSE()),0)+2*IFERROR(VLOOKUP(INDEX(' Toto teams'!$E$4:$E$119,MATCH($B20,' Toto teams'!$A$4:$A$119,0)),Scoring!$A$4:$N$51,8,FALSE()),0)+1*IFERROR(VLOOKUP(INDEX(' Toto teams'!$F$4:$F$119,MATCH($B20,' Toto teams'!$A$4:$A$119,0)),Scoring!$A$4:$N$51,8,FALSE()),0)+1*IFERROR(VLOOKUP(INDEX(' Toto teams'!$G$4:$G$119,MATCH($B20,' Toto teams'!$A$4:$A$119,0)),Scoring!$A$4:$N$51,8,FALSE()),0)+1*IFERROR(VLOOKUP(INDEX(' Toto teams'!$H$4:$H$119,MATCH($B20,' Toto teams'!$A$4:$A$119,0)),Scoring!$A$4:$N$51,8,FALSE()),0))</f>
        <v/>
      </c>
      <c r="F20" s="28">
        <f>IF($B20="","",6*IFERROR(VLOOKUP(INDEX(' Toto teams'!$B$4:$B$119,MATCH($B20,' Toto teams'!$A$4:$A$119,0)),Scoring!$A$4:$N$51,9,FALSE()),0)+4*IFERROR(VLOOKUP(INDEX(' Toto teams'!$C$4:$C$119,MATCH($B20,' Toto teams'!$A$4:$A$119,0)),Scoring!$A$4:$N$51,9,FALSE()),0)+3*IFERROR(VLOOKUP(INDEX(' Toto teams'!$D$4:$D$119,MATCH($B20,' Toto teams'!$A$4:$A$119,0)),Scoring!$A$4:$N$51,9,FALSE()),0)+2*IFERROR(VLOOKUP(INDEX(' Toto teams'!$E$4:$E$119,MATCH($B20,' Toto teams'!$A$4:$A$119,0)),Scoring!$A$4:$N$51,9,FALSE()),0)+1*IFERROR(VLOOKUP(INDEX(' Toto teams'!$F$4:$F$119,MATCH($B20,' Toto teams'!$A$4:$A$119,0)),Scoring!$A$4:$N$51,9,FALSE()),0)+1*IFERROR(VLOOKUP(INDEX(' Toto teams'!$G$4:$G$119,MATCH($B20,' Toto teams'!$A$4:$A$119,0)),Scoring!$A$4:$N$51,9,FALSE()),0)+1*IFERROR(VLOOKUP(INDEX(' Toto teams'!$H$4:$H$119,MATCH($B20,' Toto teams'!$A$4:$A$119,0)),Scoring!$A$4:$N$51,9,FALSE()),0))</f>
        <v/>
      </c>
      <c r="G20" s="28">
        <f>IF($B20="","",6*IFERROR(VLOOKUP(INDEX(' Toto teams'!$B$4:$B$119,MATCH($B20,' Toto teams'!$A$4:$A$119,0)),Scoring!$A$4:$N$51,10,FALSE()),0)+4*IFERROR(VLOOKUP(INDEX(' Toto teams'!$C$4:$C$119,MATCH($B20,' Toto teams'!$A$4:$A$119,0)),Scoring!$A$4:$N$51,10,FALSE()),0)+3*IFERROR(VLOOKUP(INDEX(' Toto teams'!$D$4:$D$119,MATCH($B20,' Toto teams'!$A$4:$A$119,0)),Scoring!$A$4:$N$51,10,FALSE()),0)+2*IFERROR(VLOOKUP(INDEX(' Toto teams'!$E$4:$E$119,MATCH($B20,' Toto teams'!$A$4:$A$119,0)),Scoring!$A$4:$N$51,10,FALSE()),0)+1*IFERROR(VLOOKUP(INDEX(' Toto teams'!$F$4:$F$119,MATCH($B20,' Toto teams'!$A$4:$A$119,0)),Scoring!$A$4:$N$51,10,FALSE()),0)+1*IFERROR(VLOOKUP(INDEX(' Toto teams'!$G$4:$G$119,MATCH($B20,' Toto teams'!$A$4:$A$119,0)),Scoring!$A$4:$N$51,10,FALSE()),0)+1*IFERROR(VLOOKUP(INDEX(' Toto teams'!$H$4:$H$119,MATCH($B20,' Toto teams'!$A$4:$A$119,0)),Scoring!$A$4:$N$51,10,FALSE()),0))</f>
        <v/>
      </c>
      <c r="H20" s="28">
        <f>IF($B20="","",6*IFERROR(VLOOKUP(INDEX(' Toto teams'!$B$4:$B$119,MATCH($B20,' Toto teams'!$A$4:$A$119,0)),Scoring!$A$4:$N$51,11,FALSE()),0)+4*IFERROR(VLOOKUP(INDEX(' Toto teams'!$C$4:$C$119,MATCH($B20,' Toto teams'!$A$4:$A$119,0)),Scoring!$A$4:$N$51,11,FALSE()),0)+3*IFERROR(VLOOKUP(INDEX(' Toto teams'!$D$4:$D$119,MATCH($B20,' Toto teams'!$A$4:$A$119,0)),Scoring!$A$4:$N$51,11,FALSE()),0)+2*IFERROR(VLOOKUP(INDEX(' Toto teams'!$E$4:$E$119,MATCH($B20,' Toto teams'!$A$4:$A$119,0)),Scoring!$A$4:$N$51,11,FALSE()),0)+1*IFERROR(VLOOKUP(INDEX(' Toto teams'!$F$4:$F$119,MATCH($B20,' Toto teams'!$A$4:$A$119,0)),Scoring!$A$4:$N$51,11,FALSE()),0)+1*IFERROR(VLOOKUP(INDEX(' Toto teams'!$G$4:$G$119,MATCH($B20,' Toto teams'!$A$4:$A$119,0)),Scoring!$A$4:$N$51,11,FALSE()),0)+1*IFERROR(VLOOKUP(INDEX(' Toto teams'!$H$4:$H$119,MATCH($B20,' Toto teams'!$A$4:$A$119,0)),Scoring!$A$4:$N$51,11,FALSE()),0))</f>
        <v/>
      </c>
      <c r="I20" s="28">
        <f>IF($B20="","",6*IFERROR(VLOOKUP(INDEX(' Toto teams'!$B$4:$B$119,MATCH($B20,' Toto teams'!$A$4:$A$119,0)),Scoring!$A$4:$O$51,15,FALSE()),0)+4*IFERROR(VLOOKUP(INDEX(' Toto teams'!$C$4:$C$119,MATCH($B20,' Toto teams'!$A$4:$A$119,0)),Scoring!$A$4:$O$51,15,FALSE()),0)+3*IFERROR(VLOOKUP(INDEX(' Toto teams'!$D$4:$D$119,MATCH($B20,' Toto teams'!$A$4:$A$119,0)),Scoring!$A$4:$O$51,15,FALSE()),0)+2*IFERROR(VLOOKUP(INDEX(' Toto teams'!$E$4:$E$119,MATCH($B20,' Toto teams'!$A$4:$A$119,0)),Scoring!$A$4:$O$51,15,FALSE()),0)+1*IFERROR(VLOOKUP(INDEX(' Toto teams'!$F$4:$F$119,MATCH($B20,' Toto teams'!$A$4:$A$119,0)),Scoring!$A$4:$O$51,15,FALSE()),0)+1*IFERROR(VLOOKUP(INDEX(' Toto teams'!$G$4:$G$119,MATCH($B20,' Toto teams'!$A$4:$A$119,0)),Scoring!$A$4:$O$51,15,FALSE()),0)+1*IFERROR(VLOOKUP(INDEX(' Toto teams'!$H$4:$H$119,MATCH($B20,' Toto teams'!$A$4:$A$119,0)),Scoring!$A$4:$O$51,15,FALSE()),0))</f>
        <v/>
      </c>
      <c r="J20" s="28">
        <f>IF($B20="","",6*IFERROR(VLOOKUP(INDEX(' Toto teams'!$B$4:$B$119,MATCH($B20,' Toto teams'!$A$4:$A$119,0)),Scoring!$A$4:$N$51,12,FALSE()),0)+4*IFERROR(VLOOKUP(INDEX(' Toto teams'!$C$4:$C$119,MATCH($B20,' Toto teams'!$A$4:$A$119,0)),Scoring!$A$4:$N$51,12,FALSE()),0)+3*IFERROR(VLOOKUP(INDEX(' Toto teams'!$D$4:$D$119,MATCH($B20,' Toto teams'!$A$4:$A$119,0)),Scoring!$A$4:$N$51,12,FALSE()),0)+2*IFERROR(VLOOKUP(INDEX(' Toto teams'!$E$4:$E$119,MATCH($B20,' Toto teams'!$A$4:$A$119,0)),Scoring!$A$4:$N$51,12,FALSE()),0)+1*IFERROR(VLOOKUP(INDEX(' Toto teams'!$F$4:$F$119,MATCH($B20,' Toto teams'!$A$4:$A$119,0)),Scoring!$A$4:$N$51,12,FALSE()),0)+1*IFERROR(VLOOKUP(INDEX(' Toto teams'!$G$4:$G$119,MATCH($B20,' Toto teams'!$A$4:$A$119,0)),Scoring!$A$4:$N$51,12,FALSE()),0)+1*IFERROR(VLOOKUP(INDEX(' Toto teams'!$H$4:$H$119,MATCH($B20,' Toto teams'!$A$4:$A$119,0)),Scoring!$A$4:$N$51,12,FALSE()),0))</f>
        <v/>
      </c>
      <c r="K20" s="29">
        <f>IF($B20="","",IFERROR(INDEX(' Toto teams'!$R$4:$R$119,MATCH($B20,' Toto teams'!$A$4:$A$119,0)),""))</f>
        <v/>
      </c>
      <c r="L20" s="30">
        <f>IFERROR(IF(B20="","",VLOOKUP(A20,$N$4:$R$12,5,FALSE())),0)</f>
        <v/>
      </c>
    </row>
    <row r="21" ht="12.75" customHeight="1">
      <c r="A21" s="26">
        <f>IF(18&gt;COUNTIF(' Toto teams'!$A$4:$A$119,"&lt;&gt;"),"",INDEX(' Toto teams'!$S$4:$S$119,MATCH(LARGE(' Toto teams'!$T$4:$T$119,18),' Toto teams'!$T$4:$T$119,0)))</f>
        <v/>
      </c>
      <c r="B21" s="27">
        <f>IF(18&gt;COUNTIF(' Toto teams'!$A$4:$A$119,"&lt;&gt;"),"",INDEX(' Toto teams'!$A$4:$A$119,MATCH(LARGE(' Toto teams'!$T$4:$T$119,18),' Toto teams'!$T$4:$T$119,0)))</f>
        <v/>
      </c>
      <c r="C21" s="28">
        <f>IF($B21="","",6*(IFERROR(VLOOKUP(INDEX(' Toto teams'!$B$4:$B$119,MATCH($B21,' Toto teams'!$A$4:$A$119,0)),Scoring!$A$4:$N$51,3,FALSE()),0)+IFERROR(VLOOKUP(INDEX(' Toto teams'!$B$4:$B$119,MATCH($B21,' Toto teams'!$A$4:$A$119,0)),Scoring!$A$4:$N$51,4,FALSE()),0)+IFERROR(VLOOKUP(INDEX(' Toto teams'!$B$4:$B$119,MATCH($B21,' Toto teams'!$A$4:$A$119,0)),Scoring!$A$4:$N$51,5,FALSE()),0))+4*(IFERROR(VLOOKUP(INDEX(' Toto teams'!$C$4:$C$119,MATCH($B21,' Toto teams'!$A$4:$A$119,0)),Scoring!$A$4:$N$51,3,FALSE()),0)+IFERROR(VLOOKUP(INDEX(' Toto teams'!$C$4:$C$119,MATCH($B21,' Toto teams'!$A$4:$A$119,0)),Scoring!$A$4:$N$51,4,FALSE()),0)+IFERROR(VLOOKUP(INDEX(' Toto teams'!$C$4:$C$119,MATCH($B21,' Toto teams'!$A$4:$A$119,0)),Scoring!$A$4:$N$51,5,FALSE()),0))+3*(IFERROR(VLOOKUP(INDEX(' Toto teams'!$D$4:$D$119,MATCH($B21,' Toto teams'!$A$4:$A$119,0)),Scoring!$A$4:$N$51,3,FALSE()),0)+IFERROR(VLOOKUP(INDEX(' Toto teams'!$D$4:$D$119,MATCH($B21,' Toto teams'!$A$4:$A$119,0)),Scoring!$A$4:$N$51,4,FALSE()),0)+IFERROR(VLOOKUP(INDEX(' Toto teams'!$D$4:$D$119,MATCH($B21,' Toto teams'!$A$4:$A$119,0)),Scoring!$A$4:$N$51,5,FALSE()),0))+2*(IFERROR(VLOOKUP(INDEX(' Toto teams'!$E$4:$E$119,MATCH($B21,' Toto teams'!$A$4:$A$119,0)),Scoring!$A$4:$N$51,3,FALSE()),0)+IFERROR(VLOOKUP(INDEX(' Toto teams'!$E$4:$E$119,MATCH($B21,' Toto teams'!$A$4:$A$119,0)),Scoring!$A$4:$N$51,4,FALSE()),0)+IFERROR(VLOOKUP(INDEX(' Toto teams'!$E$4:$E$119,MATCH($B21,' Toto teams'!$A$4:$A$119,0)),Scoring!$A$4:$N$51,5,FALSE()),0))+1*(IFERROR(VLOOKUP(INDEX(' Toto teams'!$F$4:$F$119,MATCH($B21,' Toto teams'!$A$4:$A$119,0)),Scoring!$A$4:$N$51,3,FALSE()),0)+IFERROR(VLOOKUP(INDEX(' Toto teams'!$F$4:$F$119,MATCH($B21,' Toto teams'!$A$4:$A$119,0)),Scoring!$A$4:$N$51,4,FALSE()),0)+IFERROR(VLOOKUP(INDEX(' Toto teams'!$F$4:$F$119,MATCH($B21,' Toto teams'!$A$4:$A$119,0)),Scoring!$A$4:$N$51,5,FALSE()),0))+1*(IFERROR(VLOOKUP(INDEX(' Toto teams'!$G$4:$G$119,MATCH($B21,' Toto teams'!$A$4:$A$119,0)),Scoring!$A$4:$N$51,3,FALSE()),0)+IFERROR(VLOOKUP(INDEX(' Toto teams'!$G$4:$G$119,MATCH($B21,' Toto teams'!$A$4:$A$119,0)),Scoring!$A$4:$N$51,4,FALSE()),0)+IFERROR(VLOOKUP(INDEX(' Toto teams'!$G$4:$G$119,MATCH($B21,' Toto teams'!$A$4:$A$119,0)),Scoring!$A$4:$N$51,5,FALSE()),0))+1*(IFERROR(VLOOKUP(INDEX(' Toto teams'!$H$4:$H$119,MATCH($B21,' Toto teams'!$A$4:$A$119,0)),Scoring!$A$4:$N$51,3,FALSE()),0)+IFERROR(VLOOKUP(INDEX(' Toto teams'!$H$4:$H$119,MATCH($B21,' Toto teams'!$A$4:$A$119,0)),Scoring!$A$4:$N$51,4,FALSE()),0)+IFERROR(VLOOKUP(INDEX(' Toto teams'!$H$4:$H$119,MATCH($B21,' Toto teams'!$A$4:$A$119,0)),Scoring!$A$4:$N$51,5,FALSE()),0))+IFERROR(INDEX(' Toto teams'!$Q$4:$Q$119,MATCH($B21,' Toto teams'!$A$4:$A$119,0))*1,0))</f>
        <v/>
      </c>
      <c r="D21" s="28">
        <f>IF($B21="","",6*IFERROR(VLOOKUP(INDEX(' Toto teams'!$B$4:$B$119,MATCH($B21,' Toto teams'!$A$4:$A$119,0)),Scoring!$A$4:$N$51,7,FALSE()),0)+4*IFERROR(VLOOKUP(INDEX(' Toto teams'!$C$4:$C$119,MATCH($B21,' Toto teams'!$A$4:$A$119,0)),Scoring!$A$4:$N$51,7,FALSE()),0)+3*IFERROR(VLOOKUP(INDEX(' Toto teams'!$D$4:$D$119,MATCH($B21,' Toto teams'!$A$4:$A$119,0)),Scoring!$A$4:$N$51,7,FALSE()),0)+2*IFERROR(VLOOKUP(INDEX(' Toto teams'!$E$4:$E$119,MATCH($B21,' Toto teams'!$A$4:$A$119,0)),Scoring!$A$4:$N$51,7,FALSE()),0)+1*IFERROR(VLOOKUP(INDEX(' Toto teams'!$F$4:$F$119,MATCH($B21,' Toto teams'!$A$4:$A$119,0)),Scoring!$A$4:$N$51,7,FALSE()),0)+1*IFERROR(VLOOKUP(INDEX(' Toto teams'!$G$4:$G$119,MATCH($B21,' Toto teams'!$A$4:$A$119,0)),Scoring!$A$4:$N$51,7,FALSE()),0)+1*IFERROR(VLOOKUP(INDEX(' Toto teams'!$H$4:$H$119,MATCH($B21,' Toto teams'!$A$4:$A$119,0)),Scoring!$A$4:$N$51,7,FALSE()),0))</f>
        <v/>
      </c>
      <c r="E21" s="28">
        <f>IF($B21="","",6*IFERROR(VLOOKUP(INDEX(' Toto teams'!$B$4:$B$119,MATCH($B21,' Toto teams'!$A$4:$A$119,0)),Scoring!$A$4:$N$51,8,FALSE()),0)+4*IFERROR(VLOOKUP(INDEX(' Toto teams'!$C$4:$C$119,MATCH($B21,' Toto teams'!$A$4:$A$119,0)),Scoring!$A$4:$N$51,8,FALSE()),0)+3*IFERROR(VLOOKUP(INDEX(' Toto teams'!$D$4:$D$119,MATCH($B21,' Toto teams'!$A$4:$A$119,0)),Scoring!$A$4:$N$51,8,FALSE()),0)+2*IFERROR(VLOOKUP(INDEX(' Toto teams'!$E$4:$E$119,MATCH($B21,' Toto teams'!$A$4:$A$119,0)),Scoring!$A$4:$N$51,8,FALSE()),0)+1*IFERROR(VLOOKUP(INDEX(' Toto teams'!$F$4:$F$119,MATCH($B21,' Toto teams'!$A$4:$A$119,0)),Scoring!$A$4:$N$51,8,FALSE()),0)+1*IFERROR(VLOOKUP(INDEX(' Toto teams'!$G$4:$G$119,MATCH($B21,' Toto teams'!$A$4:$A$119,0)),Scoring!$A$4:$N$51,8,FALSE()),0)+1*IFERROR(VLOOKUP(INDEX(' Toto teams'!$H$4:$H$119,MATCH($B21,' Toto teams'!$A$4:$A$119,0)),Scoring!$A$4:$N$51,8,FALSE()),0))</f>
        <v/>
      </c>
      <c r="F21" s="28">
        <f>IF($B21="","",6*IFERROR(VLOOKUP(INDEX(' Toto teams'!$B$4:$B$119,MATCH($B21,' Toto teams'!$A$4:$A$119,0)),Scoring!$A$4:$N$51,9,FALSE()),0)+4*IFERROR(VLOOKUP(INDEX(' Toto teams'!$C$4:$C$119,MATCH($B21,' Toto teams'!$A$4:$A$119,0)),Scoring!$A$4:$N$51,9,FALSE()),0)+3*IFERROR(VLOOKUP(INDEX(' Toto teams'!$D$4:$D$119,MATCH($B21,' Toto teams'!$A$4:$A$119,0)),Scoring!$A$4:$N$51,9,FALSE()),0)+2*IFERROR(VLOOKUP(INDEX(' Toto teams'!$E$4:$E$119,MATCH($B21,' Toto teams'!$A$4:$A$119,0)),Scoring!$A$4:$N$51,9,FALSE()),0)+1*IFERROR(VLOOKUP(INDEX(' Toto teams'!$F$4:$F$119,MATCH($B21,' Toto teams'!$A$4:$A$119,0)),Scoring!$A$4:$N$51,9,FALSE()),0)+1*IFERROR(VLOOKUP(INDEX(' Toto teams'!$G$4:$G$119,MATCH($B21,' Toto teams'!$A$4:$A$119,0)),Scoring!$A$4:$N$51,9,FALSE()),0)+1*IFERROR(VLOOKUP(INDEX(' Toto teams'!$H$4:$H$119,MATCH($B21,' Toto teams'!$A$4:$A$119,0)),Scoring!$A$4:$N$51,9,FALSE()),0))</f>
        <v/>
      </c>
      <c r="G21" s="28">
        <f>IF($B21="","",6*IFERROR(VLOOKUP(INDEX(' Toto teams'!$B$4:$B$119,MATCH($B21,' Toto teams'!$A$4:$A$119,0)),Scoring!$A$4:$N$51,10,FALSE()),0)+4*IFERROR(VLOOKUP(INDEX(' Toto teams'!$C$4:$C$119,MATCH($B21,' Toto teams'!$A$4:$A$119,0)),Scoring!$A$4:$N$51,10,FALSE()),0)+3*IFERROR(VLOOKUP(INDEX(' Toto teams'!$D$4:$D$119,MATCH($B21,' Toto teams'!$A$4:$A$119,0)),Scoring!$A$4:$N$51,10,FALSE()),0)+2*IFERROR(VLOOKUP(INDEX(' Toto teams'!$E$4:$E$119,MATCH($B21,' Toto teams'!$A$4:$A$119,0)),Scoring!$A$4:$N$51,10,FALSE()),0)+1*IFERROR(VLOOKUP(INDEX(' Toto teams'!$F$4:$F$119,MATCH($B21,' Toto teams'!$A$4:$A$119,0)),Scoring!$A$4:$N$51,10,FALSE()),0)+1*IFERROR(VLOOKUP(INDEX(' Toto teams'!$G$4:$G$119,MATCH($B21,' Toto teams'!$A$4:$A$119,0)),Scoring!$A$4:$N$51,10,FALSE()),0)+1*IFERROR(VLOOKUP(INDEX(' Toto teams'!$H$4:$H$119,MATCH($B21,' Toto teams'!$A$4:$A$119,0)),Scoring!$A$4:$N$51,10,FALSE()),0))</f>
        <v/>
      </c>
      <c r="H21" s="28">
        <f>IF($B21="","",6*IFERROR(VLOOKUP(INDEX(' Toto teams'!$B$4:$B$119,MATCH($B21,' Toto teams'!$A$4:$A$119,0)),Scoring!$A$4:$N$51,11,FALSE()),0)+4*IFERROR(VLOOKUP(INDEX(' Toto teams'!$C$4:$C$119,MATCH($B21,' Toto teams'!$A$4:$A$119,0)),Scoring!$A$4:$N$51,11,FALSE()),0)+3*IFERROR(VLOOKUP(INDEX(' Toto teams'!$D$4:$D$119,MATCH($B21,' Toto teams'!$A$4:$A$119,0)),Scoring!$A$4:$N$51,11,FALSE()),0)+2*IFERROR(VLOOKUP(INDEX(' Toto teams'!$E$4:$E$119,MATCH($B21,' Toto teams'!$A$4:$A$119,0)),Scoring!$A$4:$N$51,11,FALSE()),0)+1*IFERROR(VLOOKUP(INDEX(' Toto teams'!$F$4:$F$119,MATCH($B21,' Toto teams'!$A$4:$A$119,0)),Scoring!$A$4:$N$51,11,FALSE()),0)+1*IFERROR(VLOOKUP(INDEX(' Toto teams'!$G$4:$G$119,MATCH($B21,' Toto teams'!$A$4:$A$119,0)),Scoring!$A$4:$N$51,11,FALSE()),0)+1*IFERROR(VLOOKUP(INDEX(' Toto teams'!$H$4:$H$119,MATCH($B21,' Toto teams'!$A$4:$A$119,0)),Scoring!$A$4:$N$51,11,FALSE()),0))</f>
        <v/>
      </c>
      <c r="I21" s="28">
        <f>IF($B21="","",6*IFERROR(VLOOKUP(INDEX(' Toto teams'!$B$4:$B$119,MATCH($B21,' Toto teams'!$A$4:$A$119,0)),Scoring!$A$4:$O$51,15,FALSE()),0)+4*IFERROR(VLOOKUP(INDEX(' Toto teams'!$C$4:$C$119,MATCH($B21,' Toto teams'!$A$4:$A$119,0)),Scoring!$A$4:$O$51,15,FALSE()),0)+3*IFERROR(VLOOKUP(INDEX(' Toto teams'!$D$4:$D$119,MATCH($B21,' Toto teams'!$A$4:$A$119,0)),Scoring!$A$4:$O$51,15,FALSE()),0)+2*IFERROR(VLOOKUP(INDEX(' Toto teams'!$E$4:$E$119,MATCH($B21,' Toto teams'!$A$4:$A$119,0)),Scoring!$A$4:$O$51,15,FALSE()),0)+1*IFERROR(VLOOKUP(INDEX(' Toto teams'!$F$4:$F$119,MATCH($B21,' Toto teams'!$A$4:$A$119,0)),Scoring!$A$4:$O$51,15,FALSE()),0)+1*IFERROR(VLOOKUP(INDEX(' Toto teams'!$G$4:$G$119,MATCH($B21,' Toto teams'!$A$4:$A$119,0)),Scoring!$A$4:$O$51,15,FALSE()),0)+1*IFERROR(VLOOKUP(INDEX(' Toto teams'!$H$4:$H$119,MATCH($B21,' Toto teams'!$A$4:$A$119,0)),Scoring!$A$4:$O$51,15,FALSE()),0))</f>
        <v/>
      </c>
      <c r="J21" s="28">
        <f>IF($B21="","",6*IFERROR(VLOOKUP(INDEX(' Toto teams'!$B$4:$B$119,MATCH($B21,' Toto teams'!$A$4:$A$119,0)),Scoring!$A$4:$N$51,12,FALSE()),0)+4*IFERROR(VLOOKUP(INDEX(' Toto teams'!$C$4:$C$119,MATCH($B21,' Toto teams'!$A$4:$A$119,0)),Scoring!$A$4:$N$51,12,FALSE()),0)+3*IFERROR(VLOOKUP(INDEX(' Toto teams'!$D$4:$D$119,MATCH($B21,' Toto teams'!$A$4:$A$119,0)),Scoring!$A$4:$N$51,12,FALSE()),0)+2*IFERROR(VLOOKUP(INDEX(' Toto teams'!$E$4:$E$119,MATCH($B21,' Toto teams'!$A$4:$A$119,0)),Scoring!$A$4:$N$51,12,FALSE()),0)+1*IFERROR(VLOOKUP(INDEX(' Toto teams'!$F$4:$F$119,MATCH($B21,' Toto teams'!$A$4:$A$119,0)),Scoring!$A$4:$N$51,12,FALSE()),0)+1*IFERROR(VLOOKUP(INDEX(' Toto teams'!$G$4:$G$119,MATCH($B21,' Toto teams'!$A$4:$A$119,0)),Scoring!$A$4:$N$51,12,FALSE()),0)+1*IFERROR(VLOOKUP(INDEX(' Toto teams'!$H$4:$H$119,MATCH($B21,' Toto teams'!$A$4:$A$119,0)),Scoring!$A$4:$N$51,12,FALSE()),0))</f>
        <v/>
      </c>
      <c r="K21" s="29">
        <f>IF($B21="","",IFERROR(INDEX(' Toto teams'!$R$4:$R$119,MATCH($B21,' Toto teams'!$A$4:$A$119,0)),""))</f>
        <v/>
      </c>
      <c r="L21" s="30">
        <f>IFERROR(IF(B21="","",VLOOKUP(A21,$N$4:$R$12,5,FALSE())),0)</f>
        <v/>
      </c>
    </row>
    <row r="22" ht="12.75" customHeight="1">
      <c r="A22" s="26">
        <f>IF(19&gt;COUNTIF(' Toto teams'!$A$4:$A$119,"&lt;&gt;"),"",INDEX(' Toto teams'!$S$4:$S$119,MATCH(LARGE(' Toto teams'!$T$4:$T$119,19),' Toto teams'!$T$4:$T$119,0)))</f>
        <v/>
      </c>
      <c r="B22" s="27">
        <f>IF(19&gt;COUNTIF(' Toto teams'!$A$4:$A$119,"&lt;&gt;"),"",INDEX(' Toto teams'!$A$4:$A$119,MATCH(LARGE(' Toto teams'!$T$4:$T$119,19),' Toto teams'!$T$4:$T$119,0)))</f>
        <v/>
      </c>
      <c r="C22" s="28">
        <f>IF($B22="","",6*(IFERROR(VLOOKUP(INDEX(' Toto teams'!$B$4:$B$119,MATCH($B22,' Toto teams'!$A$4:$A$119,0)),Scoring!$A$4:$N$51,3,FALSE()),0)+IFERROR(VLOOKUP(INDEX(' Toto teams'!$B$4:$B$119,MATCH($B22,' Toto teams'!$A$4:$A$119,0)),Scoring!$A$4:$N$51,4,FALSE()),0)+IFERROR(VLOOKUP(INDEX(' Toto teams'!$B$4:$B$119,MATCH($B22,' Toto teams'!$A$4:$A$119,0)),Scoring!$A$4:$N$51,5,FALSE()),0))+4*(IFERROR(VLOOKUP(INDEX(' Toto teams'!$C$4:$C$119,MATCH($B22,' Toto teams'!$A$4:$A$119,0)),Scoring!$A$4:$N$51,3,FALSE()),0)+IFERROR(VLOOKUP(INDEX(' Toto teams'!$C$4:$C$119,MATCH($B22,' Toto teams'!$A$4:$A$119,0)),Scoring!$A$4:$N$51,4,FALSE()),0)+IFERROR(VLOOKUP(INDEX(' Toto teams'!$C$4:$C$119,MATCH($B22,' Toto teams'!$A$4:$A$119,0)),Scoring!$A$4:$N$51,5,FALSE()),0))+3*(IFERROR(VLOOKUP(INDEX(' Toto teams'!$D$4:$D$119,MATCH($B22,' Toto teams'!$A$4:$A$119,0)),Scoring!$A$4:$N$51,3,FALSE()),0)+IFERROR(VLOOKUP(INDEX(' Toto teams'!$D$4:$D$119,MATCH($B22,' Toto teams'!$A$4:$A$119,0)),Scoring!$A$4:$N$51,4,FALSE()),0)+IFERROR(VLOOKUP(INDEX(' Toto teams'!$D$4:$D$119,MATCH($B22,' Toto teams'!$A$4:$A$119,0)),Scoring!$A$4:$N$51,5,FALSE()),0))+2*(IFERROR(VLOOKUP(INDEX(' Toto teams'!$E$4:$E$119,MATCH($B22,' Toto teams'!$A$4:$A$119,0)),Scoring!$A$4:$N$51,3,FALSE()),0)+IFERROR(VLOOKUP(INDEX(' Toto teams'!$E$4:$E$119,MATCH($B22,' Toto teams'!$A$4:$A$119,0)),Scoring!$A$4:$N$51,4,FALSE()),0)+IFERROR(VLOOKUP(INDEX(' Toto teams'!$E$4:$E$119,MATCH($B22,' Toto teams'!$A$4:$A$119,0)),Scoring!$A$4:$N$51,5,FALSE()),0))+1*(IFERROR(VLOOKUP(INDEX(' Toto teams'!$F$4:$F$119,MATCH($B22,' Toto teams'!$A$4:$A$119,0)),Scoring!$A$4:$N$51,3,FALSE()),0)+IFERROR(VLOOKUP(INDEX(' Toto teams'!$F$4:$F$119,MATCH($B22,' Toto teams'!$A$4:$A$119,0)),Scoring!$A$4:$N$51,4,FALSE()),0)+IFERROR(VLOOKUP(INDEX(' Toto teams'!$F$4:$F$119,MATCH($B22,' Toto teams'!$A$4:$A$119,0)),Scoring!$A$4:$N$51,5,FALSE()),0))+1*(IFERROR(VLOOKUP(INDEX(' Toto teams'!$G$4:$G$119,MATCH($B22,' Toto teams'!$A$4:$A$119,0)),Scoring!$A$4:$N$51,3,FALSE()),0)+IFERROR(VLOOKUP(INDEX(' Toto teams'!$G$4:$G$119,MATCH($B22,' Toto teams'!$A$4:$A$119,0)),Scoring!$A$4:$N$51,4,FALSE()),0)+IFERROR(VLOOKUP(INDEX(' Toto teams'!$G$4:$G$119,MATCH($B22,' Toto teams'!$A$4:$A$119,0)),Scoring!$A$4:$N$51,5,FALSE()),0))+1*(IFERROR(VLOOKUP(INDEX(' Toto teams'!$H$4:$H$119,MATCH($B22,' Toto teams'!$A$4:$A$119,0)),Scoring!$A$4:$N$51,3,FALSE()),0)+IFERROR(VLOOKUP(INDEX(' Toto teams'!$H$4:$H$119,MATCH($B22,' Toto teams'!$A$4:$A$119,0)),Scoring!$A$4:$N$51,4,FALSE()),0)+IFERROR(VLOOKUP(INDEX(' Toto teams'!$H$4:$H$119,MATCH($B22,' Toto teams'!$A$4:$A$119,0)),Scoring!$A$4:$N$51,5,FALSE()),0))+IFERROR(INDEX(' Toto teams'!$Q$4:$Q$119,MATCH($B22,' Toto teams'!$A$4:$A$119,0))*1,0))</f>
        <v/>
      </c>
      <c r="D22" s="28">
        <f>IF($B22="","",6*IFERROR(VLOOKUP(INDEX(' Toto teams'!$B$4:$B$119,MATCH($B22,' Toto teams'!$A$4:$A$119,0)),Scoring!$A$4:$N$51,7,FALSE()),0)+4*IFERROR(VLOOKUP(INDEX(' Toto teams'!$C$4:$C$119,MATCH($B22,' Toto teams'!$A$4:$A$119,0)),Scoring!$A$4:$N$51,7,FALSE()),0)+3*IFERROR(VLOOKUP(INDEX(' Toto teams'!$D$4:$D$119,MATCH($B22,' Toto teams'!$A$4:$A$119,0)),Scoring!$A$4:$N$51,7,FALSE()),0)+2*IFERROR(VLOOKUP(INDEX(' Toto teams'!$E$4:$E$119,MATCH($B22,' Toto teams'!$A$4:$A$119,0)),Scoring!$A$4:$N$51,7,FALSE()),0)+1*IFERROR(VLOOKUP(INDEX(' Toto teams'!$F$4:$F$119,MATCH($B22,' Toto teams'!$A$4:$A$119,0)),Scoring!$A$4:$N$51,7,FALSE()),0)+1*IFERROR(VLOOKUP(INDEX(' Toto teams'!$G$4:$G$119,MATCH($B22,' Toto teams'!$A$4:$A$119,0)),Scoring!$A$4:$N$51,7,FALSE()),0)+1*IFERROR(VLOOKUP(INDEX(' Toto teams'!$H$4:$H$119,MATCH($B22,' Toto teams'!$A$4:$A$119,0)),Scoring!$A$4:$N$51,7,FALSE()),0))</f>
        <v/>
      </c>
      <c r="E22" s="28">
        <f>IF($B22="","",6*IFERROR(VLOOKUP(INDEX(' Toto teams'!$B$4:$B$119,MATCH($B22,' Toto teams'!$A$4:$A$119,0)),Scoring!$A$4:$N$51,8,FALSE()),0)+4*IFERROR(VLOOKUP(INDEX(' Toto teams'!$C$4:$C$119,MATCH($B22,' Toto teams'!$A$4:$A$119,0)),Scoring!$A$4:$N$51,8,FALSE()),0)+3*IFERROR(VLOOKUP(INDEX(' Toto teams'!$D$4:$D$119,MATCH($B22,' Toto teams'!$A$4:$A$119,0)),Scoring!$A$4:$N$51,8,FALSE()),0)+2*IFERROR(VLOOKUP(INDEX(' Toto teams'!$E$4:$E$119,MATCH($B22,' Toto teams'!$A$4:$A$119,0)),Scoring!$A$4:$N$51,8,FALSE()),0)+1*IFERROR(VLOOKUP(INDEX(' Toto teams'!$F$4:$F$119,MATCH($B22,' Toto teams'!$A$4:$A$119,0)),Scoring!$A$4:$N$51,8,FALSE()),0)+1*IFERROR(VLOOKUP(INDEX(' Toto teams'!$G$4:$G$119,MATCH($B22,' Toto teams'!$A$4:$A$119,0)),Scoring!$A$4:$N$51,8,FALSE()),0)+1*IFERROR(VLOOKUP(INDEX(' Toto teams'!$H$4:$H$119,MATCH($B22,' Toto teams'!$A$4:$A$119,0)),Scoring!$A$4:$N$51,8,FALSE()),0))</f>
        <v/>
      </c>
      <c r="F22" s="28">
        <f>IF($B22="","",6*IFERROR(VLOOKUP(INDEX(' Toto teams'!$B$4:$B$119,MATCH($B22,' Toto teams'!$A$4:$A$119,0)),Scoring!$A$4:$N$51,9,FALSE()),0)+4*IFERROR(VLOOKUP(INDEX(' Toto teams'!$C$4:$C$119,MATCH($B22,' Toto teams'!$A$4:$A$119,0)),Scoring!$A$4:$N$51,9,FALSE()),0)+3*IFERROR(VLOOKUP(INDEX(' Toto teams'!$D$4:$D$119,MATCH($B22,' Toto teams'!$A$4:$A$119,0)),Scoring!$A$4:$N$51,9,FALSE()),0)+2*IFERROR(VLOOKUP(INDEX(' Toto teams'!$E$4:$E$119,MATCH($B22,' Toto teams'!$A$4:$A$119,0)),Scoring!$A$4:$N$51,9,FALSE()),0)+1*IFERROR(VLOOKUP(INDEX(' Toto teams'!$F$4:$F$119,MATCH($B22,' Toto teams'!$A$4:$A$119,0)),Scoring!$A$4:$N$51,9,FALSE()),0)+1*IFERROR(VLOOKUP(INDEX(' Toto teams'!$G$4:$G$119,MATCH($B22,' Toto teams'!$A$4:$A$119,0)),Scoring!$A$4:$N$51,9,FALSE()),0)+1*IFERROR(VLOOKUP(INDEX(' Toto teams'!$H$4:$H$119,MATCH($B22,' Toto teams'!$A$4:$A$119,0)),Scoring!$A$4:$N$51,9,FALSE()),0))</f>
        <v/>
      </c>
      <c r="G22" s="28">
        <f>IF($B22="","",6*IFERROR(VLOOKUP(INDEX(' Toto teams'!$B$4:$B$119,MATCH($B22,' Toto teams'!$A$4:$A$119,0)),Scoring!$A$4:$N$51,10,FALSE()),0)+4*IFERROR(VLOOKUP(INDEX(' Toto teams'!$C$4:$C$119,MATCH($B22,' Toto teams'!$A$4:$A$119,0)),Scoring!$A$4:$N$51,10,FALSE()),0)+3*IFERROR(VLOOKUP(INDEX(' Toto teams'!$D$4:$D$119,MATCH($B22,' Toto teams'!$A$4:$A$119,0)),Scoring!$A$4:$N$51,10,FALSE()),0)+2*IFERROR(VLOOKUP(INDEX(' Toto teams'!$E$4:$E$119,MATCH($B22,' Toto teams'!$A$4:$A$119,0)),Scoring!$A$4:$N$51,10,FALSE()),0)+1*IFERROR(VLOOKUP(INDEX(' Toto teams'!$F$4:$F$119,MATCH($B22,' Toto teams'!$A$4:$A$119,0)),Scoring!$A$4:$N$51,10,FALSE()),0)+1*IFERROR(VLOOKUP(INDEX(' Toto teams'!$G$4:$G$119,MATCH($B22,' Toto teams'!$A$4:$A$119,0)),Scoring!$A$4:$N$51,10,FALSE()),0)+1*IFERROR(VLOOKUP(INDEX(' Toto teams'!$H$4:$H$119,MATCH($B22,' Toto teams'!$A$4:$A$119,0)),Scoring!$A$4:$N$51,10,FALSE()),0))</f>
        <v/>
      </c>
      <c r="H22" s="28">
        <f>IF($B22="","",6*IFERROR(VLOOKUP(INDEX(' Toto teams'!$B$4:$B$119,MATCH($B22,' Toto teams'!$A$4:$A$119,0)),Scoring!$A$4:$N$51,11,FALSE()),0)+4*IFERROR(VLOOKUP(INDEX(' Toto teams'!$C$4:$C$119,MATCH($B22,' Toto teams'!$A$4:$A$119,0)),Scoring!$A$4:$N$51,11,FALSE()),0)+3*IFERROR(VLOOKUP(INDEX(' Toto teams'!$D$4:$D$119,MATCH($B22,' Toto teams'!$A$4:$A$119,0)),Scoring!$A$4:$N$51,11,FALSE()),0)+2*IFERROR(VLOOKUP(INDEX(' Toto teams'!$E$4:$E$119,MATCH($B22,' Toto teams'!$A$4:$A$119,0)),Scoring!$A$4:$N$51,11,FALSE()),0)+1*IFERROR(VLOOKUP(INDEX(' Toto teams'!$F$4:$F$119,MATCH($B22,' Toto teams'!$A$4:$A$119,0)),Scoring!$A$4:$N$51,11,FALSE()),0)+1*IFERROR(VLOOKUP(INDEX(' Toto teams'!$G$4:$G$119,MATCH($B22,' Toto teams'!$A$4:$A$119,0)),Scoring!$A$4:$N$51,11,FALSE()),0)+1*IFERROR(VLOOKUP(INDEX(' Toto teams'!$H$4:$H$119,MATCH($B22,' Toto teams'!$A$4:$A$119,0)),Scoring!$A$4:$N$51,11,FALSE()),0))</f>
        <v/>
      </c>
      <c r="I22" s="28">
        <f>IF($B22="","",6*IFERROR(VLOOKUP(INDEX(' Toto teams'!$B$4:$B$119,MATCH($B22,' Toto teams'!$A$4:$A$119,0)),Scoring!$A$4:$O$51,15,FALSE()),0)+4*IFERROR(VLOOKUP(INDEX(' Toto teams'!$C$4:$C$119,MATCH($B22,' Toto teams'!$A$4:$A$119,0)),Scoring!$A$4:$O$51,15,FALSE()),0)+3*IFERROR(VLOOKUP(INDEX(' Toto teams'!$D$4:$D$119,MATCH($B22,' Toto teams'!$A$4:$A$119,0)),Scoring!$A$4:$O$51,15,FALSE()),0)+2*IFERROR(VLOOKUP(INDEX(' Toto teams'!$E$4:$E$119,MATCH($B22,' Toto teams'!$A$4:$A$119,0)),Scoring!$A$4:$O$51,15,FALSE()),0)+1*IFERROR(VLOOKUP(INDEX(' Toto teams'!$F$4:$F$119,MATCH($B22,' Toto teams'!$A$4:$A$119,0)),Scoring!$A$4:$O$51,15,FALSE()),0)+1*IFERROR(VLOOKUP(INDEX(' Toto teams'!$G$4:$G$119,MATCH($B22,' Toto teams'!$A$4:$A$119,0)),Scoring!$A$4:$O$51,15,FALSE()),0)+1*IFERROR(VLOOKUP(INDEX(' Toto teams'!$H$4:$H$119,MATCH($B22,' Toto teams'!$A$4:$A$119,0)),Scoring!$A$4:$O$51,15,FALSE()),0))</f>
        <v/>
      </c>
      <c r="J22" s="28">
        <f>IF($B22="","",6*IFERROR(VLOOKUP(INDEX(' Toto teams'!$B$4:$B$119,MATCH($B22,' Toto teams'!$A$4:$A$119,0)),Scoring!$A$4:$N$51,12,FALSE()),0)+4*IFERROR(VLOOKUP(INDEX(' Toto teams'!$C$4:$C$119,MATCH($B22,' Toto teams'!$A$4:$A$119,0)),Scoring!$A$4:$N$51,12,FALSE()),0)+3*IFERROR(VLOOKUP(INDEX(' Toto teams'!$D$4:$D$119,MATCH($B22,' Toto teams'!$A$4:$A$119,0)),Scoring!$A$4:$N$51,12,FALSE()),0)+2*IFERROR(VLOOKUP(INDEX(' Toto teams'!$E$4:$E$119,MATCH($B22,' Toto teams'!$A$4:$A$119,0)),Scoring!$A$4:$N$51,12,FALSE()),0)+1*IFERROR(VLOOKUP(INDEX(' Toto teams'!$F$4:$F$119,MATCH($B22,' Toto teams'!$A$4:$A$119,0)),Scoring!$A$4:$N$51,12,FALSE()),0)+1*IFERROR(VLOOKUP(INDEX(' Toto teams'!$G$4:$G$119,MATCH($B22,' Toto teams'!$A$4:$A$119,0)),Scoring!$A$4:$N$51,12,FALSE()),0)+1*IFERROR(VLOOKUP(INDEX(' Toto teams'!$H$4:$H$119,MATCH($B22,' Toto teams'!$A$4:$A$119,0)),Scoring!$A$4:$N$51,12,FALSE()),0))</f>
        <v/>
      </c>
      <c r="K22" s="29">
        <f>IF($B22="","",IFERROR(INDEX(' Toto teams'!$R$4:$R$119,MATCH($B22,' Toto teams'!$A$4:$A$119,0)),""))</f>
        <v/>
      </c>
      <c r="L22" s="30">
        <f>IFERROR(IF(B22="","",VLOOKUP(A22,$N$4:$R$12,5,FALSE())),0)</f>
        <v/>
      </c>
    </row>
    <row r="23" ht="12.75" customHeight="1">
      <c r="A23" s="26">
        <f>IF(20&gt;COUNTIF(' Toto teams'!$A$4:$A$119,"&lt;&gt;"),"",INDEX(' Toto teams'!$S$4:$S$119,MATCH(LARGE(' Toto teams'!$T$4:$T$119,20),' Toto teams'!$T$4:$T$119,0)))</f>
        <v/>
      </c>
      <c r="B23" s="27">
        <f>IF(20&gt;COUNTIF(' Toto teams'!$A$4:$A$119,"&lt;&gt;"),"",INDEX(' Toto teams'!$A$4:$A$119,MATCH(LARGE(' Toto teams'!$T$4:$T$119,20),' Toto teams'!$T$4:$T$119,0)))</f>
        <v/>
      </c>
      <c r="C23" s="28">
        <f>IF($B23="","",6*(IFERROR(VLOOKUP(INDEX(' Toto teams'!$B$4:$B$119,MATCH($B23,' Toto teams'!$A$4:$A$119,0)),Scoring!$A$4:$N$51,3,FALSE()),0)+IFERROR(VLOOKUP(INDEX(' Toto teams'!$B$4:$B$119,MATCH($B23,' Toto teams'!$A$4:$A$119,0)),Scoring!$A$4:$N$51,4,FALSE()),0)+IFERROR(VLOOKUP(INDEX(' Toto teams'!$B$4:$B$119,MATCH($B23,' Toto teams'!$A$4:$A$119,0)),Scoring!$A$4:$N$51,5,FALSE()),0))+4*(IFERROR(VLOOKUP(INDEX(' Toto teams'!$C$4:$C$119,MATCH($B23,' Toto teams'!$A$4:$A$119,0)),Scoring!$A$4:$N$51,3,FALSE()),0)+IFERROR(VLOOKUP(INDEX(' Toto teams'!$C$4:$C$119,MATCH($B23,' Toto teams'!$A$4:$A$119,0)),Scoring!$A$4:$N$51,4,FALSE()),0)+IFERROR(VLOOKUP(INDEX(' Toto teams'!$C$4:$C$119,MATCH($B23,' Toto teams'!$A$4:$A$119,0)),Scoring!$A$4:$N$51,5,FALSE()),0))+3*(IFERROR(VLOOKUP(INDEX(' Toto teams'!$D$4:$D$119,MATCH($B23,' Toto teams'!$A$4:$A$119,0)),Scoring!$A$4:$N$51,3,FALSE()),0)+IFERROR(VLOOKUP(INDEX(' Toto teams'!$D$4:$D$119,MATCH($B23,' Toto teams'!$A$4:$A$119,0)),Scoring!$A$4:$N$51,4,FALSE()),0)+IFERROR(VLOOKUP(INDEX(' Toto teams'!$D$4:$D$119,MATCH($B23,' Toto teams'!$A$4:$A$119,0)),Scoring!$A$4:$N$51,5,FALSE()),0))+2*(IFERROR(VLOOKUP(INDEX(' Toto teams'!$E$4:$E$119,MATCH($B23,' Toto teams'!$A$4:$A$119,0)),Scoring!$A$4:$N$51,3,FALSE()),0)+IFERROR(VLOOKUP(INDEX(' Toto teams'!$E$4:$E$119,MATCH($B23,' Toto teams'!$A$4:$A$119,0)),Scoring!$A$4:$N$51,4,FALSE()),0)+IFERROR(VLOOKUP(INDEX(' Toto teams'!$E$4:$E$119,MATCH($B23,' Toto teams'!$A$4:$A$119,0)),Scoring!$A$4:$N$51,5,FALSE()),0))+1*(IFERROR(VLOOKUP(INDEX(' Toto teams'!$F$4:$F$119,MATCH($B23,' Toto teams'!$A$4:$A$119,0)),Scoring!$A$4:$N$51,3,FALSE()),0)+IFERROR(VLOOKUP(INDEX(' Toto teams'!$F$4:$F$119,MATCH($B23,' Toto teams'!$A$4:$A$119,0)),Scoring!$A$4:$N$51,4,FALSE()),0)+IFERROR(VLOOKUP(INDEX(' Toto teams'!$F$4:$F$119,MATCH($B23,' Toto teams'!$A$4:$A$119,0)),Scoring!$A$4:$N$51,5,FALSE()),0))+1*(IFERROR(VLOOKUP(INDEX(' Toto teams'!$G$4:$G$119,MATCH($B23,' Toto teams'!$A$4:$A$119,0)),Scoring!$A$4:$N$51,3,FALSE()),0)+IFERROR(VLOOKUP(INDEX(' Toto teams'!$G$4:$G$119,MATCH($B23,' Toto teams'!$A$4:$A$119,0)),Scoring!$A$4:$N$51,4,FALSE()),0)+IFERROR(VLOOKUP(INDEX(' Toto teams'!$G$4:$G$119,MATCH($B23,' Toto teams'!$A$4:$A$119,0)),Scoring!$A$4:$N$51,5,FALSE()),0))+1*(IFERROR(VLOOKUP(INDEX(' Toto teams'!$H$4:$H$119,MATCH($B23,' Toto teams'!$A$4:$A$119,0)),Scoring!$A$4:$N$51,3,FALSE()),0)+IFERROR(VLOOKUP(INDEX(' Toto teams'!$H$4:$H$119,MATCH($B23,' Toto teams'!$A$4:$A$119,0)),Scoring!$A$4:$N$51,4,FALSE()),0)+IFERROR(VLOOKUP(INDEX(' Toto teams'!$H$4:$H$119,MATCH($B23,' Toto teams'!$A$4:$A$119,0)),Scoring!$A$4:$N$51,5,FALSE()),0))+IFERROR(INDEX(' Toto teams'!$Q$4:$Q$119,MATCH($B23,' Toto teams'!$A$4:$A$119,0))*1,0))</f>
        <v/>
      </c>
      <c r="D23" s="28">
        <f>IF($B23="","",6*IFERROR(VLOOKUP(INDEX(' Toto teams'!$B$4:$B$119,MATCH($B23,' Toto teams'!$A$4:$A$119,0)),Scoring!$A$4:$N$51,7,FALSE()),0)+4*IFERROR(VLOOKUP(INDEX(' Toto teams'!$C$4:$C$119,MATCH($B23,' Toto teams'!$A$4:$A$119,0)),Scoring!$A$4:$N$51,7,FALSE()),0)+3*IFERROR(VLOOKUP(INDEX(' Toto teams'!$D$4:$D$119,MATCH($B23,' Toto teams'!$A$4:$A$119,0)),Scoring!$A$4:$N$51,7,FALSE()),0)+2*IFERROR(VLOOKUP(INDEX(' Toto teams'!$E$4:$E$119,MATCH($B23,' Toto teams'!$A$4:$A$119,0)),Scoring!$A$4:$N$51,7,FALSE()),0)+1*IFERROR(VLOOKUP(INDEX(' Toto teams'!$F$4:$F$119,MATCH($B23,' Toto teams'!$A$4:$A$119,0)),Scoring!$A$4:$N$51,7,FALSE()),0)+1*IFERROR(VLOOKUP(INDEX(' Toto teams'!$G$4:$G$119,MATCH($B23,' Toto teams'!$A$4:$A$119,0)),Scoring!$A$4:$N$51,7,FALSE()),0)+1*IFERROR(VLOOKUP(INDEX(' Toto teams'!$H$4:$H$119,MATCH($B23,' Toto teams'!$A$4:$A$119,0)),Scoring!$A$4:$N$51,7,FALSE()),0))</f>
        <v/>
      </c>
      <c r="E23" s="28">
        <f>IF($B23="","",6*IFERROR(VLOOKUP(INDEX(' Toto teams'!$B$4:$B$119,MATCH($B23,' Toto teams'!$A$4:$A$119,0)),Scoring!$A$4:$N$51,8,FALSE()),0)+4*IFERROR(VLOOKUP(INDEX(' Toto teams'!$C$4:$C$119,MATCH($B23,' Toto teams'!$A$4:$A$119,0)),Scoring!$A$4:$N$51,8,FALSE()),0)+3*IFERROR(VLOOKUP(INDEX(' Toto teams'!$D$4:$D$119,MATCH($B23,' Toto teams'!$A$4:$A$119,0)),Scoring!$A$4:$N$51,8,FALSE()),0)+2*IFERROR(VLOOKUP(INDEX(' Toto teams'!$E$4:$E$119,MATCH($B23,' Toto teams'!$A$4:$A$119,0)),Scoring!$A$4:$N$51,8,FALSE()),0)+1*IFERROR(VLOOKUP(INDEX(' Toto teams'!$F$4:$F$119,MATCH($B23,' Toto teams'!$A$4:$A$119,0)),Scoring!$A$4:$N$51,8,FALSE()),0)+1*IFERROR(VLOOKUP(INDEX(' Toto teams'!$G$4:$G$119,MATCH($B23,' Toto teams'!$A$4:$A$119,0)),Scoring!$A$4:$N$51,8,FALSE()),0)+1*IFERROR(VLOOKUP(INDEX(' Toto teams'!$H$4:$H$119,MATCH($B23,' Toto teams'!$A$4:$A$119,0)),Scoring!$A$4:$N$51,8,FALSE()),0))</f>
        <v/>
      </c>
      <c r="F23" s="28">
        <f>IF($B23="","",6*IFERROR(VLOOKUP(INDEX(' Toto teams'!$B$4:$B$119,MATCH($B23,' Toto teams'!$A$4:$A$119,0)),Scoring!$A$4:$N$51,9,FALSE()),0)+4*IFERROR(VLOOKUP(INDEX(' Toto teams'!$C$4:$C$119,MATCH($B23,' Toto teams'!$A$4:$A$119,0)),Scoring!$A$4:$N$51,9,FALSE()),0)+3*IFERROR(VLOOKUP(INDEX(' Toto teams'!$D$4:$D$119,MATCH($B23,' Toto teams'!$A$4:$A$119,0)),Scoring!$A$4:$N$51,9,FALSE()),0)+2*IFERROR(VLOOKUP(INDEX(' Toto teams'!$E$4:$E$119,MATCH($B23,' Toto teams'!$A$4:$A$119,0)),Scoring!$A$4:$N$51,9,FALSE()),0)+1*IFERROR(VLOOKUP(INDEX(' Toto teams'!$F$4:$F$119,MATCH($B23,' Toto teams'!$A$4:$A$119,0)),Scoring!$A$4:$N$51,9,FALSE()),0)+1*IFERROR(VLOOKUP(INDEX(' Toto teams'!$G$4:$G$119,MATCH($B23,' Toto teams'!$A$4:$A$119,0)),Scoring!$A$4:$N$51,9,FALSE()),0)+1*IFERROR(VLOOKUP(INDEX(' Toto teams'!$H$4:$H$119,MATCH($B23,' Toto teams'!$A$4:$A$119,0)),Scoring!$A$4:$N$51,9,FALSE()),0))</f>
        <v/>
      </c>
      <c r="G23" s="28">
        <f>IF($B23="","",6*IFERROR(VLOOKUP(INDEX(' Toto teams'!$B$4:$B$119,MATCH($B23,' Toto teams'!$A$4:$A$119,0)),Scoring!$A$4:$N$51,10,FALSE()),0)+4*IFERROR(VLOOKUP(INDEX(' Toto teams'!$C$4:$C$119,MATCH($B23,' Toto teams'!$A$4:$A$119,0)),Scoring!$A$4:$N$51,10,FALSE()),0)+3*IFERROR(VLOOKUP(INDEX(' Toto teams'!$D$4:$D$119,MATCH($B23,' Toto teams'!$A$4:$A$119,0)),Scoring!$A$4:$N$51,10,FALSE()),0)+2*IFERROR(VLOOKUP(INDEX(' Toto teams'!$E$4:$E$119,MATCH($B23,' Toto teams'!$A$4:$A$119,0)),Scoring!$A$4:$N$51,10,FALSE()),0)+1*IFERROR(VLOOKUP(INDEX(' Toto teams'!$F$4:$F$119,MATCH($B23,' Toto teams'!$A$4:$A$119,0)),Scoring!$A$4:$N$51,10,FALSE()),0)+1*IFERROR(VLOOKUP(INDEX(' Toto teams'!$G$4:$G$119,MATCH($B23,' Toto teams'!$A$4:$A$119,0)),Scoring!$A$4:$N$51,10,FALSE()),0)+1*IFERROR(VLOOKUP(INDEX(' Toto teams'!$H$4:$H$119,MATCH($B23,' Toto teams'!$A$4:$A$119,0)),Scoring!$A$4:$N$51,10,FALSE()),0))</f>
        <v/>
      </c>
      <c r="H23" s="28">
        <f>IF($B23="","",6*IFERROR(VLOOKUP(INDEX(' Toto teams'!$B$4:$B$119,MATCH($B23,' Toto teams'!$A$4:$A$119,0)),Scoring!$A$4:$N$51,11,FALSE()),0)+4*IFERROR(VLOOKUP(INDEX(' Toto teams'!$C$4:$C$119,MATCH($B23,' Toto teams'!$A$4:$A$119,0)),Scoring!$A$4:$N$51,11,FALSE()),0)+3*IFERROR(VLOOKUP(INDEX(' Toto teams'!$D$4:$D$119,MATCH($B23,' Toto teams'!$A$4:$A$119,0)),Scoring!$A$4:$N$51,11,FALSE()),0)+2*IFERROR(VLOOKUP(INDEX(' Toto teams'!$E$4:$E$119,MATCH($B23,' Toto teams'!$A$4:$A$119,0)),Scoring!$A$4:$N$51,11,FALSE()),0)+1*IFERROR(VLOOKUP(INDEX(' Toto teams'!$F$4:$F$119,MATCH($B23,' Toto teams'!$A$4:$A$119,0)),Scoring!$A$4:$N$51,11,FALSE()),0)+1*IFERROR(VLOOKUP(INDEX(' Toto teams'!$G$4:$G$119,MATCH($B23,' Toto teams'!$A$4:$A$119,0)),Scoring!$A$4:$N$51,11,FALSE()),0)+1*IFERROR(VLOOKUP(INDEX(' Toto teams'!$H$4:$H$119,MATCH($B23,' Toto teams'!$A$4:$A$119,0)),Scoring!$A$4:$N$51,11,FALSE()),0))</f>
        <v/>
      </c>
      <c r="I23" s="28">
        <f>IF($B23="","",6*IFERROR(VLOOKUP(INDEX(' Toto teams'!$B$4:$B$119,MATCH($B23,' Toto teams'!$A$4:$A$119,0)),Scoring!$A$4:$O$51,15,FALSE()),0)+4*IFERROR(VLOOKUP(INDEX(' Toto teams'!$C$4:$C$119,MATCH($B23,' Toto teams'!$A$4:$A$119,0)),Scoring!$A$4:$O$51,15,FALSE()),0)+3*IFERROR(VLOOKUP(INDEX(' Toto teams'!$D$4:$D$119,MATCH($B23,' Toto teams'!$A$4:$A$119,0)),Scoring!$A$4:$O$51,15,FALSE()),0)+2*IFERROR(VLOOKUP(INDEX(' Toto teams'!$E$4:$E$119,MATCH($B23,' Toto teams'!$A$4:$A$119,0)),Scoring!$A$4:$O$51,15,FALSE()),0)+1*IFERROR(VLOOKUP(INDEX(' Toto teams'!$F$4:$F$119,MATCH($B23,' Toto teams'!$A$4:$A$119,0)),Scoring!$A$4:$O$51,15,FALSE()),0)+1*IFERROR(VLOOKUP(INDEX(' Toto teams'!$G$4:$G$119,MATCH($B23,' Toto teams'!$A$4:$A$119,0)),Scoring!$A$4:$O$51,15,FALSE()),0)+1*IFERROR(VLOOKUP(INDEX(' Toto teams'!$H$4:$H$119,MATCH($B23,' Toto teams'!$A$4:$A$119,0)),Scoring!$A$4:$O$51,15,FALSE()),0))</f>
        <v/>
      </c>
      <c r="J23" s="28">
        <f>IF($B23="","",6*IFERROR(VLOOKUP(INDEX(' Toto teams'!$B$4:$B$119,MATCH($B23,' Toto teams'!$A$4:$A$119,0)),Scoring!$A$4:$N$51,12,FALSE()),0)+4*IFERROR(VLOOKUP(INDEX(' Toto teams'!$C$4:$C$119,MATCH($B23,' Toto teams'!$A$4:$A$119,0)),Scoring!$A$4:$N$51,12,FALSE()),0)+3*IFERROR(VLOOKUP(INDEX(' Toto teams'!$D$4:$D$119,MATCH($B23,' Toto teams'!$A$4:$A$119,0)),Scoring!$A$4:$N$51,12,FALSE()),0)+2*IFERROR(VLOOKUP(INDEX(' Toto teams'!$E$4:$E$119,MATCH($B23,' Toto teams'!$A$4:$A$119,0)),Scoring!$A$4:$N$51,12,FALSE()),0)+1*IFERROR(VLOOKUP(INDEX(' Toto teams'!$F$4:$F$119,MATCH($B23,' Toto teams'!$A$4:$A$119,0)),Scoring!$A$4:$N$51,12,FALSE()),0)+1*IFERROR(VLOOKUP(INDEX(' Toto teams'!$G$4:$G$119,MATCH($B23,' Toto teams'!$A$4:$A$119,0)),Scoring!$A$4:$N$51,12,FALSE()),0)+1*IFERROR(VLOOKUP(INDEX(' Toto teams'!$H$4:$H$119,MATCH($B23,' Toto teams'!$A$4:$A$119,0)),Scoring!$A$4:$N$51,12,FALSE()),0))</f>
        <v/>
      </c>
      <c r="K23" s="29">
        <f>IF($B23="","",IFERROR(INDEX(' Toto teams'!$R$4:$R$119,MATCH($B23,' Toto teams'!$A$4:$A$119,0)),""))</f>
        <v/>
      </c>
      <c r="L23" s="30">
        <f>IFERROR(IF(B23="","",VLOOKUP(A23,$N$4:$R$12,5,FALSE())),0)</f>
        <v/>
      </c>
    </row>
    <row r="24" ht="12.75" customHeight="1">
      <c r="A24" s="26">
        <f>IF(21&gt;COUNTIF(' Toto teams'!$A$4:$A$119,"&lt;&gt;"),"",INDEX(' Toto teams'!$S$4:$S$119,MATCH(LARGE(' Toto teams'!$T$4:$T$119,21),' Toto teams'!$T$4:$T$119,0)))</f>
        <v/>
      </c>
      <c r="B24" s="27">
        <f>IF(21&gt;COUNTIF(' Toto teams'!$A$4:$A$119,"&lt;&gt;"),"",INDEX(' Toto teams'!$A$4:$A$119,MATCH(LARGE(' Toto teams'!$T$4:$T$119,21),' Toto teams'!$T$4:$T$119,0)))</f>
        <v/>
      </c>
      <c r="C24" s="28">
        <f>IF($B24="","",6*(IFERROR(VLOOKUP(INDEX(' Toto teams'!$B$4:$B$119,MATCH($B24,' Toto teams'!$A$4:$A$119,0)),Scoring!$A$4:$N$51,3,FALSE()),0)+IFERROR(VLOOKUP(INDEX(' Toto teams'!$B$4:$B$119,MATCH($B24,' Toto teams'!$A$4:$A$119,0)),Scoring!$A$4:$N$51,4,FALSE()),0)+IFERROR(VLOOKUP(INDEX(' Toto teams'!$B$4:$B$119,MATCH($B24,' Toto teams'!$A$4:$A$119,0)),Scoring!$A$4:$N$51,5,FALSE()),0))+4*(IFERROR(VLOOKUP(INDEX(' Toto teams'!$C$4:$C$119,MATCH($B24,' Toto teams'!$A$4:$A$119,0)),Scoring!$A$4:$N$51,3,FALSE()),0)+IFERROR(VLOOKUP(INDEX(' Toto teams'!$C$4:$C$119,MATCH($B24,' Toto teams'!$A$4:$A$119,0)),Scoring!$A$4:$N$51,4,FALSE()),0)+IFERROR(VLOOKUP(INDEX(' Toto teams'!$C$4:$C$119,MATCH($B24,' Toto teams'!$A$4:$A$119,0)),Scoring!$A$4:$N$51,5,FALSE()),0))+3*(IFERROR(VLOOKUP(INDEX(' Toto teams'!$D$4:$D$119,MATCH($B24,' Toto teams'!$A$4:$A$119,0)),Scoring!$A$4:$N$51,3,FALSE()),0)+IFERROR(VLOOKUP(INDEX(' Toto teams'!$D$4:$D$119,MATCH($B24,' Toto teams'!$A$4:$A$119,0)),Scoring!$A$4:$N$51,4,FALSE()),0)+IFERROR(VLOOKUP(INDEX(' Toto teams'!$D$4:$D$119,MATCH($B24,' Toto teams'!$A$4:$A$119,0)),Scoring!$A$4:$N$51,5,FALSE()),0))+2*(IFERROR(VLOOKUP(INDEX(' Toto teams'!$E$4:$E$119,MATCH($B24,' Toto teams'!$A$4:$A$119,0)),Scoring!$A$4:$N$51,3,FALSE()),0)+IFERROR(VLOOKUP(INDEX(' Toto teams'!$E$4:$E$119,MATCH($B24,' Toto teams'!$A$4:$A$119,0)),Scoring!$A$4:$N$51,4,FALSE()),0)+IFERROR(VLOOKUP(INDEX(' Toto teams'!$E$4:$E$119,MATCH($B24,' Toto teams'!$A$4:$A$119,0)),Scoring!$A$4:$N$51,5,FALSE()),0))+1*(IFERROR(VLOOKUP(INDEX(' Toto teams'!$F$4:$F$119,MATCH($B24,' Toto teams'!$A$4:$A$119,0)),Scoring!$A$4:$N$51,3,FALSE()),0)+IFERROR(VLOOKUP(INDEX(' Toto teams'!$F$4:$F$119,MATCH($B24,' Toto teams'!$A$4:$A$119,0)),Scoring!$A$4:$N$51,4,FALSE()),0)+IFERROR(VLOOKUP(INDEX(' Toto teams'!$F$4:$F$119,MATCH($B24,' Toto teams'!$A$4:$A$119,0)),Scoring!$A$4:$N$51,5,FALSE()),0))+1*(IFERROR(VLOOKUP(INDEX(' Toto teams'!$G$4:$G$119,MATCH($B24,' Toto teams'!$A$4:$A$119,0)),Scoring!$A$4:$N$51,3,FALSE()),0)+IFERROR(VLOOKUP(INDEX(' Toto teams'!$G$4:$G$119,MATCH($B24,' Toto teams'!$A$4:$A$119,0)),Scoring!$A$4:$N$51,4,FALSE()),0)+IFERROR(VLOOKUP(INDEX(' Toto teams'!$G$4:$G$119,MATCH($B24,' Toto teams'!$A$4:$A$119,0)),Scoring!$A$4:$N$51,5,FALSE()),0))+1*(IFERROR(VLOOKUP(INDEX(' Toto teams'!$H$4:$H$119,MATCH($B24,' Toto teams'!$A$4:$A$119,0)),Scoring!$A$4:$N$51,3,FALSE()),0)+IFERROR(VLOOKUP(INDEX(' Toto teams'!$H$4:$H$119,MATCH($B24,' Toto teams'!$A$4:$A$119,0)),Scoring!$A$4:$N$51,4,FALSE()),0)+IFERROR(VLOOKUP(INDEX(' Toto teams'!$H$4:$H$119,MATCH($B24,' Toto teams'!$A$4:$A$119,0)),Scoring!$A$4:$N$51,5,FALSE()),0))+IFERROR(INDEX(' Toto teams'!$Q$4:$Q$119,MATCH($B24,' Toto teams'!$A$4:$A$119,0))*1,0))</f>
        <v/>
      </c>
      <c r="D24" s="28">
        <f>IF($B24="","",6*IFERROR(VLOOKUP(INDEX(' Toto teams'!$B$4:$B$119,MATCH($B24,' Toto teams'!$A$4:$A$119,0)),Scoring!$A$4:$N$51,7,FALSE()),0)+4*IFERROR(VLOOKUP(INDEX(' Toto teams'!$C$4:$C$119,MATCH($B24,' Toto teams'!$A$4:$A$119,0)),Scoring!$A$4:$N$51,7,FALSE()),0)+3*IFERROR(VLOOKUP(INDEX(' Toto teams'!$D$4:$D$119,MATCH($B24,' Toto teams'!$A$4:$A$119,0)),Scoring!$A$4:$N$51,7,FALSE()),0)+2*IFERROR(VLOOKUP(INDEX(' Toto teams'!$E$4:$E$119,MATCH($B24,' Toto teams'!$A$4:$A$119,0)),Scoring!$A$4:$N$51,7,FALSE()),0)+1*IFERROR(VLOOKUP(INDEX(' Toto teams'!$F$4:$F$119,MATCH($B24,' Toto teams'!$A$4:$A$119,0)),Scoring!$A$4:$N$51,7,FALSE()),0)+1*IFERROR(VLOOKUP(INDEX(' Toto teams'!$G$4:$G$119,MATCH($B24,' Toto teams'!$A$4:$A$119,0)),Scoring!$A$4:$N$51,7,FALSE()),0)+1*IFERROR(VLOOKUP(INDEX(' Toto teams'!$H$4:$H$119,MATCH($B24,' Toto teams'!$A$4:$A$119,0)),Scoring!$A$4:$N$51,7,FALSE()),0))</f>
        <v/>
      </c>
      <c r="E24" s="28">
        <f>IF($B24="","",6*IFERROR(VLOOKUP(INDEX(' Toto teams'!$B$4:$B$119,MATCH($B24,' Toto teams'!$A$4:$A$119,0)),Scoring!$A$4:$N$51,8,FALSE()),0)+4*IFERROR(VLOOKUP(INDEX(' Toto teams'!$C$4:$C$119,MATCH($B24,' Toto teams'!$A$4:$A$119,0)),Scoring!$A$4:$N$51,8,FALSE()),0)+3*IFERROR(VLOOKUP(INDEX(' Toto teams'!$D$4:$D$119,MATCH($B24,' Toto teams'!$A$4:$A$119,0)),Scoring!$A$4:$N$51,8,FALSE()),0)+2*IFERROR(VLOOKUP(INDEX(' Toto teams'!$E$4:$E$119,MATCH($B24,' Toto teams'!$A$4:$A$119,0)),Scoring!$A$4:$N$51,8,FALSE()),0)+1*IFERROR(VLOOKUP(INDEX(' Toto teams'!$F$4:$F$119,MATCH($B24,' Toto teams'!$A$4:$A$119,0)),Scoring!$A$4:$N$51,8,FALSE()),0)+1*IFERROR(VLOOKUP(INDEX(' Toto teams'!$G$4:$G$119,MATCH($B24,' Toto teams'!$A$4:$A$119,0)),Scoring!$A$4:$N$51,8,FALSE()),0)+1*IFERROR(VLOOKUP(INDEX(' Toto teams'!$H$4:$H$119,MATCH($B24,' Toto teams'!$A$4:$A$119,0)),Scoring!$A$4:$N$51,8,FALSE()),0))</f>
        <v/>
      </c>
      <c r="F24" s="28">
        <f>IF($B24="","",6*IFERROR(VLOOKUP(INDEX(' Toto teams'!$B$4:$B$119,MATCH($B24,' Toto teams'!$A$4:$A$119,0)),Scoring!$A$4:$N$51,9,FALSE()),0)+4*IFERROR(VLOOKUP(INDEX(' Toto teams'!$C$4:$C$119,MATCH($B24,' Toto teams'!$A$4:$A$119,0)),Scoring!$A$4:$N$51,9,FALSE()),0)+3*IFERROR(VLOOKUP(INDEX(' Toto teams'!$D$4:$D$119,MATCH($B24,' Toto teams'!$A$4:$A$119,0)),Scoring!$A$4:$N$51,9,FALSE()),0)+2*IFERROR(VLOOKUP(INDEX(' Toto teams'!$E$4:$E$119,MATCH($B24,' Toto teams'!$A$4:$A$119,0)),Scoring!$A$4:$N$51,9,FALSE()),0)+1*IFERROR(VLOOKUP(INDEX(' Toto teams'!$F$4:$F$119,MATCH($B24,' Toto teams'!$A$4:$A$119,0)),Scoring!$A$4:$N$51,9,FALSE()),0)+1*IFERROR(VLOOKUP(INDEX(' Toto teams'!$G$4:$G$119,MATCH($B24,' Toto teams'!$A$4:$A$119,0)),Scoring!$A$4:$N$51,9,FALSE()),0)+1*IFERROR(VLOOKUP(INDEX(' Toto teams'!$H$4:$H$119,MATCH($B24,' Toto teams'!$A$4:$A$119,0)),Scoring!$A$4:$N$51,9,FALSE()),0))</f>
        <v/>
      </c>
      <c r="G24" s="28">
        <f>IF($B24="","",6*IFERROR(VLOOKUP(INDEX(' Toto teams'!$B$4:$B$119,MATCH($B24,' Toto teams'!$A$4:$A$119,0)),Scoring!$A$4:$N$51,10,FALSE()),0)+4*IFERROR(VLOOKUP(INDEX(' Toto teams'!$C$4:$C$119,MATCH($B24,' Toto teams'!$A$4:$A$119,0)),Scoring!$A$4:$N$51,10,FALSE()),0)+3*IFERROR(VLOOKUP(INDEX(' Toto teams'!$D$4:$D$119,MATCH($B24,' Toto teams'!$A$4:$A$119,0)),Scoring!$A$4:$N$51,10,FALSE()),0)+2*IFERROR(VLOOKUP(INDEX(' Toto teams'!$E$4:$E$119,MATCH($B24,' Toto teams'!$A$4:$A$119,0)),Scoring!$A$4:$N$51,10,FALSE()),0)+1*IFERROR(VLOOKUP(INDEX(' Toto teams'!$F$4:$F$119,MATCH($B24,' Toto teams'!$A$4:$A$119,0)),Scoring!$A$4:$N$51,10,FALSE()),0)+1*IFERROR(VLOOKUP(INDEX(' Toto teams'!$G$4:$G$119,MATCH($B24,' Toto teams'!$A$4:$A$119,0)),Scoring!$A$4:$N$51,10,FALSE()),0)+1*IFERROR(VLOOKUP(INDEX(' Toto teams'!$H$4:$H$119,MATCH($B24,' Toto teams'!$A$4:$A$119,0)),Scoring!$A$4:$N$51,10,FALSE()),0))</f>
        <v/>
      </c>
      <c r="H24" s="28">
        <f>IF($B24="","",6*IFERROR(VLOOKUP(INDEX(' Toto teams'!$B$4:$B$119,MATCH($B24,' Toto teams'!$A$4:$A$119,0)),Scoring!$A$4:$N$51,11,FALSE()),0)+4*IFERROR(VLOOKUP(INDEX(' Toto teams'!$C$4:$C$119,MATCH($B24,' Toto teams'!$A$4:$A$119,0)),Scoring!$A$4:$N$51,11,FALSE()),0)+3*IFERROR(VLOOKUP(INDEX(' Toto teams'!$D$4:$D$119,MATCH($B24,' Toto teams'!$A$4:$A$119,0)),Scoring!$A$4:$N$51,11,FALSE()),0)+2*IFERROR(VLOOKUP(INDEX(' Toto teams'!$E$4:$E$119,MATCH($B24,' Toto teams'!$A$4:$A$119,0)),Scoring!$A$4:$N$51,11,FALSE()),0)+1*IFERROR(VLOOKUP(INDEX(' Toto teams'!$F$4:$F$119,MATCH($B24,' Toto teams'!$A$4:$A$119,0)),Scoring!$A$4:$N$51,11,FALSE()),0)+1*IFERROR(VLOOKUP(INDEX(' Toto teams'!$G$4:$G$119,MATCH($B24,' Toto teams'!$A$4:$A$119,0)),Scoring!$A$4:$N$51,11,FALSE()),0)+1*IFERROR(VLOOKUP(INDEX(' Toto teams'!$H$4:$H$119,MATCH($B24,' Toto teams'!$A$4:$A$119,0)),Scoring!$A$4:$N$51,11,FALSE()),0))</f>
        <v/>
      </c>
      <c r="I24" s="28">
        <f>IF($B24="","",6*IFERROR(VLOOKUP(INDEX(' Toto teams'!$B$4:$B$119,MATCH($B24,' Toto teams'!$A$4:$A$119,0)),Scoring!$A$4:$O$51,15,FALSE()),0)+4*IFERROR(VLOOKUP(INDEX(' Toto teams'!$C$4:$C$119,MATCH($B24,' Toto teams'!$A$4:$A$119,0)),Scoring!$A$4:$O$51,15,FALSE()),0)+3*IFERROR(VLOOKUP(INDEX(' Toto teams'!$D$4:$D$119,MATCH($B24,' Toto teams'!$A$4:$A$119,0)),Scoring!$A$4:$O$51,15,FALSE()),0)+2*IFERROR(VLOOKUP(INDEX(' Toto teams'!$E$4:$E$119,MATCH($B24,' Toto teams'!$A$4:$A$119,0)),Scoring!$A$4:$O$51,15,FALSE()),0)+1*IFERROR(VLOOKUP(INDEX(' Toto teams'!$F$4:$F$119,MATCH($B24,' Toto teams'!$A$4:$A$119,0)),Scoring!$A$4:$O$51,15,FALSE()),0)+1*IFERROR(VLOOKUP(INDEX(' Toto teams'!$G$4:$G$119,MATCH($B24,' Toto teams'!$A$4:$A$119,0)),Scoring!$A$4:$O$51,15,FALSE()),0)+1*IFERROR(VLOOKUP(INDEX(' Toto teams'!$H$4:$H$119,MATCH($B24,' Toto teams'!$A$4:$A$119,0)),Scoring!$A$4:$O$51,15,FALSE()),0))</f>
        <v/>
      </c>
      <c r="J24" s="28">
        <f>IF($B24="","",6*IFERROR(VLOOKUP(INDEX(' Toto teams'!$B$4:$B$119,MATCH($B24,' Toto teams'!$A$4:$A$119,0)),Scoring!$A$4:$N$51,12,FALSE()),0)+4*IFERROR(VLOOKUP(INDEX(' Toto teams'!$C$4:$C$119,MATCH($B24,' Toto teams'!$A$4:$A$119,0)),Scoring!$A$4:$N$51,12,FALSE()),0)+3*IFERROR(VLOOKUP(INDEX(' Toto teams'!$D$4:$D$119,MATCH($B24,' Toto teams'!$A$4:$A$119,0)),Scoring!$A$4:$N$51,12,FALSE()),0)+2*IFERROR(VLOOKUP(INDEX(' Toto teams'!$E$4:$E$119,MATCH($B24,' Toto teams'!$A$4:$A$119,0)),Scoring!$A$4:$N$51,12,FALSE()),0)+1*IFERROR(VLOOKUP(INDEX(' Toto teams'!$F$4:$F$119,MATCH($B24,' Toto teams'!$A$4:$A$119,0)),Scoring!$A$4:$N$51,12,FALSE()),0)+1*IFERROR(VLOOKUP(INDEX(' Toto teams'!$G$4:$G$119,MATCH($B24,' Toto teams'!$A$4:$A$119,0)),Scoring!$A$4:$N$51,12,FALSE()),0)+1*IFERROR(VLOOKUP(INDEX(' Toto teams'!$H$4:$H$119,MATCH($B24,' Toto teams'!$A$4:$A$119,0)),Scoring!$A$4:$N$51,12,FALSE()),0))</f>
        <v/>
      </c>
      <c r="K24" s="29">
        <f>IF($B24="","",IFERROR(INDEX(' Toto teams'!$R$4:$R$119,MATCH($B24,' Toto teams'!$A$4:$A$119,0)),""))</f>
        <v/>
      </c>
      <c r="L24" s="30">
        <f>IFERROR(IF(B24="","",VLOOKUP(A24,$N$4:$R$12,5,FALSE())),0)</f>
        <v/>
      </c>
    </row>
    <row r="25" ht="12.75" customHeight="1">
      <c r="A25" s="26">
        <f>IF(22&gt;COUNTIF(' Toto teams'!$A$4:$A$119,"&lt;&gt;"),"",INDEX(' Toto teams'!$S$4:$S$119,MATCH(LARGE(' Toto teams'!$T$4:$T$119,22),' Toto teams'!$T$4:$T$119,0)))</f>
        <v/>
      </c>
      <c r="B25" s="27">
        <f>IF(22&gt;COUNTIF(' Toto teams'!$A$4:$A$119,"&lt;&gt;"),"",INDEX(' Toto teams'!$A$4:$A$119,MATCH(LARGE(' Toto teams'!$T$4:$T$119,22),' Toto teams'!$T$4:$T$119,0)))</f>
        <v/>
      </c>
      <c r="C25" s="28">
        <f>IF($B25="","",6*(IFERROR(VLOOKUP(INDEX(' Toto teams'!$B$4:$B$119,MATCH($B25,' Toto teams'!$A$4:$A$119,0)),Scoring!$A$4:$N$51,3,FALSE()),0)+IFERROR(VLOOKUP(INDEX(' Toto teams'!$B$4:$B$119,MATCH($B25,' Toto teams'!$A$4:$A$119,0)),Scoring!$A$4:$N$51,4,FALSE()),0)+IFERROR(VLOOKUP(INDEX(' Toto teams'!$B$4:$B$119,MATCH($B25,' Toto teams'!$A$4:$A$119,0)),Scoring!$A$4:$N$51,5,FALSE()),0))+4*(IFERROR(VLOOKUP(INDEX(' Toto teams'!$C$4:$C$119,MATCH($B25,' Toto teams'!$A$4:$A$119,0)),Scoring!$A$4:$N$51,3,FALSE()),0)+IFERROR(VLOOKUP(INDEX(' Toto teams'!$C$4:$C$119,MATCH($B25,' Toto teams'!$A$4:$A$119,0)),Scoring!$A$4:$N$51,4,FALSE()),0)+IFERROR(VLOOKUP(INDEX(' Toto teams'!$C$4:$C$119,MATCH($B25,' Toto teams'!$A$4:$A$119,0)),Scoring!$A$4:$N$51,5,FALSE()),0))+3*(IFERROR(VLOOKUP(INDEX(' Toto teams'!$D$4:$D$119,MATCH($B25,' Toto teams'!$A$4:$A$119,0)),Scoring!$A$4:$N$51,3,FALSE()),0)+IFERROR(VLOOKUP(INDEX(' Toto teams'!$D$4:$D$119,MATCH($B25,' Toto teams'!$A$4:$A$119,0)),Scoring!$A$4:$N$51,4,FALSE()),0)+IFERROR(VLOOKUP(INDEX(' Toto teams'!$D$4:$D$119,MATCH($B25,' Toto teams'!$A$4:$A$119,0)),Scoring!$A$4:$N$51,5,FALSE()),0))+2*(IFERROR(VLOOKUP(INDEX(' Toto teams'!$E$4:$E$119,MATCH($B25,' Toto teams'!$A$4:$A$119,0)),Scoring!$A$4:$N$51,3,FALSE()),0)+IFERROR(VLOOKUP(INDEX(' Toto teams'!$E$4:$E$119,MATCH($B25,' Toto teams'!$A$4:$A$119,0)),Scoring!$A$4:$N$51,4,FALSE()),0)+IFERROR(VLOOKUP(INDEX(' Toto teams'!$E$4:$E$119,MATCH($B25,' Toto teams'!$A$4:$A$119,0)),Scoring!$A$4:$N$51,5,FALSE()),0))+1*(IFERROR(VLOOKUP(INDEX(' Toto teams'!$F$4:$F$119,MATCH($B25,' Toto teams'!$A$4:$A$119,0)),Scoring!$A$4:$N$51,3,FALSE()),0)+IFERROR(VLOOKUP(INDEX(' Toto teams'!$F$4:$F$119,MATCH($B25,' Toto teams'!$A$4:$A$119,0)),Scoring!$A$4:$N$51,4,FALSE()),0)+IFERROR(VLOOKUP(INDEX(' Toto teams'!$F$4:$F$119,MATCH($B25,' Toto teams'!$A$4:$A$119,0)),Scoring!$A$4:$N$51,5,FALSE()),0))+1*(IFERROR(VLOOKUP(INDEX(' Toto teams'!$G$4:$G$119,MATCH($B25,' Toto teams'!$A$4:$A$119,0)),Scoring!$A$4:$N$51,3,FALSE()),0)+IFERROR(VLOOKUP(INDEX(' Toto teams'!$G$4:$G$119,MATCH($B25,' Toto teams'!$A$4:$A$119,0)),Scoring!$A$4:$N$51,4,FALSE()),0)+IFERROR(VLOOKUP(INDEX(' Toto teams'!$G$4:$G$119,MATCH($B25,' Toto teams'!$A$4:$A$119,0)),Scoring!$A$4:$N$51,5,FALSE()),0))+1*(IFERROR(VLOOKUP(INDEX(' Toto teams'!$H$4:$H$119,MATCH($B25,' Toto teams'!$A$4:$A$119,0)),Scoring!$A$4:$N$51,3,FALSE()),0)+IFERROR(VLOOKUP(INDEX(' Toto teams'!$H$4:$H$119,MATCH($B25,' Toto teams'!$A$4:$A$119,0)),Scoring!$A$4:$N$51,4,FALSE()),0)+IFERROR(VLOOKUP(INDEX(' Toto teams'!$H$4:$H$119,MATCH($B25,' Toto teams'!$A$4:$A$119,0)),Scoring!$A$4:$N$51,5,FALSE()),0))+IFERROR(INDEX(' Toto teams'!$Q$4:$Q$119,MATCH($B25,' Toto teams'!$A$4:$A$119,0))*1,0))</f>
        <v/>
      </c>
      <c r="D25" s="28">
        <f>IF($B25="","",6*IFERROR(VLOOKUP(INDEX(' Toto teams'!$B$4:$B$119,MATCH($B25,' Toto teams'!$A$4:$A$119,0)),Scoring!$A$4:$N$51,7,FALSE()),0)+4*IFERROR(VLOOKUP(INDEX(' Toto teams'!$C$4:$C$119,MATCH($B25,' Toto teams'!$A$4:$A$119,0)),Scoring!$A$4:$N$51,7,FALSE()),0)+3*IFERROR(VLOOKUP(INDEX(' Toto teams'!$D$4:$D$119,MATCH($B25,' Toto teams'!$A$4:$A$119,0)),Scoring!$A$4:$N$51,7,FALSE()),0)+2*IFERROR(VLOOKUP(INDEX(' Toto teams'!$E$4:$E$119,MATCH($B25,' Toto teams'!$A$4:$A$119,0)),Scoring!$A$4:$N$51,7,FALSE()),0)+1*IFERROR(VLOOKUP(INDEX(' Toto teams'!$F$4:$F$119,MATCH($B25,' Toto teams'!$A$4:$A$119,0)),Scoring!$A$4:$N$51,7,FALSE()),0)+1*IFERROR(VLOOKUP(INDEX(' Toto teams'!$G$4:$G$119,MATCH($B25,' Toto teams'!$A$4:$A$119,0)),Scoring!$A$4:$N$51,7,FALSE()),0)+1*IFERROR(VLOOKUP(INDEX(' Toto teams'!$H$4:$H$119,MATCH($B25,' Toto teams'!$A$4:$A$119,0)),Scoring!$A$4:$N$51,7,FALSE()),0))</f>
        <v/>
      </c>
      <c r="E25" s="28">
        <f>IF($B25="","",6*IFERROR(VLOOKUP(INDEX(' Toto teams'!$B$4:$B$119,MATCH($B25,' Toto teams'!$A$4:$A$119,0)),Scoring!$A$4:$N$51,8,FALSE()),0)+4*IFERROR(VLOOKUP(INDEX(' Toto teams'!$C$4:$C$119,MATCH($B25,' Toto teams'!$A$4:$A$119,0)),Scoring!$A$4:$N$51,8,FALSE()),0)+3*IFERROR(VLOOKUP(INDEX(' Toto teams'!$D$4:$D$119,MATCH($B25,' Toto teams'!$A$4:$A$119,0)),Scoring!$A$4:$N$51,8,FALSE()),0)+2*IFERROR(VLOOKUP(INDEX(' Toto teams'!$E$4:$E$119,MATCH($B25,' Toto teams'!$A$4:$A$119,0)),Scoring!$A$4:$N$51,8,FALSE()),0)+1*IFERROR(VLOOKUP(INDEX(' Toto teams'!$F$4:$F$119,MATCH($B25,' Toto teams'!$A$4:$A$119,0)),Scoring!$A$4:$N$51,8,FALSE()),0)+1*IFERROR(VLOOKUP(INDEX(' Toto teams'!$G$4:$G$119,MATCH($B25,' Toto teams'!$A$4:$A$119,0)),Scoring!$A$4:$N$51,8,FALSE()),0)+1*IFERROR(VLOOKUP(INDEX(' Toto teams'!$H$4:$H$119,MATCH($B25,' Toto teams'!$A$4:$A$119,0)),Scoring!$A$4:$N$51,8,FALSE()),0))</f>
        <v/>
      </c>
      <c r="F25" s="28">
        <f>IF($B25="","",6*IFERROR(VLOOKUP(INDEX(' Toto teams'!$B$4:$B$119,MATCH($B25,' Toto teams'!$A$4:$A$119,0)),Scoring!$A$4:$N$51,9,FALSE()),0)+4*IFERROR(VLOOKUP(INDEX(' Toto teams'!$C$4:$C$119,MATCH($B25,' Toto teams'!$A$4:$A$119,0)),Scoring!$A$4:$N$51,9,FALSE()),0)+3*IFERROR(VLOOKUP(INDEX(' Toto teams'!$D$4:$D$119,MATCH($B25,' Toto teams'!$A$4:$A$119,0)),Scoring!$A$4:$N$51,9,FALSE()),0)+2*IFERROR(VLOOKUP(INDEX(' Toto teams'!$E$4:$E$119,MATCH($B25,' Toto teams'!$A$4:$A$119,0)),Scoring!$A$4:$N$51,9,FALSE()),0)+1*IFERROR(VLOOKUP(INDEX(' Toto teams'!$F$4:$F$119,MATCH($B25,' Toto teams'!$A$4:$A$119,0)),Scoring!$A$4:$N$51,9,FALSE()),0)+1*IFERROR(VLOOKUP(INDEX(' Toto teams'!$G$4:$G$119,MATCH($B25,' Toto teams'!$A$4:$A$119,0)),Scoring!$A$4:$N$51,9,FALSE()),0)+1*IFERROR(VLOOKUP(INDEX(' Toto teams'!$H$4:$H$119,MATCH($B25,' Toto teams'!$A$4:$A$119,0)),Scoring!$A$4:$N$51,9,FALSE()),0))</f>
        <v/>
      </c>
      <c r="G25" s="28">
        <f>IF($B25="","",6*IFERROR(VLOOKUP(INDEX(' Toto teams'!$B$4:$B$119,MATCH($B25,' Toto teams'!$A$4:$A$119,0)),Scoring!$A$4:$N$51,10,FALSE()),0)+4*IFERROR(VLOOKUP(INDEX(' Toto teams'!$C$4:$C$119,MATCH($B25,' Toto teams'!$A$4:$A$119,0)),Scoring!$A$4:$N$51,10,FALSE()),0)+3*IFERROR(VLOOKUP(INDEX(' Toto teams'!$D$4:$D$119,MATCH($B25,' Toto teams'!$A$4:$A$119,0)),Scoring!$A$4:$N$51,10,FALSE()),0)+2*IFERROR(VLOOKUP(INDEX(' Toto teams'!$E$4:$E$119,MATCH($B25,' Toto teams'!$A$4:$A$119,0)),Scoring!$A$4:$N$51,10,FALSE()),0)+1*IFERROR(VLOOKUP(INDEX(' Toto teams'!$F$4:$F$119,MATCH($B25,' Toto teams'!$A$4:$A$119,0)),Scoring!$A$4:$N$51,10,FALSE()),0)+1*IFERROR(VLOOKUP(INDEX(' Toto teams'!$G$4:$G$119,MATCH($B25,' Toto teams'!$A$4:$A$119,0)),Scoring!$A$4:$N$51,10,FALSE()),0)+1*IFERROR(VLOOKUP(INDEX(' Toto teams'!$H$4:$H$119,MATCH($B25,' Toto teams'!$A$4:$A$119,0)),Scoring!$A$4:$N$51,10,FALSE()),0))</f>
        <v/>
      </c>
      <c r="H25" s="28">
        <f>IF($B25="","",6*IFERROR(VLOOKUP(INDEX(' Toto teams'!$B$4:$B$119,MATCH($B25,' Toto teams'!$A$4:$A$119,0)),Scoring!$A$4:$N$51,11,FALSE()),0)+4*IFERROR(VLOOKUP(INDEX(' Toto teams'!$C$4:$C$119,MATCH($B25,' Toto teams'!$A$4:$A$119,0)),Scoring!$A$4:$N$51,11,FALSE()),0)+3*IFERROR(VLOOKUP(INDEX(' Toto teams'!$D$4:$D$119,MATCH($B25,' Toto teams'!$A$4:$A$119,0)),Scoring!$A$4:$N$51,11,FALSE()),0)+2*IFERROR(VLOOKUP(INDEX(' Toto teams'!$E$4:$E$119,MATCH($B25,' Toto teams'!$A$4:$A$119,0)),Scoring!$A$4:$N$51,11,FALSE()),0)+1*IFERROR(VLOOKUP(INDEX(' Toto teams'!$F$4:$F$119,MATCH($B25,' Toto teams'!$A$4:$A$119,0)),Scoring!$A$4:$N$51,11,FALSE()),0)+1*IFERROR(VLOOKUP(INDEX(' Toto teams'!$G$4:$G$119,MATCH($B25,' Toto teams'!$A$4:$A$119,0)),Scoring!$A$4:$N$51,11,FALSE()),0)+1*IFERROR(VLOOKUP(INDEX(' Toto teams'!$H$4:$H$119,MATCH($B25,' Toto teams'!$A$4:$A$119,0)),Scoring!$A$4:$N$51,11,FALSE()),0))</f>
        <v/>
      </c>
      <c r="I25" s="28">
        <f>IF($B25="","",6*IFERROR(VLOOKUP(INDEX(' Toto teams'!$B$4:$B$119,MATCH($B25,' Toto teams'!$A$4:$A$119,0)),Scoring!$A$4:$O$51,15,FALSE()),0)+4*IFERROR(VLOOKUP(INDEX(' Toto teams'!$C$4:$C$119,MATCH($B25,' Toto teams'!$A$4:$A$119,0)),Scoring!$A$4:$O$51,15,FALSE()),0)+3*IFERROR(VLOOKUP(INDEX(' Toto teams'!$D$4:$D$119,MATCH($B25,' Toto teams'!$A$4:$A$119,0)),Scoring!$A$4:$O$51,15,FALSE()),0)+2*IFERROR(VLOOKUP(INDEX(' Toto teams'!$E$4:$E$119,MATCH($B25,' Toto teams'!$A$4:$A$119,0)),Scoring!$A$4:$O$51,15,FALSE()),0)+1*IFERROR(VLOOKUP(INDEX(' Toto teams'!$F$4:$F$119,MATCH($B25,' Toto teams'!$A$4:$A$119,0)),Scoring!$A$4:$O$51,15,FALSE()),0)+1*IFERROR(VLOOKUP(INDEX(' Toto teams'!$G$4:$G$119,MATCH($B25,' Toto teams'!$A$4:$A$119,0)),Scoring!$A$4:$O$51,15,FALSE()),0)+1*IFERROR(VLOOKUP(INDEX(' Toto teams'!$H$4:$H$119,MATCH($B25,' Toto teams'!$A$4:$A$119,0)),Scoring!$A$4:$O$51,15,FALSE()),0))</f>
        <v/>
      </c>
      <c r="J25" s="28">
        <f>IF($B25="","",6*IFERROR(VLOOKUP(INDEX(' Toto teams'!$B$4:$B$119,MATCH($B25,' Toto teams'!$A$4:$A$119,0)),Scoring!$A$4:$N$51,12,FALSE()),0)+4*IFERROR(VLOOKUP(INDEX(' Toto teams'!$C$4:$C$119,MATCH($B25,' Toto teams'!$A$4:$A$119,0)),Scoring!$A$4:$N$51,12,FALSE()),0)+3*IFERROR(VLOOKUP(INDEX(' Toto teams'!$D$4:$D$119,MATCH($B25,' Toto teams'!$A$4:$A$119,0)),Scoring!$A$4:$N$51,12,FALSE()),0)+2*IFERROR(VLOOKUP(INDEX(' Toto teams'!$E$4:$E$119,MATCH($B25,' Toto teams'!$A$4:$A$119,0)),Scoring!$A$4:$N$51,12,FALSE()),0)+1*IFERROR(VLOOKUP(INDEX(' Toto teams'!$F$4:$F$119,MATCH($B25,' Toto teams'!$A$4:$A$119,0)),Scoring!$A$4:$N$51,12,FALSE()),0)+1*IFERROR(VLOOKUP(INDEX(' Toto teams'!$G$4:$G$119,MATCH($B25,' Toto teams'!$A$4:$A$119,0)),Scoring!$A$4:$N$51,12,FALSE()),0)+1*IFERROR(VLOOKUP(INDEX(' Toto teams'!$H$4:$H$119,MATCH($B25,' Toto teams'!$A$4:$A$119,0)),Scoring!$A$4:$N$51,12,FALSE()),0))</f>
        <v/>
      </c>
      <c r="K25" s="29">
        <f>IF($B25="","",IFERROR(INDEX(' Toto teams'!$R$4:$R$119,MATCH($B25,' Toto teams'!$A$4:$A$119,0)),""))</f>
        <v/>
      </c>
      <c r="L25" s="30">
        <f>IFERROR(IF(B25="","",VLOOKUP(A25,$N$4:$R$12,5,FALSE())),0)</f>
        <v/>
      </c>
    </row>
    <row r="26" ht="12.75" customHeight="1">
      <c r="A26" s="26">
        <f>IF(23&gt;COUNTIF(' Toto teams'!$A$4:$A$119,"&lt;&gt;"),"",INDEX(' Toto teams'!$S$4:$S$119,MATCH(LARGE(' Toto teams'!$T$4:$T$119,23),' Toto teams'!$T$4:$T$119,0)))</f>
        <v/>
      </c>
      <c r="B26" s="27">
        <f>IF(23&gt;COUNTIF(' Toto teams'!$A$4:$A$119,"&lt;&gt;"),"",INDEX(' Toto teams'!$A$4:$A$119,MATCH(LARGE(' Toto teams'!$T$4:$T$119,23),' Toto teams'!$T$4:$T$119,0)))</f>
        <v/>
      </c>
      <c r="C26" s="28">
        <f>IF($B26="","",6*(IFERROR(VLOOKUP(INDEX(' Toto teams'!$B$4:$B$119,MATCH($B26,' Toto teams'!$A$4:$A$119,0)),Scoring!$A$4:$N$51,3,FALSE()),0)+IFERROR(VLOOKUP(INDEX(' Toto teams'!$B$4:$B$119,MATCH($B26,' Toto teams'!$A$4:$A$119,0)),Scoring!$A$4:$N$51,4,FALSE()),0)+IFERROR(VLOOKUP(INDEX(' Toto teams'!$B$4:$B$119,MATCH($B26,' Toto teams'!$A$4:$A$119,0)),Scoring!$A$4:$N$51,5,FALSE()),0))+4*(IFERROR(VLOOKUP(INDEX(' Toto teams'!$C$4:$C$119,MATCH($B26,' Toto teams'!$A$4:$A$119,0)),Scoring!$A$4:$N$51,3,FALSE()),0)+IFERROR(VLOOKUP(INDEX(' Toto teams'!$C$4:$C$119,MATCH($B26,' Toto teams'!$A$4:$A$119,0)),Scoring!$A$4:$N$51,4,FALSE()),0)+IFERROR(VLOOKUP(INDEX(' Toto teams'!$C$4:$C$119,MATCH($B26,' Toto teams'!$A$4:$A$119,0)),Scoring!$A$4:$N$51,5,FALSE()),0))+3*(IFERROR(VLOOKUP(INDEX(' Toto teams'!$D$4:$D$119,MATCH($B26,' Toto teams'!$A$4:$A$119,0)),Scoring!$A$4:$N$51,3,FALSE()),0)+IFERROR(VLOOKUP(INDEX(' Toto teams'!$D$4:$D$119,MATCH($B26,' Toto teams'!$A$4:$A$119,0)),Scoring!$A$4:$N$51,4,FALSE()),0)+IFERROR(VLOOKUP(INDEX(' Toto teams'!$D$4:$D$119,MATCH($B26,' Toto teams'!$A$4:$A$119,0)),Scoring!$A$4:$N$51,5,FALSE()),0))+2*(IFERROR(VLOOKUP(INDEX(' Toto teams'!$E$4:$E$119,MATCH($B26,' Toto teams'!$A$4:$A$119,0)),Scoring!$A$4:$N$51,3,FALSE()),0)+IFERROR(VLOOKUP(INDEX(' Toto teams'!$E$4:$E$119,MATCH($B26,' Toto teams'!$A$4:$A$119,0)),Scoring!$A$4:$N$51,4,FALSE()),0)+IFERROR(VLOOKUP(INDEX(' Toto teams'!$E$4:$E$119,MATCH($B26,' Toto teams'!$A$4:$A$119,0)),Scoring!$A$4:$N$51,5,FALSE()),0))+1*(IFERROR(VLOOKUP(INDEX(' Toto teams'!$F$4:$F$119,MATCH($B26,' Toto teams'!$A$4:$A$119,0)),Scoring!$A$4:$N$51,3,FALSE()),0)+IFERROR(VLOOKUP(INDEX(' Toto teams'!$F$4:$F$119,MATCH($B26,' Toto teams'!$A$4:$A$119,0)),Scoring!$A$4:$N$51,4,FALSE()),0)+IFERROR(VLOOKUP(INDEX(' Toto teams'!$F$4:$F$119,MATCH($B26,' Toto teams'!$A$4:$A$119,0)),Scoring!$A$4:$N$51,5,FALSE()),0))+1*(IFERROR(VLOOKUP(INDEX(' Toto teams'!$G$4:$G$119,MATCH($B26,' Toto teams'!$A$4:$A$119,0)),Scoring!$A$4:$N$51,3,FALSE()),0)+IFERROR(VLOOKUP(INDEX(' Toto teams'!$G$4:$G$119,MATCH($B26,' Toto teams'!$A$4:$A$119,0)),Scoring!$A$4:$N$51,4,FALSE()),0)+IFERROR(VLOOKUP(INDEX(' Toto teams'!$G$4:$G$119,MATCH($B26,' Toto teams'!$A$4:$A$119,0)),Scoring!$A$4:$N$51,5,FALSE()),0))+1*(IFERROR(VLOOKUP(INDEX(' Toto teams'!$H$4:$H$119,MATCH($B26,' Toto teams'!$A$4:$A$119,0)),Scoring!$A$4:$N$51,3,FALSE()),0)+IFERROR(VLOOKUP(INDEX(' Toto teams'!$H$4:$H$119,MATCH($B26,' Toto teams'!$A$4:$A$119,0)),Scoring!$A$4:$N$51,4,FALSE()),0)+IFERROR(VLOOKUP(INDEX(' Toto teams'!$H$4:$H$119,MATCH($B26,' Toto teams'!$A$4:$A$119,0)),Scoring!$A$4:$N$51,5,FALSE()),0))+IFERROR(INDEX(' Toto teams'!$Q$4:$Q$119,MATCH($B26,' Toto teams'!$A$4:$A$119,0))*1,0))</f>
        <v/>
      </c>
      <c r="D26" s="28">
        <f>IF($B26="","",6*IFERROR(VLOOKUP(INDEX(' Toto teams'!$B$4:$B$119,MATCH($B26,' Toto teams'!$A$4:$A$119,0)),Scoring!$A$4:$N$51,7,FALSE()),0)+4*IFERROR(VLOOKUP(INDEX(' Toto teams'!$C$4:$C$119,MATCH($B26,' Toto teams'!$A$4:$A$119,0)),Scoring!$A$4:$N$51,7,FALSE()),0)+3*IFERROR(VLOOKUP(INDEX(' Toto teams'!$D$4:$D$119,MATCH($B26,' Toto teams'!$A$4:$A$119,0)),Scoring!$A$4:$N$51,7,FALSE()),0)+2*IFERROR(VLOOKUP(INDEX(' Toto teams'!$E$4:$E$119,MATCH($B26,' Toto teams'!$A$4:$A$119,0)),Scoring!$A$4:$N$51,7,FALSE()),0)+1*IFERROR(VLOOKUP(INDEX(' Toto teams'!$F$4:$F$119,MATCH($B26,' Toto teams'!$A$4:$A$119,0)),Scoring!$A$4:$N$51,7,FALSE()),0)+1*IFERROR(VLOOKUP(INDEX(' Toto teams'!$G$4:$G$119,MATCH($B26,' Toto teams'!$A$4:$A$119,0)),Scoring!$A$4:$N$51,7,FALSE()),0)+1*IFERROR(VLOOKUP(INDEX(' Toto teams'!$H$4:$H$119,MATCH($B26,' Toto teams'!$A$4:$A$119,0)),Scoring!$A$4:$N$51,7,FALSE()),0))</f>
        <v/>
      </c>
      <c r="E26" s="28">
        <f>IF($B26="","",6*IFERROR(VLOOKUP(INDEX(' Toto teams'!$B$4:$B$119,MATCH($B26,' Toto teams'!$A$4:$A$119,0)),Scoring!$A$4:$N$51,8,FALSE()),0)+4*IFERROR(VLOOKUP(INDEX(' Toto teams'!$C$4:$C$119,MATCH($B26,' Toto teams'!$A$4:$A$119,0)),Scoring!$A$4:$N$51,8,FALSE()),0)+3*IFERROR(VLOOKUP(INDEX(' Toto teams'!$D$4:$D$119,MATCH($B26,' Toto teams'!$A$4:$A$119,0)),Scoring!$A$4:$N$51,8,FALSE()),0)+2*IFERROR(VLOOKUP(INDEX(' Toto teams'!$E$4:$E$119,MATCH($B26,' Toto teams'!$A$4:$A$119,0)),Scoring!$A$4:$N$51,8,FALSE()),0)+1*IFERROR(VLOOKUP(INDEX(' Toto teams'!$F$4:$F$119,MATCH($B26,' Toto teams'!$A$4:$A$119,0)),Scoring!$A$4:$N$51,8,FALSE()),0)+1*IFERROR(VLOOKUP(INDEX(' Toto teams'!$G$4:$G$119,MATCH($B26,' Toto teams'!$A$4:$A$119,0)),Scoring!$A$4:$N$51,8,FALSE()),0)+1*IFERROR(VLOOKUP(INDEX(' Toto teams'!$H$4:$H$119,MATCH($B26,' Toto teams'!$A$4:$A$119,0)),Scoring!$A$4:$N$51,8,FALSE()),0))</f>
        <v/>
      </c>
      <c r="F26" s="28">
        <f>IF($B26="","",6*IFERROR(VLOOKUP(INDEX(' Toto teams'!$B$4:$B$119,MATCH($B26,' Toto teams'!$A$4:$A$119,0)),Scoring!$A$4:$N$51,9,FALSE()),0)+4*IFERROR(VLOOKUP(INDEX(' Toto teams'!$C$4:$C$119,MATCH($B26,' Toto teams'!$A$4:$A$119,0)),Scoring!$A$4:$N$51,9,FALSE()),0)+3*IFERROR(VLOOKUP(INDEX(' Toto teams'!$D$4:$D$119,MATCH($B26,' Toto teams'!$A$4:$A$119,0)),Scoring!$A$4:$N$51,9,FALSE()),0)+2*IFERROR(VLOOKUP(INDEX(' Toto teams'!$E$4:$E$119,MATCH($B26,' Toto teams'!$A$4:$A$119,0)),Scoring!$A$4:$N$51,9,FALSE()),0)+1*IFERROR(VLOOKUP(INDEX(' Toto teams'!$F$4:$F$119,MATCH($B26,' Toto teams'!$A$4:$A$119,0)),Scoring!$A$4:$N$51,9,FALSE()),0)+1*IFERROR(VLOOKUP(INDEX(' Toto teams'!$G$4:$G$119,MATCH($B26,' Toto teams'!$A$4:$A$119,0)),Scoring!$A$4:$N$51,9,FALSE()),0)+1*IFERROR(VLOOKUP(INDEX(' Toto teams'!$H$4:$H$119,MATCH($B26,' Toto teams'!$A$4:$A$119,0)),Scoring!$A$4:$N$51,9,FALSE()),0))</f>
        <v/>
      </c>
      <c r="G26" s="28">
        <f>IF($B26="","",6*IFERROR(VLOOKUP(INDEX(' Toto teams'!$B$4:$B$119,MATCH($B26,' Toto teams'!$A$4:$A$119,0)),Scoring!$A$4:$N$51,10,FALSE()),0)+4*IFERROR(VLOOKUP(INDEX(' Toto teams'!$C$4:$C$119,MATCH($B26,' Toto teams'!$A$4:$A$119,0)),Scoring!$A$4:$N$51,10,FALSE()),0)+3*IFERROR(VLOOKUP(INDEX(' Toto teams'!$D$4:$D$119,MATCH($B26,' Toto teams'!$A$4:$A$119,0)),Scoring!$A$4:$N$51,10,FALSE()),0)+2*IFERROR(VLOOKUP(INDEX(' Toto teams'!$E$4:$E$119,MATCH($B26,' Toto teams'!$A$4:$A$119,0)),Scoring!$A$4:$N$51,10,FALSE()),0)+1*IFERROR(VLOOKUP(INDEX(' Toto teams'!$F$4:$F$119,MATCH($B26,' Toto teams'!$A$4:$A$119,0)),Scoring!$A$4:$N$51,10,FALSE()),0)+1*IFERROR(VLOOKUP(INDEX(' Toto teams'!$G$4:$G$119,MATCH($B26,' Toto teams'!$A$4:$A$119,0)),Scoring!$A$4:$N$51,10,FALSE()),0)+1*IFERROR(VLOOKUP(INDEX(' Toto teams'!$H$4:$H$119,MATCH($B26,' Toto teams'!$A$4:$A$119,0)),Scoring!$A$4:$N$51,10,FALSE()),0))</f>
        <v/>
      </c>
      <c r="H26" s="28">
        <f>IF($B26="","",6*IFERROR(VLOOKUP(INDEX(' Toto teams'!$B$4:$B$119,MATCH($B26,' Toto teams'!$A$4:$A$119,0)),Scoring!$A$4:$N$51,11,FALSE()),0)+4*IFERROR(VLOOKUP(INDEX(' Toto teams'!$C$4:$C$119,MATCH($B26,' Toto teams'!$A$4:$A$119,0)),Scoring!$A$4:$N$51,11,FALSE()),0)+3*IFERROR(VLOOKUP(INDEX(' Toto teams'!$D$4:$D$119,MATCH($B26,' Toto teams'!$A$4:$A$119,0)),Scoring!$A$4:$N$51,11,FALSE()),0)+2*IFERROR(VLOOKUP(INDEX(' Toto teams'!$E$4:$E$119,MATCH($B26,' Toto teams'!$A$4:$A$119,0)),Scoring!$A$4:$N$51,11,FALSE()),0)+1*IFERROR(VLOOKUP(INDEX(' Toto teams'!$F$4:$F$119,MATCH($B26,' Toto teams'!$A$4:$A$119,0)),Scoring!$A$4:$N$51,11,FALSE()),0)+1*IFERROR(VLOOKUP(INDEX(' Toto teams'!$G$4:$G$119,MATCH($B26,' Toto teams'!$A$4:$A$119,0)),Scoring!$A$4:$N$51,11,FALSE()),0)+1*IFERROR(VLOOKUP(INDEX(' Toto teams'!$H$4:$H$119,MATCH($B26,' Toto teams'!$A$4:$A$119,0)),Scoring!$A$4:$N$51,11,FALSE()),0))</f>
        <v/>
      </c>
      <c r="I26" s="28">
        <f>IF($B26="","",6*IFERROR(VLOOKUP(INDEX(' Toto teams'!$B$4:$B$119,MATCH($B26,' Toto teams'!$A$4:$A$119,0)),Scoring!$A$4:$O$51,15,FALSE()),0)+4*IFERROR(VLOOKUP(INDEX(' Toto teams'!$C$4:$C$119,MATCH($B26,' Toto teams'!$A$4:$A$119,0)),Scoring!$A$4:$O$51,15,FALSE()),0)+3*IFERROR(VLOOKUP(INDEX(' Toto teams'!$D$4:$D$119,MATCH($B26,' Toto teams'!$A$4:$A$119,0)),Scoring!$A$4:$O$51,15,FALSE()),0)+2*IFERROR(VLOOKUP(INDEX(' Toto teams'!$E$4:$E$119,MATCH($B26,' Toto teams'!$A$4:$A$119,0)),Scoring!$A$4:$O$51,15,FALSE()),0)+1*IFERROR(VLOOKUP(INDEX(' Toto teams'!$F$4:$F$119,MATCH($B26,' Toto teams'!$A$4:$A$119,0)),Scoring!$A$4:$O$51,15,FALSE()),0)+1*IFERROR(VLOOKUP(INDEX(' Toto teams'!$G$4:$G$119,MATCH($B26,' Toto teams'!$A$4:$A$119,0)),Scoring!$A$4:$O$51,15,FALSE()),0)+1*IFERROR(VLOOKUP(INDEX(' Toto teams'!$H$4:$H$119,MATCH($B26,' Toto teams'!$A$4:$A$119,0)),Scoring!$A$4:$O$51,15,FALSE()),0))</f>
        <v/>
      </c>
      <c r="J26" s="28">
        <f>IF($B26="","",6*IFERROR(VLOOKUP(INDEX(' Toto teams'!$B$4:$B$119,MATCH($B26,' Toto teams'!$A$4:$A$119,0)),Scoring!$A$4:$N$51,12,FALSE()),0)+4*IFERROR(VLOOKUP(INDEX(' Toto teams'!$C$4:$C$119,MATCH($B26,' Toto teams'!$A$4:$A$119,0)),Scoring!$A$4:$N$51,12,FALSE()),0)+3*IFERROR(VLOOKUP(INDEX(' Toto teams'!$D$4:$D$119,MATCH($B26,' Toto teams'!$A$4:$A$119,0)),Scoring!$A$4:$N$51,12,FALSE()),0)+2*IFERROR(VLOOKUP(INDEX(' Toto teams'!$E$4:$E$119,MATCH($B26,' Toto teams'!$A$4:$A$119,0)),Scoring!$A$4:$N$51,12,FALSE()),0)+1*IFERROR(VLOOKUP(INDEX(' Toto teams'!$F$4:$F$119,MATCH($B26,' Toto teams'!$A$4:$A$119,0)),Scoring!$A$4:$N$51,12,FALSE()),0)+1*IFERROR(VLOOKUP(INDEX(' Toto teams'!$G$4:$G$119,MATCH($B26,' Toto teams'!$A$4:$A$119,0)),Scoring!$A$4:$N$51,12,FALSE()),0)+1*IFERROR(VLOOKUP(INDEX(' Toto teams'!$H$4:$H$119,MATCH($B26,' Toto teams'!$A$4:$A$119,0)),Scoring!$A$4:$N$51,12,FALSE()),0))</f>
        <v/>
      </c>
      <c r="K26" s="29">
        <f>IF($B26="","",IFERROR(INDEX(' Toto teams'!$R$4:$R$119,MATCH($B26,' Toto teams'!$A$4:$A$119,0)),""))</f>
        <v/>
      </c>
      <c r="L26" s="30">
        <f>IFERROR(IF(B26="","",VLOOKUP(A26,$N$4:$R$12,5,FALSE())),0)</f>
        <v/>
      </c>
    </row>
    <row r="27" ht="12.75" customHeight="1">
      <c r="A27" s="26">
        <f>IF(24&gt;COUNTIF(' Toto teams'!$A$4:$A$119,"&lt;&gt;"),"",INDEX(' Toto teams'!$S$4:$S$119,MATCH(LARGE(' Toto teams'!$T$4:$T$119,24),' Toto teams'!$T$4:$T$119,0)))</f>
        <v/>
      </c>
      <c r="B27" s="27">
        <f>IF(24&gt;COUNTIF(' Toto teams'!$A$4:$A$119,"&lt;&gt;"),"",INDEX(' Toto teams'!$A$4:$A$119,MATCH(LARGE(' Toto teams'!$T$4:$T$119,24),' Toto teams'!$T$4:$T$119,0)))</f>
        <v/>
      </c>
      <c r="C27" s="28">
        <f>IF($B27="","",6*(IFERROR(VLOOKUP(INDEX(' Toto teams'!$B$4:$B$119,MATCH($B27,' Toto teams'!$A$4:$A$119,0)),Scoring!$A$4:$N$51,3,FALSE()),0)+IFERROR(VLOOKUP(INDEX(' Toto teams'!$B$4:$B$119,MATCH($B27,' Toto teams'!$A$4:$A$119,0)),Scoring!$A$4:$N$51,4,FALSE()),0)+IFERROR(VLOOKUP(INDEX(' Toto teams'!$B$4:$B$119,MATCH($B27,' Toto teams'!$A$4:$A$119,0)),Scoring!$A$4:$N$51,5,FALSE()),0))+4*(IFERROR(VLOOKUP(INDEX(' Toto teams'!$C$4:$C$119,MATCH($B27,' Toto teams'!$A$4:$A$119,0)),Scoring!$A$4:$N$51,3,FALSE()),0)+IFERROR(VLOOKUP(INDEX(' Toto teams'!$C$4:$C$119,MATCH($B27,' Toto teams'!$A$4:$A$119,0)),Scoring!$A$4:$N$51,4,FALSE()),0)+IFERROR(VLOOKUP(INDEX(' Toto teams'!$C$4:$C$119,MATCH($B27,' Toto teams'!$A$4:$A$119,0)),Scoring!$A$4:$N$51,5,FALSE()),0))+3*(IFERROR(VLOOKUP(INDEX(' Toto teams'!$D$4:$D$119,MATCH($B27,' Toto teams'!$A$4:$A$119,0)),Scoring!$A$4:$N$51,3,FALSE()),0)+IFERROR(VLOOKUP(INDEX(' Toto teams'!$D$4:$D$119,MATCH($B27,' Toto teams'!$A$4:$A$119,0)),Scoring!$A$4:$N$51,4,FALSE()),0)+IFERROR(VLOOKUP(INDEX(' Toto teams'!$D$4:$D$119,MATCH($B27,' Toto teams'!$A$4:$A$119,0)),Scoring!$A$4:$N$51,5,FALSE()),0))+2*(IFERROR(VLOOKUP(INDEX(' Toto teams'!$E$4:$E$119,MATCH($B27,' Toto teams'!$A$4:$A$119,0)),Scoring!$A$4:$N$51,3,FALSE()),0)+IFERROR(VLOOKUP(INDEX(' Toto teams'!$E$4:$E$119,MATCH($B27,' Toto teams'!$A$4:$A$119,0)),Scoring!$A$4:$N$51,4,FALSE()),0)+IFERROR(VLOOKUP(INDEX(' Toto teams'!$E$4:$E$119,MATCH($B27,' Toto teams'!$A$4:$A$119,0)),Scoring!$A$4:$N$51,5,FALSE()),0))+1*(IFERROR(VLOOKUP(INDEX(' Toto teams'!$F$4:$F$119,MATCH($B27,' Toto teams'!$A$4:$A$119,0)),Scoring!$A$4:$N$51,3,FALSE()),0)+IFERROR(VLOOKUP(INDEX(' Toto teams'!$F$4:$F$119,MATCH($B27,' Toto teams'!$A$4:$A$119,0)),Scoring!$A$4:$N$51,4,FALSE()),0)+IFERROR(VLOOKUP(INDEX(' Toto teams'!$F$4:$F$119,MATCH($B27,' Toto teams'!$A$4:$A$119,0)),Scoring!$A$4:$N$51,5,FALSE()),0))+1*(IFERROR(VLOOKUP(INDEX(' Toto teams'!$G$4:$G$119,MATCH($B27,' Toto teams'!$A$4:$A$119,0)),Scoring!$A$4:$N$51,3,FALSE()),0)+IFERROR(VLOOKUP(INDEX(' Toto teams'!$G$4:$G$119,MATCH($B27,' Toto teams'!$A$4:$A$119,0)),Scoring!$A$4:$N$51,4,FALSE()),0)+IFERROR(VLOOKUP(INDEX(' Toto teams'!$G$4:$G$119,MATCH($B27,' Toto teams'!$A$4:$A$119,0)),Scoring!$A$4:$N$51,5,FALSE()),0))+1*(IFERROR(VLOOKUP(INDEX(' Toto teams'!$H$4:$H$119,MATCH($B27,' Toto teams'!$A$4:$A$119,0)),Scoring!$A$4:$N$51,3,FALSE()),0)+IFERROR(VLOOKUP(INDEX(' Toto teams'!$H$4:$H$119,MATCH($B27,' Toto teams'!$A$4:$A$119,0)),Scoring!$A$4:$N$51,4,FALSE()),0)+IFERROR(VLOOKUP(INDEX(' Toto teams'!$H$4:$H$119,MATCH($B27,' Toto teams'!$A$4:$A$119,0)),Scoring!$A$4:$N$51,5,FALSE()),0))+IFERROR(INDEX(' Toto teams'!$Q$4:$Q$119,MATCH($B27,' Toto teams'!$A$4:$A$119,0))*1,0))</f>
        <v/>
      </c>
      <c r="D27" s="28">
        <f>IF($B27="","",6*IFERROR(VLOOKUP(INDEX(' Toto teams'!$B$4:$B$119,MATCH($B27,' Toto teams'!$A$4:$A$119,0)),Scoring!$A$4:$N$51,7,FALSE()),0)+4*IFERROR(VLOOKUP(INDEX(' Toto teams'!$C$4:$C$119,MATCH($B27,' Toto teams'!$A$4:$A$119,0)),Scoring!$A$4:$N$51,7,FALSE()),0)+3*IFERROR(VLOOKUP(INDEX(' Toto teams'!$D$4:$D$119,MATCH($B27,' Toto teams'!$A$4:$A$119,0)),Scoring!$A$4:$N$51,7,FALSE()),0)+2*IFERROR(VLOOKUP(INDEX(' Toto teams'!$E$4:$E$119,MATCH($B27,' Toto teams'!$A$4:$A$119,0)),Scoring!$A$4:$N$51,7,FALSE()),0)+1*IFERROR(VLOOKUP(INDEX(' Toto teams'!$F$4:$F$119,MATCH($B27,' Toto teams'!$A$4:$A$119,0)),Scoring!$A$4:$N$51,7,FALSE()),0)+1*IFERROR(VLOOKUP(INDEX(' Toto teams'!$G$4:$G$119,MATCH($B27,' Toto teams'!$A$4:$A$119,0)),Scoring!$A$4:$N$51,7,FALSE()),0)+1*IFERROR(VLOOKUP(INDEX(' Toto teams'!$H$4:$H$119,MATCH($B27,' Toto teams'!$A$4:$A$119,0)),Scoring!$A$4:$N$51,7,FALSE()),0))</f>
        <v/>
      </c>
      <c r="E27" s="28">
        <f>IF($B27="","",6*IFERROR(VLOOKUP(INDEX(' Toto teams'!$B$4:$B$119,MATCH($B27,' Toto teams'!$A$4:$A$119,0)),Scoring!$A$4:$N$51,8,FALSE()),0)+4*IFERROR(VLOOKUP(INDEX(' Toto teams'!$C$4:$C$119,MATCH($B27,' Toto teams'!$A$4:$A$119,0)),Scoring!$A$4:$N$51,8,FALSE()),0)+3*IFERROR(VLOOKUP(INDEX(' Toto teams'!$D$4:$D$119,MATCH($B27,' Toto teams'!$A$4:$A$119,0)),Scoring!$A$4:$N$51,8,FALSE()),0)+2*IFERROR(VLOOKUP(INDEX(' Toto teams'!$E$4:$E$119,MATCH($B27,' Toto teams'!$A$4:$A$119,0)),Scoring!$A$4:$N$51,8,FALSE()),0)+1*IFERROR(VLOOKUP(INDEX(' Toto teams'!$F$4:$F$119,MATCH($B27,' Toto teams'!$A$4:$A$119,0)),Scoring!$A$4:$N$51,8,FALSE()),0)+1*IFERROR(VLOOKUP(INDEX(' Toto teams'!$G$4:$G$119,MATCH($B27,' Toto teams'!$A$4:$A$119,0)),Scoring!$A$4:$N$51,8,FALSE()),0)+1*IFERROR(VLOOKUP(INDEX(' Toto teams'!$H$4:$H$119,MATCH($B27,' Toto teams'!$A$4:$A$119,0)),Scoring!$A$4:$N$51,8,FALSE()),0))</f>
        <v/>
      </c>
      <c r="F27" s="28">
        <f>IF($B27="","",6*IFERROR(VLOOKUP(INDEX(' Toto teams'!$B$4:$B$119,MATCH($B27,' Toto teams'!$A$4:$A$119,0)),Scoring!$A$4:$N$51,9,FALSE()),0)+4*IFERROR(VLOOKUP(INDEX(' Toto teams'!$C$4:$C$119,MATCH($B27,' Toto teams'!$A$4:$A$119,0)),Scoring!$A$4:$N$51,9,FALSE()),0)+3*IFERROR(VLOOKUP(INDEX(' Toto teams'!$D$4:$D$119,MATCH($B27,' Toto teams'!$A$4:$A$119,0)),Scoring!$A$4:$N$51,9,FALSE()),0)+2*IFERROR(VLOOKUP(INDEX(' Toto teams'!$E$4:$E$119,MATCH($B27,' Toto teams'!$A$4:$A$119,0)),Scoring!$A$4:$N$51,9,FALSE()),0)+1*IFERROR(VLOOKUP(INDEX(' Toto teams'!$F$4:$F$119,MATCH($B27,' Toto teams'!$A$4:$A$119,0)),Scoring!$A$4:$N$51,9,FALSE()),0)+1*IFERROR(VLOOKUP(INDEX(' Toto teams'!$G$4:$G$119,MATCH($B27,' Toto teams'!$A$4:$A$119,0)),Scoring!$A$4:$N$51,9,FALSE()),0)+1*IFERROR(VLOOKUP(INDEX(' Toto teams'!$H$4:$H$119,MATCH($B27,' Toto teams'!$A$4:$A$119,0)),Scoring!$A$4:$N$51,9,FALSE()),0))</f>
        <v/>
      </c>
      <c r="G27" s="28">
        <f>IF($B27="","",6*IFERROR(VLOOKUP(INDEX(' Toto teams'!$B$4:$B$119,MATCH($B27,' Toto teams'!$A$4:$A$119,0)),Scoring!$A$4:$N$51,10,FALSE()),0)+4*IFERROR(VLOOKUP(INDEX(' Toto teams'!$C$4:$C$119,MATCH($B27,' Toto teams'!$A$4:$A$119,0)),Scoring!$A$4:$N$51,10,FALSE()),0)+3*IFERROR(VLOOKUP(INDEX(' Toto teams'!$D$4:$D$119,MATCH($B27,' Toto teams'!$A$4:$A$119,0)),Scoring!$A$4:$N$51,10,FALSE()),0)+2*IFERROR(VLOOKUP(INDEX(' Toto teams'!$E$4:$E$119,MATCH($B27,' Toto teams'!$A$4:$A$119,0)),Scoring!$A$4:$N$51,10,FALSE()),0)+1*IFERROR(VLOOKUP(INDEX(' Toto teams'!$F$4:$F$119,MATCH($B27,' Toto teams'!$A$4:$A$119,0)),Scoring!$A$4:$N$51,10,FALSE()),0)+1*IFERROR(VLOOKUP(INDEX(' Toto teams'!$G$4:$G$119,MATCH($B27,' Toto teams'!$A$4:$A$119,0)),Scoring!$A$4:$N$51,10,FALSE()),0)+1*IFERROR(VLOOKUP(INDEX(' Toto teams'!$H$4:$H$119,MATCH($B27,' Toto teams'!$A$4:$A$119,0)),Scoring!$A$4:$N$51,10,FALSE()),0))</f>
        <v/>
      </c>
      <c r="H27" s="28">
        <f>IF($B27="","",6*IFERROR(VLOOKUP(INDEX(' Toto teams'!$B$4:$B$119,MATCH($B27,' Toto teams'!$A$4:$A$119,0)),Scoring!$A$4:$N$51,11,FALSE()),0)+4*IFERROR(VLOOKUP(INDEX(' Toto teams'!$C$4:$C$119,MATCH($B27,' Toto teams'!$A$4:$A$119,0)),Scoring!$A$4:$N$51,11,FALSE()),0)+3*IFERROR(VLOOKUP(INDEX(' Toto teams'!$D$4:$D$119,MATCH($B27,' Toto teams'!$A$4:$A$119,0)),Scoring!$A$4:$N$51,11,FALSE()),0)+2*IFERROR(VLOOKUP(INDEX(' Toto teams'!$E$4:$E$119,MATCH($B27,' Toto teams'!$A$4:$A$119,0)),Scoring!$A$4:$N$51,11,FALSE()),0)+1*IFERROR(VLOOKUP(INDEX(' Toto teams'!$F$4:$F$119,MATCH($B27,' Toto teams'!$A$4:$A$119,0)),Scoring!$A$4:$N$51,11,FALSE()),0)+1*IFERROR(VLOOKUP(INDEX(' Toto teams'!$G$4:$G$119,MATCH($B27,' Toto teams'!$A$4:$A$119,0)),Scoring!$A$4:$N$51,11,FALSE()),0)+1*IFERROR(VLOOKUP(INDEX(' Toto teams'!$H$4:$H$119,MATCH($B27,' Toto teams'!$A$4:$A$119,0)),Scoring!$A$4:$N$51,11,FALSE()),0))</f>
        <v/>
      </c>
      <c r="I27" s="28">
        <f>IF($B27="","",6*IFERROR(VLOOKUP(INDEX(' Toto teams'!$B$4:$B$119,MATCH($B27,' Toto teams'!$A$4:$A$119,0)),Scoring!$A$4:$O$51,15,FALSE()),0)+4*IFERROR(VLOOKUP(INDEX(' Toto teams'!$C$4:$C$119,MATCH($B27,' Toto teams'!$A$4:$A$119,0)),Scoring!$A$4:$O$51,15,FALSE()),0)+3*IFERROR(VLOOKUP(INDEX(' Toto teams'!$D$4:$D$119,MATCH($B27,' Toto teams'!$A$4:$A$119,0)),Scoring!$A$4:$O$51,15,FALSE()),0)+2*IFERROR(VLOOKUP(INDEX(' Toto teams'!$E$4:$E$119,MATCH($B27,' Toto teams'!$A$4:$A$119,0)),Scoring!$A$4:$O$51,15,FALSE()),0)+1*IFERROR(VLOOKUP(INDEX(' Toto teams'!$F$4:$F$119,MATCH($B27,' Toto teams'!$A$4:$A$119,0)),Scoring!$A$4:$O$51,15,FALSE()),0)+1*IFERROR(VLOOKUP(INDEX(' Toto teams'!$G$4:$G$119,MATCH($B27,' Toto teams'!$A$4:$A$119,0)),Scoring!$A$4:$O$51,15,FALSE()),0)+1*IFERROR(VLOOKUP(INDEX(' Toto teams'!$H$4:$H$119,MATCH($B27,' Toto teams'!$A$4:$A$119,0)),Scoring!$A$4:$O$51,15,FALSE()),0))</f>
        <v/>
      </c>
      <c r="J27" s="28">
        <f>IF($B27="","",6*IFERROR(VLOOKUP(INDEX(' Toto teams'!$B$4:$B$119,MATCH($B27,' Toto teams'!$A$4:$A$119,0)),Scoring!$A$4:$N$51,12,FALSE()),0)+4*IFERROR(VLOOKUP(INDEX(' Toto teams'!$C$4:$C$119,MATCH($B27,' Toto teams'!$A$4:$A$119,0)),Scoring!$A$4:$N$51,12,FALSE()),0)+3*IFERROR(VLOOKUP(INDEX(' Toto teams'!$D$4:$D$119,MATCH($B27,' Toto teams'!$A$4:$A$119,0)),Scoring!$A$4:$N$51,12,FALSE()),0)+2*IFERROR(VLOOKUP(INDEX(' Toto teams'!$E$4:$E$119,MATCH($B27,' Toto teams'!$A$4:$A$119,0)),Scoring!$A$4:$N$51,12,FALSE()),0)+1*IFERROR(VLOOKUP(INDEX(' Toto teams'!$F$4:$F$119,MATCH($B27,' Toto teams'!$A$4:$A$119,0)),Scoring!$A$4:$N$51,12,FALSE()),0)+1*IFERROR(VLOOKUP(INDEX(' Toto teams'!$G$4:$G$119,MATCH($B27,' Toto teams'!$A$4:$A$119,0)),Scoring!$A$4:$N$51,12,FALSE()),0)+1*IFERROR(VLOOKUP(INDEX(' Toto teams'!$H$4:$H$119,MATCH($B27,' Toto teams'!$A$4:$A$119,0)),Scoring!$A$4:$N$51,12,FALSE()),0))</f>
        <v/>
      </c>
      <c r="K27" s="29">
        <f>IF($B27="","",IFERROR(INDEX(' Toto teams'!$R$4:$R$119,MATCH($B27,' Toto teams'!$A$4:$A$119,0)),""))</f>
        <v/>
      </c>
      <c r="L27" s="30">
        <f>IFERROR(IF(B27="","",VLOOKUP(A27,$N$4:$R$12,5,FALSE())),0)</f>
        <v/>
      </c>
    </row>
    <row r="28" ht="12.75" customHeight="1">
      <c r="A28" s="26">
        <f>IF(25&gt;COUNTIF(' Toto teams'!$A$4:$A$119,"&lt;&gt;"),"",INDEX(' Toto teams'!$S$4:$S$119,MATCH(LARGE(' Toto teams'!$T$4:$T$119,25),' Toto teams'!$T$4:$T$119,0)))</f>
        <v/>
      </c>
      <c r="B28" s="27">
        <f>IF(25&gt;COUNTIF(' Toto teams'!$A$4:$A$119,"&lt;&gt;"),"",INDEX(' Toto teams'!$A$4:$A$119,MATCH(LARGE(' Toto teams'!$T$4:$T$119,25),' Toto teams'!$T$4:$T$119,0)))</f>
        <v/>
      </c>
      <c r="C28" s="28">
        <f>IF($B28="","",6*(IFERROR(VLOOKUP(INDEX(' Toto teams'!$B$4:$B$119,MATCH($B28,' Toto teams'!$A$4:$A$119,0)),Scoring!$A$4:$N$51,3,FALSE()),0)+IFERROR(VLOOKUP(INDEX(' Toto teams'!$B$4:$B$119,MATCH($B28,' Toto teams'!$A$4:$A$119,0)),Scoring!$A$4:$N$51,4,FALSE()),0)+IFERROR(VLOOKUP(INDEX(' Toto teams'!$B$4:$B$119,MATCH($B28,' Toto teams'!$A$4:$A$119,0)),Scoring!$A$4:$N$51,5,FALSE()),0))+4*(IFERROR(VLOOKUP(INDEX(' Toto teams'!$C$4:$C$119,MATCH($B28,' Toto teams'!$A$4:$A$119,0)),Scoring!$A$4:$N$51,3,FALSE()),0)+IFERROR(VLOOKUP(INDEX(' Toto teams'!$C$4:$C$119,MATCH($B28,' Toto teams'!$A$4:$A$119,0)),Scoring!$A$4:$N$51,4,FALSE()),0)+IFERROR(VLOOKUP(INDEX(' Toto teams'!$C$4:$C$119,MATCH($B28,' Toto teams'!$A$4:$A$119,0)),Scoring!$A$4:$N$51,5,FALSE()),0))+3*(IFERROR(VLOOKUP(INDEX(' Toto teams'!$D$4:$D$119,MATCH($B28,' Toto teams'!$A$4:$A$119,0)),Scoring!$A$4:$N$51,3,FALSE()),0)+IFERROR(VLOOKUP(INDEX(' Toto teams'!$D$4:$D$119,MATCH($B28,' Toto teams'!$A$4:$A$119,0)),Scoring!$A$4:$N$51,4,FALSE()),0)+IFERROR(VLOOKUP(INDEX(' Toto teams'!$D$4:$D$119,MATCH($B28,' Toto teams'!$A$4:$A$119,0)),Scoring!$A$4:$N$51,5,FALSE()),0))+2*(IFERROR(VLOOKUP(INDEX(' Toto teams'!$E$4:$E$119,MATCH($B28,' Toto teams'!$A$4:$A$119,0)),Scoring!$A$4:$N$51,3,FALSE()),0)+IFERROR(VLOOKUP(INDEX(' Toto teams'!$E$4:$E$119,MATCH($B28,' Toto teams'!$A$4:$A$119,0)),Scoring!$A$4:$N$51,4,FALSE()),0)+IFERROR(VLOOKUP(INDEX(' Toto teams'!$E$4:$E$119,MATCH($B28,' Toto teams'!$A$4:$A$119,0)),Scoring!$A$4:$N$51,5,FALSE()),0))+1*(IFERROR(VLOOKUP(INDEX(' Toto teams'!$F$4:$F$119,MATCH($B28,' Toto teams'!$A$4:$A$119,0)),Scoring!$A$4:$N$51,3,FALSE()),0)+IFERROR(VLOOKUP(INDEX(' Toto teams'!$F$4:$F$119,MATCH($B28,' Toto teams'!$A$4:$A$119,0)),Scoring!$A$4:$N$51,4,FALSE()),0)+IFERROR(VLOOKUP(INDEX(' Toto teams'!$F$4:$F$119,MATCH($B28,' Toto teams'!$A$4:$A$119,0)),Scoring!$A$4:$N$51,5,FALSE()),0))+1*(IFERROR(VLOOKUP(INDEX(' Toto teams'!$G$4:$G$119,MATCH($B28,' Toto teams'!$A$4:$A$119,0)),Scoring!$A$4:$N$51,3,FALSE()),0)+IFERROR(VLOOKUP(INDEX(' Toto teams'!$G$4:$G$119,MATCH($B28,' Toto teams'!$A$4:$A$119,0)),Scoring!$A$4:$N$51,4,FALSE()),0)+IFERROR(VLOOKUP(INDEX(' Toto teams'!$G$4:$G$119,MATCH($B28,' Toto teams'!$A$4:$A$119,0)),Scoring!$A$4:$N$51,5,FALSE()),0))+1*(IFERROR(VLOOKUP(INDEX(' Toto teams'!$H$4:$H$119,MATCH($B28,' Toto teams'!$A$4:$A$119,0)),Scoring!$A$4:$N$51,3,FALSE()),0)+IFERROR(VLOOKUP(INDEX(' Toto teams'!$H$4:$H$119,MATCH($B28,' Toto teams'!$A$4:$A$119,0)),Scoring!$A$4:$N$51,4,FALSE()),0)+IFERROR(VLOOKUP(INDEX(' Toto teams'!$H$4:$H$119,MATCH($B28,' Toto teams'!$A$4:$A$119,0)),Scoring!$A$4:$N$51,5,FALSE()),0))+IFERROR(INDEX(' Toto teams'!$Q$4:$Q$119,MATCH($B28,' Toto teams'!$A$4:$A$119,0))*1,0))</f>
        <v/>
      </c>
      <c r="D28" s="28">
        <f>IF($B28="","",6*IFERROR(VLOOKUP(INDEX(' Toto teams'!$B$4:$B$119,MATCH($B28,' Toto teams'!$A$4:$A$119,0)),Scoring!$A$4:$N$51,7,FALSE()),0)+4*IFERROR(VLOOKUP(INDEX(' Toto teams'!$C$4:$C$119,MATCH($B28,' Toto teams'!$A$4:$A$119,0)),Scoring!$A$4:$N$51,7,FALSE()),0)+3*IFERROR(VLOOKUP(INDEX(' Toto teams'!$D$4:$D$119,MATCH($B28,' Toto teams'!$A$4:$A$119,0)),Scoring!$A$4:$N$51,7,FALSE()),0)+2*IFERROR(VLOOKUP(INDEX(' Toto teams'!$E$4:$E$119,MATCH($B28,' Toto teams'!$A$4:$A$119,0)),Scoring!$A$4:$N$51,7,FALSE()),0)+1*IFERROR(VLOOKUP(INDEX(' Toto teams'!$F$4:$F$119,MATCH($B28,' Toto teams'!$A$4:$A$119,0)),Scoring!$A$4:$N$51,7,FALSE()),0)+1*IFERROR(VLOOKUP(INDEX(' Toto teams'!$G$4:$G$119,MATCH($B28,' Toto teams'!$A$4:$A$119,0)),Scoring!$A$4:$N$51,7,FALSE()),0)+1*IFERROR(VLOOKUP(INDEX(' Toto teams'!$H$4:$H$119,MATCH($B28,' Toto teams'!$A$4:$A$119,0)),Scoring!$A$4:$N$51,7,FALSE()),0))</f>
        <v/>
      </c>
      <c r="E28" s="28">
        <f>IF($B28="","",6*IFERROR(VLOOKUP(INDEX(' Toto teams'!$B$4:$B$119,MATCH($B28,' Toto teams'!$A$4:$A$119,0)),Scoring!$A$4:$N$51,8,FALSE()),0)+4*IFERROR(VLOOKUP(INDEX(' Toto teams'!$C$4:$C$119,MATCH($B28,' Toto teams'!$A$4:$A$119,0)),Scoring!$A$4:$N$51,8,FALSE()),0)+3*IFERROR(VLOOKUP(INDEX(' Toto teams'!$D$4:$D$119,MATCH($B28,' Toto teams'!$A$4:$A$119,0)),Scoring!$A$4:$N$51,8,FALSE()),0)+2*IFERROR(VLOOKUP(INDEX(' Toto teams'!$E$4:$E$119,MATCH($B28,' Toto teams'!$A$4:$A$119,0)),Scoring!$A$4:$N$51,8,FALSE()),0)+1*IFERROR(VLOOKUP(INDEX(' Toto teams'!$F$4:$F$119,MATCH($B28,' Toto teams'!$A$4:$A$119,0)),Scoring!$A$4:$N$51,8,FALSE()),0)+1*IFERROR(VLOOKUP(INDEX(' Toto teams'!$G$4:$G$119,MATCH($B28,' Toto teams'!$A$4:$A$119,0)),Scoring!$A$4:$N$51,8,FALSE()),0)+1*IFERROR(VLOOKUP(INDEX(' Toto teams'!$H$4:$H$119,MATCH($B28,' Toto teams'!$A$4:$A$119,0)),Scoring!$A$4:$N$51,8,FALSE()),0))</f>
        <v/>
      </c>
      <c r="F28" s="28">
        <f>IF($B28="","",6*IFERROR(VLOOKUP(INDEX(' Toto teams'!$B$4:$B$119,MATCH($B28,' Toto teams'!$A$4:$A$119,0)),Scoring!$A$4:$N$51,9,FALSE()),0)+4*IFERROR(VLOOKUP(INDEX(' Toto teams'!$C$4:$C$119,MATCH($B28,' Toto teams'!$A$4:$A$119,0)),Scoring!$A$4:$N$51,9,FALSE()),0)+3*IFERROR(VLOOKUP(INDEX(' Toto teams'!$D$4:$D$119,MATCH($B28,' Toto teams'!$A$4:$A$119,0)),Scoring!$A$4:$N$51,9,FALSE()),0)+2*IFERROR(VLOOKUP(INDEX(' Toto teams'!$E$4:$E$119,MATCH($B28,' Toto teams'!$A$4:$A$119,0)),Scoring!$A$4:$N$51,9,FALSE()),0)+1*IFERROR(VLOOKUP(INDEX(' Toto teams'!$F$4:$F$119,MATCH($B28,' Toto teams'!$A$4:$A$119,0)),Scoring!$A$4:$N$51,9,FALSE()),0)+1*IFERROR(VLOOKUP(INDEX(' Toto teams'!$G$4:$G$119,MATCH($B28,' Toto teams'!$A$4:$A$119,0)),Scoring!$A$4:$N$51,9,FALSE()),0)+1*IFERROR(VLOOKUP(INDEX(' Toto teams'!$H$4:$H$119,MATCH($B28,' Toto teams'!$A$4:$A$119,0)),Scoring!$A$4:$N$51,9,FALSE()),0))</f>
        <v/>
      </c>
      <c r="G28" s="28">
        <f>IF($B28="","",6*IFERROR(VLOOKUP(INDEX(' Toto teams'!$B$4:$B$119,MATCH($B28,' Toto teams'!$A$4:$A$119,0)),Scoring!$A$4:$N$51,10,FALSE()),0)+4*IFERROR(VLOOKUP(INDEX(' Toto teams'!$C$4:$C$119,MATCH($B28,' Toto teams'!$A$4:$A$119,0)),Scoring!$A$4:$N$51,10,FALSE()),0)+3*IFERROR(VLOOKUP(INDEX(' Toto teams'!$D$4:$D$119,MATCH($B28,' Toto teams'!$A$4:$A$119,0)),Scoring!$A$4:$N$51,10,FALSE()),0)+2*IFERROR(VLOOKUP(INDEX(' Toto teams'!$E$4:$E$119,MATCH($B28,' Toto teams'!$A$4:$A$119,0)),Scoring!$A$4:$N$51,10,FALSE()),0)+1*IFERROR(VLOOKUP(INDEX(' Toto teams'!$F$4:$F$119,MATCH($B28,' Toto teams'!$A$4:$A$119,0)),Scoring!$A$4:$N$51,10,FALSE()),0)+1*IFERROR(VLOOKUP(INDEX(' Toto teams'!$G$4:$G$119,MATCH($B28,' Toto teams'!$A$4:$A$119,0)),Scoring!$A$4:$N$51,10,FALSE()),0)+1*IFERROR(VLOOKUP(INDEX(' Toto teams'!$H$4:$H$119,MATCH($B28,' Toto teams'!$A$4:$A$119,0)),Scoring!$A$4:$N$51,10,FALSE()),0))</f>
        <v/>
      </c>
      <c r="H28" s="28">
        <f>IF($B28="","",6*IFERROR(VLOOKUP(INDEX(' Toto teams'!$B$4:$B$119,MATCH($B28,' Toto teams'!$A$4:$A$119,0)),Scoring!$A$4:$N$51,11,FALSE()),0)+4*IFERROR(VLOOKUP(INDEX(' Toto teams'!$C$4:$C$119,MATCH($B28,' Toto teams'!$A$4:$A$119,0)),Scoring!$A$4:$N$51,11,FALSE()),0)+3*IFERROR(VLOOKUP(INDEX(' Toto teams'!$D$4:$D$119,MATCH($B28,' Toto teams'!$A$4:$A$119,0)),Scoring!$A$4:$N$51,11,FALSE()),0)+2*IFERROR(VLOOKUP(INDEX(' Toto teams'!$E$4:$E$119,MATCH($B28,' Toto teams'!$A$4:$A$119,0)),Scoring!$A$4:$N$51,11,FALSE()),0)+1*IFERROR(VLOOKUP(INDEX(' Toto teams'!$F$4:$F$119,MATCH($B28,' Toto teams'!$A$4:$A$119,0)),Scoring!$A$4:$N$51,11,FALSE()),0)+1*IFERROR(VLOOKUP(INDEX(' Toto teams'!$G$4:$G$119,MATCH($B28,' Toto teams'!$A$4:$A$119,0)),Scoring!$A$4:$N$51,11,FALSE()),0)+1*IFERROR(VLOOKUP(INDEX(' Toto teams'!$H$4:$H$119,MATCH($B28,' Toto teams'!$A$4:$A$119,0)),Scoring!$A$4:$N$51,11,FALSE()),0))</f>
        <v/>
      </c>
      <c r="I28" s="28">
        <f>IF($B28="","",6*IFERROR(VLOOKUP(INDEX(' Toto teams'!$B$4:$B$119,MATCH($B28,' Toto teams'!$A$4:$A$119,0)),Scoring!$A$4:$O$51,15,FALSE()),0)+4*IFERROR(VLOOKUP(INDEX(' Toto teams'!$C$4:$C$119,MATCH($B28,' Toto teams'!$A$4:$A$119,0)),Scoring!$A$4:$O$51,15,FALSE()),0)+3*IFERROR(VLOOKUP(INDEX(' Toto teams'!$D$4:$D$119,MATCH($B28,' Toto teams'!$A$4:$A$119,0)),Scoring!$A$4:$O$51,15,FALSE()),0)+2*IFERROR(VLOOKUP(INDEX(' Toto teams'!$E$4:$E$119,MATCH($B28,' Toto teams'!$A$4:$A$119,0)),Scoring!$A$4:$O$51,15,FALSE()),0)+1*IFERROR(VLOOKUP(INDEX(' Toto teams'!$F$4:$F$119,MATCH($B28,' Toto teams'!$A$4:$A$119,0)),Scoring!$A$4:$O$51,15,FALSE()),0)+1*IFERROR(VLOOKUP(INDEX(' Toto teams'!$G$4:$G$119,MATCH($B28,' Toto teams'!$A$4:$A$119,0)),Scoring!$A$4:$O$51,15,FALSE()),0)+1*IFERROR(VLOOKUP(INDEX(' Toto teams'!$H$4:$H$119,MATCH($B28,' Toto teams'!$A$4:$A$119,0)),Scoring!$A$4:$O$51,15,FALSE()),0))</f>
        <v/>
      </c>
      <c r="J28" s="28">
        <f>IF($B28="","",6*IFERROR(VLOOKUP(INDEX(' Toto teams'!$B$4:$B$119,MATCH($B28,' Toto teams'!$A$4:$A$119,0)),Scoring!$A$4:$N$51,12,FALSE()),0)+4*IFERROR(VLOOKUP(INDEX(' Toto teams'!$C$4:$C$119,MATCH($B28,' Toto teams'!$A$4:$A$119,0)),Scoring!$A$4:$N$51,12,FALSE()),0)+3*IFERROR(VLOOKUP(INDEX(' Toto teams'!$D$4:$D$119,MATCH($B28,' Toto teams'!$A$4:$A$119,0)),Scoring!$A$4:$N$51,12,FALSE()),0)+2*IFERROR(VLOOKUP(INDEX(' Toto teams'!$E$4:$E$119,MATCH($B28,' Toto teams'!$A$4:$A$119,0)),Scoring!$A$4:$N$51,12,FALSE()),0)+1*IFERROR(VLOOKUP(INDEX(' Toto teams'!$F$4:$F$119,MATCH($B28,' Toto teams'!$A$4:$A$119,0)),Scoring!$A$4:$N$51,12,FALSE()),0)+1*IFERROR(VLOOKUP(INDEX(' Toto teams'!$G$4:$G$119,MATCH($B28,' Toto teams'!$A$4:$A$119,0)),Scoring!$A$4:$N$51,12,FALSE()),0)+1*IFERROR(VLOOKUP(INDEX(' Toto teams'!$H$4:$H$119,MATCH($B28,' Toto teams'!$A$4:$A$119,0)),Scoring!$A$4:$N$51,12,FALSE()),0))</f>
        <v/>
      </c>
      <c r="K28" s="29">
        <f>IF($B28="","",IFERROR(INDEX(' Toto teams'!$R$4:$R$119,MATCH($B28,' Toto teams'!$A$4:$A$119,0)),""))</f>
        <v/>
      </c>
      <c r="L28" s="30">
        <f>IFERROR(IF(B28="","",VLOOKUP(A28,$N$4:$R$12,5,FALSE())),0)</f>
        <v/>
      </c>
    </row>
    <row r="29" ht="12.75" customHeight="1">
      <c r="A29" s="26">
        <f>IF(26&gt;COUNTIF(' Toto teams'!$A$4:$A$119,"&lt;&gt;"),"",INDEX(' Toto teams'!$S$4:$S$119,MATCH(LARGE(' Toto teams'!$T$4:$T$119,26),' Toto teams'!$T$4:$T$119,0)))</f>
        <v/>
      </c>
      <c r="B29" s="27">
        <f>IF(26&gt;COUNTIF(' Toto teams'!$A$4:$A$119,"&lt;&gt;"),"",INDEX(' Toto teams'!$A$4:$A$119,MATCH(LARGE(' Toto teams'!$T$4:$T$119,26),' Toto teams'!$T$4:$T$119,0)))</f>
        <v/>
      </c>
      <c r="C29" s="28">
        <f>IF($B29="","",6*(IFERROR(VLOOKUP(INDEX(' Toto teams'!$B$4:$B$119,MATCH($B29,' Toto teams'!$A$4:$A$119,0)),Scoring!$A$4:$N$51,3,FALSE()),0)+IFERROR(VLOOKUP(INDEX(' Toto teams'!$B$4:$B$119,MATCH($B29,' Toto teams'!$A$4:$A$119,0)),Scoring!$A$4:$N$51,4,FALSE()),0)+IFERROR(VLOOKUP(INDEX(' Toto teams'!$B$4:$B$119,MATCH($B29,' Toto teams'!$A$4:$A$119,0)),Scoring!$A$4:$N$51,5,FALSE()),0))+4*(IFERROR(VLOOKUP(INDEX(' Toto teams'!$C$4:$C$119,MATCH($B29,' Toto teams'!$A$4:$A$119,0)),Scoring!$A$4:$N$51,3,FALSE()),0)+IFERROR(VLOOKUP(INDEX(' Toto teams'!$C$4:$C$119,MATCH($B29,' Toto teams'!$A$4:$A$119,0)),Scoring!$A$4:$N$51,4,FALSE()),0)+IFERROR(VLOOKUP(INDEX(' Toto teams'!$C$4:$C$119,MATCH($B29,' Toto teams'!$A$4:$A$119,0)),Scoring!$A$4:$N$51,5,FALSE()),0))+3*(IFERROR(VLOOKUP(INDEX(' Toto teams'!$D$4:$D$119,MATCH($B29,' Toto teams'!$A$4:$A$119,0)),Scoring!$A$4:$N$51,3,FALSE()),0)+IFERROR(VLOOKUP(INDEX(' Toto teams'!$D$4:$D$119,MATCH($B29,' Toto teams'!$A$4:$A$119,0)),Scoring!$A$4:$N$51,4,FALSE()),0)+IFERROR(VLOOKUP(INDEX(' Toto teams'!$D$4:$D$119,MATCH($B29,' Toto teams'!$A$4:$A$119,0)),Scoring!$A$4:$N$51,5,FALSE()),0))+2*(IFERROR(VLOOKUP(INDEX(' Toto teams'!$E$4:$E$119,MATCH($B29,' Toto teams'!$A$4:$A$119,0)),Scoring!$A$4:$N$51,3,FALSE()),0)+IFERROR(VLOOKUP(INDEX(' Toto teams'!$E$4:$E$119,MATCH($B29,' Toto teams'!$A$4:$A$119,0)),Scoring!$A$4:$N$51,4,FALSE()),0)+IFERROR(VLOOKUP(INDEX(' Toto teams'!$E$4:$E$119,MATCH($B29,' Toto teams'!$A$4:$A$119,0)),Scoring!$A$4:$N$51,5,FALSE()),0))+1*(IFERROR(VLOOKUP(INDEX(' Toto teams'!$F$4:$F$119,MATCH($B29,' Toto teams'!$A$4:$A$119,0)),Scoring!$A$4:$N$51,3,FALSE()),0)+IFERROR(VLOOKUP(INDEX(' Toto teams'!$F$4:$F$119,MATCH($B29,' Toto teams'!$A$4:$A$119,0)),Scoring!$A$4:$N$51,4,FALSE()),0)+IFERROR(VLOOKUP(INDEX(' Toto teams'!$F$4:$F$119,MATCH($B29,' Toto teams'!$A$4:$A$119,0)),Scoring!$A$4:$N$51,5,FALSE()),0))+1*(IFERROR(VLOOKUP(INDEX(' Toto teams'!$G$4:$G$119,MATCH($B29,' Toto teams'!$A$4:$A$119,0)),Scoring!$A$4:$N$51,3,FALSE()),0)+IFERROR(VLOOKUP(INDEX(' Toto teams'!$G$4:$G$119,MATCH($B29,' Toto teams'!$A$4:$A$119,0)),Scoring!$A$4:$N$51,4,FALSE()),0)+IFERROR(VLOOKUP(INDEX(' Toto teams'!$G$4:$G$119,MATCH($B29,' Toto teams'!$A$4:$A$119,0)),Scoring!$A$4:$N$51,5,FALSE()),0))+1*(IFERROR(VLOOKUP(INDEX(' Toto teams'!$H$4:$H$119,MATCH($B29,' Toto teams'!$A$4:$A$119,0)),Scoring!$A$4:$N$51,3,FALSE()),0)+IFERROR(VLOOKUP(INDEX(' Toto teams'!$H$4:$H$119,MATCH($B29,' Toto teams'!$A$4:$A$119,0)),Scoring!$A$4:$N$51,4,FALSE()),0)+IFERROR(VLOOKUP(INDEX(' Toto teams'!$H$4:$H$119,MATCH($B29,' Toto teams'!$A$4:$A$119,0)),Scoring!$A$4:$N$51,5,FALSE()),0))+IFERROR(INDEX(' Toto teams'!$Q$4:$Q$119,MATCH($B29,' Toto teams'!$A$4:$A$119,0))*1,0))</f>
        <v/>
      </c>
      <c r="D29" s="28">
        <f>IF($B29="","",6*IFERROR(VLOOKUP(INDEX(' Toto teams'!$B$4:$B$119,MATCH($B29,' Toto teams'!$A$4:$A$119,0)),Scoring!$A$4:$N$51,7,FALSE()),0)+4*IFERROR(VLOOKUP(INDEX(' Toto teams'!$C$4:$C$119,MATCH($B29,' Toto teams'!$A$4:$A$119,0)),Scoring!$A$4:$N$51,7,FALSE()),0)+3*IFERROR(VLOOKUP(INDEX(' Toto teams'!$D$4:$D$119,MATCH($B29,' Toto teams'!$A$4:$A$119,0)),Scoring!$A$4:$N$51,7,FALSE()),0)+2*IFERROR(VLOOKUP(INDEX(' Toto teams'!$E$4:$E$119,MATCH($B29,' Toto teams'!$A$4:$A$119,0)),Scoring!$A$4:$N$51,7,FALSE()),0)+1*IFERROR(VLOOKUP(INDEX(' Toto teams'!$F$4:$F$119,MATCH($B29,' Toto teams'!$A$4:$A$119,0)),Scoring!$A$4:$N$51,7,FALSE()),0)+1*IFERROR(VLOOKUP(INDEX(' Toto teams'!$G$4:$G$119,MATCH($B29,' Toto teams'!$A$4:$A$119,0)),Scoring!$A$4:$N$51,7,FALSE()),0)+1*IFERROR(VLOOKUP(INDEX(' Toto teams'!$H$4:$H$119,MATCH($B29,' Toto teams'!$A$4:$A$119,0)),Scoring!$A$4:$N$51,7,FALSE()),0))</f>
        <v/>
      </c>
      <c r="E29" s="28">
        <f>IF($B29="","",6*IFERROR(VLOOKUP(INDEX(' Toto teams'!$B$4:$B$119,MATCH($B29,' Toto teams'!$A$4:$A$119,0)),Scoring!$A$4:$N$51,8,FALSE()),0)+4*IFERROR(VLOOKUP(INDEX(' Toto teams'!$C$4:$C$119,MATCH($B29,' Toto teams'!$A$4:$A$119,0)),Scoring!$A$4:$N$51,8,FALSE()),0)+3*IFERROR(VLOOKUP(INDEX(' Toto teams'!$D$4:$D$119,MATCH($B29,' Toto teams'!$A$4:$A$119,0)),Scoring!$A$4:$N$51,8,FALSE()),0)+2*IFERROR(VLOOKUP(INDEX(' Toto teams'!$E$4:$E$119,MATCH($B29,' Toto teams'!$A$4:$A$119,0)),Scoring!$A$4:$N$51,8,FALSE()),0)+1*IFERROR(VLOOKUP(INDEX(' Toto teams'!$F$4:$F$119,MATCH($B29,' Toto teams'!$A$4:$A$119,0)),Scoring!$A$4:$N$51,8,FALSE()),0)+1*IFERROR(VLOOKUP(INDEX(' Toto teams'!$G$4:$G$119,MATCH($B29,' Toto teams'!$A$4:$A$119,0)),Scoring!$A$4:$N$51,8,FALSE()),0)+1*IFERROR(VLOOKUP(INDEX(' Toto teams'!$H$4:$H$119,MATCH($B29,' Toto teams'!$A$4:$A$119,0)),Scoring!$A$4:$N$51,8,FALSE()),0))</f>
        <v/>
      </c>
      <c r="F29" s="28">
        <f>IF($B29="","",6*IFERROR(VLOOKUP(INDEX(' Toto teams'!$B$4:$B$119,MATCH($B29,' Toto teams'!$A$4:$A$119,0)),Scoring!$A$4:$N$51,9,FALSE()),0)+4*IFERROR(VLOOKUP(INDEX(' Toto teams'!$C$4:$C$119,MATCH($B29,' Toto teams'!$A$4:$A$119,0)),Scoring!$A$4:$N$51,9,FALSE()),0)+3*IFERROR(VLOOKUP(INDEX(' Toto teams'!$D$4:$D$119,MATCH($B29,' Toto teams'!$A$4:$A$119,0)),Scoring!$A$4:$N$51,9,FALSE()),0)+2*IFERROR(VLOOKUP(INDEX(' Toto teams'!$E$4:$E$119,MATCH($B29,' Toto teams'!$A$4:$A$119,0)),Scoring!$A$4:$N$51,9,FALSE()),0)+1*IFERROR(VLOOKUP(INDEX(' Toto teams'!$F$4:$F$119,MATCH($B29,' Toto teams'!$A$4:$A$119,0)),Scoring!$A$4:$N$51,9,FALSE()),0)+1*IFERROR(VLOOKUP(INDEX(' Toto teams'!$G$4:$G$119,MATCH($B29,' Toto teams'!$A$4:$A$119,0)),Scoring!$A$4:$N$51,9,FALSE()),0)+1*IFERROR(VLOOKUP(INDEX(' Toto teams'!$H$4:$H$119,MATCH($B29,' Toto teams'!$A$4:$A$119,0)),Scoring!$A$4:$N$51,9,FALSE()),0))</f>
        <v/>
      </c>
      <c r="G29" s="28">
        <f>IF($B29="","",6*IFERROR(VLOOKUP(INDEX(' Toto teams'!$B$4:$B$119,MATCH($B29,' Toto teams'!$A$4:$A$119,0)),Scoring!$A$4:$N$51,10,FALSE()),0)+4*IFERROR(VLOOKUP(INDEX(' Toto teams'!$C$4:$C$119,MATCH($B29,' Toto teams'!$A$4:$A$119,0)),Scoring!$A$4:$N$51,10,FALSE()),0)+3*IFERROR(VLOOKUP(INDEX(' Toto teams'!$D$4:$D$119,MATCH($B29,' Toto teams'!$A$4:$A$119,0)),Scoring!$A$4:$N$51,10,FALSE()),0)+2*IFERROR(VLOOKUP(INDEX(' Toto teams'!$E$4:$E$119,MATCH($B29,' Toto teams'!$A$4:$A$119,0)),Scoring!$A$4:$N$51,10,FALSE()),0)+1*IFERROR(VLOOKUP(INDEX(' Toto teams'!$F$4:$F$119,MATCH($B29,' Toto teams'!$A$4:$A$119,0)),Scoring!$A$4:$N$51,10,FALSE()),0)+1*IFERROR(VLOOKUP(INDEX(' Toto teams'!$G$4:$G$119,MATCH($B29,' Toto teams'!$A$4:$A$119,0)),Scoring!$A$4:$N$51,10,FALSE()),0)+1*IFERROR(VLOOKUP(INDEX(' Toto teams'!$H$4:$H$119,MATCH($B29,' Toto teams'!$A$4:$A$119,0)),Scoring!$A$4:$N$51,10,FALSE()),0))</f>
        <v/>
      </c>
      <c r="H29" s="28">
        <f>IF($B29="","",6*IFERROR(VLOOKUP(INDEX(' Toto teams'!$B$4:$B$119,MATCH($B29,' Toto teams'!$A$4:$A$119,0)),Scoring!$A$4:$N$51,11,FALSE()),0)+4*IFERROR(VLOOKUP(INDEX(' Toto teams'!$C$4:$C$119,MATCH($B29,' Toto teams'!$A$4:$A$119,0)),Scoring!$A$4:$N$51,11,FALSE()),0)+3*IFERROR(VLOOKUP(INDEX(' Toto teams'!$D$4:$D$119,MATCH($B29,' Toto teams'!$A$4:$A$119,0)),Scoring!$A$4:$N$51,11,FALSE()),0)+2*IFERROR(VLOOKUP(INDEX(' Toto teams'!$E$4:$E$119,MATCH($B29,' Toto teams'!$A$4:$A$119,0)),Scoring!$A$4:$N$51,11,FALSE()),0)+1*IFERROR(VLOOKUP(INDEX(' Toto teams'!$F$4:$F$119,MATCH($B29,' Toto teams'!$A$4:$A$119,0)),Scoring!$A$4:$N$51,11,FALSE()),0)+1*IFERROR(VLOOKUP(INDEX(' Toto teams'!$G$4:$G$119,MATCH($B29,' Toto teams'!$A$4:$A$119,0)),Scoring!$A$4:$N$51,11,FALSE()),0)+1*IFERROR(VLOOKUP(INDEX(' Toto teams'!$H$4:$H$119,MATCH($B29,' Toto teams'!$A$4:$A$119,0)),Scoring!$A$4:$N$51,11,FALSE()),0))</f>
        <v/>
      </c>
      <c r="I29" s="28">
        <f>IF($B29="","",6*IFERROR(VLOOKUP(INDEX(' Toto teams'!$B$4:$B$119,MATCH($B29,' Toto teams'!$A$4:$A$119,0)),Scoring!$A$4:$O$51,15,FALSE()),0)+4*IFERROR(VLOOKUP(INDEX(' Toto teams'!$C$4:$C$119,MATCH($B29,' Toto teams'!$A$4:$A$119,0)),Scoring!$A$4:$O$51,15,FALSE()),0)+3*IFERROR(VLOOKUP(INDEX(' Toto teams'!$D$4:$D$119,MATCH($B29,' Toto teams'!$A$4:$A$119,0)),Scoring!$A$4:$O$51,15,FALSE()),0)+2*IFERROR(VLOOKUP(INDEX(' Toto teams'!$E$4:$E$119,MATCH($B29,' Toto teams'!$A$4:$A$119,0)),Scoring!$A$4:$O$51,15,FALSE()),0)+1*IFERROR(VLOOKUP(INDEX(' Toto teams'!$F$4:$F$119,MATCH($B29,' Toto teams'!$A$4:$A$119,0)),Scoring!$A$4:$O$51,15,FALSE()),0)+1*IFERROR(VLOOKUP(INDEX(' Toto teams'!$G$4:$G$119,MATCH($B29,' Toto teams'!$A$4:$A$119,0)),Scoring!$A$4:$O$51,15,FALSE()),0)+1*IFERROR(VLOOKUP(INDEX(' Toto teams'!$H$4:$H$119,MATCH($B29,' Toto teams'!$A$4:$A$119,0)),Scoring!$A$4:$O$51,15,FALSE()),0))</f>
        <v/>
      </c>
      <c r="J29" s="28">
        <f>IF($B29="","",6*IFERROR(VLOOKUP(INDEX(' Toto teams'!$B$4:$B$119,MATCH($B29,' Toto teams'!$A$4:$A$119,0)),Scoring!$A$4:$N$51,12,FALSE()),0)+4*IFERROR(VLOOKUP(INDEX(' Toto teams'!$C$4:$C$119,MATCH($B29,' Toto teams'!$A$4:$A$119,0)),Scoring!$A$4:$N$51,12,FALSE()),0)+3*IFERROR(VLOOKUP(INDEX(' Toto teams'!$D$4:$D$119,MATCH($B29,' Toto teams'!$A$4:$A$119,0)),Scoring!$A$4:$N$51,12,FALSE()),0)+2*IFERROR(VLOOKUP(INDEX(' Toto teams'!$E$4:$E$119,MATCH($B29,' Toto teams'!$A$4:$A$119,0)),Scoring!$A$4:$N$51,12,FALSE()),0)+1*IFERROR(VLOOKUP(INDEX(' Toto teams'!$F$4:$F$119,MATCH($B29,' Toto teams'!$A$4:$A$119,0)),Scoring!$A$4:$N$51,12,FALSE()),0)+1*IFERROR(VLOOKUP(INDEX(' Toto teams'!$G$4:$G$119,MATCH($B29,' Toto teams'!$A$4:$A$119,0)),Scoring!$A$4:$N$51,12,FALSE()),0)+1*IFERROR(VLOOKUP(INDEX(' Toto teams'!$H$4:$H$119,MATCH($B29,' Toto teams'!$A$4:$A$119,0)),Scoring!$A$4:$N$51,12,FALSE()),0))</f>
        <v/>
      </c>
      <c r="K29" s="29">
        <f>IF($B29="","",IFERROR(INDEX(' Toto teams'!$R$4:$R$119,MATCH($B29,' Toto teams'!$A$4:$A$119,0)),""))</f>
        <v/>
      </c>
      <c r="L29" s="30">
        <f>IFERROR(IF(B29="","",VLOOKUP(A29,$N$4:$R$12,5,FALSE())),0)</f>
        <v/>
      </c>
    </row>
    <row r="30" ht="12.75" customHeight="1">
      <c r="A30" s="26">
        <f>IF(27&gt;COUNTIF(' Toto teams'!$A$4:$A$119,"&lt;&gt;"),"",INDEX(' Toto teams'!$S$4:$S$119,MATCH(LARGE(' Toto teams'!$T$4:$T$119,27),' Toto teams'!$T$4:$T$119,0)))</f>
        <v/>
      </c>
      <c r="B30" s="27">
        <f>IF(27&gt;COUNTIF(' Toto teams'!$A$4:$A$119,"&lt;&gt;"),"",INDEX(' Toto teams'!$A$4:$A$119,MATCH(LARGE(' Toto teams'!$T$4:$T$119,27),' Toto teams'!$T$4:$T$119,0)))</f>
        <v/>
      </c>
      <c r="C30" s="28">
        <f>IF($B30="","",6*(IFERROR(VLOOKUP(INDEX(' Toto teams'!$B$4:$B$119,MATCH($B30,' Toto teams'!$A$4:$A$119,0)),Scoring!$A$4:$N$51,3,FALSE()),0)+IFERROR(VLOOKUP(INDEX(' Toto teams'!$B$4:$B$119,MATCH($B30,' Toto teams'!$A$4:$A$119,0)),Scoring!$A$4:$N$51,4,FALSE()),0)+IFERROR(VLOOKUP(INDEX(' Toto teams'!$B$4:$B$119,MATCH($B30,' Toto teams'!$A$4:$A$119,0)),Scoring!$A$4:$N$51,5,FALSE()),0))+4*(IFERROR(VLOOKUP(INDEX(' Toto teams'!$C$4:$C$119,MATCH($B30,' Toto teams'!$A$4:$A$119,0)),Scoring!$A$4:$N$51,3,FALSE()),0)+IFERROR(VLOOKUP(INDEX(' Toto teams'!$C$4:$C$119,MATCH($B30,' Toto teams'!$A$4:$A$119,0)),Scoring!$A$4:$N$51,4,FALSE()),0)+IFERROR(VLOOKUP(INDEX(' Toto teams'!$C$4:$C$119,MATCH($B30,' Toto teams'!$A$4:$A$119,0)),Scoring!$A$4:$N$51,5,FALSE()),0))+3*(IFERROR(VLOOKUP(INDEX(' Toto teams'!$D$4:$D$119,MATCH($B30,' Toto teams'!$A$4:$A$119,0)),Scoring!$A$4:$N$51,3,FALSE()),0)+IFERROR(VLOOKUP(INDEX(' Toto teams'!$D$4:$D$119,MATCH($B30,' Toto teams'!$A$4:$A$119,0)),Scoring!$A$4:$N$51,4,FALSE()),0)+IFERROR(VLOOKUP(INDEX(' Toto teams'!$D$4:$D$119,MATCH($B30,' Toto teams'!$A$4:$A$119,0)),Scoring!$A$4:$N$51,5,FALSE()),0))+2*(IFERROR(VLOOKUP(INDEX(' Toto teams'!$E$4:$E$119,MATCH($B30,' Toto teams'!$A$4:$A$119,0)),Scoring!$A$4:$N$51,3,FALSE()),0)+IFERROR(VLOOKUP(INDEX(' Toto teams'!$E$4:$E$119,MATCH($B30,' Toto teams'!$A$4:$A$119,0)),Scoring!$A$4:$N$51,4,FALSE()),0)+IFERROR(VLOOKUP(INDEX(' Toto teams'!$E$4:$E$119,MATCH($B30,' Toto teams'!$A$4:$A$119,0)),Scoring!$A$4:$N$51,5,FALSE()),0))+1*(IFERROR(VLOOKUP(INDEX(' Toto teams'!$F$4:$F$119,MATCH($B30,' Toto teams'!$A$4:$A$119,0)),Scoring!$A$4:$N$51,3,FALSE()),0)+IFERROR(VLOOKUP(INDEX(' Toto teams'!$F$4:$F$119,MATCH($B30,' Toto teams'!$A$4:$A$119,0)),Scoring!$A$4:$N$51,4,FALSE()),0)+IFERROR(VLOOKUP(INDEX(' Toto teams'!$F$4:$F$119,MATCH($B30,' Toto teams'!$A$4:$A$119,0)),Scoring!$A$4:$N$51,5,FALSE()),0))+1*(IFERROR(VLOOKUP(INDEX(' Toto teams'!$G$4:$G$119,MATCH($B30,' Toto teams'!$A$4:$A$119,0)),Scoring!$A$4:$N$51,3,FALSE()),0)+IFERROR(VLOOKUP(INDEX(' Toto teams'!$G$4:$G$119,MATCH($B30,' Toto teams'!$A$4:$A$119,0)),Scoring!$A$4:$N$51,4,FALSE()),0)+IFERROR(VLOOKUP(INDEX(' Toto teams'!$G$4:$G$119,MATCH($B30,' Toto teams'!$A$4:$A$119,0)),Scoring!$A$4:$N$51,5,FALSE()),0))+1*(IFERROR(VLOOKUP(INDEX(' Toto teams'!$H$4:$H$119,MATCH($B30,' Toto teams'!$A$4:$A$119,0)),Scoring!$A$4:$N$51,3,FALSE()),0)+IFERROR(VLOOKUP(INDEX(' Toto teams'!$H$4:$H$119,MATCH($B30,' Toto teams'!$A$4:$A$119,0)),Scoring!$A$4:$N$51,4,FALSE()),0)+IFERROR(VLOOKUP(INDEX(' Toto teams'!$H$4:$H$119,MATCH($B30,' Toto teams'!$A$4:$A$119,0)),Scoring!$A$4:$N$51,5,FALSE()),0))+IFERROR(INDEX(' Toto teams'!$Q$4:$Q$119,MATCH($B30,' Toto teams'!$A$4:$A$119,0))*1,0))</f>
        <v/>
      </c>
      <c r="D30" s="28">
        <f>IF($B30="","",6*IFERROR(VLOOKUP(INDEX(' Toto teams'!$B$4:$B$119,MATCH($B30,' Toto teams'!$A$4:$A$119,0)),Scoring!$A$4:$N$51,7,FALSE()),0)+4*IFERROR(VLOOKUP(INDEX(' Toto teams'!$C$4:$C$119,MATCH($B30,' Toto teams'!$A$4:$A$119,0)),Scoring!$A$4:$N$51,7,FALSE()),0)+3*IFERROR(VLOOKUP(INDEX(' Toto teams'!$D$4:$D$119,MATCH($B30,' Toto teams'!$A$4:$A$119,0)),Scoring!$A$4:$N$51,7,FALSE()),0)+2*IFERROR(VLOOKUP(INDEX(' Toto teams'!$E$4:$E$119,MATCH($B30,' Toto teams'!$A$4:$A$119,0)),Scoring!$A$4:$N$51,7,FALSE()),0)+1*IFERROR(VLOOKUP(INDEX(' Toto teams'!$F$4:$F$119,MATCH($B30,' Toto teams'!$A$4:$A$119,0)),Scoring!$A$4:$N$51,7,FALSE()),0)+1*IFERROR(VLOOKUP(INDEX(' Toto teams'!$G$4:$G$119,MATCH($B30,' Toto teams'!$A$4:$A$119,0)),Scoring!$A$4:$N$51,7,FALSE()),0)+1*IFERROR(VLOOKUP(INDEX(' Toto teams'!$H$4:$H$119,MATCH($B30,' Toto teams'!$A$4:$A$119,0)),Scoring!$A$4:$N$51,7,FALSE()),0))</f>
        <v/>
      </c>
      <c r="E30" s="28">
        <f>IF($B30="","",6*IFERROR(VLOOKUP(INDEX(' Toto teams'!$B$4:$B$119,MATCH($B30,' Toto teams'!$A$4:$A$119,0)),Scoring!$A$4:$N$51,8,FALSE()),0)+4*IFERROR(VLOOKUP(INDEX(' Toto teams'!$C$4:$C$119,MATCH($B30,' Toto teams'!$A$4:$A$119,0)),Scoring!$A$4:$N$51,8,FALSE()),0)+3*IFERROR(VLOOKUP(INDEX(' Toto teams'!$D$4:$D$119,MATCH($B30,' Toto teams'!$A$4:$A$119,0)),Scoring!$A$4:$N$51,8,FALSE()),0)+2*IFERROR(VLOOKUP(INDEX(' Toto teams'!$E$4:$E$119,MATCH($B30,' Toto teams'!$A$4:$A$119,0)),Scoring!$A$4:$N$51,8,FALSE()),0)+1*IFERROR(VLOOKUP(INDEX(' Toto teams'!$F$4:$F$119,MATCH($B30,' Toto teams'!$A$4:$A$119,0)),Scoring!$A$4:$N$51,8,FALSE()),0)+1*IFERROR(VLOOKUP(INDEX(' Toto teams'!$G$4:$G$119,MATCH($B30,' Toto teams'!$A$4:$A$119,0)),Scoring!$A$4:$N$51,8,FALSE()),0)+1*IFERROR(VLOOKUP(INDEX(' Toto teams'!$H$4:$H$119,MATCH($B30,' Toto teams'!$A$4:$A$119,0)),Scoring!$A$4:$N$51,8,FALSE()),0))</f>
        <v/>
      </c>
      <c r="F30" s="28">
        <f>IF($B30="","",6*IFERROR(VLOOKUP(INDEX(' Toto teams'!$B$4:$B$119,MATCH($B30,' Toto teams'!$A$4:$A$119,0)),Scoring!$A$4:$N$51,9,FALSE()),0)+4*IFERROR(VLOOKUP(INDEX(' Toto teams'!$C$4:$C$119,MATCH($B30,' Toto teams'!$A$4:$A$119,0)),Scoring!$A$4:$N$51,9,FALSE()),0)+3*IFERROR(VLOOKUP(INDEX(' Toto teams'!$D$4:$D$119,MATCH($B30,' Toto teams'!$A$4:$A$119,0)),Scoring!$A$4:$N$51,9,FALSE()),0)+2*IFERROR(VLOOKUP(INDEX(' Toto teams'!$E$4:$E$119,MATCH($B30,' Toto teams'!$A$4:$A$119,0)),Scoring!$A$4:$N$51,9,FALSE()),0)+1*IFERROR(VLOOKUP(INDEX(' Toto teams'!$F$4:$F$119,MATCH($B30,' Toto teams'!$A$4:$A$119,0)),Scoring!$A$4:$N$51,9,FALSE()),0)+1*IFERROR(VLOOKUP(INDEX(' Toto teams'!$G$4:$G$119,MATCH($B30,' Toto teams'!$A$4:$A$119,0)),Scoring!$A$4:$N$51,9,FALSE()),0)+1*IFERROR(VLOOKUP(INDEX(' Toto teams'!$H$4:$H$119,MATCH($B30,' Toto teams'!$A$4:$A$119,0)),Scoring!$A$4:$N$51,9,FALSE()),0))</f>
        <v/>
      </c>
      <c r="G30" s="28">
        <f>IF($B30="","",6*IFERROR(VLOOKUP(INDEX(' Toto teams'!$B$4:$B$119,MATCH($B30,' Toto teams'!$A$4:$A$119,0)),Scoring!$A$4:$N$51,10,FALSE()),0)+4*IFERROR(VLOOKUP(INDEX(' Toto teams'!$C$4:$C$119,MATCH($B30,' Toto teams'!$A$4:$A$119,0)),Scoring!$A$4:$N$51,10,FALSE()),0)+3*IFERROR(VLOOKUP(INDEX(' Toto teams'!$D$4:$D$119,MATCH($B30,' Toto teams'!$A$4:$A$119,0)),Scoring!$A$4:$N$51,10,FALSE()),0)+2*IFERROR(VLOOKUP(INDEX(' Toto teams'!$E$4:$E$119,MATCH($B30,' Toto teams'!$A$4:$A$119,0)),Scoring!$A$4:$N$51,10,FALSE()),0)+1*IFERROR(VLOOKUP(INDEX(' Toto teams'!$F$4:$F$119,MATCH($B30,' Toto teams'!$A$4:$A$119,0)),Scoring!$A$4:$N$51,10,FALSE()),0)+1*IFERROR(VLOOKUP(INDEX(' Toto teams'!$G$4:$G$119,MATCH($B30,' Toto teams'!$A$4:$A$119,0)),Scoring!$A$4:$N$51,10,FALSE()),0)+1*IFERROR(VLOOKUP(INDEX(' Toto teams'!$H$4:$H$119,MATCH($B30,' Toto teams'!$A$4:$A$119,0)),Scoring!$A$4:$N$51,10,FALSE()),0))</f>
        <v/>
      </c>
      <c r="H30" s="28">
        <f>IF($B30="","",6*IFERROR(VLOOKUP(INDEX(' Toto teams'!$B$4:$B$119,MATCH($B30,' Toto teams'!$A$4:$A$119,0)),Scoring!$A$4:$N$51,11,FALSE()),0)+4*IFERROR(VLOOKUP(INDEX(' Toto teams'!$C$4:$C$119,MATCH($B30,' Toto teams'!$A$4:$A$119,0)),Scoring!$A$4:$N$51,11,FALSE()),0)+3*IFERROR(VLOOKUP(INDEX(' Toto teams'!$D$4:$D$119,MATCH($B30,' Toto teams'!$A$4:$A$119,0)),Scoring!$A$4:$N$51,11,FALSE()),0)+2*IFERROR(VLOOKUP(INDEX(' Toto teams'!$E$4:$E$119,MATCH($B30,' Toto teams'!$A$4:$A$119,0)),Scoring!$A$4:$N$51,11,FALSE()),0)+1*IFERROR(VLOOKUP(INDEX(' Toto teams'!$F$4:$F$119,MATCH($B30,' Toto teams'!$A$4:$A$119,0)),Scoring!$A$4:$N$51,11,FALSE()),0)+1*IFERROR(VLOOKUP(INDEX(' Toto teams'!$G$4:$G$119,MATCH($B30,' Toto teams'!$A$4:$A$119,0)),Scoring!$A$4:$N$51,11,FALSE()),0)+1*IFERROR(VLOOKUP(INDEX(' Toto teams'!$H$4:$H$119,MATCH($B30,' Toto teams'!$A$4:$A$119,0)),Scoring!$A$4:$N$51,11,FALSE()),0))</f>
        <v/>
      </c>
      <c r="I30" s="28">
        <f>IF($B30="","",6*IFERROR(VLOOKUP(INDEX(' Toto teams'!$B$4:$B$119,MATCH($B30,' Toto teams'!$A$4:$A$119,0)),Scoring!$A$4:$O$51,15,FALSE()),0)+4*IFERROR(VLOOKUP(INDEX(' Toto teams'!$C$4:$C$119,MATCH($B30,' Toto teams'!$A$4:$A$119,0)),Scoring!$A$4:$O$51,15,FALSE()),0)+3*IFERROR(VLOOKUP(INDEX(' Toto teams'!$D$4:$D$119,MATCH($B30,' Toto teams'!$A$4:$A$119,0)),Scoring!$A$4:$O$51,15,FALSE()),0)+2*IFERROR(VLOOKUP(INDEX(' Toto teams'!$E$4:$E$119,MATCH($B30,' Toto teams'!$A$4:$A$119,0)),Scoring!$A$4:$O$51,15,FALSE()),0)+1*IFERROR(VLOOKUP(INDEX(' Toto teams'!$F$4:$F$119,MATCH($B30,' Toto teams'!$A$4:$A$119,0)),Scoring!$A$4:$O$51,15,FALSE()),0)+1*IFERROR(VLOOKUP(INDEX(' Toto teams'!$G$4:$G$119,MATCH($B30,' Toto teams'!$A$4:$A$119,0)),Scoring!$A$4:$O$51,15,FALSE()),0)+1*IFERROR(VLOOKUP(INDEX(' Toto teams'!$H$4:$H$119,MATCH($B30,' Toto teams'!$A$4:$A$119,0)),Scoring!$A$4:$O$51,15,FALSE()),0))</f>
        <v/>
      </c>
      <c r="J30" s="28">
        <f>IF($B30="","",6*IFERROR(VLOOKUP(INDEX(' Toto teams'!$B$4:$B$119,MATCH($B30,' Toto teams'!$A$4:$A$119,0)),Scoring!$A$4:$N$51,12,FALSE()),0)+4*IFERROR(VLOOKUP(INDEX(' Toto teams'!$C$4:$C$119,MATCH($B30,' Toto teams'!$A$4:$A$119,0)),Scoring!$A$4:$N$51,12,FALSE()),0)+3*IFERROR(VLOOKUP(INDEX(' Toto teams'!$D$4:$D$119,MATCH($B30,' Toto teams'!$A$4:$A$119,0)),Scoring!$A$4:$N$51,12,FALSE()),0)+2*IFERROR(VLOOKUP(INDEX(' Toto teams'!$E$4:$E$119,MATCH($B30,' Toto teams'!$A$4:$A$119,0)),Scoring!$A$4:$N$51,12,FALSE()),0)+1*IFERROR(VLOOKUP(INDEX(' Toto teams'!$F$4:$F$119,MATCH($B30,' Toto teams'!$A$4:$A$119,0)),Scoring!$A$4:$N$51,12,FALSE()),0)+1*IFERROR(VLOOKUP(INDEX(' Toto teams'!$G$4:$G$119,MATCH($B30,' Toto teams'!$A$4:$A$119,0)),Scoring!$A$4:$N$51,12,FALSE()),0)+1*IFERROR(VLOOKUP(INDEX(' Toto teams'!$H$4:$H$119,MATCH($B30,' Toto teams'!$A$4:$A$119,0)),Scoring!$A$4:$N$51,12,FALSE()),0))</f>
        <v/>
      </c>
      <c r="K30" s="29">
        <f>IF($B30="","",IFERROR(INDEX(' Toto teams'!$R$4:$R$119,MATCH($B30,' Toto teams'!$A$4:$A$119,0)),""))</f>
        <v/>
      </c>
      <c r="L30" s="30">
        <f>IFERROR(IF(B30="","",VLOOKUP(A30,$N$4:$R$12,5,FALSE())),0)</f>
        <v/>
      </c>
    </row>
    <row r="31" ht="12.75" customHeight="1">
      <c r="A31" s="26">
        <f>IF(28&gt;COUNTIF(' Toto teams'!$A$4:$A$119,"&lt;&gt;"),"",INDEX(' Toto teams'!$S$4:$S$119,MATCH(LARGE(' Toto teams'!$T$4:$T$119,28),' Toto teams'!$T$4:$T$119,0)))</f>
        <v/>
      </c>
      <c r="B31" s="27">
        <f>IF(28&gt;COUNTIF(' Toto teams'!$A$4:$A$119,"&lt;&gt;"),"",INDEX(' Toto teams'!$A$4:$A$119,MATCH(LARGE(' Toto teams'!$T$4:$T$119,28),' Toto teams'!$T$4:$T$119,0)))</f>
        <v/>
      </c>
      <c r="C31" s="28">
        <f>IF($B31="","",6*(IFERROR(VLOOKUP(INDEX(' Toto teams'!$B$4:$B$119,MATCH($B31,' Toto teams'!$A$4:$A$119,0)),Scoring!$A$4:$N$51,3,FALSE()),0)+IFERROR(VLOOKUP(INDEX(' Toto teams'!$B$4:$B$119,MATCH($B31,' Toto teams'!$A$4:$A$119,0)),Scoring!$A$4:$N$51,4,FALSE()),0)+IFERROR(VLOOKUP(INDEX(' Toto teams'!$B$4:$B$119,MATCH($B31,' Toto teams'!$A$4:$A$119,0)),Scoring!$A$4:$N$51,5,FALSE()),0))+4*(IFERROR(VLOOKUP(INDEX(' Toto teams'!$C$4:$C$119,MATCH($B31,' Toto teams'!$A$4:$A$119,0)),Scoring!$A$4:$N$51,3,FALSE()),0)+IFERROR(VLOOKUP(INDEX(' Toto teams'!$C$4:$C$119,MATCH($B31,' Toto teams'!$A$4:$A$119,0)),Scoring!$A$4:$N$51,4,FALSE()),0)+IFERROR(VLOOKUP(INDEX(' Toto teams'!$C$4:$C$119,MATCH($B31,' Toto teams'!$A$4:$A$119,0)),Scoring!$A$4:$N$51,5,FALSE()),0))+3*(IFERROR(VLOOKUP(INDEX(' Toto teams'!$D$4:$D$119,MATCH($B31,' Toto teams'!$A$4:$A$119,0)),Scoring!$A$4:$N$51,3,FALSE()),0)+IFERROR(VLOOKUP(INDEX(' Toto teams'!$D$4:$D$119,MATCH($B31,' Toto teams'!$A$4:$A$119,0)),Scoring!$A$4:$N$51,4,FALSE()),0)+IFERROR(VLOOKUP(INDEX(' Toto teams'!$D$4:$D$119,MATCH($B31,' Toto teams'!$A$4:$A$119,0)),Scoring!$A$4:$N$51,5,FALSE()),0))+2*(IFERROR(VLOOKUP(INDEX(' Toto teams'!$E$4:$E$119,MATCH($B31,' Toto teams'!$A$4:$A$119,0)),Scoring!$A$4:$N$51,3,FALSE()),0)+IFERROR(VLOOKUP(INDEX(' Toto teams'!$E$4:$E$119,MATCH($B31,' Toto teams'!$A$4:$A$119,0)),Scoring!$A$4:$N$51,4,FALSE()),0)+IFERROR(VLOOKUP(INDEX(' Toto teams'!$E$4:$E$119,MATCH($B31,' Toto teams'!$A$4:$A$119,0)),Scoring!$A$4:$N$51,5,FALSE()),0))+1*(IFERROR(VLOOKUP(INDEX(' Toto teams'!$F$4:$F$119,MATCH($B31,' Toto teams'!$A$4:$A$119,0)),Scoring!$A$4:$N$51,3,FALSE()),0)+IFERROR(VLOOKUP(INDEX(' Toto teams'!$F$4:$F$119,MATCH($B31,' Toto teams'!$A$4:$A$119,0)),Scoring!$A$4:$N$51,4,FALSE()),0)+IFERROR(VLOOKUP(INDEX(' Toto teams'!$F$4:$F$119,MATCH($B31,' Toto teams'!$A$4:$A$119,0)),Scoring!$A$4:$N$51,5,FALSE()),0))+1*(IFERROR(VLOOKUP(INDEX(' Toto teams'!$G$4:$G$119,MATCH($B31,' Toto teams'!$A$4:$A$119,0)),Scoring!$A$4:$N$51,3,FALSE()),0)+IFERROR(VLOOKUP(INDEX(' Toto teams'!$G$4:$G$119,MATCH($B31,' Toto teams'!$A$4:$A$119,0)),Scoring!$A$4:$N$51,4,FALSE()),0)+IFERROR(VLOOKUP(INDEX(' Toto teams'!$G$4:$G$119,MATCH($B31,' Toto teams'!$A$4:$A$119,0)),Scoring!$A$4:$N$51,5,FALSE()),0))+1*(IFERROR(VLOOKUP(INDEX(' Toto teams'!$H$4:$H$119,MATCH($B31,' Toto teams'!$A$4:$A$119,0)),Scoring!$A$4:$N$51,3,FALSE()),0)+IFERROR(VLOOKUP(INDEX(' Toto teams'!$H$4:$H$119,MATCH($B31,' Toto teams'!$A$4:$A$119,0)),Scoring!$A$4:$N$51,4,FALSE()),0)+IFERROR(VLOOKUP(INDEX(' Toto teams'!$H$4:$H$119,MATCH($B31,' Toto teams'!$A$4:$A$119,0)),Scoring!$A$4:$N$51,5,FALSE()),0))+IFERROR(INDEX(' Toto teams'!$Q$4:$Q$119,MATCH($B31,' Toto teams'!$A$4:$A$119,0))*1,0))</f>
        <v/>
      </c>
      <c r="D31" s="28">
        <f>IF($B31="","",6*IFERROR(VLOOKUP(INDEX(' Toto teams'!$B$4:$B$119,MATCH($B31,' Toto teams'!$A$4:$A$119,0)),Scoring!$A$4:$N$51,7,FALSE()),0)+4*IFERROR(VLOOKUP(INDEX(' Toto teams'!$C$4:$C$119,MATCH($B31,' Toto teams'!$A$4:$A$119,0)),Scoring!$A$4:$N$51,7,FALSE()),0)+3*IFERROR(VLOOKUP(INDEX(' Toto teams'!$D$4:$D$119,MATCH($B31,' Toto teams'!$A$4:$A$119,0)),Scoring!$A$4:$N$51,7,FALSE()),0)+2*IFERROR(VLOOKUP(INDEX(' Toto teams'!$E$4:$E$119,MATCH($B31,' Toto teams'!$A$4:$A$119,0)),Scoring!$A$4:$N$51,7,FALSE()),0)+1*IFERROR(VLOOKUP(INDEX(' Toto teams'!$F$4:$F$119,MATCH($B31,' Toto teams'!$A$4:$A$119,0)),Scoring!$A$4:$N$51,7,FALSE()),0)+1*IFERROR(VLOOKUP(INDEX(' Toto teams'!$G$4:$G$119,MATCH($B31,' Toto teams'!$A$4:$A$119,0)),Scoring!$A$4:$N$51,7,FALSE()),0)+1*IFERROR(VLOOKUP(INDEX(' Toto teams'!$H$4:$H$119,MATCH($B31,' Toto teams'!$A$4:$A$119,0)),Scoring!$A$4:$N$51,7,FALSE()),0))</f>
        <v/>
      </c>
      <c r="E31" s="28">
        <f>IF($B31="","",6*IFERROR(VLOOKUP(INDEX(' Toto teams'!$B$4:$B$119,MATCH($B31,' Toto teams'!$A$4:$A$119,0)),Scoring!$A$4:$N$51,8,FALSE()),0)+4*IFERROR(VLOOKUP(INDEX(' Toto teams'!$C$4:$C$119,MATCH($B31,' Toto teams'!$A$4:$A$119,0)),Scoring!$A$4:$N$51,8,FALSE()),0)+3*IFERROR(VLOOKUP(INDEX(' Toto teams'!$D$4:$D$119,MATCH($B31,' Toto teams'!$A$4:$A$119,0)),Scoring!$A$4:$N$51,8,FALSE()),0)+2*IFERROR(VLOOKUP(INDEX(' Toto teams'!$E$4:$E$119,MATCH($B31,' Toto teams'!$A$4:$A$119,0)),Scoring!$A$4:$N$51,8,FALSE()),0)+1*IFERROR(VLOOKUP(INDEX(' Toto teams'!$F$4:$F$119,MATCH($B31,' Toto teams'!$A$4:$A$119,0)),Scoring!$A$4:$N$51,8,FALSE()),0)+1*IFERROR(VLOOKUP(INDEX(' Toto teams'!$G$4:$G$119,MATCH($B31,' Toto teams'!$A$4:$A$119,0)),Scoring!$A$4:$N$51,8,FALSE()),0)+1*IFERROR(VLOOKUP(INDEX(' Toto teams'!$H$4:$H$119,MATCH($B31,' Toto teams'!$A$4:$A$119,0)),Scoring!$A$4:$N$51,8,FALSE()),0))</f>
        <v/>
      </c>
      <c r="F31" s="28">
        <f>IF($B31="","",6*IFERROR(VLOOKUP(INDEX(' Toto teams'!$B$4:$B$119,MATCH($B31,' Toto teams'!$A$4:$A$119,0)),Scoring!$A$4:$N$51,9,FALSE()),0)+4*IFERROR(VLOOKUP(INDEX(' Toto teams'!$C$4:$C$119,MATCH($B31,' Toto teams'!$A$4:$A$119,0)),Scoring!$A$4:$N$51,9,FALSE()),0)+3*IFERROR(VLOOKUP(INDEX(' Toto teams'!$D$4:$D$119,MATCH($B31,' Toto teams'!$A$4:$A$119,0)),Scoring!$A$4:$N$51,9,FALSE()),0)+2*IFERROR(VLOOKUP(INDEX(' Toto teams'!$E$4:$E$119,MATCH($B31,' Toto teams'!$A$4:$A$119,0)),Scoring!$A$4:$N$51,9,FALSE()),0)+1*IFERROR(VLOOKUP(INDEX(' Toto teams'!$F$4:$F$119,MATCH($B31,' Toto teams'!$A$4:$A$119,0)),Scoring!$A$4:$N$51,9,FALSE()),0)+1*IFERROR(VLOOKUP(INDEX(' Toto teams'!$G$4:$G$119,MATCH($B31,' Toto teams'!$A$4:$A$119,0)),Scoring!$A$4:$N$51,9,FALSE()),0)+1*IFERROR(VLOOKUP(INDEX(' Toto teams'!$H$4:$H$119,MATCH($B31,' Toto teams'!$A$4:$A$119,0)),Scoring!$A$4:$N$51,9,FALSE()),0))</f>
        <v/>
      </c>
      <c r="G31" s="28">
        <f>IF($B31="","",6*IFERROR(VLOOKUP(INDEX(' Toto teams'!$B$4:$B$119,MATCH($B31,' Toto teams'!$A$4:$A$119,0)),Scoring!$A$4:$N$51,10,FALSE()),0)+4*IFERROR(VLOOKUP(INDEX(' Toto teams'!$C$4:$C$119,MATCH($B31,' Toto teams'!$A$4:$A$119,0)),Scoring!$A$4:$N$51,10,FALSE()),0)+3*IFERROR(VLOOKUP(INDEX(' Toto teams'!$D$4:$D$119,MATCH($B31,' Toto teams'!$A$4:$A$119,0)),Scoring!$A$4:$N$51,10,FALSE()),0)+2*IFERROR(VLOOKUP(INDEX(' Toto teams'!$E$4:$E$119,MATCH($B31,' Toto teams'!$A$4:$A$119,0)),Scoring!$A$4:$N$51,10,FALSE()),0)+1*IFERROR(VLOOKUP(INDEX(' Toto teams'!$F$4:$F$119,MATCH($B31,' Toto teams'!$A$4:$A$119,0)),Scoring!$A$4:$N$51,10,FALSE()),0)+1*IFERROR(VLOOKUP(INDEX(' Toto teams'!$G$4:$G$119,MATCH($B31,' Toto teams'!$A$4:$A$119,0)),Scoring!$A$4:$N$51,10,FALSE()),0)+1*IFERROR(VLOOKUP(INDEX(' Toto teams'!$H$4:$H$119,MATCH($B31,' Toto teams'!$A$4:$A$119,0)),Scoring!$A$4:$N$51,10,FALSE()),0))</f>
        <v/>
      </c>
      <c r="H31" s="28">
        <f>IF($B31="","",6*IFERROR(VLOOKUP(INDEX(' Toto teams'!$B$4:$B$119,MATCH($B31,' Toto teams'!$A$4:$A$119,0)),Scoring!$A$4:$N$51,11,FALSE()),0)+4*IFERROR(VLOOKUP(INDEX(' Toto teams'!$C$4:$C$119,MATCH($B31,' Toto teams'!$A$4:$A$119,0)),Scoring!$A$4:$N$51,11,FALSE()),0)+3*IFERROR(VLOOKUP(INDEX(' Toto teams'!$D$4:$D$119,MATCH($B31,' Toto teams'!$A$4:$A$119,0)),Scoring!$A$4:$N$51,11,FALSE()),0)+2*IFERROR(VLOOKUP(INDEX(' Toto teams'!$E$4:$E$119,MATCH($B31,' Toto teams'!$A$4:$A$119,0)),Scoring!$A$4:$N$51,11,FALSE()),0)+1*IFERROR(VLOOKUP(INDEX(' Toto teams'!$F$4:$F$119,MATCH($B31,' Toto teams'!$A$4:$A$119,0)),Scoring!$A$4:$N$51,11,FALSE()),0)+1*IFERROR(VLOOKUP(INDEX(' Toto teams'!$G$4:$G$119,MATCH($B31,' Toto teams'!$A$4:$A$119,0)),Scoring!$A$4:$N$51,11,FALSE()),0)+1*IFERROR(VLOOKUP(INDEX(' Toto teams'!$H$4:$H$119,MATCH($B31,' Toto teams'!$A$4:$A$119,0)),Scoring!$A$4:$N$51,11,FALSE()),0))</f>
        <v/>
      </c>
      <c r="I31" s="28">
        <f>IF($B31="","",6*IFERROR(VLOOKUP(INDEX(' Toto teams'!$B$4:$B$119,MATCH($B31,' Toto teams'!$A$4:$A$119,0)),Scoring!$A$4:$O$51,15,FALSE()),0)+4*IFERROR(VLOOKUP(INDEX(' Toto teams'!$C$4:$C$119,MATCH($B31,' Toto teams'!$A$4:$A$119,0)),Scoring!$A$4:$O$51,15,FALSE()),0)+3*IFERROR(VLOOKUP(INDEX(' Toto teams'!$D$4:$D$119,MATCH($B31,' Toto teams'!$A$4:$A$119,0)),Scoring!$A$4:$O$51,15,FALSE()),0)+2*IFERROR(VLOOKUP(INDEX(' Toto teams'!$E$4:$E$119,MATCH($B31,' Toto teams'!$A$4:$A$119,0)),Scoring!$A$4:$O$51,15,FALSE()),0)+1*IFERROR(VLOOKUP(INDEX(' Toto teams'!$F$4:$F$119,MATCH($B31,' Toto teams'!$A$4:$A$119,0)),Scoring!$A$4:$O$51,15,FALSE()),0)+1*IFERROR(VLOOKUP(INDEX(' Toto teams'!$G$4:$G$119,MATCH($B31,' Toto teams'!$A$4:$A$119,0)),Scoring!$A$4:$O$51,15,FALSE()),0)+1*IFERROR(VLOOKUP(INDEX(' Toto teams'!$H$4:$H$119,MATCH($B31,' Toto teams'!$A$4:$A$119,0)),Scoring!$A$4:$O$51,15,FALSE()),0))</f>
        <v/>
      </c>
      <c r="J31" s="28">
        <f>IF($B31="","",6*IFERROR(VLOOKUP(INDEX(' Toto teams'!$B$4:$B$119,MATCH($B31,' Toto teams'!$A$4:$A$119,0)),Scoring!$A$4:$N$51,12,FALSE()),0)+4*IFERROR(VLOOKUP(INDEX(' Toto teams'!$C$4:$C$119,MATCH($B31,' Toto teams'!$A$4:$A$119,0)),Scoring!$A$4:$N$51,12,FALSE()),0)+3*IFERROR(VLOOKUP(INDEX(' Toto teams'!$D$4:$D$119,MATCH($B31,' Toto teams'!$A$4:$A$119,0)),Scoring!$A$4:$N$51,12,FALSE()),0)+2*IFERROR(VLOOKUP(INDEX(' Toto teams'!$E$4:$E$119,MATCH($B31,' Toto teams'!$A$4:$A$119,0)),Scoring!$A$4:$N$51,12,FALSE()),0)+1*IFERROR(VLOOKUP(INDEX(' Toto teams'!$F$4:$F$119,MATCH($B31,' Toto teams'!$A$4:$A$119,0)),Scoring!$A$4:$N$51,12,FALSE()),0)+1*IFERROR(VLOOKUP(INDEX(' Toto teams'!$G$4:$G$119,MATCH($B31,' Toto teams'!$A$4:$A$119,0)),Scoring!$A$4:$N$51,12,FALSE()),0)+1*IFERROR(VLOOKUP(INDEX(' Toto teams'!$H$4:$H$119,MATCH($B31,' Toto teams'!$A$4:$A$119,0)),Scoring!$A$4:$N$51,12,FALSE()),0))</f>
        <v/>
      </c>
      <c r="K31" s="29">
        <f>IF($B31="","",IFERROR(INDEX(' Toto teams'!$R$4:$R$119,MATCH($B31,' Toto teams'!$A$4:$A$119,0)),""))</f>
        <v/>
      </c>
      <c r="L31" s="30">
        <f>IFERROR(IF(B31="","",VLOOKUP(A31,$N$4:$R$12,5,FALSE())),0)</f>
        <v/>
      </c>
    </row>
    <row r="32" ht="12.75" customHeight="1">
      <c r="A32" s="26">
        <f>IF(29&gt;COUNTIF(' Toto teams'!$A$4:$A$119,"&lt;&gt;"),"",INDEX(' Toto teams'!$S$4:$S$119,MATCH(LARGE(' Toto teams'!$T$4:$T$119,29),' Toto teams'!$T$4:$T$119,0)))</f>
        <v/>
      </c>
      <c r="B32" s="27">
        <f>IF(29&gt;COUNTIF(' Toto teams'!$A$4:$A$119,"&lt;&gt;"),"",INDEX(' Toto teams'!$A$4:$A$119,MATCH(LARGE(' Toto teams'!$T$4:$T$119,29),' Toto teams'!$T$4:$T$119,0)))</f>
        <v/>
      </c>
      <c r="C32" s="28">
        <f>IF($B32="","",6*(IFERROR(VLOOKUP(INDEX(' Toto teams'!$B$4:$B$119,MATCH($B32,' Toto teams'!$A$4:$A$119,0)),Scoring!$A$4:$N$51,3,FALSE()),0)+IFERROR(VLOOKUP(INDEX(' Toto teams'!$B$4:$B$119,MATCH($B32,' Toto teams'!$A$4:$A$119,0)),Scoring!$A$4:$N$51,4,FALSE()),0)+IFERROR(VLOOKUP(INDEX(' Toto teams'!$B$4:$B$119,MATCH($B32,' Toto teams'!$A$4:$A$119,0)),Scoring!$A$4:$N$51,5,FALSE()),0))+4*(IFERROR(VLOOKUP(INDEX(' Toto teams'!$C$4:$C$119,MATCH($B32,' Toto teams'!$A$4:$A$119,0)),Scoring!$A$4:$N$51,3,FALSE()),0)+IFERROR(VLOOKUP(INDEX(' Toto teams'!$C$4:$C$119,MATCH($B32,' Toto teams'!$A$4:$A$119,0)),Scoring!$A$4:$N$51,4,FALSE()),0)+IFERROR(VLOOKUP(INDEX(' Toto teams'!$C$4:$C$119,MATCH($B32,' Toto teams'!$A$4:$A$119,0)),Scoring!$A$4:$N$51,5,FALSE()),0))+3*(IFERROR(VLOOKUP(INDEX(' Toto teams'!$D$4:$D$119,MATCH($B32,' Toto teams'!$A$4:$A$119,0)),Scoring!$A$4:$N$51,3,FALSE()),0)+IFERROR(VLOOKUP(INDEX(' Toto teams'!$D$4:$D$119,MATCH($B32,' Toto teams'!$A$4:$A$119,0)),Scoring!$A$4:$N$51,4,FALSE()),0)+IFERROR(VLOOKUP(INDEX(' Toto teams'!$D$4:$D$119,MATCH($B32,' Toto teams'!$A$4:$A$119,0)),Scoring!$A$4:$N$51,5,FALSE()),0))+2*(IFERROR(VLOOKUP(INDEX(' Toto teams'!$E$4:$E$119,MATCH($B32,' Toto teams'!$A$4:$A$119,0)),Scoring!$A$4:$N$51,3,FALSE()),0)+IFERROR(VLOOKUP(INDEX(' Toto teams'!$E$4:$E$119,MATCH($B32,' Toto teams'!$A$4:$A$119,0)),Scoring!$A$4:$N$51,4,FALSE()),0)+IFERROR(VLOOKUP(INDEX(' Toto teams'!$E$4:$E$119,MATCH($B32,' Toto teams'!$A$4:$A$119,0)),Scoring!$A$4:$N$51,5,FALSE()),0))+1*(IFERROR(VLOOKUP(INDEX(' Toto teams'!$F$4:$F$119,MATCH($B32,' Toto teams'!$A$4:$A$119,0)),Scoring!$A$4:$N$51,3,FALSE()),0)+IFERROR(VLOOKUP(INDEX(' Toto teams'!$F$4:$F$119,MATCH($B32,' Toto teams'!$A$4:$A$119,0)),Scoring!$A$4:$N$51,4,FALSE()),0)+IFERROR(VLOOKUP(INDEX(' Toto teams'!$F$4:$F$119,MATCH($B32,' Toto teams'!$A$4:$A$119,0)),Scoring!$A$4:$N$51,5,FALSE()),0))+1*(IFERROR(VLOOKUP(INDEX(' Toto teams'!$G$4:$G$119,MATCH($B32,' Toto teams'!$A$4:$A$119,0)),Scoring!$A$4:$N$51,3,FALSE()),0)+IFERROR(VLOOKUP(INDEX(' Toto teams'!$G$4:$G$119,MATCH($B32,' Toto teams'!$A$4:$A$119,0)),Scoring!$A$4:$N$51,4,FALSE()),0)+IFERROR(VLOOKUP(INDEX(' Toto teams'!$G$4:$G$119,MATCH($B32,' Toto teams'!$A$4:$A$119,0)),Scoring!$A$4:$N$51,5,FALSE()),0))+1*(IFERROR(VLOOKUP(INDEX(' Toto teams'!$H$4:$H$119,MATCH($B32,' Toto teams'!$A$4:$A$119,0)),Scoring!$A$4:$N$51,3,FALSE()),0)+IFERROR(VLOOKUP(INDEX(' Toto teams'!$H$4:$H$119,MATCH($B32,' Toto teams'!$A$4:$A$119,0)),Scoring!$A$4:$N$51,4,FALSE()),0)+IFERROR(VLOOKUP(INDEX(' Toto teams'!$H$4:$H$119,MATCH($B32,' Toto teams'!$A$4:$A$119,0)),Scoring!$A$4:$N$51,5,FALSE()),0))+IFERROR(INDEX(' Toto teams'!$Q$4:$Q$119,MATCH($B32,' Toto teams'!$A$4:$A$119,0))*1,0))</f>
        <v/>
      </c>
      <c r="D32" s="28">
        <f>IF($B32="","",6*IFERROR(VLOOKUP(INDEX(' Toto teams'!$B$4:$B$119,MATCH($B32,' Toto teams'!$A$4:$A$119,0)),Scoring!$A$4:$N$51,7,FALSE()),0)+4*IFERROR(VLOOKUP(INDEX(' Toto teams'!$C$4:$C$119,MATCH($B32,' Toto teams'!$A$4:$A$119,0)),Scoring!$A$4:$N$51,7,FALSE()),0)+3*IFERROR(VLOOKUP(INDEX(' Toto teams'!$D$4:$D$119,MATCH($B32,' Toto teams'!$A$4:$A$119,0)),Scoring!$A$4:$N$51,7,FALSE()),0)+2*IFERROR(VLOOKUP(INDEX(' Toto teams'!$E$4:$E$119,MATCH($B32,' Toto teams'!$A$4:$A$119,0)),Scoring!$A$4:$N$51,7,FALSE()),0)+1*IFERROR(VLOOKUP(INDEX(' Toto teams'!$F$4:$F$119,MATCH($B32,' Toto teams'!$A$4:$A$119,0)),Scoring!$A$4:$N$51,7,FALSE()),0)+1*IFERROR(VLOOKUP(INDEX(' Toto teams'!$G$4:$G$119,MATCH($B32,' Toto teams'!$A$4:$A$119,0)),Scoring!$A$4:$N$51,7,FALSE()),0)+1*IFERROR(VLOOKUP(INDEX(' Toto teams'!$H$4:$H$119,MATCH($B32,' Toto teams'!$A$4:$A$119,0)),Scoring!$A$4:$N$51,7,FALSE()),0))</f>
        <v/>
      </c>
      <c r="E32" s="28">
        <f>IF($B32="","",6*IFERROR(VLOOKUP(INDEX(' Toto teams'!$B$4:$B$119,MATCH($B32,' Toto teams'!$A$4:$A$119,0)),Scoring!$A$4:$N$51,8,FALSE()),0)+4*IFERROR(VLOOKUP(INDEX(' Toto teams'!$C$4:$C$119,MATCH($B32,' Toto teams'!$A$4:$A$119,0)),Scoring!$A$4:$N$51,8,FALSE()),0)+3*IFERROR(VLOOKUP(INDEX(' Toto teams'!$D$4:$D$119,MATCH($B32,' Toto teams'!$A$4:$A$119,0)),Scoring!$A$4:$N$51,8,FALSE()),0)+2*IFERROR(VLOOKUP(INDEX(' Toto teams'!$E$4:$E$119,MATCH($B32,' Toto teams'!$A$4:$A$119,0)),Scoring!$A$4:$N$51,8,FALSE()),0)+1*IFERROR(VLOOKUP(INDEX(' Toto teams'!$F$4:$F$119,MATCH($B32,' Toto teams'!$A$4:$A$119,0)),Scoring!$A$4:$N$51,8,FALSE()),0)+1*IFERROR(VLOOKUP(INDEX(' Toto teams'!$G$4:$G$119,MATCH($B32,' Toto teams'!$A$4:$A$119,0)),Scoring!$A$4:$N$51,8,FALSE()),0)+1*IFERROR(VLOOKUP(INDEX(' Toto teams'!$H$4:$H$119,MATCH($B32,' Toto teams'!$A$4:$A$119,0)),Scoring!$A$4:$N$51,8,FALSE()),0))</f>
        <v/>
      </c>
      <c r="F32" s="28">
        <f>IF($B32="","",6*IFERROR(VLOOKUP(INDEX(' Toto teams'!$B$4:$B$119,MATCH($B32,' Toto teams'!$A$4:$A$119,0)),Scoring!$A$4:$N$51,9,FALSE()),0)+4*IFERROR(VLOOKUP(INDEX(' Toto teams'!$C$4:$C$119,MATCH($B32,' Toto teams'!$A$4:$A$119,0)),Scoring!$A$4:$N$51,9,FALSE()),0)+3*IFERROR(VLOOKUP(INDEX(' Toto teams'!$D$4:$D$119,MATCH($B32,' Toto teams'!$A$4:$A$119,0)),Scoring!$A$4:$N$51,9,FALSE()),0)+2*IFERROR(VLOOKUP(INDEX(' Toto teams'!$E$4:$E$119,MATCH($B32,' Toto teams'!$A$4:$A$119,0)),Scoring!$A$4:$N$51,9,FALSE()),0)+1*IFERROR(VLOOKUP(INDEX(' Toto teams'!$F$4:$F$119,MATCH($B32,' Toto teams'!$A$4:$A$119,0)),Scoring!$A$4:$N$51,9,FALSE()),0)+1*IFERROR(VLOOKUP(INDEX(' Toto teams'!$G$4:$G$119,MATCH($B32,' Toto teams'!$A$4:$A$119,0)),Scoring!$A$4:$N$51,9,FALSE()),0)+1*IFERROR(VLOOKUP(INDEX(' Toto teams'!$H$4:$H$119,MATCH($B32,' Toto teams'!$A$4:$A$119,0)),Scoring!$A$4:$N$51,9,FALSE()),0))</f>
        <v/>
      </c>
      <c r="G32" s="28">
        <f>IF($B32="","",6*IFERROR(VLOOKUP(INDEX(' Toto teams'!$B$4:$B$119,MATCH($B32,' Toto teams'!$A$4:$A$119,0)),Scoring!$A$4:$N$51,10,FALSE()),0)+4*IFERROR(VLOOKUP(INDEX(' Toto teams'!$C$4:$C$119,MATCH($B32,' Toto teams'!$A$4:$A$119,0)),Scoring!$A$4:$N$51,10,FALSE()),0)+3*IFERROR(VLOOKUP(INDEX(' Toto teams'!$D$4:$D$119,MATCH($B32,' Toto teams'!$A$4:$A$119,0)),Scoring!$A$4:$N$51,10,FALSE()),0)+2*IFERROR(VLOOKUP(INDEX(' Toto teams'!$E$4:$E$119,MATCH($B32,' Toto teams'!$A$4:$A$119,0)),Scoring!$A$4:$N$51,10,FALSE()),0)+1*IFERROR(VLOOKUP(INDEX(' Toto teams'!$F$4:$F$119,MATCH($B32,' Toto teams'!$A$4:$A$119,0)),Scoring!$A$4:$N$51,10,FALSE()),0)+1*IFERROR(VLOOKUP(INDEX(' Toto teams'!$G$4:$G$119,MATCH($B32,' Toto teams'!$A$4:$A$119,0)),Scoring!$A$4:$N$51,10,FALSE()),0)+1*IFERROR(VLOOKUP(INDEX(' Toto teams'!$H$4:$H$119,MATCH($B32,' Toto teams'!$A$4:$A$119,0)),Scoring!$A$4:$N$51,10,FALSE()),0))</f>
        <v/>
      </c>
      <c r="H32" s="28">
        <f>IF($B32="","",6*IFERROR(VLOOKUP(INDEX(' Toto teams'!$B$4:$B$119,MATCH($B32,' Toto teams'!$A$4:$A$119,0)),Scoring!$A$4:$N$51,11,FALSE()),0)+4*IFERROR(VLOOKUP(INDEX(' Toto teams'!$C$4:$C$119,MATCH($B32,' Toto teams'!$A$4:$A$119,0)),Scoring!$A$4:$N$51,11,FALSE()),0)+3*IFERROR(VLOOKUP(INDEX(' Toto teams'!$D$4:$D$119,MATCH($B32,' Toto teams'!$A$4:$A$119,0)),Scoring!$A$4:$N$51,11,FALSE()),0)+2*IFERROR(VLOOKUP(INDEX(' Toto teams'!$E$4:$E$119,MATCH($B32,' Toto teams'!$A$4:$A$119,0)),Scoring!$A$4:$N$51,11,FALSE()),0)+1*IFERROR(VLOOKUP(INDEX(' Toto teams'!$F$4:$F$119,MATCH($B32,' Toto teams'!$A$4:$A$119,0)),Scoring!$A$4:$N$51,11,FALSE()),0)+1*IFERROR(VLOOKUP(INDEX(' Toto teams'!$G$4:$G$119,MATCH($B32,' Toto teams'!$A$4:$A$119,0)),Scoring!$A$4:$N$51,11,FALSE()),0)+1*IFERROR(VLOOKUP(INDEX(' Toto teams'!$H$4:$H$119,MATCH($B32,' Toto teams'!$A$4:$A$119,0)),Scoring!$A$4:$N$51,11,FALSE()),0))</f>
        <v/>
      </c>
      <c r="I32" s="28">
        <f>IF($B32="","",6*IFERROR(VLOOKUP(INDEX(' Toto teams'!$B$4:$B$119,MATCH($B32,' Toto teams'!$A$4:$A$119,0)),Scoring!$A$4:$O$51,15,FALSE()),0)+4*IFERROR(VLOOKUP(INDEX(' Toto teams'!$C$4:$C$119,MATCH($B32,' Toto teams'!$A$4:$A$119,0)),Scoring!$A$4:$O$51,15,FALSE()),0)+3*IFERROR(VLOOKUP(INDEX(' Toto teams'!$D$4:$D$119,MATCH($B32,' Toto teams'!$A$4:$A$119,0)),Scoring!$A$4:$O$51,15,FALSE()),0)+2*IFERROR(VLOOKUP(INDEX(' Toto teams'!$E$4:$E$119,MATCH($B32,' Toto teams'!$A$4:$A$119,0)),Scoring!$A$4:$O$51,15,FALSE()),0)+1*IFERROR(VLOOKUP(INDEX(' Toto teams'!$F$4:$F$119,MATCH($B32,' Toto teams'!$A$4:$A$119,0)),Scoring!$A$4:$O$51,15,FALSE()),0)+1*IFERROR(VLOOKUP(INDEX(' Toto teams'!$G$4:$G$119,MATCH($B32,' Toto teams'!$A$4:$A$119,0)),Scoring!$A$4:$O$51,15,FALSE()),0)+1*IFERROR(VLOOKUP(INDEX(' Toto teams'!$H$4:$H$119,MATCH($B32,' Toto teams'!$A$4:$A$119,0)),Scoring!$A$4:$O$51,15,FALSE()),0))</f>
        <v/>
      </c>
      <c r="J32" s="28">
        <f>IF($B32="","",6*IFERROR(VLOOKUP(INDEX(' Toto teams'!$B$4:$B$119,MATCH($B32,' Toto teams'!$A$4:$A$119,0)),Scoring!$A$4:$N$51,12,FALSE()),0)+4*IFERROR(VLOOKUP(INDEX(' Toto teams'!$C$4:$C$119,MATCH($B32,' Toto teams'!$A$4:$A$119,0)),Scoring!$A$4:$N$51,12,FALSE()),0)+3*IFERROR(VLOOKUP(INDEX(' Toto teams'!$D$4:$D$119,MATCH($B32,' Toto teams'!$A$4:$A$119,0)),Scoring!$A$4:$N$51,12,FALSE()),0)+2*IFERROR(VLOOKUP(INDEX(' Toto teams'!$E$4:$E$119,MATCH($B32,' Toto teams'!$A$4:$A$119,0)),Scoring!$A$4:$N$51,12,FALSE()),0)+1*IFERROR(VLOOKUP(INDEX(' Toto teams'!$F$4:$F$119,MATCH($B32,' Toto teams'!$A$4:$A$119,0)),Scoring!$A$4:$N$51,12,FALSE()),0)+1*IFERROR(VLOOKUP(INDEX(' Toto teams'!$G$4:$G$119,MATCH($B32,' Toto teams'!$A$4:$A$119,0)),Scoring!$A$4:$N$51,12,FALSE()),0)+1*IFERROR(VLOOKUP(INDEX(' Toto teams'!$H$4:$H$119,MATCH($B32,' Toto teams'!$A$4:$A$119,0)),Scoring!$A$4:$N$51,12,FALSE()),0))</f>
        <v/>
      </c>
      <c r="K32" s="29">
        <f>IF($B32="","",IFERROR(INDEX(' Toto teams'!$R$4:$R$119,MATCH($B32,' Toto teams'!$A$4:$A$119,0)),""))</f>
        <v/>
      </c>
      <c r="L32" s="30">
        <f>IFERROR(IF(B32="","",VLOOKUP(A32,$N$4:$R$12,5,FALSE())),0)</f>
        <v/>
      </c>
    </row>
    <row r="33" ht="12.75" customHeight="1">
      <c r="A33" s="26">
        <f>IF(30&gt;COUNTIF(' Toto teams'!$A$4:$A$119,"&lt;&gt;"),"",INDEX(' Toto teams'!$S$4:$S$119,MATCH(LARGE(' Toto teams'!$T$4:$T$119,30),' Toto teams'!$T$4:$T$119,0)))</f>
        <v/>
      </c>
      <c r="B33" s="27">
        <f>IF(30&gt;COUNTIF(' Toto teams'!$A$4:$A$119,"&lt;&gt;"),"",INDEX(' Toto teams'!$A$4:$A$119,MATCH(LARGE(' Toto teams'!$T$4:$T$119,30),' Toto teams'!$T$4:$T$119,0)))</f>
        <v/>
      </c>
      <c r="C33" s="28">
        <f>IF($B33="","",6*(IFERROR(VLOOKUP(INDEX(' Toto teams'!$B$4:$B$119,MATCH($B33,' Toto teams'!$A$4:$A$119,0)),Scoring!$A$4:$N$51,3,FALSE()),0)+IFERROR(VLOOKUP(INDEX(' Toto teams'!$B$4:$B$119,MATCH($B33,' Toto teams'!$A$4:$A$119,0)),Scoring!$A$4:$N$51,4,FALSE()),0)+IFERROR(VLOOKUP(INDEX(' Toto teams'!$B$4:$B$119,MATCH($B33,' Toto teams'!$A$4:$A$119,0)),Scoring!$A$4:$N$51,5,FALSE()),0))+4*(IFERROR(VLOOKUP(INDEX(' Toto teams'!$C$4:$C$119,MATCH($B33,' Toto teams'!$A$4:$A$119,0)),Scoring!$A$4:$N$51,3,FALSE()),0)+IFERROR(VLOOKUP(INDEX(' Toto teams'!$C$4:$C$119,MATCH($B33,' Toto teams'!$A$4:$A$119,0)),Scoring!$A$4:$N$51,4,FALSE()),0)+IFERROR(VLOOKUP(INDEX(' Toto teams'!$C$4:$C$119,MATCH($B33,' Toto teams'!$A$4:$A$119,0)),Scoring!$A$4:$N$51,5,FALSE()),0))+3*(IFERROR(VLOOKUP(INDEX(' Toto teams'!$D$4:$D$119,MATCH($B33,' Toto teams'!$A$4:$A$119,0)),Scoring!$A$4:$N$51,3,FALSE()),0)+IFERROR(VLOOKUP(INDEX(' Toto teams'!$D$4:$D$119,MATCH($B33,' Toto teams'!$A$4:$A$119,0)),Scoring!$A$4:$N$51,4,FALSE()),0)+IFERROR(VLOOKUP(INDEX(' Toto teams'!$D$4:$D$119,MATCH($B33,' Toto teams'!$A$4:$A$119,0)),Scoring!$A$4:$N$51,5,FALSE()),0))+2*(IFERROR(VLOOKUP(INDEX(' Toto teams'!$E$4:$E$119,MATCH($B33,' Toto teams'!$A$4:$A$119,0)),Scoring!$A$4:$N$51,3,FALSE()),0)+IFERROR(VLOOKUP(INDEX(' Toto teams'!$E$4:$E$119,MATCH($B33,' Toto teams'!$A$4:$A$119,0)),Scoring!$A$4:$N$51,4,FALSE()),0)+IFERROR(VLOOKUP(INDEX(' Toto teams'!$E$4:$E$119,MATCH($B33,' Toto teams'!$A$4:$A$119,0)),Scoring!$A$4:$N$51,5,FALSE()),0))+1*(IFERROR(VLOOKUP(INDEX(' Toto teams'!$F$4:$F$119,MATCH($B33,' Toto teams'!$A$4:$A$119,0)),Scoring!$A$4:$N$51,3,FALSE()),0)+IFERROR(VLOOKUP(INDEX(' Toto teams'!$F$4:$F$119,MATCH($B33,' Toto teams'!$A$4:$A$119,0)),Scoring!$A$4:$N$51,4,FALSE()),0)+IFERROR(VLOOKUP(INDEX(' Toto teams'!$F$4:$F$119,MATCH($B33,' Toto teams'!$A$4:$A$119,0)),Scoring!$A$4:$N$51,5,FALSE()),0))+1*(IFERROR(VLOOKUP(INDEX(' Toto teams'!$G$4:$G$119,MATCH($B33,' Toto teams'!$A$4:$A$119,0)),Scoring!$A$4:$N$51,3,FALSE()),0)+IFERROR(VLOOKUP(INDEX(' Toto teams'!$G$4:$G$119,MATCH($B33,' Toto teams'!$A$4:$A$119,0)),Scoring!$A$4:$N$51,4,FALSE()),0)+IFERROR(VLOOKUP(INDEX(' Toto teams'!$G$4:$G$119,MATCH($B33,' Toto teams'!$A$4:$A$119,0)),Scoring!$A$4:$N$51,5,FALSE()),0))+1*(IFERROR(VLOOKUP(INDEX(' Toto teams'!$H$4:$H$119,MATCH($B33,' Toto teams'!$A$4:$A$119,0)),Scoring!$A$4:$N$51,3,FALSE()),0)+IFERROR(VLOOKUP(INDEX(' Toto teams'!$H$4:$H$119,MATCH($B33,' Toto teams'!$A$4:$A$119,0)),Scoring!$A$4:$N$51,4,FALSE()),0)+IFERROR(VLOOKUP(INDEX(' Toto teams'!$H$4:$H$119,MATCH($B33,' Toto teams'!$A$4:$A$119,0)),Scoring!$A$4:$N$51,5,FALSE()),0))+IFERROR(INDEX(' Toto teams'!$Q$4:$Q$119,MATCH($B33,' Toto teams'!$A$4:$A$119,0))*1,0))</f>
        <v/>
      </c>
      <c r="D33" s="28">
        <f>IF($B33="","",6*IFERROR(VLOOKUP(INDEX(' Toto teams'!$B$4:$B$119,MATCH($B33,' Toto teams'!$A$4:$A$119,0)),Scoring!$A$4:$N$51,7,FALSE()),0)+4*IFERROR(VLOOKUP(INDEX(' Toto teams'!$C$4:$C$119,MATCH($B33,' Toto teams'!$A$4:$A$119,0)),Scoring!$A$4:$N$51,7,FALSE()),0)+3*IFERROR(VLOOKUP(INDEX(' Toto teams'!$D$4:$D$119,MATCH($B33,' Toto teams'!$A$4:$A$119,0)),Scoring!$A$4:$N$51,7,FALSE()),0)+2*IFERROR(VLOOKUP(INDEX(' Toto teams'!$E$4:$E$119,MATCH($B33,' Toto teams'!$A$4:$A$119,0)),Scoring!$A$4:$N$51,7,FALSE()),0)+1*IFERROR(VLOOKUP(INDEX(' Toto teams'!$F$4:$F$119,MATCH($B33,' Toto teams'!$A$4:$A$119,0)),Scoring!$A$4:$N$51,7,FALSE()),0)+1*IFERROR(VLOOKUP(INDEX(' Toto teams'!$G$4:$G$119,MATCH($B33,' Toto teams'!$A$4:$A$119,0)),Scoring!$A$4:$N$51,7,FALSE()),0)+1*IFERROR(VLOOKUP(INDEX(' Toto teams'!$H$4:$H$119,MATCH($B33,' Toto teams'!$A$4:$A$119,0)),Scoring!$A$4:$N$51,7,FALSE()),0))</f>
        <v/>
      </c>
      <c r="E33" s="28">
        <f>IF($B33="","",6*IFERROR(VLOOKUP(INDEX(' Toto teams'!$B$4:$B$119,MATCH($B33,' Toto teams'!$A$4:$A$119,0)),Scoring!$A$4:$N$51,8,FALSE()),0)+4*IFERROR(VLOOKUP(INDEX(' Toto teams'!$C$4:$C$119,MATCH($B33,' Toto teams'!$A$4:$A$119,0)),Scoring!$A$4:$N$51,8,FALSE()),0)+3*IFERROR(VLOOKUP(INDEX(' Toto teams'!$D$4:$D$119,MATCH($B33,' Toto teams'!$A$4:$A$119,0)),Scoring!$A$4:$N$51,8,FALSE()),0)+2*IFERROR(VLOOKUP(INDEX(' Toto teams'!$E$4:$E$119,MATCH($B33,' Toto teams'!$A$4:$A$119,0)),Scoring!$A$4:$N$51,8,FALSE()),0)+1*IFERROR(VLOOKUP(INDEX(' Toto teams'!$F$4:$F$119,MATCH($B33,' Toto teams'!$A$4:$A$119,0)),Scoring!$A$4:$N$51,8,FALSE()),0)+1*IFERROR(VLOOKUP(INDEX(' Toto teams'!$G$4:$G$119,MATCH($B33,' Toto teams'!$A$4:$A$119,0)),Scoring!$A$4:$N$51,8,FALSE()),0)+1*IFERROR(VLOOKUP(INDEX(' Toto teams'!$H$4:$H$119,MATCH($B33,' Toto teams'!$A$4:$A$119,0)),Scoring!$A$4:$N$51,8,FALSE()),0))</f>
        <v/>
      </c>
      <c r="F33" s="28">
        <f>IF($B33="","",6*IFERROR(VLOOKUP(INDEX(' Toto teams'!$B$4:$B$119,MATCH($B33,' Toto teams'!$A$4:$A$119,0)),Scoring!$A$4:$N$51,9,FALSE()),0)+4*IFERROR(VLOOKUP(INDEX(' Toto teams'!$C$4:$C$119,MATCH($B33,' Toto teams'!$A$4:$A$119,0)),Scoring!$A$4:$N$51,9,FALSE()),0)+3*IFERROR(VLOOKUP(INDEX(' Toto teams'!$D$4:$D$119,MATCH($B33,' Toto teams'!$A$4:$A$119,0)),Scoring!$A$4:$N$51,9,FALSE()),0)+2*IFERROR(VLOOKUP(INDEX(' Toto teams'!$E$4:$E$119,MATCH($B33,' Toto teams'!$A$4:$A$119,0)),Scoring!$A$4:$N$51,9,FALSE()),0)+1*IFERROR(VLOOKUP(INDEX(' Toto teams'!$F$4:$F$119,MATCH($B33,' Toto teams'!$A$4:$A$119,0)),Scoring!$A$4:$N$51,9,FALSE()),0)+1*IFERROR(VLOOKUP(INDEX(' Toto teams'!$G$4:$G$119,MATCH($B33,' Toto teams'!$A$4:$A$119,0)),Scoring!$A$4:$N$51,9,FALSE()),0)+1*IFERROR(VLOOKUP(INDEX(' Toto teams'!$H$4:$H$119,MATCH($B33,' Toto teams'!$A$4:$A$119,0)),Scoring!$A$4:$N$51,9,FALSE()),0))</f>
        <v/>
      </c>
      <c r="G33" s="28">
        <f>IF($B33="","",6*IFERROR(VLOOKUP(INDEX(' Toto teams'!$B$4:$B$119,MATCH($B33,' Toto teams'!$A$4:$A$119,0)),Scoring!$A$4:$N$51,10,FALSE()),0)+4*IFERROR(VLOOKUP(INDEX(' Toto teams'!$C$4:$C$119,MATCH($B33,' Toto teams'!$A$4:$A$119,0)),Scoring!$A$4:$N$51,10,FALSE()),0)+3*IFERROR(VLOOKUP(INDEX(' Toto teams'!$D$4:$D$119,MATCH($B33,' Toto teams'!$A$4:$A$119,0)),Scoring!$A$4:$N$51,10,FALSE()),0)+2*IFERROR(VLOOKUP(INDEX(' Toto teams'!$E$4:$E$119,MATCH($B33,' Toto teams'!$A$4:$A$119,0)),Scoring!$A$4:$N$51,10,FALSE()),0)+1*IFERROR(VLOOKUP(INDEX(' Toto teams'!$F$4:$F$119,MATCH($B33,' Toto teams'!$A$4:$A$119,0)),Scoring!$A$4:$N$51,10,FALSE()),0)+1*IFERROR(VLOOKUP(INDEX(' Toto teams'!$G$4:$G$119,MATCH($B33,' Toto teams'!$A$4:$A$119,0)),Scoring!$A$4:$N$51,10,FALSE()),0)+1*IFERROR(VLOOKUP(INDEX(' Toto teams'!$H$4:$H$119,MATCH($B33,' Toto teams'!$A$4:$A$119,0)),Scoring!$A$4:$N$51,10,FALSE()),0))</f>
        <v/>
      </c>
      <c r="H33" s="28">
        <f>IF($B33="","",6*IFERROR(VLOOKUP(INDEX(' Toto teams'!$B$4:$B$119,MATCH($B33,' Toto teams'!$A$4:$A$119,0)),Scoring!$A$4:$N$51,11,FALSE()),0)+4*IFERROR(VLOOKUP(INDEX(' Toto teams'!$C$4:$C$119,MATCH($B33,' Toto teams'!$A$4:$A$119,0)),Scoring!$A$4:$N$51,11,FALSE()),0)+3*IFERROR(VLOOKUP(INDEX(' Toto teams'!$D$4:$D$119,MATCH($B33,' Toto teams'!$A$4:$A$119,0)),Scoring!$A$4:$N$51,11,FALSE()),0)+2*IFERROR(VLOOKUP(INDEX(' Toto teams'!$E$4:$E$119,MATCH($B33,' Toto teams'!$A$4:$A$119,0)),Scoring!$A$4:$N$51,11,FALSE()),0)+1*IFERROR(VLOOKUP(INDEX(' Toto teams'!$F$4:$F$119,MATCH($B33,' Toto teams'!$A$4:$A$119,0)),Scoring!$A$4:$N$51,11,FALSE()),0)+1*IFERROR(VLOOKUP(INDEX(' Toto teams'!$G$4:$G$119,MATCH($B33,' Toto teams'!$A$4:$A$119,0)),Scoring!$A$4:$N$51,11,FALSE()),0)+1*IFERROR(VLOOKUP(INDEX(' Toto teams'!$H$4:$H$119,MATCH($B33,' Toto teams'!$A$4:$A$119,0)),Scoring!$A$4:$N$51,11,FALSE()),0))</f>
        <v/>
      </c>
      <c r="I33" s="28">
        <f>IF($B33="","",6*IFERROR(VLOOKUP(INDEX(' Toto teams'!$B$4:$B$119,MATCH($B33,' Toto teams'!$A$4:$A$119,0)),Scoring!$A$4:$O$51,15,FALSE()),0)+4*IFERROR(VLOOKUP(INDEX(' Toto teams'!$C$4:$C$119,MATCH($B33,' Toto teams'!$A$4:$A$119,0)),Scoring!$A$4:$O$51,15,FALSE()),0)+3*IFERROR(VLOOKUP(INDEX(' Toto teams'!$D$4:$D$119,MATCH($B33,' Toto teams'!$A$4:$A$119,0)),Scoring!$A$4:$O$51,15,FALSE()),0)+2*IFERROR(VLOOKUP(INDEX(' Toto teams'!$E$4:$E$119,MATCH($B33,' Toto teams'!$A$4:$A$119,0)),Scoring!$A$4:$O$51,15,FALSE()),0)+1*IFERROR(VLOOKUP(INDEX(' Toto teams'!$F$4:$F$119,MATCH($B33,' Toto teams'!$A$4:$A$119,0)),Scoring!$A$4:$O$51,15,FALSE()),0)+1*IFERROR(VLOOKUP(INDEX(' Toto teams'!$G$4:$G$119,MATCH($B33,' Toto teams'!$A$4:$A$119,0)),Scoring!$A$4:$O$51,15,FALSE()),0)+1*IFERROR(VLOOKUP(INDEX(' Toto teams'!$H$4:$H$119,MATCH($B33,' Toto teams'!$A$4:$A$119,0)),Scoring!$A$4:$O$51,15,FALSE()),0))</f>
        <v/>
      </c>
      <c r="J33" s="28">
        <f>IF($B33="","",6*IFERROR(VLOOKUP(INDEX(' Toto teams'!$B$4:$B$119,MATCH($B33,' Toto teams'!$A$4:$A$119,0)),Scoring!$A$4:$N$51,12,FALSE()),0)+4*IFERROR(VLOOKUP(INDEX(' Toto teams'!$C$4:$C$119,MATCH($B33,' Toto teams'!$A$4:$A$119,0)),Scoring!$A$4:$N$51,12,FALSE()),0)+3*IFERROR(VLOOKUP(INDEX(' Toto teams'!$D$4:$D$119,MATCH($B33,' Toto teams'!$A$4:$A$119,0)),Scoring!$A$4:$N$51,12,FALSE()),0)+2*IFERROR(VLOOKUP(INDEX(' Toto teams'!$E$4:$E$119,MATCH($B33,' Toto teams'!$A$4:$A$119,0)),Scoring!$A$4:$N$51,12,FALSE()),0)+1*IFERROR(VLOOKUP(INDEX(' Toto teams'!$F$4:$F$119,MATCH($B33,' Toto teams'!$A$4:$A$119,0)),Scoring!$A$4:$N$51,12,FALSE()),0)+1*IFERROR(VLOOKUP(INDEX(' Toto teams'!$G$4:$G$119,MATCH($B33,' Toto teams'!$A$4:$A$119,0)),Scoring!$A$4:$N$51,12,FALSE()),0)+1*IFERROR(VLOOKUP(INDEX(' Toto teams'!$H$4:$H$119,MATCH($B33,' Toto teams'!$A$4:$A$119,0)),Scoring!$A$4:$N$51,12,FALSE()),0))</f>
        <v/>
      </c>
      <c r="K33" s="29">
        <f>IF($B33="","",IFERROR(INDEX(' Toto teams'!$R$4:$R$119,MATCH($B33,' Toto teams'!$A$4:$A$119,0)),""))</f>
        <v/>
      </c>
      <c r="L33" s="30">
        <f>IFERROR(IF(B33="","",VLOOKUP(A33,$N$4:$R$12,5,FALSE())),0)</f>
        <v/>
      </c>
    </row>
    <row r="34" ht="12.75" customHeight="1">
      <c r="A34" s="26">
        <f>IF(31&gt;COUNTIF(' Toto teams'!$A$4:$A$119,"&lt;&gt;"),"",INDEX(' Toto teams'!$S$4:$S$119,MATCH(LARGE(' Toto teams'!$T$4:$T$119,31),' Toto teams'!$T$4:$T$119,0)))</f>
        <v/>
      </c>
      <c r="B34" s="27">
        <f>IF(31&gt;COUNTIF(' Toto teams'!$A$4:$A$119,"&lt;&gt;"),"",INDEX(' Toto teams'!$A$4:$A$119,MATCH(LARGE(' Toto teams'!$T$4:$T$119,31),' Toto teams'!$T$4:$T$119,0)))</f>
        <v/>
      </c>
      <c r="C34" s="28">
        <f>IF($B34="","",6*(IFERROR(VLOOKUP(INDEX(' Toto teams'!$B$4:$B$119,MATCH($B34,' Toto teams'!$A$4:$A$119,0)),Scoring!$A$4:$N$51,3,FALSE()),0)+IFERROR(VLOOKUP(INDEX(' Toto teams'!$B$4:$B$119,MATCH($B34,' Toto teams'!$A$4:$A$119,0)),Scoring!$A$4:$N$51,4,FALSE()),0)+IFERROR(VLOOKUP(INDEX(' Toto teams'!$B$4:$B$119,MATCH($B34,' Toto teams'!$A$4:$A$119,0)),Scoring!$A$4:$N$51,5,FALSE()),0))+4*(IFERROR(VLOOKUP(INDEX(' Toto teams'!$C$4:$C$119,MATCH($B34,' Toto teams'!$A$4:$A$119,0)),Scoring!$A$4:$N$51,3,FALSE()),0)+IFERROR(VLOOKUP(INDEX(' Toto teams'!$C$4:$C$119,MATCH($B34,' Toto teams'!$A$4:$A$119,0)),Scoring!$A$4:$N$51,4,FALSE()),0)+IFERROR(VLOOKUP(INDEX(' Toto teams'!$C$4:$C$119,MATCH($B34,' Toto teams'!$A$4:$A$119,0)),Scoring!$A$4:$N$51,5,FALSE()),0))+3*(IFERROR(VLOOKUP(INDEX(' Toto teams'!$D$4:$D$119,MATCH($B34,' Toto teams'!$A$4:$A$119,0)),Scoring!$A$4:$N$51,3,FALSE()),0)+IFERROR(VLOOKUP(INDEX(' Toto teams'!$D$4:$D$119,MATCH($B34,' Toto teams'!$A$4:$A$119,0)),Scoring!$A$4:$N$51,4,FALSE()),0)+IFERROR(VLOOKUP(INDEX(' Toto teams'!$D$4:$D$119,MATCH($B34,' Toto teams'!$A$4:$A$119,0)),Scoring!$A$4:$N$51,5,FALSE()),0))+2*(IFERROR(VLOOKUP(INDEX(' Toto teams'!$E$4:$E$119,MATCH($B34,' Toto teams'!$A$4:$A$119,0)),Scoring!$A$4:$N$51,3,FALSE()),0)+IFERROR(VLOOKUP(INDEX(' Toto teams'!$E$4:$E$119,MATCH($B34,' Toto teams'!$A$4:$A$119,0)),Scoring!$A$4:$N$51,4,FALSE()),0)+IFERROR(VLOOKUP(INDEX(' Toto teams'!$E$4:$E$119,MATCH($B34,' Toto teams'!$A$4:$A$119,0)),Scoring!$A$4:$N$51,5,FALSE()),0))+1*(IFERROR(VLOOKUP(INDEX(' Toto teams'!$F$4:$F$119,MATCH($B34,' Toto teams'!$A$4:$A$119,0)),Scoring!$A$4:$N$51,3,FALSE()),0)+IFERROR(VLOOKUP(INDEX(' Toto teams'!$F$4:$F$119,MATCH($B34,' Toto teams'!$A$4:$A$119,0)),Scoring!$A$4:$N$51,4,FALSE()),0)+IFERROR(VLOOKUP(INDEX(' Toto teams'!$F$4:$F$119,MATCH($B34,' Toto teams'!$A$4:$A$119,0)),Scoring!$A$4:$N$51,5,FALSE()),0))+1*(IFERROR(VLOOKUP(INDEX(' Toto teams'!$G$4:$G$119,MATCH($B34,' Toto teams'!$A$4:$A$119,0)),Scoring!$A$4:$N$51,3,FALSE()),0)+IFERROR(VLOOKUP(INDEX(' Toto teams'!$G$4:$G$119,MATCH($B34,' Toto teams'!$A$4:$A$119,0)),Scoring!$A$4:$N$51,4,FALSE()),0)+IFERROR(VLOOKUP(INDEX(' Toto teams'!$G$4:$G$119,MATCH($B34,' Toto teams'!$A$4:$A$119,0)),Scoring!$A$4:$N$51,5,FALSE()),0))+1*(IFERROR(VLOOKUP(INDEX(' Toto teams'!$H$4:$H$119,MATCH($B34,' Toto teams'!$A$4:$A$119,0)),Scoring!$A$4:$N$51,3,FALSE()),0)+IFERROR(VLOOKUP(INDEX(' Toto teams'!$H$4:$H$119,MATCH($B34,' Toto teams'!$A$4:$A$119,0)),Scoring!$A$4:$N$51,4,FALSE()),0)+IFERROR(VLOOKUP(INDEX(' Toto teams'!$H$4:$H$119,MATCH($B34,' Toto teams'!$A$4:$A$119,0)),Scoring!$A$4:$N$51,5,FALSE()),0))+IFERROR(INDEX(' Toto teams'!$Q$4:$Q$119,MATCH($B34,' Toto teams'!$A$4:$A$119,0))*1,0))</f>
        <v/>
      </c>
      <c r="D34" s="28">
        <f>IF($B34="","",6*IFERROR(VLOOKUP(INDEX(' Toto teams'!$B$4:$B$119,MATCH($B34,' Toto teams'!$A$4:$A$119,0)),Scoring!$A$4:$N$51,7,FALSE()),0)+4*IFERROR(VLOOKUP(INDEX(' Toto teams'!$C$4:$C$119,MATCH($B34,' Toto teams'!$A$4:$A$119,0)),Scoring!$A$4:$N$51,7,FALSE()),0)+3*IFERROR(VLOOKUP(INDEX(' Toto teams'!$D$4:$D$119,MATCH($B34,' Toto teams'!$A$4:$A$119,0)),Scoring!$A$4:$N$51,7,FALSE()),0)+2*IFERROR(VLOOKUP(INDEX(' Toto teams'!$E$4:$E$119,MATCH($B34,' Toto teams'!$A$4:$A$119,0)),Scoring!$A$4:$N$51,7,FALSE()),0)+1*IFERROR(VLOOKUP(INDEX(' Toto teams'!$F$4:$F$119,MATCH($B34,' Toto teams'!$A$4:$A$119,0)),Scoring!$A$4:$N$51,7,FALSE()),0)+1*IFERROR(VLOOKUP(INDEX(' Toto teams'!$G$4:$G$119,MATCH($B34,' Toto teams'!$A$4:$A$119,0)),Scoring!$A$4:$N$51,7,FALSE()),0)+1*IFERROR(VLOOKUP(INDEX(' Toto teams'!$H$4:$H$119,MATCH($B34,' Toto teams'!$A$4:$A$119,0)),Scoring!$A$4:$N$51,7,FALSE()),0))</f>
        <v/>
      </c>
      <c r="E34" s="28">
        <f>IF($B34="","",6*IFERROR(VLOOKUP(INDEX(' Toto teams'!$B$4:$B$119,MATCH($B34,' Toto teams'!$A$4:$A$119,0)),Scoring!$A$4:$N$51,8,FALSE()),0)+4*IFERROR(VLOOKUP(INDEX(' Toto teams'!$C$4:$C$119,MATCH($B34,' Toto teams'!$A$4:$A$119,0)),Scoring!$A$4:$N$51,8,FALSE()),0)+3*IFERROR(VLOOKUP(INDEX(' Toto teams'!$D$4:$D$119,MATCH($B34,' Toto teams'!$A$4:$A$119,0)),Scoring!$A$4:$N$51,8,FALSE()),0)+2*IFERROR(VLOOKUP(INDEX(' Toto teams'!$E$4:$E$119,MATCH($B34,' Toto teams'!$A$4:$A$119,0)),Scoring!$A$4:$N$51,8,FALSE()),0)+1*IFERROR(VLOOKUP(INDEX(' Toto teams'!$F$4:$F$119,MATCH($B34,' Toto teams'!$A$4:$A$119,0)),Scoring!$A$4:$N$51,8,FALSE()),0)+1*IFERROR(VLOOKUP(INDEX(' Toto teams'!$G$4:$G$119,MATCH($B34,' Toto teams'!$A$4:$A$119,0)),Scoring!$A$4:$N$51,8,FALSE()),0)+1*IFERROR(VLOOKUP(INDEX(' Toto teams'!$H$4:$H$119,MATCH($B34,' Toto teams'!$A$4:$A$119,0)),Scoring!$A$4:$N$51,8,FALSE()),0))</f>
        <v/>
      </c>
      <c r="F34" s="28">
        <f>IF($B34="","",6*IFERROR(VLOOKUP(INDEX(' Toto teams'!$B$4:$B$119,MATCH($B34,' Toto teams'!$A$4:$A$119,0)),Scoring!$A$4:$N$51,9,FALSE()),0)+4*IFERROR(VLOOKUP(INDEX(' Toto teams'!$C$4:$C$119,MATCH($B34,' Toto teams'!$A$4:$A$119,0)),Scoring!$A$4:$N$51,9,FALSE()),0)+3*IFERROR(VLOOKUP(INDEX(' Toto teams'!$D$4:$D$119,MATCH($B34,' Toto teams'!$A$4:$A$119,0)),Scoring!$A$4:$N$51,9,FALSE()),0)+2*IFERROR(VLOOKUP(INDEX(' Toto teams'!$E$4:$E$119,MATCH($B34,' Toto teams'!$A$4:$A$119,0)),Scoring!$A$4:$N$51,9,FALSE()),0)+1*IFERROR(VLOOKUP(INDEX(' Toto teams'!$F$4:$F$119,MATCH($B34,' Toto teams'!$A$4:$A$119,0)),Scoring!$A$4:$N$51,9,FALSE()),0)+1*IFERROR(VLOOKUP(INDEX(' Toto teams'!$G$4:$G$119,MATCH($B34,' Toto teams'!$A$4:$A$119,0)),Scoring!$A$4:$N$51,9,FALSE()),0)+1*IFERROR(VLOOKUP(INDEX(' Toto teams'!$H$4:$H$119,MATCH($B34,' Toto teams'!$A$4:$A$119,0)),Scoring!$A$4:$N$51,9,FALSE()),0))</f>
        <v/>
      </c>
      <c r="G34" s="28">
        <f>IF($B34="","",6*IFERROR(VLOOKUP(INDEX(' Toto teams'!$B$4:$B$119,MATCH($B34,' Toto teams'!$A$4:$A$119,0)),Scoring!$A$4:$N$51,10,FALSE()),0)+4*IFERROR(VLOOKUP(INDEX(' Toto teams'!$C$4:$C$119,MATCH($B34,' Toto teams'!$A$4:$A$119,0)),Scoring!$A$4:$N$51,10,FALSE()),0)+3*IFERROR(VLOOKUP(INDEX(' Toto teams'!$D$4:$D$119,MATCH($B34,' Toto teams'!$A$4:$A$119,0)),Scoring!$A$4:$N$51,10,FALSE()),0)+2*IFERROR(VLOOKUP(INDEX(' Toto teams'!$E$4:$E$119,MATCH($B34,' Toto teams'!$A$4:$A$119,0)),Scoring!$A$4:$N$51,10,FALSE()),0)+1*IFERROR(VLOOKUP(INDEX(' Toto teams'!$F$4:$F$119,MATCH($B34,' Toto teams'!$A$4:$A$119,0)),Scoring!$A$4:$N$51,10,FALSE()),0)+1*IFERROR(VLOOKUP(INDEX(' Toto teams'!$G$4:$G$119,MATCH($B34,' Toto teams'!$A$4:$A$119,0)),Scoring!$A$4:$N$51,10,FALSE()),0)+1*IFERROR(VLOOKUP(INDEX(' Toto teams'!$H$4:$H$119,MATCH($B34,' Toto teams'!$A$4:$A$119,0)),Scoring!$A$4:$N$51,10,FALSE()),0))</f>
        <v/>
      </c>
      <c r="H34" s="28">
        <f>IF($B34="","",6*IFERROR(VLOOKUP(INDEX(' Toto teams'!$B$4:$B$119,MATCH($B34,' Toto teams'!$A$4:$A$119,0)),Scoring!$A$4:$N$51,11,FALSE()),0)+4*IFERROR(VLOOKUP(INDEX(' Toto teams'!$C$4:$C$119,MATCH($B34,' Toto teams'!$A$4:$A$119,0)),Scoring!$A$4:$N$51,11,FALSE()),0)+3*IFERROR(VLOOKUP(INDEX(' Toto teams'!$D$4:$D$119,MATCH($B34,' Toto teams'!$A$4:$A$119,0)),Scoring!$A$4:$N$51,11,FALSE()),0)+2*IFERROR(VLOOKUP(INDEX(' Toto teams'!$E$4:$E$119,MATCH($B34,' Toto teams'!$A$4:$A$119,0)),Scoring!$A$4:$N$51,11,FALSE()),0)+1*IFERROR(VLOOKUP(INDEX(' Toto teams'!$F$4:$F$119,MATCH($B34,' Toto teams'!$A$4:$A$119,0)),Scoring!$A$4:$N$51,11,FALSE()),0)+1*IFERROR(VLOOKUP(INDEX(' Toto teams'!$G$4:$G$119,MATCH($B34,' Toto teams'!$A$4:$A$119,0)),Scoring!$A$4:$N$51,11,FALSE()),0)+1*IFERROR(VLOOKUP(INDEX(' Toto teams'!$H$4:$H$119,MATCH($B34,' Toto teams'!$A$4:$A$119,0)),Scoring!$A$4:$N$51,11,FALSE()),0))</f>
        <v/>
      </c>
      <c r="I34" s="28">
        <f>IF($B34="","",6*IFERROR(VLOOKUP(INDEX(' Toto teams'!$B$4:$B$119,MATCH($B34,' Toto teams'!$A$4:$A$119,0)),Scoring!$A$4:$O$51,15,FALSE()),0)+4*IFERROR(VLOOKUP(INDEX(' Toto teams'!$C$4:$C$119,MATCH($B34,' Toto teams'!$A$4:$A$119,0)),Scoring!$A$4:$O$51,15,FALSE()),0)+3*IFERROR(VLOOKUP(INDEX(' Toto teams'!$D$4:$D$119,MATCH($B34,' Toto teams'!$A$4:$A$119,0)),Scoring!$A$4:$O$51,15,FALSE()),0)+2*IFERROR(VLOOKUP(INDEX(' Toto teams'!$E$4:$E$119,MATCH($B34,' Toto teams'!$A$4:$A$119,0)),Scoring!$A$4:$O$51,15,FALSE()),0)+1*IFERROR(VLOOKUP(INDEX(' Toto teams'!$F$4:$F$119,MATCH($B34,' Toto teams'!$A$4:$A$119,0)),Scoring!$A$4:$O$51,15,FALSE()),0)+1*IFERROR(VLOOKUP(INDEX(' Toto teams'!$G$4:$G$119,MATCH($B34,' Toto teams'!$A$4:$A$119,0)),Scoring!$A$4:$O$51,15,FALSE()),0)+1*IFERROR(VLOOKUP(INDEX(' Toto teams'!$H$4:$H$119,MATCH($B34,' Toto teams'!$A$4:$A$119,0)),Scoring!$A$4:$O$51,15,FALSE()),0))</f>
        <v/>
      </c>
      <c r="J34" s="28">
        <f>IF($B34="","",6*IFERROR(VLOOKUP(INDEX(' Toto teams'!$B$4:$B$119,MATCH($B34,' Toto teams'!$A$4:$A$119,0)),Scoring!$A$4:$N$51,12,FALSE()),0)+4*IFERROR(VLOOKUP(INDEX(' Toto teams'!$C$4:$C$119,MATCH($B34,' Toto teams'!$A$4:$A$119,0)),Scoring!$A$4:$N$51,12,FALSE()),0)+3*IFERROR(VLOOKUP(INDEX(' Toto teams'!$D$4:$D$119,MATCH($B34,' Toto teams'!$A$4:$A$119,0)),Scoring!$A$4:$N$51,12,FALSE()),0)+2*IFERROR(VLOOKUP(INDEX(' Toto teams'!$E$4:$E$119,MATCH($B34,' Toto teams'!$A$4:$A$119,0)),Scoring!$A$4:$N$51,12,FALSE()),0)+1*IFERROR(VLOOKUP(INDEX(' Toto teams'!$F$4:$F$119,MATCH($B34,' Toto teams'!$A$4:$A$119,0)),Scoring!$A$4:$N$51,12,FALSE()),0)+1*IFERROR(VLOOKUP(INDEX(' Toto teams'!$G$4:$G$119,MATCH($B34,' Toto teams'!$A$4:$A$119,0)),Scoring!$A$4:$N$51,12,FALSE()),0)+1*IFERROR(VLOOKUP(INDEX(' Toto teams'!$H$4:$H$119,MATCH($B34,' Toto teams'!$A$4:$A$119,0)),Scoring!$A$4:$N$51,12,FALSE()),0))</f>
        <v/>
      </c>
      <c r="K34" s="29">
        <f>IF($B34="","",IFERROR(INDEX(' Toto teams'!$R$4:$R$119,MATCH($B34,' Toto teams'!$A$4:$A$119,0)),""))</f>
        <v/>
      </c>
      <c r="L34" s="30">
        <f>IFERROR(IF(B34="","",VLOOKUP(A34,$N$4:$R$12,5,FALSE())),0)</f>
        <v/>
      </c>
    </row>
    <row r="35" ht="12.75" customHeight="1">
      <c r="A35" s="26">
        <f>IF(32&gt;COUNTIF(' Toto teams'!$A$4:$A$119,"&lt;&gt;"),"",INDEX(' Toto teams'!$S$4:$S$119,MATCH(LARGE(' Toto teams'!$T$4:$T$119,32),' Toto teams'!$T$4:$T$119,0)))</f>
        <v/>
      </c>
      <c r="B35" s="27">
        <f>IF(32&gt;COUNTIF(' Toto teams'!$A$4:$A$119,"&lt;&gt;"),"",INDEX(' Toto teams'!$A$4:$A$119,MATCH(LARGE(' Toto teams'!$T$4:$T$119,32),' Toto teams'!$T$4:$T$119,0)))</f>
        <v/>
      </c>
      <c r="C35" s="28">
        <f>IF($B35="","",6*(IFERROR(VLOOKUP(INDEX(' Toto teams'!$B$4:$B$119,MATCH($B35,' Toto teams'!$A$4:$A$119,0)),Scoring!$A$4:$N$51,3,FALSE()),0)+IFERROR(VLOOKUP(INDEX(' Toto teams'!$B$4:$B$119,MATCH($B35,' Toto teams'!$A$4:$A$119,0)),Scoring!$A$4:$N$51,4,FALSE()),0)+IFERROR(VLOOKUP(INDEX(' Toto teams'!$B$4:$B$119,MATCH($B35,' Toto teams'!$A$4:$A$119,0)),Scoring!$A$4:$N$51,5,FALSE()),0))+4*(IFERROR(VLOOKUP(INDEX(' Toto teams'!$C$4:$C$119,MATCH($B35,' Toto teams'!$A$4:$A$119,0)),Scoring!$A$4:$N$51,3,FALSE()),0)+IFERROR(VLOOKUP(INDEX(' Toto teams'!$C$4:$C$119,MATCH($B35,' Toto teams'!$A$4:$A$119,0)),Scoring!$A$4:$N$51,4,FALSE()),0)+IFERROR(VLOOKUP(INDEX(' Toto teams'!$C$4:$C$119,MATCH($B35,' Toto teams'!$A$4:$A$119,0)),Scoring!$A$4:$N$51,5,FALSE()),0))+3*(IFERROR(VLOOKUP(INDEX(' Toto teams'!$D$4:$D$119,MATCH($B35,' Toto teams'!$A$4:$A$119,0)),Scoring!$A$4:$N$51,3,FALSE()),0)+IFERROR(VLOOKUP(INDEX(' Toto teams'!$D$4:$D$119,MATCH($B35,' Toto teams'!$A$4:$A$119,0)),Scoring!$A$4:$N$51,4,FALSE()),0)+IFERROR(VLOOKUP(INDEX(' Toto teams'!$D$4:$D$119,MATCH($B35,' Toto teams'!$A$4:$A$119,0)),Scoring!$A$4:$N$51,5,FALSE()),0))+2*(IFERROR(VLOOKUP(INDEX(' Toto teams'!$E$4:$E$119,MATCH($B35,' Toto teams'!$A$4:$A$119,0)),Scoring!$A$4:$N$51,3,FALSE()),0)+IFERROR(VLOOKUP(INDEX(' Toto teams'!$E$4:$E$119,MATCH($B35,' Toto teams'!$A$4:$A$119,0)),Scoring!$A$4:$N$51,4,FALSE()),0)+IFERROR(VLOOKUP(INDEX(' Toto teams'!$E$4:$E$119,MATCH($B35,' Toto teams'!$A$4:$A$119,0)),Scoring!$A$4:$N$51,5,FALSE()),0))+1*(IFERROR(VLOOKUP(INDEX(' Toto teams'!$F$4:$F$119,MATCH($B35,' Toto teams'!$A$4:$A$119,0)),Scoring!$A$4:$N$51,3,FALSE()),0)+IFERROR(VLOOKUP(INDEX(' Toto teams'!$F$4:$F$119,MATCH($B35,' Toto teams'!$A$4:$A$119,0)),Scoring!$A$4:$N$51,4,FALSE()),0)+IFERROR(VLOOKUP(INDEX(' Toto teams'!$F$4:$F$119,MATCH($B35,' Toto teams'!$A$4:$A$119,0)),Scoring!$A$4:$N$51,5,FALSE()),0))+1*(IFERROR(VLOOKUP(INDEX(' Toto teams'!$G$4:$G$119,MATCH($B35,' Toto teams'!$A$4:$A$119,0)),Scoring!$A$4:$N$51,3,FALSE()),0)+IFERROR(VLOOKUP(INDEX(' Toto teams'!$G$4:$G$119,MATCH($B35,' Toto teams'!$A$4:$A$119,0)),Scoring!$A$4:$N$51,4,FALSE()),0)+IFERROR(VLOOKUP(INDEX(' Toto teams'!$G$4:$G$119,MATCH($B35,' Toto teams'!$A$4:$A$119,0)),Scoring!$A$4:$N$51,5,FALSE()),0))+1*(IFERROR(VLOOKUP(INDEX(' Toto teams'!$H$4:$H$119,MATCH($B35,' Toto teams'!$A$4:$A$119,0)),Scoring!$A$4:$N$51,3,FALSE()),0)+IFERROR(VLOOKUP(INDEX(' Toto teams'!$H$4:$H$119,MATCH($B35,' Toto teams'!$A$4:$A$119,0)),Scoring!$A$4:$N$51,4,FALSE()),0)+IFERROR(VLOOKUP(INDEX(' Toto teams'!$H$4:$H$119,MATCH($B35,' Toto teams'!$A$4:$A$119,0)),Scoring!$A$4:$N$51,5,FALSE()),0))+IFERROR(INDEX(' Toto teams'!$Q$4:$Q$119,MATCH($B35,' Toto teams'!$A$4:$A$119,0))*1,0))</f>
        <v/>
      </c>
      <c r="D35" s="28">
        <f>IF($B35="","",6*IFERROR(VLOOKUP(INDEX(' Toto teams'!$B$4:$B$119,MATCH($B35,' Toto teams'!$A$4:$A$119,0)),Scoring!$A$4:$N$51,7,FALSE()),0)+4*IFERROR(VLOOKUP(INDEX(' Toto teams'!$C$4:$C$119,MATCH($B35,' Toto teams'!$A$4:$A$119,0)),Scoring!$A$4:$N$51,7,FALSE()),0)+3*IFERROR(VLOOKUP(INDEX(' Toto teams'!$D$4:$D$119,MATCH($B35,' Toto teams'!$A$4:$A$119,0)),Scoring!$A$4:$N$51,7,FALSE()),0)+2*IFERROR(VLOOKUP(INDEX(' Toto teams'!$E$4:$E$119,MATCH($B35,' Toto teams'!$A$4:$A$119,0)),Scoring!$A$4:$N$51,7,FALSE()),0)+1*IFERROR(VLOOKUP(INDEX(' Toto teams'!$F$4:$F$119,MATCH($B35,' Toto teams'!$A$4:$A$119,0)),Scoring!$A$4:$N$51,7,FALSE()),0)+1*IFERROR(VLOOKUP(INDEX(' Toto teams'!$G$4:$G$119,MATCH($B35,' Toto teams'!$A$4:$A$119,0)),Scoring!$A$4:$N$51,7,FALSE()),0)+1*IFERROR(VLOOKUP(INDEX(' Toto teams'!$H$4:$H$119,MATCH($B35,' Toto teams'!$A$4:$A$119,0)),Scoring!$A$4:$N$51,7,FALSE()),0))</f>
        <v/>
      </c>
      <c r="E35" s="28">
        <f>IF($B35="","",6*IFERROR(VLOOKUP(INDEX(' Toto teams'!$B$4:$B$119,MATCH($B35,' Toto teams'!$A$4:$A$119,0)),Scoring!$A$4:$N$51,8,FALSE()),0)+4*IFERROR(VLOOKUP(INDEX(' Toto teams'!$C$4:$C$119,MATCH($B35,' Toto teams'!$A$4:$A$119,0)),Scoring!$A$4:$N$51,8,FALSE()),0)+3*IFERROR(VLOOKUP(INDEX(' Toto teams'!$D$4:$D$119,MATCH($B35,' Toto teams'!$A$4:$A$119,0)),Scoring!$A$4:$N$51,8,FALSE()),0)+2*IFERROR(VLOOKUP(INDEX(' Toto teams'!$E$4:$E$119,MATCH($B35,' Toto teams'!$A$4:$A$119,0)),Scoring!$A$4:$N$51,8,FALSE()),0)+1*IFERROR(VLOOKUP(INDEX(' Toto teams'!$F$4:$F$119,MATCH($B35,' Toto teams'!$A$4:$A$119,0)),Scoring!$A$4:$N$51,8,FALSE()),0)+1*IFERROR(VLOOKUP(INDEX(' Toto teams'!$G$4:$G$119,MATCH($B35,' Toto teams'!$A$4:$A$119,0)),Scoring!$A$4:$N$51,8,FALSE()),0)+1*IFERROR(VLOOKUP(INDEX(' Toto teams'!$H$4:$H$119,MATCH($B35,' Toto teams'!$A$4:$A$119,0)),Scoring!$A$4:$N$51,8,FALSE()),0))</f>
        <v/>
      </c>
      <c r="F35" s="28">
        <f>IF($B35="","",6*IFERROR(VLOOKUP(INDEX(' Toto teams'!$B$4:$B$119,MATCH($B35,' Toto teams'!$A$4:$A$119,0)),Scoring!$A$4:$N$51,9,FALSE()),0)+4*IFERROR(VLOOKUP(INDEX(' Toto teams'!$C$4:$C$119,MATCH($B35,' Toto teams'!$A$4:$A$119,0)),Scoring!$A$4:$N$51,9,FALSE()),0)+3*IFERROR(VLOOKUP(INDEX(' Toto teams'!$D$4:$D$119,MATCH($B35,' Toto teams'!$A$4:$A$119,0)),Scoring!$A$4:$N$51,9,FALSE()),0)+2*IFERROR(VLOOKUP(INDEX(' Toto teams'!$E$4:$E$119,MATCH($B35,' Toto teams'!$A$4:$A$119,0)),Scoring!$A$4:$N$51,9,FALSE()),0)+1*IFERROR(VLOOKUP(INDEX(' Toto teams'!$F$4:$F$119,MATCH($B35,' Toto teams'!$A$4:$A$119,0)),Scoring!$A$4:$N$51,9,FALSE()),0)+1*IFERROR(VLOOKUP(INDEX(' Toto teams'!$G$4:$G$119,MATCH($B35,' Toto teams'!$A$4:$A$119,0)),Scoring!$A$4:$N$51,9,FALSE()),0)+1*IFERROR(VLOOKUP(INDEX(' Toto teams'!$H$4:$H$119,MATCH($B35,' Toto teams'!$A$4:$A$119,0)),Scoring!$A$4:$N$51,9,FALSE()),0))</f>
        <v/>
      </c>
      <c r="G35" s="28">
        <f>IF($B35="","",6*IFERROR(VLOOKUP(INDEX(' Toto teams'!$B$4:$B$119,MATCH($B35,' Toto teams'!$A$4:$A$119,0)),Scoring!$A$4:$N$51,10,FALSE()),0)+4*IFERROR(VLOOKUP(INDEX(' Toto teams'!$C$4:$C$119,MATCH($B35,' Toto teams'!$A$4:$A$119,0)),Scoring!$A$4:$N$51,10,FALSE()),0)+3*IFERROR(VLOOKUP(INDEX(' Toto teams'!$D$4:$D$119,MATCH($B35,' Toto teams'!$A$4:$A$119,0)),Scoring!$A$4:$N$51,10,FALSE()),0)+2*IFERROR(VLOOKUP(INDEX(' Toto teams'!$E$4:$E$119,MATCH($B35,' Toto teams'!$A$4:$A$119,0)),Scoring!$A$4:$N$51,10,FALSE()),0)+1*IFERROR(VLOOKUP(INDEX(' Toto teams'!$F$4:$F$119,MATCH($B35,' Toto teams'!$A$4:$A$119,0)),Scoring!$A$4:$N$51,10,FALSE()),0)+1*IFERROR(VLOOKUP(INDEX(' Toto teams'!$G$4:$G$119,MATCH($B35,' Toto teams'!$A$4:$A$119,0)),Scoring!$A$4:$N$51,10,FALSE()),0)+1*IFERROR(VLOOKUP(INDEX(' Toto teams'!$H$4:$H$119,MATCH($B35,' Toto teams'!$A$4:$A$119,0)),Scoring!$A$4:$N$51,10,FALSE()),0))</f>
        <v/>
      </c>
      <c r="H35" s="28">
        <f>IF($B35="","",6*IFERROR(VLOOKUP(INDEX(' Toto teams'!$B$4:$B$119,MATCH($B35,' Toto teams'!$A$4:$A$119,0)),Scoring!$A$4:$N$51,11,FALSE()),0)+4*IFERROR(VLOOKUP(INDEX(' Toto teams'!$C$4:$C$119,MATCH($B35,' Toto teams'!$A$4:$A$119,0)),Scoring!$A$4:$N$51,11,FALSE()),0)+3*IFERROR(VLOOKUP(INDEX(' Toto teams'!$D$4:$D$119,MATCH($B35,' Toto teams'!$A$4:$A$119,0)),Scoring!$A$4:$N$51,11,FALSE()),0)+2*IFERROR(VLOOKUP(INDEX(' Toto teams'!$E$4:$E$119,MATCH($B35,' Toto teams'!$A$4:$A$119,0)),Scoring!$A$4:$N$51,11,FALSE()),0)+1*IFERROR(VLOOKUP(INDEX(' Toto teams'!$F$4:$F$119,MATCH($B35,' Toto teams'!$A$4:$A$119,0)),Scoring!$A$4:$N$51,11,FALSE()),0)+1*IFERROR(VLOOKUP(INDEX(' Toto teams'!$G$4:$G$119,MATCH($B35,' Toto teams'!$A$4:$A$119,0)),Scoring!$A$4:$N$51,11,FALSE()),0)+1*IFERROR(VLOOKUP(INDEX(' Toto teams'!$H$4:$H$119,MATCH($B35,' Toto teams'!$A$4:$A$119,0)),Scoring!$A$4:$N$51,11,FALSE()),0))</f>
        <v/>
      </c>
      <c r="I35" s="28">
        <f>IF($B35="","",6*IFERROR(VLOOKUP(INDEX(' Toto teams'!$B$4:$B$119,MATCH($B35,' Toto teams'!$A$4:$A$119,0)),Scoring!$A$4:$O$51,15,FALSE()),0)+4*IFERROR(VLOOKUP(INDEX(' Toto teams'!$C$4:$C$119,MATCH($B35,' Toto teams'!$A$4:$A$119,0)),Scoring!$A$4:$O$51,15,FALSE()),0)+3*IFERROR(VLOOKUP(INDEX(' Toto teams'!$D$4:$D$119,MATCH($B35,' Toto teams'!$A$4:$A$119,0)),Scoring!$A$4:$O$51,15,FALSE()),0)+2*IFERROR(VLOOKUP(INDEX(' Toto teams'!$E$4:$E$119,MATCH($B35,' Toto teams'!$A$4:$A$119,0)),Scoring!$A$4:$O$51,15,FALSE()),0)+1*IFERROR(VLOOKUP(INDEX(' Toto teams'!$F$4:$F$119,MATCH($B35,' Toto teams'!$A$4:$A$119,0)),Scoring!$A$4:$O$51,15,FALSE()),0)+1*IFERROR(VLOOKUP(INDEX(' Toto teams'!$G$4:$G$119,MATCH($B35,' Toto teams'!$A$4:$A$119,0)),Scoring!$A$4:$O$51,15,FALSE()),0)+1*IFERROR(VLOOKUP(INDEX(' Toto teams'!$H$4:$H$119,MATCH($B35,' Toto teams'!$A$4:$A$119,0)),Scoring!$A$4:$O$51,15,FALSE()),0))</f>
        <v/>
      </c>
      <c r="J35" s="28">
        <f>IF($B35="","",6*IFERROR(VLOOKUP(INDEX(' Toto teams'!$B$4:$B$119,MATCH($B35,' Toto teams'!$A$4:$A$119,0)),Scoring!$A$4:$N$51,12,FALSE()),0)+4*IFERROR(VLOOKUP(INDEX(' Toto teams'!$C$4:$C$119,MATCH($B35,' Toto teams'!$A$4:$A$119,0)),Scoring!$A$4:$N$51,12,FALSE()),0)+3*IFERROR(VLOOKUP(INDEX(' Toto teams'!$D$4:$D$119,MATCH($B35,' Toto teams'!$A$4:$A$119,0)),Scoring!$A$4:$N$51,12,FALSE()),0)+2*IFERROR(VLOOKUP(INDEX(' Toto teams'!$E$4:$E$119,MATCH($B35,' Toto teams'!$A$4:$A$119,0)),Scoring!$A$4:$N$51,12,FALSE()),0)+1*IFERROR(VLOOKUP(INDEX(' Toto teams'!$F$4:$F$119,MATCH($B35,' Toto teams'!$A$4:$A$119,0)),Scoring!$A$4:$N$51,12,FALSE()),0)+1*IFERROR(VLOOKUP(INDEX(' Toto teams'!$G$4:$G$119,MATCH($B35,' Toto teams'!$A$4:$A$119,0)),Scoring!$A$4:$N$51,12,FALSE()),0)+1*IFERROR(VLOOKUP(INDEX(' Toto teams'!$H$4:$H$119,MATCH($B35,' Toto teams'!$A$4:$A$119,0)),Scoring!$A$4:$N$51,12,FALSE()),0))</f>
        <v/>
      </c>
      <c r="K35" s="29">
        <f>IF($B35="","",IFERROR(INDEX(' Toto teams'!$R$4:$R$119,MATCH($B35,' Toto teams'!$A$4:$A$119,0)),""))</f>
        <v/>
      </c>
      <c r="L35" s="30">
        <f>IFERROR(IF(B35="","",VLOOKUP(A35,$N$4:$R$12,5,FALSE())),0)</f>
        <v/>
      </c>
    </row>
    <row r="36" ht="12.75" customHeight="1">
      <c r="A36" s="26">
        <f>IF(33&gt;COUNTIF(' Toto teams'!$A$4:$A$119,"&lt;&gt;"),"",INDEX(' Toto teams'!$S$4:$S$119,MATCH(LARGE(' Toto teams'!$T$4:$T$119,33),' Toto teams'!$T$4:$T$119,0)))</f>
        <v/>
      </c>
      <c r="B36" s="27">
        <f>IF(33&gt;COUNTIF(' Toto teams'!$A$4:$A$119,"&lt;&gt;"),"",INDEX(' Toto teams'!$A$4:$A$119,MATCH(LARGE(' Toto teams'!$T$4:$T$119,33),' Toto teams'!$T$4:$T$119,0)))</f>
        <v/>
      </c>
      <c r="C36" s="28">
        <f>IF($B36="","",6*(IFERROR(VLOOKUP(INDEX(' Toto teams'!$B$4:$B$119,MATCH($B36,' Toto teams'!$A$4:$A$119,0)),Scoring!$A$4:$N$51,3,FALSE()),0)+IFERROR(VLOOKUP(INDEX(' Toto teams'!$B$4:$B$119,MATCH($B36,' Toto teams'!$A$4:$A$119,0)),Scoring!$A$4:$N$51,4,FALSE()),0)+IFERROR(VLOOKUP(INDEX(' Toto teams'!$B$4:$B$119,MATCH($B36,' Toto teams'!$A$4:$A$119,0)),Scoring!$A$4:$N$51,5,FALSE()),0))+4*(IFERROR(VLOOKUP(INDEX(' Toto teams'!$C$4:$C$119,MATCH($B36,' Toto teams'!$A$4:$A$119,0)),Scoring!$A$4:$N$51,3,FALSE()),0)+IFERROR(VLOOKUP(INDEX(' Toto teams'!$C$4:$C$119,MATCH($B36,' Toto teams'!$A$4:$A$119,0)),Scoring!$A$4:$N$51,4,FALSE()),0)+IFERROR(VLOOKUP(INDEX(' Toto teams'!$C$4:$C$119,MATCH($B36,' Toto teams'!$A$4:$A$119,0)),Scoring!$A$4:$N$51,5,FALSE()),0))+3*(IFERROR(VLOOKUP(INDEX(' Toto teams'!$D$4:$D$119,MATCH($B36,' Toto teams'!$A$4:$A$119,0)),Scoring!$A$4:$N$51,3,FALSE()),0)+IFERROR(VLOOKUP(INDEX(' Toto teams'!$D$4:$D$119,MATCH($B36,' Toto teams'!$A$4:$A$119,0)),Scoring!$A$4:$N$51,4,FALSE()),0)+IFERROR(VLOOKUP(INDEX(' Toto teams'!$D$4:$D$119,MATCH($B36,' Toto teams'!$A$4:$A$119,0)),Scoring!$A$4:$N$51,5,FALSE()),0))+2*(IFERROR(VLOOKUP(INDEX(' Toto teams'!$E$4:$E$119,MATCH($B36,' Toto teams'!$A$4:$A$119,0)),Scoring!$A$4:$N$51,3,FALSE()),0)+IFERROR(VLOOKUP(INDEX(' Toto teams'!$E$4:$E$119,MATCH($B36,' Toto teams'!$A$4:$A$119,0)),Scoring!$A$4:$N$51,4,FALSE()),0)+IFERROR(VLOOKUP(INDEX(' Toto teams'!$E$4:$E$119,MATCH($B36,' Toto teams'!$A$4:$A$119,0)),Scoring!$A$4:$N$51,5,FALSE()),0))+1*(IFERROR(VLOOKUP(INDEX(' Toto teams'!$F$4:$F$119,MATCH($B36,' Toto teams'!$A$4:$A$119,0)),Scoring!$A$4:$N$51,3,FALSE()),0)+IFERROR(VLOOKUP(INDEX(' Toto teams'!$F$4:$F$119,MATCH($B36,' Toto teams'!$A$4:$A$119,0)),Scoring!$A$4:$N$51,4,FALSE()),0)+IFERROR(VLOOKUP(INDEX(' Toto teams'!$F$4:$F$119,MATCH($B36,' Toto teams'!$A$4:$A$119,0)),Scoring!$A$4:$N$51,5,FALSE()),0))+1*(IFERROR(VLOOKUP(INDEX(' Toto teams'!$G$4:$G$119,MATCH($B36,' Toto teams'!$A$4:$A$119,0)),Scoring!$A$4:$N$51,3,FALSE()),0)+IFERROR(VLOOKUP(INDEX(' Toto teams'!$G$4:$G$119,MATCH($B36,' Toto teams'!$A$4:$A$119,0)),Scoring!$A$4:$N$51,4,FALSE()),0)+IFERROR(VLOOKUP(INDEX(' Toto teams'!$G$4:$G$119,MATCH($B36,' Toto teams'!$A$4:$A$119,0)),Scoring!$A$4:$N$51,5,FALSE()),0))+1*(IFERROR(VLOOKUP(INDEX(' Toto teams'!$H$4:$H$119,MATCH($B36,' Toto teams'!$A$4:$A$119,0)),Scoring!$A$4:$N$51,3,FALSE()),0)+IFERROR(VLOOKUP(INDEX(' Toto teams'!$H$4:$H$119,MATCH($B36,' Toto teams'!$A$4:$A$119,0)),Scoring!$A$4:$N$51,4,FALSE()),0)+IFERROR(VLOOKUP(INDEX(' Toto teams'!$H$4:$H$119,MATCH($B36,' Toto teams'!$A$4:$A$119,0)),Scoring!$A$4:$N$51,5,FALSE()),0))+IFERROR(INDEX(' Toto teams'!$Q$4:$Q$119,MATCH($B36,' Toto teams'!$A$4:$A$119,0))*1,0))</f>
        <v/>
      </c>
      <c r="D36" s="28">
        <f>IF($B36="","",6*IFERROR(VLOOKUP(INDEX(' Toto teams'!$B$4:$B$119,MATCH($B36,' Toto teams'!$A$4:$A$119,0)),Scoring!$A$4:$N$51,7,FALSE()),0)+4*IFERROR(VLOOKUP(INDEX(' Toto teams'!$C$4:$C$119,MATCH($B36,' Toto teams'!$A$4:$A$119,0)),Scoring!$A$4:$N$51,7,FALSE()),0)+3*IFERROR(VLOOKUP(INDEX(' Toto teams'!$D$4:$D$119,MATCH($B36,' Toto teams'!$A$4:$A$119,0)),Scoring!$A$4:$N$51,7,FALSE()),0)+2*IFERROR(VLOOKUP(INDEX(' Toto teams'!$E$4:$E$119,MATCH($B36,' Toto teams'!$A$4:$A$119,0)),Scoring!$A$4:$N$51,7,FALSE()),0)+1*IFERROR(VLOOKUP(INDEX(' Toto teams'!$F$4:$F$119,MATCH($B36,' Toto teams'!$A$4:$A$119,0)),Scoring!$A$4:$N$51,7,FALSE()),0)+1*IFERROR(VLOOKUP(INDEX(' Toto teams'!$G$4:$G$119,MATCH($B36,' Toto teams'!$A$4:$A$119,0)),Scoring!$A$4:$N$51,7,FALSE()),0)+1*IFERROR(VLOOKUP(INDEX(' Toto teams'!$H$4:$H$119,MATCH($B36,' Toto teams'!$A$4:$A$119,0)),Scoring!$A$4:$N$51,7,FALSE()),0))</f>
        <v/>
      </c>
      <c r="E36" s="28">
        <f>IF($B36="","",6*IFERROR(VLOOKUP(INDEX(' Toto teams'!$B$4:$B$119,MATCH($B36,' Toto teams'!$A$4:$A$119,0)),Scoring!$A$4:$N$51,8,FALSE()),0)+4*IFERROR(VLOOKUP(INDEX(' Toto teams'!$C$4:$C$119,MATCH($B36,' Toto teams'!$A$4:$A$119,0)),Scoring!$A$4:$N$51,8,FALSE()),0)+3*IFERROR(VLOOKUP(INDEX(' Toto teams'!$D$4:$D$119,MATCH($B36,' Toto teams'!$A$4:$A$119,0)),Scoring!$A$4:$N$51,8,FALSE()),0)+2*IFERROR(VLOOKUP(INDEX(' Toto teams'!$E$4:$E$119,MATCH($B36,' Toto teams'!$A$4:$A$119,0)),Scoring!$A$4:$N$51,8,FALSE()),0)+1*IFERROR(VLOOKUP(INDEX(' Toto teams'!$F$4:$F$119,MATCH($B36,' Toto teams'!$A$4:$A$119,0)),Scoring!$A$4:$N$51,8,FALSE()),0)+1*IFERROR(VLOOKUP(INDEX(' Toto teams'!$G$4:$G$119,MATCH($B36,' Toto teams'!$A$4:$A$119,0)),Scoring!$A$4:$N$51,8,FALSE()),0)+1*IFERROR(VLOOKUP(INDEX(' Toto teams'!$H$4:$H$119,MATCH($B36,' Toto teams'!$A$4:$A$119,0)),Scoring!$A$4:$N$51,8,FALSE()),0))</f>
        <v/>
      </c>
      <c r="F36" s="28">
        <f>IF($B36="","",6*IFERROR(VLOOKUP(INDEX(' Toto teams'!$B$4:$B$119,MATCH($B36,' Toto teams'!$A$4:$A$119,0)),Scoring!$A$4:$N$51,9,FALSE()),0)+4*IFERROR(VLOOKUP(INDEX(' Toto teams'!$C$4:$C$119,MATCH($B36,' Toto teams'!$A$4:$A$119,0)),Scoring!$A$4:$N$51,9,FALSE()),0)+3*IFERROR(VLOOKUP(INDEX(' Toto teams'!$D$4:$D$119,MATCH($B36,' Toto teams'!$A$4:$A$119,0)),Scoring!$A$4:$N$51,9,FALSE()),0)+2*IFERROR(VLOOKUP(INDEX(' Toto teams'!$E$4:$E$119,MATCH($B36,' Toto teams'!$A$4:$A$119,0)),Scoring!$A$4:$N$51,9,FALSE()),0)+1*IFERROR(VLOOKUP(INDEX(' Toto teams'!$F$4:$F$119,MATCH($B36,' Toto teams'!$A$4:$A$119,0)),Scoring!$A$4:$N$51,9,FALSE()),0)+1*IFERROR(VLOOKUP(INDEX(' Toto teams'!$G$4:$G$119,MATCH($B36,' Toto teams'!$A$4:$A$119,0)),Scoring!$A$4:$N$51,9,FALSE()),0)+1*IFERROR(VLOOKUP(INDEX(' Toto teams'!$H$4:$H$119,MATCH($B36,' Toto teams'!$A$4:$A$119,0)),Scoring!$A$4:$N$51,9,FALSE()),0))</f>
        <v/>
      </c>
      <c r="G36" s="28">
        <f>IF($B36="","",6*IFERROR(VLOOKUP(INDEX(' Toto teams'!$B$4:$B$119,MATCH($B36,' Toto teams'!$A$4:$A$119,0)),Scoring!$A$4:$N$51,10,FALSE()),0)+4*IFERROR(VLOOKUP(INDEX(' Toto teams'!$C$4:$C$119,MATCH($B36,' Toto teams'!$A$4:$A$119,0)),Scoring!$A$4:$N$51,10,FALSE()),0)+3*IFERROR(VLOOKUP(INDEX(' Toto teams'!$D$4:$D$119,MATCH($B36,' Toto teams'!$A$4:$A$119,0)),Scoring!$A$4:$N$51,10,FALSE()),0)+2*IFERROR(VLOOKUP(INDEX(' Toto teams'!$E$4:$E$119,MATCH($B36,' Toto teams'!$A$4:$A$119,0)),Scoring!$A$4:$N$51,10,FALSE()),0)+1*IFERROR(VLOOKUP(INDEX(' Toto teams'!$F$4:$F$119,MATCH($B36,' Toto teams'!$A$4:$A$119,0)),Scoring!$A$4:$N$51,10,FALSE()),0)+1*IFERROR(VLOOKUP(INDEX(' Toto teams'!$G$4:$G$119,MATCH($B36,' Toto teams'!$A$4:$A$119,0)),Scoring!$A$4:$N$51,10,FALSE()),0)+1*IFERROR(VLOOKUP(INDEX(' Toto teams'!$H$4:$H$119,MATCH($B36,' Toto teams'!$A$4:$A$119,0)),Scoring!$A$4:$N$51,10,FALSE()),0))</f>
        <v/>
      </c>
      <c r="H36" s="28">
        <f>IF($B36="","",6*IFERROR(VLOOKUP(INDEX(' Toto teams'!$B$4:$B$119,MATCH($B36,' Toto teams'!$A$4:$A$119,0)),Scoring!$A$4:$N$51,11,FALSE()),0)+4*IFERROR(VLOOKUP(INDEX(' Toto teams'!$C$4:$C$119,MATCH($B36,' Toto teams'!$A$4:$A$119,0)),Scoring!$A$4:$N$51,11,FALSE()),0)+3*IFERROR(VLOOKUP(INDEX(' Toto teams'!$D$4:$D$119,MATCH($B36,' Toto teams'!$A$4:$A$119,0)),Scoring!$A$4:$N$51,11,FALSE()),0)+2*IFERROR(VLOOKUP(INDEX(' Toto teams'!$E$4:$E$119,MATCH($B36,' Toto teams'!$A$4:$A$119,0)),Scoring!$A$4:$N$51,11,FALSE()),0)+1*IFERROR(VLOOKUP(INDEX(' Toto teams'!$F$4:$F$119,MATCH($B36,' Toto teams'!$A$4:$A$119,0)),Scoring!$A$4:$N$51,11,FALSE()),0)+1*IFERROR(VLOOKUP(INDEX(' Toto teams'!$G$4:$G$119,MATCH($B36,' Toto teams'!$A$4:$A$119,0)),Scoring!$A$4:$N$51,11,FALSE()),0)+1*IFERROR(VLOOKUP(INDEX(' Toto teams'!$H$4:$H$119,MATCH($B36,' Toto teams'!$A$4:$A$119,0)),Scoring!$A$4:$N$51,11,FALSE()),0))</f>
        <v/>
      </c>
      <c r="I36" s="28">
        <f>IF($B36="","",6*IFERROR(VLOOKUP(INDEX(' Toto teams'!$B$4:$B$119,MATCH($B36,' Toto teams'!$A$4:$A$119,0)),Scoring!$A$4:$O$51,15,FALSE()),0)+4*IFERROR(VLOOKUP(INDEX(' Toto teams'!$C$4:$C$119,MATCH($B36,' Toto teams'!$A$4:$A$119,0)),Scoring!$A$4:$O$51,15,FALSE()),0)+3*IFERROR(VLOOKUP(INDEX(' Toto teams'!$D$4:$D$119,MATCH($B36,' Toto teams'!$A$4:$A$119,0)),Scoring!$A$4:$O$51,15,FALSE()),0)+2*IFERROR(VLOOKUP(INDEX(' Toto teams'!$E$4:$E$119,MATCH($B36,' Toto teams'!$A$4:$A$119,0)),Scoring!$A$4:$O$51,15,FALSE()),0)+1*IFERROR(VLOOKUP(INDEX(' Toto teams'!$F$4:$F$119,MATCH($B36,' Toto teams'!$A$4:$A$119,0)),Scoring!$A$4:$O$51,15,FALSE()),0)+1*IFERROR(VLOOKUP(INDEX(' Toto teams'!$G$4:$G$119,MATCH($B36,' Toto teams'!$A$4:$A$119,0)),Scoring!$A$4:$O$51,15,FALSE()),0)+1*IFERROR(VLOOKUP(INDEX(' Toto teams'!$H$4:$H$119,MATCH($B36,' Toto teams'!$A$4:$A$119,0)),Scoring!$A$4:$O$51,15,FALSE()),0))</f>
        <v/>
      </c>
      <c r="J36" s="28">
        <f>IF($B36="","",6*IFERROR(VLOOKUP(INDEX(' Toto teams'!$B$4:$B$119,MATCH($B36,' Toto teams'!$A$4:$A$119,0)),Scoring!$A$4:$N$51,12,FALSE()),0)+4*IFERROR(VLOOKUP(INDEX(' Toto teams'!$C$4:$C$119,MATCH($B36,' Toto teams'!$A$4:$A$119,0)),Scoring!$A$4:$N$51,12,FALSE()),0)+3*IFERROR(VLOOKUP(INDEX(' Toto teams'!$D$4:$D$119,MATCH($B36,' Toto teams'!$A$4:$A$119,0)),Scoring!$A$4:$N$51,12,FALSE()),0)+2*IFERROR(VLOOKUP(INDEX(' Toto teams'!$E$4:$E$119,MATCH($B36,' Toto teams'!$A$4:$A$119,0)),Scoring!$A$4:$N$51,12,FALSE()),0)+1*IFERROR(VLOOKUP(INDEX(' Toto teams'!$F$4:$F$119,MATCH($B36,' Toto teams'!$A$4:$A$119,0)),Scoring!$A$4:$N$51,12,FALSE()),0)+1*IFERROR(VLOOKUP(INDEX(' Toto teams'!$G$4:$G$119,MATCH($B36,' Toto teams'!$A$4:$A$119,0)),Scoring!$A$4:$N$51,12,FALSE()),0)+1*IFERROR(VLOOKUP(INDEX(' Toto teams'!$H$4:$H$119,MATCH($B36,' Toto teams'!$A$4:$A$119,0)),Scoring!$A$4:$N$51,12,FALSE()),0))</f>
        <v/>
      </c>
      <c r="K36" s="29">
        <f>IF($B36="","",IFERROR(INDEX(' Toto teams'!$R$4:$R$119,MATCH($B36,' Toto teams'!$A$4:$A$119,0)),""))</f>
        <v/>
      </c>
      <c r="L36" s="30">
        <f>IFERROR(IF(B36="","",VLOOKUP(A36,$N$4:$R$12,5,FALSE())),0)</f>
        <v/>
      </c>
    </row>
    <row r="37" ht="12.75" customHeight="1">
      <c r="A37" s="26">
        <f>IF(34&gt;COUNTIF(' Toto teams'!$A$4:$A$119,"&lt;&gt;"),"",INDEX(' Toto teams'!$S$4:$S$119,MATCH(LARGE(' Toto teams'!$T$4:$T$119,34),' Toto teams'!$T$4:$T$119,0)))</f>
        <v/>
      </c>
      <c r="B37" s="27">
        <f>IF(34&gt;COUNTIF(' Toto teams'!$A$4:$A$119,"&lt;&gt;"),"",INDEX(' Toto teams'!$A$4:$A$119,MATCH(LARGE(' Toto teams'!$T$4:$T$119,34),' Toto teams'!$T$4:$T$119,0)))</f>
        <v/>
      </c>
      <c r="C37" s="28">
        <f>IF($B37="","",6*(IFERROR(VLOOKUP(INDEX(' Toto teams'!$B$4:$B$119,MATCH($B37,' Toto teams'!$A$4:$A$119,0)),Scoring!$A$4:$N$51,3,FALSE()),0)+IFERROR(VLOOKUP(INDEX(' Toto teams'!$B$4:$B$119,MATCH($B37,' Toto teams'!$A$4:$A$119,0)),Scoring!$A$4:$N$51,4,FALSE()),0)+IFERROR(VLOOKUP(INDEX(' Toto teams'!$B$4:$B$119,MATCH($B37,' Toto teams'!$A$4:$A$119,0)),Scoring!$A$4:$N$51,5,FALSE()),0))+4*(IFERROR(VLOOKUP(INDEX(' Toto teams'!$C$4:$C$119,MATCH($B37,' Toto teams'!$A$4:$A$119,0)),Scoring!$A$4:$N$51,3,FALSE()),0)+IFERROR(VLOOKUP(INDEX(' Toto teams'!$C$4:$C$119,MATCH($B37,' Toto teams'!$A$4:$A$119,0)),Scoring!$A$4:$N$51,4,FALSE()),0)+IFERROR(VLOOKUP(INDEX(' Toto teams'!$C$4:$C$119,MATCH($B37,' Toto teams'!$A$4:$A$119,0)),Scoring!$A$4:$N$51,5,FALSE()),0))+3*(IFERROR(VLOOKUP(INDEX(' Toto teams'!$D$4:$D$119,MATCH($B37,' Toto teams'!$A$4:$A$119,0)),Scoring!$A$4:$N$51,3,FALSE()),0)+IFERROR(VLOOKUP(INDEX(' Toto teams'!$D$4:$D$119,MATCH($B37,' Toto teams'!$A$4:$A$119,0)),Scoring!$A$4:$N$51,4,FALSE()),0)+IFERROR(VLOOKUP(INDEX(' Toto teams'!$D$4:$D$119,MATCH($B37,' Toto teams'!$A$4:$A$119,0)),Scoring!$A$4:$N$51,5,FALSE()),0))+2*(IFERROR(VLOOKUP(INDEX(' Toto teams'!$E$4:$E$119,MATCH($B37,' Toto teams'!$A$4:$A$119,0)),Scoring!$A$4:$N$51,3,FALSE()),0)+IFERROR(VLOOKUP(INDEX(' Toto teams'!$E$4:$E$119,MATCH($B37,' Toto teams'!$A$4:$A$119,0)),Scoring!$A$4:$N$51,4,FALSE()),0)+IFERROR(VLOOKUP(INDEX(' Toto teams'!$E$4:$E$119,MATCH($B37,' Toto teams'!$A$4:$A$119,0)),Scoring!$A$4:$N$51,5,FALSE()),0))+1*(IFERROR(VLOOKUP(INDEX(' Toto teams'!$F$4:$F$119,MATCH($B37,' Toto teams'!$A$4:$A$119,0)),Scoring!$A$4:$N$51,3,FALSE()),0)+IFERROR(VLOOKUP(INDEX(' Toto teams'!$F$4:$F$119,MATCH($B37,' Toto teams'!$A$4:$A$119,0)),Scoring!$A$4:$N$51,4,FALSE()),0)+IFERROR(VLOOKUP(INDEX(' Toto teams'!$F$4:$F$119,MATCH($B37,' Toto teams'!$A$4:$A$119,0)),Scoring!$A$4:$N$51,5,FALSE()),0))+1*(IFERROR(VLOOKUP(INDEX(' Toto teams'!$G$4:$G$119,MATCH($B37,' Toto teams'!$A$4:$A$119,0)),Scoring!$A$4:$N$51,3,FALSE()),0)+IFERROR(VLOOKUP(INDEX(' Toto teams'!$G$4:$G$119,MATCH($B37,' Toto teams'!$A$4:$A$119,0)),Scoring!$A$4:$N$51,4,FALSE()),0)+IFERROR(VLOOKUP(INDEX(' Toto teams'!$G$4:$G$119,MATCH($B37,' Toto teams'!$A$4:$A$119,0)),Scoring!$A$4:$N$51,5,FALSE()),0))+1*(IFERROR(VLOOKUP(INDEX(' Toto teams'!$H$4:$H$119,MATCH($B37,' Toto teams'!$A$4:$A$119,0)),Scoring!$A$4:$N$51,3,FALSE()),0)+IFERROR(VLOOKUP(INDEX(' Toto teams'!$H$4:$H$119,MATCH($B37,' Toto teams'!$A$4:$A$119,0)),Scoring!$A$4:$N$51,4,FALSE()),0)+IFERROR(VLOOKUP(INDEX(' Toto teams'!$H$4:$H$119,MATCH($B37,' Toto teams'!$A$4:$A$119,0)),Scoring!$A$4:$N$51,5,FALSE()),0))+IFERROR(INDEX(' Toto teams'!$Q$4:$Q$119,MATCH($B37,' Toto teams'!$A$4:$A$119,0))*1,0))</f>
        <v/>
      </c>
      <c r="D37" s="28">
        <f>IF($B37="","",6*IFERROR(VLOOKUP(INDEX(' Toto teams'!$B$4:$B$119,MATCH($B37,' Toto teams'!$A$4:$A$119,0)),Scoring!$A$4:$N$51,7,FALSE()),0)+4*IFERROR(VLOOKUP(INDEX(' Toto teams'!$C$4:$C$119,MATCH($B37,' Toto teams'!$A$4:$A$119,0)),Scoring!$A$4:$N$51,7,FALSE()),0)+3*IFERROR(VLOOKUP(INDEX(' Toto teams'!$D$4:$D$119,MATCH($B37,' Toto teams'!$A$4:$A$119,0)),Scoring!$A$4:$N$51,7,FALSE()),0)+2*IFERROR(VLOOKUP(INDEX(' Toto teams'!$E$4:$E$119,MATCH($B37,' Toto teams'!$A$4:$A$119,0)),Scoring!$A$4:$N$51,7,FALSE()),0)+1*IFERROR(VLOOKUP(INDEX(' Toto teams'!$F$4:$F$119,MATCH($B37,' Toto teams'!$A$4:$A$119,0)),Scoring!$A$4:$N$51,7,FALSE()),0)+1*IFERROR(VLOOKUP(INDEX(' Toto teams'!$G$4:$G$119,MATCH($B37,' Toto teams'!$A$4:$A$119,0)),Scoring!$A$4:$N$51,7,FALSE()),0)+1*IFERROR(VLOOKUP(INDEX(' Toto teams'!$H$4:$H$119,MATCH($B37,' Toto teams'!$A$4:$A$119,0)),Scoring!$A$4:$N$51,7,FALSE()),0))</f>
        <v/>
      </c>
      <c r="E37" s="28">
        <f>IF($B37="","",6*IFERROR(VLOOKUP(INDEX(' Toto teams'!$B$4:$B$119,MATCH($B37,' Toto teams'!$A$4:$A$119,0)),Scoring!$A$4:$N$51,8,FALSE()),0)+4*IFERROR(VLOOKUP(INDEX(' Toto teams'!$C$4:$C$119,MATCH($B37,' Toto teams'!$A$4:$A$119,0)),Scoring!$A$4:$N$51,8,FALSE()),0)+3*IFERROR(VLOOKUP(INDEX(' Toto teams'!$D$4:$D$119,MATCH($B37,' Toto teams'!$A$4:$A$119,0)),Scoring!$A$4:$N$51,8,FALSE()),0)+2*IFERROR(VLOOKUP(INDEX(' Toto teams'!$E$4:$E$119,MATCH($B37,' Toto teams'!$A$4:$A$119,0)),Scoring!$A$4:$N$51,8,FALSE()),0)+1*IFERROR(VLOOKUP(INDEX(' Toto teams'!$F$4:$F$119,MATCH($B37,' Toto teams'!$A$4:$A$119,0)),Scoring!$A$4:$N$51,8,FALSE()),0)+1*IFERROR(VLOOKUP(INDEX(' Toto teams'!$G$4:$G$119,MATCH($B37,' Toto teams'!$A$4:$A$119,0)),Scoring!$A$4:$N$51,8,FALSE()),0)+1*IFERROR(VLOOKUP(INDEX(' Toto teams'!$H$4:$H$119,MATCH($B37,' Toto teams'!$A$4:$A$119,0)),Scoring!$A$4:$N$51,8,FALSE()),0))</f>
        <v/>
      </c>
      <c r="F37" s="28">
        <f>IF($B37="","",6*IFERROR(VLOOKUP(INDEX(' Toto teams'!$B$4:$B$119,MATCH($B37,' Toto teams'!$A$4:$A$119,0)),Scoring!$A$4:$N$51,9,FALSE()),0)+4*IFERROR(VLOOKUP(INDEX(' Toto teams'!$C$4:$C$119,MATCH($B37,' Toto teams'!$A$4:$A$119,0)),Scoring!$A$4:$N$51,9,FALSE()),0)+3*IFERROR(VLOOKUP(INDEX(' Toto teams'!$D$4:$D$119,MATCH($B37,' Toto teams'!$A$4:$A$119,0)),Scoring!$A$4:$N$51,9,FALSE()),0)+2*IFERROR(VLOOKUP(INDEX(' Toto teams'!$E$4:$E$119,MATCH($B37,' Toto teams'!$A$4:$A$119,0)),Scoring!$A$4:$N$51,9,FALSE()),0)+1*IFERROR(VLOOKUP(INDEX(' Toto teams'!$F$4:$F$119,MATCH($B37,' Toto teams'!$A$4:$A$119,0)),Scoring!$A$4:$N$51,9,FALSE()),0)+1*IFERROR(VLOOKUP(INDEX(' Toto teams'!$G$4:$G$119,MATCH($B37,' Toto teams'!$A$4:$A$119,0)),Scoring!$A$4:$N$51,9,FALSE()),0)+1*IFERROR(VLOOKUP(INDEX(' Toto teams'!$H$4:$H$119,MATCH($B37,' Toto teams'!$A$4:$A$119,0)),Scoring!$A$4:$N$51,9,FALSE()),0))</f>
        <v/>
      </c>
      <c r="G37" s="28">
        <f>IF($B37="","",6*IFERROR(VLOOKUP(INDEX(' Toto teams'!$B$4:$B$119,MATCH($B37,' Toto teams'!$A$4:$A$119,0)),Scoring!$A$4:$N$51,10,FALSE()),0)+4*IFERROR(VLOOKUP(INDEX(' Toto teams'!$C$4:$C$119,MATCH($B37,' Toto teams'!$A$4:$A$119,0)),Scoring!$A$4:$N$51,10,FALSE()),0)+3*IFERROR(VLOOKUP(INDEX(' Toto teams'!$D$4:$D$119,MATCH($B37,' Toto teams'!$A$4:$A$119,0)),Scoring!$A$4:$N$51,10,FALSE()),0)+2*IFERROR(VLOOKUP(INDEX(' Toto teams'!$E$4:$E$119,MATCH($B37,' Toto teams'!$A$4:$A$119,0)),Scoring!$A$4:$N$51,10,FALSE()),0)+1*IFERROR(VLOOKUP(INDEX(' Toto teams'!$F$4:$F$119,MATCH($B37,' Toto teams'!$A$4:$A$119,0)),Scoring!$A$4:$N$51,10,FALSE()),0)+1*IFERROR(VLOOKUP(INDEX(' Toto teams'!$G$4:$G$119,MATCH($B37,' Toto teams'!$A$4:$A$119,0)),Scoring!$A$4:$N$51,10,FALSE()),0)+1*IFERROR(VLOOKUP(INDEX(' Toto teams'!$H$4:$H$119,MATCH($B37,' Toto teams'!$A$4:$A$119,0)),Scoring!$A$4:$N$51,10,FALSE()),0))</f>
        <v/>
      </c>
      <c r="H37" s="28">
        <f>IF($B37="","",6*IFERROR(VLOOKUP(INDEX(' Toto teams'!$B$4:$B$119,MATCH($B37,' Toto teams'!$A$4:$A$119,0)),Scoring!$A$4:$N$51,11,FALSE()),0)+4*IFERROR(VLOOKUP(INDEX(' Toto teams'!$C$4:$C$119,MATCH($B37,' Toto teams'!$A$4:$A$119,0)),Scoring!$A$4:$N$51,11,FALSE()),0)+3*IFERROR(VLOOKUP(INDEX(' Toto teams'!$D$4:$D$119,MATCH($B37,' Toto teams'!$A$4:$A$119,0)),Scoring!$A$4:$N$51,11,FALSE()),0)+2*IFERROR(VLOOKUP(INDEX(' Toto teams'!$E$4:$E$119,MATCH($B37,' Toto teams'!$A$4:$A$119,0)),Scoring!$A$4:$N$51,11,FALSE()),0)+1*IFERROR(VLOOKUP(INDEX(' Toto teams'!$F$4:$F$119,MATCH($B37,' Toto teams'!$A$4:$A$119,0)),Scoring!$A$4:$N$51,11,FALSE()),0)+1*IFERROR(VLOOKUP(INDEX(' Toto teams'!$G$4:$G$119,MATCH($B37,' Toto teams'!$A$4:$A$119,0)),Scoring!$A$4:$N$51,11,FALSE()),0)+1*IFERROR(VLOOKUP(INDEX(' Toto teams'!$H$4:$H$119,MATCH($B37,' Toto teams'!$A$4:$A$119,0)),Scoring!$A$4:$N$51,11,FALSE()),0))</f>
        <v/>
      </c>
      <c r="I37" s="28">
        <f>IF($B37="","",6*IFERROR(VLOOKUP(INDEX(' Toto teams'!$B$4:$B$119,MATCH($B37,' Toto teams'!$A$4:$A$119,0)),Scoring!$A$4:$O$51,15,FALSE()),0)+4*IFERROR(VLOOKUP(INDEX(' Toto teams'!$C$4:$C$119,MATCH($B37,' Toto teams'!$A$4:$A$119,0)),Scoring!$A$4:$O$51,15,FALSE()),0)+3*IFERROR(VLOOKUP(INDEX(' Toto teams'!$D$4:$D$119,MATCH($B37,' Toto teams'!$A$4:$A$119,0)),Scoring!$A$4:$O$51,15,FALSE()),0)+2*IFERROR(VLOOKUP(INDEX(' Toto teams'!$E$4:$E$119,MATCH($B37,' Toto teams'!$A$4:$A$119,0)),Scoring!$A$4:$O$51,15,FALSE()),0)+1*IFERROR(VLOOKUP(INDEX(' Toto teams'!$F$4:$F$119,MATCH($B37,' Toto teams'!$A$4:$A$119,0)),Scoring!$A$4:$O$51,15,FALSE()),0)+1*IFERROR(VLOOKUP(INDEX(' Toto teams'!$G$4:$G$119,MATCH($B37,' Toto teams'!$A$4:$A$119,0)),Scoring!$A$4:$O$51,15,FALSE()),0)+1*IFERROR(VLOOKUP(INDEX(' Toto teams'!$H$4:$H$119,MATCH($B37,' Toto teams'!$A$4:$A$119,0)),Scoring!$A$4:$O$51,15,FALSE()),0))</f>
        <v/>
      </c>
      <c r="J37" s="28">
        <f>IF($B37="","",6*IFERROR(VLOOKUP(INDEX(' Toto teams'!$B$4:$B$119,MATCH($B37,' Toto teams'!$A$4:$A$119,0)),Scoring!$A$4:$N$51,12,FALSE()),0)+4*IFERROR(VLOOKUP(INDEX(' Toto teams'!$C$4:$C$119,MATCH($B37,' Toto teams'!$A$4:$A$119,0)),Scoring!$A$4:$N$51,12,FALSE()),0)+3*IFERROR(VLOOKUP(INDEX(' Toto teams'!$D$4:$D$119,MATCH($B37,' Toto teams'!$A$4:$A$119,0)),Scoring!$A$4:$N$51,12,FALSE()),0)+2*IFERROR(VLOOKUP(INDEX(' Toto teams'!$E$4:$E$119,MATCH($B37,' Toto teams'!$A$4:$A$119,0)),Scoring!$A$4:$N$51,12,FALSE()),0)+1*IFERROR(VLOOKUP(INDEX(' Toto teams'!$F$4:$F$119,MATCH($B37,' Toto teams'!$A$4:$A$119,0)),Scoring!$A$4:$N$51,12,FALSE()),0)+1*IFERROR(VLOOKUP(INDEX(' Toto teams'!$G$4:$G$119,MATCH($B37,' Toto teams'!$A$4:$A$119,0)),Scoring!$A$4:$N$51,12,FALSE()),0)+1*IFERROR(VLOOKUP(INDEX(' Toto teams'!$H$4:$H$119,MATCH($B37,' Toto teams'!$A$4:$A$119,0)),Scoring!$A$4:$N$51,12,FALSE()),0))</f>
        <v/>
      </c>
      <c r="K37" s="29">
        <f>IF($B37="","",IFERROR(INDEX(' Toto teams'!$R$4:$R$119,MATCH($B37,' Toto teams'!$A$4:$A$119,0)),""))</f>
        <v/>
      </c>
      <c r="L37" s="30">
        <f>IFERROR(IF(B37="","",VLOOKUP(A37,$N$4:$R$12,5,FALSE())),0)</f>
        <v/>
      </c>
    </row>
    <row r="38" ht="12.75" customHeight="1">
      <c r="A38" s="26">
        <f>IF(35&gt;COUNTIF(' Toto teams'!$A$4:$A$119,"&lt;&gt;"),"",INDEX(' Toto teams'!$S$4:$S$119,MATCH(LARGE(' Toto teams'!$T$4:$T$119,35),' Toto teams'!$T$4:$T$119,0)))</f>
        <v/>
      </c>
      <c r="B38" s="27">
        <f>IF(35&gt;COUNTIF(' Toto teams'!$A$4:$A$119,"&lt;&gt;"),"",INDEX(' Toto teams'!$A$4:$A$119,MATCH(LARGE(' Toto teams'!$T$4:$T$119,35),' Toto teams'!$T$4:$T$119,0)))</f>
        <v/>
      </c>
      <c r="C38" s="28">
        <f>IF($B38="","",6*(IFERROR(VLOOKUP(INDEX(' Toto teams'!$B$4:$B$119,MATCH($B38,' Toto teams'!$A$4:$A$119,0)),Scoring!$A$4:$N$51,3,FALSE()),0)+IFERROR(VLOOKUP(INDEX(' Toto teams'!$B$4:$B$119,MATCH($B38,' Toto teams'!$A$4:$A$119,0)),Scoring!$A$4:$N$51,4,FALSE()),0)+IFERROR(VLOOKUP(INDEX(' Toto teams'!$B$4:$B$119,MATCH($B38,' Toto teams'!$A$4:$A$119,0)),Scoring!$A$4:$N$51,5,FALSE()),0))+4*(IFERROR(VLOOKUP(INDEX(' Toto teams'!$C$4:$C$119,MATCH($B38,' Toto teams'!$A$4:$A$119,0)),Scoring!$A$4:$N$51,3,FALSE()),0)+IFERROR(VLOOKUP(INDEX(' Toto teams'!$C$4:$C$119,MATCH($B38,' Toto teams'!$A$4:$A$119,0)),Scoring!$A$4:$N$51,4,FALSE()),0)+IFERROR(VLOOKUP(INDEX(' Toto teams'!$C$4:$C$119,MATCH($B38,' Toto teams'!$A$4:$A$119,0)),Scoring!$A$4:$N$51,5,FALSE()),0))+3*(IFERROR(VLOOKUP(INDEX(' Toto teams'!$D$4:$D$119,MATCH($B38,' Toto teams'!$A$4:$A$119,0)),Scoring!$A$4:$N$51,3,FALSE()),0)+IFERROR(VLOOKUP(INDEX(' Toto teams'!$D$4:$D$119,MATCH($B38,' Toto teams'!$A$4:$A$119,0)),Scoring!$A$4:$N$51,4,FALSE()),0)+IFERROR(VLOOKUP(INDEX(' Toto teams'!$D$4:$D$119,MATCH($B38,' Toto teams'!$A$4:$A$119,0)),Scoring!$A$4:$N$51,5,FALSE()),0))+2*(IFERROR(VLOOKUP(INDEX(' Toto teams'!$E$4:$E$119,MATCH($B38,' Toto teams'!$A$4:$A$119,0)),Scoring!$A$4:$N$51,3,FALSE()),0)+IFERROR(VLOOKUP(INDEX(' Toto teams'!$E$4:$E$119,MATCH($B38,' Toto teams'!$A$4:$A$119,0)),Scoring!$A$4:$N$51,4,FALSE()),0)+IFERROR(VLOOKUP(INDEX(' Toto teams'!$E$4:$E$119,MATCH($B38,' Toto teams'!$A$4:$A$119,0)),Scoring!$A$4:$N$51,5,FALSE()),0))+1*(IFERROR(VLOOKUP(INDEX(' Toto teams'!$F$4:$F$119,MATCH($B38,' Toto teams'!$A$4:$A$119,0)),Scoring!$A$4:$N$51,3,FALSE()),0)+IFERROR(VLOOKUP(INDEX(' Toto teams'!$F$4:$F$119,MATCH($B38,' Toto teams'!$A$4:$A$119,0)),Scoring!$A$4:$N$51,4,FALSE()),0)+IFERROR(VLOOKUP(INDEX(' Toto teams'!$F$4:$F$119,MATCH($B38,' Toto teams'!$A$4:$A$119,0)),Scoring!$A$4:$N$51,5,FALSE()),0))+1*(IFERROR(VLOOKUP(INDEX(' Toto teams'!$G$4:$G$119,MATCH($B38,' Toto teams'!$A$4:$A$119,0)),Scoring!$A$4:$N$51,3,FALSE()),0)+IFERROR(VLOOKUP(INDEX(' Toto teams'!$G$4:$G$119,MATCH($B38,' Toto teams'!$A$4:$A$119,0)),Scoring!$A$4:$N$51,4,FALSE()),0)+IFERROR(VLOOKUP(INDEX(' Toto teams'!$G$4:$G$119,MATCH($B38,' Toto teams'!$A$4:$A$119,0)),Scoring!$A$4:$N$51,5,FALSE()),0))+1*(IFERROR(VLOOKUP(INDEX(' Toto teams'!$H$4:$H$119,MATCH($B38,' Toto teams'!$A$4:$A$119,0)),Scoring!$A$4:$N$51,3,FALSE()),0)+IFERROR(VLOOKUP(INDEX(' Toto teams'!$H$4:$H$119,MATCH($B38,' Toto teams'!$A$4:$A$119,0)),Scoring!$A$4:$N$51,4,FALSE()),0)+IFERROR(VLOOKUP(INDEX(' Toto teams'!$H$4:$H$119,MATCH($B38,' Toto teams'!$A$4:$A$119,0)),Scoring!$A$4:$N$51,5,FALSE()),0))+IFERROR(INDEX(' Toto teams'!$Q$4:$Q$119,MATCH($B38,' Toto teams'!$A$4:$A$119,0))*1,0))</f>
        <v/>
      </c>
      <c r="D38" s="28">
        <f>IF($B38="","",6*IFERROR(VLOOKUP(INDEX(' Toto teams'!$B$4:$B$119,MATCH($B38,' Toto teams'!$A$4:$A$119,0)),Scoring!$A$4:$N$51,7,FALSE()),0)+4*IFERROR(VLOOKUP(INDEX(' Toto teams'!$C$4:$C$119,MATCH($B38,' Toto teams'!$A$4:$A$119,0)),Scoring!$A$4:$N$51,7,FALSE()),0)+3*IFERROR(VLOOKUP(INDEX(' Toto teams'!$D$4:$D$119,MATCH($B38,' Toto teams'!$A$4:$A$119,0)),Scoring!$A$4:$N$51,7,FALSE()),0)+2*IFERROR(VLOOKUP(INDEX(' Toto teams'!$E$4:$E$119,MATCH($B38,' Toto teams'!$A$4:$A$119,0)),Scoring!$A$4:$N$51,7,FALSE()),0)+1*IFERROR(VLOOKUP(INDEX(' Toto teams'!$F$4:$F$119,MATCH($B38,' Toto teams'!$A$4:$A$119,0)),Scoring!$A$4:$N$51,7,FALSE()),0)+1*IFERROR(VLOOKUP(INDEX(' Toto teams'!$G$4:$G$119,MATCH($B38,' Toto teams'!$A$4:$A$119,0)),Scoring!$A$4:$N$51,7,FALSE()),0)+1*IFERROR(VLOOKUP(INDEX(' Toto teams'!$H$4:$H$119,MATCH($B38,' Toto teams'!$A$4:$A$119,0)),Scoring!$A$4:$N$51,7,FALSE()),0))</f>
        <v/>
      </c>
      <c r="E38" s="28">
        <f>IF($B38="","",6*IFERROR(VLOOKUP(INDEX(' Toto teams'!$B$4:$B$119,MATCH($B38,' Toto teams'!$A$4:$A$119,0)),Scoring!$A$4:$N$51,8,FALSE()),0)+4*IFERROR(VLOOKUP(INDEX(' Toto teams'!$C$4:$C$119,MATCH($B38,' Toto teams'!$A$4:$A$119,0)),Scoring!$A$4:$N$51,8,FALSE()),0)+3*IFERROR(VLOOKUP(INDEX(' Toto teams'!$D$4:$D$119,MATCH($B38,' Toto teams'!$A$4:$A$119,0)),Scoring!$A$4:$N$51,8,FALSE()),0)+2*IFERROR(VLOOKUP(INDEX(' Toto teams'!$E$4:$E$119,MATCH($B38,' Toto teams'!$A$4:$A$119,0)),Scoring!$A$4:$N$51,8,FALSE()),0)+1*IFERROR(VLOOKUP(INDEX(' Toto teams'!$F$4:$F$119,MATCH($B38,' Toto teams'!$A$4:$A$119,0)),Scoring!$A$4:$N$51,8,FALSE()),0)+1*IFERROR(VLOOKUP(INDEX(' Toto teams'!$G$4:$G$119,MATCH($B38,' Toto teams'!$A$4:$A$119,0)),Scoring!$A$4:$N$51,8,FALSE()),0)+1*IFERROR(VLOOKUP(INDEX(' Toto teams'!$H$4:$H$119,MATCH($B38,' Toto teams'!$A$4:$A$119,0)),Scoring!$A$4:$N$51,8,FALSE()),0))</f>
        <v/>
      </c>
      <c r="F38" s="28">
        <f>IF($B38="","",6*IFERROR(VLOOKUP(INDEX(' Toto teams'!$B$4:$B$119,MATCH($B38,' Toto teams'!$A$4:$A$119,0)),Scoring!$A$4:$N$51,9,FALSE()),0)+4*IFERROR(VLOOKUP(INDEX(' Toto teams'!$C$4:$C$119,MATCH($B38,' Toto teams'!$A$4:$A$119,0)),Scoring!$A$4:$N$51,9,FALSE()),0)+3*IFERROR(VLOOKUP(INDEX(' Toto teams'!$D$4:$D$119,MATCH($B38,' Toto teams'!$A$4:$A$119,0)),Scoring!$A$4:$N$51,9,FALSE()),0)+2*IFERROR(VLOOKUP(INDEX(' Toto teams'!$E$4:$E$119,MATCH($B38,' Toto teams'!$A$4:$A$119,0)),Scoring!$A$4:$N$51,9,FALSE()),0)+1*IFERROR(VLOOKUP(INDEX(' Toto teams'!$F$4:$F$119,MATCH($B38,' Toto teams'!$A$4:$A$119,0)),Scoring!$A$4:$N$51,9,FALSE()),0)+1*IFERROR(VLOOKUP(INDEX(' Toto teams'!$G$4:$G$119,MATCH($B38,' Toto teams'!$A$4:$A$119,0)),Scoring!$A$4:$N$51,9,FALSE()),0)+1*IFERROR(VLOOKUP(INDEX(' Toto teams'!$H$4:$H$119,MATCH($B38,' Toto teams'!$A$4:$A$119,0)),Scoring!$A$4:$N$51,9,FALSE()),0))</f>
        <v/>
      </c>
      <c r="G38" s="28">
        <f>IF($B38="","",6*IFERROR(VLOOKUP(INDEX(' Toto teams'!$B$4:$B$119,MATCH($B38,' Toto teams'!$A$4:$A$119,0)),Scoring!$A$4:$N$51,10,FALSE()),0)+4*IFERROR(VLOOKUP(INDEX(' Toto teams'!$C$4:$C$119,MATCH($B38,' Toto teams'!$A$4:$A$119,0)),Scoring!$A$4:$N$51,10,FALSE()),0)+3*IFERROR(VLOOKUP(INDEX(' Toto teams'!$D$4:$D$119,MATCH($B38,' Toto teams'!$A$4:$A$119,0)),Scoring!$A$4:$N$51,10,FALSE()),0)+2*IFERROR(VLOOKUP(INDEX(' Toto teams'!$E$4:$E$119,MATCH($B38,' Toto teams'!$A$4:$A$119,0)),Scoring!$A$4:$N$51,10,FALSE()),0)+1*IFERROR(VLOOKUP(INDEX(' Toto teams'!$F$4:$F$119,MATCH($B38,' Toto teams'!$A$4:$A$119,0)),Scoring!$A$4:$N$51,10,FALSE()),0)+1*IFERROR(VLOOKUP(INDEX(' Toto teams'!$G$4:$G$119,MATCH($B38,' Toto teams'!$A$4:$A$119,0)),Scoring!$A$4:$N$51,10,FALSE()),0)+1*IFERROR(VLOOKUP(INDEX(' Toto teams'!$H$4:$H$119,MATCH($B38,' Toto teams'!$A$4:$A$119,0)),Scoring!$A$4:$N$51,10,FALSE()),0))</f>
        <v/>
      </c>
      <c r="H38" s="28">
        <f>IF($B38="","",6*IFERROR(VLOOKUP(INDEX(' Toto teams'!$B$4:$B$119,MATCH($B38,' Toto teams'!$A$4:$A$119,0)),Scoring!$A$4:$N$51,11,FALSE()),0)+4*IFERROR(VLOOKUP(INDEX(' Toto teams'!$C$4:$C$119,MATCH($B38,' Toto teams'!$A$4:$A$119,0)),Scoring!$A$4:$N$51,11,FALSE()),0)+3*IFERROR(VLOOKUP(INDEX(' Toto teams'!$D$4:$D$119,MATCH($B38,' Toto teams'!$A$4:$A$119,0)),Scoring!$A$4:$N$51,11,FALSE()),0)+2*IFERROR(VLOOKUP(INDEX(' Toto teams'!$E$4:$E$119,MATCH($B38,' Toto teams'!$A$4:$A$119,0)),Scoring!$A$4:$N$51,11,FALSE()),0)+1*IFERROR(VLOOKUP(INDEX(' Toto teams'!$F$4:$F$119,MATCH($B38,' Toto teams'!$A$4:$A$119,0)),Scoring!$A$4:$N$51,11,FALSE()),0)+1*IFERROR(VLOOKUP(INDEX(' Toto teams'!$G$4:$G$119,MATCH($B38,' Toto teams'!$A$4:$A$119,0)),Scoring!$A$4:$N$51,11,FALSE()),0)+1*IFERROR(VLOOKUP(INDEX(' Toto teams'!$H$4:$H$119,MATCH($B38,' Toto teams'!$A$4:$A$119,0)),Scoring!$A$4:$N$51,11,FALSE()),0))</f>
        <v/>
      </c>
      <c r="I38" s="28">
        <f>IF($B38="","",6*IFERROR(VLOOKUP(INDEX(' Toto teams'!$B$4:$B$119,MATCH($B38,' Toto teams'!$A$4:$A$119,0)),Scoring!$A$4:$O$51,15,FALSE()),0)+4*IFERROR(VLOOKUP(INDEX(' Toto teams'!$C$4:$C$119,MATCH($B38,' Toto teams'!$A$4:$A$119,0)),Scoring!$A$4:$O$51,15,FALSE()),0)+3*IFERROR(VLOOKUP(INDEX(' Toto teams'!$D$4:$D$119,MATCH($B38,' Toto teams'!$A$4:$A$119,0)),Scoring!$A$4:$O$51,15,FALSE()),0)+2*IFERROR(VLOOKUP(INDEX(' Toto teams'!$E$4:$E$119,MATCH($B38,' Toto teams'!$A$4:$A$119,0)),Scoring!$A$4:$O$51,15,FALSE()),0)+1*IFERROR(VLOOKUP(INDEX(' Toto teams'!$F$4:$F$119,MATCH($B38,' Toto teams'!$A$4:$A$119,0)),Scoring!$A$4:$O$51,15,FALSE()),0)+1*IFERROR(VLOOKUP(INDEX(' Toto teams'!$G$4:$G$119,MATCH($B38,' Toto teams'!$A$4:$A$119,0)),Scoring!$A$4:$O$51,15,FALSE()),0)+1*IFERROR(VLOOKUP(INDEX(' Toto teams'!$H$4:$H$119,MATCH($B38,' Toto teams'!$A$4:$A$119,0)),Scoring!$A$4:$O$51,15,FALSE()),0))</f>
        <v/>
      </c>
      <c r="J38" s="28">
        <f>IF($B38="","",6*IFERROR(VLOOKUP(INDEX(' Toto teams'!$B$4:$B$119,MATCH($B38,' Toto teams'!$A$4:$A$119,0)),Scoring!$A$4:$N$51,12,FALSE()),0)+4*IFERROR(VLOOKUP(INDEX(' Toto teams'!$C$4:$C$119,MATCH($B38,' Toto teams'!$A$4:$A$119,0)),Scoring!$A$4:$N$51,12,FALSE()),0)+3*IFERROR(VLOOKUP(INDEX(' Toto teams'!$D$4:$D$119,MATCH($B38,' Toto teams'!$A$4:$A$119,0)),Scoring!$A$4:$N$51,12,FALSE()),0)+2*IFERROR(VLOOKUP(INDEX(' Toto teams'!$E$4:$E$119,MATCH($B38,' Toto teams'!$A$4:$A$119,0)),Scoring!$A$4:$N$51,12,FALSE()),0)+1*IFERROR(VLOOKUP(INDEX(' Toto teams'!$F$4:$F$119,MATCH($B38,' Toto teams'!$A$4:$A$119,0)),Scoring!$A$4:$N$51,12,FALSE()),0)+1*IFERROR(VLOOKUP(INDEX(' Toto teams'!$G$4:$G$119,MATCH($B38,' Toto teams'!$A$4:$A$119,0)),Scoring!$A$4:$N$51,12,FALSE()),0)+1*IFERROR(VLOOKUP(INDEX(' Toto teams'!$H$4:$H$119,MATCH($B38,' Toto teams'!$A$4:$A$119,0)),Scoring!$A$4:$N$51,12,FALSE()),0))</f>
        <v/>
      </c>
      <c r="K38" s="29">
        <f>IF($B38="","",IFERROR(INDEX(' Toto teams'!$R$4:$R$119,MATCH($B38,' Toto teams'!$A$4:$A$119,0)),""))</f>
        <v/>
      </c>
      <c r="L38" s="30">
        <f>IFERROR(IF(B38="","",VLOOKUP(A38,$N$4:$R$12,5,FALSE())),0)</f>
        <v/>
      </c>
    </row>
    <row r="39" ht="12.75" customHeight="1">
      <c r="A39" s="26">
        <f>IF(36&gt;COUNTIF(' Toto teams'!$A$4:$A$119,"&lt;&gt;"),"",INDEX(' Toto teams'!$S$4:$S$119,MATCH(LARGE(' Toto teams'!$T$4:$T$119,36),' Toto teams'!$T$4:$T$119,0)))</f>
        <v/>
      </c>
      <c r="B39" s="27">
        <f>IF(36&gt;COUNTIF(' Toto teams'!$A$4:$A$119,"&lt;&gt;"),"",INDEX(' Toto teams'!$A$4:$A$119,MATCH(LARGE(' Toto teams'!$T$4:$T$119,36),' Toto teams'!$T$4:$T$119,0)))</f>
        <v/>
      </c>
      <c r="C39" s="28">
        <f>IF($B39="","",6*(IFERROR(VLOOKUP(INDEX(' Toto teams'!$B$4:$B$119,MATCH($B39,' Toto teams'!$A$4:$A$119,0)),Scoring!$A$4:$N$51,3,FALSE()),0)+IFERROR(VLOOKUP(INDEX(' Toto teams'!$B$4:$B$119,MATCH($B39,' Toto teams'!$A$4:$A$119,0)),Scoring!$A$4:$N$51,4,FALSE()),0)+IFERROR(VLOOKUP(INDEX(' Toto teams'!$B$4:$B$119,MATCH($B39,' Toto teams'!$A$4:$A$119,0)),Scoring!$A$4:$N$51,5,FALSE()),0))+4*(IFERROR(VLOOKUP(INDEX(' Toto teams'!$C$4:$C$119,MATCH($B39,' Toto teams'!$A$4:$A$119,0)),Scoring!$A$4:$N$51,3,FALSE()),0)+IFERROR(VLOOKUP(INDEX(' Toto teams'!$C$4:$C$119,MATCH($B39,' Toto teams'!$A$4:$A$119,0)),Scoring!$A$4:$N$51,4,FALSE()),0)+IFERROR(VLOOKUP(INDEX(' Toto teams'!$C$4:$C$119,MATCH($B39,' Toto teams'!$A$4:$A$119,0)),Scoring!$A$4:$N$51,5,FALSE()),0))+3*(IFERROR(VLOOKUP(INDEX(' Toto teams'!$D$4:$D$119,MATCH($B39,' Toto teams'!$A$4:$A$119,0)),Scoring!$A$4:$N$51,3,FALSE()),0)+IFERROR(VLOOKUP(INDEX(' Toto teams'!$D$4:$D$119,MATCH($B39,' Toto teams'!$A$4:$A$119,0)),Scoring!$A$4:$N$51,4,FALSE()),0)+IFERROR(VLOOKUP(INDEX(' Toto teams'!$D$4:$D$119,MATCH($B39,' Toto teams'!$A$4:$A$119,0)),Scoring!$A$4:$N$51,5,FALSE()),0))+2*(IFERROR(VLOOKUP(INDEX(' Toto teams'!$E$4:$E$119,MATCH($B39,' Toto teams'!$A$4:$A$119,0)),Scoring!$A$4:$N$51,3,FALSE()),0)+IFERROR(VLOOKUP(INDEX(' Toto teams'!$E$4:$E$119,MATCH($B39,' Toto teams'!$A$4:$A$119,0)),Scoring!$A$4:$N$51,4,FALSE()),0)+IFERROR(VLOOKUP(INDEX(' Toto teams'!$E$4:$E$119,MATCH($B39,' Toto teams'!$A$4:$A$119,0)),Scoring!$A$4:$N$51,5,FALSE()),0))+1*(IFERROR(VLOOKUP(INDEX(' Toto teams'!$F$4:$F$119,MATCH($B39,' Toto teams'!$A$4:$A$119,0)),Scoring!$A$4:$N$51,3,FALSE()),0)+IFERROR(VLOOKUP(INDEX(' Toto teams'!$F$4:$F$119,MATCH($B39,' Toto teams'!$A$4:$A$119,0)),Scoring!$A$4:$N$51,4,FALSE()),0)+IFERROR(VLOOKUP(INDEX(' Toto teams'!$F$4:$F$119,MATCH($B39,' Toto teams'!$A$4:$A$119,0)),Scoring!$A$4:$N$51,5,FALSE()),0))+1*(IFERROR(VLOOKUP(INDEX(' Toto teams'!$G$4:$G$119,MATCH($B39,' Toto teams'!$A$4:$A$119,0)),Scoring!$A$4:$N$51,3,FALSE()),0)+IFERROR(VLOOKUP(INDEX(' Toto teams'!$G$4:$G$119,MATCH($B39,' Toto teams'!$A$4:$A$119,0)),Scoring!$A$4:$N$51,4,FALSE()),0)+IFERROR(VLOOKUP(INDEX(' Toto teams'!$G$4:$G$119,MATCH($B39,' Toto teams'!$A$4:$A$119,0)),Scoring!$A$4:$N$51,5,FALSE()),0))+1*(IFERROR(VLOOKUP(INDEX(' Toto teams'!$H$4:$H$119,MATCH($B39,' Toto teams'!$A$4:$A$119,0)),Scoring!$A$4:$N$51,3,FALSE()),0)+IFERROR(VLOOKUP(INDEX(' Toto teams'!$H$4:$H$119,MATCH($B39,' Toto teams'!$A$4:$A$119,0)),Scoring!$A$4:$N$51,4,FALSE()),0)+IFERROR(VLOOKUP(INDEX(' Toto teams'!$H$4:$H$119,MATCH($B39,' Toto teams'!$A$4:$A$119,0)),Scoring!$A$4:$N$51,5,FALSE()),0))+IFERROR(INDEX(' Toto teams'!$Q$4:$Q$119,MATCH($B39,' Toto teams'!$A$4:$A$119,0))*1,0))</f>
        <v/>
      </c>
      <c r="D39" s="28">
        <f>IF($B39="","",6*IFERROR(VLOOKUP(INDEX(' Toto teams'!$B$4:$B$119,MATCH($B39,' Toto teams'!$A$4:$A$119,0)),Scoring!$A$4:$N$51,7,FALSE()),0)+4*IFERROR(VLOOKUP(INDEX(' Toto teams'!$C$4:$C$119,MATCH($B39,' Toto teams'!$A$4:$A$119,0)),Scoring!$A$4:$N$51,7,FALSE()),0)+3*IFERROR(VLOOKUP(INDEX(' Toto teams'!$D$4:$D$119,MATCH($B39,' Toto teams'!$A$4:$A$119,0)),Scoring!$A$4:$N$51,7,FALSE()),0)+2*IFERROR(VLOOKUP(INDEX(' Toto teams'!$E$4:$E$119,MATCH($B39,' Toto teams'!$A$4:$A$119,0)),Scoring!$A$4:$N$51,7,FALSE()),0)+1*IFERROR(VLOOKUP(INDEX(' Toto teams'!$F$4:$F$119,MATCH($B39,' Toto teams'!$A$4:$A$119,0)),Scoring!$A$4:$N$51,7,FALSE()),0)+1*IFERROR(VLOOKUP(INDEX(' Toto teams'!$G$4:$G$119,MATCH($B39,' Toto teams'!$A$4:$A$119,0)),Scoring!$A$4:$N$51,7,FALSE()),0)+1*IFERROR(VLOOKUP(INDEX(' Toto teams'!$H$4:$H$119,MATCH($B39,' Toto teams'!$A$4:$A$119,0)),Scoring!$A$4:$N$51,7,FALSE()),0))</f>
        <v/>
      </c>
      <c r="E39" s="28">
        <f>IF($B39="","",6*IFERROR(VLOOKUP(INDEX(' Toto teams'!$B$4:$B$119,MATCH($B39,' Toto teams'!$A$4:$A$119,0)),Scoring!$A$4:$N$51,8,FALSE()),0)+4*IFERROR(VLOOKUP(INDEX(' Toto teams'!$C$4:$C$119,MATCH($B39,' Toto teams'!$A$4:$A$119,0)),Scoring!$A$4:$N$51,8,FALSE()),0)+3*IFERROR(VLOOKUP(INDEX(' Toto teams'!$D$4:$D$119,MATCH($B39,' Toto teams'!$A$4:$A$119,0)),Scoring!$A$4:$N$51,8,FALSE()),0)+2*IFERROR(VLOOKUP(INDEX(' Toto teams'!$E$4:$E$119,MATCH($B39,' Toto teams'!$A$4:$A$119,0)),Scoring!$A$4:$N$51,8,FALSE()),0)+1*IFERROR(VLOOKUP(INDEX(' Toto teams'!$F$4:$F$119,MATCH($B39,' Toto teams'!$A$4:$A$119,0)),Scoring!$A$4:$N$51,8,FALSE()),0)+1*IFERROR(VLOOKUP(INDEX(' Toto teams'!$G$4:$G$119,MATCH($B39,' Toto teams'!$A$4:$A$119,0)),Scoring!$A$4:$N$51,8,FALSE()),0)+1*IFERROR(VLOOKUP(INDEX(' Toto teams'!$H$4:$H$119,MATCH($B39,' Toto teams'!$A$4:$A$119,0)),Scoring!$A$4:$N$51,8,FALSE()),0))</f>
        <v/>
      </c>
      <c r="F39" s="28">
        <f>IF($B39="","",6*IFERROR(VLOOKUP(INDEX(' Toto teams'!$B$4:$B$119,MATCH($B39,' Toto teams'!$A$4:$A$119,0)),Scoring!$A$4:$N$51,9,FALSE()),0)+4*IFERROR(VLOOKUP(INDEX(' Toto teams'!$C$4:$C$119,MATCH($B39,' Toto teams'!$A$4:$A$119,0)),Scoring!$A$4:$N$51,9,FALSE()),0)+3*IFERROR(VLOOKUP(INDEX(' Toto teams'!$D$4:$D$119,MATCH($B39,' Toto teams'!$A$4:$A$119,0)),Scoring!$A$4:$N$51,9,FALSE()),0)+2*IFERROR(VLOOKUP(INDEX(' Toto teams'!$E$4:$E$119,MATCH($B39,' Toto teams'!$A$4:$A$119,0)),Scoring!$A$4:$N$51,9,FALSE()),0)+1*IFERROR(VLOOKUP(INDEX(' Toto teams'!$F$4:$F$119,MATCH($B39,' Toto teams'!$A$4:$A$119,0)),Scoring!$A$4:$N$51,9,FALSE()),0)+1*IFERROR(VLOOKUP(INDEX(' Toto teams'!$G$4:$G$119,MATCH($B39,' Toto teams'!$A$4:$A$119,0)),Scoring!$A$4:$N$51,9,FALSE()),0)+1*IFERROR(VLOOKUP(INDEX(' Toto teams'!$H$4:$H$119,MATCH($B39,' Toto teams'!$A$4:$A$119,0)),Scoring!$A$4:$N$51,9,FALSE()),0))</f>
        <v/>
      </c>
      <c r="G39" s="28">
        <f>IF($B39="","",6*IFERROR(VLOOKUP(INDEX(' Toto teams'!$B$4:$B$119,MATCH($B39,' Toto teams'!$A$4:$A$119,0)),Scoring!$A$4:$N$51,10,FALSE()),0)+4*IFERROR(VLOOKUP(INDEX(' Toto teams'!$C$4:$C$119,MATCH($B39,' Toto teams'!$A$4:$A$119,0)),Scoring!$A$4:$N$51,10,FALSE()),0)+3*IFERROR(VLOOKUP(INDEX(' Toto teams'!$D$4:$D$119,MATCH($B39,' Toto teams'!$A$4:$A$119,0)),Scoring!$A$4:$N$51,10,FALSE()),0)+2*IFERROR(VLOOKUP(INDEX(' Toto teams'!$E$4:$E$119,MATCH($B39,' Toto teams'!$A$4:$A$119,0)),Scoring!$A$4:$N$51,10,FALSE()),0)+1*IFERROR(VLOOKUP(INDEX(' Toto teams'!$F$4:$F$119,MATCH($B39,' Toto teams'!$A$4:$A$119,0)),Scoring!$A$4:$N$51,10,FALSE()),0)+1*IFERROR(VLOOKUP(INDEX(' Toto teams'!$G$4:$G$119,MATCH($B39,' Toto teams'!$A$4:$A$119,0)),Scoring!$A$4:$N$51,10,FALSE()),0)+1*IFERROR(VLOOKUP(INDEX(' Toto teams'!$H$4:$H$119,MATCH($B39,' Toto teams'!$A$4:$A$119,0)),Scoring!$A$4:$N$51,10,FALSE()),0))</f>
        <v/>
      </c>
      <c r="H39" s="28">
        <f>IF($B39="","",6*IFERROR(VLOOKUP(INDEX(' Toto teams'!$B$4:$B$119,MATCH($B39,' Toto teams'!$A$4:$A$119,0)),Scoring!$A$4:$N$51,11,FALSE()),0)+4*IFERROR(VLOOKUP(INDEX(' Toto teams'!$C$4:$C$119,MATCH($B39,' Toto teams'!$A$4:$A$119,0)),Scoring!$A$4:$N$51,11,FALSE()),0)+3*IFERROR(VLOOKUP(INDEX(' Toto teams'!$D$4:$D$119,MATCH($B39,' Toto teams'!$A$4:$A$119,0)),Scoring!$A$4:$N$51,11,FALSE()),0)+2*IFERROR(VLOOKUP(INDEX(' Toto teams'!$E$4:$E$119,MATCH($B39,' Toto teams'!$A$4:$A$119,0)),Scoring!$A$4:$N$51,11,FALSE()),0)+1*IFERROR(VLOOKUP(INDEX(' Toto teams'!$F$4:$F$119,MATCH($B39,' Toto teams'!$A$4:$A$119,0)),Scoring!$A$4:$N$51,11,FALSE()),0)+1*IFERROR(VLOOKUP(INDEX(' Toto teams'!$G$4:$G$119,MATCH($B39,' Toto teams'!$A$4:$A$119,0)),Scoring!$A$4:$N$51,11,FALSE()),0)+1*IFERROR(VLOOKUP(INDEX(' Toto teams'!$H$4:$H$119,MATCH($B39,' Toto teams'!$A$4:$A$119,0)),Scoring!$A$4:$N$51,11,FALSE()),0))</f>
        <v/>
      </c>
      <c r="I39" s="28">
        <f>IF($B39="","",6*IFERROR(VLOOKUP(INDEX(' Toto teams'!$B$4:$B$119,MATCH($B39,' Toto teams'!$A$4:$A$119,0)),Scoring!$A$4:$O$51,15,FALSE()),0)+4*IFERROR(VLOOKUP(INDEX(' Toto teams'!$C$4:$C$119,MATCH($B39,' Toto teams'!$A$4:$A$119,0)),Scoring!$A$4:$O$51,15,FALSE()),0)+3*IFERROR(VLOOKUP(INDEX(' Toto teams'!$D$4:$D$119,MATCH($B39,' Toto teams'!$A$4:$A$119,0)),Scoring!$A$4:$O$51,15,FALSE()),0)+2*IFERROR(VLOOKUP(INDEX(' Toto teams'!$E$4:$E$119,MATCH($B39,' Toto teams'!$A$4:$A$119,0)),Scoring!$A$4:$O$51,15,FALSE()),0)+1*IFERROR(VLOOKUP(INDEX(' Toto teams'!$F$4:$F$119,MATCH($B39,' Toto teams'!$A$4:$A$119,0)),Scoring!$A$4:$O$51,15,FALSE()),0)+1*IFERROR(VLOOKUP(INDEX(' Toto teams'!$G$4:$G$119,MATCH($B39,' Toto teams'!$A$4:$A$119,0)),Scoring!$A$4:$O$51,15,FALSE()),0)+1*IFERROR(VLOOKUP(INDEX(' Toto teams'!$H$4:$H$119,MATCH($B39,' Toto teams'!$A$4:$A$119,0)),Scoring!$A$4:$O$51,15,FALSE()),0))</f>
        <v/>
      </c>
      <c r="J39" s="28">
        <f>IF($B39="","",6*IFERROR(VLOOKUP(INDEX(' Toto teams'!$B$4:$B$119,MATCH($B39,' Toto teams'!$A$4:$A$119,0)),Scoring!$A$4:$N$51,12,FALSE()),0)+4*IFERROR(VLOOKUP(INDEX(' Toto teams'!$C$4:$C$119,MATCH($B39,' Toto teams'!$A$4:$A$119,0)),Scoring!$A$4:$N$51,12,FALSE()),0)+3*IFERROR(VLOOKUP(INDEX(' Toto teams'!$D$4:$D$119,MATCH($B39,' Toto teams'!$A$4:$A$119,0)),Scoring!$A$4:$N$51,12,FALSE()),0)+2*IFERROR(VLOOKUP(INDEX(' Toto teams'!$E$4:$E$119,MATCH($B39,' Toto teams'!$A$4:$A$119,0)),Scoring!$A$4:$N$51,12,FALSE()),0)+1*IFERROR(VLOOKUP(INDEX(' Toto teams'!$F$4:$F$119,MATCH($B39,' Toto teams'!$A$4:$A$119,0)),Scoring!$A$4:$N$51,12,FALSE()),0)+1*IFERROR(VLOOKUP(INDEX(' Toto teams'!$G$4:$G$119,MATCH($B39,' Toto teams'!$A$4:$A$119,0)),Scoring!$A$4:$N$51,12,FALSE()),0)+1*IFERROR(VLOOKUP(INDEX(' Toto teams'!$H$4:$H$119,MATCH($B39,' Toto teams'!$A$4:$A$119,0)),Scoring!$A$4:$N$51,12,FALSE()),0))</f>
        <v/>
      </c>
      <c r="K39" s="29">
        <f>IF($B39="","",IFERROR(INDEX(' Toto teams'!$R$4:$R$119,MATCH($B39,' Toto teams'!$A$4:$A$119,0)),""))</f>
        <v/>
      </c>
      <c r="L39" s="30">
        <f>IFERROR(IF(B39="","",VLOOKUP(A39,$N$4:$R$12,5,FALSE())),0)</f>
        <v/>
      </c>
    </row>
    <row r="40" ht="12.75" customHeight="1">
      <c r="A40" s="26">
        <f>IF(37&gt;COUNTIF(' Toto teams'!$A$4:$A$119,"&lt;&gt;"),"",INDEX(' Toto teams'!$S$4:$S$119,MATCH(LARGE(' Toto teams'!$T$4:$T$119,37),' Toto teams'!$T$4:$T$119,0)))</f>
        <v/>
      </c>
      <c r="B40" s="27">
        <f>IF(37&gt;COUNTIF(' Toto teams'!$A$4:$A$119,"&lt;&gt;"),"",INDEX(' Toto teams'!$A$4:$A$119,MATCH(LARGE(' Toto teams'!$T$4:$T$119,37),' Toto teams'!$T$4:$T$119,0)))</f>
        <v/>
      </c>
      <c r="C40" s="28">
        <f>IF($B40="","",6*(IFERROR(VLOOKUP(INDEX(' Toto teams'!$B$4:$B$119,MATCH($B40,' Toto teams'!$A$4:$A$119,0)),Scoring!$A$4:$N$51,3,FALSE()),0)+IFERROR(VLOOKUP(INDEX(' Toto teams'!$B$4:$B$119,MATCH($B40,' Toto teams'!$A$4:$A$119,0)),Scoring!$A$4:$N$51,4,FALSE()),0)+IFERROR(VLOOKUP(INDEX(' Toto teams'!$B$4:$B$119,MATCH($B40,' Toto teams'!$A$4:$A$119,0)),Scoring!$A$4:$N$51,5,FALSE()),0))+4*(IFERROR(VLOOKUP(INDEX(' Toto teams'!$C$4:$C$119,MATCH($B40,' Toto teams'!$A$4:$A$119,0)),Scoring!$A$4:$N$51,3,FALSE()),0)+IFERROR(VLOOKUP(INDEX(' Toto teams'!$C$4:$C$119,MATCH($B40,' Toto teams'!$A$4:$A$119,0)),Scoring!$A$4:$N$51,4,FALSE()),0)+IFERROR(VLOOKUP(INDEX(' Toto teams'!$C$4:$C$119,MATCH($B40,' Toto teams'!$A$4:$A$119,0)),Scoring!$A$4:$N$51,5,FALSE()),0))+3*(IFERROR(VLOOKUP(INDEX(' Toto teams'!$D$4:$D$119,MATCH($B40,' Toto teams'!$A$4:$A$119,0)),Scoring!$A$4:$N$51,3,FALSE()),0)+IFERROR(VLOOKUP(INDEX(' Toto teams'!$D$4:$D$119,MATCH($B40,' Toto teams'!$A$4:$A$119,0)),Scoring!$A$4:$N$51,4,FALSE()),0)+IFERROR(VLOOKUP(INDEX(' Toto teams'!$D$4:$D$119,MATCH($B40,' Toto teams'!$A$4:$A$119,0)),Scoring!$A$4:$N$51,5,FALSE()),0))+2*(IFERROR(VLOOKUP(INDEX(' Toto teams'!$E$4:$E$119,MATCH($B40,' Toto teams'!$A$4:$A$119,0)),Scoring!$A$4:$N$51,3,FALSE()),0)+IFERROR(VLOOKUP(INDEX(' Toto teams'!$E$4:$E$119,MATCH($B40,' Toto teams'!$A$4:$A$119,0)),Scoring!$A$4:$N$51,4,FALSE()),0)+IFERROR(VLOOKUP(INDEX(' Toto teams'!$E$4:$E$119,MATCH($B40,' Toto teams'!$A$4:$A$119,0)),Scoring!$A$4:$N$51,5,FALSE()),0))+1*(IFERROR(VLOOKUP(INDEX(' Toto teams'!$F$4:$F$119,MATCH($B40,' Toto teams'!$A$4:$A$119,0)),Scoring!$A$4:$N$51,3,FALSE()),0)+IFERROR(VLOOKUP(INDEX(' Toto teams'!$F$4:$F$119,MATCH($B40,' Toto teams'!$A$4:$A$119,0)),Scoring!$A$4:$N$51,4,FALSE()),0)+IFERROR(VLOOKUP(INDEX(' Toto teams'!$F$4:$F$119,MATCH($B40,' Toto teams'!$A$4:$A$119,0)),Scoring!$A$4:$N$51,5,FALSE()),0))+1*(IFERROR(VLOOKUP(INDEX(' Toto teams'!$G$4:$G$119,MATCH($B40,' Toto teams'!$A$4:$A$119,0)),Scoring!$A$4:$N$51,3,FALSE()),0)+IFERROR(VLOOKUP(INDEX(' Toto teams'!$G$4:$G$119,MATCH($B40,' Toto teams'!$A$4:$A$119,0)),Scoring!$A$4:$N$51,4,FALSE()),0)+IFERROR(VLOOKUP(INDEX(' Toto teams'!$G$4:$G$119,MATCH($B40,' Toto teams'!$A$4:$A$119,0)),Scoring!$A$4:$N$51,5,FALSE()),0))+1*(IFERROR(VLOOKUP(INDEX(' Toto teams'!$H$4:$H$119,MATCH($B40,' Toto teams'!$A$4:$A$119,0)),Scoring!$A$4:$N$51,3,FALSE()),0)+IFERROR(VLOOKUP(INDEX(' Toto teams'!$H$4:$H$119,MATCH($B40,' Toto teams'!$A$4:$A$119,0)),Scoring!$A$4:$N$51,4,FALSE()),0)+IFERROR(VLOOKUP(INDEX(' Toto teams'!$H$4:$H$119,MATCH($B40,' Toto teams'!$A$4:$A$119,0)),Scoring!$A$4:$N$51,5,FALSE()),0))+IFERROR(INDEX(' Toto teams'!$Q$4:$Q$119,MATCH($B40,' Toto teams'!$A$4:$A$119,0))*1,0))</f>
        <v/>
      </c>
      <c r="D40" s="28">
        <f>IF($B40="","",6*IFERROR(VLOOKUP(INDEX(' Toto teams'!$B$4:$B$119,MATCH($B40,' Toto teams'!$A$4:$A$119,0)),Scoring!$A$4:$N$51,7,FALSE()),0)+4*IFERROR(VLOOKUP(INDEX(' Toto teams'!$C$4:$C$119,MATCH($B40,' Toto teams'!$A$4:$A$119,0)),Scoring!$A$4:$N$51,7,FALSE()),0)+3*IFERROR(VLOOKUP(INDEX(' Toto teams'!$D$4:$D$119,MATCH($B40,' Toto teams'!$A$4:$A$119,0)),Scoring!$A$4:$N$51,7,FALSE()),0)+2*IFERROR(VLOOKUP(INDEX(' Toto teams'!$E$4:$E$119,MATCH($B40,' Toto teams'!$A$4:$A$119,0)),Scoring!$A$4:$N$51,7,FALSE()),0)+1*IFERROR(VLOOKUP(INDEX(' Toto teams'!$F$4:$F$119,MATCH($B40,' Toto teams'!$A$4:$A$119,0)),Scoring!$A$4:$N$51,7,FALSE()),0)+1*IFERROR(VLOOKUP(INDEX(' Toto teams'!$G$4:$G$119,MATCH($B40,' Toto teams'!$A$4:$A$119,0)),Scoring!$A$4:$N$51,7,FALSE()),0)+1*IFERROR(VLOOKUP(INDEX(' Toto teams'!$H$4:$H$119,MATCH($B40,' Toto teams'!$A$4:$A$119,0)),Scoring!$A$4:$N$51,7,FALSE()),0))</f>
        <v/>
      </c>
      <c r="E40" s="28">
        <f>IF($B40="","",6*IFERROR(VLOOKUP(INDEX(' Toto teams'!$B$4:$B$119,MATCH($B40,' Toto teams'!$A$4:$A$119,0)),Scoring!$A$4:$N$51,8,FALSE()),0)+4*IFERROR(VLOOKUP(INDEX(' Toto teams'!$C$4:$C$119,MATCH($B40,' Toto teams'!$A$4:$A$119,0)),Scoring!$A$4:$N$51,8,FALSE()),0)+3*IFERROR(VLOOKUP(INDEX(' Toto teams'!$D$4:$D$119,MATCH($B40,' Toto teams'!$A$4:$A$119,0)),Scoring!$A$4:$N$51,8,FALSE()),0)+2*IFERROR(VLOOKUP(INDEX(' Toto teams'!$E$4:$E$119,MATCH($B40,' Toto teams'!$A$4:$A$119,0)),Scoring!$A$4:$N$51,8,FALSE()),0)+1*IFERROR(VLOOKUP(INDEX(' Toto teams'!$F$4:$F$119,MATCH($B40,' Toto teams'!$A$4:$A$119,0)),Scoring!$A$4:$N$51,8,FALSE()),0)+1*IFERROR(VLOOKUP(INDEX(' Toto teams'!$G$4:$G$119,MATCH($B40,' Toto teams'!$A$4:$A$119,0)),Scoring!$A$4:$N$51,8,FALSE()),0)+1*IFERROR(VLOOKUP(INDEX(' Toto teams'!$H$4:$H$119,MATCH($B40,' Toto teams'!$A$4:$A$119,0)),Scoring!$A$4:$N$51,8,FALSE()),0))</f>
        <v/>
      </c>
      <c r="F40" s="28">
        <f>IF($B40="","",6*IFERROR(VLOOKUP(INDEX(' Toto teams'!$B$4:$B$119,MATCH($B40,' Toto teams'!$A$4:$A$119,0)),Scoring!$A$4:$N$51,9,FALSE()),0)+4*IFERROR(VLOOKUP(INDEX(' Toto teams'!$C$4:$C$119,MATCH($B40,' Toto teams'!$A$4:$A$119,0)),Scoring!$A$4:$N$51,9,FALSE()),0)+3*IFERROR(VLOOKUP(INDEX(' Toto teams'!$D$4:$D$119,MATCH($B40,' Toto teams'!$A$4:$A$119,0)),Scoring!$A$4:$N$51,9,FALSE()),0)+2*IFERROR(VLOOKUP(INDEX(' Toto teams'!$E$4:$E$119,MATCH($B40,' Toto teams'!$A$4:$A$119,0)),Scoring!$A$4:$N$51,9,FALSE()),0)+1*IFERROR(VLOOKUP(INDEX(' Toto teams'!$F$4:$F$119,MATCH($B40,' Toto teams'!$A$4:$A$119,0)),Scoring!$A$4:$N$51,9,FALSE()),0)+1*IFERROR(VLOOKUP(INDEX(' Toto teams'!$G$4:$G$119,MATCH($B40,' Toto teams'!$A$4:$A$119,0)),Scoring!$A$4:$N$51,9,FALSE()),0)+1*IFERROR(VLOOKUP(INDEX(' Toto teams'!$H$4:$H$119,MATCH($B40,' Toto teams'!$A$4:$A$119,0)),Scoring!$A$4:$N$51,9,FALSE()),0))</f>
        <v/>
      </c>
      <c r="G40" s="28">
        <f>IF($B40="","",6*IFERROR(VLOOKUP(INDEX(' Toto teams'!$B$4:$B$119,MATCH($B40,' Toto teams'!$A$4:$A$119,0)),Scoring!$A$4:$N$51,10,FALSE()),0)+4*IFERROR(VLOOKUP(INDEX(' Toto teams'!$C$4:$C$119,MATCH($B40,' Toto teams'!$A$4:$A$119,0)),Scoring!$A$4:$N$51,10,FALSE()),0)+3*IFERROR(VLOOKUP(INDEX(' Toto teams'!$D$4:$D$119,MATCH($B40,' Toto teams'!$A$4:$A$119,0)),Scoring!$A$4:$N$51,10,FALSE()),0)+2*IFERROR(VLOOKUP(INDEX(' Toto teams'!$E$4:$E$119,MATCH($B40,' Toto teams'!$A$4:$A$119,0)),Scoring!$A$4:$N$51,10,FALSE()),0)+1*IFERROR(VLOOKUP(INDEX(' Toto teams'!$F$4:$F$119,MATCH($B40,' Toto teams'!$A$4:$A$119,0)),Scoring!$A$4:$N$51,10,FALSE()),0)+1*IFERROR(VLOOKUP(INDEX(' Toto teams'!$G$4:$G$119,MATCH($B40,' Toto teams'!$A$4:$A$119,0)),Scoring!$A$4:$N$51,10,FALSE()),0)+1*IFERROR(VLOOKUP(INDEX(' Toto teams'!$H$4:$H$119,MATCH($B40,' Toto teams'!$A$4:$A$119,0)),Scoring!$A$4:$N$51,10,FALSE()),0))</f>
        <v/>
      </c>
      <c r="H40" s="28">
        <f>IF($B40="","",6*IFERROR(VLOOKUP(INDEX(' Toto teams'!$B$4:$B$119,MATCH($B40,' Toto teams'!$A$4:$A$119,0)),Scoring!$A$4:$N$51,11,FALSE()),0)+4*IFERROR(VLOOKUP(INDEX(' Toto teams'!$C$4:$C$119,MATCH($B40,' Toto teams'!$A$4:$A$119,0)),Scoring!$A$4:$N$51,11,FALSE()),0)+3*IFERROR(VLOOKUP(INDEX(' Toto teams'!$D$4:$D$119,MATCH($B40,' Toto teams'!$A$4:$A$119,0)),Scoring!$A$4:$N$51,11,FALSE()),0)+2*IFERROR(VLOOKUP(INDEX(' Toto teams'!$E$4:$E$119,MATCH($B40,' Toto teams'!$A$4:$A$119,0)),Scoring!$A$4:$N$51,11,FALSE()),0)+1*IFERROR(VLOOKUP(INDEX(' Toto teams'!$F$4:$F$119,MATCH($B40,' Toto teams'!$A$4:$A$119,0)),Scoring!$A$4:$N$51,11,FALSE()),0)+1*IFERROR(VLOOKUP(INDEX(' Toto teams'!$G$4:$G$119,MATCH($B40,' Toto teams'!$A$4:$A$119,0)),Scoring!$A$4:$N$51,11,FALSE()),0)+1*IFERROR(VLOOKUP(INDEX(' Toto teams'!$H$4:$H$119,MATCH($B40,' Toto teams'!$A$4:$A$119,0)),Scoring!$A$4:$N$51,11,FALSE()),0))</f>
        <v/>
      </c>
      <c r="I40" s="28">
        <f>IF($B40="","",6*IFERROR(VLOOKUP(INDEX(' Toto teams'!$B$4:$B$119,MATCH($B40,' Toto teams'!$A$4:$A$119,0)),Scoring!$A$4:$O$51,15,FALSE()),0)+4*IFERROR(VLOOKUP(INDEX(' Toto teams'!$C$4:$C$119,MATCH($B40,' Toto teams'!$A$4:$A$119,0)),Scoring!$A$4:$O$51,15,FALSE()),0)+3*IFERROR(VLOOKUP(INDEX(' Toto teams'!$D$4:$D$119,MATCH($B40,' Toto teams'!$A$4:$A$119,0)),Scoring!$A$4:$O$51,15,FALSE()),0)+2*IFERROR(VLOOKUP(INDEX(' Toto teams'!$E$4:$E$119,MATCH($B40,' Toto teams'!$A$4:$A$119,0)),Scoring!$A$4:$O$51,15,FALSE()),0)+1*IFERROR(VLOOKUP(INDEX(' Toto teams'!$F$4:$F$119,MATCH($B40,' Toto teams'!$A$4:$A$119,0)),Scoring!$A$4:$O$51,15,FALSE()),0)+1*IFERROR(VLOOKUP(INDEX(' Toto teams'!$G$4:$G$119,MATCH($B40,' Toto teams'!$A$4:$A$119,0)),Scoring!$A$4:$O$51,15,FALSE()),0)+1*IFERROR(VLOOKUP(INDEX(' Toto teams'!$H$4:$H$119,MATCH($B40,' Toto teams'!$A$4:$A$119,0)),Scoring!$A$4:$O$51,15,FALSE()),0))</f>
        <v/>
      </c>
      <c r="J40" s="28">
        <f>IF($B40="","",6*IFERROR(VLOOKUP(INDEX(' Toto teams'!$B$4:$B$119,MATCH($B40,' Toto teams'!$A$4:$A$119,0)),Scoring!$A$4:$N$51,12,FALSE()),0)+4*IFERROR(VLOOKUP(INDEX(' Toto teams'!$C$4:$C$119,MATCH($B40,' Toto teams'!$A$4:$A$119,0)),Scoring!$A$4:$N$51,12,FALSE()),0)+3*IFERROR(VLOOKUP(INDEX(' Toto teams'!$D$4:$D$119,MATCH($B40,' Toto teams'!$A$4:$A$119,0)),Scoring!$A$4:$N$51,12,FALSE()),0)+2*IFERROR(VLOOKUP(INDEX(' Toto teams'!$E$4:$E$119,MATCH($B40,' Toto teams'!$A$4:$A$119,0)),Scoring!$A$4:$N$51,12,FALSE()),0)+1*IFERROR(VLOOKUP(INDEX(' Toto teams'!$F$4:$F$119,MATCH($B40,' Toto teams'!$A$4:$A$119,0)),Scoring!$A$4:$N$51,12,FALSE()),0)+1*IFERROR(VLOOKUP(INDEX(' Toto teams'!$G$4:$G$119,MATCH($B40,' Toto teams'!$A$4:$A$119,0)),Scoring!$A$4:$N$51,12,FALSE()),0)+1*IFERROR(VLOOKUP(INDEX(' Toto teams'!$H$4:$H$119,MATCH($B40,' Toto teams'!$A$4:$A$119,0)),Scoring!$A$4:$N$51,12,FALSE()),0))</f>
        <v/>
      </c>
      <c r="K40" s="29">
        <f>IF($B40="","",IFERROR(INDEX(' Toto teams'!$R$4:$R$119,MATCH($B40,' Toto teams'!$A$4:$A$119,0)),""))</f>
        <v/>
      </c>
      <c r="L40" s="30">
        <f>IFERROR(IF(B40="","",VLOOKUP(A40,$N$4:$R$12,5,FALSE())),0)</f>
        <v/>
      </c>
    </row>
    <row r="41" ht="12.75" customHeight="1">
      <c r="A41" s="26">
        <f>IF(38&gt;COUNTIF(' Toto teams'!$A$4:$A$119,"&lt;&gt;"),"",INDEX(' Toto teams'!$S$4:$S$119,MATCH(LARGE(' Toto teams'!$T$4:$T$119,38),' Toto teams'!$T$4:$T$119,0)))</f>
        <v/>
      </c>
      <c r="B41" s="27">
        <f>IF(38&gt;COUNTIF(' Toto teams'!$A$4:$A$119,"&lt;&gt;"),"",INDEX(' Toto teams'!$A$4:$A$119,MATCH(LARGE(' Toto teams'!$T$4:$T$119,38),' Toto teams'!$T$4:$T$119,0)))</f>
        <v/>
      </c>
      <c r="C41" s="28">
        <f>IF($B41="","",6*(IFERROR(VLOOKUP(INDEX(' Toto teams'!$B$4:$B$119,MATCH($B41,' Toto teams'!$A$4:$A$119,0)),Scoring!$A$4:$N$51,3,FALSE()),0)+IFERROR(VLOOKUP(INDEX(' Toto teams'!$B$4:$B$119,MATCH($B41,' Toto teams'!$A$4:$A$119,0)),Scoring!$A$4:$N$51,4,FALSE()),0)+IFERROR(VLOOKUP(INDEX(' Toto teams'!$B$4:$B$119,MATCH($B41,' Toto teams'!$A$4:$A$119,0)),Scoring!$A$4:$N$51,5,FALSE()),0))+4*(IFERROR(VLOOKUP(INDEX(' Toto teams'!$C$4:$C$119,MATCH($B41,' Toto teams'!$A$4:$A$119,0)),Scoring!$A$4:$N$51,3,FALSE()),0)+IFERROR(VLOOKUP(INDEX(' Toto teams'!$C$4:$C$119,MATCH($B41,' Toto teams'!$A$4:$A$119,0)),Scoring!$A$4:$N$51,4,FALSE()),0)+IFERROR(VLOOKUP(INDEX(' Toto teams'!$C$4:$C$119,MATCH($B41,' Toto teams'!$A$4:$A$119,0)),Scoring!$A$4:$N$51,5,FALSE()),0))+3*(IFERROR(VLOOKUP(INDEX(' Toto teams'!$D$4:$D$119,MATCH($B41,' Toto teams'!$A$4:$A$119,0)),Scoring!$A$4:$N$51,3,FALSE()),0)+IFERROR(VLOOKUP(INDEX(' Toto teams'!$D$4:$D$119,MATCH($B41,' Toto teams'!$A$4:$A$119,0)),Scoring!$A$4:$N$51,4,FALSE()),0)+IFERROR(VLOOKUP(INDEX(' Toto teams'!$D$4:$D$119,MATCH($B41,' Toto teams'!$A$4:$A$119,0)),Scoring!$A$4:$N$51,5,FALSE()),0))+2*(IFERROR(VLOOKUP(INDEX(' Toto teams'!$E$4:$E$119,MATCH($B41,' Toto teams'!$A$4:$A$119,0)),Scoring!$A$4:$N$51,3,FALSE()),0)+IFERROR(VLOOKUP(INDEX(' Toto teams'!$E$4:$E$119,MATCH($B41,' Toto teams'!$A$4:$A$119,0)),Scoring!$A$4:$N$51,4,FALSE()),0)+IFERROR(VLOOKUP(INDEX(' Toto teams'!$E$4:$E$119,MATCH($B41,' Toto teams'!$A$4:$A$119,0)),Scoring!$A$4:$N$51,5,FALSE()),0))+1*(IFERROR(VLOOKUP(INDEX(' Toto teams'!$F$4:$F$119,MATCH($B41,' Toto teams'!$A$4:$A$119,0)),Scoring!$A$4:$N$51,3,FALSE()),0)+IFERROR(VLOOKUP(INDEX(' Toto teams'!$F$4:$F$119,MATCH($B41,' Toto teams'!$A$4:$A$119,0)),Scoring!$A$4:$N$51,4,FALSE()),0)+IFERROR(VLOOKUP(INDEX(' Toto teams'!$F$4:$F$119,MATCH($B41,' Toto teams'!$A$4:$A$119,0)),Scoring!$A$4:$N$51,5,FALSE()),0))+1*(IFERROR(VLOOKUP(INDEX(' Toto teams'!$G$4:$G$119,MATCH($B41,' Toto teams'!$A$4:$A$119,0)),Scoring!$A$4:$N$51,3,FALSE()),0)+IFERROR(VLOOKUP(INDEX(' Toto teams'!$G$4:$G$119,MATCH($B41,' Toto teams'!$A$4:$A$119,0)),Scoring!$A$4:$N$51,4,FALSE()),0)+IFERROR(VLOOKUP(INDEX(' Toto teams'!$G$4:$G$119,MATCH($B41,' Toto teams'!$A$4:$A$119,0)),Scoring!$A$4:$N$51,5,FALSE()),0))+1*(IFERROR(VLOOKUP(INDEX(' Toto teams'!$H$4:$H$119,MATCH($B41,' Toto teams'!$A$4:$A$119,0)),Scoring!$A$4:$N$51,3,FALSE()),0)+IFERROR(VLOOKUP(INDEX(' Toto teams'!$H$4:$H$119,MATCH($B41,' Toto teams'!$A$4:$A$119,0)),Scoring!$A$4:$N$51,4,FALSE()),0)+IFERROR(VLOOKUP(INDEX(' Toto teams'!$H$4:$H$119,MATCH($B41,' Toto teams'!$A$4:$A$119,0)),Scoring!$A$4:$N$51,5,FALSE()),0))+IFERROR(INDEX(' Toto teams'!$Q$4:$Q$119,MATCH($B41,' Toto teams'!$A$4:$A$119,0))*1,0))</f>
        <v/>
      </c>
      <c r="D41" s="28">
        <f>IF($B41="","",6*IFERROR(VLOOKUP(INDEX(' Toto teams'!$B$4:$B$119,MATCH($B41,' Toto teams'!$A$4:$A$119,0)),Scoring!$A$4:$N$51,7,FALSE()),0)+4*IFERROR(VLOOKUP(INDEX(' Toto teams'!$C$4:$C$119,MATCH($B41,' Toto teams'!$A$4:$A$119,0)),Scoring!$A$4:$N$51,7,FALSE()),0)+3*IFERROR(VLOOKUP(INDEX(' Toto teams'!$D$4:$D$119,MATCH($B41,' Toto teams'!$A$4:$A$119,0)),Scoring!$A$4:$N$51,7,FALSE()),0)+2*IFERROR(VLOOKUP(INDEX(' Toto teams'!$E$4:$E$119,MATCH($B41,' Toto teams'!$A$4:$A$119,0)),Scoring!$A$4:$N$51,7,FALSE()),0)+1*IFERROR(VLOOKUP(INDEX(' Toto teams'!$F$4:$F$119,MATCH($B41,' Toto teams'!$A$4:$A$119,0)),Scoring!$A$4:$N$51,7,FALSE()),0)+1*IFERROR(VLOOKUP(INDEX(' Toto teams'!$G$4:$G$119,MATCH($B41,' Toto teams'!$A$4:$A$119,0)),Scoring!$A$4:$N$51,7,FALSE()),0)+1*IFERROR(VLOOKUP(INDEX(' Toto teams'!$H$4:$H$119,MATCH($B41,' Toto teams'!$A$4:$A$119,0)),Scoring!$A$4:$N$51,7,FALSE()),0))</f>
        <v/>
      </c>
      <c r="E41" s="28">
        <f>IF($B41="","",6*IFERROR(VLOOKUP(INDEX(' Toto teams'!$B$4:$B$119,MATCH($B41,' Toto teams'!$A$4:$A$119,0)),Scoring!$A$4:$N$51,8,FALSE()),0)+4*IFERROR(VLOOKUP(INDEX(' Toto teams'!$C$4:$C$119,MATCH($B41,' Toto teams'!$A$4:$A$119,0)),Scoring!$A$4:$N$51,8,FALSE()),0)+3*IFERROR(VLOOKUP(INDEX(' Toto teams'!$D$4:$D$119,MATCH($B41,' Toto teams'!$A$4:$A$119,0)),Scoring!$A$4:$N$51,8,FALSE()),0)+2*IFERROR(VLOOKUP(INDEX(' Toto teams'!$E$4:$E$119,MATCH($B41,' Toto teams'!$A$4:$A$119,0)),Scoring!$A$4:$N$51,8,FALSE()),0)+1*IFERROR(VLOOKUP(INDEX(' Toto teams'!$F$4:$F$119,MATCH($B41,' Toto teams'!$A$4:$A$119,0)),Scoring!$A$4:$N$51,8,FALSE()),0)+1*IFERROR(VLOOKUP(INDEX(' Toto teams'!$G$4:$G$119,MATCH($B41,' Toto teams'!$A$4:$A$119,0)),Scoring!$A$4:$N$51,8,FALSE()),0)+1*IFERROR(VLOOKUP(INDEX(' Toto teams'!$H$4:$H$119,MATCH($B41,' Toto teams'!$A$4:$A$119,0)),Scoring!$A$4:$N$51,8,FALSE()),0))</f>
        <v/>
      </c>
      <c r="F41" s="28">
        <f>IF($B41="","",6*IFERROR(VLOOKUP(INDEX(' Toto teams'!$B$4:$B$119,MATCH($B41,' Toto teams'!$A$4:$A$119,0)),Scoring!$A$4:$N$51,9,FALSE()),0)+4*IFERROR(VLOOKUP(INDEX(' Toto teams'!$C$4:$C$119,MATCH($B41,' Toto teams'!$A$4:$A$119,0)),Scoring!$A$4:$N$51,9,FALSE()),0)+3*IFERROR(VLOOKUP(INDEX(' Toto teams'!$D$4:$D$119,MATCH($B41,' Toto teams'!$A$4:$A$119,0)),Scoring!$A$4:$N$51,9,FALSE()),0)+2*IFERROR(VLOOKUP(INDEX(' Toto teams'!$E$4:$E$119,MATCH($B41,' Toto teams'!$A$4:$A$119,0)),Scoring!$A$4:$N$51,9,FALSE()),0)+1*IFERROR(VLOOKUP(INDEX(' Toto teams'!$F$4:$F$119,MATCH($B41,' Toto teams'!$A$4:$A$119,0)),Scoring!$A$4:$N$51,9,FALSE()),0)+1*IFERROR(VLOOKUP(INDEX(' Toto teams'!$G$4:$G$119,MATCH($B41,' Toto teams'!$A$4:$A$119,0)),Scoring!$A$4:$N$51,9,FALSE()),0)+1*IFERROR(VLOOKUP(INDEX(' Toto teams'!$H$4:$H$119,MATCH($B41,' Toto teams'!$A$4:$A$119,0)),Scoring!$A$4:$N$51,9,FALSE()),0))</f>
        <v/>
      </c>
      <c r="G41" s="28">
        <f>IF($B41="","",6*IFERROR(VLOOKUP(INDEX(' Toto teams'!$B$4:$B$119,MATCH($B41,' Toto teams'!$A$4:$A$119,0)),Scoring!$A$4:$N$51,10,FALSE()),0)+4*IFERROR(VLOOKUP(INDEX(' Toto teams'!$C$4:$C$119,MATCH($B41,' Toto teams'!$A$4:$A$119,0)),Scoring!$A$4:$N$51,10,FALSE()),0)+3*IFERROR(VLOOKUP(INDEX(' Toto teams'!$D$4:$D$119,MATCH($B41,' Toto teams'!$A$4:$A$119,0)),Scoring!$A$4:$N$51,10,FALSE()),0)+2*IFERROR(VLOOKUP(INDEX(' Toto teams'!$E$4:$E$119,MATCH($B41,' Toto teams'!$A$4:$A$119,0)),Scoring!$A$4:$N$51,10,FALSE()),0)+1*IFERROR(VLOOKUP(INDEX(' Toto teams'!$F$4:$F$119,MATCH($B41,' Toto teams'!$A$4:$A$119,0)),Scoring!$A$4:$N$51,10,FALSE()),0)+1*IFERROR(VLOOKUP(INDEX(' Toto teams'!$G$4:$G$119,MATCH($B41,' Toto teams'!$A$4:$A$119,0)),Scoring!$A$4:$N$51,10,FALSE()),0)+1*IFERROR(VLOOKUP(INDEX(' Toto teams'!$H$4:$H$119,MATCH($B41,' Toto teams'!$A$4:$A$119,0)),Scoring!$A$4:$N$51,10,FALSE()),0))</f>
        <v/>
      </c>
      <c r="H41" s="28">
        <f>IF($B41="","",6*IFERROR(VLOOKUP(INDEX(' Toto teams'!$B$4:$B$119,MATCH($B41,' Toto teams'!$A$4:$A$119,0)),Scoring!$A$4:$N$51,11,FALSE()),0)+4*IFERROR(VLOOKUP(INDEX(' Toto teams'!$C$4:$C$119,MATCH($B41,' Toto teams'!$A$4:$A$119,0)),Scoring!$A$4:$N$51,11,FALSE()),0)+3*IFERROR(VLOOKUP(INDEX(' Toto teams'!$D$4:$D$119,MATCH($B41,' Toto teams'!$A$4:$A$119,0)),Scoring!$A$4:$N$51,11,FALSE()),0)+2*IFERROR(VLOOKUP(INDEX(' Toto teams'!$E$4:$E$119,MATCH($B41,' Toto teams'!$A$4:$A$119,0)),Scoring!$A$4:$N$51,11,FALSE()),0)+1*IFERROR(VLOOKUP(INDEX(' Toto teams'!$F$4:$F$119,MATCH($B41,' Toto teams'!$A$4:$A$119,0)),Scoring!$A$4:$N$51,11,FALSE()),0)+1*IFERROR(VLOOKUP(INDEX(' Toto teams'!$G$4:$G$119,MATCH($B41,' Toto teams'!$A$4:$A$119,0)),Scoring!$A$4:$N$51,11,FALSE()),0)+1*IFERROR(VLOOKUP(INDEX(' Toto teams'!$H$4:$H$119,MATCH($B41,' Toto teams'!$A$4:$A$119,0)),Scoring!$A$4:$N$51,11,FALSE()),0))</f>
        <v/>
      </c>
      <c r="I41" s="28">
        <f>IF($B41="","",6*IFERROR(VLOOKUP(INDEX(' Toto teams'!$B$4:$B$119,MATCH($B41,' Toto teams'!$A$4:$A$119,0)),Scoring!$A$4:$O$51,15,FALSE()),0)+4*IFERROR(VLOOKUP(INDEX(' Toto teams'!$C$4:$C$119,MATCH($B41,' Toto teams'!$A$4:$A$119,0)),Scoring!$A$4:$O$51,15,FALSE()),0)+3*IFERROR(VLOOKUP(INDEX(' Toto teams'!$D$4:$D$119,MATCH($B41,' Toto teams'!$A$4:$A$119,0)),Scoring!$A$4:$O$51,15,FALSE()),0)+2*IFERROR(VLOOKUP(INDEX(' Toto teams'!$E$4:$E$119,MATCH($B41,' Toto teams'!$A$4:$A$119,0)),Scoring!$A$4:$O$51,15,FALSE()),0)+1*IFERROR(VLOOKUP(INDEX(' Toto teams'!$F$4:$F$119,MATCH($B41,' Toto teams'!$A$4:$A$119,0)),Scoring!$A$4:$O$51,15,FALSE()),0)+1*IFERROR(VLOOKUP(INDEX(' Toto teams'!$G$4:$G$119,MATCH($B41,' Toto teams'!$A$4:$A$119,0)),Scoring!$A$4:$O$51,15,FALSE()),0)+1*IFERROR(VLOOKUP(INDEX(' Toto teams'!$H$4:$H$119,MATCH($B41,' Toto teams'!$A$4:$A$119,0)),Scoring!$A$4:$O$51,15,FALSE()),0))</f>
        <v/>
      </c>
      <c r="J41" s="28">
        <f>IF($B41="","",6*IFERROR(VLOOKUP(INDEX(' Toto teams'!$B$4:$B$119,MATCH($B41,' Toto teams'!$A$4:$A$119,0)),Scoring!$A$4:$N$51,12,FALSE()),0)+4*IFERROR(VLOOKUP(INDEX(' Toto teams'!$C$4:$C$119,MATCH($B41,' Toto teams'!$A$4:$A$119,0)),Scoring!$A$4:$N$51,12,FALSE()),0)+3*IFERROR(VLOOKUP(INDEX(' Toto teams'!$D$4:$D$119,MATCH($B41,' Toto teams'!$A$4:$A$119,0)),Scoring!$A$4:$N$51,12,FALSE()),0)+2*IFERROR(VLOOKUP(INDEX(' Toto teams'!$E$4:$E$119,MATCH($B41,' Toto teams'!$A$4:$A$119,0)),Scoring!$A$4:$N$51,12,FALSE()),0)+1*IFERROR(VLOOKUP(INDEX(' Toto teams'!$F$4:$F$119,MATCH($B41,' Toto teams'!$A$4:$A$119,0)),Scoring!$A$4:$N$51,12,FALSE()),0)+1*IFERROR(VLOOKUP(INDEX(' Toto teams'!$G$4:$G$119,MATCH($B41,' Toto teams'!$A$4:$A$119,0)),Scoring!$A$4:$N$51,12,FALSE()),0)+1*IFERROR(VLOOKUP(INDEX(' Toto teams'!$H$4:$H$119,MATCH($B41,' Toto teams'!$A$4:$A$119,0)),Scoring!$A$4:$N$51,12,FALSE()),0))</f>
        <v/>
      </c>
      <c r="K41" s="29">
        <f>IF($B41="","",IFERROR(INDEX(' Toto teams'!$R$4:$R$119,MATCH($B41,' Toto teams'!$A$4:$A$119,0)),""))</f>
        <v/>
      </c>
      <c r="L41" s="30">
        <f>IFERROR(IF(B41="","",VLOOKUP(A41,$N$4:$R$12,5,FALSE())),0)</f>
        <v/>
      </c>
    </row>
    <row r="42" ht="12.75" customHeight="1">
      <c r="A42" s="26">
        <f>IF(39&gt;COUNTIF(' Toto teams'!$A$4:$A$119,"&lt;&gt;"),"",INDEX(' Toto teams'!$S$4:$S$119,MATCH(LARGE(' Toto teams'!$T$4:$T$119,39),' Toto teams'!$T$4:$T$119,0)))</f>
        <v/>
      </c>
      <c r="B42" s="27">
        <f>IF(39&gt;COUNTIF(' Toto teams'!$A$4:$A$119,"&lt;&gt;"),"",INDEX(' Toto teams'!$A$4:$A$119,MATCH(LARGE(' Toto teams'!$T$4:$T$119,39),' Toto teams'!$T$4:$T$119,0)))</f>
        <v/>
      </c>
      <c r="C42" s="28">
        <f>IF($B42="","",6*(IFERROR(VLOOKUP(INDEX(' Toto teams'!$B$4:$B$119,MATCH($B42,' Toto teams'!$A$4:$A$119,0)),Scoring!$A$4:$N$51,3,FALSE()),0)+IFERROR(VLOOKUP(INDEX(' Toto teams'!$B$4:$B$119,MATCH($B42,' Toto teams'!$A$4:$A$119,0)),Scoring!$A$4:$N$51,4,FALSE()),0)+IFERROR(VLOOKUP(INDEX(' Toto teams'!$B$4:$B$119,MATCH($B42,' Toto teams'!$A$4:$A$119,0)),Scoring!$A$4:$N$51,5,FALSE()),0))+4*(IFERROR(VLOOKUP(INDEX(' Toto teams'!$C$4:$C$119,MATCH($B42,' Toto teams'!$A$4:$A$119,0)),Scoring!$A$4:$N$51,3,FALSE()),0)+IFERROR(VLOOKUP(INDEX(' Toto teams'!$C$4:$C$119,MATCH($B42,' Toto teams'!$A$4:$A$119,0)),Scoring!$A$4:$N$51,4,FALSE()),0)+IFERROR(VLOOKUP(INDEX(' Toto teams'!$C$4:$C$119,MATCH($B42,' Toto teams'!$A$4:$A$119,0)),Scoring!$A$4:$N$51,5,FALSE()),0))+3*(IFERROR(VLOOKUP(INDEX(' Toto teams'!$D$4:$D$119,MATCH($B42,' Toto teams'!$A$4:$A$119,0)),Scoring!$A$4:$N$51,3,FALSE()),0)+IFERROR(VLOOKUP(INDEX(' Toto teams'!$D$4:$D$119,MATCH($B42,' Toto teams'!$A$4:$A$119,0)),Scoring!$A$4:$N$51,4,FALSE()),0)+IFERROR(VLOOKUP(INDEX(' Toto teams'!$D$4:$D$119,MATCH($B42,' Toto teams'!$A$4:$A$119,0)),Scoring!$A$4:$N$51,5,FALSE()),0))+2*(IFERROR(VLOOKUP(INDEX(' Toto teams'!$E$4:$E$119,MATCH($B42,' Toto teams'!$A$4:$A$119,0)),Scoring!$A$4:$N$51,3,FALSE()),0)+IFERROR(VLOOKUP(INDEX(' Toto teams'!$E$4:$E$119,MATCH($B42,' Toto teams'!$A$4:$A$119,0)),Scoring!$A$4:$N$51,4,FALSE()),0)+IFERROR(VLOOKUP(INDEX(' Toto teams'!$E$4:$E$119,MATCH($B42,' Toto teams'!$A$4:$A$119,0)),Scoring!$A$4:$N$51,5,FALSE()),0))+1*(IFERROR(VLOOKUP(INDEX(' Toto teams'!$F$4:$F$119,MATCH($B42,' Toto teams'!$A$4:$A$119,0)),Scoring!$A$4:$N$51,3,FALSE()),0)+IFERROR(VLOOKUP(INDEX(' Toto teams'!$F$4:$F$119,MATCH($B42,' Toto teams'!$A$4:$A$119,0)),Scoring!$A$4:$N$51,4,FALSE()),0)+IFERROR(VLOOKUP(INDEX(' Toto teams'!$F$4:$F$119,MATCH($B42,' Toto teams'!$A$4:$A$119,0)),Scoring!$A$4:$N$51,5,FALSE()),0))+1*(IFERROR(VLOOKUP(INDEX(' Toto teams'!$G$4:$G$119,MATCH($B42,' Toto teams'!$A$4:$A$119,0)),Scoring!$A$4:$N$51,3,FALSE()),0)+IFERROR(VLOOKUP(INDEX(' Toto teams'!$G$4:$G$119,MATCH($B42,' Toto teams'!$A$4:$A$119,0)),Scoring!$A$4:$N$51,4,FALSE()),0)+IFERROR(VLOOKUP(INDEX(' Toto teams'!$G$4:$G$119,MATCH($B42,' Toto teams'!$A$4:$A$119,0)),Scoring!$A$4:$N$51,5,FALSE()),0))+1*(IFERROR(VLOOKUP(INDEX(' Toto teams'!$H$4:$H$119,MATCH($B42,' Toto teams'!$A$4:$A$119,0)),Scoring!$A$4:$N$51,3,FALSE()),0)+IFERROR(VLOOKUP(INDEX(' Toto teams'!$H$4:$H$119,MATCH($B42,' Toto teams'!$A$4:$A$119,0)),Scoring!$A$4:$N$51,4,FALSE()),0)+IFERROR(VLOOKUP(INDEX(' Toto teams'!$H$4:$H$119,MATCH($B42,' Toto teams'!$A$4:$A$119,0)),Scoring!$A$4:$N$51,5,FALSE()),0))+IFERROR(INDEX(' Toto teams'!$Q$4:$Q$119,MATCH($B42,' Toto teams'!$A$4:$A$119,0))*1,0))</f>
        <v/>
      </c>
      <c r="D42" s="28">
        <f>IF($B42="","",6*IFERROR(VLOOKUP(INDEX(' Toto teams'!$B$4:$B$119,MATCH($B42,' Toto teams'!$A$4:$A$119,0)),Scoring!$A$4:$N$51,7,FALSE()),0)+4*IFERROR(VLOOKUP(INDEX(' Toto teams'!$C$4:$C$119,MATCH($B42,' Toto teams'!$A$4:$A$119,0)),Scoring!$A$4:$N$51,7,FALSE()),0)+3*IFERROR(VLOOKUP(INDEX(' Toto teams'!$D$4:$D$119,MATCH($B42,' Toto teams'!$A$4:$A$119,0)),Scoring!$A$4:$N$51,7,FALSE()),0)+2*IFERROR(VLOOKUP(INDEX(' Toto teams'!$E$4:$E$119,MATCH($B42,' Toto teams'!$A$4:$A$119,0)),Scoring!$A$4:$N$51,7,FALSE()),0)+1*IFERROR(VLOOKUP(INDEX(' Toto teams'!$F$4:$F$119,MATCH($B42,' Toto teams'!$A$4:$A$119,0)),Scoring!$A$4:$N$51,7,FALSE()),0)+1*IFERROR(VLOOKUP(INDEX(' Toto teams'!$G$4:$G$119,MATCH($B42,' Toto teams'!$A$4:$A$119,0)),Scoring!$A$4:$N$51,7,FALSE()),0)+1*IFERROR(VLOOKUP(INDEX(' Toto teams'!$H$4:$H$119,MATCH($B42,' Toto teams'!$A$4:$A$119,0)),Scoring!$A$4:$N$51,7,FALSE()),0))</f>
        <v/>
      </c>
      <c r="E42" s="28">
        <f>IF($B42="","",6*IFERROR(VLOOKUP(INDEX(' Toto teams'!$B$4:$B$119,MATCH($B42,' Toto teams'!$A$4:$A$119,0)),Scoring!$A$4:$N$51,8,FALSE()),0)+4*IFERROR(VLOOKUP(INDEX(' Toto teams'!$C$4:$C$119,MATCH($B42,' Toto teams'!$A$4:$A$119,0)),Scoring!$A$4:$N$51,8,FALSE()),0)+3*IFERROR(VLOOKUP(INDEX(' Toto teams'!$D$4:$D$119,MATCH($B42,' Toto teams'!$A$4:$A$119,0)),Scoring!$A$4:$N$51,8,FALSE()),0)+2*IFERROR(VLOOKUP(INDEX(' Toto teams'!$E$4:$E$119,MATCH($B42,' Toto teams'!$A$4:$A$119,0)),Scoring!$A$4:$N$51,8,FALSE()),0)+1*IFERROR(VLOOKUP(INDEX(' Toto teams'!$F$4:$F$119,MATCH($B42,' Toto teams'!$A$4:$A$119,0)),Scoring!$A$4:$N$51,8,FALSE()),0)+1*IFERROR(VLOOKUP(INDEX(' Toto teams'!$G$4:$G$119,MATCH($B42,' Toto teams'!$A$4:$A$119,0)),Scoring!$A$4:$N$51,8,FALSE()),0)+1*IFERROR(VLOOKUP(INDEX(' Toto teams'!$H$4:$H$119,MATCH($B42,' Toto teams'!$A$4:$A$119,0)),Scoring!$A$4:$N$51,8,FALSE()),0))</f>
        <v/>
      </c>
      <c r="F42" s="28">
        <f>IF($B42="","",6*IFERROR(VLOOKUP(INDEX(' Toto teams'!$B$4:$B$119,MATCH($B42,' Toto teams'!$A$4:$A$119,0)),Scoring!$A$4:$N$51,9,FALSE()),0)+4*IFERROR(VLOOKUP(INDEX(' Toto teams'!$C$4:$C$119,MATCH($B42,' Toto teams'!$A$4:$A$119,0)),Scoring!$A$4:$N$51,9,FALSE()),0)+3*IFERROR(VLOOKUP(INDEX(' Toto teams'!$D$4:$D$119,MATCH($B42,' Toto teams'!$A$4:$A$119,0)),Scoring!$A$4:$N$51,9,FALSE()),0)+2*IFERROR(VLOOKUP(INDEX(' Toto teams'!$E$4:$E$119,MATCH($B42,' Toto teams'!$A$4:$A$119,0)),Scoring!$A$4:$N$51,9,FALSE()),0)+1*IFERROR(VLOOKUP(INDEX(' Toto teams'!$F$4:$F$119,MATCH($B42,' Toto teams'!$A$4:$A$119,0)),Scoring!$A$4:$N$51,9,FALSE()),0)+1*IFERROR(VLOOKUP(INDEX(' Toto teams'!$G$4:$G$119,MATCH($B42,' Toto teams'!$A$4:$A$119,0)),Scoring!$A$4:$N$51,9,FALSE()),0)+1*IFERROR(VLOOKUP(INDEX(' Toto teams'!$H$4:$H$119,MATCH($B42,' Toto teams'!$A$4:$A$119,0)),Scoring!$A$4:$N$51,9,FALSE()),0))</f>
        <v/>
      </c>
      <c r="G42" s="28">
        <f>IF($B42="","",6*IFERROR(VLOOKUP(INDEX(' Toto teams'!$B$4:$B$119,MATCH($B42,' Toto teams'!$A$4:$A$119,0)),Scoring!$A$4:$N$51,10,FALSE()),0)+4*IFERROR(VLOOKUP(INDEX(' Toto teams'!$C$4:$C$119,MATCH($B42,' Toto teams'!$A$4:$A$119,0)),Scoring!$A$4:$N$51,10,FALSE()),0)+3*IFERROR(VLOOKUP(INDEX(' Toto teams'!$D$4:$D$119,MATCH($B42,' Toto teams'!$A$4:$A$119,0)),Scoring!$A$4:$N$51,10,FALSE()),0)+2*IFERROR(VLOOKUP(INDEX(' Toto teams'!$E$4:$E$119,MATCH($B42,' Toto teams'!$A$4:$A$119,0)),Scoring!$A$4:$N$51,10,FALSE()),0)+1*IFERROR(VLOOKUP(INDEX(' Toto teams'!$F$4:$F$119,MATCH($B42,' Toto teams'!$A$4:$A$119,0)),Scoring!$A$4:$N$51,10,FALSE()),0)+1*IFERROR(VLOOKUP(INDEX(' Toto teams'!$G$4:$G$119,MATCH($B42,' Toto teams'!$A$4:$A$119,0)),Scoring!$A$4:$N$51,10,FALSE()),0)+1*IFERROR(VLOOKUP(INDEX(' Toto teams'!$H$4:$H$119,MATCH($B42,' Toto teams'!$A$4:$A$119,0)),Scoring!$A$4:$N$51,10,FALSE()),0))</f>
        <v/>
      </c>
      <c r="H42" s="28">
        <f>IF($B42="","",6*IFERROR(VLOOKUP(INDEX(' Toto teams'!$B$4:$B$119,MATCH($B42,' Toto teams'!$A$4:$A$119,0)),Scoring!$A$4:$N$51,11,FALSE()),0)+4*IFERROR(VLOOKUP(INDEX(' Toto teams'!$C$4:$C$119,MATCH($B42,' Toto teams'!$A$4:$A$119,0)),Scoring!$A$4:$N$51,11,FALSE()),0)+3*IFERROR(VLOOKUP(INDEX(' Toto teams'!$D$4:$D$119,MATCH($B42,' Toto teams'!$A$4:$A$119,0)),Scoring!$A$4:$N$51,11,FALSE()),0)+2*IFERROR(VLOOKUP(INDEX(' Toto teams'!$E$4:$E$119,MATCH($B42,' Toto teams'!$A$4:$A$119,0)),Scoring!$A$4:$N$51,11,FALSE()),0)+1*IFERROR(VLOOKUP(INDEX(' Toto teams'!$F$4:$F$119,MATCH($B42,' Toto teams'!$A$4:$A$119,0)),Scoring!$A$4:$N$51,11,FALSE()),0)+1*IFERROR(VLOOKUP(INDEX(' Toto teams'!$G$4:$G$119,MATCH($B42,' Toto teams'!$A$4:$A$119,0)),Scoring!$A$4:$N$51,11,FALSE()),0)+1*IFERROR(VLOOKUP(INDEX(' Toto teams'!$H$4:$H$119,MATCH($B42,' Toto teams'!$A$4:$A$119,0)),Scoring!$A$4:$N$51,11,FALSE()),0))</f>
        <v/>
      </c>
      <c r="I42" s="28">
        <f>IF($B42="","",6*IFERROR(VLOOKUP(INDEX(' Toto teams'!$B$4:$B$119,MATCH($B42,' Toto teams'!$A$4:$A$119,0)),Scoring!$A$4:$O$51,15,FALSE()),0)+4*IFERROR(VLOOKUP(INDEX(' Toto teams'!$C$4:$C$119,MATCH($B42,' Toto teams'!$A$4:$A$119,0)),Scoring!$A$4:$O$51,15,FALSE()),0)+3*IFERROR(VLOOKUP(INDEX(' Toto teams'!$D$4:$D$119,MATCH($B42,' Toto teams'!$A$4:$A$119,0)),Scoring!$A$4:$O$51,15,FALSE()),0)+2*IFERROR(VLOOKUP(INDEX(' Toto teams'!$E$4:$E$119,MATCH($B42,' Toto teams'!$A$4:$A$119,0)),Scoring!$A$4:$O$51,15,FALSE()),0)+1*IFERROR(VLOOKUP(INDEX(' Toto teams'!$F$4:$F$119,MATCH($B42,' Toto teams'!$A$4:$A$119,0)),Scoring!$A$4:$O$51,15,FALSE()),0)+1*IFERROR(VLOOKUP(INDEX(' Toto teams'!$G$4:$G$119,MATCH($B42,' Toto teams'!$A$4:$A$119,0)),Scoring!$A$4:$O$51,15,FALSE()),0)+1*IFERROR(VLOOKUP(INDEX(' Toto teams'!$H$4:$H$119,MATCH($B42,' Toto teams'!$A$4:$A$119,0)),Scoring!$A$4:$O$51,15,FALSE()),0))</f>
        <v/>
      </c>
      <c r="J42" s="28">
        <f>IF($B42="","",6*IFERROR(VLOOKUP(INDEX(' Toto teams'!$B$4:$B$119,MATCH($B42,' Toto teams'!$A$4:$A$119,0)),Scoring!$A$4:$N$51,12,FALSE()),0)+4*IFERROR(VLOOKUP(INDEX(' Toto teams'!$C$4:$C$119,MATCH($B42,' Toto teams'!$A$4:$A$119,0)),Scoring!$A$4:$N$51,12,FALSE()),0)+3*IFERROR(VLOOKUP(INDEX(' Toto teams'!$D$4:$D$119,MATCH($B42,' Toto teams'!$A$4:$A$119,0)),Scoring!$A$4:$N$51,12,FALSE()),0)+2*IFERROR(VLOOKUP(INDEX(' Toto teams'!$E$4:$E$119,MATCH($B42,' Toto teams'!$A$4:$A$119,0)),Scoring!$A$4:$N$51,12,FALSE()),0)+1*IFERROR(VLOOKUP(INDEX(' Toto teams'!$F$4:$F$119,MATCH($B42,' Toto teams'!$A$4:$A$119,0)),Scoring!$A$4:$N$51,12,FALSE()),0)+1*IFERROR(VLOOKUP(INDEX(' Toto teams'!$G$4:$G$119,MATCH($B42,' Toto teams'!$A$4:$A$119,0)),Scoring!$A$4:$N$51,12,FALSE()),0)+1*IFERROR(VLOOKUP(INDEX(' Toto teams'!$H$4:$H$119,MATCH($B42,' Toto teams'!$A$4:$A$119,0)),Scoring!$A$4:$N$51,12,FALSE()),0))</f>
        <v/>
      </c>
      <c r="K42" s="29">
        <f>IF($B42="","",IFERROR(INDEX(' Toto teams'!$R$4:$R$119,MATCH($B42,' Toto teams'!$A$4:$A$119,0)),""))</f>
        <v/>
      </c>
      <c r="L42" s="30">
        <f>IFERROR(IF(B42="","",VLOOKUP(A42,$N$4:$R$12,5,FALSE())),0)</f>
        <v/>
      </c>
    </row>
    <row r="43" ht="12.75" customHeight="1">
      <c r="A43" s="26">
        <f>IF(40&gt;COUNTIF(' Toto teams'!$A$4:$A$119,"&lt;&gt;"),"",INDEX(' Toto teams'!$S$4:$S$119,MATCH(LARGE(' Toto teams'!$T$4:$T$119,40),' Toto teams'!$T$4:$T$119,0)))</f>
        <v/>
      </c>
      <c r="B43" s="27">
        <f>IF(40&gt;COUNTIF(' Toto teams'!$A$4:$A$119,"&lt;&gt;"),"",INDEX(' Toto teams'!$A$4:$A$119,MATCH(LARGE(' Toto teams'!$T$4:$T$119,40),' Toto teams'!$T$4:$T$119,0)))</f>
        <v/>
      </c>
      <c r="C43" s="28">
        <f>IF($B43="","",6*(IFERROR(VLOOKUP(INDEX(' Toto teams'!$B$4:$B$119,MATCH($B43,' Toto teams'!$A$4:$A$119,0)),Scoring!$A$4:$N$51,3,FALSE()),0)+IFERROR(VLOOKUP(INDEX(' Toto teams'!$B$4:$B$119,MATCH($B43,' Toto teams'!$A$4:$A$119,0)),Scoring!$A$4:$N$51,4,FALSE()),0)+IFERROR(VLOOKUP(INDEX(' Toto teams'!$B$4:$B$119,MATCH($B43,' Toto teams'!$A$4:$A$119,0)),Scoring!$A$4:$N$51,5,FALSE()),0))+4*(IFERROR(VLOOKUP(INDEX(' Toto teams'!$C$4:$C$119,MATCH($B43,' Toto teams'!$A$4:$A$119,0)),Scoring!$A$4:$N$51,3,FALSE()),0)+IFERROR(VLOOKUP(INDEX(' Toto teams'!$C$4:$C$119,MATCH($B43,' Toto teams'!$A$4:$A$119,0)),Scoring!$A$4:$N$51,4,FALSE()),0)+IFERROR(VLOOKUP(INDEX(' Toto teams'!$C$4:$C$119,MATCH($B43,' Toto teams'!$A$4:$A$119,0)),Scoring!$A$4:$N$51,5,FALSE()),0))+3*(IFERROR(VLOOKUP(INDEX(' Toto teams'!$D$4:$D$119,MATCH($B43,' Toto teams'!$A$4:$A$119,0)),Scoring!$A$4:$N$51,3,FALSE()),0)+IFERROR(VLOOKUP(INDEX(' Toto teams'!$D$4:$D$119,MATCH($B43,' Toto teams'!$A$4:$A$119,0)),Scoring!$A$4:$N$51,4,FALSE()),0)+IFERROR(VLOOKUP(INDEX(' Toto teams'!$D$4:$D$119,MATCH($B43,' Toto teams'!$A$4:$A$119,0)),Scoring!$A$4:$N$51,5,FALSE()),0))+2*(IFERROR(VLOOKUP(INDEX(' Toto teams'!$E$4:$E$119,MATCH($B43,' Toto teams'!$A$4:$A$119,0)),Scoring!$A$4:$N$51,3,FALSE()),0)+IFERROR(VLOOKUP(INDEX(' Toto teams'!$E$4:$E$119,MATCH($B43,' Toto teams'!$A$4:$A$119,0)),Scoring!$A$4:$N$51,4,FALSE()),0)+IFERROR(VLOOKUP(INDEX(' Toto teams'!$E$4:$E$119,MATCH($B43,' Toto teams'!$A$4:$A$119,0)),Scoring!$A$4:$N$51,5,FALSE()),0))+1*(IFERROR(VLOOKUP(INDEX(' Toto teams'!$F$4:$F$119,MATCH($B43,' Toto teams'!$A$4:$A$119,0)),Scoring!$A$4:$N$51,3,FALSE()),0)+IFERROR(VLOOKUP(INDEX(' Toto teams'!$F$4:$F$119,MATCH($B43,' Toto teams'!$A$4:$A$119,0)),Scoring!$A$4:$N$51,4,FALSE()),0)+IFERROR(VLOOKUP(INDEX(' Toto teams'!$F$4:$F$119,MATCH($B43,' Toto teams'!$A$4:$A$119,0)),Scoring!$A$4:$N$51,5,FALSE()),0))+1*(IFERROR(VLOOKUP(INDEX(' Toto teams'!$G$4:$G$119,MATCH($B43,' Toto teams'!$A$4:$A$119,0)),Scoring!$A$4:$N$51,3,FALSE()),0)+IFERROR(VLOOKUP(INDEX(' Toto teams'!$G$4:$G$119,MATCH($B43,' Toto teams'!$A$4:$A$119,0)),Scoring!$A$4:$N$51,4,FALSE()),0)+IFERROR(VLOOKUP(INDEX(' Toto teams'!$G$4:$G$119,MATCH($B43,' Toto teams'!$A$4:$A$119,0)),Scoring!$A$4:$N$51,5,FALSE()),0))+1*(IFERROR(VLOOKUP(INDEX(' Toto teams'!$H$4:$H$119,MATCH($B43,' Toto teams'!$A$4:$A$119,0)),Scoring!$A$4:$N$51,3,FALSE()),0)+IFERROR(VLOOKUP(INDEX(' Toto teams'!$H$4:$H$119,MATCH($B43,' Toto teams'!$A$4:$A$119,0)),Scoring!$A$4:$N$51,4,FALSE()),0)+IFERROR(VLOOKUP(INDEX(' Toto teams'!$H$4:$H$119,MATCH($B43,' Toto teams'!$A$4:$A$119,0)),Scoring!$A$4:$N$51,5,FALSE()),0))+IFERROR(INDEX(' Toto teams'!$Q$4:$Q$119,MATCH($B43,' Toto teams'!$A$4:$A$119,0))*1,0))</f>
        <v/>
      </c>
      <c r="D43" s="28">
        <f>IF($B43="","",6*IFERROR(VLOOKUP(INDEX(' Toto teams'!$B$4:$B$119,MATCH($B43,' Toto teams'!$A$4:$A$119,0)),Scoring!$A$4:$N$51,7,FALSE()),0)+4*IFERROR(VLOOKUP(INDEX(' Toto teams'!$C$4:$C$119,MATCH($B43,' Toto teams'!$A$4:$A$119,0)),Scoring!$A$4:$N$51,7,FALSE()),0)+3*IFERROR(VLOOKUP(INDEX(' Toto teams'!$D$4:$D$119,MATCH($B43,' Toto teams'!$A$4:$A$119,0)),Scoring!$A$4:$N$51,7,FALSE()),0)+2*IFERROR(VLOOKUP(INDEX(' Toto teams'!$E$4:$E$119,MATCH($B43,' Toto teams'!$A$4:$A$119,0)),Scoring!$A$4:$N$51,7,FALSE()),0)+1*IFERROR(VLOOKUP(INDEX(' Toto teams'!$F$4:$F$119,MATCH($B43,' Toto teams'!$A$4:$A$119,0)),Scoring!$A$4:$N$51,7,FALSE()),0)+1*IFERROR(VLOOKUP(INDEX(' Toto teams'!$G$4:$G$119,MATCH($B43,' Toto teams'!$A$4:$A$119,0)),Scoring!$A$4:$N$51,7,FALSE()),0)+1*IFERROR(VLOOKUP(INDEX(' Toto teams'!$H$4:$H$119,MATCH($B43,' Toto teams'!$A$4:$A$119,0)),Scoring!$A$4:$N$51,7,FALSE()),0))</f>
        <v/>
      </c>
      <c r="E43" s="28">
        <f>IF($B43="","",6*IFERROR(VLOOKUP(INDEX(' Toto teams'!$B$4:$B$119,MATCH($B43,' Toto teams'!$A$4:$A$119,0)),Scoring!$A$4:$N$51,8,FALSE()),0)+4*IFERROR(VLOOKUP(INDEX(' Toto teams'!$C$4:$C$119,MATCH($B43,' Toto teams'!$A$4:$A$119,0)),Scoring!$A$4:$N$51,8,FALSE()),0)+3*IFERROR(VLOOKUP(INDEX(' Toto teams'!$D$4:$D$119,MATCH($B43,' Toto teams'!$A$4:$A$119,0)),Scoring!$A$4:$N$51,8,FALSE()),0)+2*IFERROR(VLOOKUP(INDEX(' Toto teams'!$E$4:$E$119,MATCH($B43,' Toto teams'!$A$4:$A$119,0)),Scoring!$A$4:$N$51,8,FALSE()),0)+1*IFERROR(VLOOKUP(INDEX(' Toto teams'!$F$4:$F$119,MATCH($B43,' Toto teams'!$A$4:$A$119,0)),Scoring!$A$4:$N$51,8,FALSE()),0)+1*IFERROR(VLOOKUP(INDEX(' Toto teams'!$G$4:$G$119,MATCH($B43,' Toto teams'!$A$4:$A$119,0)),Scoring!$A$4:$N$51,8,FALSE()),0)+1*IFERROR(VLOOKUP(INDEX(' Toto teams'!$H$4:$H$119,MATCH($B43,' Toto teams'!$A$4:$A$119,0)),Scoring!$A$4:$N$51,8,FALSE()),0))</f>
        <v/>
      </c>
      <c r="F43" s="28">
        <f>IF($B43="","",6*IFERROR(VLOOKUP(INDEX(' Toto teams'!$B$4:$B$119,MATCH($B43,' Toto teams'!$A$4:$A$119,0)),Scoring!$A$4:$N$51,9,FALSE()),0)+4*IFERROR(VLOOKUP(INDEX(' Toto teams'!$C$4:$C$119,MATCH($B43,' Toto teams'!$A$4:$A$119,0)),Scoring!$A$4:$N$51,9,FALSE()),0)+3*IFERROR(VLOOKUP(INDEX(' Toto teams'!$D$4:$D$119,MATCH($B43,' Toto teams'!$A$4:$A$119,0)),Scoring!$A$4:$N$51,9,FALSE()),0)+2*IFERROR(VLOOKUP(INDEX(' Toto teams'!$E$4:$E$119,MATCH($B43,' Toto teams'!$A$4:$A$119,0)),Scoring!$A$4:$N$51,9,FALSE()),0)+1*IFERROR(VLOOKUP(INDEX(' Toto teams'!$F$4:$F$119,MATCH($B43,' Toto teams'!$A$4:$A$119,0)),Scoring!$A$4:$N$51,9,FALSE()),0)+1*IFERROR(VLOOKUP(INDEX(' Toto teams'!$G$4:$G$119,MATCH($B43,' Toto teams'!$A$4:$A$119,0)),Scoring!$A$4:$N$51,9,FALSE()),0)+1*IFERROR(VLOOKUP(INDEX(' Toto teams'!$H$4:$H$119,MATCH($B43,' Toto teams'!$A$4:$A$119,0)),Scoring!$A$4:$N$51,9,FALSE()),0))</f>
        <v/>
      </c>
      <c r="G43" s="28">
        <f>IF($B43="","",6*IFERROR(VLOOKUP(INDEX(' Toto teams'!$B$4:$B$119,MATCH($B43,' Toto teams'!$A$4:$A$119,0)),Scoring!$A$4:$N$51,10,FALSE()),0)+4*IFERROR(VLOOKUP(INDEX(' Toto teams'!$C$4:$C$119,MATCH($B43,' Toto teams'!$A$4:$A$119,0)),Scoring!$A$4:$N$51,10,FALSE()),0)+3*IFERROR(VLOOKUP(INDEX(' Toto teams'!$D$4:$D$119,MATCH($B43,' Toto teams'!$A$4:$A$119,0)),Scoring!$A$4:$N$51,10,FALSE()),0)+2*IFERROR(VLOOKUP(INDEX(' Toto teams'!$E$4:$E$119,MATCH($B43,' Toto teams'!$A$4:$A$119,0)),Scoring!$A$4:$N$51,10,FALSE()),0)+1*IFERROR(VLOOKUP(INDEX(' Toto teams'!$F$4:$F$119,MATCH($B43,' Toto teams'!$A$4:$A$119,0)),Scoring!$A$4:$N$51,10,FALSE()),0)+1*IFERROR(VLOOKUP(INDEX(' Toto teams'!$G$4:$G$119,MATCH($B43,' Toto teams'!$A$4:$A$119,0)),Scoring!$A$4:$N$51,10,FALSE()),0)+1*IFERROR(VLOOKUP(INDEX(' Toto teams'!$H$4:$H$119,MATCH($B43,' Toto teams'!$A$4:$A$119,0)),Scoring!$A$4:$N$51,10,FALSE()),0))</f>
        <v/>
      </c>
      <c r="H43" s="28">
        <f>IF($B43="","",6*IFERROR(VLOOKUP(INDEX(' Toto teams'!$B$4:$B$119,MATCH($B43,' Toto teams'!$A$4:$A$119,0)),Scoring!$A$4:$N$51,11,FALSE()),0)+4*IFERROR(VLOOKUP(INDEX(' Toto teams'!$C$4:$C$119,MATCH($B43,' Toto teams'!$A$4:$A$119,0)),Scoring!$A$4:$N$51,11,FALSE()),0)+3*IFERROR(VLOOKUP(INDEX(' Toto teams'!$D$4:$D$119,MATCH($B43,' Toto teams'!$A$4:$A$119,0)),Scoring!$A$4:$N$51,11,FALSE()),0)+2*IFERROR(VLOOKUP(INDEX(' Toto teams'!$E$4:$E$119,MATCH($B43,' Toto teams'!$A$4:$A$119,0)),Scoring!$A$4:$N$51,11,FALSE()),0)+1*IFERROR(VLOOKUP(INDEX(' Toto teams'!$F$4:$F$119,MATCH($B43,' Toto teams'!$A$4:$A$119,0)),Scoring!$A$4:$N$51,11,FALSE()),0)+1*IFERROR(VLOOKUP(INDEX(' Toto teams'!$G$4:$G$119,MATCH($B43,' Toto teams'!$A$4:$A$119,0)),Scoring!$A$4:$N$51,11,FALSE()),0)+1*IFERROR(VLOOKUP(INDEX(' Toto teams'!$H$4:$H$119,MATCH($B43,' Toto teams'!$A$4:$A$119,0)),Scoring!$A$4:$N$51,11,FALSE()),0))</f>
        <v/>
      </c>
      <c r="I43" s="28">
        <f>IF($B43="","",6*IFERROR(VLOOKUP(INDEX(' Toto teams'!$B$4:$B$119,MATCH($B43,' Toto teams'!$A$4:$A$119,0)),Scoring!$A$4:$O$51,15,FALSE()),0)+4*IFERROR(VLOOKUP(INDEX(' Toto teams'!$C$4:$C$119,MATCH($B43,' Toto teams'!$A$4:$A$119,0)),Scoring!$A$4:$O$51,15,FALSE()),0)+3*IFERROR(VLOOKUP(INDEX(' Toto teams'!$D$4:$D$119,MATCH($B43,' Toto teams'!$A$4:$A$119,0)),Scoring!$A$4:$O$51,15,FALSE()),0)+2*IFERROR(VLOOKUP(INDEX(' Toto teams'!$E$4:$E$119,MATCH($B43,' Toto teams'!$A$4:$A$119,0)),Scoring!$A$4:$O$51,15,FALSE()),0)+1*IFERROR(VLOOKUP(INDEX(' Toto teams'!$F$4:$F$119,MATCH($B43,' Toto teams'!$A$4:$A$119,0)),Scoring!$A$4:$O$51,15,FALSE()),0)+1*IFERROR(VLOOKUP(INDEX(' Toto teams'!$G$4:$G$119,MATCH($B43,' Toto teams'!$A$4:$A$119,0)),Scoring!$A$4:$O$51,15,FALSE()),0)+1*IFERROR(VLOOKUP(INDEX(' Toto teams'!$H$4:$H$119,MATCH($B43,' Toto teams'!$A$4:$A$119,0)),Scoring!$A$4:$O$51,15,FALSE()),0))</f>
        <v/>
      </c>
      <c r="J43" s="28">
        <f>IF($B43="","",6*IFERROR(VLOOKUP(INDEX(' Toto teams'!$B$4:$B$119,MATCH($B43,' Toto teams'!$A$4:$A$119,0)),Scoring!$A$4:$N$51,12,FALSE()),0)+4*IFERROR(VLOOKUP(INDEX(' Toto teams'!$C$4:$C$119,MATCH($B43,' Toto teams'!$A$4:$A$119,0)),Scoring!$A$4:$N$51,12,FALSE()),0)+3*IFERROR(VLOOKUP(INDEX(' Toto teams'!$D$4:$D$119,MATCH($B43,' Toto teams'!$A$4:$A$119,0)),Scoring!$A$4:$N$51,12,FALSE()),0)+2*IFERROR(VLOOKUP(INDEX(' Toto teams'!$E$4:$E$119,MATCH($B43,' Toto teams'!$A$4:$A$119,0)),Scoring!$A$4:$N$51,12,FALSE()),0)+1*IFERROR(VLOOKUP(INDEX(' Toto teams'!$F$4:$F$119,MATCH($B43,' Toto teams'!$A$4:$A$119,0)),Scoring!$A$4:$N$51,12,FALSE()),0)+1*IFERROR(VLOOKUP(INDEX(' Toto teams'!$G$4:$G$119,MATCH($B43,' Toto teams'!$A$4:$A$119,0)),Scoring!$A$4:$N$51,12,FALSE()),0)+1*IFERROR(VLOOKUP(INDEX(' Toto teams'!$H$4:$H$119,MATCH($B43,' Toto teams'!$A$4:$A$119,0)),Scoring!$A$4:$N$51,12,FALSE()),0))</f>
        <v/>
      </c>
      <c r="K43" s="29">
        <f>IF($B43="","",IFERROR(INDEX(' Toto teams'!$R$4:$R$119,MATCH($B43,' Toto teams'!$A$4:$A$119,0)),""))</f>
        <v/>
      </c>
      <c r="L43" s="30">
        <f>IFERROR(IF(B43="","",VLOOKUP(A43,$N$4:$R$12,5,FALSE())),0)</f>
        <v/>
      </c>
    </row>
    <row r="44" ht="12.75" customHeight="1">
      <c r="A44" s="26">
        <f>IF(41&gt;COUNTIF(' Toto teams'!$A$4:$A$119,"&lt;&gt;"),"",INDEX(' Toto teams'!$S$4:$S$119,MATCH(LARGE(' Toto teams'!$T$4:$T$119,41),' Toto teams'!$T$4:$T$119,0)))</f>
        <v/>
      </c>
      <c r="B44" s="27">
        <f>IF(41&gt;COUNTIF(' Toto teams'!$A$4:$A$119,"&lt;&gt;"),"",INDEX(' Toto teams'!$A$4:$A$119,MATCH(LARGE(' Toto teams'!$T$4:$T$119,41),' Toto teams'!$T$4:$T$119,0)))</f>
        <v/>
      </c>
      <c r="C44" s="28">
        <f>IF($B44="","",6*(IFERROR(VLOOKUP(INDEX(' Toto teams'!$B$4:$B$119,MATCH($B44,' Toto teams'!$A$4:$A$119,0)),Scoring!$A$4:$N$51,3,FALSE()),0)+IFERROR(VLOOKUP(INDEX(' Toto teams'!$B$4:$B$119,MATCH($B44,' Toto teams'!$A$4:$A$119,0)),Scoring!$A$4:$N$51,4,FALSE()),0)+IFERROR(VLOOKUP(INDEX(' Toto teams'!$B$4:$B$119,MATCH($B44,' Toto teams'!$A$4:$A$119,0)),Scoring!$A$4:$N$51,5,FALSE()),0))+4*(IFERROR(VLOOKUP(INDEX(' Toto teams'!$C$4:$C$119,MATCH($B44,' Toto teams'!$A$4:$A$119,0)),Scoring!$A$4:$N$51,3,FALSE()),0)+IFERROR(VLOOKUP(INDEX(' Toto teams'!$C$4:$C$119,MATCH($B44,' Toto teams'!$A$4:$A$119,0)),Scoring!$A$4:$N$51,4,FALSE()),0)+IFERROR(VLOOKUP(INDEX(' Toto teams'!$C$4:$C$119,MATCH($B44,' Toto teams'!$A$4:$A$119,0)),Scoring!$A$4:$N$51,5,FALSE()),0))+3*(IFERROR(VLOOKUP(INDEX(' Toto teams'!$D$4:$D$119,MATCH($B44,' Toto teams'!$A$4:$A$119,0)),Scoring!$A$4:$N$51,3,FALSE()),0)+IFERROR(VLOOKUP(INDEX(' Toto teams'!$D$4:$D$119,MATCH($B44,' Toto teams'!$A$4:$A$119,0)),Scoring!$A$4:$N$51,4,FALSE()),0)+IFERROR(VLOOKUP(INDEX(' Toto teams'!$D$4:$D$119,MATCH($B44,' Toto teams'!$A$4:$A$119,0)),Scoring!$A$4:$N$51,5,FALSE()),0))+2*(IFERROR(VLOOKUP(INDEX(' Toto teams'!$E$4:$E$119,MATCH($B44,' Toto teams'!$A$4:$A$119,0)),Scoring!$A$4:$N$51,3,FALSE()),0)+IFERROR(VLOOKUP(INDEX(' Toto teams'!$E$4:$E$119,MATCH($B44,' Toto teams'!$A$4:$A$119,0)),Scoring!$A$4:$N$51,4,FALSE()),0)+IFERROR(VLOOKUP(INDEX(' Toto teams'!$E$4:$E$119,MATCH($B44,' Toto teams'!$A$4:$A$119,0)),Scoring!$A$4:$N$51,5,FALSE()),0))+1*(IFERROR(VLOOKUP(INDEX(' Toto teams'!$F$4:$F$119,MATCH($B44,' Toto teams'!$A$4:$A$119,0)),Scoring!$A$4:$N$51,3,FALSE()),0)+IFERROR(VLOOKUP(INDEX(' Toto teams'!$F$4:$F$119,MATCH($B44,' Toto teams'!$A$4:$A$119,0)),Scoring!$A$4:$N$51,4,FALSE()),0)+IFERROR(VLOOKUP(INDEX(' Toto teams'!$F$4:$F$119,MATCH($B44,' Toto teams'!$A$4:$A$119,0)),Scoring!$A$4:$N$51,5,FALSE()),0))+1*(IFERROR(VLOOKUP(INDEX(' Toto teams'!$G$4:$G$119,MATCH($B44,' Toto teams'!$A$4:$A$119,0)),Scoring!$A$4:$N$51,3,FALSE()),0)+IFERROR(VLOOKUP(INDEX(' Toto teams'!$G$4:$G$119,MATCH($B44,' Toto teams'!$A$4:$A$119,0)),Scoring!$A$4:$N$51,4,FALSE()),0)+IFERROR(VLOOKUP(INDEX(' Toto teams'!$G$4:$G$119,MATCH($B44,' Toto teams'!$A$4:$A$119,0)),Scoring!$A$4:$N$51,5,FALSE()),0))+1*(IFERROR(VLOOKUP(INDEX(' Toto teams'!$H$4:$H$119,MATCH($B44,' Toto teams'!$A$4:$A$119,0)),Scoring!$A$4:$N$51,3,FALSE()),0)+IFERROR(VLOOKUP(INDEX(' Toto teams'!$H$4:$H$119,MATCH($B44,' Toto teams'!$A$4:$A$119,0)),Scoring!$A$4:$N$51,4,FALSE()),0)+IFERROR(VLOOKUP(INDEX(' Toto teams'!$H$4:$H$119,MATCH($B44,' Toto teams'!$A$4:$A$119,0)),Scoring!$A$4:$N$51,5,FALSE()),0))+IFERROR(INDEX(' Toto teams'!$Q$4:$Q$119,MATCH($B44,' Toto teams'!$A$4:$A$119,0))*1,0))</f>
        <v/>
      </c>
      <c r="D44" s="28">
        <f>IF($B44="","",6*IFERROR(VLOOKUP(INDEX(' Toto teams'!$B$4:$B$119,MATCH($B44,' Toto teams'!$A$4:$A$119,0)),Scoring!$A$4:$N$51,7,FALSE()),0)+4*IFERROR(VLOOKUP(INDEX(' Toto teams'!$C$4:$C$119,MATCH($B44,' Toto teams'!$A$4:$A$119,0)),Scoring!$A$4:$N$51,7,FALSE()),0)+3*IFERROR(VLOOKUP(INDEX(' Toto teams'!$D$4:$D$119,MATCH($B44,' Toto teams'!$A$4:$A$119,0)),Scoring!$A$4:$N$51,7,FALSE()),0)+2*IFERROR(VLOOKUP(INDEX(' Toto teams'!$E$4:$E$119,MATCH($B44,' Toto teams'!$A$4:$A$119,0)),Scoring!$A$4:$N$51,7,FALSE()),0)+1*IFERROR(VLOOKUP(INDEX(' Toto teams'!$F$4:$F$119,MATCH($B44,' Toto teams'!$A$4:$A$119,0)),Scoring!$A$4:$N$51,7,FALSE()),0)+1*IFERROR(VLOOKUP(INDEX(' Toto teams'!$G$4:$G$119,MATCH($B44,' Toto teams'!$A$4:$A$119,0)),Scoring!$A$4:$N$51,7,FALSE()),0)+1*IFERROR(VLOOKUP(INDEX(' Toto teams'!$H$4:$H$119,MATCH($B44,' Toto teams'!$A$4:$A$119,0)),Scoring!$A$4:$N$51,7,FALSE()),0))</f>
        <v/>
      </c>
      <c r="E44" s="28">
        <f>IF($B44="","",6*IFERROR(VLOOKUP(INDEX(' Toto teams'!$B$4:$B$119,MATCH($B44,' Toto teams'!$A$4:$A$119,0)),Scoring!$A$4:$N$51,8,FALSE()),0)+4*IFERROR(VLOOKUP(INDEX(' Toto teams'!$C$4:$C$119,MATCH($B44,' Toto teams'!$A$4:$A$119,0)),Scoring!$A$4:$N$51,8,FALSE()),0)+3*IFERROR(VLOOKUP(INDEX(' Toto teams'!$D$4:$D$119,MATCH($B44,' Toto teams'!$A$4:$A$119,0)),Scoring!$A$4:$N$51,8,FALSE()),0)+2*IFERROR(VLOOKUP(INDEX(' Toto teams'!$E$4:$E$119,MATCH($B44,' Toto teams'!$A$4:$A$119,0)),Scoring!$A$4:$N$51,8,FALSE()),0)+1*IFERROR(VLOOKUP(INDEX(' Toto teams'!$F$4:$F$119,MATCH($B44,' Toto teams'!$A$4:$A$119,0)),Scoring!$A$4:$N$51,8,FALSE()),0)+1*IFERROR(VLOOKUP(INDEX(' Toto teams'!$G$4:$G$119,MATCH($B44,' Toto teams'!$A$4:$A$119,0)),Scoring!$A$4:$N$51,8,FALSE()),0)+1*IFERROR(VLOOKUP(INDEX(' Toto teams'!$H$4:$H$119,MATCH($B44,' Toto teams'!$A$4:$A$119,0)),Scoring!$A$4:$N$51,8,FALSE()),0))</f>
        <v/>
      </c>
      <c r="F44" s="28">
        <f>IF($B44="","",6*IFERROR(VLOOKUP(INDEX(' Toto teams'!$B$4:$B$119,MATCH($B44,' Toto teams'!$A$4:$A$119,0)),Scoring!$A$4:$N$51,9,FALSE()),0)+4*IFERROR(VLOOKUP(INDEX(' Toto teams'!$C$4:$C$119,MATCH($B44,' Toto teams'!$A$4:$A$119,0)),Scoring!$A$4:$N$51,9,FALSE()),0)+3*IFERROR(VLOOKUP(INDEX(' Toto teams'!$D$4:$D$119,MATCH($B44,' Toto teams'!$A$4:$A$119,0)),Scoring!$A$4:$N$51,9,FALSE()),0)+2*IFERROR(VLOOKUP(INDEX(' Toto teams'!$E$4:$E$119,MATCH($B44,' Toto teams'!$A$4:$A$119,0)),Scoring!$A$4:$N$51,9,FALSE()),0)+1*IFERROR(VLOOKUP(INDEX(' Toto teams'!$F$4:$F$119,MATCH($B44,' Toto teams'!$A$4:$A$119,0)),Scoring!$A$4:$N$51,9,FALSE()),0)+1*IFERROR(VLOOKUP(INDEX(' Toto teams'!$G$4:$G$119,MATCH($B44,' Toto teams'!$A$4:$A$119,0)),Scoring!$A$4:$N$51,9,FALSE()),0)+1*IFERROR(VLOOKUP(INDEX(' Toto teams'!$H$4:$H$119,MATCH($B44,' Toto teams'!$A$4:$A$119,0)),Scoring!$A$4:$N$51,9,FALSE()),0))</f>
        <v/>
      </c>
      <c r="G44" s="28">
        <f>IF($B44="","",6*IFERROR(VLOOKUP(INDEX(' Toto teams'!$B$4:$B$119,MATCH($B44,' Toto teams'!$A$4:$A$119,0)),Scoring!$A$4:$N$51,10,FALSE()),0)+4*IFERROR(VLOOKUP(INDEX(' Toto teams'!$C$4:$C$119,MATCH($B44,' Toto teams'!$A$4:$A$119,0)),Scoring!$A$4:$N$51,10,FALSE()),0)+3*IFERROR(VLOOKUP(INDEX(' Toto teams'!$D$4:$D$119,MATCH($B44,' Toto teams'!$A$4:$A$119,0)),Scoring!$A$4:$N$51,10,FALSE()),0)+2*IFERROR(VLOOKUP(INDEX(' Toto teams'!$E$4:$E$119,MATCH($B44,' Toto teams'!$A$4:$A$119,0)),Scoring!$A$4:$N$51,10,FALSE()),0)+1*IFERROR(VLOOKUP(INDEX(' Toto teams'!$F$4:$F$119,MATCH($B44,' Toto teams'!$A$4:$A$119,0)),Scoring!$A$4:$N$51,10,FALSE()),0)+1*IFERROR(VLOOKUP(INDEX(' Toto teams'!$G$4:$G$119,MATCH($B44,' Toto teams'!$A$4:$A$119,0)),Scoring!$A$4:$N$51,10,FALSE()),0)+1*IFERROR(VLOOKUP(INDEX(' Toto teams'!$H$4:$H$119,MATCH($B44,' Toto teams'!$A$4:$A$119,0)),Scoring!$A$4:$N$51,10,FALSE()),0))</f>
        <v/>
      </c>
      <c r="H44" s="28">
        <f>IF($B44="","",6*IFERROR(VLOOKUP(INDEX(' Toto teams'!$B$4:$B$119,MATCH($B44,' Toto teams'!$A$4:$A$119,0)),Scoring!$A$4:$N$51,11,FALSE()),0)+4*IFERROR(VLOOKUP(INDEX(' Toto teams'!$C$4:$C$119,MATCH($B44,' Toto teams'!$A$4:$A$119,0)),Scoring!$A$4:$N$51,11,FALSE()),0)+3*IFERROR(VLOOKUP(INDEX(' Toto teams'!$D$4:$D$119,MATCH($B44,' Toto teams'!$A$4:$A$119,0)),Scoring!$A$4:$N$51,11,FALSE()),0)+2*IFERROR(VLOOKUP(INDEX(' Toto teams'!$E$4:$E$119,MATCH($B44,' Toto teams'!$A$4:$A$119,0)),Scoring!$A$4:$N$51,11,FALSE()),0)+1*IFERROR(VLOOKUP(INDEX(' Toto teams'!$F$4:$F$119,MATCH($B44,' Toto teams'!$A$4:$A$119,0)),Scoring!$A$4:$N$51,11,FALSE()),0)+1*IFERROR(VLOOKUP(INDEX(' Toto teams'!$G$4:$G$119,MATCH($B44,' Toto teams'!$A$4:$A$119,0)),Scoring!$A$4:$N$51,11,FALSE()),0)+1*IFERROR(VLOOKUP(INDEX(' Toto teams'!$H$4:$H$119,MATCH($B44,' Toto teams'!$A$4:$A$119,0)),Scoring!$A$4:$N$51,11,FALSE()),0))</f>
        <v/>
      </c>
      <c r="I44" s="28">
        <f>IF($B44="","",6*IFERROR(VLOOKUP(INDEX(' Toto teams'!$B$4:$B$119,MATCH($B44,' Toto teams'!$A$4:$A$119,0)),Scoring!$A$4:$O$51,15,FALSE()),0)+4*IFERROR(VLOOKUP(INDEX(' Toto teams'!$C$4:$C$119,MATCH($B44,' Toto teams'!$A$4:$A$119,0)),Scoring!$A$4:$O$51,15,FALSE()),0)+3*IFERROR(VLOOKUP(INDEX(' Toto teams'!$D$4:$D$119,MATCH($B44,' Toto teams'!$A$4:$A$119,0)),Scoring!$A$4:$O$51,15,FALSE()),0)+2*IFERROR(VLOOKUP(INDEX(' Toto teams'!$E$4:$E$119,MATCH($B44,' Toto teams'!$A$4:$A$119,0)),Scoring!$A$4:$O$51,15,FALSE()),0)+1*IFERROR(VLOOKUP(INDEX(' Toto teams'!$F$4:$F$119,MATCH($B44,' Toto teams'!$A$4:$A$119,0)),Scoring!$A$4:$O$51,15,FALSE()),0)+1*IFERROR(VLOOKUP(INDEX(' Toto teams'!$G$4:$G$119,MATCH($B44,' Toto teams'!$A$4:$A$119,0)),Scoring!$A$4:$O$51,15,FALSE()),0)+1*IFERROR(VLOOKUP(INDEX(' Toto teams'!$H$4:$H$119,MATCH($B44,' Toto teams'!$A$4:$A$119,0)),Scoring!$A$4:$O$51,15,FALSE()),0))</f>
        <v/>
      </c>
      <c r="J44" s="28">
        <f>IF($B44="","",6*IFERROR(VLOOKUP(INDEX(' Toto teams'!$B$4:$B$119,MATCH($B44,' Toto teams'!$A$4:$A$119,0)),Scoring!$A$4:$N$51,12,FALSE()),0)+4*IFERROR(VLOOKUP(INDEX(' Toto teams'!$C$4:$C$119,MATCH($B44,' Toto teams'!$A$4:$A$119,0)),Scoring!$A$4:$N$51,12,FALSE()),0)+3*IFERROR(VLOOKUP(INDEX(' Toto teams'!$D$4:$D$119,MATCH($B44,' Toto teams'!$A$4:$A$119,0)),Scoring!$A$4:$N$51,12,FALSE()),0)+2*IFERROR(VLOOKUP(INDEX(' Toto teams'!$E$4:$E$119,MATCH($B44,' Toto teams'!$A$4:$A$119,0)),Scoring!$A$4:$N$51,12,FALSE()),0)+1*IFERROR(VLOOKUP(INDEX(' Toto teams'!$F$4:$F$119,MATCH($B44,' Toto teams'!$A$4:$A$119,0)),Scoring!$A$4:$N$51,12,FALSE()),0)+1*IFERROR(VLOOKUP(INDEX(' Toto teams'!$G$4:$G$119,MATCH($B44,' Toto teams'!$A$4:$A$119,0)),Scoring!$A$4:$N$51,12,FALSE()),0)+1*IFERROR(VLOOKUP(INDEX(' Toto teams'!$H$4:$H$119,MATCH($B44,' Toto teams'!$A$4:$A$119,0)),Scoring!$A$4:$N$51,12,FALSE()),0))</f>
        <v/>
      </c>
      <c r="K44" s="29">
        <f>IF($B44="","",IFERROR(INDEX(' Toto teams'!$R$4:$R$119,MATCH($B44,' Toto teams'!$A$4:$A$119,0)),""))</f>
        <v/>
      </c>
      <c r="L44" s="30">
        <f>IFERROR(IF(B44="","",VLOOKUP(A44,$N$4:$R$12,5,FALSE())),0)</f>
        <v/>
      </c>
    </row>
    <row r="45" ht="12.75" customHeight="1">
      <c r="A45" s="26">
        <f>IF(42&gt;COUNTIF(' Toto teams'!$A$4:$A$119,"&lt;&gt;"),"",INDEX(' Toto teams'!$S$4:$S$119,MATCH(LARGE(' Toto teams'!$T$4:$T$119,42),' Toto teams'!$T$4:$T$119,0)))</f>
        <v/>
      </c>
      <c r="B45" s="27">
        <f>IF(42&gt;COUNTIF(' Toto teams'!$A$4:$A$119,"&lt;&gt;"),"",INDEX(' Toto teams'!$A$4:$A$119,MATCH(LARGE(' Toto teams'!$T$4:$T$119,42),' Toto teams'!$T$4:$T$119,0)))</f>
        <v/>
      </c>
      <c r="C45" s="28">
        <f>IF($B45="","",6*(IFERROR(VLOOKUP(INDEX(' Toto teams'!$B$4:$B$119,MATCH($B45,' Toto teams'!$A$4:$A$119,0)),Scoring!$A$4:$N$51,3,FALSE()),0)+IFERROR(VLOOKUP(INDEX(' Toto teams'!$B$4:$B$119,MATCH($B45,' Toto teams'!$A$4:$A$119,0)),Scoring!$A$4:$N$51,4,FALSE()),0)+IFERROR(VLOOKUP(INDEX(' Toto teams'!$B$4:$B$119,MATCH($B45,' Toto teams'!$A$4:$A$119,0)),Scoring!$A$4:$N$51,5,FALSE()),0))+4*(IFERROR(VLOOKUP(INDEX(' Toto teams'!$C$4:$C$119,MATCH($B45,' Toto teams'!$A$4:$A$119,0)),Scoring!$A$4:$N$51,3,FALSE()),0)+IFERROR(VLOOKUP(INDEX(' Toto teams'!$C$4:$C$119,MATCH($B45,' Toto teams'!$A$4:$A$119,0)),Scoring!$A$4:$N$51,4,FALSE()),0)+IFERROR(VLOOKUP(INDEX(' Toto teams'!$C$4:$C$119,MATCH($B45,' Toto teams'!$A$4:$A$119,0)),Scoring!$A$4:$N$51,5,FALSE()),0))+3*(IFERROR(VLOOKUP(INDEX(' Toto teams'!$D$4:$D$119,MATCH($B45,' Toto teams'!$A$4:$A$119,0)),Scoring!$A$4:$N$51,3,FALSE()),0)+IFERROR(VLOOKUP(INDEX(' Toto teams'!$D$4:$D$119,MATCH($B45,' Toto teams'!$A$4:$A$119,0)),Scoring!$A$4:$N$51,4,FALSE()),0)+IFERROR(VLOOKUP(INDEX(' Toto teams'!$D$4:$D$119,MATCH($B45,' Toto teams'!$A$4:$A$119,0)),Scoring!$A$4:$N$51,5,FALSE()),0))+2*(IFERROR(VLOOKUP(INDEX(' Toto teams'!$E$4:$E$119,MATCH($B45,' Toto teams'!$A$4:$A$119,0)),Scoring!$A$4:$N$51,3,FALSE()),0)+IFERROR(VLOOKUP(INDEX(' Toto teams'!$E$4:$E$119,MATCH($B45,' Toto teams'!$A$4:$A$119,0)),Scoring!$A$4:$N$51,4,FALSE()),0)+IFERROR(VLOOKUP(INDEX(' Toto teams'!$E$4:$E$119,MATCH($B45,' Toto teams'!$A$4:$A$119,0)),Scoring!$A$4:$N$51,5,FALSE()),0))+1*(IFERROR(VLOOKUP(INDEX(' Toto teams'!$F$4:$F$119,MATCH($B45,' Toto teams'!$A$4:$A$119,0)),Scoring!$A$4:$N$51,3,FALSE()),0)+IFERROR(VLOOKUP(INDEX(' Toto teams'!$F$4:$F$119,MATCH($B45,' Toto teams'!$A$4:$A$119,0)),Scoring!$A$4:$N$51,4,FALSE()),0)+IFERROR(VLOOKUP(INDEX(' Toto teams'!$F$4:$F$119,MATCH($B45,' Toto teams'!$A$4:$A$119,0)),Scoring!$A$4:$N$51,5,FALSE()),0))+1*(IFERROR(VLOOKUP(INDEX(' Toto teams'!$G$4:$G$119,MATCH($B45,' Toto teams'!$A$4:$A$119,0)),Scoring!$A$4:$N$51,3,FALSE()),0)+IFERROR(VLOOKUP(INDEX(' Toto teams'!$G$4:$G$119,MATCH($B45,' Toto teams'!$A$4:$A$119,0)),Scoring!$A$4:$N$51,4,FALSE()),0)+IFERROR(VLOOKUP(INDEX(' Toto teams'!$G$4:$G$119,MATCH($B45,' Toto teams'!$A$4:$A$119,0)),Scoring!$A$4:$N$51,5,FALSE()),0))+1*(IFERROR(VLOOKUP(INDEX(' Toto teams'!$H$4:$H$119,MATCH($B45,' Toto teams'!$A$4:$A$119,0)),Scoring!$A$4:$N$51,3,FALSE()),0)+IFERROR(VLOOKUP(INDEX(' Toto teams'!$H$4:$H$119,MATCH($B45,' Toto teams'!$A$4:$A$119,0)),Scoring!$A$4:$N$51,4,FALSE()),0)+IFERROR(VLOOKUP(INDEX(' Toto teams'!$H$4:$H$119,MATCH($B45,' Toto teams'!$A$4:$A$119,0)),Scoring!$A$4:$N$51,5,FALSE()),0))+IFERROR(INDEX(' Toto teams'!$Q$4:$Q$119,MATCH($B45,' Toto teams'!$A$4:$A$119,0))*1,0))</f>
        <v/>
      </c>
      <c r="D45" s="28">
        <f>IF($B45="","",6*IFERROR(VLOOKUP(INDEX(' Toto teams'!$B$4:$B$119,MATCH($B45,' Toto teams'!$A$4:$A$119,0)),Scoring!$A$4:$N$51,7,FALSE()),0)+4*IFERROR(VLOOKUP(INDEX(' Toto teams'!$C$4:$C$119,MATCH($B45,' Toto teams'!$A$4:$A$119,0)),Scoring!$A$4:$N$51,7,FALSE()),0)+3*IFERROR(VLOOKUP(INDEX(' Toto teams'!$D$4:$D$119,MATCH($B45,' Toto teams'!$A$4:$A$119,0)),Scoring!$A$4:$N$51,7,FALSE()),0)+2*IFERROR(VLOOKUP(INDEX(' Toto teams'!$E$4:$E$119,MATCH($B45,' Toto teams'!$A$4:$A$119,0)),Scoring!$A$4:$N$51,7,FALSE()),0)+1*IFERROR(VLOOKUP(INDEX(' Toto teams'!$F$4:$F$119,MATCH($B45,' Toto teams'!$A$4:$A$119,0)),Scoring!$A$4:$N$51,7,FALSE()),0)+1*IFERROR(VLOOKUP(INDEX(' Toto teams'!$G$4:$G$119,MATCH($B45,' Toto teams'!$A$4:$A$119,0)),Scoring!$A$4:$N$51,7,FALSE()),0)+1*IFERROR(VLOOKUP(INDEX(' Toto teams'!$H$4:$H$119,MATCH($B45,' Toto teams'!$A$4:$A$119,0)),Scoring!$A$4:$N$51,7,FALSE()),0))</f>
        <v/>
      </c>
      <c r="E45" s="28">
        <f>IF($B45="","",6*IFERROR(VLOOKUP(INDEX(' Toto teams'!$B$4:$B$119,MATCH($B45,' Toto teams'!$A$4:$A$119,0)),Scoring!$A$4:$N$51,8,FALSE()),0)+4*IFERROR(VLOOKUP(INDEX(' Toto teams'!$C$4:$C$119,MATCH($B45,' Toto teams'!$A$4:$A$119,0)),Scoring!$A$4:$N$51,8,FALSE()),0)+3*IFERROR(VLOOKUP(INDEX(' Toto teams'!$D$4:$D$119,MATCH($B45,' Toto teams'!$A$4:$A$119,0)),Scoring!$A$4:$N$51,8,FALSE()),0)+2*IFERROR(VLOOKUP(INDEX(' Toto teams'!$E$4:$E$119,MATCH($B45,' Toto teams'!$A$4:$A$119,0)),Scoring!$A$4:$N$51,8,FALSE()),0)+1*IFERROR(VLOOKUP(INDEX(' Toto teams'!$F$4:$F$119,MATCH($B45,' Toto teams'!$A$4:$A$119,0)),Scoring!$A$4:$N$51,8,FALSE()),0)+1*IFERROR(VLOOKUP(INDEX(' Toto teams'!$G$4:$G$119,MATCH($B45,' Toto teams'!$A$4:$A$119,0)),Scoring!$A$4:$N$51,8,FALSE()),0)+1*IFERROR(VLOOKUP(INDEX(' Toto teams'!$H$4:$H$119,MATCH($B45,' Toto teams'!$A$4:$A$119,0)),Scoring!$A$4:$N$51,8,FALSE()),0))</f>
        <v/>
      </c>
      <c r="F45" s="28">
        <f>IF($B45="","",6*IFERROR(VLOOKUP(INDEX(' Toto teams'!$B$4:$B$119,MATCH($B45,' Toto teams'!$A$4:$A$119,0)),Scoring!$A$4:$N$51,9,FALSE()),0)+4*IFERROR(VLOOKUP(INDEX(' Toto teams'!$C$4:$C$119,MATCH($B45,' Toto teams'!$A$4:$A$119,0)),Scoring!$A$4:$N$51,9,FALSE()),0)+3*IFERROR(VLOOKUP(INDEX(' Toto teams'!$D$4:$D$119,MATCH($B45,' Toto teams'!$A$4:$A$119,0)),Scoring!$A$4:$N$51,9,FALSE()),0)+2*IFERROR(VLOOKUP(INDEX(' Toto teams'!$E$4:$E$119,MATCH($B45,' Toto teams'!$A$4:$A$119,0)),Scoring!$A$4:$N$51,9,FALSE()),0)+1*IFERROR(VLOOKUP(INDEX(' Toto teams'!$F$4:$F$119,MATCH($B45,' Toto teams'!$A$4:$A$119,0)),Scoring!$A$4:$N$51,9,FALSE()),0)+1*IFERROR(VLOOKUP(INDEX(' Toto teams'!$G$4:$G$119,MATCH($B45,' Toto teams'!$A$4:$A$119,0)),Scoring!$A$4:$N$51,9,FALSE()),0)+1*IFERROR(VLOOKUP(INDEX(' Toto teams'!$H$4:$H$119,MATCH($B45,' Toto teams'!$A$4:$A$119,0)),Scoring!$A$4:$N$51,9,FALSE()),0))</f>
        <v/>
      </c>
      <c r="G45" s="28">
        <f>IF($B45="","",6*IFERROR(VLOOKUP(INDEX(' Toto teams'!$B$4:$B$119,MATCH($B45,' Toto teams'!$A$4:$A$119,0)),Scoring!$A$4:$N$51,10,FALSE()),0)+4*IFERROR(VLOOKUP(INDEX(' Toto teams'!$C$4:$C$119,MATCH($B45,' Toto teams'!$A$4:$A$119,0)),Scoring!$A$4:$N$51,10,FALSE()),0)+3*IFERROR(VLOOKUP(INDEX(' Toto teams'!$D$4:$D$119,MATCH($B45,' Toto teams'!$A$4:$A$119,0)),Scoring!$A$4:$N$51,10,FALSE()),0)+2*IFERROR(VLOOKUP(INDEX(' Toto teams'!$E$4:$E$119,MATCH($B45,' Toto teams'!$A$4:$A$119,0)),Scoring!$A$4:$N$51,10,FALSE()),0)+1*IFERROR(VLOOKUP(INDEX(' Toto teams'!$F$4:$F$119,MATCH($B45,' Toto teams'!$A$4:$A$119,0)),Scoring!$A$4:$N$51,10,FALSE()),0)+1*IFERROR(VLOOKUP(INDEX(' Toto teams'!$G$4:$G$119,MATCH($B45,' Toto teams'!$A$4:$A$119,0)),Scoring!$A$4:$N$51,10,FALSE()),0)+1*IFERROR(VLOOKUP(INDEX(' Toto teams'!$H$4:$H$119,MATCH($B45,' Toto teams'!$A$4:$A$119,0)),Scoring!$A$4:$N$51,10,FALSE()),0))</f>
        <v/>
      </c>
      <c r="H45" s="28">
        <f>IF($B45="","",6*IFERROR(VLOOKUP(INDEX(' Toto teams'!$B$4:$B$119,MATCH($B45,' Toto teams'!$A$4:$A$119,0)),Scoring!$A$4:$N$51,11,FALSE()),0)+4*IFERROR(VLOOKUP(INDEX(' Toto teams'!$C$4:$C$119,MATCH($B45,' Toto teams'!$A$4:$A$119,0)),Scoring!$A$4:$N$51,11,FALSE()),0)+3*IFERROR(VLOOKUP(INDEX(' Toto teams'!$D$4:$D$119,MATCH($B45,' Toto teams'!$A$4:$A$119,0)),Scoring!$A$4:$N$51,11,FALSE()),0)+2*IFERROR(VLOOKUP(INDEX(' Toto teams'!$E$4:$E$119,MATCH($B45,' Toto teams'!$A$4:$A$119,0)),Scoring!$A$4:$N$51,11,FALSE()),0)+1*IFERROR(VLOOKUP(INDEX(' Toto teams'!$F$4:$F$119,MATCH($B45,' Toto teams'!$A$4:$A$119,0)),Scoring!$A$4:$N$51,11,FALSE()),0)+1*IFERROR(VLOOKUP(INDEX(' Toto teams'!$G$4:$G$119,MATCH($B45,' Toto teams'!$A$4:$A$119,0)),Scoring!$A$4:$N$51,11,FALSE()),0)+1*IFERROR(VLOOKUP(INDEX(' Toto teams'!$H$4:$H$119,MATCH($B45,' Toto teams'!$A$4:$A$119,0)),Scoring!$A$4:$N$51,11,FALSE()),0))</f>
        <v/>
      </c>
      <c r="I45" s="28">
        <f>IF($B45="","",6*IFERROR(VLOOKUP(INDEX(' Toto teams'!$B$4:$B$119,MATCH($B45,' Toto teams'!$A$4:$A$119,0)),Scoring!$A$4:$O$51,15,FALSE()),0)+4*IFERROR(VLOOKUP(INDEX(' Toto teams'!$C$4:$C$119,MATCH($B45,' Toto teams'!$A$4:$A$119,0)),Scoring!$A$4:$O$51,15,FALSE()),0)+3*IFERROR(VLOOKUP(INDEX(' Toto teams'!$D$4:$D$119,MATCH($B45,' Toto teams'!$A$4:$A$119,0)),Scoring!$A$4:$O$51,15,FALSE()),0)+2*IFERROR(VLOOKUP(INDEX(' Toto teams'!$E$4:$E$119,MATCH($B45,' Toto teams'!$A$4:$A$119,0)),Scoring!$A$4:$O$51,15,FALSE()),0)+1*IFERROR(VLOOKUP(INDEX(' Toto teams'!$F$4:$F$119,MATCH($B45,' Toto teams'!$A$4:$A$119,0)),Scoring!$A$4:$O$51,15,FALSE()),0)+1*IFERROR(VLOOKUP(INDEX(' Toto teams'!$G$4:$G$119,MATCH($B45,' Toto teams'!$A$4:$A$119,0)),Scoring!$A$4:$O$51,15,FALSE()),0)+1*IFERROR(VLOOKUP(INDEX(' Toto teams'!$H$4:$H$119,MATCH($B45,' Toto teams'!$A$4:$A$119,0)),Scoring!$A$4:$O$51,15,FALSE()),0))</f>
        <v/>
      </c>
      <c r="J45" s="28">
        <f>IF($B45="","",6*IFERROR(VLOOKUP(INDEX(' Toto teams'!$B$4:$B$119,MATCH($B45,' Toto teams'!$A$4:$A$119,0)),Scoring!$A$4:$N$51,12,FALSE()),0)+4*IFERROR(VLOOKUP(INDEX(' Toto teams'!$C$4:$C$119,MATCH($B45,' Toto teams'!$A$4:$A$119,0)),Scoring!$A$4:$N$51,12,FALSE()),0)+3*IFERROR(VLOOKUP(INDEX(' Toto teams'!$D$4:$D$119,MATCH($B45,' Toto teams'!$A$4:$A$119,0)),Scoring!$A$4:$N$51,12,FALSE()),0)+2*IFERROR(VLOOKUP(INDEX(' Toto teams'!$E$4:$E$119,MATCH($B45,' Toto teams'!$A$4:$A$119,0)),Scoring!$A$4:$N$51,12,FALSE()),0)+1*IFERROR(VLOOKUP(INDEX(' Toto teams'!$F$4:$F$119,MATCH($B45,' Toto teams'!$A$4:$A$119,0)),Scoring!$A$4:$N$51,12,FALSE()),0)+1*IFERROR(VLOOKUP(INDEX(' Toto teams'!$G$4:$G$119,MATCH($B45,' Toto teams'!$A$4:$A$119,0)),Scoring!$A$4:$N$51,12,FALSE()),0)+1*IFERROR(VLOOKUP(INDEX(' Toto teams'!$H$4:$H$119,MATCH($B45,' Toto teams'!$A$4:$A$119,0)),Scoring!$A$4:$N$51,12,FALSE()),0))</f>
        <v/>
      </c>
      <c r="K45" s="29">
        <f>IF($B45="","",IFERROR(INDEX(' Toto teams'!$R$4:$R$119,MATCH($B45,' Toto teams'!$A$4:$A$119,0)),""))</f>
        <v/>
      </c>
      <c r="L45" s="30">
        <f>IFERROR(IF(B45="","",VLOOKUP(A45,$N$4:$R$12,5,FALSE())),0)</f>
        <v/>
      </c>
    </row>
    <row r="46" ht="12.75" customHeight="1">
      <c r="A46" s="26">
        <f>IF(43&gt;COUNTIF(' Toto teams'!$A$4:$A$119,"&lt;&gt;"),"",INDEX(' Toto teams'!$S$4:$S$119,MATCH(LARGE(' Toto teams'!$T$4:$T$119,43),' Toto teams'!$T$4:$T$119,0)))</f>
        <v/>
      </c>
      <c r="B46" s="27">
        <f>IF(43&gt;COUNTIF(' Toto teams'!$A$4:$A$119,"&lt;&gt;"),"",INDEX(' Toto teams'!$A$4:$A$119,MATCH(LARGE(' Toto teams'!$T$4:$T$119,43),' Toto teams'!$T$4:$T$119,0)))</f>
        <v/>
      </c>
      <c r="C46" s="28">
        <f>IF($B46="","",6*(IFERROR(VLOOKUP(INDEX(' Toto teams'!$B$4:$B$119,MATCH($B46,' Toto teams'!$A$4:$A$119,0)),Scoring!$A$4:$N$51,3,FALSE()),0)+IFERROR(VLOOKUP(INDEX(' Toto teams'!$B$4:$B$119,MATCH($B46,' Toto teams'!$A$4:$A$119,0)),Scoring!$A$4:$N$51,4,FALSE()),0)+IFERROR(VLOOKUP(INDEX(' Toto teams'!$B$4:$B$119,MATCH($B46,' Toto teams'!$A$4:$A$119,0)),Scoring!$A$4:$N$51,5,FALSE()),0))+4*(IFERROR(VLOOKUP(INDEX(' Toto teams'!$C$4:$C$119,MATCH($B46,' Toto teams'!$A$4:$A$119,0)),Scoring!$A$4:$N$51,3,FALSE()),0)+IFERROR(VLOOKUP(INDEX(' Toto teams'!$C$4:$C$119,MATCH($B46,' Toto teams'!$A$4:$A$119,0)),Scoring!$A$4:$N$51,4,FALSE()),0)+IFERROR(VLOOKUP(INDEX(' Toto teams'!$C$4:$C$119,MATCH($B46,' Toto teams'!$A$4:$A$119,0)),Scoring!$A$4:$N$51,5,FALSE()),0))+3*(IFERROR(VLOOKUP(INDEX(' Toto teams'!$D$4:$D$119,MATCH($B46,' Toto teams'!$A$4:$A$119,0)),Scoring!$A$4:$N$51,3,FALSE()),0)+IFERROR(VLOOKUP(INDEX(' Toto teams'!$D$4:$D$119,MATCH($B46,' Toto teams'!$A$4:$A$119,0)),Scoring!$A$4:$N$51,4,FALSE()),0)+IFERROR(VLOOKUP(INDEX(' Toto teams'!$D$4:$D$119,MATCH($B46,' Toto teams'!$A$4:$A$119,0)),Scoring!$A$4:$N$51,5,FALSE()),0))+2*(IFERROR(VLOOKUP(INDEX(' Toto teams'!$E$4:$E$119,MATCH($B46,' Toto teams'!$A$4:$A$119,0)),Scoring!$A$4:$N$51,3,FALSE()),0)+IFERROR(VLOOKUP(INDEX(' Toto teams'!$E$4:$E$119,MATCH($B46,' Toto teams'!$A$4:$A$119,0)),Scoring!$A$4:$N$51,4,FALSE()),0)+IFERROR(VLOOKUP(INDEX(' Toto teams'!$E$4:$E$119,MATCH($B46,' Toto teams'!$A$4:$A$119,0)),Scoring!$A$4:$N$51,5,FALSE()),0))+1*(IFERROR(VLOOKUP(INDEX(' Toto teams'!$F$4:$F$119,MATCH($B46,' Toto teams'!$A$4:$A$119,0)),Scoring!$A$4:$N$51,3,FALSE()),0)+IFERROR(VLOOKUP(INDEX(' Toto teams'!$F$4:$F$119,MATCH($B46,' Toto teams'!$A$4:$A$119,0)),Scoring!$A$4:$N$51,4,FALSE()),0)+IFERROR(VLOOKUP(INDEX(' Toto teams'!$F$4:$F$119,MATCH($B46,' Toto teams'!$A$4:$A$119,0)),Scoring!$A$4:$N$51,5,FALSE()),0))+1*(IFERROR(VLOOKUP(INDEX(' Toto teams'!$G$4:$G$119,MATCH($B46,' Toto teams'!$A$4:$A$119,0)),Scoring!$A$4:$N$51,3,FALSE()),0)+IFERROR(VLOOKUP(INDEX(' Toto teams'!$G$4:$G$119,MATCH($B46,' Toto teams'!$A$4:$A$119,0)),Scoring!$A$4:$N$51,4,FALSE()),0)+IFERROR(VLOOKUP(INDEX(' Toto teams'!$G$4:$G$119,MATCH($B46,' Toto teams'!$A$4:$A$119,0)),Scoring!$A$4:$N$51,5,FALSE()),0))+1*(IFERROR(VLOOKUP(INDEX(' Toto teams'!$H$4:$H$119,MATCH($B46,' Toto teams'!$A$4:$A$119,0)),Scoring!$A$4:$N$51,3,FALSE()),0)+IFERROR(VLOOKUP(INDEX(' Toto teams'!$H$4:$H$119,MATCH($B46,' Toto teams'!$A$4:$A$119,0)),Scoring!$A$4:$N$51,4,FALSE()),0)+IFERROR(VLOOKUP(INDEX(' Toto teams'!$H$4:$H$119,MATCH($B46,' Toto teams'!$A$4:$A$119,0)),Scoring!$A$4:$N$51,5,FALSE()),0))+IFERROR(INDEX(' Toto teams'!$Q$4:$Q$119,MATCH($B46,' Toto teams'!$A$4:$A$119,0))*1,0))</f>
        <v/>
      </c>
      <c r="D46" s="28">
        <f>IF($B46="","",6*IFERROR(VLOOKUP(INDEX(' Toto teams'!$B$4:$B$119,MATCH($B46,' Toto teams'!$A$4:$A$119,0)),Scoring!$A$4:$N$51,7,FALSE()),0)+4*IFERROR(VLOOKUP(INDEX(' Toto teams'!$C$4:$C$119,MATCH($B46,' Toto teams'!$A$4:$A$119,0)),Scoring!$A$4:$N$51,7,FALSE()),0)+3*IFERROR(VLOOKUP(INDEX(' Toto teams'!$D$4:$D$119,MATCH($B46,' Toto teams'!$A$4:$A$119,0)),Scoring!$A$4:$N$51,7,FALSE()),0)+2*IFERROR(VLOOKUP(INDEX(' Toto teams'!$E$4:$E$119,MATCH($B46,' Toto teams'!$A$4:$A$119,0)),Scoring!$A$4:$N$51,7,FALSE()),0)+1*IFERROR(VLOOKUP(INDEX(' Toto teams'!$F$4:$F$119,MATCH($B46,' Toto teams'!$A$4:$A$119,0)),Scoring!$A$4:$N$51,7,FALSE()),0)+1*IFERROR(VLOOKUP(INDEX(' Toto teams'!$G$4:$G$119,MATCH($B46,' Toto teams'!$A$4:$A$119,0)),Scoring!$A$4:$N$51,7,FALSE()),0)+1*IFERROR(VLOOKUP(INDEX(' Toto teams'!$H$4:$H$119,MATCH($B46,' Toto teams'!$A$4:$A$119,0)),Scoring!$A$4:$N$51,7,FALSE()),0))</f>
        <v/>
      </c>
      <c r="E46" s="28">
        <f>IF($B46="","",6*IFERROR(VLOOKUP(INDEX(' Toto teams'!$B$4:$B$119,MATCH($B46,' Toto teams'!$A$4:$A$119,0)),Scoring!$A$4:$N$51,8,FALSE()),0)+4*IFERROR(VLOOKUP(INDEX(' Toto teams'!$C$4:$C$119,MATCH($B46,' Toto teams'!$A$4:$A$119,0)),Scoring!$A$4:$N$51,8,FALSE()),0)+3*IFERROR(VLOOKUP(INDEX(' Toto teams'!$D$4:$D$119,MATCH($B46,' Toto teams'!$A$4:$A$119,0)),Scoring!$A$4:$N$51,8,FALSE()),0)+2*IFERROR(VLOOKUP(INDEX(' Toto teams'!$E$4:$E$119,MATCH($B46,' Toto teams'!$A$4:$A$119,0)),Scoring!$A$4:$N$51,8,FALSE()),0)+1*IFERROR(VLOOKUP(INDEX(' Toto teams'!$F$4:$F$119,MATCH($B46,' Toto teams'!$A$4:$A$119,0)),Scoring!$A$4:$N$51,8,FALSE()),0)+1*IFERROR(VLOOKUP(INDEX(' Toto teams'!$G$4:$G$119,MATCH($B46,' Toto teams'!$A$4:$A$119,0)),Scoring!$A$4:$N$51,8,FALSE()),0)+1*IFERROR(VLOOKUP(INDEX(' Toto teams'!$H$4:$H$119,MATCH($B46,' Toto teams'!$A$4:$A$119,0)),Scoring!$A$4:$N$51,8,FALSE()),0))</f>
        <v/>
      </c>
      <c r="F46" s="28">
        <f>IF($B46="","",6*IFERROR(VLOOKUP(INDEX(' Toto teams'!$B$4:$B$119,MATCH($B46,' Toto teams'!$A$4:$A$119,0)),Scoring!$A$4:$N$51,9,FALSE()),0)+4*IFERROR(VLOOKUP(INDEX(' Toto teams'!$C$4:$C$119,MATCH($B46,' Toto teams'!$A$4:$A$119,0)),Scoring!$A$4:$N$51,9,FALSE()),0)+3*IFERROR(VLOOKUP(INDEX(' Toto teams'!$D$4:$D$119,MATCH($B46,' Toto teams'!$A$4:$A$119,0)),Scoring!$A$4:$N$51,9,FALSE()),0)+2*IFERROR(VLOOKUP(INDEX(' Toto teams'!$E$4:$E$119,MATCH($B46,' Toto teams'!$A$4:$A$119,0)),Scoring!$A$4:$N$51,9,FALSE()),0)+1*IFERROR(VLOOKUP(INDEX(' Toto teams'!$F$4:$F$119,MATCH($B46,' Toto teams'!$A$4:$A$119,0)),Scoring!$A$4:$N$51,9,FALSE()),0)+1*IFERROR(VLOOKUP(INDEX(' Toto teams'!$G$4:$G$119,MATCH($B46,' Toto teams'!$A$4:$A$119,0)),Scoring!$A$4:$N$51,9,FALSE()),0)+1*IFERROR(VLOOKUP(INDEX(' Toto teams'!$H$4:$H$119,MATCH($B46,' Toto teams'!$A$4:$A$119,0)),Scoring!$A$4:$N$51,9,FALSE()),0))</f>
        <v/>
      </c>
      <c r="G46" s="28">
        <f>IF($B46="","",6*IFERROR(VLOOKUP(INDEX(' Toto teams'!$B$4:$B$119,MATCH($B46,' Toto teams'!$A$4:$A$119,0)),Scoring!$A$4:$N$51,10,FALSE()),0)+4*IFERROR(VLOOKUP(INDEX(' Toto teams'!$C$4:$C$119,MATCH($B46,' Toto teams'!$A$4:$A$119,0)),Scoring!$A$4:$N$51,10,FALSE()),0)+3*IFERROR(VLOOKUP(INDEX(' Toto teams'!$D$4:$D$119,MATCH($B46,' Toto teams'!$A$4:$A$119,0)),Scoring!$A$4:$N$51,10,FALSE()),0)+2*IFERROR(VLOOKUP(INDEX(' Toto teams'!$E$4:$E$119,MATCH($B46,' Toto teams'!$A$4:$A$119,0)),Scoring!$A$4:$N$51,10,FALSE()),0)+1*IFERROR(VLOOKUP(INDEX(' Toto teams'!$F$4:$F$119,MATCH($B46,' Toto teams'!$A$4:$A$119,0)),Scoring!$A$4:$N$51,10,FALSE()),0)+1*IFERROR(VLOOKUP(INDEX(' Toto teams'!$G$4:$G$119,MATCH($B46,' Toto teams'!$A$4:$A$119,0)),Scoring!$A$4:$N$51,10,FALSE()),0)+1*IFERROR(VLOOKUP(INDEX(' Toto teams'!$H$4:$H$119,MATCH($B46,' Toto teams'!$A$4:$A$119,0)),Scoring!$A$4:$N$51,10,FALSE()),0))</f>
        <v/>
      </c>
      <c r="H46" s="28">
        <f>IF($B46="","",6*IFERROR(VLOOKUP(INDEX(' Toto teams'!$B$4:$B$119,MATCH($B46,' Toto teams'!$A$4:$A$119,0)),Scoring!$A$4:$N$51,11,FALSE()),0)+4*IFERROR(VLOOKUP(INDEX(' Toto teams'!$C$4:$C$119,MATCH($B46,' Toto teams'!$A$4:$A$119,0)),Scoring!$A$4:$N$51,11,FALSE()),0)+3*IFERROR(VLOOKUP(INDEX(' Toto teams'!$D$4:$D$119,MATCH($B46,' Toto teams'!$A$4:$A$119,0)),Scoring!$A$4:$N$51,11,FALSE()),0)+2*IFERROR(VLOOKUP(INDEX(' Toto teams'!$E$4:$E$119,MATCH($B46,' Toto teams'!$A$4:$A$119,0)),Scoring!$A$4:$N$51,11,FALSE()),0)+1*IFERROR(VLOOKUP(INDEX(' Toto teams'!$F$4:$F$119,MATCH($B46,' Toto teams'!$A$4:$A$119,0)),Scoring!$A$4:$N$51,11,FALSE()),0)+1*IFERROR(VLOOKUP(INDEX(' Toto teams'!$G$4:$G$119,MATCH($B46,' Toto teams'!$A$4:$A$119,0)),Scoring!$A$4:$N$51,11,FALSE()),0)+1*IFERROR(VLOOKUP(INDEX(' Toto teams'!$H$4:$H$119,MATCH($B46,' Toto teams'!$A$4:$A$119,0)),Scoring!$A$4:$N$51,11,FALSE()),0))</f>
        <v/>
      </c>
      <c r="I46" s="28">
        <f>IF($B46="","",6*IFERROR(VLOOKUP(INDEX(' Toto teams'!$B$4:$B$119,MATCH($B46,' Toto teams'!$A$4:$A$119,0)),Scoring!$A$4:$O$51,15,FALSE()),0)+4*IFERROR(VLOOKUP(INDEX(' Toto teams'!$C$4:$C$119,MATCH($B46,' Toto teams'!$A$4:$A$119,0)),Scoring!$A$4:$O$51,15,FALSE()),0)+3*IFERROR(VLOOKUP(INDEX(' Toto teams'!$D$4:$D$119,MATCH($B46,' Toto teams'!$A$4:$A$119,0)),Scoring!$A$4:$O$51,15,FALSE()),0)+2*IFERROR(VLOOKUP(INDEX(' Toto teams'!$E$4:$E$119,MATCH($B46,' Toto teams'!$A$4:$A$119,0)),Scoring!$A$4:$O$51,15,FALSE()),0)+1*IFERROR(VLOOKUP(INDEX(' Toto teams'!$F$4:$F$119,MATCH($B46,' Toto teams'!$A$4:$A$119,0)),Scoring!$A$4:$O$51,15,FALSE()),0)+1*IFERROR(VLOOKUP(INDEX(' Toto teams'!$G$4:$G$119,MATCH($B46,' Toto teams'!$A$4:$A$119,0)),Scoring!$A$4:$O$51,15,FALSE()),0)+1*IFERROR(VLOOKUP(INDEX(' Toto teams'!$H$4:$H$119,MATCH($B46,' Toto teams'!$A$4:$A$119,0)),Scoring!$A$4:$O$51,15,FALSE()),0))</f>
        <v/>
      </c>
      <c r="J46" s="28">
        <f>IF($B46="","",6*IFERROR(VLOOKUP(INDEX(' Toto teams'!$B$4:$B$119,MATCH($B46,' Toto teams'!$A$4:$A$119,0)),Scoring!$A$4:$N$51,12,FALSE()),0)+4*IFERROR(VLOOKUP(INDEX(' Toto teams'!$C$4:$C$119,MATCH($B46,' Toto teams'!$A$4:$A$119,0)),Scoring!$A$4:$N$51,12,FALSE()),0)+3*IFERROR(VLOOKUP(INDEX(' Toto teams'!$D$4:$D$119,MATCH($B46,' Toto teams'!$A$4:$A$119,0)),Scoring!$A$4:$N$51,12,FALSE()),0)+2*IFERROR(VLOOKUP(INDEX(' Toto teams'!$E$4:$E$119,MATCH($B46,' Toto teams'!$A$4:$A$119,0)),Scoring!$A$4:$N$51,12,FALSE()),0)+1*IFERROR(VLOOKUP(INDEX(' Toto teams'!$F$4:$F$119,MATCH($B46,' Toto teams'!$A$4:$A$119,0)),Scoring!$A$4:$N$51,12,FALSE()),0)+1*IFERROR(VLOOKUP(INDEX(' Toto teams'!$G$4:$G$119,MATCH($B46,' Toto teams'!$A$4:$A$119,0)),Scoring!$A$4:$N$51,12,FALSE()),0)+1*IFERROR(VLOOKUP(INDEX(' Toto teams'!$H$4:$H$119,MATCH($B46,' Toto teams'!$A$4:$A$119,0)),Scoring!$A$4:$N$51,12,FALSE()),0))</f>
        <v/>
      </c>
      <c r="K46" s="29">
        <f>IF($B46="","",IFERROR(INDEX(' Toto teams'!$R$4:$R$119,MATCH($B46,' Toto teams'!$A$4:$A$119,0)),""))</f>
        <v/>
      </c>
      <c r="L46" s="30">
        <f>IFERROR(IF(B46="","",VLOOKUP(A46,$N$4:$R$12,5,FALSE())),0)</f>
        <v/>
      </c>
    </row>
    <row r="47" ht="12.75" customHeight="1">
      <c r="A47" s="26">
        <f>IF(44&gt;COUNTIF(' Toto teams'!$A$4:$A$119,"&lt;&gt;"),"",INDEX(' Toto teams'!$S$4:$S$119,MATCH(LARGE(' Toto teams'!$T$4:$T$119,44),' Toto teams'!$T$4:$T$119,0)))</f>
        <v/>
      </c>
      <c r="B47" s="27">
        <f>IF(44&gt;COUNTIF(' Toto teams'!$A$4:$A$119,"&lt;&gt;"),"",INDEX(' Toto teams'!$A$4:$A$119,MATCH(LARGE(' Toto teams'!$T$4:$T$119,44),' Toto teams'!$T$4:$T$119,0)))</f>
        <v/>
      </c>
      <c r="C47" s="28">
        <f>IF($B47="","",6*(IFERROR(VLOOKUP(INDEX(' Toto teams'!$B$4:$B$119,MATCH($B47,' Toto teams'!$A$4:$A$119,0)),Scoring!$A$4:$N$51,3,FALSE()),0)+IFERROR(VLOOKUP(INDEX(' Toto teams'!$B$4:$B$119,MATCH($B47,' Toto teams'!$A$4:$A$119,0)),Scoring!$A$4:$N$51,4,FALSE()),0)+IFERROR(VLOOKUP(INDEX(' Toto teams'!$B$4:$B$119,MATCH($B47,' Toto teams'!$A$4:$A$119,0)),Scoring!$A$4:$N$51,5,FALSE()),0))+4*(IFERROR(VLOOKUP(INDEX(' Toto teams'!$C$4:$C$119,MATCH($B47,' Toto teams'!$A$4:$A$119,0)),Scoring!$A$4:$N$51,3,FALSE()),0)+IFERROR(VLOOKUP(INDEX(' Toto teams'!$C$4:$C$119,MATCH($B47,' Toto teams'!$A$4:$A$119,0)),Scoring!$A$4:$N$51,4,FALSE()),0)+IFERROR(VLOOKUP(INDEX(' Toto teams'!$C$4:$C$119,MATCH($B47,' Toto teams'!$A$4:$A$119,0)),Scoring!$A$4:$N$51,5,FALSE()),0))+3*(IFERROR(VLOOKUP(INDEX(' Toto teams'!$D$4:$D$119,MATCH($B47,' Toto teams'!$A$4:$A$119,0)),Scoring!$A$4:$N$51,3,FALSE()),0)+IFERROR(VLOOKUP(INDEX(' Toto teams'!$D$4:$D$119,MATCH($B47,' Toto teams'!$A$4:$A$119,0)),Scoring!$A$4:$N$51,4,FALSE()),0)+IFERROR(VLOOKUP(INDEX(' Toto teams'!$D$4:$D$119,MATCH($B47,' Toto teams'!$A$4:$A$119,0)),Scoring!$A$4:$N$51,5,FALSE()),0))+2*(IFERROR(VLOOKUP(INDEX(' Toto teams'!$E$4:$E$119,MATCH($B47,' Toto teams'!$A$4:$A$119,0)),Scoring!$A$4:$N$51,3,FALSE()),0)+IFERROR(VLOOKUP(INDEX(' Toto teams'!$E$4:$E$119,MATCH($B47,' Toto teams'!$A$4:$A$119,0)),Scoring!$A$4:$N$51,4,FALSE()),0)+IFERROR(VLOOKUP(INDEX(' Toto teams'!$E$4:$E$119,MATCH($B47,' Toto teams'!$A$4:$A$119,0)),Scoring!$A$4:$N$51,5,FALSE()),0))+1*(IFERROR(VLOOKUP(INDEX(' Toto teams'!$F$4:$F$119,MATCH($B47,' Toto teams'!$A$4:$A$119,0)),Scoring!$A$4:$N$51,3,FALSE()),0)+IFERROR(VLOOKUP(INDEX(' Toto teams'!$F$4:$F$119,MATCH($B47,' Toto teams'!$A$4:$A$119,0)),Scoring!$A$4:$N$51,4,FALSE()),0)+IFERROR(VLOOKUP(INDEX(' Toto teams'!$F$4:$F$119,MATCH($B47,' Toto teams'!$A$4:$A$119,0)),Scoring!$A$4:$N$51,5,FALSE()),0))+1*(IFERROR(VLOOKUP(INDEX(' Toto teams'!$G$4:$G$119,MATCH($B47,' Toto teams'!$A$4:$A$119,0)),Scoring!$A$4:$N$51,3,FALSE()),0)+IFERROR(VLOOKUP(INDEX(' Toto teams'!$G$4:$G$119,MATCH($B47,' Toto teams'!$A$4:$A$119,0)),Scoring!$A$4:$N$51,4,FALSE()),0)+IFERROR(VLOOKUP(INDEX(' Toto teams'!$G$4:$G$119,MATCH($B47,' Toto teams'!$A$4:$A$119,0)),Scoring!$A$4:$N$51,5,FALSE()),0))+1*(IFERROR(VLOOKUP(INDEX(' Toto teams'!$H$4:$H$119,MATCH($B47,' Toto teams'!$A$4:$A$119,0)),Scoring!$A$4:$N$51,3,FALSE()),0)+IFERROR(VLOOKUP(INDEX(' Toto teams'!$H$4:$H$119,MATCH($B47,' Toto teams'!$A$4:$A$119,0)),Scoring!$A$4:$N$51,4,FALSE()),0)+IFERROR(VLOOKUP(INDEX(' Toto teams'!$H$4:$H$119,MATCH($B47,' Toto teams'!$A$4:$A$119,0)),Scoring!$A$4:$N$51,5,FALSE()),0))+IFERROR(INDEX(' Toto teams'!$Q$4:$Q$119,MATCH($B47,' Toto teams'!$A$4:$A$119,0))*1,0))</f>
        <v/>
      </c>
      <c r="D47" s="28">
        <f>IF($B47="","",6*IFERROR(VLOOKUP(INDEX(' Toto teams'!$B$4:$B$119,MATCH($B47,' Toto teams'!$A$4:$A$119,0)),Scoring!$A$4:$N$51,7,FALSE()),0)+4*IFERROR(VLOOKUP(INDEX(' Toto teams'!$C$4:$C$119,MATCH($B47,' Toto teams'!$A$4:$A$119,0)),Scoring!$A$4:$N$51,7,FALSE()),0)+3*IFERROR(VLOOKUP(INDEX(' Toto teams'!$D$4:$D$119,MATCH($B47,' Toto teams'!$A$4:$A$119,0)),Scoring!$A$4:$N$51,7,FALSE()),0)+2*IFERROR(VLOOKUP(INDEX(' Toto teams'!$E$4:$E$119,MATCH($B47,' Toto teams'!$A$4:$A$119,0)),Scoring!$A$4:$N$51,7,FALSE()),0)+1*IFERROR(VLOOKUP(INDEX(' Toto teams'!$F$4:$F$119,MATCH($B47,' Toto teams'!$A$4:$A$119,0)),Scoring!$A$4:$N$51,7,FALSE()),0)+1*IFERROR(VLOOKUP(INDEX(' Toto teams'!$G$4:$G$119,MATCH($B47,' Toto teams'!$A$4:$A$119,0)),Scoring!$A$4:$N$51,7,FALSE()),0)+1*IFERROR(VLOOKUP(INDEX(' Toto teams'!$H$4:$H$119,MATCH($B47,' Toto teams'!$A$4:$A$119,0)),Scoring!$A$4:$N$51,7,FALSE()),0))</f>
        <v/>
      </c>
      <c r="E47" s="28">
        <f>IF($B47="","",6*IFERROR(VLOOKUP(INDEX(' Toto teams'!$B$4:$B$119,MATCH($B47,' Toto teams'!$A$4:$A$119,0)),Scoring!$A$4:$N$51,8,FALSE()),0)+4*IFERROR(VLOOKUP(INDEX(' Toto teams'!$C$4:$C$119,MATCH($B47,' Toto teams'!$A$4:$A$119,0)),Scoring!$A$4:$N$51,8,FALSE()),0)+3*IFERROR(VLOOKUP(INDEX(' Toto teams'!$D$4:$D$119,MATCH($B47,' Toto teams'!$A$4:$A$119,0)),Scoring!$A$4:$N$51,8,FALSE()),0)+2*IFERROR(VLOOKUP(INDEX(' Toto teams'!$E$4:$E$119,MATCH($B47,' Toto teams'!$A$4:$A$119,0)),Scoring!$A$4:$N$51,8,FALSE()),0)+1*IFERROR(VLOOKUP(INDEX(' Toto teams'!$F$4:$F$119,MATCH($B47,' Toto teams'!$A$4:$A$119,0)),Scoring!$A$4:$N$51,8,FALSE()),0)+1*IFERROR(VLOOKUP(INDEX(' Toto teams'!$G$4:$G$119,MATCH($B47,' Toto teams'!$A$4:$A$119,0)),Scoring!$A$4:$N$51,8,FALSE()),0)+1*IFERROR(VLOOKUP(INDEX(' Toto teams'!$H$4:$H$119,MATCH($B47,' Toto teams'!$A$4:$A$119,0)),Scoring!$A$4:$N$51,8,FALSE()),0))</f>
        <v/>
      </c>
      <c r="F47" s="28">
        <f>IF($B47="","",6*IFERROR(VLOOKUP(INDEX(' Toto teams'!$B$4:$B$119,MATCH($B47,' Toto teams'!$A$4:$A$119,0)),Scoring!$A$4:$N$51,9,FALSE()),0)+4*IFERROR(VLOOKUP(INDEX(' Toto teams'!$C$4:$C$119,MATCH($B47,' Toto teams'!$A$4:$A$119,0)),Scoring!$A$4:$N$51,9,FALSE()),0)+3*IFERROR(VLOOKUP(INDEX(' Toto teams'!$D$4:$D$119,MATCH($B47,' Toto teams'!$A$4:$A$119,0)),Scoring!$A$4:$N$51,9,FALSE()),0)+2*IFERROR(VLOOKUP(INDEX(' Toto teams'!$E$4:$E$119,MATCH($B47,' Toto teams'!$A$4:$A$119,0)),Scoring!$A$4:$N$51,9,FALSE()),0)+1*IFERROR(VLOOKUP(INDEX(' Toto teams'!$F$4:$F$119,MATCH($B47,' Toto teams'!$A$4:$A$119,0)),Scoring!$A$4:$N$51,9,FALSE()),0)+1*IFERROR(VLOOKUP(INDEX(' Toto teams'!$G$4:$G$119,MATCH($B47,' Toto teams'!$A$4:$A$119,0)),Scoring!$A$4:$N$51,9,FALSE()),0)+1*IFERROR(VLOOKUP(INDEX(' Toto teams'!$H$4:$H$119,MATCH($B47,' Toto teams'!$A$4:$A$119,0)),Scoring!$A$4:$N$51,9,FALSE()),0))</f>
        <v/>
      </c>
      <c r="G47" s="28">
        <f>IF($B47="","",6*IFERROR(VLOOKUP(INDEX(' Toto teams'!$B$4:$B$119,MATCH($B47,' Toto teams'!$A$4:$A$119,0)),Scoring!$A$4:$N$51,10,FALSE()),0)+4*IFERROR(VLOOKUP(INDEX(' Toto teams'!$C$4:$C$119,MATCH($B47,' Toto teams'!$A$4:$A$119,0)),Scoring!$A$4:$N$51,10,FALSE()),0)+3*IFERROR(VLOOKUP(INDEX(' Toto teams'!$D$4:$D$119,MATCH($B47,' Toto teams'!$A$4:$A$119,0)),Scoring!$A$4:$N$51,10,FALSE()),0)+2*IFERROR(VLOOKUP(INDEX(' Toto teams'!$E$4:$E$119,MATCH($B47,' Toto teams'!$A$4:$A$119,0)),Scoring!$A$4:$N$51,10,FALSE()),0)+1*IFERROR(VLOOKUP(INDEX(' Toto teams'!$F$4:$F$119,MATCH($B47,' Toto teams'!$A$4:$A$119,0)),Scoring!$A$4:$N$51,10,FALSE()),0)+1*IFERROR(VLOOKUP(INDEX(' Toto teams'!$G$4:$G$119,MATCH($B47,' Toto teams'!$A$4:$A$119,0)),Scoring!$A$4:$N$51,10,FALSE()),0)+1*IFERROR(VLOOKUP(INDEX(' Toto teams'!$H$4:$H$119,MATCH($B47,' Toto teams'!$A$4:$A$119,0)),Scoring!$A$4:$N$51,10,FALSE()),0))</f>
        <v/>
      </c>
      <c r="H47" s="28">
        <f>IF($B47="","",6*IFERROR(VLOOKUP(INDEX(' Toto teams'!$B$4:$B$119,MATCH($B47,' Toto teams'!$A$4:$A$119,0)),Scoring!$A$4:$N$51,11,FALSE()),0)+4*IFERROR(VLOOKUP(INDEX(' Toto teams'!$C$4:$C$119,MATCH($B47,' Toto teams'!$A$4:$A$119,0)),Scoring!$A$4:$N$51,11,FALSE()),0)+3*IFERROR(VLOOKUP(INDEX(' Toto teams'!$D$4:$D$119,MATCH($B47,' Toto teams'!$A$4:$A$119,0)),Scoring!$A$4:$N$51,11,FALSE()),0)+2*IFERROR(VLOOKUP(INDEX(' Toto teams'!$E$4:$E$119,MATCH($B47,' Toto teams'!$A$4:$A$119,0)),Scoring!$A$4:$N$51,11,FALSE()),0)+1*IFERROR(VLOOKUP(INDEX(' Toto teams'!$F$4:$F$119,MATCH($B47,' Toto teams'!$A$4:$A$119,0)),Scoring!$A$4:$N$51,11,FALSE()),0)+1*IFERROR(VLOOKUP(INDEX(' Toto teams'!$G$4:$G$119,MATCH($B47,' Toto teams'!$A$4:$A$119,0)),Scoring!$A$4:$N$51,11,FALSE()),0)+1*IFERROR(VLOOKUP(INDEX(' Toto teams'!$H$4:$H$119,MATCH($B47,' Toto teams'!$A$4:$A$119,0)),Scoring!$A$4:$N$51,11,FALSE()),0))</f>
        <v/>
      </c>
      <c r="I47" s="28">
        <f>IF($B47="","",6*IFERROR(VLOOKUP(INDEX(' Toto teams'!$B$4:$B$119,MATCH($B47,' Toto teams'!$A$4:$A$119,0)),Scoring!$A$4:$O$51,15,FALSE()),0)+4*IFERROR(VLOOKUP(INDEX(' Toto teams'!$C$4:$C$119,MATCH($B47,' Toto teams'!$A$4:$A$119,0)),Scoring!$A$4:$O$51,15,FALSE()),0)+3*IFERROR(VLOOKUP(INDEX(' Toto teams'!$D$4:$D$119,MATCH($B47,' Toto teams'!$A$4:$A$119,0)),Scoring!$A$4:$O$51,15,FALSE()),0)+2*IFERROR(VLOOKUP(INDEX(' Toto teams'!$E$4:$E$119,MATCH($B47,' Toto teams'!$A$4:$A$119,0)),Scoring!$A$4:$O$51,15,FALSE()),0)+1*IFERROR(VLOOKUP(INDEX(' Toto teams'!$F$4:$F$119,MATCH($B47,' Toto teams'!$A$4:$A$119,0)),Scoring!$A$4:$O$51,15,FALSE()),0)+1*IFERROR(VLOOKUP(INDEX(' Toto teams'!$G$4:$G$119,MATCH($B47,' Toto teams'!$A$4:$A$119,0)),Scoring!$A$4:$O$51,15,FALSE()),0)+1*IFERROR(VLOOKUP(INDEX(' Toto teams'!$H$4:$H$119,MATCH($B47,' Toto teams'!$A$4:$A$119,0)),Scoring!$A$4:$O$51,15,FALSE()),0))</f>
        <v/>
      </c>
      <c r="J47" s="28">
        <f>IF($B47="","",6*IFERROR(VLOOKUP(INDEX(' Toto teams'!$B$4:$B$119,MATCH($B47,' Toto teams'!$A$4:$A$119,0)),Scoring!$A$4:$N$51,12,FALSE()),0)+4*IFERROR(VLOOKUP(INDEX(' Toto teams'!$C$4:$C$119,MATCH($B47,' Toto teams'!$A$4:$A$119,0)),Scoring!$A$4:$N$51,12,FALSE()),0)+3*IFERROR(VLOOKUP(INDEX(' Toto teams'!$D$4:$D$119,MATCH($B47,' Toto teams'!$A$4:$A$119,0)),Scoring!$A$4:$N$51,12,FALSE()),0)+2*IFERROR(VLOOKUP(INDEX(' Toto teams'!$E$4:$E$119,MATCH($B47,' Toto teams'!$A$4:$A$119,0)),Scoring!$A$4:$N$51,12,FALSE()),0)+1*IFERROR(VLOOKUP(INDEX(' Toto teams'!$F$4:$F$119,MATCH($B47,' Toto teams'!$A$4:$A$119,0)),Scoring!$A$4:$N$51,12,FALSE()),0)+1*IFERROR(VLOOKUP(INDEX(' Toto teams'!$G$4:$G$119,MATCH($B47,' Toto teams'!$A$4:$A$119,0)),Scoring!$A$4:$N$51,12,FALSE()),0)+1*IFERROR(VLOOKUP(INDEX(' Toto teams'!$H$4:$H$119,MATCH($B47,' Toto teams'!$A$4:$A$119,0)),Scoring!$A$4:$N$51,12,FALSE()),0))</f>
        <v/>
      </c>
      <c r="K47" s="29">
        <f>IF($B47="","",IFERROR(INDEX(' Toto teams'!$R$4:$R$119,MATCH($B47,' Toto teams'!$A$4:$A$119,0)),""))</f>
        <v/>
      </c>
      <c r="L47" s="30">
        <f>IFERROR(IF(B47="","",VLOOKUP(A47,$N$4:$R$12,5,FALSE())),0)</f>
        <v/>
      </c>
    </row>
    <row r="48" ht="12.75" customHeight="1">
      <c r="A48" s="26">
        <f>IF(45&gt;COUNTIF(' Toto teams'!$A$4:$A$119,"&lt;&gt;"),"",INDEX(' Toto teams'!$S$4:$S$119,MATCH(LARGE(' Toto teams'!$T$4:$T$119,45),' Toto teams'!$T$4:$T$119,0)))</f>
        <v/>
      </c>
      <c r="B48" s="27">
        <f>IF(45&gt;COUNTIF(' Toto teams'!$A$4:$A$119,"&lt;&gt;"),"",INDEX(' Toto teams'!$A$4:$A$119,MATCH(LARGE(' Toto teams'!$T$4:$T$119,45),' Toto teams'!$T$4:$T$119,0)))</f>
        <v/>
      </c>
      <c r="C48" s="28">
        <f>IF($B48="","",6*(IFERROR(VLOOKUP(INDEX(' Toto teams'!$B$4:$B$119,MATCH($B48,' Toto teams'!$A$4:$A$119,0)),Scoring!$A$4:$N$51,3,FALSE()),0)+IFERROR(VLOOKUP(INDEX(' Toto teams'!$B$4:$B$119,MATCH($B48,' Toto teams'!$A$4:$A$119,0)),Scoring!$A$4:$N$51,4,FALSE()),0)+IFERROR(VLOOKUP(INDEX(' Toto teams'!$B$4:$B$119,MATCH($B48,' Toto teams'!$A$4:$A$119,0)),Scoring!$A$4:$N$51,5,FALSE()),0))+4*(IFERROR(VLOOKUP(INDEX(' Toto teams'!$C$4:$C$119,MATCH($B48,' Toto teams'!$A$4:$A$119,0)),Scoring!$A$4:$N$51,3,FALSE()),0)+IFERROR(VLOOKUP(INDEX(' Toto teams'!$C$4:$C$119,MATCH($B48,' Toto teams'!$A$4:$A$119,0)),Scoring!$A$4:$N$51,4,FALSE()),0)+IFERROR(VLOOKUP(INDEX(' Toto teams'!$C$4:$C$119,MATCH($B48,' Toto teams'!$A$4:$A$119,0)),Scoring!$A$4:$N$51,5,FALSE()),0))+3*(IFERROR(VLOOKUP(INDEX(' Toto teams'!$D$4:$D$119,MATCH($B48,' Toto teams'!$A$4:$A$119,0)),Scoring!$A$4:$N$51,3,FALSE()),0)+IFERROR(VLOOKUP(INDEX(' Toto teams'!$D$4:$D$119,MATCH($B48,' Toto teams'!$A$4:$A$119,0)),Scoring!$A$4:$N$51,4,FALSE()),0)+IFERROR(VLOOKUP(INDEX(' Toto teams'!$D$4:$D$119,MATCH($B48,' Toto teams'!$A$4:$A$119,0)),Scoring!$A$4:$N$51,5,FALSE()),0))+2*(IFERROR(VLOOKUP(INDEX(' Toto teams'!$E$4:$E$119,MATCH($B48,' Toto teams'!$A$4:$A$119,0)),Scoring!$A$4:$N$51,3,FALSE()),0)+IFERROR(VLOOKUP(INDEX(' Toto teams'!$E$4:$E$119,MATCH($B48,' Toto teams'!$A$4:$A$119,0)),Scoring!$A$4:$N$51,4,FALSE()),0)+IFERROR(VLOOKUP(INDEX(' Toto teams'!$E$4:$E$119,MATCH($B48,' Toto teams'!$A$4:$A$119,0)),Scoring!$A$4:$N$51,5,FALSE()),0))+1*(IFERROR(VLOOKUP(INDEX(' Toto teams'!$F$4:$F$119,MATCH($B48,' Toto teams'!$A$4:$A$119,0)),Scoring!$A$4:$N$51,3,FALSE()),0)+IFERROR(VLOOKUP(INDEX(' Toto teams'!$F$4:$F$119,MATCH($B48,' Toto teams'!$A$4:$A$119,0)),Scoring!$A$4:$N$51,4,FALSE()),0)+IFERROR(VLOOKUP(INDEX(' Toto teams'!$F$4:$F$119,MATCH($B48,' Toto teams'!$A$4:$A$119,0)),Scoring!$A$4:$N$51,5,FALSE()),0))+1*(IFERROR(VLOOKUP(INDEX(' Toto teams'!$G$4:$G$119,MATCH($B48,' Toto teams'!$A$4:$A$119,0)),Scoring!$A$4:$N$51,3,FALSE()),0)+IFERROR(VLOOKUP(INDEX(' Toto teams'!$G$4:$G$119,MATCH($B48,' Toto teams'!$A$4:$A$119,0)),Scoring!$A$4:$N$51,4,FALSE()),0)+IFERROR(VLOOKUP(INDEX(' Toto teams'!$G$4:$G$119,MATCH($B48,' Toto teams'!$A$4:$A$119,0)),Scoring!$A$4:$N$51,5,FALSE()),0))+1*(IFERROR(VLOOKUP(INDEX(' Toto teams'!$H$4:$H$119,MATCH($B48,' Toto teams'!$A$4:$A$119,0)),Scoring!$A$4:$N$51,3,FALSE()),0)+IFERROR(VLOOKUP(INDEX(' Toto teams'!$H$4:$H$119,MATCH($B48,' Toto teams'!$A$4:$A$119,0)),Scoring!$A$4:$N$51,4,FALSE()),0)+IFERROR(VLOOKUP(INDEX(' Toto teams'!$H$4:$H$119,MATCH($B48,' Toto teams'!$A$4:$A$119,0)),Scoring!$A$4:$N$51,5,FALSE()),0))+IFERROR(INDEX(' Toto teams'!$Q$4:$Q$119,MATCH($B48,' Toto teams'!$A$4:$A$119,0))*1,0))</f>
        <v/>
      </c>
      <c r="D48" s="28">
        <f>IF($B48="","",6*IFERROR(VLOOKUP(INDEX(' Toto teams'!$B$4:$B$119,MATCH($B48,' Toto teams'!$A$4:$A$119,0)),Scoring!$A$4:$N$51,7,FALSE()),0)+4*IFERROR(VLOOKUP(INDEX(' Toto teams'!$C$4:$C$119,MATCH($B48,' Toto teams'!$A$4:$A$119,0)),Scoring!$A$4:$N$51,7,FALSE()),0)+3*IFERROR(VLOOKUP(INDEX(' Toto teams'!$D$4:$D$119,MATCH($B48,' Toto teams'!$A$4:$A$119,0)),Scoring!$A$4:$N$51,7,FALSE()),0)+2*IFERROR(VLOOKUP(INDEX(' Toto teams'!$E$4:$E$119,MATCH($B48,' Toto teams'!$A$4:$A$119,0)),Scoring!$A$4:$N$51,7,FALSE()),0)+1*IFERROR(VLOOKUP(INDEX(' Toto teams'!$F$4:$F$119,MATCH($B48,' Toto teams'!$A$4:$A$119,0)),Scoring!$A$4:$N$51,7,FALSE()),0)+1*IFERROR(VLOOKUP(INDEX(' Toto teams'!$G$4:$G$119,MATCH($B48,' Toto teams'!$A$4:$A$119,0)),Scoring!$A$4:$N$51,7,FALSE()),0)+1*IFERROR(VLOOKUP(INDEX(' Toto teams'!$H$4:$H$119,MATCH($B48,' Toto teams'!$A$4:$A$119,0)),Scoring!$A$4:$N$51,7,FALSE()),0))</f>
        <v/>
      </c>
      <c r="E48" s="28">
        <f>IF($B48="","",6*IFERROR(VLOOKUP(INDEX(' Toto teams'!$B$4:$B$119,MATCH($B48,' Toto teams'!$A$4:$A$119,0)),Scoring!$A$4:$N$51,8,FALSE()),0)+4*IFERROR(VLOOKUP(INDEX(' Toto teams'!$C$4:$C$119,MATCH($B48,' Toto teams'!$A$4:$A$119,0)),Scoring!$A$4:$N$51,8,FALSE()),0)+3*IFERROR(VLOOKUP(INDEX(' Toto teams'!$D$4:$D$119,MATCH($B48,' Toto teams'!$A$4:$A$119,0)),Scoring!$A$4:$N$51,8,FALSE()),0)+2*IFERROR(VLOOKUP(INDEX(' Toto teams'!$E$4:$E$119,MATCH($B48,' Toto teams'!$A$4:$A$119,0)),Scoring!$A$4:$N$51,8,FALSE()),0)+1*IFERROR(VLOOKUP(INDEX(' Toto teams'!$F$4:$F$119,MATCH($B48,' Toto teams'!$A$4:$A$119,0)),Scoring!$A$4:$N$51,8,FALSE()),0)+1*IFERROR(VLOOKUP(INDEX(' Toto teams'!$G$4:$G$119,MATCH($B48,' Toto teams'!$A$4:$A$119,0)),Scoring!$A$4:$N$51,8,FALSE()),0)+1*IFERROR(VLOOKUP(INDEX(' Toto teams'!$H$4:$H$119,MATCH($B48,' Toto teams'!$A$4:$A$119,0)),Scoring!$A$4:$N$51,8,FALSE()),0))</f>
        <v/>
      </c>
      <c r="F48" s="28">
        <f>IF($B48="","",6*IFERROR(VLOOKUP(INDEX(' Toto teams'!$B$4:$B$119,MATCH($B48,' Toto teams'!$A$4:$A$119,0)),Scoring!$A$4:$N$51,9,FALSE()),0)+4*IFERROR(VLOOKUP(INDEX(' Toto teams'!$C$4:$C$119,MATCH($B48,' Toto teams'!$A$4:$A$119,0)),Scoring!$A$4:$N$51,9,FALSE()),0)+3*IFERROR(VLOOKUP(INDEX(' Toto teams'!$D$4:$D$119,MATCH($B48,' Toto teams'!$A$4:$A$119,0)),Scoring!$A$4:$N$51,9,FALSE()),0)+2*IFERROR(VLOOKUP(INDEX(' Toto teams'!$E$4:$E$119,MATCH($B48,' Toto teams'!$A$4:$A$119,0)),Scoring!$A$4:$N$51,9,FALSE()),0)+1*IFERROR(VLOOKUP(INDEX(' Toto teams'!$F$4:$F$119,MATCH($B48,' Toto teams'!$A$4:$A$119,0)),Scoring!$A$4:$N$51,9,FALSE()),0)+1*IFERROR(VLOOKUP(INDEX(' Toto teams'!$G$4:$G$119,MATCH($B48,' Toto teams'!$A$4:$A$119,0)),Scoring!$A$4:$N$51,9,FALSE()),0)+1*IFERROR(VLOOKUP(INDEX(' Toto teams'!$H$4:$H$119,MATCH($B48,' Toto teams'!$A$4:$A$119,0)),Scoring!$A$4:$N$51,9,FALSE()),0))</f>
        <v/>
      </c>
      <c r="G48" s="28">
        <f>IF($B48="","",6*IFERROR(VLOOKUP(INDEX(' Toto teams'!$B$4:$B$119,MATCH($B48,' Toto teams'!$A$4:$A$119,0)),Scoring!$A$4:$N$51,10,FALSE()),0)+4*IFERROR(VLOOKUP(INDEX(' Toto teams'!$C$4:$C$119,MATCH($B48,' Toto teams'!$A$4:$A$119,0)),Scoring!$A$4:$N$51,10,FALSE()),0)+3*IFERROR(VLOOKUP(INDEX(' Toto teams'!$D$4:$D$119,MATCH($B48,' Toto teams'!$A$4:$A$119,0)),Scoring!$A$4:$N$51,10,FALSE()),0)+2*IFERROR(VLOOKUP(INDEX(' Toto teams'!$E$4:$E$119,MATCH($B48,' Toto teams'!$A$4:$A$119,0)),Scoring!$A$4:$N$51,10,FALSE()),0)+1*IFERROR(VLOOKUP(INDEX(' Toto teams'!$F$4:$F$119,MATCH($B48,' Toto teams'!$A$4:$A$119,0)),Scoring!$A$4:$N$51,10,FALSE()),0)+1*IFERROR(VLOOKUP(INDEX(' Toto teams'!$G$4:$G$119,MATCH($B48,' Toto teams'!$A$4:$A$119,0)),Scoring!$A$4:$N$51,10,FALSE()),0)+1*IFERROR(VLOOKUP(INDEX(' Toto teams'!$H$4:$H$119,MATCH($B48,' Toto teams'!$A$4:$A$119,0)),Scoring!$A$4:$N$51,10,FALSE()),0))</f>
        <v/>
      </c>
      <c r="H48" s="28">
        <f>IF($B48="","",6*IFERROR(VLOOKUP(INDEX(' Toto teams'!$B$4:$B$119,MATCH($B48,' Toto teams'!$A$4:$A$119,0)),Scoring!$A$4:$N$51,11,FALSE()),0)+4*IFERROR(VLOOKUP(INDEX(' Toto teams'!$C$4:$C$119,MATCH($B48,' Toto teams'!$A$4:$A$119,0)),Scoring!$A$4:$N$51,11,FALSE()),0)+3*IFERROR(VLOOKUP(INDEX(' Toto teams'!$D$4:$D$119,MATCH($B48,' Toto teams'!$A$4:$A$119,0)),Scoring!$A$4:$N$51,11,FALSE()),0)+2*IFERROR(VLOOKUP(INDEX(' Toto teams'!$E$4:$E$119,MATCH($B48,' Toto teams'!$A$4:$A$119,0)),Scoring!$A$4:$N$51,11,FALSE()),0)+1*IFERROR(VLOOKUP(INDEX(' Toto teams'!$F$4:$F$119,MATCH($B48,' Toto teams'!$A$4:$A$119,0)),Scoring!$A$4:$N$51,11,FALSE()),0)+1*IFERROR(VLOOKUP(INDEX(' Toto teams'!$G$4:$G$119,MATCH($B48,' Toto teams'!$A$4:$A$119,0)),Scoring!$A$4:$N$51,11,FALSE()),0)+1*IFERROR(VLOOKUP(INDEX(' Toto teams'!$H$4:$H$119,MATCH($B48,' Toto teams'!$A$4:$A$119,0)),Scoring!$A$4:$N$51,11,FALSE()),0))</f>
        <v/>
      </c>
      <c r="I48" s="28">
        <f>IF($B48="","",6*IFERROR(VLOOKUP(INDEX(' Toto teams'!$B$4:$B$119,MATCH($B48,' Toto teams'!$A$4:$A$119,0)),Scoring!$A$4:$O$51,15,FALSE()),0)+4*IFERROR(VLOOKUP(INDEX(' Toto teams'!$C$4:$C$119,MATCH($B48,' Toto teams'!$A$4:$A$119,0)),Scoring!$A$4:$O$51,15,FALSE()),0)+3*IFERROR(VLOOKUP(INDEX(' Toto teams'!$D$4:$D$119,MATCH($B48,' Toto teams'!$A$4:$A$119,0)),Scoring!$A$4:$O$51,15,FALSE()),0)+2*IFERROR(VLOOKUP(INDEX(' Toto teams'!$E$4:$E$119,MATCH($B48,' Toto teams'!$A$4:$A$119,0)),Scoring!$A$4:$O$51,15,FALSE()),0)+1*IFERROR(VLOOKUP(INDEX(' Toto teams'!$F$4:$F$119,MATCH($B48,' Toto teams'!$A$4:$A$119,0)),Scoring!$A$4:$O$51,15,FALSE()),0)+1*IFERROR(VLOOKUP(INDEX(' Toto teams'!$G$4:$G$119,MATCH($B48,' Toto teams'!$A$4:$A$119,0)),Scoring!$A$4:$O$51,15,FALSE()),0)+1*IFERROR(VLOOKUP(INDEX(' Toto teams'!$H$4:$H$119,MATCH($B48,' Toto teams'!$A$4:$A$119,0)),Scoring!$A$4:$O$51,15,FALSE()),0))</f>
        <v/>
      </c>
      <c r="J48" s="28">
        <f>IF($B48="","",6*IFERROR(VLOOKUP(INDEX(' Toto teams'!$B$4:$B$119,MATCH($B48,' Toto teams'!$A$4:$A$119,0)),Scoring!$A$4:$N$51,12,FALSE()),0)+4*IFERROR(VLOOKUP(INDEX(' Toto teams'!$C$4:$C$119,MATCH($B48,' Toto teams'!$A$4:$A$119,0)),Scoring!$A$4:$N$51,12,FALSE()),0)+3*IFERROR(VLOOKUP(INDEX(' Toto teams'!$D$4:$D$119,MATCH($B48,' Toto teams'!$A$4:$A$119,0)),Scoring!$A$4:$N$51,12,FALSE()),0)+2*IFERROR(VLOOKUP(INDEX(' Toto teams'!$E$4:$E$119,MATCH($B48,' Toto teams'!$A$4:$A$119,0)),Scoring!$A$4:$N$51,12,FALSE()),0)+1*IFERROR(VLOOKUP(INDEX(' Toto teams'!$F$4:$F$119,MATCH($B48,' Toto teams'!$A$4:$A$119,0)),Scoring!$A$4:$N$51,12,FALSE()),0)+1*IFERROR(VLOOKUP(INDEX(' Toto teams'!$G$4:$G$119,MATCH($B48,' Toto teams'!$A$4:$A$119,0)),Scoring!$A$4:$N$51,12,FALSE()),0)+1*IFERROR(VLOOKUP(INDEX(' Toto teams'!$H$4:$H$119,MATCH($B48,' Toto teams'!$A$4:$A$119,0)),Scoring!$A$4:$N$51,12,FALSE()),0))</f>
        <v/>
      </c>
      <c r="K48" s="29">
        <f>IF($B48="","",IFERROR(INDEX(' Toto teams'!$R$4:$R$119,MATCH($B48,' Toto teams'!$A$4:$A$119,0)),""))</f>
        <v/>
      </c>
      <c r="L48" s="30">
        <f>IFERROR(IF(B48="","",VLOOKUP(A48,$N$4:$R$12,5,FALSE())),0)</f>
        <v/>
      </c>
    </row>
    <row r="49" ht="12.75" customHeight="1">
      <c r="A49" s="26">
        <f>IF(46&gt;COUNTIF(' Toto teams'!$A$4:$A$119,"&lt;&gt;"),"",INDEX(' Toto teams'!$S$4:$S$119,MATCH(LARGE(' Toto teams'!$T$4:$T$119,46),' Toto teams'!$T$4:$T$119,0)))</f>
        <v/>
      </c>
      <c r="B49" s="27">
        <f>IF(46&gt;COUNTIF(' Toto teams'!$A$4:$A$119,"&lt;&gt;"),"",INDEX(' Toto teams'!$A$4:$A$119,MATCH(LARGE(' Toto teams'!$T$4:$T$119,46),' Toto teams'!$T$4:$T$119,0)))</f>
        <v/>
      </c>
      <c r="C49" s="28">
        <f>IF($B49="","",6*(IFERROR(VLOOKUP(INDEX(' Toto teams'!$B$4:$B$119,MATCH($B49,' Toto teams'!$A$4:$A$119,0)),Scoring!$A$4:$N$51,3,FALSE()),0)+IFERROR(VLOOKUP(INDEX(' Toto teams'!$B$4:$B$119,MATCH($B49,' Toto teams'!$A$4:$A$119,0)),Scoring!$A$4:$N$51,4,FALSE()),0)+IFERROR(VLOOKUP(INDEX(' Toto teams'!$B$4:$B$119,MATCH($B49,' Toto teams'!$A$4:$A$119,0)),Scoring!$A$4:$N$51,5,FALSE()),0))+4*(IFERROR(VLOOKUP(INDEX(' Toto teams'!$C$4:$C$119,MATCH($B49,' Toto teams'!$A$4:$A$119,0)),Scoring!$A$4:$N$51,3,FALSE()),0)+IFERROR(VLOOKUP(INDEX(' Toto teams'!$C$4:$C$119,MATCH($B49,' Toto teams'!$A$4:$A$119,0)),Scoring!$A$4:$N$51,4,FALSE()),0)+IFERROR(VLOOKUP(INDEX(' Toto teams'!$C$4:$C$119,MATCH($B49,' Toto teams'!$A$4:$A$119,0)),Scoring!$A$4:$N$51,5,FALSE()),0))+3*(IFERROR(VLOOKUP(INDEX(' Toto teams'!$D$4:$D$119,MATCH($B49,' Toto teams'!$A$4:$A$119,0)),Scoring!$A$4:$N$51,3,FALSE()),0)+IFERROR(VLOOKUP(INDEX(' Toto teams'!$D$4:$D$119,MATCH($B49,' Toto teams'!$A$4:$A$119,0)),Scoring!$A$4:$N$51,4,FALSE()),0)+IFERROR(VLOOKUP(INDEX(' Toto teams'!$D$4:$D$119,MATCH($B49,' Toto teams'!$A$4:$A$119,0)),Scoring!$A$4:$N$51,5,FALSE()),0))+2*(IFERROR(VLOOKUP(INDEX(' Toto teams'!$E$4:$E$119,MATCH($B49,' Toto teams'!$A$4:$A$119,0)),Scoring!$A$4:$N$51,3,FALSE()),0)+IFERROR(VLOOKUP(INDEX(' Toto teams'!$E$4:$E$119,MATCH($B49,' Toto teams'!$A$4:$A$119,0)),Scoring!$A$4:$N$51,4,FALSE()),0)+IFERROR(VLOOKUP(INDEX(' Toto teams'!$E$4:$E$119,MATCH($B49,' Toto teams'!$A$4:$A$119,0)),Scoring!$A$4:$N$51,5,FALSE()),0))+1*(IFERROR(VLOOKUP(INDEX(' Toto teams'!$F$4:$F$119,MATCH($B49,' Toto teams'!$A$4:$A$119,0)),Scoring!$A$4:$N$51,3,FALSE()),0)+IFERROR(VLOOKUP(INDEX(' Toto teams'!$F$4:$F$119,MATCH($B49,' Toto teams'!$A$4:$A$119,0)),Scoring!$A$4:$N$51,4,FALSE()),0)+IFERROR(VLOOKUP(INDEX(' Toto teams'!$F$4:$F$119,MATCH($B49,' Toto teams'!$A$4:$A$119,0)),Scoring!$A$4:$N$51,5,FALSE()),0))+1*(IFERROR(VLOOKUP(INDEX(' Toto teams'!$G$4:$G$119,MATCH($B49,' Toto teams'!$A$4:$A$119,0)),Scoring!$A$4:$N$51,3,FALSE()),0)+IFERROR(VLOOKUP(INDEX(' Toto teams'!$G$4:$G$119,MATCH($B49,' Toto teams'!$A$4:$A$119,0)),Scoring!$A$4:$N$51,4,FALSE()),0)+IFERROR(VLOOKUP(INDEX(' Toto teams'!$G$4:$G$119,MATCH($B49,' Toto teams'!$A$4:$A$119,0)),Scoring!$A$4:$N$51,5,FALSE()),0))+1*(IFERROR(VLOOKUP(INDEX(' Toto teams'!$H$4:$H$119,MATCH($B49,' Toto teams'!$A$4:$A$119,0)),Scoring!$A$4:$N$51,3,FALSE()),0)+IFERROR(VLOOKUP(INDEX(' Toto teams'!$H$4:$H$119,MATCH($B49,' Toto teams'!$A$4:$A$119,0)),Scoring!$A$4:$N$51,4,FALSE()),0)+IFERROR(VLOOKUP(INDEX(' Toto teams'!$H$4:$H$119,MATCH($B49,' Toto teams'!$A$4:$A$119,0)),Scoring!$A$4:$N$51,5,FALSE()),0))+IFERROR(INDEX(' Toto teams'!$Q$4:$Q$119,MATCH($B49,' Toto teams'!$A$4:$A$119,0))*1,0))</f>
        <v/>
      </c>
      <c r="D49" s="28">
        <f>IF($B49="","",6*IFERROR(VLOOKUP(INDEX(' Toto teams'!$B$4:$B$119,MATCH($B49,' Toto teams'!$A$4:$A$119,0)),Scoring!$A$4:$N$51,7,FALSE()),0)+4*IFERROR(VLOOKUP(INDEX(' Toto teams'!$C$4:$C$119,MATCH($B49,' Toto teams'!$A$4:$A$119,0)),Scoring!$A$4:$N$51,7,FALSE()),0)+3*IFERROR(VLOOKUP(INDEX(' Toto teams'!$D$4:$D$119,MATCH($B49,' Toto teams'!$A$4:$A$119,0)),Scoring!$A$4:$N$51,7,FALSE()),0)+2*IFERROR(VLOOKUP(INDEX(' Toto teams'!$E$4:$E$119,MATCH($B49,' Toto teams'!$A$4:$A$119,0)),Scoring!$A$4:$N$51,7,FALSE()),0)+1*IFERROR(VLOOKUP(INDEX(' Toto teams'!$F$4:$F$119,MATCH($B49,' Toto teams'!$A$4:$A$119,0)),Scoring!$A$4:$N$51,7,FALSE()),0)+1*IFERROR(VLOOKUP(INDEX(' Toto teams'!$G$4:$G$119,MATCH($B49,' Toto teams'!$A$4:$A$119,0)),Scoring!$A$4:$N$51,7,FALSE()),0)+1*IFERROR(VLOOKUP(INDEX(' Toto teams'!$H$4:$H$119,MATCH($B49,' Toto teams'!$A$4:$A$119,0)),Scoring!$A$4:$N$51,7,FALSE()),0))</f>
        <v/>
      </c>
      <c r="E49" s="28">
        <f>IF($B49="","",6*IFERROR(VLOOKUP(INDEX(' Toto teams'!$B$4:$B$119,MATCH($B49,' Toto teams'!$A$4:$A$119,0)),Scoring!$A$4:$N$51,8,FALSE()),0)+4*IFERROR(VLOOKUP(INDEX(' Toto teams'!$C$4:$C$119,MATCH($B49,' Toto teams'!$A$4:$A$119,0)),Scoring!$A$4:$N$51,8,FALSE()),0)+3*IFERROR(VLOOKUP(INDEX(' Toto teams'!$D$4:$D$119,MATCH($B49,' Toto teams'!$A$4:$A$119,0)),Scoring!$A$4:$N$51,8,FALSE()),0)+2*IFERROR(VLOOKUP(INDEX(' Toto teams'!$E$4:$E$119,MATCH($B49,' Toto teams'!$A$4:$A$119,0)),Scoring!$A$4:$N$51,8,FALSE()),0)+1*IFERROR(VLOOKUP(INDEX(' Toto teams'!$F$4:$F$119,MATCH($B49,' Toto teams'!$A$4:$A$119,0)),Scoring!$A$4:$N$51,8,FALSE()),0)+1*IFERROR(VLOOKUP(INDEX(' Toto teams'!$G$4:$G$119,MATCH($B49,' Toto teams'!$A$4:$A$119,0)),Scoring!$A$4:$N$51,8,FALSE()),0)+1*IFERROR(VLOOKUP(INDEX(' Toto teams'!$H$4:$H$119,MATCH($B49,' Toto teams'!$A$4:$A$119,0)),Scoring!$A$4:$N$51,8,FALSE()),0))</f>
        <v/>
      </c>
      <c r="F49" s="28">
        <f>IF($B49="","",6*IFERROR(VLOOKUP(INDEX(' Toto teams'!$B$4:$B$119,MATCH($B49,' Toto teams'!$A$4:$A$119,0)),Scoring!$A$4:$N$51,9,FALSE()),0)+4*IFERROR(VLOOKUP(INDEX(' Toto teams'!$C$4:$C$119,MATCH($B49,' Toto teams'!$A$4:$A$119,0)),Scoring!$A$4:$N$51,9,FALSE()),0)+3*IFERROR(VLOOKUP(INDEX(' Toto teams'!$D$4:$D$119,MATCH($B49,' Toto teams'!$A$4:$A$119,0)),Scoring!$A$4:$N$51,9,FALSE()),0)+2*IFERROR(VLOOKUP(INDEX(' Toto teams'!$E$4:$E$119,MATCH($B49,' Toto teams'!$A$4:$A$119,0)),Scoring!$A$4:$N$51,9,FALSE()),0)+1*IFERROR(VLOOKUP(INDEX(' Toto teams'!$F$4:$F$119,MATCH($B49,' Toto teams'!$A$4:$A$119,0)),Scoring!$A$4:$N$51,9,FALSE()),0)+1*IFERROR(VLOOKUP(INDEX(' Toto teams'!$G$4:$G$119,MATCH($B49,' Toto teams'!$A$4:$A$119,0)),Scoring!$A$4:$N$51,9,FALSE()),0)+1*IFERROR(VLOOKUP(INDEX(' Toto teams'!$H$4:$H$119,MATCH($B49,' Toto teams'!$A$4:$A$119,0)),Scoring!$A$4:$N$51,9,FALSE()),0))</f>
        <v/>
      </c>
      <c r="G49" s="28">
        <f>IF($B49="","",6*IFERROR(VLOOKUP(INDEX(' Toto teams'!$B$4:$B$119,MATCH($B49,' Toto teams'!$A$4:$A$119,0)),Scoring!$A$4:$N$51,10,FALSE()),0)+4*IFERROR(VLOOKUP(INDEX(' Toto teams'!$C$4:$C$119,MATCH($B49,' Toto teams'!$A$4:$A$119,0)),Scoring!$A$4:$N$51,10,FALSE()),0)+3*IFERROR(VLOOKUP(INDEX(' Toto teams'!$D$4:$D$119,MATCH($B49,' Toto teams'!$A$4:$A$119,0)),Scoring!$A$4:$N$51,10,FALSE()),0)+2*IFERROR(VLOOKUP(INDEX(' Toto teams'!$E$4:$E$119,MATCH($B49,' Toto teams'!$A$4:$A$119,0)),Scoring!$A$4:$N$51,10,FALSE()),0)+1*IFERROR(VLOOKUP(INDEX(' Toto teams'!$F$4:$F$119,MATCH($B49,' Toto teams'!$A$4:$A$119,0)),Scoring!$A$4:$N$51,10,FALSE()),0)+1*IFERROR(VLOOKUP(INDEX(' Toto teams'!$G$4:$G$119,MATCH($B49,' Toto teams'!$A$4:$A$119,0)),Scoring!$A$4:$N$51,10,FALSE()),0)+1*IFERROR(VLOOKUP(INDEX(' Toto teams'!$H$4:$H$119,MATCH($B49,' Toto teams'!$A$4:$A$119,0)),Scoring!$A$4:$N$51,10,FALSE()),0))</f>
        <v/>
      </c>
      <c r="H49" s="28">
        <f>IF($B49="","",6*IFERROR(VLOOKUP(INDEX(' Toto teams'!$B$4:$B$119,MATCH($B49,' Toto teams'!$A$4:$A$119,0)),Scoring!$A$4:$N$51,11,FALSE()),0)+4*IFERROR(VLOOKUP(INDEX(' Toto teams'!$C$4:$C$119,MATCH($B49,' Toto teams'!$A$4:$A$119,0)),Scoring!$A$4:$N$51,11,FALSE()),0)+3*IFERROR(VLOOKUP(INDEX(' Toto teams'!$D$4:$D$119,MATCH($B49,' Toto teams'!$A$4:$A$119,0)),Scoring!$A$4:$N$51,11,FALSE()),0)+2*IFERROR(VLOOKUP(INDEX(' Toto teams'!$E$4:$E$119,MATCH($B49,' Toto teams'!$A$4:$A$119,0)),Scoring!$A$4:$N$51,11,FALSE()),0)+1*IFERROR(VLOOKUP(INDEX(' Toto teams'!$F$4:$F$119,MATCH($B49,' Toto teams'!$A$4:$A$119,0)),Scoring!$A$4:$N$51,11,FALSE()),0)+1*IFERROR(VLOOKUP(INDEX(' Toto teams'!$G$4:$G$119,MATCH($B49,' Toto teams'!$A$4:$A$119,0)),Scoring!$A$4:$N$51,11,FALSE()),0)+1*IFERROR(VLOOKUP(INDEX(' Toto teams'!$H$4:$H$119,MATCH($B49,' Toto teams'!$A$4:$A$119,0)),Scoring!$A$4:$N$51,11,FALSE()),0))</f>
        <v/>
      </c>
      <c r="I49" s="28">
        <f>IF($B49="","",6*IFERROR(VLOOKUP(INDEX(' Toto teams'!$B$4:$B$119,MATCH($B49,' Toto teams'!$A$4:$A$119,0)),Scoring!$A$4:$O$51,15,FALSE()),0)+4*IFERROR(VLOOKUP(INDEX(' Toto teams'!$C$4:$C$119,MATCH($B49,' Toto teams'!$A$4:$A$119,0)),Scoring!$A$4:$O$51,15,FALSE()),0)+3*IFERROR(VLOOKUP(INDEX(' Toto teams'!$D$4:$D$119,MATCH($B49,' Toto teams'!$A$4:$A$119,0)),Scoring!$A$4:$O$51,15,FALSE()),0)+2*IFERROR(VLOOKUP(INDEX(' Toto teams'!$E$4:$E$119,MATCH($B49,' Toto teams'!$A$4:$A$119,0)),Scoring!$A$4:$O$51,15,FALSE()),0)+1*IFERROR(VLOOKUP(INDEX(' Toto teams'!$F$4:$F$119,MATCH($B49,' Toto teams'!$A$4:$A$119,0)),Scoring!$A$4:$O$51,15,FALSE()),0)+1*IFERROR(VLOOKUP(INDEX(' Toto teams'!$G$4:$G$119,MATCH($B49,' Toto teams'!$A$4:$A$119,0)),Scoring!$A$4:$O$51,15,FALSE()),0)+1*IFERROR(VLOOKUP(INDEX(' Toto teams'!$H$4:$H$119,MATCH($B49,' Toto teams'!$A$4:$A$119,0)),Scoring!$A$4:$O$51,15,FALSE()),0))</f>
        <v/>
      </c>
      <c r="J49" s="28">
        <f>IF($B49="","",6*IFERROR(VLOOKUP(INDEX(' Toto teams'!$B$4:$B$119,MATCH($B49,' Toto teams'!$A$4:$A$119,0)),Scoring!$A$4:$N$51,12,FALSE()),0)+4*IFERROR(VLOOKUP(INDEX(' Toto teams'!$C$4:$C$119,MATCH($B49,' Toto teams'!$A$4:$A$119,0)),Scoring!$A$4:$N$51,12,FALSE()),0)+3*IFERROR(VLOOKUP(INDEX(' Toto teams'!$D$4:$D$119,MATCH($B49,' Toto teams'!$A$4:$A$119,0)),Scoring!$A$4:$N$51,12,FALSE()),0)+2*IFERROR(VLOOKUP(INDEX(' Toto teams'!$E$4:$E$119,MATCH($B49,' Toto teams'!$A$4:$A$119,0)),Scoring!$A$4:$N$51,12,FALSE()),0)+1*IFERROR(VLOOKUP(INDEX(' Toto teams'!$F$4:$F$119,MATCH($B49,' Toto teams'!$A$4:$A$119,0)),Scoring!$A$4:$N$51,12,FALSE()),0)+1*IFERROR(VLOOKUP(INDEX(' Toto teams'!$G$4:$G$119,MATCH($B49,' Toto teams'!$A$4:$A$119,0)),Scoring!$A$4:$N$51,12,FALSE()),0)+1*IFERROR(VLOOKUP(INDEX(' Toto teams'!$H$4:$H$119,MATCH($B49,' Toto teams'!$A$4:$A$119,0)),Scoring!$A$4:$N$51,12,FALSE()),0))</f>
        <v/>
      </c>
      <c r="K49" s="29">
        <f>IF($B49="","",IFERROR(INDEX(' Toto teams'!$R$4:$R$119,MATCH($B49,' Toto teams'!$A$4:$A$119,0)),""))</f>
        <v/>
      </c>
      <c r="L49" s="30">
        <f>IFERROR(IF(B49="","",VLOOKUP(A49,$N$4:$R$12,5,FALSE())),0)</f>
        <v/>
      </c>
    </row>
    <row r="50" ht="12.75" customHeight="1">
      <c r="A50" s="26">
        <f>IF(47&gt;COUNTIF(' Toto teams'!$A$4:$A$119,"&lt;&gt;"),"",INDEX(' Toto teams'!$S$4:$S$119,MATCH(LARGE(' Toto teams'!$T$4:$T$119,47),' Toto teams'!$T$4:$T$119,0)))</f>
        <v/>
      </c>
      <c r="B50" s="27">
        <f>IF(47&gt;COUNTIF(' Toto teams'!$A$4:$A$119,"&lt;&gt;"),"",INDEX(' Toto teams'!$A$4:$A$119,MATCH(LARGE(' Toto teams'!$T$4:$T$119,47),' Toto teams'!$T$4:$T$119,0)))</f>
        <v/>
      </c>
      <c r="C50" s="28">
        <f>IF($B50="","",6*(IFERROR(VLOOKUP(INDEX(' Toto teams'!$B$4:$B$119,MATCH($B50,' Toto teams'!$A$4:$A$119,0)),Scoring!$A$4:$N$51,3,FALSE()),0)+IFERROR(VLOOKUP(INDEX(' Toto teams'!$B$4:$B$119,MATCH($B50,' Toto teams'!$A$4:$A$119,0)),Scoring!$A$4:$N$51,4,FALSE()),0)+IFERROR(VLOOKUP(INDEX(' Toto teams'!$B$4:$B$119,MATCH($B50,' Toto teams'!$A$4:$A$119,0)),Scoring!$A$4:$N$51,5,FALSE()),0))+4*(IFERROR(VLOOKUP(INDEX(' Toto teams'!$C$4:$C$119,MATCH($B50,' Toto teams'!$A$4:$A$119,0)),Scoring!$A$4:$N$51,3,FALSE()),0)+IFERROR(VLOOKUP(INDEX(' Toto teams'!$C$4:$C$119,MATCH($B50,' Toto teams'!$A$4:$A$119,0)),Scoring!$A$4:$N$51,4,FALSE()),0)+IFERROR(VLOOKUP(INDEX(' Toto teams'!$C$4:$C$119,MATCH($B50,' Toto teams'!$A$4:$A$119,0)),Scoring!$A$4:$N$51,5,FALSE()),0))+3*(IFERROR(VLOOKUP(INDEX(' Toto teams'!$D$4:$D$119,MATCH($B50,' Toto teams'!$A$4:$A$119,0)),Scoring!$A$4:$N$51,3,FALSE()),0)+IFERROR(VLOOKUP(INDEX(' Toto teams'!$D$4:$D$119,MATCH($B50,' Toto teams'!$A$4:$A$119,0)),Scoring!$A$4:$N$51,4,FALSE()),0)+IFERROR(VLOOKUP(INDEX(' Toto teams'!$D$4:$D$119,MATCH($B50,' Toto teams'!$A$4:$A$119,0)),Scoring!$A$4:$N$51,5,FALSE()),0))+2*(IFERROR(VLOOKUP(INDEX(' Toto teams'!$E$4:$E$119,MATCH($B50,' Toto teams'!$A$4:$A$119,0)),Scoring!$A$4:$N$51,3,FALSE()),0)+IFERROR(VLOOKUP(INDEX(' Toto teams'!$E$4:$E$119,MATCH($B50,' Toto teams'!$A$4:$A$119,0)),Scoring!$A$4:$N$51,4,FALSE()),0)+IFERROR(VLOOKUP(INDEX(' Toto teams'!$E$4:$E$119,MATCH($B50,' Toto teams'!$A$4:$A$119,0)),Scoring!$A$4:$N$51,5,FALSE()),0))+1*(IFERROR(VLOOKUP(INDEX(' Toto teams'!$F$4:$F$119,MATCH($B50,' Toto teams'!$A$4:$A$119,0)),Scoring!$A$4:$N$51,3,FALSE()),0)+IFERROR(VLOOKUP(INDEX(' Toto teams'!$F$4:$F$119,MATCH($B50,' Toto teams'!$A$4:$A$119,0)),Scoring!$A$4:$N$51,4,FALSE()),0)+IFERROR(VLOOKUP(INDEX(' Toto teams'!$F$4:$F$119,MATCH($B50,' Toto teams'!$A$4:$A$119,0)),Scoring!$A$4:$N$51,5,FALSE()),0))+1*(IFERROR(VLOOKUP(INDEX(' Toto teams'!$G$4:$G$119,MATCH($B50,' Toto teams'!$A$4:$A$119,0)),Scoring!$A$4:$N$51,3,FALSE()),0)+IFERROR(VLOOKUP(INDEX(' Toto teams'!$G$4:$G$119,MATCH($B50,' Toto teams'!$A$4:$A$119,0)),Scoring!$A$4:$N$51,4,FALSE()),0)+IFERROR(VLOOKUP(INDEX(' Toto teams'!$G$4:$G$119,MATCH($B50,' Toto teams'!$A$4:$A$119,0)),Scoring!$A$4:$N$51,5,FALSE()),0))+1*(IFERROR(VLOOKUP(INDEX(' Toto teams'!$H$4:$H$119,MATCH($B50,' Toto teams'!$A$4:$A$119,0)),Scoring!$A$4:$N$51,3,FALSE()),0)+IFERROR(VLOOKUP(INDEX(' Toto teams'!$H$4:$H$119,MATCH($B50,' Toto teams'!$A$4:$A$119,0)),Scoring!$A$4:$N$51,4,FALSE()),0)+IFERROR(VLOOKUP(INDEX(' Toto teams'!$H$4:$H$119,MATCH($B50,' Toto teams'!$A$4:$A$119,0)),Scoring!$A$4:$N$51,5,FALSE()),0))+IFERROR(INDEX(' Toto teams'!$Q$4:$Q$119,MATCH($B50,' Toto teams'!$A$4:$A$119,0))*1,0))</f>
        <v/>
      </c>
      <c r="D50" s="28">
        <f>IF($B50="","",6*IFERROR(VLOOKUP(INDEX(' Toto teams'!$B$4:$B$119,MATCH($B50,' Toto teams'!$A$4:$A$119,0)),Scoring!$A$4:$N$51,7,FALSE()),0)+4*IFERROR(VLOOKUP(INDEX(' Toto teams'!$C$4:$C$119,MATCH($B50,' Toto teams'!$A$4:$A$119,0)),Scoring!$A$4:$N$51,7,FALSE()),0)+3*IFERROR(VLOOKUP(INDEX(' Toto teams'!$D$4:$D$119,MATCH($B50,' Toto teams'!$A$4:$A$119,0)),Scoring!$A$4:$N$51,7,FALSE()),0)+2*IFERROR(VLOOKUP(INDEX(' Toto teams'!$E$4:$E$119,MATCH($B50,' Toto teams'!$A$4:$A$119,0)),Scoring!$A$4:$N$51,7,FALSE()),0)+1*IFERROR(VLOOKUP(INDEX(' Toto teams'!$F$4:$F$119,MATCH($B50,' Toto teams'!$A$4:$A$119,0)),Scoring!$A$4:$N$51,7,FALSE()),0)+1*IFERROR(VLOOKUP(INDEX(' Toto teams'!$G$4:$G$119,MATCH($B50,' Toto teams'!$A$4:$A$119,0)),Scoring!$A$4:$N$51,7,FALSE()),0)+1*IFERROR(VLOOKUP(INDEX(' Toto teams'!$H$4:$H$119,MATCH($B50,' Toto teams'!$A$4:$A$119,0)),Scoring!$A$4:$N$51,7,FALSE()),0))</f>
        <v/>
      </c>
      <c r="E50" s="28">
        <f>IF($B50="","",6*IFERROR(VLOOKUP(INDEX(' Toto teams'!$B$4:$B$119,MATCH($B50,' Toto teams'!$A$4:$A$119,0)),Scoring!$A$4:$N$51,8,FALSE()),0)+4*IFERROR(VLOOKUP(INDEX(' Toto teams'!$C$4:$C$119,MATCH($B50,' Toto teams'!$A$4:$A$119,0)),Scoring!$A$4:$N$51,8,FALSE()),0)+3*IFERROR(VLOOKUP(INDEX(' Toto teams'!$D$4:$D$119,MATCH($B50,' Toto teams'!$A$4:$A$119,0)),Scoring!$A$4:$N$51,8,FALSE()),0)+2*IFERROR(VLOOKUP(INDEX(' Toto teams'!$E$4:$E$119,MATCH($B50,' Toto teams'!$A$4:$A$119,0)),Scoring!$A$4:$N$51,8,FALSE()),0)+1*IFERROR(VLOOKUP(INDEX(' Toto teams'!$F$4:$F$119,MATCH($B50,' Toto teams'!$A$4:$A$119,0)),Scoring!$A$4:$N$51,8,FALSE()),0)+1*IFERROR(VLOOKUP(INDEX(' Toto teams'!$G$4:$G$119,MATCH($B50,' Toto teams'!$A$4:$A$119,0)),Scoring!$A$4:$N$51,8,FALSE()),0)+1*IFERROR(VLOOKUP(INDEX(' Toto teams'!$H$4:$H$119,MATCH($B50,' Toto teams'!$A$4:$A$119,0)),Scoring!$A$4:$N$51,8,FALSE()),0))</f>
        <v/>
      </c>
      <c r="F50" s="28">
        <f>IF($B50="","",6*IFERROR(VLOOKUP(INDEX(' Toto teams'!$B$4:$B$119,MATCH($B50,' Toto teams'!$A$4:$A$119,0)),Scoring!$A$4:$N$51,9,FALSE()),0)+4*IFERROR(VLOOKUP(INDEX(' Toto teams'!$C$4:$C$119,MATCH($B50,' Toto teams'!$A$4:$A$119,0)),Scoring!$A$4:$N$51,9,FALSE()),0)+3*IFERROR(VLOOKUP(INDEX(' Toto teams'!$D$4:$D$119,MATCH($B50,' Toto teams'!$A$4:$A$119,0)),Scoring!$A$4:$N$51,9,FALSE()),0)+2*IFERROR(VLOOKUP(INDEX(' Toto teams'!$E$4:$E$119,MATCH($B50,' Toto teams'!$A$4:$A$119,0)),Scoring!$A$4:$N$51,9,FALSE()),0)+1*IFERROR(VLOOKUP(INDEX(' Toto teams'!$F$4:$F$119,MATCH($B50,' Toto teams'!$A$4:$A$119,0)),Scoring!$A$4:$N$51,9,FALSE()),0)+1*IFERROR(VLOOKUP(INDEX(' Toto teams'!$G$4:$G$119,MATCH($B50,' Toto teams'!$A$4:$A$119,0)),Scoring!$A$4:$N$51,9,FALSE()),0)+1*IFERROR(VLOOKUP(INDEX(' Toto teams'!$H$4:$H$119,MATCH($B50,' Toto teams'!$A$4:$A$119,0)),Scoring!$A$4:$N$51,9,FALSE()),0))</f>
        <v/>
      </c>
      <c r="G50" s="28">
        <f>IF($B50="","",6*IFERROR(VLOOKUP(INDEX(' Toto teams'!$B$4:$B$119,MATCH($B50,' Toto teams'!$A$4:$A$119,0)),Scoring!$A$4:$N$51,10,FALSE()),0)+4*IFERROR(VLOOKUP(INDEX(' Toto teams'!$C$4:$C$119,MATCH($B50,' Toto teams'!$A$4:$A$119,0)),Scoring!$A$4:$N$51,10,FALSE()),0)+3*IFERROR(VLOOKUP(INDEX(' Toto teams'!$D$4:$D$119,MATCH($B50,' Toto teams'!$A$4:$A$119,0)),Scoring!$A$4:$N$51,10,FALSE()),0)+2*IFERROR(VLOOKUP(INDEX(' Toto teams'!$E$4:$E$119,MATCH($B50,' Toto teams'!$A$4:$A$119,0)),Scoring!$A$4:$N$51,10,FALSE()),0)+1*IFERROR(VLOOKUP(INDEX(' Toto teams'!$F$4:$F$119,MATCH($B50,' Toto teams'!$A$4:$A$119,0)),Scoring!$A$4:$N$51,10,FALSE()),0)+1*IFERROR(VLOOKUP(INDEX(' Toto teams'!$G$4:$G$119,MATCH($B50,' Toto teams'!$A$4:$A$119,0)),Scoring!$A$4:$N$51,10,FALSE()),0)+1*IFERROR(VLOOKUP(INDEX(' Toto teams'!$H$4:$H$119,MATCH($B50,' Toto teams'!$A$4:$A$119,0)),Scoring!$A$4:$N$51,10,FALSE()),0))</f>
        <v/>
      </c>
      <c r="H50" s="28">
        <f>IF($B50="","",6*IFERROR(VLOOKUP(INDEX(' Toto teams'!$B$4:$B$119,MATCH($B50,' Toto teams'!$A$4:$A$119,0)),Scoring!$A$4:$N$51,11,FALSE()),0)+4*IFERROR(VLOOKUP(INDEX(' Toto teams'!$C$4:$C$119,MATCH($B50,' Toto teams'!$A$4:$A$119,0)),Scoring!$A$4:$N$51,11,FALSE()),0)+3*IFERROR(VLOOKUP(INDEX(' Toto teams'!$D$4:$D$119,MATCH($B50,' Toto teams'!$A$4:$A$119,0)),Scoring!$A$4:$N$51,11,FALSE()),0)+2*IFERROR(VLOOKUP(INDEX(' Toto teams'!$E$4:$E$119,MATCH($B50,' Toto teams'!$A$4:$A$119,0)),Scoring!$A$4:$N$51,11,FALSE()),0)+1*IFERROR(VLOOKUP(INDEX(' Toto teams'!$F$4:$F$119,MATCH($B50,' Toto teams'!$A$4:$A$119,0)),Scoring!$A$4:$N$51,11,FALSE()),0)+1*IFERROR(VLOOKUP(INDEX(' Toto teams'!$G$4:$G$119,MATCH($B50,' Toto teams'!$A$4:$A$119,0)),Scoring!$A$4:$N$51,11,FALSE()),0)+1*IFERROR(VLOOKUP(INDEX(' Toto teams'!$H$4:$H$119,MATCH($B50,' Toto teams'!$A$4:$A$119,0)),Scoring!$A$4:$N$51,11,FALSE()),0))</f>
        <v/>
      </c>
      <c r="I50" s="28">
        <f>IF($B50="","",6*IFERROR(VLOOKUP(INDEX(' Toto teams'!$B$4:$B$119,MATCH($B50,' Toto teams'!$A$4:$A$119,0)),Scoring!$A$4:$O$51,15,FALSE()),0)+4*IFERROR(VLOOKUP(INDEX(' Toto teams'!$C$4:$C$119,MATCH($B50,' Toto teams'!$A$4:$A$119,0)),Scoring!$A$4:$O$51,15,FALSE()),0)+3*IFERROR(VLOOKUP(INDEX(' Toto teams'!$D$4:$D$119,MATCH($B50,' Toto teams'!$A$4:$A$119,0)),Scoring!$A$4:$O$51,15,FALSE()),0)+2*IFERROR(VLOOKUP(INDEX(' Toto teams'!$E$4:$E$119,MATCH($B50,' Toto teams'!$A$4:$A$119,0)),Scoring!$A$4:$O$51,15,FALSE()),0)+1*IFERROR(VLOOKUP(INDEX(' Toto teams'!$F$4:$F$119,MATCH($B50,' Toto teams'!$A$4:$A$119,0)),Scoring!$A$4:$O$51,15,FALSE()),0)+1*IFERROR(VLOOKUP(INDEX(' Toto teams'!$G$4:$G$119,MATCH($B50,' Toto teams'!$A$4:$A$119,0)),Scoring!$A$4:$O$51,15,FALSE()),0)+1*IFERROR(VLOOKUP(INDEX(' Toto teams'!$H$4:$H$119,MATCH($B50,' Toto teams'!$A$4:$A$119,0)),Scoring!$A$4:$O$51,15,FALSE()),0))</f>
        <v/>
      </c>
      <c r="J50" s="28">
        <f>IF($B50="","",6*IFERROR(VLOOKUP(INDEX(' Toto teams'!$B$4:$B$119,MATCH($B50,' Toto teams'!$A$4:$A$119,0)),Scoring!$A$4:$N$51,12,FALSE()),0)+4*IFERROR(VLOOKUP(INDEX(' Toto teams'!$C$4:$C$119,MATCH($B50,' Toto teams'!$A$4:$A$119,0)),Scoring!$A$4:$N$51,12,FALSE()),0)+3*IFERROR(VLOOKUP(INDEX(' Toto teams'!$D$4:$D$119,MATCH($B50,' Toto teams'!$A$4:$A$119,0)),Scoring!$A$4:$N$51,12,FALSE()),0)+2*IFERROR(VLOOKUP(INDEX(' Toto teams'!$E$4:$E$119,MATCH($B50,' Toto teams'!$A$4:$A$119,0)),Scoring!$A$4:$N$51,12,FALSE()),0)+1*IFERROR(VLOOKUP(INDEX(' Toto teams'!$F$4:$F$119,MATCH($B50,' Toto teams'!$A$4:$A$119,0)),Scoring!$A$4:$N$51,12,FALSE()),0)+1*IFERROR(VLOOKUP(INDEX(' Toto teams'!$G$4:$G$119,MATCH($B50,' Toto teams'!$A$4:$A$119,0)),Scoring!$A$4:$N$51,12,FALSE()),0)+1*IFERROR(VLOOKUP(INDEX(' Toto teams'!$H$4:$H$119,MATCH($B50,' Toto teams'!$A$4:$A$119,0)),Scoring!$A$4:$N$51,12,FALSE()),0))</f>
        <v/>
      </c>
      <c r="K50" s="29">
        <f>IF($B50="","",IFERROR(INDEX(' Toto teams'!$R$4:$R$119,MATCH($B50,' Toto teams'!$A$4:$A$119,0)),""))</f>
        <v/>
      </c>
      <c r="L50" s="30">
        <f>IFERROR(IF(B50="","",VLOOKUP(A50,$N$4:$R$12,5,FALSE())),0)</f>
        <v/>
      </c>
    </row>
    <row r="51" ht="12.75" customHeight="1">
      <c r="A51" s="26">
        <f>IF(48&gt;COUNTIF(' Toto teams'!$A$4:$A$119,"&lt;&gt;"),"",INDEX(' Toto teams'!$S$4:$S$119,MATCH(LARGE(' Toto teams'!$T$4:$T$119,48),' Toto teams'!$T$4:$T$119,0)))</f>
        <v/>
      </c>
      <c r="B51" s="27">
        <f>IF(48&gt;COUNTIF(' Toto teams'!$A$4:$A$119,"&lt;&gt;"),"",INDEX(' Toto teams'!$A$4:$A$119,MATCH(LARGE(' Toto teams'!$T$4:$T$119,48),' Toto teams'!$T$4:$T$119,0)))</f>
        <v/>
      </c>
      <c r="C51" s="28">
        <f>IF($B51="","",6*(IFERROR(VLOOKUP(INDEX(' Toto teams'!$B$4:$B$119,MATCH($B51,' Toto teams'!$A$4:$A$119,0)),Scoring!$A$4:$N$51,3,FALSE()),0)+IFERROR(VLOOKUP(INDEX(' Toto teams'!$B$4:$B$119,MATCH($B51,' Toto teams'!$A$4:$A$119,0)),Scoring!$A$4:$N$51,4,FALSE()),0)+IFERROR(VLOOKUP(INDEX(' Toto teams'!$B$4:$B$119,MATCH($B51,' Toto teams'!$A$4:$A$119,0)),Scoring!$A$4:$N$51,5,FALSE()),0))+4*(IFERROR(VLOOKUP(INDEX(' Toto teams'!$C$4:$C$119,MATCH($B51,' Toto teams'!$A$4:$A$119,0)),Scoring!$A$4:$N$51,3,FALSE()),0)+IFERROR(VLOOKUP(INDEX(' Toto teams'!$C$4:$C$119,MATCH($B51,' Toto teams'!$A$4:$A$119,0)),Scoring!$A$4:$N$51,4,FALSE()),0)+IFERROR(VLOOKUP(INDEX(' Toto teams'!$C$4:$C$119,MATCH($B51,' Toto teams'!$A$4:$A$119,0)),Scoring!$A$4:$N$51,5,FALSE()),0))+3*(IFERROR(VLOOKUP(INDEX(' Toto teams'!$D$4:$D$119,MATCH($B51,' Toto teams'!$A$4:$A$119,0)),Scoring!$A$4:$N$51,3,FALSE()),0)+IFERROR(VLOOKUP(INDEX(' Toto teams'!$D$4:$D$119,MATCH($B51,' Toto teams'!$A$4:$A$119,0)),Scoring!$A$4:$N$51,4,FALSE()),0)+IFERROR(VLOOKUP(INDEX(' Toto teams'!$D$4:$D$119,MATCH($B51,' Toto teams'!$A$4:$A$119,0)),Scoring!$A$4:$N$51,5,FALSE()),0))+2*(IFERROR(VLOOKUP(INDEX(' Toto teams'!$E$4:$E$119,MATCH($B51,' Toto teams'!$A$4:$A$119,0)),Scoring!$A$4:$N$51,3,FALSE()),0)+IFERROR(VLOOKUP(INDEX(' Toto teams'!$E$4:$E$119,MATCH($B51,' Toto teams'!$A$4:$A$119,0)),Scoring!$A$4:$N$51,4,FALSE()),0)+IFERROR(VLOOKUP(INDEX(' Toto teams'!$E$4:$E$119,MATCH($B51,' Toto teams'!$A$4:$A$119,0)),Scoring!$A$4:$N$51,5,FALSE()),0))+1*(IFERROR(VLOOKUP(INDEX(' Toto teams'!$F$4:$F$119,MATCH($B51,' Toto teams'!$A$4:$A$119,0)),Scoring!$A$4:$N$51,3,FALSE()),0)+IFERROR(VLOOKUP(INDEX(' Toto teams'!$F$4:$F$119,MATCH($B51,' Toto teams'!$A$4:$A$119,0)),Scoring!$A$4:$N$51,4,FALSE()),0)+IFERROR(VLOOKUP(INDEX(' Toto teams'!$F$4:$F$119,MATCH($B51,' Toto teams'!$A$4:$A$119,0)),Scoring!$A$4:$N$51,5,FALSE()),0))+1*(IFERROR(VLOOKUP(INDEX(' Toto teams'!$G$4:$G$119,MATCH($B51,' Toto teams'!$A$4:$A$119,0)),Scoring!$A$4:$N$51,3,FALSE()),0)+IFERROR(VLOOKUP(INDEX(' Toto teams'!$G$4:$G$119,MATCH($B51,' Toto teams'!$A$4:$A$119,0)),Scoring!$A$4:$N$51,4,FALSE()),0)+IFERROR(VLOOKUP(INDEX(' Toto teams'!$G$4:$G$119,MATCH($B51,' Toto teams'!$A$4:$A$119,0)),Scoring!$A$4:$N$51,5,FALSE()),0))+1*(IFERROR(VLOOKUP(INDEX(' Toto teams'!$H$4:$H$119,MATCH($B51,' Toto teams'!$A$4:$A$119,0)),Scoring!$A$4:$N$51,3,FALSE()),0)+IFERROR(VLOOKUP(INDEX(' Toto teams'!$H$4:$H$119,MATCH($B51,' Toto teams'!$A$4:$A$119,0)),Scoring!$A$4:$N$51,4,FALSE()),0)+IFERROR(VLOOKUP(INDEX(' Toto teams'!$H$4:$H$119,MATCH($B51,' Toto teams'!$A$4:$A$119,0)),Scoring!$A$4:$N$51,5,FALSE()),0))+IFERROR(INDEX(' Toto teams'!$Q$4:$Q$119,MATCH($B51,' Toto teams'!$A$4:$A$119,0))*1,0))</f>
        <v/>
      </c>
      <c r="D51" s="28">
        <f>IF($B51="","",6*IFERROR(VLOOKUP(INDEX(' Toto teams'!$B$4:$B$119,MATCH($B51,' Toto teams'!$A$4:$A$119,0)),Scoring!$A$4:$N$51,7,FALSE()),0)+4*IFERROR(VLOOKUP(INDEX(' Toto teams'!$C$4:$C$119,MATCH($B51,' Toto teams'!$A$4:$A$119,0)),Scoring!$A$4:$N$51,7,FALSE()),0)+3*IFERROR(VLOOKUP(INDEX(' Toto teams'!$D$4:$D$119,MATCH($B51,' Toto teams'!$A$4:$A$119,0)),Scoring!$A$4:$N$51,7,FALSE()),0)+2*IFERROR(VLOOKUP(INDEX(' Toto teams'!$E$4:$E$119,MATCH($B51,' Toto teams'!$A$4:$A$119,0)),Scoring!$A$4:$N$51,7,FALSE()),0)+1*IFERROR(VLOOKUP(INDEX(' Toto teams'!$F$4:$F$119,MATCH($B51,' Toto teams'!$A$4:$A$119,0)),Scoring!$A$4:$N$51,7,FALSE()),0)+1*IFERROR(VLOOKUP(INDEX(' Toto teams'!$G$4:$G$119,MATCH($B51,' Toto teams'!$A$4:$A$119,0)),Scoring!$A$4:$N$51,7,FALSE()),0)+1*IFERROR(VLOOKUP(INDEX(' Toto teams'!$H$4:$H$119,MATCH($B51,' Toto teams'!$A$4:$A$119,0)),Scoring!$A$4:$N$51,7,FALSE()),0))</f>
        <v/>
      </c>
      <c r="E51" s="28">
        <f>IF($B51="","",6*IFERROR(VLOOKUP(INDEX(' Toto teams'!$B$4:$B$119,MATCH($B51,' Toto teams'!$A$4:$A$119,0)),Scoring!$A$4:$N$51,8,FALSE()),0)+4*IFERROR(VLOOKUP(INDEX(' Toto teams'!$C$4:$C$119,MATCH($B51,' Toto teams'!$A$4:$A$119,0)),Scoring!$A$4:$N$51,8,FALSE()),0)+3*IFERROR(VLOOKUP(INDEX(' Toto teams'!$D$4:$D$119,MATCH($B51,' Toto teams'!$A$4:$A$119,0)),Scoring!$A$4:$N$51,8,FALSE()),0)+2*IFERROR(VLOOKUP(INDEX(' Toto teams'!$E$4:$E$119,MATCH($B51,' Toto teams'!$A$4:$A$119,0)),Scoring!$A$4:$N$51,8,FALSE()),0)+1*IFERROR(VLOOKUP(INDEX(' Toto teams'!$F$4:$F$119,MATCH($B51,' Toto teams'!$A$4:$A$119,0)),Scoring!$A$4:$N$51,8,FALSE()),0)+1*IFERROR(VLOOKUP(INDEX(' Toto teams'!$G$4:$G$119,MATCH($B51,' Toto teams'!$A$4:$A$119,0)),Scoring!$A$4:$N$51,8,FALSE()),0)+1*IFERROR(VLOOKUP(INDEX(' Toto teams'!$H$4:$H$119,MATCH($B51,' Toto teams'!$A$4:$A$119,0)),Scoring!$A$4:$N$51,8,FALSE()),0))</f>
        <v/>
      </c>
      <c r="F51" s="28">
        <f>IF($B51="","",6*IFERROR(VLOOKUP(INDEX(' Toto teams'!$B$4:$B$119,MATCH($B51,' Toto teams'!$A$4:$A$119,0)),Scoring!$A$4:$N$51,9,FALSE()),0)+4*IFERROR(VLOOKUP(INDEX(' Toto teams'!$C$4:$C$119,MATCH($B51,' Toto teams'!$A$4:$A$119,0)),Scoring!$A$4:$N$51,9,FALSE()),0)+3*IFERROR(VLOOKUP(INDEX(' Toto teams'!$D$4:$D$119,MATCH($B51,' Toto teams'!$A$4:$A$119,0)),Scoring!$A$4:$N$51,9,FALSE()),0)+2*IFERROR(VLOOKUP(INDEX(' Toto teams'!$E$4:$E$119,MATCH($B51,' Toto teams'!$A$4:$A$119,0)),Scoring!$A$4:$N$51,9,FALSE()),0)+1*IFERROR(VLOOKUP(INDEX(' Toto teams'!$F$4:$F$119,MATCH($B51,' Toto teams'!$A$4:$A$119,0)),Scoring!$A$4:$N$51,9,FALSE()),0)+1*IFERROR(VLOOKUP(INDEX(' Toto teams'!$G$4:$G$119,MATCH($B51,' Toto teams'!$A$4:$A$119,0)),Scoring!$A$4:$N$51,9,FALSE()),0)+1*IFERROR(VLOOKUP(INDEX(' Toto teams'!$H$4:$H$119,MATCH($B51,' Toto teams'!$A$4:$A$119,0)),Scoring!$A$4:$N$51,9,FALSE()),0))</f>
        <v/>
      </c>
      <c r="G51" s="28">
        <f>IF($B51="","",6*IFERROR(VLOOKUP(INDEX(' Toto teams'!$B$4:$B$119,MATCH($B51,' Toto teams'!$A$4:$A$119,0)),Scoring!$A$4:$N$51,10,FALSE()),0)+4*IFERROR(VLOOKUP(INDEX(' Toto teams'!$C$4:$C$119,MATCH($B51,' Toto teams'!$A$4:$A$119,0)),Scoring!$A$4:$N$51,10,FALSE()),0)+3*IFERROR(VLOOKUP(INDEX(' Toto teams'!$D$4:$D$119,MATCH($B51,' Toto teams'!$A$4:$A$119,0)),Scoring!$A$4:$N$51,10,FALSE()),0)+2*IFERROR(VLOOKUP(INDEX(' Toto teams'!$E$4:$E$119,MATCH($B51,' Toto teams'!$A$4:$A$119,0)),Scoring!$A$4:$N$51,10,FALSE()),0)+1*IFERROR(VLOOKUP(INDEX(' Toto teams'!$F$4:$F$119,MATCH($B51,' Toto teams'!$A$4:$A$119,0)),Scoring!$A$4:$N$51,10,FALSE()),0)+1*IFERROR(VLOOKUP(INDEX(' Toto teams'!$G$4:$G$119,MATCH($B51,' Toto teams'!$A$4:$A$119,0)),Scoring!$A$4:$N$51,10,FALSE()),0)+1*IFERROR(VLOOKUP(INDEX(' Toto teams'!$H$4:$H$119,MATCH($B51,' Toto teams'!$A$4:$A$119,0)),Scoring!$A$4:$N$51,10,FALSE()),0))</f>
        <v/>
      </c>
      <c r="H51" s="28">
        <f>IF($B51="","",6*IFERROR(VLOOKUP(INDEX(' Toto teams'!$B$4:$B$119,MATCH($B51,' Toto teams'!$A$4:$A$119,0)),Scoring!$A$4:$N$51,11,FALSE()),0)+4*IFERROR(VLOOKUP(INDEX(' Toto teams'!$C$4:$C$119,MATCH($B51,' Toto teams'!$A$4:$A$119,0)),Scoring!$A$4:$N$51,11,FALSE()),0)+3*IFERROR(VLOOKUP(INDEX(' Toto teams'!$D$4:$D$119,MATCH($B51,' Toto teams'!$A$4:$A$119,0)),Scoring!$A$4:$N$51,11,FALSE()),0)+2*IFERROR(VLOOKUP(INDEX(' Toto teams'!$E$4:$E$119,MATCH($B51,' Toto teams'!$A$4:$A$119,0)),Scoring!$A$4:$N$51,11,FALSE()),0)+1*IFERROR(VLOOKUP(INDEX(' Toto teams'!$F$4:$F$119,MATCH($B51,' Toto teams'!$A$4:$A$119,0)),Scoring!$A$4:$N$51,11,FALSE()),0)+1*IFERROR(VLOOKUP(INDEX(' Toto teams'!$G$4:$G$119,MATCH($B51,' Toto teams'!$A$4:$A$119,0)),Scoring!$A$4:$N$51,11,FALSE()),0)+1*IFERROR(VLOOKUP(INDEX(' Toto teams'!$H$4:$H$119,MATCH($B51,' Toto teams'!$A$4:$A$119,0)),Scoring!$A$4:$N$51,11,FALSE()),0))</f>
        <v/>
      </c>
      <c r="I51" s="28">
        <f>IF($B51="","",6*IFERROR(VLOOKUP(INDEX(' Toto teams'!$B$4:$B$119,MATCH($B51,' Toto teams'!$A$4:$A$119,0)),Scoring!$A$4:$O$51,15,FALSE()),0)+4*IFERROR(VLOOKUP(INDEX(' Toto teams'!$C$4:$C$119,MATCH($B51,' Toto teams'!$A$4:$A$119,0)),Scoring!$A$4:$O$51,15,FALSE()),0)+3*IFERROR(VLOOKUP(INDEX(' Toto teams'!$D$4:$D$119,MATCH($B51,' Toto teams'!$A$4:$A$119,0)),Scoring!$A$4:$O$51,15,FALSE()),0)+2*IFERROR(VLOOKUP(INDEX(' Toto teams'!$E$4:$E$119,MATCH($B51,' Toto teams'!$A$4:$A$119,0)),Scoring!$A$4:$O$51,15,FALSE()),0)+1*IFERROR(VLOOKUP(INDEX(' Toto teams'!$F$4:$F$119,MATCH($B51,' Toto teams'!$A$4:$A$119,0)),Scoring!$A$4:$O$51,15,FALSE()),0)+1*IFERROR(VLOOKUP(INDEX(' Toto teams'!$G$4:$G$119,MATCH($B51,' Toto teams'!$A$4:$A$119,0)),Scoring!$A$4:$O$51,15,FALSE()),0)+1*IFERROR(VLOOKUP(INDEX(' Toto teams'!$H$4:$H$119,MATCH($B51,' Toto teams'!$A$4:$A$119,0)),Scoring!$A$4:$O$51,15,FALSE()),0))</f>
        <v/>
      </c>
      <c r="J51" s="28">
        <f>IF($B51="","",6*IFERROR(VLOOKUP(INDEX(' Toto teams'!$B$4:$B$119,MATCH($B51,' Toto teams'!$A$4:$A$119,0)),Scoring!$A$4:$N$51,12,FALSE()),0)+4*IFERROR(VLOOKUP(INDEX(' Toto teams'!$C$4:$C$119,MATCH($B51,' Toto teams'!$A$4:$A$119,0)),Scoring!$A$4:$N$51,12,FALSE()),0)+3*IFERROR(VLOOKUP(INDEX(' Toto teams'!$D$4:$D$119,MATCH($B51,' Toto teams'!$A$4:$A$119,0)),Scoring!$A$4:$N$51,12,FALSE()),0)+2*IFERROR(VLOOKUP(INDEX(' Toto teams'!$E$4:$E$119,MATCH($B51,' Toto teams'!$A$4:$A$119,0)),Scoring!$A$4:$N$51,12,FALSE()),0)+1*IFERROR(VLOOKUP(INDEX(' Toto teams'!$F$4:$F$119,MATCH($B51,' Toto teams'!$A$4:$A$119,0)),Scoring!$A$4:$N$51,12,FALSE()),0)+1*IFERROR(VLOOKUP(INDEX(' Toto teams'!$G$4:$G$119,MATCH($B51,' Toto teams'!$A$4:$A$119,0)),Scoring!$A$4:$N$51,12,FALSE()),0)+1*IFERROR(VLOOKUP(INDEX(' Toto teams'!$H$4:$H$119,MATCH($B51,' Toto teams'!$A$4:$A$119,0)),Scoring!$A$4:$N$51,12,FALSE()),0))</f>
        <v/>
      </c>
      <c r="K51" s="29">
        <f>IF($B51="","",IFERROR(INDEX(' Toto teams'!$R$4:$R$119,MATCH($B51,' Toto teams'!$A$4:$A$119,0)),""))</f>
        <v/>
      </c>
      <c r="L51" s="30">
        <f>IFERROR(IF(B51="","",VLOOKUP(A51,$N$4:$R$12,5,FALSE())),0)</f>
        <v/>
      </c>
    </row>
    <row r="52" ht="12.75" customHeight="1">
      <c r="A52" s="26">
        <f>IF(49&gt;COUNTIF(' Toto teams'!$A$4:$A$119,"&lt;&gt;"),"",INDEX(' Toto teams'!$S$4:$S$119,MATCH(LARGE(' Toto teams'!$T$4:$T$119,49),' Toto teams'!$T$4:$T$119,0)))</f>
        <v/>
      </c>
      <c r="B52" s="27">
        <f>IF(49&gt;COUNTIF(' Toto teams'!$A$4:$A$119,"&lt;&gt;"),"",INDEX(' Toto teams'!$A$4:$A$119,MATCH(LARGE(' Toto teams'!$T$4:$T$119,49),' Toto teams'!$T$4:$T$119,0)))</f>
        <v/>
      </c>
      <c r="C52" s="28">
        <f>IF($B52="","",6*(IFERROR(VLOOKUP(INDEX(' Toto teams'!$B$4:$B$119,MATCH($B52,' Toto teams'!$A$4:$A$119,0)),Scoring!$A$4:$N$51,3,FALSE()),0)+IFERROR(VLOOKUP(INDEX(' Toto teams'!$B$4:$B$119,MATCH($B52,' Toto teams'!$A$4:$A$119,0)),Scoring!$A$4:$N$51,4,FALSE()),0)+IFERROR(VLOOKUP(INDEX(' Toto teams'!$B$4:$B$119,MATCH($B52,' Toto teams'!$A$4:$A$119,0)),Scoring!$A$4:$N$51,5,FALSE()),0))+4*(IFERROR(VLOOKUP(INDEX(' Toto teams'!$C$4:$C$119,MATCH($B52,' Toto teams'!$A$4:$A$119,0)),Scoring!$A$4:$N$51,3,FALSE()),0)+IFERROR(VLOOKUP(INDEX(' Toto teams'!$C$4:$C$119,MATCH($B52,' Toto teams'!$A$4:$A$119,0)),Scoring!$A$4:$N$51,4,FALSE()),0)+IFERROR(VLOOKUP(INDEX(' Toto teams'!$C$4:$C$119,MATCH($B52,' Toto teams'!$A$4:$A$119,0)),Scoring!$A$4:$N$51,5,FALSE()),0))+3*(IFERROR(VLOOKUP(INDEX(' Toto teams'!$D$4:$D$119,MATCH($B52,' Toto teams'!$A$4:$A$119,0)),Scoring!$A$4:$N$51,3,FALSE()),0)+IFERROR(VLOOKUP(INDEX(' Toto teams'!$D$4:$D$119,MATCH($B52,' Toto teams'!$A$4:$A$119,0)),Scoring!$A$4:$N$51,4,FALSE()),0)+IFERROR(VLOOKUP(INDEX(' Toto teams'!$D$4:$D$119,MATCH($B52,' Toto teams'!$A$4:$A$119,0)),Scoring!$A$4:$N$51,5,FALSE()),0))+2*(IFERROR(VLOOKUP(INDEX(' Toto teams'!$E$4:$E$119,MATCH($B52,' Toto teams'!$A$4:$A$119,0)),Scoring!$A$4:$N$51,3,FALSE()),0)+IFERROR(VLOOKUP(INDEX(' Toto teams'!$E$4:$E$119,MATCH($B52,' Toto teams'!$A$4:$A$119,0)),Scoring!$A$4:$N$51,4,FALSE()),0)+IFERROR(VLOOKUP(INDEX(' Toto teams'!$E$4:$E$119,MATCH($B52,' Toto teams'!$A$4:$A$119,0)),Scoring!$A$4:$N$51,5,FALSE()),0))+1*(IFERROR(VLOOKUP(INDEX(' Toto teams'!$F$4:$F$119,MATCH($B52,' Toto teams'!$A$4:$A$119,0)),Scoring!$A$4:$N$51,3,FALSE()),0)+IFERROR(VLOOKUP(INDEX(' Toto teams'!$F$4:$F$119,MATCH($B52,' Toto teams'!$A$4:$A$119,0)),Scoring!$A$4:$N$51,4,FALSE()),0)+IFERROR(VLOOKUP(INDEX(' Toto teams'!$F$4:$F$119,MATCH($B52,' Toto teams'!$A$4:$A$119,0)),Scoring!$A$4:$N$51,5,FALSE()),0))+1*(IFERROR(VLOOKUP(INDEX(' Toto teams'!$G$4:$G$119,MATCH($B52,' Toto teams'!$A$4:$A$119,0)),Scoring!$A$4:$N$51,3,FALSE()),0)+IFERROR(VLOOKUP(INDEX(' Toto teams'!$G$4:$G$119,MATCH($B52,' Toto teams'!$A$4:$A$119,0)),Scoring!$A$4:$N$51,4,FALSE()),0)+IFERROR(VLOOKUP(INDEX(' Toto teams'!$G$4:$G$119,MATCH($B52,' Toto teams'!$A$4:$A$119,0)),Scoring!$A$4:$N$51,5,FALSE()),0))+1*(IFERROR(VLOOKUP(INDEX(' Toto teams'!$H$4:$H$119,MATCH($B52,' Toto teams'!$A$4:$A$119,0)),Scoring!$A$4:$N$51,3,FALSE()),0)+IFERROR(VLOOKUP(INDEX(' Toto teams'!$H$4:$H$119,MATCH($B52,' Toto teams'!$A$4:$A$119,0)),Scoring!$A$4:$N$51,4,FALSE()),0)+IFERROR(VLOOKUP(INDEX(' Toto teams'!$H$4:$H$119,MATCH($B52,' Toto teams'!$A$4:$A$119,0)),Scoring!$A$4:$N$51,5,FALSE()),0))+IFERROR(INDEX(' Toto teams'!$Q$4:$Q$119,MATCH($B52,' Toto teams'!$A$4:$A$119,0))*1,0))</f>
        <v/>
      </c>
      <c r="D52" s="28">
        <f>IF($B52="","",6*IFERROR(VLOOKUP(INDEX(' Toto teams'!$B$4:$B$119,MATCH($B52,' Toto teams'!$A$4:$A$119,0)),Scoring!$A$4:$N$51,7,FALSE()),0)+4*IFERROR(VLOOKUP(INDEX(' Toto teams'!$C$4:$C$119,MATCH($B52,' Toto teams'!$A$4:$A$119,0)),Scoring!$A$4:$N$51,7,FALSE()),0)+3*IFERROR(VLOOKUP(INDEX(' Toto teams'!$D$4:$D$119,MATCH($B52,' Toto teams'!$A$4:$A$119,0)),Scoring!$A$4:$N$51,7,FALSE()),0)+2*IFERROR(VLOOKUP(INDEX(' Toto teams'!$E$4:$E$119,MATCH($B52,' Toto teams'!$A$4:$A$119,0)),Scoring!$A$4:$N$51,7,FALSE()),0)+1*IFERROR(VLOOKUP(INDEX(' Toto teams'!$F$4:$F$119,MATCH($B52,' Toto teams'!$A$4:$A$119,0)),Scoring!$A$4:$N$51,7,FALSE()),0)+1*IFERROR(VLOOKUP(INDEX(' Toto teams'!$G$4:$G$119,MATCH($B52,' Toto teams'!$A$4:$A$119,0)),Scoring!$A$4:$N$51,7,FALSE()),0)+1*IFERROR(VLOOKUP(INDEX(' Toto teams'!$H$4:$H$119,MATCH($B52,' Toto teams'!$A$4:$A$119,0)),Scoring!$A$4:$N$51,7,FALSE()),0))</f>
        <v/>
      </c>
      <c r="E52" s="28">
        <f>IF($B52="","",6*IFERROR(VLOOKUP(INDEX(' Toto teams'!$B$4:$B$119,MATCH($B52,' Toto teams'!$A$4:$A$119,0)),Scoring!$A$4:$N$51,8,FALSE()),0)+4*IFERROR(VLOOKUP(INDEX(' Toto teams'!$C$4:$C$119,MATCH($B52,' Toto teams'!$A$4:$A$119,0)),Scoring!$A$4:$N$51,8,FALSE()),0)+3*IFERROR(VLOOKUP(INDEX(' Toto teams'!$D$4:$D$119,MATCH($B52,' Toto teams'!$A$4:$A$119,0)),Scoring!$A$4:$N$51,8,FALSE()),0)+2*IFERROR(VLOOKUP(INDEX(' Toto teams'!$E$4:$E$119,MATCH($B52,' Toto teams'!$A$4:$A$119,0)),Scoring!$A$4:$N$51,8,FALSE()),0)+1*IFERROR(VLOOKUP(INDEX(' Toto teams'!$F$4:$F$119,MATCH($B52,' Toto teams'!$A$4:$A$119,0)),Scoring!$A$4:$N$51,8,FALSE()),0)+1*IFERROR(VLOOKUP(INDEX(' Toto teams'!$G$4:$G$119,MATCH($B52,' Toto teams'!$A$4:$A$119,0)),Scoring!$A$4:$N$51,8,FALSE()),0)+1*IFERROR(VLOOKUP(INDEX(' Toto teams'!$H$4:$H$119,MATCH($B52,' Toto teams'!$A$4:$A$119,0)),Scoring!$A$4:$N$51,8,FALSE()),0))</f>
        <v/>
      </c>
      <c r="F52" s="28">
        <f>IF($B52="","",6*IFERROR(VLOOKUP(INDEX(' Toto teams'!$B$4:$B$119,MATCH($B52,' Toto teams'!$A$4:$A$119,0)),Scoring!$A$4:$N$51,9,FALSE()),0)+4*IFERROR(VLOOKUP(INDEX(' Toto teams'!$C$4:$C$119,MATCH($B52,' Toto teams'!$A$4:$A$119,0)),Scoring!$A$4:$N$51,9,FALSE()),0)+3*IFERROR(VLOOKUP(INDEX(' Toto teams'!$D$4:$D$119,MATCH($B52,' Toto teams'!$A$4:$A$119,0)),Scoring!$A$4:$N$51,9,FALSE()),0)+2*IFERROR(VLOOKUP(INDEX(' Toto teams'!$E$4:$E$119,MATCH($B52,' Toto teams'!$A$4:$A$119,0)),Scoring!$A$4:$N$51,9,FALSE()),0)+1*IFERROR(VLOOKUP(INDEX(' Toto teams'!$F$4:$F$119,MATCH($B52,' Toto teams'!$A$4:$A$119,0)),Scoring!$A$4:$N$51,9,FALSE()),0)+1*IFERROR(VLOOKUP(INDEX(' Toto teams'!$G$4:$G$119,MATCH($B52,' Toto teams'!$A$4:$A$119,0)),Scoring!$A$4:$N$51,9,FALSE()),0)+1*IFERROR(VLOOKUP(INDEX(' Toto teams'!$H$4:$H$119,MATCH($B52,' Toto teams'!$A$4:$A$119,0)),Scoring!$A$4:$N$51,9,FALSE()),0))</f>
        <v/>
      </c>
      <c r="G52" s="28">
        <f>IF($B52="","",6*IFERROR(VLOOKUP(INDEX(' Toto teams'!$B$4:$B$119,MATCH($B52,' Toto teams'!$A$4:$A$119,0)),Scoring!$A$4:$N$51,10,FALSE()),0)+4*IFERROR(VLOOKUP(INDEX(' Toto teams'!$C$4:$C$119,MATCH($B52,' Toto teams'!$A$4:$A$119,0)),Scoring!$A$4:$N$51,10,FALSE()),0)+3*IFERROR(VLOOKUP(INDEX(' Toto teams'!$D$4:$D$119,MATCH($B52,' Toto teams'!$A$4:$A$119,0)),Scoring!$A$4:$N$51,10,FALSE()),0)+2*IFERROR(VLOOKUP(INDEX(' Toto teams'!$E$4:$E$119,MATCH($B52,' Toto teams'!$A$4:$A$119,0)),Scoring!$A$4:$N$51,10,FALSE()),0)+1*IFERROR(VLOOKUP(INDEX(' Toto teams'!$F$4:$F$119,MATCH($B52,' Toto teams'!$A$4:$A$119,0)),Scoring!$A$4:$N$51,10,FALSE()),0)+1*IFERROR(VLOOKUP(INDEX(' Toto teams'!$G$4:$G$119,MATCH($B52,' Toto teams'!$A$4:$A$119,0)),Scoring!$A$4:$N$51,10,FALSE()),0)+1*IFERROR(VLOOKUP(INDEX(' Toto teams'!$H$4:$H$119,MATCH($B52,' Toto teams'!$A$4:$A$119,0)),Scoring!$A$4:$N$51,10,FALSE()),0))</f>
        <v/>
      </c>
      <c r="H52" s="28">
        <f>IF($B52="","",6*IFERROR(VLOOKUP(INDEX(' Toto teams'!$B$4:$B$119,MATCH($B52,' Toto teams'!$A$4:$A$119,0)),Scoring!$A$4:$N$51,11,FALSE()),0)+4*IFERROR(VLOOKUP(INDEX(' Toto teams'!$C$4:$C$119,MATCH($B52,' Toto teams'!$A$4:$A$119,0)),Scoring!$A$4:$N$51,11,FALSE()),0)+3*IFERROR(VLOOKUP(INDEX(' Toto teams'!$D$4:$D$119,MATCH($B52,' Toto teams'!$A$4:$A$119,0)),Scoring!$A$4:$N$51,11,FALSE()),0)+2*IFERROR(VLOOKUP(INDEX(' Toto teams'!$E$4:$E$119,MATCH($B52,' Toto teams'!$A$4:$A$119,0)),Scoring!$A$4:$N$51,11,FALSE()),0)+1*IFERROR(VLOOKUP(INDEX(' Toto teams'!$F$4:$F$119,MATCH($B52,' Toto teams'!$A$4:$A$119,0)),Scoring!$A$4:$N$51,11,FALSE()),0)+1*IFERROR(VLOOKUP(INDEX(' Toto teams'!$G$4:$G$119,MATCH($B52,' Toto teams'!$A$4:$A$119,0)),Scoring!$A$4:$N$51,11,FALSE()),0)+1*IFERROR(VLOOKUP(INDEX(' Toto teams'!$H$4:$H$119,MATCH($B52,' Toto teams'!$A$4:$A$119,0)),Scoring!$A$4:$N$51,11,FALSE()),0))</f>
        <v/>
      </c>
      <c r="I52" s="28">
        <f>IF($B52="","",6*IFERROR(VLOOKUP(INDEX(' Toto teams'!$B$4:$B$119,MATCH($B52,' Toto teams'!$A$4:$A$119,0)),Scoring!$A$4:$O$51,15,FALSE()),0)+4*IFERROR(VLOOKUP(INDEX(' Toto teams'!$C$4:$C$119,MATCH($B52,' Toto teams'!$A$4:$A$119,0)),Scoring!$A$4:$O$51,15,FALSE()),0)+3*IFERROR(VLOOKUP(INDEX(' Toto teams'!$D$4:$D$119,MATCH($B52,' Toto teams'!$A$4:$A$119,0)),Scoring!$A$4:$O$51,15,FALSE()),0)+2*IFERROR(VLOOKUP(INDEX(' Toto teams'!$E$4:$E$119,MATCH($B52,' Toto teams'!$A$4:$A$119,0)),Scoring!$A$4:$O$51,15,FALSE()),0)+1*IFERROR(VLOOKUP(INDEX(' Toto teams'!$F$4:$F$119,MATCH($B52,' Toto teams'!$A$4:$A$119,0)),Scoring!$A$4:$O$51,15,FALSE()),0)+1*IFERROR(VLOOKUP(INDEX(' Toto teams'!$G$4:$G$119,MATCH($B52,' Toto teams'!$A$4:$A$119,0)),Scoring!$A$4:$O$51,15,FALSE()),0)+1*IFERROR(VLOOKUP(INDEX(' Toto teams'!$H$4:$H$119,MATCH($B52,' Toto teams'!$A$4:$A$119,0)),Scoring!$A$4:$O$51,15,FALSE()),0))</f>
        <v/>
      </c>
      <c r="J52" s="28">
        <f>IF($B52="","",6*IFERROR(VLOOKUP(INDEX(' Toto teams'!$B$4:$B$119,MATCH($B52,' Toto teams'!$A$4:$A$119,0)),Scoring!$A$4:$N$51,12,FALSE()),0)+4*IFERROR(VLOOKUP(INDEX(' Toto teams'!$C$4:$C$119,MATCH($B52,' Toto teams'!$A$4:$A$119,0)),Scoring!$A$4:$N$51,12,FALSE()),0)+3*IFERROR(VLOOKUP(INDEX(' Toto teams'!$D$4:$D$119,MATCH($B52,' Toto teams'!$A$4:$A$119,0)),Scoring!$A$4:$N$51,12,FALSE()),0)+2*IFERROR(VLOOKUP(INDEX(' Toto teams'!$E$4:$E$119,MATCH($B52,' Toto teams'!$A$4:$A$119,0)),Scoring!$A$4:$N$51,12,FALSE()),0)+1*IFERROR(VLOOKUP(INDEX(' Toto teams'!$F$4:$F$119,MATCH($B52,' Toto teams'!$A$4:$A$119,0)),Scoring!$A$4:$N$51,12,FALSE()),0)+1*IFERROR(VLOOKUP(INDEX(' Toto teams'!$G$4:$G$119,MATCH($B52,' Toto teams'!$A$4:$A$119,0)),Scoring!$A$4:$N$51,12,FALSE()),0)+1*IFERROR(VLOOKUP(INDEX(' Toto teams'!$H$4:$H$119,MATCH($B52,' Toto teams'!$A$4:$A$119,0)),Scoring!$A$4:$N$51,12,FALSE()),0))</f>
        <v/>
      </c>
      <c r="K52" s="29">
        <f>IF($B52="","",IFERROR(INDEX(' Toto teams'!$R$4:$R$119,MATCH($B52,' Toto teams'!$A$4:$A$119,0)),""))</f>
        <v/>
      </c>
      <c r="L52" s="30">
        <f>IFERROR(IF(B52="","",VLOOKUP(A52,$N$4:$R$12,5,FALSE())),0)</f>
        <v/>
      </c>
    </row>
    <row r="53" ht="12.75" customHeight="1">
      <c r="A53" s="26">
        <f>IF(50&gt;COUNTIF(' Toto teams'!$A$4:$A$119,"&lt;&gt;"),"",INDEX(' Toto teams'!$S$4:$S$119,MATCH(LARGE(' Toto teams'!$T$4:$T$119,50),' Toto teams'!$T$4:$T$119,0)))</f>
        <v/>
      </c>
      <c r="B53" s="27">
        <f>IF(50&gt;COUNTIF(' Toto teams'!$A$4:$A$119,"&lt;&gt;"),"",INDEX(' Toto teams'!$A$4:$A$119,MATCH(LARGE(' Toto teams'!$T$4:$T$119,50),' Toto teams'!$T$4:$T$119,0)))</f>
        <v/>
      </c>
      <c r="C53" s="28">
        <f>IF($B53="","",6*(IFERROR(VLOOKUP(INDEX(' Toto teams'!$B$4:$B$119,MATCH($B53,' Toto teams'!$A$4:$A$119,0)),Scoring!$A$4:$N$51,3,FALSE()),0)+IFERROR(VLOOKUP(INDEX(' Toto teams'!$B$4:$B$119,MATCH($B53,' Toto teams'!$A$4:$A$119,0)),Scoring!$A$4:$N$51,4,FALSE()),0)+IFERROR(VLOOKUP(INDEX(' Toto teams'!$B$4:$B$119,MATCH($B53,' Toto teams'!$A$4:$A$119,0)),Scoring!$A$4:$N$51,5,FALSE()),0))+4*(IFERROR(VLOOKUP(INDEX(' Toto teams'!$C$4:$C$119,MATCH($B53,' Toto teams'!$A$4:$A$119,0)),Scoring!$A$4:$N$51,3,FALSE()),0)+IFERROR(VLOOKUP(INDEX(' Toto teams'!$C$4:$C$119,MATCH($B53,' Toto teams'!$A$4:$A$119,0)),Scoring!$A$4:$N$51,4,FALSE()),0)+IFERROR(VLOOKUP(INDEX(' Toto teams'!$C$4:$C$119,MATCH($B53,' Toto teams'!$A$4:$A$119,0)),Scoring!$A$4:$N$51,5,FALSE()),0))+3*(IFERROR(VLOOKUP(INDEX(' Toto teams'!$D$4:$D$119,MATCH($B53,' Toto teams'!$A$4:$A$119,0)),Scoring!$A$4:$N$51,3,FALSE()),0)+IFERROR(VLOOKUP(INDEX(' Toto teams'!$D$4:$D$119,MATCH($B53,' Toto teams'!$A$4:$A$119,0)),Scoring!$A$4:$N$51,4,FALSE()),0)+IFERROR(VLOOKUP(INDEX(' Toto teams'!$D$4:$D$119,MATCH($B53,' Toto teams'!$A$4:$A$119,0)),Scoring!$A$4:$N$51,5,FALSE()),0))+2*(IFERROR(VLOOKUP(INDEX(' Toto teams'!$E$4:$E$119,MATCH($B53,' Toto teams'!$A$4:$A$119,0)),Scoring!$A$4:$N$51,3,FALSE()),0)+IFERROR(VLOOKUP(INDEX(' Toto teams'!$E$4:$E$119,MATCH($B53,' Toto teams'!$A$4:$A$119,0)),Scoring!$A$4:$N$51,4,FALSE()),0)+IFERROR(VLOOKUP(INDEX(' Toto teams'!$E$4:$E$119,MATCH($B53,' Toto teams'!$A$4:$A$119,0)),Scoring!$A$4:$N$51,5,FALSE()),0))+1*(IFERROR(VLOOKUP(INDEX(' Toto teams'!$F$4:$F$119,MATCH($B53,' Toto teams'!$A$4:$A$119,0)),Scoring!$A$4:$N$51,3,FALSE()),0)+IFERROR(VLOOKUP(INDEX(' Toto teams'!$F$4:$F$119,MATCH($B53,' Toto teams'!$A$4:$A$119,0)),Scoring!$A$4:$N$51,4,FALSE()),0)+IFERROR(VLOOKUP(INDEX(' Toto teams'!$F$4:$F$119,MATCH($B53,' Toto teams'!$A$4:$A$119,0)),Scoring!$A$4:$N$51,5,FALSE()),0))+1*(IFERROR(VLOOKUP(INDEX(' Toto teams'!$G$4:$G$119,MATCH($B53,' Toto teams'!$A$4:$A$119,0)),Scoring!$A$4:$N$51,3,FALSE()),0)+IFERROR(VLOOKUP(INDEX(' Toto teams'!$G$4:$G$119,MATCH($B53,' Toto teams'!$A$4:$A$119,0)),Scoring!$A$4:$N$51,4,FALSE()),0)+IFERROR(VLOOKUP(INDEX(' Toto teams'!$G$4:$G$119,MATCH($B53,' Toto teams'!$A$4:$A$119,0)),Scoring!$A$4:$N$51,5,FALSE()),0))+1*(IFERROR(VLOOKUP(INDEX(' Toto teams'!$H$4:$H$119,MATCH($B53,' Toto teams'!$A$4:$A$119,0)),Scoring!$A$4:$N$51,3,FALSE()),0)+IFERROR(VLOOKUP(INDEX(' Toto teams'!$H$4:$H$119,MATCH($B53,' Toto teams'!$A$4:$A$119,0)),Scoring!$A$4:$N$51,4,FALSE()),0)+IFERROR(VLOOKUP(INDEX(' Toto teams'!$H$4:$H$119,MATCH($B53,' Toto teams'!$A$4:$A$119,0)),Scoring!$A$4:$N$51,5,FALSE()),0))+IFERROR(INDEX(' Toto teams'!$Q$4:$Q$119,MATCH($B53,' Toto teams'!$A$4:$A$119,0))*1,0))</f>
        <v/>
      </c>
      <c r="D53" s="28">
        <f>IF($B53="","",6*IFERROR(VLOOKUP(INDEX(' Toto teams'!$B$4:$B$119,MATCH($B53,' Toto teams'!$A$4:$A$119,0)),Scoring!$A$4:$N$51,7,FALSE()),0)+4*IFERROR(VLOOKUP(INDEX(' Toto teams'!$C$4:$C$119,MATCH($B53,' Toto teams'!$A$4:$A$119,0)),Scoring!$A$4:$N$51,7,FALSE()),0)+3*IFERROR(VLOOKUP(INDEX(' Toto teams'!$D$4:$D$119,MATCH($B53,' Toto teams'!$A$4:$A$119,0)),Scoring!$A$4:$N$51,7,FALSE()),0)+2*IFERROR(VLOOKUP(INDEX(' Toto teams'!$E$4:$E$119,MATCH($B53,' Toto teams'!$A$4:$A$119,0)),Scoring!$A$4:$N$51,7,FALSE()),0)+1*IFERROR(VLOOKUP(INDEX(' Toto teams'!$F$4:$F$119,MATCH($B53,' Toto teams'!$A$4:$A$119,0)),Scoring!$A$4:$N$51,7,FALSE()),0)+1*IFERROR(VLOOKUP(INDEX(' Toto teams'!$G$4:$G$119,MATCH($B53,' Toto teams'!$A$4:$A$119,0)),Scoring!$A$4:$N$51,7,FALSE()),0)+1*IFERROR(VLOOKUP(INDEX(' Toto teams'!$H$4:$H$119,MATCH($B53,' Toto teams'!$A$4:$A$119,0)),Scoring!$A$4:$N$51,7,FALSE()),0))</f>
        <v/>
      </c>
      <c r="E53" s="28">
        <f>IF($B53="","",6*IFERROR(VLOOKUP(INDEX(' Toto teams'!$B$4:$B$119,MATCH($B53,' Toto teams'!$A$4:$A$119,0)),Scoring!$A$4:$N$51,8,FALSE()),0)+4*IFERROR(VLOOKUP(INDEX(' Toto teams'!$C$4:$C$119,MATCH($B53,' Toto teams'!$A$4:$A$119,0)),Scoring!$A$4:$N$51,8,FALSE()),0)+3*IFERROR(VLOOKUP(INDEX(' Toto teams'!$D$4:$D$119,MATCH($B53,' Toto teams'!$A$4:$A$119,0)),Scoring!$A$4:$N$51,8,FALSE()),0)+2*IFERROR(VLOOKUP(INDEX(' Toto teams'!$E$4:$E$119,MATCH($B53,' Toto teams'!$A$4:$A$119,0)),Scoring!$A$4:$N$51,8,FALSE()),0)+1*IFERROR(VLOOKUP(INDEX(' Toto teams'!$F$4:$F$119,MATCH($B53,' Toto teams'!$A$4:$A$119,0)),Scoring!$A$4:$N$51,8,FALSE()),0)+1*IFERROR(VLOOKUP(INDEX(' Toto teams'!$G$4:$G$119,MATCH($B53,' Toto teams'!$A$4:$A$119,0)),Scoring!$A$4:$N$51,8,FALSE()),0)+1*IFERROR(VLOOKUP(INDEX(' Toto teams'!$H$4:$H$119,MATCH($B53,' Toto teams'!$A$4:$A$119,0)),Scoring!$A$4:$N$51,8,FALSE()),0))</f>
        <v/>
      </c>
      <c r="F53" s="28">
        <f>IF($B53="","",6*IFERROR(VLOOKUP(INDEX(' Toto teams'!$B$4:$B$119,MATCH($B53,' Toto teams'!$A$4:$A$119,0)),Scoring!$A$4:$N$51,9,FALSE()),0)+4*IFERROR(VLOOKUP(INDEX(' Toto teams'!$C$4:$C$119,MATCH($B53,' Toto teams'!$A$4:$A$119,0)),Scoring!$A$4:$N$51,9,FALSE()),0)+3*IFERROR(VLOOKUP(INDEX(' Toto teams'!$D$4:$D$119,MATCH($B53,' Toto teams'!$A$4:$A$119,0)),Scoring!$A$4:$N$51,9,FALSE()),0)+2*IFERROR(VLOOKUP(INDEX(' Toto teams'!$E$4:$E$119,MATCH($B53,' Toto teams'!$A$4:$A$119,0)),Scoring!$A$4:$N$51,9,FALSE()),0)+1*IFERROR(VLOOKUP(INDEX(' Toto teams'!$F$4:$F$119,MATCH($B53,' Toto teams'!$A$4:$A$119,0)),Scoring!$A$4:$N$51,9,FALSE()),0)+1*IFERROR(VLOOKUP(INDEX(' Toto teams'!$G$4:$G$119,MATCH($B53,' Toto teams'!$A$4:$A$119,0)),Scoring!$A$4:$N$51,9,FALSE()),0)+1*IFERROR(VLOOKUP(INDEX(' Toto teams'!$H$4:$H$119,MATCH($B53,' Toto teams'!$A$4:$A$119,0)),Scoring!$A$4:$N$51,9,FALSE()),0))</f>
        <v/>
      </c>
      <c r="G53" s="28">
        <f>IF($B53="","",6*IFERROR(VLOOKUP(INDEX(' Toto teams'!$B$4:$B$119,MATCH($B53,' Toto teams'!$A$4:$A$119,0)),Scoring!$A$4:$N$51,10,FALSE()),0)+4*IFERROR(VLOOKUP(INDEX(' Toto teams'!$C$4:$C$119,MATCH($B53,' Toto teams'!$A$4:$A$119,0)),Scoring!$A$4:$N$51,10,FALSE()),0)+3*IFERROR(VLOOKUP(INDEX(' Toto teams'!$D$4:$D$119,MATCH($B53,' Toto teams'!$A$4:$A$119,0)),Scoring!$A$4:$N$51,10,FALSE()),0)+2*IFERROR(VLOOKUP(INDEX(' Toto teams'!$E$4:$E$119,MATCH($B53,' Toto teams'!$A$4:$A$119,0)),Scoring!$A$4:$N$51,10,FALSE()),0)+1*IFERROR(VLOOKUP(INDEX(' Toto teams'!$F$4:$F$119,MATCH($B53,' Toto teams'!$A$4:$A$119,0)),Scoring!$A$4:$N$51,10,FALSE()),0)+1*IFERROR(VLOOKUP(INDEX(' Toto teams'!$G$4:$G$119,MATCH($B53,' Toto teams'!$A$4:$A$119,0)),Scoring!$A$4:$N$51,10,FALSE()),0)+1*IFERROR(VLOOKUP(INDEX(' Toto teams'!$H$4:$H$119,MATCH($B53,' Toto teams'!$A$4:$A$119,0)),Scoring!$A$4:$N$51,10,FALSE()),0))</f>
        <v/>
      </c>
      <c r="H53" s="28">
        <f>IF($B53="","",6*IFERROR(VLOOKUP(INDEX(' Toto teams'!$B$4:$B$119,MATCH($B53,' Toto teams'!$A$4:$A$119,0)),Scoring!$A$4:$N$51,11,FALSE()),0)+4*IFERROR(VLOOKUP(INDEX(' Toto teams'!$C$4:$C$119,MATCH($B53,' Toto teams'!$A$4:$A$119,0)),Scoring!$A$4:$N$51,11,FALSE()),0)+3*IFERROR(VLOOKUP(INDEX(' Toto teams'!$D$4:$D$119,MATCH($B53,' Toto teams'!$A$4:$A$119,0)),Scoring!$A$4:$N$51,11,FALSE()),0)+2*IFERROR(VLOOKUP(INDEX(' Toto teams'!$E$4:$E$119,MATCH($B53,' Toto teams'!$A$4:$A$119,0)),Scoring!$A$4:$N$51,11,FALSE()),0)+1*IFERROR(VLOOKUP(INDEX(' Toto teams'!$F$4:$F$119,MATCH($B53,' Toto teams'!$A$4:$A$119,0)),Scoring!$A$4:$N$51,11,FALSE()),0)+1*IFERROR(VLOOKUP(INDEX(' Toto teams'!$G$4:$G$119,MATCH($B53,' Toto teams'!$A$4:$A$119,0)),Scoring!$A$4:$N$51,11,FALSE()),0)+1*IFERROR(VLOOKUP(INDEX(' Toto teams'!$H$4:$H$119,MATCH($B53,' Toto teams'!$A$4:$A$119,0)),Scoring!$A$4:$N$51,11,FALSE()),0))</f>
        <v/>
      </c>
      <c r="I53" s="28">
        <f>IF($B53="","",6*IFERROR(VLOOKUP(INDEX(' Toto teams'!$B$4:$B$119,MATCH($B53,' Toto teams'!$A$4:$A$119,0)),Scoring!$A$4:$O$51,15,FALSE()),0)+4*IFERROR(VLOOKUP(INDEX(' Toto teams'!$C$4:$C$119,MATCH($B53,' Toto teams'!$A$4:$A$119,0)),Scoring!$A$4:$O$51,15,FALSE()),0)+3*IFERROR(VLOOKUP(INDEX(' Toto teams'!$D$4:$D$119,MATCH($B53,' Toto teams'!$A$4:$A$119,0)),Scoring!$A$4:$O$51,15,FALSE()),0)+2*IFERROR(VLOOKUP(INDEX(' Toto teams'!$E$4:$E$119,MATCH($B53,' Toto teams'!$A$4:$A$119,0)),Scoring!$A$4:$O$51,15,FALSE()),0)+1*IFERROR(VLOOKUP(INDEX(' Toto teams'!$F$4:$F$119,MATCH($B53,' Toto teams'!$A$4:$A$119,0)),Scoring!$A$4:$O$51,15,FALSE()),0)+1*IFERROR(VLOOKUP(INDEX(' Toto teams'!$G$4:$G$119,MATCH($B53,' Toto teams'!$A$4:$A$119,0)),Scoring!$A$4:$O$51,15,FALSE()),0)+1*IFERROR(VLOOKUP(INDEX(' Toto teams'!$H$4:$H$119,MATCH($B53,' Toto teams'!$A$4:$A$119,0)),Scoring!$A$4:$O$51,15,FALSE()),0))</f>
        <v/>
      </c>
      <c r="J53" s="28">
        <f>IF($B53="","",6*IFERROR(VLOOKUP(INDEX(' Toto teams'!$B$4:$B$119,MATCH($B53,' Toto teams'!$A$4:$A$119,0)),Scoring!$A$4:$N$51,12,FALSE()),0)+4*IFERROR(VLOOKUP(INDEX(' Toto teams'!$C$4:$C$119,MATCH($B53,' Toto teams'!$A$4:$A$119,0)),Scoring!$A$4:$N$51,12,FALSE()),0)+3*IFERROR(VLOOKUP(INDEX(' Toto teams'!$D$4:$D$119,MATCH($B53,' Toto teams'!$A$4:$A$119,0)),Scoring!$A$4:$N$51,12,FALSE()),0)+2*IFERROR(VLOOKUP(INDEX(' Toto teams'!$E$4:$E$119,MATCH($B53,' Toto teams'!$A$4:$A$119,0)),Scoring!$A$4:$N$51,12,FALSE()),0)+1*IFERROR(VLOOKUP(INDEX(' Toto teams'!$F$4:$F$119,MATCH($B53,' Toto teams'!$A$4:$A$119,0)),Scoring!$A$4:$N$51,12,FALSE()),0)+1*IFERROR(VLOOKUP(INDEX(' Toto teams'!$G$4:$G$119,MATCH($B53,' Toto teams'!$A$4:$A$119,0)),Scoring!$A$4:$N$51,12,FALSE()),0)+1*IFERROR(VLOOKUP(INDEX(' Toto teams'!$H$4:$H$119,MATCH($B53,' Toto teams'!$A$4:$A$119,0)),Scoring!$A$4:$N$51,12,FALSE()),0))</f>
        <v/>
      </c>
      <c r="K53" s="29">
        <f>IF($B53="","",IFERROR(INDEX(' Toto teams'!$R$4:$R$119,MATCH($B53,' Toto teams'!$A$4:$A$119,0)),""))</f>
        <v/>
      </c>
      <c r="L53" s="30">
        <f>IFERROR(IF(B53="","",VLOOKUP(A53,$N$4:$R$12,5,FALSE())),0)</f>
        <v/>
      </c>
    </row>
    <row r="54" ht="12.75" customHeight="1">
      <c r="A54" s="26">
        <f>IF(51&gt;COUNTIF(' Toto teams'!$A$4:$A$119,"&lt;&gt;"),"",INDEX(' Toto teams'!$S$4:$S$119,MATCH(LARGE(' Toto teams'!$T$4:$T$119,51),' Toto teams'!$T$4:$T$119,0)))</f>
        <v/>
      </c>
      <c r="B54" s="27">
        <f>IF(51&gt;COUNTIF(' Toto teams'!$A$4:$A$119,"&lt;&gt;"),"",INDEX(' Toto teams'!$A$4:$A$119,MATCH(LARGE(' Toto teams'!$T$4:$T$119,51),' Toto teams'!$T$4:$T$119,0)))</f>
        <v/>
      </c>
      <c r="C54" s="28">
        <f>IF($B54="","",6*(IFERROR(VLOOKUP(INDEX(' Toto teams'!$B$4:$B$119,MATCH($B54,' Toto teams'!$A$4:$A$119,0)),Scoring!$A$4:$N$51,3,FALSE()),0)+IFERROR(VLOOKUP(INDEX(' Toto teams'!$B$4:$B$119,MATCH($B54,' Toto teams'!$A$4:$A$119,0)),Scoring!$A$4:$N$51,4,FALSE()),0)+IFERROR(VLOOKUP(INDEX(' Toto teams'!$B$4:$B$119,MATCH($B54,' Toto teams'!$A$4:$A$119,0)),Scoring!$A$4:$N$51,5,FALSE()),0))+4*(IFERROR(VLOOKUP(INDEX(' Toto teams'!$C$4:$C$119,MATCH($B54,' Toto teams'!$A$4:$A$119,0)),Scoring!$A$4:$N$51,3,FALSE()),0)+IFERROR(VLOOKUP(INDEX(' Toto teams'!$C$4:$C$119,MATCH($B54,' Toto teams'!$A$4:$A$119,0)),Scoring!$A$4:$N$51,4,FALSE()),0)+IFERROR(VLOOKUP(INDEX(' Toto teams'!$C$4:$C$119,MATCH($B54,' Toto teams'!$A$4:$A$119,0)),Scoring!$A$4:$N$51,5,FALSE()),0))+3*(IFERROR(VLOOKUP(INDEX(' Toto teams'!$D$4:$D$119,MATCH($B54,' Toto teams'!$A$4:$A$119,0)),Scoring!$A$4:$N$51,3,FALSE()),0)+IFERROR(VLOOKUP(INDEX(' Toto teams'!$D$4:$D$119,MATCH($B54,' Toto teams'!$A$4:$A$119,0)),Scoring!$A$4:$N$51,4,FALSE()),0)+IFERROR(VLOOKUP(INDEX(' Toto teams'!$D$4:$D$119,MATCH($B54,' Toto teams'!$A$4:$A$119,0)),Scoring!$A$4:$N$51,5,FALSE()),0))+2*(IFERROR(VLOOKUP(INDEX(' Toto teams'!$E$4:$E$119,MATCH($B54,' Toto teams'!$A$4:$A$119,0)),Scoring!$A$4:$N$51,3,FALSE()),0)+IFERROR(VLOOKUP(INDEX(' Toto teams'!$E$4:$E$119,MATCH($B54,' Toto teams'!$A$4:$A$119,0)),Scoring!$A$4:$N$51,4,FALSE()),0)+IFERROR(VLOOKUP(INDEX(' Toto teams'!$E$4:$E$119,MATCH($B54,' Toto teams'!$A$4:$A$119,0)),Scoring!$A$4:$N$51,5,FALSE()),0))+1*(IFERROR(VLOOKUP(INDEX(' Toto teams'!$F$4:$F$119,MATCH($B54,' Toto teams'!$A$4:$A$119,0)),Scoring!$A$4:$N$51,3,FALSE()),0)+IFERROR(VLOOKUP(INDEX(' Toto teams'!$F$4:$F$119,MATCH($B54,' Toto teams'!$A$4:$A$119,0)),Scoring!$A$4:$N$51,4,FALSE()),0)+IFERROR(VLOOKUP(INDEX(' Toto teams'!$F$4:$F$119,MATCH($B54,' Toto teams'!$A$4:$A$119,0)),Scoring!$A$4:$N$51,5,FALSE()),0))+1*(IFERROR(VLOOKUP(INDEX(' Toto teams'!$G$4:$G$119,MATCH($B54,' Toto teams'!$A$4:$A$119,0)),Scoring!$A$4:$N$51,3,FALSE()),0)+IFERROR(VLOOKUP(INDEX(' Toto teams'!$G$4:$G$119,MATCH($B54,' Toto teams'!$A$4:$A$119,0)),Scoring!$A$4:$N$51,4,FALSE()),0)+IFERROR(VLOOKUP(INDEX(' Toto teams'!$G$4:$G$119,MATCH($B54,' Toto teams'!$A$4:$A$119,0)),Scoring!$A$4:$N$51,5,FALSE()),0))+1*(IFERROR(VLOOKUP(INDEX(' Toto teams'!$H$4:$H$119,MATCH($B54,' Toto teams'!$A$4:$A$119,0)),Scoring!$A$4:$N$51,3,FALSE()),0)+IFERROR(VLOOKUP(INDEX(' Toto teams'!$H$4:$H$119,MATCH($B54,' Toto teams'!$A$4:$A$119,0)),Scoring!$A$4:$N$51,4,FALSE()),0)+IFERROR(VLOOKUP(INDEX(' Toto teams'!$H$4:$H$119,MATCH($B54,' Toto teams'!$A$4:$A$119,0)),Scoring!$A$4:$N$51,5,FALSE()),0))+IFERROR(INDEX(' Toto teams'!$Q$4:$Q$119,MATCH($B54,' Toto teams'!$A$4:$A$119,0))*1,0))</f>
        <v/>
      </c>
      <c r="D54" s="28">
        <f>IF($B54="","",6*IFERROR(VLOOKUP(INDEX(' Toto teams'!$B$4:$B$119,MATCH($B54,' Toto teams'!$A$4:$A$119,0)),Scoring!$A$4:$N$51,7,FALSE()),0)+4*IFERROR(VLOOKUP(INDEX(' Toto teams'!$C$4:$C$119,MATCH($B54,' Toto teams'!$A$4:$A$119,0)),Scoring!$A$4:$N$51,7,FALSE()),0)+3*IFERROR(VLOOKUP(INDEX(' Toto teams'!$D$4:$D$119,MATCH($B54,' Toto teams'!$A$4:$A$119,0)),Scoring!$A$4:$N$51,7,FALSE()),0)+2*IFERROR(VLOOKUP(INDEX(' Toto teams'!$E$4:$E$119,MATCH($B54,' Toto teams'!$A$4:$A$119,0)),Scoring!$A$4:$N$51,7,FALSE()),0)+1*IFERROR(VLOOKUP(INDEX(' Toto teams'!$F$4:$F$119,MATCH($B54,' Toto teams'!$A$4:$A$119,0)),Scoring!$A$4:$N$51,7,FALSE()),0)+1*IFERROR(VLOOKUP(INDEX(' Toto teams'!$G$4:$G$119,MATCH($B54,' Toto teams'!$A$4:$A$119,0)),Scoring!$A$4:$N$51,7,FALSE()),0)+1*IFERROR(VLOOKUP(INDEX(' Toto teams'!$H$4:$H$119,MATCH($B54,' Toto teams'!$A$4:$A$119,0)),Scoring!$A$4:$N$51,7,FALSE()),0))</f>
        <v/>
      </c>
      <c r="E54" s="28">
        <f>IF($B54="","",6*IFERROR(VLOOKUP(INDEX(' Toto teams'!$B$4:$B$119,MATCH($B54,' Toto teams'!$A$4:$A$119,0)),Scoring!$A$4:$N$51,8,FALSE()),0)+4*IFERROR(VLOOKUP(INDEX(' Toto teams'!$C$4:$C$119,MATCH($B54,' Toto teams'!$A$4:$A$119,0)),Scoring!$A$4:$N$51,8,FALSE()),0)+3*IFERROR(VLOOKUP(INDEX(' Toto teams'!$D$4:$D$119,MATCH($B54,' Toto teams'!$A$4:$A$119,0)),Scoring!$A$4:$N$51,8,FALSE()),0)+2*IFERROR(VLOOKUP(INDEX(' Toto teams'!$E$4:$E$119,MATCH($B54,' Toto teams'!$A$4:$A$119,0)),Scoring!$A$4:$N$51,8,FALSE()),0)+1*IFERROR(VLOOKUP(INDEX(' Toto teams'!$F$4:$F$119,MATCH($B54,' Toto teams'!$A$4:$A$119,0)),Scoring!$A$4:$N$51,8,FALSE()),0)+1*IFERROR(VLOOKUP(INDEX(' Toto teams'!$G$4:$G$119,MATCH($B54,' Toto teams'!$A$4:$A$119,0)),Scoring!$A$4:$N$51,8,FALSE()),0)+1*IFERROR(VLOOKUP(INDEX(' Toto teams'!$H$4:$H$119,MATCH($B54,' Toto teams'!$A$4:$A$119,0)),Scoring!$A$4:$N$51,8,FALSE()),0))</f>
        <v/>
      </c>
      <c r="F54" s="28">
        <f>IF($B54="","",6*IFERROR(VLOOKUP(INDEX(' Toto teams'!$B$4:$B$119,MATCH($B54,' Toto teams'!$A$4:$A$119,0)),Scoring!$A$4:$N$51,9,FALSE()),0)+4*IFERROR(VLOOKUP(INDEX(' Toto teams'!$C$4:$C$119,MATCH($B54,' Toto teams'!$A$4:$A$119,0)),Scoring!$A$4:$N$51,9,FALSE()),0)+3*IFERROR(VLOOKUP(INDEX(' Toto teams'!$D$4:$D$119,MATCH($B54,' Toto teams'!$A$4:$A$119,0)),Scoring!$A$4:$N$51,9,FALSE()),0)+2*IFERROR(VLOOKUP(INDEX(' Toto teams'!$E$4:$E$119,MATCH($B54,' Toto teams'!$A$4:$A$119,0)),Scoring!$A$4:$N$51,9,FALSE()),0)+1*IFERROR(VLOOKUP(INDEX(' Toto teams'!$F$4:$F$119,MATCH($B54,' Toto teams'!$A$4:$A$119,0)),Scoring!$A$4:$N$51,9,FALSE()),0)+1*IFERROR(VLOOKUP(INDEX(' Toto teams'!$G$4:$G$119,MATCH($B54,' Toto teams'!$A$4:$A$119,0)),Scoring!$A$4:$N$51,9,FALSE()),0)+1*IFERROR(VLOOKUP(INDEX(' Toto teams'!$H$4:$H$119,MATCH($B54,' Toto teams'!$A$4:$A$119,0)),Scoring!$A$4:$N$51,9,FALSE()),0))</f>
        <v/>
      </c>
      <c r="G54" s="28">
        <f>IF($B54="","",6*IFERROR(VLOOKUP(INDEX(' Toto teams'!$B$4:$B$119,MATCH($B54,' Toto teams'!$A$4:$A$119,0)),Scoring!$A$4:$N$51,10,FALSE()),0)+4*IFERROR(VLOOKUP(INDEX(' Toto teams'!$C$4:$C$119,MATCH($B54,' Toto teams'!$A$4:$A$119,0)),Scoring!$A$4:$N$51,10,FALSE()),0)+3*IFERROR(VLOOKUP(INDEX(' Toto teams'!$D$4:$D$119,MATCH($B54,' Toto teams'!$A$4:$A$119,0)),Scoring!$A$4:$N$51,10,FALSE()),0)+2*IFERROR(VLOOKUP(INDEX(' Toto teams'!$E$4:$E$119,MATCH($B54,' Toto teams'!$A$4:$A$119,0)),Scoring!$A$4:$N$51,10,FALSE()),0)+1*IFERROR(VLOOKUP(INDEX(' Toto teams'!$F$4:$F$119,MATCH($B54,' Toto teams'!$A$4:$A$119,0)),Scoring!$A$4:$N$51,10,FALSE()),0)+1*IFERROR(VLOOKUP(INDEX(' Toto teams'!$G$4:$G$119,MATCH($B54,' Toto teams'!$A$4:$A$119,0)),Scoring!$A$4:$N$51,10,FALSE()),0)+1*IFERROR(VLOOKUP(INDEX(' Toto teams'!$H$4:$H$119,MATCH($B54,' Toto teams'!$A$4:$A$119,0)),Scoring!$A$4:$N$51,10,FALSE()),0))</f>
        <v/>
      </c>
      <c r="H54" s="28">
        <f>IF($B54="","",6*IFERROR(VLOOKUP(INDEX(' Toto teams'!$B$4:$B$119,MATCH($B54,' Toto teams'!$A$4:$A$119,0)),Scoring!$A$4:$N$51,11,FALSE()),0)+4*IFERROR(VLOOKUP(INDEX(' Toto teams'!$C$4:$C$119,MATCH($B54,' Toto teams'!$A$4:$A$119,0)),Scoring!$A$4:$N$51,11,FALSE()),0)+3*IFERROR(VLOOKUP(INDEX(' Toto teams'!$D$4:$D$119,MATCH($B54,' Toto teams'!$A$4:$A$119,0)),Scoring!$A$4:$N$51,11,FALSE()),0)+2*IFERROR(VLOOKUP(INDEX(' Toto teams'!$E$4:$E$119,MATCH($B54,' Toto teams'!$A$4:$A$119,0)),Scoring!$A$4:$N$51,11,FALSE()),0)+1*IFERROR(VLOOKUP(INDEX(' Toto teams'!$F$4:$F$119,MATCH($B54,' Toto teams'!$A$4:$A$119,0)),Scoring!$A$4:$N$51,11,FALSE()),0)+1*IFERROR(VLOOKUP(INDEX(' Toto teams'!$G$4:$G$119,MATCH($B54,' Toto teams'!$A$4:$A$119,0)),Scoring!$A$4:$N$51,11,FALSE()),0)+1*IFERROR(VLOOKUP(INDEX(' Toto teams'!$H$4:$H$119,MATCH($B54,' Toto teams'!$A$4:$A$119,0)),Scoring!$A$4:$N$51,11,FALSE()),0))</f>
        <v/>
      </c>
      <c r="I54" s="28">
        <f>IF($B54="","",6*IFERROR(VLOOKUP(INDEX(' Toto teams'!$B$4:$B$119,MATCH($B54,' Toto teams'!$A$4:$A$119,0)),Scoring!$A$4:$O$51,15,FALSE()),0)+4*IFERROR(VLOOKUP(INDEX(' Toto teams'!$C$4:$C$119,MATCH($B54,' Toto teams'!$A$4:$A$119,0)),Scoring!$A$4:$O$51,15,FALSE()),0)+3*IFERROR(VLOOKUP(INDEX(' Toto teams'!$D$4:$D$119,MATCH($B54,' Toto teams'!$A$4:$A$119,0)),Scoring!$A$4:$O$51,15,FALSE()),0)+2*IFERROR(VLOOKUP(INDEX(' Toto teams'!$E$4:$E$119,MATCH($B54,' Toto teams'!$A$4:$A$119,0)),Scoring!$A$4:$O$51,15,FALSE()),0)+1*IFERROR(VLOOKUP(INDEX(' Toto teams'!$F$4:$F$119,MATCH($B54,' Toto teams'!$A$4:$A$119,0)),Scoring!$A$4:$O$51,15,FALSE()),0)+1*IFERROR(VLOOKUP(INDEX(' Toto teams'!$G$4:$G$119,MATCH($B54,' Toto teams'!$A$4:$A$119,0)),Scoring!$A$4:$O$51,15,FALSE()),0)+1*IFERROR(VLOOKUP(INDEX(' Toto teams'!$H$4:$H$119,MATCH($B54,' Toto teams'!$A$4:$A$119,0)),Scoring!$A$4:$O$51,15,FALSE()),0))</f>
        <v/>
      </c>
      <c r="J54" s="28">
        <f>IF($B54="","",6*IFERROR(VLOOKUP(INDEX(' Toto teams'!$B$4:$B$119,MATCH($B54,' Toto teams'!$A$4:$A$119,0)),Scoring!$A$4:$N$51,12,FALSE()),0)+4*IFERROR(VLOOKUP(INDEX(' Toto teams'!$C$4:$C$119,MATCH($B54,' Toto teams'!$A$4:$A$119,0)),Scoring!$A$4:$N$51,12,FALSE()),0)+3*IFERROR(VLOOKUP(INDEX(' Toto teams'!$D$4:$D$119,MATCH($B54,' Toto teams'!$A$4:$A$119,0)),Scoring!$A$4:$N$51,12,FALSE()),0)+2*IFERROR(VLOOKUP(INDEX(' Toto teams'!$E$4:$E$119,MATCH($B54,' Toto teams'!$A$4:$A$119,0)),Scoring!$A$4:$N$51,12,FALSE()),0)+1*IFERROR(VLOOKUP(INDEX(' Toto teams'!$F$4:$F$119,MATCH($B54,' Toto teams'!$A$4:$A$119,0)),Scoring!$A$4:$N$51,12,FALSE()),0)+1*IFERROR(VLOOKUP(INDEX(' Toto teams'!$G$4:$G$119,MATCH($B54,' Toto teams'!$A$4:$A$119,0)),Scoring!$A$4:$N$51,12,FALSE()),0)+1*IFERROR(VLOOKUP(INDEX(' Toto teams'!$H$4:$H$119,MATCH($B54,' Toto teams'!$A$4:$A$119,0)),Scoring!$A$4:$N$51,12,FALSE()),0))</f>
        <v/>
      </c>
      <c r="K54" s="29">
        <f>IF($B54="","",IFERROR(INDEX(' Toto teams'!$R$4:$R$119,MATCH($B54,' Toto teams'!$A$4:$A$119,0)),""))</f>
        <v/>
      </c>
      <c r="L54" s="30">
        <f>IFERROR(IF(B54="","",VLOOKUP(A54,$N$4:$R$12,5,FALSE())),0)</f>
        <v/>
      </c>
    </row>
    <row r="55" ht="12.75" customHeight="1">
      <c r="A55" s="26">
        <f>IF(52&gt;COUNTIF(' Toto teams'!$A$4:$A$119,"&lt;&gt;"),"",INDEX(' Toto teams'!$S$4:$S$119,MATCH(LARGE(' Toto teams'!$T$4:$T$119,52),' Toto teams'!$T$4:$T$119,0)))</f>
        <v/>
      </c>
      <c r="B55" s="27">
        <f>IF(52&gt;COUNTIF(' Toto teams'!$A$4:$A$119,"&lt;&gt;"),"",INDEX(' Toto teams'!$A$4:$A$119,MATCH(LARGE(' Toto teams'!$T$4:$T$119,52),' Toto teams'!$T$4:$T$119,0)))</f>
        <v/>
      </c>
      <c r="C55" s="28">
        <f>IF($B55="","",6*(IFERROR(VLOOKUP(INDEX(' Toto teams'!$B$4:$B$119,MATCH($B55,' Toto teams'!$A$4:$A$119,0)),Scoring!$A$4:$N$51,3,FALSE()),0)+IFERROR(VLOOKUP(INDEX(' Toto teams'!$B$4:$B$119,MATCH($B55,' Toto teams'!$A$4:$A$119,0)),Scoring!$A$4:$N$51,4,FALSE()),0)+IFERROR(VLOOKUP(INDEX(' Toto teams'!$B$4:$B$119,MATCH($B55,' Toto teams'!$A$4:$A$119,0)),Scoring!$A$4:$N$51,5,FALSE()),0))+4*(IFERROR(VLOOKUP(INDEX(' Toto teams'!$C$4:$C$119,MATCH($B55,' Toto teams'!$A$4:$A$119,0)),Scoring!$A$4:$N$51,3,FALSE()),0)+IFERROR(VLOOKUP(INDEX(' Toto teams'!$C$4:$C$119,MATCH($B55,' Toto teams'!$A$4:$A$119,0)),Scoring!$A$4:$N$51,4,FALSE()),0)+IFERROR(VLOOKUP(INDEX(' Toto teams'!$C$4:$C$119,MATCH($B55,' Toto teams'!$A$4:$A$119,0)),Scoring!$A$4:$N$51,5,FALSE()),0))+3*(IFERROR(VLOOKUP(INDEX(' Toto teams'!$D$4:$D$119,MATCH($B55,' Toto teams'!$A$4:$A$119,0)),Scoring!$A$4:$N$51,3,FALSE()),0)+IFERROR(VLOOKUP(INDEX(' Toto teams'!$D$4:$D$119,MATCH($B55,' Toto teams'!$A$4:$A$119,0)),Scoring!$A$4:$N$51,4,FALSE()),0)+IFERROR(VLOOKUP(INDEX(' Toto teams'!$D$4:$D$119,MATCH($B55,' Toto teams'!$A$4:$A$119,0)),Scoring!$A$4:$N$51,5,FALSE()),0))+2*(IFERROR(VLOOKUP(INDEX(' Toto teams'!$E$4:$E$119,MATCH($B55,' Toto teams'!$A$4:$A$119,0)),Scoring!$A$4:$N$51,3,FALSE()),0)+IFERROR(VLOOKUP(INDEX(' Toto teams'!$E$4:$E$119,MATCH($B55,' Toto teams'!$A$4:$A$119,0)),Scoring!$A$4:$N$51,4,FALSE()),0)+IFERROR(VLOOKUP(INDEX(' Toto teams'!$E$4:$E$119,MATCH($B55,' Toto teams'!$A$4:$A$119,0)),Scoring!$A$4:$N$51,5,FALSE()),0))+1*(IFERROR(VLOOKUP(INDEX(' Toto teams'!$F$4:$F$119,MATCH($B55,' Toto teams'!$A$4:$A$119,0)),Scoring!$A$4:$N$51,3,FALSE()),0)+IFERROR(VLOOKUP(INDEX(' Toto teams'!$F$4:$F$119,MATCH($B55,' Toto teams'!$A$4:$A$119,0)),Scoring!$A$4:$N$51,4,FALSE()),0)+IFERROR(VLOOKUP(INDEX(' Toto teams'!$F$4:$F$119,MATCH($B55,' Toto teams'!$A$4:$A$119,0)),Scoring!$A$4:$N$51,5,FALSE()),0))+1*(IFERROR(VLOOKUP(INDEX(' Toto teams'!$G$4:$G$119,MATCH($B55,' Toto teams'!$A$4:$A$119,0)),Scoring!$A$4:$N$51,3,FALSE()),0)+IFERROR(VLOOKUP(INDEX(' Toto teams'!$G$4:$G$119,MATCH($B55,' Toto teams'!$A$4:$A$119,0)),Scoring!$A$4:$N$51,4,FALSE()),0)+IFERROR(VLOOKUP(INDEX(' Toto teams'!$G$4:$G$119,MATCH($B55,' Toto teams'!$A$4:$A$119,0)),Scoring!$A$4:$N$51,5,FALSE()),0))+1*(IFERROR(VLOOKUP(INDEX(' Toto teams'!$H$4:$H$119,MATCH($B55,' Toto teams'!$A$4:$A$119,0)),Scoring!$A$4:$N$51,3,FALSE()),0)+IFERROR(VLOOKUP(INDEX(' Toto teams'!$H$4:$H$119,MATCH($B55,' Toto teams'!$A$4:$A$119,0)),Scoring!$A$4:$N$51,4,FALSE()),0)+IFERROR(VLOOKUP(INDEX(' Toto teams'!$H$4:$H$119,MATCH($B55,' Toto teams'!$A$4:$A$119,0)),Scoring!$A$4:$N$51,5,FALSE()),0))+IFERROR(INDEX(' Toto teams'!$Q$4:$Q$119,MATCH($B55,' Toto teams'!$A$4:$A$119,0))*1,0))</f>
        <v/>
      </c>
      <c r="D55" s="28">
        <f>IF($B55="","",6*IFERROR(VLOOKUP(INDEX(' Toto teams'!$B$4:$B$119,MATCH($B55,' Toto teams'!$A$4:$A$119,0)),Scoring!$A$4:$N$51,7,FALSE()),0)+4*IFERROR(VLOOKUP(INDEX(' Toto teams'!$C$4:$C$119,MATCH($B55,' Toto teams'!$A$4:$A$119,0)),Scoring!$A$4:$N$51,7,FALSE()),0)+3*IFERROR(VLOOKUP(INDEX(' Toto teams'!$D$4:$D$119,MATCH($B55,' Toto teams'!$A$4:$A$119,0)),Scoring!$A$4:$N$51,7,FALSE()),0)+2*IFERROR(VLOOKUP(INDEX(' Toto teams'!$E$4:$E$119,MATCH($B55,' Toto teams'!$A$4:$A$119,0)),Scoring!$A$4:$N$51,7,FALSE()),0)+1*IFERROR(VLOOKUP(INDEX(' Toto teams'!$F$4:$F$119,MATCH($B55,' Toto teams'!$A$4:$A$119,0)),Scoring!$A$4:$N$51,7,FALSE()),0)+1*IFERROR(VLOOKUP(INDEX(' Toto teams'!$G$4:$G$119,MATCH($B55,' Toto teams'!$A$4:$A$119,0)),Scoring!$A$4:$N$51,7,FALSE()),0)+1*IFERROR(VLOOKUP(INDEX(' Toto teams'!$H$4:$H$119,MATCH($B55,' Toto teams'!$A$4:$A$119,0)),Scoring!$A$4:$N$51,7,FALSE()),0))</f>
        <v/>
      </c>
      <c r="E55" s="28">
        <f>IF($B55="","",6*IFERROR(VLOOKUP(INDEX(' Toto teams'!$B$4:$B$119,MATCH($B55,' Toto teams'!$A$4:$A$119,0)),Scoring!$A$4:$N$51,8,FALSE()),0)+4*IFERROR(VLOOKUP(INDEX(' Toto teams'!$C$4:$C$119,MATCH($B55,' Toto teams'!$A$4:$A$119,0)),Scoring!$A$4:$N$51,8,FALSE()),0)+3*IFERROR(VLOOKUP(INDEX(' Toto teams'!$D$4:$D$119,MATCH($B55,' Toto teams'!$A$4:$A$119,0)),Scoring!$A$4:$N$51,8,FALSE()),0)+2*IFERROR(VLOOKUP(INDEX(' Toto teams'!$E$4:$E$119,MATCH($B55,' Toto teams'!$A$4:$A$119,0)),Scoring!$A$4:$N$51,8,FALSE()),0)+1*IFERROR(VLOOKUP(INDEX(' Toto teams'!$F$4:$F$119,MATCH($B55,' Toto teams'!$A$4:$A$119,0)),Scoring!$A$4:$N$51,8,FALSE()),0)+1*IFERROR(VLOOKUP(INDEX(' Toto teams'!$G$4:$G$119,MATCH($B55,' Toto teams'!$A$4:$A$119,0)),Scoring!$A$4:$N$51,8,FALSE()),0)+1*IFERROR(VLOOKUP(INDEX(' Toto teams'!$H$4:$H$119,MATCH($B55,' Toto teams'!$A$4:$A$119,0)),Scoring!$A$4:$N$51,8,FALSE()),0))</f>
        <v/>
      </c>
      <c r="F55" s="28">
        <f>IF($B55="","",6*IFERROR(VLOOKUP(INDEX(' Toto teams'!$B$4:$B$119,MATCH($B55,' Toto teams'!$A$4:$A$119,0)),Scoring!$A$4:$N$51,9,FALSE()),0)+4*IFERROR(VLOOKUP(INDEX(' Toto teams'!$C$4:$C$119,MATCH($B55,' Toto teams'!$A$4:$A$119,0)),Scoring!$A$4:$N$51,9,FALSE()),0)+3*IFERROR(VLOOKUP(INDEX(' Toto teams'!$D$4:$D$119,MATCH($B55,' Toto teams'!$A$4:$A$119,0)),Scoring!$A$4:$N$51,9,FALSE()),0)+2*IFERROR(VLOOKUP(INDEX(' Toto teams'!$E$4:$E$119,MATCH($B55,' Toto teams'!$A$4:$A$119,0)),Scoring!$A$4:$N$51,9,FALSE()),0)+1*IFERROR(VLOOKUP(INDEX(' Toto teams'!$F$4:$F$119,MATCH($B55,' Toto teams'!$A$4:$A$119,0)),Scoring!$A$4:$N$51,9,FALSE()),0)+1*IFERROR(VLOOKUP(INDEX(' Toto teams'!$G$4:$G$119,MATCH($B55,' Toto teams'!$A$4:$A$119,0)),Scoring!$A$4:$N$51,9,FALSE()),0)+1*IFERROR(VLOOKUP(INDEX(' Toto teams'!$H$4:$H$119,MATCH($B55,' Toto teams'!$A$4:$A$119,0)),Scoring!$A$4:$N$51,9,FALSE()),0))</f>
        <v/>
      </c>
      <c r="G55" s="28">
        <f>IF($B55="","",6*IFERROR(VLOOKUP(INDEX(' Toto teams'!$B$4:$B$119,MATCH($B55,' Toto teams'!$A$4:$A$119,0)),Scoring!$A$4:$N$51,10,FALSE()),0)+4*IFERROR(VLOOKUP(INDEX(' Toto teams'!$C$4:$C$119,MATCH($B55,' Toto teams'!$A$4:$A$119,0)),Scoring!$A$4:$N$51,10,FALSE()),0)+3*IFERROR(VLOOKUP(INDEX(' Toto teams'!$D$4:$D$119,MATCH($B55,' Toto teams'!$A$4:$A$119,0)),Scoring!$A$4:$N$51,10,FALSE()),0)+2*IFERROR(VLOOKUP(INDEX(' Toto teams'!$E$4:$E$119,MATCH($B55,' Toto teams'!$A$4:$A$119,0)),Scoring!$A$4:$N$51,10,FALSE()),0)+1*IFERROR(VLOOKUP(INDEX(' Toto teams'!$F$4:$F$119,MATCH($B55,' Toto teams'!$A$4:$A$119,0)),Scoring!$A$4:$N$51,10,FALSE()),0)+1*IFERROR(VLOOKUP(INDEX(' Toto teams'!$G$4:$G$119,MATCH($B55,' Toto teams'!$A$4:$A$119,0)),Scoring!$A$4:$N$51,10,FALSE()),0)+1*IFERROR(VLOOKUP(INDEX(' Toto teams'!$H$4:$H$119,MATCH($B55,' Toto teams'!$A$4:$A$119,0)),Scoring!$A$4:$N$51,10,FALSE()),0))</f>
        <v/>
      </c>
      <c r="H55" s="28">
        <f>IF($B55="","",6*IFERROR(VLOOKUP(INDEX(' Toto teams'!$B$4:$B$119,MATCH($B55,' Toto teams'!$A$4:$A$119,0)),Scoring!$A$4:$N$51,11,FALSE()),0)+4*IFERROR(VLOOKUP(INDEX(' Toto teams'!$C$4:$C$119,MATCH($B55,' Toto teams'!$A$4:$A$119,0)),Scoring!$A$4:$N$51,11,FALSE()),0)+3*IFERROR(VLOOKUP(INDEX(' Toto teams'!$D$4:$D$119,MATCH($B55,' Toto teams'!$A$4:$A$119,0)),Scoring!$A$4:$N$51,11,FALSE()),0)+2*IFERROR(VLOOKUP(INDEX(' Toto teams'!$E$4:$E$119,MATCH($B55,' Toto teams'!$A$4:$A$119,0)),Scoring!$A$4:$N$51,11,FALSE()),0)+1*IFERROR(VLOOKUP(INDEX(' Toto teams'!$F$4:$F$119,MATCH($B55,' Toto teams'!$A$4:$A$119,0)),Scoring!$A$4:$N$51,11,FALSE()),0)+1*IFERROR(VLOOKUP(INDEX(' Toto teams'!$G$4:$G$119,MATCH($B55,' Toto teams'!$A$4:$A$119,0)),Scoring!$A$4:$N$51,11,FALSE()),0)+1*IFERROR(VLOOKUP(INDEX(' Toto teams'!$H$4:$H$119,MATCH($B55,' Toto teams'!$A$4:$A$119,0)),Scoring!$A$4:$N$51,11,FALSE()),0))</f>
        <v/>
      </c>
      <c r="I55" s="28">
        <f>IF($B55="","",6*IFERROR(VLOOKUP(INDEX(' Toto teams'!$B$4:$B$119,MATCH($B55,' Toto teams'!$A$4:$A$119,0)),Scoring!$A$4:$O$51,15,FALSE()),0)+4*IFERROR(VLOOKUP(INDEX(' Toto teams'!$C$4:$C$119,MATCH($B55,' Toto teams'!$A$4:$A$119,0)),Scoring!$A$4:$O$51,15,FALSE()),0)+3*IFERROR(VLOOKUP(INDEX(' Toto teams'!$D$4:$D$119,MATCH($B55,' Toto teams'!$A$4:$A$119,0)),Scoring!$A$4:$O$51,15,FALSE()),0)+2*IFERROR(VLOOKUP(INDEX(' Toto teams'!$E$4:$E$119,MATCH($B55,' Toto teams'!$A$4:$A$119,0)),Scoring!$A$4:$O$51,15,FALSE()),0)+1*IFERROR(VLOOKUP(INDEX(' Toto teams'!$F$4:$F$119,MATCH($B55,' Toto teams'!$A$4:$A$119,0)),Scoring!$A$4:$O$51,15,FALSE()),0)+1*IFERROR(VLOOKUP(INDEX(' Toto teams'!$G$4:$G$119,MATCH($B55,' Toto teams'!$A$4:$A$119,0)),Scoring!$A$4:$O$51,15,FALSE()),0)+1*IFERROR(VLOOKUP(INDEX(' Toto teams'!$H$4:$H$119,MATCH($B55,' Toto teams'!$A$4:$A$119,0)),Scoring!$A$4:$O$51,15,FALSE()),0))</f>
        <v/>
      </c>
      <c r="J55" s="28">
        <f>IF($B55="","",6*IFERROR(VLOOKUP(INDEX(' Toto teams'!$B$4:$B$119,MATCH($B55,' Toto teams'!$A$4:$A$119,0)),Scoring!$A$4:$N$51,12,FALSE()),0)+4*IFERROR(VLOOKUP(INDEX(' Toto teams'!$C$4:$C$119,MATCH($B55,' Toto teams'!$A$4:$A$119,0)),Scoring!$A$4:$N$51,12,FALSE()),0)+3*IFERROR(VLOOKUP(INDEX(' Toto teams'!$D$4:$D$119,MATCH($B55,' Toto teams'!$A$4:$A$119,0)),Scoring!$A$4:$N$51,12,FALSE()),0)+2*IFERROR(VLOOKUP(INDEX(' Toto teams'!$E$4:$E$119,MATCH($B55,' Toto teams'!$A$4:$A$119,0)),Scoring!$A$4:$N$51,12,FALSE()),0)+1*IFERROR(VLOOKUP(INDEX(' Toto teams'!$F$4:$F$119,MATCH($B55,' Toto teams'!$A$4:$A$119,0)),Scoring!$A$4:$N$51,12,FALSE()),0)+1*IFERROR(VLOOKUP(INDEX(' Toto teams'!$G$4:$G$119,MATCH($B55,' Toto teams'!$A$4:$A$119,0)),Scoring!$A$4:$N$51,12,FALSE()),0)+1*IFERROR(VLOOKUP(INDEX(' Toto teams'!$H$4:$H$119,MATCH($B55,' Toto teams'!$A$4:$A$119,0)),Scoring!$A$4:$N$51,12,FALSE()),0))</f>
        <v/>
      </c>
      <c r="K55" s="29">
        <f>IF($B55="","",IFERROR(INDEX(' Toto teams'!$R$4:$R$119,MATCH($B55,' Toto teams'!$A$4:$A$119,0)),""))</f>
        <v/>
      </c>
      <c r="L55" s="30">
        <f>IFERROR(IF(B55="","",VLOOKUP(A55,$N$4:$R$12,5,FALSE())),0)</f>
        <v/>
      </c>
    </row>
    <row r="56" ht="12.75" customHeight="1">
      <c r="A56" s="26">
        <f>IF(53&gt;COUNTIF(' Toto teams'!$A$4:$A$119,"&lt;&gt;"),"",INDEX(' Toto teams'!$S$4:$S$119,MATCH(LARGE(' Toto teams'!$T$4:$T$119,53),' Toto teams'!$T$4:$T$119,0)))</f>
        <v/>
      </c>
      <c r="B56" s="27">
        <f>IF(53&gt;COUNTIF(' Toto teams'!$A$4:$A$119,"&lt;&gt;"),"",INDEX(' Toto teams'!$A$4:$A$119,MATCH(LARGE(' Toto teams'!$T$4:$T$119,53),' Toto teams'!$T$4:$T$119,0)))</f>
        <v/>
      </c>
      <c r="C56" s="28">
        <f>IF($B56="","",6*(IFERROR(VLOOKUP(INDEX(' Toto teams'!$B$4:$B$119,MATCH($B56,' Toto teams'!$A$4:$A$119,0)),Scoring!$A$4:$N$51,3,FALSE()),0)+IFERROR(VLOOKUP(INDEX(' Toto teams'!$B$4:$B$119,MATCH($B56,' Toto teams'!$A$4:$A$119,0)),Scoring!$A$4:$N$51,4,FALSE()),0)+IFERROR(VLOOKUP(INDEX(' Toto teams'!$B$4:$B$119,MATCH($B56,' Toto teams'!$A$4:$A$119,0)),Scoring!$A$4:$N$51,5,FALSE()),0))+4*(IFERROR(VLOOKUP(INDEX(' Toto teams'!$C$4:$C$119,MATCH($B56,' Toto teams'!$A$4:$A$119,0)),Scoring!$A$4:$N$51,3,FALSE()),0)+IFERROR(VLOOKUP(INDEX(' Toto teams'!$C$4:$C$119,MATCH($B56,' Toto teams'!$A$4:$A$119,0)),Scoring!$A$4:$N$51,4,FALSE()),0)+IFERROR(VLOOKUP(INDEX(' Toto teams'!$C$4:$C$119,MATCH($B56,' Toto teams'!$A$4:$A$119,0)),Scoring!$A$4:$N$51,5,FALSE()),0))+3*(IFERROR(VLOOKUP(INDEX(' Toto teams'!$D$4:$D$119,MATCH($B56,' Toto teams'!$A$4:$A$119,0)),Scoring!$A$4:$N$51,3,FALSE()),0)+IFERROR(VLOOKUP(INDEX(' Toto teams'!$D$4:$D$119,MATCH($B56,' Toto teams'!$A$4:$A$119,0)),Scoring!$A$4:$N$51,4,FALSE()),0)+IFERROR(VLOOKUP(INDEX(' Toto teams'!$D$4:$D$119,MATCH($B56,' Toto teams'!$A$4:$A$119,0)),Scoring!$A$4:$N$51,5,FALSE()),0))+2*(IFERROR(VLOOKUP(INDEX(' Toto teams'!$E$4:$E$119,MATCH($B56,' Toto teams'!$A$4:$A$119,0)),Scoring!$A$4:$N$51,3,FALSE()),0)+IFERROR(VLOOKUP(INDEX(' Toto teams'!$E$4:$E$119,MATCH($B56,' Toto teams'!$A$4:$A$119,0)),Scoring!$A$4:$N$51,4,FALSE()),0)+IFERROR(VLOOKUP(INDEX(' Toto teams'!$E$4:$E$119,MATCH($B56,' Toto teams'!$A$4:$A$119,0)),Scoring!$A$4:$N$51,5,FALSE()),0))+1*(IFERROR(VLOOKUP(INDEX(' Toto teams'!$F$4:$F$119,MATCH($B56,' Toto teams'!$A$4:$A$119,0)),Scoring!$A$4:$N$51,3,FALSE()),0)+IFERROR(VLOOKUP(INDEX(' Toto teams'!$F$4:$F$119,MATCH($B56,' Toto teams'!$A$4:$A$119,0)),Scoring!$A$4:$N$51,4,FALSE()),0)+IFERROR(VLOOKUP(INDEX(' Toto teams'!$F$4:$F$119,MATCH($B56,' Toto teams'!$A$4:$A$119,0)),Scoring!$A$4:$N$51,5,FALSE()),0))+1*(IFERROR(VLOOKUP(INDEX(' Toto teams'!$G$4:$G$119,MATCH($B56,' Toto teams'!$A$4:$A$119,0)),Scoring!$A$4:$N$51,3,FALSE()),0)+IFERROR(VLOOKUP(INDEX(' Toto teams'!$G$4:$G$119,MATCH($B56,' Toto teams'!$A$4:$A$119,0)),Scoring!$A$4:$N$51,4,FALSE()),0)+IFERROR(VLOOKUP(INDEX(' Toto teams'!$G$4:$G$119,MATCH($B56,' Toto teams'!$A$4:$A$119,0)),Scoring!$A$4:$N$51,5,FALSE()),0))+1*(IFERROR(VLOOKUP(INDEX(' Toto teams'!$H$4:$H$119,MATCH($B56,' Toto teams'!$A$4:$A$119,0)),Scoring!$A$4:$N$51,3,FALSE()),0)+IFERROR(VLOOKUP(INDEX(' Toto teams'!$H$4:$H$119,MATCH($B56,' Toto teams'!$A$4:$A$119,0)),Scoring!$A$4:$N$51,4,FALSE()),0)+IFERROR(VLOOKUP(INDEX(' Toto teams'!$H$4:$H$119,MATCH($B56,' Toto teams'!$A$4:$A$119,0)),Scoring!$A$4:$N$51,5,FALSE()),0))+IFERROR(INDEX(' Toto teams'!$Q$4:$Q$119,MATCH($B56,' Toto teams'!$A$4:$A$119,0))*1,0))</f>
        <v/>
      </c>
      <c r="D56" s="28">
        <f>IF($B56="","",6*IFERROR(VLOOKUP(INDEX(' Toto teams'!$B$4:$B$119,MATCH($B56,' Toto teams'!$A$4:$A$119,0)),Scoring!$A$4:$N$51,7,FALSE()),0)+4*IFERROR(VLOOKUP(INDEX(' Toto teams'!$C$4:$C$119,MATCH($B56,' Toto teams'!$A$4:$A$119,0)),Scoring!$A$4:$N$51,7,FALSE()),0)+3*IFERROR(VLOOKUP(INDEX(' Toto teams'!$D$4:$D$119,MATCH($B56,' Toto teams'!$A$4:$A$119,0)),Scoring!$A$4:$N$51,7,FALSE()),0)+2*IFERROR(VLOOKUP(INDEX(' Toto teams'!$E$4:$E$119,MATCH($B56,' Toto teams'!$A$4:$A$119,0)),Scoring!$A$4:$N$51,7,FALSE()),0)+1*IFERROR(VLOOKUP(INDEX(' Toto teams'!$F$4:$F$119,MATCH($B56,' Toto teams'!$A$4:$A$119,0)),Scoring!$A$4:$N$51,7,FALSE()),0)+1*IFERROR(VLOOKUP(INDEX(' Toto teams'!$G$4:$G$119,MATCH($B56,' Toto teams'!$A$4:$A$119,0)),Scoring!$A$4:$N$51,7,FALSE()),0)+1*IFERROR(VLOOKUP(INDEX(' Toto teams'!$H$4:$H$119,MATCH($B56,' Toto teams'!$A$4:$A$119,0)),Scoring!$A$4:$N$51,7,FALSE()),0))</f>
        <v/>
      </c>
      <c r="E56" s="28">
        <f>IF($B56="","",6*IFERROR(VLOOKUP(INDEX(' Toto teams'!$B$4:$B$119,MATCH($B56,' Toto teams'!$A$4:$A$119,0)),Scoring!$A$4:$N$51,8,FALSE()),0)+4*IFERROR(VLOOKUP(INDEX(' Toto teams'!$C$4:$C$119,MATCH($B56,' Toto teams'!$A$4:$A$119,0)),Scoring!$A$4:$N$51,8,FALSE()),0)+3*IFERROR(VLOOKUP(INDEX(' Toto teams'!$D$4:$D$119,MATCH($B56,' Toto teams'!$A$4:$A$119,0)),Scoring!$A$4:$N$51,8,FALSE()),0)+2*IFERROR(VLOOKUP(INDEX(' Toto teams'!$E$4:$E$119,MATCH($B56,' Toto teams'!$A$4:$A$119,0)),Scoring!$A$4:$N$51,8,FALSE()),0)+1*IFERROR(VLOOKUP(INDEX(' Toto teams'!$F$4:$F$119,MATCH($B56,' Toto teams'!$A$4:$A$119,0)),Scoring!$A$4:$N$51,8,FALSE()),0)+1*IFERROR(VLOOKUP(INDEX(' Toto teams'!$G$4:$G$119,MATCH($B56,' Toto teams'!$A$4:$A$119,0)),Scoring!$A$4:$N$51,8,FALSE()),0)+1*IFERROR(VLOOKUP(INDEX(' Toto teams'!$H$4:$H$119,MATCH($B56,' Toto teams'!$A$4:$A$119,0)),Scoring!$A$4:$N$51,8,FALSE()),0))</f>
        <v/>
      </c>
      <c r="F56" s="28">
        <f>IF($B56="","",6*IFERROR(VLOOKUP(INDEX(' Toto teams'!$B$4:$B$119,MATCH($B56,' Toto teams'!$A$4:$A$119,0)),Scoring!$A$4:$N$51,9,FALSE()),0)+4*IFERROR(VLOOKUP(INDEX(' Toto teams'!$C$4:$C$119,MATCH($B56,' Toto teams'!$A$4:$A$119,0)),Scoring!$A$4:$N$51,9,FALSE()),0)+3*IFERROR(VLOOKUP(INDEX(' Toto teams'!$D$4:$D$119,MATCH($B56,' Toto teams'!$A$4:$A$119,0)),Scoring!$A$4:$N$51,9,FALSE()),0)+2*IFERROR(VLOOKUP(INDEX(' Toto teams'!$E$4:$E$119,MATCH($B56,' Toto teams'!$A$4:$A$119,0)),Scoring!$A$4:$N$51,9,FALSE()),0)+1*IFERROR(VLOOKUP(INDEX(' Toto teams'!$F$4:$F$119,MATCH($B56,' Toto teams'!$A$4:$A$119,0)),Scoring!$A$4:$N$51,9,FALSE()),0)+1*IFERROR(VLOOKUP(INDEX(' Toto teams'!$G$4:$G$119,MATCH($B56,' Toto teams'!$A$4:$A$119,0)),Scoring!$A$4:$N$51,9,FALSE()),0)+1*IFERROR(VLOOKUP(INDEX(' Toto teams'!$H$4:$H$119,MATCH($B56,' Toto teams'!$A$4:$A$119,0)),Scoring!$A$4:$N$51,9,FALSE()),0))</f>
        <v/>
      </c>
      <c r="G56" s="28">
        <f>IF($B56="","",6*IFERROR(VLOOKUP(INDEX(' Toto teams'!$B$4:$B$119,MATCH($B56,' Toto teams'!$A$4:$A$119,0)),Scoring!$A$4:$N$51,10,FALSE()),0)+4*IFERROR(VLOOKUP(INDEX(' Toto teams'!$C$4:$C$119,MATCH($B56,' Toto teams'!$A$4:$A$119,0)),Scoring!$A$4:$N$51,10,FALSE()),0)+3*IFERROR(VLOOKUP(INDEX(' Toto teams'!$D$4:$D$119,MATCH($B56,' Toto teams'!$A$4:$A$119,0)),Scoring!$A$4:$N$51,10,FALSE()),0)+2*IFERROR(VLOOKUP(INDEX(' Toto teams'!$E$4:$E$119,MATCH($B56,' Toto teams'!$A$4:$A$119,0)),Scoring!$A$4:$N$51,10,FALSE()),0)+1*IFERROR(VLOOKUP(INDEX(' Toto teams'!$F$4:$F$119,MATCH($B56,' Toto teams'!$A$4:$A$119,0)),Scoring!$A$4:$N$51,10,FALSE()),0)+1*IFERROR(VLOOKUP(INDEX(' Toto teams'!$G$4:$G$119,MATCH($B56,' Toto teams'!$A$4:$A$119,0)),Scoring!$A$4:$N$51,10,FALSE()),0)+1*IFERROR(VLOOKUP(INDEX(' Toto teams'!$H$4:$H$119,MATCH($B56,' Toto teams'!$A$4:$A$119,0)),Scoring!$A$4:$N$51,10,FALSE()),0))</f>
        <v/>
      </c>
      <c r="H56" s="28">
        <f>IF($B56="","",6*IFERROR(VLOOKUP(INDEX(' Toto teams'!$B$4:$B$119,MATCH($B56,' Toto teams'!$A$4:$A$119,0)),Scoring!$A$4:$N$51,11,FALSE()),0)+4*IFERROR(VLOOKUP(INDEX(' Toto teams'!$C$4:$C$119,MATCH($B56,' Toto teams'!$A$4:$A$119,0)),Scoring!$A$4:$N$51,11,FALSE()),0)+3*IFERROR(VLOOKUP(INDEX(' Toto teams'!$D$4:$D$119,MATCH($B56,' Toto teams'!$A$4:$A$119,0)),Scoring!$A$4:$N$51,11,FALSE()),0)+2*IFERROR(VLOOKUP(INDEX(' Toto teams'!$E$4:$E$119,MATCH($B56,' Toto teams'!$A$4:$A$119,0)),Scoring!$A$4:$N$51,11,FALSE()),0)+1*IFERROR(VLOOKUP(INDEX(' Toto teams'!$F$4:$F$119,MATCH($B56,' Toto teams'!$A$4:$A$119,0)),Scoring!$A$4:$N$51,11,FALSE()),0)+1*IFERROR(VLOOKUP(INDEX(' Toto teams'!$G$4:$G$119,MATCH($B56,' Toto teams'!$A$4:$A$119,0)),Scoring!$A$4:$N$51,11,FALSE()),0)+1*IFERROR(VLOOKUP(INDEX(' Toto teams'!$H$4:$H$119,MATCH($B56,' Toto teams'!$A$4:$A$119,0)),Scoring!$A$4:$N$51,11,FALSE()),0))</f>
        <v/>
      </c>
      <c r="I56" s="28">
        <f>IF($B56="","",6*IFERROR(VLOOKUP(INDEX(' Toto teams'!$B$4:$B$119,MATCH($B56,' Toto teams'!$A$4:$A$119,0)),Scoring!$A$4:$O$51,15,FALSE()),0)+4*IFERROR(VLOOKUP(INDEX(' Toto teams'!$C$4:$C$119,MATCH($B56,' Toto teams'!$A$4:$A$119,0)),Scoring!$A$4:$O$51,15,FALSE()),0)+3*IFERROR(VLOOKUP(INDEX(' Toto teams'!$D$4:$D$119,MATCH($B56,' Toto teams'!$A$4:$A$119,0)),Scoring!$A$4:$O$51,15,FALSE()),0)+2*IFERROR(VLOOKUP(INDEX(' Toto teams'!$E$4:$E$119,MATCH($B56,' Toto teams'!$A$4:$A$119,0)),Scoring!$A$4:$O$51,15,FALSE()),0)+1*IFERROR(VLOOKUP(INDEX(' Toto teams'!$F$4:$F$119,MATCH($B56,' Toto teams'!$A$4:$A$119,0)),Scoring!$A$4:$O$51,15,FALSE()),0)+1*IFERROR(VLOOKUP(INDEX(' Toto teams'!$G$4:$G$119,MATCH($B56,' Toto teams'!$A$4:$A$119,0)),Scoring!$A$4:$O$51,15,FALSE()),0)+1*IFERROR(VLOOKUP(INDEX(' Toto teams'!$H$4:$H$119,MATCH($B56,' Toto teams'!$A$4:$A$119,0)),Scoring!$A$4:$O$51,15,FALSE()),0))</f>
        <v/>
      </c>
      <c r="J56" s="28">
        <f>IF($B56="","",6*IFERROR(VLOOKUP(INDEX(' Toto teams'!$B$4:$B$119,MATCH($B56,' Toto teams'!$A$4:$A$119,0)),Scoring!$A$4:$N$51,12,FALSE()),0)+4*IFERROR(VLOOKUP(INDEX(' Toto teams'!$C$4:$C$119,MATCH($B56,' Toto teams'!$A$4:$A$119,0)),Scoring!$A$4:$N$51,12,FALSE()),0)+3*IFERROR(VLOOKUP(INDEX(' Toto teams'!$D$4:$D$119,MATCH($B56,' Toto teams'!$A$4:$A$119,0)),Scoring!$A$4:$N$51,12,FALSE()),0)+2*IFERROR(VLOOKUP(INDEX(' Toto teams'!$E$4:$E$119,MATCH($B56,' Toto teams'!$A$4:$A$119,0)),Scoring!$A$4:$N$51,12,FALSE()),0)+1*IFERROR(VLOOKUP(INDEX(' Toto teams'!$F$4:$F$119,MATCH($B56,' Toto teams'!$A$4:$A$119,0)),Scoring!$A$4:$N$51,12,FALSE()),0)+1*IFERROR(VLOOKUP(INDEX(' Toto teams'!$G$4:$G$119,MATCH($B56,' Toto teams'!$A$4:$A$119,0)),Scoring!$A$4:$N$51,12,FALSE()),0)+1*IFERROR(VLOOKUP(INDEX(' Toto teams'!$H$4:$H$119,MATCH($B56,' Toto teams'!$A$4:$A$119,0)),Scoring!$A$4:$N$51,12,FALSE()),0))</f>
        <v/>
      </c>
      <c r="K56" s="29">
        <f>IF($B56="","",IFERROR(INDEX(' Toto teams'!$R$4:$R$119,MATCH($B56,' Toto teams'!$A$4:$A$119,0)),""))</f>
        <v/>
      </c>
      <c r="L56" s="30">
        <f>IFERROR(IF(B56="","",VLOOKUP(A56,$N$4:$R$12,5,FALSE())),0)</f>
        <v/>
      </c>
    </row>
    <row r="57" ht="12.75" customHeight="1">
      <c r="A57" s="26">
        <f>IF(54&gt;COUNTIF(' Toto teams'!$A$4:$A$119,"&lt;&gt;"),"",INDEX(' Toto teams'!$S$4:$S$119,MATCH(LARGE(' Toto teams'!$T$4:$T$119,54),' Toto teams'!$T$4:$T$119,0)))</f>
        <v/>
      </c>
      <c r="B57" s="27">
        <f>IF(54&gt;COUNTIF(' Toto teams'!$A$4:$A$119,"&lt;&gt;"),"",INDEX(' Toto teams'!$A$4:$A$119,MATCH(LARGE(' Toto teams'!$T$4:$T$119,54),' Toto teams'!$T$4:$T$119,0)))</f>
        <v/>
      </c>
      <c r="C57" s="28">
        <f>IF($B57="","",6*(IFERROR(VLOOKUP(INDEX(' Toto teams'!$B$4:$B$119,MATCH($B57,' Toto teams'!$A$4:$A$119,0)),Scoring!$A$4:$N$51,3,FALSE()),0)+IFERROR(VLOOKUP(INDEX(' Toto teams'!$B$4:$B$119,MATCH($B57,' Toto teams'!$A$4:$A$119,0)),Scoring!$A$4:$N$51,4,FALSE()),0)+IFERROR(VLOOKUP(INDEX(' Toto teams'!$B$4:$B$119,MATCH($B57,' Toto teams'!$A$4:$A$119,0)),Scoring!$A$4:$N$51,5,FALSE()),0))+4*(IFERROR(VLOOKUP(INDEX(' Toto teams'!$C$4:$C$119,MATCH($B57,' Toto teams'!$A$4:$A$119,0)),Scoring!$A$4:$N$51,3,FALSE()),0)+IFERROR(VLOOKUP(INDEX(' Toto teams'!$C$4:$C$119,MATCH($B57,' Toto teams'!$A$4:$A$119,0)),Scoring!$A$4:$N$51,4,FALSE()),0)+IFERROR(VLOOKUP(INDEX(' Toto teams'!$C$4:$C$119,MATCH($B57,' Toto teams'!$A$4:$A$119,0)),Scoring!$A$4:$N$51,5,FALSE()),0))+3*(IFERROR(VLOOKUP(INDEX(' Toto teams'!$D$4:$D$119,MATCH($B57,' Toto teams'!$A$4:$A$119,0)),Scoring!$A$4:$N$51,3,FALSE()),0)+IFERROR(VLOOKUP(INDEX(' Toto teams'!$D$4:$D$119,MATCH($B57,' Toto teams'!$A$4:$A$119,0)),Scoring!$A$4:$N$51,4,FALSE()),0)+IFERROR(VLOOKUP(INDEX(' Toto teams'!$D$4:$D$119,MATCH($B57,' Toto teams'!$A$4:$A$119,0)),Scoring!$A$4:$N$51,5,FALSE()),0))+2*(IFERROR(VLOOKUP(INDEX(' Toto teams'!$E$4:$E$119,MATCH($B57,' Toto teams'!$A$4:$A$119,0)),Scoring!$A$4:$N$51,3,FALSE()),0)+IFERROR(VLOOKUP(INDEX(' Toto teams'!$E$4:$E$119,MATCH($B57,' Toto teams'!$A$4:$A$119,0)),Scoring!$A$4:$N$51,4,FALSE()),0)+IFERROR(VLOOKUP(INDEX(' Toto teams'!$E$4:$E$119,MATCH($B57,' Toto teams'!$A$4:$A$119,0)),Scoring!$A$4:$N$51,5,FALSE()),0))+1*(IFERROR(VLOOKUP(INDEX(' Toto teams'!$F$4:$F$119,MATCH($B57,' Toto teams'!$A$4:$A$119,0)),Scoring!$A$4:$N$51,3,FALSE()),0)+IFERROR(VLOOKUP(INDEX(' Toto teams'!$F$4:$F$119,MATCH($B57,' Toto teams'!$A$4:$A$119,0)),Scoring!$A$4:$N$51,4,FALSE()),0)+IFERROR(VLOOKUP(INDEX(' Toto teams'!$F$4:$F$119,MATCH($B57,' Toto teams'!$A$4:$A$119,0)),Scoring!$A$4:$N$51,5,FALSE()),0))+1*(IFERROR(VLOOKUP(INDEX(' Toto teams'!$G$4:$G$119,MATCH($B57,' Toto teams'!$A$4:$A$119,0)),Scoring!$A$4:$N$51,3,FALSE()),0)+IFERROR(VLOOKUP(INDEX(' Toto teams'!$G$4:$G$119,MATCH($B57,' Toto teams'!$A$4:$A$119,0)),Scoring!$A$4:$N$51,4,FALSE()),0)+IFERROR(VLOOKUP(INDEX(' Toto teams'!$G$4:$G$119,MATCH($B57,' Toto teams'!$A$4:$A$119,0)),Scoring!$A$4:$N$51,5,FALSE()),0))+1*(IFERROR(VLOOKUP(INDEX(' Toto teams'!$H$4:$H$119,MATCH($B57,' Toto teams'!$A$4:$A$119,0)),Scoring!$A$4:$N$51,3,FALSE()),0)+IFERROR(VLOOKUP(INDEX(' Toto teams'!$H$4:$H$119,MATCH($B57,' Toto teams'!$A$4:$A$119,0)),Scoring!$A$4:$N$51,4,FALSE()),0)+IFERROR(VLOOKUP(INDEX(' Toto teams'!$H$4:$H$119,MATCH($B57,' Toto teams'!$A$4:$A$119,0)),Scoring!$A$4:$N$51,5,FALSE()),0))+IFERROR(INDEX(' Toto teams'!$Q$4:$Q$119,MATCH($B57,' Toto teams'!$A$4:$A$119,0))*1,0))</f>
        <v/>
      </c>
      <c r="D57" s="28">
        <f>IF($B57="","",6*IFERROR(VLOOKUP(INDEX(' Toto teams'!$B$4:$B$119,MATCH($B57,' Toto teams'!$A$4:$A$119,0)),Scoring!$A$4:$N$51,7,FALSE()),0)+4*IFERROR(VLOOKUP(INDEX(' Toto teams'!$C$4:$C$119,MATCH($B57,' Toto teams'!$A$4:$A$119,0)),Scoring!$A$4:$N$51,7,FALSE()),0)+3*IFERROR(VLOOKUP(INDEX(' Toto teams'!$D$4:$D$119,MATCH($B57,' Toto teams'!$A$4:$A$119,0)),Scoring!$A$4:$N$51,7,FALSE()),0)+2*IFERROR(VLOOKUP(INDEX(' Toto teams'!$E$4:$E$119,MATCH($B57,' Toto teams'!$A$4:$A$119,0)),Scoring!$A$4:$N$51,7,FALSE()),0)+1*IFERROR(VLOOKUP(INDEX(' Toto teams'!$F$4:$F$119,MATCH($B57,' Toto teams'!$A$4:$A$119,0)),Scoring!$A$4:$N$51,7,FALSE()),0)+1*IFERROR(VLOOKUP(INDEX(' Toto teams'!$G$4:$G$119,MATCH($B57,' Toto teams'!$A$4:$A$119,0)),Scoring!$A$4:$N$51,7,FALSE()),0)+1*IFERROR(VLOOKUP(INDEX(' Toto teams'!$H$4:$H$119,MATCH($B57,' Toto teams'!$A$4:$A$119,0)),Scoring!$A$4:$N$51,7,FALSE()),0))</f>
        <v/>
      </c>
      <c r="E57" s="28">
        <f>IF($B57="","",6*IFERROR(VLOOKUP(INDEX(' Toto teams'!$B$4:$B$119,MATCH($B57,' Toto teams'!$A$4:$A$119,0)),Scoring!$A$4:$N$51,8,FALSE()),0)+4*IFERROR(VLOOKUP(INDEX(' Toto teams'!$C$4:$C$119,MATCH($B57,' Toto teams'!$A$4:$A$119,0)),Scoring!$A$4:$N$51,8,FALSE()),0)+3*IFERROR(VLOOKUP(INDEX(' Toto teams'!$D$4:$D$119,MATCH($B57,' Toto teams'!$A$4:$A$119,0)),Scoring!$A$4:$N$51,8,FALSE()),0)+2*IFERROR(VLOOKUP(INDEX(' Toto teams'!$E$4:$E$119,MATCH($B57,' Toto teams'!$A$4:$A$119,0)),Scoring!$A$4:$N$51,8,FALSE()),0)+1*IFERROR(VLOOKUP(INDEX(' Toto teams'!$F$4:$F$119,MATCH($B57,' Toto teams'!$A$4:$A$119,0)),Scoring!$A$4:$N$51,8,FALSE()),0)+1*IFERROR(VLOOKUP(INDEX(' Toto teams'!$G$4:$G$119,MATCH($B57,' Toto teams'!$A$4:$A$119,0)),Scoring!$A$4:$N$51,8,FALSE()),0)+1*IFERROR(VLOOKUP(INDEX(' Toto teams'!$H$4:$H$119,MATCH($B57,' Toto teams'!$A$4:$A$119,0)),Scoring!$A$4:$N$51,8,FALSE()),0))</f>
        <v/>
      </c>
      <c r="F57" s="28">
        <f>IF($B57="","",6*IFERROR(VLOOKUP(INDEX(' Toto teams'!$B$4:$B$119,MATCH($B57,' Toto teams'!$A$4:$A$119,0)),Scoring!$A$4:$N$51,9,FALSE()),0)+4*IFERROR(VLOOKUP(INDEX(' Toto teams'!$C$4:$C$119,MATCH($B57,' Toto teams'!$A$4:$A$119,0)),Scoring!$A$4:$N$51,9,FALSE()),0)+3*IFERROR(VLOOKUP(INDEX(' Toto teams'!$D$4:$D$119,MATCH($B57,' Toto teams'!$A$4:$A$119,0)),Scoring!$A$4:$N$51,9,FALSE()),0)+2*IFERROR(VLOOKUP(INDEX(' Toto teams'!$E$4:$E$119,MATCH($B57,' Toto teams'!$A$4:$A$119,0)),Scoring!$A$4:$N$51,9,FALSE()),0)+1*IFERROR(VLOOKUP(INDEX(' Toto teams'!$F$4:$F$119,MATCH($B57,' Toto teams'!$A$4:$A$119,0)),Scoring!$A$4:$N$51,9,FALSE()),0)+1*IFERROR(VLOOKUP(INDEX(' Toto teams'!$G$4:$G$119,MATCH($B57,' Toto teams'!$A$4:$A$119,0)),Scoring!$A$4:$N$51,9,FALSE()),0)+1*IFERROR(VLOOKUP(INDEX(' Toto teams'!$H$4:$H$119,MATCH($B57,' Toto teams'!$A$4:$A$119,0)),Scoring!$A$4:$N$51,9,FALSE()),0))</f>
        <v/>
      </c>
      <c r="G57" s="28">
        <f>IF($B57="","",6*IFERROR(VLOOKUP(INDEX(' Toto teams'!$B$4:$B$119,MATCH($B57,' Toto teams'!$A$4:$A$119,0)),Scoring!$A$4:$N$51,10,FALSE()),0)+4*IFERROR(VLOOKUP(INDEX(' Toto teams'!$C$4:$C$119,MATCH($B57,' Toto teams'!$A$4:$A$119,0)),Scoring!$A$4:$N$51,10,FALSE()),0)+3*IFERROR(VLOOKUP(INDEX(' Toto teams'!$D$4:$D$119,MATCH($B57,' Toto teams'!$A$4:$A$119,0)),Scoring!$A$4:$N$51,10,FALSE()),0)+2*IFERROR(VLOOKUP(INDEX(' Toto teams'!$E$4:$E$119,MATCH($B57,' Toto teams'!$A$4:$A$119,0)),Scoring!$A$4:$N$51,10,FALSE()),0)+1*IFERROR(VLOOKUP(INDEX(' Toto teams'!$F$4:$F$119,MATCH($B57,' Toto teams'!$A$4:$A$119,0)),Scoring!$A$4:$N$51,10,FALSE()),0)+1*IFERROR(VLOOKUP(INDEX(' Toto teams'!$G$4:$G$119,MATCH($B57,' Toto teams'!$A$4:$A$119,0)),Scoring!$A$4:$N$51,10,FALSE()),0)+1*IFERROR(VLOOKUP(INDEX(' Toto teams'!$H$4:$H$119,MATCH($B57,' Toto teams'!$A$4:$A$119,0)),Scoring!$A$4:$N$51,10,FALSE()),0))</f>
        <v/>
      </c>
      <c r="H57" s="28">
        <f>IF($B57="","",6*IFERROR(VLOOKUP(INDEX(' Toto teams'!$B$4:$B$119,MATCH($B57,' Toto teams'!$A$4:$A$119,0)),Scoring!$A$4:$N$51,11,FALSE()),0)+4*IFERROR(VLOOKUP(INDEX(' Toto teams'!$C$4:$C$119,MATCH($B57,' Toto teams'!$A$4:$A$119,0)),Scoring!$A$4:$N$51,11,FALSE()),0)+3*IFERROR(VLOOKUP(INDEX(' Toto teams'!$D$4:$D$119,MATCH($B57,' Toto teams'!$A$4:$A$119,0)),Scoring!$A$4:$N$51,11,FALSE()),0)+2*IFERROR(VLOOKUP(INDEX(' Toto teams'!$E$4:$E$119,MATCH($B57,' Toto teams'!$A$4:$A$119,0)),Scoring!$A$4:$N$51,11,FALSE()),0)+1*IFERROR(VLOOKUP(INDEX(' Toto teams'!$F$4:$F$119,MATCH($B57,' Toto teams'!$A$4:$A$119,0)),Scoring!$A$4:$N$51,11,FALSE()),0)+1*IFERROR(VLOOKUP(INDEX(' Toto teams'!$G$4:$G$119,MATCH($B57,' Toto teams'!$A$4:$A$119,0)),Scoring!$A$4:$N$51,11,FALSE()),0)+1*IFERROR(VLOOKUP(INDEX(' Toto teams'!$H$4:$H$119,MATCH($B57,' Toto teams'!$A$4:$A$119,0)),Scoring!$A$4:$N$51,11,FALSE()),0))</f>
        <v/>
      </c>
      <c r="I57" s="28">
        <f>IF($B57="","",6*IFERROR(VLOOKUP(INDEX(' Toto teams'!$B$4:$B$119,MATCH($B57,' Toto teams'!$A$4:$A$119,0)),Scoring!$A$4:$O$51,15,FALSE()),0)+4*IFERROR(VLOOKUP(INDEX(' Toto teams'!$C$4:$C$119,MATCH($B57,' Toto teams'!$A$4:$A$119,0)),Scoring!$A$4:$O$51,15,FALSE()),0)+3*IFERROR(VLOOKUP(INDEX(' Toto teams'!$D$4:$D$119,MATCH($B57,' Toto teams'!$A$4:$A$119,0)),Scoring!$A$4:$O$51,15,FALSE()),0)+2*IFERROR(VLOOKUP(INDEX(' Toto teams'!$E$4:$E$119,MATCH($B57,' Toto teams'!$A$4:$A$119,0)),Scoring!$A$4:$O$51,15,FALSE()),0)+1*IFERROR(VLOOKUP(INDEX(' Toto teams'!$F$4:$F$119,MATCH($B57,' Toto teams'!$A$4:$A$119,0)),Scoring!$A$4:$O$51,15,FALSE()),0)+1*IFERROR(VLOOKUP(INDEX(' Toto teams'!$G$4:$G$119,MATCH($B57,' Toto teams'!$A$4:$A$119,0)),Scoring!$A$4:$O$51,15,FALSE()),0)+1*IFERROR(VLOOKUP(INDEX(' Toto teams'!$H$4:$H$119,MATCH($B57,' Toto teams'!$A$4:$A$119,0)),Scoring!$A$4:$O$51,15,FALSE()),0))</f>
        <v/>
      </c>
      <c r="J57" s="28">
        <f>IF($B57="","",6*IFERROR(VLOOKUP(INDEX(' Toto teams'!$B$4:$B$119,MATCH($B57,' Toto teams'!$A$4:$A$119,0)),Scoring!$A$4:$N$51,12,FALSE()),0)+4*IFERROR(VLOOKUP(INDEX(' Toto teams'!$C$4:$C$119,MATCH($B57,' Toto teams'!$A$4:$A$119,0)),Scoring!$A$4:$N$51,12,FALSE()),0)+3*IFERROR(VLOOKUP(INDEX(' Toto teams'!$D$4:$D$119,MATCH($B57,' Toto teams'!$A$4:$A$119,0)),Scoring!$A$4:$N$51,12,FALSE()),0)+2*IFERROR(VLOOKUP(INDEX(' Toto teams'!$E$4:$E$119,MATCH($B57,' Toto teams'!$A$4:$A$119,0)),Scoring!$A$4:$N$51,12,FALSE()),0)+1*IFERROR(VLOOKUP(INDEX(' Toto teams'!$F$4:$F$119,MATCH($B57,' Toto teams'!$A$4:$A$119,0)),Scoring!$A$4:$N$51,12,FALSE()),0)+1*IFERROR(VLOOKUP(INDEX(' Toto teams'!$G$4:$G$119,MATCH($B57,' Toto teams'!$A$4:$A$119,0)),Scoring!$A$4:$N$51,12,FALSE()),0)+1*IFERROR(VLOOKUP(INDEX(' Toto teams'!$H$4:$H$119,MATCH($B57,' Toto teams'!$A$4:$A$119,0)),Scoring!$A$4:$N$51,12,FALSE()),0))</f>
        <v/>
      </c>
      <c r="K57" s="29">
        <f>IF($B57="","",IFERROR(INDEX(' Toto teams'!$R$4:$R$119,MATCH($B57,' Toto teams'!$A$4:$A$119,0)),""))</f>
        <v/>
      </c>
      <c r="L57" s="30">
        <f>IFERROR(IF(B57="","",VLOOKUP(A57,$N$4:$R$12,5,FALSE())),0)</f>
        <v/>
      </c>
    </row>
    <row r="58" ht="12.75" customHeight="1">
      <c r="A58" s="26">
        <f>IF(55&gt;COUNTIF(' Toto teams'!$A$4:$A$119,"&lt;&gt;"),"",INDEX(' Toto teams'!$S$4:$S$119,MATCH(LARGE(' Toto teams'!$T$4:$T$119,55),' Toto teams'!$T$4:$T$119,0)))</f>
        <v/>
      </c>
      <c r="B58" s="27">
        <f>IF(55&gt;COUNTIF(' Toto teams'!$A$4:$A$119,"&lt;&gt;"),"",INDEX(' Toto teams'!$A$4:$A$119,MATCH(LARGE(' Toto teams'!$T$4:$T$119,55),' Toto teams'!$T$4:$T$119,0)))</f>
        <v/>
      </c>
      <c r="C58" s="28">
        <f>IF($B58="","",6*(IFERROR(VLOOKUP(INDEX(' Toto teams'!$B$4:$B$119,MATCH($B58,' Toto teams'!$A$4:$A$119,0)),Scoring!$A$4:$N$51,3,FALSE()),0)+IFERROR(VLOOKUP(INDEX(' Toto teams'!$B$4:$B$119,MATCH($B58,' Toto teams'!$A$4:$A$119,0)),Scoring!$A$4:$N$51,4,FALSE()),0)+IFERROR(VLOOKUP(INDEX(' Toto teams'!$B$4:$B$119,MATCH($B58,' Toto teams'!$A$4:$A$119,0)),Scoring!$A$4:$N$51,5,FALSE()),0))+4*(IFERROR(VLOOKUP(INDEX(' Toto teams'!$C$4:$C$119,MATCH($B58,' Toto teams'!$A$4:$A$119,0)),Scoring!$A$4:$N$51,3,FALSE()),0)+IFERROR(VLOOKUP(INDEX(' Toto teams'!$C$4:$C$119,MATCH($B58,' Toto teams'!$A$4:$A$119,0)),Scoring!$A$4:$N$51,4,FALSE()),0)+IFERROR(VLOOKUP(INDEX(' Toto teams'!$C$4:$C$119,MATCH($B58,' Toto teams'!$A$4:$A$119,0)),Scoring!$A$4:$N$51,5,FALSE()),0))+3*(IFERROR(VLOOKUP(INDEX(' Toto teams'!$D$4:$D$119,MATCH($B58,' Toto teams'!$A$4:$A$119,0)),Scoring!$A$4:$N$51,3,FALSE()),0)+IFERROR(VLOOKUP(INDEX(' Toto teams'!$D$4:$D$119,MATCH($B58,' Toto teams'!$A$4:$A$119,0)),Scoring!$A$4:$N$51,4,FALSE()),0)+IFERROR(VLOOKUP(INDEX(' Toto teams'!$D$4:$D$119,MATCH($B58,' Toto teams'!$A$4:$A$119,0)),Scoring!$A$4:$N$51,5,FALSE()),0))+2*(IFERROR(VLOOKUP(INDEX(' Toto teams'!$E$4:$E$119,MATCH($B58,' Toto teams'!$A$4:$A$119,0)),Scoring!$A$4:$N$51,3,FALSE()),0)+IFERROR(VLOOKUP(INDEX(' Toto teams'!$E$4:$E$119,MATCH($B58,' Toto teams'!$A$4:$A$119,0)),Scoring!$A$4:$N$51,4,FALSE()),0)+IFERROR(VLOOKUP(INDEX(' Toto teams'!$E$4:$E$119,MATCH($B58,' Toto teams'!$A$4:$A$119,0)),Scoring!$A$4:$N$51,5,FALSE()),0))+1*(IFERROR(VLOOKUP(INDEX(' Toto teams'!$F$4:$F$119,MATCH($B58,' Toto teams'!$A$4:$A$119,0)),Scoring!$A$4:$N$51,3,FALSE()),0)+IFERROR(VLOOKUP(INDEX(' Toto teams'!$F$4:$F$119,MATCH($B58,' Toto teams'!$A$4:$A$119,0)),Scoring!$A$4:$N$51,4,FALSE()),0)+IFERROR(VLOOKUP(INDEX(' Toto teams'!$F$4:$F$119,MATCH($B58,' Toto teams'!$A$4:$A$119,0)),Scoring!$A$4:$N$51,5,FALSE()),0))+1*(IFERROR(VLOOKUP(INDEX(' Toto teams'!$G$4:$G$119,MATCH($B58,' Toto teams'!$A$4:$A$119,0)),Scoring!$A$4:$N$51,3,FALSE()),0)+IFERROR(VLOOKUP(INDEX(' Toto teams'!$G$4:$G$119,MATCH($B58,' Toto teams'!$A$4:$A$119,0)),Scoring!$A$4:$N$51,4,FALSE()),0)+IFERROR(VLOOKUP(INDEX(' Toto teams'!$G$4:$G$119,MATCH($B58,' Toto teams'!$A$4:$A$119,0)),Scoring!$A$4:$N$51,5,FALSE()),0))+1*(IFERROR(VLOOKUP(INDEX(' Toto teams'!$H$4:$H$119,MATCH($B58,' Toto teams'!$A$4:$A$119,0)),Scoring!$A$4:$N$51,3,FALSE()),0)+IFERROR(VLOOKUP(INDEX(' Toto teams'!$H$4:$H$119,MATCH($B58,' Toto teams'!$A$4:$A$119,0)),Scoring!$A$4:$N$51,4,FALSE()),0)+IFERROR(VLOOKUP(INDEX(' Toto teams'!$H$4:$H$119,MATCH($B58,' Toto teams'!$A$4:$A$119,0)),Scoring!$A$4:$N$51,5,FALSE()),0))+IFERROR(INDEX(' Toto teams'!$Q$4:$Q$119,MATCH($B58,' Toto teams'!$A$4:$A$119,0))*1,0))</f>
        <v/>
      </c>
      <c r="D58" s="28">
        <f>IF($B58="","",6*IFERROR(VLOOKUP(INDEX(' Toto teams'!$B$4:$B$119,MATCH($B58,' Toto teams'!$A$4:$A$119,0)),Scoring!$A$4:$N$51,7,FALSE()),0)+4*IFERROR(VLOOKUP(INDEX(' Toto teams'!$C$4:$C$119,MATCH($B58,' Toto teams'!$A$4:$A$119,0)),Scoring!$A$4:$N$51,7,FALSE()),0)+3*IFERROR(VLOOKUP(INDEX(' Toto teams'!$D$4:$D$119,MATCH($B58,' Toto teams'!$A$4:$A$119,0)),Scoring!$A$4:$N$51,7,FALSE()),0)+2*IFERROR(VLOOKUP(INDEX(' Toto teams'!$E$4:$E$119,MATCH($B58,' Toto teams'!$A$4:$A$119,0)),Scoring!$A$4:$N$51,7,FALSE()),0)+1*IFERROR(VLOOKUP(INDEX(' Toto teams'!$F$4:$F$119,MATCH($B58,' Toto teams'!$A$4:$A$119,0)),Scoring!$A$4:$N$51,7,FALSE()),0)+1*IFERROR(VLOOKUP(INDEX(' Toto teams'!$G$4:$G$119,MATCH($B58,' Toto teams'!$A$4:$A$119,0)),Scoring!$A$4:$N$51,7,FALSE()),0)+1*IFERROR(VLOOKUP(INDEX(' Toto teams'!$H$4:$H$119,MATCH($B58,' Toto teams'!$A$4:$A$119,0)),Scoring!$A$4:$N$51,7,FALSE()),0))</f>
        <v/>
      </c>
      <c r="E58" s="28">
        <f>IF($B58="","",6*IFERROR(VLOOKUP(INDEX(' Toto teams'!$B$4:$B$119,MATCH($B58,' Toto teams'!$A$4:$A$119,0)),Scoring!$A$4:$N$51,8,FALSE()),0)+4*IFERROR(VLOOKUP(INDEX(' Toto teams'!$C$4:$C$119,MATCH($B58,' Toto teams'!$A$4:$A$119,0)),Scoring!$A$4:$N$51,8,FALSE()),0)+3*IFERROR(VLOOKUP(INDEX(' Toto teams'!$D$4:$D$119,MATCH($B58,' Toto teams'!$A$4:$A$119,0)),Scoring!$A$4:$N$51,8,FALSE()),0)+2*IFERROR(VLOOKUP(INDEX(' Toto teams'!$E$4:$E$119,MATCH($B58,' Toto teams'!$A$4:$A$119,0)),Scoring!$A$4:$N$51,8,FALSE()),0)+1*IFERROR(VLOOKUP(INDEX(' Toto teams'!$F$4:$F$119,MATCH($B58,' Toto teams'!$A$4:$A$119,0)),Scoring!$A$4:$N$51,8,FALSE()),0)+1*IFERROR(VLOOKUP(INDEX(' Toto teams'!$G$4:$G$119,MATCH($B58,' Toto teams'!$A$4:$A$119,0)),Scoring!$A$4:$N$51,8,FALSE()),0)+1*IFERROR(VLOOKUP(INDEX(' Toto teams'!$H$4:$H$119,MATCH($B58,' Toto teams'!$A$4:$A$119,0)),Scoring!$A$4:$N$51,8,FALSE()),0))</f>
        <v/>
      </c>
      <c r="F58" s="28">
        <f>IF($B58="","",6*IFERROR(VLOOKUP(INDEX(' Toto teams'!$B$4:$B$119,MATCH($B58,' Toto teams'!$A$4:$A$119,0)),Scoring!$A$4:$N$51,9,FALSE()),0)+4*IFERROR(VLOOKUP(INDEX(' Toto teams'!$C$4:$C$119,MATCH($B58,' Toto teams'!$A$4:$A$119,0)),Scoring!$A$4:$N$51,9,FALSE()),0)+3*IFERROR(VLOOKUP(INDEX(' Toto teams'!$D$4:$D$119,MATCH($B58,' Toto teams'!$A$4:$A$119,0)),Scoring!$A$4:$N$51,9,FALSE()),0)+2*IFERROR(VLOOKUP(INDEX(' Toto teams'!$E$4:$E$119,MATCH($B58,' Toto teams'!$A$4:$A$119,0)),Scoring!$A$4:$N$51,9,FALSE()),0)+1*IFERROR(VLOOKUP(INDEX(' Toto teams'!$F$4:$F$119,MATCH($B58,' Toto teams'!$A$4:$A$119,0)),Scoring!$A$4:$N$51,9,FALSE()),0)+1*IFERROR(VLOOKUP(INDEX(' Toto teams'!$G$4:$G$119,MATCH($B58,' Toto teams'!$A$4:$A$119,0)),Scoring!$A$4:$N$51,9,FALSE()),0)+1*IFERROR(VLOOKUP(INDEX(' Toto teams'!$H$4:$H$119,MATCH($B58,' Toto teams'!$A$4:$A$119,0)),Scoring!$A$4:$N$51,9,FALSE()),0))</f>
        <v/>
      </c>
      <c r="G58" s="28">
        <f>IF($B58="","",6*IFERROR(VLOOKUP(INDEX(' Toto teams'!$B$4:$B$119,MATCH($B58,' Toto teams'!$A$4:$A$119,0)),Scoring!$A$4:$N$51,10,FALSE()),0)+4*IFERROR(VLOOKUP(INDEX(' Toto teams'!$C$4:$C$119,MATCH($B58,' Toto teams'!$A$4:$A$119,0)),Scoring!$A$4:$N$51,10,FALSE()),0)+3*IFERROR(VLOOKUP(INDEX(' Toto teams'!$D$4:$D$119,MATCH($B58,' Toto teams'!$A$4:$A$119,0)),Scoring!$A$4:$N$51,10,FALSE()),0)+2*IFERROR(VLOOKUP(INDEX(' Toto teams'!$E$4:$E$119,MATCH($B58,' Toto teams'!$A$4:$A$119,0)),Scoring!$A$4:$N$51,10,FALSE()),0)+1*IFERROR(VLOOKUP(INDEX(' Toto teams'!$F$4:$F$119,MATCH($B58,' Toto teams'!$A$4:$A$119,0)),Scoring!$A$4:$N$51,10,FALSE()),0)+1*IFERROR(VLOOKUP(INDEX(' Toto teams'!$G$4:$G$119,MATCH($B58,' Toto teams'!$A$4:$A$119,0)),Scoring!$A$4:$N$51,10,FALSE()),0)+1*IFERROR(VLOOKUP(INDEX(' Toto teams'!$H$4:$H$119,MATCH($B58,' Toto teams'!$A$4:$A$119,0)),Scoring!$A$4:$N$51,10,FALSE()),0))</f>
        <v/>
      </c>
      <c r="H58" s="28">
        <f>IF($B58="","",6*IFERROR(VLOOKUP(INDEX(' Toto teams'!$B$4:$B$119,MATCH($B58,' Toto teams'!$A$4:$A$119,0)),Scoring!$A$4:$N$51,11,FALSE()),0)+4*IFERROR(VLOOKUP(INDEX(' Toto teams'!$C$4:$C$119,MATCH($B58,' Toto teams'!$A$4:$A$119,0)),Scoring!$A$4:$N$51,11,FALSE()),0)+3*IFERROR(VLOOKUP(INDEX(' Toto teams'!$D$4:$D$119,MATCH($B58,' Toto teams'!$A$4:$A$119,0)),Scoring!$A$4:$N$51,11,FALSE()),0)+2*IFERROR(VLOOKUP(INDEX(' Toto teams'!$E$4:$E$119,MATCH($B58,' Toto teams'!$A$4:$A$119,0)),Scoring!$A$4:$N$51,11,FALSE()),0)+1*IFERROR(VLOOKUP(INDEX(' Toto teams'!$F$4:$F$119,MATCH($B58,' Toto teams'!$A$4:$A$119,0)),Scoring!$A$4:$N$51,11,FALSE()),0)+1*IFERROR(VLOOKUP(INDEX(' Toto teams'!$G$4:$G$119,MATCH($B58,' Toto teams'!$A$4:$A$119,0)),Scoring!$A$4:$N$51,11,FALSE()),0)+1*IFERROR(VLOOKUP(INDEX(' Toto teams'!$H$4:$H$119,MATCH($B58,' Toto teams'!$A$4:$A$119,0)),Scoring!$A$4:$N$51,11,FALSE()),0))</f>
        <v/>
      </c>
      <c r="I58" s="28">
        <f>IF($B58="","",6*IFERROR(VLOOKUP(INDEX(' Toto teams'!$B$4:$B$119,MATCH($B58,' Toto teams'!$A$4:$A$119,0)),Scoring!$A$4:$O$51,15,FALSE()),0)+4*IFERROR(VLOOKUP(INDEX(' Toto teams'!$C$4:$C$119,MATCH($B58,' Toto teams'!$A$4:$A$119,0)),Scoring!$A$4:$O$51,15,FALSE()),0)+3*IFERROR(VLOOKUP(INDEX(' Toto teams'!$D$4:$D$119,MATCH($B58,' Toto teams'!$A$4:$A$119,0)),Scoring!$A$4:$O$51,15,FALSE()),0)+2*IFERROR(VLOOKUP(INDEX(' Toto teams'!$E$4:$E$119,MATCH($B58,' Toto teams'!$A$4:$A$119,0)),Scoring!$A$4:$O$51,15,FALSE()),0)+1*IFERROR(VLOOKUP(INDEX(' Toto teams'!$F$4:$F$119,MATCH($B58,' Toto teams'!$A$4:$A$119,0)),Scoring!$A$4:$O$51,15,FALSE()),0)+1*IFERROR(VLOOKUP(INDEX(' Toto teams'!$G$4:$G$119,MATCH($B58,' Toto teams'!$A$4:$A$119,0)),Scoring!$A$4:$O$51,15,FALSE()),0)+1*IFERROR(VLOOKUP(INDEX(' Toto teams'!$H$4:$H$119,MATCH($B58,' Toto teams'!$A$4:$A$119,0)),Scoring!$A$4:$O$51,15,FALSE()),0))</f>
        <v/>
      </c>
      <c r="J58" s="28">
        <f>IF($B58="","",6*IFERROR(VLOOKUP(INDEX(' Toto teams'!$B$4:$B$119,MATCH($B58,' Toto teams'!$A$4:$A$119,0)),Scoring!$A$4:$N$51,12,FALSE()),0)+4*IFERROR(VLOOKUP(INDEX(' Toto teams'!$C$4:$C$119,MATCH($B58,' Toto teams'!$A$4:$A$119,0)),Scoring!$A$4:$N$51,12,FALSE()),0)+3*IFERROR(VLOOKUP(INDEX(' Toto teams'!$D$4:$D$119,MATCH($B58,' Toto teams'!$A$4:$A$119,0)),Scoring!$A$4:$N$51,12,FALSE()),0)+2*IFERROR(VLOOKUP(INDEX(' Toto teams'!$E$4:$E$119,MATCH($B58,' Toto teams'!$A$4:$A$119,0)),Scoring!$A$4:$N$51,12,FALSE()),0)+1*IFERROR(VLOOKUP(INDEX(' Toto teams'!$F$4:$F$119,MATCH($B58,' Toto teams'!$A$4:$A$119,0)),Scoring!$A$4:$N$51,12,FALSE()),0)+1*IFERROR(VLOOKUP(INDEX(' Toto teams'!$G$4:$G$119,MATCH($B58,' Toto teams'!$A$4:$A$119,0)),Scoring!$A$4:$N$51,12,FALSE()),0)+1*IFERROR(VLOOKUP(INDEX(' Toto teams'!$H$4:$H$119,MATCH($B58,' Toto teams'!$A$4:$A$119,0)),Scoring!$A$4:$N$51,12,FALSE()),0))</f>
        <v/>
      </c>
      <c r="K58" s="29">
        <f>IF($B58="","",IFERROR(INDEX(' Toto teams'!$R$4:$R$119,MATCH($B58,' Toto teams'!$A$4:$A$119,0)),""))</f>
        <v/>
      </c>
      <c r="L58" s="30">
        <f>IFERROR(IF(B58="","",VLOOKUP(A58,$N$4:$R$12,5,FALSE())),0)</f>
        <v/>
      </c>
    </row>
    <row r="59" ht="12.75" customHeight="1">
      <c r="A59" s="26">
        <f>IF(56&gt;COUNTIF(' Toto teams'!$A$4:$A$119,"&lt;&gt;"),"",INDEX(' Toto teams'!$S$4:$S$119,MATCH(LARGE(' Toto teams'!$T$4:$T$119,56),' Toto teams'!$T$4:$T$119,0)))</f>
        <v/>
      </c>
      <c r="B59" s="27">
        <f>IF(56&gt;COUNTIF(' Toto teams'!$A$4:$A$119,"&lt;&gt;"),"",INDEX(' Toto teams'!$A$4:$A$119,MATCH(LARGE(' Toto teams'!$T$4:$T$119,56),' Toto teams'!$T$4:$T$119,0)))</f>
        <v/>
      </c>
      <c r="C59" s="28">
        <f>IF($B59="","",6*(IFERROR(VLOOKUP(INDEX(' Toto teams'!$B$4:$B$119,MATCH($B59,' Toto teams'!$A$4:$A$119,0)),Scoring!$A$4:$N$51,3,FALSE()),0)+IFERROR(VLOOKUP(INDEX(' Toto teams'!$B$4:$B$119,MATCH($B59,' Toto teams'!$A$4:$A$119,0)),Scoring!$A$4:$N$51,4,FALSE()),0)+IFERROR(VLOOKUP(INDEX(' Toto teams'!$B$4:$B$119,MATCH($B59,' Toto teams'!$A$4:$A$119,0)),Scoring!$A$4:$N$51,5,FALSE()),0))+4*(IFERROR(VLOOKUP(INDEX(' Toto teams'!$C$4:$C$119,MATCH($B59,' Toto teams'!$A$4:$A$119,0)),Scoring!$A$4:$N$51,3,FALSE()),0)+IFERROR(VLOOKUP(INDEX(' Toto teams'!$C$4:$C$119,MATCH($B59,' Toto teams'!$A$4:$A$119,0)),Scoring!$A$4:$N$51,4,FALSE()),0)+IFERROR(VLOOKUP(INDEX(' Toto teams'!$C$4:$C$119,MATCH($B59,' Toto teams'!$A$4:$A$119,0)),Scoring!$A$4:$N$51,5,FALSE()),0))+3*(IFERROR(VLOOKUP(INDEX(' Toto teams'!$D$4:$D$119,MATCH($B59,' Toto teams'!$A$4:$A$119,0)),Scoring!$A$4:$N$51,3,FALSE()),0)+IFERROR(VLOOKUP(INDEX(' Toto teams'!$D$4:$D$119,MATCH($B59,' Toto teams'!$A$4:$A$119,0)),Scoring!$A$4:$N$51,4,FALSE()),0)+IFERROR(VLOOKUP(INDEX(' Toto teams'!$D$4:$D$119,MATCH($B59,' Toto teams'!$A$4:$A$119,0)),Scoring!$A$4:$N$51,5,FALSE()),0))+2*(IFERROR(VLOOKUP(INDEX(' Toto teams'!$E$4:$E$119,MATCH($B59,' Toto teams'!$A$4:$A$119,0)),Scoring!$A$4:$N$51,3,FALSE()),0)+IFERROR(VLOOKUP(INDEX(' Toto teams'!$E$4:$E$119,MATCH($B59,' Toto teams'!$A$4:$A$119,0)),Scoring!$A$4:$N$51,4,FALSE()),0)+IFERROR(VLOOKUP(INDEX(' Toto teams'!$E$4:$E$119,MATCH($B59,' Toto teams'!$A$4:$A$119,0)),Scoring!$A$4:$N$51,5,FALSE()),0))+1*(IFERROR(VLOOKUP(INDEX(' Toto teams'!$F$4:$F$119,MATCH($B59,' Toto teams'!$A$4:$A$119,0)),Scoring!$A$4:$N$51,3,FALSE()),0)+IFERROR(VLOOKUP(INDEX(' Toto teams'!$F$4:$F$119,MATCH($B59,' Toto teams'!$A$4:$A$119,0)),Scoring!$A$4:$N$51,4,FALSE()),0)+IFERROR(VLOOKUP(INDEX(' Toto teams'!$F$4:$F$119,MATCH($B59,' Toto teams'!$A$4:$A$119,0)),Scoring!$A$4:$N$51,5,FALSE()),0))+1*(IFERROR(VLOOKUP(INDEX(' Toto teams'!$G$4:$G$119,MATCH($B59,' Toto teams'!$A$4:$A$119,0)),Scoring!$A$4:$N$51,3,FALSE()),0)+IFERROR(VLOOKUP(INDEX(' Toto teams'!$G$4:$G$119,MATCH($B59,' Toto teams'!$A$4:$A$119,0)),Scoring!$A$4:$N$51,4,FALSE()),0)+IFERROR(VLOOKUP(INDEX(' Toto teams'!$G$4:$G$119,MATCH($B59,' Toto teams'!$A$4:$A$119,0)),Scoring!$A$4:$N$51,5,FALSE()),0))+1*(IFERROR(VLOOKUP(INDEX(' Toto teams'!$H$4:$H$119,MATCH($B59,' Toto teams'!$A$4:$A$119,0)),Scoring!$A$4:$N$51,3,FALSE()),0)+IFERROR(VLOOKUP(INDEX(' Toto teams'!$H$4:$H$119,MATCH($B59,' Toto teams'!$A$4:$A$119,0)),Scoring!$A$4:$N$51,4,FALSE()),0)+IFERROR(VLOOKUP(INDEX(' Toto teams'!$H$4:$H$119,MATCH($B59,' Toto teams'!$A$4:$A$119,0)),Scoring!$A$4:$N$51,5,FALSE()),0))+IFERROR(INDEX(' Toto teams'!$Q$4:$Q$119,MATCH($B59,' Toto teams'!$A$4:$A$119,0))*1,0))</f>
        <v/>
      </c>
      <c r="D59" s="28">
        <f>IF($B59="","",6*IFERROR(VLOOKUP(INDEX(' Toto teams'!$B$4:$B$119,MATCH($B59,' Toto teams'!$A$4:$A$119,0)),Scoring!$A$4:$N$51,7,FALSE()),0)+4*IFERROR(VLOOKUP(INDEX(' Toto teams'!$C$4:$C$119,MATCH($B59,' Toto teams'!$A$4:$A$119,0)),Scoring!$A$4:$N$51,7,FALSE()),0)+3*IFERROR(VLOOKUP(INDEX(' Toto teams'!$D$4:$D$119,MATCH($B59,' Toto teams'!$A$4:$A$119,0)),Scoring!$A$4:$N$51,7,FALSE()),0)+2*IFERROR(VLOOKUP(INDEX(' Toto teams'!$E$4:$E$119,MATCH($B59,' Toto teams'!$A$4:$A$119,0)),Scoring!$A$4:$N$51,7,FALSE()),0)+1*IFERROR(VLOOKUP(INDEX(' Toto teams'!$F$4:$F$119,MATCH($B59,' Toto teams'!$A$4:$A$119,0)),Scoring!$A$4:$N$51,7,FALSE()),0)+1*IFERROR(VLOOKUP(INDEX(' Toto teams'!$G$4:$G$119,MATCH($B59,' Toto teams'!$A$4:$A$119,0)),Scoring!$A$4:$N$51,7,FALSE()),0)+1*IFERROR(VLOOKUP(INDEX(' Toto teams'!$H$4:$H$119,MATCH($B59,' Toto teams'!$A$4:$A$119,0)),Scoring!$A$4:$N$51,7,FALSE()),0))</f>
        <v/>
      </c>
      <c r="E59" s="28">
        <f>IF($B59="","",6*IFERROR(VLOOKUP(INDEX(' Toto teams'!$B$4:$B$119,MATCH($B59,' Toto teams'!$A$4:$A$119,0)),Scoring!$A$4:$N$51,8,FALSE()),0)+4*IFERROR(VLOOKUP(INDEX(' Toto teams'!$C$4:$C$119,MATCH($B59,' Toto teams'!$A$4:$A$119,0)),Scoring!$A$4:$N$51,8,FALSE()),0)+3*IFERROR(VLOOKUP(INDEX(' Toto teams'!$D$4:$D$119,MATCH($B59,' Toto teams'!$A$4:$A$119,0)),Scoring!$A$4:$N$51,8,FALSE()),0)+2*IFERROR(VLOOKUP(INDEX(' Toto teams'!$E$4:$E$119,MATCH($B59,' Toto teams'!$A$4:$A$119,0)),Scoring!$A$4:$N$51,8,FALSE()),0)+1*IFERROR(VLOOKUP(INDEX(' Toto teams'!$F$4:$F$119,MATCH($B59,' Toto teams'!$A$4:$A$119,0)),Scoring!$A$4:$N$51,8,FALSE()),0)+1*IFERROR(VLOOKUP(INDEX(' Toto teams'!$G$4:$G$119,MATCH($B59,' Toto teams'!$A$4:$A$119,0)),Scoring!$A$4:$N$51,8,FALSE()),0)+1*IFERROR(VLOOKUP(INDEX(' Toto teams'!$H$4:$H$119,MATCH($B59,' Toto teams'!$A$4:$A$119,0)),Scoring!$A$4:$N$51,8,FALSE()),0))</f>
        <v/>
      </c>
      <c r="F59" s="28">
        <f>IF($B59="","",6*IFERROR(VLOOKUP(INDEX(' Toto teams'!$B$4:$B$119,MATCH($B59,' Toto teams'!$A$4:$A$119,0)),Scoring!$A$4:$N$51,9,FALSE()),0)+4*IFERROR(VLOOKUP(INDEX(' Toto teams'!$C$4:$C$119,MATCH($B59,' Toto teams'!$A$4:$A$119,0)),Scoring!$A$4:$N$51,9,FALSE()),0)+3*IFERROR(VLOOKUP(INDEX(' Toto teams'!$D$4:$D$119,MATCH($B59,' Toto teams'!$A$4:$A$119,0)),Scoring!$A$4:$N$51,9,FALSE()),0)+2*IFERROR(VLOOKUP(INDEX(' Toto teams'!$E$4:$E$119,MATCH($B59,' Toto teams'!$A$4:$A$119,0)),Scoring!$A$4:$N$51,9,FALSE()),0)+1*IFERROR(VLOOKUP(INDEX(' Toto teams'!$F$4:$F$119,MATCH($B59,' Toto teams'!$A$4:$A$119,0)),Scoring!$A$4:$N$51,9,FALSE()),0)+1*IFERROR(VLOOKUP(INDEX(' Toto teams'!$G$4:$G$119,MATCH($B59,' Toto teams'!$A$4:$A$119,0)),Scoring!$A$4:$N$51,9,FALSE()),0)+1*IFERROR(VLOOKUP(INDEX(' Toto teams'!$H$4:$H$119,MATCH($B59,' Toto teams'!$A$4:$A$119,0)),Scoring!$A$4:$N$51,9,FALSE()),0))</f>
        <v/>
      </c>
      <c r="G59" s="28">
        <f>IF($B59="","",6*IFERROR(VLOOKUP(INDEX(' Toto teams'!$B$4:$B$119,MATCH($B59,' Toto teams'!$A$4:$A$119,0)),Scoring!$A$4:$N$51,10,FALSE()),0)+4*IFERROR(VLOOKUP(INDEX(' Toto teams'!$C$4:$C$119,MATCH($B59,' Toto teams'!$A$4:$A$119,0)),Scoring!$A$4:$N$51,10,FALSE()),0)+3*IFERROR(VLOOKUP(INDEX(' Toto teams'!$D$4:$D$119,MATCH($B59,' Toto teams'!$A$4:$A$119,0)),Scoring!$A$4:$N$51,10,FALSE()),0)+2*IFERROR(VLOOKUP(INDEX(' Toto teams'!$E$4:$E$119,MATCH($B59,' Toto teams'!$A$4:$A$119,0)),Scoring!$A$4:$N$51,10,FALSE()),0)+1*IFERROR(VLOOKUP(INDEX(' Toto teams'!$F$4:$F$119,MATCH($B59,' Toto teams'!$A$4:$A$119,0)),Scoring!$A$4:$N$51,10,FALSE()),0)+1*IFERROR(VLOOKUP(INDEX(' Toto teams'!$G$4:$G$119,MATCH($B59,' Toto teams'!$A$4:$A$119,0)),Scoring!$A$4:$N$51,10,FALSE()),0)+1*IFERROR(VLOOKUP(INDEX(' Toto teams'!$H$4:$H$119,MATCH($B59,' Toto teams'!$A$4:$A$119,0)),Scoring!$A$4:$N$51,10,FALSE()),0))</f>
        <v/>
      </c>
      <c r="H59" s="28">
        <f>IF($B59="","",6*IFERROR(VLOOKUP(INDEX(' Toto teams'!$B$4:$B$119,MATCH($B59,' Toto teams'!$A$4:$A$119,0)),Scoring!$A$4:$N$51,11,FALSE()),0)+4*IFERROR(VLOOKUP(INDEX(' Toto teams'!$C$4:$C$119,MATCH($B59,' Toto teams'!$A$4:$A$119,0)),Scoring!$A$4:$N$51,11,FALSE()),0)+3*IFERROR(VLOOKUP(INDEX(' Toto teams'!$D$4:$D$119,MATCH($B59,' Toto teams'!$A$4:$A$119,0)),Scoring!$A$4:$N$51,11,FALSE()),0)+2*IFERROR(VLOOKUP(INDEX(' Toto teams'!$E$4:$E$119,MATCH($B59,' Toto teams'!$A$4:$A$119,0)),Scoring!$A$4:$N$51,11,FALSE()),0)+1*IFERROR(VLOOKUP(INDEX(' Toto teams'!$F$4:$F$119,MATCH($B59,' Toto teams'!$A$4:$A$119,0)),Scoring!$A$4:$N$51,11,FALSE()),0)+1*IFERROR(VLOOKUP(INDEX(' Toto teams'!$G$4:$G$119,MATCH($B59,' Toto teams'!$A$4:$A$119,0)),Scoring!$A$4:$N$51,11,FALSE()),0)+1*IFERROR(VLOOKUP(INDEX(' Toto teams'!$H$4:$H$119,MATCH($B59,' Toto teams'!$A$4:$A$119,0)),Scoring!$A$4:$N$51,11,FALSE()),0))</f>
        <v/>
      </c>
      <c r="I59" s="28">
        <f>IF($B59="","",6*IFERROR(VLOOKUP(INDEX(' Toto teams'!$B$4:$B$119,MATCH($B59,' Toto teams'!$A$4:$A$119,0)),Scoring!$A$4:$O$51,15,FALSE()),0)+4*IFERROR(VLOOKUP(INDEX(' Toto teams'!$C$4:$C$119,MATCH($B59,' Toto teams'!$A$4:$A$119,0)),Scoring!$A$4:$O$51,15,FALSE()),0)+3*IFERROR(VLOOKUP(INDEX(' Toto teams'!$D$4:$D$119,MATCH($B59,' Toto teams'!$A$4:$A$119,0)),Scoring!$A$4:$O$51,15,FALSE()),0)+2*IFERROR(VLOOKUP(INDEX(' Toto teams'!$E$4:$E$119,MATCH($B59,' Toto teams'!$A$4:$A$119,0)),Scoring!$A$4:$O$51,15,FALSE()),0)+1*IFERROR(VLOOKUP(INDEX(' Toto teams'!$F$4:$F$119,MATCH($B59,' Toto teams'!$A$4:$A$119,0)),Scoring!$A$4:$O$51,15,FALSE()),0)+1*IFERROR(VLOOKUP(INDEX(' Toto teams'!$G$4:$G$119,MATCH($B59,' Toto teams'!$A$4:$A$119,0)),Scoring!$A$4:$O$51,15,FALSE()),0)+1*IFERROR(VLOOKUP(INDEX(' Toto teams'!$H$4:$H$119,MATCH($B59,' Toto teams'!$A$4:$A$119,0)),Scoring!$A$4:$O$51,15,FALSE()),0))</f>
        <v/>
      </c>
      <c r="J59" s="28">
        <f>IF($B59="","",6*IFERROR(VLOOKUP(INDEX(' Toto teams'!$B$4:$B$119,MATCH($B59,' Toto teams'!$A$4:$A$119,0)),Scoring!$A$4:$N$51,12,FALSE()),0)+4*IFERROR(VLOOKUP(INDEX(' Toto teams'!$C$4:$C$119,MATCH($B59,' Toto teams'!$A$4:$A$119,0)),Scoring!$A$4:$N$51,12,FALSE()),0)+3*IFERROR(VLOOKUP(INDEX(' Toto teams'!$D$4:$D$119,MATCH($B59,' Toto teams'!$A$4:$A$119,0)),Scoring!$A$4:$N$51,12,FALSE()),0)+2*IFERROR(VLOOKUP(INDEX(' Toto teams'!$E$4:$E$119,MATCH($B59,' Toto teams'!$A$4:$A$119,0)),Scoring!$A$4:$N$51,12,FALSE()),0)+1*IFERROR(VLOOKUP(INDEX(' Toto teams'!$F$4:$F$119,MATCH($B59,' Toto teams'!$A$4:$A$119,0)),Scoring!$A$4:$N$51,12,FALSE()),0)+1*IFERROR(VLOOKUP(INDEX(' Toto teams'!$G$4:$G$119,MATCH($B59,' Toto teams'!$A$4:$A$119,0)),Scoring!$A$4:$N$51,12,FALSE()),0)+1*IFERROR(VLOOKUP(INDEX(' Toto teams'!$H$4:$H$119,MATCH($B59,' Toto teams'!$A$4:$A$119,0)),Scoring!$A$4:$N$51,12,FALSE()),0))</f>
        <v/>
      </c>
      <c r="K59" s="29">
        <f>IF($B59="","",IFERROR(INDEX(' Toto teams'!$R$4:$R$119,MATCH($B59,' Toto teams'!$A$4:$A$119,0)),""))</f>
        <v/>
      </c>
      <c r="L59" s="30">
        <f>IFERROR(IF(B59="","",VLOOKUP(A59,$N$4:$R$12,5,FALSE())),0)</f>
        <v/>
      </c>
    </row>
    <row r="60" ht="12.75" customHeight="1">
      <c r="A60" s="26">
        <f>IF(57&gt;COUNTIF(' Toto teams'!$A$4:$A$119,"&lt;&gt;"),"",INDEX(' Toto teams'!$S$4:$S$119,MATCH(LARGE(' Toto teams'!$T$4:$T$119,57),' Toto teams'!$T$4:$T$119,0)))</f>
        <v/>
      </c>
      <c r="B60" s="27">
        <f>IF(57&gt;COUNTIF(' Toto teams'!$A$4:$A$119,"&lt;&gt;"),"",INDEX(' Toto teams'!$A$4:$A$119,MATCH(LARGE(' Toto teams'!$T$4:$T$119,57),' Toto teams'!$T$4:$T$119,0)))</f>
        <v/>
      </c>
      <c r="C60" s="28">
        <f>IF($B60="","",6*(IFERROR(VLOOKUP(INDEX(' Toto teams'!$B$4:$B$119,MATCH($B60,' Toto teams'!$A$4:$A$119,0)),Scoring!$A$4:$N$51,3,FALSE()),0)+IFERROR(VLOOKUP(INDEX(' Toto teams'!$B$4:$B$119,MATCH($B60,' Toto teams'!$A$4:$A$119,0)),Scoring!$A$4:$N$51,4,FALSE()),0)+IFERROR(VLOOKUP(INDEX(' Toto teams'!$B$4:$B$119,MATCH($B60,' Toto teams'!$A$4:$A$119,0)),Scoring!$A$4:$N$51,5,FALSE()),0))+4*(IFERROR(VLOOKUP(INDEX(' Toto teams'!$C$4:$C$119,MATCH($B60,' Toto teams'!$A$4:$A$119,0)),Scoring!$A$4:$N$51,3,FALSE()),0)+IFERROR(VLOOKUP(INDEX(' Toto teams'!$C$4:$C$119,MATCH($B60,' Toto teams'!$A$4:$A$119,0)),Scoring!$A$4:$N$51,4,FALSE()),0)+IFERROR(VLOOKUP(INDEX(' Toto teams'!$C$4:$C$119,MATCH($B60,' Toto teams'!$A$4:$A$119,0)),Scoring!$A$4:$N$51,5,FALSE()),0))+3*(IFERROR(VLOOKUP(INDEX(' Toto teams'!$D$4:$D$119,MATCH($B60,' Toto teams'!$A$4:$A$119,0)),Scoring!$A$4:$N$51,3,FALSE()),0)+IFERROR(VLOOKUP(INDEX(' Toto teams'!$D$4:$D$119,MATCH($B60,' Toto teams'!$A$4:$A$119,0)),Scoring!$A$4:$N$51,4,FALSE()),0)+IFERROR(VLOOKUP(INDEX(' Toto teams'!$D$4:$D$119,MATCH($B60,' Toto teams'!$A$4:$A$119,0)),Scoring!$A$4:$N$51,5,FALSE()),0))+2*(IFERROR(VLOOKUP(INDEX(' Toto teams'!$E$4:$E$119,MATCH($B60,' Toto teams'!$A$4:$A$119,0)),Scoring!$A$4:$N$51,3,FALSE()),0)+IFERROR(VLOOKUP(INDEX(' Toto teams'!$E$4:$E$119,MATCH($B60,' Toto teams'!$A$4:$A$119,0)),Scoring!$A$4:$N$51,4,FALSE()),0)+IFERROR(VLOOKUP(INDEX(' Toto teams'!$E$4:$E$119,MATCH($B60,' Toto teams'!$A$4:$A$119,0)),Scoring!$A$4:$N$51,5,FALSE()),0))+1*(IFERROR(VLOOKUP(INDEX(' Toto teams'!$F$4:$F$119,MATCH($B60,' Toto teams'!$A$4:$A$119,0)),Scoring!$A$4:$N$51,3,FALSE()),0)+IFERROR(VLOOKUP(INDEX(' Toto teams'!$F$4:$F$119,MATCH($B60,' Toto teams'!$A$4:$A$119,0)),Scoring!$A$4:$N$51,4,FALSE()),0)+IFERROR(VLOOKUP(INDEX(' Toto teams'!$F$4:$F$119,MATCH($B60,' Toto teams'!$A$4:$A$119,0)),Scoring!$A$4:$N$51,5,FALSE()),0))+1*(IFERROR(VLOOKUP(INDEX(' Toto teams'!$G$4:$G$119,MATCH($B60,' Toto teams'!$A$4:$A$119,0)),Scoring!$A$4:$N$51,3,FALSE()),0)+IFERROR(VLOOKUP(INDEX(' Toto teams'!$G$4:$G$119,MATCH($B60,' Toto teams'!$A$4:$A$119,0)),Scoring!$A$4:$N$51,4,FALSE()),0)+IFERROR(VLOOKUP(INDEX(' Toto teams'!$G$4:$G$119,MATCH($B60,' Toto teams'!$A$4:$A$119,0)),Scoring!$A$4:$N$51,5,FALSE()),0))+1*(IFERROR(VLOOKUP(INDEX(' Toto teams'!$H$4:$H$119,MATCH($B60,' Toto teams'!$A$4:$A$119,0)),Scoring!$A$4:$N$51,3,FALSE()),0)+IFERROR(VLOOKUP(INDEX(' Toto teams'!$H$4:$H$119,MATCH($B60,' Toto teams'!$A$4:$A$119,0)),Scoring!$A$4:$N$51,4,FALSE()),0)+IFERROR(VLOOKUP(INDEX(' Toto teams'!$H$4:$H$119,MATCH($B60,' Toto teams'!$A$4:$A$119,0)),Scoring!$A$4:$N$51,5,FALSE()),0))+IFERROR(INDEX(' Toto teams'!$Q$4:$Q$119,MATCH($B60,' Toto teams'!$A$4:$A$119,0))*1,0))</f>
        <v/>
      </c>
      <c r="D60" s="28">
        <f>IF($B60="","",6*IFERROR(VLOOKUP(INDEX(' Toto teams'!$B$4:$B$119,MATCH($B60,' Toto teams'!$A$4:$A$119,0)),Scoring!$A$4:$N$51,7,FALSE()),0)+4*IFERROR(VLOOKUP(INDEX(' Toto teams'!$C$4:$C$119,MATCH($B60,' Toto teams'!$A$4:$A$119,0)),Scoring!$A$4:$N$51,7,FALSE()),0)+3*IFERROR(VLOOKUP(INDEX(' Toto teams'!$D$4:$D$119,MATCH($B60,' Toto teams'!$A$4:$A$119,0)),Scoring!$A$4:$N$51,7,FALSE()),0)+2*IFERROR(VLOOKUP(INDEX(' Toto teams'!$E$4:$E$119,MATCH($B60,' Toto teams'!$A$4:$A$119,0)),Scoring!$A$4:$N$51,7,FALSE()),0)+1*IFERROR(VLOOKUP(INDEX(' Toto teams'!$F$4:$F$119,MATCH($B60,' Toto teams'!$A$4:$A$119,0)),Scoring!$A$4:$N$51,7,FALSE()),0)+1*IFERROR(VLOOKUP(INDEX(' Toto teams'!$G$4:$G$119,MATCH($B60,' Toto teams'!$A$4:$A$119,0)),Scoring!$A$4:$N$51,7,FALSE()),0)+1*IFERROR(VLOOKUP(INDEX(' Toto teams'!$H$4:$H$119,MATCH($B60,' Toto teams'!$A$4:$A$119,0)),Scoring!$A$4:$N$51,7,FALSE()),0))</f>
        <v/>
      </c>
      <c r="E60" s="28">
        <f>IF($B60="","",6*IFERROR(VLOOKUP(INDEX(' Toto teams'!$B$4:$B$119,MATCH($B60,' Toto teams'!$A$4:$A$119,0)),Scoring!$A$4:$N$51,8,FALSE()),0)+4*IFERROR(VLOOKUP(INDEX(' Toto teams'!$C$4:$C$119,MATCH($B60,' Toto teams'!$A$4:$A$119,0)),Scoring!$A$4:$N$51,8,FALSE()),0)+3*IFERROR(VLOOKUP(INDEX(' Toto teams'!$D$4:$D$119,MATCH($B60,' Toto teams'!$A$4:$A$119,0)),Scoring!$A$4:$N$51,8,FALSE()),0)+2*IFERROR(VLOOKUP(INDEX(' Toto teams'!$E$4:$E$119,MATCH($B60,' Toto teams'!$A$4:$A$119,0)),Scoring!$A$4:$N$51,8,FALSE()),0)+1*IFERROR(VLOOKUP(INDEX(' Toto teams'!$F$4:$F$119,MATCH($B60,' Toto teams'!$A$4:$A$119,0)),Scoring!$A$4:$N$51,8,FALSE()),0)+1*IFERROR(VLOOKUP(INDEX(' Toto teams'!$G$4:$G$119,MATCH($B60,' Toto teams'!$A$4:$A$119,0)),Scoring!$A$4:$N$51,8,FALSE()),0)+1*IFERROR(VLOOKUP(INDEX(' Toto teams'!$H$4:$H$119,MATCH($B60,' Toto teams'!$A$4:$A$119,0)),Scoring!$A$4:$N$51,8,FALSE()),0))</f>
        <v/>
      </c>
      <c r="F60" s="28">
        <f>IF($B60="","",6*IFERROR(VLOOKUP(INDEX(' Toto teams'!$B$4:$B$119,MATCH($B60,' Toto teams'!$A$4:$A$119,0)),Scoring!$A$4:$N$51,9,FALSE()),0)+4*IFERROR(VLOOKUP(INDEX(' Toto teams'!$C$4:$C$119,MATCH($B60,' Toto teams'!$A$4:$A$119,0)),Scoring!$A$4:$N$51,9,FALSE()),0)+3*IFERROR(VLOOKUP(INDEX(' Toto teams'!$D$4:$D$119,MATCH($B60,' Toto teams'!$A$4:$A$119,0)),Scoring!$A$4:$N$51,9,FALSE()),0)+2*IFERROR(VLOOKUP(INDEX(' Toto teams'!$E$4:$E$119,MATCH($B60,' Toto teams'!$A$4:$A$119,0)),Scoring!$A$4:$N$51,9,FALSE()),0)+1*IFERROR(VLOOKUP(INDEX(' Toto teams'!$F$4:$F$119,MATCH($B60,' Toto teams'!$A$4:$A$119,0)),Scoring!$A$4:$N$51,9,FALSE()),0)+1*IFERROR(VLOOKUP(INDEX(' Toto teams'!$G$4:$G$119,MATCH($B60,' Toto teams'!$A$4:$A$119,0)),Scoring!$A$4:$N$51,9,FALSE()),0)+1*IFERROR(VLOOKUP(INDEX(' Toto teams'!$H$4:$H$119,MATCH($B60,' Toto teams'!$A$4:$A$119,0)),Scoring!$A$4:$N$51,9,FALSE()),0))</f>
        <v/>
      </c>
      <c r="G60" s="28">
        <f>IF($B60="","",6*IFERROR(VLOOKUP(INDEX(' Toto teams'!$B$4:$B$119,MATCH($B60,' Toto teams'!$A$4:$A$119,0)),Scoring!$A$4:$N$51,10,FALSE()),0)+4*IFERROR(VLOOKUP(INDEX(' Toto teams'!$C$4:$C$119,MATCH($B60,' Toto teams'!$A$4:$A$119,0)),Scoring!$A$4:$N$51,10,FALSE()),0)+3*IFERROR(VLOOKUP(INDEX(' Toto teams'!$D$4:$D$119,MATCH($B60,' Toto teams'!$A$4:$A$119,0)),Scoring!$A$4:$N$51,10,FALSE()),0)+2*IFERROR(VLOOKUP(INDEX(' Toto teams'!$E$4:$E$119,MATCH($B60,' Toto teams'!$A$4:$A$119,0)),Scoring!$A$4:$N$51,10,FALSE()),0)+1*IFERROR(VLOOKUP(INDEX(' Toto teams'!$F$4:$F$119,MATCH($B60,' Toto teams'!$A$4:$A$119,0)),Scoring!$A$4:$N$51,10,FALSE()),0)+1*IFERROR(VLOOKUP(INDEX(' Toto teams'!$G$4:$G$119,MATCH($B60,' Toto teams'!$A$4:$A$119,0)),Scoring!$A$4:$N$51,10,FALSE()),0)+1*IFERROR(VLOOKUP(INDEX(' Toto teams'!$H$4:$H$119,MATCH($B60,' Toto teams'!$A$4:$A$119,0)),Scoring!$A$4:$N$51,10,FALSE()),0))</f>
        <v/>
      </c>
      <c r="H60" s="28">
        <f>IF($B60="","",6*IFERROR(VLOOKUP(INDEX(' Toto teams'!$B$4:$B$119,MATCH($B60,' Toto teams'!$A$4:$A$119,0)),Scoring!$A$4:$N$51,11,FALSE()),0)+4*IFERROR(VLOOKUP(INDEX(' Toto teams'!$C$4:$C$119,MATCH($B60,' Toto teams'!$A$4:$A$119,0)),Scoring!$A$4:$N$51,11,FALSE()),0)+3*IFERROR(VLOOKUP(INDEX(' Toto teams'!$D$4:$D$119,MATCH($B60,' Toto teams'!$A$4:$A$119,0)),Scoring!$A$4:$N$51,11,FALSE()),0)+2*IFERROR(VLOOKUP(INDEX(' Toto teams'!$E$4:$E$119,MATCH($B60,' Toto teams'!$A$4:$A$119,0)),Scoring!$A$4:$N$51,11,FALSE()),0)+1*IFERROR(VLOOKUP(INDEX(' Toto teams'!$F$4:$F$119,MATCH($B60,' Toto teams'!$A$4:$A$119,0)),Scoring!$A$4:$N$51,11,FALSE()),0)+1*IFERROR(VLOOKUP(INDEX(' Toto teams'!$G$4:$G$119,MATCH($B60,' Toto teams'!$A$4:$A$119,0)),Scoring!$A$4:$N$51,11,FALSE()),0)+1*IFERROR(VLOOKUP(INDEX(' Toto teams'!$H$4:$H$119,MATCH($B60,' Toto teams'!$A$4:$A$119,0)),Scoring!$A$4:$N$51,11,FALSE()),0))</f>
        <v/>
      </c>
      <c r="I60" s="28">
        <f>IF($B60="","",6*IFERROR(VLOOKUP(INDEX(' Toto teams'!$B$4:$B$119,MATCH($B60,' Toto teams'!$A$4:$A$119,0)),Scoring!$A$4:$O$51,15,FALSE()),0)+4*IFERROR(VLOOKUP(INDEX(' Toto teams'!$C$4:$C$119,MATCH($B60,' Toto teams'!$A$4:$A$119,0)),Scoring!$A$4:$O$51,15,FALSE()),0)+3*IFERROR(VLOOKUP(INDEX(' Toto teams'!$D$4:$D$119,MATCH($B60,' Toto teams'!$A$4:$A$119,0)),Scoring!$A$4:$O$51,15,FALSE()),0)+2*IFERROR(VLOOKUP(INDEX(' Toto teams'!$E$4:$E$119,MATCH($B60,' Toto teams'!$A$4:$A$119,0)),Scoring!$A$4:$O$51,15,FALSE()),0)+1*IFERROR(VLOOKUP(INDEX(' Toto teams'!$F$4:$F$119,MATCH($B60,' Toto teams'!$A$4:$A$119,0)),Scoring!$A$4:$O$51,15,FALSE()),0)+1*IFERROR(VLOOKUP(INDEX(' Toto teams'!$G$4:$G$119,MATCH($B60,' Toto teams'!$A$4:$A$119,0)),Scoring!$A$4:$O$51,15,FALSE()),0)+1*IFERROR(VLOOKUP(INDEX(' Toto teams'!$H$4:$H$119,MATCH($B60,' Toto teams'!$A$4:$A$119,0)),Scoring!$A$4:$O$51,15,FALSE()),0))</f>
        <v/>
      </c>
      <c r="J60" s="28">
        <f>IF($B60="","",6*IFERROR(VLOOKUP(INDEX(' Toto teams'!$B$4:$B$119,MATCH($B60,' Toto teams'!$A$4:$A$119,0)),Scoring!$A$4:$N$51,12,FALSE()),0)+4*IFERROR(VLOOKUP(INDEX(' Toto teams'!$C$4:$C$119,MATCH($B60,' Toto teams'!$A$4:$A$119,0)),Scoring!$A$4:$N$51,12,FALSE()),0)+3*IFERROR(VLOOKUP(INDEX(' Toto teams'!$D$4:$D$119,MATCH($B60,' Toto teams'!$A$4:$A$119,0)),Scoring!$A$4:$N$51,12,FALSE()),0)+2*IFERROR(VLOOKUP(INDEX(' Toto teams'!$E$4:$E$119,MATCH($B60,' Toto teams'!$A$4:$A$119,0)),Scoring!$A$4:$N$51,12,FALSE()),0)+1*IFERROR(VLOOKUP(INDEX(' Toto teams'!$F$4:$F$119,MATCH($B60,' Toto teams'!$A$4:$A$119,0)),Scoring!$A$4:$N$51,12,FALSE()),0)+1*IFERROR(VLOOKUP(INDEX(' Toto teams'!$G$4:$G$119,MATCH($B60,' Toto teams'!$A$4:$A$119,0)),Scoring!$A$4:$N$51,12,FALSE()),0)+1*IFERROR(VLOOKUP(INDEX(' Toto teams'!$H$4:$H$119,MATCH($B60,' Toto teams'!$A$4:$A$119,0)),Scoring!$A$4:$N$51,12,FALSE()),0))</f>
        <v/>
      </c>
      <c r="K60" s="29">
        <f>IF($B60="","",IFERROR(INDEX(' Toto teams'!$R$4:$R$119,MATCH($B60,' Toto teams'!$A$4:$A$119,0)),""))</f>
        <v/>
      </c>
      <c r="L60" s="30">
        <f>IFERROR(IF(B60="","",VLOOKUP(A60,$N$4:$R$12,5,FALSE())),0)</f>
        <v/>
      </c>
    </row>
    <row r="61" ht="12.75" customHeight="1">
      <c r="A61" s="26">
        <f>IF(58&gt;COUNTIF(' Toto teams'!$A$4:$A$119,"&lt;&gt;"),"",INDEX(' Toto teams'!$S$4:$S$119,MATCH(LARGE(' Toto teams'!$T$4:$T$119,58),' Toto teams'!$T$4:$T$119,0)))</f>
        <v/>
      </c>
      <c r="B61" s="27">
        <f>IF(58&gt;COUNTIF(' Toto teams'!$A$4:$A$119,"&lt;&gt;"),"",INDEX(' Toto teams'!$A$4:$A$119,MATCH(LARGE(' Toto teams'!$T$4:$T$119,58),' Toto teams'!$T$4:$T$119,0)))</f>
        <v/>
      </c>
      <c r="C61" s="28">
        <f>IF($B61="","",6*(IFERROR(VLOOKUP(INDEX(' Toto teams'!$B$4:$B$119,MATCH($B61,' Toto teams'!$A$4:$A$119,0)),Scoring!$A$4:$N$51,3,FALSE()),0)+IFERROR(VLOOKUP(INDEX(' Toto teams'!$B$4:$B$119,MATCH($B61,' Toto teams'!$A$4:$A$119,0)),Scoring!$A$4:$N$51,4,FALSE()),0)+IFERROR(VLOOKUP(INDEX(' Toto teams'!$B$4:$B$119,MATCH($B61,' Toto teams'!$A$4:$A$119,0)),Scoring!$A$4:$N$51,5,FALSE()),0))+4*(IFERROR(VLOOKUP(INDEX(' Toto teams'!$C$4:$C$119,MATCH($B61,' Toto teams'!$A$4:$A$119,0)),Scoring!$A$4:$N$51,3,FALSE()),0)+IFERROR(VLOOKUP(INDEX(' Toto teams'!$C$4:$C$119,MATCH($B61,' Toto teams'!$A$4:$A$119,0)),Scoring!$A$4:$N$51,4,FALSE()),0)+IFERROR(VLOOKUP(INDEX(' Toto teams'!$C$4:$C$119,MATCH($B61,' Toto teams'!$A$4:$A$119,0)),Scoring!$A$4:$N$51,5,FALSE()),0))+3*(IFERROR(VLOOKUP(INDEX(' Toto teams'!$D$4:$D$119,MATCH($B61,' Toto teams'!$A$4:$A$119,0)),Scoring!$A$4:$N$51,3,FALSE()),0)+IFERROR(VLOOKUP(INDEX(' Toto teams'!$D$4:$D$119,MATCH($B61,' Toto teams'!$A$4:$A$119,0)),Scoring!$A$4:$N$51,4,FALSE()),0)+IFERROR(VLOOKUP(INDEX(' Toto teams'!$D$4:$D$119,MATCH($B61,' Toto teams'!$A$4:$A$119,0)),Scoring!$A$4:$N$51,5,FALSE()),0))+2*(IFERROR(VLOOKUP(INDEX(' Toto teams'!$E$4:$E$119,MATCH($B61,' Toto teams'!$A$4:$A$119,0)),Scoring!$A$4:$N$51,3,FALSE()),0)+IFERROR(VLOOKUP(INDEX(' Toto teams'!$E$4:$E$119,MATCH($B61,' Toto teams'!$A$4:$A$119,0)),Scoring!$A$4:$N$51,4,FALSE()),0)+IFERROR(VLOOKUP(INDEX(' Toto teams'!$E$4:$E$119,MATCH($B61,' Toto teams'!$A$4:$A$119,0)),Scoring!$A$4:$N$51,5,FALSE()),0))+1*(IFERROR(VLOOKUP(INDEX(' Toto teams'!$F$4:$F$119,MATCH($B61,' Toto teams'!$A$4:$A$119,0)),Scoring!$A$4:$N$51,3,FALSE()),0)+IFERROR(VLOOKUP(INDEX(' Toto teams'!$F$4:$F$119,MATCH($B61,' Toto teams'!$A$4:$A$119,0)),Scoring!$A$4:$N$51,4,FALSE()),0)+IFERROR(VLOOKUP(INDEX(' Toto teams'!$F$4:$F$119,MATCH($B61,' Toto teams'!$A$4:$A$119,0)),Scoring!$A$4:$N$51,5,FALSE()),0))+1*(IFERROR(VLOOKUP(INDEX(' Toto teams'!$G$4:$G$119,MATCH($B61,' Toto teams'!$A$4:$A$119,0)),Scoring!$A$4:$N$51,3,FALSE()),0)+IFERROR(VLOOKUP(INDEX(' Toto teams'!$G$4:$G$119,MATCH($B61,' Toto teams'!$A$4:$A$119,0)),Scoring!$A$4:$N$51,4,FALSE()),0)+IFERROR(VLOOKUP(INDEX(' Toto teams'!$G$4:$G$119,MATCH($B61,' Toto teams'!$A$4:$A$119,0)),Scoring!$A$4:$N$51,5,FALSE()),0))+1*(IFERROR(VLOOKUP(INDEX(' Toto teams'!$H$4:$H$119,MATCH($B61,' Toto teams'!$A$4:$A$119,0)),Scoring!$A$4:$N$51,3,FALSE()),0)+IFERROR(VLOOKUP(INDEX(' Toto teams'!$H$4:$H$119,MATCH($B61,' Toto teams'!$A$4:$A$119,0)),Scoring!$A$4:$N$51,4,FALSE()),0)+IFERROR(VLOOKUP(INDEX(' Toto teams'!$H$4:$H$119,MATCH($B61,' Toto teams'!$A$4:$A$119,0)),Scoring!$A$4:$N$51,5,FALSE()),0))+IFERROR(INDEX(' Toto teams'!$Q$4:$Q$119,MATCH($B61,' Toto teams'!$A$4:$A$119,0))*1,0))</f>
        <v/>
      </c>
      <c r="D61" s="28">
        <f>IF($B61="","",6*IFERROR(VLOOKUP(INDEX(' Toto teams'!$B$4:$B$119,MATCH($B61,' Toto teams'!$A$4:$A$119,0)),Scoring!$A$4:$N$51,7,FALSE()),0)+4*IFERROR(VLOOKUP(INDEX(' Toto teams'!$C$4:$C$119,MATCH($B61,' Toto teams'!$A$4:$A$119,0)),Scoring!$A$4:$N$51,7,FALSE()),0)+3*IFERROR(VLOOKUP(INDEX(' Toto teams'!$D$4:$D$119,MATCH($B61,' Toto teams'!$A$4:$A$119,0)),Scoring!$A$4:$N$51,7,FALSE()),0)+2*IFERROR(VLOOKUP(INDEX(' Toto teams'!$E$4:$E$119,MATCH($B61,' Toto teams'!$A$4:$A$119,0)),Scoring!$A$4:$N$51,7,FALSE()),0)+1*IFERROR(VLOOKUP(INDEX(' Toto teams'!$F$4:$F$119,MATCH($B61,' Toto teams'!$A$4:$A$119,0)),Scoring!$A$4:$N$51,7,FALSE()),0)+1*IFERROR(VLOOKUP(INDEX(' Toto teams'!$G$4:$G$119,MATCH($B61,' Toto teams'!$A$4:$A$119,0)),Scoring!$A$4:$N$51,7,FALSE()),0)+1*IFERROR(VLOOKUP(INDEX(' Toto teams'!$H$4:$H$119,MATCH($B61,' Toto teams'!$A$4:$A$119,0)),Scoring!$A$4:$N$51,7,FALSE()),0))</f>
        <v/>
      </c>
      <c r="E61" s="28">
        <f>IF($B61="","",6*IFERROR(VLOOKUP(INDEX(' Toto teams'!$B$4:$B$119,MATCH($B61,' Toto teams'!$A$4:$A$119,0)),Scoring!$A$4:$N$51,8,FALSE()),0)+4*IFERROR(VLOOKUP(INDEX(' Toto teams'!$C$4:$C$119,MATCH($B61,' Toto teams'!$A$4:$A$119,0)),Scoring!$A$4:$N$51,8,FALSE()),0)+3*IFERROR(VLOOKUP(INDEX(' Toto teams'!$D$4:$D$119,MATCH($B61,' Toto teams'!$A$4:$A$119,0)),Scoring!$A$4:$N$51,8,FALSE()),0)+2*IFERROR(VLOOKUP(INDEX(' Toto teams'!$E$4:$E$119,MATCH($B61,' Toto teams'!$A$4:$A$119,0)),Scoring!$A$4:$N$51,8,FALSE()),0)+1*IFERROR(VLOOKUP(INDEX(' Toto teams'!$F$4:$F$119,MATCH($B61,' Toto teams'!$A$4:$A$119,0)),Scoring!$A$4:$N$51,8,FALSE()),0)+1*IFERROR(VLOOKUP(INDEX(' Toto teams'!$G$4:$G$119,MATCH($B61,' Toto teams'!$A$4:$A$119,0)),Scoring!$A$4:$N$51,8,FALSE()),0)+1*IFERROR(VLOOKUP(INDEX(' Toto teams'!$H$4:$H$119,MATCH($B61,' Toto teams'!$A$4:$A$119,0)),Scoring!$A$4:$N$51,8,FALSE()),0))</f>
        <v/>
      </c>
      <c r="F61" s="28">
        <f>IF($B61="","",6*IFERROR(VLOOKUP(INDEX(' Toto teams'!$B$4:$B$119,MATCH($B61,' Toto teams'!$A$4:$A$119,0)),Scoring!$A$4:$N$51,9,FALSE()),0)+4*IFERROR(VLOOKUP(INDEX(' Toto teams'!$C$4:$C$119,MATCH($B61,' Toto teams'!$A$4:$A$119,0)),Scoring!$A$4:$N$51,9,FALSE()),0)+3*IFERROR(VLOOKUP(INDEX(' Toto teams'!$D$4:$D$119,MATCH($B61,' Toto teams'!$A$4:$A$119,0)),Scoring!$A$4:$N$51,9,FALSE()),0)+2*IFERROR(VLOOKUP(INDEX(' Toto teams'!$E$4:$E$119,MATCH($B61,' Toto teams'!$A$4:$A$119,0)),Scoring!$A$4:$N$51,9,FALSE()),0)+1*IFERROR(VLOOKUP(INDEX(' Toto teams'!$F$4:$F$119,MATCH($B61,' Toto teams'!$A$4:$A$119,0)),Scoring!$A$4:$N$51,9,FALSE()),0)+1*IFERROR(VLOOKUP(INDEX(' Toto teams'!$G$4:$G$119,MATCH($B61,' Toto teams'!$A$4:$A$119,0)),Scoring!$A$4:$N$51,9,FALSE()),0)+1*IFERROR(VLOOKUP(INDEX(' Toto teams'!$H$4:$H$119,MATCH($B61,' Toto teams'!$A$4:$A$119,0)),Scoring!$A$4:$N$51,9,FALSE()),0))</f>
        <v/>
      </c>
      <c r="G61" s="28">
        <f>IF($B61="","",6*IFERROR(VLOOKUP(INDEX(' Toto teams'!$B$4:$B$119,MATCH($B61,' Toto teams'!$A$4:$A$119,0)),Scoring!$A$4:$N$51,10,FALSE()),0)+4*IFERROR(VLOOKUP(INDEX(' Toto teams'!$C$4:$C$119,MATCH($B61,' Toto teams'!$A$4:$A$119,0)),Scoring!$A$4:$N$51,10,FALSE()),0)+3*IFERROR(VLOOKUP(INDEX(' Toto teams'!$D$4:$D$119,MATCH($B61,' Toto teams'!$A$4:$A$119,0)),Scoring!$A$4:$N$51,10,FALSE()),0)+2*IFERROR(VLOOKUP(INDEX(' Toto teams'!$E$4:$E$119,MATCH($B61,' Toto teams'!$A$4:$A$119,0)),Scoring!$A$4:$N$51,10,FALSE()),0)+1*IFERROR(VLOOKUP(INDEX(' Toto teams'!$F$4:$F$119,MATCH($B61,' Toto teams'!$A$4:$A$119,0)),Scoring!$A$4:$N$51,10,FALSE()),0)+1*IFERROR(VLOOKUP(INDEX(' Toto teams'!$G$4:$G$119,MATCH($B61,' Toto teams'!$A$4:$A$119,0)),Scoring!$A$4:$N$51,10,FALSE()),0)+1*IFERROR(VLOOKUP(INDEX(' Toto teams'!$H$4:$H$119,MATCH($B61,' Toto teams'!$A$4:$A$119,0)),Scoring!$A$4:$N$51,10,FALSE()),0))</f>
        <v/>
      </c>
      <c r="H61" s="28">
        <f>IF($B61="","",6*IFERROR(VLOOKUP(INDEX(' Toto teams'!$B$4:$B$119,MATCH($B61,' Toto teams'!$A$4:$A$119,0)),Scoring!$A$4:$N$51,11,FALSE()),0)+4*IFERROR(VLOOKUP(INDEX(' Toto teams'!$C$4:$C$119,MATCH($B61,' Toto teams'!$A$4:$A$119,0)),Scoring!$A$4:$N$51,11,FALSE()),0)+3*IFERROR(VLOOKUP(INDEX(' Toto teams'!$D$4:$D$119,MATCH($B61,' Toto teams'!$A$4:$A$119,0)),Scoring!$A$4:$N$51,11,FALSE()),0)+2*IFERROR(VLOOKUP(INDEX(' Toto teams'!$E$4:$E$119,MATCH($B61,' Toto teams'!$A$4:$A$119,0)),Scoring!$A$4:$N$51,11,FALSE()),0)+1*IFERROR(VLOOKUP(INDEX(' Toto teams'!$F$4:$F$119,MATCH($B61,' Toto teams'!$A$4:$A$119,0)),Scoring!$A$4:$N$51,11,FALSE()),0)+1*IFERROR(VLOOKUP(INDEX(' Toto teams'!$G$4:$G$119,MATCH($B61,' Toto teams'!$A$4:$A$119,0)),Scoring!$A$4:$N$51,11,FALSE()),0)+1*IFERROR(VLOOKUP(INDEX(' Toto teams'!$H$4:$H$119,MATCH($B61,' Toto teams'!$A$4:$A$119,0)),Scoring!$A$4:$N$51,11,FALSE()),0))</f>
        <v/>
      </c>
      <c r="I61" s="28">
        <f>IF($B61="","",6*IFERROR(VLOOKUP(INDEX(' Toto teams'!$B$4:$B$119,MATCH($B61,' Toto teams'!$A$4:$A$119,0)),Scoring!$A$4:$O$51,15,FALSE()),0)+4*IFERROR(VLOOKUP(INDEX(' Toto teams'!$C$4:$C$119,MATCH($B61,' Toto teams'!$A$4:$A$119,0)),Scoring!$A$4:$O$51,15,FALSE()),0)+3*IFERROR(VLOOKUP(INDEX(' Toto teams'!$D$4:$D$119,MATCH($B61,' Toto teams'!$A$4:$A$119,0)),Scoring!$A$4:$O$51,15,FALSE()),0)+2*IFERROR(VLOOKUP(INDEX(' Toto teams'!$E$4:$E$119,MATCH($B61,' Toto teams'!$A$4:$A$119,0)),Scoring!$A$4:$O$51,15,FALSE()),0)+1*IFERROR(VLOOKUP(INDEX(' Toto teams'!$F$4:$F$119,MATCH($B61,' Toto teams'!$A$4:$A$119,0)),Scoring!$A$4:$O$51,15,FALSE()),0)+1*IFERROR(VLOOKUP(INDEX(' Toto teams'!$G$4:$G$119,MATCH($B61,' Toto teams'!$A$4:$A$119,0)),Scoring!$A$4:$O$51,15,FALSE()),0)+1*IFERROR(VLOOKUP(INDEX(' Toto teams'!$H$4:$H$119,MATCH($B61,' Toto teams'!$A$4:$A$119,0)),Scoring!$A$4:$O$51,15,FALSE()),0))</f>
        <v/>
      </c>
      <c r="J61" s="28">
        <f>IF($B61="","",6*IFERROR(VLOOKUP(INDEX(' Toto teams'!$B$4:$B$119,MATCH($B61,' Toto teams'!$A$4:$A$119,0)),Scoring!$A$4:$N$51,12,FALSE()),0)+4*IFERROR(VLOOKUP(INDEX(' Toto teams'!$C$4:$C$119,MATCH($B61,' Toto teams'!$A$4:$A$119,0)),Scoring!$A$4:$N$51,12,FALSE()),0)+3*IFERROR(VLOOKUP(INDEX(' Toto teams'!$D$4:$D$119,MATCH($B61,' Toto teams'!$A$4:$A$119,0)),Scoring!$A$4:$N$51,12,FALSE()),0)+2*IFERROR(VLOOKUP(INDEX(' Toto teams'!$E$4:$E$119,MATCH($B61,' Toto teams'!$A$4:$A$119,0)),Scoring!$A$4:$N$51,12,FALSE()),0)+1*IFERROR(VLOOKUP(INDEX(' Toto teams'!$F$4:$F$119,MATCH($B61,' Toto teams'!$A$4:$A$119,0)),Scoring!$A$4:$N$51,12,FALSE()),0)+1*IFERROR(VLOOKUP(INDEX(' Toto teams'!$G$4:$G$119,MATCH($B61,' Toto teams'!$A$4:$A$119,0)),Scoring!$A$4:$N$51,12,FALSE()),0)+1*IFERROR(VLOOKUP(INDEX(' Toto teams'!$H$4:$H$119,MATCH($B61,' Toto teams'!$A$4:$A$119,0)),Scoring!$A$4:$N$51,12,FALSE()),0))</f>
        <v/>
      </c>
      <c r="K61" s="29">
        <f>IF($B61="","",IFERROR(INDEX(' Toto teams'!$R$4:$R$119,MATCH($B61,' Toto teams'!$A$4:$A$119,0)),""))</f>
        <v/>
      </c>
      <c r="L61" s="30">
        <f>IFERROR(IF(B61="","",VLOOKUP(A61,$N$4:$R$12,5,FALSE())),0)</f>
        <v/>
      </c>
    </row>
    <row r="62" ht="12.75" customHeight="1">
      <c r="A62" s="26">
        <f>IF(59&gt;COUNTIF(' Toto teams'!$A$4:$A$119,"&lt;&gt;"),"",INDEX(' Toto teams'!$S$4:$S$119,MATCH(LARGE(' Toto teams'!$T$4:$T$119,59),' Toto teams'!$T$4:$T$119,0)))</f>
        <v/>
      </c>
      <c r="B62" s="27">
        <f>IF(59&gt;COUNTIF(' Toto teams'!$A$4:$A$119,"&lt;&gt;"),"",INDEX(' Toto teams'!$A$4:$A$119,MATCH(LARGE(' Toto teams'!$T$4:$T$119,59),' Toto teams'!$T$4:$T$119,0)))</f>
        <v/>
      </c>
      <c r="C62" s="28">
        <f>IF($B62="","",6*(IFERROR(VLOOKUP(INDEX(' Toto teams'!$B$4:$B$119,MATCH($B62,' Toto teams'!$A$4:$A$119,0)),Scoring!$A$4:$N$51,3,FALSE()),0)+IFERROR(VLOOKUP(INDEX(' Toto teams'!$B$4:$B$119,MATCH($B62,' Toto teams'!$A$4:$A$119,0)),Scoring!$A$4:$N$51,4,FALSE()),0)+IFERROR(VLOOKUP(INDEX(' Toto teams'!$B$4:$B$119,MATCH($B62,' Toto teams'!$A$4:$A$119,0)),Scoring!$A$4:$N$51,5,FALSE()),0))+4*(IFERROR(VLOOKUP(INDEX(' Toto teams'!$C$4:$C$119,MATCH($B62,' Toto teams'!$A$4:$A$119,0)),Scoring!$A$4:$N$51,3,FALSE()),0)+IFERROR(VLOOKUP(INDEX(' Toto teams'!$C$4:$C$119,MATCH($B62,' Toto teams'!$A$4:$A$119,0)),Scoring!$A$4:$N$51,4,FALSE()),0)+IFERROR(VLOOKUP(INDEX(' Toto teams'!$C$4:$C$119,MATCH($B62,' Toto teams'!$A$4:$A$119,0)),Scoring!$A$4:$N$51,5,FALSE()),0))+3*(IFERROR(VLOOKUP(INDEX(' Toto teams'!$D$4:$D$119,MATCH($B62,' Toto teams'!$A$4:$A$119,0)),Scoring!$A$4:$N$51,3,FALSE()),0)+IFERROR(VLOOKUP(INDEX(' Toto teams'!$D$4:$D$119,MATCH($B62,' Toto teams'!$A$4:$A$119,0)),Scoring!$A$4:$N$51,4,FALSE()),0)+IFERROR(VLOOKUP(INDEX(' Toto teams'!$D$4:$D$119,MATCH($B62,' Toto teams'!$A$4:$A$119,0)),Scoring!$A$4:$N$51,5,FALSE()),0))+2*(IFERROR(VLOOKUP(INDEX(' Toto teams'!$E$4:$E$119,MATCH($B62,' Toto teams'!$A$4:$A$119,0)),Scoring!$A$4:$N$51,3,FALSE()),0)+IFERROR(VLOOKUP(INDEX(' Toto teams'!$E$4:$E$119,MATCH($B62,' Toto teams'!$A$4:$A$119,0)),Scoring!$A$4:$N$51,4,FALSE()),0)+IFERROR(VLOOKUP(INDEX(' Toto teams'!$E$4:$E$119,MATCH($B62,' Toto teams'!$A$4:$A$119,0)),Scoring!$A$4:$N$51,5,FALSE()),0))+1*(IFERROR(VLOOKUP(INDEX(' Toto teams'!$F$4:$F$119,MATCH($B62,' Toto teams'!$A$4:$A$119,0)),Scoring!$A$4:$N$51,3,FALSE()),0)+IFERROR(VLOOKUP(INDEX(' Toto teams'!$F$4:$F$119,MATCH($B62,' Toto teams'!$A$4:$A$119,0)),Scoring!$A$4:$N$51,4,FALSE()),0)+IFERROR(VLOOKUP(INDEX(' Toto teams'!$F$4:$F$119,MATCH($B62,' Toto teams'!$A$4:$A$119,0)),Scoring!$A$4:$N$51,5,FALSE()),0))+1*(IFERROR(VLOOKUP(INDEX(' Toto teams'!$G$4:$G$119,MATCH($B62,' Toto teams'!$A$4:$A$119,0)),Scoring!$A$4:$N$51,3,FALSE()),0)+IFERROR(VLOOKUP(INDEX(' Toto teams'!$G$4:$G$119,MATCH($B62,' Toto teams'!$A$4:$A$119,0)),Scoring!$A$4:$N$51,4,FALSE()),0)+IFERROR(VLOOKUP(INDEX(' Toto teams'!$G$4:$G$119,MATCH($B62,' Toto teams'!$A$4:$A$119,0)),Scoring!$A$4:$N$51,5,FALSE()),0))+1*(IFERROR(VLOOKUP(INDEX(' Toto teams'!$H$4:$H$119,MATCH($B62,' Toto teams'!$A$4:$A$119,0)),Scoring!$A$4:$N$51,3,FALSE()),0)+IFERROR(VLOOKUP(INDEX(' Toto teams'!$H$4:$H$119,MATCH($B62,' Toto teams'!$A$4:$A$119,0)),Scoring!$A$4:$N$51,4,FALSE()),0)+IFERROR(VLOOKUP(INDEX(' Toto teams'!$H$4:$H$119,MATCH($B62,' Toto teams'!$A$4:$A$119,0)),Scoring!$A$4:$N$51,5,FALSE()),0))+IFERROR(INDEX(' Toto teams'!$Q$4:$Q$119,MATCH($B62,' Toto teams'!$A$4:$A$119,0))*1,0))</f>
        <v/>
      </c>
      <c r="D62" s="28">
        <f>IF($B62="","",6*IFERROR(VLOOKUP(INDEX(' Toto teams'!$B$4:$B$119,MATCH($B62,' Toto teams'!$A$4:$A$119,0)),Scoring!$A$4:$N$51,7,FALSE()),0)+4*IFERROR(VLOOKUP(INDEX(' Toto teams'!$C$4:$C$119,MATCH($B62,' Toto teams'!$A$4:$A$119,0)),Scoring!$A$4:$N$51,7,FALSE()),0)+3*IFERROR(VLOOKUP(INDEX(' Toto teams'!$D$4:$D$119,MATCH($B62,' Toto teams'!$A$4:$A$119,0)),Scoring!$A$4:$N$51,7,FALSE()),0)+2*IFERROR(VLOOKUP(INDEX(' Toto teams'!$E$4:$E$119,MATCH($B62,' Toto teams'!$A$4:$A$119,0)),Scoring!$A$4:$N$51,7,FALSE()),0)+1*IFERROR(VLOOKUP(INDEX(' Toto teams'!$F$4:$F$119,MATCH($B62,' Toto teams'!$A$4:$A$119,0)),Scoring!$A$4:$N$51,7,FALSE()),0)+1*IFERROR(VLOOKUP(INDEX(' Toto teams'!$G$4:$G$119,MATCH($B62,' Toto teams'!$A$4:$A$119,0)),Scoring!$A$4:$N$51,7,FALSE()),0)+1*IFERROR(VLOOKUP(INDEX(' Toto teams'!$H$4:$H$119,MATCH($B62,' Toto teams'!$A$4:$A$119,0)),Scoring!$A$4:$N$51,7,FALSE()),0))</f>
        <v/>
      </c>
      <c r="E62" s="28">
        <f>IF($B62="","",6*IFERROR(VLOOKUP(INDEX(' Toto teams'!$B$4:$B$119,MATCH($B62,' Toto teams'!$A$4:$A$119,0)),Scoring!$A$4:$N$51,8,FALSE()),0)+4*IFERROR(VLOOKUP(INDEX(' Toto teams'!$C$4:$C$119,MATCH($B62,' Toto teams'!$A$4:$A$119,0)),Scoring!$A$4:$N$51,8,FALSE()),0)+3*IFERROR(VLOOKUP(INDEX(' Toto teams'!$D$4:$D$119,MATCH($B62,' Toto teams'!$A$4:$A$119,0)),Scoring!$A$4:$N$51,8,FALSE()),0)+2*IFERROR(VLOOKUP(INDEX(' Toto teams'!$E$4:$E$119,MATCH($B62,' Toto teams'!$A$4:$A$119,0)),Scoring!$A$4:$N$51,8,FALSE()),0)+1*IFERROR(VLOOKUP(INDEX(' Toto teams'!$F$4:$F$119,MATCH($B62,' Toto teams'!$A$4:$A$119,0)),Scoring!$A$4:$N$51,8,FALSE()),0)+1*IFERROR(VLOOKUP(INDEX(' Toto teams'!$G$4:$G$119,MATCH($B62,' Toto teams'!$A$4:$A$119,0)),Scoring!$A$4:$N$51,8,FALSE()),0)+1*IFERROR(VLOOKUP(INDEX(' Toto teams'!$H$4:$H$119,MATCH($B62,' Toto teams'!$A$4:$A$119,0)),Scoring!$A$4:$N$51,8,FALSE()),0))</f>
        <v/>
      </c>
      <c r="F62" s="28">
        <f>IF($B62="","",6*IFERROR(VLOOKUP(INDEX(' Toto teams'!$B$4:$B$119,MATCH($B62,' Toto teams'!$A$4:$A$119,0)),Scoring!$A$4:$N$51,9,FALSE()),0)+4*IFERROR(VLOOKUP(INDEX(' Toto teams'!$C$4:$C$119,MATCH($B62,' Toto teams'!$A$4:$A$119,0)),Scoring!$A$4:$N$51,9,FALSE()),0)+3*IFERROR(VLOOKUP(INDEX(' Toto teams'!$D$4:$D$119,MATCH($B62,' Toto teams'!$A$4:$A$119,0)),Scoring!$A$4:$N$51,9,FALSE()),0)+2*IFERROR(VLOOKUP(INDEX(' Toto teams'!$E$4:$E$119,MATCH($B62,' Toto teams'!$A$4:$A$119,0)),Scoring!$A$4:$N$51,9,FALSE()),0)+1*IFERROR(VLOOKUP(INDEX(' Toto teams'!$F$4:$F$119,MATCH($B62,' Toto teams'!$A$4:$A$119,0)),Scoring!$A$4:$N$51,9,FALSE()),0)+1*IFERROR(VLOOKUP(INDEX(' Toto teams'!$G$4:$G$119,MATCH($B62,' Toto teams'!$A$4:$A$119,0)),Scoring!$A$4:$N$51,9,FALSE()),0)+1*IFERROR(VLOOKUP(INDEX(' Toto teams'!$H$4:$H$119,MATCH($B62,' Toto teams'!$A$4:$A$119,0)),Scoring!$A$4:$N$51,9,FALSE()),0))</f>
        <v/>
      </c>
      <c r="G62" s="28">
        <f>IF($B62="","",6*IFERROR(VLOOKUP(INDEX(' Toto teams'!$B$4:$B$119,MATCH($B62,' Toto teams'!$A$4:$A$119,0)),Scoring!$A$4:$N$51,10,FALSE()),0)+4*IFERROR(VLOOKUP(INDEX(' Toto teams'!$C$4:$C$119,MATCH($B62,' Toto teams'!$A$4:$A$119,0)),Scoring!$A$4:$N$51,10,FALSE()),0)+3*IFERROR(VLOOKUP(INDEX(' Toto teams'!$D$4:$D$119,MATCH($B62,' Toto teams'!$A$4:$A$119,0)),Scoring!$A$4:$N$51,10,FALSE()),0)+2*IFERROR(VLOOKUP(INDEX(' Toto teams'!$E$4:$E$119,MATCH($B62,' Toto teams'!$A$4:$A$119,0)),Scoring!$A$4:$N$51,10,FALSE()),0)+1*IFERROR(VLOOKUP(INDEX(' Toto teams'!$F$4:$F$119,MATCH($B62,' Toto teams'!$A$4:$A$119,0)),Scoring!$A$4:$N$51,10,FALSE()),0)+1*IFERROR(VLOOKUP(INDEX(' Toto teams'!$G$4:$G$119,MATCH($B62,' Toto teams'!$A$4:$A$119,0)),Scoring!$A$4:$N$51,10,FALSE()),0)+1*IFERROR(VLOOKUP(INDEX(' Toto teams'!$H$4:$H$119,MATCH($B62,' Toto teams'!$A$4:$A$119,0)),Scoring!$A$4:$N$51,10,FALSE()),0))</f>
        <v/>
      </c>
      <c r="H62" s="28">
        <f>IF($B62="","",6*IFERROR(VLOOKUP(INDEX(' Toto teams'!$B$4:$B$119,MATCH($B62,' Toto teams'!$A$4:$A$119,0)),Scoring!$A$4:$N$51,11,FALSE()),0)+4*IFERROR(VLOOKUP(INDEX(' Toto teams'!$C$4:$C$119,MATCH($B62,' Toto teams'!$A$4:$A$119,0)),Scoring!$A$4:$N$51,11,FALSE()),0)+3*IFERROR(VLOOKUP(INDEX(' Toto teams'!$D$4:$D$119,MATCH($B62,' Toto teams'!$A$4:$A$119,0)),Scoring!$A$4:$N$51,11,FALSE()),0)+2*IFERROR(VLOOKUP(INDEX(' Toto teams'!$E$4:$E$119,MATCH($B62,' Toto teams'!$A$4:$A$119,0)),Scoring!$A$4:$N$51,11,FALSE()),0)+1*IFERROR(VLOOKUP(INDEX(' Toto teams'!$F$4:$F$119,MATCH($B62,' Toto teams'!$A$4:$A$119,0)),Scoring!$A$4:$N$51,11,FALSE()),0)+1*IFERROR(VLOOKUP(INDEX(' Toto teams'!$G$4:$G$119,MATCH($B62,' Toto teams'!$A$4:$A$119,0)),Scoring!$A$4:$N$51,11,FALSE()),0)+1*IFERROR(VLOOKUP(INDEX(' Toto teams'!$H$4:$H$119,MATCH($B62,' Toto teams'!$A$4:$A$119,0)),Scoring!$A$4:$N$51,11,FALSE()),0))</f>
        <v/>
      </c>
      <c r="I62" s="28">
        <f>IF($B62="","",6*IFERROR(VLOOKUP(INDEX(' Toto teams'!$B$4:$B$119,MATCH($B62,' Toto teams'!$A$4:$A$119,0)),Scoring!$A$4:$O$51,15,FALSE()),0)+4*IFERROR(VLOOKUP(INDEX(' Toto teams'!$C$4:$C$119,MATCH($B62,' Toto teams'!$A$4:$A$119,0)),Scoring!$A$4:$O$51,15,FALSE()),0)+3*IFERROR(VLOOKUP(INDEX(' Toto teams'!$D$4:$D$119,MATCH($B62,' Toto teams'!$A$4:$A$119,0)),Scoring!$A$4:$O$51,15,FALSE()),0)+2*IFERROR(VLOOKUP(INDEX(' Toto teams'!$E$4:$E$119,MATCH($B62,' Toto teams'!$A$4:$A$119,0)),Scoring!$A$4:$O$51,15,FALSE()),0)+1*IFERROR(VLOOKUP(INDEX(' Toto teams'!$F$4:$F$119,MATCH($B62,' Toto teams'!$A$4:$A$119,0)),Scoring!$A$4:$O$51,15,FALSE()),0)+1*IFERROR(VLOOKUP(INDEX(' Toto teams'!$G$4:$G$119,MATCH($B62,' Toto teams'!$A$4:$A$119,0)),Scoring!$A$4:$O$51,15,FALSE()),0)+1*IFERROR(VLOOKUP(INDEX(' Toto teams'!$H$4:$H$119,MATCH($B62,' Toto teams'!$A$4:$A$119,0)),Scoring!$A$4:$O$51,15,FALSE()),0))</f>
        <v/>
      </c>
      <c r="J62" s="28">
        <f>IF($B62="","",6*IFERROR(VLOOKUP(INDEX(' Toto teams'!$B$4:$B$119,MATCH($B62,' Toto teams'!$A$4:$A$119,0)),Scoring!$A$4:$N$51,12,FALSE()),0)+4*IFERROR(VLOOKUP(INDEX(' Toto teams'!$C$4:$C$119,MATCH($B62,' Toto teams'!$A$4:$A$119,0)),Scoring!$A$4:$N$51,12,FALSE()),0)+3*IFERROR(VLOOKUP(INDEX(' Toto teams'!$D$4:$D$119,MATCH($B62,' Toto teams'!$A$4:$A$119,0)),Scoring!$A$4:$N$51,12,FALSE()),0)+2*IFERROR(VLOOKUP(INDEX(' Toto teams'!$E$4:$E$119,MATCH($B62,' Toto teams'!$A$4:$A$119,0)),Scoring!$A$4:$N$51,12,FALSE()),0)+1*IFERROR(VLOOKUP(INDEX(' Toto teams'!$F$4:$F$119,MATCH($B62,' Toto teams'!$A$4:$A$119,0)),Scoring!$A$4:$N$51,12,FALSE()),0)+1*IFERROR(VLOOKUP(INDEX(' Toto teams'!$G$4:$G$119,MATCH($B62,' Toto teams'!$A$4:$A$119,0)),Scoring!$A$4:$N$51,12,FALSE()),0)+1*IFERROR(VLOOKUP(INDEX(' Toto teams'!$H$4:$H$119,MATCH($B62,' Toto teams'!$A$4:$A$119,0)),Scoring!$A$4:$N$51,12,FALSE()),0))</f>
        <v/>
      </c>
      <c r="K62" s="29">
        <f>IF($B62="","",IFERROR(INDEX(' Toto teams'!$R$4:$R$119,MATCH($B62,' Toto teams'!$A$4:$A$119,0)),""))</f>
        <v/>
      </c>
      <c r="L62" s="30">
        <f>IFERROR(IF(B62="","",VLOOKUP(A62,$N$4:$R$12,5,FALSE())),0)</f>
        <v/>
      </c>
    </row>
    <row r="63" ht="12.75" customHeight="1">
      <c r="A63" s="26">
        <f>IF(60&gt;COUNTIF(' Toto teams'!$A$4:$A$119,"&lt;&gt;"),"",INDEX(' Toto teams'!$S$4:$S$119,MATCH(LARGE(' Toto teams'!$T$4:$T$119,60),' Toto teams'!$T$4:$T$119,0)))</f>
        <v/>
      </c>
      <c r="B63" s="27">
        <f>IF(60&gt;COUNTIF(' Toto teams'!$A$4:$A$119,"&lt;&gt;"),"",INDEX(' Toto teams'!$A$4:$A$119,MATCH(LARGE(' Toto teams'!$T$4:$T$119,60),' Toto teams'!$T$4:$T$119,0)))</f>
        <v/>
      </c>
      <c r="C63" s="28">
        <f>IF($B63="","",6*(IFERROR(VLOOKUP(INDEX(' Toto teams'!$B$4:$B$119,MATCH($B63,' Toto teams'!$A$4:$A$119,0)),Scoring!$A$4:$N$51,3,FALSE()),0)+IFERROR(VLOOKUP(INDEX(' Toto teams'!$B$4:$B$119,MATCH($B63,' Toto teams'!$A$4:$A$119,0)),Scoring!$A$4:$N$51,4,FALSE()),0)+IFERROR(VLOOKUP(INDEX(' Toto teams'!$B$4:$B$119,MATCH($B63,' Toto teams'!$A$4:$A$119,0)),Scoring!$A$4:$N$51,5,FALSE()),0))+4*(IFERROR(VLOOKUP(INDEX(' Toto teams'!$C$4:$C$119,MATCH($B63,' Toto teams'!$A$4:$A$119,0)),Scoring!$A$4:$N$51,3,FALSE()),0)+IFERROR(VLOOKUP(INDEX(' Toto teams'!$C$4:$C$119,MATCH($B63,' Toto teams'!$A$4:$A$119,0)),Scoring!$A$4:$N$51,4,FALSE()),0)+IFERROR(VLOOKUP(INDEX(' Toto teams'!$C$4:$C$119,MATCH($B63,' Toto teams'!$A$4:$A$119,0)),Scoring!$A$4:$N$51,5,FALSE()),0))+3*(IFERROR(VLOOKUP(INDEX(' Toto teams'!$D$4:$D$119,MATCH($B63,' Toto teams'!$A$4:$A$119,0)),Scoring!$A$4:$N$51,3,FALSE()),0)+IFERROR(VLOOKUP(INDEX(' Toto teams'!$D$4:$D$119,MATCH($B63,' Toto teams'!$A$4:$A$119,0)),Scoring!$A$4:$N$51,4,FALSE()),0)+IFERROR(VLOOKUP(INDEX(' Toto teams'!$D$4:$D$119,MATCH($B63,' Toto teams'!$A$4:$A$119,0)),Scoring!$A$4:$N$51,5,FALSE()),0))+2*(IFERROR(VLOOKUP(INDEX(' Toto teams'!$E$4:$E$119,MATCH($B63,' Toto teams'!$A$4:$A$119,0)),Scoring!$A$4:$N$51,3,FALSE()),0)+IFERROR(VLOOKUP(INDEX(' Toto teams'!$E$4:$E$119,MATCH($B63,' Toto teams'!$A$4:$A$119,0)),Scoring!$A$4:$N$51,4,FALSE()),0)+IFERROR(VLOOKUP(INDEX(' Toto teams'!$E$4:$E$119,MATCH($B63,' Toto teams'!$A$4:$A$119,0)),Scoring!$A$4:$N$51,5,FALSE()),0))+1*(IFERROR(VLOOKUP(INDEX(' Toto teams'!$F$4:$F$119,MATCH($B63,' Toto teams'!$A$4:$A$119,0)),Scoring!$A$4:$N$51,3,FALSE()),0)+IFERROR(VLOOKUP(INDEX(' Toto teams'!$F$4:$F$119,MATCH($B63,' Toto teams'!$A$4:$A$119,0)),Scoring!$A$4:$N$51,4,FALSE()),0)+IFERROR(VLOOKUP(INDEX(' Toto teams'!$F$4:$F$119,MATCH($B63,' Toto teams'!$A$4:$A$119,0)),Scoring!$A$4:$N$51,5,FALSE()),0))+1*(IFERROR(VLOOKUP(INDEX(' Toto teams'!$G$4:$G$119,MATCH($B63,' Toto teams'!$A$4:$A$119,0)),Scoring!$A$4:$N$51,3,FALSE()),0)+IFERROR(VLOOKUP(INDEX(' Toto teams'!$G$4:$G$119,MATCH($B63,' Toto teams'!$A$4:$A$119,0)),Scoring!$A$4:$N$51,4,FALSE()),0)+IFERROR(VLOOKUP(INDEX(' Toto teams'!$G$4:$G$119,MATCH($B63,' Toto teams'!$A$4:$A$119,0)),Scoring!$A$4:$N$51,5,FALSE()),0))+1*(IFERROR(VLOOKUP(INDEX(' Toto teams'!$H$4:$H$119,MATCH($B63,' Toto teams'!$A$4:$A$119,0)),Scoring!$A$4:$N$51,3,FALSE()),0)+IFERROR(VLOOKUP(INDEX(' Toto teams'!$H$4:$H$119,MATCH($B63,' Toto teams'!$A$4:$A$119,0)),Scoring!$A$4:$N$51,4,FALSE()),0)+IFERROR(VLOOKUP(INDEX(' Toto teams'!$H$4:$H$119,MATCH($B63,' Toto teams'!$A$4:$A$119,0)),Scoring!$A$4:$N$51,5,FALSE()),0))+IFERROR(INDEX(' Toto teams'!$Q$4:$Q$119,MATCH($B63,' Toto teams'!$A$4:$A$119,0))*1,0))</f>
        <v/>
      </c>
      <c r="D63" s="28">
        <f>IF($B63="","",6*IFERROR(VLOOKUP(INDEX(' Toto teams'!$B$4:$B$119,MATCH($B63,' Toto teams'!$A$4:$A$119,0)),Scoring!$A$4:$N$51,7,FALSE()),0)+4*IFERROR(VLOOKUP(INDEX(' Toto teams'!$C$4:$C$119,MATCH($B63,' Toto teams'!$A$4:$A$119,0)),Scoring!$A$4:$N$51,7,FALSE()),0)+3*IFERROR(VLOOKUP(INDEX(' Toto teams'!$D$4:$D$119,MATCH($B63,' Toto teams'!$A$4:$A$119,0)),Scoring!$A$4:$N$51,7,FALSE()),0)+2*IFERROR(VLOOKUP(INDEX(' Toto teams'!$E$4:$E$119,MATCH($B63,' Toto teams'!$A$4:$A$119,0)),Scoring!$A$4:$N$51,7,FALSE()),0)+1*IFERROR(VLOOKUP(INDEX(' Toto teams'!$F$4:$F$119,MATCH($B63,' Toto teams'!$A$4:$A$119,0)),Scoring!$A$4:$N$51,7,FALSE()),0)+1*IFERROR(VLOOKUP(INDEX(' Toto teams'!$G$4:$G$119,MATCH($B63,' Toto teams'!$A$4:$A$119,0)),Scoring!$A$4:$N$51,7,FALSE()),0)+1*IFERROR(VLOOKUP(INDEX(' Toto teams'!$H$4:$H$119,MATCH($B63,' Toto teams'!$A$4:$A$119,0)),Scoring!$A$4:$N$51,7,FALSE()),0))</f>
        <v/>
      </c>
      <c r="E63" s="28">
        <f>IF($B63="","",6*IFERROR(VLOOKUP(INDEX(' Toto teams'!$B$4:$B$119,MATCH($B63,' Toto teams'!$A$4:$A$119,0)),Scoring!$A$4:$N$51,8,FALSE()),0)+4*IFERROR(VLOOKUP(INDEX(' Toto teams'!$C$4:$C$119,MATCH($B63,' Toto teams'!$A$4:$A$119,0)),Scoring!$A$4:$N$51,8,FALSE()),0)+3*IFERROR(VLOOKUP(INDEX(' Toto teams'!$D$4:$D$119,MATCH($B63,' Toto teams'!$A$4:$A$119,0)),Scoring!$A$4:$N$51,8,FALSE()),0)+2*IFERROR(VLOOKUP(INDEX(' Toto teams'!$E$4:$E$119,MATCH($B63,' Toto teams'!$A$4:$A$119,0)),Scoring!$A$4:$N$51,8,FALSE()),0)+1*IFERROR(VLOOKUP(INDEX(' Toto teams'!$F$4:$F$119,MATCH($B63,' Toto teams'!$A$4:$A$119,0)),Scoring!$A$4:$N$51,8,FALSE()),0)+1*IFERROR(VLOOKUP(INDEX(' Toto teams'!$G$4:$G$119,MATCH($B63,' Toto teams'!$A$4:$A$119,0)),Scoring!$A$4:$N$51,8,FALSE()),0)+1*IFERROR(VLOOKUP(INDEX(' Toto teams'!$H$4:$H$119,MATCH($B63,' Toto teams'!$A$4:$A$119,0)),Scoring!$A$4:$N$51,8,FALSE()),0))</f>
        <v/>
      </c>
      <c r="F63" s="28">
        <f>IF($B63="","",6*IFERROR(VLOOKUP(INDEX(' Toto teams'!$B$4:$B$119,MATCH($B63,' Toto teams'!$A$4:$A$119,0)),Scoring!$A$4:$N$51,9,FALSE()),0)+4*IFERROR(VLOOKUP(INDEX(' Toto teams'!$C$4:$C$119,MATCH($B63,' Toto teams'!$A$4:$A$119,0)),Scoring!$A$4:$N$51,9,FALSE()),0)+3*IFERROR(VLOOKUP(INDEX(' Toto teams'!$D$4:$D$119,MATCH($B63,' Toto teams'!$A$4:$A$119,0)),Scoring!$A$4:$N$51,9,FALSE()),0)+2*IFERROR(VLOOKUP(INDEX(' Toto teams'!$E$4:$E$119,MATCH($B63,' Toto teams'!$A$4:$A$119,0)),Scoring!$A$4:$N$51,9,FALSE()),0)+1*IFERROR(VLOOKUP(INDEX(' Toto teams'!$F$4:$F$119,MATCH($B63,' Toto teams'!$A$4:$A$119,0)),Scoring!$A$4:$N$51,9,FALSE()),0)+1*IFERROR(VLOOKUP(INDEX(' Toto teams'!$G$4:$G$119,MATCH($B63,' Toto teams'!$A$4:$A$119,0)),Scoring!$A$4:$N$51,9,FALSE()),0)+1*IFERROR(VLOOKUP(INDEX(' Toto teams'!$H$4:$H$119,MATCH($B63,' Toto teams'!$A$4:$A$119,0)),Scoring!$A$4:$N$51,9,FALSE()),0))</f>
        <v/>
      </c>
      <c r="G63" s="28">
        <f>IF($B63="","",6*IFERROR(VLOOKUP(INDEX(' Toto teams'!$B$4:$B$119,MATCH($B63,' Toto teams'!$A$4:$A$119,0)),Scoring!$A$4:$N$51,10,FALSE()),0)+4*IFERROR(VLOOKUP(INDEX(' Toto teams'!$C$4:$C$119,MATCH($B63,' Toto teams'!$A$4:$A$119,0)),Scoring!$A$4:$N$51,10,FALSE()),0)+3*IFERROR(VLOOKUP(INDEX(' Toto teams'!$D$4:$D$119,MATCH($B63,' Toto teams'!$A$4:$A$119,0)),Scoring!$A$4:$N$51,10,FALSE()),0)+2*IFERROR(VLOOKUP(INDEX(' Toto teams'!$E$4:$E$119,MATCH($B63,' Toto teams'!$A$4:$A$119,0)),Scoring!$A$4:$N$51,10,FALSE()),0)+1*IFERROR(VLOOKUP(INDEX(' Toto teams'!$F$4:$F$119,MATCH($B63,' Toto teams'!$A$4:$A$119,0)),Scoring!$A$4:$N$51,10,FALSE()),0)+1*IFERROR(VLOOKUP(INDEX(' Toto teams'!$G$4:$G$119,MATCH($B63,' Toto teams'!$A$4:$A$119,0)),Scoring!$A$4:$N$51,10,FALSE()),0)+1*IFERROR(VLOOKUP(INDEX(' Toto teams'!$H$4:$H$119,MATCH($B63,' Toto teams'!$A$4:$A$119,0)),Scoring!$A$4:$N$51,10,FALSE()),0))</f>
        <v/>
      </c>
      <c r="H63" s="28">
        <f>IF($B63="","",6*IFERROR(VLOOKUP(INDEX(' Toto teams'!$B$4:$B$119,MATCH($B63,' Toto teams'!$A$4:$A$119,0)),Scoring!$A$4:$N$51,11,FALSE()),0)+4*IFERROR(VLOOKUP(INDEX(' Toto teams'!$C$4:$C$119,MATCH($B63,' Toto teams'!$A$4:$A$119,0)),Scoring!$A$4:$N$51,11,FALSE()),0)+3*IFERROR(VLOOKUP(INDEX(' Toto teams'!$D$4:$D$119,MATCH($B63,' Toto teams'!$A$4:$A$119,0)),Scoring!$A$4:$N$51,11,FALSE()),0)+2*IFERROR(VLOOKUP(INDEX(' Toto teams'!$E$4:$E$119,MATCH($B63,' Toto teams'!$A$4:$A$119,0)),Scoring!$A$4:$N$51,11,FALSE()),0)+1*IFERROR(VLOOKUP(INDEX(' Toto teams'!$F$4:$F$119,MATCH($B63,' Toto teams'!$A$4:$A$119,0)),Scoring!$A$4:$N$51,11,FALSE()),0)+1*IFERROR(VLOOKUP(INDEX(' Toto teams'!$G$4:$G$119,MATCH($B63,' Toto teams'!$A$4:$A$119,0)),Scoring!$A$4:$N$51,11,FALSE()),0)+1*IFERROR(VLOOKUP(INDEX(' Toto teams'!$H$4:$H$119,MATCH($B63,' Toto teams'!$A$4:$A$119,0)),Scoring!$A$4:$N$51,11,FALSE()),0))</f>
        <v/>
      </c>
      <c r="I63" s="28">
        <f>IF($B63="","",6*IFERROR(VLOOKUP(INDEX(' Toto teams'!$B$4:$B$119,MATCH($B63,' Toto teams'!$A$4:$A$119,0)),Scoring!$A$4:$O$51,15,FALSE()),0)+4*IFERROR(VLOOKUP(INDEX(' Toto teams'!$C$4:$C$119,MATCH($B63,' Toto teams'!$A$4:$A$119,0)),Scoring!$A$4:$O$51,15,FALSE()),0)+3*IFERROR(VLOOKUP(INDEX(' Toto teams'!$D$4:$D$119,MATCH($B63,' Toto teams'!$A$4:$A$119,0)),Scoring!$A$4:$O$51,15,FALSE()),0)+2*IFERROR(VLOOKUP(INDEX(' Toto teams'!$E$4:$E$119,MATCH($B63,' Toto teams'!$A$4:$A$119,0)),Scoring!$A$4:$O$51,15,FALSE()),0)+1*IFERROR(VLOOKUP(INDEX(' Toto teams'!$F$4:$F$119,MATCH($B63,' Toto teams'!$A$4:$A$119,0)),Scoring!$A$4:$O$51,15,FALSE()),0)+1*IFERROR(VLOOKUP(INDEX(' Toto teams'!$G$4:$G$119,MATCH($B63,' Toto teams'!$A$4:$A$119,0)),Scoring!$A$4:$O$51,15,FALSE()),0)+1*IFERROR(VLOOKUP(INDEX(' Toto teams'!$H$4:$H$119,MATCH($B63,' Toto teams'!$A$4:$A$119,0)),Scoring!$A$4:$O$51,15,FALSE()),0))</f>
        <v/>
      </c>
      <c r="J63" s="28">
        <f>IF($B63="","",6*IFERROR(VLOOKUP(INDEX(' Toto teams'!$B$4:$B$119,MATCH($B63,' Toto teams'!$A$4:$A$119,0)),Scoring!$A$4:$N$51,12,FALSE()),0)+4*IFERROR(VLOOKUP(INDEX(' Toto teams'!$C$4:$C$119,MATCH($B63,' Toto teams'!$A$4:$A$119,0)),Scoring!$A$4:$N$51,12,FALSE()),0)+3*IFERROR(VLOOKUP(INDEX(' Toto teams'!$D$4:$D$119,MATCH($B63,' Toto teams'!$A$4:$A$119,0)),Scoring!$A$4:$N$51,12,FALSE()),0)+2*IFERROR(VLOOKUP(INDEX(' Toto teams'!$E$4:$E$119,MATCH($B63,' Toto teams'!$A$4:$A$119,0)),Scoring!$A$4:$N$51,12,FALSE()),0)+1*IFERROR(VLOOKUP(INDEX(' Toto teams'!$F$4:$F$119,MATCH($B63,' Toto teams'!$A$4:$A$119,0)),Scoring!$A$4:$N$51,12,FALSE()),0)+1*IFERROR(VLOOKUP(INDEX(' Toto teams'!$G$4:$G$119,MATCH($B63,' Toto teams'!$A$4:$A$119,0)),Scoring!$A$4:$N$51,12,FALSE()),0)+1*IFERROR(VLOOKUP(INDEX(' Toto teams'!$H$4:$H$119,MATCH($B63,' Toto teams'!$A$4:$A$119,0)),Scoring!$A$4:$N$51,12,FALSE()),0))</f>
        <v/>
      </c>
      <c r="K63" s="29">
        <f>IF($B63="","",IFERROR(INDEX(' Toto teams'!$R$4:$R$119,MATCH($B63,' Toto teams'!$A$4:$A$119,0)),""))</f>
        <v/>
      </c>
      <c r="L63" s="30">
        <f>IFERROR(IF(B63="","",VLOOKUP(A63,$N$4:$R$12,5,FALSE())),0)</f>
        <v/>
      </c>
    </row>
    <row r="64" ht="12.75" customHeight="1">
      <c r="A64" s="26">
        <f>IF(61&gt;COUNTIF(' Toto teams'!$A$4:$A$119,"&lt;&gt;"),"",INDEX(' Toto teams'!$S$4:$S$119,MATCH(LARGE(' Toto teams'!$T$4:$T$119,61),' Toto teams'!$T$4:$T$119,0)))</f>
        <v/>
      </c>
      <c r="B64" s="27">
        <f>IF(61&gt;COUNTIF(' Toto teams'!$A$4:$A$119,"&lt;&gt;"),"",INDEX(' Toto teams'!$A$4:$A$119,MATCH(LARGE(' Toto teams'!$T$4:$T$119,61),' Toto teams'!$T$4:$T$119,0)))</f>
        <v/>
      </c>
      <c r="C64" s="28">
        <f>IF($B64="","",6*(IFERROR(VLOOKUP(INDEX(' Toto teams'!$B$4:$B$119,MATCH($B64,' Toto teams'!$A$4:$A$119,0)),Scoring!$A$4:$N$51,3,FALSE()),0)+IFERROR(VLOOKUP(INDEX(' Toto teams'!$B$4:$B$119,MATCH($B64,' Toto teams'!$A$4:$A$119,0)),Scoring!$A$4:$N$51,4,FALSE()),0)+IFERROR(VLOOKUP(INDEX(' Toto teams'!$B$4:$B$119,MATCH($B64,' Toto teams'!$A$4:$A$119,0)),Scoring!$A$4:$N$51,5,FALSE()),0))+4*(IFERROR(VLOOKUP(INDEX(' Toto teams'!$C$4:$C$119,MATCH($B64,' Toto teams'!$A$4:$A$119,0)),Scoring!$A$4:$N$51,3,FALSE()),0)+IFERROR(VLOOKUP(INDEX(' Toto teams'!$C$4:$C$119,MATCH($B64,' Toto teams'!$A$4:$A$119,0)),Scoring!$A$4:$N$51,4,FALSE()),0)+IFERROR(VLOOKUP(INDEX(' Toto teams'!$C$4:$C$119,MATCH($B64,' Toto teams'!$A$4:$A$119,0)),Scoring!$A$4:$N$51,5,FALSE()),0))+3*(IFERROR(VLOOKUP(INDEX(' Toto teams'!$D$4:$D$119,MATCH($B64,' Toto teams'!$A$4:$A$119,0)),Scoring!$A$4:$N$51,3,FALSE()),0)+IFERROR(VLOOKUP(INDEX(' Toto teams'!$D$4:$D$119,MATCH($B64,' Toto teams'!$A$4:$A$119,0)),Scoring!$A$4:$N$51,4,FALSE()),0)+IFERROR(VLOOKUP(INDEX(' Toto teams'!$D$4:$D$119,MATCH($B64,' Toto teams'!$A$4:$A$119,0)),Scoring!$A$4:$N$51,5,FALSE()),0))+2*(IFERROR(VLOOKUP(INDEX(' Toto teams'!$E$4:$E$119,MATCH($B64,' Toto teams'!$A$4:$A$119,0)),Scoring!$A$4:$N$51,3,FALSE()),0)+IFERROR(VLOOKUP(INDEX(' Toto teams'!$E$4:$E$119,MATCH($B64,' Toto teams'!$A$4:$A$119,0)),Scoring!$A$4:$N$51,4,FALSE()),0)+IFERROR(VLOOKUP(INDEX(' Toto teams'!$E$4:$E$119,MATCH($B64,' Toto teams'!$A$4:$A$119,0)),Scoring!$A$4:$N$51,5,FALSE()),0))+1*(IFERROR(VLOOKUP(INDEX(' Toto teams'!$F$4:$F$119,MATCH($B64,' Toto teams'!$A$4:$A$119,0)),Scoring!$A$4:$N$51,3,FALSE()),0)+IFERROR(VLOOKUP(INDEX(' Toto teams'!$F$4:$F$119,MATCH($B64,' Toto teams'!$A$4:$A$119,0)),Scoring!$A$4:$N$51,4,FALSE()),0)+IFERROR(VLOOKUP(INDEX(' Toto teams'!$F$4:$F$119,MATCH($B64,' Toto teams'!$A$4:$A$119,0)),Scoring!$A$4:$N$51,5,FALSE()),0))+1*(IFERROR(VLOOKUP(INDEX(' Toto teams'!$G$4:$G$119,MATCH($B64,' Toto teams'!$A$4:$A$119,0)),Scoring!$A$4:$N$51,3,FALSE()),0)+IFERROR(VLOOKUP(INDEX(' Toto teams'!$G$4:$G$119,MATCH($B64,' Toto teams'!$A$4:$A$119,0)),Scoring!$A$4:$N$51,4,FALSE()),0)+IFERROR(VLOOKUP(INDEX(' Toto teams'!$G$4:$G$119,MATCH($B64,' Toto teams'!$A$4:$A$119,0)),Scoring!$A$4:$N$51,5,FALSE()),0))+1*(IFERROR(VLOOKUP(INDEX(' Toto teams'!$H$4:$H$119,MATCH($B64,' Toto teams'!$A$4:$A$119,0)),Scoring!$A$4:$N$51,3,FALSE()),0)+IFERROR(VLOOKUP(INDEX(' Toto teams'!$H$4:$H$119,MATCH($B64,' Toto teams'!$A$4:$A$119,0)),Scoring!$A$4:$N$51,4,FALSE()),0)+IFERROR(VLOOKUP(INDEX(' Toto teams'!$H$4:$H$119,MATCH($B64,' Toto teams'!$A$4:$A$119,0)),Scoring!$A$4:$N$51,5,FALSE()),0))+IFERROR(INDEX(' Toto teams'!$Q$4:$Q$119,MATCH($B64,' Toto teams'!$A$4:$A$119,0))*1,0))</f>
        <v/>
      </c>
      <c r="D64" s="28">
        <f>IF($B64="","",6*IFERROR(VLOOKUP(INDEX(' Toto teams'!$B$4:$B$119,MATCH($B64,' Toto teams'!$A$4:$A$119,0)),Scoring!$A$4:$N$51,7,FALSE()),0)+4*IFERROR(VLOOKUP(INDEX(' Toto teams'!$C$4:$C$119,MATCH($B64,' Toto teams'!$A$4:$A$119,0)),Scoring!$A$4:$N$51,7,FALSE()),0)+3*IFERROR(VLOOKUP(INDEX(' Toto teams'!$D$4:$D$119,MATCH($B64,' Toto teams'!$A$4:$A$119,0)),Scoring!$A$4:$N$51,7,FALSE()),0)+2*IFERROR(VLOOKUP(INDEX(' Toto teams'!$E$4:$E$119,MATCH($B64,' Toto teams'!$A$4:$A$119,0)),Scoring!$A$4:$N$51,7,FALSE()),0)+1*IFERROR(VLOOKUP(INDEX(' Toto teams'!$F$4:$F$119,MATCH($B64,' Toto teams'!$A$4:$A$119,0)),Scoring!$A$4:$N$51,7,FALSE()),0)+1*IFERROR(VLOOKUP(INDEX(' Toto teams'!$G$4:$G$119,MATCH($B64,' Toto teams'!$A$4:$A$119,0)),Scoring!$A$4:$N$51,7,FALSE()),0)+1*IFERROR(VLOOKUP(INDEX(' Toto teams'!$H$4:$H$119,MATCH($B64,' Toto teams'!$A$4:$A$119,0)),Scoring!$A$4:$N$51,7,FALSE()),0))</f>
        <v/>
      </c>
      <c r="E64" s="28">
        <f>IF($B64="","",6*IFERROR(VLOOKUP(INDEX(' Toto teams'!$B$4:$B$119,MATCH($B64,' Toto teams'!$A$4:$A$119,0)),Scoring!$A$4:$N$51,8,FALSE()),0)+4*IFERROR(VLOOKUP(INDEX(' Toto teams'!$C$4:$C$119,MATCH($B64,' Toto teams'!$A$4:$A$119,0)),Scoring!$A$4:$N$51,8,FALSE()),0)+3*IFERROR(VLOOKUP(INDEX(' Toto teams'!$D$4:$D$119,MATCH($B64,' Toto teams'!$A$4:$A$119,0)),Scoring!$A$4:$N$51,8,FALSE()),0)+2*IFERROR(VLOOKUP(INDEX(' Toto teams'!$E$4:$E$119,MATCH($B64,' Toto teams'!$A$4:$A$119,0)),Scoring!$A$4:$N$51,8,FALSE()),0)+1*IFERROR(VLOOKUP(INDEX(' Toto teams'!$F$4:$F$119,MATCH($B64,' Toto teams'!$A$4:$A$119,0)),Scoring!$A$4:$N$51,8,FALSE()),0)+1*IFERROR(VLOOKUP(INDEX(' Toto teams'!$G$4:$G$119,MATCH($B64,' Toto teams'!$A$4:$A$119,0)),Scoring!$A$4:$N$51,8,FALSE()),0)+1*IFERROR(VLOOKUP(INDEX(' Toto teams'!$H$4:$H$119,MATCH($B64,' Toto teams'!$A$4:$A$119,0)),Scoring!$A$4:$N$51,8,FALSE()),0))</f>
        <v/>
      </c>
      <c r="F64" s="28">
        <f>IF($B64="","",6*IFERROR(VLOOKUP(INDEX(' Toto teams'!$B$4:$B$119,MATCH($B64,' Toto teams'!$A$4:$A$119,0)),Scoring!$A$4:$N$51,9,FALSE()),0)+4*IFERROR(VLOOKUP(INDEX(' Toto teams'!$C$4:$C$119,MATCH($B64,' Toto teams'!$A$4:$A$119,0)),Scoring!$A$4:$N$51,9,FALSE()),0)+3*IFERROR(VLOOKUP(INDEX(' Toto teams'!$D$4:$D$119,MATCH($B64,' Toto teams'!$A$4:$A$119,0)),Scoring!$A$4:$N$51,9,FALSE()),0)+2*IFERROR(VLOOKUP(INDEX(' Toto teams'!$E$4:$E$119,MATCH($B64,' Toto teams'!$A$4:$A$119,0)),Scoring!$A$4:$N$51,9,FALSE()),0)+1*IFERROR(VLOOKUP(INDEX(' Toto teams'!$F$4:$F$119,MATCH($B64,' Toto teams'!$A$4:$A$119,0)),Scoring!$A$4:$N$51,9,FALSE()),0)+1*IFERROR(VLOOKUP(INDEX(' Toto teams'!$G$4:$G$119,MATCH($B64,' Toto teams'!$A$4:$A$119,0)),Scoring!$A$4:$N$51,9,FALSE()),0)+1*IFERROR(VLOOKUP(INDEX(' Toto teams'!$H$4:$H$119,MATCH($B64,' Toto teams'!$A$4:$A$119,0)),Scoring!$A$4:$N$51,9,FALSE()),0))</f>
        <v/>
      </c>
      <c r="G64" s="28">
        <f>IF($B64="","",6*IFERROR(VLOOKUP(INDEX(' Toto teams'!$B$4:$B$119,MATCH($B64,' Toto teams'!$A$4:$A$119,0)),Scoring!$A$4:$N$51,10,FALSE()),0)+4*IFERROR(VLOOKUP(INDEX(' Toto teams'!$C$4:$C$119,MATCH($B64,' Toto teams'!$A$4:$A$119,0)),Scoring!$A$4:$N$51,10,FALSE()),0)+3*IFERROR(VLOOKUP(INDEX(' Toto teams'!$D$4:$D$119,MATCH($B64,' Toto teams'!$A$4:$A$119,0)),Scoring!$A$4:$N$51,10,FALSE()),0)+2*IFERROR(VLOOKUP(INDEX(' Toto teams'!$E$4:$E$119,MATCH($B64,' Toto teams'!$A$4:$A$119,0)),Scoring!$A$4:$N$51,10,FALSE()),0)+1*IFERROR(VLOOKUP(INDEX(' Toto teams'!$F$4:$F$119,MATCH($B64,' Toto teams'!$A$4:$A$119,0)),Scoring!$A$4:$N$51,10,FALSE()),0)+1*IFERROR(VLOOKUP(INDEX(' Toto teams'!$G$4:$G$119,MATCH($B64,' Toto teams'!$A$4:$A$119,0)),Scoring!$A$4:$N$51,10,FALSE()),0)+1*IFERROR(VLOOKUP(INDEX(' Toto teams'!$H$4:$H$119,MATCH($B64,' Toto teams'!$A$4:$A$119,0)),Scoring!$A$4:$N$51,10,FALSE()),0))</f>
        <v/>
      </c>
      <c r="H64" s="28">
        <f>IF($B64="","",6*IFERROR(VLOOKUP(INDEX(' Toto teams'!$B$4:$B$119,MATCH($B64,' Toto teams'!$A$4:$A$119,0)),Scoring!$A$4:$N$51,11,FALSE()),0)+4*IFERROR(VLOOKUP(INDEX(' Toto teams'!$C$4:$C$119,MATCH($B64,' Toto teams'!$A$4:$A$119,0)),Scoring!$A$4:$N$51,11,FALSE()),0)+3*IFERROR(VLOOKUP(INDEX(' Toto teams'!$D$4:$D$119,MATCH($B64,' Toto teams'!$A$4:$A$119,0)),Scoring!$A$4:$N$51,11,FALSE()),0)+2*IFERROR(VLOOKUP(INDEX(' Toto teams'!$E$4:$E$119,MATCH($B64,' Toto teams'!$A$4:$A$119,0)),Scoring!$A$4:$N$51,11,FALSE()),0)+1*IFERROR(VLOOKUP(INDEX(' Toto teams'!$F$4:$F$119,MATCH($B64,' Toto teams'!$A$4:$A$119,0)),Scoring!$A$4:$N$51,11,FALSE()),0)+1*IFERROR(VLOOKUP(INDEX(' Toto teams'!$G$4:$G$119,MATCH($B64,' Toto teams'!$A$4:$A$119,0)),Scoring!$A$4:$N$51,11,FALSE()),0)+1*IFERROR(VLOOKUP(INDEX(' Toto teams'!$H$4:$H$119,MATCH($B64,' Toto teams'!$A$4:$A$119,0)),Scoring!$A$4:$N$51,11,FALSE()),0))</f>
        <v/>
      </c>
      <c r="I64" s="28">
        <f>IF($B64="","",6*IFERROR(VLOOKUP(INDEX(' Toto teams'!$B$4:$B$119,MATCH($B64,' Toto teams'!$A$4:$A$119,0)),Scoring!$A$4:$O$51,15,FALSE()),0)+4*IFERROR(VLOOKUP(INDEX(' Toto teams'!$C$4:$C$119,MATCH($B64,' Toto teams'!$A$4:$A$119,0)),Scoring!$A$4:$O$51,15,FALSE()),0)+3*IFERROR(VLOOKUP(INDEX(' Toto teams'!$D$4:$D$119,MATCH($B64,' Toto teams'!$A$4:$A$119,0)),Scoring!$A$4:$O$51,15,FALSE()),0)+2*IFERROR(VLOOKUP(INDEX(' Toto teams'!$E$4:$E$119,MATCH($B64,' Toto teams'!$A$4:$A$119,0)),Scoring!$A$4:$O$51,15,FALSE()),0)+1*IFERROR(VLOOKUP(INDEX(' Toto teams'!$F$4:$F$119,MATCH($B64,' Toto teams'!$A$4:$A$119,0)),Scoring!$A$4:$O$51,15,FALSE()),0)+1*IFERROR(VLOOKUP(INDEX(' Toto teams'!$G$4:$G$119,MATCH($B64,' Toto teams'!$A$4:$A$119,0)),Scoring!$A$4:$O$51,15,FALSE()),0)+1*IFERROR(VLOOKUP(INDEX(' Toto teams'!$H$4:$H$119,MATCH($B64,' Toto teams'!$A$4:$A$119,0)),Scoring!$A$4:$O$51,15,FALSE()),0))</f>
        <v/>
      </c>
      <c r="J64" s="28">
        <f>IF($B64="","",6*IFERROR(VLOOKUP(INDEX(' Toto teams'!$B$4:$B$119,MATCH($B64,' Toto teams'!$A$4:$A$119,0)),Scoring!$A$4:$N$51,12,FALSE()),0)+4*IFERROR(VLOOKUP(INDEX(' Toto teams'!$C$4:$C$119,MATCH($B64,' Toto teams'!$A$4:$A$119,0)),Scoring!$A$4:$N$51,12,FALSE()),0)+3*IFERROR(VLOOKUP(INDEX(' Toto teams'!$D$4:$D$119,MATCH($B64,' Toto teams'!$A$4:$A$119,0)),Scoring!$A$4:$N$51,12,FALSE()),0)+2*IFERROR(VLOOKUP(INDEX(' Toto teams'!$E$4:$E$119,MATCH($B64,' Toto teams'!$A$4:$A$119,0)),Scoring!$A$4:$N$51,12,FALSE()),0)+1*IFERROR(VLOOKUP(INDEX(' Toto teams'!$F$4:$F$119,MATCH($B64,' Toto teams'!$A$4:$A$119,0)),Scoring!$A$4:$N$51,12,FALSE()),0)+1*IFERROR(VLOOKUP(INDEX(' Toto teams'!$G$4:$G$119,MATCH($B64,' Toto teams'!$A$4:$A$119,0)),Scoring!$A$4:$N$51,12,FALSE()),0)+1*IFERROR(VLOOKUP(INDEX(' Toto teams'!$H$4:$H$119,MATCH($B64,' Toto teams'!$A$4:$A$119,0)),Scoring!$A$4:$N$51,12,FALSE()),0))</f>
        <v/>
      </c>
      <c r="K64" s="29">
        <f>IF($B64="","",IFERROR(INDEX(' Toto teams'!$R$4:$R$119,MATCH($B64,' Toto teams'!$A$4:$A$119,0)),""))</f>
        <v/>
      </c>
      <c r="L64" s="30">
        <f>IFERROR(IF(B64="","",VLOOKUP(A64,$N$4:$R$12,5,FALSE())),0)</f>
        <v/>
      </c>
    </row>
    <row r="65" ht="12.75" customHeight="1">
      <c r="A65" s="26">
        <f>IF(62&gt;COUNTIF(' Toto teams'!$A$4:$A$119,"&lt;&gt;"),"",INDEX(' Toto teams'!$S$4:$S$119,MATCH(LARGE(' Toto teams'!$T$4:$T$119,62),' Toto teams'!$T$4:$T$119,0)))</f>
        <v/>
      </c>
      <c r="B65" s="27">
        <f>IF(62&gt;COUNTIF(' Toto teams'!$A$4:$A$119,"&lt;&gt;"),"",INDEX(' Toto teams'!$A$4:$A$119,MATCH(LARGE(' Toto teams'!$T$4:$T$119,62),' Toto teams'!$T$4:$T$119,0)))</f>
        <v/>
      </c>
      <c r="C65" s="28">
        <f>IF($B65="","",6*(IFERROR(VLOOKUP(INDEX(' Toto teams'!$B$4:$B$119,MATCH($B65,' Toto teams'!$A$4:$A$119,0)),Scoring!$A$4:$N$51,3,FALSE()),0)+IFERROR(VLOOKUP(INDEX(' Toto teams'!$B$4:$B$119,MATCH($B65,' Toto teams'!$A$4:$A$119,0)),Scoring!$A$4:$N$51,4,FALSE()),0)+IFERROR(VLOOKUP(INDEX(' Toto teams'!$B$4:$B$119,MATCH($B65,' Toto teams'!$A$4:$A$119,0)),Scoring!$A$4:$N$51,5,FALSE()),0))+4*(IFERROR(VLOOKUP(INDEX(' Toto teams'!$C$4:$C$119,MATCH($B65,' Toto teams'!$A$4:$A$119,0)),Scoring!$A$4:$N$51,3,FALSE()),0)+IFERROR(VLOOKUP(INDEX(' Toto teams'!$C$4:$C$119,MATCH($B65,' Toto teams'!$A$4:$A$119,0)),Scoring!$A$4:$N$51,4,FALSE()),0)+IFERROR(VLOOKUP(INDEX(' Toto teams'!$C$4:$C$119,MATCH($B65,' Toto teams'!$A$4:$A$119,0)),Scoring!$A$4:$N$51,5,FALSE()),0))+3*(IFERROR(VLOOKUP(INDEX(' Toto teams'!$D$4:$D$119,MATCH($B65,' Toto teams'!$A$4:$A$119,0)),Scoring!$A$4:$N$51,3,FALSE()),0)+IFERROR(VLOOKUP(INDEX(' Toto teams'!$D$4:$D$119,MATCH($B65,' Toto teams'!$A$4:$A$119,0)),Scoring!$A$4:$N$51,4,FALSE()),0)+IFERROR(VLOOKUP(INDEX(' Toto teams'!$D$4:$D$119,MATCH($B65,' Toto teams'!$A$4:$A$119,0)),Scoring!$A$4:$N$51,5,FALSE()),0))+2*(IFERROR(VLOOKUP(INDEX(' Toto teams'!$E$4:$E$119,MATCH($B65,' Toto teams'!$A$4:$A$119,0)),Scoring!$A$4:$N$51,3,FALSE()),0)+IFERROR(VLOOKUP(INDEX(' Toto teams'!$E$4:$E$119,MATCH($B65,' Toto teams'!$A$4:$A$119,0)),Scoring!$A$4:$N$51,4,FALSE()),0)+IFERROR(VLOOKUP(INDEX(' Toto teams'!$E$4:$E$119,MATCH($B65,' Toto teams'!$A$4:$A$119,0)),Scoring!$A$4:$N$51,5,FALSE()),0))+1*(IFERROR(VLOOKUP(INDEX(' Toto teams'!$F$4:$F$119,MATCH($B65,' Toto teams'!$A$4:$A$119,0)),Scoring!$A$4:$N$51,3,FALSE()),0)+IFERROR(VLOOKUP(INDEX(' Toto teams'!$F$4:$F$119,MATCH($B65,' Toto teams'!$A$4:$A$119,0)),Scoring!$A$4:$N$51,4,FALSE()),0)+IFERROR(VLOOKUP(INDEX(' Toto teams'!$F$4:$F$119,MATCH($B65,' Toto teams'!$A$4:$A$119,0)),Scoring!$A$4:$N$51,5,FALSE()),0))+1*(IFERROR(VLOOKUP(INDEX(' Toto teams'!$G$4:$G$119,MATCH($B65,' Toto teams'!$A$4:$A$119,0)),Scoring!$A$4:$N$51,3,FALSE()),0)+IFERROR(VLOOKUP(INDEX(' Toto teams'!$G$4:$G$119,MATCH($B65,' Toto teams'!$A$4:$A$119,0)),Scoring!$A$4:$N$51,4,FALSE()),0)+IFERROR(VLOOKUP(INDEX(' Toto teams'!$G$4:$G$119,MATCH($B65,' Toto teams'!$A$4:$A$119,0)),Scoring!$A$4:$N$51,5,FALSE()),0))+1*(IFERROR(VLOOKUP(INDEX(' Toto teams'!$H$4:$H$119,MATCH($B65,' Toto teams'!$A$4:$A$119,0)),Scoring!$A$4:$N$51,3,FALSE()),0)+IFERROR(VLOOKUP(INDEX(' Toto teams'!$H$4:$H$119,MATCH($B65,' Toto teams'!$A$4:$A$119,0)),Scoring!$A$4:$N$51,4,FALSE()),0)+IFERROR(VLOOKUP(INDEX(' Toto teams'!$H$4:$H$119,MATCH($B65,' Toto teams'!$A$4:$A$119,0)),Scoring!$A$4:$N$51,5,FALSE()),0))+IFERROR(INDEX(' Toto teams'!$Q$4:$Q$119,MATCH($B65,' Toto teams'!$A$4:$A$119,0))*1,0))</f>
        <v/>
      </c>
      <c r="D65" s="28">
        <f>IF($B65="","",6*IFERROR(VLOOKUP(INDEX(' Toto teams'!$B$4:$B$119,MATCH($B65,' Toto teams'!$A$4:$A$119,0)),Scoring!$A$4:$N$51,7,FALSE()),0)+4*IFERROR(VLOOKUP(INDEX(' Toto teams'!$C$4:$C$119,MATCH($B65,' Toto teams'!$A$4:$A$119,0)),Scoring!$A$4:$N$51,7,FALSE()),0)+3*IFERROR(VLOOKUP(INDEX(' Toto teams'!$D$4:$D$119,MATCH($B65,' Toto teams'!$A$4:$A$119,0)),Scoring!$A$4:$N$51,7,FALSE()),0)+2*IFERROR(VLOOKUP(INDEX(' Toto teams'!$E$4:$E$119,MATCH($B65,' Toto teams'!$A$4:$A$119,0)),Scoring!$A$4:$N$51,7,FALSE()),0)+1*IFERROR(VLOOKUP(INDEX(' Toto teams'!$F$4:$F$119,MATCH($B65,' Toto teams'!$A$4:$A$119,0)),Scoring!$A$4:$N$51,7,FALSE()),0)+1*IFERROR(VLOOKUP(INDEX(' Toto teams'!$G$4:$G$119,MATCH($B65,' Toto teams'!$A$4:$A$119,0)),Scoring!$A$4:$N$51,7,FALSE()),0)+1*IFERROR(VLOOKUP(INDEX(' Toto teams'!$H$4:$H$119,MATCH($B65,' Toto teams'!$A$4:$A$119,0)),Scoring!$A$4:$N$51,7,FALSE()),0))</f>
        <v/>
      </c>
      <c r="E65" s="28">
        <f>IF($B65="","",6*IFERROR(VLOOKUP(INDEX(' Toto teams'!$B$4:$B$119,MATCH($B65,' Toto teams'!$A$4:$A$119,0)),Scoring!$A$4:$N$51,8,FALSE()),0)+4*IFERROR(VLOOKUP(INDEX(' Toto teams'!$C$4:$C$119,MATCH($B65,' Toto teams'!$A$4:$A$119,0)),Scoring!$A$4:$N$51,8,FALSE()),0)+3*IFERROR(VLOOKUP(INDEX(' Toto teams'!$D$4:$D$119,MATCH($B65,' Toto teams'!$A$4:$A$119,0)),Scoring!$A$4:$N$51,8,FALSE()),0)+2*IFERROR(VLOOKUP(INDEX(' Toto teams'!$E$4:$E$119,MATCH($B65,' Toto teams'!$A$4:$A$119,0)),Scoring!$A$4:$N$51,8,FALSE()),0)+1*IFERROR(VLOOKUP(INDEX(' Toto teams'!$F$4:$F$119,MATCH($B65,' Toto teams'!$A$4:$A$119,0)),Scoring!$A$4:$N$51,8,FALSE()),0)+1*IFERROR(VLOOKUP(INDEX(' Toto teams'!$G$4:$G$119,MATCH($B65,' Toto teams'!$A$4:$A$119,0)),Scoring!$A$4:$N$51,8,FALSE()),0)+1*IFERROR(VLOOKUP(INDEX(' Toto teams'!$H$4:$H$119,MATCH($B65,' Toto teams'!$A$4:$A$119,0)),Scoring!$A$4:$N$51,8,FALSE()),0))</f>
        <v/>
      </c>
      <c r="F65" s="28">
        <f>IF($B65="","",6*IFERROR(VLOOKUP(INDEX(' Toto teams'!$B$4:$B$119,MATCH($B65,' Toto teams'!$A$4:$A$119,0)),Scoring!$A$4:$N$51,9,FALSE()),0)+4*IFERROR(VLOOKUP(INDEX(' Toto teams'!$C$4:$C$119,MATCH($B65,' Toto teams'!$A$4:$A$119,0)),Scoring!$A$4:$N$51,9,FALSE()),0)+3*IFERROR(VLOOKUP(INDEX(' Toto teams'!$D$4:$D$119,MATCH($B65,' Toto teams'!$A$4:$A$119,0)),Scoring!$A$4:$N$51,9,FALSE()),0)+2*IFERROR(VLOOKUP(INDEX(' Toto teams'!$E$4:$E$119,MATCH($B65,' Toto teams'!$A$4:$A$119,0)),Scoring!$A$4:$N$51,9,FALSE()),0)+1*IFERROR(VLOOKUP(INDEX(' Toto teams'!$F$4:$F$119,MATCH($B65,' Toto teams'!$A$4:$A$119,0)),Scoring!$A$4:$N$51,9,FALSE()),0)+1*IFERROR(VLOOKUP(INDEX(' Toto teams'!$G$4:$G$119,MATCH($B65,' Toto teams'!$A$4:$A$119,0)),Scoring!$A$4:$N$51,9,FALSE()),0)+1*IFERROR(VLOOKUP(INDEX(' Toto teams'!$H$4:$H$119,MATCH($B65,' Toto teams'!$A$4:$A$119,0)),Scoring!$A$4:$N$51,9,FALSE()),0))</f>
        <v/>
      </c>
      <c r="G65" s="28">
        <f>IF($B65="","",6*IFERROR(VLOOKUP(INDEX(' Toto teams'!$B$4:$B$119,MATCH($B65,' Toto teams'!$A$4:$A$119,0)),Scoring!$A$4:$N$51,10,FALSE()),0)+4*IFERROR(VLOOKUP(INDEX(' Toto teams'!$C$4:$C$119,MATCH($B65,' Toto teams'!$A$4:$A$119,0)),Scoring!$A$4:$N$51,10,FALSE()),0)+3*IFERROR(VLOOKUP(INDEX(' Toto teams'!$D$4:$D$119,MATCH($B65,' Toto teams'!$A$4:$A$119,0)),Scoring!$A$4:$N$51,10,FALSE()),0)+2*IFERROR(VLOOKUP(INDEX(' Toto teams'!$E$4:$E$119,MATCH($B65,' Toto teams'!$A$4:$A$119,0)),Scoring!$A$4:$N$51,10,FALSE()),0)+1*IFERROR(VLOOKUP(INDEX(' Toto teams'!$F$4:$F$119,MATCH($B65,' Toto teams'!$A$4:$A$119,0)),Scoring!$A$4:$N$51,10,FALSE()),0)+1*IFERROR(VLOOKUP(INDEX(' Toto teams'!$G$4:$G$119,MATCH($B65,' Toto teams'!$A$4:$A$119,0)),Scoring!$A$4:$N$51,10,FALSE()),0)+1*IFERROR(VLOOKUP(INDEX(' Toto teams'!$H$4:$H$119,MATCH($B65,' Toto teams'!$A$4:$A$119,0)),Scoring!$A$4:$N$51,10,FALSE()),0))</f>
        <v/>
      </c>
      <c r="H65" s="28">
        <f>IF($B65="","",6*IFERROR(VLOOKUP(INDEX(' Toto teams'!$B$4:$B$119,MATCH($B65,' Toto teams'!$A$4:$A$119,0)),Scoring!$A$4:$N$51,11,FALSE()),0)+4*IFERROR(VLOOKUP(INDEX(' Toto teams'!$C$4:$C$119,MATCH($B65,' Toto teams'!$A$4:$A$119,0)),Scoring!$A$4:$N$51,11,FALSE()),0)+3*IFERROR(VLOOKUP(INDEX(' Toto teams'!$D$4:$D$119,MATCH($B65,' Toto teams'!$A$4:$A$119,0)),Scoring!$A$4:$N$51,11,FALSE()),0)+2*IFERROR(VLOOKUP(INDEX(' Toto teams'!$E$4:$E$119,MATCH($B65,' Toto teams'!$A$4:$A$119,0)),Scoring!$A$4:$N$51,11,FALSE()),0)+1*IFERROR(VLOOKUP(INDEX(' Toto teams'!$F$4:$F$119,MATCH($B65,' Toto teams'!$A$4:$A$119,0)),Scoring!$A$4:$N$51,11,FALSE()),0)+1*IFERROR(VLOOKUP(INDEX(' Toto teams'!$G$4:$G$119,MATCH($B65,' Toto teams'!$A$4:$A$119,0)),Scoring!$A$4:$N$51,11,FALSE()),0)+1*IFERROR(VLOOKUP(INDEX(' Toto teams'!$H$4:$H$119,MATCH($B65,' Toto teams'!$A$4:$A$119,0)),Scoring!$A$4:$N$51,11,FALSE()),0))</f>
        <v/>
      </c>
      <c r="I65" s="28">
        <f>IF($B65="","",6*IFERROR(VLOOKUP(INDEX(' Toto teams'!$B$4:$B$119,MATCH($B65,' Toto teams'!$A$4:$A$119,0)),Scoring!$A$4:$O$51,15,FALSE()),0)+4*IFERROR(VLOOKUP(INDEX(' Toto teams'!$C$4:$C$119,MATCH($B65,' Toto teams'!$A$4:$A$119,0)),Scoring!$A$4:$O$51,15,FALSE()),0)+3*IFERROR(VLOOKUP(INDEX(' Toto teams'!$D$4:$D$119,MATCH($B65,' Toto teams'!$A$4:$A$119,0)),Scoring!$A$4:$O$51,15,FALSE()),0)+2*IFERROR(VLOOKUP(INDEX(' Toto teams'!$E$4:$E$119,MATCH($B65,' Toto teams'!$A$4:$A$119,0)),Scoring!$A$4:$O$51,15,FALSE()),0)+1*IFERROR(VLOOKUP(INDEX(' Toto teams'!$F$4:$F$119,MATCH($B65,' Toto teams'!$A$4:$A$119,0)),Scoring!$A$4:$O$51,15,FALSE()),0)+1*IFERROR(VLOOKUP(INDEX(' Toto teams'!$G$4:$G$119,MATCH($B65,' Toto teams'!$A$4:$A$119,0)),Scoring!$A$4:$O$51,15,FALSE()),0)+1*IFERROR(VLOOKUP(INDEX(' Toto teams'!$H$4:$H$119,MATCH($B65,' Toto teams'!$A$4:$A$119,0)),Scoring!$A$4:$O$51,15,FALSE()),0))</f>
        <v/>
      </c>
      <c r="J65" s="28">
        <f>IF($B65="","",6*IFERROR(VLOOKUP(INDEX(' Toto teams'!$B$4:$B$119,MATCH($B65,' Toto teams'!$A$4:$A$119,0)),Scoring!$A$4:$N$51,12,FALSE()),0)+4*IFERROR(VLOOKUP(INDEX(' Toto teams'!$C$4:$C$119,MATCH($B65,' Toto teams'!$A$4:$A$119,0)),Scoring!$A$4:$N$51,12,FALSE()),0)+3*IFERROR(VLOOKUP(INDEX(' Toto teams'!$D$4:$D$119,MATCH($B65,' Toto teams'!$A$4:$A$119,0)),Scoring!$A$4:$N$51,12,FALSE()),0)+2*IFERROR(VLOOKUP(INDEX(' Toto teams'!$E$4:$E$119,MATCH($B65,' Toto teams'!$A$4:$A$119,0)),Scoring!$A$4:$N$51,12,FALSE()),0)+1*IFERROR(VLOOKUP(INDEX(' Toto teams'!$F$4:$F$119,MATCH($B65,' Toto teams'!$A$4:$A$119,0)),Scoring!$A$4:$N$51,12,FALSE()),0)+1*IFERROR(VLOOKUP(INDEX(' Toto teams'!$G$4:$G$119,MATCH($B65,' Toto teams'!$A$4:$A$119,0)),Scoring!$A$4:$N$51,12,FALSE()),0)+1*IFERROR(VLOOKUP(INDEX(' Toto teams'!$H$4:$H$119,MATCH($B65,' Toto teams'!$A$4:$A$119,0)),Scoring!$A$4:$N$51,12,FALSE()),0))</f>
        <v/>
      </c>
      <c r="K65" s="29">
        <f>IF($B65="","",IFERROR(INDEX(' Toto teams'!$R$4:$R$119,MATCH($B65,' Toto teams'!$A$4:$A$119,0)),""))</f>
        <v/>
      </c>
      <c r="L65" s="30">
        <f>IFERROR(IF(B65="","",VLOOKUP(A65,$N$4:$R$12,5,FALSE())),0)</f>
        <v/>
      </c>
    </row>
    <row r="66" ht="12.75" customHeight="1">
      <c r="A66" s="26">
        <f>IF(63&gt;COUNTIF(' Toto teams'!$A$4:$A$119,"&lt;&gt;"),"",INDEX(' Toto teams'!$S$4:$S$119,MATCH(LARGE(' Toto teams'!$T$4:$T$119,63),' Toto teams'!$T$4:$T$119,0)))</f>
        <v/>
      </c>
      <c r="B66" s="27">
        <f>IF(63&gt;COUNTIF(' Toto teams'!$A$4:$A$119,"&lt;&gt;"),"",INDEX(' Toto teams'!$A$4:$A$119,MATCH(LARGE(' Toto teams'!$T$4:$T$119,63),' Toto teams'!$T$4:$T$119,0)))</f>
        <v/>
      </c>
      <c r="C66" s="28">
        <f>IF($B66="","",6*(IFERROR(VLOOKUP(INDEX(' Toto teams'!$B$4:$B$119,MATCH($B66,' Toto teams'!$A$4:$A$119,0)),Scoring!$A$4:$N$51,3,FALSE()),0)+IFERROR(VLOOKUP(INDEX(' Toto teams'!$B$4:$B$119,MATCH($B66,' Toto teams'!$A$4:$A$119,0)),Scoring!$A$4:$N$51,4,FALSE()),0)+IFERROR(VLOOKUP(INDEX(' Toto teams'!$B$4:$B$119,MATCH($B66,' Toto teams'!$A$4:$A$119,0)),Scoring!$A$4:$N$51,5,FALSE()),0))+4*(IFERROR(VLOOKUP(INDEX(' Toto teams'!$C$4:$C$119,MATCH($B66,' Toto teams'!$A$4:$A$119,0)),Scoring!$A$4:$N$51,3,FALSE()),0)+IFERROR(VLOOKUP(INDEX(' Toto teams'!$C$4:$C$119,MATCH($B66,' Toto teams'!$A$4:$A$119,0)),Scoring!$A$4:$N$51,4,FALSE()),0)+IFERROR(VLOOKUP(INDEX(' Toto teams'!$C$4:$C$119,MATCH($B66,' Toto teams'!$A$4:$A$119,0)),Scoring!$A$4:$N$51,5,FALSE()),0))+3*(IFERROR(VLOOKUP(INDEX(' Toto teams'!$D$4:$D$119,MATCH($B66,' Toto teams'!$A$4:$A$119,0)),Scoring!$A$4:$N$51,3,FALSE()),0)+IFERROR(VLOOKUP(INDEX(' Toto teams'!$D$4:$D$119,MATCH($B66,' Toto teams'!$A$4:$A$119,0)),Scoring!$A$4:$N$51,4,FALSE()),0)+IFERROR(VLOOKUP(INDEX(' Toto teams'!$D$4:$D$119,MATCH($B66,' Toto teams'!$A$4:$A$119,0)),Scoring!$A$4:$N$51,5,FALSE()),0))+2*(IFERROR(VLOOKUP(INDEX(' Toto teams'!$E$4:$E$119,MATCH($B66,' Toto teams'!$A$4:$A$119,0)),Scoring!$A$4:$N$51,3,FALSE()),0)+IFERROR(VLOOKUP(INDEX(' Toto teams'!$E$4:$E$119,MATCH($B66,' Toto teams'!$A$4:$A$119,0)),Scoring!$A$4:$N$51,4,FALSE()),0)+IFERROR(VLOOKUP(INDEX(' Toto teams'!$E$4:$E$119,MATCH($B66,' Toto teams'!$A$4:$A$119,0)),Scoring!$A$4:$N$51,5,FALSE()),0))+1*(IFERROR(VLOOKUP(INDEX(' Toto teams'!$F$4:$F$119,MATCH($B66,' Toto teams'!$A$4:$A$119,0)),Scoring!$A$4:$N$51,3,FALSE()),0)+IFERROR(VLOOKUP(INDEX(' Toto teams'!$F$4:$F$119,MATCH($B66,' Toto teams'!$A$4:$A$119,0)),Scoring!$A$4:$N$51,4,FALSE()),0)+IFERROR(VLOOKUP(INDEX(' Toto teams'!$F$4:$F$119,MATCH($B66,' Toto teams'!$A$4:$A$119,0)),Scoring!$A$4:$N$51,5,FALSE()),0))+1*(IFERROR(VLOOKUP(INDEX(' Toto teams'!$G$4:$G$119,MATCH($B66,' Toto teams'!$A$4:$A$119,0)),Scoring!$A$4:$N$51,3,FALSE()),0)+IFERROR(VLOOKUP(INDEX(' Toto teams'!$G$4:$G$119,MATCH($B66,' Toto teams'!$A$4:$A$119,0)),Scoring!$A$4:$N$51,4,FALSE()),0)+IFERROR(VLOOKUP(INDEX(' Toto teams'!$G$4:$G$119,MATCH($B66,' Toto teams'!$A$4:$A$119,0)),Scoring!$A$4:$N$51,5,FALSE()),0))+1*(IFERROR(VLOOKUP(INDEX(' Toto teams'!$H$4:$H$119,MATCH($B66,' Toto teams'!$A$4:$A$119,0)),Scoring!$A$4:$N$51,3,FALSE()),0)+IFERROR(VLOOKUP(INDEX(' Toto teams'!$H$4:$H$119,MATCH($B66,' Toto teams'!$A$4:$A$119,0)),Scoring!$A$4:$N$51,4,FALSE()),0)+IFERROR(VLOOKUP(INDEX(' Toto teams'!$H$4:$H$119,MATCH($B66,' Toto teams'!$A$4:$A$119,0)),Scoring!$A$4:$N$51,5,FALSE()),0))+IFERROR(INDEX(' Toto teams'!$Q$4:$Q$119,MATCH($B66,' Toto teams'!$A$4:$A$119,0))*1,0))</f>
        <v/>
      </c>
      <c r="D66" s="28">
        <f>IF($B66="","",6*IFERROR(VLOOKUP(INDEX(' Toto teams'!$B$4:$B$119,MATCH($B66,' Toto teams'!$A$4:$A$119,0)),Scoring!$A$4:$N$51,7,FALSE()),0)+4*IFERROR(VLOOKUP(INDEX(' Toto teams'!$C$4:$C$119,MATCH($B66,' Toto teams'!$A$4:$A$119,0)),Scoring!$A$4:$N$51,7,FALSE()),0)+3*IFERROR(VLOOKUP(INDEX(' Toto teams'!$D$4:$D$119,MATCH($B66,' Toto teams'!$A$4:$A$119,0)),Scoring!$A$4:$N$51,7,FALSE()),0)+2*IFERROR(VLOOKUP(INDEX(' Toto teams'!$E$4:$E$119,MATCH($B66,' Toto teams'!$A$4:$A$119,0)),Scoring!$A$4:$N$51,7,FALSE()),0)+1*IFERROR(VLOOKUP(INDEX(' Toto teams'!$F$4:$F$119,MATCH($B66,' Toto teams'!$A$4:$A$119,0)),Scoring!$A$4:$N$51,7,FALSE()),0)+1*IFERROR(VLOOKUP(INDEX(' Toto teams'!$G$4:$G$119,MATCH($B66,' Toto teams'!$A$4:$A$119,0)),Scoring!$A$4:$N$51,7,FALSE()),0)+1*IFERROR(VLOOKUP(INDEX(' Toto teams'!$H$4:$H$119,MATCH($B66,' Toto teams'!$A$4:$A$119,0)),Scoring!$A$4:$N$51,7,FALSE()),0))</f>
        <v/>
      </c>
      <c r="E66" s="28">
        <f>IF($B66="","",6*IFERROR(VLOOKUP(INDEX(' Toto teams'!$B$4:$B$119,MATCH($B66,' Toto teams'!$A$4:$A$119,0)),Scoring!$A$4:$N$51,8,FALSE()),0)+4*IFERROR(VLOOKUP(INDEX(' Toto teams'!$C$4:$C$119,MATCH($B66,' Toto teams'!$A$4:$A$119,0)),Scoring!$A$4:$N$51,8,FALSE()),0)+3*IFERROR(VLOOKUP(INDEX(' Toto teams'!$D$4:$D$119,MATCH($B66,' Toto teams'!$A$4:$A$119,0)),Scoring!$A$4:$N$51,8,FALSE()),0)+2*IFERROR(VLOOKUP(INDEX(' Toto teams'!$E$4:$E$119,MATCH($B66,' Toto teams'!$A$4:$A$119,0)),Scoring!$A$4:$N$51,8,FALSE()),0)+1*IFERROR(VLOOKUP(INDEX(' Toto teams'!$F$4:$F$119,MATCH($B66,' Toto teams'!$A$4:$A$119,0)),Scoring!$A$4:$N$51,8,FALSE()),0)+1*IFERROR(VLOOKUP(INDEX(' Toto teams'!$G$4:$G$119,MATCH($B66,' Toto teams'!$A$4:$A$119,0)),Scoring!$A$4:$N$51,8,FALSE()),0)+1*IFERROR(VLOOKUP(INDEX(' Toto teams'!$H$4:$H$119,MATCH($B66,' Toto teams'!$A$4:$A$119,0)),Scoring!$A$4:$N$51,8,FALSE()),0))</f>
        <v/>
      </c>
      <c r="F66" s="28">
        <f>IF($B66="","",6*IFERROR(VLOOKUP(INDEX(' Toto teams'!$B$4:$B$119,MATCH($B66,' Toto teams'!$A$4:$A$119,0)),Scoring!$A$4:$N$51,9,FALSE()),0)+4*IFERROR(VLOOKUP(INDEX(' Toto teams'!$C$4:$C$119,MATCH($B66,' Toto teams'!$A$4:$A$119,0)),Scoring!$A$4:$N$51,9,FALSE()),0)+3*IFERROR(VLOOKUP(INDEX(' Toto teams'!$D$4:$D$119,MATCH($B66,' Toto teams'!$A$4:$A$119,0)),Scoring!$A$4:$N$51,9,FALSE()),0)+2*IFERROR(VLOOKUP(INDEX(' Toto teams'!$E$4:$E$119,MATCH($B66,' Toto teams'!$A$4:$A$119,0)),Scoring!$A$4:$N$51,9,FALSE()),0)+1*IFERROR(VLOOKUP(INDEX(' Toto teams'!$F$4:$F$119,MATCH($B66,' Toto teams'!$A$4:$A$119,0)),Scoring!$A$4:$N$51,9,FALSE()),0)+1*IFERROR(VLOOKUP(INDEX(' Toto teams'!$G$4:$G$119,MATCH($B66,' Toto teams'!$A$4:$A$119,0)),Scoring!$A$4:$N$51,9,FALSE()),0)+1*IFERROR(VLOOKUP(INDEX(' Toto teams'!$H$4:$H$119,MATCH($B66,' Toto teams'!$A$4:$A$119,0)),Scoring!$A$4:$N$51,9,FALSE()),0))</f>
        <v/>
      </c>
      <c r="G66" s="28">
        <f>IF($B66="","",6*IFERROR(VLOOKUP(INDEX(' Toto teams'!$B$4:$B$119,MATCH($B66,' Toto teams'!$A$4:$A$119,0)),Scoring!$A$4:$N$51,10,FALSE()),0)+4*IFERROR(VLOOKUP(INDEX(' Toto teams'!$C$4:$C$119,MATCH($B66,' Toto teams'!$A$4:$A$119,0)),Scoring!$A$4:$N$51,10,FALSE()),0)+3*IFERROR(VLOOKUP(INDEX(' Toto teams'!$D$4:$D$119,MATCH($B66,' Toto teams'!$A$4:$A$119,0)),Scoring!$A$4:$N$51,10,FALSE()),0)+2*IFERROR(VLOOKUP(INDEX(' Toto teams'!$E$4:$E$119,MATCH($B66,' Toto teams'!$A$4:$A$119,0)),Scoring!$A$4:$N$51,10,FALSE()),0)+1*IFERROR(VLOOKUP(INDEX(' Toto teams'!$F$4:$F$119,MATCH($B66,' Toto teams'!$A$4:$A$119,0)),Scoring!$A$4:$N$51,10,FALSE()),0)+1*IFERROR(VLOOKUP(INDEX(' Toto teams'!$G$4:$G$119,MATCH($B66,' Toto teams'!$A$4:$A$119,0)),Scoring!$A$4:$N$51,10,FALSE()),0)+1*IFERROR(VLOOKUP(INDEX(' Toto teams'!$H$4:$H$119,MATCH($B66,' Toto teams'!$A$4:$A$119,0)),Scoring!$A$4:$N$51,10,FALSE()),0))</f>
        <v/>
      </c>
      <c r="H66" s="28">
        <f>IF($B66="","",6*IFERROR(VLOOKUP(INDEX(' Toto teams'!$B$4:$B$119,MATCH($B66,' Toto teams'!$A$4:$A$119,0)),Scoring!$A$4:$N$51,11,FALSE()),0)+4*IFERROR(VLOOKUP(INDEX(' Toto teams'!$C$4:$C$119,MATCH($B66,' Toto teams'!$A$4:$A$119,0)),Scoring!$A$4:$N$51,11,FALSE()),0)+3*IFERROR(VLOOKUP(INDEX(' Toto teams'!$D$4:$D$119,MATCH($B66,' Toto teams'!$A$4:$A$119,0)),Scoring!$A$4:$N$51,11,FALSE()),0)+2*IFERROR(VLOOKUP(INDEX(' Toto teams'!$E$4:$E$119,MATCH($B66,' Toto teams'!$A$4:$A$119,0)),Scoring!$A$4:$N$51,11,FALSE()),0)+1*IFERROR(VLOOKUP(INDEX(' Toto teams'!$F$4:$F$119,MATCH($B66,' Toto teams'!$A$4:$A$119,0)),Scoring!$A$4:$N$51,11,FALSE()),0)+1*IFERROR(VLOOKUP(INDEX(' Toto teams'!$G$4:$G$119,MATCH($B66,' Toto teams'!$A$4:$A$119,0)),Scoring!$A$4:$N$51,11,FALSE()),0)+1*IFERROR(VLOOKUP(INDEX(' Toto teams'!$H$4:$H$119,MATCH($B66,' Toto teams'!$A$4:$A$119,0)),Scoring!$A$4:$N$51,11,FALSE()),0))</f>
        <v/>
      </c>
      <c r="I66" s="28">
        <f>IF($B66="","",6*IFERROR(VLOOKUP(INDEX(' Toto teams'!$B$4:$B$119,MATCH($B66,' Toto teams'!$A$4:$A$119,0)),Scoring!$A$4:$O$51,15,FALSE()),0)+4*IFERROR(VLOOKUP(INDEX(' Toto teams'!$C$4:$C$119,MATCH($B66,' Toto teams'!$A$4:$A$119,0)),Scoring!$A$4:$O$51,15,FALSE()),0)+3*IFERROR(VLOOKUP(INDEX(' Toto teams'!$D$4:$D$119,MATCH($B66,' Toto teams'!$A$4:$A$119,0)),Scoring!$A$4:$O$51,15,FALSE()),0)+2*IFERROR(VLOOKUP(INDEX(' Toto teams'!$E$4:$E$119,MATCH($B66,' Toto teams'!$A$4:$A$119,0)),Scoring!$A$4:$O$51,15,FALSE()),0)+1*IFERROR(VLOOKUP(INDEX(' Toto teams'!$F$4:$F$119,MATCH($B66,' Toto teams'!$A$4:$A$119,0)),Scoring!$A$4:$O$51,15,FALSE()),0)+1*IFERROR(VLOOKUP(INDEX(' Toto teams'!$G$4:$G$119,MATCH($B66,' Toto teams'!$A$4:$A$119,0)),Scoring!$A$4:$O$51,15,FALSE()),0)+1*IFERROR(VLOOKUP(INDEX(' Toto teams'!$H$4:$H$119,MATCH($B66,' Toto teams'!$A$4:$A$119,0)),Scoring!$A$4:$O$51,15,FALSE()),0))</f>
        <v/>
      </c>
      <c r="J66" s="28">
        <f>IF($B66="","",6*IFERROR(VLOOKUP(INDEX(' Toto teams'!$B$4:$B$119,MATCH($B66,' Toto teams'!$A$4:$A$119,0)),Scoring!$A$4:$N$51,12,FALSE()),0)+4*IFERROR(VLOOKUP(INDEX(' Toto teams'!$C$4:$C$119,MATCH($B66,' Toto teams'!$A$4:$A$119,0)),Scoring!$A$4:$N$51,12,FALSE()),0)+3*IFERROR(VLOOKUP(INDEX(' Toto teams'!$D$4:$D$119,MATCH($B66,' Toto teams'!$A$4:$A$119,0)),Scoring!$A$4:$N$51,12,FALSE()),0)+2*IFERROR(VLOOKUP(INDEX(' Toto teams'!$E$4:$E$119,MATCH($B66,' Toto teams'!$A$4:$A$119,0)),Scoring!$A$4:$N$51,12,FALSE()),0)+1*IFERROR(VLOOKUP(INDEX(' Toto teams'!$F$4:$F$119,MATCH($B66,' Toto teams'!$A$4:$A$119,0)),Scoring!$A$4:$N$51,12,FALSE()),0)+1*IFERROR(VLOOKUP(INDEX(' Toto teams'!$G$4:$G$119,MATCH($B66,' Toto teams'!$A$4:$A$119,0)),Scoring!$A$4:$N$51,12,FALSE()),0)+1*IFERROR(VLOOKUP(INDEX(' Toto teams'!$H$4:$H$119,MATCH($B66,' Toto teams'!$A$4:$A$119,0)),Scoring!$A$4:$N$51,12,FALSE()),0))</f>
        <v/>
      </c>
      <c r="K66" s="29">
        <f>IF($B66="","",IFERROR(INDEX(' Toto teams'!$R$4:$R$119,MATCH($B66,' Toto teams'!$A$4:$A$119,0)),""))</f>
        <v/>
      </c>
      <c r="L66" s="30">
        <f>IFERROR(IF(B66="","",VLOOKUP(A66,$N$4:$R$12,5,FALSE())),0)</f>
        <v/>
      </c>
    </row>
    <row r="67" ht="12.75" customHeight="1">
      <c r="A67" s="26">
        <f>IF(64&gt;COUNTIF(' Toto teams'!$A$4:$A$119,"&lt;&gt;"),"",INDEX(' Toto teams'!$S$4:$S$119,MATCH(LARGE(' Toto teams'!$T$4:$T$119,64),' Toto teams'!$T$4:$T$119,0)))</f>
        <v/>
      </c>
      <c r="B67" s="27">
        <f>IF(64&gt;COUNTIF(' Toto teams'!$A$4:$A$119,"&lt;&gt;"),"",INDEX(' Toto teams'!$A$4:$A$119,MATCH(LARGE(' Toto teams'!$T$4:$T$119,64),' Toto teams'!$T$4:$T$119,0)))</f>
        <v/>
      </c>
      <c r="C67" s="28">
        <f>IF($B67="","",6*(IFERROR(VLOOKUP(INDEX(' Toto teams'!$B$4:$B$119,MATCH($B67,' Toto teams'!$A$4:$A$119,0)),Scoring!$A$4:$N$51,3,FALSE()),0)+IFERROR(VLOOKUP(INDEX(' Toto teams'!$B$4:$B$119,MATCH($B67,' Toto teams'!$A$4:$A$119,0)),Scoring!$A$4:$N$51,4,FALSE()),0)+IFERROR(VLOOKUP(INDEX(' Toto teams'!$B$4:$B$119,MATCH($B67,' Toto teams'!$A$4:$A$119,0)),Scoring!$A$4:$N$51,5,FALSE()),0))+4*(IFERROR(VLOOKUP(INDEX(' Toto teams'!$C$4:$C$119,MATCH($B67,' Toto teams'!$A$4:$A$119,0)),Scoring!$A$4:$N$51,3,FALSE()),0)+IFERROR(VLOOKUP(INDEX(' Toto teams'!$C$4:$C$119,MATCH($B67,' Toto teams'!$A$4:$A$119,0)),Scoring!$A$4:$N$51,4,FALSE()),0)+IFERROR(VLOOKUP(INDEX(' Toto teams'!$C$4:$C$119,MATCH($B67,' Toto teams'!$A$4:$A$119,0)),Scoring!$A$4:$N$51,5,FALSE()),0))+3*(IFERROR(VLOOKUP(INDEX(' Toto teams'!$D$4:$D$119,MATCH($B67,' Toto teams'!$A$4:$A$119,0)),Scoring!$A$4:$N$51,3,FALSE()),0)+IFERROR(VLOOKUP(INDEX(' Toto teams'!$D$4:$D$119,MATCH($B67,' Toto teams'!$A$4:$A$119,0)),Scoring!$A$4:$N$51,4,FALSE()),0)+IFERROR(VLOOKUP(INDEX(' Toto teams'!$D$4:$D$119,MATCH($B67,' Toto teams'!$A$4:$A$119,0)),Scoring!$A$4:$N$51,5,FALSE()),0))+2*(IFERROR(VLOOKUP(INDEX(' Toto teams'!$E$4:$E$119,MATCH($B67,' Toto teams'!$A$4:$A$119,0)),Scoring!$A$4:$N$51,3,FALSE()),0)+IFERROR(VLOOKUP(INDEX(' Toto teams'!$E$4:$E$119,MATCH($B67,' Toto teams'!$A$4:$A$119,0)),Scoring!$A$4:$N$51,4,FALSE()),0)+IFERROR(VLOOKUP(INDEX(' Toto teams'!$E$4:$E$119,MATCH($B67,' Toto teams'!$A$4:$A$119,0)),Scoring!$A$4:$N$51,5,FALSE()),0))+1*(IFERROR(VLOOKUP(INDEX(' Toto teams'!$F$4:$F$119,MATCH($B67,' Toto teams'!$A$4:$A$119,0)),Scoring!$A$4:$N$51,3,FALSE()),0)+IFERROR(VLOOKUP(INDEX(' Toto teams'!$F$4:$F$119,MATCH($B67,' Toto teams'!$A$4:$A$119,0)),Scoring!$A$4:$N$51,4,FALSE()),0)+IFERROR(VLOOKUP(INDEX(' Toto teams'!$F$4:$F$119,MATCH($B67,' Toto teams'!$A$4:$A$119,0)),Scoring!$A$4:$N$51,5,FALSE()),0))+1*(IFERROR(VLOOKUP(INDEX(' Toto teams'!$G$4:$G$119,MATCH($B67,' Toto teams'!$A$4:$A$119,0)),Scoring!$A$4:$N$51,3,FALSE()),0)+IFERROR(VLOOKUP(INDEX(' Toto teams'!$G$4:$G$119,MATCH($B67,' Toto teams'!$A$4:$A$119,0)),Scoring!$A$4:$N$51,4,FALSE()),0)+IFERROR(VLOOKUP(INDEX(' Toto teams'!$G$4:$G$119,MATCH($B67,' Toto teams'!$A$4:$A$119,0)),Scoring!$A$4:$N$51,5,FALSE()),0))+1*(IFERROR(VLOOKUP(INDEX(' Toto teams'!$H$4:$H$119,MATCH($B67,' Toto teams'!$A$4:$A$119,0)),Scoring!$A$4:$N$51,3,FALSE()),0)+IFERROR(VLOOKUP(INDEX(' Toto teams'!$H$4:$H$119,MATCH($B67,' Toto teams'!$A$4:$A$119,0)),Scoring!$A$4:$N$51,4,FALSE()),0)+IFERROR(VLOOKUP(INDEX(' Toto teams'!$H$4:$H$119,MATCH($B67,' Toto teams'!$A$4:$A$119,0)),Scoring!$A$4:$N$51,5,FALSE()),0))+IFERROR(INDEX(' Toto teams'!$Q$4:$Q$119,MATCH($B67,' Toto teams'!$A$4:$A$119,0))*1,0))</f>
        <v/>
      </c>
      <c r="D67" s="28">
        <f>IF($B67="","",6*IFERROR(VLOOKUP(INDEX(' Toto teams'!$B$4:$B$119,MATCH($B67,' Toto teams'!$A$4:$A$119,0)),Scoring!$A$4:$N$51,7,FALSE()),0)+4*IFERROR(VLOOKUP(INDEX(' Toto teams'!$C$4:$C$119,MATCH($B67,' Toto teams'!$A$4:$A$119,0)),Scoring!$A$4:$N$51,7,FALSE()),0)+3*IFERROR(VLOOKUP(INDEX(' Toto teams'!$D$4:$D$119,MATCH($B67,' Toto teams'!$A$4:$A$119,0)),Scoring!$A$4:$N$51,7,FALSE()),0)+2*IFERROR(VLOOKUP(INDEX(' Toto teams'!$E$4:$E$119,MATCH($B67,' Toto teams'!$A$4:$A$119,0)),Scoring!$A$4:$N$51,7,FALSE()),0)+1*IFERROR(VLOOKUP(INDEX(' Toto teams'!$F$4:$F$119,MATCH($B67,' Toto teams'!$A$4:$A$119,0)),Scoring!$A$4:$N$51,7,FALSE()),0)+1*IFERROR(VLOOKUP(INDEX(' Toto teams'!$G$4:$G$119,MATCH($B67,' Toto teams'!$A$4:$A$119,0)),Scoring!$A$4:$N$51,7,FALSE()),0)+1*IFERROR(VLOOKUP(INDEX(' Toto teams'!$H$4:$H$119,MATCH($B67,' Toto teams'!$A$4:$A$119,0)),Scoring!$A$4:$N$51,7,FALSE()),0))</f>
        <v/>
      </c>
      <c r="E67" s="28">
        <f>IF($B67="","",6*IFERROR(VLOOKUP(INDEX(' Toto teams'!$B$4:$B$119,MATCH($B67,' Toto teams'!$A$4:$A$119,0)),Scoring!$A$4:$N$51,8,FALSE()),0)+4*IFERROR(VLOOKUP(INDEX(' Toto teams'!$C$4:$C$119,MATCH($B67,' Toto teams'!$A$4:$A$119,0)),Scoring!$A$4:$N$51,8,FALSE()),0)+3*IFERROR(VLOOKUP(INDEX(' Toto teams'!$D$4:$D$119,MATCH($B67,' Toto teams'!$A$4:$A$119,0)),Scoring!$A$4:$N$51,8,FALSE()),0)+2*IFERROR(VLOOKUP(INDEX(' Toto teams'!$E$4:$E$119,MATCH($B67,' Toto teams'!$A$4:$A$119,0)),Scoring!$A$4:$N$51,8,FALSE()),0)+1*IFERROR(VLOOKUP(INDEX(' Toto teams'!$F$4:$F$119,MATCH($B67,' Toto teams'!$A$4:$A$119,0)),Scoring!$A$4:$N$51,8,FALSE()),0)+1*IFERROR(VLOOKUP(INDEX(' Toto teams'!$G$4:$G$119,MATCH($B67,' Toto teams'!$A$4:$A$119,0)),Scoring!$A$4:$N$51,8,FALSE()),0)+1*IFERROR(VLOOKUP(INDEX(' Toto teams'!$H$4:$H$119,MATCH($B67,' Toto teams'!$A$4:$A$119,0)),Scoring!$A$4:$N$51,8,FALSE()),0))</f>
        <v/>
      </c>
      <c r="F67" s="28">
        <f>IF($B67="","",6*IFERROR(VLOOKUP(INDEX(' Toto teams'!$B$4:$B$119,MATCH($B67,' Toto teams'!$A$4:$A$119,0)),Scoring!$A$4:$N$51,9,FALSE()),0)+4*IFERROR(VLOOKUP(INDEX(' Toto teams'!$C$4:$C$119,MATCH($B67,' Toto teams'!$A$4:$A$119,0)),Scoring!$A$4:$N$51,9,FALSE()),0)+3*IFERROR(VLOOKUP(INDEX(' Toto teams'!$D$4:$D$119,MATCH($B67,' Toto teams'!$A$4:$A$119,0)),Scoring!$A$4:$N$51,9,FALSE()),0)+2*IFERROR(VLOOKUP(INDEX(' Toto teams'!$E$4:$E$119,MATCH($B67,' Toto teams'!$A$4:$A$119,0)),Scoring!$A$4:$N$51,9,FALSE()),0)+1*IFERROR(VLOOKUP(INDEX(' Toto teams'!$F$4:$F$119,MATCH($B67,' Toto teams'!$A$4:$A$119,0)),Scoring!$A$4:$N$51,9,FALSE()),0)+1*IFERROR(VLOOKUP(INDEX(' Toto teams'!$G$4:$G$119,MATCH($B67,' Toto teams'!$A$4:$A$119,0)),Scoring!$A$4:$N$51,9,FALSE()),0)+1*IFERROR(VLOOKUP(INDEX(' Toto teams'!$H$4:$H$119,MATCH($B67,' Toto teams'!$A$4:$A$119,0)),Scoring!$A$4:$N$51,9,FALSE()),0))</f>
        <v/>
      </c>
      <c r="G67" s="28">
        <f>IF($B67="","",6*IFERROR(VLOOKUP(INDEX(' Toto teams'!$B$4:$B$119,MATCH($B67,' Toto teams'!$A$4:$A$119,0)),Scoring!$A$4:$N$51,10,FALSE()),0)+4*IFERROR(VLOOKUP(INDEX(' Toto teams'!$C$4:$C$119,MATCH($B67,' Toto teams'!$A$4:$A$119,0)),Scoring!$A$4:$N$51,10,FALSE()),0)+3*IFERROR(VLOOKUP(INDEX(' Toto teams'!$D$4:$D$119,MATCH($B67,' Toto teams'!$A$4:$A$119,0)),Scoring!$A$4:$N$51,10,FALSE()),0)+2*IFERROR(VLOOKUP(INDEX(' Toto teams'!$E$4:$E$119,MATCH($B67,' Toto teams'!$A$4:$A$119,0)),Scoring!$A$4:$N$51,10,FALSE()),0)+1*IFERROR(VLOOKUP(INDEX(' Toto teams'!$F$4:$F$119,MATCH($B67,' Toto teams'!$A$4:$A$119,0)),Scoring!$A$4:$N$51,10,FALSE()),0)+1*IFERROR(VLOOKUP(INDEX(' Toto teams'!$G$4:$G$119,MATCH($B67,' Toto teams'!$A$4:$A$119,0)),Scoring!$A$4:$N$51,10,FALSE()),0)+1*IFERROR(VLOOKUP(INDEX(' Toto teams'!$H$4:$H$119,MATCH($B67,' Toto teams'!$A$4:$A$119,0)),Scoring!$A$4:$N$51,10,FALSE()),0))</f>
        <v/>
      </c>
      <c r="H67" s="28">
        <f>IF($B67="","",6*IFERROR(VLOOKUP(INDEX(' Toto teams'!$B$4:$B$119,MATCH($B67,' Toto teams'!$A$4:$A$119,0)),Scoring!$A$4:$N$51,11,FALSE()),0)+4*IFERROR(VLOOKUP(INDEX(' Toto teams'!$C$4:$C$119,MATCH($B67,' Toto teams'!$A$4:$A$119,0)),Scoring!$A$4:$N$51,11,FALSE()),0)+3*IFERROR(VLOOKUP(INDEX(' Toto teams'!$D$4:$D$119,MATCH($B67,' Toto teams'!$A$4:$A$119,0)),Scoring!$A$4:$N$51,11,FALSE()),0)+2*IFERROR(VLOOKUP(INDEX(' Toto teams'!$E$4:$E$119,MATCH($B67,' Toto teams'!$A$4:$A$119,0)),Scoring!$A$4:$N$51,11,FALSE()),0)+1*IFERROR(VLOOKUP(INDEX(' Toto teams'!$F$4:$F$119,MATCH($B67,' Toto teams'!$A$4:$A$119,0)),Scoring!$A$4:$N$51,11,FALSE()),0)+1*IFERROR(VLOOKUP(INDEX(' Toto teams'!$G$4:$G$119,MATCH($B67,' Toto teams'!$A$4:$A$119,0)),Scoring!$A$4:$N$51,11,FALSE()),0)+1*IFERROR(VLOOKUP(INDEX(' Toto teams'!$H$4:$H$119,MATCH($B67,' Toto teams'!$A$4:$A$119,0)),Scoring!$A$4:$N$51,11,FALSE()),0))</f>
        <v/>
      </c>
      <c r="I67" s="28">
        <f>IF($B67="","",6*IFERROR(VLOOKUP(INDEX(' Toto teams'!$B$4:$B$119,MATCH($B67,' Toto teams'!$A$4:$A$119,0)),Scoring!$A$4:$O$51,15,FALSE()),0)+4*IFERROR(VLOOKUP(INDEX(' Toto teams'!$C$4:$C$119,MATCH($B67,' Toto teams'!$A$4:$A$119,0)),Scoring!$A$4:$O$51,15,FALSE()),0)+3*IFERROR(VLOOKUP(INDEX(' Toto teams'!$D$4:$D$119,MATCH($B67,' Toto teams'!$A$4:$A$119,0)),Scoring!$A$4:$O$51,15,FALSE()),0)+2*IFERROR(VLOOKUP(INDEX(' Toto teams'!$E$4:$E$119,MATCH($B67,' Toto teams'!$A$4:$A$119,0)),Scoring!$A$4:$O$51,15,FALSE()),0)+1*IFERROR(VLOOKUP(INDEX(' Toto teams'!$F$4:$F$119,MATCH($B67,' Toto teams'!$A$4:$A$119,0)),Scoring!$A$4:$O$51,15,FALSE()),0)+1*IFERROR(VLOOKUP(INDEX(' Toto teams'!$G$4:$G$119,MATCH($B67,' Toto teams'!$A$4:$A$119,0)),Scoring!$A$4:$O$51,15,FALSE()),0)+1*IFERROR(VLOOKUP(INDEX(' Toto teams'!$H$4:$H$119,MATCH($B67,' Toto teams'!$A$4:$A$119,0)),Scoring!$A$4:$O$51,15,FALSE()),0))</f>
        <v/>
      </c>
      <c r="J67" s="28">
        <f>IF($B67="","",6*IFERROR(VLOOKUP(INDEX(' Toto teams'!$B$4:$B$119,MATCH($B67,' Toto teams'!$A$4:$A$119,0)),Scoring!$A$4:$N$51,12,FALSE()),0)+4*IFERROR(VLOOKUP(INDEX(' Toto teams'!$C$4:$C$119,MATCH($B67,' Toto teams'!$A$4:$A$119,0)),Scoring!$A$4:$N$51,12,FALSE()),0)+3*IFERROR(VLOOKUP(INDEX(' Toto teams'!$D$4:$D$119,MATCH($B67,' Toto teams'!$A$4:$A$119,0)),Scoring!$A$4:$N$51,12,FALSE()),0)+2*IFERROR(VLOOKUP(INDEX(' Toto teams'!$E$4:$E$119,MATCH($B67,' Toto teams'!$A$4:$A$119,0)),Scoring!$A$4:$N$51,12,FALSE()),0)+1*IFERROR(VLOOKUP(INDEX(' Toto teams'!$F$4:$F$119,MATCH($B67,' Toto teams'!$A$4:$A$119,0)),Scoring!$A$4:$N$51,12,FALSE()),0)+1*IFERROR(VLOOKUP(INDEX(' Toto teams'!$G$4:$G$119,MATCH($B67,' Toto teams'!$A$4:$A$119,0)),Scoring!$A$4:$N$51,12,FALSE()),0)+1*IFERROR(VLOOKUP(INDEX(' Toto teams'!$H$4:$H$119,MATCH($B67,' Toto teams'!$A$4:$A$119,0)),Scoring!$A$4:$N$51,12,FALSE()),0))</f>
        <v/>
      </c>
      <c r="K67" s="29">
        <f>IF($B67="","",IFERROR(INDEX(' Toto teams'!$R$4:$R$119,MATCH($B67,' Toto teams'!$A$4:$A$119,0)),""))</f>
        <v/>
      </c>
      <c r="L67" s="30">
        <f>IFERROR(IF(B67="","",VLOOKUP(A67,$N$4:$R$12,5,FALSE())),0)</f>
        <v/>
      </c>
    </row>
    <row r="68" ht="12.75" customHeight="1">
      <c r="A68" s="26">
        <f>IF(65&gt;COUNTIF(' Toto teams'!$A$4:$A$119,"&lt;&gt;"),"",INDEX(' Toto teams'!$S$4:$S$119,MATCH(LARGE(' Toto teams'!$T$4:$T$119,65),' Toto teams'!$T$4:$T$119,0)))</f>
        <v/>
      </c>
      <c r="B68" s="27">
        <f>IF(65&gt;COUNTIF(' Toto teams'!$A$4:$A$119,"&lt;&gt;"),"",INDEX(' Toto teams'!$A$4:$A$119,MATCH(LARGE(' Toto teams'!$T$4:$T$119,65),' Toto teams'!$T$4:$T$119,0)))</f>
        <v/>
      </c>
      <c r="C68" s="28">
        <f>IF($B68="","",6*(IFERROR(VLOOKUP(INDEX(' Toto teams'!$B$4:$B$119,MATCH($B68,' Toto teams'!$A$4:$A$119,0)),Scoring!$A$4:$N$51,3,FALSE()),0)+IFERROR(VLOOKUP(INDEX(' Toto teams'!$B$4:$B$119,MATCH($B68,' Toto teams'!$A$4:$A$119,0)),Scoring!$A$4:$N$51,4,FALSE()),0)+IFERROR(VLOOKUP(INDEX(' Toto teams'!$B$4:$B$119,MATCH($B68,' Toto teams'!$A$4:$A$119,0)),Scoring!$A$4:$N$51,5,FALSE()),0))+4*(IFERROR(VLOOKUP(INDEX(' Toto teams'!$C$4:$C$119,MATCH($B68,' Toto teams'!$A$4:$A$119,0)),Scoring!$A$4:$N$51,3,FALSE()),0)+IFERROR(VLOOKUP(INDEX(' Toto teams'!$C$4:$C$119,MATCH($B68,' Toto teams'!$A$4:$A$119,0)),Scoring!$A$4:$N$51,4,FALSE()),0)+IFERROR(VLOOKUP(INDEX(' Toto teams'!$C$4:$C$119,MATCH($B68,' Toto teams'!$A$4:$A$119,0)),Scoring!$A$4:$N$51,5,FALSE()),0))+3*(IFERROR(VLOOKUP(INDEX(' Toto teams'!$D$4:$D$119,MATCH($B68,' Toto teams'!$A$4:$A$119,0)),Scoring!$A$4:$N$51,3,FALSE()),0)+IFERROR(VLOOKUP(INDEX(' Toto teams'!$D$4:$D$119,MATCH($B68,' Toto teams'!$A$4:$A$119,0)),Scoring!$A$4:$N$51,4,FALSE()),0)+IFERROR(VLOOKUP(INDEX(' Toto teams'!$D$4:$D$119,MATCH($B68,' Toto teams'!$A$4:$A$119,0)),Scoring!$A$4:$N$51,5,FALSE()),0))+2*(IFERROR(VLOOKUP(INDEX(' Toto teams'!$E$4:$E$119,MATCH($B68,' Toto teams'!$A$4:$A$119,0)),Scoring!$A$4:$N$51,3,FALSE()),0)+IFERROR(VLOOKUP(INDEX(' Toto teams'!$E$4:$E$119,MATCH($B68,' Toto teams'!$A$4:$A$119,0)),Scoring!$A$4:$N$51,4,FALSE()),0)+IFERROR(VLOOKUP(INDEX(' Toto teams'!$E$4:$E$119,MATCH($B68,' Toto teams'!$A$4:$A$119,0)),Scoring!$A$4:$N$51,5,FALSE()),0))+1*(IFERROR(VLOOKUP(INDEX(' Toto teams'!$F$4:$F$119,MATCH($B68,' Toto teams'!$A$4:$A$119,0)),Scoring!$A$4:$N$51,3,FALSE()),0)+IFERROR(VLOOKUP(INDEX(' Toto teams'!$F$4:$F$119,MATCH($B68,' Toto teams'!$A$4:$A$119,0)),Scoring!$A$4:$N$51,4,FALSE()),0)+IFERROR(VLOOKUP(INDEX(' Toto teams'!$F$4:$F$119,MATCH($B68,' Toto teams'!$A$4:$A$119,0)),Scoring!$A$4:$N$51,5,FALSE()),0))+1*(IFERROR(VLOOKUP(INDEX(' Toto teams'!$G$4:$G$119,MATCH($B68,' Toto teams'!$A$4:$A$119,0)),Scoring!$A$4:$N$51,3,FALSE()),0)+IFERROR(VLOOKUP(INDEX(' Toto teams'!$G$4:$G$119,MATCH($B68,' Toto teams'!$A$4:$A$119,0)),Scoring!$A$4:$N$51,4,FALSE()),0)+IFERROR(VLOOKUP(INDEX(' Toto teams'!$G$4:$G$119,MATCH($B68,' Toto teams'!$A$4:$A$119,0)),Scoring!$A$4:$N$51,5,FALSE()),0))+1*(IFERROR(VLOOKUP(INDEX(' Toto teams'!$H$4:$H$119,MATCH($B68,' Toto teams'!$A$4:$A$119,0)),Scoring!$A$4:$N$51,3,FALSE()),0)+IFERROR(VLOOKUP(INDEX(' Toto teams'!$H$4:$H$119,MATCH($B68,' Toto teams'!$A$4:$A$119,0)),Scoring!$A$4:$N$51,4,FALSE()),0)+IFERROR(VLOOKUP(INDEX(' Toto teams'!$H$4:$H$119,MATCH($B68,' Toto teams'!$A$4:$A$119,0)),Scoring!$A$4:$N$51,5,FALSE()),0))+IFERROR(INDEX(' Toto teams'!$Q$4:$Q$119,MATCH($B68,' Toto teams'!$A$4:$A$119,0))*1,0))</f>
        <v/>
      </c>
      <c r="D68" s="28">
        <f>IF($B68="","",6*IFERROR(VLOOKUP(INDEX(' Toto teams'!$B$4:$B$119,MATCH($B68,' Toto teams'!$A$4:$A$119,0)),Scoring!$A$4:$N$51,7,FALSE()),0)+4*IFERROR(VLOOKUP(INDEX(' Toto teams'!$C$4:$C$119,MATCH($B68,' Toto teams'!$A$4:$A$119,0)),Scoring!$A$4:$N$51,7,FALSE()),0)+3*IFERROR(VLOOKUP(INDEX(' Toto teams'!$D$4:$D$119,MATCH($B68,' Toto teams'!$A$4:$A$119,0)),Scoring!$A$4:$N$51,7,FALSE()),0)+2*IFERROR(VLOOKUP(INDEX(' Toto teams'!$E$4:$E$119,MATCH($B68,' Toto teams'!$A$4:$A$119,0)),Scoring!$A$4:$N$51,7,FALSE()),0)+1*IFERROR(VLOOKUP(INDEX(' Toto teams'!$F$4:$F$119,MATCH($B68,' Toto teams'!$A$4:$A$119,0)),Scoring!$A$4:$N$51,7,FALSE()),0)+1*IFERROR(VLOOKUP(INDEX(' Toto teams'!$G$4:$G$119,MATCH($B68,' Toto teams'!$A$4:$A$119,0)),Scoring!$A$4:$N$51,7,FALSE()),0)+1*IFERROR(VLOOKUP(INDEX(' Toto teams'!$H$4:$H$119,MATCH($B68,' Toto teams'!$A$4:$A$119,0)),Scoring!$A$4:$N$51,7,FALSE()),0))</f>
        <v/>
      </c>
      <c r="E68" s="28">
        <f>IF($B68="","",6*IFERROR(VLOOKUP(INDEX(' Toto teams'!$B$4:$B$119,MATCH($B68,' Toto teams'!$A$4:$A$119,0)),Scoring!$A$4:$N$51,8,FALSE()),0)+4*IFERROR(VLOOKUP(INDEX(' Toto teams'!$C$4:$C$119,MATCH($B68,' Toto teams'!$A$4:$A$119,0)),Scoring!$A$4:$N$51,8,FALSE()),0)+3*IFERROR(VLOOKUP(INDEX(' Toto teams'!$D$4:$D$119,MATCH($B68,' Toto teams'!$A$4:$A$119,0)),Scoring!$A$4:$N$51,8,FALSE()),0)+2*IFERROR(VLOOKUP(INDEX(' Toto teams'!$E$4:$E$119,MATCH($B68,' Toto teams'!$A$4:$A$119,0)),Scoring!$A$4:$N$51,8,FALSE()),0)+1*IFERROR(VLOOKUP(INDEX(' Toto teams'!$F$4:$F$119,MATCH($B68,' Toto teams'!$A$4:$A$119,0)),Scoring!$A$4:$N$51,8,FALSE()),0)+1*IFERROR(VLOOKUP(INDEX(' Toto teams'!$G$4:$G$119,MATCH($B68,' Toto teams'!$A$4:$A$119,0)),Scoring!$A$4:$N$51,8,FALSE()),0)+1*IFERROR(VLOOKUP(INDEX(' Toto teams'!$H$4:$H$119,MATCH($B68,' Toto teams'!$A$4:$A$119,0)),Scoring!$A$4:$N$51,8,FALSE()),0))</f>
        <v/>
      </c>
      <c r="F68" s="28">
        <f>IF($B68="","",6*IFERROR(VLOOKUP(INDEX(' Toto teams'!$B$4:$B$119,MATCH($B68,' Toto teams'!$A$4:$A$119,0)),Scoring!$A$4:$N$51,9,FALSE()),0)+4*IFERROR(VLOOKUP(INDEX(' Toto teams'!$C$4:$C$119,MATCH($B68,' Toto teams'!$A$4:$A$119,0)),Scoring!$A$4:$N$51,9,FALSE()),0)+3*IFERROR(VLOOKUP(INDEX(' Toto teams'!$D$4:$D$119,MATCH($B68,' Toto teams'!$A$4:$A$119,0)),Scoring!$A$4:$N$51,9,FALSE()),0)+2*IFERROR(VLOOKUP(INDEX(' Toto teams'!$E$4:$E$119,MATCH($B68,' Toto teams'!$A$4:$A$119,0)),Scoring!$A$4:$N$51,9,FALSE()),0)+1*IFERROR(VLOOKUP(INDEX(' Toto teams'!$F$4:$F$119,MATCH($B68,' Toto teams'!$A$4:$A$119,0)),Scoring!$A$4:$N$51,9,FALSE()),0)+1*IFERROR(VLOOKUP(INDEX(' Toto teams'!$G$4:$G$119,MATCH($B68,' Toto teams'!$A$4:$A$119,0)),Scoring!$A$4:$N$51,9,FALSE()),0)+1*IFERROR(VLOOKUP(INDEX(' Toto teams'!$H$4:$H$119,MATCH($B68,' Toto teams'!$A$4:$A$119,0)),Scoring!$A$4:$N$51,9,FALSE()),0))</f>
        <v/>
      </c>
      <c r="G68" s="28">
        <f>IF($B68="","",6*IFERROR(VLOOKUP(INDEX(' Toto teams'!$B$4:$B$119,MATCH($B68,' Toto teams'!$A$4:$A$119,0)),Scoring!$A$4:$N$51,10,FALSE()),0)+4*IFERROR(VLOOKUP(INDEX(' Toto teams'!$C$4:$C$119,MATCH($B68,' Toto teams'!$A$4:$A$119,0)),Scoring!$A$4:$N$51,10,FALSE()),0)+3*IFERROR(VLOOKUP(INDEX(' Toto teams'!$D$4:$D$119,MATCH($B68,' Toto teams'!$A$4:$A$119,0)),Scoring!$A$4:$N$51,10,FALSE()),0)+2*IFERROR(VLOOKUP(INDEX(' Toto teams'!$E$4:$E$119,MATCH($B68,' Toto teams'!$A$4:$A$119,0)),Scoring!$A$4:$N$51,10,FALSE()),0)+1*IFERROR(VLOOKUP(INDEX(' Toto teams'!$F$4:$F$119,MATCH($B68,' Toto teams'!$A$4:$A$119,0)),Scoring!$A$4:$N$51,10,FALSE()),0)+1*IFERROR(VLOOKUP(INDEX(' Toto teams'!$G$4:$G$119,MATCH($B68,' Toto teams'!$A$4:$A$119,0)),Scoring!$A$4:$N$51,10,FALSE()),0)+1*IFERROR(VLOOKUP(INDEX(' Toto teams'!$H$4:$H$119,MATCH($B68,' Toto teams'!$A$4:$A$119,0)),Scoring!$A$4:$N$51,10,FALSE()),0))</f>
        <v/>
      </c>
      <c r="H68" s="28">
        <f>IF($B68="","",6*IFERROR(VLOOKUP(INDEX(' Toto teams'!$B$4:$B$119,MATCH($B68,' Toto teams'!$A$4:$A$119,0)),Scoring!$A$4:$N$51,11,FALSE()),0)+4*IFERROR(VLOOKUP(INDEX(' Toto teams'!$C$4:$C$119,MATCH($B68,' Toto teams'!$A$4:$A$119,0)),Scoring!$A$4:$N$51,11,FALSE()),0)+3*IFERROR(VLOOKUP(INDEX(' Toto teams'!$D$4:$D$119,MATCH($B68,' Toto teams'!$A$4:$A$119,0)),Scoring!$A$4:$N$51,11,FALSE()),0)+2*IFERROR(VLOOKUP(INDEX(' Toto teams'!$E$4:$E$119,MATCH($B68,' Toto teams'!$A$4:$A$119,0)),Scoring!$A$4:$N$51,11,FALSE()),0)+1*IFERROR(VLOOKUP(INDEX(' Toto teams'!$F$4:$F$119,MATCH($B68,' Toto teams'!$A$4:$A$119,0)),Scoring!$A$4:$N$51,11,FALSE()),0)+1*IFERROR(VLOOKUP(INDEX(' Toto teams'!$G$4:$G$119,MATCH($B68,' Toto teams'!$A$4:$A$119,0)),Scoring!$A$4:$N$51,11,FALSE()),0)+1*IFERROR(VLOOKUP(INDEX(' Toto teams'!$H$4:$H$119,MATCH($B68,' Toto teams'!$A$4:$A$119,0)),Scoring!$A$4:$N$51,11,FALSE()),0))</f>
        <v/>
      </c>
      <c r="I68" s="28">
        <f>IF($B68="","",6*IFERROR(VLOOKUP(INDEX(' Toto teams'!$B$4:$B$119,MATCH($B68,' Toto teams'!$A$4:$A$119,0)),Scoring!$A$4:$O$51,15,FALSE()),0)+4*IFERROR(VLOOKUP(INDEX(' Toto teams'!$C$4:$C$119,MATCH($B68,' Toto teams'!$A$4:$A$119,0)),Scoring!$A$4:$O$51,15,FALSE()),0)+3*IFERROR(VLOOKUP(INDEX(' Toto teams'!$D$4:$D$119,MATCH($B68,' Toto teams'!$A$4:$A$119,0)),Scoring!$A$4:$O$51,15,FALSE()),0)+2*IFERROR(VLOOKUP(INDEX(' Toto teams'!$E$4:$E$119,MATCH($B68,' Toto teams'!$A$4:$A$119,0)),Scoring!$A$4:$O$51,15,FALSE()),0)+1*IFERROR(VLOOKUP(INDEX(' Toto teams'!$F$4:$F$119,MATCH($B68,' Toto teams'!$A$4:$A$119,0)),Scoring!$A$4:$O$51,15,FALSE()),0)+1*IFERROR(VLOOKUP(INDEX(' Toto teams'!$G$4:$G$119,MATCH($B68,' Toto teams'!$A$4:$A$119,0)),Scoring!$A$4:$O$51,15,FALSE()),0)+1*IFERROR(VLOOKUP(INDEX(' Toto teams'!$H$4:$H$119,MATCH($B68,' Toto teams'!$A$4:$A$119,0)),Scoring!$A$4:$O$51,15,FALSE()),0))</f>
        <v/>
      </c>
      <c r="J68" s="28">
        <f>IF($B68="","",6*IFERROR(VLOOKUP(INDEX(' Toto teams'!$B$4:$B$119,MATCH($B68,' Toto teams'!$A$4:$A$119,0)),Scoring!$A$4:$N$51,12,FALSE()),0)+4*IFERROR(VLOOKUP(INDEX(' Toto teams'!$C$4:$C$119,MATCH($B68,' Toto teams'!$A$4:$A$119,0)),Scoring!$A$4:$N$51,12,FALSE()),0)+3*IFERROR(VLOOKUP(INDEX(' Toto teams'!$D$4:$D$119,MATCH($B68,' Toto teams'!$A$4:$A$119,0)),Scoring!$A$4:$N$51,12,FALSE()),0)+2*IFERROR(VLOOKUP(INDEX(' Toto teams'!$E$4:$E$119,MATCH($B68,' Toto teams'!$A$4:$A$119,0)),Scoring!$A$4:$N$51,12,FALSE()),0)+1*IFERROR(VLOOKUP(INDEX(' Toto teams'!$F$4:$F$119,MATCH($B68,' Toto teams'!$A$4:$A$119,0)),Scoring!$A$4:$N$51,12,FALSE()),0)+1*IFERROR(VLOOKUP(INDEX(' Toto teams'!$G$4:$G$119,MATCH($B68,' Toto teams'!$A$4:$A$119,0)),Scoring!$A$4:$N$51,12,FALSE()),0)+1*IFERROR(VLOOKUP(INDEX(' Toto teams'!$H$4:$H$119,MATCH($B68,' Toto teams'!$A$4:$A$119,0)),Scoring!$A$4:$N$51,12,FALSE()),0))</f>
        <v/>
      </c>
      <c r="K68" s="29">
        <f>IF($B68="","",IFERROR(INDEX(' Toto teams'!$R$4:$R$119,MATCH($B68,' Toto teams'!$A$4:$A$119,0)),""))</f>
        <v/>
      </c>
      <c r="L68" s="30">
        <f>IFERROR(IF(B68="","",VLOOKUP(A68,$N$4:$R$12,5,FALSE())),0)</f>
        <v/>
      </c>
    </row>
    <row r="69" ht="12.75" customHeight="1">
      <c r="A69" s="26">
        <f>IF(66&gt;COUNTIF(' Toto teams'!$A$4:$A$119,"&lt;&gt;"),"",INDEX(' Toto teams'!$S$4:$S$119,MATCH(LARGE(' Toto teams'!$T$4:$T$119,66),' Toto teams'!$T$4:$T$119,0)))</f>
        <v/>
      </c>
      <c r="B69" s="27">
        <f>IF(66&gt;COUNTIF(' Toto teams'!$A$4:$A$119,"&lt;&gt;"),"",INDEX(' Toto teams'!$A$4:$A$119,MATCH(LARGE(' Toto teams'!$T$4:$T$119,66),' Toto teams'!$T$4:$T$119,0)))</f>
        <v/>
      </c>
      <c r="C69" s="28">
        <f>IF($B69="","",6*(IFERROR(VLOOKUP(INDEX(' Toto teams'!$B$4:$B$119,MATCH($B69,' Toto teams'!$A$4:$A$119,0)),Scoring!$A$4:$N$51,3,FALSE()),0)+IFERROR(VLOOKUP(INDEX(' Toto teams'!$B$4:$B$119,MATCH($B69,' Toto teams'!$A$4:$A$119,0)),Scoring!$A$4:$N$51,4,FALSE()),0)+IFERROR(VLOOKUP(INDEX(' Toto teams'!$B$4:$B$119,MATCH($B69,' Toto teams'!$A$4:$A$119,0)),Scoring!$A$4:$N$51,5,FALSE()),0))+4*(IFERROR(VLOOKUP(INDEX(' Toto teams'!$C$4:$C$119,MATCH($B69,' Toto teams'!$A$4:$A$119,0)),Scoring!$A$4:$N$51,3,FALSE()),0)+IFERROR(VLOOKUP(INDEX(' Toto teams'!$C$4:$C$119,MATCH($B69,' Toto teams'!$A$4:$A$119,0)),Scoring!$A$4:$N$51,4,FALSE()),0)+IFERROR(VLOOKUP(INDEX(' Toto teams'!$C$4:$C$119,MATCH($B69,' Toto teams'!$A$4:$A$119,0)),Scoring!$A$4:$N$51,5,FALSE()),0))+3*(IFERROR(VLOOKUP(INDEX(' Toto teams'!$D$4:$D$119,MATCH($B69,' Toto teams'!$A$4:$A$119,0)),Scoring!$A$4:$N$51,3,FALSE()),0)+IFERROR(VLOOKUP(INDEX(' Toto teams'!$D$4:$D$119,MATCH($B69,' Toto teams'!$A$4:$A$119,0)),Scoring!$A$4:$N$51,4,FALSE()),0)+IFERROR(VLOOKUP(INDEX(' Toto teams'!$D$4:$D$119,MATCH($B69,' Toto teams'!$A$4:$A$119,0)),Scoring!$A$4:$N$51,5,FALSE()),0))+2*(IFERROR(VLOOKUP(INDEX(' Toto teams'!$E$4:$E$119,MATCH($B69,' Toto teams'!$A$4:$A$119,0)),Scoring!$A$4:$N$51,3,FALSE()),0)+IFERROR(VLOOKUP(INDEX(' Toto teams'!$E$4:$E$119,MATCH($B69,' Toto teams'!$A$4:$A$119,0)),Scoring!$A$4:$N$51,4,FALSE()),0)+IFERROR(VLOOKUP(INDEX(' Toto teams'!$E$4:$E$119,MATCH($B69,' Toto teams'!$A$4:$A$119,0)),Scoring!$A$4:$N$51,5,FALSE()),0))+1*(IFERROR(VLOOKUP(INDEX(' Toto teams'!$F$4:$F$119,MATCH($B69,' Toto teams'!$A$4:$A$119,0)),Scoring!$A$4:$N$51,3,FALSE()),0)+IFERROR(VLOOKUP(INDEX(' Toto teams'!$F$4:$F$119,MATCH($B69,' Toto teams'!$A$4:$A$119,0)),Scoring!$A$4:$N$51,4,FALSE()),0)+IFERROR(VLOOKUP(INDEX(' Toto teams'!$F$4:$F$119,MATCH($B69,' Toto teams'!$A$4:$A$119,0)),Scoring!$A$4:$N$51,5,FALSE()),0))+1*(IFERROR(VLOOKUP(INDEX(' Toto teams'!$G$4:$G$119,MATCH($B69,' Toto teams'!$A$4:$A$119,0)),Scoring!$A$4:$N$51,3,FALSE()),0)+IFERROR(VLOOKUP(INDEX(' Toto teams'!$G$4:$G$119,MATCH($B69,' Toto teams'!$A$4:$A$119,0)),Scoring!$A$4:$N$51,4,FALSE()),0)+IFERROR(VLOOKUP(INDEX(' Toto teams'!$G$4:$G$119,MATCH($B69,' Toto teams'!$A$4:$A$119,0)),Scoring!$A$4:$N$51,5,FALSE()),0))+1*(IFERROR(VLOOKUP(INDEX(' Toto teams'!$H$4:$H$119,MATCH($B69,' Toto teams'!$A$4:$A$119,0)),Scoring!$A$4:$N$51,3,FALSE()),0)+IFERROR(VLOOKUP(INDEX(' Toto teams'!$H$4:$H$119,MATCH($B69,' Toto teams'!$A$4:$A$119,0)),Scoring!$A$4:$N$51,4,FALSE()),0)+IFERROR(VLOOKUP(INDEX(' Toto teams'!$H$4:$H$119,MATCH($B69,' Toto teams'!$A$4:$A$119,0)),Scoring!$A$4:$N$51,5,FALSE()),0))+IFERROR(INDEX(' Toto teams'!$Q$4:$Q$119,MATCH($B69,' Toto teams'!$A$4:$A$119,0))*1,0))</f>
        <v/>
      </c>
      <c r="D69" s="28">
        <f>IF($B69="","",6*IFERROR(VLOOKUP(INDEX(' Toto teams'!$B$4:$B$119,MATCH($B69,' Toto teams'!$A$4:$A$119,0)),Scoring!$A$4:$N$51,7,FALSE()),0)+4*IFERROR(VLOOKUP(INDEX(' Toto teams'!$C$4:$C$119,MATCH($B69,' Toto teams'!$A$4:$A$119,0)),Scoring!$A$4:$N$51,7,FALSE()),0)+3*IFERROR(VLOOKUP(INDEX(' Toto teams'!$D$4:$D$119,MATCH($B69,' Toto teams'!$A$4:$A$119,0)),Scoring!$A$4:$N$51,7,FALSE()),0)+2*IFERROR(VLOOKUP(INDEX(' Toto teams'!$E$4:$E$119,MATCH($B69,' Toto teams'!$A$4:$A$119,0)),Scoring!$A$4:$N$51,7,FALSE()),0)+1*IFERROR(VLOOKUP(INDEX(' Toto teams'!$F$4:$F$119,MATCH($B69,' Toto teams'!$A$4:$A$119,0)),Scoring!$A$4:$N$51,7,FALSE()),0)+1*IFERROR(VLOOKUP(INDEX(' Toto teams'!$G$4:$G$119,MATCH($B69,' Toto teams'!$A$4:$A$119,0)),Scoring!$A$4:$N$51,7,FALSE()),0)+1*IFERROR(VLOOKUP(INDEX(' Toto teams'!$H$4:$H$119,MATCH($B69,' Toto teams'!$A$4:$A$119,0)),Scoring!$A$4:$N$51,7,FALSE()),0))</f>
        <v/>
      </c>
      <c r="E69" s="28">
        <f>IF($B69="","",6*IFERROR(VLOOKUP(INDEX(' Toto teams'!$B$4:$B$119,MATCH($B69,' Toto teams'!$A$4:$A$119,0)),Scoring!$A$4:$N$51,8,FALSE()),0)+4*IFERROR(VLOOKUP(INDEX(' Toto teams'!$C$4:$C$119,MATCH($B69,' Toto teams'!$A$4:$A$119,0)),Scoring!$A$4:$N$51,8,FALSE()),0)+3*IFERROR(VLOOKUP(INDEX(' Toto teams'!$D$4:$D$119,MATCH($B69,' Toto teams'!$A$4:$A$119,0)),Scoring!$A$4:$N$51,8,FALSE()),0)+2*IFERROR(VLOOKUP(INDEX(' Toto teams'!$E$4:$E$119,MATCH($B69,' Toto teams'!$A$4:$A$119,0)),Scoring!$A$4:$N$51,8,FALSE()),0)+1*IFERROR(VLOOKUP(INDEX(' Toto teams'!$F$4:$F$119,MATCH($B69,' Toto teams'!$A$4:$A$119,0)),Scoring!$A$4:$N$51,8,FALSE()),0)+1*IFERROR(VLOOKUP(INDEX(' Toto teams'!$G$4:$G$119,MATCH($B69,' Toto teams'!$A$4:$A$119,0)),Scoring!$A$4:$N$51,8,FALSE()),0)+1*IFERROR(VLOOKUP(INDEX(' Toto teams'!$H$4:$H$119,MATCH($B69,' Toto teams'!$A$4:$A$119,0)),Scoring!$A$4:$N$51,8,FALSE()),0))</f>
        <v/>
      </c>
      <c r="F69" s="28">
        <f>IF($B69="","",6*IFERROR(VLOOKUP(INDEX(' Toto teams'!$B$4:$B$119,MATCH($B69,' Toto teams'!$A$4:$A$119,0)),Scoring!$A$4:$N$51,9,FALSE()),0)+4*IFERROR(VLOOKUP(INDEX(' Toto teams'!$C$4:$C$119,MATCH($B69,' Toto teams'!$A$4:$A$119,0)),Scoring!$A$4:$N$51,9,FALSE()),0)+3*IFERROR(VLOOKUP(INDEX(' Toto teams'!$D$4:$D$119,MATCH($B69,' Toto teams'!$A$4:$A$119,0)),Scoring!$A$4:$N$51,9,FALSE()),0)+2*IFERROR(VLOOKUP(INDEX(' Toto teams'!$E$4:$E$119,MATCH($B69,' Toto teams'!$A$4:$A$119,0)),Scoring!$A$4:$N$51,9,FALSE()),0)+1*IFERROR(VLOOKUP(INDEX(' Toto teams'!$F$4:$F$119,MATCH($B69,' Toto teams'!$A$4:$A$119,0)),Scoring!$A$4:$N$51,9,FALSE()),0)+1*IFERROR(VLOOKUP(INDEX(' Toto teams'!$G$4:$G$119,MATCH($B69,' Toto teams'!$A$4:$A$119,0)),Scoring!$A$4:$N$51,9,FALSE()),0)+1*IFERROR(VLOOKUP(INDEX(' Toto teams'!$H$4:$H$119,MATCH($B69,' Toto teams'!$A$4:$A$119,0)),Scoring!$A$4:$N$51,9,FALSE()),0))</f>
        <v/>
      </c>
      <c r="G69" s="28">
        <f>IF($B69="","",6*IFERROR(VLOOKUP(INDEX(' Toto teams'!$B$4:$B$119,MATCH($B69,' Toto teams'!$A$4:$A$119,0)),Scoring!$A$4:$N$51,10,FALSE()),0)+4*IFERROR(VLOOKUP(INDEX(' Toto teams'!$C$4:$C$119,MATCH($B69,' Toto teams'!$A$4:$A$119,0)),Scoring!$A$4:$N$51,10,FALSE()),0)+3*IFERROR(VLOOKUP(INDEX(' Toto teams'!$D$4:$D$119,MATCH($B69,' Toto teams'!$A$4:$A$119,0)),Scoring!$A$4:$N$51,10,FALSE()),0)+2*IFERROR(VLOOKUP(INDEX(' Toto teams'!$E$4:$E$119,MATCH($B69,' Toto teams'!$A$4:$A$119,0)),Scoring!$A$4:$N$51,10,FALSE()),0)+1*IFERROR(VLOOKUP(INDEX(' Toto teams'!$F$4:$F$119,MATCH($B69,' Toto teams'!$A$4:$A$119,0)),Scoring!$A$4:$N$51,10,FALSE()),0)+1*IFERROR(VLOOKUP(INDEX(' Toto teams'!$G$4:$G$119,MATCH($B69,' Toto teams'!$A$4:$A$119,0)),Scoring!$A$4:$N$51,10,FALSE()),0)+1*IFERROR(VLOOKUP(INDEX(' Toto teams'!$H$4:$H$119,MATCH($B69,' Toto teams'!$A$4:$A$119,0)),Scoring!$A$4:$N$51,10,FALSE()),0))</f>
        <v/>
      </c>
      <c r="H69" s="28">
        <f>IF($B69="","",6*IFERROR(VLOOKUP(INDEX(' Toto teams'!$B$4:$B$119,MATCH($B69,' Toto teams'!$A$4:$A$119,0)),Scoring!$A$4:$N$51,11,FALSE()),0)+4*IFERROR(VLOOKUP(INDEX(' Toto teams'!$C$4:$C$119,MATCH($B69,' Toto teams'!$A$4:$A$119,0)),Scoring!$A$4:$N$51,11,FALSE()),0)+3*IFERROR(VLOOKUP(INDEX(' Toto teams'!$D$4:$D$119,MATCH($B69,' Toto teams'!$A$4:$A$119,0)),Scoring!$A$4:$N$51,11,FALSE()),0)+2*IFERROR(VLOOKUP(INDEX(' Toto teams'!$E$4:$E$119,MATCH($B69,' Toto teams'!$A$4:$A$119,0)),Scoring!$A$4:$N$51,11,FALSE()),0)+1*IFERROR(VLOOKUP(INDEX(' Toto teams'!$F$4:$F$119,MATCH($B69,' Toto teams'!$A$4:$A$119,0)),Scoring!$A$4:$N$51,11,FALSE()),0)+1*IFERROR(VLOOKUP(INDEX(' Toto teams'!$G$4:$G$119,MATCH($B69,' Toto teams'!$A$4:$A$119,0)),Scoring!$A$4:$N$51,11,FALSE()),0)+1*IFERROR(VLOOKUP(INDEX(' Toto teams'!$H$4:$H$119,MATCH($B69,' Toto teams'!$A$4:$A$119,0)),Scoring!$A$4:$N$51,11,FALSE()),0))</f>
        <v/>
      </c>
      <c r="I69" s="28">
        <f>IF($B69="","",6*IFERROR(VLOOKUP(INDEX(' Toto teams'!$B$4:$B$119,MATCH($B69,' Toto teams'!$A$4:$A$119,0)),Scoring!$A$4:$O$51,15,FALSE()),0)+4*IFERROR(VLOOKUP(INDEX(' Toto teams'!$C$4:$C$119,MATCH($B69,' Toto teams'!$A$4:$A$119,0)),Scoring!$A$4:$O$51,15,FALSE()),0)+3*IFERROR(VLOOKUP(INDEX(' Toto teams'!$D$4:$D$119,MATCH($B69,' Toto teams'!$A$4:$A$119,0)),Scoring!$A$4:$O$51,15,FALSE()),0)+2*IFERROR(VLOOKUP(INDEX(' Toto teams'!$E$4:$E$119,MATCH($B69,' Toto teams'!$A$4:$A$119,0)),Scoring!$A$4:$O$51,15,FALSE()),0)+1*IFERROR(VLOOKUP(INDEX(' Toto teams'!$F$4:$F$119,MATCH($B69,' Toto teams'!$A$4:$A$119,0)),Scoring!$A$4:$O$51,15,FALSE()),0)+1*IFERROR(VLOOKUP(INDEX(' Toto teams'!$G$4:$G$119,MATCH($B69,' Toto teams'!$A$4:$A$119,0)),Scoring!$A$4:$O$51,15,FALSE()),0)+1*IFERROR(VLOOKUP(INDEX(' Toto teams'!$H$4:$H$119,MATCH($B69,' Toto teams'!$A$4:$A$119,0)),Scoring!$A$4:$O$51,15,FALSE()),0))</f>
        <v/>
      </c>
      <c r="J69" s="28">
        <f>IF($B69="","",6*IFERROR(VLOOKUP(INDEX(' Toto teams'!$B$4:$B$119,MATCH($B69,' Toto teams'!$A$4:$A$119,0)),Scoring!$A$4:$N$51,12,FALSE()),0)+4*IFERROR(VLOOKUP(INDEX(' Toto teams'!$C$4:$C$119,MATCH($B69,' Toto teams'!$A$4:$A$119,0)),Scoring!$A$4:$N$51,12,FALSE()),0)+3*IFERROR(VLOOKUP(INDEX(' Toto teams'!$D$4:$D$119,MATCH($B69,' Toto teams'!$A$4:$A$119,0)),Scoring!$A$4:$N$51,12,FALSE()),0)+2*IFERROR(VLOOKUP(INDEX(' Toto teams'!$E$4:$E$119,MATCH($B69,' Toto teams'!$A$4:$A$119,0)),Scoring!$A$4:$N$51,12,FALSE()),0)+1*IFERROR(VLOOKUP(INDEX(' Toto teams'!$F$4:$F$119,MATCH($B69,' Toto teams'!$A$4:$A$119,0)),Scoring!$A$4:$N$51,12,FALSE()),0)+1*IFERROR(VLOOKUP(INDEX(' Toto teams'!$G$4:$G$119,MATCH($B69,' Toto teams'!$A$4:$A$119,0)),Scoring!$A$4:$N$51,12,FALSE()),0)+1*IFERROR(VLOOKUP(INDEX(' Toto teams'!$H$4:$H$119,MATCH($B69,' Toto teams'!$A$4:$A$119,0)),Scoring!$A$4:$N$51,12,FALSE()),0))</f>
        <v/>
      </c>
      <c r="K69" s="29">
        <f>IF($B69="","",IFERROR(INDEX(' Toto teams'!$R$4:$R$119,MATCH($B69,' Toto teams'!$A$4:$A$119,0)),""))</f>
        <v/>
      </c>
      <c r="L69" s="30">
        <f>IFERROR(IF(B69="","",VLOOKUP(A69,$N$4:$R$12,5,FALSE())),0)</f>
        <v/>
      </c>
    </row>
    <row r="70" ht="12.75" customHeight="1">
      <c r="A70" s="26">
        <f>IF(67&gt;COUNTIF(' Toto teams'!$A$4:$A$119,"&lt;&gt;"),"",INDEX(' Toto teams'!$S$4:$S$119,MATCH(LARGE(' Toto teams'!$T$4:$T$119,67),' Toto teams'!$T$4:$T$119,0)))</f>
        <v/>
      </c>
      <c r="B70" s="27">
        <f>IF(67&gt;COUNTIF(' Toto teams'!$A$4:$A$119,"&lt;&gt;"),"",INDEX(' Toto teams'!$A$4:$A$119,MATCH(LARGE(' Toto teams'!$T$4:$T$119,67),' Toto teams'!$T$4:$T$119,0)))</f>
        <v/>
      </c>
      <c r="C70" s="28">
        <f>IF($B70="","",6*(IFERROR(VLOOKUP(INDEX(' Toto teams'!$B$4:$B$119,MATCH($B70,' Toto teams'!$A$4:$A$119,0)),Scoring!$A$4:$N$51,3,FALSE()),0)+IFERROR(VLOOKUP(INDEX(' Toto teams'!$B$4:$B$119,MATCH($B70,' Toto teams'!$A$4:$A$119,0)),Scoring!$A$4:$N$51,4,FALSE()),0)+IFERROR(VLOOKUP(INDEX(' Toto teams'!$B$4:$B$119,MATCH($B70,' Toto teams'!$A$4:$A$119,0)),Scoring!$A$4:$N$51,5,FALSE()),0))+4*(IFERROR(VLOOKUP(INDEX(' Toto teams'!$C$4:$C$119,MATCH($B70,' Toto teams'!$A$4:$A$119,0)),Scoring!$A$4:$N$51,3,FALSE()),0)+IFERROR(VLOOKUP(INDEX(' Toto teams'!$C$4:$C$119,MATCH($B70,' Toto teams'!$A$4:$A$119,0)),Scoring!$A$4:$N$51,4,FALSE()),0)+IFERROR(VLOOKUP(INDEX(' Toto teams'!$C$4:$C$119,MATCH($B70,' Toto teams'!$A$4:$A$119,0)),Scoring!$A$4:$N$51,5,FALSE()),0))+3*(IFERROR(VLOOKUP(INDEX(' Toto teams'!$D$4:$D$119,MATCH($B70,' Toto teams'!$A$4:$A$119,0)),Scoring!$A$4:$N$51,3,FALSE()),0)+IFERROR(VLOOKUP(INDEX(' Toto teams'!$D$4:$D$119,MATCH($B70,' Toto teams'!$A$4:$A$119,0)),Scoring!$A$4:$N$51,4,FALSE()),0)+IFERROR(VLOOKUP(INDEX(' Toto teams'!$D$4:$D$119,MATCH($B70,' Toto teams'!$A$4:$A$119,0)),Scoring!$A$4:$N$51,5,FALSE()),0))+2*(IFERROR(VLOOKUP(INDEX(' Toto teams'!$E$4:$E$119,MATCH($B70,' Toto teams'!$A$4:$A$119,0)),Scoring!$A$4:$N$51,3,FALSE()),0)+IFERROR(VLOOKUP(INDEX(' Toto teams'!$E$4:$E$119,MATCH($B70,' Toto teams'!$A$4:$A$119,0)),Scoring!$A$4:$N$51,4,FALSE()),0)+IFERROR(VLOOKUP(INDEX(' Toto teams'!$E$4:$E$119,MATCH($B70,' Toto teams'!$A$4:$A$119,0)),Scoring!$A$4:$N$51,5,FALSE()),0))+1*(IFERROR(VLOOKUP(INDEX(' Toto teams'!$F$4:$F$119,MATCH($B70,' Toto teams'!$A$4:$A$119,0)),Scoring!$A$4:$N$51,3,FALSE()),0)+IFERROR(VLOOKUP(INDEX(' Toto teams'!$F$4:$F$119,MATCH($B70,' Toto teams'!$A$4:$A$119,0)),Scoring!$A$4:$N$51,4,FALSE()),0)+IFERROR(VLOOKUP(INDEX(' Toto teams'!$F$4:$F$119,MATCH($B70,' Toto teams'!$A$4:$A$119,0)),Scoring!$A$4:$N$51,5,FALSE()),0))+1*(IFERROR(VLOOKUP(INDEX(' Toto teams'!$G$4:$G$119,MATCH($B70,' Toto teams'!$A$4:$A$119,0)),Scoring!$A$4:$N$51,3,FALSE()),0)+IFERROR(VLOOKUP(INDEX(' Toto teams'!$G$4:$G$119,MATCH($B70,' Toto teams'!$A$4:$A$119,0)),Scoring!$A$4:$N$51,4,FALSE()),0)+IFERROR(VLOOKUP(INDEX(' Toto teams'!$G$4:$G$119,MATCH($B70,' Toto teams'!$A$4:$A$119,0)),Scoring!$A$4:$N$51,5,FALSE()),0))+1*(IFERROR(VLOOKUP(INDEX(' Toto teams'!$H$4:$H$119,MATCH($B70,' Toto teams'!$A$4:$A$119,0)),Scoring!$A$4:$N$51,3,FALSE()),0)+IFERROR(VLOOKUP(INDEX(' Toto teams'!$H$4:$H$119,MATCH($B70,' Toto teams'!$A$4:$A$119,0)),Scoring!$A$4:$N$51,4,FALSE()),0)+IFERROR(VLOOKUP(INDEX(' Toto teams'!$H$4:$H$119,MATCH($B70,' Toto teams'!$A$4:$A$119,0)),Scoring!$A$4:$N$51,5,FALSE()),0))+IFERROR(INDEX(' Toto teams'!$Q$4:$Q$119,MATCH($B70,' Toto teams'!$A$4:$A$119,0))*1,0))</f>
        <v/>
      </c>
      <c r="D70" s="28">
        <f>IF($B70="","",6*IFERROR(VLOOKUP(INDEX(' Toto teams'!$B$4:$B$119,MATCH($B70,' Toto teams'!$A$4:$A$119,0)),Scoring!$A$4:$N$51,7,FALSE()),0)+4*IFERROR(VLOOKUP(INDEX(' Toto teams'!$C$4:$C$119,MATCH($B70,' Toto teams'!$A$4:$A$119,0)),Scoring!$A$4:$N$51,7,FALSE()),0)+3*IFERROR(VLOOKUP(INDEX(' Toto teams'!$D$4:$D$119,MATCH($B70,' Toto teams'!$A$4:$A$119,0)),Scoring!$A$4:$N$51,7,FALSE()),0)+2*IFERROR(VLOOKUP(INDEX(' Toto teams'!$E$4:$E$119,MATCH($B70,' Toto teams'!$A$4:$A$119,0)),Scoring!$A$4:$N$51,7,FALSE()),0)+1*IFERROR(VLOOKUP(INDEX(' Toto teams'!$F$4:$F$119,MATCH($B70,' Toto teams'!$A$4:$A$119,0)),Scoring!$A$4:$N$51,7,FALSE()),0)+1*IFERROR(VLOOKUP(INDEX(' Toto teams'!$G$4:$G$119,MATCH($B70,' Toto teams'!$A$4:$A$119,0)),Scoring!$A$4:$N$51,7,FALSE()),0)+1*IFERROR(VLOOKUP(INDEX(' Toto teams'!$H$4:$H$119,MATCH($B70,' Toto teams'!$A$4:$A$119,0)),Scoring!$A$4:$N$51,7,FALSE()),0))</f>
        <v/>
      </c>
      <c r="E70" s="28">
        <f>IF($B70="","",6*IFERROR(VLOOKUP(INDEX(' Toto teams'!$B$4:$B$119,MATCH($B70,' Toto teams'!$A$4:$A$119,0)),Scoring!$A$4:$N$51,8,FALSE()),0)+4*IFERROR(VLOOKUP(INDEX(' Toto teams'!$C$4:$C$119,MATCH($B70,' Toto teams'!$A$4:$A$119,0)),Scoring!$A$4:$N$51,8,FALSE()),0)+3*IFERROR(VLOOKUP(INDEX(' Toto teams'!$D$4:$D$119,MATCH($B70,' Toto teams'!$A$4:$A$119,0)),Scoring!$A$4:$N$51,8,FALSE()),0)+2*IFERROR(VLOOKUP(INDEX(' Toto teams'!$E$4:$E$119,MATCH($B70,' Toto teams'!$A$4:$A$119,0)),Scoring!$A$4:$N$51,8,FALSE()),0)+1*IFERROR(VLOOKUP(INDEX(' Toto teams'!$F$4:$F$119,MATCH($B70,' Toto teams'!$A$4:$A$119,0)),Scoring!$A$4:$N$51,8,FALSE()),0)+1*IFERROR(VLOOKUP(INDEX(' Toto teams'!$G$4:$G$119,MATCH($B70,' Toto teams'!$A$4:$A$119,0)),Scoring!$A$4:$N$51,8,FALSE()),0)+1*IFERROR(VLOOKUP(INDEX(' Toto teams'!$H$4:$H$119,MATCH($B70,' Toto teams'!$A$4:$A$119,0)),Scoring!$A$4:$N$51,8,FALSE()),0))</f>
        <v/>
      </c>
      <c r="F70" s="28">
        <f>IF($B70="","",6*IFERROR(VLOOKUP(INDEX(' Toto teams'!$B$4:$B$119,MATCH($B70,' Toto teams'!$A$4:$A$119,0)),Scoring!$A$4:$N$51,9,FALSE()),0)+4*IFERROR(VLOOKUP(INDEX(' Toto teams'!$C$4:$C$119,MATCH($B70,' Toto teams'!$A$4:$A$119,0)),Scoring!$A$4:$N$51,9,FALSE()),0)+3*IFERROR(VLOOKUP(INDEX(' Toto teams'!$D$4:$D$119,MATCH($B70,' Toto teams'!$A$4:$A$119,0)),Scoring!$A$4:$N$51,9,FALSE()),0)+2*IFERROR(VLOOKUP(INDEX(' Toto teams'!$E$4:$E$119,MATCH($B70,' Toto teams'!$A$4:$A$119,0)),Scoring!$A$4:$N$51,9,FALSE()),0)+1*IFERROR(VLOOKUP(INDEX(' Toto teams'!$F$4:$F$119,MATCH($B70,' Toto teams'!$A$4:$A$119,0)),Scoring!$A$4:$N$51,9,FALSE()),0)+1*IFERROR(VLOOKUP(INDEX(' Toto teams'!$G$4:$G$119,MATCH($B70,' Toto teams'!$A$4:$A$119,0)),Scoring!$A$4:$N$51,9,FALSE()),0)+1*IFERROR(VLOOKUP(INDEX(' Toto teams'!$H$4:$H$119,MATCH($B70,' Toto teams'!$A$4:$A$119,0)),Scoring!$A$4:$N$51,9,FALSE()),0))</f>
        <v/>
      </c>
      <c r="G70" s="28">
        <f>IF($B70="","",6*IFERROR(VLOOKUP(INDEX(' Toto teams'!$B$4:$B$119,MATCH($B70,' Toto teams'!$A$4:$A$119,0)),Scoring!$A$4:$N$51,10,FALSE()),0)+4*IFERROR(VLOOKUP(INDEX(' Toto teams'!$C$4:$C$119,MATCH($B70,' Toto teams'!$A$4:$A$119,0)),Scoring!$A$4:$N$51,10,FALSE()),0)+3*IFERROR(VLOOKUP(INDEX(' Toto teams'!$D$4:$D$119,MATCH($B70,' Toto teams'!$A$4:$A$119,0)),Scoring!$A$4:$N$51,10,FALSE()),0)+2*IFERROR(VLOOKUP(INDEX(' Toto teams'!$E$4:$E$119,MATCH($B70,' Toto teams'!$A$4:$A$119,0)),Scoring!$A$4:$N$51,10,FALSE()),0)+1*IFERROR(VLOOKUP(INDEX(' Toto teams'!$F$4:$F$119,MATCH($B70,' Toto teams'!$A$4:$A$119,0)),Scoring!$A$4:$N$51,10,FALSE()),0)+1*IFERROR(VLOOKUP(INDEX(' Toto teams'!$G$4:$G$119,MATCH($B70,' Toto teams'!$A$4:$A$119,0)),Scoring!$A$4:$N$51,10,FALSE()),0)+1*IFERROR(VLOOKUP(INDEX(' Toto teams'!$H$4:$H$119,MATCH($B70,' Toto teams'!$A$4:$A$119,0)),Scoring!$A$4:$N$51,10,FALSE()),0))</f>
        <v/>
      </c>
      <c r="H70" s="28">
        <f>IF($B70="","",6*IFERROR(VLOOKUP(INDEX(' Toto teams'!$B$4:$B$119,MATCH($B70,' Toto teams'!$A$4:$A$119,0)),Scoring!$A$4:$N$51,11,FALSE()),0)+4*IFERROR(VLOOKUP(INDEX(' Toto teams'!$C$4:$C$119,MATCH($B70,' Toto teams'!$A$4:$A$119,0)),Scoring!$A$4:$N$51,11,FALSE()),0)+3*IFERROR(VLOOKUP(INDEX(' Toto teams'!$D$4:$D$119,MATCH($B70,' Toto teams'!$A$4:$A$119,0)),Scoring!$A$4:$N$51,11,FALSE()),0)+2*IFERROR(VLOOKUP(INDEX(' Toto teams'!$E$4:$E$119,MATCH($B70,' Toto teams'!$A$4:$A$119,0)),Scoring!$A$4:$N$51,11,FALSE()),0)+1*IFERROR(VLOOKUP(INDEX(' Toto teams'!$F$4:$F$119,MATCH($B70,' Toto teams'!$A$4:$A$119,0)),Scoring!$A$4:$N$51,11,FALSE()),0)+1*IFERROR(VLOOKUP(INDEX(' Toto teams'!$G$4:$G$119,MATCH($B70,' Toto teams'!$A$4:$A$119,0)),Scoring!$A$4:$N$51,11,FALSE()),0)+1*IFERROR(VLOOKUP(INDEX(' Toto teams'!$H$4:$H$119,MATCH($B70,' Toto teams'!$A$4:$A$119,0)),Scoring!$A$4:$N$51,11,FALSE()),0))</f>
        <v/>
      </c>
      <c r="I70" s="28">
        <f>IF($B70="","",6*IFERROR(VLOOKUP(INDEX(' Toto teams'!$B$4:$B$119,MATCH($B70,' Toto teams'!$A$4:$A$119,0)),Scoring!$A$4:$O$51,15,FALSE()),0)+4*IFERROR(VLOOKUP(INDEX(' Toto teams'!$C$4:$C$119,MATCH($B70,' Toto teams'!$A$4:$A$119,0)),Scoring!$A$4:$O$51,15,FALSE()),0)+3*IFERROR(VLOOKUP(INDEX(' Toto teams'!$D$4:$D$119,MATCH($B70,' Toto teams'!$A$4:$A$119,0)),Scoring!$A$4:$O$51,15,FALSE()),0)+2*IFERROR(VLOOKUP(INDEX(' Toto teams'!$E$4:$E$119,MATCH($B70,' Toto teams'!$A$4:$A$119,0)),Scoring!$A$4:$O$51,15,FALSE()),0)+1*IFERROR(VLOOKUP(INDEX(' Toto teams'!$F$4:$F$119,MATCH($B70,' Toto teams'!$A$4:$A$119,0)),Scoring!$A$4:$O$51,15,FALSE()),0)+1*IFERROR(VLOOKUP(INDEX(' Toto teams'!$G$4:$G$119,MATCH($B70,' Toto teams'!$A$4:$A$119,0)),Scoring!$A$4:$O$51,15,FALSE()),0)+1*IFERROR(VLOOKUP(INDEX(' Toto teams'!$H$4:$H$119,MATCH($B70,' Toto teams'!$A$4:$A$119,0)),Scoring!$A$4:$O$51,15,FALSE()),0))</f>
        <v/>
      </c>
      <c r="J70" s="28">
        <f>IF($B70="","",6*IFERROR(VLOOKUP(INDEX(' Toto teams'!$B$4:$B$119,MATCH($B70,' Toto teams'!$A$4:$A$119,0)),Scoring!$A$4:$N$51,12,FALSE()),0)+4*IFERROR(VLOOKUP(INDEX(' Toto teams'!$C$4:$C$119,MATCH($B70,' Toto teams'!$A$4:$A$119,0)),Scoring!$A$4:$N$51,12,FALSE()),0)+3*IFERROR(VLOOKUP(INDEX(' Toto teams'!$D$4:$D$119,MATCH($B70,' Toto teams'!$A$4:$A$119,0)),Scoring!$A$4:$N$51,12,FALSE()),0)+2*IFERROR(VLOOKUP(INDEX(' Toto teams'!$E$4:$E$119,MATCH($B70,' Toto teams'!$A$4:$A$119,0)),Scoring!$A$4:$N$51,12,FALSE()),0)+1*IFERROR(VLOOKUP(INDEX(' Toto teams'!$F$4:$F$119,MATCH($B70,' Toto teams'!$A$4:$A$119,0)),Scoring!$A$4:$N$51,12,FALSE()),0)+1*IFERROR(VLOOKUP(INDEX(' Toto teams'!$G$4:$G$119,MATCH($B70,' Toto teams'!$A$4:$A$119,0)),Scoring!$A$4:$N$51,12,FALSE()),0)+1*IFERROR(VLOOKUP(INDEX(' Toto teams'!$H$4:$H$119,MATCH($B70,' Toto teams'!$A$4:$A$119,0)),Scoring!$A$4:$N$51,12,FALSE()),0))</f>
        <v/>
      </c>
      <c r="K70" s="29">
        <f>IF($B70="","",IFERROR(INDEX(' Toto teams'!$R$4:$R$119,MATCH($B70,' Toto teams'!$A$4:$A$119,0)),""))</f>
        <v/>
      </c>
      <c r="L70" s="30">
        <f>IFERROR(IF(B70="","",VLOOKUP(A70,$N$4:$R$12,5,FALSE())),0)</f>
        <v/>
      </c>
    </row>
    <row r="71" ht="12.75" customHeight="1">
      <c r="A71" s="26">
        <f>IF(68&gt;COUNTIF(' Toto teams'!$A$4:$A$119,"&lt;&gt;"),"",INDEX(' Toto teams'!$S$4:$S$119,MATCH(LARGE(' Toto teams'!$T$4:$T$119,68),' Toto teams'!$T$4:$T$119,0)))</f>
        <v/>
      </c>
      <c r="B71" s="27">
        <f>IF(68&gt;COUNTIF(' Toto teams'!$A$4:$A$119,"&lt;&gt;"),"",INDEX(' Toto teams'!$A$4:$A$119,MATCH(LARGE(' Toto teams'!$T$4:$T$119,68),' Toto teams'!$T$4:$T$119,0)))</f>
        <v/>
      </c>
      <c r="C71" s="28">
        <f>IF($B71="","",6*(IFERROR(VLOOKUP(INDEX(' Toto teams'!$B$4:$B$119,MATCH($B71,' Toto teams'!$A$4:$A$119,0)),Scoring!$A$4:$N$51,3,FALSE()),0)+IFERROR(VLOOKUP(INDEX(' Toto teams'!$B$4:$B$119,MATCH($B71,' Toto teams'!$A$4:$A$119,0)),Scoring!$A$4:$N$51,4,FALSE()),0)+IFERROR(VLOOKUP(INDEX(' Toto teams'!$B$4:$B$119,MATCH($B71,' Toto teams'!$A$4:$A$119,0)),Scoring!$A$4:$N$51,5,FALSE()),0))+4*(IFERROR(VLOOKUP(INDEX(' Toto teams'!$C$4:$C$119,MATCH($B71,' Toto teams'!$A$4:$A$119,0)),Scoring!$A$4:$N$51,3,FALSE()),0)+IFERROR(VLOOKUP(INDEX(' Toto teams'!$C$4:$C$119,MATCH($B71,' Toto teams'!$A$4:$A$119,0)),Scoring!$A$4:$N$51,4,FALSE()),0)+IFERROR(VLOOKUP(INDEX(' Toto teams'!$C$4:$C$119,MATCH($B71,' Toto teams'!$A$4:$A$119,0)),Scoring!$A$4:$N$51,5,FALSE()),0))+3*(IFERROR(VLOOKUP(INDEX(' Toto teams'!$D$4:$D$119,MATCH($B71,' Toto teams'!$A$4:$A$119,0)),Scoring!$A$4:$N$51,3,FALSE()),0)+IFERROR(VLOOKUP(INDEX(' Toto teams'!$D$4:$D$119,MATCH($B71,' Toto teams'!$A$4:$A$119,0)),Scoring!$A$4:$N$51,4,FALSE()),0)+IFERROR(VLOOKUP(INDEX(' Toto teams'!$D$4:$D$119,MATCH($B71,' Toto teams'!$A$4:$A$119,0)),Scoring!$A$4:$N$51,5,FALSE()),0))+2*(IFERROR(VLOOKUP(INDEX(' Toto teams'!$E$4:$E$119,MATCH($B71,' Toto teams'!$A$4:$A$119,0)),Scoring!$A$4:$N$51,3,FALSE()),0)+IFERROR(VLOOKUP(INDEX(' Toto teams'!$E$4:$E$119,MATCH($B71,' Toto teams'!$A$4:$A$119,0)),Scoring!$A$4:$N$51,4,FALSE()),0)+IFERROR(VLOOKUP(INDEX(' Toto teams'!$E$4:$E$119,MATCH($B71,' Toto teams'!$A$4:$A$119,0)),Scoring!$A$4:$N$51,5,FALSE()),0))+1*(IFERROR(VLOOKUP(INDEX(' Toto teams'!$F$4:$F$119,MATCH($B71,' Toto teams'!$A$4:$A$119,0)),Scoring!$A$4:$N$51,3,FALSE()),0)+IFERROR(VLOOKUP(INDEX(' Toto teams'!$F$4:$F$119,MATCH($B71,' Toto teams'!$A$4:$A$119,0)),Scoring!$A$4:$N$51,4,FALSE()),0)+IFERROR(VLOOKUP(INDEX(' Toto teams'!$F$4:$F$119,MATCH($B71,' Toto teams'!$A$4:$A$119,0)),Scoring!$A$4:$N$51,5,FALSE()),0))+1*(IFERROR(VLOOKUP(INDEX(' Toto teams'!$G$4:$G$119,MATCH($B71,' Toto teams'!$A$4:$A$119,0)),Scoring!$A$4:$N$51,3,FALSE()),0)+IFERROR(VLOOKUP(INDEX(' Toto teams'!$G$4:$G$119,MATCH($B71,' Toto teams'!$A$4:$A$119,0)),Scoring!$A$4:$N$51,4,FALSE()),0)+IFERROR(VLOOKUP(INDEX(' Toto teams'!$G$4:$G$119,MATCH($B71,' Toto teams'!$A$4:$A$119,0)),Scoring!$A$4:$N$51,5,FALSE()),0))+1*(IFERROR(VLOOKUP(INDEX(' Toto teams'!$H$4:$H$119,MATCH($B71,' Toto teams'!$A$4:$A$119,0)),Scoring!$A$4:$N$51,3,FALSE()),0)+IFERROR(VLOOKUP(INDEX(' Toto teams'!$H$4:$H$119,MATCH($B71,' Toto teams'!$A$4:$A$119,0)),Scoring!$A$4:$N$51,4,FALSE()),0)+IFERROR(VLOOKUP(INDEX(' Toto teams'!$H$4:$H$119,MATCH($B71,' Toto teams'!$A$4:$A$119,0)),Scoring!$A$4:$N$51,5,FALSE()),0))+IFERROR(INDEX(' Toto teams'!$Q$4:$Q$119,MATCH($B71,' Toto teams'!$A$4:$A$119,0))*1,0))</f>
        <v/>
      </c>
      <c r="D71" s="28">
        <f>IF($B71="","",6*IFERROR(VLOOKUP(INDEX(' Toto teams'!$B$4:$B$119,MATCH($B71,' Toto teams'!$A$4:$A$119,0)),Scoring!$A$4:$N$51,7,FALSE()),0)+4*IFERROR(VLOOKUP(INDEX(' Toto teams'!$C$4:$C$119,MATCH($B71,' Toto teams'!$A$4:$A$119,0)),Scoring!$A$4:$N$51,7,FALSE()),0)+3*IFERROR(VLOOKUP(INDEX(' Toto teams'!$D$4:$D$119,MATCH($B71,' Toto teams'!$A$4:$A$119,0)),Scoring!$A$4:$N$51,7,FALSE()),0)+2*IFERROR(VLOOKUP(INDEX(' Toto teams'!$E$4:$E$119,MATCH($B71,' Toto teams'!$A$4:$A$119,0)),Scoring!$A$4:$N$51,7,FALSE()),0)+1*IFERROR(VLOOKUP(INDEX(' Toto teams'!$F$4:$F$119,MATCH($B71,' Toto teams'!$A$4:$A$119,0)),Scoring!$A$4:$N$51,7,FALSE()),0)+1*IFERROR(VLOOKUP(INDEX(' Toto teams'!$G$4:$G$119,MATCH($B71,' Toto teams'!$A$4:$A$119,0)),Scoring!$A$4:$N$51,7,FALSE()),0)+1*IFERROR(VLOOKUP(INDEX(' Toto teams'!$H$4:$H$119,MATCH($B71,' Toto teams'!$A$4:$A$119,0)),Scoring!$A$4:$N$51,7,FALSE()),0))</f>
        <v/>
      </c>
      <c r="E71" s="28">
        <f>IF($B71="","",6*IFERROR(VLOOKUP(INDEX(' Toto teams'!$B$4:$B$119,MATCH($B71,' Toto teams'!$A$4:$A$119,0)),Scoring!$A$4:$N$51,8,FALSE()),0)+4*IFERROR(VLOOKUP(INDEX(' Toto teams'!$C$4:$C$119,MATCH($B71,' Toto teams'!$A$4:$A$119,0)),Scoring!$A$4:$N$51,8,FALSE()),0)+3*IFERROR(VLOOKUP(INDEX(' Toto teams'!$D$4:$D$119,MATCH($B71,' Toto teams'!$A$4:$A$119,0)),Scoring!$A$4:$N$51,8,FALSE()),0)+2*IFERROR(VLOOKUP(INDEX(' Toto teams'!$E$4:$E$119,MATCH($B71,' Toto teams'!$A$4:$A$119,0)),Scoring!$A$4:$N$51,8,FALSE()),0)+1*IFERROR(VLOOKUP(INDEX(' Toto teams'!$F$4:$F$119,MATCH($B71,' Toto teams'!$A$4:$A$119,0)),Scoring!$A$4:$N$51,8,FALSE()),0)+1*IFERROR(VLOOKUP(INDEX(' Toto teams'!$G$4:$G$119,MATCH($B71,' Toto teams'!$A$4:$A$119,0)),Scoring!$A$4:$N$51,8,FALSE()),0)+1*IFERROR(VLOOKUP(INDEX(' Toto teams'!$H$4:$H$119,MATCH($B71,' Toto teams'!$A$4:$A$119,0)),Scoring!$A$4:$N$51,8,FALSE()),0))</f>
        <v/>
      </c>
      <c r="F71" s="28">
        <f>IF($B71="","",6*IFERROR(VLOOKUP(INDEX(' Toto teams'!$B$4:$B$119,MATCH($B71,' Toto teams'!$A$4:$A$119,0)),Scoring!$A$4:$N$51,9,FALSE()),0)+4*IFERROR(VLOOKUP(INDEX(' Toto teams'!$C$4:$C$119,MATCH($B71,' Toto teams'!$A$4:$A$119,0)),Scoring!$A$4:$N$51,9,FALSE()),0)+3*IFERROR(VLOOKUP(INDEX(' Toto teams'!$D$4:$D$119,MATCH($B71,' Toto teams'!$A$4:$A$119,0)),Scoring!$A$4:$N$51,9,FALSE()),0)+2*IFERROR(VLOOKUP(INDEX(' Toto teams'!$E$4:$E$119,MATCH($B71,' Toto teams'!$A$4:$A$119,0)),Scoring!$A$4:$N$51,9,FALSE()),0)+1*IFERROR(VLOOKUP(INDEX(' Toto teams'!$F$4:$F$119,MATCH($B71,' Toto teams'!$A$4:$A$119,0)),Scoring!$A$4:$N$51,9,FALSE()),0)+1*IFERROR(VLOOKUP(INDEX(' Toto teams'!$G$4:$G$119,MATCH($B71,' Toto teams'!$A$4:$A$119,0)),Scoring!$A$4:$N$51,9,FALSE()),0)+1*IFERROR(VLOOKUP(INDEX(' Toto teams'!$H$4:$H$119,MATCH($B71,' Toto teams'!$A$4:$A$119,0)),Scoring!$A$4:$N$51,9,FALSE()),0))</f>
        <v/>
      </c>
      <c r="G71" s="28">
        <f>IF($B71="","",6*IFERROR(VLOOKUP(INDEX(' Toto teams'!$B$4:$B$119,MATCH($B71,' Toto teams'!$A$4:$A$119,0)),Scoring!$A$4:$N$51,10,FALSE()),0)+4*IFERROR(VLOOKUP(INDEX(' Toto teams'!$C$4:$C$119,MATCH($B71,' Toto teams'!$A$4:$A$119,0)),Scoring!$A$4:$N$51,10,FALSE()),0)+3*IFERROR(VLOOKUP(INDEX(' Toto teams'!$D$4:$D$119,MATCH($B71,' Toto teams'!$A$4:$A$119,0)),Scoring!$A$4:$N$51,10,FALSE()),0)+2*IFERROR(VLOOKUP(INDEX(' Toto teams'!$E$4:$E$119,MATCH($B71,' Toto teams'!$A$4:$A$119,0)),Scoring!$A$4:$N$51,10,FALSE()),0)+1*IFERROR(VLOOKUP(INDEX(' Toto teams'!$F$4:$F$119,MATCH($B71,' Toto teams'!$A$4:$A$119,0)),Scoring!$A$4:$N$51,10,FALSE()),0)+1*IFERROR(VLOOKUP(INDEX(' Toto teams'!$G$4:$G$119,MATCH($B71,' Toto teams'!$A$4:$A$119,0)),Scoring!$A$4:$N$51,10,FALSE()),0)+1*IFERROR(VLOOKUP(INDEX(' Toto teams'!$H$4:$H$119,MATCH($B71,' Toto teams'!$A$4:$A$119,0)),Scoring!$A$4:$N$51,10,FALSE()),0))</f>
        <v/>
      </c>
      <c r="H71" s="28">
        <f>IF($B71="","",6*IFERROR(VLOOKUP(INDEX(' Toto teams'!$B$4:$B$119,MATCH($B71,' Toto teams'!$A$4:$A$119,0)),Scoring!$A$4:$N$51,11,FALSE()),0)+4*IFERROR(VLOOKUP(INDEX(' Toto teams'!$C$4:$C$119,MATCH($B71,' Toto teams'!$A$4:$A$119,0)),Scoring!$A$4:$N$51,11,FALSE()),0)+3*IFERROR(VLOOKUP(INDEX(' Toto teams'!$D$4:$D$119,MATCH($B71,' Toto teams'!$A$4:$A$119,0)),Scoring!$A$4:$N$51,11,FALSE()),0)+2*IFERROR(VLOOKUP(INDEX(' Toto teams'!$E$4:$E$119,MATCH($B71,' Toto teams'!$A$4:$A$119,0)),Scoring!$A$4:$N$51,11,FALSE()),0)+1*IFERROR(VLOOKUP(INDEX(' Toto teams'!$F$4:$F$119,MATCH($B71,' Toto teams'!$A$4:$A$119,0)),Scoring!$A$4:$N$51,11,FALSE()),0)+1*IFERROR(VLOOKUP(INDEX(' Toto teams'!$G$4:$G$119,MATCH($B71,' Toto teams'!$A$4:$A$119,0)),Scoring!$A$4:$N$51,11,FALSE()),0)+1*IFERROR(VLOOKUP(INDEX(' Toto teams'!$H$4:$H$119,MATCH($B71,' Toto teams'!$A$4:$A$119,0)),Scoring!$A$4:$N$51,11,FALSE()),0))</f>
        <v/>
      </c>
      <c r="I71" s="28">
        <f>IF($B71="","",6*IFERROR(VLOOKUP(INDEX(' Toto teams'!$B$4:$B$119,MATCH($B71,' Toto teams'!$A$4:$A$119,0)),Scoring!$A$4:$O$51,15,FALSE()),0)+4*IFERROR(VLOOKUP(INDEX(' Toto teams'!$C$4:$C$119,MATCH($B71,' Toto teams'!$A$4:$A$119,0)),Scoring!$A$4:$O$51,15,FALSE()),0)+3*IFERROR(VLOOKUP(INDEX(' Toto teams'!$D$4:$D$119,MATCH($B71,' Toto teams'!$A$4:$A$119,0)),Scoring!$A$4:$O$51,15,FALSE()),0)+2*IFERROR(VLOOKUP(INDEX(' Toto teams'!$E$4:$E$119,MATCH($B71,' Toto teams'!$A$4:$A$119,0)),Scoring!$A$4:$O$51,15,FALSE()),0)+1*IFERROR(VLOOKUP(INDEX(' Toto teams'!$F$4:$F$119,MATCH($B71,' Toto teams'!$A$4:$A$119,0)),Scoring!$A$4:$O$51,15,FALSE()),0)+1*IFERROR(VLOOKUP(INDEX(' Toto teams'!$G$4:$G$119,MATCH($B71,' Toto teams'!$A$4:$A$119,0)),Scoring!$A$4:$O$51,15,FALSE()),0)+1*IFERROR(VLOOKUP(INDEX(' Toto teams'!$H$4:$H$119,MATCH($B71,' Toto teams'!$A$4:$A$119,0)),Scoring!$A$4:$O$51,15,FALSE()),0))</f>
        <v/>
      </c>
      <c r="J71" s="28">
        <f>IF($B71="","",6*IFERROR(VLOOKUP(INDEX(' Toto teams'!$B$4:$B$119,MATCH($B71,' Toto teams'!$A$4:$A$119,0)),Scoring!$A$4:$N$51,12,FALSE()),0)+4*IFERROR(VLOOKUP(INDEX(' Toto teams'!$C$4:$C$119,MATCH($B71,' Toto teams'!$A$4:$A$119,0)),Scoring!$A$4:$N$51,12,FALSE()),0)+3*IFERROR(VLOOKUP(INDEX(' Toto teams'!$D$4:$D$119,MATCH($B71,' Toto teams'!$A$4:$A$119,0)),Scoring!$A$4:$N$51,12,FALSE()),0)+2*IFERROR(VLOOKUP(INDEX(' Toto teams'!$E$4:$E$119,MATCH($B71,' Toto teams'!$A$4:$A$119,0)),Scoring!$A$4:$N$51,12,FALSE()),0)+1*IFERROR(VLOOKUP(INDEX(' Toto teams'!$F$4:$F$119,MATCH($B71,' Toto teams'!$A$4:$A$119,0)),Scoring!$A$4:$N$51,12,FALSE()),0)+1*IFERROR(VLOOKUP(INDEX(' Toto teams'!$G$4:$G$119,MATCH($B71,' Toto teams'!$A$4:$A$119,0)),Scoring!$A$4:$N$51,12,FALSE()),0)+1*IFERROR(VLOOKUP(INDEX(' Toto teams'!$H$4:$H$119,MATCH($B71,' Toto teams'!$A$4:$A$119,0)),Scoring!$A$4:$N$51,12,FALSE()),0))</f>
        <v/>
      </c>
      <c r="K71" s="29">
        <f>IF($B71="","",IFERROR(INDEX(' Toto teams'!$R$4:$R$119,MATCH($B71,' Toto teams'!$A$4:$A$119,0)),""))</f>
        <v/>
      </c>
      <c r="L71" s="30">
        <f>IFERROR(IF(B71="","",VLOOKUP(A71,$N$4:$R$12,5,FALSE())),0)</f>
        <v/>
      </c>
    </row>
    <row r="72" ht="12.75" customHeight="1">
      <c r="A72" s="26">
        <f>IF(69&gt;COUNTIF(' Toto teams'!$A$4:$A$119,"&lt;&gt;"),"",INDEX(' Toto teams'!$S$4:$S$119,MATCH(LARGE(' Toto teams'!$T$4:$T$119,69),' Toto teams'!$T$4:$T$119,0)))</f>
        <v/>
      </c>
      <c r="B72" s="27">
        <f>IF(69&gt;COUNTIF(' Toto teams'!$A$4:$A$119,"&lt;&gt;"),"",INDEX(' Toto teams'!$A$4:$A$119,MATCH(LARGE(' Toto teams'!$T$4:$T$119,69),' Toto teams'!$T$4:$T$119,0)))</f>
        <v/>
      </c>
      <c r="C72" s="28">
        <f>IF($B72="","",6*(IFERROR(VLOOKUP(INDEX(' Toto teams'!$B$4:$B$119,MATCH($B72,' Toto teams'!$A$4:$A$119,0)),Scoring!$A$4:$N$51,3,FALSE()),0)+IFERROR(VLOOKUP(INDEX(' Toto teams'!$B$4:$B$119,MATCH($B72,' Toto teams'!$A$4:$A$119,0)),Scoring!$A$4:$N$51,4,FALSE()),0)+IFERROR(VLOOKUP(INDEX(' Toto teams'!$B$4:$B$119,MATCH($B72,' Toto teams'!$A$4:$A$119,0)),Scoring!$A$4:$N$51,5,FALSE()),0))+4*(IFERROR(VLOOKUP(INDEX(' Toto teams'!$C$4:$C$119,MATCH($B72,' Toto teams'!$A$4:$A$119,0)),Scoring!$A$4:$N$51,3,FALSE()),0)+IFERROR(VLOOKUP(INDEX(' Toto teams'!$C$4:$C$119,MATCH($B72,' Toto teams'!$A$4:$A$119,0)),Scoring!$A$4:$N$51,4,FALSE()),0)+IFERROR(VLOOKUP(INDEX(' Toto teams'!$C$4:$C$119,MATCH($B72,' Toto teams'!$A$4:$A$119,0)),Scoring!$A$4:$N$51,5,FALSE()),0))+3*(IFERROR(VLOOKUP(INDEX(' Toto teams'!$D$4:$D$119,MATCH($B72,' Toto teams'!$A$4:$A$119,0)),Scoring!$A$4:$N$51,3,FALSE()),0)+IFERROR(VLOOKUP(INDEX(' Toto teams'!$D$4:$D$119,MATCH($B72,' Toto teams'!$A$4:$A$119,0)),Scoring!$A$4:$N$51,4,FALSE()),0)+IFERROR(VLOOKUP(INDEX(' Toto teams'!$D$4:$D$119,MATCH($B72,' Toto teams'!$A$4:$A$119,0)),Scoring!$A$4:$N$51,5,FALSE()),0))+2*(IFERROR(VLOOKUP(INDEX(' Toto teams'!$E$4:$E$119,MATCH($B72,' Toto teams'!$A$4:$A$119,0)),Scoring!$A$4:$N$51,3,FALSE()),0)+IFERROR(VLOOKUP(INDEX(' Toto teams'!$E$4:$E$119,MATCH($B72,' Toto teams'!$A$4:$A$119,0)),Scoring!$A$4:$N$51,4,FALSE()),0)+IFERROR(VLOOKUP(INDEX(' Toto teams'!$E$4:$E$119,MATCH($B72,' Toto teams'!$A$4:$A$119,0)),Scoring!$A$4:$N$51,5,FALSE()),0))+1*(IFERROR(VLOOKUP(INDEX(' Toto teams'!$F$4:$F$119,MATCH($B72,' Toto teams'!$A$4:$A$119,0)),Scoring!$A$4:$N$51,3,FALSE()),0)+IFERROR(VLOOKUP(INDEX(' Toto teams'!$F$4:$F$119,MATCH($B72,' Toto teams'!$A$4:$A$119,0)),Scoring!$A$4:$N$51,4,FALSE()),0)+IFERROR(VLOOKUP(INDEX(' Toto teams'!$F$4:$F$119,MATCH($B72,' Toto teams'!$A$4:$A$119,0)),Scoring!$A$4:$N$51,5,FALSE()),0))+1*(IFERROR(VLOOKUP(INDEX(' Toto teams'!$G$4:$G$119,MATCH($B72,' Toto teams'!$A$4:$A$119,0)),Scoring!$A$4:$N$51,3,FALSE()),0)+IFERROR(VLOOKUP(INDEX(' Toto teams'!$G$4:$G$119,MATCH($B72,' Toto teams'!$A$4:$A$119,0)),Scoring!$A$4:$N$51,4,FALSE()),0)+IFERROR(VLOOKUP(INDEX(' Toto teams'!$G$4:$G$119,MATCH($B72,' Toto teams'!$A$4:$A$119,0)),Scoring!$A$4:$N$51,5,FALSE()),0))+1*(IFERROR(VLOOKUP(INDEX(' Toto teams'!$H$4:$H$119,MATCH($B72,' Toto teams'!$A$4:$A$119,0)),Scoring!$A$4:$N$51,3,FALSE()),0)+IFERROR(VLOOKUP(INDEX(' Toto teams'!$H$4:$H$119,MATCH($B72,' Toto teams'!$A$4:$A$119,0)),Scoring!$A$4:$N$51,4,FALSE()),0)+IFERROR(VLOOKUP(INDEX(' Toto teams'!$H$4:$H$119,MATCH($B72,' Toto teams'!$A$4:$A$119,0)),Scoring!$A$4:$N$51,5,FALSE()),0))+IFERROR(INDEX(' Toto teams'!$Q$4:$Q$119,MATCH($B72,' Toto teams'!$A$4:$A$119,0))*1,0))</f>
        <v/>
      </c>
      <c r="D72" s="28">
        <f>IF($B72="","",6*IFERROR(VLOOKUP(INDEX(' Toto teams'!$B$4:$B$119,MATCH($B72,' Toto teams'!$A$4:$A$119,0)),Scoring!$A$4:$N$51,7,FALSE()),0)+4*IFERROR(VLOOKUP(INDEX(' Toto teams'!$C$4:$C$119,MATCH($B72,' Toto teams'!$A$4:$A$119,0)),Scoring!$A$4:$N$51,7,FALSE()),0)+3*IFERROR(VLOOKUP(INDEX(' Toto teams'!$D$4:$D$119,MATCH($B72,' Toto teams'!$A$4:$A$119,0)),Scoring!$A$4:$N$51,7,FALSE()),0)+2*IFERROR(VLOOKUP(INDEX(' Toto teams'!$E$4:$E$119,MATCH($B72,' Toto teams'!$A$4:$A$119,0)),Scoring!$A$4:$N$51,7,FALSE()),0)+1*IFERROR(VLOOKUP(INDEX(' Toto teams'!$F$4:$F$119,MATCH($B72,' Toto teams'!$A$4:$A$119,0)),Scoring!$A$4:$N$51,7,FALSE()),0)+1*IFERROR(VLOOKUP(INDEX(' Toto teams'!$G$4:$G$119,MATCH($B72,' Toto teams'!$A$4:$A$119,0)),Scoring!$A$4:$N$51,7,FALSE()),0)+1*IFERROR(VLOOKUP(INDEX(' Toto teams'!$H$4:$H$119,MATCH($B72,' Toto teams'!$A$4:$A$119,0)),Scoring!$A$4:$N$51,7,FALSE()),0))</f>
        <v/>
      </c>
      <c r="E72" s="28">
        <f>IF($B72="","",6*IFERROR(VLOOKUP(INDEX(' Toto teams'!$B$4:$B$119,MATCH($B72,' Toto teams'!$A$4:$A$119,0)),Scoring!$A$4:$N$51,8,FALSE()),0)+4*IFERROR(VLOOKUP(INDEX(' Toto teams'!$C$4:$C$119,MATCH($B72,' Toto teams'!$A$4:$A$119,0)),Scoring!$A$4:$N$51,8,FALSE()),0)+3*IFERROR(VLOOKUP(INDEX(' Toto teams'!$D$4:$D$119,MATCH($B72,' Toto teams'!$A$4:$A$119,0)),Scoring!$A$4:$N$51,8,FALSE()),0)+2*IFERROR(VLOOKUP(INDEX(' Toto teams'!$E$4:$E$119,MATCH($B72,' Toto teams'!$A$4:$A$119,0)),Scoring!$A$4:$N$51,8,FALSE()),0)+1*IFERROR(VLOOKUP(INDEX(' Toto teams'!$F$4:$F$119,MATCH($B72,' Toto teams'!$A$4:$A$119,0)),Scoring!$A$4:$N$51,8,FALSE()),0)+1*IFERROR(VLOOKUP(INDEX(' Toto teams'!$G$4:$G$119,MATCH($B72,' Toto teams'!$A$4:$A$119,0)),Scoring!$A$4:$N$51,8,FALSE()),0)+1*IFERROR(VLOOKUP(INDEX(' Toto teams'!$H$4:$H$119,MATCH($B72,' Toto teams'!$A$4:$A$119,0)),Scoring!$A$4:$N$51,8,FALSE()),0))</f>
        <v/>
      </c>
      <c r="F72" s="28">
        <f>IF($B72="","",6*IFERROR(VLOOKUP(INDEX(' Toto teams'!$B$4:$B$119,MATCH($B72,' Toto teams'!$A$4:$A$119,0)),Scoring!$A$4:$N$51,9,FALSE()),0)+4*IFERROR(VLOOKUP(INDEX(' Toto teams'!$C$4:$C$119,MATCH($B72,' Toto teams'!$A$4:$A$119,0)),Scoring!$A$4:$N$51,9,FALSE()),0)+3*IFERROR(VLOOKUP(INDEX(' Toto teams'!$D$4:$D$119,MATCH($B72,' Toto teams'!$A$4:$A$119,0)),Scoring!$A$4:$N$51,9,FALSE()),0)+2*IFERROR(VLOOKUP(INDEX(' Toto teams'!$E$4:$E$119,MATCH($B72,' Toto teams'!$A$4:$A$119,0)),Scoring!$A$4:$N$51,9,FALSE()),0)+1*IFERROR(VLOOKUP(INDEX(' Toto teams'!$F$4:$F$119,MATCH($B72,' Toto teams'!$A$4:$A$119,0)),Scoring!$A$4:$N$51,9,FALSE()),0)+1*IFERROR(VLOOKUP(INDEX(' Toto teams'!$G$4:$G$119,MATCH($B72,' Toto teams'!$A$4:$A$119,0)),Scoring!$A$4:$N$51,9,FALSE()),0)+1*IFERROR(VLOOKUP(INDEX(' Toto teams'!$H$4:$H$119,MATCH($B72,' Toto teams'!$A$4:$A$119,0)),Scoring!$A$4:$N$51,9,FALSE()),0))</f>
        <v/>
      </c>
      <c r="G72" s="28">
        <f>IF($B72="","",6*IFERROR(VLOOKUP(INDEX(' Toto teams'!$B$4:$B$119,MATCH($B72,' Toto teams'!$A$4:$A$119,0)),Scoring!$A$4:$N$51,10,FALSE()),0)+4*IFERROR(VLOOKUP(INDEX(' Toto teams'!$C$4:$C$119,MATCH($B72,' Toto teams'!$A$4:$A$119,0)),Scoring!$A$4:$N$51,10,FALSE()),0)+3*IFERROR(VLOOKUP(INDEX(' Toto teams'!$D$4:$D$119,MATCH($B72,' Toto teams'!$A$4:$A$119,0)),Scoring!$A$4:$N$51,10,FALSE()),0)+2*IFERROR(VLOOKUP(INDEX(' Toto teams'!$E$4:$E$119,MATCH($B72,' Toto teams'!$A$4:$A$119,0)),Scoring!$A$4:$N$51,10,FALSE()),0)+1*IFERROR(VLOOKUP(INDEX(' Toto teams'!$F$4:$F$119,MATCH($B72,' Toto teams'!$A$4:$A$119,0)),Scoring!$A$4:$N$51,10,FALSE()),0)+1*IFERROR(VLOOKUP(INDEX(' Toto teams'!$G$4:$G$119,MATCH($B72,' Toto teams'!$A$4:$A$119,0)),Scoring!$A$4:$N$51,10,FALSE()),0)+1*IFERROR(VLOOKUP(INDEX(' Toto teams'!$H$4:$H$119,MATCH($B72,' Toto teams'!$A$4:$A$119,0)),Scoring!$A$4:$N$51,10,FALSE()),0))</f>
        <v/>
      </c>
      <c r="H72" s="28">
        <f>IF($B72="","",6*IFERROR(VLOOKUP(INDEX(' Toto teams'!$B$4:$B$119,MATCH($B72,' Toto teams'!$A$4:$A$119,0)),Scoring!$A$4:$N$51,11,FALSE()),0)+4*IFERROR(VLOOKUP(INDEX(' Toto teams'!$C$4:$C$119,MATCH($B72,' Toto teams'!$A$4:$A$119,0)),Scoring!$A$4:$N$51,11,FALSE()),0)+3*IFERROR(VLOOKUP(INDEX(' Toto teams'!$D$4:$D$119,MATCH($B72,' Toto teams'!$A$4:$A$119,0)),Scoring!$A$4:$N$51,11,FALSE()),0)+2*IFERROR(VLOOKUP(INDEX(' Toto teams'!$E$4:$E$119,MATCH($B72,' Toto teams'!$A$4:$A$119,0)),Scoring!$A$4:$N$51,11,FALSE()),0)+1*IFERROR(VLOOKUP(INDEX(' Toto teams'!$F$4:$F$119,MATCH($B72,' Toto teams'!$A$4:$A$119,0)),Scoring!$A$4:$N$51,11,FALSE()),0)+1*IFERROR(VLOOKUP(INDEX(' Toto teams'!$G$4:$G$119,MATCH($B72,' Toto teams'!$A$4:$A$119,0)),Scoring!$A$4:$N$51,11,FALSE()),0)+1*IFERROR(VLOOKUP(INDEX(' Toto teams'!$H$4:$H$119,MATCH($B72,' Toto teams'!$A$4:$A$119,0)),Scoring!$A$4:$N$51,11,FALSE()),0))</f>
        <v/>
      </c>
      <c r="I72" s="28">
        <f>IF($B72="","",6*IFERROR(VLOOKUP(INDEX(' Toto teams'!$B$4:$B$119,MATCH($B72,' Toto teams'!$A$4:$A$119,0)),Scoring!$A$4:$O$51,15,FALSE()),0)+4*IFERROR(VLOOKUP(INDEX(' Toto teams'!$C$4:$C$119,MATCH($B72,' Toto teams'!$A$4:$A$119,0)),Scoring!$A$4:$O$51,15,FALSE()),0)+3*IFERROR(VLOOKUP(INDEX(' Toto teams'!$D$4:$D$119,MATCH($B72,' Toto teams'!$A$4:$A$119,0)),Scoring!$A$4:$O$51,15,FALSE()),0)+2*IFERROR(VLOOKUP(INDEX(' Toto teams'!$E$4:$E$119,MATCH($B72,' Toto teams'!$A$4:$A$119,0)),Scoring!$A$4:$O$51,15,FALSE()),0)+1*IFERROR(VLOOKUP(INDEX(' Toto teams'!$F$4:$F$119,MATCH($B72,' Toto teams'!$A$4:$A$119,0)),Scoring!$A$4:$O$51,15,FALSE()),0)+1*IFERROR(VLOOKUP(INDEX(' Toto teams'!$G$4:$G$119,MATCH($B72,' Toto teams'!$A$4:$A$119,0)),Scoring!$A$4:$O$51,15,FALSE()),0)+1*IFERROR(VLOOKUP(INDEX(' Toto teams'!$H$4:$H$119,MATCH($B72,' Toto teams'!$A$4:$A$119,0)),Scoring!$A$4:$O$51,15,FALSE()),0))</f>
        <v/>
      </c>
      <c r="J72" s="28">
        <f>IF($B72="","",6*IFERROR(VLOOKUP(INDEX(' Toto teams'!$B$4:$B$119,MATCH($B72,' Toto teams'!$A$4:$A$119,0)),Scoring!$A$4:$N$51,12,FALSE()),0)+4*IFERROR(VLOOKUP(INDEX(' Toto teams'!$C$4:$C$119,MATCH($B72,' Toto teams'!$A$4:$A$119,0)),Scoring!$A$4:$N$51,12,FALSE()),0)+3*IFERROR(VLOOKUP(INDEX(' Toto teams'!$D$4:$D$119,MATCH($B72,' Toto teams'!$A$4:$A$119,0)),Scoring!$A$4:$N$51,12,FALSE()),0)+2*IFERROR(VLOOKUP(INDEX(' Toto teams'!$E$4:$E$119,MATCH($B72,' Toto teams'!$A$4:$A$119,0)),Scoring!$A$4:$N$51,12,FALSE()),0)+1*IFERROR(VLOOKUP(INDEX(' Toto teams'!$F$4:$F$119,MATCH($B72,' Toto teams'!$A$4:$A$119,0)),Scoring!$A$4:$N$51,12,FALSE()),0)+1*IFERROR(VLOOKUP(INDEX(' Toto teams'!$G$4:$G$119,MATCH($B72,' Toto teams'!$A$4:$A$119,0)),Scoring!$A$4:$N$51,12,FALSE()),0)+1*IFERROR(VLOOKUP(INDEX(' Toto teams'!$H$4:$H$119,MATCH($B72,' Toto teams'!$A$4:$A$119,0)),Scoring!$A$4:$N$51,12,FALSE()),0))</f>
        <v/>
      </c>
      <c r="K72" s="29">
        <f>IF($B72="","",IFERROR(INDEX(' Toto teams'!$R$4:$R$119,MATCH($B72,' Toto teams'!$A$4:$A$119,0)),""))</f>
        <v/>
      </c>
      <c r="L72" s="30">
        <f>IFERROR(IF(B72="","",VLOOKUP(A72,$N$4:$R$12,5,FALSE())),0)</f>
        <v/>
      </c>
    </row>
    <row r="73" ht="12.75" customHeight="1">
      <c r="A73" s="26">
        <f>IF(70&gt;COUNTIF(' Toto teams'!$A$4:$A$119,"&lt;&gt;"),"",INDEX(' Toto teams'!$S$4:$S$119,MATCH(LARGE(' Toto teams'!$T$4:$T$119,70),' Toto teams'!$T$4:$T$119,0)))</f>
        <v/>
      </c>
      <c r="B73" s="27">
        <f>IF(70&gt;COUNTIF(' Toto teams'!$A$4:$A$119,"&lt;&gt;"),"",INDEX(' Toto teams'!$A$4:$A$119,MATCH(LARGE(' Toto teams'!$T$4:$T$119,70),' Toto teams'!$T$4:$T$119,0)))</f>
        <v/>
      </c>
      <c r="C73" s="28">
        <f>IF($B73="","",6*(IFERROR(VLOOKUP(INDEX(' Toto teams'!$B$4:$B$119,MATCH($B73,' Toto teams'!$A$4:$A$119,0)),Scoring!$A$4:$N$51,3,FALSE()),0)+IFERROR(VLOOKUP(INDEX(' Toto teams'!$B$4:$B$119,MATCH($B73,' Toto teams'!$A$4:$A$119,0)),Scoring!$A$4:$N$51,4,FALSE()),0)+IFERROR(VLOOKUP(INDEX(' Toto teams'!$B$4:$B$119,MATCH($B73,' Toto teams'!$A$4:$A$119,0)),Scoring!$A$4:$N$51,5,FALSE()),0))+4*(IFERROR(VLOOKUP(INDEX(' Toto teams'!$C$4:$C$119,MATCH($B73,' Toto teams'!$A$4:$A$119,0)),Scoring!$A$4:$N$51,3,FALSE()),0)+IFERROR(VLOOKUP(INDEX(' Toto teams'!$C$4:$C$119,MATCH($B73,' Toto teams'!$A$4:$A$119,0)),Scoring!$A$4:$N$51,4,FALSE()),0)+IFERROR(VLOOKUP(INDEX(' Toto teams'!$C$4:$C$119,MATCH($B73,' Toto teams'!$A$4:$A$119,0)),Scoring!$A$4:$N$51,5,FALSE()),0))+3*(IFERROR(VLOOKUP(INDEX(' Toto teams'!$D$4:$D$119,MATCH($B73,' Toto teams'!$A$4:$A$119,0)),Scoring!$A$4:$N$51,3,FALSE()),0)+IFERROR(VLOOKUP(INDEX(' Toto teams'!$D$4:$D$119,MATCH($B73,' Toto teams'!$A$4:$A$119,0)),Scoring!$A$4:$N$51,4,FALSE()),0)+IFERROR(VLOOKUP(INDEX(' Toto teams'!$D$4:$D$119,MATCH($B73,' Toto teams'!$A$4:$A$119,0)),Scoring!$A$4:$N$51,5,FALSE()),0))+2*(IFERROR(VLOOKUP(INDEX(' Toto teams'!$E$4:$E$119,MATCH($B73,' Toto teams'!$A$4:$A$119,0)),Scoring!$A$4:$N$51,3,FALSE()),0)+IFERROR(VLOOKUP(INDEX(' Toto teams'!$E$4:$E$119,MATCH($B73,' Toto teams'!$A$4:$A$119,0)),Scoring!$A$4:$N$51,4,FALSE()),0)+IFERROR(VLOOKUP(INDEX(' Toto teams'!$E$4:$E$119,MATCH($B73,' Toto teams'!$A$4:$A$119,0)),Scoring!$A$4:$N$51,5,FALSE()),0))+1*(IFERROR(VLOOKUP(INDEX(' Toto teams'!$F$4:$F$119,MATCH($B73,' Toto teams'!$A$4:$A$119,0)),Scoring!$A$4:$N$51,3,FALSE()),0)+IFERROR(VLOOKUP(INDEX(' Toto teams'!$F$4:$F$119,MATCH($B73,' Toto teams'!$A$4:$A$119,0)),Scoring!$A$4:$N$51,4,FALSE()),0)+IFERROR(VLOOKUP(INDEX(' Toto teams'!$F$4:$F$119,MATCH($B73,' Toto teams'!$A$4:$A$119,0)),Scoring!$A$4:$N$51,5,FALSE()),0))+1*(IFERROR(VLOOKUP(INDEX(' Toto teams'!$G$4:$G$119,MATCH($B73,' Toto teams'!$A$4:$A$119,0)),Scoring!$A$4:$N$51,3,FALSE()),0)+IFERROR(VLOOKUP(INDEX(' Toto teams'!$G$4:$G$119,MATCH($B73,' Toto teams'!$A$4:$A$119,0)),Scoring!$A$4:$N$51,4,FALSE()),0)+IFERROR(VLOOKUP(INDEX(' Toto teams'!$G$4:$G$119,MATCH($B73,' Toto teams'!$A$4:$A$119,0)),Scoring!$A$4:$N$51,5,FALSE()),0))+1*(IFERROR(VLOOKUP(INDEX(' Toto teams'!$H$4:$H$119,MATCH($B73,' Toto teams'!$A$4:$A$119,0)),Scoring!$A$4:$N$51,3,FALSE()),0)+IFERROR(VLOOKUP(INDEX(' Toto teams'!$H$4:$H$119,MATCH($B73,' Toto teams'!$A$4:$A$119,0)),Scoring!$A$4:$N$51,4,FALSE()),0)+IFERROR(VLOOKUP(INDEX(' Toto teams'!$H$4:$H$119,MATCH($B73,' Toto teams'!$A$4:$A$119,0)),Scoring!$A$4:$N$51,5,FALSE()),0))+IFERROR(INDEX(' Toto teams'!$Q$4:$Q$119,MATCH($B73,' Toto teams'!$A$4:$A$119,0))*1,0))</f>
        <v/>
      </c>
      <c r="D73" s="28">
        <f>IF($B73="","",6*IFERROR(VLOOKUP(INDEX(' Toto teams'!$B$4:$B$119,MATCH($B73,' Toto teams'!$A$4:$A$119,0)),Scoring!$A$4:$N$51,7,FALSE()),0)+4*IFERROR(VLOOKUP(INDEX(' Toto teams'!$C$4:$C$119,MATCH($B73,' Toto teams'!$A$4:$A$119,0)),Scoring!$A$4:$N$51,7,FALSE()),0)+3*IFERROR(VLOOKUP(INDEX(' Toto teams'!$D$4:$D$119,MATCH($B73,' Toto teams'!$A$4:$A$119,0)),Scoring!$A$4:$N$51,7,FALSE()),0)+2*IFERROR(VLOOKUP(INDEX(' Toto teams'!$E$4:$E$119,MATCH($B73,' Toto teams'!$A$4:$A$119,0)),Scoring!$A$4:$N$51,7,FALSE()),0)+1*IFERROR(VLOOKUP(INDEX(' Toto teams'!$F$4:$F$119,MATCH($B73,' Toto teams'!$A$4:$A$119,0)),Scoring!$A$4:$N$51,7,FALSE()),0)+1*IFERROR(VLOOKUP(INDEX(' Toto teams'!$G$4:$G$119,MATCH($B73,' Toto teams'!$A$4:$A$119,0)),Scoring!$A$4:$N$51,7,FALSE()),0)+1*IFERROR(VLOOKUP(INDEX(' Toto teams'!$H$4:$H$119,MATCH($B73,' Toto teams'!$A$4:$A$119,0)),Scoring!$A$4:$N$51,7,FALSE()),0))</f>
        <v/>
      </c>
      <c r="E73" s="28">
        <f>IF($B73="","",6*IFERROR(VLOOKUP(INDEX(' Toto teams'!$B$4:$B$119,MATCH($B73,' Toto teams'!$A$4:$A$119,0)),Scoring!$A$4:$N$51,8,FALSE()),0)+4*IFERROR(VLOOKUP(INDEX(' Toto teams'!$C$4:$C$119,MATCH($B73,' Toto teams'!$A$4:$A$119,0)),Scoring!$A$4:$N$51,8,FALSE()),0)+3*IFERROR(VLOOKUP(INDEX(' Toto teams'!$D$4:$D$119,MATCH($B73,' Toto teams'!$A$4:$A$119,0)),Scoring!$A$4:$N$51,8,FALSE()),0)+2*IFERROR(VLOOKUP(INDEX(' Toto teams'!$E$4:$E$119,MATCH($B73,' Toto teams'!$A$4:$A$119,0)),Scoring!$A$4:$N$51,8,FALSE()),0)+1*IFERROR(VLOOKUP(INDEX(' Toto teams'!$F$4:$F$119,MATCH($B73,' Toto teams'!$A$4:$A$119,0)),Scoring!$A$4:$N$51,8,FALSE()),0)+1*IFERROR(VLOOKUP(INDEX(' Toto teams'!$G$4:$G$119,MATCH($B73,' Toto teams'!$A$4:$A$119,0)),Scoring!$A$4:$N$51,8,FALSE()),0)+1*IFERROR(VLOOKUP(INDEX(' Toto teams'!$H$4:$H$119,MATCH($B73,' Toto teams'!$A$4:$A$119,0)),Scoring!$A$4:$N$51,8,FALSE()),0))</f>
        <v/>
      </c>
      <c r="F73" s="28">
        <f>IF($B73="","",6*IFERROR(VLOOKUP(INDEX(' Toto teams'!$B$4:$B$119,MATCH($B73,' Toto teams'!$A$4:$A$119,0)),Scoring!$A$4:$N$51,9,FALSE()),0)+4*IFERROR(VLOOKUP(INDEX(' Toto teams'!$C$4:$C$119,MATCH($B73,' Toto teams'!$A$4:$A$119,0)),Scoring!$A$4:$N$51,9,FALSE()),0)+3*IFERROR(VLOOKUP(INDEX(' Toto teams'!$D$4:$D$119,MATCH($B73,' Toto teams'!$A$4:$A$119,0)),Scoring!$A$4:$N$51,9,FALSE()),0)+2*IFERROR(VLOOKUP(INDEX(' Toto teams'!$E$4:$E$119,MATCH($B73,' Toto teams'!$A$4:$A$119,0)),Scoring!$A$4:$N$51,9,FALSE()),0)+1*IFERROR(VLOOKUP(INDEX(' Toto teams'!$F$4:$F$119,MATCH($B73,' Toto teams'!$A$4:$A$119,0)),Scoring!$A$4:$N$51,9,FALSE()),0)+1*IFERROR(VLOOKUP(INDEX(' Toto teams'!$G$4:$G$119,MATCH($B73,' Toto teams'!$A$4:$A$119,0)),Scoring!$A$4:$N$51,9,FALSE()),0)+1*IFERROR(VLOOKUP(INDEX(' Toto teams'!$H$4:$H$119,MATCH($B73,' Toto teams'!$A$4:$A$119,0)),Scoring!$A$4:$N$51,9,FALSE()),0))</f>
        <v/>
      </c>
      <c r="G73" s="28">
        <f>IF($B73="","",6*IFERROR(VLOOKUP(INDEX(' Toto teams'!$B$4:$B$119,MATCH($B73,' Toto teams'!$A$4:$A$119,0)),Scoring!$A$4:$N$51,10,FALSE()),0)+4*IFERROR(VLOOKUP(INDEX(' Toto teams'!$C$4:$C$119,MATCH($B73,' Toto teams'!$A$4:$A$119,0)),Scoring!$A$4:$N$51,10,FALSE()),0)+3*IFERROR(VLOOKUP(INDEX(' Toto teams'!$D$4:$D$119,MATCH($B73,' Toto teams'!$A$4:$A$119,0)),Scoring!$A$4:$N$51,10,FALSE()),0)+2*IFERROR(VLOOKUP(INDEX(' Toto teams'!$E$4:$E$119,MATCH($B73,' Toto teams'!$A$4:$A$119,0)),Scoring!$A$4:$N$51,10,FALSE()),0)+1*IFERROR(VLOOKUP(INDEX(' Toto teams'!$F$4:$F$119,MATCH($B73,' Toto teams'!$A$4:$A$119,0)),Scoring!$A$4:$N$51,10,FALSE()),0)+1*IFERROR(VLOOKUP(INDEX(' Toto teams'!$G$4:$G$119,MATCH($B73,' Toto teams'!$A$4:$A$119,0)),Scoring!$A$4:$N$51,10,FALSE()),0)+1*IFERROR(VLOOKUP(INDEX(' Toto teams'!$H$4:$H$119,MATCH($B73,' Toto teams'!$A$4:$A$119,0)),Scoring!$A$4:$N$51,10,FALSE()),0))</f>
        <v/>
      </c>
      <c r="H73" s="28">
        <f>IF($B73="","",6*IFERROR(VLOOKUP(INDEX(' Toto teams'!$B$4:$B$119,MATCH($B73,' Toto teams'!$A$4:$A$119,0)),Scoring!$A$4:$N$51,11,FALSE()),0)+4*IFERROR(VLOOKUP(INDEX(' Toto teams'!$C$4:$C$119,MATCH($B73,' Toto teams'!$A$4:$A$119,0)),Scoring!$A$4:$N$51,11,FALSE()),0)+3*IFERROR(VLOOKUP(INDEX(' Toto teams'!$D$4:$D$119,MATCH($B73,' Toto teams'!$A$4:$A$119,0)),Scoring!$A$4:$N$51,11,FALSE()),0)+2*IFERROR(VLOOKUP(INDEX(' Toto teams'!$E$4:$E$119,MATCH($B73,' Toto teams'!$A$4:$A$119,0)),Scoring!$A$4:$N$51,11,FALSE()),0)+1*IFERROR(VLOOKUP(INDEX(' Toto teams'!$F$4:$F$119,MATCH($B73,' Toto teams'!$A$4:$A$119,0)),Scoring!$A$4:$N$51,11,FALSE()),0)+1*IFERROR(VLOOKUP(INDEX(' Toto teams'!$G$4:$G$119,MATCH($B73,' Toto teams'!$A$4:$A$119,0)),Scoring!$A$4:$N$51,11,FALSE()),0)+1*IFERROR(VLOOKUP(INDEX(' Toto teams'!$H$4:$H$119,MATCH($B73,' Toto teams'!$A$4:$A$119,0)),Scoring!$A$4:$N$51,11,FALSE()),0))</f>
        <v/>
      </c>
      <c r="I73" s="28">
        <f>IF($B73="","",6*IFERROR(VLOOKUP(INDEX(' Toto teams'!$B$4:$B$119,MATCH($B73,' Toto teams'!$A$4:$A$119,0)),Scoring!$A$4:$O$51,15,FALSE()),0)+4*IFERROR(VLOOKUP(INDEX(' Toto teams'!$C$4:$C$119,MATCH($B73,' Toto teams'!$A$4:$A$119,0)),Scoring!$A$4:$O$51,15,FALSE()),0)+3*IFERROR(VLOOKUP(INDEX(' Toto teams'!$D$4:$D$119,MATCH($B73,' Toto teams'!$A$4:$A$119,0)),Scoring!$A$4:$O$51,15,FALSE()),0)+2*IFERROR(VLOOKUP(INDEX(' Toto teams'!$E$4:$E$119,MATCH($B73,' Toto teams'!$A$4:$A$119,0)),Scoring!$A$4:$O$51,15,FALSE()),0)+1*IFERROR(VLOOKUP(INDEX(' Toto teams'!$F$4:$F$119,MATCH($B73,' Toto teams'!$A$4:$A$119,0)),Scoring!$A$4:$O$51,15,FALSE()),0)+1*IFERROR(VLOOKUP(INDEX(' Toto teams'!$G$4:$G$119,MATCH($B73,' Toto teams'!$A$4:$A$119,0)),Scoring!$A$4:$O$51,15,FALSE()),0)+1*IFERROR(VLOOKUP(INDEX(' Toto teams'!$H$4:$H$119,MATCH($B73,' Toto teams'!$A$4:$A$119,0)),Scoring!$A$4:$O$51,15,FALSE()),0))</f>
        <v/>
      </c>
      <c r="J73" s="28">
        <f>IF($B73="","",6*IFERROR(VLOOKUP(INDEX(' Toto teams'!$B$4:$B$119,MATCH($B73,' Toto teams'!$A$4:$A$119,0)),Scoring!$A$4:$N$51,12,FALSE()),0)+4*IFERROR(VLOOKUP(INDEX(' Toto teams'!$C$4:$C$119,MATCH($B73,' Toto teams'!$A$4:$A$119,0)),Scoring!$A$4:$N$51,12,FALSE()),0)+3*IFERROR(VLOOKUP(INDEX(' Toto teams'!$D$4:$D$119,MATCH($B73,' Toto teams'!$A$4:$A$119,0)),Scoring!$A$4:$N$51,12,FALSE()),0)+2*IFERROR(VLOOKUP(INDEX(' Toto teams'!$E$4:$E$119,MATCH($B73,' Toto teams'!$A$4:$A$119,0)),Scoring!$A$4:$N$51,12,FALSE()),0)+1*IFERROR(VLOOKUP(INDEX(' Toto teams'!$F$4:$F$119,MATCH($B73,' Toto teams'!$A$4:$A$119,0)),Scoring!$A$4:$N$51,12,FALSE()),0)+1*IFERROR(VLOOKUP(INDEX(' Toto teams'!$G$4:$G$119,MATCH($B73,' Toto teams'!$A$4:$A$119,0)),Scoring!$A$4:$N$51,12,FALSE()),0)+1*IFERROR(VLOOKUP(INDEX(' Toto teams'!$H$4:$H$119,MATCH($B73,' Toto teams'!$A$4:$A$119,0)),Scoring!$A$4:$N$51,12,FALSE()),0))</f>
        <v/>
      </c>
      <c r="K73" s="29">
        <f>IF($B73="","",IFERROR(INDEX(' Toto teams'!$R$4:$R$119,MATCH($B73,' Toto teams'!$A$4:$A$119,0)),""))</f>
        <v/>
      </c>
      <c r="L73" s="30">
        <f>IFERROR(IF(B73="","",VLOOKUP(A73,$N$4:$R$12,5,FALSE())),0)</f>
        <v/>
      </c>
    </row>
    <row r="74" ht="12.75" customHeight="1">
      <c r="A74" s="26">
        <f>IF(71&gt;COUNTIF(' Toto teams'!$A$4:$A$119,"&lt;&gt;"),"",INDEX(' Toto teams'!$S$4:$S$119,MATCH(LARGE(' Toto teams'!$T$4:$T$119,71),' Toto teams'!$T$4:$T$119,0)))</f>
        <v/>
      </c>
      <c r="B74" s="27">
        <f>IF(71&gt;COUNTIF(' Toto teams'!$A$4:$A$119,"&lt;&gt;"),"",INDEX(' Toto teams'!$A$4:$A$119,MATCH(LARGE(' Toto teams'!$T$4:$T$119,71),' Toto teams'!$T$4:$T$119,0)))</f>
        <v/>
      </c>
      <c r="C74" s="28">
        <f>IF($B74="","",6*(IFERROR(VLOOKUP(INDEX(' Toto teams'!$B$4:$B$119,MATCH($B74,' Toto teams'!$A$4:$A$119,0)),Scoring!$A$4:$N$51,3,FALSE()),0)+IFERROR(VLOOKUP(INDEX(' Toto teams'!$B$4:$B$119,MATCH($B74,' Toto teams'!$A$4:$A$119,0)),Scoring!$A$4:$N$51,4,FALSE()),0)+IFERROR(VLOOKUP(INDEX(' Toto teams'!$B$4:$B$119,MATCH($B74,' Toto teams'!$A$4:$A$119,0)),Scoring!$A$4:$N$51,5,FALSE()),0))+4*(IFERROR(VLOOKUP(INDEX(' Toto teams'!$C$4:$C$119,MATCH($B74,' Toto teams'!$A$4:$A$119,0)),Scoring!$A$4:$N$51,3,FALSE()),0)+IFERROR(VLOOKUP(INDEX(' Toto teams'!$C$4:$C$119,MATCH($B74,' Toto teams'!$A$4:$A$119,0)),Scoring!$A$4:$N$51,4,FALSE()),0)+IFERROR(VLOOKUP(INDEX(' Toto teams'!$C$4:$C$119,MATCH($B74,' Toto teams'!$A$4:$A$119,0)),Scoring!$A$4:$N$51,5,FALSE()),0))+3*(IFERROR(VLOOKUP(INDEX(' Toto teams'!$D$4:$D$119,MATCH($B74,' Toto teams'!$A$4:$A$119,0)),Scoring!$A$4:$N$51,3,FALSE()),0)+IFERROR(VLOOKUP(INDEX(' Toto teams'!$D$4:$D$119,MATCH($B74,' Toto teams'!$A$4:$A$119,0)),Scoring!$A$4:$N$51,4,FALSE()),0)+IFERROR(VLOOKUP(INDEX(' Toto teams'!$D$4:$D$119,MATCH($B74,' Toto teams'!$A$4:$A$119,0)),Scoring!$A$4:$N$51,5,FALSE()),0))+2*(IFERROR(VLOOKUP(INDEX(' Toto teams'!$E$4:$E$119,MATCH($B74,' Toto teams'!$A$4:$A$119,0)),Scoring!$A$4:$N$51,3,FALSE()),0)+IFERROR(VLOOKUP(INDEX(' Toto teams'!$E$4:$E$119,MATCH($B74,' Toto teams'!$A$4:$A$119,0)),Scoring!$A$4:$N$51,4,FALSE()),0)+IFERROR(VLOOKUP(INDEX(' Toto teams'!$E$4:$E$119,MATCH($B74,' Toto teams'!$A$4:$A$119,0)),Scoring!$A$4:$N$51,5,FALSE()),0))+1*(IFERROR(VLOOKUP(INDEX(' Toto teams'!$F$4:$F$119,MATCH($B74,' Toto teams'!$A$4:$A$119,0)),Scoring!$A$4:$N$51,3,FALSE()),0)+IFERROR(VLOOKUP(INDEX(' Toto teams'!$F$4:$F$119,MATCH($B74,' Toto teams'!$A$4:$A$119,0)),Scoring!$A$4:$N$51,4,FALSE()),0)+IFERROR(VLOOKUP(INDEX(' Toto teams'!$F$4:$F$119,MATCH($B74,' Toto teams'!$A$4:$A$119,0)),Scoring!$A$4:$N$51,5,FALSE()),0))+1*(IFERROR(VLOOKUP(INDEX(' Toto teams'!$G$4:$G$119,MATCH($B74,' Toto teams'!$A$4:$A$119,0)),Scoring!$A$4:$N$51,3,FALSE()),0)+IFERROR(VLOOKUP(INDEX(' Toto teams'!$G$4:$G$119,MATCH($B74,' Toto teams'!$A$4:$A$119,0)),Scoring!$A$4:$N$51,4,FALSE()),0)+IFERROR(VLOOKUP(INDEX(' Toto teams'!$G$4:$G$119,MATCH($B74,' Toto teams'!$A$4:$A$119,0)),Scoring!$A$4:$N$51,5,FALSE()),0))+1*(IFERROR(VLOOKUP(INDEX(' Toto teams'!$H$4:$H$119,MATCH($B74,' Toto teams'!$A$4:$A$119,0)),Scoring!$A$4:$N$51,3,FALSE()),0)+IFERROR(VLOOKUP(INDEX(' Toto teams'!$H$4:$H$119,MATCH($B74,' Toto teams'!$A$4:$A$119,0)),Scoring!$A$4:$N$51,4,FALSE()),0)+IFERROR(VLOOKUP(INDEX(' Toto teams'!$H$4:$H$119,MATCH($B74,' Toto teams'!$A$4:$A$119,0)),Scoring!$A$4:$N$51,5,FALSE()),0))+IFERROR(INDEX(' Toto teams'!$Q$4:$Q$119,MATCH($B74,' Toto teams'!$A$4:$A$119,0))*1,0))</f>
        <v/>
      </c>
      <c r="D74" s="28">
        <f>IF($B74="","",6*IFERROR(VLOOKUP(INDEX(' Toto teams'!$B$4:$B$119,MATCH($B74,' Toto teams'!$A$4:$A$119,0)),Scoring!$A$4:$N$51,7,FALSE()),0)+4*IFERROR(VLOOKUP(INDEX(' Toto teams'!$C$4:$C$119,MATCH($B74,' Toto teams'!$A$4:$A$119,0)),Scoring!$A$4:$N$51,7,FALSE()),0)+3*IFERROR(VLOOKUP(INDEX(' Toto teams'!$D$4:$D$119,MATCH($B74,' Toto teams'!$A$4:$A$119,0)),Scoring!$A$4:$N$51,7,FALSE()),0)+2*IFERROR(VLOOKUP(INDEX(' Toto teams'!$E$4:$E$119,MATCH($B74,' Toto teams'!$A$4:$A$119,0)),Scoring!$A$4:$N$51,7,FALSE()),0)+1*IFERROR(VLOOKUP(INDEX(' Toto teams'!$F$4:$F$119,MATCH($B74,' Toto teams'!$A$4:$A$119,0)),Scoring!$A$4:$N$51,7,FALSE()),0)+1*IFERROR(VLOOKUP(INDEX(' Toto teams'!$G$4:$G$119,MATCH($B74,' Toto teams'!$A$4:$A$119,0)),Scoring!$A$4:$N$51,7,FALSE()),0)+1*IFERROR(VLOOKUP(INDEX(' Toto teams'!$H$4:$H$119,MATCH($B74,' Toto teams'!$A$4:$A$119,0)),Scoring!$A$4:$N$51,7,FALSE()),0))</f>
        <v/>
      </c>
      <c r="E74" s="28">
        <f>IF($B74="","",6*IFERROR(VLOOKUP(INDEX(' Toto teams'!$B$4:$B$119,MATCH($B74,' Toto teams'!$A$4:$A$119,0)),Scoring!$A$4:$N$51,8,FALSE()),0)+4*IFERROR(VLOOKUP(INDEX(' Toto teams'!$C$4:$C$119,MATCH($B74,' Toto teams'!$A$4:$A$119,0)),Scoring!$A$4:$N$51,8,FALSE()),0)+3*IFERROR(VLOOKUP(INDEX(' Toto teams'!$D$4:$D$119,MATCH($B74,' Toto teams'!$A$4:$A$119,0)),Scoring!$A$4:$N$51,8,FALSE()),0)+2*IFERROR(VLOOKUP(INDEX(' Toto teams'!$E$4:$E$119,MATCH($B74,' Toto teams'!$A$4:$A$119,0)),Scoring!$A$4:$N$51,8,FALSE()),0)+1*IFERROR(VLOOKUP(INDEX(' Toto teams'!$F$4:$F$119,MATCH($B74,' Toto teams'!$A$4:$A$119,0)),Scoring!$A$4:$N$51,8,FALSE()),0)+1*IFERROR(VLOOKUP(INDEX(' Toto teams'!$G$4:$G$119,MATCH($B74,' Toto teams'!$A$4:$A$119,0)),Scoring!$A$4:$N$51,8,FALSE()),0)+1*IFERROR(VLOOKUP(INDEX(' Toto teams'!$H$4:$H$119,MATCH($B74,' Toto teams'!$A$4:$A$119,0)),Scoring!$A$4:$N$51,8,FALSE()),0))</f>
        <v/>
      </c>
      <c r="F74" s="28">
        <f>IF($B74="","",6*IFERROR(VLOOKUP(INDEX(' Toto teams'!$B$4:$B$119,MATCH($B74,' Toto teams'!$A$4:$A$119,0)),Scoring!$A$4:$N$51,9,FALSE()),0)+4*IFERROR(VLOOKUP(INDEX(' Toto teams'!$C$4:$C$119,MATCH($B74,' Toto teams'!$A$4:$A$119,0)),Scoring!$A$4:$N$51,9,FALSE()),0)+3*IFERROR(VLOOKUP(INDEX(' Toto teams'!$D$4:$D$119,MATCH($B74,' Toto teams'!$A$4:$A$119,0)),Scoring!$A$4:$N$51,9,FALSE()),0)+2*IFERROR(VLOOKUP(INDEX(' Toto teams'!$E$4:$E$119,MATCH($B74,' Toto teams'!$A$4:$A$119,0)),Scoring!$A$4:$N$51,9,FALSE()),0)+1*IFERROR(VLOOKUP(INDEX(' Toto teams'!$F$4:$F$119,MATCH($B74,' Toto teams'!$A$4:$A$119,0)),Scoring!$A$4:$N$51,9,FALSE()),0)+1*IFERROR(VLOOKUP(INDEX(' Toto teams'!$G$4:$G$119,MATCH($B74,' Toto teams'!$A$4:$A$119,0)),Scoring!$A$4:$N$51,9,FALSE()),0)+1*IFERROR(VLOOKUP(INDEX(' Toto teams'!$H$4:$H$119,MATCH($B74,' Toto teams'!$A$4:$A$119,0)),Scoring!$A$4:$N$51,9,FALSE()),0))</f>
        <v/>
      </c>
      <c r="G74" s="28">
        <f>IF($B74="","",6*IFERROR(VLOOKUP(INDEX(' Toto teams'!$B$4:$B$119,MATCH($B74,' Toto teams'!$A$4:$A$119,0)),Scoring!$A$4:$N$51,10,FALSE()),0)+4*IFERROR(VLOOKUP(INDEX(' Toto teams'!$C$4:$C$119,MATCH($B74,' Toto teams'!$A$4:$A$119,0)),Scoring!$A$4:$N$51,10,FALSE()),0)+3*IFERROR(VLOOKUP(INDEX(' Toto teams'!$D$4:$D$119,MATCH($B74,' Toto teams'!$A$4:$A$119,0)),Scoring!$A$4:$N$51,10,FALSE()),0)+2*IFERROR(VLOOKUP(INDEX(' Toto teams'!$E$4:$E$119,MATCH($B74,' Toto teams'!$A$4:$A$119,0)),Scoring!$A$4:$N$51,10,FALSE()),0)+1*IFERROR(VLOOKUP(INDEX(' Toto teams'!$F$4:$F$119,MATCH($B74,' Toto teams'!$A$4:$A$119,0)),Scoring!$A$4:$N$51,10,FALSE()),0)+1*IFERROR(VLOOKUP(INDEX(' Toto teams'!$G$4:$G$119,MATCH($B74,' Toto teams'!$A$4:$A$119,0)),Scoring!$A$4:$N$51,10,FALSE()),0)+1*IFERROR(VLOOKUP(INDEX(' Toto teams'!$H$4:$H$119,MATCH($B74,' Toto teams'!$A$4:$A$119,0)),Scoring!$A$4:$N$51,10,FALSE()),0))</f>
        <v/>
      </c>
      <c r="H74" s="28">
        <f>IF($B74="","",6*IFERROR(VLOOKUP(INDEX(' Toto teams'!$B$4:$B$119,MATCH($B74,' Toto teams'!$A$4:$A$119,0)),Scoring!$A$4:$N$51,11,FALSE()),0)+4*IFERROR(VLOOKUP(INDEX(' Toto teams'!$C$4:$C$119,MATCH($B74,' Toto teams'!$A$4:$A$119,0)),Scoring!$A$4:$N$51,11,FALSE()),0)+3*IFERROR(VLOOKUP(INDEX(' Toto teams'!$D$4:$D$119,MATCH($B74,' Toto teams'!$A$4:$A$119,0)),Scoring!$A$4:$N$51,11,FALSE()),0)+2*IFERROR(VLOOKUP(INDEX(' Toto teams'!$E$4:$E$119,MATCH($B74,' Toto teams'!$A$4:$A$119,0)),Scoring!$A$4:$N$51,11,FALSE()),0)+1*IFERROR(VLOOKUP(INDEX(' Toto teams'!$F$4:$F$119,MATCH($B74,' Toto teams'!$A$4:$A$119,0)),Scoring!$A$4:$N$51,11,FALSE()),0)+1*IFERROR(VLOOKUP(INDEX(' Toto teams'!$G$4:$G$119,MATCH($B74,' Toto teams'!$A$4:$A$119,0)),Scoring!$A$4:$N$51,11,FALSE()),0)+1*IFERROR(VLOOKUP(INDEX(' Toto teams'!$H$4:$H$119,MATCH($B74,' Toto teams'!$A$4:$A$119,0)),Scoring!$A$4:$N$51,11,FALSE()),0))</f>
        <v/>
      </c>
      <c r="I74" s="28">
        <f>IF($B74="","",6*IFERROR(VLOOKUP(INDEX(' Toto teams'!$B$4:$B$119,MATCH($B74,' Toto teams'!$A$4:$A$119,0)),Scoring!$A$4:$O$51,15,FALSE()),0)+4*IFERROR(VLOOKUP(INDEX(' Toto teams'!$C$4:$C$119,MATCH($B74,' Toto teams'!$A$4:$A$119,0)),Scoring!$A$4:$O$51,15,FALSE()),0)+3*IFERROR(VLOOKUP(INDEX(' Toto teams'!$D$4:$D$119,MATCH($B74,' Toto teams'!$A$4:$A$119,0)),Scoring!$A$4:$O$51,15,FALSE()),0)+2*IFERROR(VLOOKUP(INDEX(' Toto teams'!$E$4:$E$119,MATCH($B74,' Toto teams'!$A$4:$A$119,0)),Scoring!$A$4:$O$51,15,FALSE()),0)+1*IFERROR(VLOOKUP(INDEX(' Toto teams'!$F$4:$F$119,MATCH($B74,' Toto teams'!$A$4:$A$119,0)),Scoring!$A$4:$O$51,15,FALSE()),0)+1*IFERROR(VLOOKUP(INDEX(' Toto teams'!$G$4:$G$119,MATCH($B74,' Toto teams'!$A$4:$A$119,0)),Scoring!$A$4:$O$51,15,FALSE()),0)+1*IFERROR(VLOOKUP(INDEX(' Toto teams'!$H$4:$H$119,MATCH($B74,' Toto teams'!$A$4:$A$119,0)),Scoring!$A$4:$O$51,15,FALSE()),0))</f>
        <v/>
      </c>
      <c r="J74" s="28">
        <f>IF($B74="","",6*IFERROR(VLOOKUP(INDEX(' Toto teams'!$B$4:$B$119,MATCH($B74,' Toto teams'!$A$4:$A$119,0)),Scoring!$A$4:$N$51,12,FALSE()),0)+4*IFERROR(VLOOKUP(INDEX(' Toto teams'!$C$4:$C$119,MATCH($B74,' Toto teams'!$A$4:$A$119,0)),Scoring!$A$4:$N$51,12,FALSE()),0)+3*IFERROR(VLOOKUP(INDEX(' Toto teams'!$D$4:$D$119,MATCH($B74,' Toto teams'!$A$4:$A$119,0)),Scoring!$A$4:$N$51,12,FALSE()),0)+2*IFERROR(VLOOKUP(INDEX(' Toto teams'!$E$4:$E$119,MATCH($B74,' Toto teams'!$A$4:$A$119,0)),Scoring!$A$4:$N$51,12,FALSE()),0)+1*IFERROR(VLOOKUP(INDEX(' Toto teams'!$F$4:$F$119,MATCH($B74,' Toto teams'!$A$4:$A$119,0)),Scoring!$A$4:$N$51,12,FALSE()),0)+1*IFERROR(VLOOKUP(INDEX(' Toto teams'!$G$4:$G$119,MATCH($B74,' Toto teams'!$A$4:$A$119,0)),Scoring!$A$4:$N$51,12,FALSE()),0)+1*IFERROR(VLOOKUP(INDEX(' Toto teams'!$H$4:$H$119,MATCH($B74,' Toto teams'!$A$4:$A$119,0)),Scoring!$A$4:$N$51,12,FALSE()),0))</f>
        <v/>
      </c>
      <c r="K74" s="29">
        <f>IF($B74="","",IFERROR(INDEX(' Toto teams'!$R$4:$R$119,MATCH($B74,' Toto teams'!$A$4:$A$119,0)),""))</f>
        <v/>
      </c>
      <c r="L74" s="30">
        <f>IFERROR(IF(B74="","",VLOOKUP(A74,$N$4:$R$12,5,FALSE())),0)</f>
        <v/>
      </c>
    </row>
    <row r="75" ht="12.75" customHeight="1">
      <c r="A75" s="26">
        <f>IF(72&gt;COUNTIF(' Toto teams'!$A$4:$A$119,"&lt;&gt;"),"",INDEX(' Toto teams'!$S$4:$S$119,MATCH(LARGE(' Toto teams'!$T$4:$T$119,72),' Toto teams'!$T$4:$T$119,0)))</f>
        <v/>
      </c>
      <c r="B75" s="27">
        <f>IF(72&gt;COUNTIF(' Toto teams'!$A$4:$A$119,"&lt;&gt;"),"",INDEX(' Toto teams'!$A$4:$A$119,MATCH(LARGE(' Toto teams'!$T$4:$T$119,72),' Toto teams'!$T$4:$T$119,0)))</f>
        <v/>
      </c>
      <c r="C75" s="28">
        <f>IF($B75="","",6*(IFERROR(VLOOKUP(INDEX(' Toto teams'!$B$4:$B$119,MATCH($B75,' Toto teams'!$A$4:$A$119,0)),Scoring!$A$4:$N$51,3,FALSE()),0)+IFERROR(VLOOKUP(INDEX(' Toto teams'!$B$4:$B$119,MATCH($B75,' Toto teams'!$A$4:$A$119,0)),Scoring!$A$4:$N$51,4,FALSE()),0)+IFERROR(VLOOKUP(INDEX(' Toto teams'!$B$4:$B$119,MATCH($B75,' Toto teams'!$A$4:$A$119,0)),Scoring!$A$4:$N$51,5,FALSE()),0))+4*(IFERROR(VLOOKUP(INDEX(' Toto teams'!$C$4:$C$119,MATCH($B75,' Toto teams'!$A$4:$A$119,0)),Scoring!$A$4:$N$51,3,FALSE()),0)+IFERROR(VLOOKUP(INDEX(' Toto teams'!$C$4:$C$119,MATCH($B75,' Toto teams'!$A$4:$A$119,0)),Scoring!$A$4:$N$51,4,FALSE()),0)+IFERROR(VLOOKUP(INDEX(' Toto teams'!$C$4:$C$119,MATCH($B75,' Toto teams'!$A$4:$A$119,0)),Scoring!$A$4:$N$51,5,FALSE()),0))+3*(IFERROR(VLOOKUP(INDEX(' Toto teams'!$D$4:$D$119,MATCH($B75,' Toto teams'!$A$4:$A$119,0)),Scoring!$A$4:$N$51,3,FALSE()),0)+IFERROR(VLOOKUP(INDEX(' Toto teams'!$D$4:$D$119,MATCH($B75,' Toto teams'!$A$4:$A$119,0)),Scoring!$A$4:$N$51,4,FALSE()),0)+IFERROR(VLOOKUP(INDEX(' Toto teams'!$D$4:$D$119,MATCH($B75,' Toto teams'!$A$4:$A$119,0)),Scoring!$A$4:$N$51,5,FALSE()),0))+2*(IFERROR(VLOOKUP(INDEX(' Toto teams'!$E$4:$E$119,MATCH($B75,' Toto teams'!$A$4:$A$119,0)),Scoring!$A$4:$N$51,3,FALSE()),0)+IFERROR(VLOOKUP(INDEX(' Toto teams'!$E$4:$E$119,MATCH($B75,' Toto teams'!$A$4:$A$119,0)),Scoring!$A$4:$N$51,4,FALSE()),0)+IFERROR(VLOOKUP(INDEX(' Toto teams'!$E$4:$E$119,MATCH($B75,' Toto teams'!$A$4:$A$119,0)),Scoring!$A$4:$N$51,5,FALSE()),0))+1*(IFERROR(VLOOKUP(INDEX(' Toto teams'!$F$4:$F$119,MATCH($B75,' Toto teams'!$A$4:$A$119,0)),Scoring!$A$4:$N$51,3,FALSE()),0)+IFERROR(VLOOKUP(INDEX(' Toto teams'!$F$4:$F$119,MATCH($B75,' Toto teams'!$A$4:$A$119,0)),Scoring!$A$4:$N$51,4,FALSE()),0)+IFERROR(VLOOKUP(INDEX(' Toto teams'!$F$4:$F$119,MATCH($B75,' Toto teams'!$A$4:$A$119,0)),Scoring!$A$4:$N$51,5,FALSE()),0))+1*(IFERROR(VLOOKUP(INDEX(' Toto teams'!$G$4:$G$119,MATCH($B75,' Toto teams'!$A$4:$A$119,0)),Scoring!$A$4:$N$51,3,FALSE()),0)+IFERROR(VLOOKUP(INDEX(' Toto teams'!$G$4:$G$119,MATCH($B75,' Toto teams'!$A$4:$A$119,0)),Scoring!$A$4:$N$51,4,FALSE()),0)+IFERROR(VLOOKUP(INDEX(' Toto teams'!$G$4:$G$119,MATCH($B75,' Toto teams'!$A$4:$A$119,0)),Scoring!$A$4:$N$51,5,FALSE()),0))+1*(IFERROR(VLOOKUP(INDEX(' Toto teams'!$H$4:$H$119,MATCH($B75,' Toto teams'!$A$4:$A$119,0)),Scoring!$A$4:$N$51,3,FALSE()),0)+IFERROR(VLOOKUP(INDEX(' Toto teams'!$H$4:$H$119,MATCH($B75,' Toto teams'!$A$4:$A$119,0)),Scoring!$A$4:$N$51,4,FALSE()),0)+IFERROR(VLOOKUP(INDEX(' Toto teams'!$H$4:$H$119,MATCH($B75,' Toto teams'!$A$4:$A$119,0)),Scoring!$A$4:$N$51,5,FALSE()),0))+IFERROR(INDEX(' Toto teams'!$Q$4:$Q$119,MATCH($B75,' Toto teams'!$A$4:$A$119,0))*1,0))</f>
        <v/>
      </c>
      <c r="D75" s="28">
        <f>IF($B75="","",6*IFERROR(VLOOKUP(INDEX(' Toto teams'!$B$4:$B$119,MATCH($B75,' Toto teams'!$A$4:$A$119,0)),Scoring!$A$4:$N$51,7,FALSE()),0)+4*IFERROR(VLOOKUP(INDEX(' Toto teams'!$C$4:$C$119,MATCH($B75,' Toto teams'!$A$4:$A$119,0)),Scoring!$A$4:$N$51,7,FALSE()),0)+3*IFERROR(VLOOKUP(INDEX(' Toto teams'!$D$4:$D$119,MATCH($B75,' Toto teams'!$A$4:$A$119,0)),Scoring!$A$4:$N$51,7,FALSE()),0)+2*IFERROR(VLOOKUP(INDEX(' Toto teams'!$E$4:$E$119,MATCH($B75,' Toto teams'!$A$4:$A$119,0)),Scoring!$A$4:$N$51,7,FALSE()),0)+1*IFERROR(VLOOKUP(INDEX(' Toto teams'!$F$4:$F$119,MATCH($B75,' Toto teams'!$A$4:$A$119,0)),Scoring!$A$4:$N$51,7,FALSE()),0)+1*IFERROR(VLOOKUP(INDEX(' Toto teams'!$G$4:$G$119,MATCH($B75,' Toto teams'!$A$4:$A$119,0)),Scoring!$A$4:$N$51,7,FALSE()),0)+1*IFERROR(VLOOKUP(INDEX(' Toto teams'!$H$4:$H$119,MATCH($B75,' Toto teams'!$A$4:$A$119,0)),Scoring!$A$4:$N$51,7,FALSE()),0))</f>
        <v/>
      </c>
      <c r="E75" s="28">
        <f>IF($B75="","",6*IFERROR(VLOOKUP(INDEX(' Toto teams'!$B$4:$B$119,MATCH($B75,' Toto teams'!$A$4:$A$119,0)),Scoring!$A$4:$N$51,8,FALSE()),0)+4*IFERROR(VLOOKUP(INDEX(' Toto teams'!$C$4:$C$119,MATCH($B75,' Toto teams'!$A$4:$A$119,0)),Scoring!$A$4:$N$51,8,FALSE()),0)+3*IFERROR(VLOOKUP(INDEX(' Toto teams'!$D$4:$D$119,MATCH($B75,' Toto teams'!$A$4:$A$119,0)),Scoring!$A$4:$N$51,8,FALSE()),0)+2*IFERROR(VLOOKUP(INDEX(' Toto teams'!$E$4:$E$119,MATCH($B75,' Toto teams'!$A$4:$A$119,0)),Scoring!$A$4:$N$51,8,FALSE()),0)+1*IFERROR(VLOOKUP(INDEX(' Toto teams'!$F$4:$F$119,MATCH($B75,' Toto teams'!$A$4:$A$119,0)),Scoring!$A$4:$N$51,8,FALSE()),0)+1*IFERROR(VLOOKUP(INDEX(' Toto teams'!$G$4:$G$119,MATCH($B75,' Toto teams'!$A$4:$A$119,0)),Scoring!$A$4:$N$51,8,FALSE()),0)+1*IFERROR(VLOOKUP(INDEX(' Toto teams'!$H$4:$H$119,MATCH($B75,' Toto teams'!$A$4:$A$119,0)),Scoring!$A$4:$N$51,8,FALSE()),0))</f>
        <v/>
      </c>
      <c r="F75" s="28">
        <f>IF($B75="","",6*IFERROR(VLOOKUP(INDEX(' Toto teams'!$B$4:$B$119,MATCH($B75,' Toto teams'!$A$4:$A$119,0)),Scoring!$A$4:$N$51,9,FALSE()),0)+4*IFERROR(VLOOKUP(INDEX(' Toto teams'!$C$4:$C$119,MATCH($B75,' Toto teams'!$A$4:$A$119,0)),Scoring!$A$4:$N$51,9,FALSE()),0)+3*IFERROR(VLOOKUP(INDEX(' Toto teams'!$D$4:$D$119,MATCH($B75,' Toto teams'!$A$4:$A$119,0)),Scoring!$A$4:$N$51,9,FALSE()),0)+2*IFERROR(VLOOKUP(INDEX(' Toto teams'!$E$4:$E$119,MATCH($B75,' Toto teams'!$A$4:$A$119,0)),Scoring!$A$4:$N$51,9,FALSE()),0)+1*IFERROR(VLOOKUP(INDEX(' Toto teams'!$F$4:$F$119,MATCH($B75,' Toto teams'!$A$4:$A$119,0)),Scoring!$A$4:$N$51,9,FALSE()),0)+1*IFERROR(VLOOKUP(INDEX(' Toto teams'!$G$4:$G$119,MATCH($B75,' Toto teams'!$A$4:$A$119,0)),Scoring!$A$4:$N$51,9,FALSE()),0)+1*IFERROR(VLOOKUP(INDEX(' Toto teams'!$H$4:$H$119,MATCH($B75,' Toto teams'!$A$4:$A$119,0)),Scoring!$A$4:$N$51,9,FALSE()),0))</f>
        <v/>
      </c>
      <c r="G75" s="28">
        <f>IF($B75="","",6*IFERROR(VLOOKUP(INDEX(' Toto teams'!$B$4:$B$119,MATCH($B75,' Toto teams'!$A$4:$A$119,0)),Scoring!$A$4:$N$51,10,FALSE()),0)+4*IFERROR(VLOOKUP(INDEX(' Toto teams'!$C$4:$C$119,MATCH($B75,' Toto teams'!$A$4:$A$119,0)),Scoring!$A$4:$N$51,10,FALSE()),0)+3*IFERROR(VLOOKUP(INDEX(' Toto teams'!$D$4:$D$119,MATCH($B75,' Toto teams'!$A$4:$A$119,0)),Scoring!$A$4:$N$51,10,FALSE()),0)+2*IFERROR(VLOOKUP(INDEX(' Toto teams'!$E$4:$E$119,MATCH($B75,' Toto teams'!$A$4:$A$119,0)),Scoring!$A$4:$N$51,10,FALSE()),0)+1*IFERROR(VLOOKUP(INDEX(' Toto teams'!$F$4:$F$119,MATCH($B75,' Toto teams'!$A$4:$A$119,0)),Scoring!$A$4:$N$51,10,FALSE()),0)+1*IFERROR(VLOOKUP(INDEX(' Toto teams'!$G$4:$G$119,MATCH($B75,' Toto teams'!$A$4:$A$119,0)),Scoring!$A$4:$N$51,10,FALSE()),0)+1*IFERROR(VLOOKUP(INDEX(' Toto teams'!$H$4:$H$119,MATCH($B75,' Toto teams'!$A$4:$A$119,0)),Scoring!$A$4:$N$51,10,FALSE()),0))</f>
        <v/>
      </c>
      <c r="H75" s="28">
        <f>IF($B75="","",6*IFERROR(VLOOKUP(INDEX(' Toto teams'!$B$4:$B$119,MATCH($B75,' Toto teams'!$A$4:$A$119,0)),Scoring!$A$4:$N$51,11,FALSE()),0)+4*IFERROR(VLOOKUP(INDEX(' Toto teams'!$C$4:$C$119,MATCH($B75,' Toto teams'!$A$4:$A$119,0)),Scoring!$A$4:$N$51,11,FALSE()),0)+3*IFERROR(VLOOKUP(INDEX(' Toto teams'!$D$4:$D$119,MATCH($B75,' Toto teams'!$A$4:$A$119,0)),Scoring!$A$4:$N$51,11,FALSE()),0)+2*IFERROR(VLOOKUP(INDEX(' Toto teams'!$E$4:$E$119,MATCH($B75,' Toto teams'!$A$4:$A$119,0)),Scoring!$A$4:$N$51,11,FALSE()),0)+1*IFERROR(VLOOKUP(INDEX(' Toto teams'!$F$4:$F$119,MATCH($B75,' Toto teams'!$A$4:$A$119,0)),Scoring!$A$4:$N$51,11,FALSE()),0)+1*IFERROR(VLOOKUP(INDEX(' Toto teams'!$G$4:$G$119,MATCH($B75,' Toto teams'!$A$4:$A$119,0)),Scoring!$A$4:$N$51,11,FALSE()),0)+1*IFERROR(VLOOKUP(INDEX(' Toto teams'!$H$4:$H$119,MATCH($B75,' Toto teams'!$A$4:$A$119,0)),Scoring!$A$4:$N$51,11,FALSE()),0))</f>
        <v/>
      </c>
      <c r="I75" s="28">
        <f>IF($B75="","",6*IFERROR(VLOOKUP(INDEX(' Toto teams'!$B$4:$B$119,MATCH($B75,' Toto teams'!$A$4:$A$119,0)),Scoring!$A$4:$O$51,15,FALSE()),0)+4*IFERROR(VLOOKUP(INDEX(' Toto teams'!$C$4:$C$119,MATCH($B75,' Toto teams'!$A$4:$A$119,0)),Scoring!$A$4:$O$51,15,FALSE()),0)+3*IFERROR(VLOOKUP(INDEX(' Toto teams'!$D$4:$D$119,MATCH($B75,' Toto teams'!$A$4:$A$119,0)),Scoring!$A$4:$O$51,15,FALSE()),0)+2*IFERROR(VLOOKUP(INDEX(' Toto teams'!$E$4:$E$119,MATCH($B75,' Toto teams'!$A$4:$A$119,0)),Scoring!$A$4:$O$51,15,FALSE()),0)+1*IFERROR(VLOOKUP(INDEX(' Toto teams'!$F$4:$F$119,MATCH($B75,' Toto teams'!$A$4:$A$119,0)),Scoring!$A$4:$O$51,15,FALSE()),0)+1*IFERROR(VLOOKUP(INDEX(' Toto teams'!$G$4:$G$119,MATCH($B75,' Toto teams'!$A$4:$A$119,0)),Scoring!$A$4:$O$51,15,FALSE()),0)+1*IFERROR(VLOOKUP(INDEX(' Toto teams'!$H$4:$H$119,MATCH($B75,' Toto teams'!$A$4:$A$119,0)),Scoring!$A$4:$O$51,15,FALSE()),0))</f>
        <v/>
      </c>
      <c r="J75" s="28">
        <f>IF($B75="","",6*IFERROR(VLOOKUP(INDEX(' Toto teams'!$B$4:$B$119,MATCH($B75,' Toto teams'!$A$4:$A$119,0)),Scoring!$A$4:$N$51,12,FALSE()),0)+4*IFERROR(VLOOKUP(INDEX(' Toto teams'!$C$4:$C$119,MATCH($B75,' Toto teams'!$A$4:$A$119,0)),Scoring!$A$4:$N$51,12,FALSE()),0)+3*IFERROR(VLOOKUP(INDEX(' Toto teams'!$D$4:$D$119,MATCH($B75,' Toto teams'!$A$4:$A$119,0)),Scoring!$A$4:$N$51,12,FALSE()),0)+2*IFERROR(VLOOKUP(INDEX(' Toto teams'!$E$4:$E$119,MATCH($B75,' Toto teams'!$A$4:$A$119,0)),Scoring!$A$4:$N$51,12,FALSE()),0)+1*IFERROR(VLOOKUP(INDEX(' Toto teams'!$F$4:$F$119,MATCH($B75,' Toto teams'!$A$4:$A$119,0)),Scoring!$A$4:$N$51,12,FALSE()),0)+1*IFERROR(VLOOKUP(INDEX(' Toto teams'!$G$4:$G$119,MATCH($B75,' Toto teams'!$A$4:$A$119,0)),Scoring!$A$4:$N$51,12,FALSE()),0)+1*IFERROR(VLOOKUP(INDEX(' Toto teams'!$H$4:$H$119,MATCH($B75,' Toto teams'!$A$4:$A$119,0)),Scoring!$A$4:$N$51,12,FALSE()),0))</f>
        <v/>
      </c>
      <c r="K75" s="29">
        <f>IF($B75="","",IFERROR(INDEX(' Toto teams'!$R$4:$R$119,MATCH($B75,' Toto teams'!$A$4:$A$119,0)),""))</f>
        <v/>
      </c>
      <c r="L75" s="30">
        <f>IFERROR(IF(B75="","",VLOOKUP(A75,$N$4:$R$12,5,FALSE())),0)</f>
        <v/>
      </c>
    </row>
    <row r="76" ht="12.75" customHeight="1">
      <c r="A76" s="26">
        <f>IF(73&gt;COUNTIF(' Toto teams'!$A$4:$A$119,"&lt;&gt;"),"",INDEX(' Toto teams'!$S$4:$S$119,MATCH(LARGE(' Toto teams'!$T$4:$T$119,73),' Toto teams'!$T$4:$T$119,0)))</f>
        <v/>
      </c>
      <c r="B76" s="27">
        <f>IF(73&gt;COUNTIF(' Toto teams'!$A$4:$A$119,"&lt;&gt;"),"",INDEX(' Toto teams'!$A$4:$A$119,MATCH(LARGE(' Toto teams'!$T$4:$T$119,73),' Toto teams'!$T$4:$T$119,0)))</f>
        <v/>
      </c>
      <c r="C76" s="28">
        <f>IF($B76="","",6*(IFERROR(VLOOKUP(INDEX(' Toto teams'!$B$4:$B$119,MATCH($B76,' Toto teams'!$A$4:$A$119,0)),Scoring!$A$4:$N$51,3,FALSE()),0)+IFERROR(VLOOKUP(INDEX(' Toto teams'!$B$4:$B$119,MATCH($B76,' Toto teams'!$A$4:$A$119,0)),Scoring!$A$4:$N$51,4,FALSE()),0)+IFERROR(VLOOKUP(INDEX(' Toto teams'!$B$4:$B$119,MATCH($B76,' Toto teams'!$A$4:$A$119,0)),Scoring!$A$4:$N$51,5,FALSE()),0))+4*(IFERROR(VLOOKUP(INDEX(' Toto teams'!$C$4:$C$119,MATCH($B76,' Toto teams'!$A$4:$A$119,0)),Scoring!$A$4:$N$51,3,FALSE()),0)+IFERROR(VLOOKUP(INDEX(' Toto teams'!$C$4:$C$119,MATCH($B76,' Toto teams'!$A$4:$A$119,0)),Scoring!$A$4:$N$51,4,FALSE()),0)+IFERROR(VLOOKUP(INDEX(' Toto teams'!$C$4:$C$119,MATCH($B76,' Toto teams'!$A$4:$A$119,0)),Scoring!$A$4:$N$51,5,FALSE()),0))+3*(IFERROR(VLOOKUP(INDEX(' Toto teams'!$D$4:$D$119,MATCH($B76,' Toto teams'!$A$4:$A$119,0)),Scoring!$A$4:$N$51,3,FALSE()),0)+IFERROR(VLOOKUP(INDEX(' Toto teams'!$D$4:$D$119,MATCH($B76,' Toto teams'!$A$4:$A$119,0)),Scoring!$A$4:$N$51,4,FALSE()),0)+IFERROR(VLOOKUP(INDEX(' Toto teams'!$D$4:$D$119,MATCH($B76,' Toto teams'!$A$4:$A$119,0)),Scoring!$A$4:$N$51,5,FALSE()),0))+2*(IFERROR(VLOOKUP(INDEX(' Toto teams'!$E$4:$E$119,MATCH($B76,' Toto teams'!$A$4:$A$119,0)),Scoring!$A$4:$N$51,3,FALSE()),0)+IFERROR(VLOOKUP(INDEX(' Toto teams'!$E$4:$E$119,MATCH($B76,' Toto teams'!$A$4:$A$119,0)),Scoring!$A$4:$N$51,4,FALSE()),0)+IFERROR(VLOOKUP(INDEX(' Toto teams'!$E$4:$E$119,MATCH($B76,' Toto teams'!$A$4:$A$119,0)),Scoring!$A$4:$N$51,5,FALSE()),0))+1*(IFERROR(VLOOKUP(INDEX(' Toto teams'!$F$4:$F$119,MATCH($B76,' Toto teams'!$A$4:$A$119,0)),Scoring!$A$4:$N$51,3,FALSE()),0)+IFERROR(VLOOKUP(INDEX(' Toto teams'!$F$4:$F$119,MATCH($B76,' Toto teams'!$A$4:$A$119,0)),Scoring!$A$4:$N$51,4,FALSE()),0)+IFERROR(VLOOKUP(INDEX(' Toto teams'!$F$4:$F$119,MATCH($B76,' Toto teams'!$A$4:$A$119,0)),Scoring!$A$4:$N$51,5,FALSE()),0))+1*(IFERROR(VLOOKUP(INDEX(' Toto teams'!$G$4:$G$119,MATCH($B76,' Toto teams'!$A$4:$A$119,0)),Scoring!$A$4:$N$51,3,FALSE()),0)+IFERROR(VLOOKUP(INDEX(' Toto teams'!$G$4:$G$119,MATCH($B76,' Toto teams'!$A$4:$A$119,0)),Scoring!$A$4:$N$51,4,FALSE()),0)+IFERROR(VLOOKUP(INDEX(' Toto teams'!$G$4:$G$119,MATCH($B76,' Toto teams'!$A$4:$A$119,0)),Scoring!$A$4:$N$51,5,FALSE()),0))+1*(IFERROR(VLOOKUP(INDEX(' Toto teams'!$H$4:$H$119,MATCH($B76,' Toto teams'!$A$4:$A$119,0)),Scoring!$A$4:$N$51,3,FALSE()),0)+IFERROR(VLOOKUP(INDEX(' Toto teams'!$H$4:$H$119,MATCH($B76,' Toto teams'!$A$4:$A$119,0)),Scoring!$A$4:$N$51,4,FALSE()),0)+IFERROR(VLOOKUP(INDEX(' Toto teams'!$H$4:$H$119,MATCH($B76,' Toto teams'!$A$4:$A$119,0)),Scoring!$A$4:$N$51,5,FALSE()),0))+IFERROR(INDEX(' Toto teams'!$Q$4:$Q$119,MATCH($B76,' Toto teams'!$A$4:$A$119,0))*1,0))</f>
        <v/>
      </c>
      <c r="D76" s="28">
        <f>IF($B76="","",6*IFERROR(VLOOKUP(INDEX(' Toto teams'!$B$4:$B$119,MATCH($B76,' Toto teams'!$A$4:$A$119,0)),Scoring!$A$4:$N$51,7,FALSE()),0)+4*IFERROR(VLOOKUP(INDEX(' Toto teams'!$C$4:$C$119,MATCH($B76,' Toto teams'!$A$4:$A$119,0)),Scoring!$A$4:$N$51,7,FALSE()),0)+3*IFERROR(VLOOKUP(INDEX(' Toto teams'!$D$4:$D$119,MATCH($B76,' Toto teams'!$A$4:$A$119,0)),Scoring!$A$4:$N$51,7,FALSE()),0)+2*IFERROR(VLOOKUP(INDEX(' Toto teams'!$E$4:$E$119,MATCH($B76,' Toto teams'!$A$4:$A$119,0)),Scoring!$A$4:$N$51,7,FALSE()),0)+1*IFERROR(VLOOKUP(INDEX(' Toto teams'!$F$4:$F$119,MATCH($B76,' Toto teams'!$A$4:$A$119,0)),Scoring!$A$4:$N$51,7,FALSE()),0)+1*IFERROR(VLOOKUP(INDEX(' Toto teams'!$G$4:$G$119,MATCH($B76,' Toto teams'!$A$4:$A$119,0)),Scoring!$A$4:$N$51,7,FALSE()),0)+1*IFERROR(VLOOKUP(INDEX(' Toto teams'!$H$4:$H$119,MATCH($B76,' Toto teams'!$A$4:$A$119,0)),Scoring!$A$4:$N$51,7,FALSE()),0))</f>
        <v/>
      </c>
      <c r="E76" s="28">
        <f>IF($B76="","",6*IFERROR(VLOOKUP(INDEX(' Toto teams'!$B$4:$B$119,MATCH($B76,' Toto teams'!$A$4:$A$119,0)),Scoring!$A$4:$N$51,8,FALSE()),0)+4*IFERROR(VLOOKUP(INDEX(' Toto teams'!$C$4:$C$119,MATCH($B76,' Toto teams'!$A$4:$A$119,0)),Scoring!$A$4:$N$51,8,FALSE()),0)+3*IFERROR(VLOOKUP(INDEX(' Toto teams'!$D$4:$D$119,MATCH($B76,' Toto teams'!$A$4:$A$119,0)),Scoring!$A$4:$N$51,8,FALSE()),0)+2*IFERROR(VLOOKUP(INDEX(' Toto teams'!$E$4:$E$119,MATCH($B76,' Toto teams'!$A$4:$A$119,0)),Scoring!$A$4:$N$51,8,FALSE()),0)+1*IFERROR(VLOOKUP(INDEX(' Toto teams'!$F$4:$F$119,MATCH($B76,' Toto teams'!$A$4:$A$119,0)),Scoring!$A$4:$N$51,8,FALSE()),0)+1*IFERROR(VLOOKUP(INDEX(' Toto teams'!$G$4:$G$119,MATCH($B76,' Toto teams'!$A$4:$A$119,0)),Scoring!$A$4:$N$51,8,FALSE()),0)+1*IFERROR(VLOOKUP(INDEX(' Toto teams'!$H$4:$H$119,MATCH($B76,' Toto teams'!$A$4:$A$119,0)),Scoring!$A$4:$N$51,8,FALSE()),0))</f>
        <v/>
      </c>
      <c r="F76" s="28">
        <f>IF($B76="","",6*IFERROR(VLOOKUP(INDEX(' Toto teams'!$B$4:$B$119,MATCH($B76,' Toto teams'!$A$4:$A$119,0)),Scoring!$A$4:$N$51,9,FALSE()),0)+4*IFERROR(VLOOKUP(INDEX(' Toto teams'!$C$4:$C$119,MATCH($B76,' Toto teams'!$A$4:$A$119,0)),Scoring!$A$4:$N$51,9,FALSE()),0)+3*IFERROR(VLOOKUP(INDEX(' Toto teams'!$D$4:$D$119,MATCH($B76,' Toto teams'!$A$4:$A$119,0)),Scoring!$A$4:$N$51,9,FALSE()),0)+2*IFERROR(VLOOKUP(INDEX(' Toto teams'!$E$4:$E$119,MATCH($B76,' Toto teams'!$A$4:$A$119,0)),Scoring!$A$4:$N$51,9,FALSE()),0)+1*IFERROR(VLOOKUP(INDEX(' Toto teams'!$F$4:$F$119,MATCH($B76,' Toto teams'!$A$4:$A$119,0)),Scoring!$A$4:$N$51,9,FALSE()),0)+1*IFERROR(VLOOKUP(INDEX(' Toto teams'!$G$4:$G$119,MATCH($B76,' Toto teams'!$A$4:$A$119,0)),Scoring!$A$4:$N$51,9,FALSE()),0)+1*IFERROR(VLOOKUP(INDEX(' Toto teams'!$H$4:$H$119,MATCH($B76,' Toto teams'!$A$4:$A$119,0)),Scoring!$A$4:$N$51,9,FALSE()),0))</f>
        <v/>
      </c>
      <c r="G76" s="28">
        <f>IF($B76="","",6*IFERROR(VLOOKUP(INDEX(' Toto teams'!$B$4:$B$119,MATCH($B76,' Toto teams'!$A$4:$A$119,0)),Scoring!$A$4:$N$51,10,FALSE()),0)+4*IFERROR(VLOOKUP(INDEX(' Toto teams'!$C$4:$C$119,MATCH($B76,' Toto teams'!$A$4:$A$119,0)),Scoring!$A$4:$N$51,10,FALSE()),0)+3*IFERROR(VLOOKUP(INDEX(' Toto teams'!$D$4:$D$119,MATCH($B76,' Toto teams'!$A$4:$A$119,0)),Scoring!$A$4:$N$51,10,FALSE()),0)+2*IFERROR(VLOOKUP(INDEX(' Toto teams'!$E$4:$E$119,MATCH($B76,' Toto teams'!$A$4:$A$119,0)),Scoring!$A$4:$N$51,10,FALSE()),0)+1*IFERROR(VLOOKUP(INDEX(' Toto teams'!$F$4:$F$119,MATCH($B76,' Toto teams'!$A$4:$A$119,0)),Scoring!$A$4:$N$51,10,FALSE()),0)+1*IFERROR(VLOOKUP(INDEX(' Toto teams'!$G$4:$G$119,MATCH($B76,' Toto teams'!$A$4:$A$119,0)),Scoring!$A$4:$N$51,10,FALSE()),0)+1*IFERROR(VLOOKUP(INDEX(' Toto teams'!$H$4:$H$119,MATCH($B76,' Toto teams'!$A$4:$A$119,0)),Scoring!$A$4:$N$51,10,FALSE()),0))</f>
        <v/>
      </c>
      <c r="H76" s="28">
        <f>IF($B76="","",6*IFERROR(VLOOKUP(INDEX(' Toto teams'!$B$4:$B$119,MATCH($B76,' Toto teams'!$A$4:$A$119,0)),Scoring!$A$4:$N$51,11,FALSE()),0)+4*IFERROR(VLOOKUP(INDEX(' Toto teams'!$C$4:$C$119,MATCH($B76,' Toto teams'!$A$4:$A$119,0)),Scoring!$A$4:$N$51,11,FALSE()),0)+3*IFERROR(VLOOKUP(INDEX(' Toto teams'!$D$4:$D$119,MATCH($B76,' Toto teams'!$A$4:$A$119,0)),Scoring!$A$4:$N$51,11,FALSE()),0)+2*IFERROR(VLOOKUP(INDEX(' Toto teams'!$E$4:$E$119,MATCH($B76,' Toto teams'!$A$4:$A$119,0)),Scoring!$A$4:$N$51,11,FALSE()),0)+1*IFERROR(VLOOKUP(INDEX(' Toto teams'!$F$4:$F$119,MATCH($B76,' Toto teams'!$A$4:$A$119,0)),Scoring!$A$4:$N$51,11,FALSE()),0)+1*IFERROR(VLOOKUP(INDEX(' Toto teams'!$G$4:$G$119,MATCH($B76,' Toto teams'!$A$4:$A$119,0)),Scoring!$A$4:$N$51,11,FALSE()),0)+1*IFERROR(VLOOKUP(INDEX(' Toto teams'!$H$4:$H$119,MATCH($B76,' Toto teams'!$A$4:$A$119,0)),Scoring!$A$4:$N$51,11,FALSE()),0))</f>
        <v/>
      </c>
      <c r="I76" s="28">
        <f>IF($B76="","",6*IFERROR(VLOOKUP(INDEX(' Toto teams'!$B$4:$B$119,MATCH($B76,' Toto teams'!$A$4:$A$119,0)),Scoring!$A$4:$O$51,15,FALSE()),0)+4*IFERROR(VLOOKUP(INDEX(' Toto teams'!$C$4:$C$119,MATCH($B76,' Toto teams'!$A$4:$A$119,0)),Scoring!$A$4:$O$51,15,FALSE()),0)+3*IFERROR(VLOOKUP(INDEX(' Toto teams'!$D$4:$D$119,MATCH($B76,' Toto teams'!$A$4:$A$119,0)),Scoring!$A$4:$O$51,15,FALSE()),0)+2*IFERROR(VLOOKUP(INDEX(' Toto teams'!$E$4:$E$119,MATCH($B76,' Toto teams'!$A$4:$A$119,0)),Scoring!$A$4:$O$51,15,FALSE()),0)+1*IFERROR(VLOOKUP(INDEX(' Toto teams'!$F$4:$F$119,MATCH($B76,' Toto teams'!$A$4:$A$119,0)),Scoring!$A$4:$O$51,15,FALSE()),0)+1*IFERROR(VLOOKUP(INDEX(' Toto teams'!$G$4:$G$119,MATCH($B76,' Toto teams'!$A$4:$A$119,0)),Scoring!$A$4:$O$51,15,FALSE()),0)+1*IFERROR(VLOOKUP(INDEX(' Toto teams'!$H$4:$H$119,MATCH($B76,' Toto teams'!$A$4:$A$119,0)),Scoring!$A$4:$O$51,15,FALSE()),0))</f>
        <v/>
      </c>
      <c r="J76" s="28">
        <f>IF($B76="","",6*IFERROR(VLOOKUP(INDEX(' Toto teams'!$B$4:$B$119,MATCH($B76,' Toto teams'!$A$4:$A$119,0)),Scoring!$A$4:$N$51,12,FALSE()),0)+4*IFERROR(VLOOKUP(INDEX(' Toto teams'!$C$4:$C$119,MATCH($B76,' Toto teams'!$A$4:$A$119,0)),Scoring!$A$4:$N$51,12,FALSE()),0)+3*IFERROR(VLOOKUP(INDEX(' Toto teams'!$D$4:$D$119,MATCH($B76,' Toto teams'!$A$4:$A$119,0)),Scoring!$A$4:$N$51,12,FALSE()),0)+2*IFERROR(VLOOKUP(INDEX(' Toto teams'!$E$4:$E$119,MATCH($B76,' Toto teams'!$A$4:$A$119,0)),Scoring!$A$4:$N$51,12,FALSE()),0)+1*IFERROR(VLOOKUP(INDEX(' Toto teams'!$F$4:$F$119,MATCH($B76,' Toto teams'!$A$4:$A$119,0)),Scoring!$A$4:$N$51,12,FALSE()),0)+1*IFERROR(VLOOKUP(INDEX(' Toto teams'!$G$4:$G$119,MATCH($B76,' Toto teams'!$A$4:$A$119,0)),Scoring!$A$4:$N$51,12,FALSE()),0)+1*IFERROR(VLOOKUP(INDEX(' Toto teams'!$H$4:$H$119,MATCH($B76,' Toto teams'!$A$4:$A$119,0)),Scoring!$A$4:$N$51,12,FALSE()),0))</f>
        <v/>
      </c>
      <c r="K76" s="29">
        <f>IF($B76="","",IFERROR(INDEX(' Toto teams'!$R$4:$R$119,MATCH($B76,' Toto teams'!$A$4:$A$119,0)),""))</f>
        <v/>
      </c>
      <c r="L76" s="30">
        <f>IFERROR(IF(B76="","",VLOOKUP(A76,$N$4:$R$12,5,FALSE())),0)</f>
        <v/>
      </c>
    </row>
    <row r="77" ht="12.75" customHeight="1">
      <c r="A77" s="26">
        <f>IF(74&gt;COUNTIF(' Toto teams'!$A$4:$A$119,"&lt;&gt;"),"",INDEX(' Toto teams'!$S$4:$S$119,MATCH(LARGE(' Toto teams'!$T$4:$T$119,74),' Toto teams'!$T$4:$T$119,0)))</f>
        <v/>
      </c>
      <c r="B77" s="27">
        <f>IF(74&gt;COUNTIF(' Toto teams'!$A$4:$A$119,"&lt;&gt;"),"",INDEX(' Toto teams'!$A$4:$A$119,MATCH(LARGE(' Toto teams'!$T$4:$T$119,74),' Toto teams'!$T$4:$T$119,0)))</f>
        <v/>
      </c>
      <c r="C77" s="28">
        <f>IF($B77="","",6*(IFERROR(VLOOKUP(INDEX(' Toto teams'!$B$4:$B$119,MATCH($B77,' Toto teams'!$A$4:$A$119,0)),Scoring!$A$4:$N$51,3,FALSE()),0)+IFERROR(VLOOKUP(INDEX(' Toto teams'!$B$4:$B$119,MATCH($B77,' Toto teams'!$A$4:$A$119,0)),Scoring!$A$4:$N$51,4,FALSE()),0)+IFERROR(VLOOKUP(INDEX(' Toto teams'!$B$4:$B$119,MATCH($B77,' Toto teams'!$A$4:$A$119,0)),Scoring!$A$4:$N$51,5,FALSE()),0))+4*(IFERROR(VLOOKUP(INDEX(' Toto teams'!$C$4:$C$119,MATCH($B77,' Toto teams'!$A$4:$A$119,0)),Scoring!$A$4:$N$51,3,FALSE()),0)+IFERROR(VLOOKUP(INDEX(' Toto teams'!$C$4:$C$119,MATCH($B77,' Toto teams'!$A$4:$A$119,0)),Scoring!$A$4:$N$51,4,FALSE()),0)+IFERROR(VLOOKUP(INDEX(' Toto teams'!$C$4:$C$119,MATCH($B77,' Toto teams'!$A$4:$A$119,0)),Scoring!$A$4:$N$51,5,FALSE()),0))+3*(IFERROR(VLOOKUP(INDEX(' Toto teams'!$D$4:$D$119,MATCH($B77,' Toto teams'!$A$4:$A$119,0)),Scoring!$A$4:$N$51,3,FALSE()),0)+IFERROR(VLOOKUP(INDEX(' Toto teams'!$D$4:$D$119,MATCH($B77,' Toto teams'!$A$4:$A$119,0)),Scoring!$A$4:$N$51,4,FALSE()),0)+IFERROR(VLOOKUP(INDEX(' Toto teams'!$D$4:$D$119,MATCH($B77,' Toto teams'!$A$4:$A$119,0)),Scoring!$A$4:$N$51,5,FALSE()),0))+2*(IFERROR(VLOOKUP(INDEX(' Toto teams'!$E$4:$E$119,MATCH($B77,' Toto teams'!$A$4:$A$119,0)),Scoring!$A$4:$N$51,3,FALSE()),0)+IFERROR(VLOOKUP(INDEX(' Toto teams'!$E$4:$E$119,MATCH($B77,' Toto teams'!$A$4:$A$119,0)),Scoring!$A$4:$N$51,4,FALSE()),0)+IFERROR(VLOOKUP(INDEX(' Toto teams'!$E$4:$E$119,MATCH($B77,' Toto teams'!$A$4:$A$119,0)),Scoring!$A$4:$N$51,5,FALSE()),0))+1*(IFERROR(VLOOKUP(INDEX(' Toto teams'!$F$4:$F$119,MATCH($B77,' Toto teams'!$A$4:$A$119,0)),Scoring!$A$4:$N$51,3,FALSE()),0)+IFERROR(VLOOKUP(INDEX(' Toto teams'!$F$4:$F$119,MATCH($B77,' Toto teams'!$A$4:$A$119,0)),Scoring!$A$4:$N$51,4,FALSE()),0)+IFERROR(VLOOKUP(INDEX(' Toto teams'!$F$4:$F$119,MATCH($B77,' Toto teams'!$A$4:$A$119,0)),Scoring!$A$4:$N$51,5,FALSE()),0))+1*(IFERROR(VLOOKUP(INDEX(' Toto teams'!$G$4:$G$119,MATCH($B77,' Toto teams'!$A$4:$A$119,0)),Scoring!$A$4:$N$51,3,FALSE()),0)+IFERROR(VLOOKUP(INDEX(' Toto teams'!$G$4:$G$119,MATCH($B77,' Toto teams'!$A$4:$A$119,0)),Scoring!$A$4:$N$51,4,FALSE()),0)+IFERROR(VLOOKUP(INDEX(' Toto teams'!$G$4:$G$119,MATCH($B77,' Toto teams'!$A$4:$A$119,0)),Scoring!$A$4:$N$51,5,FALSE()),0))+1*(IFERROR(VLOOKUP(INDEX(' Toto teams'!$H$4:$H$119,MATCH($B77,' Toto teams'!$A$4:$A$119,0)),Scoring!$A$4:$N$51,3,FALSE()),0)+IFERROR(VLOOKUP(INDEX(' Toto teams'!$H$4:$H$119,MATCH($B77,' Toto teams'!$A$4:$A$119,0)),Scoring!$A$4:$N$51,4,FALSE()),0)+IFERROR(VLOOKUP(INDEX(' Toto teams'!$H$4:$H$119,MATCH($B77,' Toto teams'!$A$4:$A$119,0)),Scoring!$A$4:$N$51,5,FALSE()),0))+IFERROR(INDEX(' Toto teams'!$Q$4:$Q$119,MATCH($B77,' Toto teams'!$A$4:$A$119,0))*1,0))</f>
        <v/>
      </c>
      <c r="D77" s="28">
        <f>IF($B77="","",6*IFERROR(VLOOKUP(INDEX(' Toto teams'!$B$4:$B$119,MATCH($B77,' Toto teams'!$A$4:$A$119,0)),Scoring!$A$4:$N$51,7,FALSE()),0)+4*IFERROR(VLOOKUP(INDEX(' Toto teams'!$C$4:$C$119,MATCH($B77,' Toto teams'!$A$4:$A$119,0)),Scoring!$A$4:$N$51,7,FALSE()),0)+3*IFERROR(VLOOKUP(INDEX(' Toto teams'!$D$4:$D$119,MATCH($B77,' Toto teams'!$A$4:$A$119,0)),Scoring!$A$4:$N$51,7,FALSE()),0)+2*IFERROR(VLOOKUP(INDEX(' Toto teams'!$E$4:$E$119,MATCH($B77,' Toto teams'!$A$4:$A$119,0)),Scoring!$A$4:$N$51,7,FALSE()),0)+1*IFERROR(VLOOKUP(INDEX(' Toto teams'!$F$4:$F$119,MATCH($B77,' Toto teams'!$A$4:$A$119,0)),Scoring!$A$4:$N$51,7,FALSE()),0)+1*IFERROR(VLOOKUP(INDEX(' Toto teams'!$G$4:$G$119,MATCH($B77,' Toto teams'!$A$4:$A$119,0)),Scoring!$A$4:$N$51,7,FALSE()),0)+1*IFERROR(VLOOKUP(INDEX(' Toto teams'!$H$4:$H$119,MATCH($B77,' Toto teams'!$A$4:$A$119,0)),Scoring!$A$4:$N$51,7,FALSE()),0))</f>
        <v/>
      </c>
      <c r="E77" s="28">
        <f>IF($B77="","",6*IFERROR(VLOOKUP(INDEX(' Toto teams'!$B$4:$B$119,MATCH($B77,' Toto teams'!$A$4:$A$119,0)),Scoring!$A$4:$N$51,8,FALSE()),0)+4*IFERROR(VLOOKUP(INDEX(' Toto teams'!$C$4:$C$119,MATCH($B77,' Toto teams'!$A$4:$A$119,0)),Scoring!$A$4:$N$51,8,FALSE()),0)+3*IFERROR(VLOOKUP(INDEX(' Toto teams'!$D$4:$D$119,MATCH($B77,' Toto teams'!$A$4:$A$119,0)),Scoring!$A$4:$N$51,8,FALSE()),0)+2*IFERROR(VLOOKUP(INDEX(' Toto teams'!$E$4:$E$119,MATCH($B77,' Toto teams'!$A$4:$A$119,0)),Scoring!$A$4:$N$51,8,FALSE()),0)+1*IFERROR(VLOOKUP(INDEX(' Toto teams'!$F$4:$F$119,MATCH($B77,' Toto teams'!$A$4:$A$119,0)),Scoring!$A$4:$N$51,8,FALSE()),0)+1*IFERROR(VLOOKUP(INDEX(' Toto teams'!$G$4:$G$119,MATCH($B77,' Toto teams'!$A$4:$A$119,0)),Scoring!$A$4:$N$51,8,FALSE()),0)+1*IFERROR(VLOOKUP(INDEX(' Toto teams'!$H$4:$H$119,MATCH($B77,' Toto teams'!$A$4:$A$119,0)),Scoring!$A$4:$N$51,8,FALSE()),0))</f>
        <v/>
      </c>
      <c r="F77" s="28">
        <f>IF($B77="","",6*IFERROR(VLOOKUP(INDEX(' Toto teams'!$B$4:$B$119,MATCH($B77,' Toto teams'!$A$4:$A$119,0)),Scoring!$A$4:$N$51,9,FALSE()),0)+4*IFERROR(VLOOKUP(INDEX(' Toto teams'!$C$4:$C$119,MATCH($B77,' Toto teams'!$A$4:$A$119,0)),Scoring!$A$4:$N$51,9,FALSE()),0)+3*IFERROR(VLOOKUP(INDEX(' Toto teams'!$D$4:$D$119,MATCH($B77,' Toto teams'!$A$4:$A$119,0)),Scoring!$A$4:$N$51,9,FALSE()),0)+2*IFERROR(VLOOKUP(INDEX(' Toto teams'!$E$4:$E$119,MATCH($B77,' Toto teams'!$A$4:$A$119,0)),Scoring!$A$4:$N$51,9,FALSE()),0)+1*IFERROR(VLOOKUP(INDEX(' Toto teams'!$F$4:$F$119,MATCH($B77,' Toto teams'!$A$4:$A$119,0)),Scoring!$A$4:$N$51,9,FALSE()),0)+1*IFERROR(VLOOKUP(INDEX(' Toto teams'!$G$4:$G$119,MATCH($B77,' Toto teams'!$A$4:$A$119,0)),Scoring!$A$4:$N$51,9,FALSE()),0)+1*IFERROR(VLOOKUP(INDEX(' Toto teams'!$H$4:$H$119,MATCH($B77,' Toto teams'!$A$4:$A$119,0)),Scoring!$A$4:$N$51,9,FALSE()),0))</f>
        <v/>
      </c>
      <c r="G77" s="28">
        <f>IF($B77="","",6*IFERROR(VLOOKUP(INDEX(' Toto teams'!$B$4:$B$119,MATCH($B77,' Toto teams'!$A$4:$A$119,0)),Scoring!$A$4:$N$51,10,FALSE()),0)+4*IFERROR(VLOOKUP(INDEX(' Toto teams'!$C$4:$C$119,MATCH($B77,' Toto teams'!$A$4:$A$119,0)),Scoring!$A$4:$N$51,10,FALSE()),0)+3*IFERROR(VLOOKUP(INDEX(' Toto teams'!$D$4:$D$119,MATCH($B77,' Toto teams'!$A$4:$A$119,0)),Scoring!$A$4:$N$51,10,FALSE()),0)+2*IFERROR(VLOOKUP(INDEX(' Toto teams'!$E$4:$E$119,MATCH($B77,' Toto teams'!$A$4:$A$119,0)),Scoring!$A$4:$N$51,10,FALSE()),0)+1*IFERROR(VLOOKUP(INDEX(' Toto teams'!$F$4:$F$119,MATCH($B77,' Toto teams'!$A$4:$A$119,0)),Scoring!$A$4:$N$51,10,FALSE()),0)+1*IFERROR(VLOOKUP(INDEX(' Toto teams'!$G$4:$G$119,MATCH($B77,' Toto teams'!$A$4:$A$119,0)),Scoring!$A$4:$N$51,10,FALSE()),0)+1*IFERROR(VLOOKUP(INDEX(' Toto teams'!$H$4:$H$119,MATCH($B77,' Toto teams'!$A$4:$A$119,0)),Scoring!$A$4:$N$51,10,FALSE()),0))</f>
        <v/>
      </c>
      <c r="H77" s="28">
        <f>IF($B77="","",6*IFERROR(VLOOKUP(INDEX(' Toto teams'!$B$4:$B$119,MATCH($B77,' Toto teams'!$A$4:$A$119,0)),Scoring!$A$4:$N$51,11,FALSE()),0)+4*IFERROR(VLOOKUP(INDEX(' Toto teams'!$C$4:$C$119,MATCH($B77,' Toto teams'!$A$4:$A$119,0)),Scoring!$A$4:$N$51,11,FALSE()),0)+3*IFERROR(VLOOKUP(INDEX(' Toto teams'!$D$4:$D$119,MATCH($B77,' Toto teams'!$A$4:$A$119,0)),Scoring!$A$4:$N$51,11,FALSE()),0)+2*IFERROR(VLOOKUP(INDEX(' Toto teams'!$E$4:$E$119,MATCH($B77,' Toto teams'!$A$4:$A$119,0)),Scoring!$A$4:$N$51,11,FALSE()),0)+1*IFERROR(VLOOKUP(INDEX(' Toto teams'!$F$4:$F$119,MATCH($B77,' Toto teams'!$A$4:$A$119,0)),Scoring!$A$4:$N$51,11,FALSE()),0)+1*IFERROR(VLOOKUP(INDEX(' Toto teams'!$G$4:$G$119,MATCH($B77,' Toto teams'!$A$4:$A$119,0)),Scoring!$A$4:$N$51,11,FALSE()),0)+1*IFERROR(VLOOKUP(INDEX(' Toto teams'!$H$4:$H$119,MATCH($B77,' Toto teams'!$A$4:$A$119,0)),Scoring!$A$4:$N$51,11,FALSE()),0))</f>
        <v/>
      </c>
      <c r="I77" s="28">
        <f>IF($B77="","",6*IFERROR(VLOOKUP(INDEX(' Toto teams'!$B$4:$B$119,MATCH($B77,' Toto teams'!$A$4:$A$119,0)),Scoring!$A$4:$O$51,15,FALSE()),0)+4*IFERROR(VLOOKUP(INDEX(' Toto teams'!$C$4:$C$119,MATCH($B77,' Toto teams'!$A$4:$A$119,0)),Scoring!$A$4:$O$51,15,FALSE()),0)+3*IFERROR(VLOOKUP(INDEX(' Toto teams'!$D$4:$D$119,MATCH($B77,' Toto teams'!$A$4:$A$119,0)),Scoring!$A$4:$O$51,15,FALSE()),0)+2*IFERROR(VLOOKUP(INDEX(' Toto teams'!$E$4:$E$119,MATCH($B77,' Toto teams'!$A$4:$A$119,0)),Scoring!$A$4:$O$51,15,FALSE()),0)+1*IFERROR(VLOOKUP(INDEX(' Toto teams'!$F$4:$F$119,MATCH($B77,' Toto teams'!$A$4:$A$119,0)),Scoring!$A$4:$O$51,15,FALSE()),0)+1*IFERROR(VLOOKUP(INDEX(' Toto teams'!$G$4:$G$119,MATCH($B77,' Toto teams'!$A$4:$A$119,0)),Scoring!$A$4:$O$51,15,FALSE()),0)+1*IFERROR(VLOOKUP(INDEX(' Toto teams'!$H$4:$H$119,MATCH($B77,' Toto teams'!$A$4:$A$119,0)),Scoring!$A$4:$O$51,15,FALSE()),0))</f>
        <v/>
      </c>
      <c r="J77" s="28">
        <f>IF($B77="","",6*IFERROR(VLOOKUP(INDEX(' Toto teams'!$B$4:$B$119,MATCH($B77,' Toto teams'!$A$4:$A$119,0)),Scoring!$A$4:$N$51,12,FALSE()),0)+4*IFERROR(VLOOKUP(INDEX(' Toto teams'!$C$4:$C$119,MATCH($B77,' Toto teams'!$A$4:$A$119,0)),Scoring!$A$4:$N$51,12,FALSE()),0)+3*IFERROR(VLOOKUP(INDEX(' Toto teams'!$D$4:$D$119,MATCH($B77,' Toto teams'!$A$4:$A$119,0)),Scoring!$A$4:$N$51,12,FALSE()),0)+2*IFERROR(VLOOKUP(INDEX(' Toto teams'!$E$4:$E$119,MATCH($B77,' Toto teams'!$A$4:$A$119,0)),Scoring!$A$4:$N$51,12,FALSE()),0)+1*IFERROR(VLOOKUP(INDEX(' Toto teams'!$F$4:$F$119,MATCH($B77,' Toto teams'!$A$4:$A$119,0)),Scoring!$A$4:$N$51,12,FALSE()),0)+1*IFERROR(VLOOKUP(INDEX(' Toto teams'!$G$4:$G$119,MATCH($B77,' Toto teams'!$A$4:$A$119,0)),Scoring!$A$4:$N$51,12,FALSE()),0)+1*IFERROR(VLOOKUP(INDEX(' Toto teams'!$H$4:$H$119,MATCH($B77,' Toto teams'!$A$4:$A$119,0)),Scoring!$A$4:$N$51,12,FALSE()),0))</f>
        <v/>
      </c>
      <c r="K77" s="29">
        <f>IF($B77="","",IFERROR(INDEX(' Toto teams'!$R$4:$R$119,MATCH($B77,' Toto teams'!$A$4:$A$119,0)),""))</f>
        <v/>
      </c>
      <c r="L77" s="30">
        <f>IFERROR(IF(B77="","",VLOOKUP(A77,$N$4:$R$12,5,FALSE())),0)</f>
        <v/>
      </c>
    </row>
    <row r="78" ht="12.75" customHeight="1">
      <c r="A78" s="26">
        <f>IF(75&gt;COUNTIF(' Toto teams'!$A$4:$A$119,"&lt;&gt;"),"",INDEX(' Toto teams'!$S$4:$S$119,MATCH(LARGE(' Toto teams'!$T$4:$T$119,75),' Toto teams'!$T$4:$T$119,0)))</f>
        <v/>
      </c>
      <c r="B78" s="27">
        <f>IF(75&gt;COUNTIF(' Toto teams'!$A$4:$A$119,"&lt;&gt;"),"",INDEX(' Toto teams'!$A$4:$A$119,MATCH(LARGE(' Toto teams'!$T$4:$T$119,75),' Toto teams'!$T$4:$T$119,0)))</f>
        <v/>
      </c>
      <c r="C78" s="28">
        <f>IF($B78="","",6*(IFERROR(VLOOKUP(INDEX(' Toto teams'!$B$4:$B$119,MATCH($B78,' Toto teams'!$A$4:$A$119,0)),Scoring!$A$4:$N$51,3,FALSE()),0)+IFERROR(VLOOKUP(INDEX(' Toto teams'!$B$4:$B$119,MATCH($B78,' Toto teams'!$A$4:$A$119,0)),Scoring!$A$4:$N$51,4,FALSE()),0)+IFERROR(VLOOKUP(INDEX(' Toto teams'!$B$4:$B$119,MATCH($B78,' Toto teams'!$A$4:$A$119,0)),Scoring!$A$4:$N$51,5,FALSE()),0))+4*(IFERROR(VLOOKUP(INDEX(' Toto teams'!$C$4:$C$119,MATCH($B78,' Toto teams'!$A$4:$A$119,0)),Scoring!$A$4:$N$51,3,FALSE()),0)+IFERROR(VLOOKUP(INDEX(' Toto teams'!$C$4:$C$119,MATCH($B78,' Toto teams'!$A$4:$A$119,0)),Scoring!$A$4:$N$51,4,FALSE()),0)+IFERROR(VLOOKUP(INDEX(' Toto teams'!$C$4:$C$119,MATCH($B78,' Toto teams'!$A$4:$A$119,0)),Scoring!$A$4:$N$51,5,FALSE()),0))+3*(IFERROR(VLOOKUP(INDEX(' Toto teams'!$D$4:$D$119,MATCH($B78,' Toto teams'!$A$4:$A$119,0)),Scoring!$A$4:$N$51,3,FALSE()),0)+IFERROR(VLOOKUP(INDEX(' Toto teams'!$D$4:$D$119,MATCH($B78,' Toto teams'!$A$4:$A$119,0)),Scoring!$A$4:$N$51,4,FALSE()),0)+IFERROR(VLOOKUP(INDEX(' Toto teams'!$D$4:$D$119,MATCH($B78,' Toto teams'!$A$4:$A$119,0)),Scoring!$A$4:$N$51,5,FALSE()),0))+2*(IFERROR(VLOOKUP(INDEX(' Toto teams'!$E$4:$E$119,MATCH($B78,' Toto teams'!$A$4:$A$119,0)),Scoring!$A$4:$N$51,3,FALSE()),0)+IFERROR(VLOOKUP(INDEX(' Toto teams'!$E$4:$E$119,MATCH($B78,' Toto teams'!$A$4:$A$119,0)),Scoring!$A$4:$N$51,4,FALSE()),0)+IFERROR(VLOOKUP(INDEX(' Toto teams'!$E$4:$E$119,MATCH($B78,' Toto teams'!$A$4:$A$119,0)),Scoring!$A$4:$N$51,5,FALSE()),0))+1*(IFERROR(VLOOKUP(INDEX(' Toto teams'!$F$4:$F$119,MATCH($B78,' Toto teams'!$A$4:$A$119,0)),Scoring!$A$4:$N$51,3,FALSE()),0)+IFERROR(VLOOKUP(INDEX(' Toto teams'!$F$4:$F$119,MATCH($B78,' Toto teams'!$A$4:$A$119,0)),Scoring!$A$4:$N$51,4,FALSE()),0)+IFERROR(VLOOKUP(INDEX(' Toto teams'!$F$4:$F$119,MATCH($B78,' Toto teams'!$A$4:$A$119,0)),Scoring!$A$4:$N$51,5,FALSE()),0))+1*(IFERROR(VLOOKUP(INDEX(' Toto teams'!$G$4:$G$119,MATCH($B78,' Toto teams'!$A$4:$A$119,0)),Scoring!$A$4:$N$51,3,FALSE()),0)+IFERROR(VLOOKUP(INDEX(' Toto teams'!$G$4:$G$119,MATCH($B78,' Toto teams'!$A$4:$A$119,0)),Scoring!$A$4:$N$51,4,FALSE()),0)+IFERROR(VLOOKUP(INDEX(' Toto teams'!$G$4:$G$119,MATCH($B78,' Toto teams'!$A$4:$A$119,0)),Scoring!$A$4:$N$51,5,FALSE()),0))+1*(IFERROR(VLOOKUP(INDEX(' Toto teams'!$H$4:$H$119,MATCH($B78,' Toto teams'!$A$4:$A$119,0)),Scoring!$A$4:$N$51,3,FALSE()),0)+IFERROR(VLOOKUP(INDEX(' Toto teams'!$H$4:$H$119,MATCH($B78,' Toto teams'!$A$4:$A$119,0)),Scoring!$A$4:$N$51,4,FALSE()),0)+IFERROR(VLOOKUP(INDEX(' Toto teams'!$H$4:$H$119,MATCH($B78,' Toto teams'!$A$4:$A$119,0)),Scoring!$A$4:$N$51,5,FALSE()),0))+IFERROR(INDEX(' Toto teams'!$Q$4:$Q$119,MATCH($B78,' Toto teams'!$A$4:$A$119,0))*1,0))</f>
        <v/>
      </c>
      <c r="D78" s="28">
        <f>IF($B78="","",6*IFERROR(VLOOKUP(INDEX(' Toto teams'!$B$4:$B$119,MATCH($B78,' Toto teams'!$A$4:$A$119,0)),Scoring!$A$4:$N$51,7,FALSE()),0)+4*IFERROR(VLOOKUP(INDEX(' Toto teams'!$C$4:$C$119,MATCH($B78,' Toto teams'!$A$4:$A$119,0)),Scoring!$A$4:$N$51,7,FALSE()),0)+3*IFERROR(VLOOKUP(INDEX(' Toto teams'!$D$4:$D$119,MATCH($B78,' Toto teams'!$A$4:$A$119,0)),Scoring!$A$4:$N$51,7,FALSE()),0)+2*IFERROR(VLOOKUP(INDEX(' Toto teams'!$E$4:$E$119,MATCH($B78,' Toto teams'!$A$4:$A$119,0)),Scoring!$A$4:$N$51,7,FALSE()),0)+1*IFERROR(VLOOKUP(INDEX(' Toto teams'!$F$4:$F$119,MATCH($B78,' Toto teams'!$A$4:$A$119,0)),Scoring!$A$4:$N$51,7,FALSE()),0)+1*IFERROR(VLOOKUP(INDEX(' Toto teams'!$G$4:$G$119,MATCH($B78,' Toto teams'!$A$4:$A$119,0)),Scoring!$A$4:$N$51,7,FALSE()),0)+1*IFERROR(VLOOKUP(INDEX(' Toto teams'!$H$4:$H$119,MATCH($B78,' Toto teams'!$A$4:$A$119,0)),Scoring!$A$4:$N$51,7,FALSE()),0))</f>
        <v/>
      </c>
      <c r="E78" s="28">
        <f>IF($B78="","",6*IFERROR(VLOOKUP(INDEX(' Toto teams'!$B$4:$B$119,MATCH($B78,' Toto teams'!$A$4:$A$119,0)),Scoring!$A$4:$N$51,8,FALSE()),0)+4*IFERROR(VLOOKUP(INDEX(' Toto teams'!$C$4:$C$119,MATCH($B78,' Toto teams'!$A$4:$A$119,0)),Scoring!$A$4:$N$51,8,FALSE()),0)+3*IFERROR(VLOOKUP(INDEX(' Toto teams'!$D$4:$D$119,MATCH($B78,' Toto teams'!$A$4:$A$119,0)),Scoring!$A$4:$N$51,8,FALSE()),0)+2*IFERROR(VLOOKUP(INDEX(' Toto teams'!$E$4:$E$119,MATCH($B78,' Toto teams'!$A$4:$A$119,0)),Scoring!$A$4:$N$51,8,FALSE()),0)+1*IFERROR(VLOOKUP(INDEX(' Toto teams'!$F$4:$F$119,MATCH($B78,' Toto teams'!$A$4:$A$119,0)),Scoring!$A$4:$N$51,8,FALSE()),0)+1*IFERROR(VLOOKUP(INDEX(' Toto teams'!$G$4:$G$119,MATCH($B78,' Toto teams'!$A$4:$A$119,0)),Scoring!$A$4:$N$51,8,FALSE()),0)+1*IFERROR(VLOOKUP(INDEX(' Toto teams'!$H$4:$H$119,MATCH($B78,' Toto teams'!$A$4:$A$119,0)),Scoring!$A$4:$N$51,8,FALSE()),0))</f>
        <v/>
      </c>
      <c r="F78" s="28">
        <f>IF($B78="","",6*IFERROR(VLOOKUP(INDEX(' Toto teams'!$B$4:$B$119,MATCH($B78,' Toto teams'!$A$4:$A$119,0)),Scoring!$A$4:$N$51,9,FALSE()),0)+4*IFERROR(VLOOKUP(INDEX(' Toto teams'!$C$4:$C$119,MATCH($B78,' Toto teams'!$A$4:$A$119,0)),Scoring!$A$4:$N$51,9,FALSE()),0)+3*IFERROR(VLOOKUP(INDEX(' Toto teams'!$D$4:$D$119,MATCH($B78,' Toto teams'!$A$4:$A$119,0)),Scoring!$A$4:$N$51,9,FALSE()),0)+2*IFERROR(VLOOKUP(INDEX(' Toto teams'!$E$4:$E$119,MATCH($B78,' Toto teams'!$A$4:$A$119,0)),Scoring!$A$4:$N$51,9,FALSE()),0)+1*IFERROR(VLOOKUP(INDEX(' Toto teams'!$F$4:$F$119,MATCH($B78,' Toto teams'!$A$4:$A$119,0)),Scoring!$A$4:$N$51,9,FALSE()),0)+1*IFERROR(VLOOKUP(INDEX(' Toto teams'!$G$4:$G$119,MATCH($B78,' Toto teams'!$A$4:$A$119,0)),Scoring!$A$4:$N$51,9,FALSE()),0)+1*IFERROR(VLOOKUP(INDEX(' Toto teams'!$H$4:$H$119,MATCH($B78,' Toto teams'!$A$4:$A$119,0)),Scoring!$A$4:$N$51,9,FALSE()),0))</f>
        <v/>
      </c>
      <c r="G78" s="28">
        <f>IF($B78="","",6*IFERROR(VLOOKUP(INDEX(' Toto teams'!$B$4:$B$119,MATCH($B78,' Toto teams'!$A$4:$A$119,0)),Scoring!$A$4:$N$51,10,FALSE()),0)+4*IFERROR(VLOOKUP(INDEX(' Toto teams'!$C$4:$C$119,MATCH($B78,' Toto teams'!$A$4:$A$119,0)),Scoring!$A$4:$N$51,10,FALSE()),0)+3*IFERROR(VLOOKUP(INDEX(' Toto teams'!$D$4:$D$119,MATCH($B78,' Toto teams'!$A$4:$A$119,0)),Scoring!$A$4:$N$51,10,FALSE()),0)+2*IFERROR(VLOOKUP(INDEX(' Toto teams'!$E$4:$E$119,MATCH($B78,' Toto teams'!$A$4:$A$119,0)),Scoring!$A$4:$N$51,10,FALSE()),0)+1*IFERROR(VLOOKUP(INDEX(' Toto teams'!$F$4:$F$119,MATCH($B78,' Toto teams'!$A$4:$A$119,0)),Scoring!$A$4:$N$51,10,FALSE()),0)+1*IFERROR(VLOOKUP(INDEX(' Toto teams'!$G$4:$G$119,MATCH($B78,' Toto teams'!$A$4:$A$119,0)),Scoring!$A$4:$N$51,10,FALSE()),0)+1*IFERROR(VLOOKUP(INDEX(' Toto teams'!$H$4:$H$119,MATCH($B78,' Toto teams'!$A$4:$A$119,0)),Scoring!$A$4:$N$51,10,FALSE()),0))</f>
        <v/>
      </c>
      <c r="H78" s="28">
        <f>IF($B78="","",6*IFERROR(VLOOKUP(INDEX(' Toto teams'!$B$4:$B$119,MATCH($B78,' Toto teams'!$A$4:$A$119,0)),Scoring!$A$4:$N$51,11,FALSE()),0)+4*IFERROR(VLOOKUP(INDEX(' Toto teams'!$C$4:$C$119,MATCH($B78,' Toto teams'!$A$4:$A$119,0)),Scoring!$A$4:$N$51,11,FALSE()),0)+3*IFERROR(VLOOKUP(INDEX(' Toto teams'!$D$4:$D$119,MATCH($B78,' Toto teams'!$A$4:$A$119,0)),Scoring!$A$4:$N$51,11,FALSE()),0)+2*IFERROR(VLOOKUP(INDEX(' Toto teams'!$E$4:$E$119,MATCH($B78,' Toto teams'!$A$4:$A$119,0)),Scoring!$A$4:$N$51,11,FALSE()),0)+1*IFERROR(VLOOKUP(INDEX(' Toto teams'!$F$4:$F$119,MATCH($B78,' Toto teams'!$A$4:$A$119,0)),Scoring!$A$4:$N$51,11,FALSE()),0)+1*IFERROR(VLOOKUP(INDEX(' Toto teams'!$G$4:$G$119,MATCH($B78,' Toto teams'!$A$4:$A$119,0)),Scoring!$A$4:$N$51,11,FALSE()),0)+1*IFERROR(VLOOKUP(INDEX(' Toto teams'!$H$4:$H$119,MATCH($B78,' Toto teams'!$A$4:$A$119,0)),Scoring!$A$4:$N$51,11,FALSE()),0))</f>
        <v/>
      </c>
      <c r="I78" s="28">
        <f>IF($B78="","",6*IFERROR(VLOOKUP(INDEX(' Toto teams'!$B$4:$B$119,MATCH($B78,' Toto teams'!$A$4:$A$119,0)),Scoring!$A$4:$O$51,15,FALSE()),0)+4*IFERROR(VLOOKUP(INDEX(' Toto teams'!$C$4:$C$119,MATCH($B78,' Toto teams'!$A$4:$A$119,0)),Scoring!$A$4:$O$51,15,FALSE()),0)+3*IFERROR(VLOOKUP(INDEX(' Toto teams'!$D$4:$D$119,MATCH($B78,' Toto teams'!$A$4:$A$119,0)),Scoring!$A$4:$O$51,15,FALSE()),0)+2*IFERROR(VLOOKUP(INDEX(' Toto teams'!$E$4:$E$119,MATCH($B78,' Toto teams'!$A$4:$A$119,0)),Scoring!$A$4:$O$51,15,FALSE()),0)+1*IFERROR(VLOOKUP(INDEX(' Toto teams'!$F$4:$F$119,MATCH($B78,' Toto teams'!$A$4:$A$119,0)),Scoring!$A$4:$O$51,15,FALSE()),0)+1*IFERROR(VLOOKUP(INDEX(' Toto teams'!$G$4:$G$119,MATCH($B78,' Toto teams'!$A$4:$A$119,0)),Scoring!$A$4:$O$51,15,FALSE()),0)+1*IFERROR(VLOOKUP(INDEX(' Toto teams'!$H$4:$H$119,MATCH($B78,' Toto teams'!$A$4:$A$119,0)),Scoring!$A$4:$O$51,15,FALSE()),0))</f>
        <v/>
      </c>
      <c r="J78" s="28">
        <f>IF($B78="","",6*IFERROR(VLOOKUP(INDEX(' Toto teams'!$B$4:$B$119,MATCH($B78,' Toto teams'!$A$4:$A$119,0)),Scoring!$A$4:$N$51,12,FALSE()),0)+4*IFERROR(VLOOKUP(INDEX(' Toto teams'!$C$4:$C$119,MATCH($B78,' Toto teams'!$A$4:$A$119,0)),Scoring!$A$4:$N$51,12,FALSE()),0)+3*IFERROR(VLOOKUP(INDEX(' Toto teams'!$D$4:$D$119,MATCH($B78,' Toto teams'!$A$4:$A$119,0)),Scoring!$A$4:$N$51,12,FALSE()),0)+2*IFERROR(VLOOKUP(INDEX(' Toto teams'!$E$4:$E$119,MATCH($B78,' Toto teams'!$A$4:$A$119,0)),Scoring!$A$4:$N$51,12,FALSE()),0)+1*IFERROR(VLOOKUP(INDEX(' Toto teams'!$F$4:$F$119,MATCH($B78,' Toto teams'!$A$4:$A$119,0)),Scoring!$A$4:$N$51,12,FALSE()),0)+1*IFERROR(VLOOKUP(INDEX(' Toto teams'!$G$4:$G$119,MATCH($B78,' Toto teams'!$A$4:$A$119,0)),Scoring!$A$4:$N$51,12,FALSE()),0)+1*IFERROR(VLOOKUP(INDEX(' Toto teams'!$H$4:$H$119,MATCH($B78,' Toto teams'!$A$4:$A$119,0)),Scoring!$A$4:$N$51,12,FALSE()),0))</f>
        <v/>
      </c>
      <c r="K78" s="29">
        <f>IF($B78="","",IFERROR(INDEX(' Toto teams'!$R$4:$R$119,MATCH($B78,' Toto teams'!$A$4:$A$119,0)),""))</f>
        <v/>
      </c>
      <c r="L78" s="30">
        <f>IFERROR(IF(B78="","",VLOOKUP(A78,$N$4:$R$12,5,FALSE())),0)</f>
        <v/>
      </c>
    </row>
    <row r="79" ht="12.75" customHeight="1">
      <c r="A79" s="26">
        <f>IF(76&gt;COUNTIF(' Toto teams'!$A$4:$A$119,"&lt;&gt;"),"",INDEX(' Toto teams'!$S$4:$S$119,MATCH(LARGE(' Toto teams'!$T$4:$T$119,76),' Toto teams'!$T$4:$T$119,0)))</f>
        <v/>
      </c>
      <c r="B79" s="27">
        <f>IF(76&gt;COUNTIF(' Toto teams'!$A$4:$A$119,"&lt;&gt;"),"",INDEX(' Toto teams'!$A$4:$A$119,MATCH(LARGE(' Toto teams'!$T$4:$T$119,76),' Toto teams'!$T$4:$T$119,0)))</f>
        <v/>
      </c>
      <c r="C79" s="28">
        <f>IF($B79="","",6*(IFERROR(VLOOKUP(INDEX(' Toto teams'!$B$4:$B$119,MATCH($B79,' Toto teams'!$A$4:$A$119,0)),Scoring!$A$4:$N$51,3,FALSE()),0)+IFERROR(VLOOKUP(INDEX(' Toto teams'!$B$4:$B$119,MATCH($B79,' Toto teams'!$A$4:$A$119,0)),Scoring!$A$4:$N$51,4,FALSE()),0)+IFERROR(VLOOKUP(INDEX(' Toto teams'!$B$4:$B$119,MATCH($B79,' Toto teams'!$A$4:$A$119,0)),Scoring!$A$4:$N$51,5,FALSE()),0))+4*(IFERROR(VLOOKUP(INDEX(' Toto teams'!$C$4:$C$119,MATCH($B79,' Toto teams'!$A$4:$A$119,0)),Scoring!$A$4:$N$51,3,FALSE()),0)+IFERROR(VLOOKUP(INDEX(' Toto teams'!$C$4:$C$119,MATCH($B79,' Toto teams'!$A$4:$A$119,0)),Scoring!$A$4:$N$51,4,FALSE()),0)+IFERROR(VLOOKUP(INDEX(' Toto teams'!$C$4:$C$119,MATCH($B79,' Toto teams'!$A$4:$A$119,0)),Scoring!$A$4:$N$51,5,FALSE()),0))+3*(IFERROR(VLOOKUP(INDEX(' Toto teams'!$D$4:$D$119,MATCH($B79,' Toto teams'!$A$4:$A$119,0)),Scoring!$A$4:$N$51,3,FALSE()),0)+IFERROR(VLOOKUP(INDEX(' Toto teams'!$D$4:$D$119,MATCH($B79,' Toto teams'!$A$4:$A$119,0)),Scoring!$A$4:$N$51,4,FALSE()),0)+IFERROR(VLOOKUP(INDEX(' Toto teams'!$D$4:$D$119,MATCH($B79,' Toto teams'!$A$4:$A$119,0)),Scoring!$A$4:$N$51,5,FALSE()),0))+2*(IFERROR(VLOOKUP(INDEX(' Toto teams'!$E$4:$E$119,MATCH($B79,' Toto teams'!$A$4:$A$119,0)),Scoring!$A$4:$N$51,3,FALSE()),0)+IFERROR(VLOOKUP(INDEX(' Toto teams'!$E$4:$E$119,MATCH($B79,' Toto teams'!$A$4:$A$119,0)),Scoring!$A$4:$N$51,4,FALSE()),0)+IFERROR(VLOOKUP(INDEX(' Toto teams'!$E$4:$E$119,MATCH($B79,' Toto teams'!$A$4:$A$119,0)),Scoring!$A$4:$N$51,5,FALSE()),0))+1*(IFERROR(VLOOKUP(INDEX(' Toto teams'!$F$4:$F$119,MATCH($B79,' Toto teams'!$A$4:$A$119,0)),Scoring!$A$4:$N$51,3,FALSE()),0)+IFERROR(VLOOKUP(INDEX(' Toto teams'!$F$4:$F$119,MATCH($B79,' Toto teams'!$A$4:$A$119,0)),Scoring!$A$4:$N$51,4,FALSE()),0)+IFERROR(VLOOKUP(INDEX(' Toto teams'!$F$4:$F$119,MATCH($B79,' Toto teams'!$A$4:$A$119,0)),Scoring!$A$4:$N$51,5,FALSE()),0))+1*(IFERROR(VLOOKUP(INDEX(' Toto teams'!$G$4:$G$119,MATCH($B79,' Toto teams'!$A$4:$A$119,0)),Scoring!$A$4:$N$51,3,FALSE()),0)+IFERROR(VLOOKUP(INDEX(' Toto teams'!$G$4:$G$119,MATCH($B79,' Toto teams'!$A$4:$A$119,0)),Scoring!$A$4:$N$51,4,FALSE()),0)+IFERROR(VLOOKUP(INDEX(' Toto teams'!$G$4:$G$119,MATCH($B79,' Toto teams'!$A$4:$A$119,0)),Scoring!$A$4:$N$51,5,FALSE()),0))+1*(IFERROR(VLOOKUP(INDEX(' Toto teams'!$H$4:$H$119,MATCH($B79,' Toto teams'!$A$4:$A$119,0)),Scoring!$A$4:$N$51,3,FALSE()),0)+IFERROR(VLOOKUP(INDEX(' Toto teams'!$H$4:$H$119,MATCH($B79,' Toto teams'!$A$4:$A$119,0)),Scoring!$A$4:$N$51,4,FALSE()),0)+IFERROR(VLOOKUP(INDEX(' Toto teams'!$H$4:$H$119,MATCH($B79,' Toto teams'!$A$4:$A$119,0)),Scoring!$A$4:$N$51,5,FALSE()),0))+IFERROR(INDEX(' Toto teams'!$Q$4:$Q$119,MATCH($B79,' Toto teams'!$A$4:$A$119,0))*1,0))</f>
        <v/>
      </c>
      <c r="D79" s="28">
        <f>IF($B79="","",6*IFERROR(VLOOKUP(INDEX(' Toto teams'!$B$4:$B$119,MATCH($B79,' Toto teams'!$A$4:$A$119,0)),Scoring!$A$4:$N$51,7,FALSE()),0)+4*IFERROR(VLOOKUP(INDEX(' Toto teams'!$C$4:$C$119,MATCH($B79,' Toto teams'!$A$4:$A$119,0)),Scoring!$A$4:$N$51,7,FALSE()),0)+3*IFERROR(VLOOKUP(INDEX(' Toto teams'!$D$4:$D$119,MATCH($B79,' Toto teams'!$A$4:$A$119,0)),Scoring!$A$4:$N$51,7,FALSE()),0)+2*IFERROR(VLOOKUP(INDEX(' Toto teams'!$E$4:$E$119,MATCH($B79,' Toto teams'!$A$4:$A$119,0)),Scoring!$A$4:$N$51,7,FALSE()),0)+1*IFERROR(VLOOKUP(INDEX(' Toto teams'!$F$4:$F$119,MATCH($B79,' Toto teams'!$A$4:$A$119,0)),Scoring!$A$4:$N$51,7,FALSE()),0)+1*IFERROR(VLOOKUP(INDEX(' Toto teams'!$G$4:$G$119,MATCH($B79,' Toto teams'!$A$4:$A$119,0)),Scoring!$A$4:$N$51,7,FALSE()),0)+1*IFERROR(VLOOKUP(INDEX(' Toto teams'!$H$4:$H$119,MATCH($B79,' Toto teams'!$A$4:$A$119,0)),Scoring!$A$4:$N$51,7,FALSE()),0))</f>
        <v/>
      </c>
      <c r="E79" s="28">
        <f>IF($B79="","",6*IFERROR(VLOOKUP(INDEX(' Toto teams'!$B$4:$B$119,MATCH($B79,' Toto teams'!$A$4:$A$119,0)),Scoring!$A$4:$N$51,8,FALSE()),0)+4*IFERROR(VLOOKUP(INDEX(' Toto teams'!$C$4:$C$119,MATCH($B79,' Toto teams'!$A$4:$A$119,0)),Scoring!$A$4:$N$51,8,FALSE()),0)+3*IFERROR(VLOOKUP(INDEX(' Toto teams'!$D$4:$D$119,MATCH($B79,' Toto teams'!$A$4:$A$119,0)),Scoring!$A$4:$N$51,8,FALSE()),0)+2*IFERROR(VLOOKUP(INDEX(' Toto teams'!$E$4:$E$119,MATCH($B79,' Toto teams'!$A$4:$A$119,0)),Scoring!$A$4:$N$51,8,FALSE()),0)+1*IFERROR(VLOOKUP(INDEX(' Toto teams'!$F$4:$F$119,MATCH($B79,' Toto teams'!$A$4:$A$119,0)),Scoring!$A$4:$N$51,8,FALSE()),0)+1*IFERROR(VLOOKUP(INDEX(' Toto teams'!$G$4:$G$119,MATCH($B79,' Toto teams'!$A$4:$A$119,0)),Scoring!$A$4:$N$51,8,FALSE()),0)+1*IFERROR(VLOOKUP(INDEX(' Toto teams'!$H$4:$H$119,MATCH($B79,' Toto teams'!$A$4:$A$119,0)),Scoring!$A$4:$N$51,8,FALSE()),0))</f>
        <v/>
      </c>
      <c r="F79" s="28">
        <f>IF($B79="","",6*IFERROR(VLOOKUP(INDEX(' Toto teams'!$B$4:$B$119,MATCH($B79,' Toto teams'!$A$4:$A$119,0)),Scoring!$A$4:$N$51,9,FALSE()),0)+4*IFERROR(VLOOKUP(INDEX(' Toto teams'!$C$4:$C$119,MATCH($B79,' Toto teams'!$A$4:$A$119,0)),Scoring!$A$4:$N$51,9,FALSE()),0)+3*IFERROR(VLOOKUP(INDEX(' Toto teams'!$D$4:$D$119,MATCH($B79,' Toto teams'!$A$4:$A$119,0)),Scoring!$A$4:$N$51,9,FALSE()),0)+2*IFERROR(VLOOKUP(INDEX(' Toto teams'!$E$4:$E$119,MATCH($B79,' Toto teams'!$A$4:$A$119,0)),Scoring!$A$4:$N$51,9,FALSE()),0)+1*IFERROR(VLOOKUP(INDEX(' Toto teams'!$F$4:$F$119,MATCH($B79,' Toto teams'!$A$4:$A$119,0)),Scoring!$A$4:$N$51,9,FALSE()),0)+1*IFERROR(VLOOKUP(INDEX(' Toto teams'!$G$4:$G$119,MATCH($B79,' Toto teams'!$A$4:$A$119,0)),Scoring!$A$4:$N$51,9,FALSE()),0)+1*IFERROR(VLOOKUP(INDEX(' Toto teams'!$H$4:$H$119,MATCH($B79,' Toto teams'!$A$4:$A$119,0)),Scoring!$A$4:$N$51,9,FALSE()),0))</f>
        <v/>
      </c>
      <c r="G79" s="28">
        <f>IF($B79="","",6*IFERROR(VLOOKUP(INDEX(' Toto teams'!$B$4:$B$119,MATCH($B79,' Toto teams'!$A$4:$A$119,0)),Scoring!$A$4:$N$51,10,FALSE()),0)+4*IFERROR(VLOOKUP(INDEX(' Toto teams'!$C$4:$C$119,MATCH($B79,' Toto teams'!$A$4:$A$119,0)),Scoring!$A$4:$N$51,10,FALSE()),0)+3*IFERROR(VLOOKUP(INDEX(' Toto teams'!$D$4:$D$119,MATCH($B79,' Toto teams'!$A$4:$A$119,0)),Scoring!$A$4:$N$51,10,FALSE()),0)+2*IFERROR(VLOOKUP(INDEX(' Toto teams'!$E$4:$E$119,MATCH($B79,' Toto teams'!$A$4:$A$119,0)),Scoring!$A$4:$N$51,10,FALSE()),0)+1*IFERROR(VLOOKUP(INDEX(' Toto teams'!$F$4:$F$119,MATCH($B79,' Toto teams'!$A$4:$A$119,0)),Scoring!$A$4:$N$51,10,FALSE()),0)+1*IFERROR(VLOOKUP(INDEX(' Toto teams'!$G$4:$G$119,MATCH($B79,' Toto teams'!$A$4:$A$119,0)),Scoring!$A$4:$N$51,10,FALSE()),0)+1*IFERROR(VLOOKUP(INDEX(' Toto teams'!$H$4:$H$119,MATCH($B79,' Toto teams'!$A$4:$A$119,0)),Scoring!$A$4:$N$51,10,FALSE()),0))</f>
        <v/>
      </c>
      <c r="H79" s="28">
        <f>IF($B79="","",6*IFERROR(VLOOKUP(INDEX(' Toto teams'!$B$4:$B$119,MATCH($B79,' Toto teams'!$A$4:$A$119,0)),Scoring!$A$4:$N$51,11,FALSE()),0)+4*IFERROR(VLOOKUP(INDEX(' Toto teams'!$C$4:$C$119,MATCH($B79,' Toto teams'!$A$4:$A$119,0)),Scoring!$A$4:$N$51,11,FALSE()),0)+3*IFERROR(VLOOKUP(INDEX(' Toto teams'!$D$4:$D$119,MATCH($B79,' Toto teams'!$A$4:$A$119,0)),Scoring!$A$4:$N$51,11,FALSE()),0)+2*IFERROR(VLOOKUP(INDEX(' Toto teams'!$E$4:$E$119,MATCH($B79,' Toto teams'!$A$4:$A$119,0)),Scoring!$A$4:$N$51,11,FALSE()),0)+1*IFERROR(VLOOKUP(INDEX(' Toto teams'!$F$4:$F$119,MATCH($B79,' Toto teams'!$A$4:$A$119,0)),Scoring!$A$4:$N$51,11,FALSE()),0)+1*IFERROR(VLOOKUP(INDEX(' Toto teams'!$G$4:$G$119,MATCH($B79,' Toto teams'!$A$4:$A$119,0)),Scoring!$A$4:$N$51,11,FALSE()),0)+1*IFERROR(VLOOKUP(INDEX(' Toto teams'!$H$4:$H$119,MATCH($B79,' Toto teams'!$A$4:$A$119,0)),Scoring!$A$4:$N$51,11,FALSE()),0))</f>
        <v/>
      </c>
      <c r="I79" s="28">
        <f>IF($B79="","",6*IFERROR(VLOOKUP(INDEX(' Toto teams'!$B$4:$B$119,MATCH($B79,' Toto teams'!$A$4:$A$119,0)),Scoring!$A$4:$O$51,15,FALSE()),0)+4*IFERROR(VLOOKUP(INDEX(' Toto teams'!$C$4:$C$119,MATCH($B79,' Toto teams'!$A$4:$A$119,0)),Scoring!$A$4:$O$51,15,FALSE()),0)+3*IFERROR(VLOOKUP(INDEX(' Toto teams'!$D$4:$D$119,MATCH($B79,' Toto teams'!$A$4:$A$119,0)),Scoring!$A$4:$O$51,15,FALSE()),0)+2*IFERROR(VLOOKUP(INDEX(' Toto teams'!$E$4:$E$119,MATCH($B79,' Toto teams'!$A$4:$A$119,0)),Scoring!$A$4:$O$51,15,FALSE()),0)+1*IFERROR(VLOOKUP(INDEX(' Toto teams'!$F$4:$F$119,MATCH($B79,' Toto teams'!$A$4:$A$119,0)),Scoring!$A$4:$O$51,15,FALSE()),0)+1*IFERROR(VLOOKUP(INDEX(' Toto teams'!$G$4:$G$119,MATCH($B79,' Toto teams'!$A$4:$A$119,0)),Scoring!$A$4:$O$51,15,FALSE()),0)+1*IFERROR(VLOOKUP(INDEX(' Toto teams'!$H$4:$H$119,MATCH($B79,' Toto teams'!$A$4:$A$119,0)),Scoring!$A$4:$O$51,15,FALSE()),0))</f>
        <v/>
      </c>
      <c r="J79" s="28">
        <f>IF($B79="","",6*IFERROR(VLOOKUP(INDEX(' Toto teams'!$B$4:$B$119,MATCH($B79,' Toto teams'!$A$4:$A$119,0)),Scoring!$A$4:$N$51,12,FALSE()),0)+4*IFERROR(VLOOKUP(INDEX(' Toto teams'!$C$4:$C$119,MATCH($B79,' Toto teams'!$A$4:$A$119,0)),Scoring!$A$4:$N$51,12,FALSE()),0)+3*IFERROR(VLOOKUP(INDEX(' Toto teams'!$D$4:$D$119,MATCH($B79,' Toto teams'!$A$4:$A$119,0)),Scoring!$A$4:$N$51,12,FALSE()),0)+2*IFERROR(VLOOKUP(INDEX(' Toto teams'!$E$4:$E$119,MATCH($B79,' Toto teams'!$A$4:$A$119,0)),Scoring!$A$4:$N$51,12,FALSE()),0)+1*IFERROR(VLOOKUP(INDEX(' Toto teams'!$F$4:$F$119,MATCH($B79,' Toto teams'!$A$4:$A$119,0)),Scoring!$A$4:$N$51,12,FALSE()),0)+1*IFERROR(VLOOKUP(INDEX(' Toto teams'!$G$4:$G$119,MATCH($B79,' Toto teams'!$A$4:$A$119,0)),Scoring!$A$4:$N$51,12,FALSE()),0)+1*IFERROR(VLOOKUP(INDEX(' Toto teams'!$H$4:$H$119,MATCH($B79,' Toto teams'!$A$4:$A$119,0)),Scoring!$A$4:$N$51,12,FALSE()),0))</f>
        <v/>
      </c>
      <c r="K79" s="29">
        <f>IF($B79="","",IFERROR(INDEX(' Toto teams'!$R$4:$R$119,MATCH($B79,' Toto teams'!$A$4:$A$119,0)),""))</f>
        <v/>
      </c>
      <c r="L79" s="30">
        <f>IFERROR(IF(B79="","",VLOOKUP(A79,$N$4:$R$12,5,FALSE())),0)</f>
        <v/>
      </c>
    </row>
    <row r="80" ht="12.75" customHeight="1">
      <c r="A80" s="26">
        <f>IF(77&gt;COUNTIF(' Toto teams'!$A$4:$A$119,"&lt;&gt;"),"",INDEX(' Toto teams'!$S$4:$S$119,MATCH(LARGE(' Toto teams'!$T$4:$T$119,77),' Toto teams'!$T$4:$T$119,0)))</f>
        <v/>
      </c>
      <c r="B80" s="27">
        <f>IF(77&gt;COUNTIF(' Toto teams'!$A$4:$A$119,"&lt;&gt;"),"",INDEX(' Toto teams'!$A$4:$A$119,MATCH(LARGE(' Toto teams'!$T$4:$T$119,77),' Toto teams'!$T$4:$T$119,0)))</f>
        <v/>
      </c>
      <c r="C80" s="28">
        <f>IF($B80="","",6*(IFERROR(VLOOKUP(INDEX(' Toto teams'!$B$4:$B$119,MATCH($B80,' Toto teams'!$A$4:$A$119,0)),Scoring!$A$4:$N$51,3,FALSE()),0)+IFERROR(VLOOKUP(INDEX(' Toto teams'!$B$4:$B$119,MATCH($B80,' Toto teams'!$A$4:$A$119,0)),Scoring!$A$4:$N$51,4,FALSE()),0)+IFERROR(VLOOKUP(INDEX(' Toto teams'!$B$4:$B$119,MATCH($B80,' Toto teams'!$A$4:$A$119,0)),Scoring!$A$4:$N$51,5,FALSE()),0))+4*(IFERROR(VLOOKUP(INDEX(' Toto teams'!$C$4:$C$119,MATCH($B80,' Toto teams'!$A$4:$A$119,0)),Scoring!$A$4:$N$51,3,FALSE()),0)+IFERROR(VLOOKUP(INDEX(' Toto teams'!$C$4:$C$119,MATCH($B80,' Toto teams'!$A$4:$A$119,0)),Scoring!$A$4:$N$51,4,FALSE()),0)+IFERROR(VLOOKUP(INDEX(' Toto teams'!$C$4:$C$119,MATCH($B80,' Toto teams'!$A$4:$A$119,0)),Scoring!$A$4:$N$51,5,FALSE()),0))+3*(IFERROR(VLOOKUP(INDEX(' Toto teams'!$D$4:$D$119,MATCH($B80,' Toto teams'!$A$4:$A$119,0)),Scoring!$A$4:$N$51,3,FALSE()),0)+IFERROR(VLOOKUP(INDEX(' Toto teams'!$D$4:$D$119,MATCH($B80,' Toto teams'!$A$4:$A$119,0)),Scoring!$A$4:$N$51,4,FALSE()),0)+IFERROR(VLOOKUP(INDEX(' Toto teams'!$D$4:$D$119,MATCH($B80,' Toto teams'!$A$4:$A$119,0)),Scoring!$A$4:$N$51,5,FALSE()),0))+2*(IFERROR(VLOOKUP(INDEX(' Toto teams'!$E$4:$E$119,MATCH($B80,' Toto teams'!$A$4:$A$119,0)),Scoring!$A$4:$N$51,3,FALSE()),0)+IFERROR(VLOOKUP(INDEX(' Toto teams'!$E$4:$E$119,MATCH($B80,' Toto teams'!$A$4:$A$119,0)),Scoring!$A$4:$N$51,4,FALSE()),0)+IFERROR(VLOOKUP(INDEX(' Toto teams'!$E$4:$E$119,MATCH($B80,' Toto teams'!$A$4:$A$119,0)),Scoring!$A$4:$N$51,5,FALSE()),0))+1*(IFERROR(VLOOKUP(INDEX(' Toto teams'!$F$4:$F$119,MATCH($B80,' Toto teams'!$A$4:$A$119,0)),Scoring!$A$4:$N$51,3,FALSE()),0)+IFERROR(VLOOKUP(INDEX(' Toto teams'!$F$4:$F$119,MATCH($B80,' Toto teams'!$A$4:$A$119,0)),Scoring!$A$4:$N$51,4,FALSE()),0)+IFERROR(VLOOKUP(INDEX(' Toto teams'!$F$4:$F$119,MATCH($B80,' Toto teams'!$A$4:$A$119,0)),Scoring!$A$4:$N$51,5,FALSE()),0))+1*(IFERROR(VLOOKUP(INDEX(' Toto teams'!$G$4:$G$119,MATCH($B80,' Toto teams'!$A$4:$A$119,0)),Scoring!$A$4:$N$51,3,FALSE()),0)+IFERROR(VLOOKUP(INDEX(' Toto teams'!$G$4:$G$119,MATCH($B80,' Toto teams'!$A$4:$A$119,0)),Scoring!$A$4:$N$51,4,FALSE()),0)+IFERROR(VLOOKUP(INDEX(' Toto teams'!$G$4:$G$119,MATCH($B80,' Toto teams'!$A$4:$A$119,0)),Scoring!$A$4:$N$51,5,FALSE()),0))+1*(IFERROR(VLOOKUP(INDEX(' Toto teams'!$H$4:$H$119,MATCH($B80,' Toto teams'!$A$4:$A$119,0)),Scoring!$A$4:$N$51,3,FALSE()),0)+IFERROR(VLOOKUP(INDEX(' Toto teams'!$H$4:$H$119,MATCH($B80,' Toto teams'!$A$4:$A$119,0)),Scoring!$A$4:$N$51,4,FALSE()),0)+IFERROR(VLOOKUP(INDEX(' Toto teams'!$H$4:$H$119,MATCH($B80,' Toto teams'!$A$4:$A$119,0)),Scoring!$A$4:$N$51,5,FALSE()),0))+IFERROR(INDEX(' Toto teams'!$Q$4:$Q$119,MATCH($B80,' Toto teams'!$A$4:$A$119,0))*1,0))</f>
        <v/>
      </c>
      <c r="D80" s="28">
        <f>IF($B80="","",6*IFERROR(VLOOKUP(INDEX(' Toto teams'!$B$4:$B$119,MATCH($B80,' Toto teams'!$A$4:$A$119,0)),Scoring!$A$4:$N$51,7,FALSE()),0)+4*IFERROR(VLOOKUP(INDEX(' Toto teams'!$C$4:$C$119,MATCH($B80,' Toto teams'!$A$4:$A$119,0)),Scoring!$A$4:$N$51,7,FALSE()),0)+3*IFERROR(VLOOKUP(INDEX(' Toto teams'!$D$4:$D$119,MATCH($B80,' Toto teams'!$A$4:$A$119,0)),Scoring!$A$4:$N$51,7,FALSE()),0)+2*IFERROR(VLOOKUP(INDEX(' Toto teams'!$E$4:$E$119,MATCH($B80,' Toto teams'!$A$4:$A$119,0)),Scoring!$A$4:$N$51,7,FALSE()),0)+1*IFERROR(VLOOKUP(INDEX(' Toto teams'!$F$4:$F$119,MATCH($B80,' Toto teams'!$A$4:$A$119,0)),Scoring!$A$4:$N$51,7,FALSE()),0)+1*IFERROR(VLOOKUP(INDEX(' Toto teams'!$G$4:$G$119,MATCH($B80,' Toto teams'!$A$4:$A$119,0)),Scoring!$A$4:$N$51,7,FALSE()),0)+1*IFERROR(VLOOKUP(INDEX(' Toto teams'!$H$4:$H$119,MATCH($B80,' Toto teams'!$A$4:$A$119,0)),Scoring!$A$4:$N$51,7,FALSE()),0))</f>
        <v/>
      </c>
      <c r="E80" s="28">
        <f>IF($B80="","",6*IFERROR(VLOOKUP(INDEX(' Toto teams'!$B$4:$B$119,MATCH($B80,' Toto teams'!$A$4:$A$119,0)),Scoring!$A$4:$N$51,8,FALSE()),0)+4*IFERROR(VLOOKUP(INDEX(' Toto teams'!$C$4:$C$119,MATCH($B80,' Toto teams'!$A$4:$A$119,0)),Scoring!$A$4:$N$51,8,FALSE()),0)+3*IFERROR(VLOOKUP(INDEX(' Toto teams'!$D$4:$D$119,MATCH($B80,' Toto teams'!$A$4:$A$119,0)),Scoring!$A$4:$N$51,8,FALSE()),0)+2*IFERROR(VLOOKUP(INDEX(' Toto teams'!$E$4:$E$119,MATCH($B80,' Toto teams'!$A$4:$A$119,0)),Scoring!$A$4:$N$51,8,FALSE()),0)+1*IFERROR(VLOOKUP(INDEX(' Toto teams'!$F$4:$F$119,MATCH($B80,' Toto teams'!$A$4:$A$119,0)),Scoring!$A$4:$N$51,8,FALSE()),0)+1*IFERROR(VLOOKUP(INDEX(' Toto teams'!$G$4:$G$119,MATCH($B80,' Toto teams'!$A$4:$A$119,0)),Scoring!$A$4:$N$51,8,FALSE()),0)+1*IFERROR(VLOOKUP(INDEX(' Toto teams'!$H$4:$H$119,MATCH($B80,' Toto teams'!$A$4:$A$119,0)),Scoring!$A$4:$N$51,8,FALSE()),0))</f>
        <v/>
      </c>
      <c r="F80" s="28">
        <f>IF($B80="","",6*IFERROR(VLOOKUP(INDEX(' Toto teams'!$B$4:$B$119,MATCH($B80,' Toto teams'!$A$4:$A$119,0)),Scoring!$A$4:$N$51,9,FALSE()),0)+4*IFERROR(VLOOKUP(INDEX(' Toto teams'!$C$4:$C$119,MATCH($B80,' Toto teams'!$A$4:$A$119,0)),Scoring!$A$4:$N$51,9,FALSE()),0)+3*IFERROR(VLOOKUP(INDEX(' Toto teams'!$D$4:$D$119,MATCH($B80,' Toto teams'!$A$4:$A$119,0)),Scoring!$A$4:$N$51,9,FALSE()),0)+2*IFERROR(VLOOKUP(INDEX(' Toto teams'!$E$4:$E$119,MATCH($B80,' Toto teams'!$A$4:$A$119,0)),Scoring!$A$4:$N$51,9,FALSE()),0)+1*IFERROR(VLOOKUP(INDEX(' Toto teams'!$F$4:$F$119,MATCH($B80,' Toto teams'!$A$4:$A$119,0)),Scoring!$A$4:$N$51,9,FALSE()),0)+1*IFERROR(VLOOKUP(INDEX(' Toto teams'!$G$4:$G$119,MATCH($B80,' Toto teams'!$A$4:$A$119,0)),Scoring!$A$4:$N$51,9,FALSE()),0)+1*IFERROR(VLOOKUP(INDEX(' Toto teams'!$H$4:$H$119,MATCH($B80,' Toto teams'!$A$4:$A$119,0)),Scoring!$A$4:$N$51,9,FALSE()),0))</f>
        <v/>
      </c>
      <c r="G80" s="28">
        <f>IF($B80="","",6*IFERROR(VLOOKUP(INDEX(' Toto teams'!$B$4:$B$119,MATCH($B80,' Toto teams'!$A$4:$A$119,0)),Scoring!$A$4:$N$51,10,FALSE()),0)+4*IFERROR(VLOOKUP(INDEX(' Toto teams'!$C$4:$C$119,MATCH($B80,' Toto teams'!$A$4:$A$119,0)),Scoring!$A$4:$N$51,10,FALSE()),0)+3*IFERROR(VLOOKUP(INDEX(' Toto teams'!$D$4:$D$119,MATCH($B80,' Toto teams'!$A$4:$A$119,0)),Scoring!$A$4:$N$51,10,FALSE()),0)+2*IFERROR(VLOOKUP(INDEX(' Toto teams'!$E$4:$E$119,MATCH($B80,' Toto teams'!$A$4:$A$119,0)),Scoring!$A$4:$N$51,10,FALSE()),0)+1*IFERROR(VLOOKUP(INDEX(' Toto teams'!$F$4:$F$119,MATCH($B80,' Toto teams'!$A$4:$A$119,0)),Scoring!$A$4:$N$51,10,FALSE()),0)+1*IFERROR(VLOOKUP(INDEX(' Toto teams'!$G$4:$G$119,MATCH($B80,' Toto teams'!$A$4:$A$119,0)),Scoring!$A$4:$N$51,10,FALSE()),0)+1*IFERROR(VLOOKUP(INDEX(' Toto teams'!$H$4:$H$119,MATCH($B80,' Toto teams'!$A$4:$A$119,0)),Scoring!$A$4:$N$51,10,FALSE()),0))</f>
        <v/>
      </c>
      <c r="H80" s="28">
        <f>IF($B80="","",6*IFERROR(VLOOKUP(INDEX(' Toto teams'!$B$4:$B$119,MATCH($B80,' Toto teams'!$A$4:$A$119,0)),Scoring!$A$4:$N$51,11,FALSE()),0)+4*IFERROR(VLOOKUP(INDEX(' Toto teams'!$C$4:$C$119,MATCH($B80,' Toto teams'!$A$4:$A$119,0)),Scoring!$A$4:$N$51,11,FALSE()),0)+3*IFERROR(VLOOKUP(INDEX(' Toto teams'!$D$4:$D$119,MATCH($B80,' Toto teams'!$A$4:$A$119,0)),Scoring!$A$4:$N$51,11,FALSE()),0)+2*IFERROR(VLOOKUP(INDEX(' Toto teams'!$E$4:$E$119,MATCH($B80,' Toto teams'!$A$4:$A$119,0)),Scoring!$A$4:$N$51,11,FALSE()),0)+1*IFERROR(VLOOKUP(INDEX(' Toto teams'!$F$4:$F$119,MATCH($B80,' Toto teams'!$A$4:$A$119,0)),Scoring!$A$4:$N$51,11,FALSE()),0)+1*IFERROR(VLOOKUP(INDEX(' Toto teams'!$G$4:$G$119,MATCH($B80,' Toto teams'!$A$4:$A$119,0)),Scoring!$A$4:$N$51,11,FALSE()),0)+1*IFERROR(VLOOKUP(INDEX(' Toto teams'!$H$4:$H$119,MATCH($B80,' Toto teams'!$A$4:$A$119,0)),Scoring!$A$4:$N$51,11,FALSE()),0))</f>
        <v/>
      </c>
      <c r="I80" s="28">
        <f>IF($B80="","",6*IFERROR(VLOOKUP(INDEX(' Toto teams'!$B$4:$B$119,MATCH($B80,' Toto teams'!$A$4:$A$119,0)),Scoring!$A$4:$O$51,15,FALSE()),0)+4*IFERROR(VLOOKUP(INDEX(' Toto teams'!$C$4:$C$119,MATCH($B80,' Toto teams'!$A$4:$A$119,0)),Scoring!$A$4:$O$51,15,FALSE()),0)+3*IFERROR(VLOOKUP(INDEX(' Toto teams'!$D$4:$D$119,MATCH($B80,' Toto teams'!$A$4:$A$119,0)),Scoring!$A$4:$O$51,15,FALSE()),0)+2*IFERROR(VLOOKUP(INDEX(' Toto teams'!$E$4:$E$119,MATCH($B80,' Toto teams'!$A$4:$A$119,0)),Scoring!$A$4:$O$51,15,FALSE()),0)+1*IFERROR(VLOOKUP(INDEX(' Toto teams'!$F$4:$F$119,MATCH($B80,' Toto teams'!$A$4:$A$119,0)),Scoring!$A$4:$O$51,15,FALSE()),0)+1*IFERROR(VLOOKUP(INDEX(' Toto teams'!$G$4:$G$119,MATCH($B80,' Toto teams'!$A$4:$A$119,0)),Scoring!$A$4:$O$51,15,FALSE()),0)+1*IFERROR(VLOOKUP(INDEX(' Toto teams'!$H$4:$H$119,MATCH($B80,' Toto teams'!$A$4:$A$119,0)),Scoring!$A$4:$O$51,15,FALSE()),0))</f>
        <v/>
      </c>
      <c r="J80" s="28">
        <f>IF($B80="","",6*IFERROR(VLOOKUP(INDEX(' Toto teams'!$B$4:$B$119,MATCH($B80,' Toto teams'!$A$4:$A$119,0)),Scoring!$A$4:$N$51,12,FALSE()),0)+4*IFERROR(VLOOKUP(INDEX(' Toto teams'!$C$4:$C$119,MATCH($B80,' Toto teams'!$A$4:$A$119,0)),Scoring!$A$4:$N$51,12,FALSE()),0)+3*IFERROR(VLOOKUP(INDEX(' Toto teams'!$D$4:$D$119,MATCH($B80,' Toto teams'!$A$4:$A$119,0)),Scoring!$A$4:$N$51,12,FALSE()),0)+2*IFERROR(VLOOKUP(INDEX(' Toto teams'!$E$4:$E$119,MATCH($B80,' Toto teams'!$A$4:$A$119,0)),Scoring!$A$4:$N$51,12,FALSE()),0)+1*IFERROR(VLOOKUP(INDEX(' Toto teams'!$F$4:$F$119,MATCH($B80,' Toto teams'!$A$4:$A$119,0)),Scoring!$A$4:$N$51,12,FALSE()),0)+1*IFERROR(VLOOKUP(INDEX(' Toto teams'!$G$4:$G$119,MATCH($B80,' Toto teams'!$A$4:$A$119,0)),Scoring!$A$4:$N$51,12,FALSE()),0)+1*IFERROR(VLOOKUP(INDEX(' Toto teams'!$H$4:$H$119,MATCH($B80,' Toto teams'!$A$4:$A$119,0)),Scoring!$A$4:$N$51,12,FALSE()),0))</f>
        <v/>
      </c>
      <c r="K80" s="29">
        <f>IF($B80="","",IFERROR(INDEX(' Toto teams'!$R$4:$R$119,MATCH($B80,' Toto teams'!$A$4:$A$119,0)),""))</f>
        <v/>
      </c>
      <c r="L80" s="30">
        <f>IFERROR(IF(B80="","",VLOOKUP(A80,$N$4:$R$12,5,FALSE())),0)</f>
        <v/>
      </c>
    </row>
    <row r="81" ht="12.75" customHeight="1">
      <c r="A81" s="26">
        <f>IF(78&gt;COUNTIF(' Toto teams'!$A$4:$A$119,"&lt;&gt;"),"",INDEX(' Toto teams'!$S$4:$S$119,MATCH(LARGE(' Toto teams'!$T$4:$T$119,78),' Toto teams'!$T$4:$T$119,0)))</f>
        <v/>
      </c>
      <c r="B81" s="27">
        <f>IF(78&gt;COUNTIF(' Toto teams'!$A$4:$A$119,"&lt;&gt;"),"",INDEX(' Toto teams'!$A$4:$A$119,MATCH(LARGE(' Toto teams'!$T$4:$T$119,78),' Toto teams'!$T$4:$T$119,0)))</f>
        <v/>
      </c>
      <c r="C81" s="28">
        <f>IF($B81="","",6*(IFERROR(VLOOKUP(INDEX(' Toto teams'!$B$4:$B$119,MATCH($B81,' Toto teams'!$A$4:$A$119,0)),Scoring!$A$4:$N$51,3,FALSE()),0)+IFERROR(VLOOKUP(INDEX(' Toto teams'!$B$4:$B$119,MATCH($B81,' Toto teams'!$A$4:$A$119,0)),Scoring!$A$4:$N$51,4,FALSE()),0)+IFERROR(VLOOKUP(INDEX(' Toto teams'!$B$4:$B$119,MATCH($B81,' Toto teams'!$A$4:$A$119,0)),Scoring!$A$4:$N$51,5,FALSE()),0))+4*(IFERROR(VLOOKUP(INDEX(' Toto teams'!$C$4:$C$119,MATCH($B81,' Toto teams'!$A$4:$A$119,0)),Scoring!$A$4:$N$51,3,FALSE()),0)+IFERROR(VLOOKUP(INDEX(' Toto teams'!$C$4:$C$119,MATCH($B81,' Toto teams'!$A$4:$A$119,0)),Scoring!$A$4:$N$51,4,FALSE()),0)+IFERROR(VLOOKUP(INDEX(' Toto teams'!$C$4:$C$119,MATCH($B81,' Toto teams'!$A$4:$A$119,0)),Scoring!$A$4:$N$51,5,FALSE()),0))+3*(IFERROR(VLOOKUP(INDEX(' Toto teams'!$D$4:$D$119,MATCH($B81,' Toto teams'!$A$4:$A$119,0)),Scoring!$A$4:$N$51,3,FALSE()),0)+IFERROR(VLOOKUP(INDEX(' Toto teams'!$D$4:$D$119,MATCH($B81,' Toto teams'!$A$4:$A$119,0)),Scoring!$A$4:$N$51,4,FALSE()),0)+IFERROR(VLOOKUP(INDEX(' Toto teams'!$D$4:$D$119,MATCH($B81,' Toto teams'!$A$4:$A$119,0)),Scoring!$A$4:$N$51,5,FALSE()),0))+2*(IFERROR(VLOOKUP(INDEX(' Toto teams'!$E$4:$E$119,MATCH($B81,' Toto teams'!$A$4:$A$119,0)),Scoring!$A$4:$N$51,3,FALSE()),0)+IFERROR(VLOOKUP(INDEX(' Toto teams'!$E$4:$E$119,MATCH($B81,' Toto teams'!$A$4:$A$119,0)),Scoring!$A$4:$N$51,4,FALSE()),0)+IFERROR(VLOOKUP(INDEX(' Toto teams'!$E$4:$E$119,MATCH($B81,' Toto teams'!$A$4:$A$119,0)),Scoring!$A$4:$N$51,5,FALSE()),0))+1*(IFERROR(VLOOKUP(INDEX(' Toto teams'!$F$4:$F$119,MATCH($B81,' Toto teams'!$A$4:$A$119,0)),Scoring!$A$4:$N$51,3,FALSE()),0)+IFERROR(VLOOKUP(INDEX(' Toto teams'!$F$4:$F$119,MATCH($B81,' Toto teams'!$A$4:$A$119,0)),Scoring!$A$4:$N$51,4,FALSE()),0)+IFERROR(VLOOKUP(INDEX(' Toto teams'!$F$4:$F$119,MATCH($B81,' Toto teams'!$A$4:$A$119,0)),Scoring!$A$4:$N$51,5,FALSE()),0))+1*(IFERROR(VLOOKUP(INDEX(' Toto teams'!$G$4:$G$119,MATCH($B81,' Toto teams'!$A$4:$A$119,0)),Scoring!$A$4:$N$51,3,FALSE()),0)+IFERROR(VLOOKUP(INDEX(' Toto teams'!$G$4:$G$119,MATCH($B81,' Toto teams'!$A$4:$A$119,0)),Scoring!$A$4:$N$51,4,FALSE()),0)+IFERROR(VLOOKUP(INDEX(' Toto teams'!$G$4:$G$119,MATCH($B81,' Toto teams'!$A$4:$A$119,0)),Scoring!$A$4:$N$51,5,FALSE()),0))+1*(IFERROR(VLOOKUP(INDEX(' Toto teams'!$H$4:$H$119,MATCH($B81,' Toto teams'!$A$4:$A$119,0)),Scoring!$A$4:$N$51,3,FALSE()),0)+IFERROR(VLOOKUP(INDEX(' Toto teams'!$H$4:$H$119,MATCH($B81,' Toto teams'!$A$4:$A$119,0)),Scoring!$A$4:$N$51,4,FALSE()),0)+IFERROR(VLOOKUP(INDEX(' Toto teams'!$H$4:$H$119,MATCH($B81,' Toto teams'!$A$4:$A$119,0)),Scoring!$A$4:$N$51,5,FALSE()),0))+IFERROR(INDEX(' Toto teams'!$Q$4:$Q$119,MATCH($B81,' Toto teams'!$A$4:$A$119,0))*1,0))</f>
        <v/>
      </c>
      <c r="D81" s="28">
        <f>IF($B81="","",6*IFERROR(VLOOKUP(INDEX(' Toto teams'!$B$4:$B$119,MATCH($B81,' Toto teams'!$A$4:$A$119,0)),Scoring!$A$4:$N$51,7,FALSE()),0)+4*IFERROR(VLOOKUP(INDEX(' Toto teams'!$C$4:$C$119,MATCH($B81,' Toto teams'!$A$4:$A$119,0)),Scoring!$A$4:$N$51,7,FALSE()),0)+3*IFERROR(VLOOKUP(INDEX(' Toto teams'!$D$4:$D$119,MATCH($B81,' Toto teams'!$A$4:$A$119,0)),Scoring!$A$4:$N$51,7,FALSE()),0)+2*IFERROR(VLOOKUP(INDEX(' Toto teams'!$E$4:$E$119,MATCH($B81,' Toto teams'!$A$4:$A$119,0)),Scoring!$A$4:$N$51,7,FALSE()),0)+1*IFERROR(VLOOKUP(INDEX(' Toto teams'!$F$4:$F$119,MATCH($B81,' Toto teams'!$A$4:$A$119,0)),Scoring!$A$4:$N$51,7,FALSE()),0)+1*IFERROR(VLOOKUP(INDEX(' Toto teams'!$G$4:$G$119,MATCH($B81,' Toto teams'!$A$4:$A$119,0)),Scoring!$A$4:$N$51,7,FALSE()),0)+1*IFERROR(VLOOKUP(INDEX(' Toto teams'!$H$4:$H$119,MATCH($B81,' Toto teams'!$A$4:$A$119,0)),Scoring!$A$4:$N$51,7,FALSE()),0))</f>
        <v/>
      </c>
      <c r="E81" s="28">
        <f>IF($B81="","",6*IFERROR(VLOOKUP(INDEX(' Toto teams'!$B$4:$B$119,MATCH($B81,' Toto teams'!$A$4:$A$119,0)),Scoring!$A$4:$N$51,8,FALSE()),0)+4*IFERROR(VLOOKUP(INDEX(' Toto teams'!$C$4:$C$119,MATCH($B81,' Toto teams'!$A$4:$A$119,0)),Scoring!$A$4:$N$51,8,FALSE()),0)+3*IFERROR(VLOOKUP(INDEX(' Toto teams'!$D$4:$D$119,MATCH($B81,' Toto teams'!$A$4:$A$119,0)),Scoring!$A$4:$N$51,8,FALSE()),0)+2*IFERROR(VLOOKUP(INDEX(' Toto teams'!$E$4:$E$119,MATCH($B81,' Toto teams'!$A$4:$A$119,0)),Scoring!$A$4:$N$51,8,FALSE()),0)+1*IFERROR(VLOOKUP(INDEX(' Toto teams'!$F$4:$F$119,MATCH($B81,' Toto teams'!$A$4:$A$119,0)),Scoring!$A$4:$N$51,8,FALSE()),0)+1*IFERROR(VLOOKUP(INDEX(' Toto teams'!$G$4:$G$119,MATCH($B81,' Toto teams'!$A$4:$A$119,0)),Scoring!$A$4:$N$51,8,FALSE()),0)+1*IFERROR(VLOOKUP(INDEX(' Toto teams'!$H$4:$H$119,MATCH($B81,' Toto teams'!$A$4:$A$119,0)),Scoring!$A$4:$N$51,8,FALSE()),0))</f>
        <v/>
      </c>
      <c r="F81" s="28">
        <f>IF($B81="","",6*IFERROR(VLOOKUP(INDEX(' Toto teams'!$B$4:$B$119,MATCH($B81,' Toto teams'!$A$4:$A$119,0)),Scoring!$A$4:$N$51,9,FALSE()),0)+4*IFERROR(VLOOKUP(INDEX(' Toto teams'!$C$4:$C$119,MATCH($B81,' Toto teams'!$A$4:$A$119,0)),Scoring!$A$4:$N$51,9,FALSE()),0)+3*IFERROR(VLOOKUP(INDEX(' Toto teams'!$D$4:$D$119,MATCH($B81,' Toto teams'!$A$4:$A$119,0)),Scoring!$A$4:$N$51,9,FALSE()),0)+2*IFERROR(VLOOKUP(INDEX(' Toto teams'!$E$4:$E$119,MATCH($B81,' Toto teams'!$A$4:$A$119,0)),Scoring!$A$4:$N$51,9,FALSE()),0)+1*IFERROR(VLOOKUP(INDEX(' Toto teams'!$F$4:$F$119,MATCH($B81,' Toto teams'!$A$4:$A$119,0)),Scoring!$A$4:$N$51,9,FALSE()),0)+1*IFERROR(VLOOKUP(INDEX(' Toto teams'!$G$4:$G$119,MATCH($B81,' Toto teams'!$A$4:$A$119,0)),Scoring!$A$4:$N$51,9,FALSE()),0)+1*IFERROR(VLOOKUP(INDEX(' Toto teams'!$H$4:$H$119,MATCH($B81,' Toto teams'!$A$4:$A$119,0)),Scoring!$A$4:$N$51,9,FALSE()),0))</f>
        <v/>
      </c>
      <c r="G81" s="28">
        <f>IF($B81="","",6*IFERROR(VLOOKUP(INDEX(' Toto teams'!$B$4:$B$119,MATCH($B81,' Toto teams'!$A$4:$A$119,0)),Scoring!$A$4:$N$51,10,FALSE()),0)+4*IFERROR(VLOOKUP(INDEX(' Toto teams'!$C$4:$C$119,MATCH($B81,' Toto teams'!$A$4:$A$119,0)),Scoring!$A$4:$N$51,10,FALSE()),0)+3*IFERROR(VLOOKUP(INDEX(' Toto teams'!$D$4:$D$119,MATCH($B81,' Toto teams'!$A$4:$A$119,0)),Scoring!$A$4:$N$51,10,FALSE()),0)+2*IFERROR(VLOOKUP(INDEX(' Toto teams'!$E$4:$E$119,MATCH($B81,' Toto teams'!$A$4:$A$119,0)),Scoring!$A$4:$N$51,10,FALSE()),0)+1*IFERROR(VLOOKUP(INDEX(' Toto teams'!$F$4:$F$119,MATCH($B81,' Toto teams'!$A$4:$A$119,0)),Scoring!$A$4:$N$51,10,FALSE()),0)+1*IFERROR(VLOOKUP(INDEX(' Toto teams'!$G$4:$G$119,MATCH($B81,' Toto teams'!$A$4:$A$119,0)),Scoring!$A$4:$N$51,10,FALSE()),0)+1*IFERROR(VLOOKUP(INDEX(' Toto teams'!$H$4:$H$119,MATCH($B81,' Toto teams'!$A$4:$A$119,0)),Scoring!$A$4:$N$51,10,FALSE()),0))</f>
        <v/>
      </c>
      <c r="H81" s="28">
        <f>IF($B81="","",6*IFERROR(VLOOKUP(INDEX(' Toto teams'!$B$4:$B$119,MATCH($B81,' Toto teams'!$A$4:$A$119,0)),Scoring!$A$4:$N$51,11,FALSE()),0)+4*IFERROR(VLOOKUP(INDEX(' Toto teams'!$C$4:$C$119,MATCH($B81,' Toto teams'!$A$4:$A$119,0)),Scoring!$A$4:$N$51,11,FALSE()),0)+3*IFERROR(VLOOKUP(INDEX(' Toto teams'!$D$4:$D$119,MATCH($B81,' Toto teams'!$A$4:$A$119,0)),Scoring!$A$4:$N$51,11,FALSE()),0)+2*IFERROR(VLOOKUP(INDEX(' Toto teams'!$E$4:$E$119,MATCH($B81,' Toto teams'!$A$4:$A$119,0)),Scoring!$A$4:$N$51,11,FALSE()),0)+1*IFERROR(VLOOKUP(INDEX(' Toto teams'!$F$4:$F$119,MATCH($B81,' Toto teams'!$A$4:$A$119,0)),Scoring!$A$4:$N$51,11,FALSE()),0)+1*IFERROR(VLOOKUP(INDEX(' Toto teams'!$G$4:$G$119,MATCH($B81,' Toto teams'!$A$4:$A$119,0)),Scoring!$A$4:$N$51,11,FALSE()),0)+1*IFERROR(VLOOKUP(INDEX(' Toto teams'!$H$4:$H$119,MATCH($B81,' Toto teams'!$A$4:$A$119,0)),Scoring!$A$4:$N$51,11,FALSE()),0))</f>
        <v/>
      </c>
      <c r="I81" s="28">
        <f>IF($B81="","",6*IFERROR(VLOOKUP(INDEX(' Toto teams'!$B$4:$B$119,MATCH($B81,' Toto teams'!$A$4:$A$119,0)),Scoring!$A$4:$O$51,15,FALSE()),0)+4*IFERROR(VLOOKUP(INDEX(' Toto teams'!$C$4:$C$119,MATCH($B81,' Toto teams'!$A$4:$A$119,0)),Scoring!$A$4:$O$51,15,FALSE()),0)+3*IFERROR(VLOOKUP(INDEX(' Toto teams'!$D$4:$D$119,MATCH($B81,' Toto teams'!$A$4:$A$119,0)),Scoring!$A$4:$O$51,15,FALSE()),0)+2*IFERROR(VLOOKUP(INDEX(' Toto teams'!$E$4:$E$119,MATCH($B81,' Toto teams'!$A$4:$A$119,0)),Scoring!$A$4:$O$51,15,FALSE()),0)+1*IFERROR(VLOOKUP(INDEX(' Toto teams'!$F$4:$F$119,MATCH($B81,' Toto teams'!$A$4:$A$119,0)),Scoring!$A$4:$O$51,15,FALSE()),0)+1*IFERROR(VLOOKUP(INDEX(' Toto teams'!$G$4:$G$119,MATCH($B81,' Toto teams'!$A$4:$A$119,0)),Scoring!$A$4:$O$51,15,FALSE()),0)+1*IFERROR(VLOOKUP(INDEX(' Toto teams'!$H$4:$H$119,MATCH($B81,' Toto teams'!$A$4:$A$119,0)),Scoring!$A$4:$O$51,15,FALSE()),0))</f>
        <v/>
      </c>
      <c r="J81" s="28">
        <f>IF($B81="","",6*IFERROR(VLOOKUP(INDEX(' Toto teams'!$B$4:$B$119,MATCH($B81,' Toto teams'!$A$4:$A$119,0)),Scoring!$A$4:$N$51,12,FALSE()),0)+4*IFERROR(VLOOKUP(INDEX(' Toto teams'!$C$4:$C$119,MATCH($B81,' Toto teams'!$A$4:$A$119,0)),Scoring!$A$4:$N$51,12,FALSE()),0)+3*IFERROR(VLOOKUP(INDEX(' Toto teams'!$D$4:$D$119,MATCH($B81,' Toto teams'!$A$4:$A$119,0)),Scoring!$A$4:$N$51,12,FALSE()),0)+2*IFERROR(VLOOKUP(INDEX(' Toto teams'!$E$4:$E$119,MATCH($B81,' Toto teams'!$A$4:$A$119,0)),Scoring!$A$4:$N$51,12,FALSE()),0)+1*IFERROR(VLOOKUP(INDEX(' Toto teams'!$F$4:$F$119,MATCH($B81,' Toto teams'!$A$4:$A$119,0)),Scoring!$A$4:$N$51,12,FALSE()),0)+1*IFERROR(VLOOKUP(INDEX(' Toto teams'!$G$4:$G$119,MATCH($B81,' Toto teams'!$A$4:$A$119,0)),Scoring!$A$4:$N$51,12,FALSE()),0)+1*IFERROR(VLOOKUP(INDEX(' Toto teams'!$H$4:$H$119,MATCH($B81,' Toto teams'!$A$4:$A$119,0)),Scoring!$A$4:$N$51,12,FALSE()),0))</f>
        <v/>
      </c>
      <c r="K81" s="29">
        <f>IF($B81="","",IFERROR(INDEX(' Toto teams'!$R$4:$R$119,MATCH($B81,' Toto teams'!$A$4:$A$119,0)),""))</f>
        <v/>
      </c>
      <c r="L81" s="30">
        <f>IFERROR(IF(B81="","",VLOOKUP(A81,$N$4:$R$12,5,FALSE())),0)</f>
        <v/>
      </c>
    </row>
    <row r="82" ht="12.75" customHeight="1">
      <c r="A82" s="26">
        <f>IF(79&gt;COUNTIF(' Toto teams'!$A$4:$A$119,"&lt;&gt;"),"",INDEX(' Toto teams'!$S$4:$S$119,MATCH(LARGE(' Toto teams'!$T$4:$T$119,79),' Toto teams'!$T$4:$T$119,0)))</f>
        <v/>
      </c>
      <c r="B82" s="27">
        <f>IF(79&gt;COUNTIF(' Toto teams'!$A$4:$A$119,"&lt;&gt;"),"",INDEX(' Toto teams'!$A$4:$A$119,MATCH(LARGE(' Toto teams'!$T$4:$T$119,79),' Toto teams'!$T$4:$T$119,0)))</f>
        <v/>
      </c>
      <c r="C82" s="28">
        <f>IF($B82="","",6*(IFERROR(VLOOKUP(INDEX(' Toto teams'!$B$4:$B$119,MATCH($B82,' Toto teams'!$A$4:$A$119,0)),Scoring!$A$4:$N$51,3,FALSE()),0)+IFERROR(VLOOKUP(INDEX(' Toto teams'!$B$4:$B$119,MATCH($B82,' Toto teams'!$A$4:$A$119,0)),Scoring!$A$4:$N$51,4,FALSE()),0)+IFERROR(VLOOKUP(INDEX(' Toto teams'!$B$4:$B$119,MATCH($B82,' Toto teams'!$A$4:$A$119,0)),Scoring!$A$4:$N$51,5,FALSE()),0))+4*(IFERROR(VLOOKUP(INDEX(' Toto teams'!$C$4:$C$119,MATCH($B82,' Toto teams'!$A$4:$A$119,0)),Scoring!$A$4:$N$51,3,FALSE()),0)+IFERROR(VLOOKUP(INDEX(' Toto teams'!$C$4:$C$119,MATCH($B82,' Toto teams'!$A$4:$A$119,0)),Scoring!$A$4:$N$51,4,FALSE()),0)+IFERROR(VLOOKUP(INDEX(' Toto teams'!$C$4:$C$119,MATCH($B82,' Toto teams'!$A$4:$A$119,0)),Scoring!$A$4:$N$51,5,FALSE()),0))+3*(IFERROR(VLOOKUP(INDEX(' Toto teams'!$D$4:$D$119,MATCH($B82,' Toto teams'!$A$4:$A$119,0)),Scoring!$A$4:$N$51,3,FALSE()),0)+IFERROR(VLOOKUP(INDEX(' Toto teams'!$D$4:$D$119,MATCH($B82,' Toto teams'!$A$4:$A$119,0)),Scoring!$A$4:$N$51,4,FALSE()),0)+IFERROR(VLOOKUP(INDEX(' Toto teams'!$D$4:$D$119,MATCH($B82,' Toto teams'!$A$4:$A$119,0)),Scoring!$A$4:$N$51,5,FALSE()),0))+2*(IFERROR(VLOOKUP(INDEX(' Toto teams'!$E$4:$E$119,MATCH($B82,' Toto teams'!$A$4:$A$119,0)),Scoring!$A$4:$N$51,3,FALSE()),0)+IFERROR(VLOOKUP(INDEX(' Toto teams'!$E$4:$E$119,MATCH($B82,' Toto teams'!$A$4:$A$119,0)),Scoring!$A$4:$N$51,4,FALSE()),0)+IFERROR(VLOOKUP(INDEX(' Toto teams'!$E$4:$E$119,MATCH($B82,' Toto teams'!$A$4:$A$119,0)),Scoring!$A$4:$N$51,5,FALSE()),0))+1*(IFERROR(VLOOKUP(INDEX(' Toto teams'!$F$4:$F$119,MATCH($B82,' Toto teams'!$A$4:$A$119,0)),Scoring!$A$4:$N$51,3,FALSE()),0)+IFERROR(VLOOKUP(INDEX(' Toto teams'!$F$4:$F$119,MATCH($B82,' Toto teams'!$A$4:$A$119,0)),Scoring!$A$4:$N$51,4,FALSE()),0)+IFERROR(VLOOKUP(INDEX(' Toto teams'!$F$4:$F$119,MATCH($B82,' Toto teams'!$A$4:$A$119,0)),Scoring!$A$4:$N$51,5,FALSE()),0))+1*(IFERROR(VLOOKUP(INDEX(' Toto teams'!$G$4:$G$119,MATCH($B82,' Toto teams'!$A$4:$A$119,0)),Scoring!$A$4:$N$51,3,FALSE()),0)+IFERROR(VLOOKUP(INDEX(' Toto teams'!$G$4:$G$119,MATCH($B82,' Toto teams'!$A$4:$A$119,0)),Scoring!$A$4:$N$51,4,FALSE()),0)+IFERROR(VLOOKUP(INDEX(' Toto teams'!$G$4:$G$119,MATCH($B82,' Toto teams'!$A$4:$A$119,0)),Scoring!$A$4:$N$51,5,FALSE()),0))+1*(IFERROR(VLOOKUP(INDEX(' Toto teams'!$H$4:$H$119,MATCH($B82,' Toto teams'!$A$4:$A$119,0)),Scoring!$A$4:$N$51,3,FALSE()),0)+IFERROR(VLOOKUP(INDEX(' Toto teams'!$H$4:$H$119,MATCH($B82,' Toto teams'!$A$4:$A$119,0)),Scoring!$A$4:$N$51,4,FALSE()),0)+IFERROR(VLOOKUP(INDEX(' Toto teams'!$H$4:$H$119,MATCH($B82,' Toto teams'!$A$4:$A$119,0)),Scoring!$A$4:$N$51,5,FALSE()),0))+IFERROR(INDEX(' Toto teams'!$Q$4:$Q$119,MATCH($B82,' Toto teams'!$A$4:$A$119,0))*1,0))</f>
        <v/>
      </c>
      <c r="D82" s="28">
        <f>IF($B82="","",6*IFERROR(VLOOKUP(INDEX(' Toto teams'!$B$4:$B$119,MATCH($B82,' Toto teams'!$A$4:$A$119,0)),Scoring!$A$4:$N$51,7,FALSE()),0)+4*IFERROR(VLOOKUP(INDEX(' Toto teams'!$C$4:$C$119,MATCH($B82,' Toto teams'!$A$4:$A$119,0)),Scoring!$A$4:$N$51,7,FALSE()),0)+3*IFERROR(VLOOKUP(INDEX(' Toto teams'!$D$4:$D$119,MATCH($B82,' Toto teams'!$A$4:$A$119,0)),Scoring!$A$4:$N$51,7,FALSE()),0)+2*IFERROR(VLOOKUP(INDEX(' Toto teams'!$E$4:$E$119,MATCH($B82,' Toto teams'!$A$4:$A$119,0)),Scoring!$A$4:$N$51,7,FALSE()),0)+1*IFERROR(VLOOKUP(INDEX(' Toto teams'!$F$4:$F$119,MATCH($B82,' Toto teams'!$A$4:$A$119,0)),Scoring!$A$4:$N$51,7,FALSE()),0)+1*IFERROR(VLOOKUP(INDEX(' Toto teams'!$G$4:$G$119,MATCH($B82,' Toto teams'!$A$4:$A$119,0)),Scoring!$A$4:$N$51,7,FALSE()),0)+1*IFERROR(VLOOKUP(INDEX(' Toto teams'!$H$4:$H$119,MATCH($B82,' Toto teams'!$A$4:$A$119,0)),Scoring!$A$4:$N$51,7,FALSE()),0))</f>
        <v/>
      </c>
      <c r="E82" s="28">
        <f>IF($B82="","",6*IFERROR(VLOOKUP(INDEX(' Toto teams'!$B$4:$B$119,MATCH($B82,' Toto teams'!$A$4:$A$119,0)),Scoring!$A$4:$N$51,8,FALSE()),0)+4*IFERROR(VLOOKUP(INDEX(' Toto teams'!$C$4:$C$119,MATCH($B82,' Toto teams'!$A$4:$A$119,0)),Scoring!$A$4:$N$51,8,FALSE()),0)+3*IFERROR(VLOOKUP(INDEX(' Toto teams'!$D$4:$D$119,MATCH($B82,' Toto teams'!$A$4:$A$119,0)),Scoring!$A$4:$N$51,8,FALSE()),0)+2*IFERROR(VLOOKUP(INDEX(' Toto teams'!$E$4:$E$119,MATCH($B82,' Toto teams'!$A$4:$A$119,0)),Scoring!$A$4:$N$51,8,FALSE()),0)+1*IFERROR(VLOOKUP(INDEX(' Toto teams'!$F$4:$F$119,MATCH($B82,' Toto teams'!$A$4:$A$119,0)),Scoring!$A$4:$N$51,8,FALSE()),0)+1*IFERROR(VLOOKUP(INDEX(' Toto teams'!$G$4:$G$119,MATCH($B82,' Toto teams'!$A$4:$A$119,0)),Scoring!$A$4:$N$51,8,FALSE()),0)+1*IFERROR(VLOOKUP(INDEX(' Toto teams'!$H$4:$H$119,MATCH($B82,' Toto teams'!$A$4:$A$119,0)),Scoring!$A$4:$N$51,8,FALSE()),0))</f>
        <v/>
      </c>
      <c r="F82" s="28">
        <f>IF($B82="","",6*IFERROR(VLOOKUP(INDEX(' Toto teams'!$B$4:$B$119,MATCH($B82,' Toto teams'!$A$4:$A$119,0)),Scoring!$A$4:$N$51,9,FALSE()),0)+4*IFERROR(VLOOKUP(INDEX(' Toto teams'!$C$4:$C$119,MATCH($B82,' Toto teams'!$A$4:$A$119,0)),Scoring!$A$4:$N$51,9,FALSE()),0)+3*IFERROR(VLOOKUP(INDEX(' Toto teams'!$D$4:$D$119,MATCH($B82,' Toto teams'!$A$4:$A$119,0)),Scoring!$A$4:$N$51,9,FALSE()),0)+2*IFERROR(VLOOKUP(INDEX(' Toto teams'!$E$4:$E$119,MATCH($B82,' Toto teams'!$A$4:$A$119,0)),Scoring!$A$4:$N$51,9,FALSE()),0)+1*IFERROR(VLOOKUP(INDEX(' Toto teams'!$F$4:$F$119,MATCH($B82,' Toto teams'!$A$4:$A$119,0)),Scoring!$A$4:$N$51,9,FALSE()),0)+1*IFERROR(VLOOKUP(INDEX(' Toto teams'!$G$4:$G$119,MATCH($B82,' Toto teams'!$A$4:$A$119,0)),Scoring!$A$4:$N$51,9,FALSE()),0)+1*IFERROR(VLOOKUP(INDEX(' Toto teams'!$H$4:$H$119,MATCH($B82,' Toto teams'!$A$4:$A$119,0)),Scoring!$A$4:$N$51,9,FALSE()),0))</f>
        <v/>
      </c>
      <c r="G82" s="28">
        <f>IF($B82="","",6*IFERROR(VLOOKUP(INDEX(' Toto teams'!$B$4:$B$119,MATCH($B82,' Toto teams'!$A$4:$A$119,0)),Scoring!$A$4:$N$51,10,FALSE()),0)+4*IFERROR(VLOOKUP(INDEX(' Toto teams'!$C$4:$C$119,MATCH($B82,' Toto teams'!$A$4:$A$119,0)),Scoring!$A$4:$N$51,10,FALSE()),0)+3*IFERROR(VLOOKUP(INDEX(' Toto teams'!$D$4:$D$119,MATCH($B82,' Toto teams'!$A$4:$A$119,0)),Scoring!$A$4:$N$51,10,FALSE()),0)+2*IFERROR(VLOOKUP(INDEX(' Toto teams'!$E$4:$E$119,MATCH($B82,' Toto teams'!$A$4:$A$119,0)),Scoring!$A$4:$N$51,10,FALSE()),0)+1*IFERROR(VLOOKUP(INDEX(' Toto teams'!$F$4:$F$119,MATCH($B82,' Toto teams'!$A$4:$A$119,0)),Scoring!$A$4:$N$51,10,FALSE()),0)+1*IFERROR(VLOOKUP(INDEX(' Toto teams'!$G$4:$G$119,MATCH($B82,' Toto teams'!$A$4:$A$119,0)),Scoring!$A$4:$N$51,10,FALSE()),0)+1*IFERROR(VLOOKUP(INDEX(' Toto teams'!$H$4:$H$119,MATCH($B82,' Toto teams'!$A$4:$A$119,0)),Scoring!$A$4:$N$51,10,FALSE()),0))</f>
        <v/>
      </c>
      <c r="H82" s="28">
        <f>IF($B82="","",6*IFERROR(VLOOKUP(INDEX(' Toto teams'!$B$4:$B$119,MATCH($B82,' Toto teams'!$A$4:$A$119,0)),Scoring!$A$4:$N$51,11,FALSE()),0)+4*IFERROR(VLOOKUP(INDEX(' Toto teams'!$C$4:$C$119,MATCH($B82,' Toto teams'!$A$4:$A$119,0)),Scoring!$A$4:$N$51,11,FALSE()),0)+3*IFERROR(VLOOKUP(INDEX(' Toto teams'!$D$4:$D$119,MATCH($B82,' Toto teams'!$A$4:$A$119,0)),Scoring!$A$4:$N$51,11,FALSE()),0)+2*IFERROR(VLOOKUP(INDEX(' Toto teams'!$E$4:$E$119,MATCH($B82,' Toto teams'!$A$4:$A$119,0)),Scoring!$A$4:$N$51,11,FALSE()),0)+1*IFERROR(VLOOKUP(INDEX(' Toto teams'!$F$4:$F$119,MATCH($B82,' Toto teams'!$A$4:$A$119,0)),Scoring!$A$4:$N$51,11,FALSE()),0)+1*IFERROR(VLOOKUP(INDEX(' Toto teams'!$G$4:$G$119,MATCH($B82,' Toto teams'!$A$4:$A$119,0)),Scoring!$A$4:$N$51,11,FALSE()),0)+1*IFERROR(VLOOKUP(INDEX(' Toto teams'!$H$4:$H$119,MATCH($B82,' Toto teams'!$A$4:$A$119,0)),Scoring!$A$4:$N$51,11,FALSE()),0))</f>
        <v/>
      </c>
      <c r="I82" s="28">
        <f>IF($B82="","",6*IFERROR(VLOOKUP(INDEX(' Toto teams'!$B$4:$B$119,MATCH($B82,' Toto teams'!$A$4:$A$119,0)),Scoring!$A$4:$O$51,15,FALSE()),0)+4*IFERROR(VLOOKUP(INDEX(' Toto teams'!$C$4:$C$119,MATCH($B82,' Toto teams'!$A$4:$A$119,0)),Scoring!$A$4:$O$51,15,FALSE()),0)+3*IFERROR(VLOOKUP(INDEX(' Toto teams'!$D$4:$D$119,MATCH($B82,' Toto teams'!$A$4:$A$119,0)),Scoring!$A$4:$O$51,15,FALSE()),0)+2*IFERROR(VLOOKUP(INDEX(' Toto teams'!$E$4:$E$119,MATCH($B82,' Toto teams'!$A$4:$A$119,0)),Scoring!$A$4:$O$51,15,FALSE()),0)+1*IFERROR(VLOOKUP(INDEX(' Toto teams'!$F$4:$F$119,MATCH($B82,' Toto teams'!$A$4:$A$119,0)),Scoring!$A$4:$O$51,15,FALSE()),0)+1*IFERROR(VLOOKUP(INDEX(' Toto teams'!$G$4:$G$119,MATCH($B82,' Toto teams'!$A$4:$A$119,0)),Scoring!$A$4:$O$51,15,FALSE()),0)+1*IFERROR(VLOOKUP(INDEX(' Toto teams'!$H$4:$H$119,MATCH($B82,' Toto teams'!$A$4:$A$119,0)),Scoring!$A$4:$O$51,15,FALSE()),0))</f>
        <v/>
      </c>
      <c r="J82" s="28">
        <f>IF($B82="","",6*IFERROR(VLOOKUP(INDEX(' Toto teams'!$B$4:$B$119,MATCH($B82,' Toto teams'!$A$4:$A$119,0)),Scoring!$A$4:$N$51,12,FALSE()),0)+4*IFERROR(VLOOKUP(INDEX(' Toto teams'!$C$4:$C$119,MATCH($B82,' Toto teams'!$A$4:$A$119,0)),Scoring!$A$4:$N$51,12,FALSE()),0)+3*IFERROR(VLOOKUP(INDEX(' Toto teams'!$D$4:$D$119,MATCH($B82,' Toto teams'!$A$4:$A$119,0)),Scoring!$A$4:$N$51,12,FALSE()),0)+2*IFERROR(VLOOKUP(INDEX(' Toto teams'!$E$4:$E$119,MATCH($B82,' Toto teams'!$A$4:$A$119,0)),Scoring!$A$4:$N$51,12,FALSE()),0)+1*IFERROR(VLOOKUP(INDEX(' Toto teams'!$F$4:$F$119,MATCH($B82,' Toto teams'!$A$4:$A$119,0)),Scoring!$A$4:$N$51,12,FALSE()),0)+1*IFERROR(VLOOKUP(INDEX(' Toto teams'!$G$4:$G$119,MATCH($B82,' Toto teams'!$A$4:$A$119,0)),Scoring!$A$4:$N$51,12,FALSE()),0)+1*IFERROR(VLOOKUP(INDEX(' Toto teams'!$H$4:$H$119,MATCH($B82,' Toto teams'!$A$4:$A$119,0)),Scoring!$A$4:$N$51,12,FALSE()),0))</f>
        <v/>
      </c>
      <c r="K82" s="29">
        <f>IF($B82="","",IFERROR(INDEX(' Toto teams'!$R$4:$R$119,MATCH($B82,' Toto teams'!$A$4:$A$119,0)),""))</f>
        <v/>
      </c>
      <c r="L82" s="30">
        <f>IFERROR(IF(B82="","",VLOOKUP(A82,$N$4:$R$12,5,FALSE())),0)</f>
        <v/>
      </c>
    </row>
    <row r="83" ht="12.75" customHeight="1">
      <c r="A83" s="26">
        <f>IF(80&gt;COUNTIF(' Toto teams'!$A$4:$A$119,"&lt;&gt;"),"",INDEX(' Toto teams'!$S$4:$S$119,MATCH(LARGE(' Toto teams'!$T$4:$T$119,80),' Toto teams'!$T$4:$T$119,0)))</f>
        <v/>
      </c>
      <c r="B83" s="27">
        <f>IF(80&gt;COUNTIF(' Toto teams'!$A$4:$A$119,"&lt;&gt;"),"",INDEX(' Toto teams'!$A$4:$A$119,MATCH(LARGE(' Toto teams'!$T$4:$T$119,80),' Toto teams'!$T$4:$T$119,0)))</f>
        <v/>
      </c>
      <c r="C83" s="28">
        <f>IF($B83="","",6*(IFERROR(VLOOKUP(INDEX(' Toto teams'!$B$4:$B$119,MATCH($B83,' Toto teams'!$A$4:$A$119,0)),Scoring!$A$4:$N$51,3,FALSE()),0)+IFERROR(VLOOKUP(INDEX(' Toto teams'!$B$4:$B$119,MATCH($B83,' Toto teams'!$A$4:$A$119,0)),Scoring!$A$4:$N$51,4,FALSE()),0)+IFERROR(VLOOKUP(INDEX(' Toto teams'!$B$4:$B$119,MATCH($B83,' Toto teams'!$A$4:$A$119,0)),Scoring!$A$4:$N$51,5,FALSE()),0))+4*(IFERROR(VLOOKUP(INDEX(' Toto teams'!$C$4:$C$119,MATCH($B83,' Toto teams'!$A$4:$A$119,0)),Scoring!$A$4:$N$51,3,FALSE()),0)+IFERROR(VLOOKUP(INDEX(' Toto teams'!$C$4:$C$119,MATCH($B83,' Toto teams'!$A$4:$A$119,0)),Scoring!$A$4:$N$51,4,FALSE()),0)+IFERROR(VLOOKUP(INDEX(' Toto teams'!$C$4:$C$119,MATCH($B83,' Toto teams'!$A$4:$A$119,0)),Scoring!$A$4:$N$51,5,FALSE()),0))+3*(IFERROR(VLOOKUP(INDEX(' Toto teams'!$D$4:$D$119,MATCH($B83,' Toto teams'!$A$4:$A$119,0)),Scoring!$A$4:$N$51,3,FALSE()),0)+IFERROR(VLOOKUP(INDEX(' Toto teams'!$D$4:$D$119,MATCH($B83,' Toto teams'!$A$4:$A$119,0)),Scoring!$A$4:$N$51,4,FALSE()),0)+IFERROR(VLOOKUP(INDEX(' Toto teams'!$D$4:$D$119,MATCH($B83,' Toto teams'!$A$4:$A$119,0)),Scoring!$A$4:$N$51,5,FALSE()),0))+2*(IFERROR(VLOOKUP(INDEX(' Toto teams'!$E$4:$E$119,MATCH($B83,' Toto teams'!$A$4:$A$119,0)),Scoring!$A$4:$N$51,3,FALSE()),0)+IFERROR(VLOOKUP(INDEX(' Toto teams'!$E$4:$E$119,MATCH($B83,' Toto teams'!$A$4:$A$119,0)),Scoring!$A$4:$N$51,4,FALSE()),0)+IFERROR(VLOOKUP(INDEX(' Toto teams'!$E$4:$E$119,MATCH($B83,' Toto teams'!$A$4:$A$119,0)),Scoring!$A$4:$N$51,5,FALSE()),0))+1*(IFERROR(VLOOKUP(INDEX(' Toto teams'!$F$4:$F$119,MATCH($B83,' Toto teams'!$A$4:$A$119,0)),Scoring!$A$4:$N$51,3,FALSE()),0)+IFERROR(VLOOKUP(INDEX(' Toto teams'!$F$4:$F$119,MATCH($B83,' Toto teams'!$A$4:$A$119,0)),Scoring!$A$4:$N$51,4,FALSE()),0)+IFERROR(VLOOKUP(INDEX(' Toto teams'!$F$4:$F$119,MATCH($B83,' Toto teams'!$A$4:$A$119,0)),Scoring!$A$4:$N$51,5,FALSE()),0))+1*(IFERROR(VLOOKUP(INDEX(' Toto teams'!$G$4:$G$119,MATCH($B83,' Toto teams'!$A$4:$A$119,0)),Scoring!$A$4:$N$51,3,FALSE()),0)+IFERROR(VLOOKUP(INDEX(' Toto teams'!$G$4:$G$119,MATCH($B83,' Toto teams'!$A$4:$A$119,0)),Scoring!$A$4:$N$51,4,FALSE()),0)+IFERROR(VLOOKUP(INDEX(' Toto teams'!$G$4:$G$119,MATCH($B83,' Toto teams'!$A$4:$A$119,0)),Scoring!$A$4:$N$51,5,FALSE()),0))+1*(IFERROR(VLOOKUP(INDEX(' Toto teams'!$H$4:$H$119,MATCH($B83,' Toto teams'!$A$4:$A$119,0)),Scoring!$A$4:$N$51,3,FALSE()),0)+IFERROR(VLOOKUP(INDEX(' Toto teams'!$H$4:$H$119,MATCH($B83,' Toto teams'!$A$4:$A$119,0)),Scoring!$A$4:$N$51,4,FALSE()),0)+IFERROR(VLOOKUP(INDEX(' Toto teams'!$H$4:$H$119,MATCH($B83,' Toto teams'!$A$4:$A$119,0)),Scoring!$A$4:$N$51,5,FALSE()),0))+IFERROR(INDEX(' Toto teams'!$Q$4:$Q$119,MATCH($B83,' Toto teams'!$A$4:$A$119,0))*1,0))</f>
        <v/>
      </c>
      <c r="D83" s="28">
        <f>IF($B83="","",6*IFERROR(VLOOKUP(INDEX(' Toto teams'!$B$4:$B$119,MATCH($B83,' Toto teams'!$A$4:$A$119,0)),Scoring!$A$4:$N$51,7,FALSE()),0)+4*IFERROR(VLOOKUP(INDEX(' Toto teams'!$C$4:$C$119,MATCH($B83,' Toto teams'!$A$4:$A$119,0)),Scoring!$A$4:$N$51,7,FALSE()),0)+3*IFERROR(VLOOKUP(INDEX(' Toto teams'!$D$4:$D$119,MATCH($B83,' Toto teams'!$A$4:$A$119,0)),Scoring!$A$4:$N$51,7,FALSE()),0)+2*IFERROR(VLOOKUP(INDEX(' Toto teams'!$E$4:$E$119,MATCH($B83,' Toto teams'!$A$4:$A$119,0)),Scoring!$A$4:$N$51,7,FALSE()),0)+1*IFERROR(VLOOKUP(INDEX(' Toto teams'!$F$4:$F$119,MATCH($B83,' Toto teams'!$A$4:$A$119,0)),Scoring!$A$4:$N$51,7,FALSE()),0)+1*IFERROR(VLOOKUP(INDEX(' Toto teams'!$G$4:$G$119,MATCH($B83,' Toto teams'!$A$4:$A$119,0)),Scoring!$A$4:$N$51,7,FALSE()),0)+1*IFERROR(VLOOKUP(INDEX(' Toto teams'!$H$4:$H$119,MATCH($B83,' Toto teams'!$A$4:$A$119,0)),Scoring!$A$4:$N$51,7,FALSE()),0))</f>
        <v/>
      </c>
      <c r="E83" s="28">
        <f>IF($B83="","",6*IFERROR(VLOOKUP(INDEX(' Toto teams'!$B$4:$B$119,MATCH($B83,' Toto teams'!$A$4:$A$119,0)),Scoring!$A$4:$N$51,8,FALSE()),0)+4*IFERROR(VLOOKUP(INDEX(' Toto teams'!$C$4:$C$119,MATCH($B83,' Toto teams'!$A$4:$A$119,0)),Scoring!$A$4:$N$51,8,FALSE()),0)+3*IFERROR(VLOOKUP(INDEX(' Toto teams'!$D$4:$D$119,MATCH($B83,' Toto teams'!$A$4:$A$119,0)),Scoring!$A$4:$N$51,8,FALSE()),0)+2*IFERROR(VLOOKUP(INDEX(' Toto teams'!$E$4:$E$119,MATCH($B83,' Toto teams'!$A$4:$A$119,0)),Scoring!$A$4:$N$51,8,FALSE()),0)+1*IFERROR(VLOOKUP(INDEX(' Toto teams'!$F$4:$F$119,MATCH($B83,' Toto teams'!$A$4:$A$119,0)),Scoring!$A$4:$N$51,8,FALSE()),0)+1*IFERROR(VLOOKUP(INDEX(' Toto teams'!$G$4:$G$119,MATCH($B83,' Toto teams'!$A$4:$A$119,0)),Scoring!$A$4:$N$51,8,FALSE()),0)+1*IFERROR(VLOOKUP(INDEX(' Toto teams'!$H$4:$H$119,MATCH($B83,' Toto teams'!$A$4:$A$119,0)),Scoring!$A$4:$N$51,8,FALSE()),0))</f>
        <v/>
      </c>
      <c r="F83" s="28">
        <f>IF($B83="","",6*IFERROR(VLOOKUP(INDEX(' Toto teams'!$B$4:$B$119,MATCH($B83,' Toto teams'!$A$4:$A$119,0)),Scoring!$A$4:$N$51,9,FALSE()),0)+4*IFERROR(VLOOKUP(INDEX(' Toto teams'!$C$4:$C$119,MATCH($B83,' Toto teams'!$A$4:$A$119,0)),Scoring!$A$4:$N$51,9,FALSE()),0)+3*IFERROR(VLOOKUP(INDEX(' Toto teams'!$D$4:$D$119,MATCH($B83,' Toto teams'!$A$4:$A$119,0)),Scoring!$A$4:$N$51,9,FALSE()),0)+2*IFERROR(VLOOKUP(INDEX(' Toto teams'!$E$4:$E$119,MATCH($B83,' Toto teams'!$A$4:$A$119,0)),Scoring!$A$4:$N$51,9,FALSE()),0)+1*IFERROR(VLOOKUP(INDEX(' Toto teams'!$F$4:$F$119,MATCH($B83,' Toto teams'!$A$4:$A$119,0)),Scoring!$A$4:$N$51,9,FALSE()),0)+1*IFERROR(VLOOKUP(INDEX(' Toto teams'!$G$4:$G$119,MATCH($B83,' Toto teams'!$A$4:$A$119,0)),Scoring!$A$4:$N$51,9,FALSE()),0)+1*IFERROR(VLOOKUP(INDEX(' Toto teams'!$H$4:$H$119,MATCH($B83,' Toto teams'!$A$4:$A$119,0)),Scoring!$A$4:$N$51,9,FALSE()),0))</f>
        <v/>
      </c>
      <c r="G83" s="28">
        <f>IF($B83="","",6*IFERROR(VLOOKUP(INDEX(' Toto teams'!$B$4:$B$119,MATCH($B83,' Toto teams'!$A$4:$A$119,0)),Scoring!$A$4:$N$51,10,FALSE()),0)+4*IFERROR(VLOOKUP(INDEX(' Toto teams'!$C$4:$C$119,MATCH($B83,' Toto teams'!$A$4:$A$119,0)),Scoring!$A$4:$N$51,10,FALSE()),0)+3*IFERROR(VLOOKUP(INDEX(' Toto teams'!$D$4:$D$119,MATCH($B83,' Toto teams'!$A$4:$A$119,0)),Scoring!$A$4:$N$51,10,FALSE()),0)+2*IFERROR(VLOOKUP(INDEX(' Toto teams'!$E$4:$E$119,MATCH($B83,' Toto teams'!$A$4:$A$119,0)),Scoring!$A$4:$N$51,10,FALSE()),0)+1*IFERROR(VLOOKUP(INDEX(' Toto teams'!$F$4:$F$119,MATCH($B83,' Toto teams'!$A$4:$A$119,0)),Scoring!$A$4:$N$51,10,FALSE()),0)+1*IFERROR(VLOOKUP(INDEX(' Toto teams'!$G$4:$G$119,MATCH($B83,' Toto teams'!$A$4:$A$119,0)),Scoring!$A$4:$N$51,10,FALSE()),0)+1*IFERROR(VLOOKUP(INDEX(' Toto teams'!$H$4:$H$119,MATCH($B83,' Toto teams'!$A$4:$A$119,0)),Scoring!$A$4:$N$51,10,FALSE()),0))</f>
        <v/>
      </c>
      <c r="H83" s="28">
        <f>IF($B83="","",6*IFERROR(VLOOKUP(INDEX(' Toto teams'!$B$4:$B$119,MATCH($B83,' Toto teams'!$A$4:$A$119,0)),Scoring!$A$4:$N$51,11,FALSE()),0)+4*IFERROR(VLOOKUP(INDEX(' Toto teams'!$C$4:$C$119,MATCH($B83,' Toto teams'!$A$4:$A$119,0)),Scoring!$A$4:$N$51,11,FALSE()),0)+3*IFERROR(VLOOKUP(INDEX(' Toto teams'!$D$4:$D$119,MATCH($B83,' Toto teams'!$A$4:$A$119,0)),Scoring!$A$4:$N$51,11,FALSE()),0)+2*IFERROR(VLOOKUP(INDEX(' Toto teams'!$E$4:$E$119,MATCH($B83,' Toto teams'!$A$4:$A$119,0)),Scoring!$A$4:$N$51,11,FALSE()),0)+1*IFERROR(VLOOKUP(INDEX(' Toto teams'!$F$4:$F$119,MATCH($B83,' Toto teams'!$A$4:$A$119,0)),Scoring!$A$4:$N$51,11,FALSE()),0)+1*IFERROR(VLOOKUP(INDEX(' Toto teams'!$G$4:$G$119,MATCH($B83,' Toto teams'!$A$4:$A$119,0)),Scoring!$A$4:$N$51,11,FALSE()),0)+1*IFERROR(VLOOKUP(INDEX(' Toto teams'!$H$4:$H$119,MATCH($B83,' Toto teams'!$A$4:$A$119,0)),Scoring!$A$4:$N$51,11,FALSE()),0))</f>
        <v/>
      </c>
      <c r="I83" s="28">
        <f>IF($B83="","",6*IFERROR(VLOOKUP(INDEX(' Toto teams'!$B$4:$B$119,MATCH($B83,' Toto teams'!$A$4:$A$119,0)),Scoring!$A$4:$O$51,15,FALSE()),0)+4*IFERROR(VLOOKUP(INDEX(' Toto teams'!$C$4:$C$119,MATCH($B83,' Toto teams'!$A$4:$A$119,0)),Scoring!$A$4:$O$51,15,FALSE()),0)+3*IFERROR(VLOOKUP(INDEX(' Toto teams'!$D$4:$D$119,MATCH($B83,' Toto teams'!$A$4:$A$119,0)),Scoring!$A$4:$O$51,15,FALSE()),0)+2*IFERROR(VLOOKUP(INDEX(' Toto teams'!$E$4:$E$119,MATCH($B83,' Toto teams'!$A$4:$A$119,0)),Scoring!$A$4:$O$51,15,FALSE()),0)+1*IFERROR(VLOOKUP(INDEX(' Toto teams'!$F$4:$F$119,MATCH($B83,' Toto teams'!$A$4:$A$119,0)),Scoring!$A$4:$O$51,15,FALSE()),0)+1*IFERROR(VLOOKUP(INDEX(' Toto teams'!$G$4:$G$119,MATCH($B83,' Toto teams'!$A$4:$A$119,0)),Scoring!$A$4:$O$51,15,FALSE()),0)+1*IFERROR(VLOOKUP(INDEX(' Toto teams'!$H$4:$H$119,MATCH($B83,' Toto teams'!$A$4:$A$119,0)),Scoring!$A$4:$O$51,15,FALSE()),0))</f>
        <v/>
      </c>
      <c r="J83" s="28">
        <f>IF($B83="","",6*IFERROR(VLOOKUP(INDEX(' Toto teams'!$B$4:$B$119,MATCH($B83,' Toto teams'!$A$4:$A$119,0)),Scoring!$A$4:$N$51,12,FALSE()),0)+4*IFERROR(VLOOKUP(INDEX(' Toto teams'!$C$4:$C$119,MATCH($B83,' Toto teams'!$A$4:$A$119,0)),Scoring!$A$4:$N$51,12,FALSE()),0)+3*IFERROR(VLOOKUP(INDEX(' Toto teams'!$D$4:$D$119,MATCH($B83,' Toto teams'!$A$4:$A$119,0)),Scoring!$A$4:$N$51,12,FALSE()),0)+2*IFERROR(VLOOKUP(INDEX(' Toto teams'!$E$4:$E$119,MATCH($B83,' Toto teams'!$A$4:$A$119,0)),Scoring!$A$4:$N$51,12,FALSE()),0)+1*IFERROR(VLOOKUP(INDEX(' Toto teams'!$F$4:$F$119,MATCH($B83,' Toto teams'!$A$4:$A$119,0)),Scoring!$A$4:$N$51,12,FALSE()),0)+1*IFERROR(VLOOKUP(INDEX(' Toto teams'!$G$4:$G$119,MATCH($B83,' Toto teams'!$A$4:$A$119,0)),Scoring!$A$4:$N$51,12,FALSE()),0)+1*IFERROR(VLOOKUP(INDEX(' Toto teams'!$H$4:$H$119,MATCH($B83,' Toto teams'!$A$4:$A$119,0)),Scoring!$A$4:$N$51,12,FALSE()),0))</f>
        <v/>
      </c>
      <c r="K83" s="29">
        <f>IF($B83="","",IFERROR(INDEX(' Toto teams'!$R$4:$R$119,MATCH($B83,' Toto teams'!$A$4:$A$119,0)),""))</f>
        <v/>
      </c>
      <c r="L83" s="30">
        <f>IFERROR(IF(B83="","",VLOOKUP(A83,$N$4:$R$12,5,FALSE())),0)</f>
        <v/>
      </c>
    </row>
    <row r="84" ht="12.75" customHeight="1">
      <c r="A84" s="26">
        <f>IF(81&gt;COUNTIF(' Toto teams'!$A$4:$A$119,"&lt;&gt;"),"",INDEX(' Toto teams'!$S$4:$S$119,MATCH(LARGE(' Toto teams'!$T$4:$T$119,81),' Toto teams'!$T$4:$T$119,0)))</f>
        <v/>
      </c>
      <c r="B84" s="27">
        <f>IF(81&gt;COUNTIF(' Toto teams'!$A$4:$A$119,"&lt;&gt;"),"",INDEX(' Toto teams'!$A$4:$A$119,MATCH(LARGE(' Toto teams'!$T$4:$T$119,81),' Toto teams'!$T$4:$T$119,0)))</f>
        <v/>
      </c>
      <c r="C84" s="28">
        <f>IF($B84="","",6*(IFERROR(VLOOKUP(INDEX(' Toto teams'!$B$4:$B$119,MATCH($B84,' Toto teams'!$A$4:$A$119,0)),Scoring!$A$4:$N$51,3,FALSE()),0)+IFERROR(VLOOKUP(INDEX(' Toto teams'!$B$4:$B$119,MATCH($B84,' Toto teams'!$A$4:$A$119,0)),Scoring!$A$4:$N$51,4,FALSE()),0)+IFERROR(VLOOKUP(INDEX(' Toto teams'!$B$4:$B$119,MATCH($B84,' Toto teams'!$A$4:$A$119,0)),Scoring!$A$4:$N$51,5,FALSE()),0))+4*(IFERROR(VLOOKUP(INDEX(' Toto teams'!$C$4:$C$119,MATCH($B84,' Toto teams'!$A$4:$A$119,0)),Scoring!$A$4:$N$51,3,FALSE()),0)+IFERROR(VLOOKUP(INDEX(' Toto teams'!$C$4:$C$119,MATCH($B84,' Toto teams'!$A$4:$A$119,0)),Scoring!$A$4:$N$51,4,FALSE()),0)+IFERROR(VLOOKUP(INDEX(' Toto teams'!$C$4:$C$119,MATCH($B84,' Toto teams'!$A$4:$A$119,0)),Scoring!$A$4:$N$51,5,FALSE()),0))+3*(IFERROR(VLOOKUP(INDEX(' Toto teams'!$D$4:$D$119,MATCH($B84,' Toto teams'!$A$4:$A$119,0)),Scoring!$A$4:$N$51,3,FALSE()),0)+IFERROR(VLOOKUP(INDEX(' Toto teams'!$D$4:$D$119,MATCH($B84,' Toto teams'!$A$4:$A$119,0)),Scoring!$A$4:$N$51,4,FALSE()),0)+IFERROR(VLOOKUP(INDEX(' Toto teams'!$D$4:$D$119,MATCH($B84,' Toto teams'!$A$4:$A$119,0)),Scoring!$A$4:$N$51,5,FALSE()),0))+2*(IFERROR(VLOOKUP(INDEX(' Toto teams'!$E$4:$E$119,MATCH($B84,' Toto teams'!$A$4:$A$119,0)),Scoring!$A$4:$N$51,3,FALSE()),0)+IFERROR(VLOOKUP(INDEX(' Toto teams'!$E$4:$E$119,MATCH($B84,' Toto teams'!$A$4:$A$119,0)),Scoring!$A$4:$N$51,4,FALSE()),0)+IFERROR(VLOOKUP(INDEX(' Toto teams'!$E$4:$E$119,MATCH($B84,' Toto teams'!$A$4:$A$119,0)),Scoring!$A$4:$N$51,5,FALSE()),0))+1*(IFERROR(VLOOKUP(INDEX(' Toto teams'!$F$4:$F$119,MATCH($B84,' Toto teams'!$A$4:$A$119,0)),Scoring!$A$4:$N$51,3,FALSE()),0)+IFERROR(VLOOKUP(INDEX(' Toto teams'!$F$4:$F$119,MATCH($B84,' Toto teams'!$A$4:$A$119,0)),Scoring!$A$4:$N$51,4,FALSE()),0)+IFERROR(VLOOKUP(INDEX(' Toto teams'!$F$4:$F$119,MATCH($B84,' Toto teams'!$A$4:$A$119,0)),Scoring!$A$4:$N$51,5,FALSE()),0))+1*(IFERROR(VLOOKUP(INDEX(' Toto teams'!$G$4:$G$119,MATCH($B84,' Toto teams'!$A$4:$A$119,0)),Scoring!$A$4:$N$51,3,FALSE()),0)+IFERROR(VLOOKUP(INDEX(' Toto teams'!$G$4:$G$119,MATCH($B84,' Toto teams'!$A$4:$A$119,0)),Scoring!$A$4:$N$51,4,FALSE()),0)+IFERROR(VLOOKUP(INDEX(' Toto teams'!$G$4:$G$119,MATCH($B84,' Toto teams'!$A$4:$A$119,0)),Scoring!$A$4:$N$51,5,FALSE()),0))+1*(IFERROR(VLOOKUP(INDEX(' Toto teams'!$H$4:$H$119,MATCH($B84,' Toto teams'!$A$4:$A$119,0)),Scoring!$A$4:$N$51,3,FALSE()),0)+IFERROR(VLOOKUP(INDEX(' Toto teams'!$H$4:$H$119,MATCH($B84,' Toto teams'!$A$4:$A$119,0)),Scoring!$A$4:$N$51,4,FALSE()),0)+IFERROR(VLOOKUP(INDEX(' Toto teams'!$H$4:$H$119,MATCH($B84,' Toto teams'!$A$4:$A$119,0)),Scoring!$A$4:$N$51,5,FALSE()),0))+IFERROR(INDEX(' Toto teams'!$Q$4:$Q$119,MATCH($B84,' Toto teams'!$A$4:$A$119,0))*1,0))</f>
        <v/>
      </c>
      <c r="D84" s="28">
        <f>IF($B84="","",6*IFERROR(VLOOKUP(INDEX(' Toto teams'!$B$4:$B$119,MATCH($B84,' Toto teams'!$A$4:$A$119,0)),Scoring!$A$4:$N$51,7,FALSE()),0)+4*IFERROR(VLOOKUP(INDEX(' Toto teams'!$C$4:$C$119,MATCH($B84,' Toto teams'!$A$4:$A$119,0)),Scoring!$A$4:$N$51,7,FALSE()),0)+3*IFERROR(VLOOKUP(INDEX(' Toto teams'!$D$4:$D$119,MATCH($B84,' Toto teams'!$A$4:$A$119,0)),Scoring!$A$4:$N$51,7,FALSE()),0)+2*IFERROR(VLOOKUP(INDEX(' Toto teams'!$E$4:$E$119,MATCH($B84,' Toto teams'!$A$4:$A$119,0)),Scoring!$A$4:$N$51,7,FALSE()),0)+1*IFERROR(VLOOKUP(INDEX(' Toto teams'!$F$4:$F$119,MATCH($B84,' Toto teams'!$A$4:$A$119,0)),Scoring!$A$4:$N$51,7,FALSE()),0)+1*IFERROR(VLOOKUP(INDEX(' Toto teams'!$G$4:$G$119,MATCH($B84,' Toto teams'!$A$4:$A$119,0)),Scoring!$A$4:$N$51,7,FALSE()),0)+1*IFERROR(VLOOKUP(INDEX(' Toto teams'!$H$4:$H$119,MATCH($B84,' Toto teams'!$A$4:$A$119,0)),Scoring!$A$4:$N$51,7,FALSE()),0))</f>
        <v/>
      </c>
      <c r="E84" s="28">
        <f>IF($B84="","",6*IFERROR(VLOOKUP(INDEX(' Toto teams'!$B$4:$B$119,MATCH($B84,' Toto teams'!$A$4:$A$119,0)),Scoring!$A$4:$N$51,8,FALSE()),0)+4*IFERROR(VLOOKUP(INDEX(' Toto teams'!$C$4:$C$119,MATCH($B84,' Toto teams'!$A$4:$A$119,0)),Scoring!$A$4:$N$51,8,FALSE()),0)+3*IFERROR(VLOOKUP(INDEX(' Toto teams'!$D$4:$D$119,MATCH($B84,' Toto teams'!$A$4:$A$119,0)),Scoring!$A$4:$N$51,8,FALSE()),0)+2*IFERROR(VLOOKUP(INDEX(' Toto teams'!$E$4:$E$119,MATCH($B84,' Toto teams'!$A$4:$A$119,0)),Scoring!$A$4:$N$51,8,FALSE()),0)+1*IFERROR(VLOOKUP(INDEX(' Toto teams'!$F$4:$F$119,MATCH($B84,' Toto teams'!$A$4:$A$119,0)),Scoring!$A$4:$N$51,8,FALSE()),0)+1*IFERROR(VLOOKUP(INDEX(' Toto teams'!$G$4:$G$119,MATCH($B84,' Toto teams'!$A$4:$A$119,0)),Scoring!$A$4:$N$51,8,FALSE()),0)+1*IFERROR(VLOOKUP(INDEX(' Toto teams'!$H$4:$H$119,MATCH($B84,' Toto teams'!$A$4:$A$119,0)),Scoring!$A$4:$N$51,8,FALSE()),0))</f>
        <v/>
      </c>
      <c r="F84" s="28">
        <f>IF($B84="","",6*IFERROR(VLOOKUP(INDEX(' Toto teams'!$B$4:$B$119,MATCH($B84,' Toto teams'!$A$4:$A$119,0)),Scoring!$A$4:$N$51,9,FALSE()),0)+4*IFERROR(VLOOKUP(INDEX(' Toto teams'!$C$4:$C$119,MATCH($B84,' Toto teams'!$A$4:$A$119,0)),Scoring!$A$4:$N$51,9,FALSE()),0)+3*IFERROR(VLOOKUP(INDEX(' Toto teams'!$D$4:$D$119,MATCH($B84,' Toto teams'!$A$4:$A$119,0)),Scoring!$A$4:$N$51,9,FALSE()),0)+2*IFERROR(VLOOKUP(INDEX(' Toto teams'!$E$4:$E$119,MATCH($B84,' Toto teams'!$A$4:$A$119,0)),Scoring!$A$4:$N$51,9,FALSE()),0)+1*IFERROR(VLOOKUP(INDEX(' Toto teams'!$F$4:$F$119,MATCH($B84,' Toto teams'!$A$4:$A$119,0)),Scoring!$A$4:$N$51,9,FALSE()),0)+1*IFERROR(VLOOKUP(INDEX(' Toto teams'!$G$4:$G$119,MATCH($B84,' Toto teams'!$A$4:$A$119,0)),Scoring!$A$4:$N$51,9,FALSE()),0)+1*IFERROR(VLOOKUP(INDEX(' Toto teams'!$H$4:$H$119,MATCH($B84,' Toto teams'!$A$4:$A$119,0)),Scoring!$A$4:$N$51,9,FALSE()),0))</f>
        <v/>
      </c>
      <c r="G84" s="28">
        <f>IF($B84="","",6*IFERROR(VLOOKUP(INDEX(' Toto teams'!$B$4:$B$119,MATCH($B84,' Toto teams'!$A$4:$A$119,0)),Scoring!$A$4:$N$51,10,FALSE()),0)+4*IFERROR(VLOOKUP(INDEX(' Toto teams'!$C$4:$C$119,MATCH($B84,' Toto teams'!$A$4:$A$119,0)),Scoring!$A$4:$N$51,10,FALSE()),0)+3*IFERROR(VLOOKUP(INDEX(' Toto teams'!$D$4:$D$119,MATCH($B84,' Toto teams'!$A$4:$A$119,0)),Scoring!$A$4:$N$51,10,FALSE()),0)+2*IFERROR(VLOOKUP(INDEX(' Toto teams'!$E$4:$E$119,MATCH($B84,' Toto teams'!$A$4:$A$119,0)),Scoring!$A$4:$N$51,10,FALSE()),0)+1*IFERROR(VLOOKUP(INDEX(' Toto teams'!$F$4:$F$119,MATCH($B84,' Toto teams'!$A$4:$A$119,0)),Scoring!$A$4:$N$51,10,FALSE()),0)+1*IFERROR(VLOOKUP(INDEX(' Toto teams'!$G$4:$G$119,MATCH($B84,' Toto teams'!$A$4:$A$119,0)),Scoring!$A$4:$N$51,10,FALSE()),0)+1*IFERROR(VLOOKUP(INDEX(' Toto teams'!$H$4:$H$119,MATCH($B84,' Toto teams'!$A$4:$A$119,0)),Scoring!$A$4:$N$51,10,FALSE()),0))</f>
        <v/>
      </c>
      <c r="H84" s="28">
        <f>IF($B84="","",6*IFERROR(VLOOKUP(INDEX(' Toto teams'!$B$4:$B$119,MATCH($B84,' Toto teams'!$A$4:$A$119,0)),Scoring!$A$4:$N$51,11,FALSE()),0)+4*IFERROR(VLOOKUP(INDEX(' Toto teams'!$C$4:$C$119,MATCH($B84,' Toto teams'!$A$4:$A$119,0)),Scoring!$A$4:$N$51,11,FALSE()),0)+3*IFERROR(VLOOKUP(INDEX(' Toto teams'!$D$4:$D$119,MATCH($B84,' Toto teams'!$A$4:$A$119,0)),Scoring!$A$4:$N$51,11,FALSE()),0)+2*IFERROR(VLOOKUP(INDEX(' Toto teams'!$E$4:$E$119,MATCH($B84,' Toto teams'!$A$4:$A$119,0)),Scoring!$A$4:$N$51,11,FALSE()),0)+1*IFERROR(VLOOKUP(INDEX(' Toto teams'!$F$4:$F$119,MATCH($B84,' Toto teams'!$A$4:$A$119,0)),Scoring!$A$4:$N$51,11,FALSE()),0)+1*IFERROR(VLOOKUP(INDEX(' Toto teams'!$G$4:$G$119,MATCH($B84,' Toto teams'!$A$4:$A$119,0)),Scoring!$A$4:$N$51,11,FALSE()),0)+1*IFERROR(VLOOKUP(INDEX(' Toto teams'!$H$4:$H$119,MATCH($B84,' Toto teams'!$A$4:$A$119,0)),Scoring!$A$4:$N$51,11,FALSE()),0))</f>
        <v/>
      </c>
      <c r="I84" s="28">
        <f>IF($B84="","",6*IFERROR(VLOOKUP(INDEX(' Toto teams'!$B$4:$B$119,MATCH($B84,' Toto teams'!$A$4:$A$119,0)),Scoring!$A$4:$O$51,15,FALSE()),0)+4*IFERROR(VLOOKUP(INDEX(' Toto teams'!$C$4:$C$119,MATCH($B84,' Toto teams'!$A$4:$A$119,0)),Scoring!$A$4:$O$51,15,FALSE()),0)+3*IFERROR(VLOOKUP(INDEX(' Toto teams'!$D$4:$D$119,MATCH($B84,' Toto teams'!$A$4:$A$119,0)),Scoring!$A$4:$O$51,15,FALSE()),0)+2*IFERROR(VLOOKUP(INDEX(' Toto teams'!$E$4:$E$119,MATCH($B84,' Toto teams'!$A$4:$A$119,0)),Scoring!$A$4:$O$51,15,FALSE()),0)+1*IFERROR(VLOOKUP(INDEX(' Toto teams'!$F$4:$F$119,MATCH($B84,' Toto teams'!$A$4:$A$119,0)),Scoring!$A$4:$O$51,15,FALSE()),0)+1*IFERROR(VLOOKUP(INDEX(' Toto teams'!$G$4:$G$119,MATCH($B84,' Toto teams'!$A$4:$A$119,0)),Scoring!$A$4:$O$51,15,FALSE()),0)+1*IFERROR(VLOOKUP(INDEX(' Toto teams'!$H$4:$H$119,MATCH($B84,' Toto teams'!$A$4:$A$119,0)),Scoring!$A$4:$O$51,15,FALSE()),0))</f>
        <v/>
      </c>
      <c r="J84" s="28">
        <f>IF($B84="","",6*IFERROR(VLOOKUP(INDEX(' Toto teams'!$B$4:$B$119,MATCH($B84,' Toto teams'!$A$4:$A$119,0)),Scoring!$A$4:$N$51,12,FALSE()),0)+4*IFERROR(VLOOKUP(INDEX(' Toto teams'!$C$4:$C$119,MATCH($B84,' Toto teams'!$A$4:$A$119,0)),Scoring!$A$4:$N$51,12,FALSE()),0)+3*IFERROR(VLOOKUP(INDEX(' Toto teams'!$D$4:$D$119,MATCH($B84,' Toto teams'!$A$4:$A$119,0)),Scoring!$A$4:$N$51,12,FALSE()),0)+2*IFERROR(VLOOKUP(INDEX(' Toto teams'!$E$4:$E$119,MATCH($B84,' Toto teams'!$A$4:$A$119,0)),Scoring!$A$4:$N$51,12,FALSE()),0)+1*IFERROR(VLOOKUP(INDEX(' Toto teams'!$F$4:$F$119,MATCH($B84,' Toto teams'!$A$4:$A$119,0)),Scoring!$A$4:$N$51,12,FALSE()),0)+1*IFERROR(VLOOKUP(INDEX(' Toto teams'!$G$4:$G$119,MATCH($B84,' Toto teams'!$A$4:$A$119,0)),Scoring!$A$4:$N$51,12,FALSE()),0)+1*IFERROR(VLOOKUP(INDEX(' Toto teams'!$H$4:$H$119,MATCH($B84,' Toto teams'!$A$4:$A$119,0)),Scoring!$A$4:$N$51,12,FALSE()),0))</f>
        <v/>
      </c>
      <c r="K84" s="29">
        <f>IF($B84="","",IFERROR(INDEX(' Toto teams'!$R$4:$R$119,MATCH($B84,' Toto teams'!$A$4:$A$119,0)),""))</f>
        <v/>
      </c>
      <c r="L84" s="30">
        <f>IFERROR(IF(B84="","",VLOOKUP(A84,$N$4:$R$12,5,FALSE())),0)</f>
        <v/>
      </c>
    </row>
    <row r="85" ht="12.75" customHeight="1">
      <c r="A85" s="26">
        <f>IF(82&gt;COUNTIF(' Toto teams'!$A$4:$A$119,"&lt;&gt;"),"",INDEX(' Toto teams'!$S$4:$S$119,MATCH(LARGE(' Toto teams'!$T$4:$T$119,82),' Toto teams'!$T$4:$T$119,0)))</f>
        <v/>
      </c>
      <c r="B85" s="27">
        <f>IF(82&gt;COUNTIF(' Toto teams'!$A$4:$A$119,"&lt;&gt;"),"",INDEX(' Toto teams'!$A$4:$A$119,MATCH(LARGE(' Toto teams'!$T$4:$T$119,82),' Toto teams'!$T$4:$T$119,0)))</f>
        <v/>
      </c>
      <c r="C85" s="28">
        <f>IF($B85="","",6*(IFERROR(VLOOKUP(INDEX(' Toto teams'!$B$4:$B$119,MATCH($B85,' Toto teams'!$A$4:$A$119,0)),Scoring!$A$4:$N$51,3,FALSE()),0)+IFERROR(VLOOKUP(INDEX(' Toto teams'!$B$4:$B$119,MATCH($B85,' Toto teams'!$A$4:$A$119,0)),Scoring!$A$4:$N$51,4,FALSE()),0)+IFERROR(VLOOKUP(INDEX(' Toto teams'!$B$4:$B$119,MATCH($B85,' Toto teams'!$A$4:$A$119,0)),Scoring!$A$4:$N$51,5,FALSE()),0))+4*(IFERROR(VLOOKUP(INDEX(' Toto teams'!$C$4:$C$119,MATCH($B85,' Toto teams'!$A$4:$A$119,0)),Scoring!$A$4:$N$51,3,FALSE()),0)+IFERROR(VLOOKUP(INDEX(' Toto teams'!$C$4:$C$119,MATCH($B85,' Toto teams'!$A$4:$A$119,0)),Scoring!$A$4:$N$51,4,FALSE()),0)+IFERROR(VLOOKUP(INDEX(' Toto teams'!$C$4:$C$119,MATCH($B85,' Toto teams'!$A$4:$A$119,0)),Scoring!$A$4:$N$51,5,FALSE()),0))+3*(IFERROR(VLOOKUP(INDEX(' Toto teams'!$D$4:$D$119,MATCH($B85,' Toto teams'!$A$4:$A$119,0)),Scoring!$A$4:$N$51,3,FALSE()),0)+IFERROR(VLOOKUP(INDEX(' Toto teams'!$D$4:$D$119,MATCH($B85,' Toto teams'!$A$4:$A$119,0)),Scoring!$A$4:$N$51,4,FALSE()),0)+IFERROR(VLOOKUP(INDEX(' Toto teams'!$D$4:$D$119,MATCH($B85,' Toto teams'!$A$4:$A$119,0)),Scoring!$A$4:$N$51,5,FALSE()),0))+2*(IFERROR(VLOOKUP(INDEX(' Toto teams'!$E$4:$E$119,MATCH($B85,' Toto teams'!$A$4:$A$119,0)),Scoring!$A$4:$N$51,3,FALSE()),0)+IFERROR(VLOOKUP(INDEX(' Toto teams'!$E$4:$E$119,MATCH($B85,' Toto teams'!$A$4:$A$119,0)),Scoring!$A$4:$N$51,4,FALSE()),0)+IFERROR(VLOOKUP(INDEX(' Toto teams'!$E$4:$E$119,MATCH($B85,' Toto teams'!$A$4:$A$119,0)),Scoring!$A$4:$N$51,5,FALSE()),0))+1*(IFERROR(VLOOKUP(INDEX(' Toto teams'!$F$4:$F$119,MATCH($B85,' Toto teams'!$A$4:$A$119,0)),Scoring!$A$4:$N$51,3,FALSE()),0)+IFERROR(VLOOKUP(INDEX(' Toto teams'!$F$4:$F$119,MATCH($B85,' Toto teams'!$A$4:$A$119,0)),Scoring!$A$4:$N$51,4,FALSE()),0)+IFERROR(VLOOKUP(INDEX(' Toto teams'!$F$4:$F$119,MATCH($B85,' Toto teams'!$A$4:$A$119,0)),Scoring!$A$4:$N$51,5,FALSE()),0))+1*(IFERROR(VLOOKUP(INDEX(' Toto teams'!$G$4:$G$119,MATCH($B85,' Toto teams'!$A$4:$A$119,0)),Scoring!$A$4:$N$51,3,FALSE()),0)+IFERROR(VLOOKUP(INDEX(' Toto teams'!$G$4:$G$119,MATCH($B85,' Toto teams'!$A$4:$A$119,0)),Scoring!$A$4:$N$51,4,FALSE()),0)+IFERROR(VLOOKUP(INDEX(' Toto teams'!$G$4:$G$119,MATCH($B85,' Toto teams'!$A$4:$A$119,0)),Scoring!$A$4:$N$51,5,FALSE()),0))+1*(IFERROR(VLOOKUP(INDEX(' Toto teams'!$H$4:$H$119,MATCH($B85,' Toto teams'!$A$4:$A$119,0)),Scoring!$A$4:$N$51,3,FALSE()),0)+IFERROR(VLOOKUP(INDEX(' Toto teams'!$H$4:$H$119,MATCH($B85,' Toto teams'!$A$4:$A$119,0)),Scoring!$A$4:$N$51,4,FALSE()),0)+IFERROR(VLOOKUP(INDEX(' Toto teams'!$H$4:$H$119,MATCH($B85,' Toto teams'!$A$4:$A$119,0)),Scoring!$A$4:$N$51,5,FALSE()),0))+IFERROR(INDEX(' Toto teams'!$Q$4:$Q$119,MATCH($B85,' Toto teams'!$A$4:$A$119,0))*1,0))</f>
        <v/>
      </c>
      <c r="D85" s="28">
        <f>IF($B85="","",6*IFERROR(VLOOKUP(INDEX(' Toto teams'!$B$4:$B$119,MATCH($B85,' Toto teams'!$A$4:$A$119,0)),Scoring!$A$4:$N$51,7,FALSE()),0)+4*IFERROR(VLOOKUP(INDEX(' Toto teams'!$C$4:$C$119,MATCH($B85,' Toto teams'!$A$4:$A$119,0)),Scoring!$A$4:$N$51,7,FALSE()),0)+3*IFERROR(VLOOKUP(INDEX(' Toto teams'!$D$4:$D$119,MATCH($B85,' Toto teams'!$A$4:$A$119,0)),Scoring!$A$4:$N$51,7,FALSE()),0)+2*IFERROR(VLOOKUP(INDEX(' Toto teams'!$E$4:$E$119,MATCH($B85,' Toto teams'!$A$4:$A$119,0)),Scoring!$A$4:$N$51,7,FALSE()),0)+1*IFERROR(VLOOKUP(INDEX(' Toto teams'!$F$4:$F$119,MATCH($B85,' Toto teams'!$A$4:$A$119,0)),Scoring!$A$4:$N$51,7,FALSE()),0)+1*IFERROR(VLOOKUP(INDEX(' Toto teams'!$G$4:$G$119,MATCH($B85,' Toto teams'!$A$4:$A$119,0)),Scoring!$A$4:$N$51,7,FALSE()),0)+1*IFERROR(VLOOKUP(INDEX(' Toto teams'!$H$4:$H$119,MATCH($B85,' Toto teams'!$A$4:$A$119,0)),Scoring!$A$4:$N$51,7,FALSE()),0))</f>
        <v/>
      </c>
      <c r="E85" s="28">
        <f>IF($B85="","",6*IFERROR(VLOOKUP(INDEX(' Toto teams'!$B$4:$B$119,MATCH($B85,' Toto teams'!$A$4:$A$119,0)),Scoring!$A$4:$N$51,8,FALSE()),0)+4*IFERROR(VLOOKUP(INDEX(' Toto teams'!$C$4:$C$119,MATCH($B85,' Toto teams'!$A$4:$A$119,0)),Scoring!$A$4:$N$51,8,FALSE()),0)+3*IFERROR(VLOOKUP(INDEX(' Toto teams'!$D$4:$D$119,MATCH($B85,' Toto teams'!$A$4:$A$119,0)),Scoring!$A$4:$N$51,8,FALSE()),0)+2*IFERROR(VLOOKUP(INDEX(' Toto teams'!$E$4:$E$119,MATCH($B85,' Toto teams'!$A$4:$A$119,0)),Scoring!$A$4:$N$51,8,FALSE()),0)+1*IFERROR(VLOOKUP(INDEX(' Toto teams'!$F$4:$F$119,MATCH($B85,' Toto teams'!$A$4:$A$119,0)),Scoring!$A$4:$N$51,8,FALSE()),0)+1*IFERROR(VLOOKUP(INDEX(' Toto teams'!$G$4:$G$119,MATCH($B85,' Toto teams'!$A$4:$A$119,0)),Scoring!$A$4:$N$51,8,FALSE()),0)+1*IFERROR(VLOOKUP(INDEX(' Toto teams'!$H$4:$H$119,MATCH($B85,' Toto teams'!$A$4:$A$119,0)),Scoring!$A$4:$N$51,8,FALSE()),0))</f>
        <v/>
      </c>
      <c r="F85" s="28">
        <f>IF($B85="","",6*IFERROR(VLOOKUP(INDEX(' Toto teams'!$B$4:$B$119,MATCH($B85,' Toto teams'!$A$4:$A$119,0)),Scoring!$A$4:$N$51,9,FALSE()),0)+4*IFERROR(VLOOKUP(INDEX(' Toto teams'!$C$4:$C$119,MATCH($B85,' Toto teams'!$A$4:$A$119,0)),Scoring!$A$4:$N$51,9,FALSE()),0)+3*IFERROR(VLOOKUP(INDEX(' Toto teams'!$D$4:$D$119,MATCH($B85,' Toto teams'!$A$4:$A$119,0)),Scoring!$A$4:$N$51,9,FALSE()),0)+2*IFERROR(VLOOKUP(INDEX(' Toto teams'!$E$4:$E$119,MATCH($B85,' Toto teams'!$A$4:$A$119,0)),Scoring!$A$4:$N$51,9,FALSE()),0)+1*IFERROR(VLOOKUP(INDEX(' Toto teams'!$F$4:$F$119,MATCH($B85,' Toto teams'!$A$4:$A$119,0)),Scoring!$A$4:$N$51,9,FALSE()),0)+1*IFERROR(VLOOKUP(INDEX(' Toto teams'!$G$4:$G$119,MATCH($B85,' Toto teams'!$A$4:$A$119,0)),Scoring!$A$4:$N$51,9,FALSE()),0)+1*IFERROR(VLOOKUP(INDEX(' Toto teams'!$H$4:$H$119,MATCH($B85,' Toto teams'!$A$4:$A$119,0)),Scoring!$A$4:$N$51,9,FALSE()),0))</f>
        <v/>
      </c>
      <c r="G85" s="28">
        <f>IF($B85="","",6*IFERROR(VLOOKUP(INDEX(' Toto teams'!$B$4:$B$119,MATCH($B85,' Toto teams'!$A$4:$A$119,0)),Scoring!$A$4:$N$51,10,FALSE()),0)+4*IFERROR(VLOOKUP(INDEX(' Toto teams'!$C$4:$C$119,MATCH($B85,' Toto teams'!$A$4:$A$119,0)),Scoring!$A$4:$N$51,10,FALSE()),0)+3*IFERROR(VLOOKUP(INDEX(' Toto teams'!$D$4:$D$119,MATCH($B85,' Toto teams'!$A$4:$A$119,0)),Scoring!$A$4:$N$51,10,FALSE()),0)+2*IFERROR(VLOOKUP(INDEX(' Toto teams'!$E$4:$E$119,MATCH($B85,' Toto teams'!$A$4:$A$119,0)),Scoring!$A$4:$N$51,10,FALSE()),0)+1*IFERROR(VLOOKUP(INDEX(' Toto teams'!$F$4:$F$119,MATCH($B85,' Toto teams'!$A$4:$A$119,0)),Scoring!$A$4:$N$51,10,FALSE()),0)+1*IFERROR(VLOOKUP(INDEX(' Toto teams'!$G$4:$G$119,MATCH($B85,' Toto teams'!$A$4:$A$119,0)),Scoring!$A$4:$N$51,10,FALSE()),0)+1*IFERROR(VLOOKUP(INDEX(' Toto teams'!$H$4:$H$119,MATCH($B85,' Toto teams'!$A$4:$A$119,0)),Scoring!$A$4:$N$51,10,FALSE()),0))</f>
        <v/>
      </c>
      <c r="H85" s="28">
        <f>IF($B85="","",6*IFERROR(VLOOKUP(INDEX(' Toto teams'!$B$4:$B$119,MATCH($B85,' Toto teams'!$A$4:$A$119,0)),Scoring!$A$4:$N$51,11,FALSE()),0)+4*IFERROR(VLOOKUP(INDEX(' Toto teams'!$C$4:$C$119,MATCH($B85,' Toto teams'!$A$4:$A$119,0)),Scoring!$A$4:$N$51,11,FALSE()),0)+3*IFERROR(VLOOKUP(INDEX(' Toto teams'!$D$4:$D$119,MATCH($B85,' Toto teams'!$A$4:$A$119,0)),Scoring!$A$4:$N$51,11,FALSE()),0)+2*IFERROR(VLOOKUP(INDEX(' Toto teams'!$E$4:$E$119,MATCH($B85,' Toto teams'!$A$4:$A$119,0)),Scoring!$A$4:$N$51,11,FALSE()),0)+1*IFERROR(VLOOKUP(INDEX(' Toto teams'!$F$4:$F$119,MATCH($B85,' Toto teams'!$A$4:$A$119,0)),Scoring!$A$4:$N$51,11,FALSE()),0)+1*IFERROR(VLOOKUP(INDEX(' Toto teams'!$G$4:$G$119,MATCH($B85,' Toto teams'!$A$4:$A$119,0)),Scoring!$A$4:$N$51,11,FALSE()),0)+1*IFERROR(VLOOKUP(INDEX(' Toto teams'!$H$4:$H$119,MATCH($B85,' Toto teams'!$A$4:$A$119,0)),Scoring!$A$4:$N$51,11,FALSE()),0))</f>
        <v/>
      </c>
      <c r="I85" s="28">
        <f>IF($B85="","",6*IFERROR(VLOOKUP(INDEX(' Toto teams'!$B$4:$B$119,MATCH($B85,' Toto teams'!$A$4:$A$119,0)),Scoring!$A$4:$O$51,15,FALSE()),0)+4*IFERROR(VLOOKUP(INDEX(' Toto teams'!$C$4:$C$119,MATCH($B85,' Toto teams'!$A$4:$A$119,0)),Scoring!$A$4:$O$51,15,FALSE()),0)+3*IFERROR(VLOOKUP(INDEX(' Toto teams'!$D$4:$D$119,MATCH($B85,' Toto teams'!$A$4:$A$119,0)),Scoring!$A$4:$O$51,15,FALSE()),0)+2*IFERROR(VLOOKUP(INDEX(' Toto teams'!$E$4:$E$119,MATCH($B85,' Toto teams'!$A$4:$A$119,0)),Scoring!$A$4:$O$51,15,FALSE()),0)+1*IFERROR(VLOOKUP(INDEX(' Toto teams'!$F$4:$F$119,MATCH($B85,' Toto teams'!$A$4:$A$119,0)),Scoring!$A$4:$O$51,15,FALSE()),0)+1*IFERROR(VLOOKUP(INDEX(' Toto teams'!$G$4:$G$119,MATCH($B85,' Toto teams'!$A$4:$A$119,0)),Scoring!$A$4:$O$51,15,FALSE()),0)+1*IFERROR(VLOOKUP(INDEX(' Toto teams'!$H$4:$H$119,MATCH($B85,' Toto teams'!$A$4:$A$119,0)),Scoring!$A$4:$O$51,15,FALSE()),0))</f>
        <v/>
      </c>
      <c r="J85" s="28">
        <f>IF($B85="","",6*IFERROR(VLOOKUP(INDEX(' Toto teams'!$B$4:$B$119,MATCH($B85,' Toto teams'!$A$4:$A$119,0)),Scoring!$A$4:$N$51,12,FALSE()),0)+4*IFERROR(VLOOKUP(INDEX(' Toto teams'!$C$4:$C$119,MATCH($B85,' Toto teams'!$A$4:$A$119,0)),Scoring!$A$4:$N$51,12,FALSE()),0)+3*IFERROR(VLOOKUP(INDEX(' Toto teams'!$D$4:$D$119,MATCH($B85,' Toto teams'!$A$4:$A$119,0)),Scoring!$A$4:$N$51,12,FALSE()),0)+2*IFERROR(VLOOKUP(INDEX(' Toto teams'!$E$4:$E$119,MATCH($B85,' Toto teams'!$A$4:$A$119,0)),Scoring!$A$4:$N$51,12,FALSE()),0)+1*IFERROR(VLOOKUP(INDEX(' Toto teams'!$F$4:$F$119,MATCH($B85,' Toto teams'!$A$4:$A$119,0)),Scoring!$A$4:$N$51,12,FALSE()),0)+1*IFERROR(VLOOKUP(INDEX(' Toto teams'!$G$4:$G$119,MATCH($B85,' Toto teams'!$A$4:$A$119,0)),Scoring!$A$4:$N$51,12,FALSE()),0)+1*IFERROR(VLOOKUP(INDEX(' Toto teams'!$H$4:$H$119,MATCH($B85,' Toto teams'!$A$4:$A$119,0)),Scoring!$A$4:$N$51,12,FALSE()),0))</f>
        <v/>
      </c>
      <c r="K85" s="29">
        <f>IF($B85="","",IFERROR(INDEX(' Toto teams'!$R$4:$R$119,MATCH($B85,' Toto teams'!$A$4:$A$119,0)),""))</f>
        <v/>
      </c>
      <c r="L85" s="30">
        <f>IFERROR(IF(B85="","",VLOOKUP(A85,$N$4:$R$12,5,FALSE())),0)</f>
        <v/>
      </c>
    </row>
    <row r="86" ht="12.75" customHeight="1">
      <c r="A86" s="26">
        <f>IF(83&gt;COUNTIF(' Toto teams'!$A$4:$A$119,"&lt;&gt;"),"",INDEX(' Toto teams'!$S$4:$S$119,MATCH(LARGE(' Toto teams'!$T$4:$T$119,83),' Toto teams'!$T$4:$T$119,0)))</f>
        <v/>
      </c>
      <c r="B86" s="27">
        <f>IF(83&gt;COUNTIF(' Toto teams'!$A$4:$A$119,"&lt;&gt;"),"",INDEX(' Toto teams'!$A$4:$A$119,MATCH(LARGE(' Toto teams'!$T$4:$T$119,83),' Toto teams'!$T$4:$T$119,0)))</f>
        <v/>
      </c>
      <c r="C86" s="28">
        <f>IF($B86="","",6*(IFERROR(VLOOKUP(INDEX(' Toto teams'!$B$4:$B$119,MATCH($B86,' Toto teams'!$A$4:$A$119,0)),Scoring!$A$4:$N$51,3,FALSE()),0)+IFERROR(VLOOKUP(INDEX(' Toto teams'!$B$4:$B$119,MATCH($B86,' Toto teams'!$A$4:$A$119,0)),Scoring!$A$4:$N$51,4,FALSE()),0)+IFERROR(VLOOKUP(INDEX(' Toto teams'!$B$4:$B$119,MATCH($B86,' Toto teams'!$A$4:$A$119,0)),Scoring!$A$4:$N$51,5,FALSE()),0))+4*(IFERROR(VLOOKUP(INDEX(' Toto teams'!$C$4:$C$119,MATCH($B86,' Toto teams'!$A$4:$A$119,0)),Scoring!$A$4:$N$51,3,FALSE()),0)+IFERROR(VLOOKUP(INDEX(' Toto teams'!$C$4:$C$119,MATCH($B86,' Toto teams'!$A$4:$A$119,0)),Scoring!$A$4:$N$51,4,FALSE()),0)+IFERROR(VLOOKUP(INDEX(' Toto teams'!$C$4:$C$119,MATCH($B86,' Toto teams'!$A$4:$A$119,0)),Scoring!$A$4:$N$51,5,FALSE()),0))+3*(IFERROR(VLOOKUP(INDEX(' Toto teams'!$D$4:$D$119,MATCH($B86,' Toto teams'!$A$4:$A$119,0)),Scoring!$A$4:$N$51,3,FALSE()),0)+IFERROR(VLOOKUP(INDEX(' Toto teams'!$D$4:$D$119,MATCH($B86,' Toto teams'!$A$4:$A$119,0)),Scoring!$A$4:$N$51,4,FALSE()),0)+IFERROR(VLOOKUP(INDEX(' Toto teams'!$D$4:$D$119,MATCH($B86,' Toto teams'!$A$4:$A$119,0)),Scoring!$A$4:$N$51,5,FALSE()),0))+2*(IFERROR(VLOOKUP(INDEX(' Toto teams'!$E$4:$E$119,MATCH($B86,' Toto teams'!$A$4:$A$119,0)),Scoring!$A$4:$N$51,3,FALSE()),0)+IFERROR(VLOOKUP(INDEX(' Toto teams'!$E$4:$E$119,MATCH($B86,' Toto teams'!$A$4:$A$119,0)),Scoring!$A$4:$N$51,4,FALSE()),0)+IFERROR(VLOOKUP(INDEX(' Toto teams'!$E$4:$E$119,MATCH($B86,' Toto teams'!$A$4:$A$119,0)),Scoring!$A$4:$N$51,5,FALSE()),0))+1*(IFERROR(VLOOKUP(INDEX(' Toto teams'!$F$4:$F$119,MATCH($B86,' Toto teams'!$A$4:$A$119,0)),Scoring!$A$4:$N$51,3,FALSE()),0)+IFERROR(VLOOKUP(INDEX(' Toto teams'!$F$4:$F$119,MATCH($B86,' Toto teams'!$A$4:$A$119,0)),Scoring!$A$4:$N$51,4,FALSE()),0)+IFERROR(VLOOKUP(INDEX(' Toto teams'!$F$4:$F$119,MATCH($B86,' Toto teams'!$A$4:$A$119,0)),Scoring!$A$4:$N$51,5,FALSE()),0))+1*(IFERROR(VLOOKUP(INDEX(' Toto teams'!$G$4:$G$119,MATCH($B86,' Toto teams'!$A$4:$A$119,0)),Scoring!$A$4:$N$51,3,FALSE()),0)+IFERROR(VLOOKUP(INDEX(' Toto teams'!$G$4:$G$119,MATCH($B86,' Toto teams'!$A$4:$A$119,0)),Scoring!$A$4:$N$51,4,FALSE()),0)+IFERROR(VLOOKUP(INDEX(' Toto teams'!$G$4:$G$119,MATCH($B86,' Toto teams'!$A$4:$A$119,0)),Scoring!$A$4:$N$51,5,FALSE()),0))+1*(IFERROR(VLOOKUP(INDEX(' Toto teams'!$H$4:$H$119,MATCH($B86,' Toto teams'!$A$4:$A$119,0)),Scoring!$A$4:$N$51,3,FALSE()),0)+IFERROR(VLOOKUP(INDEX(' Toto teams'!$H$4:$H$119,MATCH($B86,' Toto teams'!$A$4:$A$119,0)),Scoring!$A$4:$N$51,4,FALSE()),0)+IFERROR(VLOOKUP(INDEX(' Toto teams'!$H$4:$H$119,MATCH($B86,' Toto teams'!$A$4:$A$119,0)),Scoring!$A$4:$N$51,5,FALSE()),0))+IFERROR(INDEX(' Toto teams'!$Q$4:$Q$119,MATCH($B86,' Toto teams'!$A$4:$A$119,0))*1,0))</f>
        <v/>
      </c>
      <c r="D86" s="28">
        <f>IF($B86="","",6*IFERROR(VLOOKUP(INDEX(' Toto teams'!$B$4:$B$119,MATCH($B86,' Toto teams'!$A$4:$A$119,0)),Scoring!$A$4:$N$51,7,FALSE()),0)+4*IFERROR(VLOOKUP(INDEX(' Toto teams'!$C$4:$C$119,MATCH($B86,' Toto teams'!$A$4:$A$119,0)),Scoring!$A$4:$N$51,7,FALSE()),0)+3*IFERROR(VLOOKUP(INDEX(' Toto teams'!$D$4:$D$119,MATCH($B86,' Toto teams'!$A$4:$A$119,0)),Scoring!$A$4:$N$51,7,FALSE()),0)+2*IFERROR(VLOOKUP(INDEX(' Toto teams'!$E$4:$E$119,MATCH($B86,' Toto teams'!$A$4:$A$119,0)),Scoring!$A$4:$N$51,7,FALSE()),0)+1*IFERROR(VLOOKUP(INDEX(' Toto teams'!$F$4:$F$119,MATCH($B86,' Toto teams'!$A$4:$A$119,0)),Scoring!$A$4:$N$51,7,FALSE()),0)+1*IFERROR(VLOOKUP(INDEX(' Toto teams'!$G$4:$G$119,MATCH($B86,' Toto teams'!$A$4:$A$119,0)),Scoring!$A$4:$N$51,7,FALSE()),0)+1*IFERROR(VLOOKUP(INDEX(' Toto teams'!$H$4:$H$119,MATCH($B86,' Toto teams'!$A$4:$A$119,0)),Scoring!$A$4:$N$51,7,FALSE()),0))</f>
        <v/>
      </c>
      <c r="E86" s="28">
        <f>IF($B86="","",6*IFERROR(VLOOKUP(INDEX(' Toto teams'!$B$4:$B$119,MATCH($B86,' Toto teams'!$A$4:$A$119,0)),Scoring!$A$4:$N$51,8,FALSE()),0)+4*IFERROR(VLOOKUP(INDEX(' Toto teams'!$C$4:$C$119,MATCH($B86,' Toto teams'!$A$4:$A$119,0)),Scoring!$A$4:$N$51,8,FALSE()),0)+3*IFERROR(VLOOKUP(INDEX(' Toto teams'!$D$4:$D$119,MATCH($B86,' Toto teams'!$A$4:$A$119,0)),Scoring!$A$4:$N$51,8,FALSE()),0)+2*IFERROR(VLOOKUP(INDEX(' Toto teams'!$E$4:$E$119,MATCH($B86,' Toto teams'!$A$4:$A$119,0)),Scoring!$A$4:$N$51,8,FALSE()),0)+1*IFERROR(VLOOKUP(INDEX(' Toto teams'!$F$4:$F$119,MATCH($B86,' Toto teams'!$A$4:$A$119,0)),Scoring!$A$4:$N$51,8,FALSE()),0)+1*IFERROR(VLOOKUP(INDEX(' Toto teams'!$G$4:$G$119,MATCH($B86,' Toto teams'!$A$4:$A$119,0)),Scoring!$A$4:$N$51,8,FALSE()),0)+1*IFERROR(VLOOKUP(INDEX(' Toto teams'!$H$4:$H$119,MATCH($B86,' Toto teams'!$A$4:$A$119,0)),Scoring!$A$4:$N$51,8,FALSE()),0))</f>
        <v/>
      </c>
      <c r="F86" s="28">
        <f>IF($B86="","",6*IFERROR(VLOOKUP(INDEX(' Toto teams'!$B$4:$B$119,MATCH($B86,' Toto teams'!$A$4:$A$119,0)),Scoring!$A$4:$N$51,9,FALSE()),0)+4*IFERROR(VLOOKUP(INDEX(' Toto teams'!$C$4:$C$119,MATCH($B86,' Toto teams'!$A$4:$A$119,0)),Scoring!$A$4:$N$51,9,FALSE()),0)+3*IFERROR(VLOOKUP(INDEX(' Toto teams'!$D$4:$D$119,MATCH($B86,' Toto teams'!$A$4:$A$119,0)),Scoring!$A$4:$N$51,9,FALSE()),0)+2*IFERROR(VLOOKUP(INDEX(' Toto teams'!$E$4:$E$119,MATCH($B86,' Toto teams'!$A$4:$A$119,0)),Scoring!$A$4:$N$51,9,FALSE()),0)+1*IFERROR(VLOOKUP(INDEX(' Toto teams'!$F$4:$F$119,MATCH($B86,' Toto teams'!$A$4:$A$119,0)),Scoring!$A$4:$N$51,9,FALSE()),0)+1*IFERROR(VLOOKUP(INDEX(' Toto teams'!$G$4:$G$119,MATCH($B86,' Toto teams'!$A$4:$A$119,0)),Scoring!$A$4:$N$51,9,FALSE()),0)+1*IFERROR(VLOOKUP(INDEX(' Toto teams'!$H$4:$H$119,MATCH($B86,' Toto teams'!$A$4:$A$119,0)),Scoring!$A$4:$N$51,9,FALSE()),0))</f>
        <v/>
      </c>
      <c r="G86" s="28">
        <f>IF($B86="","",6*IFERROR(VLOOKUP(INDEX(' Toto teams'!$B$4:$B$119,MATCH($B86,' Toto teams'!$A$4:$A$119,0)),Scoring!$A$4:$N$51,10,FALSE()),0)+4*IFERROR(VLOOKUP(INDEX(' Toto teams'!$C$4:$C$119,MATCH($B86,' Toto teams'!$A$4:$A$119,0)),Scoring!$A$4:$N$51,10,FALSE()),0)+3*IFERROR(VLOOKUP(INDEX(' Toto teams'!$D$4:$D$119,MATCH($B86,' Toto teams'!$A$4:$A$119,0)),Scoring!$A$4:$N$51,10,FALSE()),0)+2*IFERROR(VLOOKUP(INDEX(' Toto teams'!$E$4:$E$119,MATCH($B86,' Toto teams'!$A$4:$A$119,0)),Scoring!$A$4:$N$51,10,FALSE()),0)+1*IFERROR(VLOOKUP(INDEX(' Toto teams'!$F$4:$F$119,MATCH($B86,' Toto teams'!$A$4:$A$119,0)),Scoring!$A$4:$N$51,10,FALSE()),0)+1*IFERROR(VLOOKUP(INDEX(' Toto teams'!$G$4:$G$119,MATCH($B86,' Toto teams'!$A$4:$A$119,0)),Scoring!$A$4:$N$51,10,FALSE()),0)+1*IFERROR(VLOOKUP(INDEX(' Toto teams'!$H$4:$H$119,MATCH($B86,' Toto teams'!$A$4:$A$119,0)),Scoring!$A$4:$N$51,10,FALSE()),0))</f>
        <v/>
      </c>
      <c r="H86" s="28">
        <f>IF($B86="","",6*IFERROR(VLOOKUP(INDEX(' Toto teams'!$B$4:$B$119,MATCH($B86,' Toto teams'!$A$4:$A$119,0)),Scoring!$A$4:$N$51,11,FALSE()),0)+4*IFERROR(VLOOKUP(INDEX(' Toto teams'!$C$4:$C$119,MATCH($B86,' Toto teams'!$A$4:$A$119,0)),Scoring!$A$4:$N$51,11,FALSE()),0)+3*IFERROR(VLOOKUP(INDEX(' Toto teams'!$D$4:$D$119,MATCH($B86,' Toto teams'!$A$4:$A$119,0)),Scoring!$A$4:$N$51,11,FALSE()),0)+2*IFERROR(VLOOKUP(INDEX(' Toto teams'!$E$4:$E$119,MATCH($B86,' Toto teams'!$A$4:$A$119,0)),Scoring!$A$4:$N$51,11,FALSE()),0)+1*IFERROR(VLOOKUP(INDEX(' Toto teams'!$F$4:$F$119,MATCH($B86,' Toto teams'!$A$4:$A$119,0)),Scoring!$A$4:$N$51,11,FALSE()),0)+1*IFERROR(VLOOKUP(INDEX(' Toto teams'!$G$4:$G$119,MATCH($B86,' Toto teams'!$A$4:$A$119,0)),Scoring!$A$4:$N$51,11,FALSE()),0)+1*IFERROR(VLOOKUP(INDEX(' Toto teams'!$H$4:$H$119,MATCH($B86,' Toto teams'!$A$4:$A$119,0)),Scoring!$A$4:$N$51,11,FALSE()),0))</f>
        <v/>
      </c>
      <c r="I86" s="28">
        <f>IF($B86="","",6*IFERROR(VLOOKUP(INDEX(' Toto teams'!$B$4:$B$119,MATCH($B86,' Toto teams'!$A$4:$A$119,0)),Scoring!$A$4:$O$51,15,FALSE()),0)+4*IFERROR(VLOOKUP(INDEX(' Toto teams'!$C$4:$C$119,MATCH($B86,' Toto teams'!$A$4:$A$119,0)),Scoring!$A$4:$O$51,15,FALSE()),0)+3*IFERROR(VLOOKUP(INDEX(' Toto teams'!$D$4:$D$119,MATCH($B86,' Toto teams'!$A$4:$A$119,0)),Scoring!$A$4:$O$51,15,FALSE()),0)+2*IFERROR(VLOOKUP(INDEX(' Toto teams'!$E$4:$E$119,MATCH($B86,' Toto teams'!$A$4:$A$119,0)),Scoring!$A$4:$O$51,15,FALSE()),0)+1*IFERROR(VLOOKUP(INDEX(' Toto teams'!$F$4:$F$119,MATCH($B86,' Toto teams'!$A$4:$A$119,0)),Scoring!$A$4:$O$51,15,FALSE()),0)+1*IFERROR(VLOOKUP(INDEX(' Toto teams'!$G$4:$G$119,MATCH($B86,' Toto teams'!$A$4:$A$119,0)),Scoring!$A$4:$O$51,15,FALSE()),0)+1*IFERROR(VLOOKUP(INDEX(' Toto teams'!$H$4:$H$119,MATCH($B86,' Toto teams'!$A$4:$A$119,0)),Scoring!$A$4:$O$51,15,FALSE()),0))</f>
        <v/>
      </c>
      <c r="J86" s="28">
        <f>IF($B86="","",6*IFERROR(VLOOKUP(INDEX(' Toto teams'!$B$4:$B$119,MATCH($B86,' Toto teams'!$A$4:$A$119,0)),Scoring!$A$4:$N$51,12,FALSE()),0)+4*IFERROR(VLOOKUP(INDEX(' Toto teams'!$C$4:$C$119,MATCH($B86,' Toto teams'!$A$4:$A$119,0)),Scoring!$A$4:$N$51,12,FALSE()),0)+3*IFERROR(VLOOKUP(INDEX(' Toto teams'!$D$4:$D$119,MATCH($B86,' Toto teams'!$A$4:$A$119,0)),Scoring!$A$4:$N$51,12,FALSE()),0)+2*IFERROR(VLOOKUP(INDEX(' Toto teams'!$E$4:$E$119,MATCH($B86,' Toto teams'!$A$4:$A$119,0)),Scoring!$A$4:$N$51,12,FALSE()),0)+1*IFERROR(VLOOKUP(INDEX(' Toto teams'!$F$4:$F$119,MATCH($B86,' Toto teams'!$A$4:$A$119,0)),Scoring!$A$4:$N$51,12,FALSE()),0)+1*IFERROR(VLOOKUP(INDEX(' Toto teams'!$G$4:$G$119,MATCH($B86,' Toto teams'!$A$4:$A$119,0)),Scoring!$A$4:$N$51,12,FALSE()),0)+1*IFERROR(VLOOKUP(INDEX(' Toto teams'!$H$4:$H$119,MATCH($B86,' Toto teams'!$A$4:$A$119,0)),Scoring!$A$4:$N$51,12,FALSE()),0))</f>
        <v/>
      </c>
      <c r="K86" s="29">
        <f>IF($B86="","",IFERROR(INDEX(' Toto teams'!$R$4:$R$119,MATCH($B86,' Toto teams'!$A$4:$A$119,0)),""))</f>
        <v/>
      </c>
      <c r="L86" s="30">
        <f>IFERROR(IF(B86="","",VLOOKUP(A86,$N$4:$R$12,5,FALSE())),0)</f>
        <v/>
      </c>
    </row>
    <row r="87" ht="12.75" customHeight="1">
      <c r="A87" s="26">
        <f>IF(84&gt;COUNTIF(' Toto teams'!$A$4:$A$119,"&lt;&gt;"),"",INDEX(' Toto teams'!$S$4:$S$119,MATCH(LARGE(' Toto teams'!$T$4:$T$119,84),' Toto teams'!$T$4:$T$119,0)))</f>
        <v/>
      </c>
      <c r="B87" s="27">
        <f>IF(84&gt;COUNTIF(' Toto teams'!$A$4:$A$119,"&lt;&gt;"),"",INDEX(' Toto teams'!$A$4:$A$119,MATCH(LARGE(' Toto teams'!$T$4:$T$119,84),' Toto teams'!$T$4:$T$119,0)))</f>
        <v/>
      </c>
      <c r="C87" s="28">
        <f>IF($B87="","",6*(IFERROR(VLOOKUP(INDEX(' Toto teams'!$B$4:$B$119,MATCH($B87,' Toto teams'!$A$4:$A$119,0)),Scoring!$A$4:$N$51,3,FALSE()),0)+IFERROR(VLOOKUP(INDEX(' Toto teams'!$B$4:$B$119,MATCH($B87,' Toto teams'!$A$4:$A$119,0)),Scoring!$A$4:$N$51,4,FALSE()),0)+IFERROR(VLOOKUP(INDEX(' Toto teams'!$B$4:$B$119,MATCH($B87,' Toto teams'!$A$4:$A$119,0)),Scoring!$A$4:$N$51,5,FALSE()),0))+4*(IFERROR(VLOOKUP(INDEX(' Toto teams'!$C$4:$C$119,MATCH($B87,' Toto teams'!$A$4:$A$119,0)),Scoring!$A$4:$N$51,3,FALSE()),0)+IFERROR(VLOOKUP(INDEX(' Toto teams'!$C$4:$C$119,MATCH($B87,' Toto teams'!$A$4:$A$119,0)),Scoring!$A$4:$N$51,4,FALSE()),0)+IFERROR(VLOOKUP(INDEX(' Toto teams'!$C$4:$C$119,MATCH($B87,' Toto teams'!$A$4:$A$119,0)),Scoring!$A$4:$N$51,5,FALSE()),0))+3*(IFERROR(VLOOKUP(INDEX(' Toto teams'!$D$4:$D$119,MATCH($B87,' Toto teams'!$A$4:$A$119,0)),Scoring!$A$4:$N$51,3,FALSE()),0)+IFERROR(VLOOKUP(INDEX(' Toto teams'!$D$4:$D$119,MATCH($B87,' Toto teams'!$A$4:$A$119,0)),Scoring!$A$4:$N$51,4,FALSE()),0)+IFERROR(VLOOKUP(INDEX(' Toto teams'!$D$4:$D$119,MATCH($B87,' Toto teams'!$A$4:$A$119,0)),Scoring!$A$4:$N$51,5,FALSE()),0))+2*(IFERROR(VLOOKUP(INDEX(' Toto teams'!$E$4:$E$119,MATCH($B87,' Toto teams'!$A$4:$A$119,0)),Scoring!$A$4:$N$51,3,FALSE()),0)+IFERROR(VLOOKUP(INDEX(' Toto teams'!$E$4:$E$119,MATCH($B87,' Toto teams'!$A$4:$A$119,0)),Scoring!$A$4:$N$51,4,FALSE()),0)+IFERROR(VLOOKUP(INDEX(' Toto teams'!$E$4:$E$119,MATCH($B87,' Toto teams'!$A$4:$A$119,0)),Scoring!$A$4:$N$51,5,FALSE()),0))+1*(IFERROR(VLOOKUP(INDEX(' Toto teams'!$F$4:$F$119,MATCH($B87,' Toto teams'!$A$4:$A$119,0)),Scoring!$A$4:$N$51,3,FALSE()),0)+IFERROR(VLOOKUP(INDEX(' Toto teams'!$F$4:$F$119,MATCH($B87,' Toto teams'!$A$4:$A$119,0)),Scoring!$A$4:$N$51,4,FALSE()),0)+IFERROR(VLOOKUP(INDEX(' Toto teams'!$F$4:$F$119,MATCH($B87,' Toto teams'!$A$4:$A$119,0)),Scoring!$A$4:$N$51,5,FALSE()),0))+1*(IFERROR(VLOOKUP(INDEX(' Toto teams'!$G$4:$G$119,MATCH($B87,' Toto teams'!$A$4:$A$119,0)),Scoring!$A$4:$N$51,3,FALSE()),0)+IFERROR(VLOOKUP(INDEX(' Toto teams'!$G$4:$G$119,MATCH($B87,' Toto teams'!$A$4:$A$119,0)),Scoring!$A$4:$N$51,4,FALSE()),0)+IFERROR(VLOOKUP(INDEX(' Toto teams'!$G$4:$G$119,MATCH($B87,' Toto teams'!$A$4:$A$119,0)),Scoring!$A$4:$N$51,5,FALSE()),0))+1*(IFERROR(VLOOKUP(INDEX(' Toto teams'!$H$4:$H$119,MATCH($B87,' Toto teams'!$A$4:$A$119,0)),Scoring!$A$4:$N$51,3,FALSE()),0)+IFERROR(VLOOKUP(INDEX(' Toto teams'!$H$4:$H$119,MATCH($B87,' Toto teams'!$A$4:$A$119,0)),Scoring!$A$4:$N$51,4,FALSE()),0)+IFERROR(VLOOKUP(INDEX(' Toto teams'!$H$4:$H$119,MATCH($B87,' Toto teams'!$A$4:$A$119,0)),Scoring!$A$4:$N$51,5,FALSE()),0))+IFERROR(INDEX(' Toto teams'!$Q$4:$Q$119,MATCH($B87,' Toto teams'!$A$4:$A$119,0))*1,0))</f>
        <v/>
      </c>
      <c r="D87" s="28">
        <f>IF($B87="","",6*IFERROR(VLOOKUP(INDEX(' Toto teams'!$B$4:$B$119,MATCH($B87,' Toto teams'!$A$4:$A$119,0)),Scoring!$A$4:$N$51,7,FALSE()),0)+4*IFERROR(VLOOKUP(INDEX(' Toto teams'!$C$4:$C$119,MATCH($B87,' Toto teams'!$A$4:$A$119,0)),Scoring!$A$4:$N$51,7,FALSE()),0)+3*IFERROR(VLOOKUP(INDEX(' Toto teams'!$D$4:$D$119,MATCH($B87,' Toto teams'!$A$4:$A$119,0)),Scoring!$A$4:$N$51,7,FALSE()),0)+2*IFERROR(VLOOKUP(INDEX(' Toto teams'!$E$4:$E$119,MATCH($B87,' Toto teams'!$A$4:$A$119,0)),Scoring!$A$4:$N$51,7,FALSE()),0)+1*IFERROR(VLOOKUP(INDEX(' Toto teams'!$F$4:$F$119,MATCH($B87,' Toto teams'!$A$4:$A$119,0)),Scoring!$A$4:$N$51,7,FALSE()),0)+1*IFERROR(VLOOKUP(INDEX(' Toto teams'!$G$4:$G$119,MATCH($B87,' Toto teams'!$A$4:$A$119,0)),Scoring!$A$4:$N$51,7,FALSE()),0)+1*IFERROR(VLOOKUP(INDEX(' Toto teams'!$H$4:$H$119,MATCH($B87,' Toto teams'!$A$4:$A$119,0)),Scoring!$A$4:$N$51,7,FALSE()),0))</f>
        <v/>
      </c>
      <c r="E87" s="28">
        <f>IF($B87="","",6*IFERROR(VLOOKUP(INDEX(' Toto teams'!$B$4:$B$119,MATCH($B87,' Toto teams'!$A$4:$A$119,0)),Scoring!$A$4:$N$51,8,FALSE()),0)+4*IFERROR(VLOOKUP(INDEX(' Toto teams'!$C$4:$C$119,MATCH($B87,' Toto teams'!$A$4:$A$119,0)),Scoring!$A$4:$N$51,8,FALSE()),0)+3*IFERROR(VLOOKUP(INDEX(' Toto teams'!$D$4:$D$119,MATCH($B87,' Toto teams'!$A$4:$A$119,0)),Scoring!$A$4:$N$51,8,FALSE()),0)+2*IFERROR(VLOOKUP(INDEX(' Toto teams'!$E$4:$E$119,MATCH($B87,' Toto teams'!$A$4:$A$119,0)),Scoring!$A$4:$N$51,8,FALSE()),0)+1*IFERROR(VLOOKUP(INDEX(' Toto teams'!$F$4:$F$119,MATCH($B87,' Toto teams'!$A$4:$A$119,0)),Scoring!$A$4:$N$51,8,FALSE()),0)+1*IFERROR(VLOOKUP(INDEX(' Toto teams'!$G$4:$G$119,MATCH($B87,' Toto teams'!$A$4:$A$119,0)),Scoring!$A$4:$N$51,8,FALSE()),0)+1*IFERROR(VLOOKUP(INDEX(' Toto teams'!$H$4:$H$119,MATCH($B87,' Toto teams'!$A$4:$A$119,0)),Scoring!$A$4:$N$51,8,FALSE()),0))</f>
        <v/>
      </c>
      <c r="F87" s="28">
        <f>IF($B87="","",6*IFERROR(VLOOKUP(INDEX(' Toto teams'!$B$4:$B$119,MATCH($B87,' Toto teams'!$A$4:$A$119,0)),Scoring!$A$4:$N$51,9,FALSE()),0)+4*IFERROR(VLOOKUP(INDEX(' Toto teams'!$C$4:$C$119,MATCH($B87,' Toto teams'!$A$4:$A$119,0)),Scoring!$A$4:$N$51,9,FALSE()),0)+3*IFERROR(VLOOKUP(INDEX(' Toto teams'!$D$4:$D$119,MATCH($B87,' Toto teams'!$A$4:$A$119,0)),Scoring!$A$4:$N$51,9,FALSE()),0)+2*IFERROR(VLOOKUP(INDEX(' Toto teams'!$E$4:$E$119,MATCH($B87,' Toto teams'!$A$4:$A$119,0)),Scoring!$A$4:$N$51,9,FALSE()),0)+1*IFERROR(VLOOKUP(INDEX(' Toto teams'!$F$4:$F$119,MATCH($B87,' Toto teams'!$A$4:$A$119,0)),Scoring!$A$4:$N$51,9,FALSE()),0)+1*IFERROR(VLOOKUP(INDEX(' Toto teams'!$G$4:$G$119,MATCH($B87,' Toto teams'!$A$4:$A$119,0)),Scoring!$A$4:$N$51,9,FALSE()),0)+1*IFERROR(VLOOKUP(INDEX(' Toto teams'!$H$4:$H$119,MATCH($B87,' Toto teams'!$A$4:$A$119,0)),Scoring!$A$4:$N$51,9,FALSE()),0))</f>
        <v/>
      </c>
      <c r="G87" s="28">
        <f>IF($B87="","",6*IFERROR(VLOOKUP(INDEX(' Toto teams'!$B$4:$B$119,MATCH($B87,' Toto teams'!$A$4:$A$119,0)),Scoring!$A$4:$N$51,10,FALSE()),0)+4*IFERROR(VLOOKUP(INDEX(' Toto teams'!$C$4:$C$119,MATCH($B87,' Toto teams'!$A$4:$A$119,0)),Scoring!$A$4:$N$51,10,FALSE()),0)+3*IFERROR(VLOOKUP(INDEX(' Toto teams'!$D$4:$D$119,MATCH($B87,' Toto teams'!$A$4:$A$119,0)),Scoring!$A$4:$N$51,10,FALSE()),0)+2*IFERROR(VLOOKUP(INDEX(' Toto teams'!$E$4:$E$119,MATCH($B87,' Toto teams'!$A$4:$A$119,0)),Scoring!$A$4:$N$51,10,FALSE()),0)+1*IFERROR(VLOOKUP(INDEX(' Toto teams'!$F$4:$F$119,MATCH($B87,' Toto teams'!$A$4:$A$119,0)),Scoring!$A$4:$N$51,10,FALSE()),0)+1*IFERROR(VLOOKUP(INDEX(' Toto teams'!$G$4:$G$119,MATCH($B87,' Toto teams'!$A$4:$A$119,0)),Scoring!$A$4:$N$51,10,FALSE()),0)+1*IFERROR(VLOOKUP(INDEX(' Toto teams'!$H$4:$H$119,MATCH($B87,' Toto teams'!$A$4:$A$119,0)),Scoring!$A$4:$N$51,10,FALSE()),0))</f>
        <v/>
      </c>
      <c r="H87" s="28">
        <f>IF($B87="","",6*IFERROR(VLOOKUP(INDEX(' Toto teams'!$B$4:$B$119,MATCH($B87,' Toto teams'!$A$4:$A$119,0)),Scoring!$A$4:$N$51,11,FALSE()),0)+4*IFERROR(VLOOKUP(INDEX(' Toto teams'!$C$4:$C$119,MATCH($B87,' Toto teams'!$A$4:$A$119,0)),Scoring!$A$4:$N$51,11,FALSE()),0)+3*IFERROR(VLOOKUP(INDEX(' Toto teams'!$D$4:$D$119,MATCH($B87,' Toto teams'!$A$4:$A$119,0)),Scoring!$A$4:$N$51,11,FALSE()),0)+2*IFERROR(VLOOKUP(INDEX(' Toto teams'!$E$4:$E$119,MATCH($B87,' Toto teams'!$A$4:$A$119,0)),Scoring!$A$4:$N$51,11,FALSE()),0)+1*IFERROR(VLOOKUP(INDEX(' Toto teams'!$F$4:$F$119,MATCH($B87,' Toto teams'!$A$4:$A$119,0)),Scoring!$A$4:$N$51,11,FALSE()),0)+1*IFERROR(VLOOKUP(INDEX(' Toto teams'!$G$4:$G$119,MATCH($B87,' Toto teams'!$A$4:$A$119,0)),Scoring!$A$4:$N$51,11,FALSE()),0)+1*IFERROR(VLOOKUP(INDEX(' Toto teams'!$H$4:$H$119,MATCH($B87,' Toto teams'!$A$4:$A$119,0)),Scoring!$A$4:$N$51,11,FALSE()),0))</f>
        <v/>
      </c>
      <c r="I87" s="28">
        <f>IF($B87="","",6*IFERROR(VLOOKUP(INDEX(' Toto teams'!$B$4:$B$119,MATCH($B87,' Toto teams'!$A$4:$A$119,0)),Scoring!$A$4:$O$51,15,FALSE()),0)+4*IFERROR(VLOOKUP(INDEX(' Toto teams'!$C$4:$C$119,MATCH($B87,' Toto teams'!$A$4:$A$119,0)),Scoring!$A$4:$O$51,15,FALSE()),0)+3*IFERROR(VLOOKUP(INDEX(' Toto teams'!$D$4:$D$119,MATCH($B87,' Toto teams'!$A$4:$A$119,0)),Scoring!$A$4:$O$51,15,FALSE()),0)+2*IFERROR(VLOOKUP(INDEX(' Toto teams'!$E$4:$E$119,MATCH($B87,' Toto teams'!$A$4:$A$119,0)),Scoring!$A$4:$O$51,15,FALSE()),0)+1*IFERROR(VLOOKUP(INDEX(' Toto teams'!$F$4:$F$119,MATCH($B87,' Toto teams'!$A$4:$A$119,0)),Scoring!$A$4:$O$51,15,FALSE()),0)+1*IFERROR(VLOOKUP(INDEX(' Toto teams'!$G$4:$G$119,MATCH($B87,' Toto teams'!$A$4:$A$119,0)),Scoring!$A$4:$O$51,15,FALSE()),0)+1*IFERROR(VLOOKUP(INDEX(' Toto teams'!$H$4:$H$119,MATCH($B87,' Toto teams'!$A$4:$A$119,0)),Scoring!$A$4:$O$51,15,FALSE()),0))</f>
        <v/>
      </c>
      <c r="J87" s="28">
        <f>IF($B87="","",6*IFERROR(VLOOKUP(INDEX(' Toto teams'!$B$4:$B$119,MATCH($B87,' Toto teams'!$A$4:$A$119,0)),Scoring!$A$4:$N$51,12,FALSE()),0)+4*IFERROR(VLOOKUP(INDEX(' Toto teams'!$C$4:$C$119,MATCH($B87,' Toto teams'!$A$4:$A$119,0)),Scoring!$A$4:$N$51,12,FALSE()),0)+3*IFERROR(VLOOKUP(INDEX(' Toto teams'!$D$4:$D$119,MATCH($B87,' Toto teams'!$A$4:$A$119,0)),Scoring!$A$4:$N$51,12,FALSE()),0)+2*IFERROR(VLOOKUP(INDEX(' Toto teams'!$E$4:$E$119,MATCH($B87,' Toto teams'!$A$4:$A$119,0)),Scoring!$A$4:$N$51,12,FALSE()),0)+1*IFERROR(VLOOKUP(INDEX(' Toto teams'!$F$4:$F$119,MATCH($B87,' Toto teams'!$A$4:$A$119,0)),Scoring!$A$4:$N$51,12,FALSE()),0)+1*IFERROR(VLOOKUP(INDEX(' Toto teams'!$G$4:$G$119,MATCH($B87,' Toto teams'!$A$4:$A$119,0)),Scoring!$A$4:$N$51,12,FALSE()),0)+1*IFERROR(VLOOKUP(INDEX(' Toto teams'!$H$4:$H$119,MATCH($B87,' Toto teams'!$A$4:$A$119,0)),Scoring!$A$4:$N$51,12,FALSE()),0))</f>
        <v/>
      </c>
      <c r="K87" s="29">
        <f>IF($B87="","",IFERROR(INDEX(' Toto teams'!$R$4:$R$119,MATCH($B87,' Toto teams'!$A$4:$A$119,0)),""))</f>
        <v/>
      </c>
      <c r="L87" s="30">
        <f>IFERROR(IF(B87="","",VLOOKUP(A87,$N$4:$R$12,5,FALSE())),0)</f>
        <v/>
      </c>
    </row>
    <row r="88" ht="12.75" customHeight="1">
      <c r="A88" s="26">
        <f>IF(85&gt;COUNTIF(' Toto teams'!$A$4:$A$119,"&lt;&gt;"),"",INDEX(' Toto teams'!$S$4:$S$119,MATCH(LARGE(' Toto teams'!$T$4:$T$119,85),' Toto teams'!$T$4:$T$119,0)))</f>
        <v/>
      </c>
      <c r="B88" s="27">
        <f>IF(85&gt;COUNTIF(' Toto teams'!$A$4:$A$119,"&lt;&gt;"),"",INDEX(' Toto teams'!$A$4:$A$119,MATCH(LARGE(' Toto teams'!$T$4:$T$119,85),' Toto teams'!$T$4:$T$119,0)))</f>
        <v/>
      </c>
      <c r="C88" s="28">
        <f>IF($B88="","",6*(IFERROR(VLOOKUP(INDEX(' Toto teams'!$B$4:$B$119,MATCH($B88,' Toto teams'!$A$4:$A$119,0)),Scoring!$A$4:$N$51,3,FALSE()),0)+IFERROR(VLOOKUP(INDEX(' Toto teams'!$B$4:$B$119,MATCH($B88,' Toto teams'!$A$4:$A$119,0)),Scoring!$A$4:$N$51,4,FALSE()),0)+IFERROR(VLOOKUP(INDEX(' Toto teams'!$B$4:$B$119,MATCH($B88,' Toto teams'!$A$4:$A$119,0)),Scoring!$A$4:$N$51,5,FALSE()),0))+4*(IFERROR(VLOOKUP(INDEX(' Toto teams'!$C$4:$C$119,MATCH($B88,' Toto teams'!$A$4:$A$119,0)),Scoring!$A$4:$N$51,3,FALSE()),0)+IFERROR(VLOOKUP(INDEX(' Toto teams'!$C$4:$C$119,MATCH($B88,' Toto teams'!$A$4:$A$119,0)),Scoring!$A$4:$N$51,4,FALSE()),0)+IFERROR(VLOOKUP(INDEX(' Toto teams'!$C$4:$C$119,MATCH($B88,' Toto teams'!$A$4:$A$119,0)),Scoring!$A$4:$N$51,5,FALSE()),0))+3*(IFERROR(VLOOKUP(INDEX(' Toto teams'!$D$4:$D$119,MATCH($B88,' Toto teams'!$A$4:$A$119,0)),Scoring!$A$4:$N$51,3,FALSE()),0)+IFERROR(VLOOKUP(INDEX(' Toto teams'!$D$4:$D$119,MATCH($B88,' Toto teams'!$A$4:$A$119,0)),Scoring!$A$4:$N$51,4,FALSE()),0)+IFERROR(VLOOKUP(INDEX(' Toto teams'!$D$4:$D$119,MATCH($B88,' Toto teams'!$A$4:$A$119,0)),Scoring!$A$4:$N$51,5,FALSE()),0))+2*(IFERROR(VLOOKUP(INDEX(' Toto teams'!$E$4:$E$119,MATCH($B88,' Toto teams'!$A$4:$A$119,0)),Scoring!$A$4:$N$51,3,FALSE()),0)+IFERROR(VLOOKUP(INDEX(' Toto teams'!$E$4:$E$119,MATCH($B88,' Toto teams'!$A$4:$A$119,0)),Scoring!$A$4:$N$51,4,FALSE()),0)+IFERROR(VLOOKUP(INDEX(' Toto teams'!$E$4:$E$119,MATCH($B88,' Toto teams'!$A$4:$A$119,0)),Scoring!$A$4:$N$51,5,FALSE()),0))+1*(IFERROR(VLOOKUP(INDEX(' Toto teams'!$F$4:$F$119,MATCH($B88,' Toto teams'!$A$4:$A$119,0)),Scoring!$A$4:$N$51,3,FALSE()),0)+IFERROR(VLOOKUP(INDEX(' Toto teams'!$F$4:$F$119,MATCH($B88,' Toto teams'!$A$4:$A$119,0)),Scoring!$A$4:$N$51,4,FALSE()),0)+IFERROR(VLOOKUP(INDEX(' Toto teams'!$F$4:$F$119,MATCH($B88,' Toto teams'!$A$4:$A$119,0)),Scoring!$A$4:$N$51,5,FALSE()),0))+1*(IFERROR(VLOOKUP(INDEX(' Toto teams'!$G$4:$G$119,MATCH($B88,' Toto teams'!$A$4:$A$119,0)),Scoring!$A$4:$N$51,3,FALSE()),0)+IFERROR(VLOOKUP(INDEX(' Toto teams'!$G$4:$G$119,MATCH($B88,' Toto teams'!$A$4:$A$119,0)),Scoring!$A$4:$N$51,4,FALSE()),0)+IFERROR(VLOOKUP(INDEX(' Toto teams'!$G$4:$G$119,MATCH($B88,' Toto teams'!$A$4:$A$119,0)),Scoring!$A$4:$N$51,5,FALSE()),0))+1*(IFERROR(VLOOKUP(INDEX(' Toto teams'!$H$4:$H$119,MATCH($B88,' Toto teams'!$A$4:$A$119,0)),Scoring!$A$4:$N$51,3,FALSE()),0)+IFERROR(VLOOKUP(INDEX(' Toto teams'!$H$4:$H$119,MATCH($B88,' Toto teams'!$A$4:$A$119,0)),Scoring!$A$4:$N$51,4,FALSE()),0)+IFERROR(VLOOKUP(INDEX(' Toto teams'!$H$4:$H$119,MATCH($B88,' Toto teams'!$A$4:$A$119,0)),Scoring!$A$4:$N$51,5,FALSE()),0))+IFERROR(INDEX(' Toto teams'!$Q$4:$Q$119,MATCH($B88,' Toto teams'!$A$4:$A$119,0))*1,0))</f>
        <v/>
      </c>
      <c r="D88" s="28">
        <f>IF($B88="","",6*IFERROR(VLOOKUP(INDEX(' Toto teams'!$B$4:$B$119,MATCH($B88,' Toto teams'!$A$4:$A$119,0)),Scoring!$A$4:$N$51,7,FALSE()),0)+4*IFERROR(VLOOKUP(INDEX(' Toto teams'!$C$4:$C$119,MATCH($B88,' Toto teams'!$A$4:$A$119,0)),Scoring!$A$4:$N$51,7,FALSE()),0)+3*IFERROR(VLOOKUP(INDEX(' Toto teams'!$D$4:$D$119,MATCH($B88,' Toto teams'!$A$4:$A$119,0)),Scoring!$A$4:$N$51,7,FALSE()),0)+2*IFERROR(VLOOKUP(INDEX(' Toto teams'!$E$4:$E$119,MATCH($B88,' Toto teams'!$A$4:$A$119,0)),Scoring!$A$4:$N$51,7,FALSE()),0)+1*IFERROR(VLOOKUP(INDEX(' Toto teams'!$F$4:$F$119,MATCH($B88,' Toto teams'!$A$4:$A$119,0)),Scoring!$A$4:$N$51,7,FALSE()),0)+1*IFERROR(VLOOKUP(INDEX(' Toto teams'!$G$4:$G$119,MATCH($B88,' Toto teams'!$A$4:$A$119,0)),Scoring!$A$4:$N$51,7,FALSE()),0)+1*IFERROR(VLOOKUP(INDEX(' Toto teams'!$H$4:$H$119,MATCH($B88,' Toto teams'!$A$4:$A$119,0)),Scoring!$A$4:$N$51,7,FALSE()),0))</f>
        <v/>
      </c>
      <c r="E88" s="28">
        <f>IF($B88="","",6*IFERROR(VLOOKUP(INDEX(' Toto teams'!$B$4:$B$119,MATCH($B88,' Toto teams'!$A$4:$A$119,0)),Scoring!$A$4:$N$51,8,FALSE()),0)+4*IFERROR(VLOOKUP(INDEX(' Toto teams'!$C$4:$C$119,MATCH($B88,' Toto teams'!$A$4:$A$119,0)),Scoring!$A$4:$N$51,8,FALSE()),0)+3*IFERROR(VLOOKUP(INDEX(' Toto teams'!$D$4:$D$119,MATCH($B88,' Toto teams'!$A$4:$A$119,0)),Scoring!$A$4:$N$51,8,FALSE()),0)+2*IFERROR(VLOOKUP(INDEX(' Toto teams'!$E$4:$E$119,MATCH($B88,' Toto teams'!$A$4:$A$119,0)),Scoring!$A$4:$N$51,8,FALSE()),0)+1*IFERROR(VLOOKUP(INDEX(' Toto teams'!$F$4:$F$119,MATCH($B88,' Toto teams'!$A$4:$A$119,0)),Scoring!$A$4:$N$51,8,FALSE()),0)+1*IFERROR(VLOOKUP(INDEX(' Toto teams'!$G$4:$G$119,MATCH($B88,' Toto teams'!$A$4:$A$119,0)),Scoring!$A$4:$N$51,8,FALSE()),0)+1*IFERROR(VLOOKUP(INDEX(' Toto teams'!$H$4:$H$119,MATCH($B88,' Toto teams'!$A$4:$A$119,0)),Scoring!$A$4:$N$51,8,FALSE()),0))</f>
        <v/>
      </c>
      <c r="F88" s="28">
        <f>IF($B88="","",6*IFERROR(VLOOKUP(INDEX(' Toto teams'!$B$4:$B$119,MATCH($B88,' Toto teams'!$A$4:$A$119,0)),Scoring!$A$4:$N$51,9,FALSE()),0)+4*IFERROR(VLOOKUP(INDEX(' Toto teams'!$C$4:$C$119,MATCH($B88,' Toto teams'!$A$4:$A$119,0)),Scoring!$A$4:$N$51,9,FALSE()),0)+3*IFERROR(VLOOKUP(INDEX(' Toto teams'!$D$4:$D$119,MATCH($B88,' Toto teams'!$A$4:$A$119,0)),Scoring!$A$4:$N$51,9,FALSE()),0)+2*IFERROR(VLOOKUP(INDEX(' Toto teams'!$E$4:$E$119,MATCH($B88,' Toto teams'!$A$4:$A$119,0)),Scoring!$A$4:$N$51,9,FALSE()),0)+1*IFERROR(VLOOKUP(INDEX(' Toto teams'!$F$4:$F$119,MATCH($B88,' Toto teams'!$A$4:$A$119,0)),Scoring!$A$4:$N$51,9,FALSE()),0)+1*IFERROR(VLOOKUP(INDEX(' Toto teams'!$G$4:$G$119,MATCH($B88,' Toto teams'!$A$4:$A$119,0)),Scoring!$A$4:$N$51,9,FALSE()),0)+1*IFERROR(VLOOKUP(INDEX(' Toto teams'!$H$4:$H$119,MATCH($B88,' Toto teams'!$A$4:$A$119,0)),Scoring!$A$4:$N$51,9,FALSE()),0))</f>
        <v/>
      </c>
      <c r="G88" s="28">
        <f>IF($B88="","",6*IFERROR(VLOOKUP(INDEX(' Toto teams'!$B$4:$B$119,MATCH($B88,' Toto teams'!$A$4:$A$119,0)),Scoring!$A$4:$N$51,10,FALSE()),0)+4*IFERROR(VLOOKUP(INDEX(' Toto teams'!$C$4:$C$119,MATCH($B88,' Toto teams'!$A$4:$A$119,0)),Scoring!$A$4:$N$51,10,FALSE()),0)+3*IFERROR(VLOOKUP(INDEX(' Toto teams'!$D$4:$D$119,MATCH($B88,' Toto teams'!$A$4:$A$119,0)),Scoring!$A$4:$N$51,10,FALSE()),0)+2*IFERROR(VLOOKUP(INDEX(' Toto teams'!$E$4:$E$119,MATCH($B88,' Toto teams'!$A$4:$A$119,0)),Scoring!$A$4:$N$51,10,FALSE()),0)+1*IFERROR(VLOOKUP(INDEX(' Toto teams'!$F$4:$F$119,MATCH($B88,' Toto teams'!$A$4:$A$119,0)),Scoring!$A$4:$N$51,10,FALSE()),0)+1*IFERROR(VLOOKUP(INDEX(' Toto teams'!$G$4:$G$119,MATCH($B88,' Toto teams'!$A$4:$A$119,0)),Scoring!$A$4:$N$51,10,FALSE()),0)+1*IFERROR(VLOOKUP(INDEX(' Toto teams'!$H$4:$H$119,MATCH($B88,' Toto teams'!$A$4:$A$119,0)),Scoring!$A$4:$N$51,10,FALSE()),0))</f>
        <v/>
      </c>
      <c r="H88" s="28">
        <f>IF($B88="","",6*IFERROR(VLOOKUP(INDEX(' Toto teams'!$B$4:$B$119,MATCH($B88,' Toto teams'!$A$4:$A$119,0)),Scoring!$A$4:$N$51,11,FALSE()),0)+4*IFERROR(VLOOKUP(INDEX(' Toto teams'!$C$4:$C$119,MATCH($B88,' Toto teams'!$A$4:$A$119,0)),Scoring!$A$4:$N$51,11,FALSE()),0)+3*IFERROR(VLOOKUP(INDEX(' Toto teams'!$D$4:$D$119,MATCH($B88,' Toto teams'!$A$4:$A$119,0)),Scoring!$A$4:$N$51,11,FALSE()),0)+2*IFERROR(VLOOKUP(INDEX(' Toto teams'!$E$4:$E$119,MATCH($B88,' Toto teams'!$A$4:$A$119,0)),Scoring!$A$4:$N$51,11,FALSE()),0)+1*IFERROR(VLOOKUP(INDEX(' Toto teams'!$F$4:$F$119,MATCH($B88,' Toto teams'!$A$4:$A$119,0)),Scoring!$A$4:$N$51,11,FALSE()),0)+1*IFERROR(VLOOKUP(INDEX(' Toto teams'!$G$4:$G$119,MATCH($B88,' Toto teams'!$A$4:$A$119,0)),Scoring!$A$4:$N$51,11,FALSE()),0)+1*IFERROR(VLOOKUP(INDEX(' Toto teams'!$H$4:$H$119,MATCH($B88,' Toto teams'!$A$4:$A$119,0)),Scoring!$A$4:$N$51,11,FALSE()),0))</f>
        <v/>
      </c>
      <c r="I88" s="28">
        <f>IF($B88="","",6*IFERROR(VLOOKUP(INDEX(' Toto teams'!$B$4:$B$119,MATCH($B88,' Toto teams'!$A$4:$A$119,0)),Scoring!$A$4:$O$51,15,FALSE()),0)+4*IFERROR(VLOOKUP(INDEX(' Toto teams'!$C$4:$C$119,MATCH($B88,' Toto teams'!$A$4:$A$119,0)),Scoring!$A$4:$O$51,15,FALSE()),0)+3*IFERROR(VLOOKUP(INDEX(' Toto teams'!$D$4:$D$119,MATCH($B88,' Toto teams'!$A$4:$A$119,0)),Scoring!$A$4:$O$51,15,FALSE()),0)+2*IFERROR(VLOOKUP(INDEX(' Toto teams'!$E$4:$E$119,MATCH($B88,' Toto teams'!$A$4:$A$119,0)),Scoring!$A$4:$O$51,15,FALSE()),0)+1*IFERROR(VLOOKUP(INDEX(' Toto teams'!$F$4:$F$119,MATCH($B88,' Toto teams'!$A$4:$A$119,0)),Scoring!$A$4:$O$51,15,FALSE()),0)+1*IFERROR(VLOOKUP(INDEX(' Toto teams'!$G$4:$G$119,MATCH($B88,' Toto teams'!$A$4:$A$119,0)),Scoring!$A$4:$O$51,15,FALSE()),0)+1*IFERROR(VLOOKUP(INDEX(' Toto teams'!$H$4:$H$119,MATCH($B88,' Toto teams'!$A$4:$A$119,0)),Scoring!$A$4:$O$51,15,FALSE()),0))</f>
        <v/>
      </c>
      <c r="J88" s="28">
        <f>IF($B88="","",6*IFERROR(VLOOKUP(INDEX(' Toto teams'!$B$4:$B$119,MATCH($B88,' Toto teams'!$A$4:$A$119,0)),Scoring!$A$4:$N$51,12,FALSE()),0)+4*IFERROR(VLOOKUP(INDEX(' Toto teams'!$C$4:$C$119,MATCH($B88,' Toto teams'!$A$4:$A$119,0)),Scoring!$A$4:$N$51,12,FALSE()),0)+3*IFERROR(VLOOKUP(INDEX(' Toto teams'!$D$4:$D$119,MATCH($B88,' Toto teams'!$A$4:$A$119,0)),Scoring!$A$4:$N$51,12,FALSE()),0)+2*IFERROR(VLOOKUP(INDEX(' Toto teams'!$E$4:$E$119,MATCH($B88,' Toto teams'!$A$4:$A$119,0)),Scoring!$A$4:$N$51,12,FALSE()),0)+1*IFERROR(VLOOKUP(INDEX(' Toto teams'!$F$4:$F$119,MATCH($B88,' Toto teams'!$A$4:$A$119,0)),Scoring!$A$4:$N$51,12,FALSE()),0)+1*IFERROR(VLOOKUP(INDEX(' Toto teams'!$G$4:$G$119,MATCH($B88,' Toto teams'!$A$4:$A$119,0)),Scoring!$A$4:$N$51,12,FALSE()),0)+1*IFERROR(VLOOKUP(INDEX(' Toto teams'!$H$4:$H$119,MATCH($B88,' Toto teams'!$A$4:$A$119,0)),Scoring!$A$4:$N$51,12,FALSE()),0))</f>
        <v/>
      </c>
      <c r="K88" s="29">
        <f>IF($B88="","",IFERROR(INDEX(' Toto teams'!$R$4:$R$119,MATCH($B88,' Toto teams'!$A$4:$A$119,0)),""))</f>
        <v/>
      </c>
      <c r="L88" s="30">
        <f>IFERROR(IF(B88="","",VLOOKUP(A88,$N$4:$R$12,5,FALSE())),0)</f>
        <v/>
      </c>
    </row>
    <row r="89" ht="12.75" customHeight="1">
      <c r="A89" s="26">
        <f>IF(86&gt;COUNTIF(' Toto teams'!$A$4:$A$119,"&lt;&gt;"),"",INDEX(' Toto teams'!$S$4:$S$119,MATCH(LARGE(' Toto teams'!$T$4:$T$119,86),' Toto teams'!$T$4:$T$119,0)))</f>
        <v/>
      </c>
      <c r="B89" s="27">
        <f>IF(86&gt;COUNTIF(' Toto teams'!$A$4:$A$119,"&lt;&gt;"),"",INDEX(' Toto teams'!$A$4:$A$119,MATCH(LARGE(' Toto teams'!$T$4:$T$119,86),' Toto teams'!$T$4:$T$119,0)))</f>
        <v/>
      </c>
      <c r="C89" s="28">
        <f>IF($B89="","",6*(IFERROR(VLOOKUP(INDEX(' Toto teams'!$B$4:$B$119,MATCH($B89,' Toto teams'!$A$4:$A$119,0)),Scoring!$A$4:$N$51,3,FALSE()),0)+IFERROR(VLOOKUP(INDEX(' Toto teams'!$B$4:$B$119,MATCH($B89,' Toto teams'!$A$4:$A$119,0)),Scoring!$A$4:$N$51,4,FALSE()),0)+IFERROR(VLOOKUP(INDEX(' Toto teams'!$B$4:$B$119,MATCH($B89,' Toto teams'!$A$4:$A$119,0)),Scoring!$A$4:$N$51,5,FALSE()),0))+4*(IFERROR(VLOOKUP(INDEX(' Toto teams'!$C$4:$C$119,MATCH($B89,' Toto teams'!$A$4:$A$119,0)),Scoring!$A$4:$N$51,3,FALSE()),0)+IFERROR(VLOOKUP(INDEX(' Toto teams'!$C$4:$C$119,MATCH($B89,' Toto teams'!$A$4:$A$119,0)),Scoring!$A$4:$N$51,4,FALSE()),0)+IFERROR(VLOOKUP(INDEX(' Toto teams'!$C$4:$C$119,MATCH($B89,' Toto teams'!$A$4:$A$119,0)),Scoring!$A$4:$N$51,5,FALSE()),0))+3*(IFERROR(VLOOKUP(INDEX(' Toto teams'!$D$4:$D$119,MATCH($B89,' Toto teams'!$A$4:$A$119,0)),Scoring!$A$4:$N$51,3,FALSE()),0)+IFERROR(VLOOKUP(INDEX(' Toto teams'!$D$4:$D$119,MATCH($B89,' Toto teams'!$A$4:$A$119,0)),Scoring!$A$4:$N$51,4,FALSE()),0)+IFERROR(VLOOKUP(INDEX(' Toto teams'!$D$4:$D$119,MATCH($B89,' Toto teams'!$A$4:$A$119,0)),Scoring!$A$4:$N$51,5,FALSE()),0))+2*(IFERROR(VLOOKUP(INDEX(' Toto teams'!$E$4:$E$119,MATCH($B89,' Toto teams'!$A$4:$A$119,0)),Scoring!$A$4:$N$51,3,FALSE()),0)+IFERROR(VLOOKUP(INDEX(' Toto teams'!$E$4:$E$119,MATCH($B89,' Toto teams'!$A$4:$A$119,0)),Scoring!$A$4:$N$51,4,FALSE()),0)+IFERROR(VLOOKUP(INDEX(' Toto teams'!$E$4:$E$119,MATCH($B89,' Toto teams'!$A$4:$A$119,0)),Scoring!$A$4:$N$51,5,FALSE()),0))+1*(IFERROR(VLOOKUP(INDEX(' Toto teams'!$F$4:$F$119,MATCH($B89,' Toto teams'!$A$4:$A$119,0)),Scoring!$A$4:$N$51,3,FALSE()),0)+IFERROR(VLOOKUP(INDEX(' Toto teams'!$F$4:$F$119,MATCH($B89,' Toto teams'!$A$4:$A$119,0)),Scoring!$A$4:$N$51,4,FALSE()),0)+IFERROR(VLOOKUP(INDEX(' Toto teams'!$F$4:$F$119,MATCH($B89,' Toto teams'!$A$4:$A$119,0)),Scoring!$A$4:$N$51,5,FALSE()),0))+1*(IFERROR(VLOOKUP(INDEX(' Toto teams'!$G$4:$G$119,MATCH($B89,' Toto teams'!$A$4:$A$119,0)),Scoring!$A$4:$N$51,3,FALSE()),0)+IFERROR(VLOOKUP(INDEX(' Toto teams'!$G$4:$G$119,MATCH($B89,' Toto teams'!$A$4:$A$119,0)),Scoring!$A$4:$N$51,4,FALSE()),0)+IFERROR(VLOOKUP(INDEX(' Toto teams'!$G$4:$G$119,MATCH($B89,' Toto teams'!$A$4:$A$119,0)),Scoring!$A$4:$N$51,5,FALSE()),0))+1*(IFERROR(VLOOKUP(INDEX(' Toto teams'!$H$4:$H$119,MATCH($B89,' Toto teams'!$A$4:$A$119,0)),Scoring!$A$4:$N$51,3,FALSE()),0)+IFERROR(VLOOKUP(INDEX(' Toto teams'!$H$4:$H$119,MATCH($B89,' Toto teams'!$A$4:$A$119,0)),Scoring!$A$4:$N$51,4,FALSE()),0)+IFERROR(VLOOKUP(INDEX(' Toto teams'!$H$4:$H$119,MATCH($B89,' Toto teams'!$A$4:$A$119,0)),Scoring!$A$4:$N$51,5,FALSE()),0))+IFERROR(INDEX(' Toto teams'!$Q$4:$Q$119,MATCH($B89,' Toto teams'!$A$4:$A$119,0))*1,0))</f>
        <v/>
      </c>
      <c r="D89" s="28">
        <f>IF($B89="","",6*IFERROR(VLOOKUP(INDEX(' Toto teams'!$B$4:$B$119,MATCH($B89,' Toto teams'!$A$4:$A$119,0)),Scoring!$A$4:$N$51,7,FALSE()),0)+4*IFERROR(VLOOKUP(INDEX(' Toto teams'!$C$4:$C$119,MATCH($B89,' Toto teams'!$A$4:$A$119,0)),Scoring!$A$4:$N$51,7,FALSE()),0)+3*IFERROR(VLOOKUP(INDEX(' Toto teams'!$D$4:$D$119,MATCH($B89,' Toto teams'!$A$4:$A$119,0)),Scoring!$A$4:$N$51,7,FALSE()),0)+2*IFERROR(VLOOKUP(INDEX(' Toto teams'!$E$4:$E$119,MATCH($B89,' Toto teams'!$A$4:$A$119,0)),Scoring!$A$4:$N$51,7,FALSE()),0)+1*IFERROR(VLOOKUP(INDEX(' Toto teams'!$F$4:$F$119,MATCH($B89,' Toto teams'!$A$4:$A$119,0)),Scoring!$A$4:$N$51,7,FALSE()),0)+1*IFERROR(VLOOKUP(INDEX(' Toto teams'!$G$4:$G$119,MATCH($B89,' Toto teams'!$A$4:$A$119,0)),Scoring!$A$4:$N$51,7,FALSE()),0)+1*IFERROR(VLOOKUP(INDEX(' Toto teams'!$H$4:$H$119,MATCH($B89,' Toto teams'!$A$4:$A$119,0)),Scoring!$A$4:$N$51,7,FALSE()),0))</f>
        <v/>
      </c>
      <c r="E89" s="28">
        <f>IF($B89="","",6*IFERROR(VLOOKUP(INDEX(' Toto teams'!$B$4:$B$119,MATCH($B89,' Toto teams'!$A$4:$A$119,0)),Scoring!$A$4:$N$51,8,FALSE()),0)+4*IFERROR(VLOOKUP(INDEX(' Toto teams'!$C$4:$C$119,MATCH($B89,' Toto teams'!$A$4:$A$119,0)),Scoring!$A$4:$N$51,8,FALSE()),0)+3*IFERROR(VLOOKUP(INDEX(' Toto teams'!$D$4:$D$119,MATCH($B89,' Toto teams'!$A$4:$A$119,0)),Scoring!$A$4:$N$51,8,FALSE()),0)+2*IFERROR(VLOOKUP(INDEX(' Toto teams'!$E$4:$E$119,MATCH($B89,' Toto teams'!$A$4:$A$119,0)),Scoring!$A$4:$N$51,8,FALSE()),0)+1*IFERROR(VLOOKUP(INDEX(' Toto teams'!$F$4:$F$119,MATCH($B89,' Toto teams'!$A$4:$A$119,0)),Scoring!$A$4:$N$51,8,FALSE()),0)+1*IFERROR(VLOOKUP(INDEX(' Toto teams'!$G$4:$G$119,MATCH($B89,' Toto teams'!$A$4:$A$119,0)),Scoring!$A$4:$N$51,8,FALSE()),0)+1*IFERROR(VLOOKUP(INDEX(' Toto teams'!$H$4:$H$119,MATCH($B89,' Toto teams'!$A$4:$A$119,0)),Scoring!$A$4:$N$51,8,FALSE()),0))</f>
        <v/>
      </c>
      <c r="F89" s="28">
        <f>IF($B89="","",6*IFERROR(VLOOKUP(INDEX(' Toto teams'!$B$4:$B$119,MATCH($B89,' Toto teams'!$A$4:$A$119,0)),Scoring!$A$4:$N$51,9,FALSE()),0)+4*IFERROR(VLOOKUP(INDEX(' Toto teams'!$C$4:$C$119,MATCH($B89,' Toto teams'!$A$4:$A$119,0)),Scoring!$A$4:$N$51,9,FALSE()),0)+3*IFERROR(VLOOKUP(INDEX(' Toto teams'!$D$4:$D$119,MATCH($B89,' Toto teams'!$A$4:$A$119,0)),Scoring!$A$4:$N$51,9,FALSE()),0)+2*IFERROR(VLOOKUP(INDEX(' Toto teams'!$E$4:$E$119,MATCH($B89,' Toto teams'!$A$4:$A$119,0)),Scoring!$A$4:$N$51,9,FALSE()),0)+1*IFERROR(VLOOKUP(INDEX(' Toto teams'!$F$4:$F$119,MATCH($B89,' Toto teams'!$A$4:$A$119,0)),Scoring!$A$4:$N$51,9,FALSE()),0)+1*IFERROR(VLOOKUP(INDEX(' Toto teams'!$G$4:$G$119,MATCH($B89,' Toto teams'!$A$4:$A$119,0)),Scoring!$A$4:$N$51,9,FALSE()),0)+1*IFERROR(VLOOKUP(INDEX(' Toto teams'!$H$4:$H$119,MATCH($B89,' Toto teams'!$A$4:$A$119,0)),Scoring!$A$4:$N$51,9,FALSE()),0))</f>
        <v/>
      </c>
      <c r="G89" s="28">
        <f>IF($B89="","",6*IFERROR(VLOOKUP(INDEX(' Toto teams'!$B$4:$B$119,MATCH($B89,' Toto teams'!$A$4:$A$119,0)),Scoring!$A$4:$N$51,10,FALSE()),0)+4*IFERROR(VLOOKUP(INDEX(' Toto teams'!$C$4:$C$119,MATCH($B89,' Toto teams'!$A$4:$A$119,0)),Scoring!$A$4:$N$51,10,FALSE()),0)+3*IFERROR(VLOOKUP(INDEX(' Toto teams'!$D$4:$D$119,MATCH($B89,' Toto teams'!$A$4:$A$119,0)),Scoring!$A$4:$N$51,10,FALSE()),0)+2*IFERROR(VLOOKUP(INDEX(' Toto teams'!$E$4:$E$119,MATCH($B89,' Toto teams'!$A$4:$A$119,0)),Scoring!$A$4:$N$51,10,FALSE()),0)+1*IFERROR(VLOOKUP(INDEX(' Toto teams'!$F$4:$F$119,MATCH($B89,' Toto teams'!$A$4:$A$119,0)),Scoring!$A$4:$N$51,10,FALSE()),0)+1*IFERROR(VLOOKUP(INDEX(' Toto teams'!$G$4:$G$119,MATCH($B89,' Toto teams'!$A$4:$A$119,0)),Scoring!$A$4:$N$51,10,FALSE()),0)+1*IFERROR(VLOOKUP(INDEX(' Toto teams'!$H$4:$H$119,MATCH($B89,' Toto teams'!$A$4:$A$119,0)),Scoring!$A$4:$N$51,10,FALSE()),0))</f>
        <v/>
      </c>
      <c r="H89" s="28">
        <f>IF($B89="","",6*IFERROR(VLOOKUP(INDEX(' Toto teams'!$B$4:$B$119,MATCH($B89,' Toto teams'!$A$4:$A$119,0)),Scoring!$A$4:$N$51,11,FALSE()),0)+4*IFERROR(VLOOKUP(INDEX(' Toto teams'!$C$4:$C$119,MATCH($B89,' Toto teams'!$A$4:$A$119,0)),Scoring!$A$4:$N$51,11,FALSE()),0)+3*IFERROR(VLOOKUP(INDEX(' Toto teams'!$D$4:$D$119,MATCH($B89,' Toto teams'!$A$4:$A$119,0)),Scoring!$A$4:$N$51,11,FALSE()),0)+2*IFERROR(VLOOKUP(INDEX(' Toto teams'!$E$4:$E$119,MATCH($B89,' Toto teams'!$A$4:$A$119,0)),Scoring!$A$4:$N$51,11,FALSE()),0)+1*IFERROR(VLOOKUP(INDEX(' Toto teams'!$F$4:$F$119,MATCH($B89,' Toto teams'!$A$4:$A$119,0)),Scoring!$A$4:$N$51,11,FALSE()),0)+1*IFERROR(VLOOKUP(INDEX(' Toto teams'!$G$4:$G$119,MATCH($B89,' Toto teams'!$A$4:$A$119,0)),Scoring!$A$4:$N$51,11,FALSE()),0)+1*IFERROR(VLOOKUP(INDEX(' Toto teams'!$H$4:$H$119,MATCH($B89,' Toto teams'!$A$4:$A$119,0)),Scoring!$A$4:$N$51,11,FALSE()),0))</f>
        <v/>
      </c>
      <c r="I89" s="28">
        <f>IF($B89="","",6*IFERROR(VLOOKUP(INDEX(' Toto teams'!$B$4:$B$119,MATCH($B89,' Toto teams'!$A$4:$A$119,0)),Scoring!$A$4:$O$51,15,FALSE()),0)+4*IFERROR(VLOOKUP(INDEX(' Toto teams'!$C$4:$C$119,MATCH($B89,' Toto teams'!$A$4:$A$119,0)),Scoring!$A$4:$O$51,15,FALSE()),0)+3*IFERROR(VLOOKUP(INDEX(' Toto teams'!$D$4:$D$119,MATCH($B89,' Toto teams'!$A$4:$A$119,0)),Scoring!$A$4:$O$51,15,FALSE()),0)+2*IFERROR(VLOOKUP(INDEX(' Toto teams'!$E$4:$E$119,MATCH($B89,' Toto teams'!$A$4:$A$119,0)),Scoring!$A$4:$O$51,15,FALSE()),0)+1*IFERROR(VLOOKUP(INDEX(' Toto teams'!$F$4:$F$119,MATCH($B89,' Toto teams'!$A$4:$A$119,0)),Scoring!$A$4:$O$51,15,FALSE()),0)+1*IFERROR(VLOOKUP(INDEX(' Toto teams'!$G$4:$G$119,MATCH($B89,' Toto teams'!$A$4:$A$119,0)),Scoring!$A$4:$O$51,15,FALSE()),0)+1*IFERROR(VLOOKUP(INDEX(' Toto teams'!$H$4:$H$119,MATCH($B89,' Toto teams'!$A$4:$A$119,0)),Scoring!$A$4:$O$51,15,FALSE()),0))</f>
        <v/>
      </c>
      <c r="J89" s="28">
        <f>IF($B89="","",6*IFERROR(VLOOKUP(INDEX(' Toto teams'!$B$4:$B$119,MATCH($B89,' Toto teams'!$A$4:$A$119,0)),Scoring!$A$4:$N$51,12,FALSE()),0)+4*IFERROR(VLOOKUP(INDEX(' Toto teams'!$C$4:$C$119,MATCH($B89,' Toto teams'!$A$4:$A$119,0)),Scoring!$A$4:$N$51,12,FALSE()),0)+3*IFERROR(VLOOKUP(INDEX(' Toto teams'!$D$4:$D$119,MATCH($B89,' Toto teams'!$A$4:$A$119,0)),Scoring!$A$4:$N$51,12,FALSE()),0)+2*IFERROR(VLOOKUP(INDEX(' Toto teams'!$E$4:$E$119,MATCH($B89,' Toto teams'!$A$4:$A$119,0)),Scoring!$A$4:$N$51,12,FALSE()),0)+1*IFERROR(VLOOKUP(INDEX(' Toto teams'!$F$4:$F$119,MATCH($B89,' Toto teams'!$A$4:$A$119,0)),Scoring!$A$4:$N$51,12,FALSE()),0)+1*IFERROR(VLOOKUP(INDEX(' Toto teams'!$G$4:$G$119,MATCH($B89,' Toto teams'!$A$4:$A$119,0)),Scoring!$A$4:$N$51,12,FALSE()),0)+1*IFERROR(VLOOKUP(INDEX(' Toto teams'!$H$4:$H$119,MATCH($B89,' Toto teams'!$A$4:$A$119,0)),Scoring!$A$4:$N$51,12,FALSE()),0))</f>
        <v/>
      </c>
      <c r="K89" s="29">
        <f>IF($B89="","",IFERROR(INDEX(' Toto teams'!$R$4:$R$119,MATCH($B89,' Toto teams'!$A$4:$A$119,0)),""))</f>
        <v/>
      </c>
      <c r="L89" s="30">
        <f>IFERROR(IF(B89="","",VLOOKUP(A89,$N$4:$R$12,5,FALSE())),0)</f>
        <v/>
      </c>
    </row>
    <row r="90" ht="12.75" customHeight="1">
      <c r="A90" s="26">
        <f>IF(87&gt;COUNTIF(' Toto teams'!$A$4:$A$119,"&lt;&gt;"),"",INDEX(' Toto teams'!$S$4:$S$119,MATCH(LARGE(' Toto teams'!$T$4:$T$119,87),' Toto teams'!$T$4:$T$119,0)))</f>
        <v/>
      </c>
      <c r="B90" s="27">
        <f>IF(87&gt;COUNTIF(' Toto teams'!$A$4:$A$119,"&lt;&gt;"),"",INDEX(' Toto teams'!$A$4:$A$119,MATCH(LARGE(' Toto teams'!$T$4:$T$119,87),' Toto teams'!$T$4:$T$119,0)))</f>
        <v/>
      </c>
      <c r="C90" s="28">
        <f>IF($B90="","",6*(IFERROR(VLOOKUP(INDEX(' Toto teams'!$B$4:$B$119,MATCH($B90,' Toto teams'!$A$4:$A$119,0)),Scoring!$A$4:$N$51,3,FALSE()),0)+IFERROR(VLOOKUP(INDEX(' Toto teams'!$B$4:$B$119,MATCH($B90,' Toto teams'!$A$4:$A$119,0)),Scoring!$A$4:$N$51,4,FALSE()),0)+IFERROR(VLOOKUP(INDEX(' Toto teams'!$B$4:$B$119,MATCH($B90,' Toto teams'!$A$4:$A$119,0)),Scoring!$A$4:$N$51,5,FALSE()),0))+4*(IFERROR(VLOOKUP(INDEX(' Toto teams'!$C$4:$C$119,MATCH($B90,' Toto teams'!$A$4:$A$119,0)),Scoring!$A$4:$N$51,3,FALSE()),0)+IFERROR(VLOOKUP(INDEX(' Toto teams'!$C$4:$C$119,MATCH($B90,' Toto teams'!$A$4:$A$119,0)),Scoring!$A$4:$N$51,4,FALSE()),0)+IFERROR(VLOOKUP(INDEX(' Toto teams'!$C$4:$C$119,MATCH($B90,' Toto teams'!$A$4:$A$119,0)),Scoring!$A$4:$N$51,5,FALSE()),0))+3*(IFERROR(VLOOKUP(INDEX(' Toto teams'!$D$4:$D$119,MATCH($B90,' Toto teams'!$A$4:$A$119,0)),Scoring!$A$4:$N$51,3,FALSE()),0)+IFERROR(VLOOKUP(INDEX(' Toto teams'!$D$4:$D$119,MATCH($B90,' Toto teams'!$A$4:$A$119,0)),Scoring!$A$4:$N$51,4,FALSE()),0)+IFERROR(VLOOKUP(INDEX(' Toto teams'!$D$4:$D$119,MATCH($B90,' Toto teams'!$A$4:$A$119,0)),Scoring!$A$4:$N$51,5,FALSE()),0))+2*(IFERROR(VLOOKUP(INDEX(' Toto teams'!$E$4:$E$119,MATCH($B90,' Toto teams'!$A$4:$A$119,0)),Scoring!$A$4:$N$51,3,FALSE()),0)+IFERROR(VLOOKUP(INDEX(' Toto teams'!$E$4:$E$119,MATCH($B90,' Toto teams'!$A$4:$A$119,0)),Scoring!$A$4:$N$51,4,FALSE()),0)+IFERROR(VLOOKUP(INDEX(' Toto teams'!$E$4:$E$119,MATCH($B90,' Toto teams'!$A$4:$A$119,0)),Scoring!$A$4:$N$51,5,FALSE()),0))+1*(IFERROR(VLOOKUP(INDEX(' Toto teams'!$F$4:$F$119,MATCH($B90,' Toto teams'!$A$4:$A$119,0)),Scoring!$A$4:$N$51,3,FALSE()),0)+IFERROR(VLOOKUP(INDEX(' Toto teams'!$F$4:$F$119,MATCH($B90,' Toto teams'!$A$4:$A$119,0)),Scoring!$A$4:$N$51,4,FALSE()),0)+IFERROR(VLOOKUP(INDEX(' Toto teams'!$F$4:$F$119,MATCH($B90,' Toto teams'!$A$4:$A$119,0)),Scoring!$A$4:$N$51,5,FALSE()),0))+1*(IFERROR(VLOOKUP(INDEX(' Toto teams'!$G$4:$G$119,MATCH($B90,' Toto teams'!$A$4:$A$119,0)),Scoring!$A$4:$N$51,3,FALSE()),0)+IFERROR(VLOOKUP(INDEX(' Toto teams'!$G$4:$G$119,MATCH($B90,' Toto teams'!$A$4:$A$119,0)),Scoring!$A$4:$N$51,4,FALSE()),0)+IFERROR(VLOOKUP(INDEX(' Toto teams'!$G$4:$G$119,MATCH($B90,' Toto teams'!$A$4:$A$119,0)),Scoring!$A$4:$N$51,5,FALSE()),0))+1*(IFERROR(VLOOKUP(INDEX(' Toto teams'!$H$4:$H$119,MATCH($B90,' Toto teams'!$A$4:$A$119,0)),Scoring!$A$4:$N$51,3,FALSE()),0)+IFERROR(VLOOKUP(INDEX(' Toto teams'!$H$4:$H$119,MATCH($B90,' Toto teams'!$A$4:$A$119,0)),Scoring!$A$4:$N$51,4,FALSE()),0)+IFERROR(VLOOKUP(INDEX(' Toto teams'!$H$4:$H$119,MATCH($B90,' Toto teams'!$A$4:$A$119,0)),Scoring!$A$4:$N$51,5,FALSE()),0))+IFERROR(INDEX(' Toto teams'!$Q$4:$Q$119,MATCH($B90,' Toto teams'!$A$4:$A$119,0))*1,0))</f>
        <v/>
      </c>
      <c r="D90" s="28">
        <f>IF($B90="","",6*IFERROR(VLOOKUP(INDEX(' Toto teams'!$B$4:$B$119,MATCH($B90,' Toto teams'!$A$4:$A$119,0)),Scoring!$A$4:$N$51,7,FALSE()),0)+4*IFERROR(VLOOKUP(INDEX(' Toto teams'!$C$4:$C$119,MATCH($B90,' Toto teams'!$A$4:$A$119,0)),Scoring!$A$4:$N$51,7,FALSE()),0)+3*IFERROR(VLOOKUP(INDEX(' Toto teams'!$D$4:$D$119,MATCH($B90,' Toto teams'!$A$4:$A$119,0)),Scoring!$A$4:$N$51,7,FALSE()),0)+2*IFERROR(VLOOKUP(INDEX(' Toto teams'!$E$4:$E$119,MATCH($B90,' Toto teams'!$A$4:$A$119,0)),Scoring!$A$4:$N$51,7,FALSE()),0)+1*IFERROR(VLOOKUP(INDEX(' Toto teams'!$F$4:$F$119,MATCH($B90,' Toto teams'!$A$4:$A$119,0)),Scoring!$A$4:$N$51,7,FALSE()),0)+1*IFERROR(VLOOKUP(INDEX(' Toto teams'!$G$4:$G$119,MATCH($B90,' Toto teams'!$A$4:$A$119,0)),Scoring!$A$4:$N$51,7,FALSE()),0)+1*IFERROR(VLOOKUP(INDEX(' Toto teams'!$H$4:$H$119,MATCH($B90,' Toto teams'!$A$4:$A$119,0)),Scoring!$A$4:$N$51,7,FALSE()),0))</f>
        <v/>
      </c>
      <c r="E90" s="28">
        <f>IF($B90="","",6*IFERROR(VLOOKUP(INDEX(' Toto teams'!$B$4:$B$119,MATCH($B90,' Toto teams'!$A$4:$A$119,0)),Scoring!$A$4:$N$51,8,FALSE()),0)+4*IFERROR(VLOOKUP(INDEX(' Toto teams'!$C$4:$C$119,MATCH($B90,' Toto teams'!$A$4:$A$119,0)),Scoring!$A$4:$N$51,8,FALSE()),0)+3*IFERROR(VLOOKUP(INDEX(' Toto teams'!$D$4:$D$119,MATCH($B90,' Toto teams'!$A$4:$A$119,0)),Scoring!$A$4:$N$51,8,FALSE()),0)+2*IFERROR(VLOOKUP(INDEX(' Toto teams'!$E$4:$E$119,MATCH($B90,' Toto teams'!$A$4:$A$119,0)),Scoring!$A$4:$N$51,8,FALSE()),0)+1*IFERROR(VLOOKUP(INDEX(' Toto teams'!$F$4:$F$119,MATCH($B90,' Toto teams'!$A$4:$A$119,0)),Scoring!$A$4:$N$51,8,FALSE()),0)+1*IFERROR(VLOOKUP(INDEX(' Toto teams'!$G$4:$G$119,MATCH($B90,' Toto teams'!$A$4:$A$119,0)),Scoring!$A$4:$N$51,8,FALSE()),0)+1*IFERROR(VLOOKUP(INDEX(' Toto teams'!$H$4:$H$119,MATCH($B90,' Toto teams'!$A$4:$A$119,0)),Scoring!$A$4:$N$51,8,FALSE()),0))</f>
        <v/>
      </c>
      <c r="F90" s="28">
        <f>IF($B90="","",6*IFERROR(VLOOKUP(INDEX(' Toto teams'!$B$4:$B$119,MATCH($B90,' Toto teams'!$A$4:$A$119,0)),Scoring!$A$4:$N$51,9,FALSE()),0)+4*IFERROR(VLOOKUP(INDEX(' Toto teams'!$C$4:$C$119,MATCH($B90,' Toto teams'!$A$4:$A$119,0)),Scoring!$A$4:$N$51,9,FALSE()),0)+3*IFERROR(VLOOKUP(INDEX(' Toto teams'!$D$4:$D$119,MATCH($B90,' Toto teams'!$A$4:$A$119,0)),Scoring!$A$4:$N$51,9,FALSE()),0)+2*IFERROR(VLOOKUP(INDEX(' Toto teams'!$E$4:$E$119,MATCH($B90,' Toto teams'!$A$4:$A$119,0)),Scoring!$A$4:$N$51,9,FALSE()),0)+1*IFERROR(VLOOKUP(INDEX(' Toto teams'!$F$4:$F$119,MATCH($B90,' Toto teams'!$A$4:$A$119,0)),Scoring!$A$4:$N$51,9,FALSE()),0)+1*IFERROR(VLOOKUP(INDEX(' Toto teams'!$G$4:$G$119,MATCH($B90,' Toto teams'!$A$4:$A$119,0)),Scoring!$A$4:$N$51,9,FALSE()),0)+1*IFERROR(VLOOKUP(INDEX(' Toto teams'!$H$4:$H$119,MATCH($B90,' Toto teams'!$A$4:$A$119,0)),Scoring!$A$4:$N$51,9,FALSE()),0))</f>
        <v/>
      </c>
      <c r="G90" s="28">
        <f>IF($B90="","",6*IFERROR(VLOOKUP(INDEX(' Toto teams'!$B$4:$B$119,MATCH($B90,' Toto teams'!$A$4:$A$119,0)),Scoring!$A$4:$N$51,10,FALSE()),0)+4*IFERROR(VLOOKUP(INDEX(' Toto teams'!$C$4:$C$119,MATCH($B90,' Toto teams'!$A$4:$A$119,0)),Scoring!$A$4:$N$51,10,FALSE()),0)+3*IFERROR(VLOOKUP(INDEX(' Toto teams'!$D$4:$D$119,MATCH($B90,' Toto teams'!$A$4:$A$119,0)),Scoring!$A$4:$N$51,10,FALSE()),0)+2*IFERROR(VLOOKUP(INDEX(' Toto teams'!$E$4:$E$119,MATCH($B90,' Toto teams'!$A$4:$A$119,0)),Scoring!$A$4:$N$51,10,FALSE()),0)+1*IFERROR(VLOOKUP(INDEX(' Toto teams'!$F$4:$F$119,MATCH($B90,' Toto teams'!$A$4:$A$119,0)),Scoring!$A$4:$N$51,10,FALSE()),0)+1*IFERROR(VLOOKUP(INDEX(' Toto teams'!$G$4:$G$119,MATCH($B90,' Toto teams'!$A$4:$A$119,0)),Scoring!$A$4:$N$51,10,FALSE()),0)+1*IFERROR(VLOOKUP(INDEX(' Toto teams'!$H$4:$H$119,MATCH($B90,' Toto teams'!$A$4:$A$119,0)),Scoring!$A$4:$N$51,10,FALSE()),0))</f>
        <v/>
      </c>
      <c r="H90" s="28">
        <f>IF($B90="","",6*IFERROR(VLOOKUP(INDEX(' Toto teams'!$B$4:$B$119,MATCH($B90,' Toto teams'!$A$4:$A$119,0)),Scoring!$A$4:$N$51,11,FALSE()),0)+4*IFERROR(VLOOKUP(INDEX(' Toto teams'!$C$4:$C$119,MATCH($B90,' Toto teams'!$A$4:$A$119,0)),Scoring!$A$4:$N$51,11,FALSE()),0)+3*IFERROR(VLOOKUP(INDEX(' Toto teams'!$D$4:$D$119,MATCH($B90,' Toto teams'!$A$4:$A$119,0)),Scoring!$A$4:$N$51,11,FALSE()),0)+2*IFERROR(VLOOKUP(INDEX(' Toto teams'!$E$4:$E$119,MATCH($B90,' Toto teams'!$A$4:$A$119,0)),Scoring!$A$4:$N$51,11,FALSE()),0)+1*IFERROR(VLOOKUP(INDEX(' Toto teams'!$F$4:$F$119,MATCH($B90,' Toto teams'!$A$4:$A$119,0)),Scoring!$A$4:$N$51,11,FALSE()),0)+1*IFERROR(VLOOKUP(INDEX(' Toto teams'!$G$4:$G$119,MATCH($B90,' Toto teams'!$A$4:$A$119,0)),Scoring!$A$4:$N$51,11,FALSE()),0)+1*IFERROR(VLOOKUP(INDEX(' Toto teams'!$H$4:$H$119,MATCH($B90,' Toto teams'!$A$4:$A$119,0)),Scoring!$A$4:$N$51,11,FALSE()),0))</f>
        <v/>
      </c>
      <c r="I90" s="28">
        <f>IF($B90="","",6*IFERROR(VLOOKUP(INDEX(' Toto teams'!$B$4:$B$119,MATCH($B90,' Toto teams'!$A$4:$A$119,0)),Scoring!$A$4:$O$51,15,FALSE()),0)+4*IFERROR(VLOOKUP(INDEX(' Toto teams'!$C$4:$C$119,MATCH($B90,' Toto teams'!$A$4:$A$119,0)),Scoring!$A$4:$O$51,15,FALSE()),0)+3*IFERROR(VLOOKUP(INDEX(' Toto teams'!$D$4:$D$119,MATCH($B90,' Toto teams'!$A$4:$A$119,0)),Scoring!$A$4:$O$51,15,FALSE()),0)+2*IFERROR(VLOOKUP(INDEX(' Toto teams'!$E$4:$E$119,MATCH($B90,' Toto teams'!$A$4:$A$119,0)),Scoring!$A$4:$O$51,15,FALSE()),0)+1*IFERROR(VLOOKUP(INDEX(' Toto teams'!$F$4:$F$119,MATCH($B90,' Toto teams'!$A$4:$A$119,0)),Scoring!$A$4:$O$51,15,FALSE()),0)+1*IFERROR(VLOOKUP(INDEX(' Toto teams'!$G$4:$G$119,MATCH($B90,' Toto teams'!$A$4:$A$119,0)),Scoring!$A$4:$O$51,15,FALSE()),0)+1*IFERROR(VLOOKUP(INDEX(' Toto teams'!$H$4:$H$119,MATCH($B90,' Toto teams'!$A$4:$A$119,0)),Scoring!$A$4:$O$51,15,FALSE()),0))</f>
        <v/>
      </c>
      <c r="J90" s="28">
        <f>IF($B90="","",6*IFERROR(VLOOKUP(INDEX(' Toto teams'!$B$4:$B$119,MATCH($B90,' Toto teams'!$A$4:$A$119,0)),Scoring!$A$4:$N$51,12,FALSE()),0)+4*IFERROR(VLOOKUP(INDEX(' Toto teams'!$C$4:$C$119,MATCH($B90,' Toto teams'!$A$4:$A$119,0)),Scoring!$A$4:$N$51,12,FALSE()),0)+3*IFERROR(VLOOKUP(INDEX(' Toto teams'!$D$4:$D$119,MATCH($B90,' Toto teams'!$A$4:$A$119,0)),Scoring!$A$4:$N$51,12,FALSE()),0)+2*IFERROR(VLOOKUP(INDEX(' Toto teams'!$E$4:$E$119,MATCH($B90,' Toto teams'!$A$4:$A$119,0)),Scoring!$A$4:$N$51,12,FALSE()),0)+1*IFERROR(VLOOKUP(INDEX(' Toto teams'!$F$4:$F$119,MATCH($B90,' Toto teams'!$A$4:$A$119,0)),Scoring!$A$4:$N$51,12,FALSE()),0)+1*IFERROR(VLOOKUP(INDEX(' Toto teams'!$G$4:$G$119,MATCH($B90,' Toto teams'!$A$4:$A$119,0)),Scoring!$A$4:$N$51,12,FALSE()),0)+1*IFERROR(VLOOKUP(INDEX(' Toto teams'!$H$4:$H$119,MATCH($B90,' Toto teams'!$A$4:$A$119,0)),Scoring!$A$4:$N$51,12,FALSE()),0))</f>
        <v/>
      </c>
      <c r="K90" s="29">
        <f>IF($B90="","",IFERROR(INDEX(' Toto teams'!$R$4:$R$119,MATCH($B90,' Toto teams'!$A$4:$A$119,0)),""))</f>
        <v/>
      </c>
      <c r="L90" s="30">
        <f>IFERROR(IF(B90="","",VLOOKUP(A90,$N$4:$R$12,5,FALSE())),0)</f>
        <v/>
      </c>
    </row>
    <row r="91" ht="12.75" customHeight="1">
      <c r="A91" s="26">
        <f>IF(88&gt;COUNTIF(' Toto teams'!$A$4:$A$119,"&lt;&gt;"),"",INDEX(' Toto teams'!$S$4:$S$119,MATCH(LARGE(' Toto teams'!$T$4:$T$119,88),' Toto teams'!$T$4:$T$119,0)))</f>
        <v/>
      </c>
      <c r="B91" s="27">
        <f>IF(88&gt;COUNTIF(' Toto teams'!$A$4:$A$119,"&lt;&gt;"),"",INDEX(' Toto teams'!$A$4:$A$119,MATCH(LARGE(' Toto teams'!$T$4:$T$119,88),' Toto teams'!$T$4:$T$119,0)))</f>
        <v/>
      </c>
      <c r="C91" s="28">
        <f>IF($B91="","",6*(IFERROR(VLOOKUP(INDEX(' Toto teams'!$B$4:$B$119,MATCH($B91,' Toto teams'!$A$4:$A$119,0)),Scoring!$A$4:$N$51,3,FALSE()),0)+IFERROR(VLOOKUP(INDEX(' Toto teams'!$B$4:$B$119,MATCH($B91,' Toto teams'!$A$4:$A$119,0)),Scoring!$A$4:$N$51,4,FALSE()),0)+IFERROR(VLOOKUP(INDEX(' Toto teams'!$B$4:$B$119,MATCH($B91,' Toto teams'!$A$4:$A$119,0)),Scoring!$A$4:$N$51,5,FALSE()),0))+4*(IFERROR(VLOOKUP(INDEX(' Toto teams'!$C$4:$C$119,MATCH($B91,' Toto teams'!$A$4:$A$119,0)),Scoring!$A$4:$N$51,3,FALSE()),0)+IFERROR(VLOOKUP(INDEX(' Toto teams'!$C$4:$C$119,MATCH($B91,' Toto teams'!$A$4:$A$119,0)),Scoring!$A$4:$N$51,4,FALSE()),0)+IFERROR(VLOOKUP(INDEX(' Toto teams'!$C$4:$C$119,MATCH($B91,' Toto teams'!$A$4:$A$119,0)),Scoring!$A$4:$N$51,5,FALSE()),0))+3*(IFERROR(VLOOKUP(INDEX(' Toto teams'!$D$4:$D$119,MATCH($B91,' Toto teams'!$A$4:$A$119,0)),Scoring!$A$4:$N$51,3,FALSE()),0)+IFERROR(VLOOKUP(INDEX(' Toto teams'!$D$4:$D$119,MATCH($B91,' Toto teams'!$A$4:$A$119,0)),Scoring!$A$4:$N$51,4,FALSE()),0)+IFERROR(VLOOKUP(INDEX(' Toto teams'!$D$4:$D$119,MATCH($B91,' Toto teams'!$A$4:$A$119,0)),Scoring!$A$4:$N$51,5,FALSE()),0))+2*(IFERROR(VLOOKUP(INDEX(' Toto teams'!$E$4:$E$119,MATCH($B91,' Toto teams'!$A$4:$A$119,0)),Scoring!$A$4:$N$51,3,FALSE()),0)+IFERROR(VLOOKUP(INDEX(' Toto teams'!$E$4:$E$119,MATCH($B91,' Toto teams'!$A$4:$A$119,0)),Scoring!$A$4:$N$51,4,FALSE()),0)+IFERROR(VLOOKUP(INDEX(' Toto teams'!$E$4:$E$119,MATCH($B91,' Toto teams'!$A$4:$A$119,0)),Scoring!$A$4:$N$51,5,FALSE()),0))+1*(IFERROR(VLOOKUP(INDEX(' Toto teams'!$F$4:$F$119,MATCH($B91,' Toto teams'!$A$4:$A$119,0)),Scoring!$A$4:$N$51,3,FALSE()),0)+IFERROR(VLOOKUP(INDEX(' Toto teams'!$F$4:$F$119,MATCH($B91,' Toto teams'!$A$4:$A$119,0)),Scoring!$A$4:$N$51,4,FALSE()),0)+IFERROR(VLOOKUP(INDEX(' Toto teams'!$F$4:$F$119,MATCH($B91,' Toto teams'!$A$4:$A$119,0)),Scoring!$A$4:$N$51,5,FALSE()),0))+1*(IFERROR(VLOOKUP(INDEX(' Toto teams'!$G$4:$G$119,MATCH($B91,' Toto teams'!$A$4:$A$119,0)),Scoring!$A$4:$N$51,3,FALSE()),0)+IFERROR(VLOOKUP(INDEX(' Toto teams'!$G$4:$G$119,MATCH($B91,' Toto teams'!$A$4:$A$119,0)),Scoring!$A$4:$N$51,4,FALSE()),0)+IFERROR(VLOOKUP(INDEX(' Toto teams'!$G$4:$G$119,MATCH($B91,' Toto teams'!$A$4:$A$119,0)),Scoring!$A$4:$N$51,5,FALSE()),0))+1*(IFERROR(VLOOKUP(INDEX(' Toto teams'!$H$4:$H$119,MATCH($B91,' Toto teams'!$A$4:$A$119,0)),Scoring!$A$4:$N$51,3,FALSE()),0)+IFERROR(VLOOKUP(INDEX(' Toto teams'!$H$4:$H$119,MATCH($B91,' Toto teams'!$A$4:$A$119,0)),Scoring!$A$4:$N$51,4,FALSE()),0)+IFERROR(VLOOKUP(INDEX(' Toto teams'!$H$4:$H$119,MATCH($B91,' Toto teams'!$A$4:$A$119,0)),Scoring!$A$4:$N$51,5,FALSE()),0))+IFERROR(INDEX(' Toto teams'!$Q$4:$Q$119,MATCH($B91,' Toto teams'!$A$4:$A$119,0))*1,0))</f>
        <v/>
      </c>
      <c r="D91" s="28">
        <f>IF($B91="","",6*IFERROR(VLOOKUP(INDEX(' Toto teams'!$B$4:$B$119,MATCH($B91,' Toto teams'!$A$4:$A$119,0)),Scoring!$A$4:$N$51,7,FALSE()),0)+4*IFERROR(VLOOKUP(INDEX(' Toto teams'!$C$4:$C$119,MATCH($B91,' Toto teams'!$A$4:$A$119,0)),Scoring!$A$4:$N$51,7,FALSE()),0)+3*IFERROR(VLOOKUP(INDEX(' Toto teams'!$D$4:$D$119,MATCH($B91,' Toto teams'!$A$4:$A$119,0)),Scoring!$A$4:$N$51,7,FALSE()),0)+2*IFERROR(VLOOKUP(INDEX(' Toto teams'!$E$4:$E$119,MATCH($B91,' Toto teams'!$A$4:$A$119,0)),Scoring!$A$4:$N$51,7,FALSE()),0)+1*IFERROR(VLOOKUP(INDEX(' Toto teams'!$F$4:$F$119,MATCH($B91,' Toto teams'!$A$4:$A$119,0)),Scoring!$A$4:$N$51,7,FALSE()),0)+1*IFERROR(VLOOKUP(INDEX(' Toto teams'!$G$4:$G$119,MATCH($B91,' Toto teams'!$A$4:$A$119,0)),Scoring!$A$4:$N$51,7,FALSE()),0)+1*IFERROR(VLOOKUP(INDEX(' Toto teams'!$H$4:$H$119,MATCH($B91,' Toto teams'!$A$4:$A$119,0)),Scoring!$A$4:$N$51,7,FALSE()),0))</f>
        <v/>
      </c>
      <c r="E91" s="28">
        <f>IF($B91="","",6*IFERROR(VLOOKUP(INDEX(' Toto teams'!$B$4:$B$119,MATCH($B91,' Toto teams'!$A$4:$A$119,0)),Scoring!$A$4:$N$51,8,FALSE()),0)+4*IFERROR(VLOOKUP(INDEX(' Toto teams'!$C$4:$C$119,MATCH($B91,' Toto teams'!$A$4:$A$119,0)),Scoring!$A$4:$N$51,8,FALSE()),0)+3*IFERROR(VLOOKUP(INDEX(' Toto teams'!$D$4:$D$119,MATCH($B91,' Toto teams'!$A$4:$A$119,0)),Scoring!$A$4:$N$51,8,FALSE()),0)+2*IFERROR(VLOOKUP(INDEX(' Toto teams'!$E$4:$E$119,MATCH($B91,' Toto teams'!$A$4:$A$119,0)),Scoring!$A$4:$N$51,8,FALSE()),0)+1*IFERROR(VLOOKUP(INDEX(' Toto teams'!$F$4:$F$119,MATCH($B91,' Toto teams'!$A$4:$A$119,0)),Scoring!$A$4:$N$51,8,FALSE()),0)+1*IFERROR(VLOOKUP(INDEX(' Toto teams'!$G$4:$G$119,MATCH($B91,' Toto teams'!$A$4:$A$119,0)),Scoring!$A$4:$N$51,8,FALSE()),0)+1*IFERROR(VLOOKUP(INDEX(' Toto teams'!$H$4:$H$119,MATCH($B91,' Toto teams'!$A$4:$A$119,0)),Scoring!$A$4:$N$51,8,FALSE()),0))</f>
        <v/>
      </c>
      <c r="F91" s="28">
        <f>IF($B91="","",6*IFERROR(VLOOKUP(INDEX(' Toto teams'!$B$4:$B$119,MATCH($B91,' Toto teams'!$A$4:$A$119,0)),Scoring!$A$4:$N$51,9,FALSE()),0)+4*IFERROR(VLOOKUP(INDEX(' Toto teams'!$C$4:$C$119,MATCH($B91,' Toto teams'!$A$4:$A$119,0)),Scoring!$A$4:$N$51,9,FALSE()),0)+3*IFERROR(VLOOKUP(INDEX(' Toto teams'!$D$4:$D$119,MATCH($B91,' Toto teams'!$A$4:$A$119,0)),Scoring!$A$4:$N$51,9,FALSE()),0)+2*IFERROR(VLOOKUP(INDEX(' Toto teams'!$E$4:$E$119,MATCH($B91,' Toto teams'!$A$4:$A$119,0)),Scoring!$A$4:$N$51,9,FALSE()),0)+1*IFERROR(VLOOKUP(INDEX(' Toto teams'!$F$4:$F$119,MATCH($B91,' Toto teams'!$A$4:$A$119,0)),Scoring!$A$4:$N$51,9,FALSE()),0)+1*IFERROR(VLOOKUP(INDEX(' Toto teams'!$G$4:$G$119,MATCH($B91,' Toto teams'!$A$4:$A$119,0)),Scoring!$A$4:$N$51,9,FALSE()),0)+1*IFERROR(VLOOKUP(INDEX(' Toto teams'!$H$4:$H$119,MATCH($B91,' Toto teams'!$A$4:$A$119,0)),Scoring!$A$4:$N$51,9,FALSE()),0))</f>
        <v/>
      </c>
      <c r="G91" s="28">
        <f>IF($B91="","",6*IFERROR(VLOOKUP(INDEX(' Toto teams'!$B$4:$B$119,MATCH($B91,' Toto teams'!$A$4:$A$119,0)),Scoring!$A$4:$N$51,10,FALSE()),0)+4*IFERROR(VLOOKUP(INDEX(' Toto teams'!$C$4:$C$119,MATCH($B91,' Toto teams'!$A$4:$A$119,0)),Scoring!$A$4:$N$51,10,FALSE()),0)+3*IFERROR(VLOOKUP(INDEX(' Toto teams'!$D$4:$D$119,MATCH($B91,' Toto teams'!$A$4:$A$119,0)),Scoring!$A$4:$N$51,10,FALSE()),0)+2*IFERROR(VLOOKUP(INDEX(' Toto teams'!$E$4:$E$119,MATCH($B91,' Toto teams'!$A$4:$A$119,0)),Scoring!$A$4:$N$51,10,FALSE()),0)+1*IFERROR(VLOOKUP(INDEX(' Toto teams'!$F$4:$F$119,MATCH($B91,' Toto teams'!$A$4:$A$119,0)),Scoring!$A$4:$N$51,10,FALSE()),0)+1*IFERROR(VLOOKUP(INDEX(' Toto teams'!$G$4:$G$119,MATCH($B91,' Toto teams'!$A$4:$A$119,0)),Scoring!$A$4:$N$51,10,FALSE()),0)+1*IFERROR(VLOOKUP(INDEX(' Toto teams'!$H$4:$H$119,MATCH($B91,' Toto teams'!$A$4:$A$119,0)),Scoring!$A$4:$N$51,10,FALSE()),0))</f>
        <v/>
      </c>
      <c r="H91" s="28">
        <f>IF($B91="","",6*IFERROR(VLOOKUP(INDEX(' Toto teams'!$B$4:$B$119,MATCH($B91,' Toto teams'!$A$4:$A$119,0)),Scoring!$A$4:$N$51,11,FALSE()),0)+4*IFERROR(VLOOKUP(INDEX(' Toto teams'!$C$4:$C$119,MATCH($B91,' Toto teams'!$A$4:$A$119,0)),Scoring!$A$4:$N$51,11,FALSE()),0)+3*IFERROR(VLOOKUP(INDEX(' Toto teams'!$D$4:$D$119,MATCH($B91,' Toto teams'!$A$4:$A$119,0)),Scoring!$A$4:$N$51,11,FALSE()),0)+2*IFERROR(VLOOKUP(INDEX(' Toto teams'!$E$4:$E$119,MATCH($B91,' Toto teams'!$A$4:$A$119,0)),Scoring!$A$4:$N$51,11,FALSE()),0)+1*IFERROR(VLOOKUP(INDEX(' Toto teams'!$F$4:$F$119,MATCH($B91,' Toto teams'!$A$4:$A$119,0)),Scoring!$A$4:$N$51,11,FALSE()),0)+1*IFERROR(VLOOKUP(INDEX(' Toto teams'!$G$4:$G$119,MATCH($B91,' Toto teams'!$A$4:$A$119,0)),Scoring!$A$4:$N$51,11,FALSE()),0)+1*IFERROR(VLOOKUP(INDEX(' Toto teams'!$H$4:$H$119,MATCH($B91,' Toto teams'!$A$4:$A$119,0)),Scoring!$A$4:$N$51,11,FALSE()),0))</f>
        <v/>
      </c>
      <c r="I91" s="28">
        <f>IF($B91="","",6*IFERROR(VLOOKUP(INDEX(' Toto teams'!$B$4:$B$119,MATCH($B91,' Toto teams'!$A$4:$A$119,0)),Scoring!$A$4:$O$51,15,FALSE()),0)+4*IFERROR(VLOOKUP(INDEX(' Toto teams'!$C$4:$C$119,MATCH($B91,' Toto teams'!$A$4:$A$119,0)),Scoring!$A$4:$O$51,15,FALSE()),0)+3*IFERROR(VLOOKUP(INDEX(' Toto teams'!$D$4:$D$119,MATCH($B91,' Toto teams'!$A$4:$A$119,0)),Scoring!$A$4:$O$51,15,FALSE()),0)+2*IFERROR(VLOOKUP(INDEX(' Toto teams'!$E$4:$E$119,MATCH($B91,' Toto teams'!$A$4:$A$119,0)),Scoring!$A$4:$O$51,15,FALSE()),0)+1*IFERROR(VLOOKUP(INDEX(' Toto teams'!$F$4:$F$119,MATCH($B91,' Toto teams'!$A$4:$A$119,0)),Scoring!$A$4:$O$51,15,FALSE()),0)+1*IFERROR(VLOOKUP(INDEX(' Toto teams'!$G$4:$G$119,MATCH($B91,' Toto teams'!$A$4:$A$119,0)),Scoring!$A$4:$O$51,15,FALSE()),0)+1*IFERROR(VLOOKUP(INDEX(' Toto teams'!$H$4:$H$119,MATCH($B91,' Toto teams'!$A$4:$A$119,0)),Scoring!$A$4:$O$51,15,FALSE()),0))</f>
        <v/>
      </c>
      <c r="J91" s="28">
        <f>IF($B91="","",6*IFERROR(VLOOKUP(INDEX(' Toto teams'!$B$4:$B$119,MATCH($B91,' Toto teams'!$A$4:$A$119,0)),Scoring!$A$4:$N$51,12,FALSE()),0)+4*IFERROR(VLOOKUP(INDEX(' Toto teams'!$C$4:$C$119,MATCH($B91,' Toto teams'!$A$4:$A$119,0)),Scoring!$A$4:$N$51,12,FALSE()),0)+3*IFERROR(VLOOKUP(INDEX(' Toto teams'!$D$4:$D$119,MATCH($B91,' Toto teams'!$A$4:$A$119,0)),Scoring!$A$4:$N$51,12,FALSE()),0)+2*IFERROR(VLOOKUP(INDEX(' Toto teams'!$E$4:$E$119,MATCH($B91,' Toto teams'!$A$4:$A$119,0)),Scoring!$A$4:$N$51,12,FALSE()),0)+1*IFERROR(VLOOKUP(INDEX(' Toto teams'!$F$4:$F$119,MATCH($B91,' Toto teams'!$A$4:$A$119,0)),Scoring!$A$4:$N$51,12,FALSE()),0)+1*IFERROR(VLOOKUP(INDEX(' Toto teams'!$G$4:$G$119,MATCH($B91,' Toto teams'!$A$4:$A$119,0)),Scoring!$A$4:$N$51,12,FALSE()),0)+1*IFERROR(VLOOKUP(INDEX(' Toto teams'!$H$4:$H$119,MATCH($B91,' Toto teams'!$A$4:$A$119,0)),Scoring!$A$4:$N$51,12,FALSE()),0))</f>
        <v/>
      </c>
      <c r="K91" s="29">
        <f>IF($B91="","",IFERROR(INDEX(' Toto teams'!$R$4:$R$119,MATCH($B91,' Toto teams'!$A$4:$A$119,0)),""))</f>
        <v/>
      </c>
      <c r="L91" s="30">
        <f>IFERROR(IF(B91="","",VLOOKUP(A91,$N$4:$R$12,5,FALSE())),0)</f>
        <v/>
      </c>
    </row>
    <row r="92" ht="12.75" customHeight="1">
      <c r="A92" s="26">
        <f>IF(89&gt;COUNTIF(' Toto teams'!$A$4:$A$119,"&lt;&gt;"),"",INDEX(' Toto teams'!$S$4:$S$119,MATCH(LARGE(' Toto teams'!$T$4:$T$119,89),' Toto teams'!$T$4:$T$119,0)))</f>
        <v/>
      </c>
      <c r="B92" s="27">
        <f>IF(89&gt;COUNTIF(' Toto teams'!$A$4:$A$119,"&lt;&gt;"),"",INDEX(' Toto teams'!$A$4:$A$119,MATCH(LARGE(' Toto teams'!$T$4:$T$119,89),' Toto teams'!$T$4:$T$119,0)))</f>
        <v/>
      </c>
      <c r="C92" s="28">
        <f>IF($B92="","",6*(IFERROR(VLOOKUP(INDEX(' Toto teams'!$B$4:$B$119,MATCH($B92,' Toto teams'!$A$4:$A$119,0)),Scoring!$A$4:$N$51,3,FALSE()),0)+IFERROR(VLOOKUP(INDEX(' Toto teams'!$B$4:$B$119,MATCH($B92,' Toto teams'!$A$4:$A$119,0)),Scoring!$A$4:$N$51,4,FALSE()),0)+IFERROR(VLOOKUP(INDEX(' Toto teams'!$B$4:$B$119,MATCH($B92,' Toto teams'!$A$4:$A$119,0)),Scoring!$A$4:$N$51,5,FALSE()),0))+4*(IFERROR(VLOOKUP(INDEX(' Toto teams'!$C$4:$C$119,MATCH($B92,' Toto teams'!$A$4:$A$119,0)),Scoring!$A$4:$N$51,3,FALSE()),0)+IFERROR(VLOOKUP(INDEX(' Toto teams'!$C$4:$C$119,MATCH($B92,' Toto teams'!$A$4:$A$119,0)),Scoring!$A$4:$N$51,4,FALSE()),0)+IFERROR(VLOOKUP(INDEX(' Toto teams'!$C$4:$C$119,MATCH($B92,' Toto teams'!$A$4:$A$119,0)),Scoring!$A$4:$N$51,5,FALSE()),0))+3*(IFERROR(VLOOKUP(INDEX(' Toto teams'!$D$4:$D$119,MATCH($B92,' Toto teams'!$A$4:$A$119,0)),Scoring!$A$4:$N$51,3,FALSE()),0)+IFERROR(VLOOKUP(INDEX(' Toto teams'!$D$4:$D$119,MATCH($B92,' Toto teams'!$A$4:$A$119,0)),Scoring!$A$4:$N$51,4,FALSE()),0)+IFERROR(VLOOKUP(INDEX(' Toto teams'!$D$4:$D$119,MATCH($B92,' Toto teams'!$A$4:$A$119,0)),Scoring!$A$4:$N$51,5,FALSE()),0))+2*(IFERROR(VLOOKUP(INDEX(' Toto teams'!$E$4:$E$119,MATCH($B92,' Toto teams'!$A$4:$A$119,0)),Scoring!$A$4:$N$51,3,FALSE()),0)+IFERROR(VLOOKUP(INDEX(' Toto teams'!$E$4:$E$119,MATCH($B92,' Toto teams'!$A$4:$A$119,0)),Scoring!$A$4:$N$51,4,FALSE()),0)+IFERROR(VLOOKUP(INDEX(' Toto teams'!$E$4:$E$119,MATCH($B92,' Toto teams'!$A$4:$A$119,0)),Scoring!$A$4:$N$51,5,FALSE()),0))+1*(IFERROR(VLOOKUP(INDEX(' Toto teams'!$F$4:$F$119,MATCH($B92,' Toto teams'!$A$4:$A$119,0)),Scoring!$A$4:$N$51,3,FALSE()),0)+IFERROR(VLOOKUP(INDEX(' Toto teams'!$F$4:$F$119,MATCH($B92,' Toto teams'!$A$4:$A$119,0)),Scoring!$A$4:$N$51,4,FALSE()),0)+IFERROR(VLOOKUP(INDEX(' Toto teams'!$F$4:$F$119,MATCH($B92,' Toto teams'!$A$4:$A$119,0)),Scoring!$A$4:$N$51,5,FALSE()),0))+1*(IFERROR(VLOOKUP(INDEX(' Toto teams'!$G$4:$G$119,MATCH($B92,' Toto teams'!$A$4:$A$119,0)),Scoring!$A$4:$N$51,3,FALSE()),0)+IFERROR(VLOOKUP(INDEX(' Toto teams'!$G$4:$G$119,MATCH($B92,' Toto teams'!$A$4:$A$119,0)),Scoring!$A$4:$N$51,4,FALSE()),0)+IFERROR(VLOOKUP(INDEX(' Toto teams'!$G$4:$G$119,MATCH($B92,' Toto teams'!$A$4:$A$119,0)),Scoring!$A$4:$N$51,5,FALSE()),0))+1*(IFERROR(VLOOKUP(INDEX(' Toto teams'!$H$4:$H$119,MATCH($B92,' Toto teams'!$A$4:$A$119,0)),Scoring!$A$4:$N$51,3,FALSE()),0)+IFERROR(VLOOKUP(INDEX(' Toto teams'!$H$4:$H$119,MATCH($B92,' Toto teams'!$A$4:$A$119,0)),Scoring!$A$4:$N$51,4,FALSE()),0)+IFERROR(VLOOKUP(INDEX(' Toto teams'!$H$4:$H$119,MATCH($B92,' Toto teams'!$A$4:$A$119,0)),Scoring!$A$4:$N$51,5,FALSE()),0))+IFERROR(INDEX(' Toto teams'!$Q$4:$Q$119,MATCH($B92,' Toto teams'!$A$4:$A$119,0))*1,0))</f>
        <v/>
      </c>
      <c r="D92" s="28">
        <f>IF($B92="","",6*IFERROR(VLOOKUP(INDEX(' Toto teams'!$B$4:$B$119,MATCH($B92,' Toto teams'!$A$4:$A$119,0)),Scoring!$A$4:$N$51,7,FALSE()),0)+4*IFERROR(VLOOKUP(INDEX(' Toto teams'!$C$4:$C$119,MATCH($B92,' Toto teams'!$A$4:$A$119,0)),Scoring!$A$4:$N$51,7,FALSE()),0)+3*IFERROR(VLOOKUP(INDEX(' Toto teams'!$D$4:$D$119,MATCH($B92,' Toto teams'!$A$4:$A$119,0)),Scoring!$A$4:$N$51,7,FALSE()),0)+2*IFERROR(VLOOKUP(INDEX(' Toto teams'!$E$4:$E$119,MATCH($B92,' Toto teams'!$A$4:$A$119,0)),Scoring!$A$4:$N$51,7,FALSE()),0)+1*IFERROR(VLOOKUP(INDEX(' Toto teams'!$F$4:$F$119,MATCH($B92,' Toto teams'!$A$4:$A$119,0)),Scoring!$A$4:$N$51,7,FALSE()),0)+1*IFERROR(VLOOKUP(INDEX(' Toto teams'!$G$4:$G$119,MATCH($B92,' Toto teams'!$A$4:$A$119,0)),Scoring!$A$4:$N$51,7,FALSE()),0)+1*IFERROR(VLOOKUP(INDEX(' Toto teams'!$H$4:$H$119,MATCH($B92,' Toto teams'!$A$4:$A$119,0)),Scoring!$A$4:$N$51,7,FALSE()),0))</f>
        <v/>
      </c>
      <c r="E92" s="28">
        <f>IF($B92="","",6*IFERROR(VLOOKUP(INDEX(' Toto teams'!$B$4:$B$119,MATCH($B92,' Toto teams'!$A$4:$A$119,0)),Scoring!$A$4:$N$51,8,FALSE()),0)+4*IFERROR(VLOOKUP(INDEX(' Toto teams'!$C$4:$C$119,MATCH($B92,' Toto teams'!$A$4:$A$119,0)),Scoring!$A$4:$N$51,8,FALSE()),0)+3*IFERROR(VLOOKUP(INDEX(' Toto teams'!$D$4:$D$119,MATCH($B92,' Toto teams'!$A$4:$A$119,0)),Scoring!$A$4:$N$51,8,FALSE()),0)+2*IFERROR(VLOOKUP(INDEX(' Toto teams'!$E$4:$E$119,MATCH($B92,' Toto teams'!$A$4:$A$119,0)),Scoring!$A$4:$N$51,8,FALSE()),0)+1*IFERROR(VLOOKUP(INDEX(' Toto teams'!$F$4:$F$119,MATCH($B92,' Toto teams'!$A$4:$A$119,0)),Scoring!$A$4:$N$51,8,FALSE()),0)+1*IFERROR(VLOOKUP(INDEX(' Toto teams'!$G$4:$G$119,MATCH($B92,' Toto teams'!$A$4:$A$119,0)),Scoring!$A$4:$N$51,8,FALSE()),0)+1*IFERROR(VLOOKUP(INDEX(' Toto teams'!$H$4:$H$119,MATCH($B92,' Toto teams'!$A$4:$A$119,0)),Scoring!$A$4:$N$51,8,FALSE()),0))</f>
        <v/>
      </c>
      <c r="F92" s="28">
        <f>IF($B92="","",6*IFERROR(VLOOKUP(INDEX(' Toto teams'!$B$4:$B$119,MATCH($B92,' Toto teams'!$A$4:$A$119,0)),Scoring!$A$4:$N$51,9,FALSE()),0)+4*IFERROR(VLOOKUP(INDEX(' Toto teams'!$C$4:$C$119,MATCH($B92,' Toto teams'!$A$4:$A$119,0)),Scoring!$A$4:$N$51,9,FALSE()),0)+3*IFERROR(VLOOKUP(INDEX(' Toto teams'!$D$4:$D$119,MATCH($B92,' Toto teams'!$A$4:$A$119,0)),Scoring!$A$4:$N$51,9,FALSE()),0)+2*IFERROR(VLOOKUP(INDEX(' Toto teams'!$E$4:$E$119,MATCH($B92,' Toto teams'!$A$4:$A$119,0)),Scoring!$A$4:$N$51,9,FALSE()),0)+1*IFERROR(VLOOKUP(INDEX(' Toto teams'!$F$4:$F$119,MATCH($B92,' Toto teams'!$A$4:$A$119,0)),Scoring!$A$4:$N$51,9,FALSE()),0)+1*IFERROR(VLOOKUP(INDEX(' Toto teams'!$G$4:$G$119,MATCH($B92,' Toto teams'!$A$4:$A$119,0)),Scoring!$A$4:$N$51,9,FALSE()),0)+1*IFERROR(VLOOKUP(INDEX(' Toto teams'!$H$4:$H$119,MATCH($B92,' Toto teams'!$A$4:$A$119,0)),Scoring!$A$4:$N$51,9,FALSE()),0))</f>
        <v/>
      </c>
      <c r="G92" s="28">
        <f>IF($B92="","",6*IFERROR(VLOOKUP(INDEX(' Toto teams'!$B$4:$B$119,MATCH($B92,' Toto teams'!$A$4:$A$119,0)),Scoring!$A$4:$N$51,10,FALSE()),0)+4*IFERROR(VLOOKUP(INDEX(' Toto teams'!$C$4:$C$119,MATCH($B92,' Toto teams'!$A$4:$A$119,0)),Scoring!$A$4:$N$51,10,FALSE()),0)+3*IFERROR(VLOOKUP(INDEX(' Toto teams'!$D$4:$D$119,MATCH($B92,' Toto teams'!$A$4:$A$119,0)),Scoring!$A$4:$N$51,10,FALSE()),0)+2*IFERROR(VLOOKUP(INDEX(' Toto teams'!$E$4:$E$119,MATCH($B92,' Toto teams'!$A$4:$A$119,0)),Scoring!$A$4:$N$51,10,FALSE()),0)+1*IFERROR(VLOOKUP(INDEX(' Toto teams'!$F$4:$F$119,MATCH($B92,' Toto teams'!$A$4:$A$119,0)),Scoring!$A$4:$N$51,10,FALSE()),0)+1*IFERROR(VLOOKUP(INDEX(' Toto teams'!$G$4:$G$119,MATCH($B92,' Toto teams'!$A$4:$A$119,0)),Scoring!$A$4:$N$51,10,FALSE()),0)+1*IFERROR(VLOOKUP(INDEX(' Toto teams'!$H$4:$H$119,MATCH($B92,' Toto teams'!$A$4:$A$119,0)),Scoring!$A$4:$N$51,10,FALSE()),0))</f>
        <v/>
      </c>
      <c r="H92" s="28">
        <f>IF($B92="","",6*IFERROR(VLOOKUP(INDEX(' Toto teams'!$B$4:$B$119,MATCH($B92,' Toto teams'!$A$4:$A$119,0)),Scoring!$A$4:$N$51,11,FALSE()),0)+4*IFERROR(VLOOKUP(INDEX(' Toto teams'!$C$4:$C$119,MATCH($B92,' Toto teams'!$A$4:$A$119,0)),Scoring!$A$4:$N$51,11,FALSE()),0)+3*IFERROR(VLOOKUP(INDEX(' Toto teams'!$D$4:$D$119,MATCH($B92,' Toto teams'!$A$4:$A$119,0)),Scoring!$A$4:$N$51,11,FALSE()),0)+2*IFERROR(VLOOKUP(INDEX(' Toto teams'!$E$4:$E$119,MATCH($B92,' Toto teams'!$A$4:$A$119,0)),Scoring!$A$4:$N$51,11,FALSE()),0)+1*IFERROR(VLOOKUP(INDEX(' Toto teams'!$F$4:$F$119,MATCH($B92,' Toto teams'!$A$4:$A$119,0)),Scoring!$A$4:$N$51,11,FALSE()),0)+1*IFERROR(VLOOKUP(INDEX(' Toto teams'!$G$4:$G$119,MATCH($B92,' Toto teams'!$A$4:$A$119,0)),Scoring!$A$4:$N$51,11,FALSE()),0)+1*IFERROR(VLOOKUP(INDEX(' Toto teams'!$H$4:$H$119,MATCH($B92,' Toto teams'!$A$4:$A$119,0)),Scoring!$A$4:$N$51,11,FALSE()),0))</f>
        <v/>
      </c>
      <c r="I92" s="28">
        <f>IF($B92="","",6*IFERROR(VLOOKUP(INDEX(' Toto teams'!$B$4:$B$119,MATCH($B92,' Toto teams'!$A$4:$A$119,0)),Scoring!$A$4:$O$51,15,FALSE()),0)+4*IFERROR(VLOOKUP(INDEX(' Toto teams'!$C$4:$C$119,MATCH($B92,' Toto teams'!$A$4:$A$119,0)),Scoring!$A$4:$O$51,15,FALSE()),0)+3*IFERROR(VLOOKUP(INDEX(' Toto teams'!$D$4:$D$119,MATCH($B92,' Toto teams'!$A$4:$A$119,0)),Scoring!$A$4:$O$51,15,FALSE()),0)+2*IFERROR(VLOOKUP(INDEX(' Toto teams'!$E$4:$E$119,MATCH($B92,' Toto teams'!$A$4:$A$119,0)),Scoring!$A$4:$O$51,15,FALSE()),0)+1*IFERROR(VLOOKUP(INDEX(' Toto teams'!$F$4:$F$119,MATCH($B92,' Toto teams'!$A$4:$A$119,0)),Scoring!$A$4:$O$51,15,FALSE()),0)+1*IFERROR(VLOOKUP(INDEX(' Toto teams'!$G$4:$G$119,MATCH($B92,' Toto teams'!$A$4:$A$119,0)),Scoring!$A$4:$O$51,15,FALSE()),0)+1*IFERROR(VLOOKUP(INDEX(' Toto teams'!$H$4:$H$119,MATCH($B92,' Toto teams'!$A$4:$A$119,0)),Scoring!$A$4:$O$51,15,FALSE()),0))</f>
        <v/>
      </c>
      <c r="J92" s="28">
        <f>IF($B92="","",6*IFERROR(VLOOKUP(INDEX(' Toto teams'!$B$4:$B$119,MATCH($B92,' Toto teams'!$A$4:$A$119,0)),Scoring!$A$4:$N$51,12,FALSE()),0)+4*IFERROR(VLOOKUP(INDEX(' Toto teams'!$C$4:$C$119,MATCH($B92,' Toto teams'!$A$4:$A$119,0)),Scoring!$A$4:$N$51,12,FALSE()),0)+3*IFERROR(VLOOKUP(INDEX(' Toto teams'!$D$4:$D$119,MATCH($B92,' Toto teams'!$A$4:$A$119,0)),Scoring!$A$4:$N$51,12,FALSE()),0)+2*IFERROR(VLOOKUP(INDEX(' Toto teams'!$E$4:$E$119,MATCH($B92,' Toto teams'!$A$4:$A$119,0)),Scoring!$A$4:$N$51,12,FALSE()),0)+1*IFERROR(VLOOKUP(INDEX(' Toto teams'!$F$4:$F$119,MATCH($B92,' Toto teams'!$A$4:$A$119,0)),Scoring!$A$4:$N$51,12,FALSE()),0)+1*IFERROR(VLOOKUP(INDEX(' Toto teams'!$G$4:$G$119,MATCH($B92,' Toto teams'!$A$4:$A$119,0)),Scoring!$A$4:$N$51,12,FALSE()),0)+1*IFERROR(VLOOKUP(INDEX(' Toto teams'!$H$4:$H$119,MATCH($B92,' Toto teams'!$A$4:$A$119,0)),Scoring!$A$4:$N$51,12,FALSE()),0))</f>
        <v/>
      </c>
      <c r="K92" s="29">
        <f>IF($B92="","",IFERROR(INDEX(' Toto teams'!$R$4:$R$119,MATCH($B92,' Toto teams'!$A$4:$A$119,0)),""))</f>
        <v/>
      </c>
      <c r="L92" s="30">
        <f>IFERROR(IF(B92="","",VLOOKUP(A92,$N$4:$R$12,5,FALSE())),0)</f>
        <v/>
      </c>
    </row>
    <row r="93" ht="12.75" customHeight="1">
      <c r="A93" s="26">
        <f>IF(90&gt;COUNTIF(' Toto teams'!$A$4:$A$119,"&lt;&gt;"),"",INDEX(' Toto teams'!$S$4:$S$119,MATCH(LARGE(' Toto teams'!$T$4:$T$119,90),' Toto teams'!$T$4:$T$119,0)))</f>
        <v/>
      </c>
      <c r="B93" s="27">
        <f>IF(90&gt;COUNTIF(' Toto teams'!$A$4:$A$119,"&lt;&gt;"),"",INDEX(' Toto teams'!$A$4:$A$119,MATCH(LARGE(' Toto teams'!$T$4:$T$119,90),' Toto teams'!$T$4:$T$119,0)))</f>
        <v/>
      </c>
      <c r="C93" s="28">
        <f>IF($B93="","",6*(IFERROR(VLOOKUP(INDEX(' Toto teams'!$B$4:$B$119,MATCH($B93,' Toto teams'!$A$4:$A$119,0)),Scoring!$A$4:$N$51,3,FALSE()),0)+IFERROR(VLOOKUP(INDEX(' Toto teams'!$B$4:$B$119,MATCH($B93,' Toto teams'!$A$4:$A$119,0)),Scoring!$A$4:$N$51,4,FALSE()),0)+IFERROR(VLOOKUP(INDEX(' Toto teams'!$B$4:$B$119,MATCH($B93,' Toto teams'!$A$4:$A$119,0)),Scoring!$A$4:$N$51,5,FALSE()),0))+4*(IFERROR(VLOOKUP(INDEX(' Toto teams'!$C$4:$C$119,MATCH($B93,' Toto teams'!$A$4:$A$119,0)),Scoring!$A$4:$N$51,3,FALSE()),0)+IFERROR(VLOOKUP(INDEX(' Toto teams'!$C$4:$C$119,MATCH($B93,' Toto teams'!$A$4:$A$119,0)),Scoring!$A$4:$N$51,4,FALSE()),0)+IFERROR(VLOOKUP(INDEX(' Toto teams'!$C$4:$C$119,MATCH($B93,' Toto teams'!$A$4:$A$119,0)),Scoring!$A$4:$N$51,5,FALSE()),0))+3*(IFERROR(VLOOKUP(INDEX(' Toto teams'!$D$4:$D$119,MATCH($B93,' Toto teams'!$A$4:$A$119,0)),Scoring!$A$4:$N$51,3,FALSE()),0)+IFERROR(VLOOKUP(INDEX(' Toto teams'!$D$4:$D$119,MATCH($B93,' Toto teams'!$A$4:$A$119,0)),Scoring!$A$4:$N$51,4,FALSE()),0)+IFERROR(VLOOKUP(INDEX(' Toto teams'!$D$4:$D$119,MATCH($B93,' Toto teams'!$A$4:$A$119,0)),Scoring!$A$4:$N$51,5,FALSE()),0))+2*(IFERROR(VLOOKUP(INDEX(' Toto teams'!$E$4:$E$119,MATCH($B93,' Toto teams'!$A$4:$A$119,0)),Scoring!$A$4:$N$51,3,FALSE()),0)+IFERROR(VLOOKUP(INDEX(' Toto teams'!$E$4:$E$119,MATCH($B93,' Toto teams'!$A$4:$A$119,0)),Scoring!$A$4:$N$51,4,FALSE()),0)+IFERROR(VLOOKUP(INDEX(' Toto teams'!$E$4:$E$119,MATCH($B93,' Toto teams'!$A$4:$A$119,0)),Scoring!$A$4:$N$51,5,FALSE()),0))+1*(IFERROR(VLOOKUP(INDEX(' Toto teams'!$F$4:$F$119,MATCH($B93,' Toto teams'!$A$4:$A$119,0)),Scoring!$A$4:$N$51,3,FALSE()),0)+IFERROR(VLOOKUP(INDEX(' Toto teams'!$F$4:$F$119,MATCH($B93,' Toto teams'!$A$4:$A$119,0)),Scoring!$A$4:$N$51,4,FALSE()),0)+IFERROR(VLOOKUP(INDEX(' Toto teams'!$F$4:$F$119,MATCH($B93,' Toto teams'!$A$4:$A$119,0)),Scoring!$A$4:$N$51,5,FALSE()),0))+1*(IFERROR(VLOOKUP(INDEX(' Toto teams'!$G$4:$G$119,MATCH($B93,' Toto teams'!$A$4:$A$119,0)),Scoring!$A$4:$N$51,3,FALSE()),0)+IFERROR(VLOOKUP(INDEX(' Toto teams'!$G$4:$G$119,MATCH($B93,' Toto teams'!$A$4:$A$119,0)),Scoring!$A$4:$N$51,4,FALSE()),0)+IFERROR(VLOOKUP(INDEX(' Toto teams'!$G$4:$G$119,MATCH($B93,' Toto teams'!$A$4:$A$119,0)),Scoring!$A$4:$N$51,5,FALSE()),0))+1*(IFERROR(VLOOKUP(INDEX(' Toto teams'!$H$4:$H$119,MATCH($B93,' Toto teams'!$A$4:$A$119,0)),Scoring!$A$4:$N$51,3,FALSE()),0)+IFERROR(VLOOKUP(INDEX(' Toto teams'!$H$4:$H$119,MATCH($B93,' Toto teams'!$A$4:$A$119,0)),Scoring!$A$4:$N$51,4,FALSE()),0)+IFERROR(VLOOKUP(INDEX(' Toto teams'!$H$4:$H$119,MATCH($B93,' Toto teams'!$A$4:$A$119,0)),Scoring!$A$4:$N$51,5,FALSE()),0))+IFERROR(INDEX(' Toto teams'!$Q$4:$Q$119,MATCH($B93,' Toto teams'!$A$4:$A$119,0))*1,0))</f>
        <v/>
      </c>
      <c r="D93" s="28">
        <f>IF($B93="","",6*IFERROR(VLOOKUP(INDEX(' Toto teams'!$B$4:$B$119,MATCH($B93,' Toto teams'!$A$4:$A$119,0)),Scoring!$A$4:$N$51,7,FALSE()),0)+4*IFERROR(VLOOKUP(INDEX(' Toto teams'!$C$4:$C$119,MATCH($B93,' Toto teams'!$A$4:$A$119,0)),Scoring!$A$4:$N$51,7,FALSE()),0)+3*IFERROR(VLOOKUP(INDEX(' Toto teams'!$D$4:$D$119,MATCH($B93,' Toto teams'!$A$4:$A$119,0)),Scoring!$A$4:$N$51,7,FALSE()),0)+2*IFERROR(VLOOKUP(INDEX(' Toto teams'!$E$4:$E$119,MATCH($B93,' Toto teams'!$A$4:$A$119,0)),Scoring!$A$4:$N$51,7,FALSE()),0)+1*IFERROR(VLOOKUP(INDEX(' Toto teams'!$F$4:$F$119,MATCH($B93,' Toto teams'!$A$4:$A$119,0)),Scoring!$A$4:$N$51,7,FALSE()),0)+1*IFERROR(VLOOKUP(INDEX(' Toto teams'!$G$4:$G$119,MATCH($B93,' Toto teams'!$A$4:$A$119,0)),Scoring!$A$4:$N$51,7,FALSE()),0)+1*IFERROR(VLOOKUP(INDEX(' Toto teams'!$H$4:$H$119,MATCH($B93,' Toto teams'!$A$4:$A$119,0)),Scoring!$A$4:$N$51,7,FALSE()),0))</f>
        <v/>
      </c>
      <c r="E93" s="28">
        <f>IF($B93="","",6*IFERROR(VLOOKUP(INDEX(' Toto teams'!$B$4:$B$119,MATCH($B93,' Toto teams'!$A$4:$A$119,0)),Scoring!$A$4:$N$51,8,FALSE()),0)+4*IFERROR(VLOOKUP(INDEX(' Toto teams'!$C$4:$C$119,MATCH($B93,' Toto teams'!$A$4:$A$119,0)),Scoring!$A$4:$N$51,8,FALSE()),0)+3*IFERROR(VLOOKUP(INDEX(' Toto teams'!$D$4:$D$119,MATCH($B93,' Toto teams'!$A$4:$A$119,0)),Scoring!$A$4:$N$51,8,FALSE()),0)+2*IFERROR(VLOOKUP(INDEX(' Toto teams'!$E$4:$E$119,MATCH($B93,' Toto teams'!$A$4:$A$119,0)),Scoring!$A$4:$N$51,8,FALSE()),0)+1*IFERROR(VLOOKUP(INDEX(' Toto teams'!$F$4:$F$119,MATCH($B93,' Toto teams'!$A$4:$A$119,0)),Scoring!$A$4:$N$51,8,FALSE()),0)+1*IFERROR(VLOOKUP(INDEX(' Toto teams'!$G$4:$G$119,MATCH($B93,' Toto teams'!$A$4:$A$119,0)),Scoring!$A$4:$N$51,8,FALSE()),0)+1*IFERROR(VLOOKUP(INDEX(' Toto teams'!$H$4:$H$119,MATCH($B93,' Toto teams'!$A$4:$A$119,0)),Scoring!$A$4:$N$51,8,FALSE()),0))</f>
        <v/>
      </c>
      <c r="F93" s="28">
        <f>IF($B93="","",6*IFERROR(VLOOKUP(INDEX(' Toto teams'!$B$4:$B$119,MATCH($B93,' Toto teams'!$A$4:$A$119,0)),Scoring!$A$4:$N$51,9,FALSE()),0)+4*IFERROR(VLOOKUP(INDEX(' Toto teams'!$C$4:$C$119,MATCH($B93,' Toto teams'!$A$4:$A$119,0)),Scoring!$A$4:$N$51,9,FALSE()),0)+3*IFERROR(VLOOKUP(INDEX(' Toto teams'!$D$4:$D$119,MATCH($B93,' Toto teams'!$A$4:$A$119,0)),Scoring!$A$4:$N$51,9,FALSE()),0)+2*IFERROR(VLOOKUP(INDEX(' Toto teams'!$E$4:$E$119,MATCH($B93,' Toto teams'!$A$4:$A$119,0)),Scoring!$A$4:$N$51,9,FALSE()),0)+1*IFERROR(VLOOKUP(INDEX(' Toto teams'!$F$4:$F$119,MATCH($B93,' Toto teams'!$A$4:$A$119,0)),Scoring!$A$4:$N$51,9,FALSE()),0)+1*IFERROR(VLOOKUP(INDEX(' Toto teams'!$G$4:$G$119,MATCH($B93,' Toto teams'!$A$4:$A$119,0)),Scoring!$A$4:$N$51,9,FALSE()),0)+1*IFERROR(VLOOKUP(INDEX(' Toto teams'!$H$4:$H$119,MATCH($B93,' Toto teams'!$A$4:$A$119,0)),Scoring!$A$4:$N$51,9,FALSE()),0))</f>
        <v/>
      </c>
      <c r="G93" s="28">
        <f>IF($B93="","",6*IFERROR(VLOOKUP(INDEX(' Toto teams'!$B$4:$B$119,MATCH($B93,' Toto teams'!$A$4:$A$119,0)),Scoring!$A$4:$N$51,10,FALSE()),0)+4*IFERROR(VLOOKUP(INDEX(' Toto teams'!$C$4:$C$119,MATCH($B93,' Toto teams'!$A$4:$A$119,0)),Scoring!$A$4:$N$51,10,FALSE()),0)+3*IFERROR(VLOOKUP(INDEX(' Toto teams'!$D$4:$D$119,MATCH($B93,' Toto teams'!$A$4:$A$119,0)),Scoring!$A$4:$N$51,10,FALSE()),0)+2*IFERROR(VLOOKUP(INDEX(' Toto teams'!$E$4:$E$119,MATCH($B93,' Toto teams'!$A$4:$A$119,0)),Scoring!$A$4:$N$51,10,FALSE()),0)+1*IFERROR(VLOOKUP(INDEX(' Toto teams'!$F$4:$F$119,MATCH($B93,' Toto teams'!$A$4:$A$119,0)),Scoring!$A$4:$N$51,10,FALSE()),0)+1*IFERROR(VLOOKUP(INDEX(' Toto teams'!$G$4:$G$119,MATCH($B93,' Toto teams'!$A$4:$A$119,0)),Scoring!$A$4:$N$51,10,FALSE()),0)+1*IFERROR(VLOOKUP(INDEX(' Toto teams'!$H$4:$H$119,MATCH($B93,' Toto teams'!$A$4:$A$119,0)),Scoring!$A$4:$N$51,10,FALSE()),0))</f>
        <v/>
      </c>
      <c r="H93" s="28">
        <f>IF($B93="","",6*IFERROR(VLOOKUP(INDEX(' Toto teams'!$B$4:$B$119,MATCH($B93,' Toto teams'!$A$4:$A$119,0)),Scoring!$A$4:$N$51,11,FALSE()),0)+4*IFERROR(VLOOKUP(INDEX(' Toto teams'!$C$4:$C$119,MATCH($B93,' Toto teams'!$A$4:$A$119,0)),Scoring!$A$4:$N$51,11,FALSE()),0)+3*IFERROR(VLOOKUP(INDEX(' Toto teams'!$D$4:$D$119,MATCH($B93,' Toto teams'!$A$4:$A$119,0)),Scoring!$A$4:$N$51,11,FALSE()),0)+2*IFERROR(VLOOKUP(INDEX(' Toto teams'!$E$4:$E$119,MATCH($B93,' Toto teams'!$A$4:$A$119,0)),Scoring!$A$4:$N$51,11,FALSE()),0)+1*IFERROR(VLOOKUP(INDEX(' Toto teams'!$F$4:$F$119,MATCH($B93,' Toto teams'!$A$4:$A$119,0)),Scoring!$A$4:$N$51,11,FALSE()),0)+1*IFERROR(VLOOKUP(INDEX(' Toto teams'!$G$4:$G$119,MATCH($B93,' Toto teams'!$A$4:$A$119,0)),Scoring!$A$4:$N$51,11,FALSE()),0)+1*IFERROR(VLOOKUP(INDEX(' Toto teams'!$H$4:$H$119,MATCH($B93,' Toto teams'!$A$4:$A$119,0)),Scoring!$A$4:$N$51,11,FALSE()),0))</f>
        <v/>
      </c>
      <c r="I93" s="28">
        <f>IF($B93="","",6*IFERROR(VLOOKUP(INDEX(' Toto teams'!$B$4:$B$119,MATCH($B93,' Toto teams'!$A$4:$A$119,0)),Scoring!$A$4:$O$51,15,FALSE()),0)+4*IFERROR(VLOOKUP(INDEX(' Toto teams'!$C$4:$C$119,MATCH($B93,' Toto teams'!$A$4:$A$119,0)),Scoring!$A$4:$O$51,15,FALSE()),0)+3*IFERROR(VLOOKUP(INDEX(' Toto teams'!$D$4:$D$119,MATCH($B93,' Toto teams'!$A$4:$A$119,0)),Scoring!$A$4:$O$51,15,FALSE()),0)+2*IFERROR(VLOOKUP(INDEX(' Toto teams'!$E$4:$E$119,MATCH($B93,' Toto teams'!$A$4:$A$119,0)),Scoring!$A$4:$O$51,15,FALSE()),0)+1*IFERROR(VLOOKUP(INDEX(' Toto teams'!$F$4:$F$119,MATCH($B93,' Toto teams'!$A$4:$A$119,0)),Scoring!$A$4:$O$51,15,FALSE()),0)+1*IFERROR(VLOOKUP(INDEX(' Toto teams'!$G$4:$G$119,MATCH($B93,' Toto teams'!$A$4:$A$119,0)),Scoring!$A$4:$O$51,15,FALSE()),0)+1*IFERROR(VLOOKUP(INDEX(' Toto teams'!$H$4:$H$119,MATCH($B93,' Toto teams'!$A$4:$A$119,0)),Scoring!$A$4:$O$51,15,FALSE()),0))</f>
        <v/>
      </c>
      <c r="J93" s="28">
        <f>IF($B93="","",6*IFERROR(VLOOKUP(INDEX(' Toto teams'!$B$4:$B$119,MATCH($B93,' Toto teams'!$A$4:$A$119,0)),Scoring!$A$4:$N$51,12,FALSE()),0)+4*IFERROR(VLOOKUP(INDEX(' Toto teams'!$C$4:$C$119,MATCH($B93,' Toto teams'!$A$4:$A$119,0)),Scoring!$A$4:$N$51,12,FALSE()),0)+3*IFERROR(VLOOKUP(INDEX(' Toto teams'!$D$4:$D$119,MATCH($B93,' Toto teams'!$A$4:$A$119,0)),Scoring!$A$4:$N$51,12,FALSE()),0)+2*IFERROR(VLOOKUP(INDEX(' Toto teams'!$E$4:$E$119,MATCH($B93,' Toto teams'!$A$4:$A$119,0)),Scoring!$A$4:$N$51,12,FALSE()),0)+1*IFERROR(VLOOKUP(INDEX(' Toto teams'!$F$4:$F$119,MATCH($B93,' Toto teams'!$A$4:$A$119,0)),Scoring!$A$4:$N$51,12,FALSE()),0)+1*IFERROR(VLOOKUP(INDEX(' Toto teams'!$G$4:$G$119,MATCH($B93,' Toto teams'!$A$4:$A$119,0)),Scoring!$A$4:$N$51,12,FALSE()),0)+1*IFERROR(VLOOKUP(INDEX(' Toto teams'!$H$4:$H$119,MATCH($B93,' Toto teams'!$A$4:$A$119,0)),Scoring!$A$4:$N$51,12,FALSE()),0))</f>
        <v/>
      </c>
      <c r="K93" s="29">
        <f>IF($B93="","",IFERROR(INDEX(' Toto teams'!$R$4:$R$119,MATCH($B93,' Toto teams'!$A$4:$A$119,0)),""))</f>
        <v/>
      </c>
      <c r="L93" s="30">
        <f>IFERROR(IF(B93="","",VLOOKUP(A93,$N$4:$R$12,5,FALSE())),0)</f>
        <v/>
      </c>
    </row>
    <row r="94" ht="12.75" customHeight="1">
      <c r="A94" s="26">
        <f>IF(91&gt;COUNTIF(' Toto teams'!$A$4:$A$119,"&lt;&gt;"),"",INDEX(' Toto teams'!$S$4:$S$119,MATCH(LARGE(' Toto teams'!$T$4:$T$119,91),' Toto teams'!$T$4:$T$119,0)))</f>
        <v/>
      </c>
      <c r="B94" s="27">
        <f>IF(91&gt;COUNTIF(' Toto teams'!$A$4:$A$119,"&lt;&gt;"),"",INDEX(' Toto teams'!$A$4:$A$119,MATCH(LARGE(' Toto teams'!$T$4:$T$119,91),' Toto teams'!$T$4:$T$119,0)))</f>
        <v/>
      </c>
      <c r="C94" s="28">
        <f>IF($B94="","",6*(IFERROR(VLOOKUP(INDEX(' Toto teams'!$B$4:$B$119,MATCH($B94,' Toto teams'!$A$4:$A$119,0)),Scoring!$A$4:$N$51,3,FALSE()),0)+IFERROR(VLOOKUP(INDEX(' Toto teams'!$B$4:$B$119,MATCH($B94,' Toto teams'!$A$4:$A$119,0)),Scoring!$A$4:$N$51,4,FALSE()),0)+IFERROR(VLOOKUP(INDEX(' Toto teams'!$B$4:$B$119,MATCH($B94,' Toto teams'!$A$4:$A$119,0)),Scoring!$A$4:$N$51,5,FALSE()),0))+4*(IFERROR(VLOOKUP(INDEX(' Toto teams'!$C$4:$C$119,MATCH($B94,' Toto teams'!$A$4:$A$119,0)),Scoring!$A$4:$N$51,3,FALSE()),0)+IFERROR(VLOOKUP(INDEX(' Toto teams'!$C$4:$C$119,MATCH($B94,' Toto teams'!$A$4:$A$119,0)),Scoring!$A$4:$N$51,4,FALSE()),0)+IFERROR(VLOOKUP(INDEX(' Toto teams'!$C$4:$C$119,MATCH($B94,' Toto teams'!$A$4:$A$119,0)),Scoring!$A$4:$N$51,5,FALSE()),0))+3*(IFERROR(VLOOKUP(INDEX(' Toto teams'!$D$4:$D$119,MATCH($B94,' Toto teams'!$A$4:$A$119,0)),Scoring!$A$4:$N$51,3,FALSE()),0)+IFERROR(VLOOKUP(INDEX(' Toto teams'!$D$4:$D$119,MATCH($B94,' Toto teams'!$A$4:$A$119,0)),Scoring!$A$4:$N$51,4,FALSE()),0)+IFERROR(VLOOKUP(INDEX(' Toto teams'!$D$4:$D$119,MATCH($B94,' Toto teams'!$A$4:$A$119,0)),Scoring!$A$4:$N$51,5,FALSE()),0))+2*(IFERROR(VLOOKUP(INDEX(' Toto teams'!$E$4:$E$119,MATCH($B94,' Toto teams'!$A$4:$A$119,0)),Scoring!$A$4:$N$51,3,FALSE()),0)+IFERROR(VLOOKUP(INDEX(' Toto teams'!$E$4:$E$119,MATCH($B94,' Toto teams'!$A$4:$A$119,0)),Scoring!$A$4:$N$51,4,FALSE()),0)+IFERROR(VLOOKUP(INDEX(' Toto teams'!$E$4:$E$119,MATCH($B94,' Toto teams'!$A$4:$A$119,0)),Scoring!$A$4:$N$51,5,FALSE()),0))+1*(IFERROR(VLOOKUP(INDEX(' Toto teams'!$F$4:$F$119,MATCH($B94,' Toto teams'!$A$4:$A$119,0)),Scoring!$A$4:$N$51,3,FALSE()),0)+IFERROR(VLOOKUP(INDEX(' Toto teams'!$F$4:$F$119,MATCH($B94,' Toto teams'!$A$4:$A$119,0)),Scoring!$A$4:$N$51,4,FALSE()),0)+IFERROR(VLOOKUP(INDEX(' Toto teams'!$F$4:$F$119,MATCH($B94,' Toto teams'!$A$4:$A$119,0)),Scoring!$A$4:$N$51,5,FALSE()),0))+1*(IFERROR(VLOOKUP(INDEX(' Toto teams'!$G$4:$G$119,MATCH($B94,' Toto teams'!$A$4:$A$119,0)),Scoring!$A$4:$N$51,3,FALSE()),0)+IFERROR(VLOOKUP(INDEX(' Toto teams'!$G$4:$G$119,MATCH($B94,' Toto teams'!$A$4:$A$119,0)),Scoring!$A$4:$N$51,4,FALSE()),0)+IFERROR(VLOOKUP(INDEX(' Toto teams'!$G$4:$G$119,MATCH($B94,' Toto teams'!$A$4:$A$119,0)),Scoring!$A$4:$N$51,5,FALSE()),0))+1*(IFERROR(VLOOKUP(INDEX(' Toto teams'!$H$4:$H$119,MATCH($B94,' Toto teams'!$A$4:$A$119,0)),Scoring!$A$4:$N$51,3,FALSE()),0)+IFERROR(VLOOKUP(INDEX(' Toto teams'!$H$4:$H$119,MATCH($B94,' Toto teams'!$A$4:$A$119,0)),Scoring!$A$4:$N$51,4,FALSE()),0)+IFERROR(VLOOKUP(INDEX(' Toto teams'!$H$4:$H$119,MATCH($B94,' Toto teams'!$A$4:$A$119,0)),Scoring!$A$4:$N$51,5,FALSE()),0))+IFERROR(INDEX(' Toto teams'!$Q$4:$Q$119,MATCH($B94,' Toto teams'!$A$4:$A$119,0))*1,0))</f>
        <v/>
      </c>
      <c r="D94" s="28">
        <f>IF($B94="","",6*IFERROR(VLOOKUP(INDEX(' Toto teams'!$B$4:$B$119,MATCH($B94,' Toto teams'!$A$4:$A$119,0)),Scoring!$A$4:$N$51,7,FALSE()),0)+4*IFERROR(VLOOKUP(INDEX(' Toto teams'!$C$4:$C$119,MATCH($B94,' Toto teams'!$A$4:$A$119,0)),Scoring!$A$4:$N$51,7,FALSE()),0)+3*IFERROR(VLOOKUP(INDEX(' Toto teams'!$D$4:$D$119,MATCH($B94,' Toto teams'!$A$4:$A$119,0)),Scoring!$A$4:$N$51,7,FALSE()),0)+2*IFERROR(VLOOKUP(INDEX(' Toto teams'!$E$4:$E$119,MATCH($B94,' Toto teams'!$A$4:$A$119,0)),Scoring!$A$4:$N$51,7,FALSE()),0)+1*IFERROR(VLOOKUP(INDEX(' Toto teams'!$F$4:$F$119,MATCH($B94,' Toto teams'!$A$4:$A$119,0)),Scoring!$A$4:$N$51,7,FALSE()),0)+1*IFERROR(VLOOKUP(INDEX(' Toto teams'!$G$4:$G$119,MATCH($B94,' Toto teams'!$A$4:$A$119,0)),Scoring!$A$4:$N$51,7,FALSE()),0)+1*IFERROR(VLOOKUP(INDEX(' Toto teams'!$H$4:$H$119,MATCH($B94,' Toto teams'!$A$4:$A$119,0)),Scoring!$A$4:$N$51,7,FALSE()),0))</f>
        <v/>
      </c>
      <c r="E94" s="28">
        <f>IF($B94="","",6*IFERROR(VLOOKUP(INDEX(' Toto teams'!$B$4:$B$119,MATCH($B94,' Toto teams'!$A$4:$A$119,0)),Scoring!$A$4:$N$51,8,FALSE()),0)+4*IFERROR(VLOOKUP(INDEX(' Toto teams'!$C$4:$C$119,MATCH($B94,' Toto teams'!$A$4:$A$119,0)),Scoring!$A$4:$N$51,8,FALSE()),0)+3*IFERROR(VLOOKUP(INDEX(' Toto teams'!$D$4:$D$119,MATCH($B94,' Toto teams'!$A$4:$A$119,0)),Scoring!$A$4:$N$51,8,FALSE()),0)+2*IFERROR(VLOOKUP(INDEX(' Toto teams'!$E$4:$E$119,MATCH($B94,' Toto teams'!$A$4:$A$119,0)),Scoring!$A$4:$N$51,8,FALSE()),0)+1*IFERROR(VLOOKUP(INDEX(' Toto teams'!$F$4:$F$119,MATCH($B94,' Toto teams'!$A$4:$A$119,0)),Scoring!$A$4:$N$51,8,FALSE()),0)+1*IFERROR(VLOOKUP(INDEX(' Toto teams'!$G$4:$G$119,MATCH($B94,' Toto teams'!$A$4:$A$119,0)),Scoring!$A$4:$N$51,8,FALSE()),0)+1*IFERROR(VLOOKUP(INDEX(' Toto teams'!$H$4:$H$119,MATCH($B94,' Toto teams'!$A$4:$A$119,0)),Scoring!$A$4:$N$51,8,FALSE()),0))</f>
        <v/>
      </c>
      <c r="F94" s="28">
        <f>IF($B94="","",6*IFERROR(VLOOKUP(INDEX(' Toto teams'!$B$4:$B$119,MATCH($B94,' Toto teams'!$A$4:$A$119,0)),Scoring!$A$4:$N$51,9,FALSE()),0)+4*IFERROR(VLOOKUP(INDEX(' Toto teams'!$C$4:$C$119,MATCH($B94,' Toto teams'!$A$4:$A$119,0)),Scoring!$A$4:$N$51,9,FALSE()),0)+3*IFERROR(VLOOKUP(INDEX(' Toto teams'!$D$4:$D$119,MATCH($B94,' Toto teams'!$A$4:$A$119,0)),Scoring!$A$4:$N$51,9,FALSE()),0)+2*IFERROR(VLOOKUP(INDEX(' Toto teams'!$E$4:$E$119,MATCH($B94,' Toto teams'!$A$4:$A$119,0)),Scoring!$A$4:$N$51,9,FALSE()),0)+1*IFERROR(VLOOKUP(INDEX(' Toto teams'!$F$4:$F$119,MATCH($B94,' Toto teams'!$A$4:$A$119,0)),Scoring!$A$4:$N$51,9,FALSE()),0)+1*IFERROR(VLOOKUP(INDEX(' Toto teams'!$G$4:$G$119,MATCH($B94,' Toto teams'!$A$4:$A$119,0)),Scoring!$A$4:$N$51,9,FALSE()),0)+1*IFERROR(VLOOKUP(INDEX(' Toto teams'!$H$4:$H$119,MATCH($B94,' Toto teams'!$A$4:$A$119,0)),Scoring!$A$4:$N$51,9,FALSE()),0))</f>
        <v/>
      </c>
      <c r="G94" s="28">
        <f>IF($B94="","",6*IFERROR(VLOOKUP(INDEX(' Toto teams'!$B$4:$B$119,MATCH($B94,' Toto teams'!$A$4:$A$119,0)),Scoring!$A$4:$N$51,10,FALSE()),0)+4*IFERROR(VLOOKUP(INDEX(' Toto teams'!$C$4:$C$119,MATCH($B94,' Toto teams'!$A$4:$A$119,0)),Scoring!$A$4:$N$51,10,FALSE()),0)+3*IFERROR(VLOOKUP(INDEX(' Toto teams'!$D$4:$D$119,MATCH($B94,' Toto teams'!$A$4:$A$119,0)),Scoring!$A$4:$N$51,10,FALSE()),0)+2*IFERROR(VLOOKUP(INDEX(' Toto teams'!$E$4:$E$119,MATCH($B94,' Toto teams'!$A$4:$A$119,0)),Scoring!$A$4:$N$51,10,FALSE()),0)+1*IFERROR(VLOOKUP(INDEX(' Toto teams'!$F$4:$F$119,MATCH($B94,' Toto teams'!$A$4:$A$119,0)),Scoring!$A$4:$N$51,10,FALSE()),0)+1*IFERROR(VLOOKUP(INDEX(' Toto teams'!$G$4:$G$119,MATCH($B94,' Toto teams'!$A$4:$A$119,0)),Scoring!$A$4:$N$51,10,FALSE()),0)+1*IFERROR(VLOOKUP(INDEX(' Toto teams'!$H$4:$H$119,MATCH($B94,' Toto teams'!$A$4:$A$119,0)),Scoring!$A$4:$N$51,10,FALSE()),0))</f>
        <v/>
      </c>
      <c r="H94" s="28">
        <f>IF($B94="","",6*IFERROR(VLOOKUP(INDEX(' Toto teams'!$B$4:$B$119,MATCH($B94,' Toto teams'!$A$4:$A$119,0)),Scoring!$A$4:$N$51,11,FALSE()),0)+4*IFERROR(VLOOKUP(INDEX(' Toto teams'!$C$4:$C$119,MATCH($B94,' Toto teams'!$A$4:$A$119,0)),Scoring!$A$4:$N$51,11,FALSE()),0)+3*IFERROR(VLOOKUP(INDEX(' Toto teams'!$D$4:$D$119,MATCH($B94,' Toto teams'!$A$4:$A$119,0)),Scoring!$A$4:$N$51,11,FALSE()),0)+2*IFERROR(VLOOKUP(INDEX(' Toto teams'!$E$4:$E$119,MATCH($B94,' Toto teams'!$A$4:$A$119,0)),Scoring!$A$4:$N$51,11,FALSE()),0)+1*IFERROR(VLOOKUP(INDEX(' Toto teams'!$F$4:$F$119,MATCH($B94,' Toto teams'!$A$4:$A$119,0)),Scoring!$A$4:$N$51,11,FALSE()),0)+1*IFERROR(VLOOKUP(INDEX(' Toto teams'!$G$4:$G$119,MATCH($B94,' Toto teams'!$A$4:$A$119,0)),Scoring!$A$4:$N$51,11,FALSE()),0)+1*IFERROR(VLOOKUP(INDEX(' Toto teams'!$H$4:$H$119,MATCH($B94,' Toto teams'!$A$4:$A$119,0)),Scoring!$A$4:$N$51,11,FALSE()),0))</f>
        <v/>
      </c>
      <c r="I94" s="28">
        <f>IF($B94="","",6*IFERROR(VLOOKUP(INDEX(' Toto teams'!$B$4:$B$119,MATCH($B94,' Toto teams'!$A$4:$A$119,0)),Scoring!$A$4:$O$51,15,FALSE()),0)+4*IFERROR(VLOOKUP(INDEX(' Toto teams'!$C$4:$C$119,MATCH($B94,' Toto teams'!$A$4:$A$119,0)),Scoring!$A$4:$O$51,15,FALSE()),0)+3*IFERROR(VLOOKUP(INDEX(' Toto teams'!$D$4:$D$119,MATCH($B94,' Toto teams'!$A$4:$A$119,0)),Scoring!$A$4:$O$51,15,FALSE()),0)+2*IFERROR(VLOOKUP(INDEX(' Toto teams'!$E$4:$E$119,MATCH($B94,' Toto teams'!$A$4:$A$119,0)),Scoring!$A$4:$O$51,15,FALSE()),0)+1*IFERROR(VLOOKUP(INDEX(' Toto teams'!$F$4:$F$119,MATCH($B94,' Toto teams'!$A$4:$A$119,0)),Scoring!$A$4:$O$51,15,FALSE()),0)+1*IFERROR(VLOOKUP(INDEX(' Toto teams'!$G$4:$G$119,MATCH($B94,' Toto teams'!$A$4:$A$119,0)),Scoring!$A$4:$O$51,15,FALSE()),0)+1*IFERROR(VLOOKUP(INDEX(' Toto teams'!$H$4:$H$119,MATCH($B94,' Toto teams'!$A$4:$A$119,0)),Scoring!$A$4:$O$51,15,FALSE()),0))</f>
        <v/>
      </c>
      <c r="J94" s="28">
        <f>IF($B94="","",6*IFERROR(VLOOKUP(INDEX(' Toto teams'!$B$4:$B$119,MATCH($B94,' Toto teams'!$A$4:$A$119,0)),Scoring!$A$4:$N$51,12,FALSE()),0)+4*IFERROR(VLOOKUP(INDEX(' Toto teams'!$C$4:$C$119,MATCH($B94,' Toto teams'!$A$4:$A$119,0)),Scoring!$A$4:$N$51,12,FALSE()),0)+3*IFERROR(VLOOKUP(INDEX(' Toto teams'!$D$4:$D$119,MATCH($B94,' Toto teams'!$A$4:$A$119,0)),Scoring!$A$4:$N$51,12,FALSE()),0)+2*IFERROR(VLOOKUP(INDEX(' Toto teams'!$E$4:$E$119,MATCH($B94,' Toto teams'!$A$4:$A$119,0)),Scoring!$A$4:$N$51,12,FALSE()),0)+1*IFERROR(VLOOKUP(INDEX(' Toto teams'!$F$4:$F$119,MATCH($B94,' Toto teams'!$A$4:$A$119,0)),Scoring!$A$4:$N$51,12,FALSE()),0)+1*IFERROR(VLOOKUP(INDEX(' Toto teams'!$G$4:$G$119,MATCH($B94,' Toto teams'!$A$4:$A$119,0)),Scoring!$A$4:$N$51,12,FALSE()),0)+1*IFERROR(VLOOKUP(INDEX(' Toto teams'!$H$4:$H$119,MATCH($B94,' Toto teams'!$A$4:$A$119,0)),Scoring!$A$4:$N$51,12,FALSE()),0))</f>
        <v/>
      </c>
      <c r="K94" s="29">
        <f>IF($B94="","",IFERROR(INDEX(' Toto teams'!$R$4:$R$119,MATCH($B94,' Toto teams'!$A$4:$A$119,0)),""))</f>
        <v/>
      </c>
      <c r="L94" s="30">
        <f>IFERROR(IF(B94="","",VLOOKUP(A94,$N$4:$R$12,5,FALSE())),0)</f>
        <v/>
      </c>
    </row>
    <row r="95" ht="12.75" customHeight="1">
      <c r="A95" s="26">
        <f>IF(92&gt;COUNTIF(' Toto teams'!$A$4:$A$119,"&lt;&gt;"),"",INDEX(' Toto teams'!$S$4:$S$119,MATCH(LARGE(' Toto teams'!$T$4:$T$119,92),' Toto teams'!$T$4:$T$119,0)))</f>
        <v/>
      </c>
      <c r="B95" s="27">
        <f>IF(92&gt;COUNTIF(' Toto teams'!$A$4:$A$119,"&lt;&gt;"),"",INDEX(' Toto teams'!$A$4:$A$119,MATCH(LARGE(' Toto teams'!$T$4:$T$119,92),' Toto teams'!$T$4:$T$119,0)))</f>
        <v/>
      </c>
      <c r="C95" s="28">
        <f>IF($B95="","",6*(IFERROR(VLOOKUP(INDEX(' Toto teams'!$B$4:$B$119,MATCH($B95,' Toto teams'!$A$4:$A$119,0)),Scoring!$A$4:$N$51,3,FALSE()),0)+IFERROR(VLOOKUP(INDEX(' Toto teams'!$B$4:$B$119,MATCH($B95,' Toto teams'!$A$4:$A$119,0)),Scoring!$A$4:$N$51,4,FALSE()),0)+IFERROR(VLOOKUP(INDEX(' Toto teams'!$B$4:$B$119,MATCH($B95,' Toto teams'!$A$4:$A$119,0)),Scoring!$A$4:$N$51,5,FALSE()),0))+4*(IFERROR(VLOOKUP(INDEX(' Toto teams'!$C$4:$C$119,MATCH($B95,' Toto teams'!$A$4:$A$119,0)),Scoring!$A$4:$N$51,3,FALSE()),0)+IFERROR(VLOOKUP(INDEX(' Toto teams'!$C$4:$C$119,MATCH($B95,' Toto teams'!$A$4:$A$119,0)),Scoring!$A$4:$N$51,4,FALSE()),0)+IFERROR(VLOOKUP(INDEX(' Toto teams'!$C$4:$C$119,MATCH($B95,' Toto teams'!$A$4:$A$119,0)),Scoring!$A$4:$N$51,5,FALSE()),0))+3*(IFERROR(VLOOKUP(INDEX(' Toto teams'!$D$4:$D$119,MATCH($B95,' Toto teams'!$A$4:$A$119,0)),Scoring!$A$4:$N$51,3,FALSE()),0)+IFERROR(VLOOKUP(INDEX(' Toto teams'!$D$4:$D$119,MATCH($B95,' Toto teams'!$A$4:$A$119,0)),Scoring!$A$4:$N$51,4,FALSE()),0)+IFERROR(VLOOKUP(INDEX(' Toto teams'!$D$4:$D$119,MATCH($B95,' Toto teams'!$A$4:$A$119,0)),Scoring!$A$4:$N$51,5,FALSE()),0))+2*(IFERROR(VLOOKUP(INDEX(' Toto teams'!$E$4:$E$119,MATCH($B95,' Toto teams'!$A$4:$A$119,0)),Scoring!$A$4:$N$51,3,FALSE()),0)+IFERROR(VLOOKUP(INDEX(' Toto teams'!$E$4:$E$119,MATCH($B95,' Toto teams'!$A$4:$A$119,0)),Scoring!$A$4:$N$51,4,FALSE()),0)+IFERROR(VLOOKUP(INDEX(' Toto teams'!$E$4:$E$119,MATCH($B95,' Toto teams'!$A$4:$A$119,0)),Scoring!$A$4:$N$51,5,FALSE()),0))+1*(IFERROR(VLOOKUP(INDEX(' Toto teams'!$F$4:$F$119,MATCH($B95,' Toto teams'!$A$4:$A$119,0)),Scoring!$A$4:$N$51,3,FALSE()),0)+IFERROR(VLOOKUP(INDEX(' Toto teams'!$F$4:$F$119,MATCH($B95,' Toto teams'!$A$4:$A$119,0)),Scoring!$A$4:$N$51,4,FALSE()),0)+IFERROR(VLOOKUP(INDEX(' Toto teams'!$F$4:$F$119,MATCH($B95,' Toto teams'!$A$4:$A$119,0)),Scoring!$A$4:$N$51,5,FALSE()),0))+1*(IFERROR(VLOOKUP(INDEX(' Toto teams'!$G$4:$G$119,MATCH($B95,' Toto teams'!$A$4:$A$119,0)),Scoring!$A$4:$N$51,3,FALSE()),0)+IFERROR(VLOOKUP(INDEX(' Toto teams'!$G$4:$G$119,MATCH($B95,' Toto teams'!$A$4:$A$119,0)),Scoring!$A$4:$N$51,4,FALSE()),0)+IFERROR(VLOOKUP(INDEX(' Toto teams'!$G$4:$G$119,MATCH($B95,' Toto teams'!$A$4:$A$119,0)),Scoring!$A$4:$N$51,5,FALSE()),0))+1*(IFERROR(VLOOKUP(INDEX(' Toto teams'!$H$4:$H$119,MATCH($B95,' Toto teams'!$A$4:$A$119,0)),Scoring!$A$4:$N$51,3,FALSE()),0)+IFERROR(VLOOKUP(INDEX(' Toto teams'!$H$4:$H$119,MATCH($B95,' Toto teams'!$A$4:$A$119,0)),Scoring!$A$4:$N$51,4,FALSE()),0)+IFERROR(VLOOKUP(INDEX(' Toto teams'!$H$4:$H$119,MATCH($B95,' Toto teams'!$A$4:$A$119,0)),Scoring!$A$4:$N$51,5,FALSE()),0))+IFERROR(INDEX(' Toto teams'!$Q$4:$Q$119,MATCH($B95,' Toto teams'!$A$4:$A$119,0))*1,0))</f>
        <v/>
      </c>
      <c r="D95" s="28">
        <f>IF($B95="","",6*IFERROR(VLOOKUP(INDEX(' Toto teams'!$B$4:$B$119,MATCH($B95,' Toto teams'!$A$4:$A$119,0)),Scoring!$A$4:$N$51,7,FALSE()),0)+4*IFERROR(VLOOKUP(INDEX(' Toto teams'!$C$4:$C$119,MATCH($B95,' Toto teams'!$A$4:$A$119,0)),Scoring!$A$4:$N$51,7,FALSE()),0)+3*IFERROR(VLOOKUP(INDEX(' Toto teams'!$D$4:$D$119,MATCH($B95,' Toto teams'!$A$4:$A$119,0)),Scoring!$A$4:$N$51,7,FALSE()),0)+2*IFERROR(VLOOKUP(INDEX(' Toto teams'!$E$4:$E$119,MATCH($B95,' Toto teams'!$A$4:$A$119,0)),Scoring!$A$4:$N$51,7,FALSE()),0)+1*IFERROR(VLOOKUP(INDEX(' Toto teams'!$F$4:$F$119,MATCH($B95,' Toto teams'!$A$4:$A$119,0)),Scoring!$A$4:$N$51,7,FALSE()),0)+1*IFERROR(VLOOKUP(INDEX(' Toto teams'!$G$4:$G$119,MATCH($B95,' Toto teams'!$A$4:$A$119,0)),Scoring!$A$4:$N$51,7,FALSE()),0)+1*IFERROR(VLOOKUP(INDEX(' Toto teams'!$H$4:$H$119,MATCH($B95,' Toto teams'!$A$4:$A$119,0)),Scoring!$A$4:$N$51,7,FALSE()),0))</f>
        <v/>
      </c>
      <c r="E95" s="28">
        <f>IF($B95="","",6*IFERROR(VLOOKUP(INDEX(' Toto teams'!$B$4:$B$119,MATCH($B95,' Toto teams'!$A$4:$A$119,0)),Scoring!$A$4:$N$51,8,FALSE()),0)+4*IFERROR(VLOOKUP(INDEX(' Toto teams'!$C$4:$C$119,MATCH($B95,' Toto teams'!$A$4:$A$119,0)),Scoring!$A$4:$N$51,8,FALSE()),0)+3*IFERROR(VLOOKUP(INDEX(' Toto teams'!$D$4:$D$119,MATCH($B95,' Toto teams'!$A$4:$A$119,0)),Scoring!$A$4:$N$51,8,FALSE()),0)+2*IFERROR(VLOOKUP(INDEX(' Toto teams'!$E$4:$E$119,MATCH($B95,' Toto teams'!$A$4:$A$119,0)),Scoring!$A$4:$N$51,8,FALSE()),0)+1*IFERROR(VLOOKUP(INDEX(' Toto teams'!$F$4:$F$119,MATCH($B95,' Toto teams'!$A$4:$A$119,0)),Scoring!$A$4:$N$51,8,FALSE()),0)+1*IFERROR(VLOOKUP(INDEX(' Toto teams'!$G$4:$G$119,MATCH($B95,' Toto teams'!$A$4:$A$119,0)),Scoring!$A$4:$N$51,8,FALSE()),0)+1*IFERROR(VLOOKUP(INDEX(' Toto teams'!$H$4:$H$119,MATCH($B95,' Toto teams'!$A$4:$A$119,0)),Scoring!$A$4:$N$51,8,FALSE()),0))</f>
        <v/>
      </c>
      <c r="F95" s="28">
        <f>IF($B95="","",6*IFERROR(VLOOKUP(INDEX(' Toto teams'!$B$4:$B$119,MATCH($B95,' Toto teams'!$A$4:$A$119,0)),Scoring!$A$4:$N$51,9,FALSE()),0)+4*IFERROR(VLOOKUP(INDEX(' Toto teams'!$C$4:$C$119,MATCH($B95,' Toto teams'!$A$4:$A$119,0)),Scoring!$A$4:$N$51,9,FALSE()),0)+3*IFERROR(VLOOKUP(INDEX(' Toto teams'!$D$4:$D$119,MATCH($B95,' Toto teams'!$A$4:$A$119,0)),Scoring!$A$4:$N$51,9,FALSE()),0)+2*IFERROR(VLOOKUP(INDEX(' Toto teams'!$E$4:$E$119,MATCH($B95,' Toto teams'!$A$4:$A$119,0)),Scoring!$A$4:$N$51,9,FALSE()),0)+1*IFERROR(VLOOKUP(INDEX(' Toto teams'!$F$4:$F$119,MATCH($B95,' Toto teams'!$A$4:$A$119,0)),Scoring!$A$4:$N$51,9,FALSE()),0)+1*IFERROR(VLOOKUP(INDEX(' Toto teams'!$G$4:$G$119,MATCH($B95,' Toto teams'!$A$4:$A$119,0)),Scoring!$A$4:$N$51,9,FALSE()),0)+1*IFERROR(VLOOKUP(INDEX(' Toto teams'!$H$4:$H$119,MATCH($B95,' Toto teams'!$A$4:$A$119,0)),Scoring!$A$4:$N$51,9,FALSE()),0))</f>
        <v/>
      </c>
      <c r="G95" s="28">
        <f>IF($B95="","",6*IFERROR(VLOOKUP(INDEX(' Toto teams'!$B$4:$B$119,MATCH($B95,' Toto teams'!$A$4:$A$119,0)),Scoring!$A$4:$N$51,10,FALSE()),0)+4*IFERROR(VLOOKUP(INDEX(' Toto teams'!$C$4:$C$119,MATCH($B95,' Toto teams'!$A$4:$A$119,0)),Scoring!$A$4:$N$51,10,FALSE()),0)+3*IFERROR(VLOOKUP(INDEX(' Toto teams'!$D$4:$D$119,MATCH($B95,' Toto teams'!$A$4:$A$119,0)),Scoring!$A$4:$N$51,10,FALSE()),0)+2*IFERROR(VLOOKUP(INDEX(' Toto teams'!$E$4:$E$119,MATCH($B95,' Toto teams'!$A$4:$A$119,0)),Scoring!$A$4:$N$51,10,FALSE()),0)+1*IFERROR(VLOOKUP(INDEX(' Toto teams'!$F$4:$F$119,MATCH($B95,' Toto teams'!$A$4:$A$119,0)),Scoring!$A$4:$N$51,10,FALSE()),0)+1*IFERROR(VLOOKUP(INDEX(' Toto teams'!$G$4:$G$119,MATCH($B95,' Toto teams'!$A$4:$A$119,0)),Scoring!$A$4:$N$51,10,FALSE()),0)+1*IFERROR(VLOOKUP(INDEX(' Toto teams'!$H$4:$H$119,MATCH($B95,' Toto teams'!$A$4:$A$119,0)),Scoring!$A$4:$N$51,10,FALSE()),0))</f>
        <v/>
      </c>
      <c r="H95" s="28">
        <f>IF($B95="","",6*IFERROR(VLOOKUP(INDEX(' Toto teams'!$B$4:$B$119,MATCH($B95,' Toto teams'!$A$4:$A$119,0)),Scoring!$A$4:$N$51,11,FALSE()),0)+4*IFERROR(VLOOKUP(INDEX(' Toto teams'!$C$4:$C$119,MATCH($B95,' Toto teams'!$A$4:$A$119,0)),Scoring!$A$4:$N$51,11,FALSE()),0)+3*IFERROR(VLOOKUP(INDEX(' Toto teams'!$D$4:$D$119,MATCH($B95,' Toto teams'!$A$4:$A$119,0)),Scoring!$A$4:$N$51,11,FALSE()),0)+2*IFERROR(VLOOKUP(INDEX(' Toto teams'!$E$4:$E$119,MATCH($B95,' Toto teams'!$A$4:$A$119,0)),Scoring!$A$4:$N$51,11,FALSE()),0)+1*IFERROR(VLOOKUP(INDEX(' Toto teams'!$F$4:$F$119,MATCH($B95,' Toto teams'!$A$4:$A$119,0)),Scoring!$A$4:$N$51,11,FALSE()),0)+1*IFERROR(VLOOKUP(INDEX(' Toto teams'!$G$4:$G$119,MATCH($B95,' Toto teams'!$A$4:$A$119,0)),Scoring!$A$4:$N$51,11,FALSE()),0)+1*IFERROR(VLOOKUP(INDEX(' Toto teams'!$H$4:$H$119,MATCH($B95,' Toto teams'!$A$4:$A$119,0)),Scoring!$A$4:$N$51,11,FALSE()),0))</f>
        <v/>
      </c>
      <c r="I95" s="28">
        <f>IF($B95="","",6*IFERROR(VLOOKUP(INDEX(' Toto teams'!$B$4:$B$119,MATCH($B95,' Toto teams'!$A$4:$A$119,0)),Scoring!$A$4:$O$51,15,FALSE()),0)+4*IFERROR(VLOOKUP(INDEX(' Toto teams'!$C$4:$C$119,MATCH($B95,' Toto teams'!$A$4:$A$119,0)),Scoring!$A$4:$O$51,15,FALSE()),0)+3*IFERROR(VLOOKUP(INDEX(' Toto teams'!$D$4:$D$119,MATCH($B95,' Toto teams'!$A$4:$A$119,0)),Scoring!$A$4:$O$51,15,FALSE()),0)+2*IFERROR(VLOOKUP(INDEX(' Toto teams'!$E$4:$E$119,MATCH($B95,' Toto teams'!$A$4:$A$119,0)),Scoring!$A$4:$O$51,15,FALSE()),0)+1*IFERROR(VLOOKUP(INDEX(' Toto teams'!$F$4:$F$119,MATCH($B95,' Toto teams'!$A$4:$A$119,0)),Scoring!$A$4:$O$51,15,FALSE()),0)+1*IFERROR(VLOOKUP(INDEX(' Toto teams'!$G$4:$G$119,MATCH($B95,' Toto teams'!$A$4:$A$119,0)),Scoring!$A$4:$O$51,15,FALSE()),0)+1*IFERROR(VLOOKUP(INDEX(' Toto teams'!$H$4:$H$119,MATCH($B95,' Toto teams'!$A$4:$A$119,0)),Scoring!$A$4:$O$51,15,FALSE()),0))</f>
        <v/>
      </c>
      <c r="J95" s="28">
        <f>IF($B95="","",6*IFERROR(VLOOKUP(INDEX(' Toto teams'!$B$4:$B$119,MATCH($B95,' Toto teams'!$A$4:$A$119,0)),Scoring!$A$4:$N$51,12,FALSE()),0)+4*IFERROR(VLOOKUP(INDEX(' Toto teams'!$C$4:$C$119,MATCH($B95,' Toto teams'!$A$4:$A$119,0)),Scoring!$A$4:$N$51,12,FALSE()),0)+3*IFERROR(VLOOKUP(INDEX(' Toto teams'!$D$4:$D$119,MATCH($B95,' Toto teams'!$A$4:$A$119,0)),Scoring!$A$4:$N$51,12,FALSE()),0)+2*IFERROR(VLOOKUP(INDEX(' Toto teams'!$E$4:$E$119,MATCH($B95,' Toto teams'!$A$4:$A$119,0)),Scoring!$A$4:$N$51,12,FALSE()),0)+1*IFERROR(VLOOKUP(INDEX(' Toto teams'!$F$4:$F$119,MATCH($B95,' Toto teams'!$A$4:$A$119,0)),Scoring!$A$4:$N$51,12,FALSE()),0)+1*IFERROR(VLOOKUP(INDEX(' Toto teams'!$G$4:$G$119,MATCH($B95,' Toto teams'!$A$4:$A$119,0)),Scoring!$A$4:$N$51,12,FALSE()),0)+1*IFERROR(VLOOKUP(INDEX(' Toto teams'!$H$4:$H$119,MATCH($B95,' Toto teams'!$A$4:$A$119,0)),Scoring!$A$4:$N$51,12,FALSE()),0))</f>
        <v/>
      </c>
      <c r="K95" s="29">
        <f>IF($B95="","",IFERROR(INDEX(' Toto teams'!$R$4:$R$119,MATCH($B95,' Toto teams'!$A$4:$A$119,0)),""))</f>
        <v/>
      </c>
      <c r="L95" s="30">
        <f>IFERROR(IF(B95="","",VLOOKUP(A95,$N$4:$R$12,5,FALSE())),0)</f>
        <v/>
      </c>
    </row>
    <row r="96" ht="12.75" customHeight="1">
      <c r="A96" s="26">
        <f>IF(93&gt;COUNTIF(' Toto teams'!$A$4:$A$119,"&lt;&gt;"),"",INDEX(' Toto teams'!$S$4:$S$119,MATCH(LARGE(' Toto teams'!$T$4:$T$119,93),' Toto teams'!$T$4:$T$119,0)))</f>
        <v/>
      </c>
      <c r="B96" s="27">
        <f>IF(93&gt;COUNTIF(' Toto teams'!$A$4:$A$119,"&lt;&gt;"),"",INDEX(' Toto teams'!$A$4:$A$119,MATCH(LARGE(' Toto teams'!$T$4:$T$119,93),' Toto teams'!$T$4:$T$119,0)))</f>
        <v/>
      </c>
      <c r="C96" s="28">
        <f>IF($B96="","",6*(IFERROR(VLOOKUP(INDEX(' Toto teams'!$B$4:$B$119,MATCH($B96,' Toto teams'!$A$4:$A$119,0)),Scoring!$A$4:$N$51,3,FALSE()),0)+IFERROR(VLOOKUP(INDEX(' Toto teams'!$B$4:$B$119,MATCH($B96,' Toto teams'!$A$4:$A$119,0)),Scoring!$A$4:$N$51,4,FALSE()),0)+IFERROR(VLOOKUP(INDEX(' Toto teams'!$B$4:$B$119,MATCH($B96,' Toto teams'!$A$4:$A$119,0)),Scoring!$A$4:$N$51,5,FALSE()),0))+4*(IFERROR(VLOOKUP(INDEX(' Toto teams'!$C$4:$C$119,MATCH($B96,' Toto teams'!$A$4:$A$119,0)),Scoring!$A$4:$N$51,3,FALSE()),0)+IFERROR(VLOOKUP(INDEX(' Toto teams'!$C$4:$C$119,MATCH($B96,' Toto teams'!$A$4:$A$119,0)),Scoring!$A$4:$N$51,4,FALSE()),0)+IFERROR(VLOOKUP(INDEX(' Toto teams'!$C$4:$C$119,MATCH($B96,' Toto teams'!$A$4:$A$119,0)),Scoring!$A$4:$N$51,5,FALSE()),0))+3*(IFERROR(VLOOKUP(INDEX(' Toto teams'!$D$4:$D$119,MATCH($B96,' Toto teams'!$A$4:$A$119,0)),Scoring!$A$4:$N$51,3,FALSE()),0)+IFERROR(VLOOKUP(INDEX(' Toto teams'!$D$4:$D$119,MATCH($B96,' Toto teams'!$A$4:$A$119,0)),Scoring!$A$4:$N$51,4,FALSE()),0)+IFERROR(VLOOKUP(INDEX(' Toto teams'!$D$4:$D$119,MATCH($B96,' Toto teams'!$A$4:$A$119,0)),Scoring!$A$4:$N$51,5,FALSE()),0))+2*(IFERROR(VLOOKUP(INDEX(' Toto teams'!$E$4:$E$119,MATCH($B96,' Toto teams'!$A$4:$A$119,0)),Scoring!$A$4:$N$51,3,FALSE()),0)+IFERROR(VLOOKUP(INDEX(' Toto teams'!$E$4:$E$119,MATCH($B96,' Toto teams'!$A$4:$A$119,0)),Scoring!$A$4:$N$51,4,FALSE()),0)+IFERROR(VLOOKUP(INDEX(' Toto teams'!$E$4:$E$119,MATCH($B96,' Toto teams'!$A$4:$A$119,0)),Scoring!$A$4:$N$51,5,FALSE()),0))+1*(IFERROR(VLOOKUP(INDEX(' Toto teams'!$F$4:$F$119,MATCH($B96,' Toto teams'!$A$4:$A$119,0)),Scoring!$A$4:$N$51,3,FALSE()),0)+IFERROR(VLOOKUP(INDEX(' Toto teams'!$F$4:$F$119,MATCH($B96,' Toto teams'!$A$4:$A$119,0)),Scoring!$A$4:$N$51,4,FALSE()),0)+IFERROR(VLOOKUP(INDEX(' Toto teams'!$F$4:$F$119,MATCH($B96,' Toto teams'!$A$4:$A$119,0)),Scoring!$A$4:$N$51,5,FALSE()),0))+1*(IFERROR(VLOOKUP(INDEX(' Toto teams'!$G$4:$G$119,MATCH($B96,' Toto teams'!$A$4:$A$119,0)),Scoring!$A$4:$N$51,3,FALSE()),0)+IFERROR(VLOOKUP(INDEX(' Toto teams'!$G$4:$G$119,MATCH($B96,' Toto teams'!$A$4:$A$119,0)),Scoring!$A$4:$N$51,4,FALSE()),0)+IFERROR(VLOOKUP(INDEX(' Toto teams'!$G$4:$G$119,MATCH($B96,' Toto teams'!$A$4:$A$119,0)),Scoring!$A$4:$N$51,5,FALSE()),0))+1*(IFERROR(VLOOKUP(INDEX(' Toto teams'!$H$4:$H$119,MATCH($B96,' Toto teams'!$A$4:$A$119,0)),Scoring!$A$4:$N$51,3,FALSE()),0)+IFERROR(VLOOKUP(INDEX(' Toto teams'!$H$4:$H$119,MATCH($B96,' Toto teams'!$A$4:$A$119,0)),Scoring!$A$4:$N$51,4,FALSE()),0)+IFERROR(VLOOKUP(INDEX(' Toto teams'!$H$4:$H$119,MATCH($B96,' Toto teams'!$A$4:$A$119,0)),Scoring!$A$4:$N$51,5,FALSE()),0))+IFERROR(INDEX(' Toto teams'!$Q$4:$Q$119,MATCH($B96,' Toto teams'!$A$4:$A$119,0))*1,0))</f>
        <v/>
      </c>
      <c r="D96" s="28">
        <f>IF($B96="","",6*IFERROR(VLOOKUP(INDEX(' Toto teams'!$B$4:$B$119,MATCH($B96,' Toto teams'!$A$4:$A$119,0)),Scoring!$A$4:$N$51,7,FALSE()),0)+4*IFERROR(VLOOKUP(INDEX(' Toto teams'!$C$4:$C$119,MATCH($B96,' Toto teams'!$A$4:$A$119,0)),Scoring!$A$4:$N$51,7,FALSE()),0)+3*IFERROR(VLOOKUP(INDEX(' Toto teams'!$D$4:$D$119,MATCH($B96,' Toto teams'!$A$4:$A$119,0)),Scoring!$A$4:$N$51,7,FALSE()),0)+2*IFERROR(VLOOKUP(INDEX(' Toto teams'!$E$4:$E$119,MATCH($B96,' Toto teams'!$A$4:$A$119,0)),Scoring!$A$4:$N$51,7,FALSE()),0)+1*IFERROR(VLOOKUP(INDEX(' Toto teams'!$F$4:$F$119,MATCH($B96,' Toto teams'!$A$4:$A$119,0)),Scoring!$A$4:$N$51,7,FALSE()),0)+1*IFERROR(VLOOKUP(INDEX(' Toto teams'!$G$4:$G$119,MATCH($B96,' Toto teams'!$A$4:$A$119,0)),Scoring!$A$4:$N$51,7,FALSE()),0)+1*IFERROR(VLOOKUP(INDEX(' Toto teams'!$H$4:$H$119,MATCH($B96,' Toto teams'!$A$4:$A$119,0)),Scoring!$A$4:$N$51,7,FALSE()),0))</f>
        <v/>
      </c>
      <c r="E96" s="28">
        <f>IF($B96="","",6*IFERROR(VLOOKUP(INDEX(' Toto teams'!$B$4:$B$119,MATCH($B96,' Toto teams'!$A$4:$A$119,0)),Scoring!$A$4:$N$51,8,FALSE()),0)+4*IFERROR(VLOOKUP(INDEX(' Toto teams'!$C$4:$C$119,MATCH($B96,' Toto teams'!$A$4:$A$119,0)),Scoring!$A$4:$N$51,8,FALSE()),0)+3*IFERROR(VLOOKUP(INDEX(' Toto teams'!$D$4:$D$119,MATCH($B96,' Toto teams'!$A$4:$A$119,0)),Scoring!$A$4:$N$51,8,FALSE()),0)+2*IFERROR(VLOOKUP(INDEX(' Toto teams'!$E$4:$E$119,MATCH($B96,' Toto teams'!$A$4:$A$119,0)),Scoring!$A$4:$N$51,8,FALSE()),0)+1*IFERROR(VLOOKUP(INDEX(' Toto teams'!$F$4:$F$119,MATCH($B96,' Toto teams'!$A$4:$A$119,0)),Scoring!$A$4:$N$51,8,FALSE()),0)+1*IFERROR(VLOOKUP(INDEX(' Toto teams'!$G$4:$G$119,MATCH($B96,' Toto teams'!$A$4:$A$119,0)),Scoring!$A$4:$N$51,8,FALSE()),0)+1*IFERROR(VLOOKUP(INDEX(' Toto teams'!$H$4:$H$119,MATCH($B96,' Toto teams'!$A$4:$A$119,0)),Scoring!$A$4:$N$51,8,FALSE()),0))</f>
        <v/>
      </c>
      <c r="F96" s="28">
        <f>IF($B96="","",6*IFERROR(VLOOKUP(INDEX(' Toto teams'!$B$4:$B$119,MATCH($B96,' Toto teams'!$A$4:$A$119,0)),Scoring!$A$4:$N$51,9,FALSE()),0)+4*IFERROR(VLOOKUP(INDEX(' Toto teams'!$C$4:$C$119,MATCH($B96,' Toto teams'!$A$4:$A$119,0)),Scoring!$A$4:$N$51,9,FALSE()),0)+3*IFERROR(VLOOKUP(INDEX(' Toto teams'!$D$4:$D$119,MATCH($B96,' Toto teams'!$A$4:$A$119,0)),Scoring!$A$4:$N$51,9,FALSE()),0)+2*IFERROR(VLOOKUP(INDEX(' Toto teams'!$E$4:$E$119,MATCH($B96,' Toto teams'!$A$4:$A$119,0)),Scoring!$A$4:$N$51,9,FALSE()),0)+1*IFERROR(VLOOKUP(INDEX(' Toto teams'!$F$4:$F$119,MATCH($B96,' Toto teams'!$A$4:$A$119,0)),Scoring!$A$4:$N$51,9,FALSE()),0)+1*IFERROR(VLOOKUP(INDEX(' Toto teams'!$G$4:$G$119,MATCH($B96,' Toto teams'!$A$4:$A$119,0)),Scoring!$A$4:$N$51,9,FALSE()),0)+1*IFERROR(VLOOKUP(INDEX(' Toto teams'!$H$4:$H$119,MATCH($B96,' Toto teams'!$A$4:$A$119,0)),Scoring!$A$4:$N$51,9,FALSE()),0))</f>
        <v/>
      </c>
      <c r="G96" s="28">
        <f>IF($B96="","",6*IFERROR(VLOOKUP(INDEX(' Toto teams'!$B$4:$B$119,MATCH($B96,' Toto teams'!$A$4:$A$119,0)),Scoring!$A$4:$N$51,10,FALSE()),0)+4*IFERROR(VLOOKUP(INDEX(' Toto teams'!$C$4:$C$119,MATCH($B96,' Toto teams'!$A$4:$A$119,0)),Scoring!$A$4:$N$51,10,FALSE()),0)+3*IFERROR(VLOOKUP(INDEX(' Toto teams'!$D$4:$D$119,MATCH($B96,' Toto teams'!$A$4:$A$119,0)),Scoring!$A$4:$N$51,10,FALSE()),0)+2*IFERROR(VLOOKUP(INDEX(' Toto teams'!$E$4:$E$119,MATCH($B96,' Toto teams'!$A$4:$A$119,0)),Scoring!$A$4:$N$51,10,FALSE()),0)+1*IFERROR(VLOOKUP(INDEX(' Toto teams'!$F$4:$F$119,MATCH($B96,' Toto teams'!$A$4:$A$119,0)),Scoring!$A$4:$N$51,10,FALSE()),0)+1*IFERROR(VLOOKUP(INDEX(' Toto teams'!$G$4:$G$119,MATCH($B96,' Toto teams'!$A$4:$A$119,0)),Scoring!$A$4:$N$51,10,FALSE()),0)+1*IFERROR(VLOOKUP(INDEX(' Toto teams'!$H$4:$H$119,MATCH($B96,' Toto teams'!$A$4:$A$119,0)),Scoring!$A$4:$N$51,10,FALSE()),0))</f>
        <v/>
      </c>
      <c r="H96" s="28">
        <f>IF($B96="","",6*IFERROR(VLOOKUP(INDEX(' Toto teams'!$B$4:$B$119,MATCH($B96,' Toto teams'!$A$4:$A$119,0)),Scoring!$A$4:$N$51,11,FALSE()),0)+4*IFERROR(VLOOKUP(INDEX(' Toto teams'!$C$4:$C$119,MATCH($B96,' Toto teams'!$A$4:$A$119,0)),Scoring!$A$4:$N$51,11,FALSE()),0)+3*IFERROR(VLOOKUP(INDEX(' Toto teams'!$D$4:$D$119,MATCH($B96,' Toto teams'!$A$4:$A$119,0)),Scoring!$A$4:$N$51,11,FALSE()),0)+2*IFERROR(VLOOKUP(INDEX(' Toto teams'!$E$4:$E$119,MATCH($B96,' Toto teams'!$A$4:$A$119,0)),Scoring!$A$4:$N$51,11,FALSE()),0)+1*IFERROR(VLOOKUP(INDEX(' Toto teams'!$F$4:$F$119,MATCH($B96,' Toto teams'!$A$4:$A$119,0)),Scoring!$A$4:$N$51,11,FALSE()),0)+1*IFERROR(VLOOKUP(INDEX(' Toto teams'!$G$4:$G$119,MATCH($B96,' Toto teams'!$A$4:$A$119,0)),Scoring!$A$4:$N$51,11,FALSE()),0)+1*IFERROR(VLOOKUP(INDEX(' Toto teams'!$H$4:$H$119,MATCH($B96,' Toto teams'!$A$4:$A$119,0)),Scoring!$A$4:$N$51,11,FALSE()),0))</f>
        <v/>
      </c>
      <c r="I96" s="28">
        <f>IF($B96="","",6*IFERROR(VLOOKUP(INDEX(' Toto teams'!$B$4:$B$119,MATCH($B96,' Toto teams'!$A$4:$A$119,0)),Scoring!$A$4:$O$51,15,FALSE()),0)+4*IFERROR(VLOOKUP(INDEX(' Toto teams'!$C$4:$C$119,MATCH($B96,' Toto teams'!$A$4:$A$119,0)),Scoring!$A$4:$O$51,15,FALSE()),0)+3*IFERROR(VLOOKUP(INDEX(' Toto teams'!$D$4:$D$119,MATCH($B96,' Toto teams'!$A$4:$A$119,0)),Scoring!$A$4:$O$51,15,FALSE()),0)+2*IFERROR(VLOOKUP(INDEX(' Toto teams'!$E$4:$E$119,MATCH($B96,' Toto teams'!$A$4:$A$119,0)),Scoring!$A$4:$O$51,15,FALSE()),0)+1*IFERROR(VLOOKUP(INDEX(' Toto teams'!$F$4:$F$119,MATCH($B96,' Toto teams'!$A$4:$A$119,0)),Scoring!$A$4:$O$51,15,FALSE()),0)+1*IFERROR(VLOOKUP(INDEX(' Toto teams'!$G$4:$G$119,MATCH($B96,' Toto teams'!$A$4:$A$119,0)),Scoring!$A$4:$O$51,15,FALSE()),0)+1*IFERROR(VLOOKUP(INDEX(' Toto teams'!$H$4:$H$119,MATCH($B96,' Toto teams'!$A$4:$A$119,0)),Scoring!$A$4:$O$51,15,FALSE()),0))</f>
        <v/>
      </c>
      <c r="J96" s="28">
        <f>IF($B96="","",6*IFERROR(VLOOKUP(INDEX(' Toto teams'!$B$4:$B$119,MATCH($B96,' Toto teams'!$A$4:$A$119,0)),Scoring!$A$4:$N$51,12,FALSE()),0)+4*IFERROR(VLOOKUP(INDEX(' Toto teams'!$C$4:$C$119,MATCH($B96,' Toto teams'!$A$4:$A$119,0)),Scoring!$A$4:$N$51,12,FALSE()),0)+3*IFERROR(VLOOKUP(INDEX(' Toto teams'!$D$4:$D$119,MATCH($B96,' Toto teams'!$A$4:$A$119,0)),Scoring!$A$4:$N$51,12,FALSE()),0)+2*IFERROR(VLOOKUP(INDEX(' Toto teams'!$E$4:$E$119,MATCH($B96,' Toto teams'!$A$4:$A$119,0)),Scoring!$A$4:$N$51,12,FALSE()),0)+1*IFERROR(VLOOKUP(INDEX(' Toto teams'!$F$4:$F$119,MATCH($B96,' Toto teams'!$A$4:$A$119,0)),Scoring!$A$4:$N$51,12,FALSE()),0)+1*IFERROR(VLOOKUP(INDEX(' Toto teams'!$G$4:$G$119,MATCH($B96,' Toto teams'!$A$4:$A$119,0)),Scoring!$A$4:$N$51,12,FALSE()),0)+1*IFERROR(VLOOKUP(INDEX(' Toto teams'!$H$4:$H$119,MATCH($B96,' Toto teams'!$A$4:$A$119,0)),Scoring!$A$4:$N$51,12,FALSE()),0))</f>
        <v/>
      </c>
      <c r="K96" s="29">
        <f>IF($B96="","",IFERROR(INDEX(' Toto teams'!$R$4:$R$119,MATCH($B96,' Toto teams'!$A$4:$A$119,0)),""))</f>
        <v/>
      </c>
      <c r="L96" s="30">
        <f>IFERROR(IF(B96="","",VLOOKUP(A96,$N$4:$R$12,5,FALSE())),0)</f>
        <v/>
      </c>
    </row>
    <row r="97" ht="12.75" customHeight="1">
      <c r="A97" s="26">
        <f>IF(94&gt;COUNTIF(' Toto teams'!$A$4:$A$119,"&lt;&gt;"),"",INDEX(' Toto teams'!$S$4:$S$119,MATCH(LARGE(' Toto teams'!$T$4:$T$119,94),' Toto teams'!$T$4:$T$119,0)))</f>
        <v/>
      </c>
      <c r="B97" s="27">
        <f>IF(94&gt;COUNTIF(' Toto teams'!$A$4:$A$119,"&lt;&gt;"),"",INDEX(' Toto teams'!$A$4:$A$119,MATCH(LARGE(' Toto teams'!$T$4:$T$119,94),' Toto teams'!$T$4:$T$119,0)))</f>
        <v/>
      </c>
      <c r="C97" s="28">
        <f>IF($B97="","",6*(IFERROR(VLOOKUP(INDEX(' Toto teams'!$B$4:$B$119,MATCH($B97,' Toto teams'!$A$4:$A$119,0)),Scoring!$A$4:$N$51,3,FALSE()),0)+IFERROR(VLOOKUP(INDEX(' Toto teams'!$B$4:$B$119,MATCH($B97,' Toto teams'!$A$4:$A$119,0)),Scoring!$A$4:$N$51,4,FALSE()),0)+IFERROR(VLOOKUP(INDEX(' Toto teams'!$B$4:$B$119,MATCH($B97,' Toto teams'!$A$4:$A$119,0)),Scoring!$A$4:$N$51,5,FALSE()),0))+4*(IFERROR(VLOOKUP(INDEX(' Toto teams'!$C$4:$C$119,MATCH($B97,' Toto teams'!$A$4:$A$119,0)),Scoring!$A$4:$N$51,3,FALSE()),0)+IFERROR(VLOOKUP(INDEX(' Toto teams'!$C$4:$C$119,MATCH($B97,' Toto teams'!$A$4:$A$119,0)),Scoring!$A$4:$N$51,4,FALSE()),0)+IFERROR(VLOOKUP(INDEX(' Toto teams'!$C$4:$C$119,MATCH($B97,' Toto teams'!$A$4:$A$119,0)),Scoring!$A$4:$N$51,5,FALSE()),0))+3*(IFERROR(VLOOKUP(INDEX(' Toto teams'!$D$4:$D$119,MATCH($B97,' Toto teams'!$A$4:$A$119,0)),Scoring!$A$4:$N$51,3,FALSE()),0)+IFERROR(VLOOKUP(INDEX(' Toto teams'!$D$4:$D$119,MATCH($B97,' Toto teams'!$A$4:$A$119,0)),Scoring!$A$4:$N$51,4,FALSE()),0)+IFERROR(VLOOKUP(INDEX(' Toto teams'!$D$4:$D$119,MATCH($B97,' Toto teams'!$A$4:$A$119,0)),Scoring!$A$4:$N$51,5,FALSE()),0))+2*(IFERROR(VLOOKUP(INDEX(' Toto teams'!$E$4:$E$119,MATCH($B97,' Toto teams'!$A$4:$A$119,0)),Scoring!$A$4:$N$51,3,FALSE()),0)+IFERROR(VLOOKUP(INDEX(' Toto teams'!$E$4:$E$119,MATCH($B97,' Toto teams'!$A$4:$A$119,0)),Scoring!$A$4:$N$51,4,FALSE()),0)+IFERROR(VLOOKUP(INDEX(' Toto teams'!$E$4:$E$119,MATCH($B97,' Toto teams'!$A$4:$A$119,0)),Scoring!$A$4:$N$51,5,FALSE()),0))+1*(IFERROR(VLOOKUP(INDEX(' Toto teams'!$F$4:$F$119,MATCH($B97,' Toto teams'!$A$4:$A$119,0)),Scoring!$A$4:$N$51,3,FALSE()),0)+IFERROR(VLOOKUP(INDEX(' Toto teams'!$F$4:$F$119,MATCH($B97,' Toto teams'!$A$4:$A$119,0)),Scoring!$A$4:$N$51,4,FALSE()),0)+IFERROR(VLOOKUP(INDEX(' Toto teams'!$F$4:$F$119,MATCH($B97,' Toto teams'!$A$4:$A$119,0)),Scoring!$A$4:$N$51,5,FALSE()),0))+1*(IFERROR(VLOOKUP(INDEX(' Toto teams'!$G$4:$G$119,MATCH($B97,' Toto teams'!$A$4:$A$119,0)),Scoring!$A$4:$N$51,3,FALSE()),0)+IFERROR(VLOOKUP(INDEX(' Toto teams'!$G$4:$G$119,MATCH($B97,' Toto teams'!$A$4:$A$119,0)),Scoring!$A$4:$N$51,4,FALSE()),0)+IFERROR(VLOOKUP(INDEX(' Toto teams'!$G$4:$G$119,MATCH($B97,' Toto teams'!$A$4:$A$119,0)),Scoring!$A$4:$N$51,5,FALSE()),0))+1*(IFERROR(VLOOKUP(INDEX(' Toto teams'!$H$4:$H$119,MATCH($B97,' Toto teams'!$A$4:$A$119,0)),Scoring!$A$4:$N$51,3,FALSE()),0)+IFERROR(VLOOKUP(INDEX(' Toto teams'!$H$4:$H$119,MATCH($B97,' Toto teams'!$A$4:$A$119,0)),Scoring!$A$4:$N$51,4,FALSE()),0)+IFERROR(VLOOKUP(INDEX(' Toto teams'!$H$4:$H$119,MATCH($B97,' Toto teams'!$A$4:$A$119,0)),Scoring!$A$4:$N$51,5,FALSE()),0))+IFERROR(INDEX(' Toto teams'!$Q$4:$Q$119,MATCH($B97,' Toto teams'!$A$4:$A$119,0))*1,0))</f>
        <v/>
      </c>
      <c r="D97" s="28">
        <f>IF($B97="","",6*IFERROR(VLOOKUP(INDEX(' Toto teams'!$B$4:$B$119,MATCH($B97,' Toto teams'!$A$4:$A$119,0)),Scoring!$A$4:$N$51,7,FALSE()),0)+4*IFERROR(VLOOKUP(INDEX(' Toto teams'!$C$4:$C$119,MATCH($B97,' Toto teams'!$A$4:$A$119,0)),Scoring!$A$4:$N$51,7,FALSE()),0)+3*IFERROR(VLOOKUP(INDEX(' Toto teams'!$D$4:$D$119,MATCH($B97,' Toto teams'!$A$4:$A$119,0)),Scoring!$A$4:$N$51,7,FALSE()),0)+2*IFERROR(VLOOKUP(INDEX(' Toto teams'!$E$4:$E$119,MATCH($B97,' Toto teams'!$A$4:$A$119,0)),Scoring!$A$4:$N$51,7,FALSE()),0)+1*IFERROR(VLOOKUP(INDEX(' Toto teams'!$F$4:$F$119,MATCH($B97,' Toto teams'!$A$4:$A$119,0)),Scoring!$A$4:$N$51,7,FALSE()),0)+1*IFERROR(VLOOKUP(INDEX(' Toto teams'!$G$4:$G$119,MATCH($B97,' Toto teams'!$A$4:$A$119,0)),Scoring!$A$4:$N$51,7,FALSE()),0)+1*IFERROR(VLOOKUP(INDEX(' Toto teams'!$H$4:$H$119,MATCH($B97,' Toto teams'!$A$4:$A$119,0)),Scoring!$A$4:$N$51,7,FALSE()),0))</f>
        <v/>
      </c>
      <c r="E97" s="28">
        <f>IF($B97="","",6*IFERROR(VLOOKUP(INDEX(' Toto teams'!$B$4:$B$119,MATCH($B97,' Toto teams'!$A$4:$A$119,0)),Scoring!$A$4:$N$51,8,FALSE()),0)+4*IFERROR(VLOOKUP(INDEX(' Toto teams'!$C$4:$C$119,MATCH($B97,' Toto teams'!$A$4:$A$119,0)),Scoring!$A$4:$N$51,8,FALSE()),0)+3*IFERROR(VLOOKUP(INDEX(' Toto teams'!$D$4:$D$119,MATCH($B97,' Toto teams'!$A$4:$A$119,0)),Scoring!$A$4:$N$51,8,FALSE()),0)+2*IFERROR(VLOOKUP(INDEX(' Toto teams'!$E$4:$E$119,MATCH($B97,' Toto teams'!$A$4:$A$119,0)),Scoring!$A$4:$N$51,8,FALSE()),0)+1*IFERROR(VLOOKUP(INDEX(' Toto teams'!$F$4:$F$119,MATCH($B97,' Toto teams'!$A$4:$A$119,0)),Scoring!$A$4:$N$51,8,FALSE()),0)+1*IFERROR(VLOOKUP(INDEX(' Toto teams'!$G$4:$G$119,MATCH($B97,' Toto teams'!$A$4:$A$119,0)),Scoring!$A$4:$N$51,8,FALSE()),0)+1*IFERROR(VLOOKUP(INDEX(' Toto teams'!$H$4:$H$119,MATCH($B97,' Toto teams'!$A$4:$A$119,0)),Scoring!$A$4:$N$51,8,FALSE()),0))</f>
        <v/>
      </c>
      <c r="F97" s="28">
        <f>IF($B97="","",6*IFERROR(VLOOKUP(INDEX(' Toto teams'!$B$4:$B$119,MATCH($B97,' Toto teams'!$A$4:$A$119,0)),Scoring!$A$4:$N$51,9,FALSE()),0)+4*IFERROR(VLOOKUP(INDEX(' Toto teams'!$C$4:$C$119,MATCH($B97,' Toto teams'!$A$4:$A$119,0)),Scoring!$A$4:$N$51,9,FALSE()),0)+3*IFERROR(VLOOKUP(INDEX(' Toto teams'!$D$4:$D$119,MATCH($B97,' Toto teams'!$A$4:$A$119,0)),Scoring!$A$4:$N$51,9,FALSE()),0)+2*IFERROR(VLOOKUP(INDEX(' Toto teams'!$E$4:$E$119,MATCH($B97,' Toto teams'!$A$4:$A$119,0)),Scoring!$A$4:$N$51,9,FALSE()),0)+1*IFERROR(VLOOKUP(INDEX(' Toto teams'!$F$4:$F$119,MATCH($B97,' Toto teams'!$A$4:$A$119,0)),Scoring!$A$4:$N$51,9,FALSE()),0)+1*IFERROR(VLOOKUP(INDEX(' Toto teams'!$G$4:$G$119,MATCH($B97,' Toto teams'!$A$4:$A$119,0)),Scoring!$A$4:$N$51,9,FALSE()),0)+1*IFERROR(VLOOKUP(INDEX(' Toto teams'!$H$4:$H$119,MATCH($B97,' Toto teams'!$A$4:$A$119,0)),Scoring!$A$4:$N$51,9,FALSE()),0))</f>
        <v/>
      </c>
      <c r="G97" s="28">
        <f>IF($B97="","",6*IFERROR(VLOOKUP(INDEX(' Toto teams'!$B$4:$B$119,MATCH($B97,' Toto teams'!$A$4:$A$119,0)),Scoring!$A$4:$N$51,10,FALSE()),0)+4*IFERROR(VLOOKUP(INDEX(' Toto teams'!$C$4:$C$119,MATCH($B97,' Toto teams'!$A$4:$A$119,0)),Scoring!$A$4:$N$51,10,FALSE()),0)+3*IFERROR(VLOOKUP(INDEX(' Toto teams'!$D$4:$D$119,MATCH($B97,' Toto teams'!$A$4:$A$119,0)),Scoring!$A$4:$N$51,10,FALSE()),0)+2*IFERROR(VLOOKUP(INDEX(' Toto teams'!$E$4:$E$119,MATCH($B97,' Toto teams'!$A$4:$A$119,0)),Scoring!$A$4:$N$51,10,FALSE()),0)+1*IFERROR(VLOOKUP(INDEX(' Toto teams'!$F$4:$F$119,MATCH($B97,' Toto teams'!$A$4:$A$119,0)),Scoring!$A$4:$N$51,10,FALSE()),0)+1*IFERROR(VLOOKUP(INDEX(' Toto teams'!$G$4:$G$119,MATCH($B97,' Toto teams'!$A$4:$A$119,0)),Scoring!$A$4:$N$51,10,FALSE()),0)+1*IFERROR(VLOOKUP(INDEX(' Toto teams'!$H$4:$H$119,MATCH($B97,' Toto teams'!$A$4:$A$119,0)),Scoring!$A$4:$N$51,10,FALSE()),0))</f>
        <v/>
      </c>
      <c r="H97" s="28">
        <f>IF($B97="","",6*IFERROR(VLOOKUP(INDEX(' Toto teams'!$B$4:$B$119,MATCH($B97,' Toto teams'!$A$4:$A$119,0)),Scoring!$A$4:$N$51,11,FALSE()),0)+4*IFERROR(VLOOKUP(INDEX(' Toto teams'!$C$4:$C$119,MATCH($B97,' Toto teams'!$A$4:$A$119,0)),Scoring!$A$4:$N$51,11,FALSE()),0)+3*IFERROR(VLOOKUP(INDEX(' Toto teams'!$D$4:$D$119,MATCH($B97,' Toto teams'!$A$4:$A$119,0)),Scoring!$A$4:$N$51,11,FALSE()),0)+2*IFERROR(VLOOKUP(INDEX(' Toto teams'!$E$4:$E$119,MATCH($B97,' Toto teams'!$A$4:$A$119,0)),Scoring!$A$4:$N$51,11,FALSE()),0)+1*IFERROR(VLOOKUP(INDEX(' Toto teams'!$F$4:$F$119,MATCH($B97,' Toto teams'!$A$4:$A$119,0)),Scoring!$A$4:$N$51,11,FALSE()),0)+1*IFERROR(VLOOKUP(INDEX(' Toto teams'!$G$4:$G$119,MATCH($B97,' Toto teams'!$A$4:$A$119,0)),Scoring!$A$4:$N$51,11,FALSE()),0)+1*IFERROR(VLOOKUP(INDEX(' Toto teams'!$H$4:$H$119,MATCH($B97,' Toto teams'!$A$4:$A$119,0)),Scoring!$A$4:$N$51,11,FALSE()),0))</f>
        <v/>
      </c>
      <c r="I97" s="28">
        <f>IF($B97="","",6*IFERROR(VLOOKUP(INDEX(' Toto teams'!$B$4:$B$119,MATCH($B97,' Toto teams'!$A$4:$A$119,0)),Scoring!$A$4:$O$51,15,FALSE()),0)+4*IFERROR(VLOOKUP(INDEX(' Toto teams'!$C$4:$C$119,MATCH($B97,' Toto teams'!$A$4:$A$119,0)),Scoring!$A$4:$O$51,15,FALSE()),0)+3*IFERROR(VLOOKUP(INDEX(' Toto teams'!$D$4:$D$119,MATCH($B97,' Toto teams'!$A$4:$A$119,0)),Scoring!$A$4:$O$51,15,FALSE()),0)+2*IFERROR(VLOOKUP(INDEX(' Toto teams'!$E$4:$E$119,MATCH($B97,' Toto teams'!$A$4:$A$119,0)),Scoring!$A$4:$O$51,15,FALSE()),0)+1*IFERROR(VLOOKUP(INDEX(' Toto teams'!$F$4:$F$119,MATCH($B97,' Toto teams'!$A$4:$A$119,0)),Scoring!$A$4:$O$51,15,FALSE()),0)+1*IFERROR(VLOOKUP(INDEX(' Toto teams'!$G$4:$G$119,MATCH($B97,' Toto teams'!$A$4:$A$119,0)),Scoring!$A$4:$O$51,15,FALSE()),0)+1*IFERROR(VLOOKUP(INDEX(' Toto teams'!$H$4:$H$119,MATCH($B97,' Toto teams'!$A$4:$A$119,0)),Scoring!$A$4:$O$51,15,FALSE()),0))</f>
        <v/>
      </c>
      <c r="J97" s="28">
        <f>IF($B97="","",6*IFERROR(VLOOKUP(INDEX(' Toto teams'!$B$4:$B$119,MATCH($B97,' Toto teams'!$A$4:$A$119,0)),Scoring!$A$4:$N$51,12,FALSE()),0)+4*IFERROR(VLOOKUP(INDEX(' Toto teams'!$C$4:$C$119,MATCH($B97,' Toto teams'!$A$4:$A$119,0)),Scoring!$A$4:$N$51,12,FALSE()),0)+3*IFERROR(VLOOKUP(INDEX(' Toto teams'!$D$4:$D$119,MATCH($B97,' Toto teams'!$A$4:$A$119,0)),Scoring!$A$4:$N$51,12,FALSE()),0)+2*IFERROR(VLOOKUP(INDEX(' Toto teams'!$E$4:$E$119,MATCH($B97,' Toto teams'!$A$4:$A$119,0)),Scoring!$A$4:$N$51,12,FALSE()),0)+1*IFERROR(VLOOKUP(INDEX(' Toto teams'!$F$4:$F$119,MATCH($B97,' Toto teams'!$A$4:$A$119,0)),Scoring!$A$4:$N$51,12,FALSE()),0)+1*IFERROR(VLOOKUP(INDEX(' Toto teams'!$G$4:$G$119,MATCH($B97,' Toto teams'!$A$4:$A$119,0)),Scoring!$A$4:$N$51,12,FALSE()),0)+1*IFERROR(VLOOKUP(INDEX(' Toto teams'!$H$4:$H$119,MATCH($B97,' Toto teams'!$A$4:$A$119,0)),Scoring!$A$4:$N$51,12,FALSE()),0))</f>
        <v/>
      </c>
      <c r="K97" s="29">
        <f>IF($B97="","",IFERROR(INDEX(' Toto teams'!$R$4:$R$119,MATCH($B97,' Toto teams'!$A$4:$A$119,0)),""))</f>
        <v/>
      </c>
      <c r="L97" s="30">
        <f>IFERROR(IF(B97="","",VLOOKUP(A97,$N$4:$R$12,5,FALSE())),0)</f>
        <v/>
      </c>
    </row>
    <row r="98" ht="12.75" customHeight="1">
      <c r="A98" s="26">
        <f>IF(95&gt;COUNTIF(' Toto teams'!$A$4:$A$119,"&lt;&gt;"),"",INDEX(' Toto teams'!$S$4:$S$119,MATCH(LARGE(' Toto teams'!$T$4:$T$119,95),' Toto teams'!$T$4:$T$119,0)))</f>
        <v/>
      </c>
      <c r="B98" s="27">
        <f>IF(95&gt;COUNTIF(' Toto teams'!$A$4:$A$119,"&lt;&gt;"),"",INDEX(' Toto teams'!$A$4:$A$119,MATCH(LARGE(' Toto teams'!$T$4:$T$119,95),' Toto teams'!$T$4:$T$119,0)))</f>
        <v/>
      </c>
      <c r="C98" s="28">
        <f>IF($B98="","",6*(IFERROR(VLOOKUP(INDEX(' Toto teams'!$B$4:$B$119,MATCH($B98,' Toto teams'!$A$4:$A$119,0)),Scoring!$A$4:$N$51,3,FALSE()),0)+IFERROR(VLOOKUP(INDEX(' Toto teams'!$B$4:$B$119,MATCH($B98,' Toto teams'!$A$4:$A$119,0)),Scoring!$A$4:$N$51,4,FALSE()),0)+IFERROR(VLOOKUP(INDEX(' Toto teams'!$B$4:$B$119,MATCH($B98,' Toto teams'!$A$4:$A$119,0)),Scoring!$A$4:$N$51,5,FALSE()),0))+4*(IFERROR(VLOOKUP(INDEX(' Toto teams'!$C$4:$C$119,MATCH($B98,' Toto teams'!$A$4:$A$119,0)),Scoring!$A$4:$N$51,3,FALSE()),0)+IFERROR(VLOOKUP(INDEX(' Toto teams'!$C$4:$C$119,MATCH($B98,' Toto teams'!$A$4:$A$119,0)),Scoring!$A$4:$N$51,4,FALSE()),0)+IFERROR(VLOOKUP(INDEX(' Toto teams'!$C$4:$C$119,MATCH($B98,' Toto teams'!$A$4:$A$119,0)),Scoring!$A$4:$N$51,5,FALSE()),0))+3*(IFERROR(VLOOKUP(INDEX(' Toto teams'!$D$4:$D$119,MATCH($B98,' Toto teams'!$A$4:$A$119,0)),Scoring!$A$4:$N$51,3,FALSE()),0)+IFERROR(VLOOKUP(INDEX(' Toto teams'!$D$4:$D$119,MATCH($B98,' Toto teams'!$A$4:$A$119,0)),Scoring!$A$4:$N$51,4,FALSE()),0)+IFERROR(VLOOKUP(INDEX(' Toto teams'!$D$4:$D$119,MATCH($B98,' Toto teams'!$A$4:$A$119,0)),Scoring!$A$4:$N$51,5,FALSE()),0))+2*(IFERROR(VLOOKUP(INDEX(' Toto teams'!$E$4:$E$119,MATCH($B98,' Toto teams'!$A$4:$A$119,0)),Scoring!$A$4:$N$51,3,FALSE()),0)+IFERROR(VLOOKUP(INDEX(' Toto teams'!$E$4:$E$119,MATCH($B98,' Toto teams'!$A$4:$A$119,0)),Scoring!$A$4:$N$51,4,FALSE()),0)+IFERROR(VLOOKUP(INDEX(' Toto teams'!$E$4:$E$119,MATCH($B98,' Toto teams'!$A$4:$A$119,0)),Scoring!$A$4:$N$51,5,FALSE()),0))+1*(IFERROR(VLOOKUP(INDEX(' Toto teams'!$F$4:$F$119,MATCH($B98,' Toto teams'!$A$4:$A$119,0)),Scoring!$A$4:$N$51,3,FALSE()),0)+IFERROR(VLOOKUP(INDEX(' Toto teams'!$F$4:$F$119,MATCH($B98,' Toto teams'!$A$4:$A$119,0)),Scoring!$A$4:$N$51,4,FALSE()),0)+IFERROR(VLOOKUP(INDEX(' Toto teams'!$F$4:$F$119,MATCH($B98,' Toto teams'!$A$4:$A$119,0)),Scoring!$A$4:$N$51,5,FALSE()),0))+1*(IFERROR(VLOOKUP(INDEX(' Toto teams'!$G$4:$G$119,MATCH($B98,' Toto teams'!$A$4:$A$119,0)),Scoring!$A$4:$N$51,3,FALSE()),0)+IFERROR(VLOOKUP(INDEX(' Toto teams'!$G$4:$G$119,MATCH($B98,' Toto teams'!$A$4:$A$119,0)),Scoring!$A$4:$N$51,4,FALSE()),0)+IFERROR(VLOOKUP(INDEX(' Toto teams'!$G$4:$G$119,MATCH($B98,' Toto teams'!$A$4:$A$119,0)),Scoring!$A$4:$N$51,5,FALSE()),0))+1*(IFERROR(VLOOKUP(INDEX(' Toto teams'!$H$4:$H$119,MATCH($B98,' Toto teams'!$A$4:$A$119,0)),Scoring!$A$4:$N$51,3,FALSE()),0)+IFERROR(VLOOKUP(INDEX(' Toto teams'!$H$4:$H$119,MATCH($B98,' Toto teams'!$A$4:$A$119,0)),Scoring!$A$4:$N$51,4,FALSE()),0)+IFERROR(VLOOKUP(INDEX(' Toto teams'!$H$4:$H$119,MATCH($B98,' Toto teams'!$A$4:$A$119,0)),Scoring!$A$4:$N$51,5,FALSE()),0))+IFERROR(INDEX(' Toto teams'!$Q$4:$Q$119,MATCH($B98,' Toto teams'!$A$4:$A$119,0))*1,0))</f>
        <v/>
      </c>
      <c r="D98" s="28">
        <f>IF($B98="","",6*IFERROR(VLOOKUP(INDEX(' Toto teams'!$B$4:$B$119,MATCH($B98,' Toto teams'!$A$4:$A$119,0)),Scoring!$A$4:$N$51,7,FALSE()),0)+4*IFERROR(VLOOKUP(INDEX(' Toto teams'!$C$4:$C$119,MATCH($B98,' Toto teams'!$A$4:$A$119,0)),Scoring!$A$4:$N$51,7,FALSE()),0)+3*IFERROR(VLOOKUP(INDEX(' Toto teams'!$D$4:$D$119,MATCH($B98,' Toto teams'!$A$4:$A$119,0)),Scoring!$A$4:$N$51,7,FALSE()),0)+2*IFERROR(VLOOKUP(INDEX(' Toto teams'!$E$4:$E$119,MATCH($B98,' Toto teams'!$A$4:$A$119,0)),Scoring!$A$4:$N$51,7,FALSE()),0)+1*IFERROR(VLOOKUP(INDEX(' Toto teams'!$F$4:$F$119,MATCH($B98,' Toto teams'!$A$4:$A$119,0)),Scoring!$A$4:$N$51,7,FALSE()),0)+1*IFERROR(VLOOKUP(INDEX(' Toto teams'!$G$4:$G$119,MATCH($B98,' Toto teams'!$A$4:$A$119,0)),Scoring!$A$4:$N$51,7,FALSE()),0)+1*IFERROR(VLOOKUP(INDEX(' Toto teams'!$H$4:$H$119,MATCH($B98,' Toto teams'!$A$4:$A$119,0)),Scoring!$A$4:$N$51,7,FALSE()),0))</f>
        <v/>
      </c>
      <c r="E98" s="28">
        <f>IF($B98="","",6*IFERROR(VLOOKUP(INDEX(' Toto teams'!$B$4:$B$119,MATCH($B98,' Toto teams'!$A$4:$A$119,0)),Scoring!$A$4:$N$51,8,FALSE()),0)+4*IFERROR(VLOOKUP(INDEX(' Toto teams'!$C$4:$C$119,MATCH($B98,' Toto teams'!$A$4:$A$119,0)),Scoring!$A$4:$N$51,8,FALSE()),0)+3*IFERROR(VLOOKUP(INDEX(' Toto teams'!$D$4:$D$119,MATCH($B98,' Toto teams'!$A$4:$A$119,0)),Scoring!$A$4:$N$51,8,FALSE()),0)+2*IFERROR(VLOOKUP(INDEX(' Toto teams'!$E$4:$E$119,MATCH($B98,' Toto teams'!$A$4:$A$119,0)),Scoring!$A$4:$N$51,8,FALSE()),0)+1*IFERROR(VLOOKUP(INDEX(' Toto teams'!$F$4:$F$119,MATCH($B98,' Toto teams'!$A$4:$A$119,0)),Scoring!$A$4:$N$51,8,FALSE()),0)+1*IFERROR(VLOOKUP(INDEX(' Toto teams'!$G$4:$G$119,MATCH($B98,' Toto teams'!$A$4:$A$119,0)),Scoring!$A$4:$N$51,8,FALSE()),0)+1*IFERROR(VLOOKUP(INDEX(' Toto teams'!$H$4:$H$119,MATCH($B98,' Toto teams'!$A$4:$A$119,0)),Scoring!$A$4:$N$51,8,FALSE()),0))</f>
        <v/>
      </c>
      <c r="F98" s="28">
        <f>IF($B98="","",6*IFERROR(VLOOKUP(INDEX(' Toto teams'!$B$4:$B$119,MATCH($B98,' Toto teams'!$A$4:$A$119,0)),Scoring!$A$4:$N$51,9,FALSE()),0)+4*IFERROR(VLOOKUP(INDEX(' Toto teams'!$C$4:$C$119,MATCH($B98,' Toto teams'!$A$4:$A$119,0)),Scoring!$A$4:$N$51,9,FALSE()),0)+3*IFERROR(VLOOKUP(INDEX(' Toto teams'!$D$4:$D$119,MATCH($B98,' Toto teams'!$A$4:$A$119,0)),Scoring!$A$4:$N$51,9,FALSE()),0)+2*IFERROR(VLOOKUP(INDEX(' Toto teams'!$E$4:$E$119,MATCH($B98,' Toto teams'!$A$4:$A$119,0)),Scoring!$A$4:$N$51,9,FALSE()),0)+1*IFERROR(VLOOKUP(INDEX(' Toto teams'!$F$4:$F$119,MATCH($B98,' Toto teams'!$A$4:$A$119,0)),Scoring!$A$4:$N$51,9,FALSE()),0)+1*IFERROR(VLOOKUP(INDEX(' Toto teams'!$G$4:$G$119,MATCH($B98,' Toto teams'!$A$4:$A$119,0)),Scoring!$A$4:$N$51,9,FALSE()),0)+1*IFERROR(VLOOKUP(INDEX(' Toto teams'!$H$4:$H$119,MATCH($B98,' Toto teams'!$A$4:$A$119,0)),Scoring!$A$4:$N$51,9,FALSE()),0))</f>
        <v/>
      </c>
      <c r="G98" s="28">
        <f>IF($B98="","",6*IFERROR(VLOOKUP(INDEX(' Toto teams'!$B$4:$B$119,MATCH($B98,' Toto teams'!$A$4:$A$119,0)),Scoring!$A$4:$N$51,10,FALSE()),0)+4*IFERROR(VLOOKUP(INDEX(' Toto teams'!$C$4:$C$119,MATCH($B98,' Toto teams'!$A$4:$A$119,0)),Scoring!$A$4:$N$51,10,FALSE()),0)+3*IFERROR(VLOOKUP(INDEX(' Toto teams'!$D$4:$D$119,MATCH($B98,' Toto teams'!$A$4:$A$119,0)),Scoring!$A$4:$N$51,10,FALSE()),0)+2*IFERROR(VLOOKUP(INDEX(' Toto teams'!$E$4:$E$119,MATCH($B98,' Toto teams'!$A$4:$A$119,0)),Scoring!$A$4:$N$51,10,FALSE()),0)+1*IFERROR(VLOOKUP(INDEX(' Toto teams'!$F$4:$F$119,MATCH($B98,' Toto teams'!$A$4:$A$119,0)),Scoring!$A$4:$N$51,10,FALSE()),0)+1*IFERROR(VLOOKUP(INDEX(' Toto teams'!$G$4:$G$119,MATCH($B98,' Toto teams'!$A$4:$A$119,0)),Scoring!$A$4:$N$51,10,FALSE()),0)+1*IFERROR(VLOOKUP(INDEX(' Toto teams'!$H$4:$H$119,MATCH($B98,' Toto teams'!$A$4:$A$119,0)),Scoring!$A$4:$N$51,10,FALSE()),0))</f>
        <v/>
      </c>
      <c r="H98" s="28">
        <f>IF($B98="","",6*IFERROR(VLOOKUP(INDEX(' Toto teams'!$B$4:$B$119,MATCH($B98,' Toto teams'!$A$4:$A$119,0)),Scoring!$A$4:$N$51,11,FALSE()),0)+4*IFERROR(VLOOKUP(INDEX(' Toto teams'!$C$4:$C$119,MATCH($B98,' Toto teams'!$A$4:$A$119,0)),Scoring!$A$4:$N$51,11,FALSE()),0)+3*IFERROR(VLOOKUP(INDEX(' Toto teams'!$D$4:$D$119,MATCH($B98,' Toto teams'!$A$4:$A$119,0)),Scoring!$A$4:$N$51,11,FALSE()),0)+2*IFERROR(VLOOKUP(INDEX(' Toto teams'!$E$4:$E$119,MATCH($B98,' Toto teams'!$A$4:$A$119,0)),Scoring!$A$4:$N$51,11,FALSE()),0)+1*IFERROR(VLOOKUP(INDEX(' Toto teams'!$F$4:$F$119,MATCH($B98,' Toto teams'!$A$4:$A$119,0)),Scoring!$A$4:$N$51,11,FALSE()),0)+1*IFERROR(VLOOKUP(INDEX(' Toto teams'!$G$4:$G$119,MATCH($B98,' Toto teams'!$A$4:$A$119,0)),Scoring!$A$4:$N$51,11,FALSE()),0)+1*IFERROR(VLOOKUP(INDEX(' Toto teams'!$H$4:$H$119,MATCH($B98,' Toto teams'!$A$4:$A$119,0)),Scoring!$A$4:$N$51,11,FALSE()),0))</f>
        <v/>
      </c>
      <c r="I98" s="28">
        <f>IF($B98="","",6*IFERROR(VLOOKUP(INDEX(' Toto teams'!$B$4:$B$119,MATCH($B98,' Toto teams'!$A$4:$A$119,0)),Scoring!$A$4:$O$51,15,FALSE()),0)+4*IFERROR(VLOOKUP(INDEX(' Toto teams'!$C$4:$C$119,MATCH($B98,' Toto teams'!$A$4:$A$119,0)),Scoring!$A$4:$O$51,15,FALSE()),0)+3*IFERROR(VLOOKUP(INDEX(' Toto teams'!$D$4:$D$119,MATCH($B98,' Toto teams'!$A$4:$A$119,0)),Scoring!$A$4:$O$51,15,FALSE()),0)+2*IFERROR(VLOOKUP(INDEX(' Toto teams'!$E$4:$E$119,MATCH($B98,' Toto teams'!$A$4:$A$119,0)),Scoring!$A$4:$O$51,15,FALSE()),0)+1*IFERROR(VLOOKUP(INDEX(' Toto teams'!$F$4:$F$119,MATCH($B98,' Toto teams'!$A$4:$A$119,0)),Scoring!$A$4:$O$51,15,FALSE()),0)+1*IFERROR(VLOOKUP(INDEX(' Toto teams'!$G$4:$G$119,MATCH($B98,' Toto teams'!$A$4:$A$119,0)),Scoring!$A$4:$O$51,15,FALSE()),0)+1*IFERROR(VLOOKUP(INDEX(' Toto teams'!$H$4:$H$119,MATCH($B98,' Toto teams'!$A$4:$A$119,0)),Scoring!$A$4:$O$51,15,FALSE()),0))</f>
        <v/>
      </c>
      <c r="J98" s="28">
        <f>IF($B98="","",6*IFERROR(VLOOKUP(INDEX(' Toto teams'!$B$4:$B$119,MATCH($B98,' Toto teams'!$A$4:$A$119,0)),Scoring!$A$4:$N$51,12,FALSE()),0)+4*IFERROR(VLOOKUP(INDEX(' Toto teams'!$C$4:$C$119,MATCH($B98,' Toto teams'!$A$4:$A$119,0)),Scoring!$A$4:$N$51,12,FALSE()),0)+3*IFERROR(VLOOKUP(INDEX(' Toto teams'!$D$4:$D$119,MATCH($B98,' Toto teams'!$A$4:$A$119,0)),Scoring!$A$4:$N$51,12,FALSE()),0)+2*IFERROR(VLOOKUP(INDEX(' Toto teams'!$E$4:$E$119,MATCH($B98,' Toto teams'!$A$4:$A$119,0)),Scoring!$A$4:$N$51,12,FALSE()),0)+1*IFERROR(VLOOKUP(INDEX(' Toto teams'!$F$4:$F$119,MATCH($B98,' Toto teams'!$A$4:$A$119,0)),Scoring!$A$4:$N$51,12,FALSE()),0)+1*IFERROR(VLOOKUP(INDEX(' Toto teams'!$G$4:$G$119,MATCH($B98,' Toto teams'!$A$4:$A$119,0)),Scoring!$A$4:$N$51,12,FALSE()),0)+1*IFERROR(VLOOKUP(INDEX(' Toto teams'!$H$4:$H$119,MATCH($B98,' Toto teams'!$A$4:$A$119,0)),Scoring!$A$4:$N$51,12,FALSE()),0))</f>
        <v/>
      </c>
      <c r="K98" s="29">
        <f>IF($B98="","",IFERROR(INDEX(' Toto teams'!$R$4:$R$119,MATCH($B98,' Toto teams'!$A$4:$A$119,0)),""))</f>
        <v/>
      </c>
      <c r="L98" s="30">
        <f>IFERROR(IF(B98="","",VLOOKUP(A98,$N$4:$R$12,5,FALSE())),0)</f>
        <v/>
      </c>
    </row>
    <row r="99" ht="12.75" customHeight="1">
      <c r="A99" s="26">
        <f>IF(96&gt;COUNTIF(' Toto teams'!$A$4:$A$119,"&lt;&gt;"),"",INDEX(' Toto teams'!$S$4:$S$119,MATCH(LARGE(' Toto teams'!$T$4:$T$119,96),' Toto teams'!$T$4:$T$119,0)))</f>
        <v/>
      </c>
      <c r="B99" s="27">
        <f>IF(96&gt;COUNTIF(' Toto teams'!$A$4:$A$119,"&lt;&gt;"),"",INDEX(' Toto teams'!$A$4:$A$119,MATCH(LARGE(' Toto teams'!$T$4:$T$119,96),' Toto teams'!$T$4:$T$119,0)))</f>
        <v/>
      </c>
      <c r="C99" s="28">
        <f>IF($B99="","",6*(IFERROR(VLOOKUP(INDEX(' Toto teams'!$B$4:$B$119,MATCH($B99,' Toto teams'!$A$4:$A$119,0)),Scoring!$A$4:$N$51,3,FALSE()),0)+IFERROR(VLOOKUP(INDEX(' Toto teams'!$B$4:$B$119,MATCH($B99,' Toto teams'!$A$4:$A$119,0)),Scoring!$A$4:$N$51,4,FALSE()),0)+IFERROR(VLOOKUP(INDEX(' Toto teams'!$B$4:$B$119,MATCH($B99,' Toto teams'!$A$4:$A$119,0)),Scoring!$A$4:$N$51,5,FALSE()),0))+4*(IFERROR(VLOOKUP(INDEX(' Toto teams'!$C$4:$C$119,MATCH($B99,' Toto teams'!$A$4:$A$119,0)),Scoring!$A$4:$N$51,3,FALSE()),0)+IFERROR(VLOOKUP(INDEX(' Toto teams'!$C$4:$C$119,MATCH($B99,' Toto teams'!$A$4:$A$119,0)),Scoring!$A$4:$N$51,4,FALSE()),0)+IFERROR(VLOOKUP(INDEX(' Toto teams'!$C$4:$C$119,MATCH($B99,' Toto teams'!$A$4:$A$119,0)),Scoring!$A$4:$N$51,5,FALSE()),0))+3*(IFERROR(VLOOKUP(INDEX(' Toto teams'!$D$4:$D$119,MATCH($B99,' Toto teams'!$A$4:$A$119,0)),Scoring!$A$4:$N$51,3,FALSE()),0)+IFERROR(VLOOKUP(INDEX(' Toto teams'!$D$4:$D$119,MATCH($B99,' Toto teams'!$A$4:$A$119,0)),Scoring!$A$4:$N$51,4,FALSE()),0)+IFERROR(VLOOKUP(INDEX(' Toto teams'!$D$4:$D$119,MATCH($B99,' Toto teams'!$A$4:$A$119,0)),Scoring!$A$4:$N$51,5,FALSE()),0))+2*(IFERROR(VLOOKUP(INDEX(' Toto teams'!$E$4:$E$119,MATCH($B99,' Toto teams'!$A$4:$A$119,0)),Scoring!$A$4:$N$51,3,FALSE()),0)+IFERROR(VLOOKUP(INDEX(' Toto teams'!$E$4:$E$119,MATCH($B99,' Toto teams'!$A$4:$A$119,0)),Scoring!$A$4:$N$51,4,FALSE()),0)+IFERROR(VLOOKUP(INDEX(' Toto teams'!$E$4:$E$119,MATCH($B99,' Toto teams'!$A$4:$A$119,0)),Scoring!$A$4:$N$51,5,FALSE()),0))+1*(IFERROR(VLOOKUP(INDEX(' Toto teams'!$F$4:$F$119,MATCH($B99,' Toto teams'!$A$4:$A$119,0)),Scoring!$A$4:$N$51,3,FALSE()),0)+IFERROR(VLOOKUP(INDEX(' Toto teams'!$F$4:$F$119,MATCH($B99,' Toto teams'!$A$4:$A$119,0)),Scoring!$A$4:$N$51,4,FALSE()),0)+IFERROR(VLOOKUP(INDEX(' Toto teams'!$F$4:$F$119,MATCH($B99,' Toto teams'!$A$4:$A$119,0)),Scoring!$A$4:$N$51,5,FALSE()),0))+1*(IFERROR(VLOOKUP(INDEX(' Toto teams'!$G$4:$G$119,MATCH($B99,' Toto teams'!$A$4:$A$119,0)),Scoring!$A$4:$N$51,3,FALSE()),0)+IFERROR(VLOOKUP(INDEX(' Toto teams'!$G$4:$G$119,MATCH($B99,' Toto teams'!$A$4:$A$119,0)),Scoring!$A$4:$N$51,4,FALSE()),0)+IFERROR(VLOOKUP(INDEX(' Toto teams'!$G$4:$G$119,MATCH($B99,' Toto teams'!$A$4:$A$119,0)),Scoring!$A$4:$N$51,5,FALSE()),0))+1*(IFERROR(VLOOKUP(INDEX(' Toto teams'!$H$4:$H$119,MATCH($B99,' Toto teams'!$A$4:$A$119,0)),Scoring!$A$4:$N$51,3,FALSE()),0)+IFERROR(VLOOKUP(INDEX(' Toto teams'!$H$4:$H$119,MATCH($B99,' Toto teams'!$A$4:$A$119,0)),Scoring!$A$4:$N$51,4,FALSE()),0)+IFERROR(VLOOKUP(INDEX(' Toto teams'!$H$4:$H$119,MATCH($B99,' Toto teams'!$A$4:$A$119,0)),Scoring!$A$4:$N$51,5,FALSE()),0))+IFERROR(INDEX(' Toto teams'!$Q$4:$Q$119,MATCH($B99,' Toto teams'!$A$4:$A$119,0))*1,0))</f>
        <v/>
      </c>
      <c r="D99" s="28">
        <f>IF($B99="","",6*IFERROR(VLOOKUP(INDEX(' Toto teams'!$B$4:$B$119,MATCH($B99,' Toto teams'!$A$4:$A$119,0)),Scoring!$A$4:$N$51,7,FALSE()),0)+4*IFERROR(VLOOKUP(INDEX(' Toto teams'!$C$4:$C$119,MATCH($B99,' Toto teams'!$A$4:$A$119,0)),Scoring!$A$4:$N$51,7,FALSE()),0)+3*IFERROR(VLOOKUP(INDEX(' Toto teams'!$D$4:$D$119,MATCH($B99,' Toto teams'!$A$4:$A$119,0)),Scoring!$A$4:$N$51,7,FALSE()),0)+2*IFERROR(VLOOKUP(INDEX(' Toto teams'!$E$4:$E$119,MATCH($B99,' Toto teams'!$A$4:$A$119,0)),Scoring!$A$4:$N$51,7,FALSE()),0)+1*IFERROR(VLOOKUP(INDEX(' Toto teams'!$F$4:$F$119,MATCH($B99,' Toto teams'!$A$4:$A$119,0)),Scoring!$A$4:$N$51,7,FALSE()),0)+1*IFERROR(VLOOKUP(INDEX(' Toto teams'!$G$4:$G$119,MATCH($B99,' Toto teams'!$A$4:$A$119,0)),Scoring!$A$4:$N$51,7,FALSE()),0)+1*IFERROR(VLOOKUP(INDEX(' Toto teams'!$H$4:$H$119,MATCH($B99,' Toto teams'!$A$4:$A$119,0)),Scoring!$A$4:$N$51,7,FALSE()),0))</f>
        <v/>
      </c>
      <c r="E99" s="28">
        <f>IF($B99="","",6*IFERROR(VLOOKUP(INDEX(' Toto teams'!$B$4:$B$119,MATCH($B99,' Toto teams'!$A$4:$A$119,0)),Scoring!$A$4:$N$51,8,FALSE()),0)+4*IFERROR(VLOOKUP(INDEX(' Toto teams'!$C$4:$C$119,MATCH($B99,' Toto teams'!$A$4:$A$119,0)),Scoring!$A$4:$N$51,8,FALSE()),0)+3*IFERROR(VLOOKUP(INDEX(' Toto teams'!$D$4:$D$119,MATCH($B99,' Toto teams'!$A$4:$A$119,0)),Scoring!$A$4:$N$51,8,FALSE()),0)+2*IFERROR(VLOOKUP(INDEX(' Toto teams'!$E$4:$E$119,MATCH($B99,' Toto teams'!$A$4:$A$119,0)),Scoring!$A$4:$N$51,8,FALSE()),0)+1*IFERROR(VLOOKUP(INDEX(' Toto teams'!$F$4:$F$119,MATCH($B99,' Toto teams'!$A$4:$A$119,0)),Scoring!$A$4:$N$51,8,FALSE()),0)+1*IFERROR(VLOOKUP(INDEX(' Toto teams'!$G$4:$G$119,MATCH($B99,' Toto teams'!$A$4:$A$119,0)),Scoring!$A$4:$N$51,8,FALSE()),0)+1*IFERROR(VLOOKUP(INDEX(' Toto teams'!$H$4:$H$119,MATCH($B99,' Toto teams'!$A$4:$A$119,0)),Scoring!$A$4:$N$51,8,FALSE()),0))</f>
        <v/>
      </c>
      <c r="F99" s="28">
        <f>IF($B99="","",6*IFERROR(VLOOKUP(INDEX(' Toto teams'!$B$4:$B$119,MATCH($B99,' Toto teams'!$A$4:$A$119,0)),Scoring!$A$4:$N$51,9,FALSE()),0)+4*IFERROR(VLOOKUP(INDEX(' Toto teams'!$C$4:$C$119,MATCH($B99,' Toto teams'!$A$4:$A$119,0)),Scoring!$A$4:$N$51,9,FALSE()),0)+3*IFERROR(VLOOKUP(INDEX(' Toto teams'!$D$4:$D$119,MATCH($B99,' Toto teams'!$A$4:$A$119,0)),Scoring!$A$4:$N$51,9,FALSE()),0)+2*IFERROR(VLOOKUP(INDEX(' Toto teams'!$E$4:$E$119,MATCH($B99,' Toto teams'!$A$4:$A$119,0)),Scoring!$A$4:$N$51,9,FALSE()),0)+1*IFERROR(VLOOKUP(INDEX(' Toto teams'!$F$4:$F$119,MATCH($B99,' Toto teams'!$A$4:$A$119,0)),Scoring!$A$4:$N$51,9,FALSE()),0)+1*IFERROR(VLOOKUP(INDEX(' Toto teams'!$G$4:$G$119,MATCH($B99,' Toto teams'!$A$4:$A$119,0)),Scoring!$A$4:$N$51,9,FALSE()),0)+1*IFERROR(VLOOKUP(INDEX(' Toto teams'!$H$4:$H$119,MATCH($B99,' Toto teams'!$A$4:$A$119,0)),Scoring!$A$4:$N$51,9,FALSE()),0))</f>
        <v/>
      </c>
      <c r="G99" s="28">
        <f>IF($B99="","",6*IFERROR(VLOOKUP(INDEX(' Toto teams'!$B$4:$B$119,MATCH($B99,' Toto teams'!$A$4:$A$119,0)),Scoring!$A$4:$N$51,10,FALSE()),0)+4*IFERROR(VLOOKUP(INDEX(' Toto teams'!$C$4:$C$119,MATCH($B99,' Toto teams'!$A$4:$A$119,0)),Scoring!$A$4:$N$51,10,FALSE()),0)+3*IFERROR(VLOOKUP(INDEX(' Toto teams'!$D$4:$D$119,MATCH($B99,' Toto teams'!$A$4:$A$119,0)),Scoring!$A$4:$N$51,10,FALSE()),0)+2*IFERROR(VLOOKUP(INDEX(' Toto teams'!$E$4:$E$119,MATCH($B99,' Toto teams'!$A$4:$A$119,0)),Scoring!$A$4:$N$51,10,FALSE()),0)+1*IFERROR(VLOOKUP(INDEX(' Toto teams'!$F$4:$F$119,MATCH($B99,' Toto teams'!$A$4:$A$119,0)),Scoring!$A$4:$N$51,10,FALSE()),0)+1*IFERROR(VLOOKUP(INDEX(' Toto teams'!$G$4:$G$119,MATCH($B99,' Toto teams'!$A$4:$A$119,0)),Scoring!$A$4:$N$51,10,FALSE()),0)+1*IFERROR(VLOOKUP(INDEX(' Toto teams'!$H$4:$H$119,MATCH($B99,' Toto teams'!$A$4:$A$119,0)),Scoring!$A$4:$N$51,10,FALSE()),0))</f>
        <v/>
      </c>
      <c r="H99" s="28">
        <f>IF($B99="","",6*IFERROR(VLOOKUP(INDEX(' Toto teams'!$B$4:$B$119,MATCH($B99,' Toto teams'!$A$4:$A$119,0)),Scoring!$A$4:$N$51,11,FALSE()),0)+4*IFERROR(VLOOKUP(INDEX(' Toto teams'!$C$4:$C$119,MATCH($B99,' Toto teams'!$A$4:$A$119,0)),Scoring!$A$4:$N$51,11,FALSE()),0)+3*IFERROR(VLOOKUP(INDEX(' Toto teams'!$D$4:$D$119,MATCH($B99,' Toto teams'!$A$4:$A$119,0)),Scoring!$A$4:$N$51,11,FALSE()),0)+2*IFERROR(VLOOKUP(INDEX(' Toto teams'!$E$4:$E$119,MATCH($B99,' Toto teams'!$A$4:$A$119,0)),Scoring!$A$4:$N$51,11,FALSE()),0)+1*IFERROR(VLOOKUP(INDEX(' Toto teams'!$F$4:$F$119,MATCH($B99,' Toto teams'!$A$4:$A$119,0)),Scoring!$A$4:$N$51,11,FALSE()),0)+1*IFERROR(VLOOKUP(INDEX(' Toto teams'!$G$4:$G$119,MATCH($B99,' Toto teams'!$A$4:$A$119,0)),Scoring!$A$4:$N$51,11,FALSE()),0)+1*IFERROR(VLOOKUP(INDEX(' Toto teams'!$H$4:$H$119,MATCH($B99,' Toto teams'!$A$4:$A$119,0)),Scoring!$A$4:$N$51,11,FALSE()),0))</f>
        <v/>
      </c>
      <c r="I99" s="28">
        <f>IF($B99="","",6*IFERROR(VLOOKUP(INDEX(' Toto teams'!$B$4:$B$119,MATCH($B99,' Toto teams'!$A$4:$A$119,0)),Scoring!$A$4:$O$51,15,FALSE()),0)+4*IFERROR(VLOOKUP(INDEX(' Toto teams'!$C$4:$C$119,MATCH($B99,' Toto teams'!$A$4:$A$119,0)),Scoring!$A$4:$O$51,15,FALSE()),0)+3*IFERROR(VLOOKUP(INDEX(' Toto teams'!$D$4:$D$119,MATCH($B99,' Toto teams'!$A$4:$A$119,0)),Scoring!$A$4:$O$51,15,FALSE()),0)+2*IFERROR(VLOOKUP(INDEX(' Toto teams'!$E$4:$E$119,MATCH($B99,' Toto teams'!$A$4:$A$119,0)),Scoring!$A$4:$O$51,15,FALSE()),0)+1*IFERROR(VLOOKUP(INDEX(' Toto teams'!$F$4:$F$119,MATCH($B99,' Toto teams'!$A$4:$A$119,0)),Scoring!$A$4:$O$51,15,FALSE()),0)+1*IFERROR(VLOOKUP(INDEX(' Toto teams'!$G$4:$G$119,MATCH($B99,' Toto teams'!$A$4:$A$119,0)),Scoring!$A$4:$O$51,15,FALSE()),0)+1*IFERROR(VLOOKUP(INDEX(' Toto teams'!$H$4:$H$119,MATCH($B99,' Toto teams'!$A$4:$A$119,0)),Scoring!$A$4:$O$51,15,FALSE()),0))</f>
        <v/>
      </c>
      <c r="J99" s="28">
        <f>IF($B99="","",6*IFERROR(VLOOKUP(INDEX(' Toto teams'!$B$4:$B$119,MATCH($B99,' Toto teams'!$A$4:$A$119,0)),Scoring!$A$4:$N$51,12,FALSE()),0)+4*IFERROR(VLOOKUP(INDEX(' Toto teams'!$C$4:$C$119,MATCH($B99,' Toto teams'!$A$4:$A$119,0)),Scoring!$A$4:$N$51,12,FALSE()),0)+3*IFERROR(VLOOKUP(INDEX(' Toto teams'!$D$4:$D$119,MATCH($B99,' Toto teams'!$A$4:$A$119,0)),Scoring!$A$4:$N$51,12,FALSE()),0)+2*IFERROR(VLOOKUP(INDEX(' Toto teams'!$E$4:$E$119,MATCH($B99,' Toto teams'!$A$4:$A$119,0)),Scoring!$A$4:$N$51,12,FALSE()),0)+1*IFERROR(VLOOKUP(INDEX(' Toto teams'!$F$4:$F$119,MATCH($B99,' Toto teams'!$A$4:$A$119,0)),Scoring!$A$4:$N$51,12,FALSE()),0)+1*IFERROR(VLOOKUP(INDEX(' Toto teams'!$G$4:$G$119,MATCH($B99,' Toto teams'!$A$4:$A$119,0)),Scoring!$A$4:$N$51,12,FALSE()),0)+1*IFERROR(VLOOKUP(INDEX(' Toto teams'!$H$4:$H$119,MATCH($B99,' Toto teams'!$A$4:$A$119,0)),Scoring!$A$4:$N$51,12,FALSE()),0))</f>
        <v/>
      </c>
      <c r="K99" s="29">
        <f>IF($B99="","",IFERROR(INDEX(' Toto teams'!$R$4:$R$119,MATCH($B99,' Toto teams'!$A$4:$A$119,0)),""))</f>
        <v/>
      </c>
      <c r="L99" s="30">
        <f>IFERROR(IF(B99="","",VLOOKUP(A99,$N$4:$R$12,5,FALSE())),0)</f>
        <v/>
      </c>
    </row>
    <row r="100" ht="12.75" customHeight="1">
      <c r="A100" s="26">
        <f>IF(97&gt;COUNTIF(' Toto teams'!$A$4:$A$119,"&lt;&gt;"),"",INDEX(' Toto teams'!$S$4:$S$119,MATCH(LARGE(' Toto teams'!$T$4:$T$119,97),' Toto teams'!$T$4:$T$119,0)))</f>
        <v/>
      </c>
      <c r="B100" s="27">
        <f>IF(97&gt;COUNTIF(' Toto teams'!$A$4:$A$119,"&lt;&gt;"),"",INDEX(' Toto teams'!$A$4:$A$119,MATCH(LARGE(' Toto teams'!$T$4:$T$119,97),' Toto teams'!$T$4:$T$119,0)))</f>
        <v/>
      </c>
      <c r="C100" s="28">
        <f>IF($B100="","",6*(IFERROR(VLOOKUP(INDEX(' Toto teams'!$B$4:$B$119,MATCH($B100,' Toto teams'!$A$4:$A$119,0)),Scoring!$A$4:$N$51,3,FALSE()),0)+IFERROR(VLOOKUP(INDEX(' Toto teams'!$B$4:$B$119,MATCH($B100,' Toto teams'!$A$4:$A$119,0)),Scoring!$A$4:$N$51,4,FALSE()),0)+IFERROR(VLOOKUP(INDEX(' Toto teams'!$B$4:$B$119,MATCH($B100,' Toto teams'!$A$4:$A$119,0)),Scoring!$A$4:$N$51,5,FALSE()),0))+4*(IFERROR(VLOOKUP(INDEX(' Toto teams'!$C$4:$C$119,MATCH($B100,' Toto teams'!$A$4:$A$119,0)),Scoring!$A$4:$N$51,3,FALSE()),0)+IFERROR(VLOOKUP(INDEX(' Toto teams'!$C$4:$C$119,MATCH($B100,' Toto teams'!$A$4:$A$119,0)),Scoring!$A$4:$N$51,4,FALSE()),0)+IFERROR(VLOOKUP(INDEX(' Toto teams'!$C$4:$C$119,MATCH($B100,' Toto teams'!$A$4:$A$119,0)),Scoring!$A$4:$N$51,5,FALSE()),0))+3*(IFERROR(VLOOKUP(INDEX(' Toto teams'!$D$4:$D$119,MATCH($B100,' Toto teams'!$A$4:$A$119,0)),Scoring!$A$4:$N$51,3,FALSE()),0)+IFERROR(VLOOKUP(INDEX(' Toto teams'!$D$4:$D$119,MATCH($B100,' Toto teams'!$A$4:$A$119,0)),Scoring!$A$4:$N$51,4,FALSE()),0)+IFERROR(VLOOKUP(INDEX(' Toto teams'!$D$4:$D$119,MATCH($B100,' Toto teams'!$A$4:$A$119,0)),Scoring!$A$4:$N$51,5,FALSE()),0))+2*(IFERROR(VLOOKUP(INDEX(' Toto teams'!$E$4:$E$119,MATCH($B100,' Toto teams'!$A$4:$A$119,0)),Scoring!$A$4:$N$51,3,FALSE()),0)+IFERROR(VLOOKUP(INDEX(' Toto teams'!$E$4:$E$119,MATCH($B100,' Toto teams'!$A$4:$A$119,0)),Scoring!$A$4:$N$51,4,FALSE()),0)+IFERROR(VLOOKUP(INDEX(' Toto teams'!$E$4:$E$119,MATCH($B100,' Toto teams'!$A$4:$A$119,0)),Scoring!$A$4:$N$51,5,FALSE()),0))+1*(IFERROR(VLOOKUP(INDEX(' Toto teams'!$F$4:$F$119,MATCH($B100,' Toto teams'!$A$4:$A$119,0)),Scoring!$A$4:$N$51,3,FALSE()),0)+IFERROR(VLOOKUP(INDEX(' Toto teams'!$F$4:$F$119,MATCH($B100,' Toto teams'!$A$4:$A$119,0)),Scoring!$A$4:$N$51,4,FALSE()),0)+IFERROR(VLOOKUP(INDEX(' Toto teams'!$F$4:$F$119,MATCH($B100,' Toto teams'!$A$4:$A$119,0)),Scoring!$A$4:$N$51,5,FALSE()),0))+1*(IFERROR(VLOOKUP(INDEX(' Toto teams'!$G$4:$G$119,MATCH($B100,' Toto teams'!$A$4:$A$119,0)),Scoring!$A$4:$N$51,3,FALSE()),0)+IFERROR(VLOOKUP(INDEX(' Toto teams'!$G$4:$G$119,MATCH($B100,' Toto teams'!$A$4:$A$119,0)),Scoring!$A$4:$N$51,4,FALSE()),0)+IFERROR(VLOOKUP(INDEX(' Toto teams'!$G$4:$G$119,MATCH($B100,' Toto teams'!$A$4:$A$119,0)),Scoring!$A$4:$N$51,5,FALSE()),0))+1*(IFERROR(VLOOKUP(INDEX(' Toto teams'!$H$4:$H$119,MATCH($B100,' Toto teams'!$A$4:$A$119,0)),Scoring!$A$4:$N$51,3,FALSE()),0)+IFERROR(VLOOKUP(INDEX(' Toto teams'!$H$4:$H$119,MATCH($B100,' Toto teams'!$A$4:$A$119,0)),Scoring!$A$4:$N$51,4,FALSE()),0)+IFERROR(VLOOKUP(INDEX(' Toto teams'!$H$4:$H$119,MATCH($B100,' Toto teams'!$A$4:$A$119,0)),Scoring!$A$4:$N$51,5,FALSE()),0))+IFERROR(INDEX(' Toto teams'!$Q$4:$Q$119,MATCH($B100,' Toto teams'!$A$4:$A$119,0))*1,0))</f>
        <v/>
      </c>
      <c r="D100" s="28">
        <f>IF($B100="","",6*IFERROR(VLOOKUP(INDEX(' Toto teams'!$B$4:$B$119,MATCH($B100,' Toto teams'!$A$4:$A$119,0)),Scoring!$A$4:$N$51,7,FALSE()),0)+4*IFERROR(VLOOKUP(INDEX(' Toto teams'!$C$4:$C$119,MATCH($B100,' Toto teams'!$A$4:$A$119,0)),Scoring!$A$4:$N$51,7,FALSE()),0)+3*IFERROR(VLOOKUP(INDEX(' Toto teams'!$D$4:$D$119,MATCH($B100,' Toto teams'!$A$4:$A$119,0)),Scoring!$A$4:$N$51,7,FALSE()),0)+2*IFERROR(VLOOKUP(INDEX(' Toto teams'!$E$4:$E$119,MATCH($B100,' Toto teams'!$A$4:$A$119,0)),Scoring!$A$4:$N$51,7,FALSE()),0)+1*IFERROR(VLOOKUP(INDEX(' Toto teams'!$F$4:$F$119,MATCH($B100,' Toto teams'!$A$4:$A$119,0)),Scoring!$A$4:$N$51,7,FALSE()),0)+1*IFERROR(VLOOKUP(INDEX(' Toto teams'!$G$4:$G$119,MATCH($B100,' Toto teams'!$A$4:$A$119,0)),Scoring!$A$4:$N$51,7,FALSE()),0)+1*IFERROR(VLOOKUP(INDEX(' Toto teams'!$H$4:$H$119,MATCH($B100,' Toto teams'!$A$4:$A$119,0)),Scoring!$A$4:$N$51,7,FALSE()),0))</f>
        <v/>
      </c>
      <c r="E100" s="28">
        <f>IF($B100="","",6*IFERROR(VLOOKUP(INDEX(' Toto teams'!$B$4:$B$119,MATCH($B100,' Toto teams'!$A$4:$A$119,0)),Scoring!$A$4:$N$51,8,FALSE()),0)+4*IFERROR(VLOOKUP(INDEX(' Toto teams'!$C$4:$C$119,MATCH($B100,' Toto teams'!$A$4:$A$119,0)),Scoring!$A$4:$N$51,8,FALSE()),0)+3*IFERROR(VLOOKUP(INDEX(' Toto teams'!$D$4:$D$119,MATCH($B100,' Toto teams'!$A$4:$A$119,0)),Scoring!$A$4:$N$51,8,FALSE()),0)+2*IFERROR(VLOOKUP(INDEX(' Toto teams'!$E$4:$E$119,MATCH($B100,' Toto teams'!$A$4:$A$119,0)),Scoring!$A$4:$N$51,8,FALSE()),0)+1*IFERROR(VLOOKUP(INDEX(' Toto teams'!$F$4:$F$119,MATCH($B100,' Toto teams'!$A$4:$A$119,0)),Scoring!$A$4:$N$51,8,FALSE()),0)+1*IFERROR(VLOOKUP(INDEX(' Toto teams'!$G$4:$G$119,MATCH($B100,' Toto teams'!$A$4:$A$119,0)),Scoring!$A$4:$N$51,8,FALSE()),0)+1*IFERROR(VLOOKUP(INDEX(' Toto teams'!$H$4:$H$119,MATCH($B100,' Toto teams'!$A$4:$A$119,0)),Scoring!$A$4:$N$51,8,FALSE()),0))</f>
        <v/>
      </c>
      <c r="F100" s="28">
        <f>IF($B100="","",6*IFERROR(VLOOKUP(INDEX(' Toto teams'!$B$4:$B$119,MATCH($B100,' Toto teams'!$A$4:$A$119,0)),Scoring!$A$4:$N$51,9,FALSE()),0)+4*IFERROR(VLOOKUP(INDEX(' Toto teams'!$C$4:$C$119,MATCH($B100,' Toto teams'!$A$4:$A$119,0)),Scoring!$A$4:$N$51,9,FALSE()),0)+3*IFERROR(VLOOKUP(INDEX(' Toto teams'!$D$4:$D$119,MATCH($B100,' Toto teams'!$A$4:$A$119,0)),Scoring!$A$4:$N$51,9,FALSE()),0)+2*IFERROR(VLOOKUP(INDEX(' Toto teams'!$E$4:$E$119,MATCH($B100,' Toto teams'!$A$4:$A$119,0)),Scoring!$A$4:$N$51,9,FALSE()),0)+1*IFERROR(VLOOKUP(INDEX(' Toto teams'!$F$4:$F$119,MATCH($B100,' Toto teams'!$A$4:$A$119,0)),Scoring!$A$4:$N$51,9,FALSE()),0)+1*IFERROR(VLOOKUP(INDEX(' Toto teams'!$G$4:$G$119,MATCH($B100,' Toto teams'!$A$4:$A$119,0)),Scoring!$A$4:$N$51,9,FALSE()),0)+1*IFERROR(VLOOKUP(INDEX(' Toto teams'!$H$4:$H$119,MATCH($B100,' Toto teams'!$A$4:$A$119,0)),Scoring!$A$4:$N$51,9,FALSE()),0))</f>
        <v/>
      </c>
      <c r="G100" s="28">
        <f>IF($B100="","",6*IFERROR(VLOOKUP(INDEX(' Toto teams'!$B$4:$B$119,MATCH($B100,' Toto teams'!$A$4:$A$119,0)),Scoring!$A$4:$N$51,10,FALSE()),0)+4*IFERROR(VLOOKUP(INDEX(' Toto teams'!$C$4:$C$119,MATCH($B100,' Toto teams'!$A$4:$A$119,0)),Scoring!$A$4:$N$51,10,FALSE()),0)+3*IFERROR(VLOOKUP(INDEX(' Toto teams'!$D$4:$D$119,MATCH($B100,' Toto teams'!$A$4:$A$119,0)),Scoring!$A$4:$N$51,10,FALSE()),0)+2*IFERROR(VLOOKUP(INDEX(' Toto teams'!$E$4:$E$119,MATCH($B100,' Toto teams'!$A$4:$A$119,0)),Scoring!$A$4:$N$51,10,FALSE()),0)+1*IFERROR(VLOOKUP(INDEX(' Toto teams'!$F$4:$F$119,MATCH($B100,' Toto teams'!$A$4:$A$119,0)),Scoring!$A$4:$N$51,10,FALSE()),0)+1*IFERROR(VLOOKUP(INDEX(' Toto teams'!$G$4:$G$119,MATCH($B100,' Toto teams'!$A$4:$A$119,0)),Scoring!$A$4:$N$51,10,FALSE()),0)+1*IFERROR(VLOOKUP(INDEX(' Toto teams'!$H$4:$H$119,MATCH($B100,' Toto teams'!$A$4:$A$119,0)),Scoring!$A$4:$N$51,10,FALSE()),0))</f>
        <v/>
      </c>
      <c r="H100" s="28">
        <f>IF($B100="","",6*IFERROR(VLOOKUP(INDEX(' Toto teams'!$B$4:$B$119,MATCH($B100,' Toto teams'!$A$4:$A$119,0)),Scoring!$A$4:$N$51,11,FALSE()),0)+4*IFERROR(VLOOKUP(INDEX(' Toto teams'!$C$4:$C$119,MATCH($B100,' Toto teams'!$A$4:$A$119,0)),Scoring!$A$4:$N$51,11,FALSE()),0)+3*IFERROR(VLOOKUP(INDEX(' Toto teams'!$D$4:$D$119,MATCH($B100,' Toto teams'!$A$4:$A$119,0)),Scoring!$A$4:$N$51,11,FALSE()),0)+2*IFERROR(VLOOKUP(INDEX(' Toto teams'!$E$4:$E$119,MATCH($B100,' Toto teams'!$A$4:$A$119,0)),Scoring!$A$4:$N$51,11,FALSE()),0)+1*IFERROR(VLOOKUP(INDEX(' Toto teams'!$F$4:$F$119,MATCH($B100,' Toto teams'!$A$4:$A$119,0)),Scoring!$A$4:$N$51,11,FALSE()),0)+1*IFERROR(VLOOKUP(INDEX(' Toto teams'!$G$4:$G$119,MATCH($B100,' Toto teams'!$A$4:$A$119,0)),Scoring!$A$4:$N$51,11,FALSE()),0)+1*IFERROR(VLOOKUP(INDEX(' Toto teams'!$H$4:$H$119,MATCH($B100,' Toto teams'!$A$4:$A$119,0)),Scoring!$A$4:$N$51,11,FALSE()),0))</f>
        <v/>
      </c>
      <c r="I100" s="28">
        <f>IF($B100="","",6*IFERROR(VLOOKUP(INDEX(' Toto teams'!$B$4:$B$119,MATCH($B100,' Toto teams'!$A$4:$A$119,0)),Scoring!$A$4:$O$51,15,FALSE()),0)+4*IFERROR(VLOOKUP(INDEX(' Toto teams'!$C$4:$C$119,MATCH($B100,' Toto teams'!$A$4:$A$119,0)),Scoring!$A$4:$O$51,15,FALSE()),0)+3*IFERROR(VLOOKUP(INDEX(' Toto teams'!$D$4:$D$119,MATCH($B100,' Toto teams'!$A$4:$A$119,0)),Scoring!$A$4:$O$51,15,FALSE()),0)+2*IFERROR(VLOOKUP(INDEX(' Toto teams'!$E$4:$E$119,MATCH($B100,' Toto teams'!$A$4:$A$119,0)),Scoring!$A$4:$O$51,15,FALSE()),0)+1*IFERROR(VLOOKUP(INDEX(' Toto teams'!$F$4:$F$119,MATCH($B100,' Toto teams'!$A$4:$A$119,0)),Scoring!$A$4:$O$51,15,FALSE()),0)+1*IFERROR(VLOOKUP(INDEX(' Toto teams'!$G$4:$G$119,MATCH($B100,' Toto teams'!$A$4:$A$119,0)),Scoring!$A$4:$O$51,15,FALSE()),0)+1*IFERROR(VLOOKUP(INDEX(' Toto teams'!$H$4:$H$119,MATCH($B100,' Toto teams'!$A$4:$A$119,0)),Scoring!$A$4:$O$51,15,FALSE()),0))</f>
        <v/>
      </c>
      <c r="J100" s="28">
        <f>IF($B100="","",6*IFERROR(VLOOKUP(INDEX(' Toto teams'!$B$4:$B$119,MATCH($B100,' Toto teams'!$A$4:$A$119,0)),Scoring!$A$4:$N$51,12,FALSE()),0)+4*IFERROR(VLOOKUP(INDEX(' Toto teams'!$C$4:$C$119,MATCH($B100,' Toto teams'!$A$4:$A$119,0)),Scoring!$A$4:$N$51,12,FALSE()),0)+3*IFERROR(VLOOKUP(INDEX(' Toto teams'!$D$4:$D$119,MATCH($B100,' Toto teams'!$A$4:$A$119,0)),Scoring!$A$4:$N$51,12,FALSE()),0)+2*IFERROR(VLOOKUP(INDEX(' Toto teams'!$E$4:$E$119,MATCH($B100,' Toto teams'!$A$4:$A$119,0)),Scoring!$A$4:$N$51,12,FALSE()),0)+1*IFERROR(VLOOKUP(INDEX(' Toto teams'!$F$4:$F$119,MATCH($B100,' Toto teams'!$A$4:$A$119,0)),Scoring!$A$4:$N$51,12,FALSE()),0)+1*IFERROR(VLOOKUP(INDEX(' Toto teams'!$G$4:$G$119,MATCH($B100,' Toto teams'!$A$4:$A$119,0)),Scoring!$A$4:$N$51,12,FALSE()),0)+1*IFERROR(VLOOKUP(INDEX(' Toto teams'!$H$4:$H$119,MATCH($B100,' Toto teams'!$A$4:$A$119,0)),Scoring!$A$4:$N$51,12,FALSE()),0))</f>
        <v/>
      </c>
      <c r="K100" s="29">
        <f>IF($B100="","",IFERROR(INDEX(' Toto teams'!$R$4:$R$119,MATCH($B100,' Toto teams'!$A$4:$A$119,0)),""))</f>
        <v/>
      </c>
      <c r="L100" s="30">
        <f>IFERROR(IF(B100="","",VLOOKUP(A100,$N$4:$R$12,5,FALSE())),0)</f>
        <v/>
      </c>
    </row>
    <row r="101" ht="12.75" customHeight="1">
      <c r="A101" s="26">
        <f>IF(98&gt;COUNTIF(' Toto teams'!$A$4:$A$119,"&lt;&gt;"),"",INDEX(' Toto teams'!$S$4:$S$119,MATCH(LARGE(' Toto teams'!$T$4:$T$119,98),' Toto teams'!$T$4:$T$119,0)))</f>
        <v/>
      </c>
      <c r="B101" s="27">
        <f>IF(98&gt;COUNTIF(' Toto teams'!$A$4:$A$119,"&lt;&gt;"),"",INDEX(' Toto teams'!$A$4:$A$119,MATCH(LARGE(' Toto teams'!$T$4:$T$119,98),' Toto teams'!$T$4:$T$119,0)))</f>
        <v/>
      </c>
      <c r="C101" s="28">
        <f>IF($B101="","",6*(IFERROR(VLOOKUP(INDEX(' Toto teams'!$B$4:$B$119,MATCH($B101,' Toto teams'!$A$4:$A$119,0)),Scoring!$A$4:$N$51,3,FALSE()),0)+IFERROR(VLOOKUP(INDEX(' Toto teams'!$B$4:$B$119,MATCH($B101,' Toto teams'!$A$4:$A$119,0)),Scoring!$A$4:$N$51,4,FALSE()),0)+IFERROR(VLOOKUP(INDEX(' Toto teams'!$B$4:$B$119,MATCH($B101,' Toto teams'!$A$4:$A$119,0)),Scoring!$A$4:$N$51,5,FALSE()),0))+4*(IFERROR(VLOOKUP(INDEX(' Toto teams'!$C$4:$C$119,MATCH($B101,' Toto teams'!$A$4:$A$119,0)),Scoring!$A$4:$N$51,3,FALSE()),0)+IFERROR(VLOOKUP(INDEX(' Toto teams'!$C$4:$C$119,MATCH($B101,' Toto teams'!$A$4:$A$119,0)),Scoring!$A$4:$N$51,4,FALSE()),0)+IFERROR(VLOOKUP(INDEX(' Toto teams'!$C$4:$C$119,MATCH($B101,' Toto teams'!$A$4:$A$119,0)),Scoring!$A$4:$N$51,5,FALSE()),0))+3*(IFERROR(VLOOKUP(INDEX(' Toto teams'!$D$4:$D$119,MATCH($B101,' Toto teams'!$A$4:$A$119,0)),Scoring!$A$4:$N$51,3,FALSE()),0)+IFERROR(VLOOKUP(INDEX(' Toto teams'!$D$4:$D$119,MATCH($B101,' Toto teams'!$A$4:$A$119,0)),Scoring!$A$4:$N$51,4,FALSE()),0)+IFERROR(VLOOKUP(INDEX(' Toto teams'!$D$4:$D$119,MATCH($B101,' Toto teams'!$A$4:$A$119,0)),Scoring!$A$4:$N$51,5,FALSE()),0))+2*(IFERROR(VLOOKUP(INDEX(' Toto teams'!$E$4:$E$119,MATCH($B101,' Toto teams'!$A$4:$A$119,0)),Scoring!$A$4:$N$51,3,FALSE()),0)+IFERROR(VLOOKUP(INDEX(' Toto teams'!$E$4:$E$119,MATCH($B101,' Toto teams'!$A$4:$A$119,0)),Scoring!$A$4:$N$51,4,FALSE()),0)+IFERROR(VLOOKUP(INDEX(' Toto teams'!$E$4:$E$119,MATCH($B101,' Toto teams'!$A$4:$A$119,0)),Scoring!$A$4:$N$51,5,FALSE()),0))+1*(IFERROR(VLOOKUP(INDEX(' Toto teams'!$F$4:$F$119,MATCH($B101,' Toto teams'!$A$4:$A$119,0)),Scoring!$A$4:$N$51,3,FALSE()),0)+IFERROR(VLOOKUP(INDEX(' Toto teams'!$F$4:$F$119,MATCH($B101,' Toto teams'!$A$4:$A$119,0)),Scoring!$A$4:$N$51,4,FALSE()),0)+IFERROR(VLOOKUP(INDEX(' Toto teams'!$F$4:$F$119,MATCH($B101,' Toto teams'!$A$4:$A$119,0)),Scoring!$A$4:$N$51,5,FALSE()),0))+1*(IFERROR(VLOOKUP(INDEX(' Toto teams'!$G$4:$G$119,MATCH($B101,' Toto teams'!$A$4:$A$119,0)),Scoring!$A$4:$N$51,3,FALSE()),0)+IFERROR(VLOOKUP(INDEX(' Toto teams'!$G$4:$G$119,MATCH($B101,' Toto teams'!$A$4:$A$119,0)),Scoring!$A$4:$N$51,4,FALSE()),0)+IFERROR(VLOOKUP(INDEX(' Toto teams'!$G$4:$G$119,MATCH($B101,' Toto teams'!$A$4:$A$119,0)),Scoring!$A$4:$N$51,5,FALSE()),0))+1*(IFERROR(VLOOKUP(INDEX(' Toto teams'!$H$4:$H$119,MATCH($B101,' Toto teams'!$A$4:$A$119,0)),Scoring!$A$4:$N$51,3,FALSE()),0)+IFERROR(VLOOKUP(INDEX(' Toto teams'!$H$4:$H$119,MATCH($B101,' Toto teams'!$A$4:$A$119,0)),Scoring!$A$4:$N$51,4,FALSE()),0)+IFERROR(VLOOKUP(INDEX(' Toto teams'!$H$4:$H$119,MATCH($B101,' Toto teams'!$A$4:$A$119,0)),Scoring!$A$4:$N$51,5,FALSE()),0))+IFERROR(INDEX(' Toto teams'!$Q$4:$Q$119,MATCH($B101,' Toto teams'!$A$4:$A$119,0))*1,0))</f>
        <v/>
      </c>
      <c r="D101" s="28">
        <f>IF($B101="","",6*IFERROR(VLOOKUP(INDEX(' Toto teams'!$B$4:$B$119,MATCH($B101,' Toto teams'!$A$4:$A$119,0)),Scoring!$A$4:$N$51,7,FALSE()),0)+4*IFERROR(VLOOKUP(INDEX(' Toto teams'!$C$4:$C$119,MATCH($B101,' Toto teams'!$A$4:$A$119,0)),Scoring!$A$4:$N$51,7,FALSE()),0)+3*IFERROR(VLOOKUP(INDEX(' Toto teams'!$D$4:$D$119,MATCH($B101,' Toto teams'!$A$4:$A$119,0)),Scoring!$A$4:$N$51,7,FALSE()),0)+2*IFERROR(VLOOKUP(INDEX(' Toto teams'!$E$4:$E$119,MATCH($B101,' Toto teams'!$A$4:$A$119,0)),Scoring!$A$4:$N$51,7,FALSE()),0)+1*IFERROR(VLOOKUP(INDEX(' Toto teams'!$F$4:$F$119,MATCH($B101,' Toto teams'!$A$4:$A$119,0)),Scoring!$A$4:$N$51,7,FALSE()),0)+1*IFERROR(VLOOKUP(INDEX(' Toto teams'!$G$4:$G$119,MATCH($B101,' Toto teams'!$A$4:$A$119,0)),Scoring!$A$4:$N$51,7,FALSE()),0)+1*IFERROR(VLOOKUP(INDEX(' Toto teams'!$H$4:$H$119,MATCH($B101,' Toto teams'!$A$4:$A$119,0)),Scoring!$A$4:$N$51,7,FALSE()),0))</f>
        <v/>
      </c>
      <c r="E101" s="28">
        <f>IF($B101="","",6*IFERROR(VLOOKUP(INDEX(' Toto teams'!$B$4:$B$119,MATCH($B101,' Toto teams'!$A$4:$A$119,0)),Scoring!$A$4:$N$51,8,FALSE()),0)+4*IFERROR(VLOOKUP(INDEX(' Toto teams'!$C$4:$C$119,MATCH($B101,' Toto teams'!$A$4:$A$119,0)),Scoring!$A$4:$N$51,8,FALSE()),0)+3*IFERROR(VLOOKUP(INDEX(' Toto teams'!$D$4:$D$119,MATCH($B101,' Toto teams'!$A$4:$A$119,0)),Scoring!$A$4:$N$51,8,FALSE()),0)+2*IFERROR(VLOOKUP(INDEX(' Toto teams'!$E$4:$E$119,MATCH($B101,' Toto teams'!$A$4:$A$119,0)),Scoring!$A$4:$N$51,8,FALSE()),0)+1*IFERROR(VLOOKUP(INDEX(' Toto teams'!$F$4:$F$119,MATCH($B101,' Toto teams'!$A$4:$A$119,0)),Scoring!$A$4:$N$51,8,FALSE()),0)+1*IFERROR(VLOOKUP(INDEX(' Toto teams'!$G$4:$G$119,MATCH($B101,' Toto teams'!$A$4:$A$119,0)),Scoring!$A$4:$N$51,8,FALSE()),0)+1*IFERROR(VLOOKUP(INDEX(' Toto teams'!$H$4:$H$119,MATCH($B101,' Toto teams'!$A$4:$A$119,0)),Scoring!$A$4:$N$51,8,FALSE()),0))</f>
        <v/>
      </c>
      <c r="F101" s="28">
        <f>IF($B101="","",6*IFERROR(VLOOKUP(INDEX(' Toto teams'!$B$4:$B$119,MATCH($B101,' Toto teams'!$A$4:$A$119,0)),Scoring!$A$4:$N$51,9,FALSE()),0)+4*IFERROR(VLOOKUP(INDEX(' Toto teams'!$C$4:$C$119,MATCH($B101,' Toto teams'!$A$4:$A$119,0)),Scoring!$A$4:$N$51,9,FALSE()),0)+3*IFERROR(VLOOKUP(INDEX(' Toto teams'!$D$4:$D$119,MATCH($B101,' Toto teams'!$A$4:$A$119,0)),Scoring!$A$4:$N$51,9,FALSE()),0)+2*IFERROR(VLOOKUP(INDEX(' Toto teams'!$E$4:$E$119,MATCH($B101,' Toto teams'!$A$4:$A$119,0)),Scoring!$A$4:$N$51,9,FALSE()),0)+1*IFERROR(VLOOKUP(INDEX(' Toto teams'!$F$4:$F$119,MATCH($B101,' Toto teams'!$A$4:$A$119,0)),Scoring!$A$4:$N$51,9,FALSE()),0)+1*IFERROR(VLOOKUP(INDEX(' Toto teams'!$G$4:$G$119,MATCH($B101,' Toto teams'!$A$4:$A$119,0)),Scoring!$A$4:$N$51,9,FALSE()),0)+1*IFERROR(VLOOKUP(INDEX(' Toto teams'!$H$4:$H$119,MATCH($B101,' Toto teams'!$A$4:$A$119,0)),Scoring!$A$4:$N$51,9,FALSE()),0))</f>
        <v/>
      </c>
      <c r="G101" s="28">
        <f>IF($B101="","",6*IFERROR(VLOOKUP(INDEX(' Toto teams'!$B$4:$B$119,MATCH($B101,' Toto teams'!$A$4:$A$119,0)),Scoring!$A$4:$N$51,10,FALSE()),0)+4*IFERROR(VLOOKUP(INDEX(' Toto teams'!$C$4:$C$119,MATCH($B101,' Toto teams'!$A$4:$A$119,0)),Scoring!$A$4:$N$51,10,FALSE()),0)+3*IFERROR(VLOOKUP(INDEX(' Toto teams'!$D$4:$D$119,MATCH($B101,' Toto teams'!$A$4:$A$119,0)),Scoring!$A$4:$N$51,10,FALSE()),0)+2*IFERROR(VLOOKUP(INDEX(' Toto teams'!$E$4:$E$119,MATCH($B101,' Toto teams'!$A$4:$A$119,0)),Scoring!$A$4:$N$51,10,FALSE()),0)+1*IFERROR(VLOOKUP(INDEX(' Toto teams'!$F$4:$F$119,MATCH($B101,' Toto teams'!$A$4:$A$119,0)),Scoring!$A$4:$N$51,10,FALSE()),0)+1*IFERROR(VLOOKUP(INDEX(' Toto teams'!$G$4:$G$119,MATCH($B101,' Toto teams'!$A$4:$A$119,0)),Scoring!$A$4:$N$51,10,FALSE()),0)+1*IFERROR(VLOOKUP(INDEX(' Toto teams'!$H$4:$H$119,MATCH($B101,' Toto teams'!$A$4:$A$119,0)),Scoring!$A$4:$N$51,10,FALSE()),0))</f>
        <v/>
      </c>
      <c r="H101" s="28">
        <f>IF($B101="","",6*IFERROR(VLOOKUP(INDEX(' Toto teams'!$B$4:$B$119,MATCH($B101,' Toto teams'!$A$4:$A$119,0)),Scoring!$A$4:$N$51,11,FALSE()),0)+4*IFERROR(VLOOKUP(INDEX(' Toto teams'!$C$4:$C$119,MATCH($B101,' Toto teams'!$A$4:$A$119,0)),Scoring!$A$4:$N$51,11,FALSE()),0)+3*IFERROR(VLOOKUP(INDEX(' Toto teams'!$D$4:$D$119,MATCH($B101,' Toto teams'!$A$4:$A$119,0)),Scoring!$A$4:$N$51,11,FALSE()),0)+2*IFERROR(VLOOKUP(INDEX(' Toto teams'!$E$4:$E$119,MATCH($B101,' Toto teams'!$A$4:$A$119,0)),Scoring!$A$4:$N$51,11,FALSE()),0)+1*IFERROR(VLOOKUP(INDEX(' Toto teams'!$F$4:$F$119,MATCH($B101,' Toto teams'!$A$4:$A$119,0)),Scoring!$A$4:$N$51,11,FALSE()),0)+1*IFERROR(VLOOKUP(INDEX(' Toto teams'!$G$4:$G$119,MATCH($B101,' Toto teams'!$A$4:$A$119,0)),Scoring!$A$4:$N$51,11,FALSE()),0)+1*IFERROR(VLOOKUP(INDEX(' Toto teams'!$H$4:$H$119,MATCH($B101,' Toto teams'!$A$4:$A$119,0)),Scoring!$A$4:$N$51,11,FALSE()),0))</f>
        <v/>
      </c>
      <c r="I101" s="28">
        <f>IF($B101="","",6*IFERROR(VLOOKUP(INDEX(' Toto teams'!$B$4:$B$119,MATCH($B101,' Toto teams'!$A$4:$A$119,0)),Scoring!$A$4:$O$51,15,FALSE()),0)+4*IFERROR(VLOOKUP(INDEX(' Toto teams'!$C$4:$C$119,MATCH($B101,' Toto teams'!$A$4:$A$119,0)),Scoring!$A$4:$O$51,15,FALSE()),0)+3*IFERROR(VLOOKUP(INDEX(' Toto teams'!$D$4:$D$119,MATCH($B101,' Toto teams'!$A$4:$A$119,0)),Scoring!$A$4:$O$51,15,FALSE()),0)+2*IFERROR(VLOOKUP(INDEX(' Toto teams'!$E$4:$E$119,MATCH($B101,' Toto teams'!$A$4:$A$119,0)),Scoring!$A$4:$O$51,15,FALSE()),0)+1*IFERROR(VLOOKUP(INDEX(' Toto teams'!$F$4:$F$119,MATCH($B101,' Toto teams'!$A$4:$A$119,0)),Scoring!$A$4:$O$51,15,FALSE()),0)+1*IFERROR(VLOOKUP(INDEX(' Toto teams'!$G$4:$G$119,MATCH($B101,' Toto teams'!$A$4:$A$119,0)),Scoring!$A$4:$O$51,15,FALSE()),0)+1*IFERROR(VLOOKUP(INDEX(' Toto teams'!$H$4:$H$119,MATCH($B101,' Toto teams'!$A$4:$A$119,0)),Scoring!$A$4:$O$51,15,FALSE()),0))</f>
        <v/>
      </c>
      <c r="J101" s="28">
        <f>IF($B101="","",6*IFERROR(VLOOKUP(INDEX(' Toto teams'!$B$4:$B$119,MATCH($B101,' Toto teams'!$A$4:$A$119,0)),Scoring!$A$4:$N$51,12,FALSE()),0)+4*IFERROR(VLOOKUP(INDEX(' Toto teams'!$C$4:$C$119,MATCH($B101,' Toto teams'!$A$4:$A$119,0)),Scoring!$A$4:$N$51,12,FALSE()),0)+3*IFERROR(VLOOKUP(INDEX(' Toto teams'!$D$4:$D$119,MATCH($B101,' Toto teams'!$A$4:$A$119,0)),Scoring!$A$4:$N$51,12,FALSE()),0)+2*IFERROR(VLOOKUP(INDEX(' Toto teams'!$E$4:$E$119,MATCH($B101,' Toto teams'!$A$4:$A$119,0)),Scoring!$A$4:$N$51,12,FALSE()),0)+1*IFERROR(VLOOKUP(INDEX(' Toto teams'!$F$4:$F$119,MATCH($B101,' Toto teams'!$A$4:$A$119,0)),Scoring!$A$4:$N$51,12,FALSE()),0)+1*IFERROR(VLOOKUP(INDEX(' Toto teams'!$G$4:$G$119,MATCH($B101,' Toto teams'!$A$4:$A$119,0)),Scoring!$A$4:$N$51,12,FALSE()),0)+1*IFERROR(VLOOKUP(INDEX(' Toto teams'!$H$4:$H$119,MATCH($B101,' Toto teams'!$A$4:$A$119,0)),Scoring!$A$4:$N$51,12,FALSE()),0))</f>
        <v/>
      </c>
      <c r="K101" s="29">
        <f>IF($B101="","",IFERROR(INDEX(' Toto teams'!$R$4:$R$119,MATCH($B101,' Toto teams'!$A$4:$A$119,0)),""))</f>
        <v/>
      </c>
      <c r="L101" s="30">
        <f>IFERROR(IF(B101="","",VLOOKUP(A101,$N$4:$R$12,5,FALSE())),0)</f>
        <v/>
      </c>
    </row>
    <row r="102" ht="12.75" customHeight="1">
      <c r="A102" s="26">
        <f>IF(99&gt;COUNTIF(' Toto teams'!$A$4:$A$119,"&lt;&gt;"),"",INDEX(' Toto teams'!$S$4:$S$119,MATCH(LARGE(' Toto teams'!$T$4:$T$119,99),' Toto teams'!$T$4:$T$119,0)))</f>
        <v/>
      </c>
      <c r="B102" s="27">
        <f>IF(99&gt;COUNTIF(' Toto teams'!$A$4:$A$119,"&lt;&gt;"),"",INDEX(' Toto teams'!$A$4:$A$119,MATCH(LARGE(' Toto teams'!$T$4:$T$119,99),' Toto teams'!$T$4:$T$119,0)))</f>
        <v/>
      </c>
      <c r="C102" s="28">
        <f>IF($B102="","",6*(IFERROR(VLOOKUP(INDEX(' Toto teams'!$B$4:$B$119,MATCH($B102,' Toto teams'!$A$4:$A$119,0)),Scoring!$A$4:$N$51,3,FALSE()),0)+IFERROR(VLOOKUP(INDEX(' Toto teams'!$B$4:$B$119,MATCH($B102,' Toto teams'!$A$4:$A$119,0)),Scoring!$A$4:$N$51,4,FALSE()),0)+IFERROR(VLOOKUP(INDEX(' Toto teams'!$B$4:$B$119,MATCH($B102,' Toto teams'!$A$4:$A$119,0)),Scoring!$A$4:$N$51,5,FALSE()),0))+4*(IFERROR(VLOOKUP(INDEX(' Toto teams'!$C$4:$C$119,MATCH($B102,' Toto teams'!$A$4:$A$119,0)),Scoring!$A$4:$N$51,3,FALSE()),0)+IFERROR(VLOOKUP(INDEX(' Toto teams'!$C$4:$C$119,MATCH($B102,' Toto teams'!$A$4:$A$119,0)),Scoring!$A$4:$N$51,4,FALSE()),0)+IFERROR(VLOOKUP(INDEX(' Toto teams'!$C$4:$C$119,MATCH($B102,' Toto teams'!$A$4:$A$119,0)),Scoring!$A$4:$N$51,5,FALSE()),0))+3*(IFERROR(VLOOKUP(INDEX(' Toto teams'!$D$4:$D$119,MATCH($B102,' Toto teams'!$A$4:$A$119,0)),Scoring!$A$4:$N$51,3,FALSE()),0)+IFERROR(VLOOKUP(INDEX(' Toto teams'!$D$4:$D$119,MATCH($B102,' Toto teams'!$A$4:$A$119,0)),Scoring!$A$4:$N$51,4,FALSE()),0)+IFERROR(VLOOKUP(INDEX(' Toto teams'!$D$4:$D$119,MATCH($B102,' Toto teams'!$A$4:$A$119,0)),Scoring!$A$4:$N$51,5,FALSE()),0))+2*(IFERROR(VLOOKUP(INDEX(' Toto teams'!$E$4:$E$119,MATCH($B102,' Toto teams'!$A$4:$A$119,0)),Scoring!$A$4:$N$51,3,FALSE()),0)+IFERROR(VLOOKUP(INDEX(' Toto teams'!$E$4:$E$119,MATCH($B102,' Toto teams'!$A$4:$A$119,0)),Scoring!$A$4:$N$51,4,FALSE()),0)+IFERROR(VLOOKUP(INDEX(' Toto teams'!$E$4:$E$119,MATCH($B102,' Toto teams'!$A$4:$A$119,0)),Scoring!$A$4:$N$51,5,FALSE()),0))+1*(IFERROR(VLOOKUP(INDEX(' Toto teams'!$F$4:$F$119,MATCH($B102,' Toto teams'!$A$4:$A$119,0)),Scoring!$A$4:$N$51,3,FALSE()),0)+IFERROR(VLOOKUP(INDEX(' Toto teams'!$F$4:$F$119,MATCH($B102,' Toto teams'!$A$4:$A$119,0)),Scoring!$A$4:$N$51,4,FALSE()),0)+IFERROR(VLOOKUP(INDEX(' Toto teams'!$F$4:$F$119,MATCH($B102,' Toto teams'!$A$4:$A$119,0)),Scoring!$A$4:$N$51,5,FALSE()),0))+1*(IFERROR(VLOOKUP(INDEX(' Toto teams'!$G$4:$G$119,MATCH($B102,' Toto teams'!$A$4:$A$119,0)),Scoring!$A$4:$N$51,3,FALSE()),0)+IFERROR(VLOOKUP(INDEX(' Toto teams'!$G$4:$G$119,MATCH($B102,' Toto teams'!$A$4:$A$119,0)),Scoring!$A$4:$N$51,4,FALSE()),0)+IFERROR(VLOOKUP(INDEX(' Toto teams'!$G$4:$G$119,MATCH($B102,' Toto teams'!$A$4:$A$119,0)),Scoring!$A$4:$N$51,5,FALSE()),0))+1*(IFERROR(VLOOKUP(INDEX(' Toto teams'!$H$4:$H$119,MATCH($B102,' Toto teams'!$A$4:$A$119,0)),Scoring!$A$4:$N$51,3,FALSE()),0)+IFERROR(VLOOKUP(INDEX(' Toto teams'!$H$4:$H$119,MATCH($B102,' Toto teams'!$A$4:$A$119,0)),Scoring!$A$4:$N$51,4,FALSE()),0)+IFERROR(VLOOKUP(INDEX(' Toto teams'!$H$4:$H$119,MATCH($B102,' Toto teams'!$A$4:$A$119,0)),Scoring!$A$4:$N$51,5,FALSE()),0))+IFERROR(INDEX(' Toto teams'!$Q$4:$Q$119,MATCH($B102,' Toto teams'!$A$4:$A$119,0))*1,0))</f>
        <v/>
      </c>
      <c r="D102" s="28">
        <f>IF($B102="","",6*IFERROR(VLOOKUP(INDEX(' Toto teams'!$B$4:$B$119,MATCH($B102,' Toto teams'!$A$4:$A$119,0)),Scoring!$A$4:$N$51,7,FALSE()),0)+4*IFERROR(VLOOKUP(INDEX(' Toto teams'!$C$4:$C$119,MATCH($B102,' Toto teams'!$A$4:$A$119,0)),Scoring!$A$4:$N$51,7,FALSE()),0)+3*IFERROR(VLOOKUP(INDEX(' Toto teams'!$D$4:$D$119,MATCH($B102,' Toto teams'!$A$4:$A$119,0)),Scoring!$A$4:$N$51,7,FALSE()),0)+2*IFERROR(VLOOKUP(INDEX(' Toto teams'!$E$4:$E$119,MATCH($B102,' Toto teams'!$A$4:$A$119,0)),Scoring!$A$4:$N$51,7,FALSE()),0)+1*IFERROR(VLOOKUP(INDEX(' Toto teams'!$F$4:$F$119,MATCH($B102,' Toto teams'!$A$4:$A$119,0)),Scoring!$A$4:$N$51,7,FALSE()),0)+1*IFERROR(VLOOKUP(INDEX(' Toto teams'!$G$4:$G$119,MATCH($B102,' Toto teams'!$A$4:$A$119,0)),Scoring!$A$4:$N$51,7,FALSE()),0)+1*IFERROR(VLOOKUP(INDEX(' Toto teams'!$H$4:$H$119,MATCH($B102,' Toto teams'!$A$4:$A$119,0)),Scoring!$A$4:$N$51,7,FALSE()),0))</f>
        <v/>
      </c>
      <c r="E102" s="28">
        <f>IF($B102="","",6*IFERROR(VLOOKUP(INDEX(' Toto teams'!$B$4:$B$119,MATCH($B102,' Toto teams'!$A$4:$A$119,0)),Scoring!$A$4:$N$51,8,FALSE()),0)+4*IFERROR(VLOOKUP(INDEX(' Toto teams'!$C$4:$C$119,MATCH($B102,' Toto teams'!$A$4:$A$119,0)),Scoring!$A$4:$N$51,8,FALSE()),0)+3*IFERROR(VLOOKUP(INDEX(' Toto teams'!$D$4:$D$119,MATCH($B102,' Toto teams'!$A$4:$A$119,0)),Scoring!$A$4:$N$51,8,FALSE()),0)+2*IFERROR(VLOOKUP(INDEX(' Toto teams'!$E$4:$E$119,MATCH($B102,' Toto teams'!$A$4:$A$119,0)),Scoring!$A$4:$N$51,8,FALSE()),0)+1*IFERROR(VLOOKUP(INDEX(' Toto teams'!$F$4:$F$119,MATCH($B102,' Toto teams'!$A$4:$A$119,0)),Scoring!$A$4:$N$51,8,FALSE()),0)+1*IFERROR(VLOOKUP(INDEX(' Toto teams'!$G$4:$G$119,MATCH($B102,' Toto teams'!$A$4:$A$119,0)),Scoring!$A$4:$N$51,8,FALSE()),0)+1*IFERROR(VLOOKUP(INDEX(' Toto teams'!$H$4:$H$119,MATCH($B102,' Toto teams'!$A$4:$A$119,0)),Scoring!$A$4:$N$51,8,FALSE()),0))</f>
        <v/>
      </c>
      <c r="F102" s="28">
        <f>IF($B102="","",6*IFERROR(VLOOKUP(INDEX(' Toto teams'!$B$4:$B$119,MATCH($B102,' Toto teams'!$A$4:$A$119,0)),Scoring!$A$4:$N$51,9,FALSE()),0)+4*IFERROR(VLOOKUP(INDEX(' Toto teams'!$C$4:$C$119,MATCH($B102,' Toto teams'!$A$4:$A$119,0)),Scoring!$A$4:$N$51,9,FALSE()),0)+3*IFERROR(VLOOKUP(INDEX(' Toto teams'!$D$4:$D$119,MATCH($B102,' Toto teams'!$A$4:$A$119,0)),Scoring!$A$4:$N$51,9,FALSE()),0)+2*IFERROR(VLOOKUP(INDEX(' Toto teams'!$E$4:$E$119,MATCH($B102,' Toto teams'!$A$4:$A$119,0)),Scoring!$A$4:$N$51,9,FALSE()),0)+1*IFERROR(VLOOKUP(INDEX(' Toto teams'!$F$4:$F$119,MATCH($B102,' Toto teams'!$A$4:$A$119,0)),Scoring!$A$4:$N$51,9,FALSE()),0)+1*IFERROR(VLOOKUP(INDEX(' Toto teams'!$G$4:$G$119,MATCH($B102,' Toto teams'!$A$4:$A$119,0)),Scoring!$A$4:$N$51,9,FALSE()),0)+1*IFERROR(VLOOKUP(INDEX(' Toto teams'!$H$4:$H$119,MATCH($B102,' Toto teams'!$A$4:$A$119,0)),Scoring!$A$4:$N$51,9,FALSE()),0))</f>
        <v/>
      </c>
      <c r="G102" s="28">
        <f>IF($B102="","",6*IFERROR(VLOOKUP(INDEX(' Toto teams'!$B$4:$B$119,MATCH($B102,' Toto teams'!$A$4:$A$119,0)),Scoring!$A$4:$N$51,10,FALSE()),0)+4*IFERROR(VLOOKUP(INDEX(' Toto teams'!$C$4:$C$119,MATCH($B102,' Toto teams'!$A$4:$A$119,0)),Scoring!$A$4:$N$51,10,FALSE()),0)+3*IFERROR(VLOOKUP(INDEX(' Toto teams'!$D$4:$D$119,MATCH($B102,' Toto teams'!$A$4:$A$119,0)),Scoring!$A$4:$N$51,10,FALSE()),0)+2*IFERROR(VLOOKUP(INDEX(' Toto teams'!$E$4:$E$119,MATCH($B102,' Toto teams'!$A$4:$A$119,0)),Scoring!$A$4:$N$51,10,FALSE()),0)+1*IFERROR(VLOOKUP(INDEX(' Toto teams'!$F$4:$F$119,MATCH($B102,' Toto teams'!$A$4:$A$119,0)),Scoring!$A$4:$N$51,10,FALSE()),0)+1*IFERROR(VLOOKUP(INDEX(' Toto teams'!$G$4:$G$119,MATCH($B102,' Toto teams'!$A$4:$A$119,0)),Scoring!$A$4:$N$51,10,FALSE()),0)+1*IFERROR(VLOOKUP(INDEX(' Toto teams'!$H$4:$H$119,MATCH($B102,' Toto teams'!$A$4:$A$119,0)),Scoring!$A$4:$N$51,10,FALSE()),0))</f>
        <v/>
      </c>
      <c r="H102" s="28">
        <f>IF($B102="","",6*IFERROR(VLOOKUP(INDEX(' Toto teams'!$B$4:$B$119,MATCH($B102,' Toto teams'!$A$4:$A$119,0)),Scoring!$A$4:$N$51,11,FALSE()),0)+4*IFERROR(VLOOKUP(INDEX(' Toto teams'!$C$4:$C$119,MATCH($B102,' Toto teams'!$A$4:$A$119,0)),Scoring!$A$4:$N$51,11,FALSE()),0)+3*IFERROR(VLOOKUP(INDEX(' Toto teams'!$D$4:$D$119,MATCH($B102,' Toto teams'!$A$4:$A$119,0)),Scoring!$A$4:$N$51,11,FALSE()),0)+2*IFERROR(VLOOKUP(INDEX(' Toto teams'!$E$4:$E$119,MATCH($B102,' Toto teams'!$A$4:$A$119,0)),Scoring!$A$4:$N$51,11,FALSE()),0)+1*IFERROR(VLOOKUP(INDEX(' Toto teams'!$F$4:$F$119,MATCH($B102,' Toto teams'!$A$4:$A$119,0)),Scoring!$A$4:$N$51,11,FALSE()),0)+1*IFERROR(VLOOKUP(INDEX(' Toto teams'!$G$4:$G$119,MATCH($B102,' Toto teams'!$A$4:$A$119,0)),Scoring!$A$4:$N$51,11,FALSE()),0)+1*IFERROR(VLOOKUP(INDEX(' Toto teams'!$H$4:$H$119,MATCH($B102,' Toto teams'!$A$4:$A$119,0)),Scoring!$A$4:$N$51,11,FALSE()),0))</f>
        <v/>
      </c>
      <c r="I102" s="28">
        <f>IF($B102="","",6*IFERROR(VLOOKUP(INDEX(' Toto teams'!$B$4:$B$119,MATCH($B102,' Toto teams'!$A$4:$A$119,0)),Scoring!$A$4:$O$51,15,FALSE()),0)+4*IFERROR(VLOOKUP(INDEX(' Toto teams'!$C$4:$C$119,MATCH($B102,' Toto teams'!$A$4:$A$119,0)),Scoring!$A$4:$O$51,15,FALSE()),0)+3*IFERROR(VLOOKUP(INDEX(' Toto teams'!$D$4:$D$119,MATCH($B102,' Toto teams'!$A$4:$A$119,0)),Scoring!$A$4:$O$51,15,FALSE()),0)+2*IFERROR(VLOOKUP(INDEX(' Toto teams'!$E$4:$E$119,MATCH($B102,' Toto teams'!$A$4:$A$119,0)),Scoring!$A$4:$O$51,15,FALSE()),0)+1*IFERROR(VLOOKUP(INDEX(' Toto teams'!$F$4:$F$119,MATCH($B102,' Toto teams'!$A$4:$A$119,0)),Scoring!$A$4:$O$51,15,FALSE()),0)+1*IFERROR(VLOOKUP(INDEX(' Toto teams'!$G$4:$G$119,MATCH($B102,' Toto teams'!$A$4:$A$119,0)),Scoring!$A$4:$O$51,15,FALSE()),0)+1*IFERROR(VLOOKUP(INDEX(' Toto teams'!$H$4:$H$119,MATCH($B102,' Toto teams'!$A$4:$A$119,0)),Scoring!$A$4:$O$51,15,FALSE()),0))</f>
        <v/>
      </c>
      <c r="J102" s="28">
        <f>IF($B102="","",6*IFERROR(VLOOKUP(INDEX(' Toto teams'!$B$4:$B$119,MATCH($B102,' Toto teams'!$A$4:$A$119,0)),Scoring!$A$4:$N$51,12,FALSE()),0)+4*IFERROR(VLOOKUP(INDEX(' Toto teams'!$C$4:$C$119,MATCH($B102,' Toto teams'!$A$4:$A$119,0)),Scoring!$A$4:$N$51,12,FALSE()),0)+3*IFERROR(VLOOKUP(INDEX(' Toto teams'!$D$4:$D$119,MATCH($B102,' Toto teams'!$A$4:$A$119,0)),Scoring!$A$4:$N$51,12,FALSE()),0)+2*IFERROR(VLOOKUP(INDEX(' Toto teams'!$E$4:$E$119,MATCH($B102,' Toto teams'!$A$4:$A$119,0)),Scoring!$A$4:$N$51,12,FALSE()),0)+1*IFERROR(VLOOKUP(INDEX(' Toto teams'!$F$4:$F$119,MATCH($B102,' Toto teams'!$A$4:$A$119,0)),Scoring!$A$4:$N$51,12,FALSE()),0)+1*IFERROR(VLOOKUP(INDEX(' Toto teams'!$G$4:$G$119,MATCH($B102,' Toto teams'!$A$4:$A$119,0)),Scoring!$A$4:$N$51,12,FALSE()),0)+1*IFERROR(VLOOKUP(INDEX(' Toto teams'!$H$4:$H$119,MATCH($B102,' Toto teams'!$A$4:$A$119,0)),Scoring!$A$4:$N$51,12,FALSE()),0))</f>
        <v/>
      </c>
      <c r="K102" s="29">
        <f>IF($B102="","",IFERROR(INDEX(' Toto teams'!$R$4:$R$119,MATCH($B102,' Toto teams'!$A$4:$A$119,0)),""))</f>
        <v/>
      </c>
      <c r="L102" s="30">
        <f>IFERROR(IF(B102="","",VLOOKUP(A102,$N$4:$R$12,5,FALSE())),0)</f>
        <v/>
      </c>
    </row>
    <row r="103" ht="12.75" customHeight="1">
      <c r="A103" s="26">
        <f>IF(100&gt;COUNTIF(' Toto teams'!$A$4:$A$119,"&lt;&gt;"),"",INDEX(' Toto teams'!$S$4:$S$119,MATCH(LARGE(' Toto teams'!$T$4:$T$119,100),' Toto teams'!$T$4:$T$119,0)))</f>
        <v/>
      </c>
      <c r="B103" s="27">
        <f>IF(100&gt;COUNTIF(' Toto teams'!$A$4:$A$119,"&lt;&gt;"),"",INDEX(' Toto teams'!$A$4:$A$119,MATCH(LARGE(' Toto teams'!$T$4:$T$119,100),' Toto teams'!$T$4:$T$119,0)))</f>
        <v/>
      </c>
      <c r="C103" s="28">
        <f>IF($B103="","",6*(IFERROR(VLOOKUP(INDEX(' Toto teams'!$B$4:$B$119,MATCH($B103,' Toto teams'!$A$4:$A$119,0)),Scoring!$A$4:$N$51,3,FALSE()),0)+IFERROR(VLOOKUP(INDEX(' Toto teams'!$B$4:$B$119,MATCH($B103,' Toto teams'!$A$4:$A$119,0)),Scoring!$A$4:$N$51,4,FALSE()),0)+IFERROR(VLOOKUP(INDEX(' Toto teams'!$B$4:$B$119,MATCH($B103,' Toto teams'!$A$4:$A$119,0)),Scoring!$A$4:$N$51,5,FALSE()),0))+4*(IFERROR(VLOOKUP(INDEX(' Toto teams'!$C$4:$C$119,MATCH($B103,' Toto teams'!$A$4:$A$119,0)),Scoring!$A$4:$N$51,3,FALSE()),0)+IFERROR(VLOOKUP(INDEX(' Toto teams'!$C$4:$C$119,MATCH($B103,' Toto teams'!$A$4:$A$119,0)),Scoring!$A$4:$N$51,4,FALSE()),0)+IFERROR(VLOOKUP(INDEX(' Toto teams'!$C$4:$C$119,MATCH($B103,' Toto teams'!$A$4:$A$119,0)),Scoring!$A$4:$N$51,5,FALSE()),0))+3*(IFERROR(VLOOKUP(INDEX(' Toto teams'!$D$4:$D$119,MATCH($B103,' Toto teams'!$A$4:$A$119,0)),Scoring!$A$4:$N$51,3,FALSE()),0)+IFERROR(VLOOKUP(INDEX(' Toto teams'!$D$4:$D$119,MATCH($B103,' Toto teams'!$A$4:$A$119,0)),Scoring!$A$4:$N$51,4,FALSE()),0)+IFERROR(VLOOKUP(INDEX(' Toto teams'!$D$4:$D$119,MATCH($B103,' Toto teams'!$A$4:$A$119,0)),Scoring!$A$4:$N$51,5,FALSE()),0))+2*(IFERROR(VLOOKUP(INDEX(' Toto teams'!$E$4:$E$119,MATCH($B103,' Toto teams'!$A$4:$A$119,0)),Scoring!$A$4:$N$51,3,FALSE()),0)+IFERROR(VLOOKUP(INDEX(' Toto teams'!$E$4:$E$119,MATCH($B103,' Toto teams'!$A$4:$A$119,0)),Scoring!$A$4:$N$51,4,FALSE()),0)+IFERROR(VLOOKUP(INDEX(' Toto teams'!$E$4:$E$119,MATCH($B103,' Toto teams'!$A$4:$A$119,0)),Scoring!$A$4:$N$51,5,FALSE()),0))+1*(IFERROR(VLOOKUP(INDEX(' Toto teams'!$F$4:$F$119,MATCH($B103,' Toto teams'!$A$4:$A$119,0)),Scoring!$A$4:$N$51,3,FALSE()),0)+IFERROR(VLOOKUP(INDEX(' Toto teams'!$F$4:$F$119,MATCH($B103,' Toto teams'!$A$4:$A$119,0)),Scoring!$A$4:$N$51,4,FALSE()),0)+IFERROR(VLOOKUP(INDEX(' Toto teams'!$F$4:$F$119,MATCH($B103,' Toto teams'!$A$4:$A$119,0)),Scoring!$A$4:$N$51,5,FALSE()),0))+1*(IFERROR(VLOOKUP(INDEX(' Toto teams'!$G$4:$G$119,MATCH($B103,' Toto teams'!$A$4:$A$119,0)),Scoring!$A$4:$N$51,3,FALSE()),0)+IFERROR(VLOOKUP(INDEX(' Toto teams'!$G$4:$G$119,MATCH($B103,' Toto teams'!$A$4:$A$119,0)),Scoring!$A$4:$N$51,4,FALSE()),0)+IFERROR(VLOOKUP(INDEX(' Toto teams'!$G$4:$G$119,MATCH($B103,' Toto teams'!$A$4:$A$119,0)),Scoring!$A$4:$N$51,5,FALSE()),0))+1*(IFERROR(VLOOKUP(INDEX(' Toto teams'!$H$4:$H$119,MATCH($B103,' Toto teams'!$A$4:$A$119,0)),Scoring!$A$4:$N$51,3,FALSE()),0)+IFERROR(VLOOKUP(INDEX(' Toto teams'!$H$4:$H$119,MATCH($B103,' Toto teams'!$A$4:$A$119,0)),Scoring!$A$4:$N$51,4,FALSE()),0)+IFERROR(VLOOKUP(INDEX(' Toto teams'!$H$4:$H$119,MATCH($B103,' Toto teams'!$A$4:$A$119,0)),Scoring!$A$4:$N$51,5,FALSE()),0))+IFERROR(INDEX(' Toto teams'!$Q$4:$Q$119,MATCH($B103,' Toto teams'!$A$4:$A$119,0))*1,0))</f>
        <v/>
      </c>
      <c r="D103" s="28">
        <f>IF($B103="","",6*IFERROR(VLOOKUP(INDEX(' Toto teams'!$B$4:$B$119,MATCH($B103,' Toto teams'!$A$4:$A$119,0)),Scoring!$A$4:$N$51,7,FALSE()),0)+4*IFERROR(VLOOKUP(INDEX(' Toto teams'!$C$4:$C$119,MATCH($B103,' Toto teams'!$A$4:$A$119,0)),Scoring!$A$4:$N$51,7,FALSE()),0)+3*IFERROR(VLOOKUP(INDEX(' Toto teams'!$D$4:$D$119,MATCH($B103,' Toto teams'!$A$4:$A$119,0)),Scoring!$A$4:$N$51,7,FALSE()),0)+2*IFERROR(VLOOKUP(INDEX(' Toto teams'!$E$4:$E$119,MATCH($B103,' Toto teams'!$A$4:$A$119,0)),Scoring!$A$4:$N$51,7,FALSE()),0)+1*IFERROR(VLOOKUP(INDEX(' Toto teams'!$F$4:$F$119,MATCH($B103,' Toto teams'!$A$4:$A$119,0)),Scoring!$A$4:$N$51,7,FALSE()),0)+1*IFERROR(VLOOKUP(INDEX(' Toto teams'!$G$4:$G$119,MATCH($B103,' Toto teams'!$A$4:$A$119,0)),Scoring!$A$4:$N$51,7,FALSE()),0)+1*IFERROR(VLOOKUP(INDEX(' Toto teams'!$H$4:$H$119,MATCH($B103,' Toto teams'!$A$4:$A$119,0)),Scoring!$A$4:$N$51,7,FALSE()),0))</f>
        <v/>
      </c>
      <c r="E103" s="28">
        <f>IF($B103="","",6*IFERROR(VLOOKUP(INDEX(' Toto teams'!$B$4:$B$119,MATCH($B103,' Toto teams'!$A$4:$A$119,0)),Scoring!$A$4:$N$51,8,FALSE()),0)+4*IFERROR(VLOOKUP(INDEX(' Toto teams'!$C$4:$C$119,MATCH($B103,' Toto teams'!$A$4:$A$119,0)),Scoring!$A$4:$N$51,8,FALSE()),0)+3*IFERROR(VLOOKUP(INDEX(' Toto teams'!$D$4:$D$119,MATCH($B103,' Toto teams'!$A$4:$A$119,0)),Scoring!$A$4:$N$51,8,FALSE()),0)+2*IFERROR(VLOOKUP(INDEX(' Toto teams'!$E$4:$E$119,MATCH($B103,' Toto teams'!$A$4:$A$119,0)),Scoring!$A$4:$N$51,8,FALSE()),0)+1*IFERROR(VLOOKUP(INDEX(' Toto teams'!$F$4:$F$119,MATCH($B103,' Toto teams'!$A$4:$A$119,0)),Scoring!$A$4:$N$51,8,FALSE()),0)+1*IFERROR(VLOOKUP(INDEX(' Toto teams'!$G$4:$G$119,MATCH($B103,' Toto teams'!$A$4:$A$119,0)),Scoring!$A$4:$N$51,8,FALSE()),0)+1*IFERROR(VLOOKUP(INDEX(' Toto teams'!$H$4:$H$119,MATCH($B103,' Toto teams'!$A$4:$A$119,0)),Scoring!$A$4:$N$51,8,FALSE()),0))</f>
        <v/>
      </c>
      <c r="F103" s="28">
        <f>IF($B103="","",6*IFERROR(VLOOKUP(INDEX(' Toto teams'!$B$4:$B$119,MATCH($B103,' Toto teams'!$A$4:$A$119,0)),Scoring!$A$4:$N$51,9,FALSE()),0)+4*IFERROR(VLOOKUP(INDEX(' Toto teams'!$C$4:$C$119,MATCH($B103,' Toto teams'!$A$4:$A$119,0)),Scoring!$A$4:$N$51,9,FALSE()),0)+3*IFERROR(VLOOKUP(INDEX(' Toto teams'!$D$4:$D$119,MATCH($B103,' Toto teams'!$A$4:$A$119,0)),Scoring!$A$4:$N$51,9,FALSE()),0)+2*IFERROR(VLOOKUP(INDEX(' Toto teams'!$E$4:$E$119,MATCH($B103,' Toto teams'!$A$4:$A$119,0)),Scoring!$A$4:$N$51,9,FALSE()),0)+1*IFERROR(VLOOKUP(INDEX(' Toto teams'!$F$4:$F$119,MATCH($B103,' Toto teams'!$A$4:$A$119,0)),Scoring!$A$4:$N$51,9,FALSE()),0)+1*IFERROR(VLOOKUP(INDEX(' Toto teams'!$G$4:$G$119,MATCH($B103,' Toto teams'!$A$4:$A$119,0)),Scoring!$A$4:$N$51,9,FALSE()),0)+1*IFERROR(VLOOKUP(INDEX(' Toto teams'!$H$4:$H$119,MATCH($B103,' Toto teams'!$A$4:$A$119,0)),Scoring!$A$4:$N$51,9,FALSE()),0))</f>
        <v/>
      </c>
      <c r="G103" s="28">
        <f>IF($B103="","",6*IFERROR(VLOOKUP(INDEX(' Toto teams'!$B$4:$B$119,MATCH($B103,' Toto teams'!$A$4:$A$119,0)),Scoring!$A$4:$N$51,10,FALSE()),0)+4*IFERROR(VLOOKUP(INDEX(' Toto teams'!$C$4:$C$119,MATCH($B103,' Toto teams'!$A$4:$A$119,0)),Scoring!$A$4:$N$51,10,FALSE()),0)+3*IFERROR(VLOOKUP(INDEX(' Toto teams'!$D$4:$D$119,MATCH($B103,' Toto teams'!$A$4:$A$119,0)),Scoring!$A$4:$N$51,10,FALSE()),0)+2*IFERROR(VLOOKUP(INDEX(' Toto teams'!$E$4:$E$119,MATCH($B103,' Toto teams'!$A$4:$A$119,0)),Scoring!$A$4:$N$51,10,FALSE()),0)+1*IFERROR(VLOOKUP(INDEX(' Toto teams'!$F$4:$F$119,MATCH($B103,' Toto teams'!$A$4:$A$119,0)),Scoring!$A$4:$N$51,10,FALSE()),0)+1*IFERROR(VLOOKUP(INDEX(' Toto teams'!$G$4:$G$119,MATCH($B103,' Toto teams'!$A$4:$A$119,0)),Scoring!$A$4:$N$51,10,FALSE()),0)+1*IFERROR(VLOOKUP(INDEX(' Toto teams'!$H$4:$H$119,MATCH($B103,' Toto teams'!$A$4:$A$119,0)),Scoring!$A$4:$N$51,10,FALSE()),0))</f>
        <v/>
      </c>
      <c r="H103" s="28">
        <f>IF($B103="","",6*IFERROR(VLOOKUP(INDEX(' Toto teams'!$B$4:$B$119,MATCH($B103,' Toto teams'!$A$4:$A$119,0)),Scoring!$A$4:$N$51,11,FALSE()),0)+4*IFERROR(VLOOKUP(INDEX(' Toto teams'!$C$4:$C$119,MATCH($B103,' Toto teams'!$A$4:$A$119,0)),Scoring!$A$4:$N$51,11,FALSE()),0)+3*IFERROR(VLOOKUP(INDEX(' Toto teams'!$D$4:$D$119,MATCH($B103,' Toto teams'!$A$4:$A$119,0)),Scoring!$A$4:$N$51,11,FALSE()),0)+2*IFERROR(VLOOKUP(INDEX(' Toto teams'!$E$4:$E$119,MATCH($B103,' Toto teams'!$A$4:$A$119,0)),Scoring!$A$4:$N$51,11,FALSE()),0)+1*IFERROR(VLOOKUP(INDEX(' Toto teams'!$F$4:$F$119,MATCH($B103,' Toto teams'!$A$4:$A$119,0)),Scoring!$A$4:$N$51,11,FALSE()),0)+1*IFERROR(VLOOKUP(INDEX(' Toto teams'!$G$4:$G$119,MATCH($B103,' Toto teams'!$A$4:$A$119,0)),Scoring!$A$4:$N$51,11,FALSE()),0)+1*IFERROR(VLOOKUP(INDEX(' Toto teams'!$H$4:$H$119,MATCH($B103,' Toto teams'!$A$4:$A$119,0)),Scoring!$A$4:$N$51,11,FALSE()),0))</f>
        <v/>
      </c>
      <c r="I103" s="28">
        <f>IF($B103="","",6*IFERROR(VLOOKUP(INDEX(' Toto teams'!$B$4:$B$119,MATCH($B103,' Toto teams'!$A$4:$A$119,0)),Scoring!$A$4:$O$51,15,FALSE()),0)+4*IFERROR(VLOOKUP(INDEX(' Toto teams'!$C$4:$C$119,MATCH($B103,' Toto teams'!$A$4:$A$119,0)),Scoring!$A$4:$O$51,15,FALSE()),0)+3*IFERROR(VLOOKUP(INDEX(' Toto teams'!$D$4:$D$119,MATCH($B103,' Toto teams'!$A$4:$A$119,0)),Scoring!$A$4:$O$51,15,FALSE()),0)+2*IFERROR(VLOOKUP(INDEX(' Toto teams'!$E$4:$E$119,MATCH($B103,' Toto teams'!$A$4:$A$119,0)),Scoring!$A$4:$O$51,15,FALSE()),0)+1*IFERROR(VLOOKUP(INDEX(' Toto teams'!$F$4:$F$119,MATCH($B103,' Toto teams'!$A$4:$A$119,0)),Scoring!$A$4:$O$51,15,FALSE()),0)+1*IFERROR(VLOOKUP(INDEX(' Toto teams'!$G$4:$G$119,MATCH($B103,' Toto teams'!$A$4:$A$119,0)),Scoring!$A$4:$O$51,15,FALSE()),0)+1*IFERROR(VLOOKUP(INDEX(' Toto teams'!$H$4:$H$119,MATCH($B103,' Toto teams'!$A$4:$A$119,0)),Scoring!$A$4:$O$51,15,FALSE()),0))</f>
        <v/>
      </c>
      <c r="J103" s="28">
        <f>IF($B103="","",6*IFERROR(VLOOKUP(INDEX(' Toto teams'!$B$4:$B$119,MATCH($B103,' Toto teams'!$A$4:$A$119,0)),Scoring!$A$4:$N$51,12,FALSE()),0)+4*IFERROR(VLOOKUP(INDEX(' Toto teams'!$C$4:$C$119,MATCH($B103,' Toto teams'!$A$4:$A$119,0)),Scoring!$A$4:$N$51,12,FALSE()),0)+3*IFERROR(VLOOKUP(INDEX(' Toto teams'!$D$4:$D$119,MATCH($B103,' Toto teams'!$A$4:$A$119,0)),Scoring!$A$4:$N$51,12,FALSE()),0)+2*IFERROR(VLOOKUP(INDEX(' Toto teams'!$E$4:$E$119,MATCH($B103,' Toto teams'!$A$4:$A$119,0)),Scoring!$A$4:$N$51,12,FALSE()),0)+1*IFERROR(VLOOKUP(INDEX(' Toto teams'!$F$4:$F$119,MATCH($B103,' Toto teams'!$A$4:$A$119,0)),Scoring!$A$4:$N$51,12,FALSE()),0)+1*IFERROR(VLOOKUP(INDEX(' Toto teams'!$G$4:$G$119,MATCH($B103,' Toto teams'!$A$4:$A$119,0)),Scoring!$A$4:$N$51,12,FALSE()),0)+1*IFERROR(VLOOKUP(INDEX(' Toto teams'!$H$4:$H$119,MATCH($B103,' Toto teams'!$A$4:$A$119,0)),Scoring!$A$4:$N$51,12,FALSE()),0))</f>
        <v/>
      </c>
      <c r="K103" s="29">
        <f>IF($B103="","",IFERROR(INDEX(' Toto teams'!$R$4:$R$119,MATCH($B103,' Toto teams'!$A$4:$A$119,0)),""))</f>
        <v/>
      </c>
      <c r="L103" s="30">
        <f>IFERROR(IF(B103="","",VLOOKUP(A103,$N$4:$R$12,5,FALSE())),0)</f>
        <v/>
      </c>
    </row>
    <row r="104" ht="13.5" customHeight="1">
      <c r="A104" s="26">
        <f>IF(101&gt;COUNTIF(' Toto teams'!$A$4:$A$119,"&lt;&gt;"),"",INDEX(' Toto teams'!$S$4:$S$119,MATCH(LARGE(' Toto teams'!$T$4:$T$119,101),' Toto teams'!$T$4:$T$119,0)))</f>
        <v/>
      </c>
      <c r="B104" s="27">
        <f>IF(101&gt;COUNTIF(' Toto teams'!$A$4:$A$119,"&lt;&gt;"),"",INDEX(' Toto teams'!$A$4:$A$119,MATCH(LARGE(' Toto teams'!$T$4:$T$119,101),' Toto teams'!$T$4:$T$119,0)))</f>
        <v/>
      </c>
      <c r="C104" s="28">
        <f>IF($B104="","",6*(IFERROR(VLOOKUP(INDEX(' Toto teams'!$B$4:$B$119,MATCH($B104,' Toto teams'!$A$4:$A$119,0)),Scoring!$A$4:$N$51,3,FALSE()),0)+IFERROR(VLOOKUP(INDEX(' Toto teams'!$B$4:$B$119,MATCH($B104,' Toto teams'!$A$4:$A$119,0)),Scoring!$A$4:$N$51,4,FALSE()),0)+IFERROR(VLOOKUP(INDEX(' Toto teams'!$B$4:$B$119,MATCH($B104,' Toto teams'!$A$4:$A$119,0)),Scoring!$A$4:$N$51,5,FALSE()),0))+4*(IFERROR(VLOOKUP(INDEX(' Toto teams'!$C$4:$C$119,MATCH($B104,' Toto teams'!$A$4:$A$119,0)),Scoring!$A$4:$N$51,3,FALSE()),0)+IFERROR(VLOOKUP(INDEX(' Toto teams'!$C$4:$C$119,MATCH($B104,' Toto teams'!$A$4:$A$119,0)),Scoring!$A$4:$N$51,4,FALSE()),0)+IFERROR(VLOOKUP(INDEX(' Toto teams'!$C$4:$C$119,MATCH($B104,' Toto teams'!$A$4:$A$119,0)),Scoring!$A$4:$N$51,5,FALSE()),0))+3*(IFERROR(VLOOKUP(INDEX(' Toto teams'!$D$4:$D$119,MATCH($B104,' Toto teams'!$A$4:$A$119,0)),Scoring!$A$4:$N$51,3,FALSE()),0)+IFERROR(VLOOKUP(INDEX(' Toto teams'!$D$4:$D$119,MATCH($B104,' Toto teams'!$A$4:$A$119,0)),Scoring!$A$4:$N$51,4,FALSE()),0)+IFERROR(VLOOKUP(INDEX(' Toto teams'!$D$4:$D$119,MATCH($B104,' Toto teams'!$A$4:$A$119,0)),Scoring!$A$4:$N$51,5,FALSE()),0))+2*(IFERROR(VLOOKUP(INDEX(' Toto teams'!$E$4:$E$119,MATCH($B104,' Toto teams'!$A$4:$A$119,0)),Scoring!$A$4:$N$51,3,FALSE()),0)+IFERROR(VLOOKUP(INDEX(' Toto teams'!$E$4:$E$119,MATCH($B104,' Toto teams'!$A$4:$A$119,0)),Scoring!$A$4:$N$51,4,FALSE()),0)+IFERROR(VLOOKUP(INDEX(' Toto teams'!$E$4:$E$119,MATCH($B104,' Toto teams'!$A$4:$A$119,0)),Scoring!$A$4:$N$51,5,FALSE()),0))+1*(IFERROR(VLOOKUP(INDEX(' Toto teams'!$F$4:$F$119,MATCH($B104,' Toto teams'!$A$4:$A$119,0)),Scoring!$A$4:$N$51,3,FALSE()),0)+IFERROR(VLOOKUP(INDEX(' Toto teams'!$F$4:$F$119,MATCH($B104,' Toto teams'!$A$4:$A$119,0)),Scoring!$A$4:$N$51,4,FALSE()),0)+IFERROR(VLOOKUP(INDEX(' Toto teams'!$F$4:$F$119,MATCH($B104,' Toto teams'!$A$4:$A$119,0)),Scoring!$A$4:$N$51,5,FALSE()),0))+1*(IFERROR(VLOOKUP(INDEX(' Toto teams'!$G$4:$G$119,MATCH($B104,' Toto teams'!$A$4:$A$119,0)),Scoring!$A$4:$N$51,3,FALSE()),0)+IFERROR(VLOOKUP(INDEX(' Toto teams'!$G$4:$G$119,MATCH($B104,' Toto teams'!$A$4:$A$119,0)),Scoring!$A$4:$N$51,4,FALSE()),0)+IFERROR(VLOOKUP(INDEX(' Toto teams'!$G$4:$G$119,MATCH($B104,' Toto teams'!$A$4:$A$119,0)),Scoring!$A$4:$N$51,5,FALSE()),0))+1*(IFERROR(VLOOKUP(INDEX(' Toto teams'!$H$4:$H$119,MATCH($B104,' Toto teams'!$A$4:$A$119,0)),Scoring!$A$4:$N$51,3,FALSE()),0)+IFERROR(VLOOKUP(INDEX(' Toto teams'!$H$4:$H$119,MATCH($B104,' Toto teams'!$A$4:$A$119,0)),Scoring!$A$4:$N$51,4,FALSE()),0)+IFERROR(VLOOKUP(INDEX(' Toto teams'!$H$4:$H$119,MATCH($B104,' Toto teams'!$A$4:$A$119,0)),Scoring!$A$4:$N$51,5,FALSE()),0))+IFERROR(INDEX(' Toto teams'!$Q$4:$Q$119,MATCH($B104,' Toto teams'!$A$4:$A$119,0))*1,0))</f>
        <v/>
      </c>
      <c r="D104" s="28">
        <f>IF($B104="","",6*IFERROR(VLOOKUP(INDEX(' Toto teams'!$B$4:$B$119,MATCH($B104,' Toto teams'!$A$4:$A$119,0)),Scoring!$A$4:$N$51,7,FALSE()),0)+4*IFERROR(VLOOKUP(INDEX(' Toto teams'!$C$4:$C$119,MATCH($B104,' Toto teams'!$A$4:$A$119,0)),Scoring!$A$4:$N$51,7,FALSE()),0)+3*IFERROR(VLOOKUP(INDEX(' Toto teams'!$D$4:$D$119,MATCH($B104,' Toto teams'!$A$4:$A$119,0)),Scoring!$A$4:$N$51,7,FALSE()),0)+2*IFERROR(VLOOKUP(INDEX(' Toto teams'!$E$4:$E$119,MATCH($B104,' Toto teams'!$A$4:$A$119,0)),Scoring!$A$4:$N$51,7,FALSE()),0)+1*IFERROR(VLOOKUP(INDEX(' Toto teams'!$F$4:$F$119,MATCH($B104,' Toto teams'!$A$4:$A$119,0)),Scoring!$A$4:$N$51,7,FALSE()),0)+1*IFERROR(VLOOKUP(INDEX(' Toto teams'!$G$4:$G$119,MATCH($B104,' Toto teams'!$A$4:$A$119,0)),Scoring!$A$4:$N$51,7,FALSE()),0)+1*IFERROR(VLOOKUP(INDEX(' Toto teams'!$H$4:$H$119,MATCH($B104,' Toto teams'!$A$4:$A$119,0)),Scoring!$A$4:$N$51,7,FALSE()),0))</f>
        <v/>
      </c>
      <c r="E104" s="28">
        <f>IF($B104="","",6*IFERROR(VLOOKUP(INDEX(' Toto teams'!$B$4:$B$119,MATCH($B104,' Toto teams'!$A$4:$A$119,0)),Scoring!$A$4:$N$51,8,FALSE()),0)+4*IFERROR(VLOOKUP(INDEX(' Toto teams'!$C$4:$C$119,MATCH($B104,' Toto teams'!$A$4:$A$119,0)),Scoring!$A$4:$N$51,8,FALSE()),0)+3*IFERROR(VLOOKUP(INDEX(' Toto teams'!$D$4:$D$119,MATCH($B104,' Toto teams'!$A$4:$A$119,0)),Scoring!$A$4:$N$51,8,FALSE()),0)+2*IFERROR(VLOOKUP(INDEX(' Toto teams'!$E$4:$E$119,MATCH($B104,' Toto teams'!$A$4:$A$119,0)),Scoring!$A$4:$N$51,8,FALSE()),0)+1*IFERROR(VLOOKUP(INDEX(' Toto teams'!$F$4:$F$119,MATCH($B104,' Toto teams'!$A$4:$A$119,0)),Scoring!$A$4:$N$51,8,FALSE()),0)+1*IFERROR(VLOOKUP(INDEX(' Toto teams'!$G$4:$G$119,MATCH($B104,' Toto teams'!$A$4:$A$119,0)),Scoring!$A$4:$N$51,8,FALSE()),0)+1*IFERROR(VLOOKUP(INDEX(' Toto teams'!$H$4:$H$119,MATCH($B104,' Toto teams'!$A$4:$A$119,0)),Scoring!$A$4:$N$51,8,FALSE()),0))</f>
        <v/>
      </c>
      <c r="F104" s="28">
        <f>IF($B104="","",6*IFERROR(VLOOKUP(INDEX(' Toto teams'!$B$4:$B$119,MATCH($B104,' Toto teams'!$A$4:$A$119,0)),Scoring!$A$4:$N$51,9,FALSE()),0)+4*IFERROR(VLOOKUP(INDEX(' Toto teams'!$C$4:$C$119,MATCH($B104,' Toto teams'!$A$4:$A$119,0)),Scoring!$A$4:$N$51,9,FALSE()),0)+3*IFERROR(VLOOKUP(INDEX(' Toto teams'!$D$4:$D$119,MATCH($B104,' Toto teams'!$A$4:$A$119,0)),Scoring!$A$4:$N$51,9,FALSE()),0)+2*IFERROR(VLOOKUP(INDEX(' Toto teams'!$E$4:$E$119,MATCH($B104,' Toto teams'!$A$4:$A$119,0)),Scoring!$A$4:$N$51,9,FALSE()),0)+1*IFERROR(VLOOKUP(INDEX(' Toto teams'!$F$4:$F$119,MATCH($B104,' Toto teams'!$A$4:$A$119,0)),Scoring!$A$4:$N$51,9,FALSE()),0)+1*IFERROR(VLOOKUP(INDEX(' Toto teams'!$G$4:$G$119,MATCH($B104,' Toto teams'!$A$4:$A$119,0)),Scoring!$A$4:$N$51,9,FALSE()),0)+1*IFERROR(VLOOKUP(INDEX(' Toto teams'!$H$4:$H$119,MATCH($B104,' Toto teams'!$A$4:$A$119,0)),Scoring!$A$4:$N$51,9,FALSE()),0))</f>
        <v/>
      </c>
      <c r="G104" s="28">
        <f>IF($B104="","",6*IFERROR(VLOOKUP(INDEX(' Toto teams'!$B$4:$B$119,MATCH($B104,' Toto teams'!$A$4:$A$119,0)),Scoring!$A$4:$N$51,10,FALSE()),0)+4*IFERROR(VLOOKUP(INDEX(' Toto teams'!$C$4:$C$119,MATCH($B104,' Toto teams'!$A$4:$A$119,0)),Scoring!$A$4:$N$51,10,FALSE()),0)+3*IFERROR(VLOOKUP(INDEX(' Toto teams'!$D$4:$D$119,MATCH($B104,' Toto teams'!$A$4:$A$119,0)),Scoring!$A$4:$N$51,10,FALSE()),0)+2*IFERROR(VLOOKUP(INDEX(' Toto teams'!$E$4:$E$119,MATCH($B104,' Toto teams'!$A$4:$A$119,0)),Scoring!$A$4:$N$51,10,FALSE()),0)+1*IFERROR(VLOOKUP(INDEX(' Toto teams'!$F$4:$F$119,MATCH($B104,' Toto teams'!$A$4:$A$119,0)),Scoring!$A$4:$N$51,10,FALSE()),0)+1*IFERROR(VLOOKUP(INDEX(' Toto teams'!$G$4:$G$119,MATCH($B104,' Toto teams'!$A$4:$A$119,0)),Scoring!$A$4:$N$51,10,FALSE()),0)+1*IFERROR(VLOOKUP(INDEX(' Toto teams'!$H$4:$H$119,MATCH($B104,' Toto teams'!$A$4:$A$119,0)),Scoring!$A$4:$N$51,10,FALSE()),0))</f>
        <v/>
      </c>
      <c r="H104" s="28">
        <f>IF($B104="","",6*IFERROR(VLOOKUP(INDEX(' Toto teams'!$B$4:$B$119,MATCH($B104,' Toto teams'!$A$4:$A$119,0)),Scoring!$A$4:$N$51,11,FALSE()),0)+4*IFERROR(VLOOKUP(INDEX(' Toto teams'!$C$4:$C$119,MATCH($B104,' Toto teams'!$A$4:$A$119,0)),Scoring!$A$4:$N$51,11,FALSE()),0)+3*IFERROR(VLOOKUP(INDEX(' Toto teams'!$D$4:$D$119,MATCH($B104,' Toto teams'!$A$4:$A$119,0)),Scoring!$A$4:$N$51,11,FALSE()),0)+2*IFERROR(VLOOKUP(INDEX(' Toto teams'!$E$4:$E$119,MATCH($B104,' Toto teams'!$A$4:$A$119,0)),Scoring!$A$4:$N$51,11,FALSE()),0)+1*IFERROR(VLOOKUP(INDEX(' Toto teams'!$F$4:$F$119,MATCH($B104,' Toto teams'!$A$4:$A$119,0)),Scoring!$A$4:$N$51,11,FALSE()),0)+1*IFERROR(VLOOKUP(INDEX(' Toto teams'!$G$4:$G$119,MATCH($B104,' Toto teams'!$A$4:$A$119,0)),Scoring!$A$4:$N$51,11,FALSE()),0)+1*IFERROR(VLOOKUP(INDEX(' Toto teams'!$H$4:$H$119,MATCH($B104,' Toto teams'!$A$4:$A$119,0)),Scoring!$A$4:$N$51,11,FALSE()),0))</f>
        <v/>
      </c>
      <c r="I104" s="28">
        <f>IF($B104="","",6*IFERROR(VLOOKUP(INDEX(' Toto teams'!$B$4:$B$119,MATCH($B104,' Toto teams'!$A$4:$A$119,0)),Scoring!$A$4:$O$51,15,FALSE()),0)+4*IFERROR(VLOOKUP(INDEX(' Toto teams'!$C$4:$C$119,MATCH($B104,' Toto teams'!$A$4:$A$119,0)),Scoring!$A$4:$O$51,15,FALSE()),0)+3*IFERROR(VLOOKUP(INDEX(' Toto teams'!$D$4:$D$119,MATCH($B104,' Toto teams'!$A$4:$A$119,0)),Scoring!$A$4:$O$51,15,FALSE()),0)+2*IFERROR(VLOOKUP(INDEX(' Toto teams'!$E$4:$E$119,MATCH($B104,' Toto teams'!$A$4:$A$119,0)),Scoring!$A$4:$O$51,15,FALSE()),0)+1*IFERROR(VLOOKUP(INDEX(' Toto teams'!$F$4:$F$119,MATCH($B104,' Toto teams'!$A$4:$A$119,0)),Scoring!$A$4:$O$51,15,FALSE()),0)+1*IFERROR(VLOOKUP(INDEX(' Toto teams'!$G$4:$G$119,MATCH($B104,' Toto teams'!$A$4:$A$119,0)),Scoring!$A$4:$O$51,15,FALSE()),0)+1*IFERROR(VLOOKUP(INDEX(' Toto teams'!$H$4:$H$119,MATCH($B104,' Toto teams'!$A$4:$A$119,0)),Scoring!$A$4:$O$51,15,FALSE()),0))</f>
        <v/>
      </c>
      <c r="J104" s="28">
        <f>IF($B104="","",6*IFERROR(VLOOKUP(INDEX(' Toto teams'!$B$4:$B$119,MATCH($B104,' Toto teams'!$A$4:$A$119,0)),Scoring!$A$4:$N$51,12,FALSE()),0)+4*IFERROR(VLOOKUP(INDEX(' Toto teams'!$C$4:$C$119,MATCH($B104,' Toto teams'!$A$4:$A$119,0)),Scoring!$A$4:$N$51,12,FALSE()),0)+3*IFERROR(VLOOKUP(INDEX(' Toto teams'!$D$4:$D$119,MATCH($B104,' Toto teams'!$A$4:$A$119,0)),Scoring!$A$4:$N$51,12,FALSE()),0)+2*IFERROR(VLOOKUP(INDEX(' Toto teams'!$E$4:$E$119,MATCH($B104,' Toto teams'!$A$4:$A$119,0)),Scoring!$A$4:$N$51,12,FALSE()),0)+1*IFERROR(VLOOKUP(INDEX(' Toto teams'!$F$4:$F$119,MATCH($B104,' Toto teams'!$A$4:$A$119,0)),Scoring!$A$4:$N$51,12,FALSE()),0)+1*IFERROR(VLOOKUP(INDEX(' Toto teams'!$G$4:$G$119,MATCH($B104,' Toto teams'!$A$4:$A$119,0)),Scoring!$A$4:$N$51,12,FALSE()),0)+1*IFERROR(VLOOKUP(INDEX(' Toto teams'!$H$4:$H$119,MATCH($B104,' Toto teams'!$A$4:$A$119,0)),Scoring!$A$4:$N$51,12,FALSE()),0))</f>
        <v/>
      </c>
      <c r="K104" s="29">
        <f>IF($B104="","",IFERROR(INDEX(' Toto teams'!$R$4:$R$119,MATCH($B104,' Toto teams'!$A$4:$A$119,0)),""))</f>
        <v/>
      </c>
      <c r="L104" s="30">
        <f>IFERROR(IF(B104="","",VLOOKUP(A104,$N$4:$R$12,5,FALSE())),0)</f>
        <v/>
      </c>
    </row>
    <row r="105" ht="13.5" customHeight="1">
      <c r="A105" s="26">
        <f>IF(102&gt;COUNTIF(' Toto teams'!$A$4:$A$119,"&lt;&gt;"),"",INDEX(' Toto teams'!$S$4:$S$119,MATCH(LARGE(' Toto teams'!$T$4:$T$119,102),' Toto teams'!$T$4:$T$119,0)))</f>
        <v/>
      </c>
      <c r="B105" s="27">
        <f>IF(102&gt;COUNTIF(' Toto teams'!$A$4:$A$119,"&lt;&gt;"),"",INDEX(' Toto teams'!$A$4:$A$119,MATCH(LARGE(' Toto teams'!$T$4:$T$119,102),' Toto teams'!$T$4:$T$119,0)))</f>
        <v/>
      </c>
      <c r="C105" s="28">
        <f>IF($B105="","",6*(IFERROR(VLOOKUP(INDEX(' Toto teams'!$B$4:$B$119,MATCH($B105,' Toto teams'!$A$4:$A$119,0)),Scoring!$A$4:$N$51,3,FALSE()),0)+IFERROR(VLOOKUP(INDEX(' Toto teams'!$B$4:$B$119,MATCH($B105,' Toto teams'!$A$4:$A$119,0)),Scoring!$A$4:$N$51,4,FALSE()),0)+IFERROR(VLOOKUP(INDEX(' Toto teams'!$B$4:$B$119,MATCH($B105,' Toto teams'!$A$4:$A$119,0)),Scoring!$A$4:$N$51,5,FALSE()),0))+4*(IFERROR(VLOOKUP(INDEX(' Toto teams'!$C$4:$C$119,MATCH($B105,' Toto teams'!$A$4:$A$119,0)),Scoring!$A$4:$N$51,3,FALSE()),0)+IFERROR(VLOOKUP(INDEX(' Toto teams'!$C$4:$C$119,MATCH($B105,' Toto teams'!$A$4:$A$119,0)),Scoring!$A$4:$N$51,4,FALSE()),0)+IFERROR(VLOOKUP(INDEX(' Toto teams'!$C$4:$C$119,MATCH($B105,' Toto teams'!$A$4:$A$119,0)),Scoring!$A$4:$N$51,5,FALSE()),0))+3*(IFERROR(VLOOKUP(INDEX(' Toto teams'!$D$4:$D$119,MATCH($B105,' Toto teams'!$A$4:$A$119,0)),Scoring!$A$4:$N$51,3,FALSE()),0)+IFERROR(VLOOKUP(INDEX(' Toto teams'!$D$4:$D$119,MATCH($B105,' Toto teams'!$A$4:$A$119,0)),Scoring!$A$4:$N$51,4,FALSE()),0)+IFERROR(VLOOKUP(INDEX(' Toto teams'!$D$4:$D$119,MATCH($B105,' Toto teams'!$A$4:$A$119,0)),Scoring!$A$4:$N$51,5,FALSE()),0))+2*(IFERROR(VLOOKUP(INDEX(' Toto teams'!$E$4:$E$119,MATCH($B105,' Toto teams'!$A$4:$A$119,0)),Scoring!$A$4:$N$51,3,FALSE()),0)+IFERROR(VLOOKUP(INDEX(' Toto teams'!$E$4:$E$119,MATCH($B105,' Toto teams'!$A$4:$A$119,0)),Scoring!$A$4:$N$51,4,FALSE()),0)+IFERROR(VLOOKUP(INDEX(' Toto teams'!$E$4:$E$119,MATCH($B105,' Toto teams'!$A$4:$A$119,0)),Scoring!$A$4:$N$51,5,FALSE()),0))+1*(IFERROR(VLOOKUP(INDEX(' Toto teams'!$F$4:$F$119,MATCH($B105,' Toto teams'!$A$4:$A$119,0)),Scoring!$A$4:$N$51,3,FALSE()),0)+IFERROR(VLOOKUP(INDEX(' Toto teams'!$F$4:$F$119,MATCH($B105,' Toto teams'!$A$4:$A$119,0)),Scoring!$A$4:$N$51,4,FALSE()),0)+IFERROR(VLOOKUP(INDEX(' Toto teams'!$F$4:$F$119,MATCH($B105,' Toto teams'!$A$4:$A$119,0)),Scoring!$A$4:$N$51,5,FALSE()),0))+1*(IFERROR(VLOOKUP(INDEX(' Toto teams'!$G$4:$G$119,MATCH($B105,' Toto teams'!$A$4:$A$119,0)),Scoring!$A$4:$N$51,3,FALSE()),0)+IFERROR(VLOOKUP(INDEX(' Toto teams'!$G$4:$G$119,MATCH($B105,' Toto teams'!$A$4:$A$119,0)),Scoring!$A$4:$N$51,4,FALSE()),0)+IFERROR(VLOOKUP(INDEX(' Toto teams'!$G$4:$G$119,MATCH($B105,' Toto teams'!$A$4:$A$119,0)),Scoring!$A$4:$N$51,5,FALSE()),0))+1*(IFERROR(VLOOKUP(INDEX(' Toto teams'!$H$4:$H$119,MATCH($B105,' Toto teams'!$A$4:$A$119,0)),Scoring!$A$4:$N$51,3,FALSE()),0)+IFERROR(VLOOKUP(INDEX(' Toto teams'!$H$4:$H$119,MATCH($B105,' Toto teams'!$A$4:$A$119,0)),Scoring!$A$4:$N$51,4,FALSE()),0)+IFERROR(VLOOKUP(INDEX(' Toto teams'!$H$4:$H$119,MATCH($B105,' Toto teams'!$A$4:$A$119,0)),Scoring!$A$4:$N$51,5,FALSE()),0))+IFERROR(INDEX(' Toto teams'!$Q$4:$Q$119,MATCH($B105,' Toto teams'!$A$4:$A$119,0))*1,0))</f>
        <v/>
      </c>
      <c r="D105" s="28">
        <f>IF($B105="","",6*IFERROR(VLOOKUP(INDEX(' Toto teams'!$B$4:$B$119,MATCH($B105,' Toto teams'!$A$4:$A$119,0)),Scoring!$A$4:$N$51,7,FALSE()),0)+4*IFERROR(VLOOKUP(INDEX(' Toto teams'!$C$4:$C$119,MATCH($B105,' Toto teams'!$A$4:$A$119,0)),Scoring!$A$4:$N$51,7,FALSE()),0)+3*IFERROR(VLOOKUP(INDEX(' Toto teams'!$D$4:$D$119,MATCH($B105,' Toto teams'!$A$4:$A$119,0)),Scoring!$A$4:$N$51,7,FALSE()),0)+2*IFERROR(VLOOKUP(INDEX(' Toto teams'!$E$4:$E$119,MATCH($B105,' Toto teams'!$A$4:$A$119,0)),Scoring!$A$4:$N$51,7,FALSE()),0)+1*IFERROR(VLOOKUP(INDEX(' Toto teams'!$F$4:$F$119,MATCH($B105,' Toto teams'!$A$4:$A$119,0)),Scoring!$A$4:$N$51,7,FALSE()),0)+1*IFERROR(VLOOKUP(INDEX(' Toto teams'!$G$4:$G$119,MATCH($B105,' Toto teams'!$A$4:$A$119,0)),Scoring!$A$4:$N$51,7,FALSE()),0)+1*IFERROR(VLOOKUP(INDEX(' Toto teams'!$H$4:$H$119,MATCH($B105,' Toto teams'!$A$4:$A$119,0)),Scoring!$A$4:$N$51,7,FALSE()),0))</f>
        <v/>
      </c>
      <c r="E105" s="28">
        <f>IF($B105="","",6*IFERROR(VLOOKUP(INDEX(' Toto teams'!$B$4:$B$119,MATCH($B105,' Toto teams'!$A$4:$A$119,0)),Scoring!$A$4:$N$51,8,FALSE()),0)+4*IFERROR(VLOOKUP(INDEX(' Toto teams'!$C$4:$C$119,MATCH($B105,' Toto teams'!$A$4:$A$119,0)),Scoring!$A$4:$N$51,8,FALSE()),0)+3*IFERROR(VLOOKUP(INDEX(' Toto teams'!$D$4:$D$119,MATCH($B105,' Toto teams'!$A$4:$A$119,0)),Scoring!$A$4:$N$51,8,FALSE()),0)+2*IFERROR(VLOOKUP(INDEX(' Toto teams'!$E$4:$E$119,MATCH($B105,' Toto teams'!$A$4:$A$119,0)),Scoring!$A$4:$N$51,8,FALSE()),0)+1*IFERROR(VLOOKUP(INDEX(' Toto teams'!$F$4:$F$119,MATCH($B105,' Toto teams'!$A$4:$A$119,0)),Scoring!$A$4:$N$51,8,FALSE()),0)+1*IFERROR(VLOOKUP(INDEX(' Toto teams'!$G$4:$G$119,MATCH($B105,' Toto teams'!$A$4:$A$119,0)),Scoring!$A$4:$N$51,8,FALSE()),0)+1*IFERROR(VLOOKUP(INDEX(' Toto teams'!$H$4:$H$119,MATCH($B105,' Toto teams'!$A$4:$A$119,0)),Scoring!$A$4:$N$51,8,FALSE()),0))</f>
        <v/>
      </c>
      <c r="F105" s="28">
        <f>IF($B105="","",6*IFERROR(VLOOKUP(INDEX(' Toto teams'!$B$4:$B$119,MATCH($B105,' Toto teams'!$A$4:$A$119,0)),Scoring!$A$4:$N$51,9,FALSE()),0)+4*IFERROR(VLOOKUP(INDEX(' Toto teams'!$C$4:$C$119,MATCH($B105,' Toto teams'!$A$4:$A$119,0)),Scoring!$A$4:$N$51,9,FALSE()),0)+3*IFERROR(VLOOKUP(INDEX(' Toto teams'!$D$4:$D$119,MATCH($B105,' Toto teams'!$A$4:$A$119,0)),Scoring!$A$4:$N$51,9,FALSE()),0)+2*IFERROR(VLOOKUP(INDEX(' Toto teams'!$E$4:$E$119,MATCH($B105,' Toto teams'!$A$4:$A$119,0)),Scoring!$A$4:$N$51,9,FALSE()),0)+1*IFERROR(VLOOKUP(INDEX(' Toto teams'!$F$4:$F$119,MATCH($B105,' Toto teams'!$A$4:$A$119,0)),Scoring!$A$4:$N$51,9,FALSE()),0)+1*IFERROR(VLOOKUP(INDEX(' Toto teams'!$G$4:$G$119,MATCH($B105,' Toto teams'!$A$4:$A$119,0)),Scoring!$A$4:$N$51,9,FALSE()),0)+1*IFERROR(VLOOKUP(INDEX(' Toto teams'!$H$4:$H$119,MATCH($B105,' Toto teams'!$A$4:$A$119,0)),Scoring!$A$4:$N$51,9,FALSE()),0))</f>
        <v/>
      </c>
      <c r="G105" s="28">
        <f>IF($B105="","",6*IFERROR(VLOOKUP(INDEX(' Toto teams'!$B$4:$B$119,MATCH($B105,' Toto teams'!$A$4:$A$119,0)),Scoring!$A$4:$N$51,10,FALSE()),0)+4*IFERROR(VLOOKUP(INDEX(' Toto teams'!$C$4:$C$119,MATCH($B105,' Toto teams'!$A$4:$A$119,0)),Scoring!$A$4:$N$51,10,FALSE()),0)+3*IFERROR(VLOOKUP(INDEX(' Toto teams'!$D$4:$D$119,MATCH($B105,' Toto teams'!$A$4:$A$119,0)),Scoring!$A$4:$N$51,10,FALSE()),0)+2*IFERROR(VLOOKUP(INDEX(' Toto teams'!$E$4:$E$119,MATCH($B105,' Toto teams'!$A$4:$A$119,0)),Scoring!$A$4:$N$51,10,FALSE()),0)+1*IFERROR(VLOOKUP(INDEX(' Toto teams'!$F$4:$F$119,MATCH($B105,' Toto teams'!$A$4:$A$119,0)),Scoring!$A$4:$N$51,10,FALSE()),0)+1*IFERROR(VLOOKUP(INDEX(' Toto teams'!$G$4:$G$119,MATCH($B105,' Toto teams'!$A$4:$A$119,0)),Scoring!$A$4:$N$51,10,FALSE()),0)+1*IFERROR(VLOOKUP(INDEX(' Toto teams'!$H$4:$H$119,MATCH($B105,' Toto teams'!$A$4:$A$119,0)),Scoring!$A$4:$N$51,10,FALSE()),0))</f>
        <v/>
      </c>
      <c r="H105" s="28">
        <f>IF($B105="","",6*IFERROR(VLOOKUP(INDEX(' Toto teams'!$B$4:$B$119,MATCH($B105,' Toto teams'!$A$4:$A$119,0)),Scoring!$A$4:$N$51,11,FALSE()),0)+4*IFERROR(VLOOKUP(INDEX(' Toto teams'!$C$4:$C$119,MATCH($B105,' Toto teams'!$A$4:$A$119,0)),Scoring!$A$4:$N$51,11,FALSE()),0)+3*IFERROR(VLOOKUP(INDEX(' Toto teams'!$D$4:$D$119,MATCH($B105,' Toto teams'!$A$4:$A$119,0)),Scoring!$A$4:$N$51,11,FALSE()),0)+2*IFERROR(VLOOKUP(INDEX(' Toto teams'!$E$4:$E$119,MATCH($B105,' Toto teams'!$A$4:$A$119,0)),Scoring!$A$4:$N$51,11,FALSE()),0)+1*IFERROR(VLOOKUP(INDEX(' Toto teams'!$F$4:$F$119,MATCH($B105,' Toto teams'!$A$4:$A$119,0)),Scoring!$A$4:$N$51,11,FALSE()),0)+1*IFERROR(VLOOKUP(INDEX(' Toto teams'!$G$4:$G$119,MATCH($B105,' Toto teams'!$A$4:$A$119,0)),Scoring!$A$4:$N$51,11,FALSE()),0)+1*IFERROR(VLOOKUP(INDEX(' Toto teams'!$H$4:$H$119,MATCH($B105,' Toto teams'!$A$4:$A$119,0)),Scoring!$A$4:$N$51,11,FALSE()),0))</f>
        <v/>
      </c>
      <c r="I105" s="28">
        <f>IF($B105="","",6*IFERROR(VLOOKUP(INDEX(' Toto teams'!$B$4:$B$119,MATCH($B105,' Toto teams'!$A$4:$A$119,0)),Scoring!$A$4:$O$51,15,FALSE()),0)+4*IFERROR(VLOOKUP(INDEX(' Toto teams'!$C$4:$C$119,MATCH($B105,' Toto teams'!$A$4:$A$119,0)),Scoring!$A$4:$O$51,15,FALSE()),0)+3*IFERROR(VLOOKUP(INDEX(' Toto teams'!$D$4:$D$119,MATCH($B105,' Toto teams'!$A$4:$A$119,0)),Scoring!$A$4:$O$51,15,FALSE()),0)+2*IFERROR(VLOOKUP(INDEX(' Toto teams'!$E$4:$E$119,MATCH($B105,' Toto teams'!$A$4:$A$119,0)),Scoring!$A$4:$O$51,15,FALSE()),0)+1*IFERROR(VLOOKUP(INDEX(' Toto teams'!$F$4:$F$119,MATCH($B105,' Toto teams'!$A$4:$A$119,0)),Scoring!$A$4:$O$51,15,FALSE()),0)+1*IFERROR(VLOOKUP(INDEX(' Toto teams'!$G$4:$G$119,MATCH($B105,' Toto teams'!$A$4:$A$119,0)),Scoring!$A$4:$O$51,15,FALSE()),0)+1*IFERROR(VLOOKUP(INDEX(' Toto teams'!$H$4:$H$119,MATCH($B105,' Toto teams'!$A$4:$A$119,0)),Scoring!$A$4:$O$51,15,FALSE()),0))</f>
        <v/>
      </c>
      <c r="J105" s="28">
        <f>IF($B105="","",6*IFERROR(VLOOKUP(INDEX(' Toto teams'!$B$4:$B$119,MATCH($B105,' Toto teams'!$A$4:$A$119,0)),Scoring!$A$4:$N$51,12,FALSE()),0)+4*IFERROR(VLOOKUP(INDEX(' Toto teams'!$C$4:$C$119,MATCH($B105,' Toto teams'!$A$4:$A$119,0)),Scoring!$A$4:$N$51,12,FALSE()),0)+3*IFERROR(VLOOKUP(INDEX(' Toto teams'!$D$4:$D$119,MATCH($B105,' Toto teams'!$A$4:$A$119,0)),Scoring!$A$4:$N$51,12,FALSE()),0)+2*IFERROR(VLOOKUP(INDEX(' Toto teams'!$E$4:$E$119,MATCH($B105,' Toto teams'!$A$4:$A$119,0)),Scoring!$A$4:$N$51,12,FALSE()),0)+1*IFERROR(VLOOKUP(INDEX(' Toto teams'!$F$4:$F$119,MATCH($B105,' Toto teams'!$A$4:$A$119,0)),Scoring!$A$4:$N$51,12,FALSE()),0)+1*IFERROR(VLOOKUP(INDEX(' Toto teams'!$G$4:$G$119,MATCH($B105,' Toto teams'!$A$4:$A$119,0)),Scoring!$A$4:$N$51,12,FALSE()),0)+1*IFERROR(VLOOKUP(INDEX(' Toto teams'!$H$4:$H$119,MATCH($B105,' Toto teams'!$A$4:$A$119,0)),Scoring!$A$4:$N$51,12,FALSE()),0))</f>
        <v/>
      </c>
      <c r="K105" s="29">
        <f>IF($B105="","",IFERROR(INDEX(' Toto teams'!$R$4:$R$119,MATCH($B105,' Toto teams'!$A$4:$A$119,0)),""))</f>
        <v/>
      </c>
      <c r="L105" s="30">
        <f>IFERROR(IF(B105="","",VLOOKUP(A105,$N$4:$R$12,5,FALSE())),0)</f>
        <v/>
      </c>
    </row>
    <row r="106" ht="13.5" customHeight="1">
      <c r="A106" s="26">
        <f>IF(103&gt;COUNTIF(' Toto teams'!$A$4:$A$119,"&lt;&gt;"),"",INDEX(' Toto teams'!$S$4:$S$119,MATCH(LARGE(' Toto teams'!$T$4:$T$119,103),' Toto teams'!$T$4:$T$119,0)))</f>
        <v/>
      </c>
      <c r="B106" s="27">
        <f>IF(103&gt;COUNTIF(' Toto teams'!$A$4:$A$119,"&lt;&gt;"),"",INDEX(' Toto teams'!$A$4:$A$119,MATCH(LARGE(' Toto teams'!$T$4:$T$119,103),' Toto teams'!$T$4:$T$119,0)))</f>
        <v/>
      </c>
      <c r="C106" s="28">
        <f>IF($B106="","",6*(IFERROR(VLOOKUP(INDEX(' Toto teams'!$B$4:$B$119,MATCH($B106,' Toto teams'!$A$4:$A$119,0)),Scoring!$A$4:$N$51,3,FALSE()),0)+IFERROR(VLOOKUP(INDEX(' Toto teams'!$B$4:$B$119,MATCH($B106,' Toto teams'!$A$4:$A$119,0)),Scoring!$A$4:$N$51,4,FALSE()),0)+IFERROR(VLOOKUP(INDEX(' Toto teams'!$B$4:$B$119,MATCH($B106,' Toto teams'!$A$4:$A$119,0)),Scoring!$A$4:$N$51,5,FALSE()),0))+4*(IFERROR(VLOOKUP(INDEX(' Toto teams'!$C$4:$C$119,MATCH($B106,' Toto teams'!$A$4:$A$119,0)),Scoring!$A$4:$N$51,3,FALSE()),0)+IFERROR(VLOOKUP(INDEX(' Toto teams'!$C$4:$C$119,MATCH($B106,' Toto teams'!$A$4:$A$119,0)),Scoring!$A$4:$N$51,4,FALSE()),0)+IFERROR(VLOOKUP(INDEX(' Toto teams'!$C$4:$C$119,MATCH($B106,' Toto teams'!$A$4:$A$119,0)),Scoring!$A$4:$N$51,5,FALSE()),0))+3*(IFERROR(VLOOKUP(INDEX(' Toto teams'!$D$4:$D$119,MATCH($B106,' Toto teams'!$A$4:$A$119,0)),Scoring!$A$4:$N$51,3,FALSE()),0)+IFERROR(VLOOKUP(INDEX(' Toto teams'!$D$4:$D$119,MATCH($B106,' Toto teams'!$A$4:$A$119,0)),Scoring!$A$4:$N$51,4,FALSE()),0)+IFERROR(VLOOKUP(INDEX(' Toto teams'!$D$4:$D$119,MATCH($B106,' Toto teams'!$A$4:$A$119,0)),Scoring!$A$4:$N$51,5,FALSE()),0))+2*(IFERROR(VLOOKUP(INDEX(' Toto teams'!$E$4:$E$119,MATCH($B106,' Toto teams'!$A$4:$A$119,0)),Scoring!$A$4:$N$51,3,FALSE()),0)+IFERROR(VLOOKUP(INDEX(' Toto teams'!$E$4:$E$119,MATCH($B106,' Toto teams'!$A$4:$A$119,0)),Scoring!$A$4:$N$51,4,FALSE()),0)+IFERROR(VLOOKUP(INDEX(' Toto teams'!$E$4:$E$119,MATCH($B106,' Toto teams'!$A$4:$A$119,0)),Scoring!$A$4:$N$51,5,FALSE()),0))+1*(IFERROR(VLOOKUP(INDEX(' Toto teams'!$F$4:$F$119,MATCH($B106,' Toto teams'!$A$4:$A$119,0)),Scoring!$A$4:$N$51,3,FALSE()),0)+IFERROR(VLOOKUP(INDEX(' Toto teams'!$F$4:$F$119,MATCH($B106,' Toto teams'!$A$4:$A$119,0)),Scoring!$A$4:$N$51,4,FALSE()),0)+IFERROR(VLOOKUP(INDEX(' Toto teams'!$F$4:$F$119,MATCH($B106,' Toto teams'!$A$4:$A$119,0)),Scoring!$A$4:$N$51,5,FALSE()),0))+1*(IFERROR(VLOOKUP(INDEX(' Toto teams'!$G$4:$G$119,MATCH($B106,' Toto teams'!$A$4:$A$119,0)),Scoring!$A$4:$N$51,3,FALSE()),0)+IFERROR(VLOOKUP(INDEX(' Toto teams'!$G$4:$G$119,MATCH($B106,' Toto teams'!$A$4:$A$119,0)),Scoring!$A$4:$N$51,4,FALSE()),0)+IFERROR(VLOOKUP(INDEX(' Toto teams'!$G$4:$G$119,MATCH($B106,' Toto teams'!$A$4:$A$119,0)),Scoring!$A$4:$N$51,5,FALSE()),0))+1*(IFERROR(VLOOKUP(INDEX(' Toto teams'!$H$4:$H$119,MATCH($B106,' Toto teams'!$A$4:$A$119,0)),Scoring!$A$4:$N$51,3,FALSE()),0)+IFERROR(VLOOKUP(INDEX(' Toto teams'!$H$4:$H$119,MATCH($B106,' Toto teams'!$A$4:$A$119,0)),Scoring!$A$4:$N$51,4,FALSE()),0)+IFERROR(VLOOKUP(INDEX(' Toto teams'!$H$4:$H$119,MATCH($B106,' Toto teams'!$A$4:$A$119,0)),Scoring!$A$4:$N$51,5,FALSE()),0))+IFERROR(INDEX(' Toto teams'!$Q$4:$Q$119,MATCH($B106,' Toto teams'!$A$4:$A$119,0))*1,0))</f>
        <v/>
      </c>
      <c r="D106" s="28">
        <f>IF($B106="","",6*IFERROR(VLOOKUP(INDEX(' Toto teams'!$B$4:$B$119,MATCH($B106,' Toto teams'!$A$4:$A$119,0)),Scoring!$A$4:$N$51,7,FALSE()),0)+4*IFERROR(VLOOKUP(INDEX(' Toto teams'!$C$4:$C$119,MATCH($B106,' Toto teams'!$A$4:$A$119,0)),Scoring!$A$4:$N$51,7,FALSE()),0)+3*IFERROR(VLOOKUP(INDEX(' Toto teams'!$D$4:$D$119,MATCH($B106,' Toto teams'!$A$4:$A$119,0)),Scoring!$A$4:$N$51,7,FALSE()),0)+2*IFERROR(VLOOKUP(INDEX(' Toto teams'!$E$4:$E$119,MATCH($B106,' Toto teams'!$A$4:$A$119,0)),Scoring!$A$4:$N$51,7,FALSE()),0)+1*IFERROR(VLOOKUP(INDEX(' Toto teams'!$F$4:$F$119,MATCH($B106,' Toto teams'!$A$4:$A$119,0)),Scoring!$A$4:$N$51,7,FALSE()),0)+1*IFERROR(VLOOKUP(INDEX(' Toto teams'!$G$4:$G$119,MATCH($B106,' Toto teams'!$A$4:$A$119,0)),Scoring!$A$4:$N$51,7,FALSE()),0)+1*IFERROR(VLOOKUP(INDEX(' Toto teams'!$H$4:$H$119,MATCH($B106,' Toto teams'!$A$4:$A$119,0)),Scoring!$A$4:$N$51,7,FALSE()),0))</f>
        <v/>
      </c>
      <c r="E106" s="28">
        <f>IF($B106="","",6*IFERROR(VLOOKUP(INDEX(' Toto teams'!$B$4:$B$119,MATCH($B106,' Toto teams'!$A$4:$A$119,0)),Scoring!$A$4:$N$51,8,FALSE()),0)+4*IFERROR(VLOOKUP(INDEX(' Toto teams'!$C$4:$C$119,MATCH($B106,' Toto teams'!$A$4:$A$119,0)),Scoring!$A$4:$N$51,8,FALSE()),0)+3*IFERROR(VLOOKUP(INDEX(' Toto teams'!$D$4:$D$119,MATCH($B106,' Toto teams'!$A$4:$A$119,0)),Scoring!$A$4:$N$51,8,FALSE()),0)+2*IFERROR(VLOOKUP(INDEX(' Toto teams'!$E$4:$E$119,MATCH($B106,' Toto teams'!$A$4:$A$119,0)),Scoring!$A$4:$N$51,8,FALSE()),0)+1*IFERROR(VLOOKUP(INDEX(' Toto teams'!$F$4:$F$119,MATCH($B106,' Toto teams'!$A$4:$A$119,0)),Scoring!$A$4:$N$51,8,FALSE()),0)+1*IFERROR(VLOOKUP(INDEX(' Toto teams'!$G$4:$G$119,MATCH($B106,' Toto teams'!$A$4:$A$119,0)),Scoring!$A$4:$N$51,8,FALSE()),0)+1*IFERROR(VLOOKUP(INDEX(' Toto teams'!$H$4:$H$119,MATCH($B106,' Toto teams'!$A$4:$A$119,0)),Scoring!$A$4:$N$51,8,FALSE()),0))</f>
        <v/>
      </c>
      <c r="F106" s="28">
        <f>IF($B106="","",6*IFERROR(VLOOKUP(INDEX(' Toto teams'!$B$4:$B$119,MATCH($B106,' Toto teams'!$A$4:$A$119,0)),Scoring!$A$4:$N$51,9,FALSE()),0)+4*IFERROR(VLOOKUP(INDEX(' Toto teams'!$C$4:$C$119,MATCH($B106,' Toto teams'!$A$4:$A$119,0)),Scoring!$A$4:$N$51,9,FALSE()),0)+3*IFERROR(VLOOKUP(INDEX(' Toto teams'!$D$4:$D$119,MATCH($B106,' Toto teams'!$A$4:$A$119,0)),Scoring!$A$4:$N$51,9,FALSE()),0)+2*IFERROR(VLOOKUP(INDEX(' Toto teams'!$E$4:$E$119,MATCH($B106,' Toto teams'!$A$4:$A$119,0)),Scoring!$A$4:$N$51,9,FALSE()),0)+1*IFERROR(VLOOKUP(INDEX(' Toto teams'!$F$4:$F$119,MATCH($B106,' Toto teams'!$A$4:$A$119,0)),Scoring!$A$4:$N$51,9,FALSE()),0)+1*IFERROR(VLOOKUP(INDEX(' Toto teams'!$G$4:$G$119,MATCH($B106,' Toto teams'!$A$4:$A$119,0)),Scoring!$A$4:$N$51,9,FALSE()),0)+1*IFERROR(VLOOKUP(INDEX(' Toto teams'!$H$4:$H$119,MATCH($B106,' Toto teams'!$A$4:$A$119,0)),Scoring!$A$4:$N$51,9,FALSE()),0))</f>
        <v/>
      </c>
      <c r="G106" s="28">
        <f>IF($B106="","",6*IFERROR(VLOOKUP(INDEX(' Toto teams'!$B$4:$B$119,MATCH($B106,' Toto teams'!$A$4:$A$119,0)),Scoring!$A$4:$N$51,10,FALSE()),0)+4*IFERROR(VLOOKUP(INDEX(' Toto teams'!$C$4:$C$119,MATCH($B106,' Toto teams'!$A$4:$A$119,0)),Scoring!$A$4:$N$51,10,FALSE()),0)+3*IFERROR(VLOOKUP(INDEX(' Toto teams'!$D$4:$D$119,MATCH($B106,' Toto teams'!$A$4:$A$119,0)),Scoring!$A$4:$N$51,10,FALSE()),0)+2*IFERROR(VLOOKUP(INDEX(' Toto teams'!$E$4:$E$119,MATCH($B106,' Toto teams'!$A$4:$A$119,0)),Scoring!$A$4:$N$51,10,FALSE()),0)+1*IFERROR(VLOOKUP(INDEX(' Toto teams'!$F$4:$F$119,MATCH($B106,' Toto teams'!$A$4:$A$119,0)),Scoring!$A$4:$N$51,10,FALSE()),0)+1*IFERROR(VLOOKUP(INDEX(' Toto teams'!$G$4:$G$119,MATCH($B106,' Toto teams'!$A$4:$A$119,0)),Scoring!$A$4:$N$51,10,FALSE()),0)+1*IFERROR(VLOOKUP(INDEX(' Toto teams'!$H$4:$H$119,MATCH($B106,' Toto teams'!$A$4:$A$119,0)),Scoring!$A$4:$N$51,10,FALSE()),0))</f>
        <v/>
      </c>
      <c r="H106" s="28">
        <f>IF($B106="","",6*IFERROR(VLOOKUP(INDEX(' Toto teams'!$B$4:$B$119,MATCH($B106,' Toto teams'!$A$4:$A$119,0)),Scoring!$A$4:$N$51,11,FALSE()),0)+4*IFERROR(VLOOKUP(INDEX(' Toto teams'!$C$4:$C$119,MATCH($B106,' Toto teams'!$A$4:$A$119,0)),Scoring!$A$4:$N$51,11,FALSE()),0)+3*IFERROR(VLOOKUP(INDEX(' Toto teams'!$D$4:$D$119,MATCH($B106,' Toto teams'!$A$4:$A$119,0)),Scoring!$A$4:$N$51,11,FALSE()),0)+2*IFERROR(VLOOKUP(INDEX(' Toto teams'!$E$4:$E$119,MATCH($B106,' Toto teams'!$A$4:$A$119,0)),Scoring!$A$4:$N$51,11,FALSE()),0)+1*IFERROR(VLOOKUP(INDEX(' Toto teams'!$F$4:$F$119,MATCH($B106,' Toto teams'!$A$4:$A$119,0)),Scoring!$A$4:$N$51,11,FALSE()),0)+1*IFERROR(VLOOKUP(INDEX(' Toto teams'!$G$4:$G$119,MATCH($B106,' Toto teams'!$A$4:$A$119,0)),Scoring!$A$4:$N$51,11,FALSE()),0)+1*IFERROR(VLOOKUP(INDEX(' Toto teams'!$H$4:$H$119,MATCH($B106,' Toto teams'!$A$4:$A$119,0)),Scoring!$A$4:$N$51,11,FALSE()),0))</f>
        <v/>
      </c>
      <c r="I106" s="28">
        <f>IF($B106="","",6*IFERROR(VLOOKUP(INDEX(' Toto teams'!$B$4:$B$119,MATCH($B106,' Toto teams'!$A$4:$A$119,0)),Scoring!$A$4:$O$51,15,FALSE()),0)+4*IFERROR(VLOOKUP(INDEX(' Toto teams'!$C$4:$C$119,MATCH($B106,' Toto teams'!$A$4:$A$119,0)),Scoring!$A$4:$O$51,15,FALSE()),0)+3*IFERROR(VLOOKUP(INDEX(' Toto teams'!$D$4:$D$119,MATCH($B106,' Toto teams'!$A$4:$A$119,0)),Scoring!$A$4:$O$51,15,FALSE()),0)+2*IFERROR(VLOOKUP(INDEX(' Toto teams'!$E$4:$E$119,MATCH($B106,' Toto teams'!$A$4:$A$119,0)),Scoring!$A$4:$O$51,15,FALSE()),0)+1*IFERROR(VLOOKUP(INDEX(' Toto teams'!$F$4:$F$119,MATCH($B106,' Toto teams'!$A$4:$A$119,0)),Scoring!$A$4:$O$51,15,FALSE()),0)+1*IFERROR(VLOOKUP(INDEX(' Toto teams'!$G$4:$G$119,MATCH($B106,' Toto teams'!$A$4:$A$119,0)),Scoring!$A$4:$O$51,15,FALSE()),0)+1*IFERROR(VLOOKUP(INDEX(' Toto teams'!$H$4:$H$119,MATCH($B106,' Toto teams'!$A$4:$A$119,0)),Scoring!$A$4:$O$51,15,FALSE()),0))</f>
        <v/>
      </c>
      <c r="J106" s="28">
        <f>IF($B106="","",6*IFERROR(VLOOKUP(INDEX(' Toto teams'!$B$4:$B$119,MATCH($B106,' Toto teams'!$A$4:$A$119,0)),Scoring!$A$4:$N$51,12,FALSE()),0)+4*IFERROR(VLOOKUP(INDEX(' Toto teams'!$C$4:$C$119,MATCH($B106,' Toto teams'!$A$4:$A$119,0)),Scoring!$A$4:$N$51,12,FALSE()),0)+3*IFERROR(VLOOKUP(INDEX(' Toto teams'!$D$4:$D$119,MATCH($B106,' Toto teams'!$A$4:$A$119,0)),Scoring!$A$4:$N$51,12,FALSE()),0)+2*IFERROR(VLOOKUP(INDEX(' Toto teams'!$E$4:$E$119,MATCH($B106,' Toto teams'!$A$4:$A$119,0)),Scoring!$A$4:$N$51,12,FALSE()),0)+1*IFERROR(VLOOKUP(INDEX(' Toto teams'!$F$4:$F$119,MATCH($B106,' Toto teams'!$A$4:$A$119,0)),Scoring!$A$4:$N$51,12,FALSE()),0)+1*IFERROR(VLOOKUP(INDEX(' Toto teams'!$G$4:$G$119,MATCH($B106,' Toto teams'!$A$4:$A$119,0)),Scoring!$A$4:$N$51,12,FALSE()),0)+1*IFERROR(VLOOKUP(INDEX(' Toto teams'!$H$4:$H$119,MATCH($B106,' Toto teams'!$A$4:$A$119,0)),Scoring!$A$4:$N$51,12,FALSE()),0))</f>
        <v/>
      </c>
      <c r="K106" s="29">
        <f>IF($B106="","",IFERROR(INDEX(' Toto teams'!$R$4:$R$119,MATCH($B106,' Toto teams'!$A$4:$A$119,0)),""))</f>
        <v/>
      </c>
      <c r="L106" s="30">
        <f>IFERROR(IF(B106="","",VLOOKUP(A106,$N$4:$R$12,5,FALSE())),0)</f>
        <v/>
      </c>
    </row>
    <row r="107" ht="13.5" customHeight="1">
      <c r="A107" s="26">
        <f>IF(104&gt;COUNTIF(' Toto teams'!$A$4:$A$119,"&lt;&gt;"),"",INDEX(' Toto teams'!$S$4:$S$119,MATCH(LARGE(' Toto teams'!$T$4:$T$119,104),' Toto teams'!$T$4:$T$119,0)))</f>
        <v/>
      </c>
      <c r="B107" s="27">
        <f>IF(104&gt;COUNTIF(' Toto teams'!$A$4:$A$119,"&lt;&gt;"),"",INDEX(' Toto teams'!$A$4:$A$119,MATCH(LARGE(' Toto teams'!$T$4:$T$119,104),' Toto teams'!$T$4:$T$119,0)))</f>
        <v/>
      </c>
      <c r="C107" s="28">
        <f>IF($B107="","",6*(IFERROR(VLOOKUP(INDEX(' Toto teams'!$B$4:$B$119,MATCH($B107,' Toto teams'!$A$4:$A$119,0)),Scoring!$A$4:$N$51,3,FALSE()),0)+IFERROR(VLOOKUP(INDEX(' Toto teams'!$B$4:$B$119,MATCH($B107,' Toto teams'!$A$4:$A$119,0)),Scoring!$A$4:$N$51,4,FALSE()),0)+IFERROR(VLOOKUP(INDEX(' Toto teams'!$B$4:$B$119,MATCH($B107,' Toto teams'!$A$4:$A$119,0)),Scoring!$A$4:$N$51,5,FALSE()),0))+4*(IFERROR(VLOOKUP(INDEX(' Toto teams'!$C$4:$C$119,MATCH($B107,' Toto teams'!$A$4:$A$119,0)),Scoring!$A$4:$N$51,3,FALSE()),0)+IFERROR(VLOOKUP(INDEX(' Toto teams'!$C$4:$C$119,MATCH($B107,' Toto teams'!$A$4:$A$119,0)),Scoring!$A$4:$N$51,4,FALSE()),0)+IFERROR(VLOOKUP(INDEX(' Toto teams'!$C$4:$C$119,MATCH($B107,' Toto teams'!$A$4:$A$119,0)),Scoring!$A$4:$N$51,5,FALSE()),0))+3*(IFERROR(VLOOKUP(INDEX(' Toto teams'!$D$4:$D$119,MATCH($B107,' Toto teams'!$A$4:$A$119,0)),Scoring!$A$4:$N$51,3,FALSE()),0)+IFERROR(VLOOKUP(INDEX(' Toto teams'!$D$4:$D$119,MATCH($B107,' Toto teams'!$A$4:$A$119,0)),Scoring!$A$4:$N$51,4,FALSE()),0)+IFERROR(VLOOKUP(INDEX(' Toto teams'!$D$4:$D$119,MATCH($B107,' Toto teams'!$A$4:$A$119,0)),Scoring!$A$4:$N$51,5,FALSE()),0))+2*(IFERROR(VLOOKUP(INDEX(' Toto teams'!$E$4:$E$119,MATCH($B107,' Toto teams'!$A$4:$A$119,0)),Scoring!$A$4:$N$51,3,FALSE()),0)+IFERROR(VLOOKUP(INDEX(' Toto teams'!$E$4:$E$119,MATCH($B107,' Toto teams'!$A$4:$A$119,0)),Scoring!$A$4:$N$51,4,FALSE()),0)+IFERROR(VLOOKUP(INDEX(' Toto teams'!$E$4:$E$119,MATCH($B107,' Toto teams'!$A$4:$A$119,0)),Scoring!$A$4:$N$51,5,FALSE()),0))+1*(IFERROR(VLOOKUP(INDEX(' Toto teams'!$F$4:$F$119,MATCH($B107,' Toto teams'!$A$4:$A$119,0)),Scoring!$A$4:$N$51,3,FALSE()),0)+IFERROR(VLOOKUP(INDEX(' Toto teams'!$F$4:$F$119,MATCH($B107,' Toto teams'!$A$4:$A$119,0)),Scoring!$A$4:$N$51,4,FALSE()),0)+IFERROR(VLOOKUP(INDEX(' Toto teams'!$F$4:$F$119,MATCH($B107,' Toto teams'!$A$4:$A$119,0)),Scoring!$A$4:$N$51,5,FALSE()),0))+1*(IFERROR(VLOOKUP(INDEX(' Toto teams'!$G$4:$G$119,MATCH($B107,' Toto teams'!$A$4:$A$119,0)),Scoring!$A$4:$N$51,3,FALSE()),0)+IFERROR(VLOOKUP(INDEX(' Toto teams'!$G$4:$G$119,MATCH($B107,' Toto teams'!$A$4:$A$119,0)),Scoring!$A$4:$N$51,4,FALSE()),0)+IFERROR(VLOOKUP(INDEX(' Toto teams'!$G$4:$G$119,MATCH($B107,' Toto teams'!$A$4:$A$119,0)),Scoring!$A$4:$N$51,5,FALSE()),0))+1*(IFERROR(VLOOKUP(INDEX(' Toto teams'!$H$4:$H$119,MATCH($B107,' Toto teams'!$A$4:$A$119,0)),Scoring!$A$4:$N$51,3,FALSE()),0)+IFERROR(VLOOKUP(INDEX(' Toto teams'!$H$4:$H$119,MATCH($B107,' Toto teams'!$A$4:$A$119,0)),Scoring!$A$4:$N$51,4,FALSE()),0)+IFERROR(VLOOKUP(INDEX(' Toto teams'!$H$4:$H$119,MATCH($B107,' Toto teams'!$A$4:$A$119,0)),Scoring!$A$4:$N$51,5,FALSE()),0))+IFERROR(INDEX(' Toto teams'!$Q$4:$Q$119,MATCH($B107,' Toto teams'!$A$4:$A$119,0))*1,0))</f>
        <v/>
      </c>
      <c r="D107" s="28">
        <f>IF($B107="","",6*IFERROR(VLOOKUP(INDEX(' Toto teams'!$B$4:$B$119,MATCH($B107,' Toto teams'!$A$4:$A$119,0)),Scoring!$A$4:$N$51,7,FALSE()),0)+4*IFERROR(VLOOKUP(INDEX(' Toto teams'!$C$4:$C$119,MATCH($B107,' Toto teams'!$A$4:$A$119,0)),Scoring!$A$4:$N$51,7,FALSE()),0)+3*IFERROR(VLOOKUP(INDEX(' Toto teams'!$D$4:$D$119,MATCH($B107,' Toto teams'!$A$4:$A$119,0)),Scoring!$A$4:$N$51,7,FALSE()),0)+2*IFERROR(VLOOKUP(INDEX(' Toto teams'!$E$4:$E$119,MATCH($B107,' Toto teams'!$A$4:$A$119,0)),Scoring!$A$4:$N$51,7,FALSE()),0)+1*IFERROR(VLOOKUP(INDEX(' Toto teams'!$F$4:$F$119,MATCH($B107,' Toto teams'!$A$4:$A$119,0)),Scoring!$A$4:$N$51,7,FALSE()),0)+1*IFERROR(VLOOKUP(INDEX(' Toto teams'!$G$4:$G$119,MATCH($B107,' Toto teams'!$A$4:$A$119,0)),Scoring!$A$4:$N$51,7,FALSE()),0)+1*IFERROR(VLOOKUP(INDEX(' Toto teams'!$H$4:$H$119,MATCH($B107,' Toto teams'!$A$4:$A$119,0)),Scoring!$A$4:$N$51,7,FALSE()),0))</f>
        <v/>
      </c>
      <c r="E107" s="28">
        <f>IF($B107="","",6*IFERROR(VLOOKUP(INDEX(' Toto teams'!$B$4:$B$119,MATCH($B107,' Toto teams'!$A$4:$A$119,0)),Scoring!$A$4:$N$51,8,FALSE()),0)+4*IFERROR(VLOOKUP(INDEX(' Toto teams'!$C$4:$C$119,MATCH($B107,' Toto teams'!$A$4:$A$119,0)),Scoring!$A$4:$N$51,8,FALSE()),0)+3*IFERROR(VLOOKUP(INDEX(' Toto teams'!$D$4:$D$119,MATCH($B107,' Toto teams'!$A$4:$A$119,0)),Scoring!$A$4:$N$51,8,FALSE()),0)+2*IFERROR(VLOOKUP(INDEX(' Toto teams'!$E$4:$E$119,MATCH($B107,' Toto teams'!$A$4:$A$119,0)),Scoring!$A$4:$N$51,8,FALSE()),0)+1*IFERROR(VLOOKUP(INDEX(' Toto teams'!$F$4:$F$119,MATCH($B107,' Toto teams'!$A$4:$A$119,0)),Scoring!$A$4:$N$51,8,FALSE()),0)+1*IFERROR(VLOOKUP(INDEX(' Toto teams'!$G$4:$G$119,MATCH($B107,' Toto teams'!$A$4:$A$119,0)),Scoring!$A$4:$N$51,8,FALSE()),0)+1*IFERROR(VLOOKUP(INDEX(' Toto teams'!$H$4:$H$119,MATCH($B107,' Toto teams'!$A$4:$A$119,0)),Scoring!$A$4:$N$51,8,FALSE()),0))</f>
        <v/>
      </c>
      <c r="F107" s="28">
        <f>IF($B107="","",6*IFERROR(VLOOKUP(INDEX(' Toto teams'!$B$4:$B$119,MATCH($B107,' Toto teams'!$A$4:$A$119,0)),Scoring!$A$4:$N$51,9,FALSE()),0)+4*IFERROR(VLOOKUP(INDEX(' Toto teams'!$C$4:$C$119,MATCH($B107,' Toto teams'!$A$4:$A$119,0)),Scoring!$A$4:$N$51,9,FALSE()),0)+3*IFERROR(VLOOKUP(INDEX(' Toto teams'!$D$4:$D$119,MATCH($B107,' Toto teams'!$A$4:$A$119,0)),Scoring!$A$4:$N$51,9,FALSE()),0)+2*IFERROR(VLOOKUP(INDEX(' Toto teams'!$E$4:$E$119,MATCH($B107,' Toto teams'!$A$4:$A$119,0)),Scoring!$A$4:$N$51,9,FALSE()),0)+1*IFERROR(VLOOKUP(INDEX(' Toto teams'!$F$4:$F$119,MATCH($B107,' Toto teams'!$A$4:$A$119,0)),Scoring!$A$4:$N$51,9,FALSE()),0)+1*IFERROR(VLOOKUP(INDEX(' Toto teams'!$G$4:$G$119,MATCH($B107,' Toto teams'!$A$4:$A$119,0)),Scoring!$A$4:$N$51,9,FALSE()),0)+1*IFERROR(VLOOKUP(INDEX(' Toto teams'!$H$4:$H$119,MATCH($B107,' Toto teams'!$A$4:$A$119,0)),Scoring!$A$4:$N$51,9,FALSE()),0))</f>
        <v/>
      </c>
      <c r="G107" s="28">
        <f>IF($B107="","",6*IFERROR(VLOOKUP(INDEX(' Toto teams'!$B$4:$B$119,MATCH($B107,' Toto teams'!$A$4:$A$119,0)),Scoring!$A$4:$N$51,10,FALSE()),0)+4*IFERROR(VLOOKUP(INDEX(' Toto teams'!$C$4:$C$119,MATCH($B107,' Toto teams'!$A$4:$A$119,0)),Scoring!$A$4:$N$51,10,FALSE()),0)+3*IFERROR(VLOOKUP(INDEX(' Toto teams'!$D$4:$D$119,MATCH($B107,' Toto teams'!$A$4:$A$119,0)),Scoring!$A$4:$N$51,10,FALSE()),0)+2*IFERROR(VLOOKUP(INDEX(' Toto teams'!$E$4:$E$119,MATCH($B107,' Toto teams'!$A$4:$A$119,0)),Scoring!$A$4:$N$51,10,FALSE()),0)+1*IFERROR(VLOOKUP(INDEX(' Toto teams'!$F$4:$F$119,MATCH($B107,' Toto teams'!$A$4:$A$119,0)),Scoring!$A$4:$N$51,10,FALSE()),0)+1*IFERROR(VLOOKUP(INDEX(' Toto teams'!$G$4:$G$119,MATCH($B107,' Toto teams'!$A$4:$A$119,0)),Scoring!$A$4:$N$51,10,FALSE()),0)+1*IFERROR(VLOOKUP(INDEX(' Toto teams'!$H$4:$H$119,MATCH($B107,' Toto teams'!$A$4:$A$119,0)),Scoring!$A$4:$N$51,10,FALSE()),0))</f>
        <v/>
      </c>
      <c r="H107" s="28">
        <f>IF($B107="","",6*IFERROR(VLOOKUP(INDEX(' Toto teams'!$B$4:$B$119,MATCH($B107,' Toto teams'!$A$4:$A$119,0)),Scoring!$A$4:$N$51,11,FALSE()),0)+4*IFERROR(VLOOKUP(INDEX(' Toto teams'!$C$4:$C$119,MATCH($B107,' Toto teams'!$A$4:$A$119,0)),Scoring!$A$4:$N$51,11,FALSE()),0)+3*IFERROR(VLOOKUP(INDEX(' Toto teams'!$D$4:$D$119,MATCH($B107,' Toto teams'!$A$4:$A$119,0)),Scoring!$A$4:$N$51,11,FALSE()),0)+2*IFERROR(VLOOKUP(INDEX(' Toto teams'!$E$4:$E$119,MATCH($B107,' Toto teams'!$A$4:$A$119,0)),Scoring!$A$4:$N$51,11,FALSE()),0)+1*IFERROR(VLOOKUP(INDEX(' Toto teams'!$F$4:$F$119,MATCH($B107,' Toto teams'!$A$4:$A$119,0)),Scoring!$A$4:$N$51,11,FALSE()),0)+1*IFERROR(VLOOKUP(INDEX(' Toto teams'!$G$4:$G$119,MATCH($B107,' Toto teams'!$A$4:$A$119,0)),Scoring!$A$4:$N$51,11,FALSE()),0)+1*IFERROR(VLOOKUP(INDEX(' Toto teams'!$H$4:$H$119,MATCH($B107,' Toto teams'!$A$4:$A$119,0)),Scoring!$A$4:$N$51,11,FALSE()),0))</f>
        <v/>
      </c>
      <c r="I107" s="28">
        <f>IF($B107="","",6*IFERROR(VLOOKUP(INDEX(' Toto teams'!$B$4:$B$119,MATCH($B107,' Toto teams'!$A$4:$A$119,0)),Scoring!$A$4:$O$51,15,FALSE()),0)+4*IFERROR(VLOOKUP(INDEX(' Toto teams'!$C$4:$C$119,MATCH($B107,' Toto teams'!$A$4:$A$119,0)),Scoring!$A$4:$O$51,15,FALSE()),0)+3*IFERROR(VLOOKUP(INDEX(' Toto teams'!$D$4:$D$119,MATCH($B107,' Toto teams'!$A$4:$A$119,0)),Scoring!$A$4:$O$51,15,FALSE()),0)+2*IFERROR(VLOOKUP(INDEX(' Toto teams'!$E$4:$E$119,MATCH($B107,' Toto teams'!$A$4:$A$119,0)),Scoring!$A$4:$O$51,15,FALSE()),0)+1*IFERROR(VLOOKUP(INDEX(' Toto teams'!$F$4:$F$119,MATCH($B107,' Toto teams'!$A$4:$A$119,0)),Scoring!$A$4:$O$51,15,FALSE()),0)+1*IFERROR(VLOOKUP(INDEX(' Toto teams'!$G$4:$G$119,MATCH($B107,' Toto teams'!$A$4:$A$119,0)),Scoring!$A$4:$O$51,15,FALSE()),0)+1*IFERROR(VLOOKUP(INDEX(' Toto teams'!$H$4:$H$119,MATCH($B107,' Toto teams'!$A$4:$A$119,0)),Scoring!$A$4:$O$51,15,FALSE()),0))</f>
        <v/>
      </c>
      <c r="J107" s="28">
        <f>IF($B107="","",6*IFERROR(VLOOKUP(INDEX(' Toto teams'!$B$4:$B$119,MATCH($B107,' Toto teams'!$A$4:$A$119,0)),Scoring!$A$4:$N$51,12,FALSE()),0)+4*IFERROR(VLOOKUP(INDEX(' Toto teams'!$C$4:$C$119,MATCH($B107,' Toto teams'!$A$4:$A$119,0)),Scoring!$A$4:$N$51,12,FALSE()),0)+3*IFERROR(VLOOKUP(INDEX(' Toto teams'!$D$4:$D$119,MATCH($B107,' Toto teams'!$A$4:$A$119,0)),Scoring!$A$4:$N$51,12,FALSE()),0)+2*IFERROR(VLOOKUP(INDEX(' Toto teams'!$E$4:$E$119,MATCH($B107,' Toto teams'!$A$4:$A$119,0)),Scoring!$A$4:$N$51,12,FALSE()),0)+1*IFERROR(VLOOKUP(INDEX(' Toto teams'!$F$4:$F$119,MATCH($B107,' Toto teams'!$A$4:$A$119,0)),Scoring!$A$4:$N$51,12,FALSE()),0)+1*IFERROR(VLOOKUP(INDEX(' Toto teams'!$G$4:$G$119,MATCH($B107,' Toto teams'!$A$4:$A$119,0)),Scoring!$A$4:$N$51,12,FALSE()),0)+1*IFERROR(VLOOKUP(INDEX(' Toto teams'!$H$4:$H$119,MATCH($B107,' Toto teams'!$A$4:$A$119,0)),Scoring!$A$4:$N$51,12,FALSE()),0))</f>
        <v/>
      </c>
      <c r="K107" s="29">
        <f>IF($B107="","",IFERROR(INDEX(' Toto teams'!$R$4:$R$119,MATCH($B107,' Toto teams'!$A$4:$A$119,0)),""))</f>
        <v/>
      </c>
      <c r="L107" s="30">
        <f>IFERROR(IF(B107="","",VLOOKUP(A107,$N$4:$R$12,5,FALSE())),0)</f>
        <v/>
      </c>
    </row>
    <row r="108" ht="13.5" customHeight="1">
      <c r="A108" s="26">
        <f>IF(105&gt;COUNTIF(' Toto teams'!$A$4:$A$119,"&lt;&gt;"),"",INDEX(' Toto teams'!$S$4:$S$119,MATCH(LARGE(' Toto teams'!$T$4:$T$119,105),' Toto teams'!$T$4:$T$119,0)))</f>
        <v/>
      </c>
      <c r="B108" s="27">
        <f>IF(105&gt;COUNTIF(' Toto teams'!$A$4:$A$119,"&lt;&gt;"),"",INDEX(' Toto teams'!$A$4:$A$119,MATCH(LARGE(' Toto teams'!$T$4:$T$119,105),' Toto teams'!$T$4:$T$119,0)))</f>
        <v/>
      </c>
      <c r="C108" s="28">
        <f>IF($B108="","",6*(IFERROR(VLOOKUP(INDEX(' Toto teams'!$B$4:$B$119,MATCH($B108,' Toto teams'!$A$4:$A$119,0)),Scoring!$A$4:$N$51,3,FALSE()),0)+IFERROR(VLOOKUP(INDEX(' Toto teams'!$B$4:$B$119,MATCH($B108,' Toto teams'!$A$4:$A$119,0)),Scoring!$A$4:$N$51,4,FALSE()),0)+IFERROR(VLOOKUP(INDEX(' Toto teams'!$B$4:$B$119,MATCH($B108,' Toto teams'!$A$4:$A$119,0)),Scoring!$A$4:$N$51,5,FALSE()),0))+4*(IFERROR(VLOOKUP(INDEX(' Toto teams'!$C$4:$C$119,MATCH($B108,' Toto teams'!$A$4:$A$119,0)),Scoring!$A$4:$N$51,3,FALSE()),0)+IFERROR(VLOOKUP(INDEX(' Toto teams'!$C$4:$C$119,MATCH($B108,' Toto teams'!$A$4:$A$119,0)),Scoring!$A$4:$N$51,4,FALSE()),0)+IFERROR(VLOOKUP(INDEX(' Toto teams'!$C$4:$C$119,MATCH($B108,' Toto teams'!$A$4:$A$119,0)),Scoring!$A$4:$N$51,5,FALSE()),0))+3*(IFERROR(VLOOKUP(INDEX(' Toto teams'!$D$4:$D$119,MATCH($B108,' Toto teams'!$A$4:$A$119,0)),Scoring!$A$4:$N$51,3,FALSE()),0)+IFERROR(VLOOKUP(INDEX(' Toto teams'!$D$4:$D$119,MATCH($B108,' Toto teams'!$A$4:$A$119,0)),Scoring!$A$4:$N$51,4,FALSE()),0)+IFERROR(VLOOKUP(INDEX(' Toto teams'!$D$4:$D$119,MATCH($B108,' Toto teams'!$A$4:$A$119,0)),Scoring!$A$4:$N$51,5,FALSE()),0))+2*(IFERROR(VLOOKUP(INDEX(' Toto teams'!$E$4:$E$119,MATCH($B108,' Toto teams'!$A$4:$A$119,0)),Scoring!$A$4:$N$51,3,FALSE()),0)+IFERROR(VLOOKUP(INDEX(' Toto teams'!$E$4:$E$119,MATCH($B108,' Toto teams'!$A$4:$A$119,0)),Scoring!$A$4:$N$51,4,FALSE()),0)+IFERROR(VLOOKUP(INDEX(' Toto teams'!$E$4:$E$119,MATCH($B108,' Toto teams'!$A$4:$A$119,0)),Scoring!$A$4:$N$51,5,FALSE()),0))+1*(IFERROR(VLOOKUP(INDEX(' Toto teams'!$F$4:$F$119,MATCH($B108,' Toto teams'!$A$4:$A$119,0)),Scoring!$A$4:$N$51,3,FALSE()),0)+IFERROR(VLOOKUP(INDEX(' Toto teams'!$F$4:$F$119,MATCH($B108,' Toto teams'!$A$4:$A$119,0)),Scoring!$A$4:$N$51,4,FALSE()),0)+IFERROR(VLOOKUP(INDEX(' Toto teams'!$F$4:$F$119,MATCH($B108,' Toto teams'!$A$4:$A$119,0)),Scoring!$A$4:$N$51,5,FALSE()),0))+1*(IFERROR(VLOOKUP(INDEX(' Toto teams'!$G$4:$G$119,MATCH($B108,' Toto teams'!$A$4:$A$119,0)),Scoring!$A$4:$N$51,3,FALSE()),0)+IFERROR(VLOOKUP(INDEX(' Toto teams'!$G$4:$G$119,MATCH($B108,' Toto teams'!$A$4:$A$119,0)),Scoring!$A$4:$N$51,4,FALSE()),0)+IFERROR(VLOOKUP(INDEX(' Toto teams'!$G$4:$G$119,MATCH($B108,' Toto teams'!$A$4:$A$119,0)),Scoring!$A$4:$N$51,5,FALSE()),0))+1*(IFERROR(VLOOKUP(INDEX(' Toto teams'!$H$4:$H$119,MATCH($B108,' Toto teams'!$A$4:$A$119,0)),Scoring!$A$4:$N$51,3,FALSE()),0)+IFERROR(VLOOKUP(INDEX(' Toto teams'!$H$4:$H$119,MATCH($B108,' Toto teams'!$A$4:$A$119,0)),Scoring!$A$4:$N$51,4,FALSE()),0)+IFERROR(VLOOKUP(INDEX(' Toto teams'!$H$4:$H$119,MATCH($B108,' Toto teams'!$A$4:$A$119,0)),Scoring!$A$4:$N$51,5,FALSE()),0))+IFERROR(INDEX(' Toto teams'!$Q$4:$Q$119,MATCH($B108,' Toto teams'!$A$4:$A$119,0))*1,0))</f>
        <v/>
      </c>
      <c r="D108" s="28">
        <f>IF($B108="","",6*IFERROR(VLOOKUP(INDEX(' Toto teams'!$B$4:$B$119,MATCH($B108,' Toto teams'!$A$4:$A$119,0)),Scoring!$A$4:$N$51,7,FALSE()),0)+4*IFERROR(VLOOKUP(INDEX(' Toto teams'!$C$4:$C$119,MATCH($B108,' Toto teams'!$A$4:$A$119,0)),Scoring!$A$4:$N$51,7,FALSE()),0)+3*IFERROR(VLOOKUP(INDEX(' Toto teams'!$D$4:$D$119,MATCH($B108,' Toto teams'!$A$4:$A$119,0)),Scoring!$A$4:$N$51,7,FALSE()),0)+2*IFERROR(VLOOKUP(INDEX(' Toto teams'!$E$4:$E$119,MATCH($B108,' Toto teams'!$A$4:$A$119,0)),Scoring!$A$4:$N$51,7,FALSE()),0)+1*IFERROR(VLOOKUP(INDEX(' Toto teams'!$F$4:$F$119,MATCH($B108,' Toto teams'!$A$4:$A$119,0)),Scoring!$A$4:$N$51,7,FALSE()),0)+1*IFERROR(VLOOKUP(INDEX(' Toto teams'!$G$4:$G$119,MATCH($B108,' Toto teams'!$A$4:$A$119,0)),Scoring!$A$4:$N$51,7,FALSE()),0)+1*IFERROR(VLOOKUP(INDEX(' Toto teams'!$H$4:$H$119,MATCH($B108,' Toto teams'!$A$4:$A$119,0)),Scoring!$A$4:$N$51,7,FALSE()),0))</f>
        <v/>
      </c>
      <c r="E108" s="28">
        <f>IF($B108="","",6*IFERROR(VLOOKUP(INDEX(' Toto teams'!$B$4:$B$119,MATCH($B108,' Toto teams'!$A$4:$A$119,0)),Scoring!$A$4:$N$51,8,FALSE()),0)+4*IFERROR(VLOOKUP(INDEX(' Toto teams'!$C$4:$C$119,MATCH($B108,' Toto teams'!$A$4:$A$119,0)),Scoring!$A$4:$N$51,8,FALSE()),0)+3*IFERROR(VLOOKUP(INDEX(' Toto teams'!$D$4:$D$119,MATCH($B108,' Toto teams'!$A$4:$A$119,0)),Scoring!$A$4:$N$51,8,FALSE()),0)+2*IFERROR(VLOOKUP(INDEX(' Toto teams'!$E$4:$E$119,MATCH($B108,' Toto teams'!$A$4:$A$119,0)),Scoring!$A$4:$N$51,8,FALSE()),0)+1*IFERROR(VLOOKUP(INDEX(' Toto teams'!$F$4:$F$119,MATCH($B108,' Toto teams'!$A$4:$A$119,0)),Scoring!$A$4:$N$51,8,FALSE()),0)+1*IFERROR(VLOOKUP(INDEX(' Toto teams'!$G$4:$G$119,MATCH($B108,' Toto teams'!$A$4:$A$119,0)),Scoring!$A$4:$N$51,8,FALSE()),0)+1*IFERROR(VLOOKUP(INDEX(' Toto teams'!$H$4:$H$119,MATCH($B108,' Toto teams'!$A$4:$A$119,0)),Scoring!$A$4:$N$51,8,FALSE()),0))</f>
        <v/>
      </c>
      <c r="F108" s="28">
        <f>IF($B108="","",6*IFERROR(VLOOKUP(INDEX(' Toto teams'!$B$4:$B$119,MATCH($B108,' Toto teams'!$A$4:$A$119,0)),Scoring!$A$4:$N$51,9,FALSE()),0)+4*IFERROR(VLOOKUP(INDEX(' Toto teams'!$C$4:$C$119,MATCH($B108,' Toto teams'!$A$4:$A$119,0)),Scoring!$A$4:$N$51,9,FALSE()),0)+3*IFERROR(VLOOKUP(INDEX(' Toto teams'!$D$4:$D$119,MATCH($B108,' Toto teams'!$A$4:$A$119,0)),Scoring!$A$4:$N$51,9,FALSE()),0)+2*IFERROR(VLOOKUP(INDEX(' Toto teams'!$E$4:$E$119,MATCH($B108,' Toto teams'!$A$4:$A$119,0)),Scoring!$A$4:$N$51,9,FALSE()),0)+1*IFERROR(VLOOKUP(INDEX(' Toto teams'!$F$4:$F$119,MATCH($B108,' Toto teams'!$A$4:$A$119,0)),Scoring!$A$4:$N$51,9,FALSE()),0)+1*IFERROR(VLOOKUP(INDEX(' Toto teams'!$G$4:$G$119,MATCH($B108,' Toto teams'!$A$4:$A$119,0)),Scoring!$A$4:$N$51,9,FALSE()),0)+1*IFERROR(VLOOKUP(INDEX(' Toto teams'!$H$4:$H$119,MATCH($B108,' Toto teams'!$A$4:$A$119,0)),Scoring!$A$4:$N$51,9,FALSE()),0))</f>
        <v/>
      </c>
      <c r="G108" s="28">
        <f>IF($B108="","",6*IFERROR(VLOOKUP(INDEX(' Toto teams'!$B$4:$B$119,MATCH($B108,' Toto teams'!$A$4:$A$119,0)),Scoring!$A$4:$N$51,10,FALSE()),0)+4*IFERROR(VLOOKUP(INDEX(' Toto teams'!$C$4:$C$119,MATCH($B108,' Toto teams'!$A$4:$A$119,0)),Scoring!$A$4:$N$51,10,FALSE()),0)+3*IFERROR(VLOOKUP(INDEX(' Toto teams'!$D$4:$D$119,MATCH($B108,' Toto teams'!$A$4:$A$119,0)),Scoring!$A$4:$N$51,10,FALSE()),0)+2*IFERROR(VLOOKUP(INDEX(' Toto teams'!$E$4:$E$119,MATCH($B108,' Toto teams'!$A$4:$A$119,0)),Scoring!$A$4:$N$51,10,FALSE()),0)+1*IFERROR(VLOOKUP(INDEX(' Toto teams'!$F$4:$F$119,MATCH($B108,' Toto teams'!$A$4:$A$119,0)),Scoring!$A$4:$N$51,10,FALSE()),0)+1*IFERROR(VLOOKUP(INDEX(' Toto teams'!$G$4:$G$119,MATCH($B108,' Toto teams'!$A$4:$A$119,0)),Scoring!$A$4:$N$51,10,FALSE()),0)+1*IFERROR(VLOOKUP(INDEX(' Toto teams'!$H$4:$H$119,MATCH($B108,' Toto teams'!$A$4:$A$119,0)),Scoring!$A$4:$N$51,10,FALSE()),0))</f>
        <v/>
      </c>
      <c r="H108" s="28">
        <f>IF($B108="","",6*IFERROR(VLOOKUP(INDEX(' Toto teams'!$B$4:$B$119,MATCH($B108,' Toto teams'!$A$4:$A$119,0)),Scoring!$A$4:$N$51,11,FALSE()),0)+4*IFERROR(VLOOKUP(INDEX(' Toto teams'!$C$4:$C$119,MATCH($B108,' Toto teams'!$A$4:$A$119,0)),Scoring!$A$4:$N$51,11,FALSE()),0)+3*IFERROR(VLOOKUP(INDEX(' Toto teams'!$D$4:$D$119,MATCH($B108,' Toto teams'!$A$4:$A$119,0)),Scoring!$A$4:$N$51,11,FALSE()),0)+2*IFERROR(VLOOKUP(INDEX(' Toto teams'!$E$4:$E$119,MATCH($B108,' Toto teams'!$A$4:$A$119,0)),Scoring!$A$4:$N$51,11,FALSE()),0)+1*IFERROR(VLOOKUP(INDEX(' Toto teams'!$F$4:$F$119,MATCH($B108,' Toto teams'!$A$4:$A$119,0)),Scoring!$A$4:$N$51,11,FALSE()),0)+1*IFERROR(VLOOKUP(INDEX(' Toto teams'!$G$4:$G$119,MATCH($B108,' Toto teams'!$A$4:$A$119,0)),Scoring!$A$4:$N$51,11,FALSE()),0)+1*IFERROR(VLOOKUP(INDEX(' Toto teams'!$H$4:$H$119,MATCH($B108,' Toto teams'!$A$4:$A$119,0)),Scoring!$A$4:$N$51,11,FALSE()),0))</f>
        <v/>
      </c>
      <c r="I108" s="28">
        <f>IF($B108="","",6*IFERROR(VLOOKUP(INDEX(' Toto teams'!$B$4:$B$119,MATCH($B108,' Toto teams'!$A$4:$A$119,0)),Scoring!$A$4:$O$51,15,FALSE()),0)+4*IFERROR(VLOOKUP(INDEX(' Toto teams'!$C$4:$C$119,MATCH($B108,' Toto teams'!$A$4:$A$119,0)),Scoring!$A$4:$O$51,15,FALSE()),0)+3*IFERROR(VLOOKUP(INDEX(' Toto teams'!$D$4:$D$119,MATCH($B108,' Toto teams'!$A$4:$A$119,0)),Scoring!$A$4:$O$51,15,FALSE()),0)+2*IFERROR(VLOOKUP(INDEX(' Toto teams'!$E$4:$E$119,MATCH($B108,' Toto teams'!$A$4:$A$119,0)),Scoring!$A$4:$O$51,15,FALSE()),0)+1*IFERROR(VLOOKUP(INDEX(' Toto teams'!$F$4:$F$119,MATCH($B108,' Toto teams'!$A$4:$A$119,0)),Scoring!$A$4:$O$51,15,FALSE()),0)+1*IFERROR(VLOOKUP(INDEX(' Toto teams'!$G$4:$G$119,MATCH($B108,' Toto teams'!$A$4:$A$119,0)),Scoring!$A$4:$O$51,15,FALSE()),0)+1*IFERROR(VLOOKUP(INDEX(' Toto teams'!$H$4:$H$119,MATCH($B108,' Toto teams'!$A$4:$A$119,0)),Scoring!$A$4:$O$51,15,FALSE()),0))</f>
        <v/>
      </c>
      <c r="J108" s="28">
        <f>IF($B108="","",6*IFERROR(VLOOKUP(INDEX(' Toto teams'!$B$4:$B$119,MATCH($B108,' Toto teams'!$A$4:$A$119,0)),Scoring!$A$4:$N$51,12,FALSE()),0)+4*IFERROR(VLOOKUP(INDEX(' Toto teams'!$C$4:$C$119,MATCH($B108,' Toto teams'!$A$4:$A$119,0)),Scoring!$A$4:$N$51,12,FALSE()),0)+3*IFERROR(VLOOKUP(INDEX(' Toto teams'!$D$4:$D$119,MATCH($B108,' Toto teams'!$A$4:$A$119,0)),Scoring!$A$4:$N$51,12,FALSE()),0)+2*IFERROR(VLOOKUP(INDEX(' Toto teams'!$E$4:$E$119,MATCH($B108,' Toto teams'!$A$4:$A$119,0)),Scoring!$A$4:$N$51,12,FALSE()),0)+1*IFERROR(VLOOKUP(INDEX(' Toto teams'!$F$4:$F$119,MATCH($B108,' Toto teams'!$A$4:$A$119,0)),Scoring!$A$4:$N$51,12,FALSE()),0)+1*IFERROR(VLOOKUP(INDEX(' Toto teams'!$G$4:$G$119,MATCH($B108,' Toto teams'!$A$4:$A$119,0)),Scoring!$A$4:$N$51,12,FALSE()),0)+1*IFERROR(VLOOKUP(INDEX(' Toto teams'!$H$4:$H$119,MATCH($B108,' Toto teams'!$A$4:$A$119,0)),Scoring!$A$4:$N$51,12,FALSE()),0))</f>
        <v/>
      </c>
      <c r="K108" s="29">
        <f>IF($B108="","",IFERROR(INDEX(' Toto teams'!$R$4:$R$119,MATCH($B108,' Toto teams'!$A$4:$A$119,0)),""))</f>
        <v/>
      </c>
      <c r="L108" s="30">
        <f>IFERROR(IF(B108="","",VLOOKUP(A108,$N$4:$R$12,5,FALSE())),0)</f>
        <v/>
      </c>
    </row>
    <row r="109" ht="13.5" customHeight="1">
      <c r="A109">
        <f>IF(106&gt;COUNTIF(' Toto teams'!$A$4:$A$119,"&lt;&gt;"),"",INDEX(' Toto teams'!$S$4:$S$119,MATCH(LARGE(' Toto teams'!$T$4:$T$119,106),' Toto teams'!$T$4:$T$119,0)))</f>
        <v/>
      </c>
      <c r="B109">
        <f>IF(106&gt;COUNTIF(' Toto teams'!$A$4:$A$119,"&lt;&gt;"),"",INDEX(' Toto teams'!$A$4:$A$119,MATCH(LARGE(' Toto teams'!$T$4:$T$119,106),' Toto teams'!$T$4:$T$119,0)))</f>
        <v/>
      </c>
      <c r="C109">
        <f>IF($B109="","",6*(IFERROR(VLOOKUP(INDEX(' Toto teams'!$B$4:$B$119,MATCH($B109,' Toto teams'!$A$4:$A$119,0)),Scoring!$A$4:$N$51,3,FALSE()),0)+IFERROR(VLOOKUP(INDEX(' Toto teams'!$B$4:$B$119,MATCH($B109,' Toto teams'!$A$4:$A$119,0)),Scoring!$A$4:$N$51,4,FALSE()),0)+IFERROR(VLOOKUP(INDEX(' Toto teams'!$B$4:$B$119,MATCH($B109,' Toto teams'!$A$4:$A$119,0)),Scoring!$A$4:$N$51,5,FALSE()),0))+4*(IFERROR(VLOOKUP(INDEX(' Toto teams'!$C$4:$C$119,MATCH($B109,' Toto teams'!$A$4:$A$119,0)),Scoring!$A$4:$N$51,3,FALSE()),0)+IFERROR(VLOOKUP(INDEX(' Toto teams'!$C$4:$C$119,MATCH($B109,' Toto teams'!$A$4:$A$119,0)),Scoring!$A$4:$N$51,4,FALSE()),0)+IFERROR(VLOOKUP(INDEX(' Toto teams'!$C$4:$C$119,MATCH($B109,' Toto teams'!$A$4:$A$119,0)),Scoring!$A$4:$N$51,5,FALSE()),0))+3*(IFERROR(VLOOKUP(INDEX(' Toto teams'!$D$4:$D$119,MATCH($B109,' Toto teams'!$A$4:$A$119,0)),Scoring!$A$4:$N$51,3,FALSE()),0)+IFERROR(VLOOKUP(INDEX(' Toto teams'!$D$4:$D$119,MATCH($B109,' Toto teams'!$A$4:$A$119,0)),Scoring!$A$4:$N$51,4,FALSE()),0)+IFERROR(VLOOKUP(INDEX(' Toto teams'!$D$4:$D$119,MATCH($B109,' Toto teams'!$A$4:$A$119,0)),Scoring!$A$4:$N$51,5,FALSE()),0))+2*(IFERROR(VLOOKUP(INDEX(' Toto teams'!$E$4:$E$119,MATCH($B109,' Toto teams'!$A$4:$A$119,0)),Scoring!$A$4:$N$51,3,FALSE()),0)+IFERROR(VLOOKUP(INDEX(' Toto teams'!$E$4:$E$119,MATCH($B109,' Toto teams'!$A$4:$A$119,0)),Scoring!$A$4:$N$51,4,FALSE()),0)+IFERROR(VLOOKUP(INDEX(' Toto teams'!$E$4:$E$119,MATCH($B109,' Toto teams'!$A$4:$A$119,0)),Scoring!$A$4:$N$51,5,FALSE()),0))+1*(IFERROR(VLOOKUP(INDEX(' Toto teams'!$F$4:$F$119,MATCH($B109,' Toto teams'!$A$4:$A$119,0)),Scoring!$A$4:$N$51,3,FALSE()),0)+IFERROR(VLOOKUP(INDEX(' Toto teams'!$F$4:$F$119,MATCH($B109,' Toto teams'!$A$4:$A$119,0)),Scoring!$A$4:$N$51,4,FALSE()),0)+IFERROR(VLOOKUP(INDEX(' Toto teams'!$F$4:$F$119,MATCH($B109,' Toto teams'!$A$4:$A$119,0)),Scoring!$A$4:$N$51,5,FALSE()),0))+1*(IFERROR(VLOOKUP(INDEX(' Toto teams'!$G$4:$G$119,MATCH($B109,' Toto teams'!$A$4:$A$119,0)),Scoring!$A$4:$N$51,3,FALSE()),0)+IFERROR(VLOOKUP(INDEX(' Toto teams'!$G$4:$G$119,MATCH($B109,' Toto teams'!$A$4:$A$119,0)),Scoring!$A$4:$N$51,4,FALSE()),0)+IFERROR(VLOOKUP(INDEX(' Toto teams'!$G$4:$G$119,MATCH($B109,' Toto teams'!$A$4:$A$119,0)),Scoring!$A$4:$N$51,5,FALSE()),0))+1*(IFERROR(VLOOKUP(INDEX(' Toto teams'!$H$4:$H$119,MATCH($B109,' Toto teams'!$A$4:$A$119,0)),Scoring!$A$4:$N$51,3,FALSE()),0)+IFERROR(VLOOKUP(INDEX(' Toto teams'!$H$4:$H$119,MATCH($B109,' Toto teams'!$A$4:$A$119,0)),Scoring!$A$4:$N$51,4,FALSE()),0)+IFERROR(VLOOKUP(INDEX(' Toto teams'!$H$4:$H$119,MATCH($B109,' Toto teams'!$A$4:$A$119,0)),Scoring!$A$4:$N$51,5,FALSE()),0))+IFERROR(INDEX(' Toto teams'!$Q$4:$Q$119,MATCH($B109,' Toto teams'!$A$4:$A$119,0))*1,0))</f>
        <v/>
      </c>
      <c r="D109">
        <f>IF($B109="","",6*IFERROR(VLOOKUP(INDEX(' Toto teams'!$B$4:$B$119,MATCH($B109,' Toto teams'!$A$4:$A$119,0)),Scoring!$A$4:$N$51,7,FALSE()),0)+4*IFERROR(VLOOKUP(INDEX(' Toto teams'!$C$4:$C$119,MATCH($B109,' Toto teams'!$A$4:$A$119,0)),Scoring!$A$4:$N$51,7,FALSE()),0)+3*IFERROR(VLOOKUP(INDEX(' Toto teams'!$D$4:$D$119,MATCH($B109,' Toto teams'!$A$4:$A$119,0)),Scoring!$A$4:$N$51,7,FALSE()),0)+2*IFERROR(VLOOKUP(INDEX(' Toto teams'!$E$4:$E$119,MATCH($B109,' Toto teams'!$A$4:$A$119,0)),Scoring!$A$4:$N$51,7,FALSE()),0)+1*IFERROR(VLOOKUP(INDEX(' Toto teams'!$F$4:$F$119,MATCH($B109,' Toto teams'!$A$4:$A$119,0)),Scoring!$A$4:$N$51,7,FALSE()),0)+1*IFERROR(VLOOKUP(INDEX(' Toto teams'!$G$4:$G$119,MATCH($B109,' Toto teams'!$A$4:$A$119,0)),Scoring!$A$4:$N$51,7,FALSE()),0)+1*IFERROR(VLOOKUP(INDEX(' Toto teams'!$H$4:$H$119,MATCH($B109,' Toto teams'!$A$4:$A$119,0)),Scoring!$A$4:$N$51,7,FALSE()),0))</f>
        <v/>
      </c>
      <c r="E109">
        <f>IF($B109="","",6*IFERROR(VLOOKUP(INDEX(' Toto teams'!$B$4:$B$119,MATCH($B109,' Toto teams'!$A$4:$A$119,0)),Scoring!$A$4:$N$51,8,FALSE()),0)+4*IFERROR(VLOOKUP(INDEX(' Toto teams'!$C$4:$C$119,MATCH($B109,' Toto teams'!$A$4:$A$119,0)),Scoring!$A$4:$N$51,8,FALSE()),0)+3*IFERROR(VLOOKUP(INDEX(' Toto teams'!$D$4:$D$119,MATCH($B109,' Toto teams'!$A$4:$A$119,0)),Scoring!$A$4:$N$51,8,FALSE()),0)+2*IFERROR(VLOOKUP(INDEX(' Toto teams'!$E$4:$E$119,MATCH($B109,' Toto teams'!$A$4:$A$119,0)),Scoring!$A$4:$N$51,8,FALSE()),0)+1*IFERROR(VLOOKUP(INDEX(' Toto teams'!$F$4:$F$119,MATCH($B109,' Toto teams'!$A$4:$A$119,0)),Scoring!$A$4:$N$51,8,FALSE()),0)+1*IFERROR(VLOOKUP(INDEX(' Toto teams'!$G$4:$G$119,MATCH($B109,' Toto teams'!$A$4:$A$119,0)),Scoring!$A$4:$N$51,8,FALSE()),0)+1*IFERROR(VLOOKUP(INDEX(' Toto teams'!$H$4:$H$119,MATCH($B109,' Toto teams'!$A$4:$A$119,0)),Scoring!$A$4:$N$51,8,FALSE()),0))</f>
        <v/>
      </c>
      <c r="F109">
        <f>IF($B109="","",6*IFERROR(VLOOKUP(INDEX(' Toto teams'!$B$4:$B$119,MATCH($B109,' Toto teams'!$A$4:$A$119,0)),Scoring!$A$4:$N$51,9,FALSE()),0)+4*IFERROR(VLOOKUP(INDEX(' Toto teams'!$C$4:$C$119,MATCH($B109,' Toto teams'!$A$4:$A$119,0)),Scoring!$A$4:$N$51,9,FALSE()),0)+3*IFERROR(VLOOKUP(INDEX(' Toto teams'!$D$4:$D$119,MATCH($B109,' Toto teams'!$A$4:$A$119,0)),Scoring!$A$4:$N$51,9,FALSE()),0)+2*IFERROR(VLOOKUP(INDEX(' Toto teams'!$E$4:$E$119,MATCH($B109,' Toto teams'!$A$4:$A$119,0)),Scoring!$A$4:$N$51,9,FALSE()),0)+1*IFERROR(VLOOKUP(INDEX(' Toto teams'!$F$4:$F$119,MATCH($B109,' Toto teams'!$A$4:$A$119,0)),Scoring!$A$4:$N$51,9,FALSE()),0)+1*IFERROR(VLOOKUP(INDEX(' Toto teams'!$G$4:$G$119,MATCH($B109,' Toto teams'!$A$4:$A$119,0)),Scoring!$A$4:$N$51,9,FALSE()),0)+1*IFERROR(VLOOKUP(INDEX(' Toto teams'!$H$4:$H$119,MATCH($B109,' Toto teams'!$A$4:$A$119,0)),Scoring!$A$4:$N$51,9,FALSE()),0))</f>
        <v/>
      </c>
      <c r="G109">
        <f>IF($B109="","",6*IFERROR(VLOOKUP(INDEX(' Toto teams'!$B$4:$B$119,MATCH($B109,' Toto teams'!$A$4:$A$119,0)),Scoring!$A$4:$N$51,10,FALSE()),0)+4*IFERROR(VLOOKUP(INDEX(' Toto teams'!$C$4:$C$119,MATCH($B109,' Toto teams'!$A$4:$A$119,0)),Scoring!$A$4:$N$51,10,FALSE()),0)+3*IFERROR(VLOOKUP(INDEX(' Toto teams'!$D$4:$D$119,MATCH($B109,' Toto teams'!$A$4:$A$119,0)),Scoring!$A$4:$N$51,10,FALSE()),0)+2*IFERROR(VLOOKUP(INDEX(' Toto teams'!$E$4:$E$119,MATCH($B109,' Toto teams'!$A$4:$A$119,0)),Scoring!$A$4:$N$51,10,FALSE()),0)+1*IFERROR(VLOOKUP(INDEX(' Toto teams'!$F$4:$F$119,MATCH($B109,' Toto teams'!$A$4:$A$119,0)),Scoring!$A$4:$N$51,10,FALSE()),0)+1*IFERROR(VLOOKUP(INDEX(' Toto teams'!$G$4:$G$119,MATCH($B109,' Toto teams'!$A$4:$A$119,0)),Scoring!$A$4:$N$51,10,FALSE()),0)+1*IFERROR(VLOOKUP(INDEX(' Toto teams'!$H$4:$H$119,MATCH($B109,' Toto teams'!$A$4:$A$119,0)),Scoring!$A$4:$N$51,10,FALSE()),0))</f>
        <v/>
      </c>
      <c r="H109">
        <f>IF($B109="","",6*IFERROR(VLOOKUP(INDEX(' Toto teams'!$B$4:$B$119,MATCH($B109,' Toto teams'!$A$4:$A$119,0)),Scoring!$A$4:$N$51,11,FALSE()),0)+4*IFERROR(VLOOKUP(INDEX(' Toto teams'!$C$4:$C$119,MATCH($B109,' Toto teams'!$A$4:$A$119,0)),Scoring!$A$4:$N$51,11,FALSE()),0)+3*IFERROR(VLOOKUP(INDEX(' Toto teams'!$D$4:$D$119,MATCH($B109,' Toto teams'!$A$4:$A$119,0)),Scoring!$A$4:$N$51,11,FALSE()),0)+2*IFERROR(VLOOKUP(INDEX(' Toto teams'!$E$4:$E$119,MATCH($B109,' Toto teams'!$A$4:$A$119,0)),Scoring!$A$4:$N$51,11,FALSE()),0)+1*IFERROR(VLOOKUP(INDEX(' Toto teams'!$F$4:$F$119,MATCH($B109,' Toto teams'!$A$4:$A$119,0)),Scoring!$A$4:$N$51,11,FALSE()),0)+1*IFERROR(VLOOKUP(INDEX(' Toto teams'!$G$4:$G$119,MATCH($B109,' Toto teams'!$A$4:$A$119,0)),Scoring!$A$4:$N$51,11,FALSE()),0)+1*IFERROR(VLOOKUP(INDEX(' Toto teams'!$H$4:$H$119,MATCH($B109,' Toto teams'!$A$4:$A$119,0)),Scoring!$A$4:$N$51,11,FALSE()),0))</f>
        <v/>
      </c>
      <c r="I109">
        <f>IF($B109="","",6*IFERROR(VLOOKUP(INDEX(' Toto teams'!$B$4:$B$119,MATCH($B109,' Toto teams'!$A$4:$A$119,0)),Scoring!$A$4:$O$51,15,FALSE()),0)+4*IFERROR(VLOOKUP(INDEX(' Toto teams'!$C$4:$C$119,MATCH($B109,' Toto teams'!$A$4:$A$119,0)),Scoring!$A$4:$O$51,15,FALSE()),0)+3*IFERROR(VLOOKUP(INDEX(' Toto teams'!$D$4:$D$119,MATCH($B109,' Toto teams'!$A$4:$A$119,0)),Scoring!$A$4:$O$51,15,FALSE()),0)+2*IFERROR(VLOOKUP(INDEX(' Toto teams'!$E$4:$E$119,MATCH($B109,' Toto teams'!$A$4:$A$119,0)),Scoring!$A$4:$O$51,15,FALSE()),0)+1*IFERROR(VLOOKUP(INDEX(' Toto teams'!$F$4:$F$119,MATCH($B109,' Toto teams'!$A$4:$A$119,0)),Scoring!$A$4:$O$51,15,FALSE()),0)+1*IFERROR(VLOOKUP(INDEX(' Toto teams'!$G$4:$G$119,MATCH($B109,' Toto teams'!$A$4:$A$119,0)),Scoring!$A$4:$O$51,15,FALSE()),0)+1*IFERROR(VLOOKUP(INDEX(' Toto teams'!$H$4:$H$119,MATCH($B109,' Toto teams'!$A$4:$A$119,0)),Scoring!$A$4:$O$51,15,FALSE()),0))</f>
        <v/>
      </c>
      <c r="J109">
        <f>IF($B109="","",6*IFERROR(VLOOKUP(INDEX(' Toto teams'!$B$4:$B$119,MATCH($B109,' Toto teams'!$A$4:$A$119,0)),Scoring!$A$4:$N$51,12,FALSE()),0)+4*IFERROR(VLOOKUP(INDEX(' Toto teams'!$C$4:$C$119,MATCH($B109,' Toto teams'!$A$4:$A$119,0)),Scoring!$A$4:$N$51,12,FALSE()),0)+3*IFERROR(VLOOKUP(INDEX(' Toto teams'!$D$4:$D$119,MATCH($B109,' Toto teams'!$A$4:$A$119,0)),Scoring!$A$4:$N$51,12,FALSE()),0)+2*IFERROR(VLOOKUP(INDEX(' Toto teams'!$E$4:$E$119,MATCH($B109,' Toto teams'!$A$4:$A$119,0)),Scoring!$A$4:$N$51,12,FALSE()),0)+1*IFERROR(VLOOKUP(INDEX(' Toto teams'!$F$4:$F$119,MATCH($B109,' Toto teams'!$A$4:$A$119,0)),Scoring!$A$4:$N$51,12,FALSE()),0)+1*IFERROR(VLOOKUP(INDEX(' Toto teams'!$G$4:$G$119,MATCH($B109,' Toto teams'!$A$4:$A$119,0)),Scoring!$A$4:$N$51,12,FALSE()),0)+1*IFERROR(VLOOKUP(INDEX(' Toto teams'!$H$4:$H$119,MATCH($B109,' Toto teams'!$A$4:$A$119,0)),Scoring!$A$4:$N$51,12,FALSE()),0))</f>
        <v/>
      </c>
      <c r="K109">
        <f>IF($B109="","",IFERROR(INDEX(' Toto teams'!$R$4:$R$119,MATCH($B109,' Toto teams'!$A$4:$A$119,0)),""))</f>
        <v/>
      </c>
      <c r="L109">
        <f>IFERROR(IF(B109="","",VLOOKUP(A109,$N$4:$R$12,5,FALSE())),0)</f>
        <v/>
      </c>
    </row>
    <row r="110" ht="13.5" customHeight="1">
      <c r="A110">
        <f>IF(107&gt;COUNTIF(' Toto teams'!$A$4:$A$119,"&lt;&gt;"),"",INDEX(' Toto teams'!$S$4:$S$119,MATCH(LARGE(' Toto teams'!$T$4:$T$119,107),' Toto teams'!$T$4:$T$119,0)))</f>
        <v/>
      </c>
      <c r="B110">
        <f>IF(107&gt;COUNTIF(' Toto teams'!$A$4:$A$119,"&lt;&gt;"),"",INDEX(' Toto teams'!$A$4:$A$119,MATCH(LARGE(' Toto teams'!$T$4:$T$119,107),' Toto teams'!$T$4:$T$119,0)))</f>
        <v/>
      </c>
      <c r="C110">
        <f>IF($B110="","",6*(IFERROR(VLOOKUP(INDEX(' Toto teams'!$B$4:$B$119,MATCH($B110,' Toto teams'!$A$4:$A$119,0)),Scoring!$A$4:$N$51,3,FALSE()),0)+IFERROR(VLOOKUP(INDEX(' Toto teams'!$B$4:$B$119,MATCH($B110,' Toto teams'!$A$4:$A$119,0)),Scoring!$A$4:$N$51,4,FALSE()),0)+IFERROR(VLOOKUP(INDEX(' Toto teams'!$B$4:$B$119,MATCH($B110,' Toto teams'!$A$4:$A$119,0)),Scoring!$A$4:$N$51,5,FALSE()),0))+4*(IFERROR(VLOOKUP(INDEX(' Toto teams'!$C$4:$C$119,MATCH($B110,' Toto teams'!$A$4:$A$119,0)),Scoring!$A$4:$N$51,3,FALSE()),0)+IFERROR(VLOOKUP(INDEX(' Toto teams'!$C$4:$C$119,MATCH($B110,' Toto teams'!$A$4:$A$119,0)),Scoring!$A$4:$N$51,4,FALSE()),0)+IFERROR(VLOOKUP(INDEX(' Toto teams'!$C$4:$C$119,MATCH($B110,' Toto teams'!$A$4:$A$119,0)),Scoring!$A$4:$N$51,5,FALSE()),0))+3*(IFERROR(VLOOKUP(INDEX(' Toto teams'!$D$4:$D$119,MATCH($B110,' Toto teams'!$A$4:$A$119,0)),Scoring!$A$4:$N$51,3,FALSE()),0)+IFERROR(VLOOKUP(INDEX(' Toto teams'!$D$4:$D$119,MATCH($B110,' Toto teams'!$A$4:$A$119,0)),Scoring!$A$4:$N$51,4,FALSE()),0)+IFERROR(VLOOKUP(INDEX(' Toto teams'!$D$4:$D$119,MATCH($B110,' Toto teams'!$A$4:$A$119,0)),Scoring!$A$4:$N$51,5,FALSE()),0))+2*(IFERROR(VLOOKUP(INDEX(' Toto teams'!$E$4:$E$119,MATCH($B110,' Toto teams'!$A$4:$A$119,0)),Scoring!$A$4:$N$51,3,FALSE()),0)+IFERROR(VLOOKUP(INDEX(' Toto teams'!$E$4:$E$119,MATCH($B110,' Toto teams'!$A$4:$A$119,0)),Scoring!$A$4:$N$51,4,FALSE()),0)+IFERROR(VLOOKUP(INDEX(' Toto teams'!$E$4:$E$119,MATCH($B110,' Toto teams'!$A$4:$A$119,0)),Scoring!$A$4:$N$51,5,FALSE()),0))+1*(IFERROR(VLOOKUP(INDEX(' Toto teams'!$F$4:$F$119,MATCH($B110,' Toto teams'!$A$4:$A$119,0)),Scoring!$A$4:$N$51,3,FALSE()),0)+IFERROR(VLOOKUP(INDEX(' Toto teams'!$F$4:$F$119,MATCH($B110,' Toto teams'!$A$4:$A$119,0)),Scoring!$A$4:$N$51,4,FALSE()),0)+IFERROR(VLOOKUP(INDEX(' Toto teams'!$F$4:$F$119,MATCH($B110,' Toto teams'!$A$4:$A$119,0)),Scoring!$A$4:$N$51,5,FALSE()),0))+1*(IFERROR(VLOOKUP(INDEX(' Toto teams'!$G$4:$G$119,MATCH($B110,' Toto teams'!$A$4:$A$119,0)),Scoring!$A$4:$N$51,3,FALSE()),0)+IFERROR(VLOOKUP(INDEX(' Toto teams'!$G$4:$G$119,MATCH($B110,' Toto teams'!$A$4:$A$119,0)),Scoring!$A$4:$N$51,4,FALSE()),0)+IFERROR(VLOOKUP(INDEX(' Toto teams'!$G$4:$G$119,MATCH($B110,' Toto teams'!$A$4:$A$119,0)),Scoring!$A$4:$N$51,5,FALSE()),0))+1*(IFERROR(VLOOKUP(INDEX(' Toto teams'!$H$4:$H$119,MATCH($B110,' Toto teams'!$A$4:$A$119,0)),Scoring!$A$4:$N$51,3,FALSE()),0)+IFERROR(VLOOKUP(INDEX(' Toto teams'!$H$4:$H$119,MATCH($B110,' Toto teams'!$A$4:$A$119,0)),Scoring!$A$4:$N$51,4,FALSE()),0)+IFERROR(VLOOKUP(INDEX(' Toto teams'!$H$4:$H$119,MATCH($B110,' Toto teams'!$A$4:$A$119,0)),Scoring!$A$4:$N$51,5,FALSE()),0))+IFERROR(INDEX(' Toto teams'!$Q$4:$Q$119,MATCH($B110,' Toto teams'!$A$4:$A$119,0))*1,0))</f>
        <v/>
      </c>
      <c r="D110">
        <f>IF($B110="","",6*IFERROR(VLOOKUP(INDEX(' Toto teams'!$B$4:$B$119,MATCH($B110,' Toto teams'!$A$4:$A$119,0)),Scoring!$A$4:$N$51,7,FALSE()),0)+4*IFERROR(VLOOKUP(INDEX(' Toto teams'!$C$4:$C$119,MATCH($B110,' Toto teams'!$A$4:$A$119,0)),Scoring!$A$4:$N$51,7,FALSE()),0)+3*IFERROR(VLOOKUP(INDEX(' Toto teams'!$D$4:$D$119,MATCH($B110,' Toto teams'!$A$4:$A$119,0)),Scoring!$A$4:$N$51,7,FALSE()),0)+2*IFERROR(VLOOKUP(INDEX(' Toto teams'!$E$4:$E$119,MATCH($B110,' Toto teams'!$A$4:$A$119,0)),Scoring!$A$4:$N$51,7,FALSE()),0)+1*IFERROR(VLOOKUP(INDEX(' Toto teams'!$F$4:$F$119,MATCH($B110,' Toto teams'!$A$4:$A$119,0)),Scoring!$A$4:$N$51,7,FALSE()),0)+1*IFERROR(VLOOKUP(INDEX(' Toto teams'!$G$4:$G$119,MATCH($B110,' Toto teams'!$A$4:$A$119,0)),Scoring!$A$4:$N$51,7,FALSE()),0)+1*IFERROR(VLOOKUP(INDEX(' Toto teams'!$H$4:$H$119,MATCH($B110,' Toto teams'!$A$4:$A$119,0)),Scoring!$A$4:$N$51,7,FALSE()),0))</f>
        <v/>
      </c>
      <c r="E110">
        <f>IF($B110="","",6*IFERROR(VLOOKUP(INDEX(' Toto teams'!$B$4:$B$119,MATCH($B110,' Toto teams'!$A$4:$A$119,0)),Scoring!$A$4:$N$51,8,FALSE()),0)+4*IFERROR(VLOOKUP(INDEX(' Toto teams'!$C$4:$C$119,MATCH($B110,' Toto teams'!$A$4:$A$119,0)),Scoring!$A$4:$N$51,8,FALSE()),0)+3*IFERROR(VLOOKUP(INDEX(' Toto teams'!$D$4:$D$119,MATCH($B110,' Toto teams'!$A$4:$A$119,0)),Scoring!$A$4:$N$51,8,FALSE()),0)+2*IFERROR(VLOOKUP(INDEX(' Toto teams'!$E$4:$E$119,MATCH($B110,' Toto teams'!$A$4:$A$119,0)),Scoring!$A$4:$N$51,8,FALSE()),0)+1*IFERROR(VLOOKUP(INDEX(' Toto teams'!$F$4:$F$119,MATCH($B110,' Toto teams'!$A$4:$A$119,0)),Scoring!$A$4:$N$51,8,FALSE()),0)+1*IFERROR(VLOOKUP(INDEX(' Toto teams'!$G$4:$G$119,MATCH($B110,' Toto teams'!$A$4:$A$119,0)),Scoring!$A$4:$N$51,8,FALSE()),0)+1*IFERROR(VLOOKUP(INDEX(' Toto teams'!$H$4:$H$119,MATCH($B110,' Toto teams'!$A$4:$A$119,0)),Scoring!$A$4:$N$51,8,FALSE()),0))</f>
        <v/>
      </c>
      <c r="F110">
        <f>IF($B110="","",6*IFERROR(VLOOKUP(INDEX(' Toto teams'!$B$4:$B$119,MATCH($B110,' Toto teams'!$A$4:$A$119,0)),Scoring!$A$4:$N$51,9,FALSE()),0)+4*IFERROR(VLOOKUP(INDEX(' Toto teams'!$C$4:$C$119,MATCH($B110,' Toto teams'!$A$4:$A$119,0)),Scoring!$A$4:$N$51,9,FALSE()),0)+3*IFERROR(VLOOKUP(INDEX(' Toto teams'!$D$4:$D$119,MATCH($B110,' Toto teams'!$A$4:$A$119,0)),Scoring!$A$4:$N$51,9,FALSE()),0)+2*IFERROR(VLOOKUP(INDEX(' Toto teams'!$E$4:$E$119,MATCH($B110,' Toto teams'!$A$4:$A$119,0)),Scoring!$A$4:$N$51,9,FALSE()),0)+1*IFERROR(VLOOKUP(INDEX(' Toto teams'!$F$4:$F$119,MATCH($B110,' Toto teams'!$A$4:$A$119,0)),Scoring!$A$4:$N$51,9,FALSE()),0)+1*IFERROR(VLOOKUP(INDEX(' Toto teams'!$G$4:$G$119,MATCH($B110,' Toto teams'!$A$4:$A$119,0)),Scoring!$A$4:$N$51,9,FALSE()),0)+1*IFERROR(VLOOKUP(INDEX(' Toto teams'!$H$4:$H$119,MATCH($B110,' Toto teams'!$A$4:$A$119,0)),Scoring!$A$4:$N$51,9,FALSE()),0))</f>
        <v/>
      </c>
      <c r="G110">
        <f>IF($B110="","",6*IFERROR(VLOOKUP(INDEX(' Toto teams'!$B$4:$B$119,MATCH($B110,' Toto teams'!$A$4:$A$119,0)),Scoring!$A$4:$N$51,10,FALSE()),0)+4*IFERROR(VLOOKUP(INDEX(' Toto teams'!$C$4:$C$119,MATCH($B110,' Toto teams'!$A$4:$A$119,0)),Scoring!$A$4:$N$51,10,FALSE()),0)+3*IFERROR(VLOOKUP(INDEX(' Toto teams'!$D$4:$D$119,MATCH($B110,' Toto teams'!$A$4:$A$119,0)),Scoring!$A$4:$N$51,10,FALSE()),0)+2*IFERROR(VLOOKUP(INDEX(' Toto teams'!$E$4:$E$119,MATCH($B110,' Toto teams'!$A$4:$A$119,0)),Scoring!$A$4:$N$51,10,FALSE()),0)+1*IFERROR(VLOOKUP(INDEX(' Toto teams'!$F$4:$F$119,MATCH($B110,' Toto teams'!$A$4:$A$119,0)),Scoring!$A$4:$N$51,10,FALSE()),0)+1*IFERROR(VLOOKUP(INDEX(' Toto teams'!$G$4:$G$119,MATCH($B110,' Toto teams'!$A$4:$A$119,0)),Scoring!$A$4:$N$51,10,FALSE()),0)+1*IFERROR(VLOOKUP(INDEX(' Toto teams'!$H$4:$H$119,MATCH($B110,' Toto teams'!$A$4:$A$119,0)),Scoring!$A$4:$N$51,10,FALSE()),0))</f>
        <v/>
      </c>
      <c r="H110">
        <f>IF($B110="","",6*IFERROR(VLOOKUP(INDEX(' Toto teams'!$B$4:$B$119,MATCH($B110,' Toto teams'!$A$4:$A$119,0)),Scoring!$A$4:$N$51,11,FALSE()),0)+4*IFERROR(VLOOKUP(INDEX(' Toto teams'!$C$4:$C$119,MATCH($B110,' Toto teams'!$A$4:$A$119,0)),Scoring!$A$4:$N$51,11,FALSE()),0)+3*IFERROR(VLOOKUP(INDEX(' Toto teams'!$D$4:$D$119,MATCH($B110,' Toto teams'!$A$4:$A$119,0)),Scoring!$A$4:$N$51,11,FALSE()),0)+2*IFERROR(VLOOKUP(INDEX(' Toto teams'!$E$4:$E$119,MATCH($B110,' Toto teams'!$A$4:$A$119,0)),Scoring!$A$4:$N$51,11,FALSE()),0)+1*IFERROR(VLOOKUP(INDEX(' Toto teams'!$F$4:$F$119,MATCH($B110,' Toto teams'!$A$4:$A$119,0)),Scoring!$A$4:$N$51,11,FALSE()),0)+1*IFERROR(VLOOKUP(INDEX(' Toto teams'!$G$4:$G$119,MATCH($B110,' Toto teams'!$A$4:$A$119,0)),Scoring!$A$4:$N$51,11,FALSE()),0)+1*IFERROR(VLOOKUP(INDEX(' Toto teams'!$H$4:$H$119,MATCH($B110,' Toto teams'!$A$4:$A$119,0)),Scoring!$A$4:$N$51,11,FALSE()),0))</f>
        <v/>
      </c>
      <c r="I110">
        <f>IF($B110="","",6*IFERROR(VLOOKUP(INDEX(' Toto teams'!$B$4:$B$119,MATCH($B110,' Toto teams'!$A$4:$A$119,0)),Scoring!$A$4:$O$51,15,FALSE()),0)+4*IFERROR(VLOOKUP(INDEX(' Toto teams'!$C$4:$C$119,MATCH($B110,' Toto teams'!$A$4:$A$119,0)),Scoring!$A$4:$O$51,15,FALSE()),0)+3*IFERROR(VLOOKUP(INDEX(' Toto teams'!$D$4:$D$119,MATCH($B110,' Toto teams'!$A$4:$A$119,0)),Scoring!$A$4:$O$51,15,FALSE()),0)+2*IFERROR(VLOOKUP(INDEX(' Toto teams'!$E$4:$E$119,MATCH($B110,' Toto teams'!$A$4:$A$119,0)),Scoring!$A$4:$O$51,15,FALSE()),0)+1*IFERROR(VLOOKUP(INDEX(' Toto teams'!$F$4:$F$119,MATCH($B110,' Toto teams'!$A$4:$A$119,0)),Scoring!$A$4:$O$51,15,FALSE()),0)+1*IFERROR(VLOOKUP(INDEX(' Toto teams'!$G$4:$G$119,MATCH($B110,' Toto teams'!$A$4:$A$119,0)),Scoring!$A$4:$O$51,15,FALSE()),0)+1*IFERROR(VLOOKUP(INDEX(' Toto teams'!$H$4:$H$119,MATCH($B110,' Toto teams'!$A$4:$A$119,0)),Scoring!$A$4:$O$51,15,FALSE()),0))</f>
        <v/>
      </c>
      <c r="J110">
        <f>IF($B110="","",6*IFERROR(VLOOKUP(INDEX(' Toto teams'!$B$4:$B$119,MATCH($B110,' Toto teams'!$A$4:$A$119,0)),Scoring!$A$4:$N$51,12,FALSE()),0)+4*IFERROR(VLOOKUP(INDEX(' Toto teams'!$C$4:$C$119,MATCH($B110,' Toto teams'!$A$4:$A$119,0)),Scoring!$A$4:$N$51,12,FALSE()),0)+3*IFERROR(VLOOKUP(INDEX(' Toto teams'!$D$4:$D$119,MATCH($B110,' Toto teams'!$A$4:$A$119,0)),Scoring!$A$4:$N$51,12,FALSE()),0)+2*IFERROR(VLOOKUP(INDEX(' Toto teams'!$E$4:$E$119,MATCH($B110,' Toto teams'!$A$4:$A$119,0)),Scoring!$A$4:$N$51,12,FALSE()),0)+1*IFERROR(VLOOKUP(INDEX(' Toto teams'!$F$4:$F$119,MATCH($B110,' Toto teams'!$A$4:$A$119,0)),Scoring!$A$4:$N$51,12,FALSE()),0)+1*IFERROR(VLOOKUP(INDEX(' Toto teams'!$G$4:$G$119,MATCH($B110,' Toto teams'!$A$4:$A$119,0)),Scoring!$A$4:$N$51,12,FALSE()),0)+1*IFERROR(VLOOKUP(INDEX(' Toto teams'!$H$4:$H$119,MATCH($B110,' Toto teams'!$A$4:$A$119,0)),Scoring!$A$4:$N$51,12,FALSE()),0))</f>
        <v/>
      </c>
      <c r="K110">
        <f>IF($B110="","",IFERROR(INDEX(' Toto teams'!$R$4:$R$119,MATCH($B110,' Toto teams'!$A$4:$A$119,0)),""))</f>
        <v/>
      </c>
      <c r="L110">
        <f>IFERROR(IF(B110="","",VLOOKUP(A110,$N$4:$R$12,5,FALSE())),0)</f>
        <v/>
      </c>
    </row>
    <row r="111" ht="13.5" customHeight="1">
      <c r="A111">
        <f>IF(108&gt;COUNTIF(' Toto teams'!$A$4:$A$119,"&lt;&gt;"),"",INDEX(' Toto teams'!$S$4:$S$119,MATCH(LARGE(' Toto teams'!$T$4:$T$119,108),' Toto teams'!$T$4:$T$119,0)))</f>
        <v/>
      </c>
      <c r="B111">
        <f>IF(108&gt;COUNTIF(' Toto teams'!$A$4:$A$119,"&lt;&gt;"),"",INDEX(' Toto teams'!$A$4:$A$119,MATCH(LARGE(' Toto teams'!$T$4:$T$119,108),' Toto teams'!$T$4:$T$119,0)))</f>
        <v/>
      </c>
      <c r="C111">
        <f>IF($B111="","",6*(IFERROR(VLOOKUP(INDEX(' Toto teams'!$B$4:$B$119,MATCH($B111,' Toto teams'!$A$4:$A$119,0)),Scoring!$A$4:$N$51,3,FALSE()),0)+IFERROR(VLOOKUP(INDEX(' Toto teams'!$B$4:$B$119,MATCH($B111,' Toto teams'!$A$4:$A$119,0)),Scoring!$A$4:$N$51,4,FALSE()),0)+IFERROR(VLOOKUP(INDEX(' Toto teams'!$B$4:$B$119,MATCH($B111,' Toto teams'!$A$4:$A$119,0)),Scoring!$A$4:$N$51,5,FALSE()),0))+4*(IFERROR(VLOOKUP(INDEX(' Toto teams'!$C$4:$C$119,MATCH($B111,' Toto teams'!$A$4:$A$119,0)),Scoring!$A$4:$N$51,3,FALSE()),0)+IFERROR(VLOOKUP(INDEX(' Toto teams'!$C$4:$C$119,MATCH($B111,' Toto teams'!$A$4:$A$119,0)),Scoring!$A$4:$N$51,4,FALSE()),0)+IFERROR(VLOOKUP(INDEX(' Toto teams'!$C$4:$C$119,MATCH($B111,' Toto teams'!$A$4:$A$119,0)),Scoring!$A$4:$N$51,5,FALSE()),0))+3*(IFERROR(VLOOKUP(INDEX(' Toto teams'!$D$4:$D$119,MATCH($B111,' Toto teams'!$A$4:$A$119,0)),Scoring!$A$4:$N$51,3,FALSE()),0)+IFERROR(VLOOKUP(INDEX(' Toto teams'!$D$4:$D$119,MATCH($B111,' Toto teams'!$A$4:$A$119,0)),Scoring!$A$4:$N$51,4,FALSE()),0)+IFERROR(VLOOKUP(INDEX(' Toto teams'!$D$4:$D$119,MATCH($B111,' Toto teams'!$A$4:$A$119,0)),Scoring!$A$4:$N$51,5,FALSE()),0))+2*(IFERROR(VLOOKUP(INDEX(' Toto teams'!$E$4:$E$119,MATCH($B111,' Toto teams'!$A$4:$A$119,0)),Scoring!$A$4:$N$51,3,FALSE()),0)+IFERROR(VLOOKUP(INDEX(' Toto teams'!$E$4:$E$119,MATCH($B111,' Toto teams'!$A$4:$A$119,0)),Scoring!$A$4:$N$51,4,FALSE()),0)+IFERROR(VLOOKUP(INDEX(' Toto teams'!$E$4:$E$119,MATCH($B111,' Toto teams'!$A$4:$A$119,0)),Scoring!$A$4:$N$51,5,FALSE()),0))+1*(IFERROR(VLOOKUP(INDEX(' Toto teams'!$F$4:$F$119,MATCH($B111,' Toto teams'!$A$4:$A$119,0)),Scoring!$A$4:$N$51,3,FALSE()),0)+IFERROR(VLOOKUP(INDEX(' Toto teams'!$F$4:$F$119,MATCH($B111,' Toto teams'!$A$4:$A$119,0)),Scoring!$A$4:$N$51,4,FALSE()),0)+IFERROR(VLOOKUP(INDEX(' Toto teams'!$F$4:$F$119,MATCH($B111,' Toto teams'!$A$4:$A$119,0)),Scoring!$A$4:$N$51,5,FALSE()),0))+1*(IFERROR(VLOOKUP(INDEX(' Toto teams'!$G$4:$G$119,MATCH($B111,' Toto teams'!$A$4:$A$119,0)),Scoring!$A$4:$N$51,3,FALSE()),0)+IFERROR(VLOOKUP(INDEX(' Toto teams'!$G$4:$G$119,MATCH($B111,' Toto teams'!$A$4:$A$119,0)),Scoring!$A$4:$N$51,4,FALSE()),0)+IFERROR(VLOOKUP(INDEX(' Toto teams'!$G$4:$G$119,MATCH($B111,' Toto teams'!$A$4:$A$119,0)),Scoring!$A$4:$N$51,5,FALSE()),0))+1*(IFERROR(VLOOKUP(INDEX(' Toto teams'!$H$4:$H$119,MATCH($B111,' Toto teams'!$A$4:$A$119,0)),Scoring!$A$4:$N$51,3,FALSE()),0)+IFERROR(VLOOKUP(INDEX(' Toto teams'!$H$4:$H$119,MATCH($B111,' Toto teams'!$A$4:$A$119,0)),Scoring!$A$4:$N$51,4,FALSE()),0)+IFERROR(VLOOKUP(INDEX(' Toto teams'!$H$4:$H$119,MATCH($B111,' Toto teams'!$A$4:$A$119,0)),Scoring!$A$4:$N$51,5,FALSE()),0))+IFERROR(INDEX(' Toto teams'!$Q$4:$Q$119,MATCH($B111,' Toto teams'!$A$4:$A$119,0))*1,0))</f>
        <v/>
      </c>
      <c r="D111">
        <f>IF($B111="","",6*IFERROR(VLOOKUP(INDEX(' Toto teams'!$B$4:$B$119,MATCH($B111,' Toto teams'!$A$4:$A$119,0)),Scoring!$A$4:$N$51,7,FALSE()),0)+4*IFERROR(VLOOKUP(INDEX(' Toto teams'!$C$4:$C$119,MATCH($B111,' Toto teams'!$A$4:$A$119,0)),Scoring!$A$4:$N$51,7,FALSE()),0)+3*IFERROR(VLOOKUP(INDEX(' Toto teams'!$D$4:$D$119,MATCH($B111,' Toto teams'!$A$4:$A$119,0)),Scoring!$A$4:$N$51,7,FALSE()),0)+2*IFERROR(VLOOKUP(INDEX(' Toto teams'!$E$4:$E$119,MATCH($B111,' Toto teams'!$A$4:$A$119,0)),Scoring!$A$4:$N$51,7,FALSE()),0)+1*IFERROR(VLOOKUP(INDEX(' Toto teams'!$F$4:$F$119,MATCH($B111,' Toto teams'!$A$4:$A$119,0)),Scoring!$A$4:$N$51,7,FALSE()),0)+1*IFERROR(VLOOKUP(INDEX(' Toto teams'!$G$4:$G$119,MATCH($B111,' Toto teams'!$A$4:$A$119,0)),Scoring!$A$4:$N$51,7,FALSE()),0)+1*IFERROR(VLOOKUP(INDEX(' Toto teams'!$H$4:$H$119,MATCH($B111,' Toto teams'!$A$4:$A$119,0)),Scoring!$A$4:$N$51,7,FALSE()),0))</f>
        <v/>
      </c>
      <c r="E111">
        <f>IF($B111="","",6*IFERROR(VLOOKUP(INDEX(' Toto teams'!$B$4:$B$119,MATCH($B111,' Toto teams'!$A$4:$A$119,0)),Scoring!$A$4:$N$51,8,FALSE()),0)+4*IFERROR(VLOOKUP(INDEX(' Toto teams'!$C$4:$C$119,MATCH($B111,' Toto teams'!$A$4:$A$119,0)),Scoring!$A$4:$N$51,8,FALSE()),0)+3*IFERROR(VLOOKUP(INDEX(' Toto teams'!$D$4:$D$119,MATCH($B111,' Toto teams'!$A$4:$A$119,0)),Scoring!$A$4:$N$51,8,FALSE()),0)+2*IFERROR(VLOOKUP(INDEX(' Toto teams'!$E$4:$E$119,MATCH($B111,' Toto teams'!$A$4:$A$119,0)),Scoring!$A$4:$N$51,8,FALSE()),0)+1*IFERROR(VLOOKUP(INDEX(' Toto teams'!$F$4:$F$119,MATCH($B111,' Toto teams'!$A$4:$A$119,0)),Scoring!$A$4:$N$51,8,FALSE()),0)+1*IFERROR(VLOOKUP(INDEX(' Toto teams'!$G$4:$G$119,MATCH($B111,' Toto teams'!$A$4:$A$119,0)),Scoring!$A$4:$N$51,8,FALSE()),0)+1*IFERROR(VLOOKUP(INDEX(' Toto teams'!$H$4:$H$119,MATCH($B111,' Toto teams'!$A$4:$A$119,0)),Scoring!$A$4:$N$51,8,FALSE()),0))</f>
        <v/>
      </c>
      <c r="F111">
        <f>IF($B111="","",6*IFERROR(VLOOKUP(INDEX(' Toto teams'!$B$4:$B$119,MATCH($B111,' Toto teams'!$A$4:$A$119,0)),Scoring!$A$4:$N$51,9,FALSE()),0)+4*IFERROR(VLOOKUP(INDEX(' Toto teams'!$C$4:$C$119,MATCH($B111,' Toto teams'!$A$4:$A$119,0)),Scoring!$A$4:$N$51,9,FALSE()),0)+3*IFERROR(VLOOKUP(INDEX(' Toto teams'!$D$4:$D$119,MATCH($B111,' Toto teams'!$A$4:$A$119,0)),Scoring!$A$4:$N$51,9,FALSE()),0)+2*IFERROR(VLOOKUP(INDEX(' Toto teams'!$E$4:$E$119,MATCH($B111,' Toto teams'!$A$4:$A$119,0)),Scoring!$A$4:$N$51,9,FALSE()),0)+1*IFERROR(VLOOKUP(INDEX(' Toto teams'!$F$4:$F$119,MATCH($B111,' Toto teams'!$A$4:$A$119,0)),Scoring!$A$4:$N$51,9,FALSE()),0)+1*IFERROR(VLOOKUP(INDEX(' Toto teams'!$G$4:$G$119,MATCH($B111,' Toto teams'!$A$4:$A$119,0)),Scoring!$A$4:$N$51,9,FALSE()),0)+1*IFERROR(VLOOKUP(INDEX(' Toto teams'!$H$4:$H$119,MATCH($B111,' Toto teams'!$A$4:$A$119,0)),Scoring!$A$4:$N$51,9,FALSE()),0))</f>
        <v/>
      </c>
      <c r="G111">
        <f>IF($B111="","",6*IFERROR(VLOOKUP(INDEX(' Toto teams'!$B$4:$B$119,MATCH($B111,' Toto teams'!$A$4:$A$119,0)),Scoring!$A$4:$N$51,10,FALSE()),0)+4*IFERROR(VLOOKUP(INDEX(' Toto teams'!$C$4:$C$119,MATCH($B111,' Toto teams'!$A$4:$A$119,0)),Scoring!$A$4:$N$51,10,FALSE()),0)+3*IFERROR(VLOOKUP(INDEX(' Toto teams'!$D$4:$D$119,MATCH($B111,' Toto teams'!$A$4:$A$119,0)),Scoring!$A$4:$N$51,10,FALSE()),0)+2*IFERROR(VLOOKUP(INDEX(' Toto teams'!$E$4:$E$119,MATCH($B111,' Toto teams'!$A$4:$A$119,0)),Scoring!$A$4:$N$51,10,FALSE()),0)+1*IFERROR(VLOOKUP(INDEX(' Toto teams'!$F$4:$F$119,MATCH($B111,' Toto teams'!$A$4:$A$119,0)),Scoring!$A$4:$N$51,10,FALSE()),0)+1*IFERROR(VLOOKUP(INDEX(' Toto teams'!$G$4:$G$119,MATCH($B111,' Toto teams'!$A$4:$A$119,0)),Scoring!$A$4:$N$51,10,FALSE()),0)+1*IFERROR(VLOOKUP(INDEX(' Toto teams'!$H$4:$H$119,MATCH($B111,' Toto teams'!$A$4:$A$119,0)),Scoring!$A$4:$N$51,10,FALSE()),0))</f>
        <v/>
      </c>
      <c r="H111">
        <f>IF($B111="","",6*IFERROR(VLOOKUP(INDEX(' Toto teams'!$B$4:$B$119,MATCH($B111,' Toto teams'!$A$4:$A$119,0)),Scoring!$A$4:$N$51,11,FALSE()),0)+4*IFERROR(VLOOKUP(INDEX(' Toto teams'!$C$4:$C$119,MATCH($B111,' Toto teams'!$A$4:$A$119,0)),Scoring!$A$4:$N$51,11,FALSE()),0)+3*IFERROR(VLOOKUP(INDEX(' Toto teams'!$D$4:$D$119,MATCH($B111,' Toto teams'!$A$4:$A$119,0)),Scoring!$A$4:$N$51,11,FALSE()),0)+2*IFERROR(VLOOKUP(INDEX(' Toto teams'!$E$4:$E$119,MATCH($B111,' Toto teams'!$A$4:$A$119,0)),Scoring!$A$4:$N$51,11,FALSE()),0)+1*IFERROR(VLOOKUP(INDEX(' Toto teams'!$F$4:$F$119,MATCH($B111,' Toto teams'!$A$4:$A$119,0)),Scoring!$A$4:$N$51,11,FALSE()),0)+1*IFERROR(VLOOKUP(INDEX(' Toto teams'!$G$4:$G$119,MATCH($B111,' Toto teams'!$A$4:$A$119,0)),Scoring!$A$4:$N$51,11,FALSE()),0)+1*IFERROR(VLOOKUP(INDEX(' Toto teams'!$H$4:$H$119,MATCH($B111,' Toto teams'!$A$4:$A$119,0)),Scoring!$A$4:$N$51,11,FALSE()),0))</f>
        <v/>
      </c>
      <c r="I111">
        <f>IF($B111="","",6*IFERROR(VLOOKUP(INDEX(' Toto teams'!$B$4:$B$119,MATCH($B111,' Toto teams'!$A$4:$A$119,0)),Scoring!$A$4:$O$51,15,FALSE()),0)+4*IFERROR(VLOOKUP(INDEX(' Toto teams'!$C$4:$C$119,MATCH($B111,' Toto teams'!$A$4:$A$119,0)),Scoring!$A$4:$O$51,15,FALSE()),0)+3*IFERROR(VLOOKUP(INDEX(' Toto teams'!$D$4:$D$119,MATCH($B111,' Toto teams'!$A$4:$A$119,0)),Scoring!$A$4:$O$51,15,FALSE()),0)+2*IFERROR(VLOOKUP(INDEX(' Toto teams'!$E$4:$E$119,MATCH($B111,' Toto teams'!$A$4:$A$119,0)),Scoring!$A$4:$O$51,15,FALSE()),0)+1*IFERROR(VLOOKUP(INDEX(' Toto teams'!$F$4:$F$119,MATCH($B111,' Toto teams'!$A$4:$A$119,0)),Scoring!$A$4:$O$51,15,FALSE()),0)+1*IFERROR(VLOOKUP(INDEX(' Toto teams'!$G$4:$G$119,MATCH($B111,' Toto teams'!$A$4:$A$119,0)),Scoring!$A$4:$O$51,15,FALSE()),0)+1*IFERROR(VLOOKUP(INDEX(' Toto teams'!$H$4:$H$119,MATCH($B111,' Toto teams'!$A$4:$A$119,0)),Scoring!$A$4:$O$51,15,FALSE()),0))</f>
        <v/>
      </c>
      <c r="J111">
        <f>IF($B111="","",6*IFERROR(VLOOKUP(INDEX(' Toto teams'!$B$4:$B$119,MATCH($B111,' Toto teams'!$A$4:$A$119,0)),Scoring!$A$4:$N$51,12,FALSE()),0)+4*IFERROR(VLOOKUP(INDEX(' Toto teams'!$C$4:$C$119,MATCH($B111,' Toto teams'!$A$4:$A$119,0)),Scoring!$A$4:$N$51,12,FALSE()),0)+3*IFERROR(VLOOKUP(INDEX(' Toto teams'!$D$4:$D$119,MATCH($B111,' Toto teams'!$A$4:$A$119,0)),Scoring!$A$4:$N$51,12,FALSE()),0)+2*IFERROR(VLOOKUP(INDEX(' Toto teams'!$E$4:$E$119,MATCH($B111,' Toto teams'!$A$4:$A$119,0)),Scoring!$A$4:$N$51,12,FALSE()),0)+1*IFERROR(VLOOKUP(INDEX(' Toto teams'!$F$4:$F$119,MATCH($B111,' Toto teams'!$A$4:$A$119,0)),Scoring!$A$4:$N$51,12,FALSE()),0)+1*IFERROR(VLOOKUP(INDEX(' Toto teams'!$G$4:$G$119,MATCH($B111,' Toto teams'!$A$4:$A$119,0)),Scoring!$A$4:$N$51,12,FALSE()),0)+1*IFERROR(VLOOKUP(INDEX(' Toto teams'!$H$4:$H$119,MATCH($B111,' Toto teams'!$A$4:$A$119,0)),Scoring!$A$4:$N$51,12,FALSE()),0))</f>
        <v/>
      </c>
      <c r="K111">
        <f>IF($B111="","",IFERROR(INDEX(' Toto teams'!$R$4:$R$119,MATCH($B111,' Toto teams'!$A$4:$A$119,0)),""))</f>
        <v/>
      </c>
      <c r="L111">
        <f>IFERROR(IF(B111="","",VLOOKUP(A111,$N$4:$R$12,5,FALSE())),0)</f>
        <v/>
      </c>
    </row>
    <row r="112" ht="13.5" customHeight="1">
      <c r="A112">
        <f>IF(109&gt;COUNTIF(' Toto teams'!$A$4:$A$119,"&lt;&gt;"),"",INDEX(' Toto teams'!$S$4:$S$119,MATCH(LARGE(' Toto teams'!$T$4:$T$119,109),' Toto teams'!$T$4:$T$119,0)))</f>
        <v/>
      </c>
      <c r="B112">
        <f>IF(109&gt;COUNTIF(' Toto teams'!$A$4:$A$119,"&lt;&gt;"),"",INDEX(' Toto teams'!$A$4:$A$119,MATCH(LARGE(' Toto teams'!$T$4:$T$119,109),' Toto teams'!$T$4:$T$119,0)))</f>
        <v/>
      </c>
      <c r="C112">
        <f>IF($B112="","",6*(IFERROR(VLOOKUP(INDEX(' Toto teams'!$B$4:$B$119,MATCH($B112,' Toto teams'!$A$4:$A$119,0)),Scoring!$A$4:$N$51,3,FALSE()),0)+IFERROR(VLOOKUP(INDEX(' Toto teams'!$B$4:$B$119,MATCH($B112,' Toto teams'!$A$4:$A$119,0)),Scoring!$A$4:$N$51,4,FALSE()),0)+IFERROR(VLOOKUP(INDEX(' Toto teams'!$B$4:$B$119,MATCH($B112,' Toto teams'!$A$4:$A$119,0)),Scoring!$A$4:$N$51,5,FALSE()),0))+4*(IFERROR(VLOOKUP(INDEX(' Toto teams'!$C$4:$C$119,MATCH($B112,' Toto teams'!$A$4:$A$119,0)),Scoring!$A$4:$N$51,3,FALSE()),0)+IFERROR(VLOOKUP(INDEX(' Toto teams'!$C$4:$C$119,MATCH($B112,' Toto teams'!$A$4:$A$119,0)),Scoring!$A$4:$N$51,4,FALSE()),0)+IFERROR(VLOOKUP(INDEX(' Toto teams'!$C$4:$C$119,MATCH($B112,' Toto teams'!$A$4:$A$119,0)),Scoring!$A$4:$N$51,5,FALSE()),0))+3*(IFERROR(VLOOKUP(INDEX(' Toto teams'!$D$4:$D$119,MATCH($B112,' Toto teams'!$A$4:$A$119,0)),Scoring!$A$4:$N$51,3,FALSE()),0)+IFERROR(VLOOKUP(INDEX(' Toto teams'!$D$4:$D$119,MATCH($B112,' Toto teams'!$A$4:$A$119,0)),Scoring!$A$4:$N$51,4,FALSE()),0)+IFERROR(VLOOKUP(INDEX(' Toto teams'!$D$4:$D$119,MATCH($B112,' Toto teams'!$A$4:$A$119,0)),Scoring!$A$4:$N$51,5,FALSE()),0))+2*(IFERROR(VLOOKUP(INDEX(' Toto teams'!$E$4:$E$119,MATCH($B112,' Toto teams'!$A$4:$A$119,0)),Scoring!$A$4:$N$51,3,FALSE()),0)+IFERROR(VLOOKUP(INDEX(' Toto teams'!$E$4:$E$119,MATCH($B112,' Toto teams'!$A$4:$A$119,0)),Scoring!$A$4:$N$51,4,FALSE()),0)+IFERROR(VLOOKUP(INDEX(' Toto teams'!$E$4:$E$119,MATCH($B112,' Toto teams'!$A$4:$A$119,0)),Scoring!$A$4:$N$51,5,FALSE()),0))+1*(IFERROR(VLOOKUP(INDEX(' Toto teams'!$F$4:$F$119,MATCH($B112,' Toto teams'!$A$4:$A$119,0)),Scoring!$A$4:$N$51,3,FALSE()),0)+IFERROR(VLOOKUP(INDEX(' Toto teams'!$F$4:$F$119,MATCH($B112,' Toto teams'!$A$4:$A$119,0)),Scoring!$A$4:$N$51,4,FALSE()),0)+IFERROR(VLOOKUP(INDEX(' Toto teams'!$F$4:$F$119,MATCH($B112,' Toto teams'!$A$4:$A$119,0)),Scoring!$A$4:$N$51,5,FALSE()),0))+1*(IFERROR(VLOOKUP(INDEX(' Toto teams'!$G$4:$G$119,MATCH($B112,' Toto teams'!$A$4:$A$119,0)),Scoring!$A$4:$N$51,3,FALSE()),0)+IFERROR(VLOOKUP(INDEX(' Toto teams'!$G$4:$G$119,MATCH($B112,' Toto teams'!$A$4:$A$119,0)),Scoring!$A$4:$N$51,4,FALSE()),0)+IFERROR(VLOOKUP(INDEX(' Toto teams'!$G$4:$G$119,MATCH($B112,' Toto teams'!$A$4:$A$119,0)),Scoring!$A$4:$N$51,5,FALSE()),0))+1*(IFERROR(VLOOKUP(INDEX(' Toto teams'!$H$4:$H$119,MATCH($B112,' Toto teams'!$A$4:$A$119,0)),Scoring!$A$4:$N$51,3,FALSE()),0)+IFERROR(VLOOKUP(INDEX(' Toto teams'!$H$4:$H$119,MATCH($B112,' Toto teams'!$A$4:$A$119,0)),Scoring!$A$4:$N$51,4,FALSE()),0)+IFERROR(VLOOKUP(INDEX(' Toto teams'!$H$4:$H$119,MATCH($B112,' Toto teams'!$A$4:$A$119,0)),Scoring!$A$4:$N$51,5,FALSE()),0))+IFERROR(INDEX(' Toto teams'!$Q$4:$Q$119,MATCH($B112,' Toto teams'!$A$4:$A$119,0))*1,0))</f>
        <v/>
      </c>
      <c r="D112">
        <f>IF($B112="","",6*IFERROR(VLOOKUP(INDEX(' Toto teams'!$B$4:$B$119,MATCH($B112,' Toto teams'!$A$4:$A$119,0)),Scoring!$A$4:$N$51,7,FALSE()),0)+4*IFERROR(VLOOKUP(INDEX(' Toto teams'!$C$4:$C$119,MATCH($B112,' Toto teams'!$A$4:$A$119,0)),Scoring!$A$4:$N$51,7,FALSE()),0)+3*IFERROR(VLOOKUP(INDEX(' Toto teams'!$D$4:$D$119,MATCH($B112,' Toto teams'!$A$4:$A$119,0)),Scoring!$A$4:$N$51,7,FALSE()),0)+2*IFERROR(VLOOKUP(INDEX(' Toto teams'!$E$4:$E$119,MATCH($B112,' Toto teams'!$A$4:$A$119,0)),Scoring!$A$4:$N$51,7,FALSE()),0)+1*IFERROR(VLOOKUP(INDEX(' Toto teams'!$F$4:$F$119,MATCH($B112,' Toto teams'!$A$4:$A$119,0)),Scoring!$A$4:$N$51,7,FALSE()),0)+1*IFERROR(VLOOKUP(INDEX(' Toto teams'!$G$4:$G$119,MATCH($B112,' Toto teams'!$A$4:$A$119,0)),Scoring!$A$4:$N$51,7,FALSE()),0)+1*IFERROR(VLOOKUP(INDEX(' Toto teams'!$H$4:$H$119,MATCH($B112,' Toto teams'!$A$4:$A$119,0)),Scoring!$A$4:$N$51,7,FALSE()),0))</f>
        <v/>
      </c>
      <c r="E112">
        <f>IF($B112="","",6*IFERROR(VLOOKUP(INDEX(' Toto teams'!$B$4:$B$119,MATCH($B112,' Toto teams'!$A$4:$A$119,0)),Scoring!$A$4:$N$51,8,FALSE()),0)+4*IFERROR(VLOOKUP(INDEX(' Toto teams'!$C$4:$C$119,MATCH($B112,' Toto teams'!$A$4:$A$119,0)),Scoring!$A$4:$N$51,8,FALSE()),0)+3*IFERROR(VLOOKUP(INDEX(' Toto teams'!$D$4:$D$119,MATCH($B112,' Toto teams'!$A$4:$A$119,0)),Scoring!$A$4:$N$51,8,FALSE()),0)+2*IFERROR(VLOOKUP(INDEX(' Toto teams'!$E$4:$E$119,MATCH($B112,' Toto teams'!$A$4:$A$119,0)),Scoring!$A$4:$N$51,8,FALSE()),0)+1*IFERROR(VLOOKUP(INDEX(' Toto teams'!$F$4:$F$119,MATCH($B112,' Toto teams'!$A$4:$A$119,0)),Scoring!$A$4:$N$51,8,FALSE()),0)+1*IFERROR(VLOOKUP(INDEX(' Toto teams'!$G$4:$G$119,MATCH($B112,' Toto teams'!$A$4:$A$119,0)),Scoring!$A$4:$N$51,8,FALSE()),0)+1*IFERROR(VLOOKUP(INDEX(' Toto teams'!$H$4:$H$119,MATCH($B112,' Toto teams'!$A$4:$A$119,0)),Scoring!$A$4:$N$51,8,FALSE()),0))</f>
        <v/>
      </c>
      <c r="F112">
        <f>IF($B112="","",6*IFERROR(VLOOKUP(INDEX(' Toto teams'!$B$4:$B$119,MATCH($B112,' Toto teams'!$A$4:$A$119,0)),Scoring!$A$4:$N$51,9,FALSE()),0)+4*IFERROR(VLOOKUP(INDEX(' Toto teams'!$C$4:$C$119,MATCH($B112,' Toto teams'!$A$4:$A$119,0)),Scoring!$A$4:$N$51,9,FALSE()),0)+3*IFERROR(VLOOKUP(INDEX(' Toto teams'!$D$4:$D$119,MATCH($B112,' Toto teams'!$A$4:$A$119,0)),Scoring!$A$4:$N$51,9,FALSE()),0)+2*IFERROR(VLOOKUP(INDEX(' Toto teams'!$E$4:$E$119,MATCH($B112,' Toto teams'!$A$4:$A$119,0)),Scoring!$A$4:$N$51,9,FALSE()),0)+1*IFERROR(VLOOKUP(INDEX(' Toto teams'!$F$4:$F$119,MATCH($B112,' Toto teams'!$A$4:$A$119,0)),Scoring!$A$4:$N$51,9,FALSE()),0)+1*IFERROR(VLOOKUP(INDEX(' Toto teams'!$G$4:$G$119,MATCH($B112,' Toto teams'!$A$4:$A$119,0)),Scoring!$A$4:$N$51,9,FALSE()),0)+1*IFERROR(VLOOKUP(INDEX(' Toto teams'!$H$4:$H$119,MATCH($B112,' Toto teams'!$A$4:$A$119,0)),Scoring!$A$4:$N$51,9,FALSE()),0))</f>
        <v/>
      </c>
      <c r="G112">
        <f>IF($B112="","",6*IFERROR(VLOOKUP(INDEX(' Toto teams'!$B$4:$B$119,MATCH($B112,' Toto teams'!$A$4:$A$119,0)),Scoring!$A$4:$N$51,10,FALSE()),0)+4*IFERROR(VLOOKUP(INDEX(' Toto teams'!$C$4:$C$119,MATCH($B112,' Toto teams'!$A$4:$A$119,0)),Scoring!$A$4:$N$51,10,FALSE()),0)+3*IFERROR(VLOOKUP(INDEX(' Toto teams'!$D$4:$D$119,MATCH($B112,' Toto teams'!$A$4:$A$119,0)),Scoring!$A$4:$N$51,10,FALSE()),0)+2*IFERROR(VLOOKUP(INDEX(' Toto teams'!$E$4:$E$119,MATCH($B112,' Toto teams'!$A$4:$A$119,0)),Scoring!$A$4:$N$51,10,FALSE()),0)+1*IFERROR(VLOOKUP(INDEX(' Toto teams'!$F$4:$F$119,MATCH($B112,' Toto teams'!$A$4:$A$119,0)),Scoring!$A$4:$N$51,10,FALSE()),0)+1*IFERROR(VLOOKUP(INDEX(' Toto teams'!$G$4:$G$119,MATCH($B112,' Toto teams'!$A$4:$A$119,0)),Scoring!$A$4:$N$51,10,FALSE()),0)+1*IFERROR(VLOOKUP(INDEX(' Toto teams'!$H$4:$H$119,MATCH($B112,' Toto teams'!$A$4:$A$119,0)),Scoring!$A$4:$N$51,10,FALSE()),0))</f>
        <v/>
      </c>
      <c r="H112">
        <f>IF($B112="","",6*IFERROR(VLOOKUP(INDEX(' Toto teams'!$B$4:$B$119,MATCH($B112,' Toto teams'!$A$4:$A$119,0)),Scoring!$A$4:$N$51,11,FALSE()),0)+4*IFERROR(VLOOKUP(INDEX(' Toto teams'!$C$4:$C$119,MATCH($B112,' Toto teams'!$A$4:$A$119,0)),Scoring!$A$4:$N$51,11,FALSE()),0)+3*IFERROR(VLOOKUP(INDEX(' Toto teams'!$D$4:$D$119,MATCH($B112,' Toto teams'!$A$4:$A$119,0)),Scoring!$A$4:$N$51,11,FALSE()),0)+2*IFERROR(VLOOKUP(INDEX(' Toto teams'!$E$4:$E$119,MATCH($B112,' Toto teams'!$A$4:$A$119,0)),Scoring!$A$4:$N$51,11,FALSE()),0)+1*IFERROR(VLOOKUP(INDEX(' Toto teams'!$F$4:$F$119,MATCH($B112,' Toto teams'!$A$4:$A$119,0)),Scoring!$A$4:$N$51,11,FALSE()),0)+1*IFERROR(VLOOKUP(INDEX(' Toto teams'!$G$4:$G$119,MATCH($B112,' Toto teams'!$A$4:$A$119,0)),Scoring!$A$4:$N$51,11,FALSE()),0)+1*IFERROR(VLOOKUP(INDEX(' Toto teams'!$H$4:$H$119,MATCH($B112,' Toto teams'!$A$4:$A$119,0)),Scoring!$A$4:$N$51,11,FALSE()),0))</f>
        <v/>
      </c>
      <c r="I112">
        <f>IF($B112="","",6*IFERROR(VLOOKUP(INDEX(' Toto teams'!$B$4:$B$119,MATCH($B112,' Toto teams'!$A$4:$A$119,0)),Scoring!$A$4:$O$51,15,FALSE()),0)+4*IFERROR(VLOOKUP(INDEX(' Toto teams'!$C$4:$C$119,MATCH($B112,' Toto teams'!$A$4:$A$119,0)),Scoring!$A$4:$O$51,15,FALSE()),0)+3*IFERROR(VLOOKUP(INDEX(' Toto teams'!$D$4:$D$119,MATCH($B112,' Toto teams'!$A$4:$A$119,0)),Scoring!$A$4:$O$51,15,FALSE()),0)+2*IFERROR(VLOOKUP(INDEX(' Toto teams'!$E$4:$E$119,MATCH($B112,' Toto teams'!$A$4:$A$119,0)),Scoring!$A$4:$O$51,15,FALSE()),0)+1*IFERROR(VLOOKUP(INDEX(' Toto teams'!$F$4:$F$119,MATCH($B112,' Toto teams'!$A$4:$A$119,0)),Scoring!$A$4:$O$51,15,FALSE()),0)+1*IFERROR(VLOOKUP(INDEX(' Toto teams'!$G$4:$G$119,MATCH($B112,' Toto teams'!$A$4:$A$119,0)),Scoring!$A$4:$O$51,15,FALSE()),0)+1*IFERROR(VLOOKUP(INDEX(' Toto teams'!$H$4:$H$119,MATCH($B112,' Toto teams'!$A$4:$A$119,0)),Scoring!$A$4:$O$51,15,FALSE()),0))</f>
        <v/>
      </c>
      <c r="J112">
        <f>IF($B112="","",6*IFERROR(VLOOKUP(INDEX(' Toto teams'!$B$4:$B$119,MATCH($B112,' Toto teams'!$A$4:$A$119,0)),Scoring!$A$4:$N$51,12,FALSE()),0)+4*IFERROR(VLOOKUP(INDEX(' Toto teams'!$C$4:$C$119,MATCH($B112,' Toto teams'!$A$4:$A$119,0)),Scoring!$A$4:$N$51,12,FALSE()),0)+3*IFERROR(VLOOKUP(INDEX(' Toto teams'!$D$4:$D$119,MATCH($B112,' Toto teams'!$A$4:$A$119,0)),Scoring!$A$4:$N$51,12,FALSE()),0)+2*IFERROR(VLOOKUP(INDEX(' Toto teams'!$E$4:$E$119,MATCH($B112,' Toto teams'!$A$4:$A$119,0)),Scoring!$A$4:$N$51,12,FALSE()),0)+1*IFERROR(VLOOKUP(INDEX(' Toto teams'!$F$4:$F$119,MATCH($B112,' Toto teams'!$A$4:$A$119,0)),Scoring!$A$4:$N$51,12,FALSE()),0)+1*IFERROR(VLOOKUP(INDEX(' Toto teams'!$G$4:$G$119,MATCH($B112,' Toto teams'!$A$4:$A$119,0)),Scoring!$A$4:$N$51,12,FALSE()),0)+1*IFERROR(VLOOKUP(INDEX(' Toto teams'!$H$4:$H$119,MATCH($B112,' Toto teams'!$A$4:$A$119,0)),Scoring!$A$4:$N$51,12,FALSE()),0))</f>
        <v/>
      </c>
      <c r="K112">
        <f>IF($B112="","",IFERROR(INDEX(' Toto teams'!$R$4:$R$119,MATCH($B112,' Toto teams'!$A$4:$A$119,0)),""))</f>
        <v/>
      </c>
      <c r="L112">
        <f>IFERROR(IF(B112="","",VLOOKUP(A112,$N$4:$R$12,5,FALSE())),0)</f>
        <v/>
      </c>
    </row>
    <row r="113" ht="13.5" customHeight="1">
      <c r="A113">
        <f>IF(110&gt;COUNTIF(' Toto teams'!$A$4:$A$119,"&lt;&gt;"),"",INDEX(' Toto teams'!$S$4:$S$119,MATCH(LARGE(' Toto teams'!$T$4:$T$119,110),' Toto teams'!$T$4:$T$119,0)))</f>
        <v/>
      </c>
      <c r="B113">
        <f>IF(110&gt;COUNTIF(' Toto teams'!$A$4:$A$119,"&lt;&gt;"),"",INDEX(' Toto teams'!$A$4:$A$119,MATCH(LARGE(' Toto teams'!$T$4:$T$119,110),' Toto teams'!$T$4:$T$119,0)))</f>
        <v/>
      </c>
      <c r="C113">
        <f>IF($B113="","",6*(IFERROR(VLOOKUP(INDEX(' Toto teams'!$B$4:$B$119,MATCH($B113,' Toto teams'!$A$4:$A$119,0)),Scoring!$A$4:$N$51,3,FALSE()),0)+IFERROR(VLOOKUP(INDEX(' Toto teams'!$B$4:$B$119,MATCH($B113,' Toto teams'!$A$4:$A$119,0)),Scoring!$A$4:$N$51,4,FALSE()),0)+IFERROR(VLOOKUP(INDEX(' Toto teams'!$B$4:$B$119,MATCH($B113,' Toto teams'!$A$4:$A$119,0)),Scoring!$A$4:$N$51,5,FALSE()),0))+4*(IFERROR(VLOOKUP(INDEX(' Toto teams'!$C$4:$C$119,MATCH($B113,' Toto teams'!$A$4:$A$119,0)),Scoring!$A$4:$N$51,3,FALSE()),0)+IFERROR(VLOOKUP(INDEX(' Toto teams'!$C$4:$C$119,MATCH($B113,' Toto teams'!$A$4:$A$119,0)),Scoring!$A$4:$N$51,4,FALSE()),0)+IFERROR(VLOOKUP(INDEX(' Toto teams'!$C$4:$C$119,MATCH($B113,' Toto teams'!$A$4:$A$119,0)),Scoring!$A$4:$N$51,5,FALSE()),0))+3*(IFERROR(VLOOKUP(INDEX(' Toto teams'!$D$4:$D$119,MATCH($B113,' Toto teams'!$A$4:$A$119,0)),Scoring!$A$4:$N$51,3,FALSE()),0)+IFERROR(VLOOKUP(INDEX(' Toto teams'!$D$4:$D$119,MATCH($B113,' Toto teams'!$A$4:$A$119,0)),Scoring!$A$4:$N$51,4,FALSE()),0)+IFERROR(VLOOKUP(INDEX(' Toto teams'!$D$4:$D$119,MATCH($B113,' Toto teams'!$A$4:$A$119,0)),Scoring!$A$4:$N$51,5,FALSE()),0))+2*(IFERROR(VLOOKUP(INDEX(' Toto teams'!$E$4:$E$119,MATCH($B113,' Toto teams'!$A$4:$A$119,0)),Scoring!$A$4:$N$51,3,FALSE()),0)+IFERROR(VLOOKUP(INDEX(' Toto teams'!$E$4:$E$119,MATCH($B113,' Toto teams'!$A$4:$A$119,0)),Scoring!$A$4:$N$51,4,FALSE()),0)+IFERROR(VLOOKUP(INDEX(' Toto teams'!$E$4:$E$119,MATCH($B113,' Toto teams'!$A$4:$A$119,0)),Scoring!$A$4:$N$51,5,FALSE()),0))+1*(IFERROR(VLOOKUP(INDEX(' Toto teams'!$F$4:$F$119,MATCH($B113,' Toto teams'!$A$4:$A$119,0)),Scoring!$A$4:$N$51,3,FALSE()),0)+IFERROR(VLOOKUP(INDEX(' Toto teams'!$F$4:$F$119,MATCH($B113,' Toto teams'!$A$4:$A$119,0)),Scoring!$A$4:$N$51,4,FALSE()),0)+IFERROR(VLOOKUP(INDEX(' Toto teams'!$F$4:$F$119,MATCH($B113,' Toto teams'!$A$4:$A$119,0)),Scoring!$A$4:$N$51,5,FALSE()),0))+1*(IFERROR(VLOOKUP(INDEX(' Toto teams'!$G$4:$G$119,MATCH($B113,' Toto teams'!$A$4:$A$119,0)),Scoring!$A$4:$N$51,3,FALSE()),0)+IFERROR(VLOOKUP(INDEX(' Toto teams'!$G$4:$G$119,MATCH($B113,' Toto teams'!$A$4:$A$119,0)),Scoring!$A$4:$N$51,4,FALSE()),0)+IFERROR(VLOOKUP(INDEX(' Toto teams'!$G$4:$G$119,MATCH($B113,' Toto teams'!$A$4:$A$119,0)),Scoring!$A$4:$N$51,5,FALSE()),0))+1*(IFERROR(VLOOKUP(INDEX(' Toto teams'!$H$4:$H$119,MATCH($B113,' Toto teams'!$A$4:$A$119,0)),Scoring!$A$4:$N$51,3,FALSE()),0)+IFERROR(VLOOKUP(INDEX(' Toto teams'!$H$4:$H$119,MATCH($B113,' Toto teams'!$A$4:$A$119,0)),Scoring!$A$4:$N$51,4,FALSE()),0)+IFERROR(VLOOKUP(INDEX(' Toto teams'!$H$4:$H$119,MATCH($B113,' Toto teams'!$A$4:$A$119,0)),Scoring!$A$4:$N$51,5,FALSE()),0))+IFERROR(INDEX(' Toto teams'!$Q$4:$Q$119,MATCH($B113,' Toto teams'!$A$4:$A$119,0))*1,0))</f>
        <v/>
      </c>
      <c r="D113">
        <f>IF($B113="","",6*IFERROR(VLOOKUP(INDEX(' Toto teams'!$B$4:$B$119,MATCH($B113,' Toto teams'!$A$4:$A$119,0)),Scoring!$A$4:$N$51,7,FALSE()),0)+4*IFERROR(VLOOKUP(INDEX(' Toto teams'!$C$4:$C$119,MATCH($B113,' Toto teams'!$A$4:$A$119,0)),Scoring!$A$4:$N$51,7,FALSE()),0)+3*IFERROR(VLOOKUP(INDEX(' Toto teams'!$D$4:$D$119,MATCH($B113,' Toto teams'!$A$4:$A$119,0)),Scoring!$A$4:$N$51,7,FALSE()),0)+2*IFERROR(VLOOKUP(INDEX(' Toto teams'!$E$4:$E$119,MATCH($B113,' Toto teams'!$A$4:$A$119,0)),Scoring!$A$4:$N$51,7,FALSE()),0)+1*IFERROR(VLOOKUP(INDEX(' Toto teams'!$F$4:$F$119,MATCH($B113,' Toto teams'!$A$4:$A$119,0)),Scoring!$A$4:$N$51,7,FALSE()),0)+1*IFERROR(VLOOKUP(INDEX(' Toto teams'!$G$4:$G$119,MATCH($B113,' Toto teams'!$A$4:$A$119,0)),Scoring!$A$4:$N$51,7,FALSE()),0)+1*IFERROR(VLOOKUP(INDEX(' Toto teams'!$H$4:$H$119,MATCH($B113,' Toto teams'!$A$4:$A$119,0)),Scoring!$A$4:$N$51,7,FALSE()),0))</f>
        <v/>
      </c>
      <c r="E113">
        <f>IF($B113="","",6*IFERROR(VLOOKUP(INDEX(' Toto teams'!$B$4:$B$119,MATCH($B113,' Toto teams'!$A$4:$A$119,0)),Scoring!$A$4:$N$51,8,FALSE()),0)+4*IFERROR(VLOOKUP(INDEX(' Toto teams'!$C$4:$C$119,MATCH($B113,' Toto teams'!$A$4:$A$119,0)),Scoring!$A$4:$N$51,8,FALSE()),0)+3*IFERROR(VLOOKUP(INDEX(' Toto teams'!$D$4:$D$119,MATCH($B113,' Toto teams'!$A$4:$A$119,0)),Scoring!$A$4:$N$51,8,FALSE()),0)+2*IFERROR(VLOOKUP(INDEX(' Toto teams'!$E$4:$E$119,MATCH($B113,' Toto teams'!$A$4:$A$119,0)),Scoring!$A$4:$N$51,8,FALSE()),0)+1*IFERROR(VLOOKUP(INDEX(' Toto teams'!$F$4:$F$119,MATCH($B113,' Toto teams'!$A$4:$A$119,0)),Scoring!$A$4:$N$51,8,FALSE()),0)+1*IFERROR(VLOOKUP(INDEX(' Toto teams'!$G$4:$G$119,MATCH($B113,' Toto teams'!$A$4:$A$119,0)),Scoring!$A$4:$N$51,8,FALSE()),0)+1*IFERROR(VLOOKUP(INDEX(' Toto teams'!$H$4:$H$119,MATCH($B113,' Toto teams'!$A$4:$A$119,0)),Scoring!$A$4:$N$51,8,FALSE()),0))</f>
        <v/>
      </c>
      <c r="F113">
        <f>IF($B113="","",6*IFERROR(VLOOKUP(INDEX(' Toto teams'!$B$4:$B$119,MATCH($B113,' Toto teams'!$A$4:$A$119,0)),Scoring!$A$4:$N$51,9,FALSE()),0)+4*IFERROR(VLOOKUP(INDEX(' Toto teams'!$C$4:$C$119,MATCH($B113,' Toto teams'!$A$4:$A$119,0)),Scoring!$A$4:$N$51,9,FALSE()),0)+3*IFERROR(VLOOKUP(INDEX(' Toto teams'!$D$4:$D$119,MATCH($B113,' Toto teams'!$A$4:$A$119,0)),Scoring!$A$4:$N$51,9,FALSE()),0)+2*IFERROR(VLOOKUP(INDEX(' Toto teams'!$E$4:$E$119,MATCH($B113,' Toto teams'!$A$4:$A$119,0)),Scoring!$A$4:$N$51,9,FALSE()),0)+1*IFERROR(VLOOKUP(INDEX(' Toto teams'!$F$4:$F$119,MATCH($B113,' Toto teams'!$A$4:$A$119,0)),Scoring!$A$4:$N$51,9,FALSE()),0)+1*IFERROR(VLOOKUP(INDEX(' Toto teams'!$G$4:$G$119,MATCH($B113,' Toto teams'!$A$4:$A$119,0)),Scoring!$A$4:$N$51,9,FALSE()),0)+1*IFERROR(VLOOKUP(INDEX(' Toto teams'!$H$4:$H$119,MATCH($B113,' Toto teams'!$A$4:$A$119,0)),Scoring!$A$4:$N$51,9,FALSE()),0))</f>
        <v/>
      </c>
      <c r="G113">
        <f>IF($B113="","",6*IFERROR(VLOOKUP(INDEX(' Toto teams'!$B$4:$B$119,MATCH($B113,' Toto teams'!$A$4:$A$119,0)),Scoring!$A$4:$N$51,10,FALSE()),0)+4*IFERROR(VLOOKUP(INDEX(' Toto teams'!$C$4:$C$119,MATCH($B113,' Toto teams'!$A$4:$A$119,0)),Scoring!$A$4:$N$51,10,FALSE()),0)+3*IFERROR(VLOOKUP(INDEX(' Toto teams'!$D$4:$D$119,MATCH($B113,' Toto teams'!$A$4:$A$119,0)),Scoring!$A$4:$N$51,10,FALSE()),0)+2*IFERROR(VLOOKUP(INDEX(' Toto teams'!$E$4:$E$119,MATCH($B113,' Toto teams'!$A$4:$A$119,0)),Scoring!$A$4:$N$51,10,FALSE()),0)+1*IFERROR(VLOOKUP(INDEX(' Toto teams'!$F$4:$F$119,MATCH($B113,' Toto teams'!$A$4:$A$119,0)),Scoring!$A$4:$N$51,10,FALSE()),0)+1*IFERROR(VLOOKUP(INDEX(' Toto teams'!$G$4:$G$119,MATCH($B113,' Toto teams'!$A$4:$A$119,0)),Scoring!$A$4:$N$51,10,FALSE()),0)+1*IFERROR(VLOOKUP(INDEX(' Toto teams'!$H$4:$H$119,MATCH($B113,' Toto teams'!$A$4:$A$119,0)),Scoring!$A$4:$N$51,10,FALSE()),0))</f>
        <v/>
      </c>
      <c r="H113">
        <f>IF($B113="","",6*IFERROR(VLOOKUP(INDEX(' Toto teams'!$B$4:$B$119,MATCH($B113,' Toto teams'!$A$4:$A$119,0)),Scoring!$A$4:$N$51,11,FALSE()),0)+4*IFERROR(VLOOKUP(INDEX(' Toto teams'!$C$4:$C$119,MATCH($B113,' Toto teams'!$A$4:$A$119,0)),Scoring!$A$4:$N$51,11,FALSE()),0)+3*IFERROR(VLOOKUP(INDEX(' Toto teams'!$D$4:$D$119,MATCH($B113,' Toto teams'!$A$4:$A$119,0)),Scoring!$A$4:$N$51,11,FALSE()),0)+2*IFERROR(VLOOKUP(INDEX(' Toto teams'!$E$4:$E$119,MATCH($B113,' Toto teams'!$A$4:$A$119,0)),Scoring!$A$4:$N$51,11,FALSE()),0)+1*IFERROR(VLOOKUP(INDEX(' Toto teams'!$F$4:$F$119,MATCH($B113,' Toto teams'!$A$4:$A$119,0)),Scoring!$A$4:$N$51,11,FALSE()),0)+1*IFERROR(VLOOKUP(INDEX(' Toto teams'!$G$4:$G$119,MATCH($B113,' Toto teams'!$A$4:$A$119,0)),Scoring!$A$4:$N$51,11,FALSE()),0)+1*IFERROR(VLOOKUP(INDEX(' Toto teams'!$H$4:$H$119,MATCH($B113,' Toto teams'!$A$4:$A$119,0)),Scoring!$A$4:$N$51,11,FALSE()),0))</f>
        <v/>
      </c>
      <c r="I113">
        <f>IF($B113="","",6*IFERROR(VLOOKUP(INDEX(' Toto teams'!$B$4:$B$119,MATCH($B113,' Toto teams'!$A$4:$A$119,0)),Scoring!$A$4:$O$51,15,FALSE()),0)+4*IFERROR(VLOOKUP(INDEX(' Toto teams'!$C$4:$C$119,MATCH($B113,' Toto teams'!$A$4:$A$119,0)),Scoring!$A$4:$O$51,15,FALSE()),0)+3*IFERROR(VLOOKUP(INDEX(' Toto teams'!$D$4:$D$119,MATCH($B113,' Toto teams'!$A$4:$A$119,0)),Scoring!$A$4:$O$51,15,FALSE()),0)+2*IFERROR(VLOOKUP(INDEX(' Toto teams'!$E$4:$E$119,MATCH($B113,' Toto teams'!$A$4:$A$119,0)),Scoring!$A$4:$O$51,15,FALSE()),0)+1*IFERROR(VLOOKUP(INDEX(' Toto teams'!$F$4:$F$119,MATCH($B113,' Toto teams'!$A$4:$A$119,0)),Scoring!$A$4:$O$51,15,FALSE()),0)+1*IFERROR(VLOOKUP(INDEX(' Toto teams'!$G$4:$G$119,MATCH($B113,' Toto teams'!$A$4:$A$119,0)),Scoring!$A$4:$O$51,15,FALSE()),0)+1*IFERROR(VLOOKUP(INDEX(' Toto teams'!$H$4:$H$119,MATCH($B113,' Toto teams'!$A$4:$A$119,0)),Scoring!$A$4:$O$51,15,FALSE()),0))</f>
        <v/>
      </c>
      <c r="J113">
        <f>IF($B113="","",6*IFERROR(VLOOKUP(INDEX(' Toto teams'!$B$4:$B$119,MATCH($B113,' Toto teams'!$A$4:$A$119,0)),Scoring!$A$4:$N$51,12,FALSE()),0)+4*IFERROR(VLOOKUP(INDEX(' Toto teams'!$C$4:$C$119,MATCH($B113,' Toto teams'!$A$4:$A$119,0)),Scoring!$A$4:$N$51,12,FALSE()),0)+3*IFERROR(VLOOKUP(INDEX(' Toto teams'!$D$4:$D$119,MATCH($B113,' Toto teams'!$A$4:$A$119,0)),Scoring!$A$4:$N$51,12,FALSE()),0)+2*IFERROR(VLOOKUP(INDEX(' Toto teams'!$E$4:$E$119,MATCH($B113,' Toto teams'!$A$4:$A$119,0)),Scoring!$A$4:$N$51,12,FALSE()),0)+1*IFERROR(VLOOKUP(INDEX(' Toto teams'!$F$4:$F$119,MATCH($B113,' Toto teams'!$A$4:$A$119,0)),Scoring!$A$4:$N$51,12,FALSE()),0)+1*IFERROR(VLOOKUP(INDEX(' Toto teams'!$G$4:$G$119,MATCH($B113,' Toto teams'!$A$4:$A$119,0)),Scoring!$A$4:$N$51,12,FALSE()),0)+1*IFERROR(VLOOKUP(INDEX(' Toto teams'!$H$4:$H$119,MATCH($B113,' Toto teams'!$A$4:$A$119,0)),Scoring!$A$4:$N$51,12,FALSE()),0))</f>
        <v/>
      </c>
      <c r="K113">
        <f>IF($B113="","",IFERROR(INDEX(' Toto teams'!$R$4:$R$119,MATCH($B113,' Toto teams'!$A$4:$A$119,0)),""))</f>
        <v/>
      </c>
      <c r="L113">
        <f>IFERROR(IF(B113="","",VLOOKUP(A113,$N$4:$R$12,5,FALSE())),0)</f>
        <v/>
      </c>
    </row>
    <row r="114" ht="13.5" customHeight="1">
      <c r="A114">
        <f>IF(111&gt;COUNTIF(' Toto teams'!$A$4:$A$119,"&lt;&gt;"),"",INDEX(' Toto teams'!$S$4:$S$119,MATCH(LARGE(' Toto teams'!$T$4:$T$119,111),' Toto teams'!$T$4:$T$119,0)))</f>
        <v/>
      </c>
      <c r="B114">
        <f>IF(111&gt;COUNTIF(' Toto teams'!$A$4:$A$119,"&lt;&gt;"),"",INDEX(' Toto teams'!$A$4:$A$119,MATCH(LARGE(' Toto teams'!$T$4:$T$119,111),' Toto teams'!$T$4:$T$119,0)))</f>
        <v/>
      </c>
      <c r="C114">
        <f>IF($B114="","",6*(IFERROR(VLOOKUP(INDEX(' Toto teams'!$B$4:$B$119,MATCH($B114,' Toto teams'!$A$4:$A$119,0)),Scoring!$A$4:$N$51,3,FALSE()),0)+IFERROR(VLOOKUP(INDEX(' Toto teams'!$B$4:$B$119,MATCH($B114,' Toto teams'!$A$4:$A$119,0)),Scoring!$A$4:$N$51,4,FALSE()),0)+IFERROR(VLOOKUP(INDEX(' Toto teams'!$B$4:$B$119,MATCH($B114,' Toto teams'!$A$4:$A$119,0)),Scoring!$A$4:$N$51,5,FALSE()),0))+4*(IFERROR(VLOOKUP(INDEX(' Toto teams'!$C$4:$C$119,MATCH($B114,' Toto teams'!$A$4:$A$119,0)),Scoring!$A$4:$N$51,3,FALSE()),0)+IFERROR(VLOOKUP(INDEX(' Toto teams'!$C$4:$C$119,MATCH($B114,' Toto teams'!$A$4:$A$119,0)),Scoring!$A$4:$N$51,4,FALSE()),0)+IFERROR(VLOOKUP(INDEX(' Toto teams'!$C$4:$C$119,MATCH($B114,' Toto teams'!$A$4:$A$119,0)),Scoring!$A$4:$N$51,5,FALSE()),0))+3*(IFERROR(VLOOKUP(INDEX(' Toto teams'!$D$4:$D$119,MATCH($B114,' Toto teams'!$A$4:$A$119,0)),Scoring!$A$4:$N$51,3,FALSE()),0)+IFERROR(VLOOKUP(INDEX(' Toto teams'!$D$4:$D$119,MATCH($B114,' Toto teams'!$A$4:$A$119,0)),Scoring!$A$4:$N$51,4,FALSE()),0)+IFERROR(VLOOKUP(INDEX(' Toto teams'!$D$4:$D$119,MATCH($B114,' Toto teams'!$A$4:$A$119,0)),Scoring!$A$4:$N$51,5,FALSE()),0))+2*(IFERROR(VLOOKUP(INDEX(' Toto teams'!$E$4:$E$119,MATCH($B114,' Toto teams'!$A$4:$A$119,0)),Scoring!$A$4:$N$51,3,FALSE()),0)+IFERROR(VLOOKUP(INDEX(' Toto teams'!$E$4:$E$119,MATCH($B114,' Toto teams'!$A$4:$A$119,0)),Scoring!$A$4:$N$51,4,FALSE()),0)+IFERROR(VLOOKUP(INDEX(' Toto teams'!$E$4:$E$119,MATCH($B114,' Toto teams'!$A$4:$A$119,0)),Scoring!$A$4:$N$51,5,FALSE()),0))+1*(IFERROR(VLOOKUP(INDEX(' Toto teams'!$F$4:$F$119,MATCH($B114,' Toto teams'!$A$4:$A$119,0)),Scoring!$A$4:$N$51,3,FALSE()),0)+IFERROR(VLOOKUP(INDEX(' Toto teams'!$F$4:$F$119,MATCH($B114,' Toto teams'!$A$4:$A$119,0)),Scoring!$A$4:$N$51,4,FALSE()),0)+IFERROR(VLOOKUP(INDEX(' Toto teams'!$F$4:$F$119,MATCH($B114,' Toto teams'!$A$4:$A$119,0)),Scoring!$A$4:$N$51,5,FALSE()),0))+1*(IFERROR(VLOOKUP(INDEX(' Toto teams'!$G$4:$G$119,MATCH($B114,' Toto teams'!$A$4:$A$119,0)),Scoring!$A$4:$N$51,3,FALSE()),0)+IFERROR(VLOOKUP(INDEX(' Toto teams'!$G$4:$G$119,MATCH($B114,' Toto teams'!$A$4:$A$119,0)),Scoring!$A$4:$N$51,4,FALSE()),0)+IFERROR(VLOOKUP(INDEX(' Toto teams'!$G$4:$G$119,MATCH($B114,' Toto teams'!$A$4:$A$119,0)),Scoring!$A$4:$N$51,5,FALSE()),0))+1*(IFERROR(VLOOKUP(INDEX(' Toto teams'!$H$4:$H$119,MATCH($B114,' Toto teams'!$A$4:$A$119,0)),Scoring!$A$4:$N$51,3,FALSE()),0)+IFERROR(VLOOKUP(INDEX(' Toto teams'!$H$4:$H$119,MATCH($B114,' Toto teams'!$A$4:$A$119,0)),Scoring!$A$4:$N$51,4,FALSE()),0)+IFERROR(VLOOKUP(INDEX(' Toto teams'!$H$4:$H$119,MATCH($B114,' Toto teams'!$A$4:$A$119,0)),Scoring!$A$4:$N$51,5,FALSE()),0))+IFERROR(INDEX(' Toto teams'!$Q$4:$Q$119,MATCH($B114,' Toto teams'!$A$4:$A$119,0))*1,0))</f>
        <v/>
      </c>
      <c r="D114">
        <f>IF($B114="","",6*IFERROR(VLOOKUP(INDEX(' Toto teams'!$B$4:$B$119,MATCH($B114,' Toto teams'!$A$4:$A$119,0)),Scoring!$A$4:$N$51,7,FALSE()),0)+4*IFERROR(VLOOKUP(INDEX(' Toto teams'!$C$4:$C$119,MATCH($B114,' Toto teams'!$A$4:$A$119,0)),Scoring!$A$4:$N$51,7,FALSE()),0)+3*IFERROR(VLOOKUP(INDEX(' Toto teams'!$D$4:$D$119,MATCH($B114,' Toto teams'!$A$4:$A$119,0)),Scoring!$A$4:$N$51,7,FALSE()),0)+2*IFERROR(VLOOKUP(INDEX(' Toto teams'!$E$4:$E$119,MATCH($B114,' Toto teams'!$A$4:$A$119,0)),Scoring!$A$4:$N$51,7,FALSE()),0)+1*IFERROR(VLOOKUP(INDEX(' Toto teams'!$F$4:$F$119,MATCH($B114,' Toto teams'!$A$4:$A$119,0)),Scoring!$A$4:$N$51,7,FALSE()),0)+1*IFERROR(VLOOKUP(INDEX(' Toto teams'!$G$4:$G$119,MATCH($B114,' Toto teams'!$A$4:$A$119,0)),Scoring!$A$4:$N$51,7,FALSE()),0)+1*IFERROR(VLOOKUP(INDEX(' Toto teams'!$H$4:$H$119,MATCH($B114,' Toto teams'!$A$4:$A$119,0)),Scoring!$A$4:$N$51,7,FALSE()),0))</f>
        <v/>
      </c>
      <c r="E114">
        <f>IF($B114="","",6*IFERROR(VLOOKUP(INDEX(' Toto teams'!$B$4:$B$119,MATCH($B114,' Toto teams'!$A$4:$A$119,0)),Scoring!$A$4:$N$51,8,FALSE()),0)+4*IFERROR(VLOOKUP(INDEX(' Toto teams'!$C$4:$C$119,MATCH($B114,' Toto teams'!$A$4:$A$119,0)),Scoring!$A$4:$N$51,8,FALSE()),0)+3*IFERROR(VLOOKUP(INDEX(' Toto teams'!$D$4:$D$119,MATCH($B114,' Toto teams'!$A$4:$A$119,0)),Scoring!$A$4:$N$51,8,FALSE()),0)+2*IFERROR(VLOOKUP(INDEX(' Toto teams'!$E$4:$E$119,MATCH($B114,' Toto teams'!$A$4:$A$119,0)),Scoring!$A$4:$N$51,8,FALSE()),0)+1*IFERROR(VLOOKUP(INDEX(' Toto teams'!$F$4:$F$119,MATCH($B114,' Toto teams'!$A$4:$A$119,0)),Scoring!$A$4:$N$51,8,FALSE()),0)+1*IFERROR(VLOOKUP(INDEX(' Toto teams'!$G$4:$G$119,MATCH($B114,' Toto teams'!$A$4:$A$119,0)),Scoring!$A$4:$N$51,8,FALSE()),0)+1*IFERROR(VLOOKUP(INDEX(' Toto teams'!$H$4:$H$119,MATCH($B114,' Toto teams'!$A$4:$A$119,0)),Scoring!$A$4:$N$51,8,FALSE()),0))</f>
        <v/>
      </c>
      <c r="F114">
        <f>IF($B114="","",6*IFERROR(VLOOKUP(INDEX(' Toto teams'!$B$4:$B$119,MATCH($B114,' Toto teams'!$A$4:$A$119,0)),Scoring!$A$4:$N$51,9,FALSE()),0)+4*IFERROR(VLOOKUP(INDEX(' Toto teams'!$C$4:$C$119,MATCH($B114,' Toto teams'!$A$4:$A$119,0)),Scoring!$A$4:$N$51,9,FALSE()),0)+3*IFERROR(VLOOKUP(INDEX(' Toto teams'!$D$4:$D$119,MATCH($B114,' Toto teams'!$A$4:$A$119,0)),Scoring!$A$4:$N$51,9,FALSE()),0)+2*IFERROR(VLOOKUP(INDEX(' Toto teams'!$E$4:$E$119,MATCH($B114,' Toto teams'!$A$4:$A$119,0)),Scoring!$A$4:$N$51,9,FALSE()),0)+1*IFERROR(VLOOKUP(INDEX(' Toto teams'!$F$4:$F$119,MATCH($B114,' Toto teams'!$A$4:$A$119,0)),Scoring!$A$4:$N$51,9,FALSE()),0)+1*IFERROR(VLOOKUP(INDEX(' Toto teams'!$G$4:$G$119,MATCH($B114,' Toto teams'!$A$4:$A$119,0)),Scoring!$A$4:$N$51,9,FALSE()),0)+1*IFERROR(VLOOKUP(INDEX(' Toto teams'!$H$4:$H$119,MATCH($B114,' Toto teams'!$A$4:$A$119,0)),Scoring!$A$4:$N$51,9,FALSE()),0))</f>
        <v/>
      </c>
      <c r="G114">
        <f>IF($B114="","",6*IFERROR(VLOOKUP(INDEX(' Toto teams'!$B$4:$B$119,MATCH($B114,' Toto teams'!$A$4:$A$119,0)),Scoring!$A$4:$N$51,10,FALSE()),0)+4*IFERROR(VLOOKUP(INDEX(' Toto teams'!$C$4:$C$119,MATCH($B114,' Toto teams'!$A$4:$A$119,0)),Scoring!$A$4:$N$51,10,FALSE()),0)+3*IFERROR(VLOOKUP(INDEX(' Toto teams'!$D$4:$D$119,MATCH($B114,' Toto teams'!$A$4:$A$119,0)),Scoring!$A$4:$N$51,10,FALSE()),0)+2*IFERROR(VLOOKUP(INDEX(' Toto teams'!$E$4:$E$119,MATCH($B114,' Toto teams'!$A$4:$A$119,0)),Scoring!$A$4:$N$51,10,FALSE()),0)+1*IFERROR(VLOOKUP(INDEX(' Toto teams'!$F$4:$F$119,MATCH($B114,' Toto teams'!$A$4:$A$119,0)),Scoring!$A$4:$N$51,10,FALSE()),0)+1*IFERROR(VLOOKUP(INDEX(' Toto teams'!$G$4:$G$119,MATCH($B114,' Toto teams'!$A$4:$A$119,0)),Scoring!$A$4:$N$51,10,FALSE()),0)+1*IFERROR(VLOOKUP(INDEX(' Toto teams'!$H$4:$H$119,MATCH($B114,' Toto teams'!$A$4:$A$119,0)),Scoring!$A$4:$N$51,10,FALSE()),0))</f>
        <v/>
      </c>
      <c r="H114">
        <f>IF($B114="","",6*IFERROR(VLOOKUP(INDEX(' Toto teams'!$B$4:$B$119,MATCH($B114,' Toto teams'!$A$4:$A$119,0)),Scoring!$A$4:$N$51,11,FALSE()),0)+4*IFERROR(VLOOKUP(INDEX(' Toto teams'!$C$4:$C$119,MATCH($B114,' Toto teams'!$A$4:$A$119,0)),Scoring!$A$4:$N$51,11,FALSE()),0)+3*IFERROR(VLOOKUP(INDEX(' Toto teams'!$D$4:$D$119,MATCH($B114,' Toto teams'!$A$4:$A$119,0)),Scoring!$A$4:$N$51,11,FALSE()),0)+2*IFERROR(VLOOKUP(INDEX(' Toto teams'!$E$4:$E$119,MATCH($B114,' Toto teams'!$A$4:$A$119,0)),Scoring!$A$4:$N$51,11,FALSE()),0)+1*IFERROR(VLOOKUP(INDEX(' Toto teams'!$F$4:$F$119,MATCH($B114,' Toto teams'!$A$4:$A$119,0)),Scoring!$A$4:$N$51,11,FALSE()),0)+1*IFERROR(VLOOKUP(INDEX(' Toto teams'!$G$4:$G$119,MATCH($B114,' Toto teams'!$A$4:$A$119,0)),Scoring!$A$4:$N$51,11,FALSE()),0)+1*IFERROR(VLOOKUP(INDEX(' Toto teams'!$H$4:$H$119,MATCH($B114,' Toto teams'!$A$4:$A$119,0)),Scoring!$A$4:$N$51,11,FALSE()),0))</f>
        <v/>
      </c>
      <c r="I114">
        <f>IF($B114="","",6*IFERROR(VLOOKUP(INDEX(' Toto teams'!$B$4:$B$119,MATCH($B114,' Toto teams'!$A$4:$A$119,0)),Scoring!$A$4:$O$51,15,FALSE()),0)+4*IFERROR(VLOOKUP(INDEX(' Toto teams'!$C$4:$C$119,MATCH($B114,' Toto teams'!$A$4:$A$119,0)),Scoring!$A$4:$O$51,15,FALSE()),0)+3*IFERROR(VLOOKUP(INDEX(' Toto teams'!$D$4:$D$119,MATCH($B114,' Toto teams'!$A$4:$A$119,0)),Scoring!$A$4:$O$51,15,FALSE()),0)+2*IFERROR(VLOOKUP(INDEX(' Toto teams'!$E$4:$E$119,MATCH($B114,' Toto teams'!$A$4:$A$119,0)),Scoring!$A$4:$O$51,15,FALSE()),0)+1*IFERROR(VLOOKUP(INDEX(' Toto teams'!$F$4:$F$119,MATCH($B114,' Toto teams'!$A$4:$A$119,0)),Scoring!$A$4:$O$51,15,FALSE()),0)+1*IFERROR(VLOOKUP(INDEX(' Toto teams'!$G$4:$G$119,MATCH($B114,' Toto teams'!$A$4:$A$119,0)),Scoring!$A$4:$O$51,15,FALSE()),0)+1*IFERROR(VLOOKUP(INDEX(' Toto teams'!$H$4:$H$119,MATCH($B114,' Toto teams'!$A$4:$A$119,0)),Scoring!$A$4:$O$51,15,FALSE()),0))</f>
        <v/>
      </c>
      <c r="J114">
        <f>IF($B114="","",6*IFERROR(VLOOKUP(INDEX(' Toto teams'!$B$4:$B$119,MATCH($B114,' Toto teams'!$A$4:$A$119,0)),Scoring!$A$4:$N$51,12,FALSE()),0)+4*IFERROR(VLOOKUP(INDEX(' Toto teams'!$C$4:$C$119,MATCH($B114,' Toto teams'!$A$4:$A$119,0)),Scoring!$A$4:$N$51,12,FALSE()),0)+3*IFERROR(VLOOKUP(INDEX(' Toto teams'!$D$4:$D$119,MATCH($B114,' Toto teams'!$A$4:$A$119,0)),Scoring!$A$4:$N$51,12,FALSE()),0)+2*IFERROR(VLOOKUP(INDEX(' Toto teams'!$E$4:$E$119,MATCH($B114,' Toto teams'!$A$4:$A$119,0)),Scoring!$A$4:$N$51,12,FALSE()),0)+1*IFERROR(VLOOKUP(INDEX(' Toto teams'!$F$4:$F$119,MATCH($B114,' Toto teams'!$A$4:$A$119,0)),Scoring!$A$4:$N$51,12,FALSE()),0)+1*IFERROR(VLOOKUP(INDEX(' Toto teams'!$G$4:$G$119,MATCH($B114,' Toto teams'!$A$4:$A$119,0)),Scoring!$A$4:$N$51,12,FALSE()),0)+1*IFERROR(VLOOKUP(INDEX(' Toto teams'!$H$4:$H$119,MATCH($B114,' Toto teams'!$A$4:$A$119,0)),Scoring!$A$4:$N$51,12,FALSE()),0))</f>
        <v/>
      </c>
      <c r="K114">
        <f>IF($B114="","",IFERROR(INDEX(' Toto teams'!$R$4:$R$119,MATCH($B114,' Toto teams'!$A$4:$A$119,0)),""))</f>
        <v/>
      </c>
      <c r="L114">
        <f>IFERROR(IF(B114="","",VLOOKUP(A114,$N$4:$R$12,5,FALSE())),0)</f>
        <v/>
      </c>
    </row>
    <row r="115" ht="13.5" customHeight="1">
      <c r="A115">
        <f>IF(112&gt;COUNTIF(' Toto teams'!$A$4:$A$119,"&lt;&gt;"),"",INDEX(' Toto teams'!$S$4:$S$119,MATCH(LARGE(' Toto teams'!$T$4:$T$119,112),' Toto teams'!$T$4:$T$119,0)))</f>
        <v/>
      </c>
      <c r="B115">
        <f>IF(112&gt;COUNTIF(' Toto teams'!$A$4:$A$119,"&lt;&gt;"),"",INDEX(' Toto teams'!$A$4:$A$119,MATCH(LARGE(' Toto teams'!$T$4:$T$119,112),' Toto teams'!$T$4:$T$119,0)))</f>
        <v/>
      </c>
      <c r="C115">
        <f>IF($B115="","",6*(IFERROR(VLOOKUP(INDEX(' Toto teams'!$B$4:$B$119,MATCH($B115,' Toto teams'!$A$4:$A$119,0)),Scoring!$A$4:$N$51,3,FALSE()),0)+IFERROR(VLOOKUP(INDEX(' Toto teams'!$B$4:$B$119,MATCH($B115,' Toto teams'!$A$4:$A$119,0)),Scoring!$A$4:$N$51,4,FALSE()),0)+IFERROR(VLOOKUP(INDEX(' Toto teams'!$B$4:$B$119,MATCH($B115,' Toto teams'!$A$4:$A$119,0)),Scoring!$A$4:$N$51,5,FALSE()),0))+4*(IFERROR(VLOOKUP(INDEX(' Toto teams'!$C$4:$C$119,MATCH($B115,' Toto teams'!$A$4:$A$119,0)),Scoring!$A$4:$N$51,3,FALSE()),0)+IFERROR(VLOOKUP(INDEX(' Toto teams'!$C$4:$C$119,MATCH($B115,' Toto teams'!$A$4:$A$119,0)),Scoring!$A$4:$N$51,4,FALSE()),0)+IFERROR(VLOOKUP(INDEX(' Toto teams'!$C$4:$C$119,MATCH($B115,' Toto teams'!$A$4:$A$119,0)),Scoring!$A$4:$N$51,5,FALSE()),0))+3*(IFERROR(VLOOKUP(INDEX(' Toto teams'!$D$4:$D$119,MATCH($B115,' Toto teams'!$A$4:$A$119,0)),Scoring!$A$4:$N$51,3,FALSE()),0)+IFERROR(VLOOKUP(INDEX(' Toto teams'!$D$4:$D$119,MATCH($B115,' Toto teams'!$A$4:$A$119,0)),Scoring!$A$4:$N$51,4,FALSE()),0)+IFERROR(VLOOKUP(INDEX(' Toto teams'!$D$4:$D$119,MATCH($B115,' Toto teams'!$A$4:$A$119,0)),Scoring!$A$4:$N$51,5,FALSE()),0))+2*(IFERROR(VLOOKUP(INDEX(' Toto teams'!$E$4:$E$119,MATCH($B115,' Toto teams'!$A$4:$A$119,0)),Scoring!$A$4:$N$51,3,FALSE()),0)+IFERROR(VLOOKUP(INDEX(' Toto teams'!$E$4:$E$119,MATCH($B115,' Toto teams'!$A$4:$A$119,0)),Scoring!$A$4:$N$51,4,FALSE()),0)+IFERROR(VLOOKUP(INDEX(' Toto teams'!$E$4:$E$119,MATCH($B115,' Toto teams'!$A$4:$A$119,0)),Scoring!$A$4:$N$51,5,FALSE()),0))+1*(IFERROR(VLOOKUP(INDEX(' Toto teams'!$F$4:$F$119,MATCH($B115,' Toto teams'!$A$4:$A$119,0)),Scoring!$A$4:$N$51,3,FALSE()),0)+IFERROR(VLOOKUP(INDEX(' Toto teams'!$F$4:$F$119,MATCH($B115,' Toto teams'!$A$4:$A$119,0)),Scoring!$A$4:$N$51,4,FALSE()),0)+IFERROR(VLOOKUP(INDEX(' Toto teams'!$F$4:$F$119,MATCH($B115,' Toto teams'!$A$4:$A$119,0)),Scoring!$A$4:$N$51,5,FALSE()),0))+1*(IFERROR(VLOOKUP(INDEX(' Toto teams'!$G$4:$G$119,MATCH($B115,' Toto teams'!$A$4:$A$119,0)),Scoring!$A$4:$N$51,3,FALSE()),0)+IFERROR(VLOOKUP(INDEX(' Toto teams'!$G$4:$G$119,MATCH($B115,' Toto teams'!$A$4:$A$119,0)),Scoring!$A$4:$N$51,4,FALSE()),0)+IFERROR(VLOOKUP(INDEX(' Toto teams'!$G$4:$G$119,MATCH($B115,' Toto teams'!$A$4:$A$119,0)),Scoring!$A$4:$N$51,5,FALSE()),0))+1*(IFERROR(VLOOKUP(INDEX(' Toto teams'!$H$4:$H$119,MATCH($B115,' Toto teams'!$A$4:$A$119,0)),Scoring!$A$4:$N$51,3,FALSE()),0)+IFERROR(VLOOKUP(INDEX(' Toto teams'!$H$4:$H$119,MATCH($B115,' Toto teams'!$A$4:$A$119,0)),Scoring!$A$4:$N$51,4,FALSE()),0)+IFERROR(VLOOKUP(INDEX(' Toto teams'!$H$4:$H$119,MATCH($B115,' Toto teams'!$A$4:$A$119,0)),Scoring!$A$4:$N$51,5,FALSE()),0))+IFERROR(INDEX(' Toto teams'!$Q$4:$Q$119,MATCH($B115,' Toto teams'!$A$4:$A$119,0))*1,0))</f>
        <v/>
      </c>
      <c r="D115">
        <f>IF($B115="","",6*IFERROR(VLOOKUP(INDEX(' Toto teams'!$B$4:$B$119,MATCH($B115,' Toto teams'!$A$4:$A$119,0)),Scoring!$A$4:$N$51,7,FALSE()),0)+4*IFERROR(VLOOKUP(INDEX(' Toto teams'!$C$4:$C$119,MATCH($B115,' Toto teams'!$A$4:$A$119,0)),Scoring!$A$4:$N$51,7,FALSE()),0)+3*IFERROR(VLOOKUP(INDEX(' Toto teams'!$D$4:$D$119,MATCH($B115,' Toto teams'!$A$4:$A$119,0)),Scoring!$A$4:$N$51,7,FALSE()),0)+2*IFERROR(VLOOKUP(INDEX(' Toto teams'!$E$4:$E$119,MATCH($B115,' Toto teams'!$A$4:$A$119,0)),Scoring!$A$4:$N$51,7,FALSE()),0)+1*IFERROR(VLOOKUP(INDEX(' Toto teams'!$F$4:$F$119,MATCH($B115,' Toto teams'!$A$4:$A$119,0)),Scoring!$A$4:$N$51,7,FALSE()),0)+1*IFERROR(VLOOKUP(INDEX(' Toto teams'!$G$4:$G$119,MATCH($B115,' Toto teams'!$A$4:$A$119,0)),Scoring!$A$4:$N$51,7,FALSE()),0)+1*IFERROR(VLOOKUP(INDEX(' Toto teams'!$H$4:$H$119,MATCH($B115,' Toto teams'!$A$4:$A$119,0)),Scoring!$A$4:$N$51,7,FALSE()),0))</f>
        <v/>
      </c>
      <c r="E115">
        <f>IF($B115="","",6*IFERROR(VLOOKUP(INDEX(' Toto teams'!$B$4:$B$119,MATCH($B115,' Toto teams'!$A$4:$A$119,0)),Scoring!$A$4:$N$51,8,FALSE()),0)+4*IFERROR(VLOOKUP(INDEX(' Toto teams'!$C$4:$C$119,MATCH($B115,' Toto teams'!$A$4:$A$119,0)),Scoring!$A$4:$N$51,8,FALSE()),0)+3*IFERROR(VLOOKUP(INDEX(' Toto teams'!$D$4:$D$119,MATCH($B115,' Toto teams'!$A$4:$A$119,0)),Scoring!$A$4:$N$51,8,FALSE()),0)+2*IFERROR(VLOOKUP(INDEX(' Toto teams'!$E$4:$E$119,MATCH($B115,' Toto teams'!$A$4:$A$119,0)),Scoring!$A$4:$N$51,8,FALSE()),0)+1*IFERROR(VLOOKUP(INDEX(' Toto teams'!$F$4:$F$119,MATCH($B115,' Toto teams'!$A$4:$A$119,0)),Scoring!$A$4:$N$51,8,FALSE()),0)+1*IFERROR(VLOOKUP(INDEX(' Toto teams'!$G$4:$G$119,MATCH($B115,' Toto teams'!$A$4:$A$119,0)),Scoring!$A$4:$N$51,8,FALSE()),0)+1*IFERROR(VLOOKUP(INDEX(' Toto teams'!$H$4:$H$119,MATCH($B115,' Toto teams'!$A$4:$A$119,0)),Scoring!$A$4:$N$51,8,FALSE()),0))</f>
        <v/>
      </c>
      <c r="F115">
        <f>IF($B115="","",6*IFERROR(VLOOKUP(INDEX(' Toto teams'!$B$4:$B$119,MATCH($B115,' Toto teams'!$A$4:$A$119,0)),Scoring!$A$4:$N$51,9,FALSE()),0)+4*IFERROR(VLOOKUP(INDEX(' Toto teams'!$C$4:$C$119,MATCH($B115,' Toto teams'!$A$4:$A$119,0)),Scoring!$A$4:$N$51,9,FALSE()),0)+3*IFERROR(VLOOKUP(INDEX(' Toto teams'!$D$4:$D$119,MATCH($B115,' Toto teams'!$A$4:$A$119,0)),Scoring!$A$4:$N$51,9,FALSE()),0)+2*IFERROR(VLOOKUP(INDEX(' Toto teams'!$E$4:$E$119,MATCH($B115,' Toto teams'!$A$4:$A$119,0)),Scoring!$A$4:$N$51,9,FALSE()),0)+1*IFERROR(VLOOKUP(INDEX(' Toto teams'!$F$4:$F$119,MATCH($B115,' Toto teams'!$A$4:$A$119,0)),Scoring!$A$4:$N$51,9,FALSE()),0)+1*IFERROR(VLOOKUP(INDEX(' Toto teams'!$G$4:$G$119,MATCH($B115,' Toto teams'!$A$4:$A$119,0)),Scoring!$A$4:$N$51,9,FALSE()),0)+1*IFERROR(VLOOKUP(INDEX(' Toto teams'!$H$4:$H$119,MATCH($B115,' Toto teams'!$A$4:$A$119,0)),Scoring!$A$4:$N$51,9,FALSE()),0))</f>
        <v/>
      </c>
      <c r="G115">
        <f>IF($B115="","",6*IFERROR(VLOOKUP(INDEX(' Toto teams'!$B$4:$B$119,MATCH($B115,' Toto teams'!$A$4:$A$119,0)),Scoring!$A$4:$N$51,10,FALSE()),0)+4*IFERROR(VLOOKUP(INDEX(' Toto teams'!$C$4:$C$119,MATCH($B115,' Toto teams'!$A$4:$A$119,0)),Scoring!$A$4:$N$51,10,FALSE()),0)+3*IFERROR(VLOOKUP(INDEX(' Toto teams'!$D$4:$D$119,MATCH($B115,' Toto teams'!$A$4:$A$119,0)),Scoring!$A$4:$N$51,10,FALSE()),0)+2*IFERROR(VLOOKUP(INDEX(' Toto teams'!$E$4:$E$119,MATCH($B115,' Toto teams'!$A$4:$A$119,0)),Scoring!$A$4:$N$51,10,FALSE()),0)+1*IFERROR(VLOOKUP(INDEX(' Toto teams'!$F$4:$F$119,MATCH($B115,' Toto teams'!$A$4:$A$119,0)),Scoring!$A$4:$N$51,10,FALSE()),0)+1*IFERROR(VLOOKUP(INDEX(' Toto teams'!$G$4:$G$119,MATCH($B115,' Toto teams'!$A$4:$A$119,0)),Scoring!$A$4:$N$51,10,FALSE()),0)+1*IFERROR(VLOOKUP(INDEX(' Toto teams'!$H$4:$H$119,MATCH($B115,' Toto teams'!$A$4:$A$119,0)),Scoring!$A$4:$N$51,10,FALSE()),0))</f>
        <v/>
      </c>
      <c r="H115">
        <f>IF($B115="","",6*IFERROR(VLOOKUP(INDEX(' Toto teams'!$B$4:$B$119,MATCH($B115,' Toto teams'!$A$4:$A$119,0)),Scoring!$A$4:$N$51,11,FALSE()),0)+4*IFERROR(VLOOKUP(INDEX(' Toto teams'!$C$4:$C$119,MATCH($B115,' Toto teams'!$A$4:$A$119,0)),Scoring!$A$4:$N$51,11,FALSE()),0)+3*IFERROR(VLOOKUP(INDEX(' Toto teams'!$D$4:$D$119,MATCH($B115,' Toto teams'!$A$4:$A$119,0)),Scoring!$A$4:$N$51,11,FALSE()),0)+2*IFERROR(VLOOKUP(INDEX(' Toto teams'!$E$4:$E$119,MATCH($B115,' Toto teams'!$A$4:$A$119,0)),Scoring!$A$4:$N$51,11,FALSE()),0)+1*IFERROR(VLOOKUP(INDEX(' Toto teams'!$F$4:$F$119,MATCH($B115,' Toto teams'!$A$4:$A$119,0)),Scoring!$A$4:$N$51,11,FALSE()),0)+1*IFERROR(VLOOKUP(INDEX(' Toto teams'!$G$4:$G$119,MATCH($B115,' Toto teams'!$A$4:$A$119,0)),Scoring!$A$4:$N$51,11,FALSE()),0)+1*IFERROR(VLOOKUP(INDEX(' Toto teams'!$H$4:$H$119,MATCH($B115,' Toto teams'!$A$4:$A$119,0)),Scoring!$A$4:$N$51,11,FALSE()),0))</f>
        <v/>
      </c>
      <c r="I115">
        <f>IF($B115="","",6*IFERROR(VLOOKUP(INDEX(' Toto teams'!$B$4:$B$119,MATCH($B115,' Toto teams'!$A$4:$A$119,0)),Scoring!$A$4:$O$51,15,FALSE()),0)+4*IFERROR(VLOOKUP(INDEX(' Toto teams'!$C$4:$C$119,MATCH($B115,' Toto teams'!$A$4:$A$119,0)),Scoring!$A$4:$O$51,15,FALSE()),0)+3*IFERROR(VLOOKUP(INDEX(' Toto teams'!$D$4:$D$119,MATCH($B115,' Toto teams'!$A$4:$A$119,0)),Scoring!$A$4:$O$51,15,FALSE()),0)+2*IFERROR(VLOOKUP(INDEX(' Toto teams'!$E$4:$E$119,MATCH($B115,' Toto teams'!$A$4:$A$119,0)),Scoring!$A$4:$O$51,15,FALSE()),0)+1*IFERROR(VLOOKUP(INDEX(' Toto teams'!$F$4:$F$119,MATCH($B115,' Toto teams'!$A$4:$A$119,0)),Scoring!$A$4:$O$51,15,FALSE()),0)+1*IFERROR(VLOOKUP(INDEX(' Toto teams'!$G$4:$G$119,MATCH($B115,' Toto teams'!$A$4:$A$119,0)),Scoring!$A$4:$O$51,15,FALSE()),0)+1*IFERROR(VLOOKUP(INDEX(' Toto teams'!$H$4:$H$119,MATCH($B115,' Toto teams'!$A$4:$A$119,0)),Scoring!$A$4:$O$51,15,FALSE()),0))</f>
        <v/>
      </c>
      <c r="J115">
        <f>IF($B115="","",6*IFERROR(VLOOKUP(INDEX(' Toto teams'!$B$4:$B$119,MATCH($B115,' Toto teams'!$A$4:$A$119,0)),Scoring!$A$4:$N$51,12,FALSE()),0)+4*IFERROR(VLOOKUP(INDEX(' Toto teams'!$C$4:$C$119,MATCH($B115,' Toto teams'!$A$4:$A$119,0)),Scoring!$A$4:$N$51,12,FALSE()),0)+3*IFERROR(VLOOKUP(INDEX(' Toto teams'!$D$4:$D$119,MATCH($B115,' Toto teams'!$A$4:$A$119,0)),Scoring!$A$4:$N$51,12,FALSE()),0)+2*IFERROR(VLOOKUP(INDEX(' Toto teams'!$E$4:$E$119,MATCH($B115,' Toto teams'!$A$4:$A$119,0)),Scoring!$A$4:$N$51,12,FALSE()),0)+1*IFERROR(VLOOKUP(INDEX(' Toto teams'!$F$4:$F$119,MATCH($B115,' Toto teams'!$A$4:$A$119,0)),Scoring!$A$4:$N$51,12,FALSE()),0)+1*IFERROR(VLOOKUP(INDEX(' Toto teams'!$G$4:$G$119,MATCH($B115,' Toto teams'!$A$4:$A$119,0)),Scoring!$A$4:$N$51,12,FALSE()),0)+1*IFERROR(VLOOKUP(INDEX(' Toto teams'!$H$4:$H$119,MATCH($B115,' Toto teams'!$A$4:$A$119,0)),Scoring!$A$4:$N$51,12,FALSE()),0))</f>
        <v/>
      </c>
      <c r="K115">
        <f>IF($B115="","",IFERROR(INDEX(' Toto teams'!$R$4:$R$119,MATCH($B115,' Toto teams'!$A$4:$A$119,0)),""))</f>
        <v/>
      </c>
      <c r="L115">
        <f>IFERROR(IF(B115="","",VLOOKUP(A115,$N$4:$R$12,5,FALSE())),0)</f>
        <v/>
      </c>
    </row>
    <row r="116" ht="13.5" customHeight="1">
      <c r="A116">
        <f>IF(113&gt;COUNTIF(' Toto teams'!$A$4:$A$119,"&lt;&gt;"),"",INDEX(' Toto teams'!$S$4:$S$119,MATCH(LARGE(' Toto teams'!$T$4:$T$119,113),' Toto teams'!$T$4:$T$119,0)))</f>
        <v/>
      </c>
      <c r="B116">
        <f>IF(113&gt;COUNTIF(' Toto teams'!$A$4:$A$119,"&lt;&gt;"),"",INDEX(' Toto teams'!$A$4:$A$119,MATCH(LARGE(' Toto teams'!$T$4:$T$119,113),' Toto teams'!$T$4:$T$119,0)))</f>
        <v/>
      </c>
      <c r="C116">
        <f>IF($B116="","",6*(IFERROR(VLOOKUP(INDEX(' Toto teams'!$B$4:$B$119,MATCH($B116,' Toto teams'!$A$4:$A$119,0)),Scoring!$A$4:$N$51,3,FALSE()),0)+IFERROR(VLOOKUP(INDEX(' Toto teams'!$B$4:$B$119,MATCH($B116,' Toto teams'!$A$4:$A$119,0)),Scoring!$A$4:$N$51,4,FALSE()),0)+IFERROR(VLOOKUP(INDEX(' Toto teams'!$B$4:$B$119,MATCH($B116,' Toto teams'!$A$4:$A$119,0)),Scoring!$A$4:$N$51,5,FALSE()),0))+4*(IFERROR(VLOOKUP(INDEX(' Toto teams'!$C$4:$C$119,MATCH($B116,' Toto teams'!$A$4:$A$119,0)),Scoring!$A$4:$N$51,3,FALSE()),0)+IFERROR(VLOOKUP(INDEX(' Toto teams'!$C$4:$C$119,MATCH($B116,' Toto teams'!$A$4:$A$119,0)),Scoring!$A$4:$N$51,4,FALSE()),0)+IFERROR(VLOOKUP(INDEX(' Toto teams'!$C$4:$C$119,MATCH($B116,' Toto teams'!$A$4:$A$119,0)),Scoring!$A$4:$N$51,5,FALSE()),0))+3*(IFERROR(VLOOKUP(INDEX(' Toto teams'!$D$4:$D$119,MATCH($B116,' Toto teams'!$A$4:$A$119,0)),Scoring!$A$4:$N$51,3,FALSE()),0)+IFERROR(VLOOKUP(INDEX(' Toto teams'!$D$4:$D$119,MATCH($B116,' Toto teams'!$A$4:$A$119,0)),Scoring!$A$4:$N$51,4,FALSE()),0)+IFERROR(VLOOKUP(INDEX(' Toto teams'!$D$4:$D$119,MATCH($B116,' Toto teams'!$A$4:$A$119,0)),Scoring!$A$4:$N$51,5,FALSE()),0))+2*(IFERROR(VLOOKUP(INDEX(' Toto teams'!$E$4:$E$119,MATCH($B116,' Toto teams'!$A$4:$A$119,0)),Scoring!$A$4:$N$51,3,FALSE()),0)+IFERROR(VLOOKUP(INDEX(' Toto teams'!$E$4:$E$119,MATCH($B116,' Toto teams'!$A$4:$A$119,0)),Scoring!$A$4:$N$51,4,FALSE()),0)+IFERROR(VLOOKUP(INDEX(' Toto teams'!$E$4:$E$119,MATCH($B116,' Toto teams'!$A$4:$A$119,0)),Scoring!$A$4:$N$51,5,FALSE()),0))+1*(IFERROR(VLOOKUP(INDEX(' Toto teams'!$F$4:$F$119,MATCH($B116,' Toto teams'!$A$4:$A$119,0)),Scoring!$A$4:$N$51,3,FALSE()),0)+IFERROR(VLOOKUP(INDEX(' Toto teams'!$F$4:$F$119,MATCH($B116,' Toto teams'!$A$4:$A$119,0)),Scoring!$A$4:$N$51,4,FALSE()),0)+IFERROR(VLOOKUP(INDEX(' Toto teams'!$F$4:$F$119,MATCH($B116,' Toto teams'!$A$4:$A$119,0)),Scoring!$A$4:$N$51,5,FALSE()),0))+1*(IFERROR(VLOOKUP(INDEX(' Toto teams'!$G$4:$G$119,MATCH($B116,' Toto teams'!$A$4:$A$119,0)),Scoring!$A$4:$N$51,3,FALSE()),0)+IFERROR(VLOOKUP(INDEX(' Toto teams'!$G$4:$G$119,MATCH($B116,' Toto teams'!$A$4:$A$119,0)),Scoring!$A$4:$N$51,4,FALSE()),0)+IFERROR(VLOOKUP(INDEX(' Toto teams'!$G$4:$G$119,MATCH($B116,' Toto teams'!$A$4:$A$119,0)),Scoring!$A$4:$N$51,5,FALSE()),0))+1*(IFERROR(VLOOKUP(INDEX(' Toto teams'!$H$4:$H$119,MATCH($B116,' Toto teams'!$A$4:$A$119,0)),Scoring!$A$4:$N$51,3,FALSE()),0)+IFERROR(VLOOKUP(INDEX(' Toto teams'!$H$4:$H$119,MATCH($B116,' Toto teams'!$A$4:$A$119,0)),Scoring!$A$4:$N$51,4,FALSE()),0)+IFERROR(VLOOKUP(INDEX(' Toto teams'!$H$4:$H$119,MATCH($B116,' Toto teams'!$A$4:$A$119,0)),Scoring!$A$4:$N$51,5,FALSE()),0))+IFERROR(INDEX(' Toto teams'!$Q$4:$Q$119,MATCH($B116,' Toto teams'!$A$4:$A$119,0))*1,0))</f>
        <v/>
      </c>
      <c r="D116">
        <f>IF($B116="","",6*IFERROR(VLOOKUP(INDEX(' Toto teams'!$B$4:$B$119,MATCH($B116,' Toto teams'!$A$4:$A$119,0)),Scoring!$A$4:$N$51,7,FALSE()),0)+4*IFERROR(VLOOKUP(INDEX(' Toto teams'!$C$4:$C$119,MATCH($B116,' Toto teams'!$A$4:$A$119,0)),Scoring!$A$4:$N$51,7,FALSE()),0)+3*IFERROR(VLOOKUP(INDEX(' Toto teams'!$D$4:$D$119,MATCH($B116,' Toto teams'!$A$4:$A$119,0)),Scoring!$A$4:$N$51,7,FALSE()),0)+2*IFERROR(VLOOKUP(INDEX(' Toto teams'!$E$4:$E$119,MATCH($B116,' Toto teams'!$A$4:$A$119,0)),Scoring!$A$4:$N$51,7,FALSE()),0)+1*IFERROR(VLOOKUP(INDEX(' Toto teams'!$F$4:$F$119,MATCH($B116,' Toto teams'!$A$4:$A$119,0)),Scoring!$A$4:$N$51,7,FALSE()),0)+1*IFERROR(VLOOKUP(INDEX(' Toto teams'!$G$4:$G$119,MATCH($B116,' Toto teams'!$A$4:$A$119,0)),Scoring!$A$4:$N$51,7,FALSE()),0)+1*IFERROR(VLOOKUP(INDEX(' Toto teams'!$H$4:$H$119,MATCH($B116,' Toto teams'!$A$4:$A$119,0)),Scoring!$A$4:$N$51,7,FALSE()),0))</f>
        <v/>
      </c>
      <c r="E116">
        <f>IF($B116="","",6*IFERROR(VLOOKUP(INDEX(' Toto teams'!$B$4:$B$119,MATCH($B116,' Toto teams'!$A$4:$A$119,0)),Scoring!$A$4:$N$51,8,FALSE()),0)+4*IFERROR(VLOOKUP(INDEX(' Toto teams'!$C$4:$C$119,MATCH($B116,' Toto teams'!$A$4:$A$119,0)),Scoring!$A$4:$N$51,8,FALSE()),0)+3*IFERROR(VLOOKUP(INDEX(' Toto teams'!$D$4:$D$119,MATCH($B116,' Toto teams'!$A$4:$A$119,0)),Scoring!$A$4:$N$51,8,FALSE()),0)+2*IFERROR(VLOOKUP(INDEX(' Toto teams'!$E$4:$E$119,MATCH($B116,' Toto teams'!$A$4:$A$119,0)),Scoring!$A$4:$N$51,8,FALSE()),0)+1*IFERROR(VLOOKUP(INDEX(' Toto teams'!$F$4:$F$119,MATCH($B116,' Toto teams'!$A$4:$A$119,0)),Scoring!$A$4:$N$51,8,FALSE()),0)+1*IFERROR(VLOOKUP(INDEX(' Toto teams'!$G$4:$G$119,MATCH($B116,' Toto teams'!$A$4:$A$119,0)),Scoring!$A$4:$N$51,8,FALSE()),0)+1*IFERROR(VLOOKUP(INDEX(' Toto teams'!$H$4:$H$119,MATCH($B116,' Toto teams'!$A$4:$A$119,0)),Scoring!$A$4:$N$51,8,FALSE()),0))</f>
        <v/>
      </c>
      <c r="F116">
        <f>IF($B116="","",6*IFERROR(VLOOKUP(INDEX(' Toto teams'!$B$4:$B$119,MATCH($B116,' Toto teams'!$A$4:$A$119,0)),Scoring!$A$4:$N$51,9,FALSE()),0)+4*IFERROR(VLOOKUP(INDEX(' Toto teams'!$C$4:$C$119,MATCH($B116,' Toto teams'!$A$4:$A$119,0)),Scoring!$A$4:$N$51,9,FALSE()),0)+3*IFERROR(VLOOKUP(INDEX(' Toto teams'!$D$4:$D$119,MATCH($B116,' Toto teams'!$A$4:$A$119,0)),Scoring!$A$4:$N$51,9,FALSE()),0)+2*IFERROR(VLOOKUP(INDEX(' Toto teams'!$E$4:$E$119,MATCH($B116,' Toto teams'!$A$4:$A$119,0)),Scoring!$A$4:$N$51,9,FALSE()),0)+1*IFERROR(VLOOKUP(INDEX(' Toto teams'!$F$4:$F$119,MATCH($B116,' Toto teams'!$A$4:$A$119,0)),Scoring!$A$4:$N$51,9,FALSE()),0)+1*IFERROR(VLOOKUP(INDEX(' Toto teams'!$G$4:$G$119,MATCH($B116,' Toto teams'!$A$4:$A$119,0)),Scoring!$A$4:$N$51,9,FALSE()),0)+1*IFERROR(VLOOKUP(INDEX(' Toto teams'!$H$4:$H$119,MATCH($B116,' Toto teams'!$A$4:$A$119,0)),Scoring!$A$4:$N$51,9,FALSE()),0))</f>
        <v/>
      </c>
      <c r="G116">
        <f>IF($B116="","",6*IFERROR(VLOOKUP(INDEX(' Toto teams'!$B$4:$B$119,MATCH($B116,' Toto teams'!$A$4:$A$119,0)),Scoring!$A$4:$N$51,10,FALSE()),0)+4*IFERROR(VLOOKUP(INDEX(' Toto teams'!$C$4:$C$119,MATCH($B116,' Toto teams'!$A$4:$A$119,0)),Scoring!$A$4:$N$51,10,FALSE()),0)+3*IFERROR(VLOOKUP(INDEX(' Toto teams'!$D$4:$D$119,MATCH($B116,' Toto teams'!$A$4:$A$119,0)),Scoring!$A$4:$N$51,10,FALSE()),0)+2*IFERROR(VLOOKUP(INDEX(' Toto teams'!$E$4:$E$119,MATCH($B116,' Toto teams'!$A$4:$A$119,0)),Scoring!$A$4:$N$51,10,FALSE()),0)+1*IFERROR(VLOOKUP(INDEX(' Toto teams'!$F$4:$F$119,MATCH($B116,' Toto teams'!$A$4:$A$119,0)),Scoring!$A$4:$N$51,10,FALSE()),0)+1*IFERROR(VLOOKUP(INDEX(' Toto teams'!$G$4:$G$119,MATCH($B116,' Toto teams'!$A$4:$A$119,0)),Scoring!$A$4:$N$51,10,FALSE()),0)+1*IFERROR(VLOOKUP(INDEX(' Toto teams'!$H$4:$H$119,MATCH($B116,' Toto teams'!$A$4:$A$119,0)),Scoring!$A$4:$N$51,10,FALSE()),0))</f>
        <v/>
      </c>
      <c r="H116">
        <f>IF($B116="","",6*IFERROR(VLOOKUP(INDEX(' Toto teams'!$B$4:$B$119,MATCH($B116,' Toto teams'!$A$4:$A$119,0)),Scoring!$A$4:$N$51,11,FALSE()),0)+4*IFERROR(VLOOKUP(INDEX(' Toto teams'!$C$4:$C$119,MATCH($B116,' Toto teams'!$A$4:$A$119,0)),Scoring!$A$4:$N$51,11,FALSE()),0)+3*IFERROR(VLOOKUP(INDEX(' Toto teams'!$D$4:$D$119,MATCH($B116,' Toto teams'!$A$4:$A$119,0)),Scoring!$A$4:$N$51,11,FALSE()),0)+2*IFERROR(VLOOKUP(INDEX(' Toto teams'!$E$4:$E$119,MATCH($B116,' Toto teams'!$A$4:$A$119,0)),Scoring!$A$4:$N$51,11,FALSE()),0)+1*IFERROR(VLOOKUP(INDEX(' Toto teams'!$F$4:$F$119,MATCH($B116,' Toto teams'!$A$4:$A$119,0)),Scoring!$A$4:$N$51,11,FALSE()),0)+1*IFERROR(VLOOKUP(INDEX(' Toto teams'!$G$4:$G$119,MATCH($B116,' Toto teams'!$A$4:$A$119,0)),Scoring!$A$4:$N$51,11,FALSE()),0)+1*IFERROR(VLOOKUP(INDEX(' Toto teams'!$H$4:$H$119,MATCH($B116,' Toto teams'!$A$4:$A$119,0)),Scoring!$A$4:$N$51,11,FALSE()),0))</f>
        <v/>
      </c>
      <c r="I116">
        <f>IF($B116="","",6*IFERROR(VLOOKUP(INDEX(' Toto teams'!$B$4:$B$119,MATCH($B116,' Toto teams'!$A$4:$A$119,0)),Scoring!$A$4:$O$51,15,FALSE()),0)+4*IFERROR(VLOOKUP(INDEX(' Toto teams'!$C$4:$C$119,MATCH($B116,' Toto teams'!$A$4:$A$119,0)),Scoring!$A$4:$O$51,15,FALSE()),0)+3*IFERROR(VLOOKUP(INDEX(' Toto teams'!$D$4:$D$119,MATCH($B116,' Toto teams'!$A$4:$A$119,0)),Scoring!$A$4:$O$51,15,FALSE()),0)+2*IFERROR(VLOOKUP(INDEX(' Toto teams'!$E$4:$E$119,MATCH($B116,' Toto teams'!$A$4:$A$119,0)),Scoring!$A$4:$O$51,15,FALSE()),0)+1*IFERROR(VLOOKUP(INDEX(' Toto teams'!$F$4:$F$119,MATCH($B116,' Toto teams'!$A$4:$A$119,0)),Scoring!$A$4:$O$51,15,FALSE()),0)+1*IFERROR(VLOOKUP(INDEX(' Toto teams'!$G$4:$G$119,MATCH($B116,' Toto teams'!$A$4:$A$119,0)),Scoring!$A$4:$O$51,15,FALSE()),0)+1*IFERROR(VLOOKUP(INDEX(' Toto teams'!$H$4:$H$119,MATCH($B116,' Toto teams'!$A$4:$A$119,0)),Scoring!$A$4:$O$51,15,FALSE()),0))</f>
        <v/>
      </c>
      <c r="J116">
        <f>IF($B116="","",6*IFERROR(VLOOKUP(INDEX(' Toto teams'!$B$4:$B$119,MATCH($B116,' Toto teams'!$A$4:$A$119,0)),Scoring!$A$4:$N$51,12,FALSE()),0)+4*IFERROR(VLOOKUP(INDEX(' Toto teams'!$C$4:$C$119,MATCH($B116,' Toto teams'!$A$4:$A$119,0)),Scoring!$A$4:$N$51,12,FALSE()),0)+3*IFERROR(VLOOKUP(INDEX(' Toto teams'!$D$4:$D$119,MATCH($B116,' Toto teams'!$A$4:$A$119,0)),Scoring!$A$4:$N$51,12,FALSE()),0)+2*IFERROR(VLOOKUP(INDEX(' Toto teams'!$E$4:$E$119,MATCH($B116,' Toto teams'!$A$4:$A$119,0)),Scoring!$A$4:$N$51,12,FALSE()),0)+1*IFERROR(VLOOKUP(INDEX(' Toto teams'!$F$4:$F$119,MATCH($B116,' Toto teams'!$A$4:$A$119,0)),Scoring!$A$4:$N$51,12,FALSE()),0)+1*IFERROR(VLOOKUP(INDEX(' Toto teams'!$G$4:$G$119,MATCH($B116,' Toto teams'!$A$4:$A$119,0)),Scoring!$A$4:$N$51,12,FALSE()),0)+1*IFERROR(VLOOKUP(INDEX(' Toto teams'!$H$4:$H$119,MATCH($B116,' Toto teams'!$A$4:$A$119,0)),Scoring!$A$4:$N$51,12,FALSE()),0))</f>
        <v/>
      </c>
      <c r="K116">
        <f>IF($B116="","",IFERROR(INDEX(' Toto teams'!$R$4:$R$119,MATCH($B116,' Toto teams'!$A$4:$A$119,0)),""))</f>
        <v/>
      </c>
      <c r="L116">
        <f>IFERROR(IF(B116="","",VLOOKUP(A116,$N$4:$R$12,5,FALSE())),0)</f>
        <v/>
      </c>
    </row>
    <row r="117" ht="13.5" customHeight="1">
      <c r="A117">
        <f>IF(114&gt;COUNTIF(' Toto teams'!$A$4:$A$119,"&lt;&gt;"),"",INDEX(' Toto teams'!$S$4:$S$119,MATCH(LARGE(' Toto teams'!$T$4:$T$119,114),' Toto teams'!$T$4:$T$119,0)))</f>
        <v/>
      </c>
      <c r="B117">
        <f>IF(114&gt;COUNTIF(' Toto teams'!$A$4:$A$119,"&lt;&gt;"),"",INDEX(' Toto teams'!$A$4:$A$119,MATCH(LARGE(' Toto teams'!$T$4:$T$119,114),' Toto teams'!$T$4:$T$119,0)))</f>
        <v/>
      </c>
      <c r="C117">
        <f>IF($B117="","",6*(IFERROR(VLOOKUP(INDEX(' Toto teams'!$B$4:$B$119,MATCH($B117,' Toto teams'!$A$4:$A$119,0)),Scoring!$A$4:$N$51,3,FALSE()),0)+IFERROR(VLOOKUP(INDEX(' Toto teams'!$B$4:$B$119,MATCH($B117,' Toto teams'!$A$4:$A$119,0)),Scoring!$A$4:$N$51,4,FALSE()),0)+IFERROR(VLOOKUP(INDEX(' Toto teams'!$B$4:$B$119,MATCH($B117,' Toto teams'!$A$4:$A$119,0)),Scoring!$A$4:$N$51,5,FALSE()),0))+4*(IFERROR(VLOOKUP(INDEX(' Toto teams'!$C$4:$C$119,MATCH($B117,' Toto teams'!$A$4:$A$119,0)),Scoring!$A$4:$N$51,3,FALSE()),0)+IFERROR(VLOOKUP(INDEX(' Toto teams'!$C$4:$C$119,MATCH($B117,' Toto teams'!$A$4:$A$119,0)),Scoring!$A$4:$N$51,4,FALSE()),0)+IFERROR(VLOOKUP(INDEX(' Toto teams'!$C$4:$C$119,MATCH($B117,' Toto teams'!$A$4:$A$119,0)),Scoring!$A$4:$N$51,5,FALSE()),0))+3*(IFERROR(VLOOKUP(INDEX(' Toto teams'!$D$4:$D$119,MATCH($B117,' Toto teams'!$A$4:$A$119,0)),Scoring!$A$4:$N$51,3,FALSE()),0)+IFERROR(VLOOKUP(INDEX(' Toto teams'!$D$4:$D$119,MATCH($B117,' Toto teams'!$A$4:$A$119,0)),Scoring!$A$4:$N$51,4,FALSE()),0)+IFERROR(VLOOKUP(INDEX(' Toto teams'!$D$4:$D$119,MATCH($B117,' Toto teams'!$A$4:$A$119,0)),Scoring!$A$4:$N$51,5,FALSE()),0))+2*(IFERROR(VLOOKUP(INDEX(' Toto teams'!$E$4:$E$119,MATCH($B117,' Toto teams'!$A$4:$A$119,0)),Scoring!$A$4:$N$51,3,FALSE()),0)+IFERROR(VLOOKUP(INDEX(' Toto teams'!$E$4:$E$119,MATCH($B117,' Toto teams'!$A$4:$A$119,0)),Scoring!$A$4:$N$51,4,FALSE()),0)+IFERROR(VLOOKUP(INDEX(' Toto teams'!$E$4:$E$119,MATCH($B117,' Toto teams'!$A$4:$A$119,0)),Scoring!$A$4:$N$51,5,FALSE()),0))+1*(IFERROR(VLOOKUP(INDEX(' Toto teams'!$F$4:$F$119,MATCH($B117,' Toto teams'!$A$4:$A$119,0)),Scoring!$A$4:$N$51,3,FALSE()),0)+IFERROR(VLOOKUP(INDEX(' Toto teams'!$F$4:$F$119,MATCH($B117,' Toto teams'!$A$4:$A$119,0)),Scoring!$A$4:$N$51,4,FALSE()),0)+IFERROR(VLOOKUP(INDEX(' Toto teams'!$F$4:$F$119,MATCH($B117,' Toto teams'!$A$4:$A$119,0)),Scoring!$A$4:$N$51,5,FALSE()),0))+1*(IFERROR(VLOOKUP(INDEX(' Toto teams'!$G$4:$G$119,MATCH($B117,' Toto teams'!$A$4:$A$119,0)),Scoring!$A$4:$N$51,3,FALSE()),0)+IFERROR(VLOOKUP(INDEX(' Toto teams'!$G$4:$G$119,MATCH($B117,' Toto teams'!$A$4:$A$119,0)),Scoring!$A$4:$N$51,4,FALSE()),0)+IFERROR(VLOOKUP(INDEX(' Toto teams'!$G$4:$G$119,MATCH($B117,' Toto teams'!$A$4:$A$119,0)),Scoring!$A$4:$N$51,5,FALSE()),0))+1*(IFERROR(VLOOKUP(INDEX(' Toto teams'!$H$4:$H$119,MATCH($B117,' Toto teams'!$A$4:$A$119,0)),Scoring!$A$4:$N$51,3,FALSE()),0)+IFERROR(VLOOKUP(INDEX(' Toto teams'!$H$4:$H$119,MATCH($B117,' Toto teams'!$A$4:$A$119,0)),Scoring!$A$4:$N$51,4,FALSE()),0)+IFERROR(VLOOKUP(INDEX(' Toto teams'!$H$4:$H$119,MATCH($B117,' Toto teams'!$A$4:$A$119,0)),Scoring!$A$4:$N$51,5,FALSE()),0))+IFERROR(INDEX(' Toto teams'!$Q$4:$Q$119,MATCH($B117,' Toto teams'!$A$4:$A$119,0))*1,0))</f>
        <v/>
      </c>
      <c r="D117">
        <f>IF($B117="","",6*IFERROR(VLOOKUP(INDEX(' Toto teams'!$B$4:$B$119,MATCH($B117,' Toto teams'!$A$4:$A$119,0)),Scoring!$A$4:$N$51,7,FALSE()),0)+4*IFERROR(VLOOKUP(INDEX(' Toto teams'!$C$4:$C$119,MATCH($B117,' Toto teams'!$A$4:$A$119,0)),Scoring!$A$4:$N$51,7,FALSE()),0)+3*IFERROR(VLOOKUP(INDEX(' Toto teams'!$D$4:$D$119,MATCH($B117,' Toto teams'!$A$4:$A$119,0)),Scoring!$A$4:$N$51,7,FALSE()),0)+2*IFERROR(VLOOKUP(INDEX(' Toto teams'!$E$4:$E$119,MATCH($B117,' Toto teams'!$A$4:$A$119,0)),Scoring!$A$4:$N$51,7,FALSE()),0)+1*IFERROR(VLOOKUP(INDEX(' Toto teams'!$F$4:$F$119,MATCH($B117,' Toto teams'!$A$4:$A$119,0)),Scoring!$A$4:$N$51,7,FALSE()),0)+1*IFERROR(VLOOKUP(INDEX(' Toto teams'!$G$4:$G$119,MATCH($B117,' Toto teams'!$A$4:$A$119,0)),Scoring!$A$4:$N$51,7,FALSE()),0)+1*IFERROR(VLOOKUP(INDEX(' Toto teams'!$H$4:$H$119,MATCH($B117,' Toto teams'!$A$4:$A$119,0)),Scoring!$A$4:$N$51,7,FALSE()),0))</f>
        <v/>
      </c>
      <c r="E117">
        <f>IF($B117="","",6*IFERROR(VLOOKUP(INDEX(' Toto teams'!$B$4:$B$119,MATCH($B117,' Toto teams'!$A$4:$A$119,0)),Scoring!$A$4:$N$51,8,FALSE()),0)+4*IFERROR(VLOOKUP(INDEX(' Toto teams'!$C$4:$C$119,MATCH($B117,' Toto teams'!$A$4:$A$119,0)),Scoring!$A$4:$N$51,8,FALSE()),0)+3*IFERROR(VLOOKUP(INDEX(' Toto teams'!$D$4:$D$119,MATCH($B117,' Toto teams'!$A$4:$A$119,0)),Scoring!$A$4:$N$51,8,FALSE()),0)+2*IFERROR(VLOOKUP(INDEX(' Toto teams'!$E$4:$E$119,MATCH($B117,' Toto teams'!$A$4:$A$119,0)),Scoring!$A$4:$N$51,8,FALSE()),0)+1*IFERROR(VLOOKUP(INDEX(' Toto teams'!$F$4:$F$119,MATCH($B117,' Toto teams'!$A$4:$A$119,0)),Scoring!$A$4:$N$51,8,FALSE()),0)+1*IFERROR(VLOOKUP(INDEX(' Toto teams'!$G$4:$G$119,MATCH($B117,' Toto teams'!$A$4:$A$119,0)),Scoring!$A$4:$N$51,8,FALSE()),0)+1*IFERROR(VLOOKUP(INDEX(' Toto teams'!$H$4:$H$119,MATCH($B117,' Toto teams'!$A$4:$A$119,0)),Scoring!$A$4:$N$51,8,FALSE()),0))</f>
        <v/>
      </c>
      <c r="F117">
        <f>IF($B117="","",6*IFERROR(VLOOKUP(INDEX(' Toto teams'!$B$4:$B$119,MATCH($B117,' Toto teams'!$A$4:$A$119,0)),Scoring!$A$4:$N$51,9,FALSE()),0)+4*IFERROR(VLOOKUP(INDEX(' Toto teams'!$C$4:$C$119,MATCH($B117,' Toto teams'!$A$4:$A$119,0)),Scoring!$A$4:$N$51,9,FALSE()),0)+3*IFERROR(VLOOKUP(INDEX(' Toto teams'!$D$4:$D$119,MATCH($B117,' Toto teams'!$A$4:$A$119,0)),Scoring!$A$4:$N$51,9,FALSE()),0)+2*IFERROR(VLOOKUP(INDEX(' Toto teams'!$E$4:$E$119,MATCH($B117,' Toto teams'!$A$4:$A$119,0)),Scoring!$A$4:$N$51,9,FALSE()),0)+1*IFERROR(VLOOKUP(INDEX(' Toto teams'!$F$4:$F$119,MATCH($B117,' Toto teams'!$A$4:$A$119,0)),Scoring!$A$4:$N$51,9,FALSE()),0)+1*IFERROR(VLOOKUP(INDEX(' Toto teams'!$G$4:$G$119,MATCH($B117,' Toto teams'!$A$4:$A$119,0)),Scoring!$A$4:$N$51,9,FALSE()),0)+1*IFERROR(VLOOKUP(INDEX(' Toto teams'!$H$4:$H$119,MATCH($B117,' Toto teams'!$A$4:$A$119,0)),Scoring!$A$4:$N$51,9,FALSE()),0))</f>
        <v/>
      </c>
      <c r="G117">
        <f>IF($B117="","",6*IFERROR(VLOOKUP(INDEX(' Toto teams'!$B$4:$B$119,MATCH($B117,' Toto teams'!$A$4:$A$119,0)),Scoring!$A$4:$N$51,10,FALSE()),0)+4*IFERROR(VLOOKUP(INDEX(' Toto teams'!$C$4:$C$119,MATCH($B117,' Toto teams'!$A$4:$A$119,0)),Scoring!$A$4:$N$51,10,FALSE()),0)+3*IFERROR(VLOOKUP(INDEX(' Toto teams'!$D$4:$D$119,MATCH($B117,' Toto teams'!$A$4:$A$119,0)),Scoring!$A$4:$N$51,10,FALSE()),0)+2*IFERROR(VLOOKUP(INDEX(' Toto teams'!$E$4:$E$119,MATCH($B117,' Toto teams'!$A$4:$A$119,0)),Scoring!$A$4:$N$51,10,FALSE()),0)+1*IFERROR(VLOOKUP(INDEX(' Toto teams'!$F$4:$F$119,MATCH($B117,' Toto teams'!$A$4:$A$119,0)),Scoring!$A$4:$N$51,10,FALSE()),0)+1*IFERROR(VLOOKUP(INDEX(' Toto teams'!$G$4:$G$119,MATCH($B117,' Toto teams'!$A$4:$A$119,0)),Scoring!$A$4:$N$51,10,FALSE()),0)+1*IFERROR(VLOOKUP(INDEX(' Toto teams'!$H$4:$H$119,MATCH($B117,' Toto teams'!$A$4:$A$119,0)),Scoring!$A$4:$N$51,10,FALSE()),0))</f>
        <v/>
      </c>
      <c r="H117">
        <f>IF($B117="","",6*IFERROR(VLOOKUP(INDEX(' Toto teams'!$B$4:$B$119,MATCH($B117,' Toto teams'!$A$4:$A$119,0)),Scoring!$A$4:$N$51,11,FALSE()),0)+4*IFERROR(VLOOKUP(INDEX(' Toto teams'!$C$4:$C$119,MATCH($B117,' Toto teams'!$A$4:$A$119,0)),Scoring!$A$4:$N$51,11,FALSE()),0)+3*IFERROR(VLOOKUP(INDEX(' Toto teams'!$D$4:$D$119,MATCH($B117,' Toto teams'!$A$4:$A$119,0)),Scoring!$A$4:$N$51,11,FALSE()),0)+2*IFERROR(VLOOKUP(INDEX(' Toto teams'!$E$4:$E$119,MATCH($B117,' Toto teams'!$A$4:$A$119,0)),Scoring!$A$4:$N$51,11,FALSE()),0)+1*IFERROR(VLOOKUP(INDEX(' Toto teams'!$F$4:$F$119,MATCH($B117,' Toto teams'!$A$4:$A$119,0)),Scoring!$A$4:$N$51,11,FALSE()),0)+1*IFERROR(VLOOKUP(INDEX(' Toto teams'!$G$4:$G$119,MATCH($B117,' Toto teams'!$A$4:$A$119,0)),Scoring!$A$4:$N$51,11,FALSE()),0)+1*IFERROR(VLOOKUP(INDEX(' Toto teams'!$H$4:$H$119,MATCH($B117,' Toto teams'!$A$4:$A$119,0)),Scoring!$A$4:$N$51,11,FALSE()),0))</f>
        <v/>
      </c>
      <c r="I117">
        <f>IF($B117="","",6*IFERROR(VLOOKUP(INDEX(' Toto teams'!$B$4:$B$119,MATCH($B117,' Toto teams'!$A$4:$A$119,0)),Scoring!$A$4:$O$51,15,FALSE()),0)+4*IFERROR(VLOOKUP(INDEX(' Toto teams'!$C$4:$C$119,MATCH($B117,' Toto teams'!$A$4:$A$119,0)),Scoring!$A$4:$O$51,15,FALSE()),0)+3*IFERROR(VLOOKUP(INDEX(' Toto teams'!$D$4:$D$119,MATCH($B117,' Toto teams'!$A$4:$A$119,0)),Scoring!$A$4:$O$51,15,FALSE()),0)+2*IFERROR(VLOOKUP(INDEX(' Toto teams'!$E$4:$E$119,MATCH($B117,' Toto teams'!$A$4:$A$119,0)),Scoring!$A$4:$O$51,15,FALSE()),0)+1*IFERROR(VLOOKUP(INDEX(' Toto teams'!$F$4:$F$119,MATCH($B117,' Toto teams'!$A$4:$A$119,0)),Scoring!$A$4:$O$51,15,FALSE()),0)+1*IFERROR(VLOOKUP(INDEX(' Toto teams'!$G$4:$G$119,MATCH($B117,' Toto teams'!$A$4:$A$119,0)),Scoring!$A$4:$O$51,15,FALSE()),0)+1*IFERROR(VLOOKUP(INDEX(' Toto teams'!$H$4:$H$119,MATCH($B117,' Toto teams'!$A$4:$A$119,0)),Scoring!$A$4:$O$51,15,FALSE()),0))</f>
        <v/>
      </c>
      <c r="J117">
        <f>IF($B117="","",6*IFERROR(VLOOKUP(INDEX(' Toto teams'!$B$4:$B$119,MATCH($B117,' Toto teams'!$A$4:$A$119,0)),Scoring!$A$4:$N$51,12,FALSE()),0)+4*IFERROR(VLOOKUP(INDEX(' Toto teams'!$C$4:$C$119,MATCH($B117,' Toto teams'!$A$4:$A$119,0)),Scoring!$A$4:$N$51,12,FALSE()),0)+3*IFERROR(VLOOKUP(INDEX(' Toto teams'!$D$4:$D$119,MATCH($B117,' Toto teams'!$A$4:$A$119,0)),Scoring!$A$4:$N$51,12,FALSE()),0)+2*IFERROR(VLOOKUP(INDEX(' Toto teams'!$E$4:$E$119,MATCH($B117,' Toto teams'!$A$4:$A$119,0)),Scoring!$A$4:$N$51,12,FALSE()),0)+1*IFERROR(VLOOKUP(INDEX(' Toto teams'!$F$4:$F$119,MATCH($B117,' Toto teams'!$A$4:$A$119,0)),Scoring!$A$4:$N$51,12,FALSE()),0)+1*IFERROR(VLOOKUP(INDEX(' Toto teams'!$G$4:$G$119,MATCH($B117,' Toto teams'!$A$4:$A$119,0)),Scoring!$A$4:$N$51,12,FALSE()),0)+1*IFERROR(VLOOKUP(INDEX(' Toto teams'!$H$4:$H$119,MATCH($B117,' Toto teams'!$A$4:$A$119,0)),Scoring!$A$4:$N$51,12,FALSE()),0))</f>
        <v/>
      </c>
      <c r="K117">
        <f>IF($B117="","",IFERROR(INDEX(' Toto teams'!$R$4:$R$119,MATCH($B117,' Toto teams'!$A$4:$A$119,0)),""))</f>
        <v/>
      </c>
      <c r="L117">
        <f>IFERROR(IF(B117="","",VLOOKUP(A117,$N$4:$R$12,5,FALSE())),0)</f>
        <v/>
      </c>
    </row>
    <row r="118" ht="13.5" customHeight="1">
      <c r="A118">
        <f>IF(115&gt;COUNTIF(' Toto teams'!$A$4:$A$119,"&lt;&gt;"),"",INDEX(' Toto teams'!$S$4:$S$119,MATCH(LARGE(' Toto teams'!$T$4:$T$119,115),' Toto teams'!$T$4:$T$119,0)))</f>
        <v/>
      </c>
      <c r="B118">
        <f>IF(115&gt;COUNTIF(' Toto teams'!$A$4:$A$119,"&lt;&gt;"),"",INDEX(' Toto teams'!$A$4:$A$119,MATCH(LARGE(' Toto teams'!$T$4:$T$119,115),' Toto teams'!$T$4:$T$119,0)))</f>
        <v/>
      </c>
      <c r="C118">
        <f>IF($B118="","",6*(IFERROR(VLOOKUP(INDEX(' Toto teams'!$B$4:$B$119,MATCH($B118,' Toto teams'!$A$4:$A$119,0)),Scoring!$A$4:$N$51,3,FALSE()),0)+IFERROR(VLOOKUP(INDEX(' Toto teams'!$B$4:$B$119,MATCH($B118,' Toto teams'!$A$4:$A$119,0)),Scoring!$A$4:$N$51,4,FALSE()),0)+IFERROR(VLOOKUP(INDEX(' Toto teams'!$B$4:$B$119,MATCH($B118,' Toto teams'!$A$4:$A$119,0)),Scoring!$A$4:$N$51,5,FALSE()),0))+4*(IFERROR(VLOOKUP(INDEX(' Toto teams'!$C$4:$C$119,MATCH($B118,' Toto teams'!$A$4:$A$119,0)),Scoring!$A$4:$N$51,3,FALSE()),0)+IFERROR(VLOOKUP(INDEX(' Toto teams'!$C$4:$C$119,MATCH($B118,' Toto teams'!$A$4:$A$119,0)),Scoring!$A$4:$N$51,4,FALSE()),0)+IFERROR(VLOOKUP(INDEX(' Toto teams'!$C$4:$C$119,MATCH($B118,' Toto teams'!$A$4:$A$119,0)),Scoring!$A$4:$N$51,5,FALSE()),0))+3*(IFERROR(VLOOKUP(INDEX(' Toto teams'!$D$4:$D$119,MATCH($B118,' Toto teams'!$A$4:$A$119,0)),Scoring!$A$4:$N$51,3,FALSE()),0)+IFERROR(VLOOKUP(INDEX(' Toto teams'!$D$4:$D$119,MATCH($B118,' Toto teams'!$A$4:$A$119,0)),Scoring!$A$4:$N$51,4,FALSE()),0)+IFERROR(VLOOKUP(INDEX(' Toto teams'!$D$4:$D$119,MATCH($B118,' Toto teams'!$A$4:$A$119,0)),Scoring!$A$4:$N$51,5,FALSE()),0))+2*(IFERROR(VLOOKUP(INDEX(' Toto teams'!$E$4:$E$119,MATCH($B118,' Toto teams'!$A$4:$A$119,0)),Scoring!$A$4:$N$51,3,FALSE()),0)+IFERROR(VLOOKUP(INDEX(' Toto teams'!$E$4:$E$119,MATCH($B118,' Toto teams'!$A$4:$A$119,0)),Scoring!$A$4:$N$51,4,FALSE()),0)+IFERROR(VLOOKUP(INDEX(' Toto teams'!$E$4:$E$119,MATCH($B118,' Toto teams'!$A$4:$A$119,0)),Scoring!$A$4:$N$51,5,FALSE()),0))+1*(IFERROR(VLOOKUP(INDEX(' Toto teams'!$F$4:$F$119,MATCH($B118,' Toto teams'!$A$4:$A$119,0)),Scoring!$A$4:$N$51,3,FALSE()),0)+IFERROR(VLOOKUP(INDEX(' Toto teams'!$F$4:$F$119,MATCH($B118,' Toto teams'!$A$4:$A$119,0)),Scoring!$A$4:$N$51,4,FALSE()),0)+IFERROR(VLOOKUP(INDEX(' Toto teams'!$F$4:$F$119,MATCH($B118,' Toto teams'!$A$4:$A$119,0)),Scoring!$A$4:$N$51,5,FALSE()),0))+1*(IFERROR(VLOOKUP(INDEX(' Toto teams'!$G$4:$G$119,MATCH($B118,' Toto teams'!$A$4:$A$119,0)),Scoring!$A$4:$N$51,3,FALSE()),0)+IFERROR(VLOOKUP(INDEX(' Toto teams'!$G$4:$G$119,MATCH($B118,' Toto teams'!$A$4:$A$119,0)),Scoring!$A$4:$N$51,4,FALSE()),0)+IFERROR(VLOOKUP(INDEX(' Toto teams'!$G$4:$G$119,MATCH($B118,' Toto teams'!$A$4:$A$119,0)),Scoring!$A$4:$N$51,5,FALSE()),0))+1*(IFERROR(VLOOKUP(INDEX(' Toto teams'!$H$4:$H$119,MATCH($B118,' Toto teams'!$A$4:$A$119,0)),Scoring!$A$4:$N$51,3,FALSE()),0)+IFERROR(VLOOKUP(INDEX(' Toto teams'!$H$4:$H$119,MATCH($B118,' Toto teams'!$A$4:$A$119,0)),Scoring!$A$4:$N$51,4,FALSE()),0)+IFERROR(VLOOKUP(INDEX(' Toto teams'!$H$4:$H$119,MATCH($B118,' Toto teams'!$A$4:$A$119,0)),Scoring!$A$4:$N$51,5,FALSE()),0))+IFERROR(INDEX(' Toto teams'!$Q$4:$Q$119,MATCH($B118,' Toto teams'!$A$4:$A$119,0))*1,0))</f>
        <v/>
      </c>
      <c r="D118">
        <f>IF($B118="","",6*IFERROR(VLOOKUP(INDEX(' Toto teams'!$B$4:$B$119,MATCH($B118,' Toto teams'!$A$4:$A$119,0)),Scoring!$A$4:$N$51,7,FALSE()),0)+4*IFERROR(VLOOKUP(INDEX(' Toto teams'!$C$4:$C$119,MATCH($B118,' Toto teams'!$A$4:$A$119,0)),Scoring!$A$4:$N$51,7,FALSE()),0)+3*IFERROR(VLOOKUP(INDEX(' Toto teams'!$D$4:$D$119,MATCH($B118,' Toto teams'!$A$4:$A$119,0)),Scoring!$A$4:$N$51,7,FALSE()),0)+2*IFERROR(VLOOKUP(INDEX(' Toto teams'!$E$4:$E$119,MATCH($B118,' Toto teams'!$A$4:$A$119,0)),Scoring!$A$4:$N$51,7,FALSE()),0)+1*IFERROR(VLOOKUP(INDEX(' Toto teams'!$F$4:$F$119,MATCH($B118,' Toto teams'!$A$4:$A$119,0)),Scoring!$A$4:$N$51,7,FALSE()),0)+1*IFERROR(VLOOKUP(INDEX(' Toto teams'!$G$4:$G$119,MATCH($B118,' Toto teams'!$A$4:$A$119,0)),Scoring!$A$4:$N$51,7,FALSE()),0)+1*IFERROR(VLOOKUP(INDEX(' Toto teams'!$H$4:$H$119,MATCH($B118,' Toto teams'!$A$4:$A$119,0)),Scoring!$A$4:$N$51,7,FALSE()),0))</f>
        <v/>
      </c>
      <c r="E118">
        <f>IF($B118="","",6*IFERROR(VLOOKUP(INDEX(' Toto teams'!$B$4:$B$119,MATCH($B118,' Toto teams'!$A$4:$A$119,0)),Scoring!$A$4:$N$51,8,FALSE()),0)+4*IFERROR(VLOOKUP(INDEX(' Toto teams'!$C$4:$C$119,MATCH($B118,' Toto teams'!$A$4:$A$119,0)),Scoring!$A$4:$N$51,8,FALSE()),0)+3*IFERROR(VLOOKUP(INDEX(' Toto teams'!$D$4:$D$119,MATCH($B118,' Toto teams'!$A$4:$A$119,0)),Scoring!$A$4:$N$51,8,FALSE()),0)+2*IFERROR(VLOOKUP(INDEX(' Toto teams'!$E$4:$E$119,MATCH($B118,' Toto teams'!$A$4:$A$119,0)),Scoring!$A$4:$N$51,8,FALSE()),0)+1*IFERROR(VLOOKUP(INDEX(' Toto teams'!$F$4:$F$119,MATCH($B118,' Toto teams'!$A$4:$A$119,0)),Scoring!$A$4:$N$51,8,FALSE()),0)+1*IFERROR(VLOOKUP(INDEX(' Toto teams'!$G$4:$G$119,MATCH($B118,' Toto teams'!$A$4:$A$119,0)),Scoring!$A$4:$N$51,8,FALSE()),0)+1*IFERROR(VLOOKUP(INDEX(' Toto teams'!$H$4:$H$119,MATCH($B118,' Toto teams'!$A$4:$A$119,0)),Scoring!$A$4:$N$51,8,FALSE()),0))</f>
        <v/>
      </c>
      <c r="F118">
        <f>IF($B118="","",6*IFERROR(VLOOKUP(INDEX(' Toto teams'!$B$4:$B$119,MATCH($B118,' Toto teams'!$A$4:$A$119,0)),Scoring!$A$4:$N$51,9,FALSE()),0)+4*IFERROR(VLOOKUP(INDEX(' Toto teams'!$C$4:$C$119,MATCH($B118,' Toto teams'!$A$4:$A$119,0)),Scoring!$A$4:$N$51,9,FALSE()),0)+3*IFERROR(VLOOKUP(INDEX(' Toto teams'!$D$4:$D$119,MATCH($B118,' Toto teams'!$A$4:$A$119,0)),Scoring!$A$4:$N$51,9,FALSE()),0)+2*IFERROR(VLOOKUP(INDEX(' Toto teams'!$E$4:$E$119,MATCH($B118,' Toto teams'!$A$4:$A$119,0)),Scoring!$A$4:$N$51,9,FALSE()),0)+1*IFERROR(VLOOKUP(INDEX(' Toto teams'!$F$4:$F$119,MATCH($B118,' Toto teams'!$A$4:$A$119,0)),Scoring!$A$4:$N$51,9,FALSE()),0)+1*IFERROR(VLOOKUP(INDEX(' Toto teams'!$G$4:$G$119,MATCH($B118,' Toto teams'!$A$4:$A$119,0)),Scoring!$A$4:$N$51,9,FALSE()),0)+1*IFERROR(VLOOKUP(INDEX(' Toto teams'!$H$4:$H$119,MATCH($B118,' Toto teams'!$A$4:$A$119,0)),Scoring!$A$4:$N$51,9,FALSE()),0))</f>
        <v/>
      </c>
      <c r="G118">
        <f>IF($B118="","",6*IFERROR(VLOOKUP(INDEX(' Toto teams'!$B$4:$B$119,MATCH($B118,' Toto teams'!$A$4:$A$119,0)),Scoring!$A$4:$N$51,10,FALSE()),0)+4*IFERROR(VLOOKUP(INDEX(' Toto teams'!$C$4:$C$119,MATCH($B118,' Toto teams'!$A$4:$A$119,0)),Scoring!$A$4:$N$51,10,FALSE()),0)+3*IFERROR(VLOOKUP(INDEX(' Toto teams'!$D$4:$D$119,MATCH($B118,' Toto teams'!$A$4:$A$119,0)),Scoring!$A$4:$N$51,10,FALSE()),0)+2*IFERROR(VLOOKUP(INDEX(' Toto teams'!$E$4:$E$119,MATCH($B118,' Toto teams'!$A$4:$A$119,0)),Scoring!$A$4:$N$51,10,FALSE()),0)+1*IFERROR(VLOOKUP(INDEX(' Toto teams'!$F$4:$F$119,MATCH($B118,' Toto teams'!$A$4:$A$119,0)),Scoring!$A$4:$N$51,10,FALSE()),0)+1*IFERROR(VLOOKUP(INDEX(' Toto teams'!$G$4:$G$119,MATCH($B118,' Toto teams'!$A$4:$A$119,0)),Scoring!$A$4:$N$51,10,FALSE()),0)+1*IFERROR(VLOOKUP(INDEX(' Toto teams'!$H$4:$H$119,MATCH($B118,' Toto teams'!$A$4:$A$119,0)),Scoring!$A$4:$N$51,10,FALSE()),0))</f>
        <v/>
      </c>
      <c r="H118">
        <f>IF($B118="","",6*IFERROR(VLOOKUP(INDEX(' Toto teams'!$B$4:$B$119,MATCH($B118,' Toto teams'!$A$4:$A$119,0)),Scoring!$A$4:$N$51,11,FALSE()),0)+4*IFERROR(VLOOKUP(INDEX(' Toto teams'!$C$4:$C$119,MATCH($B118,' Toto teams'!$A$4:$A$119,0)),Scoring!$A$4:$N$51,11,FALSE()),0)+3*IFERROR(VLOOKUP(INDEX(' Toto teams'!$D$4:$D$119,MATCH($B118,' Toto teams'!$A$4:$A$119,0)),Scoring!$A$4:$N$51,11,FALSE()),0)+2*IFERROR(VLOOKUP(INDEX(' Toto teams'!$E$4:$E$119,MATCH($B118,' Toto teams'!$A$4:$A$119,0)),Scoring!$A$4:$N$51,11,FALSE()),0)+1*IFERROR(VLOOKUP(INDEX(' Toto teams'!$F$4:$F$119,MATCH($B118,' Toto teams'!$A$4:$A$119,0)),Scoring!$A$4:$N$51,11,FALSE()),0)+1*IFERROR(VLOOKUP(INDEX(' Toto teams'!$G$4:$G$119,MATCH($B118,' Toto teams'!$A$4:$A$119,0)),Scoring!$A$4:$N$51,11,FALSE()),0)+1*IFERROR(VLOOKUP(INDEX(' Toto teams'!$H$4:$H$119,MATCH($B118,' Toto teams'!$A$4:$A$119,0)),Scoring!$A$4:$N$51,11,FALSE()),0))</f>
        <v/>
      </c>
      <c r="I118">
        <f>IF($B118="","",6*IFERROR(VLOOKUP(INDEX(' Toto teams'!$B$4:$B$119,MATCH($B118,' Toto teams'!$A$4:$A$119,0)),Scoring!$A$4:$O$51,15,FALSE()),0)+4*IFERROR(VLOOKUP(INDEX(' Toto teams'!$C$4:$C$119,MATCH($B118,' Toto teams'!$A$4:$A$119,0)),Scoring!$A$4:$O$51,15,FALSE()),0)+3*IFERROR(VLOOKUP(INDEX(' Toto teams'!$D$4:$D$119,MATCH($B118,' Toto teams'!$A$4:$A$119,0)),Scoring!$A$4:$O$51,15,FALSE()),0)+2*IFERROR(VLOOKUP(INDEX(' Toto teams'!$E$4:$E$119,MATCH($B118,' Toto teams'!$A$4:$A$119,0)),Scoring!$A$4:$O$51,15,FALSE()),0)+1*IFERROR(VLOOKUP(INDEX(' Toto teams'!$F$4:$F$119,MATCH($B118,' Toto teams'!$A$4:$A$119,0)),Scoring!$A$4:$O$51,15,FALSE()),0)+1*IFERROR(VLOOKUP(INDEX(' Toto teams'!$G$4:$G$119,MATCH($B118,' Toto teams'!$A$4:$A$119,0)),Scoring!$A$4:$O$51,15,FALSE()),0)+1*IFERROR(VLOOKUP(INDEX(' Toto teams'!$H$4:$H$119,MATCH($B118,' Toto teams'!$A$4:$A$119,0)),Scoring!$A$4:$O$51,15,FALSE()),0))</f>
        <v/>
      </c>
      <c r="J118">
        <f>IF($B118="","",6*IFERROR(VLOOKUP(INDEX(' Toto teams'!$B$4:$B$119,MATCH($B118,' Toto teams'!$A$4:$A$119,0)),Scoring!$A$4:$N$51,12,FALSE()),0)+4*IFERROR(VLOOKUP(INDEX(' Toto teams'!$C$4:$C$119,MATCH($B118,' Toto teams'!$A$4:$A$119,0)),Scoring!$A$4:$N$51,12,FALSE()),0)+3*IFERROR(VLOOKUP(INDEX(' Toto teams'!$D$4:$D$119,MATCH($B118,' Toto teams'!$A$4:$A$119,0)),Scoring!$A$4:$N$51,12,FALSE()),0)+2*IFERROR(VLOOKUP(INDEX(' Toto teams'!$E$4:$E$119,MATCH($B118,' Toto teams'!$A$4:$A$119,0)),Scoring!$A$4:$N$51,12,FALSE()),0)+1*IFERROR(VLOOKUP(INDEX(' Toto teams'!$F$4:$F$119,MATCH($B118,' Toto teams'!$A$4:$A$119,0)),Scoring!$A$4:$N$51,12,FALSE()),0)+1*IFERROR(VLOOKUP(INDEX(' Toto teams'!$G$4:$G$119,MATCH($B118,' Toto teams'!$A$4:$A$119,0)),Scoring!$A$4:$N$51,12,FALSE()),0)+1*IFERROR(VLOOKUP(INDEX(' Toto teams'!$H$4:$H$119,MATCH($B118,' Toto teams'!$A$4:$A$119,0)),Scoring!$A$4:$N$51,12,FALSE()),0))</f>
        <v/>
      </c>
      <c r="K118">
        <f>IF($B118="","",IFERROR(INDEX(' Toto teams'!$R$4:$R$119,MATCH($B118,' Toto teams'!$A$4:$A$119,0)),""))</f>
        <v/>
      </c>
      <c r="L118">
        <f>IFERROR(IF(B118="","",VLOOKUP(A118,$N$4:$R$12,5,FALSE())),0)</f>
        <v/>
      </c>
    </row>
    <row r="119" ht="13.5" customHeight="1">
      <c r="A119">
        <f>IF(116&gt;COUNTIF(' Toto teams'!$A$4:$A$119,"&lt;&gt;"),"",INDEX(' Toto teams'!$S$4:$S$119,MATCH(LARGE(' Toto teams'!$T$4:$T$119,116),' Toto teams'!$T$4:$T$119,0)))</f>
        <v/>
      </c>
      <c r="B119">
        <f>IF(116&gt;COUNTIF(' Toto teams'!$A$4:$A$119,"&lt;&gt;"),"",INDEX(' Toto teams'!$A$4:$A$119,MATCH(LARGE(' Toto teams'!$T$4:$T$119,116),' Toto teams'!$T$4:$T$119,0)))</f>
        <v/>
      </c>
      <c r="C119">
        <f>IF($B119="","",6*(IFERROR(VLOOKUP(INDEX(' Toto teams'!$B$4:$B$119,MATCH($B119,' Toto teams'!$A$4:$A$119,0)),Scoring!$A$4:$N$51,3,FALSE()),0)+IFERROR(VLOOKUP(INDEX(' Toto teams'!$B$4:$B$119,MATCH($B119,' Toto teams'!$A$4:$A$119,0)),Scoring!$A$4:$N$51,4,FALSE()),0)+IFERROR(VLOOKUP(INDEX(' Toto teams'!$B$4:$B$119,MATCH($B119,' Toto teams'!$A$4:$A$119,0)),Scoring!$A$4:$N$51,5,FALSE()),0))+4*(IFERROR(VLOOKUP(INDEX(' Toto teams'!$C$4:$C$119,MATCH($B119,' Toto teams'!$A$4:$A$119,0)),Scoring!$A$4:$N$51,3,FALSE()),0)+IFERROR(VLOOKUP(INDEX(' Toto teams'!$C$4:$C$119,MATCH($B119,' Toto teams'!$A$4:$A$119,0)),Scoring!$A$4:$N$51,4,FALSE()),0)+IFERROR(VLOOKUP(INDEX(' Toto teams'!$C$4:$C$119,MATCH($B119,' Toto teams'!$A$4:$A$119,0)),Scoring!$A$4:$N$51,5,FALSE()),0))+3*(IFERROR(VLOOKUP(INDEX(' Toto teams'!$D$4:$D$119,MATCH($B119,' Toto teams'!$A$4:$A$119,0)),Scoring!$A$4:$N$51,3,FALSE()),0)+IFERROR(VLOOKUP(INDEX(' Toto teams'!$D$4:$D$119,MATCH($B119,' Toto teams'!$A$4:$A$119,0)),Scoring!$A$4:$N$51,4,FALSE()),0)+IFERROR(VLOOKUP(INDEX(' Toto teams'!$D$4:$D$119,MATCH($B119,' Toto teams'!$A$4:$A$119,0)),Scoring!$A$4:$N$51,5,FALSE()),0))+2*(IFERROR(VLOOKUP(INDEX(' Toto teams'!$E$4:$E$119,MATCH($B119,' Toto teams'!$A$4:$A$119,0)),Scoring!$A$4:$N$51,3,FALSE()),0)+IFERROR(VLOOKUP(INDEX(' Toto teams'!$E$4:$E$119,MATCH($B119,' Toto teams'!$A$4:$A$119,0)),Scoring!$A$4:$N$51,4,FALSE()),0)+IFERROR(VLOOKUP(INDEX(' Toto teams'!$E$4:$E$119,MATCH($B119,' Toto teams'!$A$4:$A$119,0)),Scoring!$A$4:$N$51,5,FALSE()),0))+1*(IFERROR(VLOOKUP(INDEX(' Toto teams'!$F$4:$F$119,MATCH($B119,' Toto teams'!$A$4:$A$119,0)),Scoring!$A$4:$N$51,3,FALSE()),0)+IFERROR(VLOOKUP(INDEX(' Toto teams'!$F$4:$F$119,MATCH($B119,' Toto teams'!$A$4:$A$119,0)),Scoring!$A$4:$N$51,4,FALSE()),0)+IFERROR(VLOOKUP(INDEX(' Toto teams'!$F$4:$F$119,MATCH($B119,' Toto teams'!$A$4:$A$119,0)),Scoring!$A$4:$N$51,5,FALSE()),0))+1*(IFERROR(VLOOKUP(INDEX(' Toto teams'!$G$4:$G$119,MATCH($B119,' Toto teams'!$A$4:$A$119,0)),Scoring!$A$4:$N$51,3,FALSE()),0)+IFERROR(VLOOKUP(INDEX(' Toto teams'!$G$4:$G$119,MATCH($B119,' Toto teams'!$A$4:$A$119,0)),Scoring!$A$4:$N$51,4,FALSE()),0)+IFERROR(VLOOKUP(INDEX(' Toto teams'!$G$4:$G$119,MATCH($B119,' Toto teams'!$A$4:$A$119,0)),Scoring!$A$4:$N$51,5,FALSE()),0))+1*(IFERROR(VLOOKUP(INDEX(' Toto teams'!$H$4:$H$119,MATCH($B119,' Toto teams'!$A$4:$A$119,0)),Scoring!$A$4:$N$51,3,FALSE()),0)+IFERROR(VLOOKUP(INDEX(' Toto teams'!$H$4:$H$119,MATCH($B119,' Toto teams'!$A$4:$A$119,0)),Scoring!$A$4:$N$51,4,FALSE()),0)+IFERROR(VLOOKUP(INDEX(' Toto teams'!$H$4:$H$119,MATCH($B119,' Toto teams'!$A$4:$A$119,0)),Scoring!$A$4:$N$51,5,FALSE()),0))+IFERROR(INDEX(' Toto teams'!$Q$4:$Q$119,MATCH($B119,' Toto teams'!$A$4:$A$119,0))*1,0))</f>
        <v/>
      </c>
      <c r="D119">
        <f>IF($B119="","",6*IFERROR(VLOOKUP(INDEX(' Toto teams'!$B$4:$B$119,MATCH($B119,' Toto teams'!$A$4:$A$119,0)),Scoring!$A$4:$N$51,7,FALSE()),0)+4*IFERROR(VLOOKUP(INDEX(' Toto teams'!$C$4:$C$119,MATCH($B119,' Toto teams'!$A$4:$A$119,0)),Scoring!$A$4:$N$51,7,FALSE()),0)+3*IFERROR(VLOOKUP(INDEX(' Toto teams'!$D$4:$D$119,MATCH($B119,' Toto teams'!$A$4:$A$119,0)),Scoring!$A$4:$N$51,7,FALSE()),0)+2*IFERROR(VLOOKUP(INDEX(' Toto teams'!$E$4:$E$119,MATCH($B119,' Toto teams'!$A$4:$A$119,0)),Scoring!$A$4:$N$51,7,FALSE()),0)+1*IFERROR(VLOOKUP(INDEX(' Toto teams'!$F$4:$F$119,MATCH($B119,' Toto teams'!$A$4:$A$119,0)),Scoring!$A$4:$N$51,7,FALSE()),0)+1*IFERROR(VLOOKUP(INDEX(' Toto teams'!$G$4:$G$119,MATCH($B119,' Toto teams'!$A$4:$A$119,0)),Scoring!$A$4:$N$51,7,FALSE()),0)+1*IFERROR(VLOOKUP(INDEX(' Toto teams'!$H$4:$H$119,MATCH($B119,' Toto teams'!$A$4:$A$119,0)),Scoring!$A$4:$N$51,7,FALSE()),0))</f>
        <v/>
      </c>
      <c r="E119">
        <f>IF($B119="","",6*IFERROR(VLOOKUP(INDEX(' Toto teams'!$B$4:$B$119,MATCH($B119,' Toto teams'!$A$4:$A$119,0)),Scoring!$A$4:$N$51,8,FALSE()),0)+4*IFERROR(VLOOKUP(INDEX(' Toto teams'!$C$4:$C$119,MATCH($B119,' Toto teams'!$A$4:$A$119,0)),Scoring!$A$4:$N$51,8,FALSE()),0)+3*IFERROR(VLOOKUP(INDEX(' Toto teams'!$D$4:$D$119,MATCH($B119,' Toto teams'!$A$4:$A$119,0)),Scoring!$A$4:$N$51,8,FALSE()),0)+2*IFERROR(VLOOKUP(INDEX(' Toto teams'!$E$4:$E$119,MATCH($B119,' Toto teams'!$A$4:$A$119,0)),Scoring!$A$4:$N$51,8,FALSE()),0)+1*IFERROR(VLOOKUP(INDEX(' Toto teams'!$F$4:$F$119,MATCH($B119,' Toto teams'!$A$4:$A$119,0)),Scoring!$A$4:$N$51,8,FALSE()),0)+1*IFERROR(VLOOKUP(INDEX(' Toto teams'!$G$4:$G$119,MATCH($B119,' Toto teams'!$A$4:$A$119,0)),Scoring!$A$4:$N$51,8,FALSE()),0)+1*IFERROR(VLOOKUP(INDEX(' Toto teams'!$H$4:$H$119,MATCH($B119,' Toto teams'!$A$4:$A$119,0)),Scoring!$A$4:$N$51,8,FALSE()),0))</f>
        <v/>
      </c>
      <c r="F119">
        <f>IF($B119="","",6*IFERROR(VLOOKUP(INDEX(' Toto teams'!$B$4:$B$119,MATCH($B119,' Toto teams'!$A$4:$A$119,0)),Scoring!$A$4:$N$51,9,FALSE()),0)+4*IFERROR(VLOOKUP(INDEX(' Toto teams'!$C$4:$C$119,MATCH($B119,' Toto teams'!$A$4:$A$119,0)),Scoring!$A$4:$N$51,9,FALSE()),0)+3*IFERROR(VLOOKUP(INDEX(' Toto teams'!$D$4:$D$119,MATCH($B119,' Toto teams'!$A$4:$A$119,0)),Scoring!$A$4:$N$51,9,FALSE()),0)+2*IFERROR(VLOOKUP(INDEX(' Toto teams'!$E$4:$E$119,MATCH($B119,' Toto teams'!$A$4:$A$119,0)),Scoring!$A$4:$N$51,9,FALSE()),0)+1*IFERROR(VLOOKUP(INDEX(' Toto teams'!$F$4:$F$119,MATCH($B119,' Toto teams'!$A$4:$A$119,0)),Scoring!$A$4:$N$51,9,FALSE()),0)+1*IFERROR(VLOOKUP(INDEX(' Toto teams'!$G$4:$G$119,MATCH($B119,' Toto teams'!$A$4:$A$119,0)),Scoring!$A$4:$N$51,9,FALSE()),0)+1*IFERROR(VLOOKUP(INDEX(' Toto teams'!$H$4:$H$119,MATCH($B119,' Toto teams'!$A$4:$A$119,0)),Scoring!$A$4:$N$51,9,FALSE()),0))</f>
        <v/>
      </c>
      <c r="G119">
        <f>IF($B119="","",6*IFERROR(VLOOKUP(INDEX(' Toto teams'!$B$4:$B$119,MATCH($B119,' Toto teams'!$A$4:$A$119,0)),Scoring!$A$4:$N$51,10,FALSE()),0)+4*IFERROR(VLOOKUP(INDEX(' Toto teams'!$C$4:$C$119,MATCH($B119,' Toto teams'!$A$4:$A$119,0)),Scoring!$A$4:$N$51,10,FALSE()),0)+3*IFERROR(VLOOKUP(INDEX(' Toto teams'!$D$4:$D$119,MATCH($B119,' Toto teams'!$A$4:$A$119,0)),Scoring!$A$4:$N$51,10,FALSE()),0)+2*IFERROR(VLOOKUP(INDEX(' Toto teams'!$E$4:$E$119,MATCH($B119,' Toto teams'!$A$4:$A$119,0)),Scoring!$A$4:$N$51,10,FALSE()),0)+1*IFERROR(VLOOKUP(INDEX(' Toto teams'!$F$4:$F$119,MATCH($B119,' Toto teams'!$A$4:$A$119,0)),Scoring!$A$4:$N$51,10,FALSE()),0)+1*IFERROR(VLOOKUP(INDEX(' Toto teams'!$G$4:$G$119,MATCH($B119,' Toto teams'!$A$4:$A$119,0)),Scoring!$A$4:$N$51,10,FALSE()),0)+1*IFERROR(VLOOKUP(INDEX(' Toto teams'!$H$4:$H$119,MATCH($B119,' Toto teams'!$A$4:$A$119,0)),Scoring!$A$4:$N$51,10,FALSE()),0))</f>
        <v/>
      </c>
      <c r="H119">
        <f>IF($B119="","",6*IFERROR(VLOOKUP(INDEX(' Toto teams'!$B$4:$B$119,MATCH($B119,' Toto teams'!$A$4:$A$119,0)),Scoring!$A$4:$N$51,11,FALSE()),0)+4*IFERROR(VLOOKUP(INDEX(' Toto teams'!$C$4:$C$119,MATCH($B119,' Toto teams'!$A$4:$A$119,0)),Scoring!$A$4:$N$51,11,FALSE()),0)+3*IFERROR(VLOOKUP(INDEX(' Toto teams'!$D$4:$D$119,MATCH($B119,' Toto teams'!$A$4:$A$119,0)),Scoring!$A$4:$N$51,11,FALSE()),0)+2*IFERROR(VLOOKUP(INDEX(' Toto teams'!$E$4:$E$119,MATCH($B119,' Toto teams'!$A$4:$A$119,0)),Scoring!$A$4:$N$51,11,FALSE()),0)+1*IFERROR(VLOOKUP(INDEX(' Toto teams'!$F$4:$F$119,MATCH($B119,' Toto teams'!$A$4:$A$119,0)),Scoring!$A$4:$N$51,11,FALSE()),0)+1*IFERROR(VLOOKUP(INDEX(' Toto teams'!$G$4:$G$119,MATCH($B119,' Toto teams'!$A$4:$A$119,0)),Scoring!$A$4:$N$51,11,FALSE()),0)+1*IFERROR(VLOOKUP(INDEX(' Toto teams'!$H$4:$H$119,MATCH($B119,' Toto teams'!$A$4:$A$119,0)),Scoring!$A$4:$N$51,11,FALSE()),0))</f>
        <v/>
      </c>
      <c r="I119">
        <f>IF($B119="","",6*IFERROR(VLOOKUP(INDEX(' Toto teams'!$B$4:$B$119,MATCH($B119,' Toto teams'!$A$4:$A$119,0)),Scoring!$A$4:$O$51,15,FALSE()),0)+4*IFERROR(VLOOKUP(INDEX(' Toto teams'!$C$4:$C$119,MATCH($B119,' Toto teams'!$A$4:$A$119,0)),Scoring!$A$4:$O$51,15,FALSE()),0)+3*IFERROR(VLOOKUP(INDEX(' Toto teams'!$D$4:$D$119,MATCH($B119,' Toto teams'!$A$4:$A$119,0)),Scoring!$A$4:$O$51,15,FALSE()),0)+2*IFERROR(VLOOKUP(INDEX(' Toto teams'!$E$4:$E$119,MATCH($B119,' Toto teams'!$A$4:$A$119,0)),Scoring!$A$4:$O$51,15,FALSE()),0)+1*IFERROR(VLOOKUP(INDEX(' Toto teams'!$F$4:$F$119,MATCH($B119,' Toto teams'!$A$4:$A$119,0)),Scoring!$A$4:$O$51,15,FALSE()),0)+1*IFERROR(VLOOKUP(INDEX(' Toto teams'!$G$4:$G$119,MATCH($B119,' Toto teams'!$A$4:$A$119,0)),Scoring!$A$4:$O$51,15,FALSE()),0)+1*IFERROR(VLOOKUP(INDEX(' Toto teams'!$H$4:$H$119,MATCH($B119,' Toto teams'!$A$4:$A$119,0)),Scoring!$A$4:$O$51,15,FALSE()),0))</f>
        <v/>
      </c>
      <c r="J119">
        <f>IF($B119="","",6*IFERROR(VLOOKUP(INDEX(' Toto teams'!$B$4:$B$119,MATCH($B119,' Toto teams'!$A$4:$A$119,0)),Scoring!$A$4:$N$51,12,FALSE()),0)+4*IFERROR(VLOOKUP(INDEX(' Toto teams'!$C$4:$C$119,MATCH($B119,' Toto teams'!$A$4:$A$119,0)),Scoring!$A$4:$N$51,12,FALSE()),0)+3*IFERROR(VLOOKUP(INDEX(' Toto teams'!$D$4:$D$119,MATCH($B119,' Toto teams'!$A$4:$A$119,0)),Scoring!$A$4:$N$51,12,FALSE()),0)+2*IFERROR(VLOOKUP(INDEX(' Toto teams'!$E$4:$E$119,MATCH($B119,' Toto teams'!$A$4:$A$119,0)),Scoring!$A$4:$N$51,12,FALSE()),0)+1*IFERROR(VLOOKUP(INDEX(' Toto teams'!$F$4:$F$119,MATCH($B119,' Toto teams'!$A$4:$A$119,0)),Scoring!$A$4:$N$51,12,FALSE()),0)+1*IFERROR(VLOOKUP(INDEX(' Toto teams'!$G$4:$G$119,MATCH($B119,' Toto teams'!$A$4:$A$119,0)),Scoring!$A$4:$N$51,12,FALSE()),0)+1*IFERROR(VLOOKUP(INDEX(' Toto teams'!$H$4:$H$119,MATCH($B119,' Toto teams'!$A$4:$A$119,0)),Scoring!$A$4:$N$51,12,FALSE()),0))</f>
        <v/>
      </c>
      <c r="K119">
        <f>IF($B119="","",IFERROR(INDEX(' Toto teams'!$R$4:$R$119,MATCH($B119,' Toto teams'!$A$4:$A$119,0)),""))</f>
        <v/>
      </c>
      <c r="L119">
        <f>IFERROR(IF(B119="","",VLOOKUP(A119,$N$4:$R$12,5,FALSE())),0)</f>
        <v/>
      </c>
    </row>
  </sheetData>
  <mergeCells count="2">
    <mergeCell ref="A1:L1"/>
    <mergeCell ref="N1:R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19"/>
  <sheetViews>
    <sheetView zoomScale="112" zoomScaleNormal="60" workbookViewId="0">
      <pane ySplit="3" topLeftCell="A50" activePane="bottomLeft" state="frozen"/>
      <selection pane="bottomLeft" activeCell="D62" sqref="D62"/>
    </sheetView>
  </sheetViews>
  <sheetFormatPr baseColWidth="8" defaultColWidth="11.3984375" defaultRowHeight="13"/>
  <cols>
    <col width="36.59765625" customWidth="1" min="1" max="1"/>
    <col width="19.3984375" customWidth="1" min="2" max="9"/>
    <col width="5.59765625" customWidth="1" min="10" max="13"/>
    <col width="6.59765625" customWidth="1" min="14" max="15"/>
    <col width="4.59765625" customWidth="1" min="16" max="16"/>
    <col width="5.19921875" customWidth="1" min="17" max="17"/>
    <col width="6.19921875" customWidth="1" min="18" max="18"/>
    <col width="4.59765625" customWidth="1" min="19" max="19"/>
    <col hidden="1" width="14.3984375" customWidth="1" min="20" max="20"/>
    <col width="11.3984375" customWidth="1" style="44" min="21" max="21"/>
    <col width="13.59765625" customWidth="1" min="22" max="22"/>
  </cols>
  <sheetData>
    <row r="1" ht="21" customHeight="1">
      <c r="A1" s="155" t="inlineStr">
        <is>
          <t>FIFA WC 2026 — Toto Participants</t>
        </is>
      </c>
    </row>
    <row r="2" ht="12.75" customHeight="1">
      <c r="A2" s="37" t="inlineStr">
        <is>
          <t>Multipliers →</t>
        </is>
      </c>
      <c r="B2" s="37" t="inlineStr">
        <is>
          <t>×6</t>
        </is>
      </c>
      <c r="C2" s="37" t="inlineStr">
        <is>
          <t>×4</t>
        </is>
      </c>
      <c r="D2" s="37" t="inlineStr">
        <is>
          <t>×3</t>
        </is>
      </c>
      <c r="E2" s="37" t="inlineStr">
        <is>
          <t>×2</t>
        </is>
      </c>
      <c r="F2" s="37" t="inlineStr">
        <is>
          <t>×1</t>
        </is>
      </c>
      <c r="G2" s="37" t="inlineStr">
        <is>
          <t>×1</t>
        </is>
      </c>
      <c r="H2" s="37" t="inlineStr">
        <is>
          <t>×1</t>
        </is>
      </c>
      <c r="I2" s="38" t="inlineStr">
        <is>
          <t>Goals ×0.5</t>
        </is>
      </c>
      <c r="J2" s="38" t="n"/>
      <c r="K2" s="38" t="n"/>
      <c r="L2" s="38" t="n"/>
      <c r="M2" s="38" t="n"/>
      <c r="N2" s="38" t="n"/>
      <c r="O2" s="38" t="n"/>
      <c r="P2" s="38" t="n"/>
      <c r="Q2" s="38" t="n"/>
      <c r="R2" s="39" t="n"/>
      <c r="S2" s="39" t="n"/>
      <c r="T2" s="39" t="n"/>
    </row>
    <row r="3" ht="23.25" customHeight="1">
      <c r="A3" s="40" t="inlineStr">
        <is>
          <t>Participant</t>
        </is>
      </c>
      <c r="B3" s="40" t="inlineStr">
        <is>
          <t>Free 1 (×6)</t>
        </is>
      </c>
      <c r="C3" s="40" t="inlineStr">
        <is>
          <t>Free 2 (×4)</t>
        </is>
      </c>
      <c r="D3" s="40" t="inlineStr">
        <is>
          <t>Free 3 (×3)</t>
        </is>
      </c>
      <c r="E3" s="40" t="inlineStr">
        <is>
          <t>Free 4 (×2)</t>
        </is>
      </c>
      <c r="F3" s="40" t="inlineStr">
        <is>
          <t>FIFA #13–24 (×1)</t>
        </is>
      </c>
      <c r="G3" s="40" t="inlineStr">
        <is>
          <t>FIFA #25–36 (×1)</t>
        </is>
      </c>
      <c r="H3" s="40" t="inlineStr">
        <is>
          <t>FIFA #37–48 (×1)</t>
        </is>
      </c>
      <c r="I3" s="40" t="inlineStr">
        <is>
          <t>Best Scoring Team</t>
        </is>
      </c>
      <c r="J3" s="40" t="inlineStr">
        <is>
          <t>Free1</t>
        </is>
      </c>
      <c r="K3" s="40" t="inlineStr">
        <is>
          <t>Free2</t>
        </is>
      </c>
      <c r="L3" s="40" t="inlineStr">
        <is>
          <t>Free3</t>
        </is>
      </c>
      <c r="M3" s="40" t="inlineStr">
        <is>
          <t>Free4</t>
        </is>
      </c>
      <c r="N3" s="40" t="inlineStr">
        <is>
          <t>#13–24</t>
        </is>
      </c>
      <c r="O3" s="40" t="inlineStr">
        <is>
          <t>#25–36</t>
        </is>
      </c>
      <c r="P3" s="40" t="inlineStr">
        <is>
          <t>#37+</t>
        </is>
      </c>
      <c r="Q3" s="40" t="inlineStr">
        <is>
          <t>Goals</t>
        </is>
      </c>
      <c r="R3" s="41" t="inlineStr">
        <is>
          <t>TOTAL</t>
        </is>
      </c>
      <c r="S3" s="42" t="inlineStr">
        <is>
          <t>Rank</t>
        </is>
      </c>
      <c r="T3" s="42" t="inlineStr">
        <is>
          <t>[helper] sortable</t>
        </is>
      </c>
    </row>
    <row r="4" ht="12.75" customHeight="1">
      <c r="A4" s="27" t="inlineStr">
        <is>
          <t>Saulius Lileikis</t>
        </is>
      </c>
      <c r="B4" s="43" t="inlineStr">
        <is>
          <t>Spain</t>
        </is>
      </c>
      <c r="C4" s="43" t="inlineStr">
        <is>
          <t>Argentina</t>
        </is>
      </c>
      <c r="D4" s="43" t="inlineStr">
        <is>
          <t>England</t>
        </is>
      </c>
      <c r="E4" s="43" t="inlineStr">
        <is>
          <t>Netherlands</t>
        </is>
      </c>
      <c r="F4" s="43" t="inlineStr">
        <is>
          <t>Colombia</t>
        </is>
      </c>
      <c r="G4" s="43" t="inlineStr">
        <is>
          <t>Norway</t>
        </is>
      </c>
      <c r="H4" s="43" t="inlineStr">
        <is>
          <t>Ghana</t>
        </is>
      </c>
      <c r="I4" s="28" t="inlineStr">
        <is>
          <t>Spain</t>
        </is>
      </c>
      <c r="J4" s="28">
        <f>IFERROR(VLOOKUP(B4,Scoring!$A$4:$N$51,14,FALSE())*6,"-")</f>
        <v/>
      </c>
      <c r="K4" s="28">
        <f>IFERROR(VLOOKUP(C4,Scoring!$A$4:$N$51,14,FALSE())*4,"-")</f>
        <v/>
      </c>
      <c r="L4" s="28">
        <f>IFERROR(VLOOKUP(D4,Scoring!$A$4:$N$51,14,FALSE())*3,"-")</f>
        <v/>
      </c>
      <c r="M4" s="28">
        <f>IFERROR(VLOOKUP(E4,Scoring!$A$4:$N$51,14,FALSE())*2,"-")</f>
        <v/>
      </c>
      <c r="N4" s="28">
        <f>IFERROR(VLOOKUP(F4,Scoring!$A$4:$N$51,14,FALSE()),"-")</f>
        <v/>
      </c>
      <c r="O4" s="28">
        <f>IFERROR(VLOOKUP(G4,Scoring!$A$4:$N$51,14,FALSE()),"-")</f>
        <v/>
      </c>
      <c r="P4" s="29">
        <f>IFERROR(VLOOKUP(H4,Scoring!$A$4:$N$51,14,FALSE()),"-")</f>
        <v/>
      </c>
      <c r="Q4" s="29">
        <f>IFERROR(VLOOKUP(I4,Scoring!$A$4:$N$51,6,FALSE()),"-")</f>
        <v/>
      </c>
      <c r="R4" s="36">
        <f>IF(A4="","-",SUM(J4:Q4))</f>
        <v/>
      </c>
      <c r="S4">
        <f>IF(A4="","",RANK(R4,$R$4:$R$119))</f>
        <v/>
      </c>
      <c r="T4">
        <f>IF(A4="",-1,R4-ROW(R4)/1000000)</f>
        <v/>
      </c>
      <c r="U4" s="44" t="inlineStr">
        <is>
          <t>saulius.lileikis@gmail.com</t>
        </is>
      </c>
      <c r="W4" s="44" t="inlineStr">
        <is>
          <t>P</t>
        </is>
      </c>
    </row>
    <row r="5" ht="12.75" customHeight="1">
      <c r="A5" s="27" t="inlineStr">
        <is>
          <t>Žygimantas Ryliškis</t>
        </is>
      </c>
      <c r="B5" s="43" t="inlineStr">
        <is>
          <t>France</t>
        </is>
      </c>
      <c r="C5" s="43" t="inlineStr">
        <is>
          <t>Portugal</t>
        </is>
      </c>
      <c r="D5" s="43" t="inlineStr">
        <is>
          <t>England</t>
        </is>
      </c>
      <c r="E5" s="43" t="inlineStr">
        <is>
          <t>Spain</t>
        </is>
      </c>
      <c r="F5" s="43" t="inlineStr">
        <is>
          <t>Uruguay</t>
        </is>
      </c>
      <c r="G5" s="43" t="inlineStr">
        <is>
          <t>Sweden</t>
        </is>
      </c>
      <c r="H5" s="43" t="inlineStr">
        <is>
          <t>Ghana</t>
        </is>
      </c>
      <c r="I5" s="28" t="inlineStr">
        <is>
          <t>France</t>
        </is>
      </c>
      <c r="J5" s="28">
        <f>IFERROR(VLOOKUP(B5,Scoring!$A$4:$N$51,14,FALSE())*6,"-")</f>
        <v/>
      </c>
      <c r="K5" s="28">
        <f>IFERROR(VLOOKUP(C5,Scoring!$A$4:$N$51,14,FALSE())*4,"-")</f>
        <v/>
      </c>
      <c r="L5" s="28">
        <f>IFERROR(VLOOKUP(D5,Scoring!$A$4:$N$51,14,FALSE())*3,"-")</f>
        <v/>
      </c>
      <c r="M5" s="28">
        <f>IFERROR(VLOOKUP(E5,Scoring!$A$4:$N$51,14,FALSE())*2,"-")</f>
        <v/>
      </c>
      <c r="N5" s="28">
        <f>IFERROR(VLOOKUP(F5,Scoring!$A$4:$N$51,14,FALSE()),"-")</f>
        <v/>
      </c>
      <c r="O5" s="28">
        <f>IFERROR(VLOOKUP(G5,Scoring!$A$4:$N$51,14,FALSE()),"-")</f>
        <v/>
      </c>
      <c r="P5" s="29">
        <f>IFERROR(VLOOKUP(H5,Scoring!$A$4:$N$51,14,FALSE()),"-")</f>
        <v/>
      </c>
      <c r="Q5" s="29">
        <f>IFERROR(VLOOKUP(I5,Scoring!$A$4:$N$51,6,FALSE()),"-")</f>
        <v/>
      </c>
      <c r="R5" s="36">
        <f>IF(A5="","-",SUM(J5:Q5))</f>
        <v/>
      </c>
      <c r="S5">
        <f>IF(A5="","",RANK(R5,$R$4:$R$119))</f>
        <v/>
      </c>
      <c r="T5">
        <f>IF(A5="",-1,R5-ROW(R5)/1000000)</f>
        <v/>
      </c>
      <c r="U5" s="44" t="inlineStr">
        <is>
          <t>zygimantas.ryliskis@gmail.com</t>
        </is>
      </c>
      <c r="W5" s="44" t="inlineStr">
        <is>
          <t>P</t>
        </is>
      </c>
    </row>
    <row r="6" ht="12.75" customHeight="1">
      <c r="A6" s="27" t="inlineStr">
        <is>
          <t>Slava Maltsev</t>
        </is>
      </c>
      <c r="B6" s="43" t="inlineStr">
        <is>
          <t>France</t>
        </is>
      </c>
      <c r="C6" s="43" t="inlineStr">
        <is>
          <t>Spain</t>
        </is>
      </c>
      <c r="D6" s="43" t="inlineStr">
        <is>
          <t>Argentina</t>
        </is>
      </c>
      <c r="E6" s="43" t="inlineStr">
        <is>
          <t>Portugal</t>
        </is>
      </c>
      <c r="F6" s="43" t="inlineStr">
        <is>
          <t>Colombia</t>
        </is>
      </c>
      <c r="G6" s="43" t="inlineStr">
        <is>
          <t>Norway</t>
        </is>
      </c>
      <c r="H6" s="43" t="inlineStr">
        <is>
          <t>Uzbekistan</t>
        </is>
      </c>
      <c r="I6" s="28" t="inlineStr">
        <is>
          <t>France</t>
        </is>
      </c>
      <c r="J6" s="28">
        <f>IFERROR(VLOOKUP(B6,Scoring!$A$4:$N$51,14,FALSE())*6,"-")</f>
        <v/>
      </c>
      <c r="K6" s="28">
        <f>IFERROR(VLOOKUP(C6,Scoring!$A$4:$N$51,14,FALSE())*4,"-")</f>
        <v/>
      </c>
      <c r="L6" s="28">
        <f>IFERROR(VLOOKUP(D6,Scoring!$A$4:$N$51,14,FALSE())*3,"-")</f>
        <v/>
      </c>
      <c r="M6" s="28">
        <f>IFERROR(VLOOKUP(E6,Scoring!$A$4:$N$51,14,FALSE())*2,"-")</f>
        <v/>
      </c>
      <c r="N6" s="28">
        <f>IFERROR(VLOOKUP(F6,Scoring!$A$4:$N$51,14,FALSE()),"-")</f>
        <v/>
      </c>
      <c r="O6" s="28">
        <f>IFERROR(VLOOKUP(G6,Scoring!$A$4:$N$51,14,FALSE()),"-")</f>
        <v/>
      </c>
      <c r="P6" s="29">
        <f>IFERROR(VLOOKUP(H6,Scoring!$A$4:$N$51,14,FALSE()),"-")</f>
        <v/>
      </c>
      <c r="Q6" s="29">
        <f>IFERROR(VLOOKUP(I6,Scoring!$A$4:$N$51,6,FALSE()),"-")</f>
        <v/>
      </c>
      <c r="R6" s="36">
        <f>IF(A6="","-",SUM(J6:Q6))</f>
        <v/>
      </c>
      <c r="S6">
        <f>IF(A6="","",RANK(R6,$R$4:$R$119))</f>
        <v/>
      </c>
      <c r="T6">
        <f>IF(A6="",-1,R6-ROW(R6)/1000000)</f>
        <v/>
      </c>
      <c r="U6" s="44" t="inlineStr">
        <is>
          <t>Slava.Maltsev@carlsberg.kz</t>
        </is>
      </c>
      <c r="W6" s="44" t="inlineStr">
        <is>
          <t>p</t>
        </is>
      </c>
    </row>
    <row r="7" ht="12.75" customHeight="1">
      <c r="A7" s="27" t="inlineStr">
        <is>
          <t>Thomas Wolke</t>
        </is>
      </c>
      <c r="B7" s="43" t="inlineStr">
        <is>
          <t>Spain</t>
        </is>
      </c>
      <c r="C7" s="43" t="inlineStr">
        <is>
          <t>France</t>
        </is>
      </c>
      <c r="D7" s="43" t="inlineStr">
        <is>
          <t>England</t>
        </is>
      </c>
      <c r="E7" s="43" t="inlineStr">
        <is>
          <t>Portugal</t>
        </is>
      </c>
      <c r="F7" s="43" t="inlineStr">
        <is>
          <t>Japan</t>
        </is>
      </c>
      <c r="G7" s="43" t="inlineStr">
        <is>
          <t>Norway</t>
        </is>
      </c>
      <c r="H7" s="43" t="inlineStr">
        <is>
          <t>Uzbekistan</t>
        </is>
      </c>
      <c r="I7" s="28" t="inlineStr">
        <is>
          <t>Brazil</t>
        </is>
      </c>
      <c r="J7" s="28">
        <f>IFERROR(VLOOKUP(B7,Scoring!$A$4:$N$51,14,FALSE())*6,"-")</f>
        <v/>
      </c>
      <c r="K7" s="28">
        <f>IFERROR(VLOOKUP(C7,Scoring!$A$4:$N$51,14,FALSE())*4,"-")</f>
        <v/>
      </c>
      <c r="L7" s="28">
        <f>IFERROR(VLOOKUP(D7,Scoring!$A$4:$N$51,14,FALSE())*3,"-")</f>
        <v/>
      </c>
      <c r="M7" s="28">
        <f>IFERROR(VLOOKUP(E7,Scoring!$A$4:$N$51,14,FALSE())*2,"-")</f>
        <v/>
      </c>
      <c r="N7" s="28">
        <f>IFERROR(VLOOKUP(F7,Scoring!$A$4:$N$51,14,FALSE()),"-")</f>
        <v/>
      </c>
      <c r="O7" s="28">
        <f>IFERROR(VLOOKUP(G7,Scoring!$A$4:$N$51,14,FALSE()),"-")</f>
        <v/>
      </c>
      <c r="P7" s="29">
        <f>IFERROR(VLOOKUP(H7,Scoring!$A$4:$N$51,14,FALSE()),"-")</f>
        <v/>
      </c>
      <c r="Q7" s="29">
        <f>IFERROR(VLOOKUP(I7,Scoring!$A$4:$N$51,6,FALSE()),"-")</f>
        <v/>
      </c>
      <c r="R7" s="36">
        <f>IF(A7="","-",SUM(J7:Q7))</f>
        <v/>
      </c>
      <c r="S7">
        <f>IF(A7="","",RANK(R7,$R$4:$R$119))</f>
        <v/>
      </c>
      <c r="T7">
        <f>IF(A7="",-1,R7-ROW(R7)/1000000)</f>
        <v/>
      </c>
      <c r="U7" s="44" t="inlineStr">
        <is>
          <t>Thomas.Wolke@carlsberg.kz</t>
        </is>
      </c>
      <c r="W7" s="44" t="inlineStr">
        <is>
          <t>p</t>
        </is>
      </c>
    </row>
    <row r="8" ht="12.75" customHeight="1">
      <c r="A8" s="27" t="inlineStr">
        <is>
          <t>Sofus Wolke</t>
        </is>
      </c>
      <c r="B8" s="43" t="inlineStr">
        <is>
          <t>Spain</t>
        </is>
      </c>
      <c r="C8" s="43" t="inlineStr">
        <is>
          <t>Portugal</t>
        </is>
      </c>
      <c r="D8" s="43" t="inlineStr">
        <is>
          <t>France</t>
        </is>
      </c>
      <c r="E8" s="43" t="inlineStr">
        <is>
          <t>Netherlands</t>
        </is>
      </c>
      <c r="F8" s="43" t="inlineStr">
        <is>
          <t>Colombia</t>
        </is>
      </c>
      <c r="G8" s="43" t="inlineStr">
        <is>
          <t>Norway</t>
        </is>
      </c>
      <c r="H8" s="43" t="inlineStr">
        <is>
          <t>Bosnia &amp; Herzegovina</t>
        </is>
      </c>
      <c r="I8" s="28" t="inlineStr">
        <is>
          <t>Argentina</t>
        </is>
      </c>
      <c r="J8" s="28">
        <f>IFERROR(VLOOKUP(B8,Scoring!$A$4:$N$51,14,FALSE())*6,"-")</f>
        <v/>
      </c>
      <c r="K8" s="28">
        <f>IFERROR(VLOOKUP(C8,Scoring!$A$4:$N$51,14,FALSE())*4,"-")</f>
        <v/>
      </c>
      <c r="L8" s="28">
        <f>IFERROR(VLOOKUP(D8,Scoring!$A$4:$N$51,14,FALSE())*3,"-")</f>
        <v/>
      </c>
      <c r="M8" s="28">
        <f>IFERROR(VLOOKUP(E8,Scoring!$A$4:$N$51,14,FALSE())*2,"-")</f>
        <v/>
      </c>
      <c r="N8" s="28">
        <f>IFERROR(VLOOKUP(F8,Scoring!$A$4:$N$51,14,FALSE()),"-")</f>
        <v/>
      </c>
      <c r="O8" s="28">
        <f>IFERROR(VLOOKUP(G8,Scoring!$A$4:$N$51,14,FALSE()),"-")</f>
        <v/>
      </c>
      <c r="P8" s="29">
        <f>IFERROR(VLOOKUP(H8,Scoring!$A$4:$N$51,14,FALSE()),"-")</f>
        <v/>
      </c>
      <c r="Q8" s="29">
        <f>IFERROR(VLOOKUP(I8,Scoring!$A$4:$N$51,6,FALSE()),"-")</f>
        <v/>
      </c>
      <c r="R8" s="36">
        <f>IF(A8="","-",SUM(J8:Q8))</f>
        <v/>
      </c>
      <c r="S8">
        <f>IF(A8="","",RANK(R8,$R$4:$R$119))</f>
        <v/>
      </c>
      <c r="T8">
        <f>IF(A8="",-1,R8-ROW(R8)/1000000)</f>
        <v/>
      </c>
      <c r="U8" s="44" t="inlineStr">
        <is>
          <t>sejfus8@gmail.com</t>
        </is>
      </c>
      <c r="W8" s="44" t="inlineStr">
        <is>
          <t>p</t>
        </is>
      </c>
    </row>
    <row r="9" ht="12.75" customHeight="1">
      <c r="A9" s="27" t="inlineStr">
        <is>
          <t>Susie Wolke</t>
        </is>
      </c>
      <c r="B9" s="43" t="inlineStr">
        <is>
          <t>Netherlands</t>
        </is>
      </c>
      <c r="C9" s="43" t="inlineStr">
        <is>
          <t>Argentina</t>
        </is>
      </c>
      <c r="D9" s="43" t="inlineStr">
        <is>
          <t>France</t>
        </is>
      </c>
      <c r="E9" s="43" t="inlineStr">
        <is>
          <t>Brazil</t>
        </is>
      </c>
      <c r="F9" s="43" t="inlineStr">
        <is>
          <t>Japan</t>
        </is>
      </c>
      <c r="G9" s="43" t="inlineStr">
        <is>
          <t>Norway</t>
        </is>
      </c>
      <c r="H9" s="43" t="inlineStr">
        <is>
          <t>Ghana</t>
        </is>
      </c>
      <c r="I9" s="28" t="inlineStr">
        <is>
          <t>Spain</t>
        </is>
      </c>
      <c r="J9" s="28">
        <f>IFERROR(VLOOKUP(B9,Scoring!$A$4:$N$51,14,FALSE())*6,"-")</f>
        <v/>
      </c>
      <c r="K9" s="28">
        <f>IFERROR(VLOOKUP(C9,Scoring!$A$4:$N$51,14,FALSE())*4,"-")</f>
        <v/>
      </c>
      <c r="L9" s="28">
        <f>IFERROR(VLOOKUP(D9,Scoring!$A$4:$N$51,14,FALSE())*3,"-")</f>
        <v/>
      </c>
      <c r="M9" s="28">
        <f>IFERROR(VLOOKUP(E9,Scoring!$A$4:$N$51,14,FALSE())*2,"-")</f>
        <v/>
      </c>
      <c r="N9" s="28">
        <f>IFERROR(VLOOKUP(F9,Scoring!$A$4:$N$51,14,FALSE()),"-")</f>
        <v/>
      </c>
      <c r="O9" s="28">
        <f>IFERROR(VLOOKUP(G9,Scoring!$A$4:$N$51,14,FALSE()),"-")</f>
        <v/>
      </c>
      <c r="P9" s="29">
        <f>IFERROR(VLOOKUP(H9,Scoring!$A$4:$N$51,14,FALSE()),"-")</f>
        <v/>
      </c>
      <c r="Q9" s="29">
        <f>IFERROR(VLOOKUP(I9,Scoring!$A$4:$N$51,6,FALSE()),"-")</f>
        <v/>
      </c>
      <c r="R9" s="36">
        <f>IF(A9="","-",SUM(J9:Q9))</f>
        <v/>
      </c>
      <c r="S9">
        <f>IF(A9="","",RANK(R9,$R$4:$R$119))</f>
        <v/>
      </c>
      <c r="T9">
        <f>IF(A9="",-1,R9-ROW(R9)/1000000)</f>
        <v/>
      </c>
      <c r="U9" s="44" t="inlineStr">
        <is>
          <t>wolke3540@gmail.com</t>
        </is>
      </c>
      <c r="W9" s="44" t="inlineStr">
        <is>
          <t>p</t>
        </is>
      </c>
    </row>
    <row r="10" ht="12.75" customHeight="1">
      <c r="A10" s="27" t="inlineStr">
        <is>
          <t>Denis Kazarezov</t>
        </is>
      </c>
      <c r="B10" s="43" t="inlineStr">
        <is>
          <t>Portugal</t>
        </is>
      </c>
      <c r="C10" s="43" t="inlineStr">
        <is>
          <t>Spain</t>
        </is>
      </c>
      <c r="D10" s="43" t="inlineStr">
        <is>
          <t>France</t>
        </is>
      </c>
      <c r="E10" s="43" t="inlineStr">
        <is>
          <t>Germany</t>
        </is>
      </c>
      <c r="F10" s="43" t="inlineStr">
        <is>
          <t>Colombia</t>
        </is>
      </c>
      <c r="G10" s="43" t="inlineStr">
        <is>
          <t>Norway</t>
        </is>
      </c>
      <c r="H10" s="43" t="inlineStr">
        <is>
          <t>Uzbekistan</t>
        </is>
      </c>
      <c r="I10" s="28" t="inlineStr">
        <is>
          <t>Spain</t>
        </is>
      </c>
      <c r="J10" s="28">
        <f>IFERROR(VLOOKUP(B10,Scoring!$A$4:$N$51,14,FALSE())*6,"-")</f>
        <v/>
      </c>
      <c r="K10" s="28">
        <f>IFERROR(VLOOKUP(C10,Scoring!$A$4:$N$51,14,FALSE())*4,"-")</f>
        <v/>
      </c>
      <c r="L10" s="28">
        <f>IFERROR(VLOOKUP(D10,Scoring!$A$4:$N$51,14,FALSE())*3,"-")</f>
        <v/>
      </c>
      <c r="M10" s="28">
        <f>IFERROR(VLOOKUP(E10,Scoring!$A$4:$N$51,14,FALSE())*2,"-")</f>
        <v/>
      </c>
      <c r="N10" s="28">
        <f>IFERROR(VLOOKUP(F10,Scoring!$A$4:$N$51,14,FALSE()),"-")</f>
        <v/>
      </c>
      <c r="O10" s="28">
        <f>IFERROR(VLOOKUP(G10,Scoring!$A$4:$N$51,14,FALSE()),"-")</f>
        <v/>
      </c>
      <c r="P10" s="29">
        <f>IFERROR(VLOOKUP(H10,Scoring!$A$4:$N$51,14,FALSE()),"-")</f>
        <v/>
      </c>
      <c r="Q10" s="29">
        <f>IFERROR(VLOOKUP(I10,Scoring!$A$4:$N$51,6,FALSE()),"-")</f>
        <v/>
      </c>
      <c r="R10" s="36">
        <f>IF(A10="","-",SUM(J10:Q10))</f>
        <v/>
      </c>
      <c r="S10">
        <f>IF(A10="","",RANK(R10,$R$4:$R$119))</f>
        <v/>
      </c>
      <c r="T10">
        <f>IF(A10="",-1,R10-ROW(R10)/1000000)</f>
        <v/>
      </c>
      <c r="U10" s="44" t="inlineStr">
        <is>
          <t>Denis.Kazarezov@carlsberg.kz</t>
        </is>
      </c>
      <c r="W10" s="44" t="inlineStr">
        <is>
          <t>p</t>
        </is>
      </c>
    </row>
    <row r="11" ht="12.75" customHeight="1">
      <c r="A11" s="27" t="inlineStr">
        <is>
          <t>Sigitas Petraitis</t>
        </is>
      </c>
      <c r="B11" s="43" t="inlineStr">
        <is>
          <t>Brazil</t>
        </is>
      </c>
      <c r="C11" s="43" t="inlineStr">
        <is>
          <t>France</t>
        </is>
      </c>
      <c r="D11" s="43" t="inlineStr">
        <is>
          <t>Portugal</t>
        </is>
      </c>
      <c r="E11" s="43" t="inlineStr">
        <is>
          <t>Spain</t>
        </is>
      </c>
      <c r="F11" s="43" t="inlineStr">
        <is>
          <t>United States</t>
        </is>
      </c>
      <c r="G11" s="43" t="inlineStr">
        <is>
          <t>Sweden</t>
        </is>
      </c>
      <c r="H11" s="43" t="inlineStr">
        <is>
          <t>Bosnia &amp; Herzegovina</t>
        </is>
      </c>
      <c r="I11" s="28" t="inlineStr">
        <is>
          <t>Brazil</t>
        </is>
      </c>
      <c r="J11" s="28">
        <f>IFERROR(VLOOKUP(B11,Scoring!$A$4:$N$51,14,FALSE())*6,"-")</f>
        <v/>
      </c>
      <c r="K11" s="28">
        <f>IFERROR(VLOOKUP(C11,Scoring!$A$4:$N$51,14,FALSE())*4,"-")</f>
        <v/>
      </c>
      <c r="L11" s="28">
        <f>IFERROR(VLOOKUP(D11,Scoring!$A$4:$N$51,14,FALSE())*3,"-")</f>
        <v/>
      </c>
      <c r="M11" s="28">
        <f>IFERROR(VLOOKUP(E11,Scoring!$A$4:$N$51,14,FALSE())*2,"-")</f>
        <v/>
      </c>
      <c r="N11" s="28">
        <f>IFERROR(VLOOKUP(F11,Scoring!$A$4:$N$51,14,FALSE()),"-")</f>
        <v/>
      </c>
      <c r="O11" s="28">
        <f>IFERROR(VLOOKUP(G11,Scoring!$A$4:$N$51,14,FALSE()),"-")</f>
        <v/>
      </c>
      <c r="P11" s="29">
        <f>IFERROR(VLOOKUP(H11,Scoring!$A$4:$N$51,14,FALSE()),"-")</f>
        <v/>
      </c>
      <c r="Q11" s="29">
        <f>IFERROR(VLOOKUP(I11,Scoring!$A$4:$N$51,6,FALSE()),"-")</f>
        <v/>
      </c>
      <c r="R11" s="36">
        <f>IF(A11="","-",SUM(J11:Q11))</f>
        <v/>
      </c>
      <c r="S11">
        <f>IF(A11="","",RANK(R11,$R$4:$R$119))</f>
        <v/>
      </c>
      <c r="T11">
        <f>IF(A11="",-1,R11-ROW(R11)/1000000)</f>
        <v/>
      </c>
      <c r="U11" s="44" t="inlineStr">
        <is>
          <t>Sigitas.Petraitis@svyturys.lt</t>
        </is>
      </c>
      <c r="W11" s="44" t="inlineStr">
        <is>
          <t>p</t>
        </is>
      </c>
    </row>
    <row r="12" ht="12.75" customHeight="1">
      <c r="A12" s="27" t="inlineStr">
        <is>
          <t>Benas VII</t>
        </is>
      </c>
      <c r="B12" s="43" t="inlineStr">
        <is>
          <t>France</t>
        </is>
      </c>
      <c r="C12" s="43" t="inlineStr">
        <is>
          <t>Argentina</t>
        </is>
      </c>
      <c r="D12" s="43" t="inlineStr">
        <is>
          <t>Spain</t>
        </is>
      </c>
      <c r="E12" s="43" t="inlineStr">
        <is>
          <t>England</t>
        </is>
      </c>
      <c r="F12" s="43" t="inlineStr">
        <is>
          <t>Türkiye</t>
        </is>
      </c>
      <c r="G12" s="43" t="inlineStr">
        <is>
          <t>Czechia</t>
        </is>
      </c>
      <c r="H12" s="43" t="inlineStr">
        <is>
          <t>South Africa</t>
        </is>
      </c>
      <c r="I12" s="28" t="inlineStr">
        <is>
          <t>France</t>
        </is>
      </c>
      <c r="J12" s="28">
        <f>IFERROR(VLOOKUP(B12,Scoring!$A$4:$N$51,14,FALSE())*6,"-")</f>
        <v/>
      </c>
      <c r="K12" s="28">
        <f>IFERROR(VLOOKUP(C12,Scoring!$A$4:$N$51,14,FALSE())*4,"-")</f>
        <v/>
      </c>
      <c r="L12" s="28">
        <f>IFERROR(VLOOKUP(D12,Scoring!$A$4:$N$51,14,FALSE())*3,"-")</f>
        <v/>
      </c>
      <c r="M12" s="28">
        <f>IFERROR(VLOOKUP(E12,Scoring!$A$4:$N$51,14,FALSE())*2,"-")</f>
        <v/>
      </c>
      <c r="N12" s="28">
        <f>IFERROR(VLOOKUP(F12,Scoring!$A$4:$N$51,14,FALSE()),"-")</f>
        <v/>
      </c>
      <c r="O12" s="28">
        <f>IFERROR(VLOOKUP(G12,Scoring!$A$4:$N$51,14,FALSE()),"-")</f>
        <v/>
      </c>
      <c r="P12" s="29">
        <f>IFERROR(VLOOKUP(H12,Scoring!$A$4:$N$51,14,FALSE()),"-")</f>
        <v/>
      </c>
      <c r="Q12" s="29">
        <f>IFERROR(VLOOKUP(I12,Scoring!$A$4:$N$51,6,FALSE()),"-")</f>
        <v/>
      </c>
      <c r="R12" s="36">
        <f>IF(A12="","-",SUM(J12:Q12))</f>
        <v/>
      </c>
      <c r="S12">
        <f>IF(A12="","",RANK(R12,$R$4:$R$119))</f>
        <v/>
      </c>
      <c r="T12">
        <f>IF(A12="",-1,R12-ROW(R12)/1000000)</f>
        <v/>
      </c>
      <c r="U12" s="44" t="inlineStr">
        <is>
          <t>dobilas.sirotka@gmail.com</t>
        </is>
      </c>
      <c r="W12" s="44" t="inlineStr">
        <is>
          <t>p</t>
        </is>
      </c>
    </row>
    <row r="13" ht="12.75" customHeight="1">
      <c r="A13" s="27" t="inlineStr">
        <is>
          <t>Dobilas III</t>
        </is>
      </c>
      <c r="B13" s="43" t="inlineStr">
        <is>
          <t>Spain</t>
        </is>
      </c>
      <c r="C13" s="43" t="inlineStr">
        <is>
          <t>England</t>
        </is>
      </c>
      <c r="D13" s="43" t="inlineStr">
        <is>
          <t>Argentina</t>
        </is>
      </c>
      <c r="E13" s="43" t="inlineStr">
        <is>
          <t>Netherlands</t>
        </is>
      </c>
      <c r="F13" s="43" t="inlineStr">
        <is>
          <t>Switzerland</t>
        </is>
      </c>
      <c r="G13" s="43" t="inlineStr">
        <is>
          <t>Canada</t>
        </is>
      </c>
      <c r="H13" s="43" t="inlineStr">
        <is>
          <t>Bosnia &amp; Herzegovina</t>
        </is>
      </c>
      <c r="I13" s="28" t="inlineStr">
        <is>
          <t>England</t>
        </is>
      </c>
      <c r="J13" s="28">
        <f>IFERROR(VLOOKUP(B13,Scoring!$A$4:$N$51,14,FALSE())*6,"-")</f>
        <v/>
      </c>
      <c r="K13" s="28">
        <f>IFERROR(VLOOKUP(C13,Scoring!$A$4:$N$51,14,FALSE())*4,"-")</f>
        <v/>
      </c>
      <c r="L13" s="28">
        <f>IFERROR(VLOOKUP(D13,Scoring!$A$4:$N$51,14,FALSE())*3,"-")</f>
        <v/>
      </c>
      <c r="M13" s="28">
        <f>IFERROR(VLOOKUP(E13,Scoring!$A$4:$N$51,14,FALSE())*2,"-")</f>
        <v/>
      </c>
      <c r="N13" s="28">
        <f>IFERROR(VLOOKUP(F13,Scoring!$A$4:$N$51,14,FALSE()),"-")</f>
        <v/>
      </c>
      <c r="O13" s="28">
        <f>IFERROR(VLOOKUP(G13,Scoring!$A$4:$N$51,14,FALSE()),"-")</f>
        <v/>
      </c>
      <c r="P13" s="29">
        <f>IFERROR(VLOOKUP(H13,Scoring!$A$4:$N$51,14,FALSE()),"-")</f>
        <v/>
      </c>
      <c r="Q13" s="29">
        <f>IFERROR(VLOOKUP(I13,Scoring!$A$4:$N$51,6,FALSE()),"-")</f>
        <v/>
      </c>
      <c r="R13" s="36">
        <f>IF(A13="","-",SUM(J13:Q13))</f>
        <v/>
      </c>
      <c r="S13">
        <f>IF(A13="","",RANK(R13,$R$4:$R$119))</f>
        <v/>
      </c>
      <c r="T13">
        <f>IF(A13="",-1,R13-ROW(R13)/1000000)</f>
        <v/>
      </c>
      <c r="U13" s="44" t="inlineStr">
        <is>
          <t>dobilas.sirotka@gmail.com</t>
        </is>
      </c>
      <c r="W13" s="44" t="inlineStr">
        <is>
          <t>p</t>
        </is>
      </c>
    </row>
    <row r="14" ht="12.75" customHeight="1">
      <c r="A14" s="27" t="inlineStr">
        <is>
          <t>Kristina I</t>
        </is>
      </c>
      <c r="B14" s="43" t="inlineStr">
        <is>
          <t>Netherlands</t>
        </is>
      </c>
      <c r="C14" s="43" t="inlineStr">
        <is>
          <t>Spain</t>
        </is>
      </c>
      <c r="D14" s="43" t="inlineStr">
        <is>
          <t>England</t>
        </is>
      </c>
      <c r="E14" s="43" t="inlineStr">
        <is>
          <t>Portugal</t>
        </is>
      </c>
      <c r="F14" s="43" t="inlineStr">
        <is>
          <t>Colombia</t>
        </is>
      </c>
      <c r="G14" s="43" t="inlineStr">
        <is>
          <t>Paraguay</t>
        </is>
      </c>
      <c r="H14" s="43" t="inlineStr">
        <is>
          <t>Bosnia &amp; Herzegovina</t>
        </is>
      </c>
      <c r="I14" s="28" t="inlineStr">
        <is>
          <t>Netherlands</t>
        </is>
      </c>
      <c r="J14" s="28">
        <f>IFERROR(VLOOKUP(B14,Scoring!$A$4:$N$51,14,FALSE())*6,"-")</f>
        <v/>
      </c>
      <c r="K14" s="28">
        <f>IFERROR(VLOOKUP(C14,Scoring!$A$4:$N$51,14,FALSE())*4,"-")</f>
        <v/>
      </c>
      <c r="L14" s="28">
        <f>IFERROR(VLOOKUP(D14,Scoring!$A$4:$N$51,14,FALSE())*3,"-")</f>
        <v/>
      </c>
      <c r="M14" s="28">
        <f>IFERROR(VLOOKUP(E14,Scoring!$A$4:$N$51,14,FALSE())*2,"-")</f>
        <v/>
      </c>
      <c r="N14" s="28">
        <f>IFERROR(VLOOKUP(F14,Scoring!$A$4:$N$51,14,FALSE()),"-")</f>
        <v/>
      </c>
      <c r="O14" s="28">
        <f>IFERROR(VLOOKUP(G14,Scoring!$A$4:$N$51,14,FALSE()),"-")</f>
        <v/>
      </c>
      <c r="P14" s="29">
        <f>IFERROR(VLOOKUP(H14,Scoring!$A$4:$N$51,14,FALSE()),"-")</f>
        <v/>
      </c>
      <c r="Q14" s="29">
        <f>IFERROR(VLOOKUP(I14,Scoring!$A$4:$N$51,6,FALSE()),"-")</f>
        <v/>
      </c>
      <c r="R14" s="36">
        <f>IF(A14="","-",SUM(J14:Q14))</f>
        <v/>
      </c>
      <c r="S14">
        <f>IF(A14="","",RANK(R14,$R$4:$R$119))</f>
        <v/>
      </c>
      <c r="T14">
        <f>IF(A14="",-1,R14-ROW(R14)/1000000)</f>
        <v/>
      </c>
      <c r="U14" s="44" t="inlineStr">
        <is>
          <t>dobilas.sirotka@gmail.com</t>
        </is>
      </c>
      <c r="W14" s="44" t="inlineStr">
        <is>
          <t>p</t>
        </is>
      </c>
    </row>
    <row r="15" ht="12.75" customHeight="1">
      <c r="A15" s="27" t="inlineStr">
        <is>
          <t>Alius Antulis</t>
        </is>
      </c>
      <c r="B15" s="43" t="inlineStr">
        <is>
          <t>Spain</t>
        </is>
      </c>
      <c r="C15" s="43" t="inlineStr">
        <is>
          <t>Brazil</t>
        </is>
      </c>
      <c r="D15" s="43" t="inlineStr">
        <is>
          <t>Portugal</t>
        </is>
      </c>
      <c r="E15" s="43" t="inlineStr">
        <is>
          <t>England</t>
        </is>
      </c>
      <c r="F15" s="43" t="inlineStr">
        <is>
          <t>Türkiye</t>
        </is>
      </c>
      <c r="G15" s="43" t="inlineStr">
        <is>
          <t>Norway</t>
        </is>
      </c>
      <c r="H15" s="43" t="inlineStr">
        <is>
          <t>Bosnia &amp; Herzegovina</t>
        </is>
      </c>
      <c r="I15" s="28" t="inlineStr">
        <is>
          <t>Spain</t>
        </is>
      </c>
      <c r="J15" s="28">
        <f>IFERROR(VLOOKUP(B15,Scoring!$A$4:$N$51,14,FALSE())*6,"-")</f>
        <v/>
      </c>
      <c r="K15" s="28">
        <f>IFERROR(VLOOKUP(C15,Scoring!$A$4:$N$51,14,FALSE())*4,"-")</f>
        <v/>
      </c>
      <c r="L15" s="28">
        <f>IFERROR(VLOOKUP(D15,Scoring!$A$4:$N$51,14,FALSE())*3,"-")</f>
        <v/>
      </c>
      <c r="M15" s="28">
        <f>IFERROR(VLOOKUP(E15,Scoring!$A$4:$N$51,14,FALSE())*2,"-")</f>
        <v/>
      </c>
      <c r="N15" s="28">
        <f>IFERROR(VLOOKUP(F15,Scoring!$A$4:$N$51,14,FALSE()),"-")</f>
        <v/>
      </c>
      <c r="O15" s="28">
        <f>IFERROR(VLOOKUP(G15,Scoring!$A$4:$N$51,14,FALSE()),"-")</f>
        <v/>
      </c>
      <c r="P15" s="29">
        <f>IFERROR(VLOOKUP(H15,Scoring!$A$4:$N$51,14,FALSE()),"-")</f>
        <v/>
      </c>
      <c r="Q15" s="29">
        <f>IFERROR(VLOOKUP(I15,Scoring!$A$4:$N$51,6,FALSE()),"-")</f>
        <v/>
      </c>
      <c r="R15" s="36">
        <f>IF(A15="","-",SUM(J15:Q15))</f>
        <v/>
      </c>
      <c r="S15">
        <f>IF(A15="","",RANK(R15,$R$4:$R$119))</f>
        <v/>
      </c>
      <c r="T15">
        <f>IF(A15="",-1,R15-ROW(R15)/1000000)</f>
        <v/>
      </c>
      <c r="U15" s="44" t="inlineStr">
        <is>
          <t>alius.antulis@gmail.com</t>
        </is>
      </c>
      <c r="W15" s="44" t="inlineStr">
        <is>
          <t>p</t>
        </is>
      </c>
    </row>
    <row r="16" ht="12.75" customHeight="1">
      <c r="A16" s="27" t="inlineStr">
        <is>
          <t>Todor Velikov</t>
        </is>
      </c>
      <c r="B16" s="43" t="inlineStr">
        <is>
          <t>Argentina</t>
        </is>
      </c>
      <c r="C16" s="43" t="inlineStr">
        <is>
          <t>Spain</t>
        </is>
      </c>
      <c r="D16" s="43" t="inlineStr">
        <is>
          <t>England</t>
        </is>
      </c>
      <c r="E16" s="43" t="inlineStr">
        <is>
          <t>France</t>
        </is>
      </c>
      <c r="F16" s="43" t="inlineStr">
        <is>
          <t>United States</t>
        </is>
      </c>
      <c r="G16" s="43" t="inlineStr">
        <is>
          <t>Canada</t>
        </is>
      </c>
      <c r="H16" s="43" t="inlineStr">
        <is>
          <t>Bosnia &amp; Herzegovina</t>
        </is>
      </c>
      <c r="I16" s="28" t="inlineStr">
        <is>
          <t>Spain</t>
        </is>
      </c>
      <c r="J16" s="28">
        <f>IFERROR(VLOOKUP(B16,Scoring!$A$4:$N$51,14,FALSE())*6,"-")</f>
        <v/>
      </c>
      <c r="K16" s="28">
        <f>IFERROR(VLOOKUP(C16,Scoring!$A$4:$N$51,14,FALSE())*4,"-")</f>
        <v/>
      </c>
      <c r="L16" s="28">
        <f>IFERROR(VLOOKUP(D16,Scoring!$A$4:$N$51,14,FALSE())*3,"-")</f>
        <v/>
      </c>
      <c r="M16" s="28">
        <f>IFERROR(VLOOKUP(E16,Scoring!$A$4:$N$51,14,FALSE())*2,"-")</f>
        <v/>
      </c>
      <c r="N16" s="28">
        <f>IFERROR(VLOOKUP(F16,Scoring!$A$4:$N$51,14,FALSE()),"-")</f>
        <v/>
      </c>
      <c r="O16" s="28">
        <f>IFERROR(VLOOKUP(G16,Scoring!$A$4:$N$51,14,FALSE()),"-")</f>
        <v/>
      </c>
      <c r="P16" s="29">
        <f>IFERROR(VLOOKUP(H16,Scoring!$A$4:$N$51,14,FALSE()),"-")</f>
        <v/>
      </c>
      <c r="Q16" s="29">
        <f>IFERROR(VLOOKUP(I16,Scoring!$A$4:$N$51,6,FALSE()),"-")</f>
        <v/>
      </c>
      <c r="R16" s="36">
        <f>IF(A16="","-",SUM(J16:Q16))</f>
        <v/>
      </c>
      <c r="S16">
        <f>IF(A16="","",RANK(R16,$R$4:$R$119))</f>
        <v/>
      </c>
      <c r="T16">
        <f>IF(A16="",-1,R16-ROW(R16)/1000000)</f>
        <v/>
      </c>
      <c r="U16" s="44" t="inlineStr">
        <is>
          <t>todor.velikov@yahoo.com</t>
        </is>
      </c>
      <c r="W16" s="44" t="inlineStr">
        <is>
          <t>p</t>
        </is>
      </c>
    </row>
    <row r="17" ht="12.75" customHeight="1">
      <c r="A17" s="27" t="inlineStr">
        <is>
          <t>Karolis Marcinkevičius</t>
        </is>
      </c>
      <c r="B17" s="43" t="inlineStr">
        <is>
          <t>England</t>
        </is>
      </c>
      <c r="C17" s="43" t="inlineStr">
        <is>
          <t>Morocco</t>
        </is>
      </c>
      <c r="D17" s="43" t="inlineStr">
        <is>
          <t>France</t>
        </is>
      </c>
      <c r="E17" s="43" t="inlineStr">
        <is>
          <t>Spain</t>
        </is>
      </c>
      <c r="F17" s="43" t="inlineStr">
        <is>
          <t>United States</t>
        </is>
      </c>
      <c r="G17" s="43" t="inlineStr">
        <is>
          <t>Norway</t>
        </is>
      </c>
      <c r="H17" s="43" t="inlineStr">
        <is>
          <t>New Zealand</t>
        </is>
      </c>
      <c r="I17" s="28" t="inlineStr">
        <is>
          <t>Argentina</t>
        </is>
      </c>
      <c r="J17" s="28">
        <f>IFERROR(VLOOKUP(B17,Scoring!$A$4:$N$51,14,FALSE())*6,"-")</f>
        <v/>
      </c>
      <c r="K17" s="28">
        <f>IFERROR(VLOOKUP(C17,Scoring!$A$4:$N$51,14,FALSE())*4,"-")</f>
        <v/>
      </c>
      <c r="L17" s="28">
        <f>IFERROR(VLOOKUP(D17,Scoring!$A$4:$N$51,14,FALSE())*3,"-")</f>
        <v/>
      </c>
      <c r="M17" s="28">
        <f>IFERROR(VLOOKUP(E17,Scoring!$A$4:$N$51,14,FALSE())*2,"-")</f>
        <v/>
      </c>
      <c r="N17" s="28">
        <f>IFERROR(VLOOKUP(F17,Scoring!$A$4:$N$51,14,FALSE()),"-")</f>
        <v/>
      </c>
      <c r="O17" s="28">
        <f>IFERROR(VLOOKUP(G17,Scoring!$A$4:$N$51,14,FALSE()),"-")</f>
        <v/>
      </c>
      <c r="P17" s="29">
        <f>IFERROR(VLOOKUP(H17,Scoring!$A$4:$N$51,14,FALSE()),"-")</f>
        <v/>
      </c>
      <c r="Q17" s="29">
        <f>IFERROR(VLOOKUP(I17,Scoring!$A$4:$N$51,6,FALSE()),"-")</f>
        <v/>
      </c>
      <c r="R17" s="36">
        <f>IF(A17="","-",SUM(J17:Q17))</f>
        <v/>
      </c>
      <c r="S17">
        <f>IF(A17="","",RANK(R17,$R$4:$R$119))</f>
        <v/>
      </c>
      <c r="T17">
        <f>IF(A17="",-1,R17-ROW(R17)/1000000)</f>
        <v/>
      </c>
      <c r="U17" s="44" t="inlineStr">
        <is>
          <t>karolis.mrc@gmail.com</t>
        </is>
      </c>
      <c r="W17" s="44" t="inlineStr">
        <is>
          <t>p</t>
        </is>
      </c>
    </row>
    <row r="18" ht="12.75" customHeight="1">
      <c r="A18" s="27" t="inlineStr">
        <is>
          <t>Donatas Pocius</t>
        </is>
      </c>
      <c r="B18" s="43" t="inlineStr">
        <is>
          <t>France</t>
        </is>
      </c>
      <c r="C18" s="43" t="inlineStr">
        <is>
          <t>Portugal</t>
        </is>
      </c>
      <c r="D18" s="43" t="inlineStr">
        <is>
          <t>Spain</t>
        </is>
      </c>
      <c r="E18" s="43" t="inlineStr">
        <is>
          <t>Argentina</t>
        </is>
      </c>
      <c r="F18" s="43" t="inlineStr">
        <is>
          <t>Mexico</t>
        </is>
      </c>
      <c r="G18" s="43" t="inlineStr">
        <is>
          <t>Egypt</t>
        </is>
      </c>
      <c r="H18" s="43" t="inlineStr">
        <is>
          <t>Bosnia &amp; Herzegovina</t>
        </is>
      </c>
      <c r="I18" s="28" t="inlineStr">
        <is>
          <t>Spain</t>
        </is>
      </c>
      <c r="J18" s="28">
        <f>IFERROR(VLOOKUP(B18,Scoring!$A$4:$N$51,14,FALSE())*6,"-")</f>
        <v/>
      </c>
      <c r="K18" s="28">
        <f>IFERROR(VLOOKUP(C18,Scoring!$A$4:$N$51,14,FALSE())*4,"-")</f>
        <v/>
      </c>
      <c r="L18" s="28">
        <f>IFERROR(VLOOKUP(D18,Scoring!$A$4:$N$51,14,FALSE())*3,"-")</f>
        <v/>
      </c>
      <c r="M18" s="28">
        <f>IFERROR(VLOOKUP(E18,Scoring!$A$4:$N$51,14,FALSE())*2,"-")</f>
        <v/>
      </c>
      <c r="N18" s="28">
        <f>IFERROR(VLOOKUP(F18,Scoring!$A$4:$N$51,14,FALSE()),"-")</f>
        <v/>
      </c>
      <c r="O18" s="28">
        <f>IFERROR(VLOOKUP(G18,Scoring!$A$4:$N$51,14,FALSE()),"-")</f>
        <v/>
      </c>
      <c r="P18" s="29">
        <f>IFERROR(VLOOKUP(H18,Scoring!$A$4:$N$51,14,FALSE()),"-")</f>
        <v/>
      </c>
      <c r="Q18" s="29">
        <f>IFERROR(VLOOKUP(I18,Scoring!$A$4:$N$51,6,FALSE()),"-")</f>
        <v/>
      </c>
      <c r="R18" s="36">
        <f>IF(A18="","-",SUM(J18:Q18))</f>
        <v/>
      </c>
      <c r="S18">
        <f>IF(A18="","",RANK(R18,$R$4:$R$119))</f>
        <v/>
      </c>
      <c r="T18">
        <f>IF(A18="",-1,R18-ROW(R18)/1000000)</f>
        <v/>
      </c>
      <c r="U18" s="44" t="inlineStr">
        <is>
          <t>pocius.d@gmail.com</t>
        </is>
      </c>
      <c r="W18" s="44" t="inlineStr">
        <is>
          <t>p</t>
        </is>
      </c>
    </row>
    <row r="19" ht="12.75" customHeight="1">
      <c r="A19" s="27" t="inlineStr">
        <is>
          <t>Kamran Mikayilov</t>
        </is>
      </c>
      <c r="B19" s="43" t="inlineStr">
        <is>
          <t>Spain</t>
        </is>
      </c>
      <c r="C19" s="43" t="inlineStr">
        <is>
          <t>France</t>
        </is>
      </c>
      <c r="D19" s="43" t="inlineStr">
        <is>
          <t>Argentina</t>
        </is>
      </c>
      <c r="E19" s="43" t="inlineStr">
        <is>
          <t>Belgium</t>
        </is>
      </c>
      <c r="F19" s="43" t="inlineStr">
        <is>
          <t>Mexico</t>
        </is>
      </c>
      <c r="G19" s="43" t="inlineStr">
        <is>
          <t>Norway</t>
        </is>
      </c>
      <c r="H19" s="43" t="inlineStr">
        <is>
          <t>Ghana</t>
        </is>
      </c>
      <c r="I19" s="28" t="inlineStr">
        <is>
          <t>Spain</t>
        </is>
      </c>
      <c r="J19" s="28">
        <f>IFERROR(VLOOKUP(B19,Scoring!$A$4:$N$51,14,FALSE())*6,"-")</f>
        <v/>
      </c>
      <c r="K19" s="28">
        <f>IFERROR(VLOOKUP(C19,Scoring!$A$4:$N$51,14,FALSE())*4,"-")</f>
        <v/>
      </c>
      <c r="L19" s="28">
        <f>IFERROR(VLOOKUP(D19,Scoring!$A$4:$N$51,14,FALSE())*3,"-")</f>
        <v/>
      </c>
      <c r="M19" s="28">
        <f>IFERROR(VLOOKUP(E19,Scoring!$A$4:$N$51,14,FALSE())*2,"-")</f>
        <v/>
      </c>
      <c r="N19" s="28">
        <f>IFERROR(VLOOKUP(F19,Scoring!$A$4:$N$51,14,FALSE()),"-")</f>
        <v/>
      </c>
      <c r="O19" s="28">
        <f>IFERROR(VLOOKUP(G19,Scoring!$A$4:$N$51,14,FALSE()),"-")</f>
        <v/>
      </c>
      <c r="P19" s="29">
        <f>IFERROR(VLOOKUP(H19,Scoring!$A$4:$N$51,14,FALSE()),"-")</f>
        <v/>
      </c>
      <c r="Q19" s="29">
        <f>IFERROR(VLOOKUP(I19,Scoring!$A$4:$N$51,6,FALSE()),"-")</f>
        <v/>
      </c>
      <c r="R19" s="36">
        <f>IF(A19="","-",SUM(J19:Q19))</f>
        <v/>
      </c>
      <c r="S19">
        <f>IF(A19="","",RANK(R19,$R$4:$R$119))</f>
        <v/>
      </c>
      <c r="T19">
        <f>IF(A19="",-1,R19-ROW(R19)/1000000)</f>
        <v/>
      </c>
      <c r="U19" s="44" t="inlineStr">
        <is>
          <t>Kamran.Mikayilov@carlsberg.az</t>
        </is>
      </c>
      <c r="W19" s="44" t="inlineStr">
        <is>
          <t>p</t>
        </is>
      </c>
    </row>
    <row r="20" ht="12.75" customHeight="1">
      <c r="A20" s="27" t="inlineStr">
        <is>
          <t>Alexey Nikitenko</t>
        </is>
      </c>
      <c r="B20" s="43" t="inlineStr">
        <is>
          <t>France</t>
        </is>
      </c>
      <c r="C20" s="43" t="inlineStr">
        <is>
          <t>Portugal</t>
        </is>
      </c>
      <c r="D20" s="43" t="inlineStr">
        <is>
          <t>Spain</t>
        </is>
      </c>
      <c r="E20" s="43" t="inlineStr">
        <is>
          <t>England</t>
        </is>
      </c>
      <c r="F20" s="43" t="inlineStr">
        <is>
          <t>Iran</t>
        </is>
      </c>
      <c r="G20" s="43" t="inlineStr">
        <is>
          <t>Canada</t>
        </is>
      </c>
      <c r="H20" s="43" t="inlineStr">
        <is>
          <t>Uzbekistan</t>
        </is>
      </c>
      <c r="I20" s="28" t="inlineStr">
        <is>
          <t>Spain</t>
        </is>
      </c>
      <c r="J20" s="28">
        <f>IFERROR(VLOOKUP(B20,Scoring!$A$4:$N$51,14,FALSE())*6,"-")</f>
        <v/>
      </c>
      <c r="K20" s="28">
        <f>IFERROR(VLOOKUP(C20,Scoring!$A$4:$N$51,14,FALSE())*4,"-")</f>
        <v/>
      </c>
      <c r="L20" s="28">
        <f>IFERROR(VLOOKUP(D20,Scoring!$A$4:$N$51,14,FALSE())*3,"-")</f>
        <v/>
      </c>
      <c r="M20" s="28">
        <f>IFERROR(VLOOKUP(E20,Scoring!$A$4:$N$51,14,FALSE())*2,"-")</f>
        <v/>
      </c>
      <c r="N20" s="28">
        <f>IFERROR(VLOOKUP(F20,Scoring!$A$4:$N$51,14,FALSE()),"-")</f>
        <v/>
      </c>
      <c r="O20" s="28">
        <f>IFERROR(VLOOKUP(G20,Scoring!$A$4:$N$51,14,FALSE()),"-")</f>
        <v/>
      </c>
      <c r="P20" s="29">
        <f>IFERROR(VLOOKUP(H20,Scoring!$A$4:$N$51,14,FALSE()),"-")</f>
        <v/>
      </c>
      <c r="Q20" s="29">
        <f>IFERROR(VLOOKUP(I20,Scoring!$A$4:$N$51,6,FALSE()),"-")</f>
        <v/>
      </c>
      <c r="R20" s="36">
        <f>IF(A20="","-",SUM(J20:Q20))</f>
        <v/>
      </c>
      <c r="S20">
        <f>IF(A20="","",RANK(R20,$R$4:$R$119))</f>
        <v/>
      </c>
      <c r="T20">
        <f>IF(A20="",-1,R20-ROW(R20)/1000000)</f>
        <v/>
      </c>
      <c r="U20" s="143" t="inlineStr">
        <is>
          <t>Alexey.Nikitenko@carlsberg.kz</t>
        </is>
      </c>
      <c r="W20" s="44" t="inlineStr">
        <is>
          <t>p</t>
        </is>
      </c>
    </row>
    <row r="21" ht="12.75" customHeight="1">
      <c r="A21" s="27" t="inlineStr">
        <is>
          <t>Edita Oršauskė</t>
        </is>
      </c>
      <c r="B21" s="43" t="inlineStr">
        <is>
          <t>Spain</t>
        </is>
      </c>
      <c r="C21" s="43" t="inlineStr">
        <is>
          <t>Brazil</t>
        </is>
      </c>
      <c r="D21" s="43" t="inlineStr">
        <is>
          <t>France</t>
        </is>
      </c>
      <c r="E21" s="43" t="inlineStr">
        <is>
          <t>Portugal</t>
        </is>
      </c>
      <c r="F21" s="43" t="inlineStr">
        <is>
          <t>Switzerland</t>
        </is>
      </c>
      <c r="G21" s="43" t="inlineStr">
        <is>
          <t>Norway</t>
        </is>
      </c>
      <c r="H21" s="43" t="inlineStr">
        <is>
          <t>Saudi Arabia</t>
        </is>
      </c>
      <c r="I21" s="28" t="inlineStr">
        <is>
          <t>Spain</t>
        </is>
      </c>
      <c r="J21" s="28">
        <f>IFERROR(VLOOKUP(B21,Scoring!$A$4:$N$51,14,FALSE())*6,"-")</f>
        <v/>
      </c>
      <c r="K21" s="28">
        <f>IFERROR(VLOOKUP(C21,Scoring!$A$4:$N$51,14,FALSE())*4,"-")</f>
        <v/>
      </c>
      <c r="L21" s="28">
        <f>IFERROR(VLOOKUP(D21,Scoring!$A$4:$N$51,14,FALSE())*3,"-")</f>
        <v/>
      </c>
      <c r="M21" s="28">
        <f>IFERROR(VLOOKUP(E21,Scoring!$A$4:$N$51,14,FALSE())*2,"-")</f>
        <v/>
      </c>
      <c r="N21" s="28">
        <f>IFERROR(VLOOKUP(F21,Scoring!$A$4:$N$51,14,FALSE()),"-")</f>
        <v/>
      </c>
      <c r="O21" s="28">
        <f>IFERROR(VLOOKUP(G21,Scoring!$A$4:$N$51,14,FALSE()),"-")</f>
        <v/>
      </c>
      <c r="P21" s="29">
        <f>IFERROR(VLOOKUP(H21,Scoring!$A$4:$N$51,14,FALSE()),"-")</f>
        <v/>
      </c>
      <c r="Q21" s="29">
        <f>IFERROR(VLOOKUP(I21,Scoring!$A$4:$N$51,6,FALSE()),"-")</f>
        <v/>
      </c>
      <c r="R21" s="36">
        <f>IF(A21="","-",SUM(J21:Q21))</f>
        <v/>
      </c>
      <c r="S21">
        <f>IF(A21="","",RANK(R21,$R$4:$R$119))</f>
        <v/>
      </c>
      <c r="T21">
        <f>IF(A21="",-1,R21-ROW(R21)/1000000)</f>
        <v/>
      </c>
      <c r="U21" s="143" t="inlineStr">
        <is>
          <t>edita.pakulyte@gmail.com</t>
        </is>
      </c>
      <c r="W21" s="44" t="inlineStr">
        <is>
          <t>p</t>
        </is>
      </c>
    </row>
    <row r="22" ht="12.75" customHeight="1">
      <c r="A22" s="27" t="inlineStr">
        <is>
          <t>Saulius Pipiras</t>
        </is>
      </c>
      <c r="B22" s="43" t="inlineStr">
        <is>
          <t>Spain</t>
        </is>
      </c>
      <c r="C22" s="43" t="inlineStr">
        <is>
          <t>England</t>
        </is>
      </c>
      <c r="D22" s="43" t="inlineStr">
        <is>
          <t>France</t>
        </is>
      </c>
      <c r="E22" s="43" t="inlineStr">
        <is>
          <t>Portugal</t>
        </is>
      </c>
      <c r="F22" s="43" t="inlineStr">
        <is>
          <t>Mexico</t>
        </is>
      </c>
      <c r="G22" s="43" t="inlineStr">
        <is>
          <t>Norway</t>
        </is>
      </c>
      <c r="H22" s="43" t="inlineStr">
        <is>
          <t>Ghana</t>
        </is>
      </c>
      <c r="I22" s="28" t="inlineStr">
        <is>
          <t>Spain</t>
        </is>
      </c>
      <c r="J22" s="28">
        <f>IFERROR(VLOOKUP(B22,Scoring!$A$4:$N$51,14,FALSE())*6,"-")</f>
        <v/>
      </c>
      <c r="K22" s="28">
        <f>IFERROR(VLOOKUP(C22,Scoring!$A$4:$N$51,14,FALSE())*4,"-")</f>
        <v/>
      </c>
      <c r="L22" s="28">
        <f>IFERROR(VLOOKUP(D22,Scoring!$A$4:$N$51,14,FALSE())*3,"-")</f>
        <v/>
      </c>
      <c r="M22" s="28">
        <f>IFERROR(VLOOKUP(E22,Scoring!$A$4:$N$51,14,FALSE())*2,"-")</f>
        <v/>
      </c>
      <c r="N22" s="28">
        <f>IFERROR(VLOOKUP(F22,Scoring!$A$4:$N$51,14,FALSE()),"-")</f>
        <v/>
      </c>
      <c r="O22" s="28">
        <f>IFERROR(VLOOKUP(G22,Scoring!$A$4:$N$51,14,FALSE()),"-")</f>
        <v/>
      </c>
      <c r="P22" s="29">
        <f>IFERROR(VLOOKUP(H22,Scoring!$A$4:$N$51,14,FALSE()),"-")</f>
        <v/>
      </c>
      <c r="Q22" s="29">
        <f>IFERROR(VLOOKUP(I22,Scoring!$A$4:$N$51,6,FALSE()),"-")</f>
        <v/>
      </c>
      <c r="R22" s="36">
        <f>IF(A22="","-",SUM(J22:Q22))</f>
        <v/>
      </c>
      <c r="S22">
        <f>IF(A22="","",RANK(R22,$R$4:$R$119))</f>
        <v/>
      </c>
      <c r="T22">
        <f>IF(A22="",-1,R22-ROW(R22)/1000000)</f>
        <v/>
      </c>
      <c r="U22" s="143" t="inlineStr">
        <is>
          <t>saulys73@gmail.com</t>
        </is>
      </c>
      <c r="W22" s="44" t="inlineStr">
        <is>
          <t>p</t>
        </is>
      </c>
    </row>
    <row r="23" ht="12.75" customHeight="1">
      <c r="A23" s="27" t="inlineStr">
        <is>
          <t>Vytautas Gliaubicas</t>
        </is>
      </c>
      <c r="B23" s="43" t="inlineStr">
        <is>
          <t>Spain</t>
        </is>
      </c>
      <c r="C23" s="43" t="inlineStr">
        <is>
          <t>Portugal</t>
        </is>
      </c>
      <c r="D23" s="43" t="inlineStr">
        <is>
          <t>France</t>
        </is>
      </c>
      <c r="E23" s="43" t="inlineStr">
        <is>
          <t>Argentina</t>
        </is>
      </c>
      <c r="F23" s="43" t="inlineStr">
        <is>
          <t>Colombia</t>
        </is>
      </c>
      <c r="G23" s="43" t="inlineStr">
        <is>
          <t>Norway</t>
        </is>
      </c>
      <c r="H23" s="43" t="inlineStr">
        <is>
          <t>Uzbekistan</t>
        </is>
      </c>
      <c r="I23" s="28" t="inlineStr">
        <is>
          <t>Spain</t>
        </is>
      </c>
      <c r="J23" s="28">
        <f>IFERROR(VLOOKUP(B23,Scoring!$A$4:$N$51,14,FALSE())*6,"-")</f>
        <v/>
      </c>
      <c r="K23" s="28">
        <f>IFERROR(VLOOKUP(C23,Scoring!$A$4:$N$51,14,FALSE())*4,"-")</f>
        <v/>
      </c>
      <c r="L23" s="28">
        <f>IFERROR(VLOOKUP(D23,Scoring!$A$4:$N$51,14,FALSE())*3,"-")</f>
        <v/>
      </c>
      <c r="M23" s="28">
        <f>IFERROR(VLOOKUP(E23,Scoring!$A$4:$N$51,14,FALSE())*2,"-")</f>
        <v/>
      </c>
      <c r="N23" s="28">
        <f>IFERROR(VLOOKUP(F23,Scoring!$A$4:$N$51,14,FALSE()),"-")</f>
        <v/>
      </c>
      <c r="O23" s="28">
        <f>IFERROR(VLOOKUP(G23,Scoring!$A$4:$N$51,14,FALSE()),"-")</f>
        <v/>
      </c>
      <c r="P23" s="29">
        <f>IFERROR(VLOOKUP(H23,Scoring!$A$4:$N$51,14,FALSE()),"-")</f>
        <v/>
      </c>
      <c r="Q23" s="29">
        <f>IFERROR(VLOOKUP(I23,Scoring!$A$4:$N$51,6,FALSE()),"-")</f>
        <v/>
      </c>
      <c r="R23" s="36">
        <f>IF(A23="","-",SUM(J23:Q23))</f>
        <v/>
      </c>
      <c r="S23">
        <f>IF(A23="","",RANK(R23,$R$4:$R$119))</f>
        <v/>
      </c>
      <c r="T23">
        <f>IF(A23="",-1,R23-ROW(R23)/1000000)</f>
        <v/>
      </c>
      <c r="U23" s="143" t="inlineStr">
        <is>
          <t>vytautas.gliaubicas@lineja.com</t>
        </is>
      </c>
      <c r="W23" s="44" t="inlineStr">
        <is>
          <t>p</t>
        </is>
      </c>
    </row>
    <row r="24" ht="12.75" customHeight="1">
      <c r="A24" s="27" t="inlineStr">
        <is>
          <t>Benas Bruzga</t>
        </is>
      </c>
      <c r="B24" s="43" t="inlineStr">
        <is>
          <t>France</t>
        </is>
      </c>
      <c r="C24" s="43" t="inlineStr">
        <is>
          <t>England</t>
        </is>
      </c>
      <c r="D24" s="43" t="inlineStr">
        <is>
          <t>Spain</t>
        </is>
      </c>
      <c r="E24" s="43" t="inlineStr">
        <is>
          <t>Portugal</t>
        </is>
      </c>
      <c r="F24" s="43" t="inlineStr">
        <is>
          <t>Ecuador</t>
        </is>
      </c>
      <c r="G24" s="43" t="inlineStr">
        <is>
          <t>Ivory Coast</t>
        </is>
      </c>
      <c r="H24" s="43" t="inlineStr">
        <is>
          <t>Ghana</t>
        </is>
      </c>
      <c r="I24" s="28" t="inlineStr">
        <is>
          <t>France</t>
        </is>
      </c>
      <c r="J24" s="28">
        <f>IFERROR(VLOOKUP(B24,Scoring!$A$4:$N$51,14,FALSE())*6,"-")</f>
        <v/>
      </c>
      <c r="K24" s="28">
        <f>IFERROR(VLOOKUP(C24,Scoring!$A$4:$N$51,14,FALSE())*4,"-")</f>
        <v/>
      </c>
      <c r="L24" s="28">
        <f>IFERROR(VLOOKUP(D24,Scoring!$A$4:$N$51,14,FALSE())*3,"-")</f>
        <v/>
      </c>
      <c r="M24" s="28">
        <f>IFERROR(VLOOKUP(E24,Scoring!$A$4:$N$51,14,FALSE())*2,"-")</f>
        <v/>
      </c>
      <c r="N24" s="28">
        <f>IFERROR(VLOOKUP(F24,Scoring!$A$4:$N$51,14,FALSE()),"-")</f>
        <v/>
      </c>
      <c r="O24" s="28">
        <f>IFERROR(VLOOKUP(G24,Scoring!$A$4:$N$51,14,FALSE()),"-")</f>
        <v/>
      </c>
      <c r="P24" s="29">
        <f>IFERROR(VLOOKUP(H24,Scoring!$A$4:$N$51,14,FALSE()),"-")</f>
        <v/>
      </c>
      <c r="Q24" s="29">
        <f>IFERROR(VLOOKUP(I24,Scoring!$A$4:$N$51,6,FALSE()),"-")</f>
        <v/>
      </c>
      <c r="R24" s="36">
        <f>IF(A24="","-",SUM(J24:Q24))</f>
        <v/>
      </c>
      <c r="S24">
        <f>IF(A24="","",RANK(R24,$R$4:$R$119))</f>
        <v/>
      </c>
      <c r="T24">
        <f>IF(A24="",-1,R24-ROW(R24)/1000000)</f>
        <v/>
      </c>
      <c r="U24" s="144" t="inlineStr">
        <is>
          <t>benas.bruzg@gmail.com</t>
        </is>
      </c>
      <c r="W24" s="44" t="inlineStr">
        <is>
          <t>p</t>
        </is>
      </c>
    </row>
    <row r="25" ht="12.75" customHeight="1">
      <c r="A25" s="27" t="inlineStr">
        <is>
          <t>Tomas Bruzga</t>
        </is>
      </c>
      <c r="B25" s="43" t="inlineStr">
        <is>
          <t>Germany</t>
        </is>
      </c>
      <c r="C25" s="43" t="inlineStr">
        <is>
          <t>England</t>
        </is>
      </c>
      <c r="D25" s="43" t="inlineStr">
        <is>
          <t>Portugal</t>
        </is>
      </c>
      <c r="E25" s="43" t="inlineStr">
        <is>
          <t>Spain</t>
        </is>
      </c>
      <c r="F25" s="43" t="inlineStr">
        <is>
          <t>United States</t>
        </is>
      </c>
      <c r="G25" s="43" t="inlineStr">
        <is>
          <t>Canada</t>
        </is>
      </c>
      <c r="H25" s="43" t="inlineStr">
        <is>
          <t>Bosnia &amp; Herzegovina</t>
        </is>
      </c>
      <c r="I25" s="28" t="inlineStr">
        <is>
          <t>Germany</t>
        </is>
      </c>
      <c r="J25" s="28">
        <f>IFERROR(VLOOKUP(B25,Scoring!$A$4:$N$51,14,FALSE())*6,"-")</f>
        <v/>
      </c>
      <c r="K25" s="28">
        <f>IFERROR(VLOOKUP(C25,Scoring!$A$4:$N$51,14,FALSE())*4,"-")</f>
        <v/>
      </c>
      <c r="L25" s="28">
        <f>IFERROR(VLOOKUP(D25,Scoring!$A$4:$N$51,14,FALSE())*3,"-")</f>
        <v/>
      </c>
      <c r="M25" s="28">
        <f>IFERROR(VLOOKUP(E25,Scoring!$A$4:$N$51,14,FALSE())*2,"-")</f>
        <v/>
      </c>
      <c r="N25" s="28">
        <f>IFERROR(VLOOKUP(F25,Scoring!$A$4:$N$51,14,FALSE()),"-")</f>
        <v/>
      </c>
      <c r="O25" s="28">
        <f>IFERROR(VLOOKUP(G25,Scoring!$A$4:$N$51,14,FALSE()),"-")</f>
        <v/>
      </c>
      <c r="P25" s="29">
        <f>IFERROR(VLOOKUP(H25,Scoring!$A$4:$N$51,14,FALSE()),"-")</f>
        <v/>
      </c>
      <c r="Q25" s="29">
        <f>IFERROR(VLOOKUP(I25,Scoring!$A$4:$N$51,6,FALSE()),"-")</f>
        <v/>
      </c>
      <c r="R25" s="36">
        <f>IF(A25="","-",SUM(J25:Q25))</f>
        <v/>
      </c>
      <c r="S25">
        <f>IF(A25="","",RANK(R25,$R$4:$R$119))</f>
        <v/>
      </c>
      <c r="T25">
        <f>IF(A25="",-1,R25-ROW(R25)/1000000)</f>
        <v/>
      </c>
      <c r="U25" s="143" t="inlineStr">
        <is>
          <t>Tomas.Bruzga@jdecoffee.com</t>
        </is>
      </c>
      <c r="W25" s="44" t="inlineStr">
        <is>
          <t>p</t>
        </is>
      </c>
    </row>
    <row r="26" ht="12.75" customHeight="1">
      <c r="A26" s="27" t="inlineStr">
        <is>
          <t>Martynas Bruzga</t>
        </is>
      </c>
      <c r="B26" s="43" t="inlineStr">
        <is>
          <t>Spain</t>
        </is>
      </c>
      <c r="C26" s="43" t="inlineStr">
        <is>
          <t>Brazil</t>
        </is>
      </c>
      <c r="D26" s="43" t="inlineStr">
        <is>
          <t>Argentina</t>
        </is>
      </c>
      <c r="E26" s="43" t="inlineStr">
        <is>
          <t>France</t>
        </is>
      </c>
      <c r="F26" s="43" t="inlineStr">
        <is>
          <t>United States</t>
        </is>
      </c>
      <c r="G26" s="43" t="inlineStr">
        <is>
          <t>Canada</t>
        </is>
      </c>
      <c r="H26" s="43" t="inlineStr">
        <is>
          <t>South Africa</t>
        </is>
      </c>
      <c r="I26" s="28" t="inlineStr">
        <is>
          <t>Spain</t>
        </is>
      </c>
      <c r="J26" s="28">
        <f>IFERROR(VLOOKUP(B26,Scoring!$A$4:$N$51,14,FALSE())*6,"-")</f>
        <v/>
      </c>
      <c r="K26" s="28">
        <f>IFERROR(VLOOKUP(C26,Scoring!$A$4:$N$51,14,FALSE())*4,"-")</f>
        <v/>
      </c>
      <c r="L26" s="28">
        <f>IFERROR(VLOOKUP(D26,Scoring!$A$4:$N$51,14,FALSE())*3,"-")</f>
        <v/>
      </c>
      <c r="M26" s="28">
        <f>IFERROR(VLOOKUP(E26,Scoring!$A$4:$N$51,14,FALSE())*2,"-")</f>
        <v/>
      </c>
      <c r="N26" s="28">
        <f>IFERROR(VLOOKUP(F26,Scoring!$A$4:$N$51,14,FALSE()),"-")</f>
        <v/>
      </c>
      <c r="O26" s="28">
        <f>IFERROR(VLOOKUP(G26,Scoring!$A$4:$N$51,14,FALSE()),"-")</f>
        <v/>
      </c>
      <c r="P26" s="29">
        <f>IFERROR(VLOOKUP(H26,Scoring!$A$4:$N$51,14,FALSE()),"-")</f>
        <v/>
      </c>
      <c r="Q26" s="29">
        <f>IFERROR(VLOOKUP(I26,Scoring!$A$4:$N$51,6,FALSE()),"-")</f>
        <v/>
      </c>
      <c r="R26" s="36">
        <f>IF(A26="","-",SUM(J26:Q26))</f>
        <v/>
      </c>
      <c r="S26">
        <f>IF(A26="","",RANK(R26,$R$4:$R$119))</f>
        <v/>
      </c>
      <c r="T26">
        <f>IF(A26="",-1,R26-ROW(R26)/1000000)</f>
        <v/>
      </c>
      <c r="U26" s="143" t="inlineStr">
        <is>
          <t>Tomas.Bruzga@jdecoffee.com</t>
        </is>
      </c>
      <c r="W26" s="44" t="inlineStr">
        <is>
          <t>p</t>
        </is>
      </c>
    </row>
    <row r="27" ht="12.75" customHeight="1">
      <c r="A27" s="27" t="inlineStr">
        <is>
          <t>Gedas Girdžiūnas</t>
        </is>
      </c>
      <c r="B27" s="43" t="inlineStr">
        <is>
          <t>France</t>
        </is>
      </c>
      <c r="C27" s="43" t="inlineStr">
        <is>
          <t>England</t>
        </is>
      </c>
      <c r="D27" s="43" t="inlineStr">
        <is>
          <t>Brazil</t>
        </is>
      </c>
      <c r="E27" s="43" t="inlineStr">
        <is>
          <t>Spain</t>
        </is>
      </c>
      <c r="F27" s="43" t="inlineStr">
        <is>
          <t>Japan</t>
        </is>
      </c>
      <c r="G27" s="43" t="inlineStr">
        <is>
          <t>Norway</t>
        </is>
      </c>
      <c r="H27" s="43" t="inlineStr">
        <is>
          <t>Uzbekistan</t>
        </is>
      </c>
      <c r="I27" s="28" t="inlineStr">
        <is>
          <t>France</t>
        </is>
      </c>
      <c r="J27" s="28">
        <f>IFERROR(VLOOKUP(B27,Scoring!$A$4:$N$51,14,FALSE())*6,"-")</f>
        <v/>
      </c>
      <c r="K27" s="28">
        <f>IFERROR(VLOOKUP(C27,Scoring!$A$4:$N$51,14,FALSE())*4,"-")</f>
        <v/>
      </c>
      <c r="L27" s="28">
        <f>IFERROR(VLOOKUP(D27,Scoring!$A$4:$N$51,14,FALSE())*3,"-")</f>
        <v/>
      </c>
      <c r="M27" s="28">
        <f>IFERROR(VLOOKUP(E27,Scoring!$A$4:$N$51,14,FALSE())*2,"-")</f>
        <v/>
      </c>
      <c r="N27" s="28">
        <f>IFERROR(VLOOKUP(F27,Scoring!$A$4:$N$51,14,FALSE()),"-")</f>
        <v/>
      </c>
      <c r="O27" s="28">
        <f>IFERROR(VLOOKUP(G27,Scoring!$A$4:$N$51,14,FALSE()),"-")</f>
        <v/>
      </c>
      <c r="P27" s="29">
        <f>IFERROR(VLOOKUP(H27,Scoring!$A$4:$N$51,14,FALSE()),"-")</f>
        <v/>
      </c>
      <c r="Q27" s="29">
        <f>IFERROR(VLOOKUP(I27,Scoring!$A$4:$N$51,6,FALSE()),"-")</f>
        <v/>
      </c>
      <c r="R27" s="36">
        <f>IF(A27="","-",SUM(J27:Q27))</f>
        <v/>
      </c>
      <c r="S27">
        <f>IF(A27="","",RANK(R27,$R$4:$R$119))</f>
        <v/>
      </c>
      <c r="T27">
        <f>IF(A27="",-1,R27-ROW(R27)/1000000)</f>
        <v/>
      </c>
      <c r="U27" s="44" t="inlineStr">
        <is>
          <t>gedas@arkus.lt</t>
        </is>
      </c>
      <c r="W27" s="44" t="inlineStr">
        <is>
          <t>P</t>
        </is>
      </c>
    </row>
    <row r="28" ht="12.75" customHeight="1">
      <c r="A28" s="27" t="inlineStr">
        <is>
          <t xml:space="preserve">Paulius Bernotas </t>
        </is>
      </c>
      <c r="B28" s="43" t="inlineStr">
        <is>
          <t>Spain</t>
        </is>
      </c>
      <c r="C28" s="43" t="inlineStr">
        <is>
          <t>France</t>
        </is>
      </c>
      <c r="D28" s="43" t="inlineStr">
        <is>
          <t>England</t>
        </is>
      </c>
      <c r="E28" s="43" t="inlineStr">
        <is>
          <t>Argentina</t>
        </is>
      </c>
      <c r="F28" s="43" t="inlineStr">
        <is>
          <t>Mexico</t>
        </is>
      </c>
      <c r="G28" s="43" t="inlineStr">
        <is>
          <t>Norway</t>
        </is>
      </c>
      <c r="H28" s="43" t="inlineStr">
        <is>
          <t>Ghana</t>
        </is>
      </c>
      <c r="I28" s="28" t="inlineStr">
        <is>
          <t>Spain</t>
        </is>
      </c>
      <c r="J28" s="28">
        <f>IFERROR(VLOOKUP(B28,Scoring!$A$4:$N$51,14,FALSE())*6,"-")</f>
        <v/>
      </c>
      <c r="K28" s="28">
        <f>IFERROR(VLOOKUP(C28,Scoring!$A$4:$N$51,14,FALSE())*4,"-")</f>
        <v/>
      </c>
      <c r="L28" s="28">
        <f>IFERROR(VLOOKUP(D28,Scoring!$A$4:$N$51,14,FALSE())*3,"-")</f>
        <v/>
      </c>
      <c r="M28" s="28">
        <f>IFERROR(VLOOKUP(E28,Scoring!$A$4:$N$51,14,FALSE())*2,"-")</f>
        <v/>
      </c>
      <c r="N28" s="28">
        <f>IFERROR(VLOOKUP(F28,Scoring!$A$4:$N$51,14,FALSE()),"-")</f>
        <v/>
      </c>
      <c r="O28" s="28">
        <f>IFERROR(VLOOKUP(G28,Scoring!$A$4:$N$51,14,FALSE()),"-")</f>
        <v/>
      </c>
      <c r="P28" s="29">
        <f>IFERROR(VLOOKUP(H28,Scoring!$A$4:$N$51,14,FALSE()),"-")</f>
        <v/>
      </c>
      <c r="Q28" s="29">
        <f>IFERROR(VLOOKUP(I28,Scoring!$A$4:$N$51,6,FALSE()),"-")</f>
        <v/>
      </c>
      <c r="R28" s="36">
        <f>IF(A28="","-",SUM(J28:Q28))</f>
        <v/>
      </c>
      <c r="S28">
        <f>IF(A28="","",RANK(R28,$R$4:$R$119))</f>
        <v/>
      </c>
      <c r="T28">
        <f>IF(A28="",-1,R28-ROW(R28)/1000000)</f>
        <v/>
      </c>
      <c r="U28" s="44" t="inlineStr">
        <is>
          <t>bernotas9@yahoo.com</t>
        </is>
      </c>
      <c r="W28" s="44" t="inlineStr">
        <is>
          <t>P</t>
        </is>
      </c>
    </row>
    <row r="29" ht="12.75" customHeight="1">
      <c r="A29" s="27" t="inlineStr">
        <is>
          <t>Egidijus Mačiukas</t>
        </is>
      </c>
      <c r="B29" s="43" t="inlineStr">
        <is>
          <t>Netherlands</t>
        </is>
      </c>
      <c r="C29" s="43" t="inlineStr">
        <is>
          <t>Portugal</t>
        </is>
      </c>
      <c r="D29" s="43" t="inlineStr">
        <is>
          <t>France</t>
        </is>
      </c>
      <c r="E29" s="43" t="inlineStr">
        <is>
          <t>Spain</t>
        </is>
      </c>
      <c r="F29" s="43" t="inlineStr">
        <is>
          <t>Japan</t>
        </is>
      </c>
      <c r="G29" s="43" t="inlineStr">
        <is>
          <t>Czechia</t>
        </is>
      </c>
      <c r="H29" s="43" t="inlineStr">
        <is>
          <t>Ghana</t>
        </is>
      </c>
      <c r="I29" s="28" t="inlineStr">
        <is>
          <t>Netherlands</t>
        </is>
      </c>
      <c r="J29" s="28">
        <f>IFERROR(VLOOKUP(B29,Scoring!$A$4:$N$51,14,FALSE())*6,"-")</f>
        <v/>
      </c>
      <c r="K29" s="28">
        <f>IFERROR(VLOOKUP(C29,Scoring!$A$4:$N$51,14,FALSE())*4,"-")</f>
        <v/>
      </c>
      <c r="L29" s="28">
        <f>IFERROR(VLOOKUP(D29,Scoring!$A$4:$N$51,14,FALSE())*3,"-")</f>
        <v/>
      </c>
      <c r="M29" s="28">
        <f>IFERROR(VLOOKUP(E29,Scoring!$A$4:$N$51,14,FALSE())*2,"-")</f>
        <v/>
      </c>
      <c r="N29" s="28">
        <f>IFERROR(VLOOKUP(F29,Scoring!$A$4:$N$51,14,FALSE()),"-")</f>
        <v/>
      </c>
      <c r="O29" s="28">
        <f>IFERROR(VLOOKUP(G29,Scoring!$A$4:$N$51,14,FALSE()),"-")</f>
        <v/>
      </c>
      <c r="P29" s="29">
        <f>IFERROR(VLOOKUP(H29,Scoring!$A$4:$N$51,14,FALSE()),"-")</f>
        <v/>
      </c>
      <c r="Q29" s="29">
        <f>IFERROR(VLOOKUP(I29,Scoring!$A$4:$N$51,6,FALSE()),"-")</f>
        <v/>
      </c>
      <c r="R29" s="36">
        <f>IF(A29="","-",SUM(J29:Q29))</f>
        <v/>
      </c>
      <c r="S29">
        <f>IF(A29="","",RANK(R29,$R$4:$R$119))</f>
        <v/>
      </c>
      <c r="T29">
        <f>IF(A29="",-1,R29-ROW(R29)/1000000)</f>
        <v/>
      </c>
      <c r="U29" s="44" t="inlineStr">
        <is>
          <t>e.maciukas@gmail.com</t>
        </is>
      </c>
      <c r="W29" s="44" t="inlineStr">
        <is>
          <t>p</t>
        </is>
      </c>
    </row>
    <row r="30" ht="12.75" customHeight="1">
      <c r="A30" s="27" t="inlineStr">
        <is>
          <t>Algirdas Čižauskas</t>
        </is>
      </c>
      <c r="B30" s="43" t="inlineStr">
        <is>
          <t>Brazil</t>
        </is>
      </c>
      <c r="C30" s="43" t="inlineStr">
        <is>
          <t>Spain</t>
        </is>
      </c>
      <c r="D30" s="43" t="inlineStr">
        <is>
          <t>Germany</t>
        </is>
      </c>
      <c r="E30" s="43" t="inlineStr">
        <is>
          <t>England</t>
        </is>
      </c>
      <c r="F30" s="43" t="inlineStr">
        <is>
          <t>Switzerland</t>
        </is>
      </c>
      <c r="G30" s="43" t="inlineStr">
        <is>
          <t>Norway</t>
        </is>
      </c>
      <c r="H30" s="43" t="inlineStr">
        <is>
          <t>South Africa</t>
        </is>
      </c>
      <c r="I30" s="28" t="inlineStr">
        <is>
          <t>Brazil</t>
        </is>
      </c>
      <c r="J30" s="28">
        <f>IFERROR(VLOOKUP(B30,Scoring!$A$4:$N$51,14,FALSE())*6,"-")</f>
        <v/>
      </c>
      <c r="K30" s="28">
        <f>IFERROR(VLOOKUP(C30,Scoring!$A$4:$N$51,14,FALSE())*4,"-")</f>
        <v/>
      </c>
      <c r="L30" s="28">
        <f>IFERROR(VLOOKUP(D30,Scoring!$A$4:$N$51,14,FALSE())*3,"-")</f>
        <v/>
      </c>
      <c r="M30" s="28">
        <f>IFERROR(VLOOKUP(E30,Scoring!$A$4:$N$51,14,FALSE())*2,"-")</f>
        <v/>
      </c>
      <c r="N30" s="28">
        <f>IFERROR(VLOOKUP(F30,Scoring!$A$4:$N$51,14,FALSE()),"-")</f>
        <v/>
      </c>
      <c r="O30" s="28">
        <f>IFERROR(VLOOKUP(G30,Scoring!$A$4:$N$51,14,FALSE()),"-")</f>
        <v/>
      </c>
      <c r="P30" s="29">
        <f>IFERROR(VLOOKUP(H30,Scoring!$A$4:$N$51,14,FALSE()),"-")</f>
        <v/>
      </c>
      <c r="Q30" s="29">
        <f>IFERROR(VLOOKUP(I30,Scoring!$A$4:$N$51,6,FALSE()),"-")</f>
        <v/>
      </c>
      <c r="R30" s="36">
        <f>IF(A30="","-",SUM(J30:Q30))</f>
        <v/>
      </c>
      <c r="S30">
        <f>IF(A30="","",RANK(R30,$R$4:$R$119))</f>
        <v/>
      </c>
      <c r="T30">
        <f>IF(A30="",-1,R30-ROW(R30)/1000000)</f>
        <v/>
      </c>
      <c r="U30" s="44" t="inlineStr">
        <is>
          <t>algirdasvytautas@gmail.com</t>
        </is>
      </c>
      <c r="W30" s="44" t="inlineStr">
        <is>
          <t>p</t>
        </is>
      </c>
    </row>
    <row r="31" ht="12.75" customHeight="1">
      <c r="A31" s="27" t="inlineStr">
        <is>
          <t>Virginija Čižauskienė</t>
        </is>
      </c>
      <c r="B31" s="43" t="inlineStr">
        <is>
          <t>France</t>
        </is>
      </c>
      <c r="C31" s="43" t="inlineStr">
        <is>
          <t>Portugal</t>
        </is>
      </c>
      <c r="D31" s="43" t="inlineStr">
        <is>
          <t>Argentina</t>
        </is>
      </c>
      <c r="E31" s="43" t="inlineStr">
        <is>
          <t>Netherlands</t>
        </is>
      </c>
      <c r="F31" s="43" t="inlineStr">
        <is>
          <t>Mexico</t>
        </is>
      </c>
      <c r="G31" s="43" t="inlineStr">
        <is>
          <t>Scotland</t>
        </is>
      </c>
      <c r="H31" s="43" t="inlineStr">
        <is>
          <t>Bosnia &amp; Herzegovina</t>
        </is>
      </c>
      <c r="I31" s="28" t="inlineStr">
        <is>
          <t>Portugal</t>
        </is>
      </c>
      <c r="J31" s="28">
        <f>IFERROR(VLOOKUP(B31,Scoring!$A$4:$N$51,14,FALSE())*6,"-")</f>
        <v/>
      </c>
      <c r="K31" s="28">
        <f>IFERROR(VLOOKUP(C31,Scoring!$A$4:$N$51,14,FALSE())*4,"-")</f>
        <v/>
      </c>
      <c r="L31" s="28">
        <f>IFERROR(VLOOKUP(D31,Scoring!$A$4:$N$51,14,FALSE())*3,"-")</f>
        <v/>
      </c>
      <c r="M31" s="28">
        <f>IFERROR(VLOOKUP(E31,Scoring!$A$4:$N$51,14,FALSE())*2,"-")</f>
        <v/>
      </c>
      <c r="N31" s="28">
        <f>IFERROR(VLOOKUP(F31,Scoring!$A$4:$N$51,14,FALSE()),"-")</f>
        <v/>
      </c>
      <c r="O31" s="28">
        <f>IFERROR(VLOOKUP(G31,Scoring!$A$4:$N$51,14,FALSE()),"-")</f>
        <v/>
      </c>
      <c r="P31" s="29">
        <f>IFERROR(VLOOKUP(H31,Scoring!$A$4:$N$51,14,FALSE()),"-")</f>
        <v/>
      </c>
      <c r="Q31" s="29">
        <f>IFERROR(VLOOKUP(I31,Scoring!$A$4:$N$51,6,FALSE()),"-")</f>
        <v/>
      </c>
      <c r="R31" s="36">
        <f>IF(A31="","-",SUM(J31:Q31))</f>
        <v/>
      </c>
      <c r="S31">
        <f>IF(A31="","",RANK(R31,$R$4:$R$119))</f>
        <v/>
      </c>
      <c r="T31">
        <f>IF(A31="",-1,R31-ROW(R31)/1000000)</f>
        <v/>
      </c>
      <c r="U31" s="44" t="inlineStr">
        <is>
          <t>cvirgin@gmail.com</t>
        </is>
      </c>
      <c r="W31" s="44" t="inlineStr">
        <is>
          <t>p</t>
        </is>
      </c>
    </row>
    <row r="32" ht="12.75" customHeight="1">
      <c r="A32" s="27" t="inlineStr">
        <is>
          <t>Giedrius Šadbaras</t>
        </is>
      </c>
      <c r="B32" s="43" t="inlineStr">
        <is>
          <t>Spain</t>
        </is>
      </c>
      <c r="C32" s="43" t="inlineStr">
        <is>
          <t>Argentina</t>
        </is>
      </c>
      <c r="D32" s="43" t="inlineStr">
        <is>
          <t>England</t>
        </is>
      </c>
      <c r="E32" s="43" t="inlineStr">
        <is>
          <t>France</t>
        </is>
      </c>
      <c r="F32" s="43" t="inlineStr">
        <is>
          <t>Switzerland</t>
        </is>
      </c>
      <c r="G32" s="43" t="inlineStr">
        <is>
          <t>Czechia</t>
        </is>
      </c>
      <c r="H32" s="43" t="inlineStr">
        <is>
          <t>Ghana</t>
        </is>
      </c>
      <c r="I32" s="28" t="inlineStr">
        <is>
          <t>Spain</t>
        </is>
      </c>
      <c r="J32" s="28">
        <f>IFERROR(VLOOKUP(B32,Scoring!$A$4:$N$51,14,FALSE())*6,"-")</f>
        <v/>
      </c>
      <c r="K32" s="28">
        <f>IFERROR(VLOOKUP(C32,Scoring!$A$4:$N$51,14,FALSE())*4,"-")</f>
        <v/>
      </c>
      <c r="L32" s="28">
        <f>IFERROR(VLOOKUP(D32,Scoring!$A$4:$N$51,14,FALSE())*3,"-")</f>
        <v/>
      </c>
      <c r="M32" s="28">
        <f>IFERROR(VLOOKUP(E32,Scoring!$A$4:$N$51,14,FALSE())*2,"-")</f>
        <v/>
      </c>
      <c r="N32" s="28">
        <f>IFERROR(VLOOKUP(F32,Scoring!$A$4:$N$51,14,FALSE()),"-")</f>
        <v/>
      </c>
      <c r="O32" s="28">
        <f>IFERROR(VLOOKUP(G32,Scoring!$A$4:$N$51,14,FALSE()),"-")</f>
        <v/>
      </c>
      <c r="P32" s="29">
        <f>IFERROR(VLOOKUP(H32,Scoring!$A$4:$N$51,14,FALSE()),"-")</f>
        <v/>
      </c>
      <c r="Q32" s="29">
        <f>IFERROR(VLOOKUP(I32,Scoring!$A$4:$N$51,6,FALSE()),"-")</f>
        <v/>
      </c>
      <c r="R32" s="36">
        <f>IF(A32="","-",SUM(J32:Q32))</f>
        <v/>
      </c>
      <c r="S32">
        <f>IF(A32="","",RANK(R32,$R$4:$R$119))</f>
        <v/>
      </c>
      <c r="T32">
        <f>IF(A32="",-1,R32-ROW(R32)/1000000)</f>
        <v/>
      </c>
      <c r="U32" s="44" t="inlineStr">
        <is>
          <t>giedrius.sadbaras@gmail.com</t>
        </is>
      </c>
      <c r="W32" s="44" t="inlineStr">
        <is>
          <t>P</t>
        </is>
      </c>
    </row>
    <row r="33" ht="12.75" customHeight="1">
      <c r="A33" s="27" t="inlineStr">
        <is>
          <t>Eugenijus Petrošius</t>
        </is>
      </c>
      <c r="B33" s="43" t="inlineStr">
        <is>
          <t>Portugal</t>
        </is>
      </c>
      <c r="C33" s="43" t="inlineStr">
        <is>
          <t>Germany</t>
        </is>
      </c>
      <c r="D33" s="43" t="inlineStr">
        <is>
          <t>Brazil</t>
        </is>
      </c>
      <c r="E33" s="43" t="inlineStr">
        <is>
          <t>Spain</t>
        </is>
      </c>
      <c r="F33" s="43" t="inlineStr">
        <is>
          <t>Mexico</t>
        </is>
      </c>
      <c r="G33" s="43" t="inlineStr">
        <is>
          <t>Australia</t>
        </is>
      </c>
      <c r="H33" s="43" t="inlineStr">
        <is>
          <t>DR Congo</t>
        </is>
      </c>
      <c r="I33" s="28" t="inlineStr">
        <is>
          <t>Germany</t>
        </is>
      </c>
      <c r="J33" s="28">
        <f>IFERROR(VLOOKUP(B33,Scoring!$A$4:$N$51,14,FALSE())*6,"-")</f>
        <v/>
      </c>
      <c r="K33" s="28">
        <f>IFERROR(VLOOKUP(C33,Scoring!$A$4:$N$51,14,FALSE())*4,"-")</f>
        <v/>
      </c>
      <c r="L33" s="28">
        <f>IFERROR(VLOOKUP(D33,Scoring!$A$4:$N$51,14,FALSE())*3,"-")</f>
        <v/>
      </c>
      <c r="M33" s="28">
        <f>IFERROR(VLOOKUP(E33,Scoring!$A$4:$N$51,14,FALSE())*2,"-")</f>
        <v/>
      </c>
      <c r="N33" s="28">
        <f>IFERROR(VLOOKUP(F33,Scoring!$A$4:$N$51,14,FALSE()),"-")</f>
        <v/>
      </c>
      <c r="O33" s="28">
        <f>IFERROR(VLOOKUP(G33,Scoring!$A$4:$N$51,14,FALSE()),"-")</f>
        <v/>
      </c>
      <c r="P33" s="29">
        <f>IFERROR(VLOOKUP(H33,Scoring!$A$4:$N$51,14,FALSE()),"-")</f>
        <v/>
      </c>
      <c r="Q33" s="29">
        <f>IFERROR(VLOOKUP(I33,Scoring!$A$4:$N$51,6,FALSE()),"-")</f>
        <v/>
      </c>
      <c r="R33" s="36">
        <f>IF(A33="","-",SUM(J33:Q33))</f>
        <v/>
      </c>
      <c r="S33">
        <f>IF(A33="","",RANK(R33,$R$4:$R$119))</f>
        <v/>
      </c>
      <c r="T33">
        <f>IF(A33="",-1,R33-ROW(R33)/1000000)</f>
        <v/>
      </c>
      <c r="U33" s="143" t="inlineStr">
        <is>
          <t>eugenijus.petrosius@gmail.com</t>
        </is>
      </c>
      <c r="W33" s="44" t="inlineStr">
        <is>
          <t>p</t>
        </is>
      </c>
    </row>
    <row r="34" ht="12.75" customHeight="1">
      <c r="A34" s="27" t="inlineStr">
        <is>
          <t>Dainius Breivė</t>
        </is>
      </c>
      <c r="B34" s="43" t="inlineStr">
        <is>
          <t>Spain</t>
        </is>
      </c>
      <c r="C34" s="43" t="inlineStr">
        <is>
          <t>Brazil</t>
        </is>
      </c>
      <c r="D34" s="43" t="inlineStr">
        <is>
          <t>France</t>
        </is>
      </c>
      <c r="E34" s="43" t="inlineStr">
        <is>
          <t>Argentina</t>
        </is>
      </c>
      <c r="F34" s="43" t="inlineStr">
        <is>
          <t>Switzerland</t>
        </is>
      </c>
      <c r="G34" s="43" t="inlineStr">
        <is>
          <t>Norway</t>
        </is>
      </c>
      <c r="H34" s="43" t="inlineStr">
        <is>
          <t>Ghana</t>
        </is>
      </c>
      <c r="I34" s="28" t="inlineStr">
        <is>
          <t>Spain</t>
        </is>
      </c>
      <c r="J34" s="28">
        <f>IFERROR(VLOOKUP(B34,Scoring!$A$4:$N$51,14,FALSE())*6,"-")</f>
        <v/>
      </c>
      <c r="K34" s="28">
        <f>IFERROR(VLOOKUP(C34,Scoring!$A$4:$N$51,14,FALSE())*4,"-")</f>
        <v/>
      </c>
      <c r="L34" s="28">
        <f>IFERROR(VLOOKUP(D34,Scoring!$A$4:$N$51,14,FALSE())*3,"-")</f>
        <v/>
      </c>
      <c r="M34" s="28">
        <f>IFERROR(VLOOKUP(E34,Scoring!$A$4:$N$51,14,FALSE())*2,"-")</f>
        <v/>
      </c>
      <c r="N34" s="28">
        <f>IFERROR(VLOOKUP(F34,Scoring!$A$4:$N$51,14,FALSE()),"-")</f>
        <v/>
      </c>
      <c r="O34" s="28">
        <f>IFERROR(VLOOKUP(G34,Scoring!$A$4:$N$51,14,FALSE()),"-")</f>
        <v/>
      </c>
      <c r="P34" s="29">
        <f>IFERROR(VLOOKUP(H34,Scoring!$A$4:$N$51,14,FALSE()),"-")</f>
        <v/>
      </c>
      <c r="Q34" s="29">
        <f>IFERROR(VLOOKUP(I34,Scoring!$A$4:$N$51,6,FALSE()),"-")</f>
        <v/>
      </c>
      <c r="R34" s="36">
        <f>IF(A34="","-",SUM(J34:Q34))</f>
        <v/>
      </c>
      <c r="S34">
        <f>IF(A34="","",RANK(R34,$R$4:$R$119))</f>
        <v/>
      </c>
      <c r="T34">
        <f>IF(A34="",-1,R34-ROW(R34)/1000000)</f>
        <v/>
      </c>
      <c r="U34" s="143" t="inlineStr">
        <is>
          <t>juozuks@gmail.com</t>
        </is>
      </c>
      <c r="W34" s="44" t="inlineStr">
        <is>
          <t>p</t>
        </is>
      </c>
    </row>
    <row r="35" ht="12.75" customHeight="1">
      <c r="A35" s="27" t="inlineStr">
        <is>
          <t>Juozas Žimkus Jr</t>
        </is>
      </c>
      <c r="B35" s="43" t="inlineStr">
        <is>
          <t>Spain</t>
        </is>
      </c>
      <c r="C35" s="43" t="inlineStr">
        <is>
          <t>Argentina</t>
        </is>
      </c>
      <c r="D35" s="43" t="inlineStr">
        <is>
          <t>Germany</t>
        </is>
      </c>
      <c r="E35" s="43" t="inlineStr">
        <is>
          <t>Brazil</t>
        </is>
      </c>
      <c r="F35" s="43" t="inlineStr">
        <is>
          <t>Switzerland</t>
        </is>
      </c>
      <c r="G35" s="43" t="inlineStr">
        <is>
          <t>Norway</t>
        </is>
      </c>
      <c r="H35" s="43" t="inlineStr">
        <is>
          <t>DR Congo</t>
        </is>
      </c>
      <c r="I35" s="28" t="inlineStr">
        <is>
          <t>Spain</t>
        </is>
      </c>
      <c r="J35" s="28">
        <f>IFERROR(VLOOKUP(B35,Scoring!$A$4:$N$51,14,FALSE())*6,"-")</f>
        <v/>
      </c>
      <c r="K35" s="28">
        <f>IFERROR(VLOOKUP(C35,Scoring!$A$4:$N$51,14,FALSE())*4,"-")</f>
        <v/>
      </c>
      <c r="L35" s="28">
        <f>IFERROR(VLOOKUP(D35,Scoring!$A$4:$N$51,14,FALSE())*3,"-")</f>
        <v/>
      </c>
      <c r="M35" s="28">
        <f>IFERROR(VLOOKUP(E35,Scoring!$A$4:$N$51,14,FALSE())*2,"-")</f>
        <v/>
      </c>
      <c r="N35" s="28">
        <f>IFERROR(VLOOKUP(F35,Scoring!$A$4:$N$51,14,FALSE()),"-")</f>
        <v/>
      </c>
      <c r="O35" s="28">
        <f>IFERROR(VLOOKUP(G35,Scoring!$A$4:$N$51,14,FALSE()),"-")</f>
        <v/>
      </c>
      <c r="P35" s="29">
        <f>IFERROR(VLOOKUP(H35,Scoring!$A$4:$N$51,14,FALSE()),"-")</f>
        <v/>
      </c>
      <c r="Q35" s="29">
        <f>IFERROR(VLOOKUP(I35,Scoring!$A$4:$N$51,6,FALSE()),"-")</f>
        <v/>
      </c>
      <c r="R35" s="36">
        <f>IF(A35="","-",SUM(J35:Q35))</f>
        <v/>
      </c>
      <c r="S35">
        <f>IF(A35="","",RANK(R35,$R$4:$R$119))</f>
        <v/>
      </c>
      <c r="T35">
        <f>IF(A35="",-1,R35-ROW(R35)/1000000)</f>
        <v/>
      </c>
      <c r="U35" s="143" t="inlineStr">
        <is>
          <t>juozuks@gmail.com</t>
        </is>
      </c>
      <c r="W35" s="44" t="inlineStr">
        <is>
          <t>p</t>
        </is>
      </c>
    </row>
    <row r="36" ht="12.75" customHeight="1">
      <c r="A36" s="27" t="inlineStr">
        <is>
          <t>Lukas Danielevičius</t>
        </is>
      </c>
      <c r="B36" s="43" t="inlineStr">
        <is>
          <t>France</t>
        </is>
      </c>
      <c r="C36" s="43" t="inlineStr">
        <is>
          <t>Germany</t>
        </is>
      </c>
      <c r="D36" s="43" t="inlineStr">
        <is>
          <t>England</t>
        </is>
      </c>
      <c r="E36" s="43" t="inlineStr">
        <is>
          <t>Uruguay</t>
        </is>
      </c>
      <c r="F36" s="43" t="inlineStr">
        <is>
          <t>Japan</t>
        </is>
      </c>
      <c r="G36" s="43" t="inlineStr">
        <is>
          <t>Norway</t>
        </is>
      </c>
      <c r="H36" s="43" t="inlineStr">
        <is>
          <t>Saudi Arabia</t>
        </is>
      </c>
      <c r="I36" s="28" t="inlineStr">
        <is>
          <t>Germany</t>
        </is>
      </c>
      <c r="J36" s="28">
        <f>IFERROR(VLOOKUP(B36,Scoring!$A$4:$N$51,14,FALSE())*6,"-")</f>
        <v/>
      </c>
      <c r="K36" s="28">
        <f>IFERROR(VLOOKUP(C36,Scoring!$A$4:$N$51,14,FALSE())*4,"-")</f>
        <v/>
      </c>
      <c r="L36" s="28">
        <f>IFERROR(VLOOKUP(D36,Scoring!$A$4:$N$51,14,FALSE())*3,"-")</f>
        <v/>
      </c>
      <c r="M36" s="28">
        <f>IFERROR(VLOOKUP(E36,Scoring!$A$4:$N$51,14,FALSE())*2,"-")</f>
        <v/>
      </c>
      <c r="N36" s="28">
        <f>IFERROR(VLOOKUP(F36,Scoring!$A$4:$N$51,14,FALSE()),"-")</f>
        <v/>
      </c>
      <c r="O36" s="28">
        <f>IFERROR(VLOOKUP(G36,Scoring!$A$4:$N$51,14,FALSE()),"-")</f>
        <v/>
      </c>
      <c r="P36" s="29">
        <f>IFERROR(VLOOKUP(H36,Scoring!$A$4:$N$51,14,FALSE()),"-")</f>
        <v/>
      </c>
      <c r="Q36" s="29">
        <f>IFERROR(VLOOKUP(I36,Scoring!$A$4:$N$51,6,FALSE()),"-")</f>
        <v/>
      </c>
      <c r="R36" s="36">
        <f>IF(A36="","-",SUM(J36:Q36))</f>
        <v/>
      </c>
      <c r="S36">
        <f>IF(A36="","",RANK(R36,$R$4:$R$119))</f>
        <v/>
      </c>
      <c r="T36">
        <f>IF(A36="",-1,R36-ROW(R36)/1000000)</f>
        <v/>
      </c>
      <c r="U36" s="143" t="inlineStr">
        <is>
          <t>lukas.danielevicius@gmail.com</t>
        </is>
      </c>
      <c r="W36" s="44" t="inlineStr">
        <is>
          <t>p</t>
        </is>
      </c>
    </row>
    <row r="37" ht="12.75" customHeight="1">
      <c r="A37" s="27" t="inlineStr">
        <is>
          <t>Simas Baubonis</t>
        </is>
      </c>
      <c r="B37" s="43" t="inlineStr">
        <is>
          <t>Brazil</t>
        </is>
      </c>
      <c r="C37" s="43" t="inlineStr">
        <is>
          <t>France</t>
        </is>
      </c>
      <c r="D37" s="43" t="inlineStr">
        <is>
          <t>Spain</t>
        </is>
      </c>
      <c r="E37" s="43" t="inlineStr">
        <is>
          <t>Argentina</t>
        </is>
      </c>
      <c r="F37" s="43" t="inlineStr">
        <is>
          <t>Mexico</t>
        </is>
      </c>
      <c r="G37" s="43" t="inlineStr">
        <is>
          <t>Norway</t>
        </is>
      </c>
      <c r="H37" s="43" t="inlineStr">
        <is>
          <t>Ghana</t>
        </is>
      </c>
      <c r="I37" s="28" t="inlineStr">
        <is>
          <t>Brazil</t>
        </is>
      </c>
      <c r="J37" s="28">
        <f>IFERROR(VLOOKUP(B37,Scoring!$A$4:$N$51,14,FALSE())*6,"-")</f>
        <v/>
      </c>
      <c r="K37" s="28">
        <f>IFERROR(VLOOKUP(C37,Scoring!$A$4:$N$51,14,FALSE())*4,"-")</f>
        <v/>
      </c>
      <c r="L37" s="28">
        <f>IFERROR(VLOOKUP(D37,Scoring!$A$4:$N$51,14,FALSE())*3,"-")</f>
        <v/>
      </c>
      <c r="M37" s="28">
        <f>IFERROR(VLOOKUP(E37,Scoring!$A$4:$N$51,14,FALSE())*2,"-")</f>
        <v/>
      </c>
      <c r="N37" s="28">
        <f>IFERROR(VLOOKUP(F37,Scoring!$A$4:$N$51,14,FALSE()),"-")</f>
        <v/>
      </c>
      <c r="O37" s="28">
        <f>IFERROR(VLOOKUP(G37,Scoring!$A$4:$N$51,14,FALSE()),"-")</f>
        <v/>
      </c>
      <c r="P37" s="29">
        <f>IFERROR(VLOOKUP(H37,Scoring!$A$4:$N$51,14,FALSE()),"-")</f>
        <v/>
      </c>
      <c r="Q37" s="29">
        <f>IFERROR(VLOOKUP(I37,Scoring!$A$4:$N$51,6,FALSE()),"-")</f>
        <v/>
      </c>
      <c r="R37" s="36">
        <f>IF(A37="","-",SUM(J37:Q37))</f>
        <v/>
      </c>
      <c r="S37">
        <f>IF(A37="","",RANK(R37,$R$4:$R$119))</f>
        <v/>
      </c>
      <c r="T37">
        <f>IF(A37="",-1,R37-ROW(R37)/1000000)</f>
        <v/>
      </c>
      <c r="U37" s="143" t="inlineStr">
        <is>
          <t>export@arkus.lt</t>
        </is>
      </c>
      <c r="W37" s="44" t="inlineStr">
        <is>
          <t>p</t>
        </is>
      </c>
    </row>
    <row r="38" ht="12.75" customHeight="1">
      <c r="A38" s="27" t="inlineStr">
        <is>
          <t>Dainius Visackas</t>
        </is>
      </c>
      <c r="B38" s="43" t="inlineStr">
        <is>
          <t>Spain</t>
        </is>
      </c>
      <c r="C38" s="43" t="inlineStr">
        <is>
          <t>Portugal</t>
        </is>
      </c>
      <c r="D38" s="43" t="inlineStr">
        <is>
          <t>Brazil</t>
        </is>
      </c>
      <c r="E38" s="43" t="inlineStr">
        <is>
          <t>Morocco</t>
        </is>
      </c>
      <c r="F38" s="43" t="inlineStr">
        <is>
          <t>Japan</t>
        </is>
      </c>
      <c r="G38" s="43" t="inlineStr">
        <is>
          <t>Algeria</t>
        </is>
      </c>
      <c r="H38" s="43" t="inlineStr">
        <is>
          <t>DR Congo</t>
        </is>
      </c>
      <c r="I38" s="28" t="inlineStr">
        <is>
          <t>Brazil</t>
        </is>
      </c>
      <c r="J38" s="28">
        <f>IFERROR(VLOOKUP(B38,Scoring!$A$4:$N$51,14,FALSE())*6,"-")</f>
        <v/>
      </c>
      <c r="K38" s="28">
        <f>IFERROR(VLOOKUP(C38,Scoring!$A$4:$N$51,14,FALSE())*4,"-")</f>
        <v/>
      </c>
      <c r="L38" s="28">
        <f>IFERROR(VLOOKUP(D38,Scoring!$A$4:$N$51,14,FALSE())*3,"-")</f>
        <v/>
      </c>
      <c r="M38" s="28">
        <f>IFERROR(VLOOKUP(E38,Scoring!$A$4:$N$51,14,FALSE())*2,"-")</f>
        <v/>
      </c>
      <c r="N38" s="28">
        <f>IFERROR(VLOOKUP(F38,Scoring!$A$4:$N$51,14,FALSE()),"-")</f>
        <v/>
      </c>
      <c r="O38" s="28">
        <f>IFERROR(VLOOKUP(G38,Scoring!$A$4:$N$51,14,FALSE()),"-")</f>
        <v/>
      </c>
      <c r="P38" s="29">
        <f>IFERROR(VLOOKUP(H38,Scoring!$A$4:$N$51,14,FALSE()),"-")</f>
        <v/>
      </c>
      <c r="Q38" s="29">
        <f>IFERROR(VLOOKUP(I38,Scoring!$A$4:$N$51,6,FALSE()),"-")</f>
        <v/>
      </c>
      <c r="R38" s="36">
        <f>IF(A38="","-",SUM(J38:Q38))</f>
        <v/>
      </c>
      <c r="S38">
        <f>IF(A38="","",RANK(R38,$R$4:$R$119))</f>
        <v/>
      </c>
      <c r="T38">
        <f>IF(A38="",-1,R38-ROW(R38)/1000000)</f>
        <v/>
      </c>
      <c r="U38" s="143" t="inlineStr">
        <is>
          <t>v.dainius73@gmail.com</t>
        </is>
      </c>
      <c r="W38" s="44" t="inlineStr">
        <is>
          <t>p</t>
        </is>
      </c>
    </row>
    <row r="39" ht="12.75" customHeight="1">
      <c r="A39" s="27" t="inlineStr">
        <is>
          <t>Ivan Manev</t>
        </is>
      </c>
      <c r="B39" s="43" t="inlineStr">
        <is>
          <t>Spain</t>
        </is>
      </c>
      <c r="C39" s="43" t="inlineStr">
        <is>
          <t>France</t>
        </is>
      </c>
      <c r="D39" s="43" t="inlineStr">
        <is>
          <t>Argentina</t>
        </is>
      </c>
      <c r="E39" s="43" t="inlineStr">
        <is>
          <t>Brazil</t>
        </is>
      </c>
      <c r="F39" s="43" t="inlineStr">
        <is>
          <t>Switzerland</t>
        </is>
      </c>
      <c r="G39" s="43" t="inlineStr">
        <is>
          <t>Sweden</t>
        </is>
      </c>
      <c r="H39" s="43" t="inlineStr">
        <is>
          <t>Ghana</t>
        </is>
      </c>
      <c r="I39" s="28" t="inlineStr">
        <is>
          <t>Spain</t>
        </is>
      </c>
      <c r="J39" s="28">
        <f>IFERROR(VLOOKUP(B39,Scoring!$A$4:$N$51,14,FALSE())*6,"-")</f>
        <v/>
      </c>
      <c r="K39" s="28">
        <f>IFERROR(VLOOKUP(C39,Scoring!$A$4:$N$51,14,FALSE())*4,"-")</f>
        <v/>
      </c>
      <c r="L39" s="28">
        <f>IFERROR(VLOOKUP(D39,Scoring!$A$4:$N$51,14,FALSE())*3,"-")</f>
        <v/>
      </c>
      <c r="M39" s="28">
        <f>IFERROR(VLOOKUP(E39,Scoring!$A$4:$N$51,14,FALSE())*2,"-")</f>
        <v/>
      </c>
      <c r="N39" s="28">
        <f>IFERROR(VLOOKUP(F39,Scoring!$A$4:$N$51,14,FALSE()),"-")</f>
        <v/>
      </c>
      <c r="O39" s="28">
        <f>IFERROR(VLOOKUP(G39,Scoring!$A$4:$N$51,14,FALSE()),"-")</f>
        <v/>
      </c>
      <c r="P39" s="29">
        <f>IFERROR(VLOOKUP(H39,Scoring!$A$4:$N$51,14,FALSE()),"-")</f>
        <v/>
      </c>
      <c r="Q39" s="29">
        <f>IFERROR(VLOOKUP(I39,Scoring!$A$4:$N$51,6,FALSE()),"-")</f>
        <v/>
      </c>
      <c r="R39" s="36">
        <f>IF(A39="","-",SUM(J39:Q39))</f>
        <v/>
      </c>
      <c r="S39">
        <f>IF(A39="","",RANK(R39,$R$4:$R$119))</f>
        <v/>
      </c>
      <c r="T39">
        <f>IF(A39="",-1,R39-ROW(R39)/1000000)</f>
        <v/>
      </c>
      <c r="U39" s="143" t="inlineStr">
        <is>
          <t>ivan.manev12@gmail.com</t>
        </is>
      </c>
      <c r="W39" s="44" t="inlineStr">
        <is>
          <t>p</t>
        </is>
      </c>
    </row>
    <row r="40" ht="12.75" customHeight="1">
      <c r="A40" s="27" t="inlineStr">
        <is>
          <t>Rustam Roikov</t>
        </is>
      </c>
      <c r="B40" s="43" t="inlineStr">
        <is>
          <t>France</t>
        </is>
      </c>
      <c r="C40" s="43" t="inlineStr">
        <is>
          <t>Spain</t>
        </is>
      </c>
      <c r="D40" s="43" t="inlineStr">
        <is>
          <t>Brazil</t>
        </is>
      </c>
      <c r="E40" s="43" t="inlineStr">
        <is>
          <t>Portugal</t>
        </is>
      </c>
      <c r="F40" s="43" t="inlineStr">
        <is>
          <t>Türkiye</t>
        </is>
      </c>
      <c r="G40" s="43" t="inlineStr">
        <is>
          <t>Sweden</t>
        </is>
      </c>
      <c r="H40" s="43" t="inlineStr">
        <is>
          <t>Bosnia &amp; Herzegovina</t>
        </is>
      </c>
      <c r="I40" s="28" t="inlineStr">
        <is>
          <t>Germany</t>
        </is>
      </c>
      <c r="J40" s="28">
        <f>IFERROR(VLOOKUP(B40,Scoring!$A$4:$N$51,14,FALSE())*6,"-")</f>
        <v/>
      </c>
      <c r="K40" s="28">
        <f>IFERROR(VLOOKUP(C40,Scoring!$A$4:$N$51,14,FALSE())*4,"-")</f>
        <v/>
      </c>
      <c r="L40" s="28">
        <f>IFERROR(VLOOKUP(D40,Scoring!$A$4:$N$51,14,FALSE())*3,"-")</f>
        <v/>
      </c>
      <c r="M40" s="28">
        <f>IFERROR(VLOOKUP(E40,Scoring!$A$4:$N$51,14,FALSE())*2,"-")</f>
        <v/>
      </c>
      <c r="N40" s="28">
        <f>IFERROR(VLOOKUP(F40,Scoring!$A$4:$N$51,14,FALSE()),"-")</f>
        <v/>
      </c>
      <c r="O40" s="28">
        <f>IFERROR(VLOOKUP(G40,Scoring!$A$4:$N$51,14,FALSE()),"-")</f>
        <v/>
      </c>
      <c r="P40" s="29">
        <f>IFERROR(VLOOKUP(H40,Scoring!$A$4:$N$51,14,FALSE()),"-")</f>
        <v/>
      </c>
      <c r="Q40" s="29">
        <f>IFERROR(VLOOKUP(I40,Scoring!$A$4:$N$51,6,FALSE()),"-")</f>
        <v/>
      </c>
      <c r="R40" s="36">
        <f>IF(A40="","-",SUM(J40:Q40))</f>
        <v/>
      </c>
      <c r="S40">
        <f>IF(A40="","",RANK(R40,$R$4:$R$119))</f>
        <v/>
      </c>
      <c r="T40">
        <f>IF(A40="",-1,R40-ROW(R40)/1000000)</f>
        <v/>
      </c>
      <c r="U40" s="143" t="inlineStr">
        <is>
          <t>Rustam.Rojkov@carlsberg.az</t>
        </is>
      </c>
      <c r="W40" s="44" t="inlineStr">
        <is>
          <t>p</t>
        </is>
      </c>
    </row>
    <row r="41" ht="12.75" customHeight="1">
      <c r="A41" s="27" t="inlineStr">
        <is>
          <t>Zaur Yusubov</t>
        </is>
      </c>
      <c r="B41" s="43" t="inlineStr">
        <is>
          <t>Brazil</t>
        </is>
      </c>
      <c r="C41" s="43" t="inlineStr">
        <is>
          <t>Spain</t>
        </is>
      </c>
      <c r="D41" s="43" t="inlineStr">
        <is>
          <t>Argentina</t>
        </is>
      </c>
      <c r="E41" s="43" t="inlineStr">
        <is>
          <t>France</t>
        </is>
      </c>
      <c r="F41" s="43" t="inlineStr">
        <is>
          <t>Switzerland</t>
        </is>
      </c>
      <c r="G41" s="43" t="inlineStr">
        <is>
          <t>Norway</t>
        </is>
      </c>
      <c r="H41" s="43" t="inlineStr">
        <is>
          <t>Ghana</t>
        </is>
      </c>
      <c r="I41" s="28" t="inlineStr">
        <is>
          <t>France</t>
        </is>
      </c>
      <c r="J41" s="28">
        <f>IFERROR(VLOOKUP(B41,Scoring!$A$4:$N$51,14,FALSE())*6,"-")</f>
        <v/>
      </c>
      <c r="K41" s="28">
        <f>IFERROR(VLOOKUP(C41,Scoring!$A$4:$N$51,14,FALSE())*4,"-")</f>
        <v/>
      </c>
      <c r="L41" s="28">
        <f>IFERROR(VLOOKUP(D41,Scoring!$A$4:$N$51,14,FALSE())*3,"-")</f>
        <v/>
      </c>
      <c r="M41" s="28">
        <f>IFERROR(VLOOKUP(E41,Scoring!$A$4:$N$51,14,FALSE())*2,"-")</f>
        <v/>
      </c>
      <c r="N41" s="28">
        <f>IFERROR(VLOOKUP(F41,Scoring!$A$4:$N$51,14,FALSE()),"-")</f>
        <v/>
      </c>
      <c r="O41" s="28">
        <f>IFERROR(VLOOKUP(G41,Scoring!$A$4:$N$51,14,FALSE()),"-")</f>
        <v/>
      </c>
      <c r="P41" s="29">
        <f>IFERROR(VLOOKUP(H41,Scoring!$A$4:$N$51,14,FALSE()),"-")</f>
        <v/>
      </c>
      <c r="Q41" s="29">
        <f>IFERROR(VLOOKUP(I41,Scoring!$A$4:$N$51,6,FALSE()),"-")</f>
        <v/>
      </c>
      <c r="R41" s="36">
        <f>IF(A41="","-",SUM(J41:Q41))</f>
        <v/>
      </c>
      <c r="S41">
        <f>IF(A41="","",RANK(R41,$R$4:$R$119))</f>
        <v/>
      </c>
      <c r="T41">
        <f>IF(A41="",-1,R41-ROW(R41)/1000000)</f>
        <v/>
      </c>
      <c r="U41" s="143" t="inlineStr">
        <is>
          <t>zyusubov23@gmail.com</t>
        </is>
      </c>
      <c r="W41" s="44" t="inlineStr">
        <is>
          <t>p</t>
        </is>
      </c>
    </row>
    <row r="42" ht="12.75" customHeight="1">
      <c r="A42" s="27" t="inlineStr">
        <is>
          <t>Nikolay Lenkov</t>
        </is>
      </c>
      <c r="B42" s="43" t="inlineStr">
        <is>
          <t>Spain</t>
        </is>
      </c>
      <c r="C42" s="43" t="inlineStr">
        <is>
          <t>Portugal</t>
        </is>
      </c>
      <c r="D42" s="43" t="inlineStr">
        <is>
          <t>France</t>
        </is>
      </c>
      <c r="E42" s="43" t="inlineStr">
        <is>
          <t>Argentina</t>
        </is>
      </c>
      <c r="F42" s="43" t="inlineStr">
        <is>
          <t>Mexico</t>
        </is>
      </c>
      <c r="G42" s="43" t="inlineStr">
        <is>
          <t>Norway</t>
        </is>
      </c>
      <c r="H42" s="43" t="inlineStr">
        <is>
          <t>Uzbekistan</t>
        </is>
      </c>
      <c r="I42" s="28" t="inlineStr">
        <is>
          <t>Spain</t>
        </is>
      </c>
      <c r="J42" s="28">
        <f>IFERROR(VLOOKUP(B42,Scoring!$A$4:$N$51,14,FALSE())*6,"-")</f>
        <v/>
      </c>
      <c r="K42" s="28">
        <f>IFERROR(VLOOKUP(C42,Scoring!$A$4:$N$51,14,FALSE())*4,"-")</f>
        <v/>
      </c>
      <c r="L42" s="28">
        <f>IFERROR(VLOOKUP(D42,Scoring!$A$4:$N$51,14,FALSE())*3,"-")</f>
        <v/>
      </c>
      <c r="M42" s="28">
        <f>IFERROR(VLOOKUP(E42,Scoring!$A$4:$N$51,14,FALSE())*2,"-")</f>
        <v/>
      </c>
      <c r="N42" s="28">
        <f>IFERROR(VLOOKUP(F42,Scoring!$A$4:$N$51,14,FALSE()),"-")</f>
        <v/>
      </c>
      <c r="O42" s="28">
        <f>IFERROR(VLOOKUP(G42,Scoring!$A$4:$N$51,14,FALSE()),"-")</f>
        <v/>
      </c>
      <c r="P42" s="29">
        <f>IFERROR(VLOOKUP(H42,Scoring!$A$4:$N$51,14,FALSE()),"-")</f>
        <v/>
      </c>
      <c r="Q42" s="29">
        <f>IFERROR(VLOOKUP(I42,Scoring!$A$4:$N$51,6,FALSE()),"-")</f>
        <v/>
      </c>
      <c r="R42" s="36">
        <f>IF(A42="","-",SUM(J42:Q42))</f>
        <v/>
      </c>
      <c r="S42">
        <f>IF(A42="","",RANK(R42,$R$4:$R$119))</f>
        <v/>
      </c>
      <c r="T42">
        <f>IF(A42="",-1,R42-ROW(R42)/1000000)</f>
        <v/>
      </c>
      <c r="U42" s="143" t="inlineStr">
        <is>
          <t>Nikolay.Lenkov@carlsberg.kz</t>
        </is>
      </c>
    </row>
    <row r="43" ht="12.75" customHeight="1">
      <c r="A43" s="27" t="inlineStr">
        <is>
          <t>Simona Jociūtė</t>
        </is>
      </c>
      <c r="B43" s="43" t="inlineStr">
        <is>
          <t>France</t>
        </is>
      </c>
      <c r="C43" s="43" t="inlineStr">
        <is>
          <t>England</t>
        </is>
      </c>
      <c r="D43" s="43" t="inlineStr">
        <is>
          <t>Spain</t>
        </is>
      </c>
      <c r="E43" s="43" t="inlineStr">
        <is>
          <t>Argentina</t>
        </is>
      </c>
      <c r="F43" s="43" t="inlineStr">
        <is>
          <t>Japan</t>
        </is>
      </c>
      <c r="G43" s="43" t="inlineStr">
        <is>
          <t>Norway</t>
        </is>
      </c>
      <c r="H43" s="43" t="inlineStr">
        <is>
          <t>Bosnia &amp; Herzegovina</t>
        </is>
      </c>
      <c r="I43" s="28" t="inlineStr">
        <is>
          <t>France</t>
        </is>
      </c>
      <c r="J43" s="28">
        <f>IFERROR(VLOOKUP(B43,Scoring!$A$4:$N$51,14,FALSE())*6,"-")</f>
        <v/>
      </c>
      <c r="K43" s="28">
        <f>IFERROR(VLOOKUP(C43,Scoring!$A$4:$N$51,14,FALSE())*4,"-")</f>
        <v/>
      </c>
      <c r="L43" s="28">
        <f>IFERROR(VLOOKUP(D43,Scoring!$A$4:$N$51,14,FALSE())*3,"-")</f>
        <v/>
      </c>
      <c r="M43" s="28">
        <f>IFERROR(VLOOKUP(E43,Scoring!$A$4:$N$51,14,FALSE())*2,"-")</f>
        <v/>
      </c>
      <c r="N43" s="28">
        <f>IFERROR(VLOOKUP(F43,Scoring!$A$4:$N$51,14,FALSE()),"-")</f>
        <v/>
      </c>
      <c r="O43" s="28">
        <f>IFERROR(VLOOKUP(G43,Scoring!$A$4:$N$51,14,FALSE()),"-")</f>
        <v/>
      </c>
      <c r="P43" s="29">
        <f>IFERROR(VLOOKUP(H43,Scoring!$A$4:$N$51,14,FALSE()),"-")</f>
        <v/>
      </c>
      <c r="Q43" s="29">
        <f>IFERROR(VLOOKUP(I43,Scoring!$A$4:$N$51,6,FALSE()),"-")</f>
        <v/>
      </c>
      <c r="R43" s="36">
        <f>IF(A43="","-",SUM(J43:Q43))</f>
        <v/>
      </c>
      <c r="S43">
        <f>IF(A43="","",RANK(R43,$R$4:$R$119))</f>
        <v/>
      </c>
      <c r="T43">
        <f>IF(A43="",-1,R43-ROW(R43)/1000000)</f>
        <v/>
      </c>
      <c r="U43" s="143" t="inlineStr">
        <is>
          <t>simonajociute@gmail.com</t>
        </is>
      </c>
      <c r="W43" s="44" t="inlineStr">
        <is>
          <t>p</t>
        </is>
      </c>
    </row>
    <row r="44" ht="12.75" customHeight="1">
      <c r="A44" s="27" t="inlineStr">
        <is>
          <t>Elijus Benetis</t>
        </is>
      </c>
      <c r="B44" s="43" t="inlineStr">
        <is>
          <t>Spain</t>
        </is>
      </c>
      <c r="C44" s="43" t="inlineStr">
        <is>
          <t>Argentina</t>
        </is>
      </c>
      <c r="D44" s="43" t="inlineStr">
        <is>
          <t>France</t>
        </is>
      </c>
      <c r="E44" s="43" t="inlineStr">
        <is>
          <t>England</t>
        </is>
      </c>
      <c r="F44" s="43" t="inlineStr">
        <is>
          <t>Japan</t>
        </is>
      </c>
      <c r="G44" s="43" t="inlineStr">
        <is>
          <t>Norway</t>
        </is>
      </c>
      <c r="H44" s="43" t="inlineStr">
        <is>
          <t>Bosnia &amp; Herzegovina</t>
        </is>
      </c>
      <c r="I44" s="28" t="inlineStr">
        <is>
          <t>Spain</t>
        </is>
      </c>
      <c r="J44" s="28">
        <f>IFERROR(VLOOKUP(B44,Scoring!$A$4:$N$51,14,FALSE())*6,"-")</f>
        <v/>
      </c>
      <c r="K44" s="28">
        <f>IFERROR(VLOOKUP(C44,Scoring!$A$4:$N$51,14,FALSE())*4,"-")</f>
        <v/>
      </c>
      <c r="L44" s="28">
        <f>IFERROR(VLOOKUP(D44,Scoring!$A$4:$N$51,14,FALSE())*3,"-")</f>
        <v/>
      </c>
      <c r="M44" s="28">
        <f>IFERROR(VLOOKUP(E44,Scoring!$A$4:$N$51,14,FALSE())*2,"-")</f>
        <v/>
      </c>
      <c r="N44" s="28">
        <f>IFERROR(VLOOKUP(F44,Scoring!$A$4:$N$51,14,FALSE()),"-")</f>
        <v/>
      </c>
      <c r="O44" s="28">
        <f>IFERROR(VLOOKUP(G44,Scoring!$A$4:$N$51,14,FALSE()),"-")</f>
        <v/>
      </c>
      <c r="P44" s="29">
        <f>IFERROR(VLOOKUP(H44,Scoring!$A$4:$N$51,14,FALSE()),"-")</f>
        <v/>
      </c>
      <c r="Q44" s="29">
        <f>IFERROR(VLOOKUP(I44,Scoring!$A$4:$N$51,6,FALSE()),"-")</f>
        <v/>
      </c>
      <c r="R44" s="36">
        <f>IF(A44="","-",SUM(J44:Q44))</f>
        <v/>
      </c>
      <c r="S44">
        <f>IF(A44="","",RANK(R44,$R$4:$R$119))</f>
        <v/>
      </c>
      <c r="T44">
        <f>IF(A44="",-1,R44-ROW(R44)/1000000)</f>
        <v/>
      </c>
      <c r="U44" s="143" t="inlineStr">
        <is>
          <t>simonajociute@gmail.com</t>
        </is>
      </c>
      <c r="W44" s="44" t="inlineStr">
        <is>
          <t>p</t>
        </is>
      </c>
    </row>
    <row r="45" ht="12.75" customHeight="1">
      <c r="A45" s="27" t="inlineStr">
        <is>
          <t>Anton Panasenko</t>
        </is>
      </c>
      <c r="B45" s="43" t="inlineStr">
        <is>
          <t>England</t>
        </is>
      </c>
      <c r="C45" s="43" t="inlineStr">
        <is>
          <t>Spain</t>
        </is>
      </c>
      <c r="D45" s="43" t="inlineStr">
        <is>
          <t>Portugal</t>
        </is>
      </c>
      <c r="E45" s="43" t="inlineStr">
        <is>
          <t>France</t>
        </is>
      </c>
      <c r="F45" s="43" t="inlineStr">
        <is>
          <t>Türkiye</t>
        </is>
      </c>
      <c r="G45" s="43" t="inlineStr">
        <is>
          <t>Norway</t>
        </is>
      </c>
      <c r="H45" s="43" t="inlineStr">
        <is>
          <t>Bosnia &amp; Herzegovina</t>
        </is>
      </c>
      <c r="I45" s="28" t="inlineStr">
        <is>
          <t>England</t>
        </is>
      </c>
      <c r="J45" s="28">
        <f>IFERROR(VLOOKUP(B45,Scoring!$A$4:$N$51,14,FALSE())*6,"-")</f>
        <v/>
      </c>
      <c r="K45" s="28">
        <f>IFERROR(VLOOKUP(C45,Scoring!$A$4:$N$51,14,FALSE())*4,"-")</f>
        <v/>
      </c>
      <c r="L45" s="28">
        <f>IFERROR(VLOOKUP(D45,Scoring!$A$4:$N$51,14,FALSE())*3,"-")</f>
        <v/>
      </c>
      <c r="M45" s="28">
        <f>IFERROR(VLOOKUP(E45,Scoring!$A$4:$N$51,14,FALSE())*2,"-")</f>
        <v/>
      </c>
      <c r="N45" s="28">
        <f>IFERROR(VLOOKUP(F45,Scoring!$A$4:$N$51,14,FALSE()),"-")</f>
        <v/>
      </c>
      <c r="O45" s="28">
        <f>IFERROR(VLOOKUP(G45,Scoring!$A$4:$N$51,14,FALSE()),"-")</f>
        <v/>
      </c>
      <c r="P45" s="29">
        <f>IFERROR(VLOOKUP(H45,Scoring!$A$4:$N$51,14,FALSE()),"-")</f>
        <v/>
      </c>
      <c r="Q45" s="29">
        <f>IFERROR(VLOOKUP(I45,Scoring!$A$4:$N$51,6,FALSE()),"-")</f>
        <v/>
      </c>
      <c r="R45" s="36">
        <f>IF(A45="","-",SUM(J45:Q45))</f>
        <v/>
      </c>
      <c r="S45">
        <f>IF(A45="","",RANK(R45,$R$4:$R$119))</f>
        <v/>
      </c>
      <c r="T45">
        <f>IF(A45="",-1,R45-ROW(R45)/1000000)</f>
        <v/>
      </c>
      <c r="U45" s="143" t="inlineStr">
        <is>
          <t>Anton.Panasenko@carlsberg.az</t>
        </is>
      </c>
      <c r="W45" s="44" t="inlineStr">
        <is>
          <t>p</t>
        </is>
      </c>
    </row>
    <row r="46" ht="12.75" customHeight="1">
      <c r="A46" s="27" t="inlineStr">
        <is>
          <t>Justinas Novoruckis</t>
        </is>
      </c>
      <c r="B46" s="43" t="inlineStr">
        <is>
          <t>Spain</t>
        </is>
      </c>
      <c r="C46" s="43" t="inlineStr">
        <is>
          <t>England</t>
        </is>
      </c>
      <c r="D46" s="43" t="inlineStr">
        <is>
          <t>France</t>
        </is>
      </c>
      <c r="E46" s="43" t="inlineStr">
        <is>
          <t>Argentina</t>
        </is>
      </c>
      <c r="F46" s="43" t="inlineStr">
        <is>
          <t>Colombia</t>
        </is>
      </c>
      <c r="G46" s="43" t="inlineStr">
        <is>
          <t>Norway</t>
        </is>
      </c>
      <c r="H46" s="43" t="inlineStr">
        <is>
          <t>Bosnia &amp; Herzegovina</t>
        </is>
      </c>
      <c r="I46" s="28" t="inlineStr">
        <is>
          <t>Spain</t>
        </is>
      </c>
      <c r="J46" s="28">
        <f>IFERROR(VLOOKUP(B46,Scoring!$A$4:$N$51,14,FALSE())*6,"-")</f>
        <v/>
      </c>
      <c r="K46" s="28">
        <f>IFERROR(VLOOKUP(C46,Scoring!$A$4:$N$51,14,FALSE())*4,"-")</f>
        <v/>
      </c>
      <c r="L46" s="28">
        <f>IFERROR(VLOOKUP(D46,Scoring!$A$4:$N$51,14,FALSE())*3,"-")</f>
        <v/>
      </c>
      <c r="M46" s="28">
        <f>IFERROR(VLOOKUP(E46,Scoring!$A$4:$N$51,14,FALSE())*2,"-")</f>
        <v/>
      </c>
      <c r="N46" s="28">
        <f>IFERROR(VLOOKUP(F46,Scoring!$A$4:$N$51,14,FALSE()),"-")</f>
        <v/>
      </c>
      <c r="O46" s="28">
        <f>IFERROR(VLOOKUP(G46,Scoring!$A$4:$N$51,14,FALSE()),"-")</f>
        <v/>
      </c>
      <c r="P46" s="29">
        <f>IFERROR(VLOOKUP(H46,Scoring!$A$4:$N$51,14,FALSE()),"-")</f>
        <v/>
      </c>
      <c r="Q46" s="29">
        <f>IFERROR(VLOOKUP(I46,Scoring!$A$4:$N$51,6,FALSE()),"-")</f>
        <v/>
      </c>
      <c r="R46" s="36">
        <f>IF(A46="","-",SUM(J46:Q46))</f>
        <v/>
      </c>
      <c r="S46">
        <f>IF(A46="","",RANK(R46,$R$4:$R$119))</f>
        <v/>
      </c>
      <c r="T46">
        <f>IF(A46="",-1,R46-ROW(R46)/1000000)</f>
        <v/>
      </c>
      <c r="U46" s="143" t="inlineStr">
        <is>
          <t>justinas.novoruckis@lineja.com</t>
        </is>
      </c>
      <c r="W46" s="44" t="inlineStr">
        <is>
          <t>p</t>
        </is>
      </c>
    </row>
    <row r="47" ht="12.75" customHeight="1">
      <c r="A47" s="27" t="inlineStr">
        <is>
          <t>Egidijus Navickas</t>
        </is>
      </c>
      <c r="B47" s="43" t="inlineStr">
        <is>
          <t>Portugal</t>
        </is>
      </c>
      <c r="C47" s="43" t="inlineStr">
        <is>
          <t>France</t>
        </is>
      </c>
      <c r="D47" s="43" t="inlineStr">
        <is>
          <t>Brazil</t>
        </is>
      </c>
      <c r="E47" s="43" t="inlineStr">
        <is>
          <t>Spain</t>
        </is>
      </c>
      <c r="F47" s="43" t="inlineStr">
        <is>
          <t>Colombia</t>
        </is>
      </c>
      <c r="G47" s="43" t="inlineStr">
        <is>
          <t>Norway</t>
        </is>
      </c>
      <c r="H47" s="43" t="inlineStr">
        <is>
          <t>Jordan</t>
        </is>
      </c>
      <c r="I47" s="28" t="inlineStr">
        <is>
          <t>Brazil</t>
        </is>
      </c>
      <c r="J47" s="28">
        <f>IFERROR(VLOOKUP(B47,Scoring!$A$4:$N$51,14,FALSE())*6,"-")</f>
        <v/>
      </c>
      <c r="K47" s="28">
        <f>IFERROR(VLOOKUP(C47,Scoring!$A$4:$N$51,14,FALSE())*4,"-")</f>
        <v/>
      </c>
      <c r="L47" s="28">
        <f>IFERROR(VLOOKUP(D47,Scoring!$A$4:$N$51,14,FALSE())*3,"-")</f>
        <v/>
      </c>
      <c r="M47" s="28">
        <f>IFERROR(VLOOKUP(E47,Scoring!$A$4:$N$51,14,FALSE())*2,"-")</f>
        <v/>
      </c>
      <c r="N47" s="28">
        <f>IFERROR(VLOOKUP(F47,Scoring!$A$4:$N$51,14,FALSE()),"-")</f>
        <v/>
      </c>
      <c r="O47" s="28">
        <f>IFERROR(VLOOKUP(G47,Scoring!$A$4:$N$51,14,FALSE()),"-")</f>
        <v/>
      </c>
      <c r="P47" s="29">
        <f>IFERROR(VLOOKUP(H47,Scoring!$A$4:$N$51,14,FALSE()),"-")</f>
        <v/>
      </c>
      <c r="Q47" s="29">
        <f>IFERROR(VLOOKUP(I47,Scoring!$A$4:$N$51,6,FALSE()),"-")</f>
        <v/>
      </c>
      <c r="R47" s="36">
        <f>IF(A47="","-",SUM(J47:Q47))</f>
        <v/>
      </c>
      <c r="S47">
        <f>IF(A47="","",RANK(R47,$R$4:$R$119))</f>
        <v/>
      </c>
      <c r="T47">
        <f>IF(A47="",-1,R47-ROW(R47)/1000000)</f>
        <v/>
      </c>
      <c r="U47" s="143" t="inlineStr">
        <is>
          <t>egidijus.navickas@gmail.com</t>
        </is>
      </c>
      <c r="W47" s="44" t="inlineStr">
        <is>
          <t>p</t>
        </is>
      </c>
    </row>
    <row r="48" ht="12.75" customHeight="1">
      <c r="A48" s="27" t="inlineStr">
        <is>
          <t>Deividas Jodenis</t>
        </is>
      </c>
      <c r="B48" s="43" t="inlineStr">
        <is>
          <t>Spain</t>
        </is>
      </c>
      <c r="C48" s="43" t="inlineStr">
        <is>
          <t>France</t>
        </is>
      </c>
      <c r="D48" s="43" t="inlineStr">
        <is>
          <t>England</t>
        </is>
      </c>
      <c r="E48" s="43" t="inlineStr">
        <is>
          <t>Portugal</t>
        </is>
      </c>
      <c r="F48" s="43" t="inlineStr">
        <is>
          <t>Uruguay</t>
        </is>
      </c>
      <c r="G48" s="43" t="inlineStr">
        <is>
          <t>Norway</t>
        </is>
      </c>
      <c r="H48" s="43" t="inlineStr">
        <is>
          <t>Uzbekistan</t>
        </is>
      </c>
      <c r="I48" s="28" t="inlineStr">
        <is>
          <t>Spain</t>
        </is>
      </c>
      <c r="J48" s="28">
        <f>IFERROR(VLOOKUP(B48,Scoring!$A$4:$N$51,14,FALSE())*6,"-")</f>
        <v/>
      </c>
      <c r="K48" s="28">
        <f>IFERROR(VLOOKUP(C48,Scoring!$A$4:$N$51,14,FALSE())*4,"-")</f>
        <v/>
      </c>
      <c r="L48" s="28">
        <f>IFERROR(VLOOKUP(D48,Scoring!$A$4:$N$51,14,FALSE())*3,"-")</f>
        <v/>
      </c>
      <c r="M48" s="28">
        <f>IFERROR(VLOOKUP(E48,Scoring!$A$4:$N$51,14,FALSE())*2,"-")</f>
        <v/>
      </c>
      <c r="N48" s="28">
        <f>IFERROR(VLOOKUP(F48,Scoring!$A$4:$N$51,14,FALSE()),"-")</f>
        <v/>
      </c>
      <c r="O48" s="28">
        <f>IFERROR(VLOOKUP(G48,Scoring!$A$4:$N$51,14,FALSE()),"-")</f>
        <v/>
      </c>
      <c r="P48" s="29">
        <f>IFERROR(VLOOKUP(H48,Scoring!$A$4:$N$51,14,FALSE()),"-")</f>
        <v/>
      </c>
      <c r="Q48" s="29">
        <f>IFERROR(VLOOKUP(I48,Scoring!$A$4:$N$51,6,FALSE()),"-")</f>
        <v/>
      </c>
      <c r="R48" s="36">
        <f>IF(A48="","-",SUM(J48:Q48))</f>
        <v/>
      </c>
      <c r="S48">
        <f>IF(A48="","",RANK(R48,$R$4:$R$119))</f>
        <v/>
      </c>
      <c r="T48">
        <f>IF(A48="",-1,R48-ROW(R48)/1000000)</f>
        <v/>
      </c>
      <c r="U48" s="143" t="inlineStr">
        <is>
          <t>dzionizz@gmail.com</t>
        </is>
      </c>
      <c r="W48" s="44" t="inlineStr">
        <is>
          <t>p</t>
        </is>
      </c>
    </row>
    <row r="49" ht="12.75" customHeight="1">
      <c r="A49" s="27" t="inlineStr">
        <is>
          <t>Titas Jodenis</t>
        </is>
      </c>
      <c r="B49" s="43" t="inlineStr">
        <is>
          <t>Germany</t>
        </is>
      </c>
      <c r="C49" s="43" t="inlineStr">
        <is>
          <t>Brazil</t>
        </is>
      </c>
      <c r="D49" s="43" t="inlineStr">
        <is>
          <t>Spain</t>
        </is>
      </c>
      <c r="E49" s="43" t="inlineStr">
        <is>
          <t>Argentina</t>
        </is>
      </c>
      <c r="F49" s="43" t="inlineStr">
        <is>
          <t>United States</t>
        </is>
      </c>
      <c r="G49" s="43" t="inlineStr">
        <is>
          <t>Norway</t>
        </is>
      </c>
      <c r="H49" s="43" t="inlineStr">
        <is>
          <t>Bosnia &amp; Herzegovina</t>
        </is>
      </c>
      <c r="I49" s="28" t="inlineStr">
        <is>
          <t>Germany</t>
        </is>
      </c>
      <c r="J49" s="28">
        <f>IFERROR(VLOOKUP(B49,Scoring!$A$4:$N$51,14,FALSE())*6,"-")</f>
        <v/>
      </c>
      <c r="K49" s="28">
        <f>IFERROR(VLOOKUP(C49,Scoring!$A$4:$N$51,14,FALSE())*4,"-")</f>
        <v/>
      </c>
      <c r="L49" s="28">
        <f>IFERROR(VLOOKUP(D49,Scoring!$A$4:$N$51,14,FALSE())*3,"-")</f>
        <v/>
      </c>
      <c r="M49" s="28">
        <f>IFERROR(VLOOKUP(E49,Scoring!$A$4:$N$51,14,FALSE())*2,"-")</f>
        <v/>
      </c>
      <c r="N49" s="28">
        <f>IFERROR(VLOOKUP(F49,Scoring!$A$4:$N$51,14,FALSE()),"-")</f>
        <v/>
      </c>
      <c r="O49" s="28">
        <f>IFERROR(VLOOKUP(G49,Scoring!$A$4:$N$51,14,FALSE()),"-")</f>
        <v/>
      </c>
      <c r="P49" s="29">
        <f>IFERROR(VLOOKUP(H49,Scoring!$A$4:$N$51,14,FALSE()),"-")</f>
        <v/>
      </c>
      <c r="Q49" s="29">
        <f>IFERROR(VLOOKUP(I49,Scoring!$A$4:$N$51,6,FALSE()),"-")</f>
        <v/>
      </c>
      <c r="R49" s="36">
        <f>IF(A49="","-",SUM(J49:Q49))</f>
        <v/>
      </c>
      <c r="S49">
        <f>IF(A49="","",RANK(R49,$R$4:$R$119))</f>
        <v/>
      </c>
      <c r="T49">
        <f>IF(A49="",-1,R49-ROW(R49)/1000000)</f>
        <v/>
      </c>
      <c r="U49" s="143" t="inlineStr">
        <is>
          <t>dzionizz@gmail.com</t>
        </is>
      </c>
      <c r="W49" s="44" t="inlineStr">
        <is>
          <t>p</t>
        </is>
      </c>
    </row>
    <row r="50" ht="12.75" customHeight="1">
      <c r="A50" s="27" t="inlineStr">
        <is>
          <t>Yagub Alizada</t>
        </is>
      </c>
      <c r="B50" s="43" t="inlineStr">
        <is>
          <t>England</t>
        </is>
      </c>
      <c r="C50" s="43" t="inlineStr">
        <is>
          <t>Spain</t>
        </is>
      </c>
      <c r="D50" s="43" t="inlineStr">
        <is>
          <t>Brazil</t>
        </is>
      </c>
      <c r="E50" s="43" t="inlineStr">
        <is>
          <t>France</t>
        </is>
      </c>
      <c r="F50" s="43" t="inlineStr">
        <is>
          <t>Colombia</t>
        </is>
      </c>
      <c r="G50" s="43" t="inlineStr">
        <is>
          <t>Norway</t>
        </is>
      </c>
      <c r="H50" s="43" t="inlineStr">
        <is>
          <t>Ghana</t>
        </is>
      </c>
      <c r="I50" s="28" t="inlineStr">
        <is>
          <t>Brazil</t>
        </is>
      </c>
      <c r="J50" s="28">
        <f>IFERROR(VLOOKUP(B50,Scoring!$A$4:$N$51,14,FALSE())*6,"-")</f>
        <v/>
      </c>
      <c r="K50" s="28">
        <f>IFERROR(VLOOKUP(C50,Scoring!$A$4:$N$51,14,FALSE())*4,"-")</f>
        <v/>
      </c>
      <c r="L50" s="28">
        <f>IFERROR(VLOOKUP(D50,Scoring!$A$4:$N$51,14,FALSE())*3,"-")</f>
        <v/>
      </c>
      <c r="M50" s="28">
        <f>IFERROR(VLOOKUP(E50,Scoring!$A$4:$N$51,14,FALSE())*2,"-")</f>
        <v/>
      </c>
      <c r="N50" s="28">
        <f>IFERROR(VLOOKUP(F50,Scoring!$A$4:$N$51,14,FALSE()),"-")</f>
        <v/>
      </c>
      <c r="O50" s="28">
        <f>IFERROR(VLOOKUP(G50,Scoring!$A$4:$N$51,14,FALSE()),"-")</f>
        <v/>
      </c>
      <c r="P50" s="29">
        <f>IFERROR(VLOOKUP(H50,Scoring!$A$4:$N$51,14,FALSE()),"-")</f>
        <v/>
      </c>
      <c r="Q50" s="29">
        <f>IFERROR(VLOOKUP(I50,Scoring!$A$4:$N$51,6,FALSE()),"-")</f>
        <v/>
      </c>
      <c r="R50" s="36">
        <f>IF(A50="","-",SUM(J50:Q50))</f>
        <v/>
      </c>
      <c r="S50">
        <f>IF(A50="","",RANK(R50,$R$4:$R$119))</f>
        <v/>
      </c>
      <c r="T50">
        <f>IF(A50="",-1,R50-ROW(R50)/1000000)</f>
        <v/>
      </c>
      <c r="U50" s="143" t="inlineStr">
        <is>
          <t>Yagub.Alizada@carlsberg.az</t>
        </is>
      </c>
      <c r="W50" s="44" t="inlineStr">
        <is>
          <t>p</t>
        </is>
      </c>
    </row>
    <row r="51" ht="12.75" customHeight="1">
      <c r="A51" s="27" t="inlineStr">
        <is>
          <t>Edgar Moroz</t>
        </is>
      </c>
      <c r="B51" s="43" t="inlineStr">
        <is>
          <t>Spain</t>
        </is>
      </c>
      <c r="C51" s="43" t="inlineStr">
        <is>
          <t>Brazil</t>
        </is>
      </c>
      <c r="D51" s="43" t="inlineStr">
        <is>
          <t>England</t>
        </is>
      </c>
      <c r="E51" s="43" t="inlineStr">
        <is>
          <t>Portugal</t>
        </is>
      </c>
      <c r="F51" s="43" t="inlineStr">
        <is>
          <t>Mexico</t>
        </is>
      </c>
      <c r="G51" s="43" t="inlineStr">
        <is>
          <t>Norway</t>
        </is>
      </c>
      <c r="H51" s="43" t="inlineStr">
        <is>
          <t>Bosnia &amp; Herzegovina</t>
        </is>
      </c>
      <c r="I51" s="28" t="inlineStr">
        <is>
          <t>Brazil</t>
        </is>
      </c>
      <c r="J51" s="28">
        <f>IFERROR(VLOOKUP(B51,Scoring!$A$4:$N$51,14,FALSE())*6,"-")</f>
        <v/>
      </c>
      <c r="K51" s="28">
        <f>IFERROR(VLOOKUP(C51,Scoring!$A$4:$N$51,14,FALSE())*4,"-")</f>
        <v/>
      </c>
      <c r="L51" s="28">
        <f>IFERROR(VLOOKUP(D51,Scoring!$A$4:$N$51,14,FALSE())*3,"-")</f>
        <v/>
      </c>
      <c r="M51" s="28">
        <f>IFERROR(VLOOKUP(E51,Scoring!$A$4:$N$51,14,FALSE())*2,"-")</f>
        <v/>
      </c>
      <c r="N51" s="28">
        <f>IFERROR(VLOOKUP(F51,Scoring!$A$4:$N$51,14,FALSE()),"-")</f>
        <v/>
      </c>
      <c r="O51" s="28">
        <f>IFERROR(VLOOKUP(G51,Scoring!$A$4:$N$51,14,FALSE()),"-")</f>
        <v/>
      </c>
      <c r="P51" s="29">
        <f>IFERROR(VLOOKUP(H51,Scoring!$A$4:$N$51,14,FALSE()),"-")</f>
        <v/>
      </c>
      <c r="Q51" s="29">
        <f>IFERROR(VLOOKUP(I51,Scoring!$A$4:$N$51,6,FALSE()),"-")</f>
        <v/>
      </c>
      <c r="R51" s="36">
        <f>IF(A51="","-",SUM(J51:Q51))</f>
        <v/>
      </c>
      <c r="S51">
        <f>IF(A51="","",RANK(R51,$R$4:$R$119))</f>
        <v/>
      </c>
      <c r="T51">
        <f>IF(A51="",-1,R51-ROW(R51)/1000000)</f>
        <v/>
      </c>
      <c r="U51" s="143" t="inlineStr">
        <is>
          <t>edgar@claimsmanagement.lt</t>
        </is>
      </c>
      <c r="W51" s="44" t="inlineStr">
        <is>
          <t>p</t>
        </is>
      </c>
    </row>
    <row r="52" ht="12.75" customHeight="1">
      <c r="A52" s="27" t="inlineStr">
        <is>
          <t>Alberto Canova</t>
        </is>
      </c>
      <c r="B52" s="43" t="inlineStr">
        <is>
          <t>Spain</t>
        </is>
      </c>
      <c r="C52" s="43" t="inlineStr">
        <is>
          <t>France</t>
        </is>
      </c>
      <c r="D52" s="43" t="inlineStr">
        <is>
          <t>England</t>
        </is>
      </c>
      <c r="E52" s="43" t="inlineStr">
        <is>
          <t>Argentina</t>
        </is>
      </c>
      <c r="F52" s="43" t="inlineStr">
        <is>
          <t>Japan</t>
        </is>
      </c>
      <c r="G52" s="43" t="inlineStr">
        <is>
          <t>Australia</t>
        </is>
      </c>
      <c r="H52" s="43" t="inlineStr">
        <is>
          <t>Bosnia &amp; Herzegovina</t>
        </is>
      </c>
      <c r="I52" s="28" t="inlineStr">
        <is>
          <t>Spain</t>
        </is>
      </c>
      <c r="J52" s="28">
        <f>IFERROR(VLOOKUP(B52,Scoring!$A$4:$N$51,14,FALSE())*6,"-")</f>
        <v/>
      </c>
      <c r="K52" s="28">
        <f>IFERROR(VLOOKUP(C52,Scoring!$A$4:$N$51,14,FALSE())*4,"-")</f>
        <v/>
      </c>
      <c r="L52" s="28">
        <f>IFERROR(VLOOKUP(D52,Scoring!$A$4:$N$51,14,FALSE())*3,"-")</f>
        <v/>
      </c>
      <c r="M52" s="28">
        <f>IFERROR(VLOOKUP(E52,Scoring!$A$4:$N$51,14,FALSE())*2,"-")</f>
        <v/>
      </c>
      <c r="N52" s="28">
        <f>IFERROR(VLOOKUP(F52,Scoring!$A$4:$N$51,14,FALSE()),"-")</f>
        <v/>
      </c>
      <c r="O52" s="28">
        <f>IFERROR(VLOOKUP(G52,Scoring!$A$4:$N$51,14,FALSE()),"-")</f>
        <v/>
      </c>
      <c r="P52" s="29">
        <f>IFERROR(VLOOKUP(H52,Scoring!$A$4:$N$51,14,FALSE()),"-")</f>
        <v/>
      </c>
      <c r="Q52" s="29">
        <f>IFERROR(VLOOKUP(I52,Scoring!$A$4:$N$51,6,FALSE()),"-")</f>
        <v/>
      </c>
      <c r="R52" s="36">
        <f>IF(A52="","-",SUM(J52:Q52))</f>
        <v/>
      </c>
      <c r="S52">
        <f>IF(A52="","",RANK(R52,$R$4:$R$119))</f>
        <v/>
      </c>
      <c r="T52">
        <f>IF(A52="",-1,R52-ROW(R52)/1000000)</f>
        <v/>
      </c>
      <c r="U52" s="143" t="inlineStr">
        <is>
          <t>Alberto.Canova@carlsberg.it</t>
        </is>
      </c>
      <c r="W52" s="44" t="inlineStr">
        <is>
          <t>p</t>
        </is>
      </c>
    </row>
    <row r="53" ht="12.75" customHeight="1">
      <c r="A53" s="27" t="inlineStr">
        <is>
          <t>Andrea Signorini</t>
        </is>
      </c>
      <c r="B53" s="43" t="inlineStr">
        <is>
          <t>Brazil</t>
        </is>
      </c>
      <c r="C53" s="43" t="inlineStr">
        <is>
          <t>England</t>
        </is>
      </c>
      <c r="D53" s="43" t="inlineStr">
        <is>
          <t>France</t>
        </is>
      </c>
      <c r="E53" s="43" t="inlineStr">
        <is>
          <t>Spain</t>
        </is>
      </c>
      <c r="F53" s="43" t="inlineStr">
        <is>
          <t>Uruguay</t>
        </is>
      </c>
      <c r="G53" s="43" t="inlineStr">
        <is>
          <t>Norway</t>
        </is>
      </c>
      <c r="H53" s="43" t="inlineStr">
        <is>
          <t>Bosnia &amp; Herzegovina</t>
        </is>
      </c>
      <c r="I53" s="28" t="inlineStr">
        <is>
          <t>Brazil</t>
        </is>
      </c>
      <c r="J53" s="28">
        <f>IFERROR(VLOOKUP(B53,Scoring!$A$4:$N$51,14,FALSE())*6,"-")</f>
        <v/>
      </c>
      <c r="K53" s="28">
        <f>IFERROR(VLOOKUP(C53,Scoring!$A$4:$N$51,14,FALSE())*4,"-")</f>
        <v/>
      </c>
      <c r="L53" s="28">
        <f>IFERROR(VLOOKUP(D53,Scoring!$A$4:$N$51,14,FALSE())*3,"-")</f>
        <v/>
      </c>
      <c r="M53" s="28">
        <f>IFERROR(VLOOKUP(E53,Scoring!$A$4:$N$51,14,FALSE())*2,"-")</f>
        <v/>
      </c>
      <c r="N53" s="28">
        <f>IFERROR(VLOOKUP(F53,Scoring!$A$4:$N$51,14,FALSE()),"-")</f>
        <v/>
      </c>
      <c r="O53" s="28">
        <f>IFERROR(VLOOKUP(G53,Scoring!$A$4:$N$51,14,FALSE()),"-")</f>
        <v/>
      </c>
      <c r="P53" s="29">
        <f>IFERROR(VLOOKUP(H53,Scoring!$A$4:$N$51,14,FALSE()),"-")</f>
        <v/>
      </c>
      <c r="Q53" s="29">
        <f>IFERROR(VLOOKUP(I53,Scoring!$A$4:$N$51,6,FALSE()),"-")</f>
        <v/>
      </c>
      <c r="R53" s="36">
        <f>IF(A53="","-",SUM(J53:Q53))</f>
        <v/>
      </c>
      <c r="S53">
        <f>IF(A53="","",RANK(R53,$R$4:$R$119))</f>
        <v/>
      </c>
      <c r="T53">
        <f>IF(A53="",-1,R53-ROW(R53)/1000000)</f>
        <v/>
      </c>
      <c r="U53" s="143" t="inlineStr">
        <is>
          <t>Andrea.Signorini@carlsberg.it</t>
        </is>
      </c>
      <c r="W53" s="44" t="inlineStr">
        <is>
          <t>p</t>
        </is>
      </c>
    </row>
    <row r="54" ht="12.75" customHeight="1">
      <c r="A54" s="27" t="inlineStr">
        <is>
          <t>Vytautas Podrezas</t>
        </is>
      </c>
      <c r="B54" s="43" t="inlineStr">
        <is>
          <t>Portugal</t>
        </is>
      </c>
      <c r="C54" s="43" t="inlineStr">
        <is>
          <t>Spain</t>
        </is>
      </c>
      <c r="D54" s="43" t="inlineStr">
        <is>
          <t>Brazil</t>
        </is>
      </c>
      <c r="E54" s="43" t="inlineStr">
        <is>
          <t>France</t>
        </is>
      </c>
      <c r="F54" s="43" t="inlineStr">
        <is>
          <t>Uruguay</t>
        </is>
      </c>
      <c r="G54" s="43" t="inlineStr">
        <is>
          <t>Egypt</t>
        </is>
      </c>
      <c r="H54" s="43" t="inlineStr">
        <is>
          <t>Ghana</t>
        </is>
      </c>
      <c r="I54" s="28" t="inlineStr">
        <is>
          <t>Portugal</t>
        </is>
      </c>
      <c r="J54" s="28">
        <f>IFERROR(VLOOKUP(B54,Scoring!$A$4:$N$51,14,FALSE())*6,"-")</f>
        <v/>
      </c>
      <c r="K54" s="28">
        <f>IFERROR(VLOOKUP(C54,Scoring!$A$4:$N$51,14,FALSE())*4,"-")</f>
        <v/>
      </c>
      <c r="L54" s="28">
        <f>IFERROR(VLOOKUP(D54,Scoring!$A$4:$N$51,14,FALSE())*3,"-")</f>
        <v/>
      </c>
      <c r="M54" s="28">
        <f>IFERROR(VLOOKUP(E54,Scoring!$A$4:$N$51,14,FALSE())*2,"-")</f>
        <v/>
      </c>
      <c r="N54" s="28">
        <f>IFERROR(VLOOKUP(F54,Scoring!$A$4:$N$51,14,FALSE()),"-")</f>
        <v/>
      </c>
      <c r="O54" s="28">
        <f>IFERROR(VLOOKUP(G54,Scoring!$A$4:$N$51,14,FALSE()),"-")</f>
        <v/>
      </c>
      <c r="P54" s="29">
        <f>IFERROR(VLOOKUP(H54,Scoring!$A$4:$N$51,14,FALSE()),"-")</f>
        <v/>
      </c>
      <c r="Q54" s="29">
        <f>IFERROR(VLOOKUP(I54,Scoring!$A$4:$N$51,6,FALSE()),"-")</f>
        <v/>
      </c>
      <c r="R54" s="36">
        <f>IF(A54="","-",SUM(J54:Q54))</f>
        <v/>
      </c>
      <c r="S54">
        <f>IF(A54="","",RANK(R54,$R$4:$R$119))</f>
        <v/>
      </c>
      <c r="T54">
        <f>IF(A54="",-1,R54-ROW(R54)/1000000)</f>
        <v/>
      </c>
      <c r="U54" s="44" t="inlineStr">
        <is>
          <t>vytautas.podrezas@gmail.com</t>
        </is>
      </c>
      <c r="W54" s="44" t="inlineStr">
        <is>
          <t>p</t>
        </is>
      </c>
    </row>
    <row r="55" ht="12.75" customHeight="1">
      <c r="A55" s="27" t="inlineStr">
        <is>
          <t>Sergey Zhaltuchin</t>
        </is>
      </c>
      <c r="B55" s="43" t="inlineStr">
        <is>
          <t>Brazil</t>
        </is>
      </c>
      <c r="C55" s="43" t="inlineStr">
        <is>
          <t>France</t>
        </is>
      </c>
      <c r="D55" s="43" t="inlineStr">
        <is>
          <t>Spain</t>
        </is>
      </c>
      <c r="E55" s="43" t="inlineStr">
        <is>
          <t>England</t>
        </is>
      </c>
      <c r="F55" s="43" t="inlineStr">
        <is>
          <t>Mexico</t>
        </is>
      </c>
      <c r="G55" s="43" t="inlineStr">
        <is>
          <t>Australia</t>
        </is>
      </c>
      <c r="H55" s="43" t="inlineStr">
        <is>
          <t>DR Congo</t>
        </is>
      </c>
      <c r="I55" s="28" t="inlineStr">
        <is>
          <t>France</t>
        </is>
      </c>
      <c r="J55" s="28">
        <f>IFERROR(VLOOKUP(B55,Scoring!$A$4:$N$51,14,FALSE())*6,"-")</f>
        <v/>
      </c>
      <c r="K55" s="28">
        <f>IFERROR(VLOOKUP(C55,Scoring!$A$4:$N$51,14,FALSE())*4,"-")</f>
        <v/>
      </c>
      <c r="L55" s="28">
        <f>IFERROR(VLOOKUP(D55,Scoring!$A$4:$N$51,14,FALSE())*3,"-")</f>
        <v/>
      </c>
      <c r="M55" s="28">
        <f>IFERROR(VLOOKUP(E55,Scoring!$A$4:$N$51,14,FALSE())*2,"-")</f>
        <v/>
      </c>
      <c r="N55" s="28">
        <f>IFERROR(VLOOKUP(F55,Scoring!$A$4:$N$51,14,FALSE()),"-")</f>
        <v/>
      </c>
      <c r="O55" s="28">
        <f>IFERROR(VLOOKUP(G55,Scoring!$A$4:$N$51,14,FALSE()),"-")</f>
        <v/>
      </c>
      <c r="P55" s="29">
        <f>IFERROR(VLOOKUP(H55,Scoring!$A$4:$N$51,14,FALSE()),"-")</f>
        <v/>
      </c>
      <c r="Q55" s="29">
        <f>IFERROR(VLOOKUP(I55,Scoring!$A$4:$N$51,6,FALSE()),"-")</f>
        <v/>
      </c>
      <c r="R55" s="36">
        <f>IF(A55="","-",SUM(J55:Q55))</f>
        <v/>
      </c>
      <c r="S55">
        <f>IF(A55="","",RANK(R55,$R$4:$R$119))</f>
        <v/>
      </c>
      <c r="T55">
        <f>IF(A55="",-1,R55-ROW(R55)/1000000)</f>
        <v/>
      </c>
      <c r="U55" s="44" t="inlineStr">
        <is>
          <t>fillup@mail.ru</t>
        </is>
      </c>
      <c r="W55" s="44" t="inlineStr">
        <is>
          <t>p</t>
        </is>
      </c>
    </row>
    <row r="56" ht="12.75" customHeight="1">
      <c r="A56" s="27" t="inlineStr">
        <is>
          <t>Mindaugas Čižauskas</t>
        </is>
      </c>
      <c r="B56" s="43" t="inlineStr">
        <is>
          <t>Spain</t>
        </is>
      </c>
      <c r="C56" s="43" t="inlineStr">
        <is>
          <t>France</t>
        </is>
      </c>
      <c r="D56" s="43" t="inlineStr">
        <is>
          <t>Brazil</t>
        </is>
      </c>
      <c r="E56" s="43" t="inlineStr">
        <is>
          <t>Argentina</t>
        </is>
      </c>
      <c r="F56" s="43" t="inlineStr">
        <is>
          <t>Uruguay</t>
        </is>
      </c>
      <c r="G56" s="43" t="inlineStr">
        <is>
          <t>Norway</t>
        </is>
      </c>
      <c r="H56" s="43" t="inlineStr">
        <is>
          <t>New Zealand</t>
        </is>
      </c>
      <c r="I56" s="28" t="inlineStr">
        <is>
          <t>Spain</t>
        </is>
      </c>
      <c r="J56" s="28">
        <f>IFERROR(VLOOKUP(B56,Scoring!$A$4:$N$51,14,FALSE())*6,"-")</f>
        <v/>
      </c>
      <c r="K56" s="28">
        <f>IFERROR(VLOOKUP(C56,Scoring!$A$4:$N$51,14,FALSE())*4,"-")</f>
        <v/>
      </c>
      <c r="L56" s="28">
        <f>IFERROR(VLOOKUP(D56,Scoring!$A$4:$N$51,14,FALSE())*3,"-")</f>
        <v/>
      </c>
      <c r="M56" s="28">
        <f>IFERROR(VLOOKUP(E56,Scoring!$A$4:$N$51,14,FALSE())*2,"-")</f>
        <v/>
      </c>
      <c r="N56" s="28">
        <f>IFERROR(VLOOKUP(F56,Scoring!$A$4:$N$51,14,FALSE()),"-")</f>
        <v/>
      </c>
      <c r="O56" s="28">
        <f>IFERROR(VLOOKUP(G56,Scoring!$A$4:$N$51,14,FALSE()),"-")</f>
        <v/>
      </c>
      <c r="P56" s="29">
        <f>IFERROR(VLOOKUP(H56,Scoring!$A$4:$N$51,14,FALSE()),"-")</f>
        <v/>
      </c>
      <c r="Q56" s="29">
        <f>IFERROR(VLOOKUP(I56,Scoring!$A$4:$N$51,6,FALSE()),"-")</f>
        <v/>
      </c>
      <c r="R56" s="36">
        <f>IF(A56="","-",SUM(J56:Q56))</f>
        <v/>
      </c>
      <c r="S56">
        <f>IF(A56="","",RANK(R56,$R$4:$R$119))</f>
        <v/>
      </c>
      <c r="T56">
        <f>IF(A56="",-1,R56-ROW(R56)/1000000)</f>
        <v/>
      </c>
      <c r="U56" s="44" t="inlineStr">
        <is>
          <t>mindaugas.cizauskas@svyturys.lt</t>
        </is>
      </c>
      <c r="W56" s="44" t="inlineStr">
        <is>
          <t>p</t>
        </is>
      </c>
    </row>
    <row r="57" ht="12.75" customHeight="1">
      <c r="A57" s="27" t="inlineStr">
        <is>
          <t>Renata Čižauskienė</t>
        </is>
      </c>
      <c r="B57" s="43" t="inlineStr">
        <is>
          <t>France</t>
        </is>
      </c>
      <c r="C57" s="43" t="inlineStr">
        <is>
          <t>England</t>
        </is>
      </c>
      <c r="D57" s="43" t="inlineStr">
        <is>
          <t>Spain</t>
        </is>
      </c>
      <c r="E57" s="43" t="inlineStr">
        <is>
          <t>Argentina</t>
        </is>
      </c>
      <c r="F57" s="43" t="inlineStr">
        <is>
          <t>Switzerland</t>
        </is>
      </c>
      <c r="G57" s="43" t="inlineStr">
        <is>
          <t>Egypt</t>
        </is>
      </c>
      <c r="H57" s="43" t="inlineStr">
        <is>
          <t>Ghana</t>
        </is>
      </c>
      <c r="I57" s="28" t="inlineStr">
        <is>
          <t>France</t>
        </is>
      </c>
      <c r="J57" s="28">
        <f>IFERROR(VLOOKUP(B57,Scoring!$A$4:$N$51,14,FALSE())*6,"-")</f>
        <v/>
      </c>
      <c r="K57" s="28">
        <f>IFERROR(VLOOKUP(C57,Scoring!$A$4:$N$51,14,FALSE())*4,"-")</f>
        <v/>
      </c>
      <c r="L57" s="28">
        <f>IFERROR(VLOOKUP(D57,Scoring!$A$4:$N$51,14,FALSE())*3,"-")</f>
        <v/>
      </c>
      <c r="M57" s="28">
        <f>IFERROR(VLOOKUP(E57,Scoring!$A$4:$N$51,14,FALSE())*2,"-")</f>
        <v/>
      </c>
      <c r="N57" s="28">
        <f>IFERROR(VLOOKUP(F57,Scoring!$A$4:$N$51,14,FALSE()),"-")</f>
        <v/>
      </c>
      <c r="O57" s="28">
        <f>IFERROR(VLOOKUP(G57,Scoring!$A$4:$N$51,14,FALSE()),"-")</f>
        <v/>
      </c>
      <c r="P57" s="29">
        <f>IFERROR(VLOOKUP(H57,Scoring!$A$4:$N$51,14,FALSE()),"-")</f>
        <v/>
      </c>
      <c r="Q57" s="29">
        <f>IFERROR(VLOOKUP(I57,Scoring!$A$4:$N$51,6,FALSE()),"-")</f>
        <v/>
      </c>
      <c r="R57" s="36">
        <f>IF(A57="","-",SUM(J57:Q57))</f>
        <v/>
      </c>
      <c r="S57">
        <f>IF(A57="","",RANK(R57,$R$4:$R$119))</f>
        <v/>
      </c>
      <c r="T57">
        <f>IF(A57="",-1,R57-ROW(R57)/1000000)</f>
        <v/>
      </c>
      <c r="U57" s="44" t="inlineStr">
        <is>
          <t>renata.baublyte@gmail.com</t>
        </is>
      </c>
      <c r="W57" s="44" t="inlineStr">
        <is>
          <t>p</t>
        </is>
      </c>
    </row>
    <row r="58" ht="12.75" customHeight="1">
      <c r="A58" s="27" t="inlineStr">
        <is>
          <t>Aurimas Šumbrauskis</t>
        </is>
      </c>
      <c r="B58" s="43" t="inlineStr">
        <is>
          <t>France</t>
        </is>
      </c>
      <c r="C58" s="43" t="inlineStr">
        <is>
          <t>Spain</t>
        </is>
      </c>
      <c r="D58" s="43" t="inlineStr">
        <is>
          <t>Argentina</t>
        </is>
      </c>
      <c r="E58" s="43" t="inlineStr">
        <is>
          <t>England</t>
        </is>
      </c>
      <c r="F58" s="43" t="inlineStr">
        <is>
          <t>Mexico</t>
        </is>
      </c>
      <c r="G58" s="43" t="inlineStr">
        <is>
          <t>Canada</t>
        </is>
      </c>
      <c r="H58" s="43" t="inlineStr">
        <is>
          <t>Ghana</t>
        </is>
      </c>
      <c r="I58" s="28" t="inlineStr">
        <is>
          <t>Spain</t>
        </is>
      </c>
      <c r="J58" s="28">
        <f>IFERROR(VLOOKUP(B58,Scoring!$A$4:$N$51,14,FALSE())*6,"-")</f>
        <v/>
      </c>
      <c r="K58" s="28">
        <f>IFERROR(VLOOKUP(C58,Scoring!$A$4:$N$51,14,FALSE())*4,"-")</f>
        <v/>
      </c>
      <c r="L58" s="28">
        <f>IFERROR(VLOOKUP(D58,Scoring!$A$4:$N$51,14,FALSE())*3,"-")</f>
        <v/>
      </c>
      <c r="M58" s="28">
        <f>IFERROR(VLOOKUP(E58,Scoring!$A$4:$N$51,14,FALSE())*2,"-")</f>
        <v/>
      </c>
      <c r="N58" s="28">
        <f>IFERROR(VLOOKUP(F58,Scoring!$A$4:$N$51,14,FALSE()),"-")</f>
        <v/>
      </c>
      <c r="O58" s="28">
        <f>IFERROR(VLOOKUP(G58,Scoring!$A$4:$N$51,14,FALSE()),"-")</f>
        <v/>
      </c>
      <c r="P58" s="29">
        <f>IFERROR(VLOOKUP(H58,Scoring!$A$4:$N$51,14,FALSE()),"-")</f>
        <v/>
      </c>
      <c r="Q58" s="29">
        <f>IFERROR(VLOOKUP(I58,Scoring!$A$4:$N$51,6,FALSE()),"-")</f>
        <v/>
      </c>
      <c r="R58" s="36">
        <f>IF(A58="","-",SUM(J58:Q58))</f>
        <v/>
      </c>
      <c r="S58">
        <f>IF(A58="","",RANK(R58,$R$4:$R$119))</f>
        <v/>
      </c>
      <c r="T58">
        <f>IF(A58="",-1,R58-ROW(R58)/1000000)</f>
        <v/>
      </c>
      <c r="U58" s="143" t="inlineStr">
        <is>
          <t>aurimas.sumbrauskis@gmail.com</t>
        </is>
      </c>
      <c r="W58" s="44" t="inlineStr">
        <is>
          <t>p</t>
        </is>
      </c>
    </row>
    <row r="59" ht="12.75" customHeight="1">
      <c r="A59" s="27" t="inlineStr">
        <is>
          <t>Dovilė Smetonė</t>
        </is>
      </c>
      <c r="B59" s="43" t="inlineStr">
        <is>
          <t>France</t>
        </is>
      </c>
      <c r="C59" s="43" t="inlineStr">
        <is>
          <t>Spain</t>
        </is>
      </c>
      <c r="D59" s="43" t="inlineStr">
        <is>
          <t>England</t>
        </is>
      </c>
      <c r="E59" s="43" t="inlineStr">
        <is>
          <t>Portugal</t>
        </is>
      </c>
      <c r="F59" s="43" t="inlineStr">
        <is>
          <t>Japan</t>
        </is>
      </c>
      <c r="G59" s="43" t="inlineStr">
        <is>
          <t>Sweden</t>
        </is>
      </c>
      <c r="H59" s="43" t="inlineStr">
        <is>
          <t>New Zealand</t>
        </is>
      </c>
      <c r="I59" s="28" t="inlineStr">
        <is>
          <t>Spain</t>
        </is>
      </c>
      <c r="J59" s="28">
        <f>IFERROR(VLOOKUP(B59,Scoring!$A$4:$N$51,14,FALSE())*6,"-")</f>
        <v/>
      </c>
      <c r="K59" s="28">
        <f>IFERROR(VLOOKUP(C59,Scoring!$A$4:$N$51,14,FALSE())*4,"-")</f>
        <v/>
      </c>
      <c r="L59" s="28">
        <f>IFERROR(VLOOKUP(D59,Scoring!$A$4:$N$51,14,FALSE())*3,"-")</f>
        <v/>
      </c>
      <c r="M59" s="28">
        <f>IFERROR(VLOOKUP(E59,Scoring!$A$4:$N$51,14,FALSE())*2,"-")</f>
        <v/>
      </c>
      <c r="N59" s="28">
        <f>IFERROR(VLOOKUP(F59,Scoring!$A$4:$N$51,14,FALSE()),"-")</f>
        <v/>
      </c>
      <c r="O59" s="28">
        <f>IFERROR(VLOOKUP(G59,Scoring!$A$4:$N$51,14,FALSE()),"-")</f>
        <v/>
      </c>
      <c r="P59" s="29">
        <f>IFERROR(VLOOKUP(H59,Scoring!$A$4:$N$51,14,FALSE()),"-")</f>
        <v/>
      </c>
      <c r="Q59" s="29">
        <f>IFERROR(VLOOKUP(I59,Scoring!$A$4:$N$51,6,FALSE()),"-")</f>
        <v/>
      </c>
      <c r="R59" s="36">
        <f>IF(A59="","-",SUM(J59:Q59))</f>
        <v/>
      </c>
      <c r="S59">
        <f>IF(A59="","",RANK(R59,$R$4:$R$119))</f>
        <v/>
      </c>
      <c r="T59">
        <f>IF(A59="",-1,R59-ROW(R59)/1000000)</f>
        <v/>
      </c>
      <c r="U59" s="44" t="inlineStr">
        <is>
          <t>dovile.smetone@svyturys.lt</t>
        </is>
      </c>
      <c r="W59" s="44" t="inlineStr">
        <is>
          <t>p</t>
        </is>
      </c>
    </row>
    <row r="60" ht="12.75" customHeight="1">
      <c r="A60" s="27" t="inlineStr">
        <is>
          <t>Arūnas Čižauskas</t>
        </is>
      </c>
      <c r="B60" s="43" t="inlineStr">
        <is>
          <t>Brazil</t>
        </is>
      </c>
      <c r="C60" s="43" t="inlineStr">
        <is>
          <t>Spain</t>
        </is>
      </c>
      <c r="D60" s="43" t="inlineStr">
        <is>
          <t>Germany</t>
        </is>
      </c>
      <c r="E60" s="43" t="inlineStr">
        <is>
          <t>Portugal</t>
        </is>
      </c>
      <c r="F60" s="43" t="inlineStr">
        <is>
          <t>Mexico</t>
        </is>
      </c>
      <c r="G60" s="43" t="inlineStr">
        <is>
          <t>Norway</t>
        </is>
      </c>
      <c r="H60" s="43" t="inlineStr">
        <is>
          <t>Bosnia &amp; Herzegovina</t>
        </is>
      </c>
      <c r="I60" s="28" t="inlineStr">
        <is>
          <t>Brazil</t>
        </is>
      </c>
      <c r="J60" s="28">
        <f>IFERROR(VLOOKUP(B60,Scoring!$A$4:$N$51,14,FALSE())*6,"-")</f>
        <v/>
      </c>
      <c r="K60" s="28">
        <f>IFERROR(VLOOKUP(C60,Scoring!$A$4:$N$51,14,FALSE())*4,"-")</f>
        <v/>
      </c>
      <c r="L60" s="28">
        <f>IFERROR(VLOOKUP(D60,Scoring!$A$4:$N$51,14,FALSE())*3,"-")</f>
        <v/>
      </c>
      <c r="M60" s="28">
        <f>IFERROR(VLOOKUP(E60,Scoring!$A$4:$N$51,14,FALSE())*2,"-")</f>
        <v/>
      </c>
      <c r="N60" s="28">
        <f>IFERROR(VLOOKUP(F60,Scoring!$A$4:$N$51,14,FALSE()),"-")</f>
        <v/>
      </c>
      <c r="O60" s="28">
        <f>IFERROR(VLOOKUP(G60,Scoring!$A$4:$N$51,14,FALSE()),"-")</f>
        <v/>
      </c>
      <c r="P60" s="29">
        <f>IFERROR(VLOOKUP(H60,Scoring!$A$4:$N$51,14,FALSE()),"-")</f>
        <v/>
      </c>
      <c r="Q60" s="29">
        <f>IFERROR(VLOOKUP(I60,Scoring!$A$4:$N$51,6,FALSE()),"-")</f>
        <v/>
      </c>
      <c r="R60" s="36">
        <f>IF(A60="","-",SUM(J60:Q60))</f>
        <v/>
      </c>
      <c r="S60">
        <f>IF(A60="","",RANK(R60,$R$4:$R$119))</f>
        <v/>
      </c>
      <c r="T60">
        <f>IF(A60="",-1,R60-ROW(R60)/1000000)</f>
        <v/>
      </c>
      <c r="U60" s="44" t="inlineStr">
        <is>
          <t>a.cizauskas@gmail.com</t>
        </is>
      </c>
      <c r="W60" s="44" t="inlineStr">
        <is>
          <t>p</t>
        </is>
      </c>
    </row>
    <row r="61" ht="12.75" customHeight="1">
      <c r="A61" s="27" t="inlineStr">
        <is>
          <t>N&amp;A Pociai</t>
        </is>
      </c>
      <c r="B61" s="43" t="inlineStr">
        <is>
          <t>Portugal</t>
        </is>
      </c>
      <c r="C61" s="43" t="inlineStr">
        <is>
          <t>France</t>
        </is>
      </c>
      <c r="D61" s="43" t="inlineStr">
        <is>
          <t>Spain</t>
        </is>
      </c>
      <c r="E61" s="43" t="inlineStr">
        <is>
          <t>Brazil</t>
        </is>
      </c>
      <c r="F61" s="43" t="inlineStr">
        <is>
          <t>Türkiye</t>
        </is>
      </c>
      <c r="G61" s="43" t="inlineStr">
        <is>
          <t>Canada</t>
        </is>
      </c>
      <c r="H61" s="43" t="inlineStr">
        <is>
          <t>Ghana</t>
        </is>
      </c>
      <c r="I61" s="28" t="inlineStr">
        <is>
          <t>Spain</t>
        </is>
      </c>
      <c r="J61" s="28">
        <f>IFERROR(VLOOKUP(B61,Scoring!$A$4:$N$51,14,FALSE())*6,"-")</f>
        <v/>
      </c>
      <c r="K61" s="28">
        <f>IFERROR(VLOOKUP(C61,Scoring!$A$4:$N$51,14,FALSE())*4,"-")</f>
        <v/>
      </c>
      <c r="L61" s="28">
        <f>IFERROR(VLOOKUP(D61,Scoring!$A$4:$N$51,14,FALSE())*3,"-")</f>
        <v/>
      </c>
      <c r="M61" s="28">
        <f>IFERROR(VLOOKUP(E61,Scoring!$A$4:$N$51,14,FALSE())*2,"-")</f>
        <v/>
      </c>
      <c r="N61" s="28">
        <f>IFERROR(VLOOKUP(F61,Scoring!$A$4:$N$51,14,FALSE()),"-")</f>
        <v/>
      </c>
      <c r="O61" s="28">
        <f>IFERROR(VLOOKUP(G61,Scoring!$A$4:$N$51,14,FALSE()),"-")</f>
        <v/>
      </c>
      <c r="P61" s="29">
        <f>IFERROR(VLOOKUP(H61,Scoring!$A$4:$N$51,14,FALSE()),"-")</f>
        <v/>
      </c>
      <c r="Q61" s="29">
        <f>IFERROR(VLOOKUP(I61,Scoring!$A$4:$N$51,6,FALSE()),"-")</f>
        <v/>
      </c>
      <c r="R61" s="36">
        <f>IF(A61="","-",SUM(J61:Q61))</f>
        <v/>
      </c>
      <c r="S61">
        <f>IF(A61="","",RANK(R61,$R$4:$R$119))</f>
        <v/>
      </c>
      <c r="T61">
        <f>IF(A61="",-1,R61-ROW(R61)/1000000)</f>
        <v/>
      </c>
      <c r="U61" s="44" t="inlineStr">
        <is>
          <t>arnas.pocius@gmail.com</t>
        </is>
      </c>
      <c r="W61" s="44" t="inlineStr">
        <is>
          <t>p</t>
        </is>
      </c>
    </row>
    <row r="62" ht="12.75" customHeight="1">
      <c r="A62" s="27" t="inlineStr">
        <is>
          <t>Donatas Celesius</t>
        </is>
      </c>
      <c r="B62" s="43" t="inlineStr">
        <is>
          <t>Colombia</t>
        </is>
      </c>
      <c r="C62" s="43" t="inlineStr">
        <is>
          <t>Germany</t>
        </is>
      </c>
      <c r="D62" s="43" t="inlineStr">
        <is>
          <t>Mexico</t>
        </is>
      </c>
      <c r="E62" s="43" t="inlineStr">
        <is>
          <t>Uruguay</t>
        </is>
      </c>
      <c r="F62" s="43" t="inlineStr">
        <is>
          <t>Colombia</t>
        </is>
      </c>
      <c r="G62" s="43" t="inlineStr">
        <is>
          <t>Canada</t>
        </is>
      </c>
      <c r="H62" s="43" t="inlineStr">
        <is>
          <t>Bosnia &amp; Herzegovina</t>
        </is>
      </c>
      <c r="I62" s="28" t="inlineStr">
        <is>
          <t>Brazil</t>
        </is>
      </c>
      <c r="J62" s="28">
        <f>IFERROR(VLOOKUP(B62,Scoring!$A$4:$N$51,14,FALSE())*6,"-")</f>
        <v/>
      </c>
      <c r="K62" s="28">
        <f>IFERROR(VLOOKUP(C62,Scoring!$A$4:$N$51,14,FALSE())*4,"-")</f>
        <v/>
      </c>
      <c r="L62" s="28">
        <f>IFERROR(VLOOKUP(D62,Scoring!$A$4:$N$51,14,FALSE())*3,"-")</f>
        <v/>
      </c>
      <c r="M62" s="28">
        <f>IFERROR(VLOOKUP(E62,Scoring!$A$4:$N$51,14,FALSE())*2,"-")</f>
        <v/>
      </c>
      <c r="N62" s="28">
        <f>IFERROR(VLOOKUP(F62,Scoring!$A$4:$N$51,14,FALSE()),"-")</f>
        <v/>
      </c>
      <c r="O62" s="28">
        <f>IFERROR(VLOOKUP(G62,Scoring!$A$4:$N$51,14,FALSE()),"-")</f>
        <v/>
      </c>
      <c r="P62" s="29">
        <f>IFERROR(VLOOKUP(H62,Scoring!$A$4:$N$51,14,FALSE()),"-")</f>
        <v/>
      </c>
      <c r="Q62" s="29">
        <f>IFERROR(VLOOKUP(I62,Scoring!$A$4:$N$51,6,FALSE()),"-")</f>
        <v/>
      </c>
      <c r="R62" s="36">
        <f>IF(A62="","-",SUM(J62:Q62))</f>
        <v/>
      </c>
      <c r="S62">
        <f>IF(A62="","",RANK(R62,$R$4:$R$119))</f>
        <v/>
      </c>
      <c r="T62">
        <f>IF(A62="",-1,R62-ROW(R62)/1000000)</f>
        <v/>
      </c>
      <c r="U62" s="143" t="inlineStr">
        <is>
          <t>donatas.c@gmail.com</t>
        </is>
      </c>
      <c r="W62" s="44" t="inlineStr">
        <is>
          <t>p</t>
        </is>
      </c>
    </row>
    <row r="63" ht="12.75" customHeight="1">
      <c r="A63" s="27" t="inlineStr">
        <is>
          <t>Evelina Tiščenkė</t>
        </is>
      </c>
      <c r="B63" s="43" t="inlineStr">
        <is>
          <t>France</t>
        </is>
      </c>
      <c r="C63" s="43" t="inlineStr">
        <is>
          <t>Brazil</t>
        </is>
      </c>
      <c r="D63" s="43" t="inlineStr">
        <is>
          <t>Spain</t>
        </is>
      </c>
      <c r="E63" s="43" t="inlineStr">
        <is>
          <t>England</t>
        </is>
      </c>
      <c r="F63" s="43" t="inlineStr">
        <is>
          <t>Uruguay</t>
        </is>
      </c>
      <c r="G63" s="43" t="inlineStr">
        <is>
          <t>Egypt</t>
        </is>
      </c>
      <c r="H63" s="43" t="inlineStr">
        <is>
          <t>Qatar</t>
        </is>
      </c>
      <c r="I63" s="28" t="inlineStr">
        <is>
          <t>France</t>
        </is>
      </c>
      <c r="J63" s="28">
        <f>IFERROR(VLOOKUP(B63,Scoring!$A$4:$N$51,14,FALSE())*6,"-")</f>
        <v/>
      </c>
      <c r="K63" s="28">
        <f>IFERROR(VLOOKUP(C63,Scoring!$A$4:$N$51,14,FALSE())*4,"-")</f>
        <v/>
      </c>
      <c r="L63" s="28">
        <f>IFERROR(VLOOKUP(D63,Scoring!$A$4:$N$51,14,FALSE())*3,"-")</f>
        <v/>
      </c>
      <c r="M63" s="28">
        <f>IFERROR(VLOOKUP(E63,Scoring!$A$4:$N$51,14,FALSE())*2,"-")</f>
        <v/>
      </c>
      <c r="N63" s="28">
        <f>IFERROR(VLOOKUP(F63,Scoring!$A$4:$N$51,14,FALSE()),"-")</f>
        <v/>
      </c>
      <c r="O63" s="28">
        <f>IFERROR(VLOOKUP(G63,Scoring!$A$4:$N$51,14,FALSE()),"-")</f>
        <v/>
      </c>
      <c r="P63" s="29">
        <f>IFERROR(VLOOKUP(H63,Scoring!$A$4:$N$51,14,FALSE()),"-")</f>
        <v/>
      </c>
      <c r="Q63" s="29">
        <f>IFERROR(VLOOKUP(I63,Scoring!$A$4:$N$51,6,FALSE()),"-")</f>
        <v/>
      </c>
      <c r="R63" s="36">
        <f>IF(A63="","-",SUM(J63:Q63))</f>
        <v/>
      </c>
      <c r="S63">
        <f>IF(A63="","",RANK(R63,$R$4:$R$119))</f>
        <v/>
      </c>
      <c r="T63">
        <f>IF(A63="",-1,R63-ROW(R63)/1000000)</f>
        <v/>
      </c>
      <c r="U63" s="143" t="inlineStr">
        <is>
          <t>evelina.tiscenke@klinkera.lt</t>
        </is>
      </c>
      <c r="W63" s="44" t="inlineStr">
        <is>
          <t>p</t>
        </is>
      </c>
    </row>
    <row r="64" ht="12.75" customHeight="1">
      <c r="A64" s="27" t="inlineStr">
        <is>
          <t>Gianmarco Monti</t>
        </is>
      </c>
      <c r="B64" s="43" t="inlineStr">
        <is>
          <t>France</t>
        </is>
      </c>
      <c r="C64" s="43" t="inlineStr">
        <is>
          <t>Spain</t>
        </is>
      </c>
      <c r="D64" s="43" t="inlineStr">
        <is>
          <t>Brazil</t>
        </is>
      </c>
      <c r="E64" s="43" t="inlineStr">
        <is>
          <t>England</t>
        </is>
      </c>
      <c r="F64" s="43" t="inlineStr">
        <is>
          <t>Japan</t>
        </is>
      </c>
      <c r="G64" s="43" t="inlineStr">
        <is>
          <t>Norway</t>
        </is>
      </c>
      <c r="H64" s="43" t="inlineStr">
        <is>
          <t>Ghana</t>
        </is>
      </c>
      <c r="I64" s="28" t="inlineStr">
        <is>
          <t>France</t>
        </is>
      </c>
      <c r="J64" s="28">
        <f>IFERROR(VLOOKUP(B64,Scoring!$A$4:$N$51,14,FALSE())*6,"-")</f>
        <v/>
      </c>
      <c r="K64" s="28">
        <f>IFERROR(VLOOKUP(C64,Scoring!$A$4:$N$51,14,FALSE())*4,"-")</f>
        <v/>
      </c>
      <c r="L64" s="28">
        <f>IFERROR(VLOOKUP(D64,Scoring!$A$4:$N$51,14,FALSE())*3,"-")</f>
        <v/>
      </c>
      <c r="M64" s="28">
        <f>IFERROR(VLOOKUP(E64,Scoring!$A$4:$N$51,14,FALSE())*2,"-")</f>
        <v/>
      </c>
      <c r="N64" s="28">
        <f>IFERROR(VLOOKUP(F64,Scoring!$A$4:$N$51,14,FALSE()),"-")</f>
        <v/>
      </c>
      <c r="O64" s="28">
        <f>IFERROR(VLOOKUP(G64,Scoring!$A$4:$N$51,14,FALSE()),"-")</f>
        <v/>
      </c>
      <c r="P64" s="29">
        <f>IFERROR(VLOOKUP(H64,Scoring!$A$4:$N$51,14,FALSE()),"-")</f>
        <v/>
      </c>
      <c r="Q64" s="29">
        <f>IFERROR(VLOOKUP(I64,Scoring!$A$4:$N$51,6,FALSE()),"-")</f>
        <v/>
      </c>
      <c r="R64" s="36">
        <f>IF(A64="","-",SUM(J64:Q64))</f>
        <v/>
      </c>
      <c r="S64">
        <f>IF(A64="","",RANK(R64,$R$4:$R$119))</f>
        <v/>
      </c>
      <c r="T64">
        <f>IF(A64="",-1,R64-ROW(R64)/1000000)</f>
        <v/>
      </c>
      <c r="U64" s="143" t="inlineStr">
        <is>
          <t>Gianmarco.Monti@carlsberg.it</t>
        </is>
      </c>
      <c r="W64" s="44" t="inlineStr">
        <is>
          <t>p</t>
        </is>
      </c>
    </row>
    <row r="65" ht="12.75" customHeight="1">
      <c r="A65" s="27" t="inlineStr">
        <is>
          <t>Lukas Vaitukaitis</t>
        </is>
      </c>
      <c r="B65" s="43" t="inlineStr">
        <is>
          <t>Portugal</t>
        </is>
      </c>
      <c r="C65" s="43" t="inlineStr">
        <is>
          <t>France</t>
        </is>
      </c>
      <c r="D65" s="43" t="inlineStr">
        <is>
          <t>Spain</t>
        </is>
      </c>
      <c r="E65" s="43" t="inlineStr">
        <is>
          <t>Brazil</t>
        </is>
      </c>
      <c r="F65" s="43" t="inlineStr">
        <is>
          <t>Colombia</t>
        </is>
      </c>
      <c r="G65" s="43" t="inlineStr">
        <is>
          <t>Norway</t>
        </is>
      </c>
      <c r="H65" s="43" t="inlineStr">
        <is>
          <t>Uzbekistan</t>
        </is>
      </c>
      <c r="I65" s="28" t="inlineStr">
        <is>
          <t>France</t>
        </is>
      </c>
      <c r="J65" s="28">
        <f>IFERROR(VLOOKUP(B65,Scoring!$A$4:$N$51,14,FALSE())*6,"-")</f>
        <v/>
      </c>
      <c r="K65" s="28">
        <f>IFERROR(VLOOKUP(C65,Scoring!$A$4:$N$51,14,FALSE())*4,"-")</f>
        <v/>
      </c>
      <c r="L65" s="28">
        <f>IFERROR(VLOOKUP(D65,Scoring!$A$4:$N$51,14,FALSE())*3,"-")</f>
        <v/>
      </c>
      <c r="M65" s="28">
        <f>IFERROR(VLOOKUP(E65,Scoring!$A$4:$N$51,14,FALSE())*2,"-")</f>
        <v/>
      </c>
      <c r="N65" s="28">
        <f>IFERROR(VLOOKUP(F65,Scoring!$A$4:$N$51,14,FALSE()),"-")</f>
        <v/>
      </c>
      <c r="O65" s="28">
        <f>IFERROR(VLOOKUP(G65,Scoring!$A$4:$N$51,14,FALSE()),"-")</f>
        <v/>
      </c>
      <c r="P65" s="29">
        <f>IFERROR(VLOOKUP(H65,Scoring!$A$4:$N$51,14,FALSE()),"-")</f>
        <v/>
      </c>
      <c r="Q65" s="29">
        <f>IFERROR(VLOOKUP(I65,Scoring!$A$4:$N$51,6,FALSE()),"-")</f>
        <v/>
      </c>
      <c r="R65" s="36">
        <f>IF(A65="","-",SUM(J65:Q65))</f>
        <v/>
      </c>
      <c r="S65">
        <f>IF(A65="","",RANK(R65,$R$4:$R$119))</f>
        <v/>
      </c>
      <c r="T65">
        <f>IF(A65="",-1,R65-ROW(R65)/1000000)</f>
        <v/>
      </c>
      <c r="U65" s="143" t="inlineStr">
        <is>
          <t>lukas.vaitukaitis@cchellenic.com</t>
        </is>
      </c>
      <c r="W65" s="44" t="inlineStr">
        <is>
          <t>p</t>
        </is>
      </c>
    </row>
    <row r="66" ht="12.75" customHeight="1">
      <c r="A66" s="27" t="inlineStr">
        <is>
          <t>Mindaugas Sipavičius</t>
        </is>
      </c>
      <c r="B66" s="43" t="inlineStr">
        <is>
          <t>Spain</t>
        </is>
      </c>
      <c r="C66" s="43" t="inlineStr">
        <is>
          <t>Brazil</t>
        </is>
      </c>
      <c r="D66" s="43" t="inlineStr">
        <is>
          <t>Germany</t>
        </is>
      </c>
      <c r="E66" s="43" t="inlineStr">
        <is>
          <t>Netherlands</t>
        </is>
      </c>
      <c r="F66" s="43" t="inlineStr">
        <is>
          <t>Austria</t>
        </is>
      </c>
      <c r="G66" s="43" t="inlineStr">
        <is>
          <t>Norway</t>
        </is>
      </c>
      <c r="H66" s="43" t="inlineStr">
        <is>
          <t>Cape Verde</t>
        </is>
      </c>
      <c r="I66" s="28" t="inlineStr">
        <is>
          <t>Brazil</t>
        </is>
      </c>
      <c r="J66" s="28">
        <f>IFERROR(VLOOKUP(B66,Scoring!$A$4:$N$51,14,FALSE())*6,"-")</f>
        <v/>
      </c>
      <c r="K66" s="28">
        <f>IFERROR(VLOOKUP(C66,Scoring!$A$4:$N$51,14,FALSE())*4,"-")</f>
        <v/>
      </c>
      <c r="L66" s="28">
        <f>IFERROR(VLOOKUP(D66,Scoring!$A$4:$N$51,14,FALSE())*3,"-")</f>
        <v/>
      </c>
      <c r="M66" s="28">
        <f>IFERROR(VLOOKUP(E66,Scoring!$A$4:$N$51,14,FALSE())*2,"-")</f>
        <v/>
      </c>
      <c r="N66" s="28">
        <f>IFERROR(VLOOKUP(F66,Scoring!$A$4:$N$51,14,FALSE()),"-")</f>
        <v/>
      </c>
      <c r="O66" s="28">
        <f>IFERROR(VLOOKUP(G66,Scoring!$A$4:$N$51,14,FALSE()),"-")</f>
        <v/>
      </c>
      <c r="P66" s="29">
        <f>IFERROR(VLOOKUP(H66,Scoring!$A$4:$N$51,14,FALSE()),"-")</f>
        <v/>
      </c>
      <c r="Q66" s="29">
        <f>IFERROR(VLOOKUP(I66,Scoring!$A$4:$N$51,6,FALSE()),"-")</f>
        <v/>
      </c>
      <c r="R66" s="36">
        <f>IF(A66="","-",SUM(J66:Q66))</f>
        <v/>
      </c>
      <c r="S66">
        <f>IF(A66="","",RANK(R66,$R$4:$R$119))</f>
        <v/>
      </c>
      <c r="T66">
        <f>IF(A66="",-1,R66-ROW(R66)/1000000)</f>
        <v/>
      </c>
      <c r="U66" s="143" t="inlineStr">
        <is>
          <t>mindaugas.sipavicius@gmail.com</t>
        </is>
      </c>
      <c r="W66" s="44" t="inlineStr">
        <is>
          <t>p</t>
        </is>
      </c>
    </row>
    <row r="67" ht="12.75" customHeight="1">
      <c r="A67" s="27" t="inlineStr">
        <is>
          <t>Simonas Sipavičius</t>
        </is>
      </c>
      <c r="B67" s="43" t="inlineStr">
        <is>
          <t>Spain</t>
        </is>
      </c>
      <c r="C67" s="43" t="inlineStr">
        <is>
          <t>Argentina</t>
        </is>
      </c>
      <c r="D67" s="43" t="inlineStr">
        <is>
          <t>France</t>
        </is>
      </c>
      <c r="E67" s="43" t="inlineStr">
        <is>
          <t>England</t>
        </is>
      </c>
      <c r="F67" s="43" t="inlineStr">
        <is>
          <t>Japan</t>
        </is>
      </c>
      <c r="G67" s="43" t="inlineStr">
        <is>
          <t>Norway</t>
        </is>
      </c>
      <c r="H67" s="43" t="inlineStr">
        <is>
          <t>Uzbekistan</t>
        </is>
      </c>
      <c r="I67" s="28" t="inlineStr">
        <is>
          <t>Spain</t>
        </is>
      </c>
      <c r="J67" s="28">
        <f>IFERROR(VLOOKUP(B67,Scoring!$A$4:$N$51,14,FALSE())*6,"-")</f>
        <v/>
      </c>
      <c r="K67" s="28">
        <f>IFERROR(VLOOKUP(C67,Scoring!$A$4:$N$51,14,FALSE())*4,"-")</f>
        <v/>
      </c>
      <c r="L67" s="28">
        <f>IFERROR(VLOOKUP(D67,Scoring!$A$4:$N$51,14,FALSE())*3,"-")</f>
        <v/>
      </c>
      <c r="M67" s="28">
        <f>IFERROR(VLOOKUP(E67,Scoring!$A$4:$N$51,14,FALSE())*2,"-")</f>
        <v/>
      </c>
      <c r="N67" s="28">
        <f>IFERROR(VLOOKUP(F67,Scoring!$A$4:$N$51,14,FALSE()),"-")</f>
        <v/>
      </c>
      <c r="O67" s="28">
        <f>IFERROR(VLOOKUP(G67,Scoring!$A$4:$N$51,14,FALSE()),"-")</f>
        <v/>
      </c>
      <c r="P67" s="29">
        <f>IFERROR(VLOOKUP(H67,Scoring!$A$4:$N$51,14,FALSE()),"-")</f>
        <v/>
      </c>
      <c r="Q67" s="29">
        <f>IFERROR(VLOOKUP(I67,Scoring!$A$4:$N$51,6,FALSE()),"-")</f>
        <v/>
      </c>
      <c r="R67" s="36">
        <f>IF(A67="","-",SUM(J67:Q67))</f>
        <v/>
      </c>
      <c r="S67">
        <f>IF(A67="","",RANK(R67,$R$4:$R$119))</f>
        <v/>
      </c>
      <c r="T67">
        <f>IF(A67="",-1,R67-ROW(R67)/1000000)</f>
        <v/>
      </c>
      <c r="U67" s="143" t="inlineStr">
        <is>
          <t>mindaugas.sipavicius@gmail.com</t>
        </is>
      </c>
      <c r="W67" s="44" t="inlineStr">
        <is>
          <t>p</t>
        </is>
      </c>
    </row>
    <row r="68" ht="12.75" customHeight="1">
      <c r="A68" s="27" t="inlineStr">
        <is>
          <t>Rolandas Urbelis</t>
        </is>
      </c>
      <c r="B68" s="43" t="inlineStr">
        <is>
          <t>Brazil</t>
        </is>
      </c>
      <c r="C68" s="43" t="inlineStr">
        <is>
          <t>Spain</t>
        </is>
      </c>
      <c r="D68" s="43" t="inlineStr">
        <is>
          <t>France</t>
        </is>
      </c>
      <c r="E68" s="43" t="inlineStr">
        <is>
          <t>England</t>
        </is>
      </c>
      <c r="F68" s="43" t="inlineStr">
        <is>
          <t>Japan</t>
        </is>
      </c>
      <c r="G68" s="43" t="inlineStr">
        <is>
          <t>Scotland</t>
        </is>
      </c>
      <c r="H68" s="43" t="inlineStr">
        <is>
          <t>Bosnia &amp; Herzegovina</t>
        </is>
      </c>
      <c r="I68" s="28" t="inlineStr">
        <is>
          <t>Brazil</t>
        </is>
      </c>
      <c r="J68" s="28">
        <f>IFERROR(VLOOKUP(B68,Scoring!$A$4:$N$51,14,FALSE())*6,"-")</f>
        <v/>
      </c>
      <c r="K68" s="28">
        <f>IFERROR(VLOOKUP(C68,Scoring!$A$4:$N$51,14,FALSE())*4,"-")</f>
        <v/>
      </c>
      <c r="L68" s="28">
        <f>IFERROR(VLOOKUP(D68,Scoring!$A$4:$N$51,14,FALSE())*3,"-")</f>
        <v/>
      </c>
      <c r="M68" s="28">
        <f>IFERROR(VLOOKUP(E68,Scoring!$A$4:$N$51,14,FALSE())*2,"-")</f>
        <v/>
      </c>
      <c r="N68" s="28">
        <f>IFERROR(VLOOKUP(F68,Scoring!$A$4:$N$51,14,FALSE()),"-")</f>
        <v/>
      </c>
      <c r="O68" s="28">
        <f>IFERROR(VLOOKUP(G68,Scoring!$A$4:$N$51,14,FALSE()),"-")</f>
        <v/>
      </c>
      <c r="P68" s="29">
        <f>IFERROR(VLOOKUP(H68,Scoring!$A$4:$N$51,14,FALSE()),"-")</f>
        <v/>
      </c>
      <c r="Q68" s="29">
        <f>IFERROR(VLOOKUP(I68,Scoring!$A$4:$N$51,6,FALSE()),"-")</f>
        <v/>
      </c>
      <c r="R68" s="36">
        <f>IF(A68="","-",SUM(J68:Q68))</f>
        <v/>
      </c>
      <c r="S68">
        <f>IF(A68="","",RANK(R68,$R$4:$R$119))</f>
        <v/>
      </c>
      <c r="T68">
        <f>IF(A68="",-1,R68-ROW(R68)/1000000)</f>
        <v/>
      </c>
      <c r="U68" s="143" t="inlineStr">
        <is>
          <t>rolandasurbelis@yahoo.com</t>
        </is>
      </c>
      <c r="W68" s="44" t="inlineStr">
        <is>
          <t>p</t>
        </is>
      </c>
    </row>
    <row r="69" ht="12.75" customHeight="1">
      <c r="A69" s="27" t="inlineStr">
        <is>
          <t>Enrico Ancarola, Pietro Rivera, Riccardo Gatti</t>
        </is>
      </c>
      <c r="B69" s="43" t="inlineStr">
        <is>
          <t>France</t>
        </is>
      </c>
      <c r="C69" s="43" t="inlineStr">
        <is>
          <t>Portugal</t>
        </is>
      </c>
      <c r="D69" s="43" t="inlineStr">
        <is>
          <t>Spain</t>
        </is>
      </c>
      <c r="E69" s="43" t="inlineStr">
        <is>
          <t>Argentina</t>
        </is>
      </c>
      <c r="F69" s="43" t="inlineStr">
        <is>
          <t>Mexico</t>
        </is>
      </c>
      <c r="G69" s="43" t="inlineStr">
        <is>
          <t>Egypt</t>
        </is>
      </c>
      <c r="H69" s="43" t="inlineStr">
        <is>
          <t>Ghana</t>
        </is>
      </c>
      <c r="I69" s="28" t="inlineStr">
        <is>
          <t>Spain</t>
        </is>
      </c>
      <c r="J69" s="28">
        <f>IFERROR(VLOOKUP(B69,Scoring!$A$4:$N$51,14,FALSE())*6,"-")</f>
        <v/>
      </c>
      <c r="K69" s="28">
        <f>IFERROR(VLOOKUP(C69,Scoring!$A$4:$N$51,14,FALSE())*4,"-")</f>
        <v/>
      </c>
      <c r="L69" s="28">
        <f>IFERROR(VLOOKUP(D69,Scoring!$A$4:$N$51,14,FALSE())*3,"-")</f>
        <v/>
      </c>
      <c r="M69" s="28">
        <f>IFERROR(VLOOKUP(E69,Scoring!$A$4:$N$51,14,FALSE())*2,"-")</f>
        <v/>
      </c>
      <c r="N69" s="28">
        <f>IFERROR(VLOOKUP(F69,Scoring!$A$4:$N$51,14,FALSE()),"-")</f>
        <v/>
      </c>
      <c r="O69" s="28">
        <f>IFERROR(VLOOKUP(G69,Scoring!$A$4:$N$51,14,FALSE()),"-")</f>
        <v/>
      </c>
      <c r="P69" s="29">
        <f>IFERROR(VLOOKUP(H69,Scoring!$A$4:$N$51,14,FALSE()),"-")</f>
        <v/>
      </c>
      <c r="Q69" s="29">
        <f>IFERROR(VLOOKUP(I69,Scoring!$A$4:$N$51,6,FALSE()),"-")</f>
        <v/>
      </c>
      <c r="R69" s="36">
        <f>IF(A69="","-",SUM(J69:Q69))</f>
        <v/>
      </c>
      <c r="S69">
        <f>IF(A69="","",RANK(R69,$R$4:$R$119))</f>
        <v/>
      </c>
      <c r="T69">
        <f>IF(A69="",-1,R69-ROW(R69)/1000000)</f>
        <v/>
      </c>
      <c r="U69" s="44" t="inlineStr">
        <is>
          <t>Enrico.Ancarola@carlsberg.it; Pietro.Rivera@carlsberg.it; riccardo.gatti@carlsberg.lt</t>
        </is>
      </c>
      <c r="W69" s="44" t="inlineStr">
        <is>
          <t>p</t>
        </is>
      </c>
    </row>
    <row r="70" ht="12.75" customHeight="1">
      <c r="A70" s="27" t="inlineStr">
        <is>
          <t>Artem Lavrov</t>
        </is>
      </c>
      <c r="B70" s="43" t="inlineStr">
        <is>
          <t>Argentina</t>
        </is>
      </c>
      <c r="C70" s="43" t="inlineStr">
        <is>
          <t>France</t>
        </is>
      </c>
      <c r="D70" s="43" t="inlineStr">
        <is>
          <t>Brazil</t>
        </is>
      </c>
      <c r="E70" s="43" t="inlineStr">
        <is>
          <t>Spain</t>
        </is>
      </c>
      <c r="F70" s="43" t="inlineStr">
        <is>
          <t>Colombia</t>
        </is>
      </c>
      <c r="G70" s="43" t="inlineStr">
        <is>
          <t>Egypt</t>
        </is>
      </c>
      <c r="H70" s="43" t="inlineStr">
        <is>
          <t>Uzbekistan</t>
        </is>
      </c>
      <c r="I70" s="28" t="inlineStr">
        <is>
          <t>France</t>
        </is>
      </c>
      <c r="J70" s="28">
        <f>IFERROR(VLOOKUP(B70,Scoring!$A$4:$N$51,14,FALSE())*6,"-")</f>
        <v/>
      </c>
      <c r="K70" s="28">
        <f>IFERROR(VLOOKUP(C70,Scoring!$A$4:$N$51,14,FALSE())*4,"-")</f>
        <v/>
      </c>
      <c r="L70" s="28">
        <f>IFERROR(VLOOKUP(D70,Scoring!$A$4:$N$51,14,FALSE())*3,"-")</f>
        <v/>
      </c>
      <c r="M70" s="28">
        <f>IFERROR(VLOOKUP(E70,Scoring!$A$4:$N$51,14,FALSE())*2,"-")</f>
        <v/>
      </c>
      <c r="N70" s="28">
        <f>IFERROR(VLOOKUP(F70,Scoring!$A$4:$N$51,14,FALSE()),"-")</f>
        <v/>
      </c>
      <c r="O70" s="28">
        <f>IFERROR(VLOOKUP(G70,Scoring!$A$4:$N$51,14,FALSE()),"-")</f>
        <v/>
      </c>
      <c r="P70" s="29">
        <f>IFERROR(VLOOKUP(H70,Scoring!$A$4:$N$51,14,FALSE()),"-")</f>
        <v/>
      </c>
      <c r="Q70" s="29">
        <f>IFERROR(VLOOKUP(I70,Scoring!$A$4:$N$51,6,FALSE()),"-")</f>
        <v/>
      </c>
      <c r="R70" s="36">
        <f>IF(A70="","-",SUM(J70:Q70))</f>
        <v/>
      </c>
      <c r="S70">
        <f>IF(A70="","",RANK(R70,$R$4:$R$119))</f>
        <v/>
      </c>
      <c r="T70">
        <f>IF(A70="",-1,R70-ROW(R70)/1000000)</f>
        <v/>
      </c>
      <c r="U70" s="143" t="inlineStr">
        <is>
          <t>Artem.Lavrov@carlsberg.kz</t>
        </is>
      </c>
    </row>
    <row r="71" ht="12.75" customHeight="1">
      <c r="A71" s="27" t="inlineStr">
        <is>
          <t>Donatas Keras</t>
        </is>
      </c>
      <c r="B71" s="43" t="inlineStr">
        <is>
          <t>Spain</t>
        </is>
      </c>
      <c r="C71" s="43" t="inlineStr">
        <is>
          <t>Netherlands</t>
        </is>
      </c>
      <c r="D71" s="43" t="inlineStr">
        <is>
          <t>France</t>
        </is>
      </c>
      <c r="E71" s="43" t="inlineStr">
        <is>
          <t>Argentina</t>
        </is>
      </c>
      <c r="F71" s="43" t="inlineStr">
        <is>
          <t>United States</t>
        </is>
      </c>
      <c r="G71" s="43" t="inlineStr">
        <is>
          <t>Norway</t>
        </is>
      </c>
      <c r="H71" s="43" t="inlineStr">
        <is>
          <t>DR Congo</t>
        </is>
      </c>
      <c r="I71" s="28" t="inlineStr">
        <is>
          <t>Spain</t>
        </is>
      </c>
      <c r="J71" s="28">
        <f>IFERROR(VLOOKUP(B71,Scoring!$A$4:$N$51,14,FALSE())*6,"-")</f>
        <v/>
      </c>
      <c r="K71" s="28">
        <f>IFERROR(VLOOKUP(C71,Scoring!$A$4:$N$51,14,FALSE())*4,"-")</f>
        <v/>
      </c>
      <c r="L71" s="28">
        <f>IFERROR(VLOOKUP(D71,Scoring!$A$4:$N$51,14,FALSE())*3,"-")</f>
        <v/>
      </c>
      <c r="M71" s="28">
        <f>IFERROR(VLOOKUP(E71,Scoring!$A$4:$N$51,14,FALSE())*2,"-")</f>
        <v/>
      </c>
      <c r="N71" s="28">
        <f>IFERROR(VLOOKUP(F71,Scoring!$A$4:$N$51,14,FALSE()),"-")</f>
        <v/>
      </c>
      <c r="O71" s="28">
        <f>IFERROR(VLOOKUP(G71,Scoring!$A$4:$N$51,14,FALSE()),"-")</f>
        <v/>
      </c>
      <c r="P71" s="29">
        <f>IFERROR(VLOOKUP(H71,Scoring!$A$4:$N$51,14,FALSE()),"-")</f>
        <v/>
      </c>
      <c r="Q71" s="29">
        <f>IFERROR(VLOOKUP(I71,Scoring!$A$4:$N$51,6,FALSE()),"-")</f>
        <v/>
      </c>
      <c r="R71" s="36">
        <f>IF(A71="","-",SUM(J71:Q71))</f>
        <v/>
      </c>
      <c r="S71">
        <f>IF(A71="","",RANK(R71,$R$4:$R$119))</f>
        <v/>
      </c>
      <c r="T71">
        <f>IF(A71="",-1,R71-ROW(R71)/1000000)</f>
        <v/>
      </c>
      <c r="U71" s="44" t="inlineStr">
        <is>
          <t>Donatas.Keras@gjensidige.lt</t>
        </is>
      </c>
      <c r="W71" s="44" t="inlineStr">
        <is>
          <t>p</t>
        </is>
      </c>
    </row>
    <row r="72" ht="12.75" customHeight="1">
      <c r="A72" s="27" t="inlineStr">
        <is>
          <t>Donatas Bakėjus</t>
        </is>
      </c>
      <c r="B72" s="43" t="inlineStr">
        <is>
          <t>Spain</t>
        </is>
      </c>
      <c r="C72" s="43" t="inlineStr">
        <is>
          <t>France</t>
        </is>
      </c>
      <c r="D72" s="43" t="inlineStr">
        <is>
          <t>Brazil</t>
        </is>
      </c>
      <c r="E72" s="43" t="inlineStr">
        <is>
          <t>Argentina</t>
        </is>
      </c>
      <c r="F72" s="43" t="inlineStr">
        <is>
          <t>Colombia</t>
        </is>
      </c>
      <c r="G72" s="43" t="inlineStr">
        <is>
          <t>Sweden</t>
        </is>
      </c>
      <c r="H72" s="43" t="inlineStr">
        <is>
          <t>Bosnia &amp; Herzegovina</t>
        </is>
      </c>
      <c r="I72" s="28" t="inlineStr">
        <is>
          <t>Spain</t>
        </is>
      </c>
      <c r="J72" s="28">
        <f>IFERROR(VLOOKUP(B72,Scoring!$A$4:$N$51,14,FALSE())*6,"-")</f>
        <v/>
      </c>
      <c r="K72" s="28">
        <f>IFERROR(VLOOKUP(C72,Scoring!$A$4:$N$51,14,FALSE())*4,"-")</f>
        <v/>
      </c>
      <c r="L72" s="28">
        <f>IFERROR(VLOOKUP(D72,Scoring!$A$4:$N$51,14,FALSE())*3,"-")</f>
        <v/>
      </c>
      <c r="M72" s="28">
        <f>IFERROR(VLOOKUP(E72,Scoring!$A$4:$N$51,14,FALSE())*2,"-")</f>
        <v/>
      </c>
      <c r="N72" s="28">
        <f>IFERROR(VLOOKUP(F72,Scoring!$A$4:$N$51,14,FALSE()),"-")</f>
        <v/>
      </c>
      <c r="O72" s="28">
        <f>IFERROR(VLOOKUP(G72,Scoring!$A$4:$N$51,14,FALSE()),"-")</f>
        <v/>
      </c>
      <c r="P72" s="29">
        <f>IFERROR(VLOOKUP(H72,Scoring!$A$4:$N$51,14,FALSE()),"-")</f>
        <v/>
      </c>
      <c r="Q72" s="29">
        <f>IFERROR(VLOOKUP(I72,Scoring!$A$4:$N$51,6,FALSE()),"-")</f>
        <v/>
      </c>
      <c r="R72" s="36">
        <f>IF(A72="","-",SUM(J72:Q72))</f>
        <v/>
      </c>
      <c r="S72">
        <f>IF(A72="","",RANK(R72,$R$4:$R$119))</f>
        <v/>
      </c>
      <c r="T72">
        <f>IF(A72="",-1,R72-ROW(R72)/1000000)</f>
        <v/>
      </c>
      <c r="U72" s="143" t="inlineStr">
        <is>
          <t>donatas.bakejus@gmail.com</t>
        </is>
      </c>
      <c r="W72" s="44" t="inlineStr">
        <is>
          <t>p</t>
        </is>
      </c>
    </row>
    <row r="73" ht="12.75" customHeight="1">
      <c r="A73" s="27" t="inlineStr">
        <is>
          <t>Simonas Anikinas</t>
        </is>
      </c>
      <c r="B73" s="43" t="inlineStr">
        <is>
          <t>Netherlands</t>
        </is>
      </c>
      <c r="C73" s="43" t="inlineStr">
        <is>
          <t>Spain</t>
        </is>
      </c>
      <c r="D73" s="43" t="inlineStr">
        <is>
          <t>Belgium</t>
        </is>
      </c>
      <c r="E73" s="43" t="inlineStr">
        <is>
          <t>Argentina</t>
        </is>
      </c>
      <c r="F73" s="43" t="inlineStr">
        <is>
          <t>Mexico</t>
        </is>
      </c>
      <c r="G73" s="43" t="inlineStr">
        <is>
          <t>Sweden</t>
        </is>
      </c>
      <c r="H73" s="43" t="inlineStr">
        <is>
          <t>Bosnia &amp; Herzegovina</t>
        </is>
      </c>
      <c r="I73" s="28" t="inlineStr">
        <is>
          <t>France</t>
        </is>
      </c>
      <c r="J73" s="28">
        <f>IFERROR(VLOOKUP(B73,Scoring!$A$4:$N$51,14,FALSE())*6,"-")</f>
        <v/>
      </c>
      <c r="K73" s="28">
        <f>IFERROR(VLOOKUP(C73,Scoring!$A$4:$N$51,14,FALSE())*4,"-")</f>
        <v/>
      </c>
      <c r="L73" s="28">
        <f>IFERROR(VLOOKUP(D73,Scoring!$A$4:$N$51,14,FALSE())*3,"-")</f>
        <v/>
      </c>
      <c r="M73" s="28">
        <f>IFERROR(VLOOKUP(E73,Scoring!$A$4:$N$51,14,FALSE())*2,"-")</f>
        <v/>
      </c>
      <c r="N73" s="28">
        <f>IFERROR(VLOOKUP(F73,Scoring!$A$4:$N$51,14,FALSE()),"-")</f>
        <v/>
      </c>
      <c r="O73" s="28">
        <f>IFERROR(VLOOKUP(G73,Scoring!$A$4:$N$51,14,FALSE()),"-")</f>
        <v/>
      </c>
      <c r="P73" s="29">
        <f>IFERROR(VLOOKUP(H73,Scoring!$A$4:$N$51,14,FALSE()),"-")</f>
        <v/>
      </c>
      <c r="Q73" s="29">
        <f>IFERROR(VLOOKUP(I73,Scoring!$A$4:$N$51,6,FALSE()),"-")</f>
        <v/>
      </c>
      <c r="R73" s="36">
        <f>IF(A73="","-",SUM(J73:Q73))</f>
        <v/>
      </c>
      <c r="S73">
        <f>IF(A73="","",RANK(R73,$R$4:$R$119))</f>
        <v/>
      </c>
      <c r="T73">
        <f>IF(A73="",-1,R73-ROW(R73)/1000000)</f>
        <v/>
      </c>
      <c r="U73" s="44" t="inlineStr">
        <is>
          <t>simas.design@gmail.com</t>
        </is>
      </c>
      <c r="W73" s="44" t="inlineStr">
        <is>
          <t>p</t>
        </is>
      </c>
    </row>
    <row r="74" ht="12.75" customHeight="1">
      <c r="A74" s="27" t="inlineStr">
        <is>
          <t>Raimondas Juška</t>
        </is>
      </c>
      <c r="B74" s="43" t="inlineStr">
        <is>
          <t>Spain</t>
        </is>
      </c>
      <c r="C74" s="43" t="inlineStr">
        <is>
          <t>France</t>
        </is>
      </c>
      <c r="D74" s="43" t="inlineStr">
        <is>
          <t>Argentina</t>
        </is>
      </c>
      <c r="E74" s="43" t="inlineStr">
        <is>
          <t>Portugal</t>
        </is>
      </c>
      <c r="F74" s="43" t="inlineStr">
        <is>
          <t>Switzerland</t>
        </is>
      </c>
      <c r="G74" s="43" t="inlineStr">
        <is>
          <t>Norway</t>
        </is>
      </c>
      <c r="H74" s="43" t="inlineStr">
        <is>
          <t>Bosnia &amp; Herzegovina</t>
        </is>
      </c>
      <c r="I74" s="28" t="inlineStr">
        <is>
          <t>England</t>
        </is>
      </c>
      <c r="J74" s="28">
        <f>IFERROR(VLOOKUP(B74,Scoring!$A$4:$N$51,14,FALSE())*6,"-")</f>
        <v/>
      </c>
      <c r="K74" s="28">
        <f>IFERROR(VLOOKUP(C74,Scoring!$A$4:$N$51,14,FALSE())*4,"-")</f>
        <v/>
      </c>
      <c r="L74" s="28">
        <f>IFERROR(VLOOKUP(D74,Scoring!$A$4:$N$51,14,FALSE())*3,"-")</f>
        <v/>
      </c>
      <c r="M74" s="28">
        <f>IFERROR(VLOOKUP(E74,Scoring!$A$4:$N$51,14,FALSE())*2,"-")</f>
        <v/>
      </c>
      <c r="N74" s="28">
        <f>IFERROR(VLOOKUP(F74,Scoring!$A$4:$N$51,14,FALSE()),"-")</f>
        <v/>
      </c>
      <c r="O74" s="28">
        <f>IFERROR(VLOOKUP(G74,Scoring!$A$4:$N$51,14,FALSE()),"-")</f>
        <v/>
      </c>
      <c r="P74" s="29">
        <f>IFERROR(VLOOKUP(H74,Scoring!$A$4:$N$51,14,FALSE()),"-")</f>
        <v/>
      </c>
      <c r="Q74" s="29">
        <f>IFERROR(VLOOKUP(I74,Scoring!$A$4:$N$51,6,FALSE()),"-")</f>
        <v/>
      </c>
      <c r="R74" s="36">
        <f>IF(A74="","-",SUM(J74:Q74))</f>
        <v/>
      </c>
      <c r="S74">
        <f>IF(A74="","",RANK(R74,$R$4:$R$119))</f>
        <v/>
      </c>
      <c r="T74">
        <f>IF(A74="",-1,R74-ROW(R74)/1000000)</f>
        <v/>
      </c>
      <c r="U74" s="143" t="inlineStr">
        <is>
          <t>raimondas1979@gmail.com</t>
        </is>
      </c>
      <c r="W74" s="44" t="inlineStr">
        <is>
          <t>p</t>
        </is>
      </c>
    </row>
    <row r="75" ht="12.75" customHeight="1">
      <c r="A75" s="27" t="inlineStr">
        <is>
          <t>Jonas Juška</t>
        </is>
      </c>
      <c r="B75" s="43" t="inlineStr">
        <is>
          <t>France</t>
        </is>
      </c>
      <c r="C75" s="43" t="inlineStr">
        <is>
          <t>Spain</t>
        </is>
      </c>
      <c r="D75" s="43" t="inlineStr">
        <is>
          <t>Brazil</t>
        </is>
      </c>
      <c r="E75" s="43" t="inlineStr">
        <is>
          <t>England</t>
        </is>
      </c>
      <c r="F75" s="43" t="inlineStr">
        <is>
          <t>Türkiye</t>
        </is>
      </c>
      <c r="G75" s="43" t="inlineStr">
        <is>
          <t>Ivory Coast</t>
        </is>
      </c>
      <c r="H75" s="43" t="inlineStr">
        <is>
          <t>DR Congo</t>
        </is>
      </c>
      <c r="I75" s="28" t="inlineStr">
        <is>
          <t>Spain</t>
        </is>
      </c>
      <c r="J75" s="28">
        <f>IFERROR(VLOOKUP(B75,Scoring!$A$4:$N$51,14,FALSE())*6,"-")</f>
        <v/>
      </c>
      <c r="K75" s="28">
        <f>IFERROR(VLOOKUP(C75,Scoring!$A$4:$N$51,14,FALSE())*4,"-")</f>
        <v/>
      </c>
      <c r="L75" s="28">
        <f>IFERROR(VLOOKUP(D75,Scoring!$A$4:$N$51,14,FALSE())*3,"-")</f>
        <v/>
      </c>
      <c r="M75" s="28">
        <f>IFERROR(VLOOKUP(E75,Scoring!$A$4:$N$51,14,FALSE())*2,"-")</f>
        <v/>
      </c>
      <c r="N75" s="28">
        <f>IFERROR(VLOOKUP(F75,Scoring!$A$4:$N$51,14,FALSE()),"-")</f>
        <v/>
      </c>
      <c r="O75" s="28">
        <f>IFERROR(VLOOKUP(G75,Scoring!$A$4:$N$51,14,FALSE()),"-")</f>
        <v/>
      </c>
      <c r="P75" s="29">
        <f>IFERROR(VLOOKUP(H75,Scoring!$A$4:$N$51,14,FALSE()),"-")</f>
        <v/>
      </c>
      <c r="Q75" s="29">
        <f>IFERROR(VLOOKUP(I75,Scoring!$A$4:$N$51,6,FALSE()),"-")</f>
        <v/>
      </c>
      <c r="R75" s="36">
        <f>IF(A75="","-",SUM(J75:Q75))</f>
        <v/>
      </c>
      <c r="S75">
        <f>IF(A75="","",RANK(R75,$R$4:$R$119))</f>
        <v/>
      </c>
      <c r="T75">
        <f>IF(A75="",-1,R75-ROW(R75)/1000000)</f>
        <v/>
      </c>
      <c r="U75" s="143" t="inlineStr">
        <is>
          <t>raimondas1979@gmail.com</t>
        </is>
      </c>
      <c r="W75" s="44" t="inlineStr">
        <is>
          <t>p</t>
        </is>
      </c>
    </row>
    <row r="76" ht="12.75" customHeight="1">
      <c r="A76" s="27" t="inlineStr">
        <is>
          <t>Miglė Juškaitė</t>
        </is>
      </c>
      <c r="B76" s="43" t="inlineStr">
        <is>
          <t>Portugal</t>
        </is>
      </c>
      <c r="C76" s="43" t="inlineStr">
        <is>
          <t>England</t>
        </is>
      </c>
      <c r="D76" s="43" t="inlineStr">
        <is>
          <t>France</t>
        </is>
      </c>
      <c r="E76" s="43" t="inlineStr">
        <is>
          <t>Norway</t>
        </is>
      </c>
      <c r="F76" s="43" t="inlineStr">
        <is>
          <t>Mexico</t>
        </is>
      </c>
      <c r="G76" s="43" t="inlineStr">
        <is>
          <t>Canada</t>
        </is>
      </c>
      <c r="H76" s="43" t="inlineStr">
        <is>
          <t>Ghana</t>
        </is>
      </c>
      <c r="I76" s="28" t="inlineStr">
        <is>
          <t>France</t>
        </is>
      </c>
      <c r="J76" s="28">
        <f>IFERROR(VLOOKUP(B76,Scoring!$A$4:$N$51,14,FALSE())*6,"-")</f>
        <v/>
      </c>
      <c r="K76" s="28">
        <f>IFERROR(VLOOKUP(C76,Scoring!$A$4:$N$51,14,FALSE())*4,"-")</f>
        <v/>
      </c>
      <c r="L76" s="28">
        <f>IFERROR(VLOOKUP(D76,Scoring!$A$4:$N$51,14,FALSE())*3,"-")</f>
        <v/>
      </c>
      <c r="M76" s="28">
        <f>IFERROR(VLOOKUP(E76,Scoring!$A$4:$N$51,14,FALSE())*2,"-")</f>
        <v/>
      </c>
      <c r="N76" s="28">
        <f>IFERROR(VLOOKUP(F76,Scoring!$A$4:$N$51,14,FALSE()),"-")</f>
        <v/>
      </c>
      <c r="O76" s="28">
        <f>IFERROR(VLOOKUP(G76,Scoring!$A$4:$N$51,14,FALSE()),"-")</f>
        <v/>
      </c>
      <c r="P76" s="29">
        <f>IFERROR(VLOOKUP(H76,Scoring!$A$4:$N$51,14,FALSE()),"-")</f>
        <v/>
      </c>
      <c r="Q76" s="29">
        <f>IFERROR(VLOOKUP(I76,Scoring!$A$4:$N$51,6,FALSE()),"-")</f>
        <v/>
      </c>
      <c r="R76" s="36">
        <f>IF(A76="","-",SUM(J76:Q76))</f>
        <v/>
      </c>
      <c r="S76">
        <f>IF(A76="","",RANK(R76,$R$4:$R$119))</f>
        <v/>
      </c>
      <c r="T76">
        <f>IF(A76="",-1,R76-ROW(R76)/1000000)</f>
        <v/>
      </c>
      <c r="U76" s="143" t="inlineStr">
        <is>
          <t>raimondas1979@gmail.com</t>
        </is>
      </c>
      <c r="W76" s="44" t="inlineStr">
        <is>
          <t>p</t>
        </is>
      </c>
    </row>
    <row r="77" ht="12.75" customHeight="1">
      <c r="A77" s="27" t="inlineStr">
        <is>
          <t>Tihomir Chakarov</t>
        </is>
      </c>
      <c r="B77" s="43" t="inlineStr">
        <is>
          <t>Spain</t>
        </is>
      </c>
      <c r="C77" s="43" t="inlineStr">
        <is>
          <t>Argentina</t>
        </is>
      </c>
      <c r="D77" s="43" t="inlineStr">
        <is>
          <t>England</t>
        </is>
      </c>
      <c r="E77" s="43" t="inlineStr">
        <is>
          <t>Portugal</t>
        </is>
      </c>
      <c r="F77" s="43" t="inlineStr">
        <is>
          <t>Mexico</t>
        </is>
      </c>
      <c r="G77" s="43" t="inlineStr">
        <is>
          <t>Canada</t>
        </is>
      </c>
      <c r="H77" s="43" t="inlineStr">
        <is>
          <t>South Africa</t>
        </is>
      </c>
      <c r="I77" s="28" t="inlineStr">
        <is>
          <t>Spain</t>
        </is>
      </c>
      <c r="J77" s="28">
        <f>IFERROR(VLOOKUP(B77,Scoring!$A$4:$N$51,14,FALSE())*6,"-")</f>
        <v/>
      </c>
      <c r="K77" s="28">
        <f>IFERROR(VLOOKUP(C77,Scoring!$A$4:$N$51,14,FALSE())*4,"-")</f>
        <v/>
      </c>
      <c r="L77" s="28">
        <f>IFERROR(VLOOKUP(D77,Scoring!$A$4:$N$51,14,FALSE())*3,"-")</f>
        <v/>
      </c>
      <c r="M77" s="28">
        <f>IFERROR(VLOOKUP(E77,Scoring!$A$4:$N$51,14,FALSE())*2,"-")</f>
        <v/>
      </c>
      <c r="N77" s="28">
        <f>IFERROR(VLOOKUP(F77,Scoring!$A$4:$N$51,14,FALSE()),"-")</f>
        <v/>
      </c>
      <c r="O77" s="28">
        <f>IFERROR(VLOOKUP(G77,Scoring!$A$4:$N$51,14,FALSE()),"-")</f>
        <v/>
      </c>
      <c r="P77" s="29">
        <f>IFERROR(VLOOKUP(H77,Scoring!$A$4:$N$51,14,FALSE()),"-")</f>
        <v/>
      </c>
      <c r="Q77" s="29">
        <f>IFERROR(VLOOKUP(I77,Scoring!$A$4:$N$51,6,FALSE()),"-")</f>
        <v/>
      </c>
      <c r="R77" s="36">
        <f>IF(A77="","-",SUM(J77:Q77))</f>
        <v/>
      </c>
      <c r="S77">
        <f>IF(A77="","",RANK(R77,$R$4:$R$119))</f>
        <v/>
      </c>
      <c r="T77">
        <f>IF(A77="",-1,R77-ROW(R77)/1000000)</f>
        <v/>
      </c>
      <c r="U77" s="143" t="inlineStr">
        <is>
          <t>tisho.chakarov@abv.bg</t>
        </is>
      </c>
      <c r="W77" s="44" t="inlineStr">
        <is>
          <t>p</t>
        </is>
      </c>
    </row>
    <row r="78" ht="12.75" customHeight="1">
      <c r="A78" s="27" t="inlineStr">
        <is>
          <t>Giedrius Stanulis</t>
        </is>
      </c>
      <c r="B78" s="43" t="inlineStr">
        <is>
          <t>England</t>
        </is>
      </c>
      <c r="C78" s="43" t="inlineStr">
        <is>
          <t>Spain</t>
        </is>
      </c>
      <c r="D78" s="43" t="inlineStr">
        <is>
          <t>France</t>
        </is>
      </c>
      <c r="E78" s="43" t="inlineStr">
        <is>
          <t>Argentina</t>
        </is>
      </c>
      <c r="F78" s="43" t="inlineStr">
        <is>
          <t>Switzerland</t>
        </is>
      </c>
      <c r="G78" s="43" t="inlineStr">
        <is>
          <t>Norway</t>
        </is>
      </c>
      <c r="H78" s="43" t="inlineStr">
        <is>
          <t>Bosnia &amp; Herzegovina</t>
        </is>
      </c>
      <c r="I78" s="28" t="inlineStr">
        <is>
          <t>Spain</t>
        </is>
      </c>
      <c r="J78" s="28">
        <f>IFERROR(VLOOKUP(B78,Scoring!$A$4:$N$51,14,FALSE())*6,"-")</f>
        <v/>
      </c>
      <c r="K78" s="28">
        <f>IFERROR(VLOOKUP(C78,Scoring!$A$4:$N$51,14,FALSE())*4,"-")</f>
        <v/>
      </c>
      <c r="L78" s="28">
        <f>IFERROR(VLOOKUP(D78,Scoring!$A$4:$N$51,14,FALSE())*3,"-")</f>
        <v/>
      </c>
      <c r="M78" s="28">
        <f>IFERROR(VLOOKUP(E78,Scoring!$A$4:$N$51,14,FALSE())*2,"-")</f>
        <v/>
      </c>
      <c r="N78" s="28">
        <f>IFERROR(VLOOKUP(F78,Scoring!$A$4:$N$51,14,FALSE()),"-")</f>
        <v/>
      </c>
      <c r="O78" s="28">
        <f>IFERROR(VLOOKUP(G78,Scoring!$A$4:$N$51,14,FALSE()),"-")</f>
        <v/>
      </c>
      <c r="P78" s="29">
        <f>IFERROR(VLOOKUP(H78,Scoring!$A$4:$N$51,14,FALSE()),"-")</f>
        <v/>
      </c>
      <c r="Q78" s="29">
        <f>IFERROR(VLOOKUP(I78,Scoring!$A$4:$N$51,6,FALSE()),"-")</f>
        <v/>
      </c>
      <c r="R78" s="36">
        <f>IF(A78="","-",SUM(J78:Q78))</f>
        <v/>
      </c>
      <c r="S78">
        <f>IF(A78="","",RANK(R78,$R$4:$R$119))</f>
        <v/>
      </c>
      <c r="T78">
        <f>IF(A78="",-1,R78-ROW(R78)/1000000)</f>
        <v/>
      </c>
      <c r="U78" s="143" t="inlineStr">
        <is>
          <t>giedrius@audis.lt</t>
        </is>
      </c>
      <c r="W78" s="44" t="inlineStr">
        <is>
          <t>p</t>
        </is>
      </c>
    </row>
    <row r="79" ht="12.75" customHeight="1">
      <c r="A79" s="27" t="inlineStr">
        <is>
          <t>Sampaio Carlos</t>
        </is>
      </c>
      <c r="B79" s="43" t="inlineStr">
        <is>
          <t>Portugal</t>
        </is>
      </c>
      <c r="C79" s="43" t="inlineStr">
        <is>
          <t>Spain</t>
        </is>
      </c>
      <c r="D79" s="43" t="inlineStr">
        <is>
          <t>Brazil</t>
        </is>
      </c>
      <c r="E79" s="43" t="inlineStr">
        <is>
          <t>Argentina</t>
        </is>
      </c>
      <c r="F79" s="43" t="inlineStr">
        <is>
          <t>Ecuador</t>
        </is>
      </c>
      <c r="G79" s="43" t="inlineStr">
        <is>
          <t>Canada</t>
        </is>
      </c>
      <c r="H79" s="43" t="inlineStr">
        <is>
          <t>Ghana</t>
        </is>
      </c>
      <c r="I79" s="28" t="inlineStr">
        <is>
          <t>France</t>
        </is>
      </c>
      <c r="J79" s="28">
        <f>IFERROR(VLOOKUP(B79,Scoring!$A$4:$N$51,14,FALSE())*6,"-")</f>
        <v/>
      </c>
      <c r="K79" s="28">
        <f>IFERROR(VLOOKUP(C79,Scoring!$A$4:$N$51,14,FALSE())*4,"-")</f>
        <v/>
      </c>
      <c r="L79" s="28">
        <f>IFERROR(VLOOKUP(D79,Scoring!$A$4:$N$51,14,FALSE())*3,"-")</f>
        <v/>
      </c>
      <c r="M79" s="28">
        <f>IFERROR(VLOOKUP(E79,Scoring!$A$4:$N$51,14,FALSE())*2,"-")</f>
        <v/>
      </c>
      <c r="N79" s="28">
        <f>IFERROR(VLOOKUP(F79,Scoring!$A$4:$N$51,14,FALSE()),"-")</f>
        <v/>
      </c>
      <c r="O79" s="28">
        <f>IFERROR(VLOOKUP(G79,Scoring!$A$4:$N$51,14,FALSE()),"-")</f>
        <v/>
      </c>
      <c r="P79" s="29">
        <f>IFERROR(VLOOKUP(H79,Scoring!$A$4:$N$51,14,FALSE()),"-")</f>
        <v/>
      </c>
      <c r="Q79" s="29">
        <f>IFERROR(VLOOKUP(I79,Scoring!$A$4:$N$51,6,FALSE()),"-")</f>
        <v/>
      </c>
      <c r="R79" s="36">
        <f>IF(A79="","-",SUM(J79:Q79))</f>
        <v/>
      </c>
      <c r="S79">
        <f>IF(A79="","",RANK(R79,$R$4:$R$119))</f>
        <v/>
      </c>
      <c r="T79">
        <f>IF(A79="",-1,R79-ROW(R79)/1000000)</f>
        <v/>
      </c>
      <c r="U79" s="143" t="inlineStr">
        <is>
          <t>carlosmiguel.sampaio@hotmail.com</t>
        </is>
      </c>
      <c r="W79" s="44" t="inlineStr">
        <is>
          <t>p</t>
        </is>
      </c>
    </row>
    <row r="80" ht="12.75" customHeight="1">
      <c r="A80" s="27" t="inlineStr">
        <is>
          <t>Aurimas Oleknavičius</t>
        </is>
      </c>
      <c r="B80" s="43" t="inlineStr">
        <is>
          <t>Spain</t>
        </is>
      </c>
      <c r="C80" s="43" t="inlineStr">
        <is>
          <t>Brazil</t>
        </is>
      </c>
      <c r="D80" s="43" t="inlineStr">
        <is>
          <t>France</t>
        </is>
      </c>
      <c r="E80" s="43" t="inlineStr">
        <is>
          <t>Portugal</t>
        </is>
      </c>
      <c r="F80" s="43" t="inlineStr">
        <is>
          <t>Switzerland</t>
        </is>
      </c>
      <c r="G80" s="43" t="inlineStr">
        <is>
          <t>Canada</t>
        </is>
      </c>
      <c r="H80" s="43" t="inlineStr">
        <is>
          <t>Bosnia &amp; Herzegovina</t>
        </is>
      </c>
      <c r="I80" s="28" t="inlineStr">
        <is>
          <t>Spain</t>
        </is>
      </c>
      <c r="J80" s="28">
        <f>IFERROR(VLOOKUP(B80,Scoring!$A$4:$N$51,14,FALSE())*6,"-")</f>
        <v/>
      </c>
      <c r="K80" s="28">
        <f>IFERROR(VLOOKUP(C80,Scoring!$A$4:$N$51,14,FALSE())*4,"-")</f>
        <v/>
      </c>
      <c r="L80" s="28">
        <f>IFERROR(VLOOKUP(D80,Scoring!$A$4:$N$51,14,FALSE())*3,"-")</f>
        <v/>
      </c>
      <c r="M80" s="28">
        <f>IFERROR(VLOOKUP(E80,Scoring!$A$4:$N$51,14,FALSE())*2,"-")</f>
        <v/>
      </c>
      <c r="N80" s="28">
        <f>IFERROR(VLOOKUP(F80,Scoring!$A$4:$N$51,14,FALSE()),"-")</f>
        <v/>
      </c>
      <c r="O80" s="28">
        <f>IFERROR(VLOOKUP(G80,Scoring!$A$4:$N$51,14,FALSE()),"-")</f>
        <v/>
      </c>
      <c r="P80" s="29">
        <f>IFERROR(VLOOKUP(H80,Scoring!$A$4:$N$51,14,FALSE()),"-")</f>
        <v/>
      </c>
      <c r="Q80" s="29">
        <f>IFERROR(VLOOKUP(I80,Scoring!$A$4:$N$51,6,FALSE()),"-")</f>
        <v/>
      </c>
      <c r="R80" s="36">
        <f>IF(A80="","-",SUM(J80:Q80))</f>
        <v/>
      </c>
      <c r="S80">
        <f>IF(A80="","",RANK(R80,$R$4:$R$119))</f>
        <v/>
      </c>
      <c r="T80">
        <f>IF(A80="",-1,R80-ROW(R80)/1000000)</f>
        <v/>
      </c>
      <c r="U80" s="143" t="inlineStr">
        <is>
          <t>aurimas.oleknavicius@gmail.com</t>
        </is>
      </c>
      <c r="W80" s="44" t="inlineStr">
        <is>
          <t>p</t>
        </is>
      </c>
    </row>
    <row r="81" ht="12.75" customHeight="1">
      <c r="A81" s="27" t="inlineStr">
        <is>
          <t>Partrikas Oleknavičius</t>
        </is>
      </c>
      <c r="B81" s="43" t="inlineStr">
        <is>
          <t>France</t>
        </is>
      </c>
      <c r="C81" s="43" t="inlineStr">
        <is>
          <t>Portugal</t>
        </is>
      </c>
      <c r="D81" s="43" t="inlineStr">
        <is>
          <t>Spain</t>
        </is>
      </c>
      <c r="E81" s="43" t="inlineStr">
        <is>
          <t>England</t>
        </is>
      </c>
      <c r="F81" s="43" t="inlineStr">
        <is>
          <t>Colombia</t>
        </is>
      </c>
      <c r="G81" s="43" t="inlineStr">
        <is>
          <t>Norway</t>
        </is>
      </c>
      <c r="H81" s="43" t="inlineStr">
        <is>
          <t>DR Congo</t>
        </is>
      </c>
      <c r="I81" s="28" t="inlineStr">
        <is>
          <t>France</t>
        </is>
      </c>
      <c r="J81" s="28">
        <f>IFERROR(VLOOKUP(B81,Scoring!$A$4:$N$51,14,FALSE())*6,"-")</f>
        <v/>
      </c>
      <c r="K81" s="28">
        <f>IFERROR(VLOOKUP(C81,Scoring!$A$4:$N$51,14,FALSE())*4,"-")</f>
        <v/>
      </c>
      <c r="L81" s="28">
        <f>IFERROR(VLOOKUP(D81,Scoring!$A$4:$N$51,14,FALSE())*3,"-")</f>
        <v/>
      </c>
      <c r="M81" s="28">
        <f>IFERROR(VLOOKUP(E81,Scoring!$A$4:$N$51,14,FALSE())*2,"-")</f>
        <v/>
      </c>
      <c r="N81" s="28">
        <f>IFERROR(VLOOKUP(F81,Scoring!$A$4:$N$51,14,FALSE()),"-")</f>
        <v/>
      </c>
      <c r="O81" s="28">
        <f>IFERROR(VLOOKUP(G81,Scoring!$A$4:$N$51,14,FALSE()),"-")</f>
        <v/>
      </c>
      <c r="P81" s="29">
        <f>IFERROR(VLOOKUP(H81,Scoring!$A$4:$N$51,14,FALSE()),"-")</f>
        <v/>
      </c>
      <c r="Q81" s="29">
        <f>IFERROR(VLOOKUP(I81,Scoring!$A$4:$N$51,6,FALSE()),"-")</f>
        <v/>
      </c>
      <c r="R81" s="36">
        <f>IF(A81="","-",SUM(J81:Q81))</f>
        <v/>
      </c>
      <c r="S81">
        <f>IF(A81="","",RANK(R81,$R$4:$R$119))</f>
        <v/>
      </c>
      <c r="T81">
        <f>IF(A81="",-1,R81-ROW(R81)/1000000)</f>
        <v/>
      </c>
      <c r="U81" s="143" t="inlineStr">
        <is>
          <t>aurimas.oleknavicius@gmail.com</t>
        </is>
      </c>
      <c r="W81" s="44" t="inlineStr">
        <is>
          <t>p</t>
        </is>
      </c>
    </row>
    <row r="82" ht="12.75" customHeight="1">
      <c r="A82" s="27" t="inlineStr">
        <is>
          <t>Jurga Šantaraitė</t>
        </is>
      </c>
      <c r="B82" s="43" t="inlineStr">
        <is>
          <t>Spain</t>
        </is>
      </c>
      <c r="C82" s="43" t="inlineStr">
        <is>
          <t>Germany</t>
        </is>
      </c>
      <c r="D82" s="43" t="inlineStr">
        <is>
          <t>Argentina</t>
        </is>
      </c>
      <c r="E82" s="43" t="inlineStr">
        <is>
          <t>Portugal</t>
        </is>
      </c>
      <c r="F82" s="43" t="inlineStr">
        <is>
          <t>Austria</t>
        </is>
      </c>
      <c r="G82" s="43" t="inlineStr">
        <is>
          <t>Canada</t>
        </is>
      </c>
      <c r="H82" s="43" t="inlineStr">
        <is>
          <t>New Zealand</t>
        </is>
      </c>
      <c r="I82" s="28" t="inlineStr">
        <is>
          <t>England</t>
        </is>
      </c>
      <c r="J82" s="28">
        <f>IFERROR(VLOOKUP(B82,Scoring!$A$4:$N$51,14,FALSE())*6,"-")</f>
        <v/>
      </c>
      <c r="K82" s="28">
        <f>IFERROR(VLOOKUP(C82,Scoring!$A$4:$N$51,14,FALSE())*4,"-")</f>
        <v/>
      </c>
      <c r="L82" s="28">
        <f>IFERROR(VLOOKUP(D82,Scoring!$A$4:$N$51,14,FALSE())*3,"-")</f>
        <v/>
      </c>
      <c r="M82" s="28">
        <f>IFERROR(VLOOKUP(E82,Scoring!$A$4:$N$51,14,FALSE())*2,"-")</f>
        <v/>
      </c>
      <c r="N82" s="28">
        <f>IFERROR(VLOOKUP(F82,Scoring!$A$4:$N$51,14,FALSE()),"-")</f>
        <v/>
      </c>
      <c r="O82" s="28">
        <f>IFERROR(VLOOKUP(G82,Scoring!$A$4:$N$51,14,FALSE()),"-")</f>
        <v/>
      </c>
      <c r="P82" s="29">
        <f>IFERROR(VLOOKUP(H82,Scoring!$A$4:$N$51,14,FALSE()),"-")</f>
        <v/>
      </c>
      <c r="Q82" s="29">
        <f>IFERROR(VLOOKUP(I82,Scoring!$A$4:$N$51,6,FALSE()),"-")</f>
        <v/>
      </c>
      <c r="R82" s="36">
        <f>IF(A82="","-",SUM(J82:Q82))</f>
        <v/>
      </c>
      <c r="S82">
        <f>IF(A82="","",RANK(R82,$R$4:$R$119))</f>
        <v/>
      </c>
      <c r="T82">
        <f>IF(A82="",-1,R82-ROW(R82)/1000000)</f>
        <v/>
      </c>
      <c r="U82" s="143" t="inlineStr">
        <is>
          <t>j.santaraite@gmail.com</t>
        </is>
      </c>
      <c r="W82" s="44" t="inlineStr">
        <is>
          <t>P</t>
        </is>
      </c>
    </row>
    <row r="83" ht="12.75" customHeight="1">
      <c r="A83" s="27" t="inlineStr">
        <is>
          <t>Giuseppe Diana</t>
        </is>
      </c>
      <c r="B83" s="43" t="inlineStr">
        <is>
          <t>Portugal</t>
        </is>
      </c>
      <c r="C83" s="43" t="inlineStr">
        <is>
          <t>France</t>
        </is>
      </c>
      <c r="D83" s="43" t="inlineStr">
        <is>
          <t>Spain</t>
        </is>
      </c>
      <c r="E83" s="43" t="inlineStr">
        <is>
          <t>England</t>
        </is>
      </c>
      <c r="F83" s="43" t="inlineStr">
        <is>
          <t>Türkiye</t>
        </is>
      </c>
      <c r="G83" s="43" t="inlineStr">
        <is>
          <t>Norway</t>
        </is>
      </c>
      <c r="H83" s="43" t="inlineStr">
        <is>
          <t>South Africa</t>
        </is>
      </c>
      <c r="I83" s="28" t="inlineStr">
        <is>
          <t>Portugal</t>
        </is>
      </c>
      <c r="J83" s="28">
        <f>IFERROR(VLOOKUP(B83,Scoring!$A$4:$N$51,14,FALSE())*6,"-")</f>
        <v/>
      </c>
      <c r="K83" s="28">
        <f>IFERROR(VLOOKUP(C83,Scoring!$A$4:$N$51,14,FALSE())*4,"-")</f>
        <v/>
      </c>
      <c r="L83" s="28">
        <f>IFERROR(VLOOKUP(D83,Scoring!$A$4:$N$51,14,FALSE())*3,"-")</f>
        <v/>
      </c>
      <c r="M83" s="28">
        <f>IFERROR(VLOOKUP(E83,Scoring!$A$4:$N$51,14,FALSE())*2,"-")</f>
        <v/>
      </c>
      <c r="N83" s="28">
        <f>IFERROR(VLOOKUP(F83,Scoring!$A$4:$N$51,14,FALSE()),"-")</f>
        <v/>
      </c>
      <c r="O83" s="28">
        <f>IFERROR(VLOOKUP(G83,Scoring!$A$4:$N$51,14,FALSE()),"-")</f>
        <v/>
      </c>
      <c r="P83" s="29">
        <f>IFERROR(VLOOKUP(H83,Scoring!$A$4:$N$51,14,FALSE()),"-")</f>
        <v/>
      </c>
      <c r="Q83" s="29">
        <f>IFERROR(VLOOKUP(I83,Scoring!$A$4:$N$51,6,FALSE()),"-")</f>
        <v/>
      </c>
      <c r="R83" s="36">
        <f>IF(A83="","-",SUM(J83:Q83))</f>
        <v/>
      </c>
      <c r="S83">
        <f>IF(A83="","",RANK(R83,$R$4:$R$119))</f>
        <v/>
      </c>
      <c r="T83">
        <f>IF(A83="",-1,R83-ROW(R83)/1000000)</f>
        <v/>
      </c>
      <c r="U83" s="143" t="inlineStr">
        <is>
          <t>Giuseppe.Diana@carlsberg.it</t>
        </is>
      </c>
      <c r="W83" s="44" t="inlineStr">
        <is>
          <t>p</t>
        </is>
      </c>
    </row>
    <row r="84" ht="12.75" customHeight="1">
      <c r="A84" s="27" t="inlineStr">
        <is>
          <t>Danielius Pažusys</t>
        </is>
      </c>
      <c r="B84" s="43" t="inlineStr">
        <is>
          <t>Spain</t>
        </is>
      </c>
      <c r="C84" s="43" t="inlineStr">
        <is>
          <t>Argentina</t>
        </is>
      </c>
      <c r="D84" s="43" t="inlineStr">
        <is>
          <t>France</t>
        </is>
      </c>
      <c r="E84" s="43" t="inlineStr">
        <is>
          <t>England</t>
        </is>
      </c>
      <c r="F84" s="43" t="inlineStr">
        <is>
          <t>Colombia</t>
        </is>
      </c>
      <c r="G84" s="43" t="inlineStr">
        <is>
          <t>Australia</t>
        </is>
      </c>
      <c r="H84" s="43" t="inlineStr">
        <is>
          <t>Qatar</t>
        </is>
      </c>
      <c r="I84" s="28" t="inlineStr">
        <is>
          <t>Spain</t>
        </is>
      </c>
      <c r="J84" s="28">
        <f>IFERROR(VLOOKUP(B84,Scoring!$A$4:$N$51,14,FALSE())*6,"-")</f>
        <v/>
      </c>
      <c r="K84" s="28">
        <f>IFERROR(VLOOKUP(C84,Scoring!$A$4:$N$51,14,FALSE())*4,"-")</f>
        <v/>
      </c>
      <c r="L84" s="28">
        <f>IFERROR(VLOOKUP(D84,Scoring!$A$4:$N$51,14,FALSE())*3,"-")</f>
        <v/>
      </c>
      <c r="M84" s="28">
        <f>IFERROR(VLOOKUP(E84,Scoring!$A$4:$N$51,14,FALSE())*2,"-")</f>
        <v/>
      </c>
      <c r="N84" s="28">
        <f>IFERROR(VLOOKUP(F84,Scoring!$A$4:$N$51,14,FALSE()),"-")</f>
        <v/>
      </c>
      <c r="O84" s="28">
        <f>IFERROR(VLOOKUP(G84,Scoring!$A$4:$N$51,14,FALSE()),"-")</f>
        <v/>
      </c>
      <c r="P84" s="29">
        <f>IFERROR(VLOOKUP(H84,Scoring!$A$4:$N$51,14,FALSE()),"-")</f>
        <v/>
      </c>
      <c r="Q84" s="29">
        <f>IFERROR(VLOOKUP(I84,Scoring!$A$4:$N$51,6,FALSE()),"-")</f>
        <v/>
      </c>
      <c r="R84" s="36">
        <f>IF(A84="","-",SUM(J84:Q84))</f>
        <v/>
      </c>
      <c r="S84">
        <f>IF(A84="","",RANK(R84,$R$4:$R$119))</f>
        <v/>
      </c>
      <c r="T84">
        <f>IF(A84="",-1,R84-ROW(R84)/1000000)</f>
        <v/>
      </c>
      <c r="U84" s="143" t="inlineStr">
        <is>
          <t>pazusysdanielius@gmail.com</t>
        </is>
      </c>
      <c r="W84" s="44" t="inlineStr">
        <is>
          <t>p</t>
        </is>
      </c>
    </row>
    <row r="85" ht="12.75" customHeight="1">
      <c r="A85" s="27" t="inlineStr">
        <is>
          <t>Michele Sette</t>
        </is>
      </c>
      <c r="B85" s="43" t="inlineStr">
        <is>
          <t>Spain</t>
        </is>
      </c>
      <c r="C85" s="43" t="inlineStr">
        <is>
          <t>Portugal</t>
        </is>
      </c>
      <c r="D85" s="43" t="inlineStr">
        <is>
          <t>France</t>
        </is>
      </c>
      <c r="E85" s="43" t="inlineStr">
        <is>
          <t>Brazil</t>
        </is>
      </c>
      <c r="F85" s="43" t="inlineStr">
        <is>
          <t>Türkiye</t>
        </is>
      </c>
      <c r="G85" s="43" t="inlineStr">
        <is>
          <t>Czechia</t>
        </is>
      </c>
      <c r="H85" s="43" t="inlineStr">
        <is>
          <t>Bosnia &amp; Herzegovina</t>
        </is>
      </c>
      <c r="I85" s="28" t="inlineStr">
        <is>
          <t>Spain</t>
        </is>
      </c>
      <c r="J85" s="28">
        <f>IFERROR(VLOOKUP(B85,Scoring!$A$4:$N$51,14,FALSE())*6,"-")</f>
        <v/>
      </c>
      <c r="K85" s="28">
        <f>IFERROR(VLOOKUP(C85,Scoring!$A$4:$N$51,14,FALSE())*4,"-")</f>
        <v/>
      </c>
      <c r="L85" s="28">
        <f>IFERROR(VLOOKUP(D85,Scoring!$A$4:$N$51,14,FALSE())*3,"-")</f>
        <v/>
      </c>
      <c r="M85" s="28">
        <f>IFERROR(VLOOKUP(E85,Scoring!$A$4:$N$51,14,FALSE())*2,"-")</f>
        <v/>
      </c>
      <c r="N85" s="28">
        <f>IFERROR(VLOOKUP(F85,Scoring!$A$4:$N$51,14,FALSE()),"-")</f>
        <v/>
      </c>
      <c r="O85" s="28">
        <f>IFERROR(VLOOKUP(G85,Scoring!$A$4:$N$51,14,FALSE()),"-")</f>
        <v/>
      </c>
      <c r="P85" s="29">
        <f>IFERROR(VLOOKUP(H85,Scoring!$A$4:$N$51,14,FALSE()),"-")</f>
        <v/>
      </c>
      <c r="Q85" s="29">
        <f>IFERROR(VLOOKUP(I85,Scoring!$A$4:$N$51,6,FALSE()),"-")</f>
        <v/>
      </c>
      <c r="R85" s="36">
        <f>IF(A85="","-",SUM(J85:Q85))</f>
        <v/>
      </c>
      <c r="S85">
        <f>IF(A85="","",RANK(R85,$R$4:$R$119))</f>
        <v/>
      </c>
      <c r="T85">
        <f>IF(A85="",-1,R85-ROW(R85)/1000000)</f>
        <v/>
      </c>
      <c r="U85" s="143" t="inlineStr">
        <is>
          <t>Michele.Sette@carlsberg.it</t>
        </is>
      </c>
      <c r="W85" s="44" t="inlineStr">
        <is>
          <t>p</t>
        </is>
      </c>
    </row>
    <row r="86" ht="12.75" customHeight="1">
      <c r="A86" s="27" t="inlineStr">
        <is>
          <t>Mario Calvi</t>
        </is>
      </c>
      <c r="B86" s="43" t="inlineStr">
        <is>
          <t>Spain</t>
        </is>
      </c>
      <c r="C86" s="43" t="inlineStr">
        <is>
          <t>Argentina</t>
        </is>
      </c>
      <c r="D86" s="43" t="inlineStr">
        <is>
          <t>Germany</t>
        </is>
      </c>
      <c r="E86" s="43" t="inlineStr">
        <is>
          <t>England</t>
        </is>
      </c>
      <c r="F86" s="43" t="inlineStr">
        <is>
          <t>United States</t>
        </is>
      </c>
      <c r="G86" s="43" t="inlineStr">
        <is>
          <t>Czechia</t>
        </is>
      </c>
      <c r="H86" s="43" t="inlineStr">
        <is>
          <t>Bosnia &amp; Herzegovina</t>
        </is>
      </c>
      <c r="I86" s="28" t="inlineStr">
        <is>
          <t>Spain</t>
        </is>
      </c>
      <c r="J86" s="28">
        <f>IFERROR(VLOOKUP(B86,Scoring!$A$4:$N$51,14,FALSE())*6,"-")</f>
        <v/>
      </c>
      <c r="K86" s="28">
        <f>IFERROR(VLOOKUP(C86,Scoring!$A$4:$N$51,14,FALSE())*4,"-")</f>
        <v/>
      </c>
      <c r="L86" s="28">
        <f>IFERROR(VLOOKUP(D86,Scoring!$A$4:$N$51,14,FALSE())*3,"-")</f>
        <v/>
      </c>
      <c r="M86" s="28">
        <f>IFERROR(VLOOKUP(E86,Scoring!$A$4:$N$51,14,FALSE())*2,"-")</f>
        <v/>
      </c>
      <c r="N86" s="28">
        <f>IFERROR(VLOOKUP(F86,Scoring!$A$4:$N$51,14,FALSE()),"-")</f>
        <v/>
      </c>
      <c r="O86" s="28">
        <f>IFERROR(VLOOKUP(G86,Scoring!$A$4:$N$51,14,FALSE()),"-")</f>
        <v/>
      </c>
      <c r="P86" s="29">
        <f>IFERROR(VLOOKUP(H86,Scoring!$A$4:$N$51,14,FALSE()),"-")</f>
        <v/>
      </c>
      <c r="Q86" s="29">
        <f>IFERROR(VLOOKUP(I86,Scoring!$A$4:$N$51,6,FALSE()),"-")</f>
        <v/>
      </c>
      <c r="R86" s="36">
        <f>IF(A86="","-",SUM(J86:Q86))</f>
        <v/>
      </c>
      <c r="S86">
        <f>IF(A86="","",RANK(R86,$R$4:$R$119))</f>
        <v/>
      </c>
      <c r="T86">
        <f>IF(A86="",-1,R86-ROW(R86)/1000000)</f>
        <v/>
      </c>
      <c r="U86" s="143" t="inlineStr">
        <is>
          <t>Mario.Calvi@carlsberg.it</t>
        </is>
      </c>
      <c r="W86" s="44" t="inlineStr">
        <is>
          <t>p</t>
        </is>
      </c>
    </row>
    <row r="87" ht="12.75" customHeight="1">
      <c r="A87" s="27" t="inlineStr">
        <is>
          <t>Davide Speranza</t>
        </is>
      </c>
      <c r="B87" s="43" t="inlineStr">
        <is>
          <t>France</t>
        </is>
      </c>
      <c r="C87" s="43" t="inlineStr">
        <is>
          <t>Argentina</t>
        </is>
      </c>
      <c r="D87" s="43" t="inlineStr">
        <is>
          <t>Spain</t>
        </is>
      </c>
      <c r="E87" s="43" t="inlineStr">
        <is>
          <t>Brazil</t>
        </is>
      </c>
      <c r="F87" s="43" t="inlineStr">
        <is>
          <t>Mexico</t>
        </is>
      </c>
      <c r="G87" s="43" t="inlineStr">
        <is>
          <t>Canada</t>
        </is>
      </c>
      <c r="H87" s="43" t="inlineStr">
        <is>
          <t>Qatar</t>
        </is>
      </c>
      <c r="I87" s="28" t="inlineStr">
        <is>
          <t>France</t>
        </is>
      </c>
      <c r="J87" s="28">
        <f>IFERROR(VLOOKUP(B87,Scoring!$A$4:$N$51,14,FALSE())*6,"-")</f>
        <v/>
      </c>
      <c r="K87" s="28">
        <f>IFERROR(VLOOKUP(C87,Scoring!$A$4:$N$51,14,FALSE())*4,"-")</f>
        <v/>
      </c>
      <c r="L87" s="28">
        <f>IFERROR(VLOOKUP(D87,Scoring!$A$4:$N$51,14,FALSE())*3,"-")</f>
        <v/>
      </c>
      <c r="M87" s="28">
        <f>IFERROR(VLOOKUP(E87,Scoring!$A$4:$N$51,14,FALSE())*2,"-")</f>
        <v/>
      </c>
      <c r="N87" s="28">
        <f>IFERROR(VLOOKUP(F87,Scoring!$A$4:$N$51,14,FALSE()),"-")</f>
        <v/>
      </c>
      <c r="O87" s="28">
        <f>IFERROR(VLOOKUP(G87,Scoring!$A$4:$N$51,14,FALSE()),"-")</f>
        <v/>
      </c>
      <c r="P87" s="29">
        <f>IFERROR(VLOOKUP(H87,Scoring!$A$4:$N$51,14,FALSE()),"-")</f>
        <v/>
      </c>
      <c r="Q87" s="29">
        <f>IFERROR(VLOOKUP(I87,Scoring!$A$4:$N$51,6,FALSE()),"-")</f>
        <v/>
      </c>
      <c r="R87" s="36">
        <f>IF(A87="","-",SUM(J87:Q87))</f>
        <v/>
      </c>
      <c r="S87">
        <f>IF(A87="","",RANK(R87,$R$4:$R$119))</f>
        <v/>
      </c>
      <c r="T87">
        <f>IF(A87="",-1,R87-ROW(R87)/1000000)</f>
        <v/>
      </c>
      <c r="U87" s="143" t="inlineStr">
        <is>
          <t>Davide.Speranza@carlsberg.it</t>
        </is>
      </c>
      <c r="W87" s="44" t="inlineStr">
        <is>
          <t>p</t>
        </is>
      </c>
    </row>
    <row r="88" ht="12.75" customHeight="1">
      <c r="A88" s="27" t="inlineStr">
        <is>
          <t>Nadia Mercurio</t>
        </is>
      </c>
      <c r="B88" s="43" t="inlineStr">
        <is>
          <t>France</t>
        </is>
      </c>
      <c r="C88" s="43" t="inlineStr">
        <is>
          <t>Brazil</t>
        </is>
      </c>
      <c r="D88" s="43" t="inlineStr">
        <is>
          <t>Spain</t>
        </is>
      </c>
      <c r="E88" s="43" t="inlineStr">
        <is>
          <t>Argentina</t>
        </is>
      </c>
      <c r="F88" s="43" t="inlineStr">
        <is>
          <t>Türkiye</t>
        </is>
      </c>
      <c r="G88" s="43" t="inlineStr">
        <is>
          <t>Norway</t>
        </is>
      </c>
      <c r="H88" s="43" t="inlineStr">
        <is>
          <t>Bosnia &amp; Herzegovina</t>
        </is>
      </c>
      <c r="I88" s="28" t="inlineStr">
        <is>
          <t>Brazil</t>
        </is>
      </c>
      <c r="J88" s="28">
        <f>IFERROR(VLOOKUP(B88,Scoring!$A$4:$N$51,14,FALSE())*6,"-")</f>
        <v/>
      </c>
      <c r="K88" s="28">
        <f>IFERROR(VLOOKUP(C88,Scoring!$A$4:$N$51,14,FALSE())*4,"-")</f>
        <v/>
      </c>
      <c r="L88" s="28">
        <f>IFERROR(VLOOKUP(D88,Scoring!$A$4:$N$51,14,FALSE())*3,"-")</f>
        <v/>
      </c>
      <c r="M88" s="28">
        <f>IFERROR(VLOOKUP(E88,Scoring!$A$4:$N$51,14,FALSE())*2,"-")</f>
        <v/>
      </c>
      <c r="N88" s="28">
        <f>IFERROR(VLOOKUP(F88,Scoring!$A$4:$N$51,14,FALSE()),"-")</f>
        <v/>
      </c>
      <c r="O88" s="28">
        <f>IFERROR(VLOOKUP(G88,Scoring!$A$4:$N$51,14,FALSE()),"-")</f>
        <v/>
      </c>
      <c r="P88" s="29">
        <f>IFERROR(VLOOKUP(H88,Scoring!$A$4:$N$51,14,FALSE()),"-")</f>
        <v/>
      </c>
      <c r="Q88" s="29">
        <f>IFERROR(VLOOKUP(I88,Scoring!$A$4:$N$51,6,FALSE()),"-")</f>
        <v/>
      </c>
      <c r="R88" s="36">
        <f>IF(A88="","-",SUM(J88:Q88))</f>
        <v/>
      </c>
      <c r="S88">
        <f>IF(A88="","",RANK(R88,$R$4:$R$119))</f>
        <v/>
      </c>
      <c r="T88">
        <f>IF(A88="",-1,R88-ROW(R88)/1000000)</f>
        <v/>
      </c>
      <c r="U88" s="143" t="inlineStr">
        <is>
          <t>Nadia.Mercurio@carlsberg.it</t>
        </is>
      </c>
      <c r="W88" s="44" t="inlineStr">
        <is>
          <t>p</t>
        </is>
      </c>
    </row>
    <row r="89" ht="12.75" customHeight="1">
      <c r="A89" s="27" t="inlineStr">
        <is>
          <t>Paolo Papiri</t>
        </is>
      </c>
      <c r="B89" s="43" t="inlineStr">
        <is>
          <t>France</t>
        </is>
      </c>
      <c r="C89" s="43" t="inlineStr">
        <is>
          <t>Brazil</t>
        </is>
      </c>
      <c r="D89" s="43" t="inlineStr">
        <is>
          <t>Spain</t>
        </is>
      </c>
      <c r="E89" s="43" t="inlineStr">
        <is>
          <t>Portugal</t>
        </is>
      </c>
      <c r="F89" s="43" t="inlineStr">
        <is>
          <t>Türkiye</t>
        </is>
      </c>
      <c r="G89" s="43" t="inlineStr">
        <is>
          <t>Sweden</t>
        </is>
      </c>
      <c r="H89" s="43" t="inlineStr">
        <is>
          <t>Bosnia &amp; Herzegovina</t>
        </is>
      </c>
      <c r="I89" s="28" t="inlineStr">
        <is>
          <t>Spain</t>
        </is>
      </c>
      <c r="J89" s="28">
        <f>IFERROR(VLOOKUP(B89,Scoring!$A$4:$N$51,14,FALSE())*6,"-")</f>
        <v/>
      </c>
      <c r="K89" s="28">
        <f>IFERROR(VLOOKUP(C89,Scoring!$A$4:$N$51,14,FALSE())*4,"-")</f>
        <v/>
      </c>
      <c r="L89" s="28">
        <f>IFERROR(VLOOKUP(D89,Scoring!$A$4:$N$51,14,FALSE())*3,"-")</f>
        <v/>
      </c>
      <c r="M89" s="28">
        <f>IFERROR(VLOOKUP(E89,Scoring!$A$4:$N$51,14,FALSE())*2,"-")</f>
        <v/>
      </c>
      <c r="N89" s="28">
        <f>IFERROR(VLOOKUP(F89,Scoring!$A$4:$N$51,14,FALSE()),"-")</f>
        <v/>
      </c>
      <c r="O89" s="28">
        <f>IFERROR(VLOOKUP(G89,Scoring!$A$4:$N$51,14,FALSE()),"-")</f>
        <v/>
      </c>
      <c r="P89" s="29">
        <f>IFERROR(VLOOKUP(H89,Scoring!$A$4:$N$51,14,FALSE()),"-")</f>
        <v/>
      </c>
      <c r="Q89" s="29">
        <f>IFERROR(VLOOKUP(I89,Scoring!$A$4:$N$51,6,FALSE()),"-")</f>
        <v/>
      </c>
      <c r="R89" s="36">
        <f>IF(A89="","-",SUM(J89:Q89))</f>
        <v/>
      </c>
      <c r="S89">
        <f>IF(A89="","",RANK(R89,$R$4:$R$119))</f>
        <v/>
      </c>
      <c r="T89">
        <f>IF(A89="",-1,R89-ROW(R89)/1000000)</f>
        <v/>
      </c>
      <c r="U89" s="143" t="inlineStr">
        <is>
          <t>Paolo.Papiri@carlsberg.it</t>
        </is>
      </c>
      <c r="W89" s="44" t="inlineStr">
        <is>
          <t>p</t>
        </is>
      </c>
    </row>
    <row r="90" ht="12.75" customHeight="1">
      <c r="A90" s="27" t="inlineStr">
        <is>
          <t>Gintas Bungarda</t>
        </is>
      </c>
      <c r="B90" s="43" t="inlineStr">
        <is>
          <t>France</t>
        </is>
      </c>
      <c r="C90" s="43" t="inlineStr">
        <is>
          <t>Spain</t>
        </is>
      </c>
      <c r="D90" s="43" t="inlineStr">
        <is>
          <t>Argentina</t>
        </is>
      </c>
      <c r="E90" s="43" t="inlineStr">
        <is>
          <t>Portugal</t>
        </is>
      </c>
      <c r="F90" s="43" t="inlineStr">
        <is>
          <t>Uruguay</t>
        </is>
      </c>
      <c r="G90" s="43" t="inlineStr">
        <is>
          <t>Norway</t>
        </is>
      </c>
      <c r="H90" s="43" t="inlineStr">
        <is>
          <t>Cape Verde</t>
        </is>
      </c>
      <c r="I90" s="28" t="inlineStr">
        <is>
          <t>France</t>
        </is>
      </c>
      <c r="J90" s="28">
        <f>IFERROR(VLOOKUP(B90,Scoring!$A$4:$N$51,14,FALSE())*6,"-")</f>
        <v/>
      </c>
      <c r="K90" s="28">
        <f>IFERROR(VLOOKUP(C90,Scoring!$A$4:$N$51,14,FALSE())*4,"-")</f>
        <v/>
      </c>
      <c r="L90" s="28">
        <f>IFERROR(VLOOKUP(D90,Scoring!$A$4:$N$51,14,FALSE())*3,"-")</f>
        <v/>
      </c>
      <c r="M90" s="28">
        <f>IFERROR(VLOOKUP(E90,Scoring!$A$4:$N$51,14,FALSE())*2,"-")</f>
        <v/>
      </c>
      <c r="N90" s="28">
        <f>IFERROR(VLOOKUP(F90,Scoring!$A$4:$N$51,14,FALSE()),"-")</f>
        <v/>
      </c>
      <c r="O90" s="28">
        <f>IFERROR(VLOOKUP(G90,Scoring!$A$4:$N$51,14,FALSE()),"-")</f>
        <v/>
      </c>
      <c r="P90" s="29">
        <f>IFERROR(VLOOKUP(H90,Scoring!$A$4:$N$51,14,FALSE()),"-")</f>
        <v/>
      </c>
      <c r="Q90" s="29">
        <f>IFERROR(VLOOKUP(I90,Scoring!$A$4:$N$51,6,FALSE()),"-")</f>
        <v/>
      </c>
      <c r="R90" s="36">
        <f>IF(A90="","-",SUM(J90:Q90))</f>
        <v/>
      </c>
      <c r="S90">
        <f>IF(A90="","",RANK(R90,$R$4:$R$119))</f>
        <v/>
      </c>
      <c r="T90">
        <f>IF(A90="",-1,R90-ROW(R90)/1000000)</f>
        <v/>
      </c>
      <c r="U90" s="143" t="inlineStr">
        <is>
          <t>gintas.bungarda@gmail.com</t>
        </is>
      </c>
      <c r="W90" s="44" t="inlineStr">
        <is>
          <t>p</t>
        </is>
      </c>
    </row>
    <row r="91" ht="12.75" customHeight="1">
      <c r="A91" s="27" t="inlineStr">
        <is>
          <t>Paulina Bungardė</t>
        </is>
      </c>
      <c r="B91" s="43" t="inlineStr">
        <is>
          <t>Spain</t>
        </is>
      </c>
      <c r="C91" s="43" t="inlineStr">
        <is>
          <t>France</t>
        </is>
      </c>
      <c r="D91" s="43" t="inlineStr">
        <is>
          <t>England</t>
        </is>
      </c>
      <c r="E91" s="43" t="inlineStr">
        <is>
          <t>Brazil</t>
        </is>
      </c>
      <c r="F91" s="43" t="inlineStr">
        <is>
          <t>Colombia</t>
        </is>
      </c>
      <c r="G91" s="43" t="inlineStr">
        <is>
          <t>Norway</t>
        </is>
      </c>
      <c r="H91" s="43" t="inlineStr">
        <is>
          <t>Ghana</t>
        </is>
      </c>
      <c r="I91" s="28" t="inlineStr">
        <is>
          <t>Spain</t>
        </is>
      </c>
      <c r="J91" s="28">
        <f>IFERROR(VLOOKUP(B91,Scoring!$A$4:$N$51,14,FALSE())*6,"-")</f>
        <v/>
      </c>
      <c r="K91" s="28">
        <f>IFERROR(VLOOKUP(C91,Scoring!$A$4:$N$51,14,FALSE())*4,"-")</f>
        <v/>
      </c>
      <c r="L91" s="28">
        <f>IFERROR(VLOOKUP(D91,Scoring!$A$4:$N$51,14,FALSE())*3,"-")</f>
        <v/>
      </c>
      <c r="M91" s="28">
        <f>IFERROR(VLOOKUP(E91,Scoring!$A$4:$N$51,14,FALSE())*2,"-")</f>
        <v/>
      </c>
      <c r="N91" s="28">
        <f>IFERROR(VLOOKUP(F91,Scoring!$A$4:$N$51,14,FALSE()),"-")</f>
        <v/>
      </c>
      <c r="O91" s="28">
        <f>IFERROR(VLOOKUP(G91,Scoring!$A$4:$N$51,14,FALSE()),"-")</f>
        <v/>
      </c>
      <c r="P91" s="29">
        <f>IFERROR(VLOOKUP(H91,Scoring!$A$4:$N$51,14,FALSE()),"-")</f>
        <v/>
      </c>
      <c r="Q91" s="29">
        <f>IFERROR(VLOOKUP(I91,Scoring!$A$4:$N$51,6,FALSE()),"-")</f>
        <v/>
      </c>
      <c r="R91" s="36">
        <f>IF(A91="","-",SUM(J91:Q91))</f>
        <v/>
      </c>
      <c r="S91">
        <f>IF(A91="","",RANK(R91,$R$4:$R$119))</f>
        <v/>
      </c>
      <c r="T91">
        <f>IF(A91="",-1,R91-ROW(R91)/1000000)</f>
        <v/>
      </c>
      <c r="U91" s="143" t="inlineStr">
        <is>
          <t>gintas.bungarda@gmail.com</t>
        </is>
      </c>
      <c r="W91" s="44" t="inlineStr">
        <is>
          <t>p</t>
        </is>
      </c>
    </row>
    <row r="92" ht="12.75" customHeight="1">
      <c r="A92" s="27" t="inlineStr">
        <is>
          <t>Gintas Bungarda 2</t>
        </is>
      </c>
      <c r="B92" s="43" t="inlineStr">
        <is>
          <t>Portugal</t>
        </is>
      </c>
      <c r="C92" s="43" t="inlineStr">
        <is>
          <t>France</t>
        </is>
      </c>
      <c r="D92" s="43" t="inlineStr">
        <is>
          <t>Spain</t>
        </is>
      </c>
      <c r="E92" s="43" t="inlineStr">
        <is>
          <t>Morocco</t>
        </is>
      </c>
      <c r="F92" s="43" t="inlineStr">
        <is>
          <t>Mexico</t>
        </is>
      </c>
      <c r="G92" s="43" t="inlineStr">
        <is>
          <t>Norway</t>
        </is>
      </c>
      <c r="H92" s="43" t="inlineStr">
        <is>
          <t>Bosnia &amp; Herzegovina</t>
        </is>
      </c>
      <c r="I92" s="28" t="inlineStr">
        <is>
          <t>France</t>
        </is>
      </c>
      <c r="J92" s="28">
        <f>IFERROR(VLOOKUP(B92,Scoring!$A$4:$N$51,14,FALSE())*6,"-")</f>
        <v/>
      </c>
      <c r="K92" s="28">
        <f>IFERROR(VLOOKUP(C92,Scoring!$A$4:$N$51,14,FALSE())*4,"-")</f>
        <v/>
      </c>
      <c r="L92" s="28">
        <f>IFERROR(VLOOKUP(D92,Scoring!$A$4:$N$51,14,FALSE())*3,"-")</f>
        <v/>
      </c>
      <c r="M92" s="28">
        <f>IFERROR(VLOOKUP(E92,Scoring!$A$4:$N$51,14,FALSE())*2,"-")</f>
        <v/>
      </c>
      <c r="N92" s="28">
        <f>IFERROR(VLOOKUP(F92,Scoring!$A$4:$N$51,14,FALSE()),"-")</f>
        <v/>
      </c>
      <c r="O92" s="28">
        <f>IFERROR(VLOOKUP(G92,Scoring!$A$4:$N$51,14,FALSE()),"-")</f>
        <v/>
      </c>
      <c r="P92" s="29">
        <f>IFERROR(VLOOKUP(H92,Scoring!$A$4:$N$51,14,FALSE()),"-")</f>
        <v/>
      </c>
      <c r="Q92" s="29">
        <f>IFERROR(VLOOKUP(I92,Scoring!$A$4:$N$51,6,FALSE()),"-")</f>
        <v/>
      </c>
      <c r="R92" s="36">
        <f>IF(A92="","-",SUM(J92:Q92))</f>
        <v/>
      </c>
      <c r="S92">
        <f>IF(A92="","",RANK(R92,$R$4:$R$119))</f>
        <v/>
      </c>
      <c r="T92">
        <f>IF(A92="",-1,R92-ROW(R92)/1000000)</f>
        <v/>
      </c>
      <c r="U92" s="143" t="inlineStr">
        <is>
          <t>gintas.bungarda@gmail.com</t>
        </is>
      </c>
      <c r="W92" s="44" t="inlineStr">
        <is>
          <t>p</t>
        </is>
      </c>
    </row>
    <row r="93" ht="12.75" customHeight="1">
      <c r="A93" s="27" t="inlineStr">
        <is>
          <t>Tomas Šunskis</t>
        </is>
      </c>
      <c r="B93" s="43" t="inlineStr">
        <is>
          <t>Spain</t>
        </is>
      </c>
      <c r="C93" s="43" t="inlineStr">
        <is>
          <t>England</t>
        </is>
      </c>
      <c r="D93" s="43" t="inlineStr">
        <is>
          <t>Argentina</t>
        </is>
      </c>
      <c r="E93" s="43" t="inlineStr">
        <is>
          <t>Brazil</t>
        </is>
      </c>
      <c r="F93" s="43" t="inlineStr">
        <is>
          <t>Mexico</t>
        </is>
      </c>
      <c r="G93" s="43" t="inlineStr">
        <is>
          <t>Norway</t>
        </is>
      </c>
      <c r="H93" s="43" t="inlineStr">
        <is>
          <t>Cape Verde</t>
        </is>
      </c>
      <c r="I93" s="28" t="inlineStr">
        <is>
          <t>Spain</t>
        </is>
      </c>
      <c r="J93" s="28">
        <f>IFERROR(VLOOKUP(B93,Scoring!$A$4:$N$51,14,FALSE())*6,"-")</f>
        <v/>
      </c>
      <c r="K93" s="28">
        <f>IFERROR(VLOOKUP(C93,Scoring!$A$4:$N$51,14,FALSE())*4,"-")</f>
        <v/>
      </c>
      <c r="L93" s="28">
        <f>IFERROR(VLOOKUP(D93,Scoring!$A$4:$N$51,14,FALSE())*3,"-")</f>
        <v/>
      </c>
      <c r="M93" s="28">
        <f>IFERROR(VLOOKUP(E93,Scoring!$A$4:$N$51,14,FALSE())*2,"-")</f>
        <v/>
      </c>
      <c r="N93" s="28">
        <f>IFERROR(VLOOKUP(F93,Scoring!$A$4:$N$51,14,FALSE()),"-")</f>
        <v/>
      </c>
      <c r="O93" s="28">
        <f>IFERROR(VLOOKUP(G93,Scoring!$A$4:$N$51,14,FALSE()),"-")</f>
        <v/>
      </c>
      <c r="P93" s="29">
        <f>IFERROR(VLOOKUP(H93,Scoring!$A$4:$N$51,14,FALSE()),"-")</f>
        <v/>
      </c>
      <c r="Q93" s="29">
        <f>IFERROR(VLOOKUP(I93,Scoring!$A$4:$N$51,6,FALSE()),"-")</f>
        <v/>
      </c>
      <c r="R93" s="36">
        <f>IF(A93="","-",SUM(J93:Q93))</f>
        <v/>
      </c>
      <c r="S93">
        <f>IF(A93="","",RANK(R93,$R$4:$R$119))</f>
        <v/>
      </c>
      <c r="T93">
        <f>IF(A93="",-1,R93-ROW(R93)/1000000)</f>
        <v/>
      </c>
      <c r="U93" s="143" t="inlineStr">
        <is>
          <t>tom.tomazas@gmail.com</t>
        </is>
      </c>
      <c r="W93" s="44" t="inlineStr">
        <is>
          <t>p</t>
        </is>
      </c>
    </row>
    <row r="94" ht="12.75" customHeight="1">
      <c r="A94" s="27" t="inlineStr">
        <is>
          <t>Gintautas Beržanskis</t>
        </is>
      </c>
      <c r="B94" s="43" t="inlineStr">
        <is>
          <t>Spain</t>
        </is>
      </c>
      <c r="C94" s="43" t="inlineStr">
        <is>
          <t>France</t>
        </is>
      </c>
      <c r="D94" s="43" t="inlineStr">
        <is>
          <t>England</t>
        </is>
      </c>
      <c r="E94" s="43" t="inlineStr">
        <is>
          <t>Portugal</t>
        </is>
      </c>
      <c r="F94" s="43" t="inlineStr">
        <is>
          <t>Mexico</t>
        </is>
      </c>
      <c r="G94" s="43" t="inlineStr">
        <is>
          <t>Norway</t>
        </is>
      </c>
      <c r="H94" s="43" t="inlineStr">
        <is>
          <t>Bosnia &amp; Herzegovina</t>
        </is>
      </c>
      <c r="I94" s="28" t="inlineStr">
        <is>
          <t>Brazil</t>
        </is>
      </c>
      <c r="J94" s="28">
        <f>IFERROR(VLOOKUP(B94,Scoring!$A$4:$N$51,14,FALSE())*6,"-")</f>
        <v/>
      </c>
      <c r="K94" s="28">
        <f>IFERROR(VLOOKUP(C94,Scoring!$A$4:$N$51,14,FALSE())*4,"-")</f>
        <v/>
      </c>
      <c r="L94" s="28">
        <f>IFERROR(VLOOKUP(D94,Scoring!$A$4:$N$51,14,FALSE())*3,"-")</f>
        <v/>
      </c>
      <c r="M94" s="28">
        <f>IFERROR(VLOOKUP(E94,Scoring!$A$4:$N$51,14,FALSE())*2,"-")</f>
        <v/>
      </c>
      <c r="N94" s="28">
        <f>IFERROR(VLOOKUP(F94,Scoring!$A$4:$N$51,14,FALSE()),"-")</f>
        <v/>
      </c>
      <c r="O94" s="28">
        <f>IFERROR(VLOOKUP(G94,Scoring!$A$4:$N$51,14,FALSE()),"-")</f>
        <v/>
      </c>
      <c r="P94" s="29">
        <f>IFERROR(VLOOKUP(H94,Scoring!$A$4:$N$51,14,FALSE()),"-")</f>
        <v/>
      </c>
      <c r="Q94" s="29">
        <f>IFERROR(VLOOKUP(I94,Scoring!$A$4:$N$51,6,FALSE()),"-")</f>
        <v/>
      </c>
      <c r="R94" s="36">
        <f>IF(A94="","-",SUM(J94:Q94))</f>
        <v/>
      </c>
      <c r="S94">
        <f>IF(A94="","",RANK(R94,$R$4:$R$119))</f>
        <v/>
      </c>
      <c r="T94">
        <f>IF(A94="",-1,R94-ROW(R94)/1000000)</f>
        <v/>
      </c>
      <c r="U94" s="143" t="inlineStr">
        <is>
          <t>Gintautas.Berzanskis@dhl.com</t>
        </is>
      </c>
      <c r="W94" s="44" t="inlineStr">
        <is>
          <t>p</t>
        </is>
      </c>
    </row>
    <row r="95" ht="12.75" customHeight="1">
      <c r="A95" s="27" t="inlineStr">
        <is>
          <t>Vaidas Pažusys</t>
        </is>
      </c>
      <c r="B95" s="43" t="inlineStr">
        <is>
          <t>Argentina</t>
        </is>
      </c>
      <c r="C95" s="43" t="inlineStr">
        <is>
          <t>Germany</t>
        </is>
      </c>
      <c r="D95" s="43" t="inlineStr">
        <is>
          <t>Spain</t>
        </is>
      </c>
      <c r="E95" s="43" t="inlineStr">
        <is>
          <t>England</t>
        </is>
      </c>
      <c r="F95" s="43" t="inlineStr">
        <is>
          <t>Mexico</t>
        </is>
      </c>
      <c r="G95" s="43" t="inlineStr">
        <is>
          <t>Norway</t>
        </is>
      </c>
      <c r="H95" s="43" t="inlineStr">
        <is>
          <t>Ghana</t>
        </is>
      </c>
      <c r="I95" s="28" t="inlineStr">
        <is>
          <t>Spain</t>
        </is>
      </c>
      <c r="J95" s="28">
        <f>IFERROR(VLOOKUP(B95,Scoring!$A$4:$N$51,14,FALSE())*6,"-")</f>
        <v/>
      </c>
      <c r="K95" s="28">
        <f>IFERROR(VLOOKUP(C95,Scoring!$A$4:$N$51,14,FALSE())*4,"-")</f>
        <v/>
      </c>
      <c r="L95" s="28">
        <f>IFERROR(VLOOKUP(D95,Scoring!$A$4:$N$51,14,FALSE())*3,"-")</f>
        <v/>
      </c>
      <c r="M95" s="28">
        <f>IFERROR(VLOOKUP(E95,Scoring!$A$4:$N$51,14,FALSE())*2,"-")</f>
        <v/>
      </c>
      <c r="N95" s="28">
        <f>IFERROR(VLOOKUP(F95,Scoring!$A$4:$N$51,14,FALSE()),"-")</f>
        <v/>
      </c>
      <c r="O95" s="28">
        <f>IFERROR(VLOOKUP(G95,Scoring!$A$4:$N$51,14,FALSE()),"-")</f>
        <v/>
      </c>
      <c r="P95" s="29">
        <f>IFERROR(VLOOKUP(H95,Scoring!$A$4:$N$51,14,FALSE()),"-")</f>
        <v/>
      </c>
      <c r="Q95" s="29">
        <f>IFERROR(VLOOKUP(I95,Scoring!$A$4:$N$51,6,FALSE()),"-")</f>
        <v/>
      </c>
      <c r="R95" s="36">
        <f>IF(A95="","-",SUM(J95:Q95))</f>
        <v/>
      </c>
      <c r="S95">
        <f>IF(A95="","",RANK(R95,$R$4:$R$119))</f>
        <v/>
      </c>
      <c r="T95">
        <f>IF(A95="",-1,R95-ROW(R95)/1000000)</f>
        <v/>
      </c>
      <c r="U95" s="44" t="inlineStr">
        <is>
          <t>vaidas.pazusys@svyturys.lt</t>
        </is>
      </c>
      <c r="W95" s="44" t="inlineStr">
        <is>
          <t>p</t>
        </is>
      </c>
    </row>
    <row r="96" ht="12.75" customHeight="1">
      <c r="A96" s="27" t="inlineStr">
        <is>
          <t>Deividas Jančius</t>
        </is>
      </c>
      <c r="B96" s="43" t="inlineStr">
        <is>
          <t>France</t>
        </is>
      </c>
      <c r="C96" s="43" t="inlineStr">
        <is>
          <t>Spain</t>
        </is>
      </c>
      <c r="D96" s="43" t="inlineStr">
        <is>
          <t>Brazil</t>
        </is>
      </c>
      <c r="E96" s="43" t="inlineStr">
        <is>
          <t>England</t>
        </is>
      </c>
      <c r="F96" s="43" t="inlineStr">
        <is>
          <t>Colombia</t>
        </is>
      </c>
      <c r="G96" s="43" t="inlineStr">
        <is>
          <t>Norway</t>
        </is>
      </c>
      <c r="H96" s="43" t="inlineStr">
        <is>
          <t>Bosnia &amp; Herzegovina</t>
        </is>
      </c>
      <c r="I96" s="28" t="inlineStr">
        <is>
          <t>Spain</t>
        </is>
      </c>
      <c r="J96" s="28">
        <f>IFERROR(VLOOKUP(B96,Scoring!$A$4:$N$51,14,FALSE())*6,"-")</f>
        <v/>
      </c>
      <c r="K96" s="28">
        <f>IFERROR(VLOOKUP(C96,Scoring!$A$4:$N$51,14,FALSE())*4,"-")</f>
        <v/>
      </c>
      <c r="L96" s="28">
        <f>IFERROR(VLOOKUP(D96,Scoring!$A$4:$N$51,14,FALSE())*3,"-")</f>
        <v/>
      </c>
      <c r="M96" s="28">
        <f>IFERROR(VLOOKUP(E96,Scoring!$A$4:$N$51,14,FALSE())*2,"-")</f>
        <v/>
      </c>
      <c r="N96" s="28">
        <f>IFERROR(VLOOKUP(F96,Scoring!$A$4:$N$51,14,FALSE()),"-")</f>
        <v/>
      </c>
      <c r="O96" s="28">
        <f>IFERROR(VLOOKUP(G96,Scoring!$A$4:$N$51,14,FALSE()),"-")</f>
        <v/>
      </c>
      <c r="P96" s="29">
        <f>IFERROR(VLOOKUP(H96,Scoring!$A$4:$N$51,14,FALSE()),"-")</f>
        <v/>
      </c>
      <c r="Q96" s="29">
        <f>IFERROR(VLOOKUP(I96,Scoring!$A$4:$N$51,6,FALSE()),"-")</f>
        <v/>
      </c>
      <c r="R96" s="36">
        <f>IF(A96="","-",SUM(J96:Q96))</f>
        <v/>
      </c>
      <c r="S96">
        <f>IF(A96="","",RANK(R96,$R$4:$R$119))</f>
        <v/>
      </c>
      <c r="T96">
        <f>IF(A96="",-1,R96-ROW(R96)/1000000)</f>
        <v/>
      </c>
      <c r="U96" s="143" t="inlineStr">
        <is>
          <t>d.jancius@gmail.com</t>
        </is>
      </c>
      <c r="W96" s="44" t="inlineStr">
        <is>
          <t>p</t>
        </is>
      </c>
    </row>
    <row r="97" ht="12.75" customHeight="1">
      <c r="A97" s="27" t="inlineStr">
        <is>
          <t>Ernesta Čebienė</t>
        </is>
      </c>
      <c r="B97" s="43" t="inlineStr">
        <is>
          <t>France</t>
        </is>
      </c>
      <c r="C97" s="43" t="inlineStr">
        <is>
          <t>Brazil</t>
        </is>
      </c>
      <c r="D97" s="43" t="inlineStr">
        <is>
          <t>Spain</t>
        </is>
      </c>
      <c r="E97" s="43" t="inlineStr">
        <is>
          <t>Portugal</t>
        </is>
      </c>
      <c r="F97" s="43" t="inlineStr">
        <is>
          <t>Senegal</t>
        </is>
      </c>
      <c r="G97" s="43" t="inlineStr">
        <is>
          <t>Egypt</t>
        </is>
      </c>
      <c r="H97" s="43" t="inlineStr">
        <is>
          <t>Bosnia &amp; Herzegovina</t>
        </is>
      </c>
      <c r="I97" s="28" t="inlineStr">
        <is>
          <t>France</t>
        </is>
      </c>
      <c r="J97" s="28">
        <f>IFERROR(VLOOKUP(B97,Scoring!$A$4:$N$51,14,FALSE())*6,"-")</f>
        <v/>
      </c>
      <c r="K97" s="28">
        <f>IFERROR(VLOOKUP(C97,Scoring!$A$4:$N$51,14,FALSE())*4,"-")</f>
        <v/>
      </c>
      <c r="L97" s="28">
        <f>IFERROR(VLOOKUP(D97,Scoring!$A$4:$N$51,14,FALSE())*3,"-")</f>
        <v/>
      </c>
      <c r="M97" s="28">
        <f>IFERROR(VLOOKUP(E97,Scoring!$A$4:$N$51,14,FALSE())*2,"-")</f>
        <v/>
      </c>
      <c r="N97" s="28">
        <f>IFERROR(VLOOKUP(F97,Scoring!$A$4:$N$51,14,FALSE()),"-")</f>
        <v/>
      </c>
      <c r="O97" s="28">
        <f>IFERROR(VLOOKUP(G97,Scoring!$A$4:$N$51,14,FALSE()),"-")</f>
        <v/>
      </c>
      <c r="P97" s="29">
        <f>IFERROR(VLOOKUP(H97,Scoring!$A$4:$N$51,14,FALSE()),"-")</f>
        <v/>
      </c>
      <c r="Q97" s="29">
        <f>IFERROR(VLOOKUP(I97,Scoring!$A$4:$N$51,6,FALSE()),"-")</f>
        <v/>
      </c>
      <c r="R97" s="36">
        <f>IF(A97="","-",SUM(J97:Q97))</f>
        <v/>
      </c>
      <c r="S97">
        <f>IF(A97="","",RANK(R97,$R$4:$R$119))</f>
        <v/>
      </c>
      <c r="T97">
        <f>IF(A97="",-1,R97-ROW(R97)/1000000)</f>
        <v/>
      </c>
      <c r="U97" s="143" t="inlineStr">
        <is>
          <t>ernesta.ceb@gmail.com</t>
        </is>
      </c>
      <c r="W97" s="44" t="inlineStr">
        <is>
          <t>p</t>
        </is>
      </c>
    </row>
    <row r="98" ht="12.75" customHeight="1">
      <c r="A98" s="27" t="inlineStr">
        <is>
          <t>Darius Jalo</t>
        </is>
      </c>
      <c r="B98" s="43" t="inlineStr">
        <is>
          <t>England</t>
        </is>
      </c>
      <c r="C98" s="43" t="inlineStr">
        <is>
          <t>Spain</t>
        </is>
      </c>
      <c r="D98" s="43" t="inlineStr">
        <is>
          <t>Argentina</t>
        </is>
      </c>
      <c r="E98" s="43" t="inlineStr">
        <is>
          <t>France</t>
        </is>
      </c>
      <c r="F98" s="43" t="inlineStr">
        <is>
          <t>Colombia</t>
        </is>
      </c>
      <c r="G98" s="43" t="inlineStr">
        <is>
          <t>Norway</t>
        </is>
      </c>
      <c r="H98" s="43" t="inlineStr">
        <is>
          <t>Bosnia &amp; Herzegovina</t>
        </is>
      </c>
      <c r="I98" s="28" t="inlineStr">
        <is>
          <t>Spain</t>
        </is>
      </c>
      <c r="J98" s="28">
        <f>IFERROR(VLOOKUP(B98,Scoring!$A$4:$N$51,14,FALSE())*6,"-")</f>
        <v/>
      </c>
      <c r="K98" s="28">
        <f>IFERROR(VLOOKUP(C98,Scoring!$A$4:$N$51,14,FALSE())*4,"-")</f>
        <v/>
      </c>
      <c r="L98" s="28">
        <f>IFERROR(VLOOKUP(D98,Scoring!$A$4:$N$51,14,FALSE())*3,"-")</f>
        <v/>
      </c>
      <c r="M98" s="28">
        <f>IFERROR(VLOOKUP(E98,Scoring!$A$4:$N$51,14,FALSE())*2,"-")</f>
        <v/>
      </c>
      <c r="N98" s="28">
        <f>IFERROR(VLOOKUP(F98,Scoring!$A$4:$N$51,14,FALSE()),"-")</f>
        <v/>
      </c>
      <c r="O98" s="28">
        <f>IFERROR(VLOOKUP(G98,Scoring!$A$4:$N$51,14,FALSE()),"-")</f>
        <v/>
      </c>
      <c r="P98" s="29">
        <f>IFERROR(VLOOKUP(H98,Scoring!$A$4:$N$51,14,FALSE()),"-")</f>
        <v/>
      </c>
      <c r="Q98" s="29">
        <f>IFERROR(VLOOKUP(I98,Scoring!$A$4:$N$51,6,FALSE()),"-")</f>
        <v/>
      </c>
      <c r="R98" s="36">
        <f>IF(A98="","-",SUM(J98:Q98))</f>
        <v/>
      </c>
      <c r="S98">
        <f>IF(A98="","",RANK(R98,$R$4:$R$119))</f>
        <v/>
      </c>
      <c r="T98">
        <f>IF(A98="",-1,R98-ROW(R98)/1000000)</f>
        <v/>
      </c>
      <c r="U98" s="44" t="inlineStr">
        <is>
          <t>darius.jaloveckas@gmail.com</t>
        </is>
      </c>
      <c r="W98" s="44" t="inlineStr">
        <is>
          <t>p</t>
        </is>
      </c>
    </row>
    <row r="99" ht="12.75" customHeight="1">
      <c r="A99" s="27" t="inlineStr">
        <is>
          <t>Pijus Jalo</t>
        </is>
      </c>
      <c r="B99" s="43" t="inlineStr">
        <is>
          <t>France</t>
        </is>
      </c>
      <c r="C99" s="43" t="inlineStr">
        <is>
          <t>Brazil</t>
        </is>
      </c>
      <c r="D99" s="43" t="inlineStr">
        <is>
          <t>Spain</t>
        </is>
      </c>
      <c r="E99" s="43" t="inlineStr">
        <is>
          <t>Argentina</t>
        </is>
      </c>
      <c r="F99" s="43" t="inlineStr">
        <is>
          <t>Türkiye</t>
        </is>
      </c>
      <c r="G99" s="43" t="inlineStr">
        <is>
          <t>Egypt</t>
        </is>
      </c>
      <c r="H99" s="43" t="inlineStr">
        <is>
          <t>Bosnia &amp; Herzegovina</t>
        </is>
      </c>
      <c r="I99" s="28" t="inlineStr">
        <is>
          <t>Brazil</t>
        </is>
      </c>
      <c r="J99" s="28">
        <f>IFERROR(VLOOKUP(B99,Scoring!$A$4:$N$51,14,FALSE())*6,"-")</f>
        <v/>
      </c>
      <c r="K99" s="28">
        <f>IFERROR(VLOOKUP(C99,Scoring!$A$4:$N$51,14,FALSE())*4,"-")</f>
        <v/>
      </c>
      <c r="L99" s="28">
        <f>IFERROR(VLOOKUP(D99,Scoring!$A$4:$N$51,14,FALSE())*3,"-")</f>
        <v/>
      </c>
      <c r="M99" s="28">
        <f>IFERROR(VLOOKUP(E99,Scoring!$A$4:$N$51,14,FALSE())*2,"-")</f>
        <v/>
      </c>
      <c r="N99" s="28">
        <f>IFERROR(VLOOKUP(F99,Scoring!$A$4:$N$51,14,FALSE()),"-")</f>
        <v/>
      </c>
      <c r="O99" s="28">
        <f>IFERROR(VLOOKUP(G99,Scoring!$A$4:$N$51,14,FALSE()),"-")</f>
        <v/>
      </c>
      <c r="P99" s="29">
        <f>IFERROR(VLOOKUP(H99,Scoring!$A$4:$N$51,14,FALSE()),"-")</f>
        <v/>
      </c>
      <c r="Q99" s="29">
        <f>IFERROR(VLOOKUP(I99,Scoring!$A$4:$N$51,6,FALSE()),"-")</f>
        <v/>
      </c>
      <c r="R99" s="36">
        <f>IF(A99="","-",SUM(J99:Q99))</f>
        <v/>
      </c>
      <c r="S99">
        <f>IF(A99="","",RANK(R99,$R$4:$R$119))</f>
        <v/>
      </c>
      <c r="T99">
        <f>IF(A99="",-1,R99-ROW(R99)/1000000)</f>
        <v/>
      </c>
      <c r="U99" s="44" t="inlineStr">
        <is>
          <t>pijusjalo@gmail.com</t>
        </is>
      </c>
      <c r="W99" s="44" t="inlineStr">
        <is>
          <t>p</t>
        </is>
      </c>
    </row>
    <row r="100" ht="12.75" customHeight="1">
      <c r="A100" s="27" t="inlineStr">
        <is>
          <t>Joris Jalo</t>
        </is>
      </c>
      <c r="B100" s="43" t="inlineStr">
        <is>
          <t>Spain</t>
        </is>
      </c>
      <c r="C100" s="43" t="inlineStr">
        <is>
          <t>Brazil</t>
        </is>
      </c>
      <c r="D100" s="43" t="inlineStr">
        <is>
          <t>France</t>
        </is>
      </c>
      <c r="E100" s="43" t="inlineStr">
        <is>
          <t>Portugal</t>
        </is>
      </c>
      <c r="F100" s="43" t="inlineStr">
        <is>
          <t>Japan</t>
        </is>
      </c>
      <c r="G100" s="43" t="inlineStr">
        <is>
          <t>Egypt</t>
        </is>
      </c>
      <c r="H100" s="43" t="inlineStr">
        <is>
          <t>Uzbekistan</t>
        </is>
      </c>
      <c r="I100" s="28" t="inlineStr">
        <is>
          <t>Spain</t>
        </is>
      </c>
      <c r="J100" s="28">
        <f>IFERROR(VLOOKUP(B100,Scoring!$A$4:$N$51,14,FALSE())*6,"-")</f>
        <v/>
      </c>
      <c r="K100" s="28">
        <f>IFERROR(VLOOKUP(C100,Scoring!$A$4:$N$51,14,FALSE())*4,"-")</f>
        <v/>
      </c>
      <c r="L100" s="28">
        <f>IFERROR(VLOOKUP(D100,Scoring!$A$4:$N$51,14,FALSE())*3,"-")</f>
        <v/>
      </c>
      <c r="M100" s="28">
        <f>IFERROR(VLOOKUP(E100,Scoring!$A$4:$N$51,14,FALSE())*2,"-")</f>
        <v/>
      </c>
      <c r="N100" s="28">
        <f>IFERROR(VLOOKUP(F100,Scoring!$A$4:$N$51,14,FALSE()),"-")</f>
        <v/>
      </c>
      <c r="O100" s="28">
        <f>IFERROR(VLOOKUP(G100,Scoring!$A$4:$N$51,14,FALSE()),"-")</f>
        <v/>
      </c>
      <c r="P100" s="29">
        <f>IFERROR(VLOOKUP(H100,Scoring!$A$4:$N$51,14,FALSE()),"-")</f>
        <v/>
      </c>
      <c r="Q100" s="29">
        <f>IFERROR(VLOOKUP(I100,Scoring!$A$4:$N$51,6,FALSE()),"-")</f>
        <v/>
      </c>
      <c r="R100" s="36">
        <f>IF(A100="","-",SUM(J100:Q100))</f>
        <v/>
      </c>
      <c r="S100">
        <f>IF(A100="","",RANK(R100,$R$4:$R$119))</f>
        <v/>
      </c>
      <c r="T100">
        <f>IF(A100="",-1,R100-ROW(R100)/1000000)</f>
        <v/>
      </c>
      <c r="U100" s="44" t="inlineStr">
        <is>
          <t>jorisjalo@gmail.com</t>
        </is>
      </c>
      <c r="W100" s="44" t="inlineStr">
        <is>
          <t>p</t>
        </is>
      </c>
    </row>
    <row r="101" ht="12.75" customHeight="1">
      <c r="A101" s="27" t="inlineStr">
        <is>
          <t>Audi club</t>
        </is>
      </c>
      <c r="B101" s="43" t="inlineStr">
        <is>
          <t>Argentina</t>
        </is>
      </c>
      <c r="C101" s="43" t="inlineStr">
        <is>
          <t>Spain</t>
        </is>
      </c>
      <c r="D101" s="43" t="inlineStr">
        <is>
          <t>Brazil</t>
        </is>
      </c>
      <c r="E101" s="43" t="inlineStr">
        <is>
          <t>France</t>
        </is>
      </c>
      <c r="F101" s="43" t="inlineStr">
        <is>
          <t>Türkiye</t>
        </is>
      </c>
      <c r="G101" s="43" t="inlineStr">
        <is>
          <t>Egypt</t>
        </is>
      </c>
      <c r="H101" s="43" t="inlineStr">
        <is>
          <t>Bosnia &amp; Herzegovina</t>
        </is>
      </c>
      <c r="I101" s="28" t="inlineStr">
        <is>
          <t>Argentina</t>
        </is>
      </c>
      <c r="J101" s="28">
        <f>IFERROR(VLOOKUP(B101,Scoring!$A$4:$N$51,14,FALSE())*6,"-")</f>
        <v/>
      </c>
      <c r="K101" s="28">
        <f>IFERROR(VLOOKUP(C101,Scoring!$A$4:$N$51,14,FALSE())*4,"-")</f>
        <v/>
      </c>
      <c r="L101" s="28">
        <f>IFERROR(VLOOKUP(D101,Scoring!$A$4:$N$51,14,FALSE())*3,"-")</f>
        <v/>
      </c>
      <c r="M101" s="28">
        <f>IFERROR(VLOOKUP(E101,Scoring!$A$4:$N$51,14,FALSE())*2,"-")</f>
        <v/>
      </c>
      <c r="N101" s="28">
        <f>IFERROR(VLOOKUP(F101,Scoring!$A$4:$N$51,14,FALSE()),"-")</f>
        <v/>
      </c>
      <c r="O101" s="28">
        <f>IFERROR(VLOOKUP(G101,Scoring!$A$4:$N$51,14,FALSE()),"-")</f>
        <v/>
      </c>
      <c r="P101" s="29">
        <f>IFERROR(VLOOKUP(H101,Scoring!$A$4:$N$51,14,FALSE()),"-")</f>
        <v/>
      </c>
      <c r="Q101" s="29">
        <f>IFERROR(VLOOKUP(I101,Scoring!$A$4:$N$51,6,FALSE()),"-")</f>
        <v/>
      </c>
      <c r="R101" s="36">
        <f>IF(A101="","-",SUM(J101:Q101))</f>
        <v/>
      </c>
      <c r="S101">
        <f>IF(A101="","",RANK(R101,$R$4:$R$119))</f>
        <v/>
      </c>
      <c r="T101">
        <f>IF(A101="",-1,R101-ROW(R101)/1000000)</f>
        <v/>
      </c>
      <c r="U101" s="44" t="inlineStr">
        <is>
          <t>audiclub1056@gmail.com</t>
        </is>
      </c>
      <c r="W101" s="44" t="inlineStr">
        <is>
          <t>p</t>
        </is>
      </c>
    </row>
    <row r="102" ht="13.5" customHeight="1">
      <c r="A102" s="27" t="inlineStr">
        <is>
          <t>Benediktas Babraitis</t>
        </is>
      </c>
      <c r="B102" s="43" t="inlineStr">
        <is>
          <t>Spain</t>
        </is>
      </c>
      <c r="C102" s="43" t="inlineStr">
        <is>
          <t>Argentina</t>
        </is>
      </c>
      <c r="D102" s="45" t="inlineStr">
        <is>
          <t>England</t>
        </is>
      </c>
      <c r="E102" s="43" t="inlineStr">
        <is>
          <t>France</t>
        </is>
      </c>
      <c r="F102" s="43" t="inlineStr">
        <is>
          <t>Mexico</t>
        </is>
      </c>
      <c r="G102" s="43" t="inlineStr">
        <is>
          <t>Norway</t>
        </is>
      </c>
      <c r="H102" s="43" t="inlineStr">
        <is>
          <t>Bosnia &amp; Herzegovina</t>
        </is>
      </c>
      <c r="I102" s="28" t="inlineStr">
        <is>
          <t>Spain</t>
        </is>
      </c>
      <c r="J102" s="28">
        <f>IFERROR(VLOOKUP(B102,Scoring!$A$4:$N$51,14,FALSE())*6,"-")</f>
        <v/>
      </c>
      <c r="K102" s="28">
        <f>IFERROR(VLOOKUP(C102,Scoring!$A$4:$N$51,14,FALSE())*4,"-")</f>
        <v/>
      </c>
      <c r="L102" s="28">
        <f>IFERROR(VLOOKUP(D102,Scoring!$A$4:$N$51,14,FALSE())*3,"-")</f>
        <v/>
      </c>
      <c r="M102" s="28">
        <f>IFERROR(VLOOKUP(E102,Scoring!$A$4:$N$51,14,FALSE())*2,"-")</f>
        <v/>
      </c>
      <c r="N102" s="28">
        <f>IFERROR(VLOOKUP(F102,Scoring!$A$4:$N$51,14,FALSE()),"-")</f>
        <v/>
      </c>
      <c r="O102" s="28">
        <f>IFERROR(VLOOKUP(G102,Scoring!$A$4:$N$51,14,FALSE()),"-")</f>
        <v/>
      </c>
      <c r="P102" s="29">
        <f>IFERROR(VLOOKUP(H102,Scoring!$A$4:$N$51,14,FALSE()),"-")</f>
        <v/>
      </c>
      <c r="Q102" s="29">
        <f>IFERROR(VLOOKUP(I102,Scoring!$A$4:$N$51,6,FALSE()),"-")</f>
        <v/>
      </c>
      <c r="R102" s="36">
        <f>IF(A102="","-",SUM(J102:Q102))</f>
        <v/>
      </c>
      <c r="S102">
        <f>IF(A102="","",RANK(R102,$R$4:$R$119))</f>
        <v/>
      </c>
      <c r="T102">
        <f>IF(A102="",-1,R102-ROW(R102)/1000000)</f>
        <v/>
      </c>
      <c r="U102" s="44" t="inlineStr">
        <is>
          <t>benediktas.babraitis@gmail.com</t>
        </is>
      </c>
      <c r="W102" s="44" t="inlineStr">
        <is>
          <t>p</t>
        </is>
      </c>
    </row>
    <row r="103" ht="13.5" customHeight="1">
      <c r="A103" s="27" t="inlineStr">
        <is>
          <t>Rimas Baubonis</t>
        </is>
      </c>
      <c r="B103" s="43" t="inlineStr">
        <is>
          <t>Portugal</t>
        </is>
      </c>
      <c r="C103" s="43" t="inlineStr">
        <is>
          <t>Spain</t>
        </is>
      </c>
      <c r="D103" s="43" t="inlineStr">
        <is>
          <t>England</t>
        </is>
      </c>
      <c r="E103" s="43" t="inlineStr">
        <is>
          <t>France</t>
        </is>
      </c>
      <c r="F103" s="43" t="inlineStr">
        <is>
          <t>Switzerland</t>
        </is>
      </c>
      <c r="G103" s="43" t="inlineStr">
        <is>
          <t>Egypt</t>
        </is>
      </c>
      <c r="H103" s="43" t="inlineStr">
        <is>
          <t>Ghana</t>
        </is>
      </c>
      <c r="I103" s="28" t="inlineStr">
        <is>
          <t>Spain</t>
        </is>
      </c>
      <c r="J103" s="28">
        <f>IFERROR(VLOOKUP(B103,Scoring!$A$4:$N$51,14,FALSE())*6,"-")</f>
        <v/>
      </c>
      <c r="K103" s="28">
        <f>IFERROR(VLOOKUP(C103,Scoring!$A$4:$N$51,14,FALSE())*4,"-")</f>
        <v/>
      </c>
      <c r="L103" s="28">
        <f>IFERROR(VLOOKUP(D103,Scoring!$A$4:$N$51,14,FALSE())*3,"-")</f>
        <v/>
      </c>
      <c r="M103" s="28">
        <f>IFERROR(VLOOKUP(E103,Scoring!$A$4:$N$51,14,FALSE())*2,"-")</f>
        <v/>
      </c>
      <c r="N103" s="28">
        <f>IFERROR(VLOOKUP(F103,Scoring!$A$4:$N$51,14,FALSE()),"-")</f>
        <v/>
      </c>
      <c r="O103" s="28">
        <f>IFERROR(VLOOKUP(G103,Scoring!$A$4:$N$51,14,FALSE()),"-")</f>
        <v/>
      </c>
      <c r="P103" s="29">
        <f>IFERROR(VLOOKUP(H103,Scoring!$A$4:$N$51,14,FALSE()),"-")</f>
        <v/>
      </c>
      <c r="Q103" s="29">
        <f>IFERROR(VLOOKUP(I103,Scoring!$A$4:$N$51,6,FALSE()),"-")</f>
        <v/>
      </c>
      <c r="R103" s="36">
        <f>IF(A103="","-",SUM(J103:Q103))</f>
        <v/>
      </c>
      <c r="S103">
        <f>IF(A103="","",RANK(R103,$R$4:$R$119))</f>
        <v/>
      </c>
      <c r="T103">
        <f>IF(A103="",-1,R103-ROW(R103)/1000000)</f>
        <v/>
      </c>
      <c r="U103" s="143" t="inlineStr">
        <is>
          <t>r.baubonis@gmail.com</t>
        </is>
      </c>
      <c r="W103" s="44" t="inlineStr">
        <is>
          <t>p</t>
        </is>
      </c>
    </row>
    <row r="104" ht="13.5" customHeight="1">
      <c r="A104" s="27" t="inlineStr">
        <is>
          <t>Sigitas Šarauskis</t>
        </is>
      </c>
      <c r="B104" s="43" t="inlineStr">
        <is>
          <t>Spain</t>
        </is>
      </c>
      <c r="C104" s="43" t="inlineStr">
        <is>
          <t>Argentina</t>
        </is>
      </c>
      <c r="D104" s="43" t="inlineStr">
        <is>
          <t>Brazil</t>
        </is>
      </c>
      <c r="E104" s="43" t="inlineStr">
        <is>
          <t>Germany</t>
        </is>
      </c>
      <c r="F104" s="43" t="inlineStr">
        <is>
          <t>Uruguay</t>
        </is>
      </c>
      <c r="G104" s="43" t="inlineStr">
        <is>
          <t>Norway</t>
        </is>
      </c>
      <c r="H104" s="43" t="inlineStr">
        <is>
          <t>Qatar</t>
        </is>
      </c>
      <c r="I104" s="28" t="inlineStr">
        <is>
          <t>Brazil</t>
        </is>
      </c>
      <c r="J104" s="28">
        <f>IFERROR(VLOOKUP(B104,Scoring!$A$4:$N$51,14,FALSE())*6,"-")</f>
        <v/>
      </c>
      <c r="K104" s="28">
        <f>IFERROR(VLOOKUP(C104,Scoring!$A$4:$N$51,14,FALSE())*4,"-")</f>
        <v/>
      </c>
      <c r="L104" s="28">
        <f>IFERROR(VLOOKUP(D104,Scoring!$A$4:$N$51,14,FALSE())*3,"-")</f>
        <v/>
      </c>
      <c r="M104" s="28">
        <f>IFERROR(VLOOKUP(E104,Scoring!$A$4:$N$51,14,FALSE())*2,"-")</f>
        <v/>
      </c>
      <c r="N104" s="28">
        <f>IFERROR(VLOOKUP(F104,Scoring!$A$4:$N$51,14,FALSE()),"-")</f>
        <v/>
      </c>
      <c r="O104" s="28">
        <f>IFERROR(VLOOKUP(G104,Scoring!$A$4:$N$51,14,FALSE()),"-")</f>
        <v/>
      </c>
      <c r="P104" s="29">
        <f>IFERROR(VLOOKUP(H104,Scoring!$A$4:$N$51,14,FALSE()),"-")</f>
        <v/>
      </c>
      <c r="Q104" s="29">
        <f>IFERROR(VLOOKUP(I104,Scoring!$A$4:$N$51,6,FALSE()),"-")</f>
        <v/>
      </c>
      <c r="R104" s="36">
        <f>IF(A104="","-",SUM(J104:Q104))</f>
        <v/>
      </c>
      <c r="S104">
        <f>IF(A104="","",RANK(R104,$R$4:$R$119))</f>
        <v/>
      </c>
      <c r="T104">
        <f>IF(A104="",-1,R104-ROW(R104)/1000000)</f>
        <v/>
      </c>
      <c r="U104" s="44" t="inlineStr">
        <is>
          <t>sigitas.sarauskis@gmail.com</t>
        </is>
      </c>
      <c r="W104" s="44" t="inlineStr">
        <is>
          <t>p</t>
        </is>
      </c>
    </row>
    <row r="105" ht="13.5" customHeight="1">
      <c r="A105" s="27" t="inlineStr">
        <is>
          <t>Jokūbas Kušleika</t>
        </is>
      </c>
      <c r="B105" s="43" t="inlineStr">
        <is>
          <t>France</t>
        </is>
      </c>
      <c r="C105" s="43" t="inlineStr">
        <is>
          <t>Spain</t>
        </is>
      </c>
      <c r="D105" s="43" t="inlineStr">
        <is>
          <t>Portugal</t>
        </is>
      </c>
      <c r="E105" s="43" t="inlineStr">
        <is>
          <t>Argentina</t>
        </is>
      </c>
      <c r="F105" s="43" t="inlineStr">
        <is>
          <t>Uruguay</t>
        </is>
      </c>
      <c r="G105" s="43" t="inlineStr">
        <is>
          <t>Egypt</t>
        </is>
      </c>
      <c r="H105" s="43" t="inlineStr">
        <is>
          <t>Bosnia &amp; Herzegovina</t>
        </is>
      </c>
      <c r="I105" s="28" t="inlineStr">
        <is>
          <t>France</t>
        </is>
      </c>
      <c r="J105" s="28">
        <f>IFERROR(VLOOKUP(B105,Scoring!$A$4:$N$51,14,FALSE())*6,"-")</f>
        <v/>
      </c>
      <c r="K105" s="28">
        <f>IFERROR(VLOOKUP(C105,Scoring!$A$4:$N$51,14,FALSE())*4,"-")</f>
        <v/>
      </c>
      <c r="L105" s="28">
        <f>IFERROR(VLOOKUP(D105,Scoring!$A$4:$N$51,14,FALSE())*3,"-")</f>
        <v/>
      </c>
      <c r="M105" s="28">
        <f>IFERROR(VLOOKUP(E105,Scoring!$A$4:$N$51,14,FALSE())*2,"-")</f>
        <v/>
      </c>
      <c r="N105" s="28">
        <f>IFERROR(VLOOKUP(F105,Scoring!$A$4:$N$51,14,FALSE()),"-")</f>
        <v/>
      </c>
      <c r="O105" s="28">
        <f>IFERROR(VLOOKUP(G105,Scoring!$A$4:$N$51,14,FALSE()),"-")</f>
        <v/>
      </c>
      <c r="P105" s="29">
        <f>IFERROR(VLOOKUP(H105,Scoring!$A$4:$N$51,14,FALSE()),"-")</f>
        <v/>
      </c>
      <c r="Q105" s="29">
        <f>IFERROR(VLOOKUP(I105,Scoring!$A$4:$N$51,6,FALSE()),"-")</f>
        <v/>
      </c>
      <c r="R105" s="36">
        <f>IF(A105="","-",SUM(J105:Q105))</f>
        <v/>
      </c>
      <c r="S105">
        <f>IF(A105="","",RANK(R105,$R$4:$R$119))</f>
        <v/>
      </c>
      <c r="T105">
        <f>IF(A105="",-1,R105-ROW(R105)/1000000)</f>
        <v/>
      </c>
      <c r="U105" s="44" t="inlineStr">
        <is>
          <t>kusleikajokubas@gmail.com</t>
        </is>
      </c>
      <c r="W105" s="44" t="inlineStr">
        <is>
          <t>p</t>
        </is>
      </c>
    </row>
    <row r="106" ht="13.5" customHeight="1">
      <c r="A106" s="27" t="inlineStr">
        <is>
          <t>Benas&amp;Šaras Oleknavičius</t>
        </is>
      </c>
      <c r="B106" s="43" t="inlineStr">
        <is>
          <t>Spain</t>
        </is>
      </c>
      <c r="C106" s="43" t="inlineStr">
        <is>
          <t>France</t>
        </is>
      </c>
      <c r="D106" s="43" t="inlineStr">
        <is>
          <t>England</t>
        </is>
      </c>
      <c r="E106" s="43" t="inlineStr">
        <is>
          <t>Argentina</t>
        </is>
      </c>
      <c r="F106" s="43" t="inlineStr">
        <is>
          <t>Mexico</t>
        </is>
      </c>
      <c r="G106" s="43" t="inlineStr">
        <is>
          <t>Canada</t>
        </is>
      </c>
      <c r="H106" s="43" t="inlineStr">
        <is>
          <t>Ghana</t>
        </is>
      </c>
      <c r="I106" s="28" t="inlineStr">
        <is>
          <t>France</t>
        </is>
      </c>
      <c r="J106" s="28">
        <f>IFERROR(VLOOKUP(B106,Scoring!$A$4:$N$51,14,FALSE())*6,"-")</f>
        <v/>
      </c>
      <c r="K106" s="28">
        <f>IFERROR(VLOOKUP(C106,Scoring!$A$4:$N$51,14,FALSE())*4,"-")</f>
        <v/>
      </c>
      <c r="L106" s="28">
        <f>IFERROR(VLOOKUP(D106,Scoring!$A$4:$N$51,14,FALSE())*3,"-")</f>
        <v/>
      </c>
      <c r="M106" s="28">
        <f>IFERROR(VLOOKUP(E106,Scoring!$A$4:$N$51,14,FALSE())*2,"-")</f>
        <v/>
      </c>
      <c r="N106" s="28">
        <f>IFERROR(VLOOKUP(F106,Scoring!$A$4:$N$51,14,FALSE()),"-")</f>
        <v/>
      </c>
      <c r="O106" s="28">
        <f>IFERROR(VLOOKUP(G106,Scoring!$A$4:$N$51,14,FALSE()),"-")</f>
        <v/>
      </c>
      <c r="P106" s="29">
        <f>IFERROR(VLOOKUP(H106,Scoring!$A$4:$N$51,14,FALSE()),"-")</f>
        <v/>
      </c>
      <c r="Q106" s="29">
        <f>IFERROR(VLOOKUP(I106,Scoring!$A$4:$N$51,6,FALSE()),"-")</f>
        <v/>
      </c>
      <c r="R106" s="36">
        <f>IF(A106="","-",SUM(J106:Q106))</f>
        <v/>
      </c>
      <c r="S106">
        <f>IF(A106="","",RANK(R106,$R$4:$R$119))</f>
        <v/>
      </c>
      <c r="T106">
        <f>IF(A106="",-1,R106-ROW(R106)/1000000)</f>
        <v/>
      </c>
      <c r="U106" s="44" t="inlineStr">
        <is>
          <t>saras.oleknavicius@gmail.com</t>
        </is>
      </c>
      <c r="W106" s="44" t="inlineStr">
        <is>
          <t>p</t>
        </is>
      </c>
    </row>
    <row r="107" ht="13.5" customHeight="1">
      <c r="A107" s="27" t="inlineStr">
        <is>
          <t>Gintarė Paipulė</t>
        </is>
      </c>
      <c r="B107" s="45" t="inlineStr">
        <is>
          <t>Portugal</t>
        </is>
      </c>
      <c r="C107" s="43" t="inlineStr">
        <is>
          <t>Türkiye</t>
        </is>
      </c>
      <c r="D107" s="43" t="inlineStr">
        <is>
          <t>France</t>
        </is>
      </c>
      <c r="E107" s="43" t="inlineStr">
        <is>
          <t>Brazil</t>
        </is>
      </c>
      <c r="F107" s="43" t="inlineStr">
        <is>
          <t>Senegal</t>
        </is>
      </c>
      <c r="G107" s="43" t="inlineStr">
        <is>
          <t>Norway</t>
        </is>
      </c>
      <c r="H107" s="43" t="inlineStr">
        <is>
          <t>Iraq</t>
        </is>
      </c>
      <c r="I107" s="28" t="inlineStr">
        <is>
          <t>Germany</t>
        </is>
      </c>
      <c r="J107" s="28">
        <f>IFERROR(VLOOKUP(B107,Scoring!$A$4:$N$51,14,FALSE())*6,"-")</f>
        <v/>
      </c>
      <c r="K107" s="28">
        <f>IFERROR(VLOOKUP(C107,Scoring!$A$4:$N$51,14,FALSE())*4,"-")</f>
        <v/>
      </c>
      <c r="L107" s="28">
        <f>IFERROR(VLOOKUP(D107,Scoring!$A$4:$N$51,14,FALSE())*3,"-")</f>
        <v/>
      </c>
      <c r="M107" s="28">
        <f>IFERROR(VLOOKUP(E107,Scoring!$A$4:$N$51,14,FALSE())*2,"-")</f>
        <v/>
      </c>
      <c r="N107" s="28">
        <f>IFERROR(VLOOKUP(F107,Scoring!$A$4:$N$51,14,FALSE()),"-")</f>
        <v/>
      </c>
      <c r="O107" s="28">
        <f>IFERROR(VLOOKUP(G107,Scoring!$A$4:$N$51,14,FALSE()),"-")</f>
        <v/>
      </c>
      <c r="P107" s="29">
        <f>IFERROR(VLOOKUP(H107,Scoring!$A$4:$N$51,14,FALSE()),"-")</f>
        <v/>
      </c>
      <c r="Q107" s="29">
        <f>IFERROR(VLOOKUP(I107,Scoring!$A$4:$N$51,6,FALSE()),"-")</f>
        <v/>
      </c>
      <c r="R107" s="36">
        <f>IF(A107="","-",SUM(J107:Q107))</f>
        <v/>
      </c>
      <c r="S107">
        <f>IF(A107="","",RANK(R107,$R$4:$R$119))</f>
        <v/>
      </c>
      <c r="T107">
        <f>IF(A107="",-1,R107-ROW(R107)/1000000)</f>
        <v/>
      </c>
      <c r="U107" s="143" t="inlineStr">
        <is>
          <t>gd@gintarediz.lt</t>
        </is>
      </c>
      <c r="W107" s="44" t="inlineStr">
        <is>
          <t>p</t>
        </is>
      </c>
    </row>
    <row r="108" ht="13.5" customHeight="1">
      <c r="A108" s="27" t="inlineStr">
        <is>
          <t>Arnoldas Molis</t>
        </is>
      </c>
      <c r="B108" s="43" t="inlineStr">
        <is>
          <t>France</t>
        </is>
      </c>
      <c r="C108" s="43" t="inlineStr">
        <is>
          <t>England</t>
        </is>
      </c>
      <c r="D108" s="43" t="inlineStr">
        <is>
          <t>Spain</t>
        </is>
      </c>
      <c r="E108" s="43" t="inlineStr">
        <is>
          <t>Portugal</t>
        </is>
      </c>
      <c r="F108" s="43" t="inlineStr">
        <is>
          <t>Mexico</t>
        </is>
      </c>
      <c r="G108" s="43" t="inlineStr">
        <is>
          <t>Canada</t>
        </is>
      </c>
      <c r="H108" s="43" t="inlineStr">
        <is>
          <t>Bosnia &amp; Herzegovina</t>
        </is>
      </c>
      <c r="I108" s="28" t="inlineStr">
        <is>
          <t>France</t>
        </is>
      </c>
      <c r="J108" s="28">
        <f>IFERROR(VLOOKUP(B108,Scoring!$A$4:$N$51,14,FALSE())*6,"-")</f>
        <v/>
      </c>
      <c r="K108" s="28">
        <f>IFERROR(VLOOKUP(C108,Scoring!$A$4:$N$51,14,FALSE())*4,"-")</f>
        <v/>
      </c>
      <c r="L108" s="28">
        <f>IFERROR(VLOOKUP(D108,Scoring!$A$4:$N$51,14,FALSE())*3,"-")</f>
        <v/>
      </c>
      <c r="M108" s="28">
        <f>IFERROR(VLOOKUP(E108,Scoring!$A$4:$N$51,14,FALSE())*2,"-")</f>
        <v/>
      </c>
      <c r="N108" s="28">
        <f>IFERROR(VLOOKUP(F108,Scoring!$A$4:$N$51,14,FALSE()),"-")</f>
        <v/>
      </c>
      <c r="O108" s="28">
        <f>IFERROR(VLOOKUP(G108,Scoring!$A$4:$N$51,14,FALSE()),"-")</f>
        <v/>
      </c>
      <c r="P108" s="29">
        <f>IFERROR(VLOOKUP(H108,Scoring!$A$4:$N$51,14,FALSE()),"-")</f>
        <v/>
      </c>
      <c r="Q108" s="29">
        <f>IFERROR(VLOOKUP(I108,Scoring!$A$4:$N$51,6,FALSE()),"-")</f>
        <v/>
      </c>
      <c r="R108" s="36">
        <f>IF(A108="","-",SUM(J108:Q108))</f>
        <v/>
      </c>
      <c r="S108">
        <f>IF(A108="","",RANK(R108,$R$4:$R$119))</f>
        <v/>
      </c>
      <c r="T108">
        <f>IF(A108="",-1,R108-ROW(R108)/1000000)</f>
        <v/>
      </c>
      <c r="U108" s="143" t="inlineStr">
        <is>
          <t>arnoldas.molis@gmail.com</t>
        </is>
      </c>
      <c r="W108" s="44" t="inlineStr">
        <is>
          <t>p</t>
        </is>
      </c>
    </row>
    <row r="109" ht="13.5" customHeight="1">
      <c r="A109" s="27" t="n"/>
      <c r="B109" s="43" t="n"/>
      <c r="C109" s="43" t="n"/>
      <c r="D109" s="43" t="n"/>
      <c r="E109" s="43" t="n"/>
      <c r="F109" s="43" t="n"/>
      <c r="G109" s="43" t="n"/>
      <c r="H109" s="43" t="n"/>
      <c r="I109" s="28" t="n"/>
      <c r="J109" s="28">
        <f>IFERROR(VLOOKUP(B109,Scoring!$A$4:$N$51,14,FALSE())*6,"-")</f>
        <v/>
      </c>
      <c r="K109" s="28">
        <f>IFERROR(VLOOKUP(C109,Scoring!$A$4:$N$51,14,FALSE())*4,"-")</f>
        <v/>
      </c>
      <c r="L109" s="28">
        <f>IFERROR(VLOOKUP(D109,Scoring!$A$4:$N$51,14,FALSE())*3,"-")</f>
        <v/>
      </c>
      <c r="M109" s="28">
        <f>IFERROR(VLOOKUP(E109,Scoring!$A$4:$N$51,14,FALSE())*2,"-")</f>
        <v/>
      </c>
      <c r="N109" s="28">
        <f>IFERROR(VLOOKUP(F109,Scoring!$A$4:$N$51,14,FALSE()),"-")</f>
        <v/>
      </c>
      <c r="O109" s="28">
        <f>IFERROR(VLOOKUP(G109,Scoring!$A$4:$N$51,14,FALSE()),"-")</f>
        <v/>
      </c>
      <c r="P109" s="29">
        <f>IFERROR(VLOOKUP(H109,Scoring!$A$4:$N$51,14,FALSE()),"-")</f>
        <v/>
      </c>
      <c r="Q109" s="29">
        <f>IFERROR(VLOOKUP(I109,Scoring!$A$4:$N$51,6,FALSE()),"-")</f>
        <v/>
      </c>
      <c r="R109" s="36">
        <f>IF(A109="","-",SUM(J109:Q109))</f>
        <v/>
      </c>
      <c r="S109">
        <f>IF(A109="","",RANK(R109,$R$4:$R$119))</f>
        <v/>
      </c>
      <c r="T109">
        <f>IF(A109="",-1,R109-ROW(R109)/1000000)</f>
        <v/>
      </c>
    </row>
    <row r="110" ht="13.5" customHeight="1">
      <c r="A110" s="27" t="n"/>
      <c r="B110" s="43" t="n"/>
      <c r="C110" s="43" t="n"/>
      <c r="D110" s="43" t="n"/>
      <c r="E110" s="43" t="n"/>
      <c r="F110" s="43" t="n"/>
      <c r="G110" s="43" t="n"/>
      <c r="H110" s="43" t="n"/>
      <c r="I110" s="28" t="n"/>
      <c r="J110" s="28">
        <f>IFERROR(VLOOKUP(B110,Scoring!$A$4:$N$51,14,FALSE())*6,"-")</f>
        <v/>
      </c>
      <c r="K110" s="28">
        <f>IFERROR(VLOOKUP(C110,Scoring!$A$4:$N$51,14,FALSE())*4,"-")</f>
        <v/>
      </c>
      <c r="L110" s="28">
        <f>IFERROR(VLOOKUP(D110,Scoring!$A$4:$N$51,14,FALSE())*3,"-")</f>
        <v/>
      </c>
      <c r="M110" s="28">
        <f>IFERROR(VLOOKUP(E110,Scoring!$A$4:$N$51,14,FALSE())*2,"-")</f>
        <v/>
      </c>
      <c r="N110" s="28">
        <f>IFERROR(VLOOKUP(F110,Scoring!$A$4:$N$51,14,FALSE()),"-")</f>
        <v/>
      </c>
      <c r="O110" s="28">
        <f>IFERROR(VLOOKUP(G110,Scoring!$A$4:$N$51,14,FALSE()),"-")</f>
        <v/>
      </c>
      <c r="P110" s="29">
        <f>IFERROR(VLOOKUP(H110,Scoring!$A$4:$N$51,14,FALSE()),"-")</f>
        <v/>
      </c>
      <c r="Q110" s="29">
        <f>IFERROR(VLOOKUP(I110,Scoring!$A$4:$N$51,6,FALSE()),"-")</f>
        <v/>
      </c>
      <c r="R110" s="36">
        <f>IF(A110="","-",SUM(J110:Q110))</f>
        <v/>
      </c>
      <c r="S110">
        <f>IF(A110="","",RANK(R110,$R$4:$R$119))</f>
        <v/>
      </c>
      <c r="T110">
        <f>IF(A110="",-1,R110-ROW(R110)/1000000)</f>
        <v/>
      </c>
    </row>
    <row r="111" ht="13.5" customHeight="1">
      <c r="A111" s="27" t="n"/>
      <c r="B111" s="43" t="n"/>
      <c r="C111" s="43" t="n"/>
      <c r="D111" s="43" t="n"/>
      <c r="E111" s="43" t="n"/>
      <c r="F111" s="43" t="n"/>
      <c r="G111" s="43" t="n"/>
      <c r="H111" s="43" t="n"/>
      <c r="I111" s="28" t="n"/>
      <c r="J111" s="28">
        <f>IFERROR(VLOOKUP(B111,Scoring!$A$4:$N$51,14,FALSE())*6,"-")</f>
        <v/>
      </c>
      <c r="K111" s="28">
        <f>IFERROR(VLOOKUP(C111,Scoring!$A$4:$N$51,14,FALSE())*4,"-")</f>
        <v/>
      </c>
      <c r="L111" s="28">
        <f>IFERROR(VLOOKUP(D111,Scoring!$A$4:$N$51,14,FALSE())*3,"-")</f>
        <v/>
      </c>
      <c r="M111" s="28">
        <f>IFERROR(VLOOKUP(E111,Scoring!$A$4:$N$51,14,FALSE())*2,"-")</f>
        <v/>
      </c>
      <c r="N111" s="28">
        <f>IFERROR(VLOOKUP(F111,Scoring!$A$4:$N$51,14,FALSE()),"-")</f>
        <v/>
      </c>
      <c r="O111" s="28">
        <f>IFERROR(VLOOKUP(G111,Scoring!$A$4:$N$51,14,FALSE()),"-")</f>
        <v/>
      </c>
      <c r="P111" s="29">
        <f>IFERROR(VLOOKUP(H111,Scoring!$A$4:$N$51,14,FALSE()),"-")</f>
        <v/>
      </c>
      <c r="Q111" s="29">
        <f>IFERROR(VLOOKUP(I111,Scoring!$A$4:$N$51,6,FALSE()),"-")</f>
        <v/>
      </c>
      <c r="R111" s="36">
        <f>IF(A111="","-",SUM(J111:Q111))</f>
        <v/>
      </c>
      <c r="S111">
        <f>IF(A111="","",RANK(R111,$R$4:$R$119))</f>
        <v/>
      </c>
      <c r="T111">
        <f>IF(A111="",-1,R111-ROW(R111)/1000000)</f>
        <v/>
      </c>
    </row>
    <row r="112" ht="13.5" customHeight="1">
      <c r="A112" s="27" t="n"/>
      <c r="B112" s="43" t="n"/>
      <c r="C112" s="43" t="n"/>
      <c r="D112" s="43" t="n"/>
      <c r="E112" s="43" t="n"/>
      <c r="F112" s="43" t="n"/>
      <c r="G112" s="43" t="n"/>
      <c r="H112" s="43" t="n"/>
      <c r="I112" s="28" t="n"/>
      <c r="J112" s="28">
        <f>IFERROR(VLOOKUP(B112,Scoring!$A$4:$N$51,14,FALSE())*6,"-")</f>
        <v/>
      </c>
      <c r="K112" s="28">
        <f>IFERROR(VLOOKUP(C112,Scoring!$A$4:$N$51,14,FALSE())*4,"-")</f>
        <v/>
      </c>
      <c r="L112" s="28">
        <f>IFERROR(VLOOKUP(D112,Scoring!$A$4:$N$51,14,FALSE())*3,"-")</f>
        <v/>
      </c>
      <c r="M112" s="28">
        <f>IFERROR(VLOOKUP(E112,Scoring!$A$4:$N$51,14,FALSE())*2,"-")</f>
        <v/>
      </c>
      <c r="N112" s="28">
        <f>IFERROR(VLOOKUP(F112,Scoring!$A$4:$N$51,14,FALSE()),"-")</f>
        <v/>
      </c>
      <c r="O112" s="28">
        <f>IFERROR(VLOOKUP(G112,Scoring!$A$4:$N$51,14,FALSE()),"-")</f>
        <v/>
      </c>
      <c r="P112" s="29">
        <f>IFERROR(VLOOKUP(H112,Scoring!$A$4:$N$51,14,FALSE()),"-")</f>
        <v/>
      </c>
      <c r="Q112" s="29">
        <f>IFERROR(VLOOKUP(I112,Scoring!$A$4:$N$51,6,FALSE()),"-")</f>
        <v/>
      </c>
      <c r="R112" s="36">
        <f>IF(A112="","-",SUM(J112:Q112))</f>
        <v/>
      </c>
      <c r="S112">
        <f>IF(A112="","",RANK(R112,$R$4:$R$119))</f>
        <v/>
      </c>
      <c r="T112">
        <f>IF(A112="",-1,R112-ROW(R112)/1000000)</f>
        <v/>
      </c>
    </row>
    <row r="113" ht="13.5" customHeight="1">
      <c r="A113" s="27" t="n"/>
      <c r="B113" s="43" t="n"/>
      <c r="C113" s="43" t="n"/>
      <c r="D113" s="43" t="n"/>
      <c r="E113" s="43" t="n"/>
      <c r="F113" s="43" t="n"/>
      <c r="G113" s="43" t="n"/>
      <c r="H113" s="43" t="n"/>
      <c r="I113" s="28" t="n"/>
      <c r="J113" s="28">
        <f>IFERROR(VLOOKUP(B113,Scoring!$A$4:$N$51,14,FALSE())*6,"-")</f>
        <v/>
      </c>
      <c r="K113" s="28">
        <f>IFERROR(VLOOKUP(C113,Scoring!$A$4:$N$51,14,FALSE())*4,"-")</f>
        <v/>
      </c>
      <c r="L113" s="28">
        <f>IFERROR(VLOOKUP(D113,Scoring!$A$4:$N$51,14,FALSE())*3,"-")</f>
        <v/>
      </c>
      <c r="M113" s="28">
        <f>IFERROR(VLOOKUP(E113,Scoring!$A$4:$N$51,14,FALSE())*2,"-")</f>
        <v/>
      </c>
      <c r="N113" s="28">
        <f>IFERROR(VLOOKUP(F113,Scoring!$A$4:$N$51,14,FALSE()),"-")</f>
        <v/>
      </c>
      <c r="O113" s="28">
        <f>IFERROR(VLOOKUP(G113,Scoring!$A$4:$N$51,14,FALSE()),"-")</f>
        <v/>
      </c>
      <c r="P113" s="29">
        <f>IFERROR(VLOOKUP(H113,Scoring!$A$4:$N$51,14,FALSE()),"-")</f>
        <v/>
      </c>
      <c r="Q113" s="29">
        <f>IFERROR(VLOOKUP(I113,Scoring!$A$4:$N$51,6,FALSE()),"-")</f>
        <v/>
      </c>
      <c r="R113" s="36">
        <f>IF(A113="","-",SUM(J113:Q113))</f>
        <v/>
      </c>
      <c r="S113">
        <f>IF(A113="","",RANK(R113,$R$4:$R$119))</f>
        <v/>
      </c>
      <c r="T113">
        <f>IF(A113="",-1,R113-ROW(R113)/1000000)</f>
        <v/>
      </c>
    </row>
    <row r="114" ht="13.5" customHeight="1">
      <c r="A114" s="27" t="n"/>
      <c r="B114" s="43" t="n"/>
      <c r="C114" s="43" t="n"/>
      <c r="D114" s="43" t="n"/>
      <c r="E114" s="43" t="n"/>
      <c r="F114" s="43" t="n"/>
      <c r="G114" s="43" t="n"/>
      <c r="H114" s="43" t="n"/>
      <c r="I114" s="28" t="n"/>
      <c r="J114" s="28">
        <f>IFERROR(VLOOKUP(B114,Scoring!$A$4:$N$51,14,FALSE())*6,"-")</f>
        <v/>
      </c>
      <c r="K114" s="28">
        <f>IFERROR(VLOOKUP(C114,Scoring!$A$4:$N$51,14,FALSE())*4,"-")</f>
        <v/>
      </c>
      <c r="L114" s="28">
        <f>IFERROR(VLOOKUP(D114,Scoring!$A$4:$N$51,14,FALSE())*3,"-")</f>
        <v/>
      </c>
      <c r="M114" s="28">
        <f>IFERROR(VLOOKUP(E114,Scoring!$A$4:$N$51,14,FALSE())*2,"-")</f>
        <v/>
      </c>
      <c r="N114" s="28">
        <f>IFERROR(VLOOKUP(F114,Scoring!$A$4:$N$51,14,FALSE()),"-")</f>
        <v/>
      </c>
      <c r="O114" s="28">
        <f>IFERROR(VLOOKUP(G114,Scoring!$A$4:$N$51,14,FALSE()),"-")</f>
        <v/>
      </c>
      <c r="P114" s="29">
        <f>IFERROR(VLOOKUP(H114,Scoring!$A$4:$N$51,14,FALSE()),"-")</f>
        <v/>
      </c>
      <c r="Q114" s="29">
        <f>IFERROR(VLOOKUP(I114,Scoring!$A$4:$N$51,6,FALSE()),"-")</f>
        <v/>
      </c>
      <c r="R114" s="36">
        <f>IF(A114="","-",SUM(J114:Q114))</f>
        <v/>
      </c>
      <c r="S114">
        <f>IF(A114="","",RANK(R114,$R$4:$R$119))</f>
        <v/>
      </c>
      <c r="T114">
        <f>IF(A114="",-1,R114-ROW(R114)/1000000)</f>
        <v/>
      </c>
    </row>
    <row r="115" ht="13.5" customHeight="1">
      <c r="A115" s="27" t="n"/>
      <c r="B115" s="43" t="n"/>
      <c r="C115" s="43" t="n"/>
      <c r="D115" s="43" t="n"/>
      <c r="E115" s="43" t="n"/>
      <c r="F115" s="43" t="n"/>
      <c r="G115" s="43" t="n"/>
      <c r="H115" s="43" t="n"/>
      <c r="I115" s="28" t="n"/>
      <c r="J115" s="28">
        <f>IFERROR(VLOOKUP(B115,Scoring!$A$4:$N$51,14,FALSE())*6,"-")</f>
        <v/>
      </c>
      <c r="K115" s="28">
        <f>IFERROR(VLOOKUP(C115,Scoring!$A$4:$N$51,14,FALSE())*4,"-")</f>
        <v/>
      </c>
      <c r="L115" s="28">
        <f>IFERROR(VLOOKUP(D115,Scoring!$A$4:$N$51,14,FALSE())*3,"-")</f>
        <v/>
      </c>
      <c r="M115" s="28">
        <f>IFERROR(VLOOKUP(E115,Scoring!$A$4:$N$51,14,FALSE())*2,"-")</f>
        <v/>
      </c>
      <c r="N115" s="28">
        <f>IFERROR(VLOOKUP(F115,Scoring!$A$4:$N$51,14,FALSE()),"-")</f>
        <v/>
      </c>
      <c r="O115" s="28">
        <f>IFERROR(VLOOKUP(G115,Scoring!$A$4:$N$51,14,FALSE()),"-")</f>
        <v/>
      </c>
      <c r="P115" s="29">
        <f>IFERROR(VLOOKUP(H115,Scoring!$A$4:$N$51,14,FALSE()),"-")</f>
        <v/>
      </c>
      <c r="Q115" s="29">
        <f>IFERROR(VLOOKUP(I115,Scoring!$A$4:$N$51,6,FALSE()),"-")</f>
        <v/>
      </c>
      <c r="R115" s="36">
        <f>IF(A115="","-",SUM(J115:Q115))</f>
        <v/>
      </c>
      <c r="S115">
        <f>IF(A115="","",RANK(R115,$R$4:$R$119))</f>
        <v/>
      </c>
      <c r="T115">
        <f>IF(A115="",-1,R115-ROW(R115)/1000000)</f>
        <v/>
      </c>
    </row>
    <row r="116" ht="13.5" customHeight="1">
      <c r="A116" s="27" t="n"/>
      <c r="B116" s="43" t="n"/>
      <c r="C116" s="43" t="n"/>
      <c r="D116" s="43" t="n"/>
      <c r="E116" s="43" t="n"/>
      <c r="F116" s="43" t="n"/>
      <c r="G116" s="43" t="n"/>
      <c r="H116" s="43" t="n"/>
      <c r="I116" s="28" t="n"/>
      <c r="J116" s="28">
        <f>IFERROR(VLOOKUP(B116,Scoring!$A$4:$N$51,14,FALSE())*6,"-")</f>
        <v/>
      </c>
      <c r="K116" s="28">
        <f>IFERROR(VLOOKUP(C116,Scoring!$A$4:$N$51,14,FALSE())*4,"-")</f>
        <v/>
      </c>
      <c r="L116" s="28">
        <f>IFERROR(VLOOKUP(D116,Scoring!$A$4:$N$51,14,FALSE())*3,"-")</f>
        <v/>
      </c>
      <c r="M116" s="28">
        <f>IFERROR(VLOOKUP(E116,Scoring!$A$4:$N$51,14,FALSE())*2,"-")</f>
        <v/>
      </c>
      <c r="N116" s="28">
        <f>IFERROR(VLOOKUP(F116,Scoring!$A$4:$N$51,14,FALSE()),"-")</f>
        <v/>
      </c>
      <c r="O116" s="28">
        <f>IFERROR(VLOOKUP(G116,Scoring!$A$4:$N$51,14,FALSE()),"-")</f>
        <v/>
      </c>
      <c r="P116" s="29">
        <f>IFERROR(VLOOKUP(H116,Scoring!$A$4:$N$51,14,FALSE()),"-")</f>
        <v/>
      </c>
      <c r="Q116" s="29">
        <f>IFERROR(VLOOKUP(I116,Scoring!$A$4:$N$51,6,FALSE()),"-")</f>
        <v/>
      </c>
      <c r="R116" s="36">
        <f>IF(A116="","-",SUM(J116:Q116))</f>
        <v/>
      </c>
      <c r="S116">
        <f>IF(A116="","",RANK(R116,$R$4:$R$119))</f>
        <v/>
      </c>
      <c r="T116">
        <f>IF(A116="",-1,R116-ROW(R116)/1000000)</f>
        <v/>
      </c>
    </row>
    <row r="117" ht="13.5" customHeight="1">
      <c r="A117" s="27" t="n"/>
      <c r="B117" s="43" t="n"/>
      <c r="C117" s="43" t="n"/>
      <c r="D117" s="43" t="n"/>
      <c r="E117" s="43" t="n"/>
      <c r="F117" s="43" t="n"/>
      <c r="G117" s="43" t="n"/>
      <c r="H117" s="43" t="n"/>
      <c r="I117" s="28" t="n"/>
      <c r="J117" s="28">
        <f>IFERROR(VLOOKUP(B117,Scoring!$A$4:$N$51,14,FALSE())*6,"-")</f>
        <v/>
      </c>
      <c r="K117" s="28">
        <f>IFERROR(VLOOKUP(C117,Scoring!$A$4:$N$51,14,FALSE())*4,"-")</f>
        <v/>
      </c>
      <c r="L117" s="28">
        <f>IFERROR(VLOOKUP(D117,Scoring!$A$4:$N$51,14,FALSE())*3,"-")</f>
        <v/>
      </c>
      <c r="M117" s="28">
        <f>IFERROR(VLOOKUP(E117,Scoring!$A$4:$N$51,14,FALSE())*2,"-")</f>
        <v/>
      </c>
      <c r="N117" s="28">
        <f>IFERROR(VLOOKUP(F117,Scoring!$A$4:$N$51,14,FALSE()),"-")</f>
        <v/>
      </c>
      <c r="O117" s="28">
        <f>IFERROR(VLOOKUP(G117,Scoring!$A$4:$N$51,14,FALSE()),"-")</f>
        <v/>
      </c>
      <c r="P117" s="29">
        <f>IFERROR(VLOOKUP(H117,Scoring!$A$4:$N$51,14,FALSE()),"-")</f>
        <v/>
      </c>
      <c r="Q117" s="29">
        <f>IFERROR(VLOOKUP(I117,Scoring!$A$4:$N$51,6,FALSE()),"-")</f>
        <v/>
      </c>
      <c r="R117" s="36">
        <f>IF(A117="","-",SUM(J117:Q117))</f>
        <v/>
      </c>
      <c r="S117">
        <f>IF(A117="","",RANK(R117,$R$4:$R$119))</f>
        <v/>
      </c>
      <c r="T117">
        <f>IF(A117="",-1,R117-ROW(R117)/1000000)</f>
        <v/>
      </c>
    </row>
    <row r="118" ht="13.5" customHeight="1">
      <c r="A118" s="27" t="n"/>
      <c r="B118" s="43" t="n"/>
      <c r="C118" s="43" t="n"/>
      <c r="D118" s="43" t="n"/>
      <c r="E118" s="43" t="n"/>
      <c r="F118" s="43" t="n"/>
      <c r="G118" s="43" t="n"/>
      <c r="H118" s="43" t="n"/>
      <c r="I118" s="28" t="n"/>
      <c r="J118" s="28">
        <f>IFERROR(VLOOKUP(B118,Scoring!$A$4:$N$51,14,FALSE())*6,"-")</f>
        <v/>
      </c>
      <c r="K118" s="28">
        <f>IFERROR(VLOOKUP(C118,Scoring!$A$4:$N$51,14,FALSE())*4,"-")</f>
        <v/>
      </c>
      <c r="L118" s="28">
        <f>IFERROR(VLOOKUP(D118,Scoring!$A$4:$N$51,14,FALSE())*3,"-")</f>
        <v/>
      </c>
      <c r="M118" s="28">
        <f>IFERROR(VLOOKUP(E118,Scoring!$A$4:$N$51,14,FALSE())*2,"-")</f>
        <v/>
      </c>
      <c r="N118" s="28">
        <f>IFERROR(VLOOKUP(F118,Scoring!$A$4:$N$51,14,FALSE()),"-")</f>
        <v/>
      </c>
      <c r="O118" s="28">
        <f>IFERROR(VLOOKUP(G118,Scoring!$A$4:$N$51,14,FALSE()),"-")</f>
        <v/>
      </c>
      <c r="P118" s="29">
        <f>IFERROR(VLOOKUP(H118,Scoring!$A$4:$N$51,14,FALSE()),"-")</f>
        <v/>
      </c>
      <c r="Q118" s="29">
        <f>IFERROR(VLOOKUP(I118,Scoring!$A$4:$N$51,6,FALSE()),"-")</f>
        <v/>
      </c>
      <c r="R118" s="36">
        <f>IF(A118="","-",SUM(J118:Q118))</f>
        <v/>
      </c>
      <c r="S118">
        <f>IF(A118="","",RANK(R118,$R$4:$R$119))</f>
        <v/>
      </c>
      <c r="T118">
        <f>IF(A118="",-1,R118-ROW(R118)/1000000)</f>
        <v/>
      </c>
    </row>
    <row r="119" ht="13.5" customHeight="1">
      <c r="A119" s="27" t="n"/>
      <c r="B119" s="43" t="n"/>
      <c r="C119" s="43" t="n"/>
      <c r="D119" s="43" t="n"/>
      <c r="E119" s="43" t="n"/>
      <c r="F119" s="43" t="n"/>
      <c r="G119" s="43" t="n"/>
      <c r="H119" s="43" t="n"/>
      <c r="I119" s="28" t="n"/>
      <c r="J119" s="28">
        <f>IFERROR(VLOOKUP(B119,Scoring!$A$4:$N$51,14,FALSE())*6,"-")</f>
        <v/>
      </c>
      <c r="K119" s="28">
        <f>IFERROR(VLOOKUP(C119,Scoring!$A$4:$N$51,14,FALSE())*4,"-")</f>
        <v/>
      </c>
      <c r="L119" s="28">
        <f>IFERROR(VLOOKUP(D119,Scoring!$A$4:$N$51,14,FALSE())*3,"-")</f>
        <v/>
      </c>
      <c r="M119" s="28">
        <f>IFERROR(VLOOKUP(E119,Scoring!$A$4:$N$51,14,FALSE())*2,"-")</f>
        <v/>
      </c>
      <c r="N119" s="28">
        <f>IFERROR(VLOOKUP(F119,Scoring!$A$4:$N$51,14,FALSE()),"-")</f>
        <v/>
      </c>
      <c r="O119" s="28">
        <f>IFERROR(VLOOKUP(G119,Scoring!$A$4:$N$51,14,FALSE()),"-")</f>
        <v/>
      </c>
      <c r="P119" s="29">
        <f>IFERROR(VLOOKUP(H119,Scoring!$A$4:$N$51,14,FALSE()),"-")</f>
        <v/>
      </c>
      <c r="Q119" s="29">
        <f>IFERROR(VLOOKUP(I119,Scoring!$A$4:$N$51,6,FALSE()),"-")</f>
        <v/>
      </c>
      <c r="R119" s="36">
        <f>IF(A119="","-",SUM(J119:Q119))</f>
        <v/>
      </c>
      <c r="S119">
        <f>IF(A119="","",RANK(R119,$R$4:$R$119))</f>
        <v/>
      </c>
      <c r="T119">
        <f>IF(A119="",-1,R119-ROW(R119)/1000000)</f>
        <v/>
      </c>
    </row>
  </sheetData>
  <mergeCells count="1">
    <mergeCell ref="A1:T1"/>
  </mergeCells>
  <hyperlinks>
    <hyperlink xmlns:r="http://schemas.openxmlformats.org/officeDocument/2006/relationships" ref="U24" r:id="rId1"/>
    <hyperlink xmlns:r="http://schemas.openxmlformats.org/officeDocument/2006/relationships" ref="U54" r:id="rId2"/>
    <hyperlink xmlns:r="http://schemas.openxmlformats.org/officeDocument/2006/relationships" ref="U55" r:id="rId3"/>
    <hyperlink xmlns:r="http://schemas.openxmlformats.org/officeDocument/2006/relationships" ref="U56" r:id="rId4"/>
    <hyperlink xmlns:r="http://schemas.openxmlformats.org/officeDocument/2006/relationships" ref="U57" r:id="rId5"/>
    <hyperlink xmlns:r="http://schemas.openxmlformats.org/officeDocument/2006/relationships" ref="U59" r:id="rId6"/>
    <hyperlink xmlns:r="http://schemas.openxmlformats.org/officeDocument/2006/relationships" ref="U60" r:id="rId7"/>
    <hyperlink xmlns:r="http://schemas.openxmlformats.org/officeDocument/2006/relationships" ref="U61" r:id="rId8"/>
    <hyperlink xmlns:r="http://schemas.openxmlformats.org/officeDocument/2006/relationships" ref="U69" r:id="rId9"/>
    <hyperlink xmlns:r="http://schemas.openxmlformats.org/officeDocument/2006/relationships" ref="U71" r:id="rId10"/>
    <hyperlink xmlns:r="http://schemas.openxmlformats.org/officeDocument/2006/relationships" ref="U73" r:id="rId11"/>
    <hyperlink xmlns:r="http://schemas.openxmlformats.org/officeDocument/2006/relationships" ref="U95" r:id="rId12"/>
    <hyperlink xmlns:r="http://schemas.openxmlformats.org/officeDocument/2006/relationships" ref="U99" r:id="rId13"/>
    <hyperlink xmlns:r="http://schemas.openxmlformats.org/officeDocument/2006/relationships" ref="U102" r:id="rId14"/>
    <hyperlink xmlns:r="http://schemas.openxmlformats.org/officeDocument/2006/relationships" ref="U104" r:id="rId15"/>
    <hyperlink xmlns:r="http://schemas.openxmlformats.org/officeDocument/2006/relationships" ref="U105" r:id="rId16"/>
    <hyperlink xmlns:r="http://schemas.openxmlformats.org/officeDocument/2006/relationships" ref="U106" r:id="rId17"/>
  </hyperlinks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15"/>
  <sheetViews>
    <sheetView topLeftCell="A50" zoomScaleNormal="100" workbookViewId="0">
      <selection activeCell="E43" sqref="E43"/>
    </sheetView>
  </sheetViews>
  <sheetFormatPr baseColWidth="8" defaultColWidth="14.3984375" defaultRowHeight="13"/>
  <cols>
    <col width="7.3984375" customWidth="1" min="1" max="1"/>
    <col width="19.19921875" customWidth="1" min="2" max="2"/>
    <col width="6.59765625" customWidth="1" min="3" max="3"/>
    <col width="7.3984375" customWidth="1" min="4" max="4"/>
    <col width="18.59765625" customWidth="1" min="5" max="5"/>
    <col width="7.3984375" customWidth="1" min="6" max="10"/>
    <col width="4" customWidth="1" min="11" max="11"/>
    <col width="3" customWidth="1" min="12" max="12"/>
    <col width="7.3984375" customWidth="1" min="13" max="13"/>
    <col width="3.59765625" customWidth="1" min="14" max="14"/>
    <col width="4.796875" customWidth="1" min="15" max="15"/>
    <col width="2.796875" customWidth="1" min="16" max="16"/>
    <col width="43.3984375" customWidth="1" min="17" max="17"/>
    <col width="9.19921875" customWidth="1" min="18" max="23"/>
    <col width="8.59765625" customWidth="1" min="24" max="26"/>
  </cols>
  <sheetData>
    <row r="1" ht="54.75" customHeight="1">
      <c r="A1" s="156" t="inlineStr">
        <is>
          <t>Instructions</t>
        </is>
      </c>
      <c r="B1" s="161" t="n"/>
      <c r="C1" s="161" t="n"/>
      <c r="D1" s="161" t="n"/>
      <c r="E1" s="161" t="n"/>
      <c r="F1" s="161" t="n"/>
      <c r="G1" s="161" t="n"/>
      <c r="H1" s="161" t="n"/>
      <c r="I1" s="161" t="n"/>
      <c r="J1" s="161" t="n"/>
      <c r="K1" s="161" t="n"/>
      <c r="L1" s="161" t="n"/>
      <c r="M1" s="161" t="n"/>
      <c r="N1" s="161" t="n"/>
      <c r="O1" s="161" t="n"/>
      <c r="P1" s="161" t="n"/>
      <c r="Q1" s="162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</row>
    <row r="2" ht="8.25" customHeight="1">
      <c r="A2" s="47" t="n"/>
      <c r="B2" s="48" t="n"/>
      <c r="C2" s="49" t="n"/>
      <c r="D2" s="50" t="n"/>
      <c r="E2" s="51" t="n"/>
      <c r="F2" s="52" t="n"/>
      <c r="G2" s="53" t="n"/>
      <c r="H2" s="52" t="n"/>
      <c r="I2" s="52" t="n"/>
      <c r="J2" s="52" t="n"/>
      <c r="K2" s="52" t="n"/>
      <c r="L2" s="51" t="n"/>
      <c r="M2" s="51" t="n"/>
      <c r="N2" s="51" t="n"/>
      <c r="O2" s="51" t="n"/>
      <c r="P2" s="51" t="n"/>
      <c r="Q2" s="54" t="n"/>
      <c r="R2" s="46" t="n"/>
      <c r="S2" s="46" t="n"/>
      <c r="T2" s="46" t="n"/>
      <c r="U2" s="46" t="n"/>
      <c r="V2" s="46" t="n"/>
      <c r="W2" s="46" t="n"/>
      <c r="X2" s="46" t="n"/>
      <c r="Y2" s="46" t="n"/>
      <c r="Z2" s="46" t="n"/>
    </row>
    <row r="3" ht="12.75" customHeight="1">
      <c r="A3" s="55" t="n"/>
      <c r="B3" s="56" t="n"/>
      <c r="C3" s="57" t="n"/>
      <c r="D3" s="58" t="n"/>
      <c r="E3" s="59" t="n"/>
      <c r="F3" s="59" t="n"/>
      <c r="G3" s="60" t="n"/>
      <c r="H3" s="61" t="n"/>
      <c r="I3" s="61" t="n"/>
      <c r="J3" s="61" t="n"/>
      <c r="K3" s="61" t="n"/>
      <c r="L3" s="59" t="n"/>
      <c r="M3" s="59" t="n"/>
      <c r="N3" s="59" t="n"/>
      <c r="O3" s="59" t="n"/>
      <c r="P3" s="59" t="n"/>
      <c r="Q3" s="62" t="n"/>
      <c r="R3" s="46" t="n"/>
      <c r="S3" s="46" t="n"/>
      <c r="T3" s="46" t="n"/>
      <c r="U3" s="46" t="n"/>
      <c r="V3" s="46" t="n"/>
      <c r="W3" s="46" t="n"/>
      <c r="X3" s="46" t="n"/>
      <c r="Y3" s="46" t="n"/>
      <c r="Z3" s="46" t="n"/>
    </row>
    <row r="4" ht="12.75" customHeight="1">
      <c r="A4" s="63" t="n"/>
      <c r="B4" s="64" t="n"/>
      <c r="C4" s="64" t="n"/>
      <c r="D4" s="65" t="n"/>
      <c r="E4" s="66" t="n"/>
      <c r="F4" s="66" t="n"/>
      <c r="G4" s="67" t="n"/>
      <c r="H4" s="68" t="n"/>
      <c r="I4" s="68" t="n"/>
      <c r="J4" s="68" t="n"/>
      <c r="K4" s="68" t="n"/>
      <c r="L4" s="66" t="n"/>
      <c r="M4" s="66" t="n"/>
      <c r="N4" s="66" t="n"/>
      <c r="O4" s="66" t="n"/>
      <c r="P4" s="66" t="n"/>
      <c r="Q4" s="54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</row>
    <row r="5" ht="66.75" customHeight="1">
      <c r="A5" s="157" t="inlineStr">
        <is>
          <t>1.Each participant chooses 4 teams and ranks them in order from 1 (the team they believe in the most) to 4 (the team they believe in the least). Additionally, you need to choose 1 extra team that you think will score the most goals throughout the championship (play the most beautiful and high-scoring football), regardless of which stage they reach. Also, there is a new TOTO criterion where you need to choose three"weaker" teams from the list below 1.1.; 1.2 and 1.3 Three extra teams are  ranked by the existing FIFA rating. This is an opportunity to earn additional points.</t>
        </is>
      </c>
      <c r="Q5" s="54" t="n"/>
      <c r="R5" s="46" t="n"/>
      <c r="S5" s="70" t="n"/>
      <c r="T5" s="46" t="n"/>
      <c r="U5" s="46" t="n"/>
      <c r="V5" s="46" t="n"/>
      <c r="W5" s="46" t="n"/>
      <c r="X5" s="46" t="n"/>
      <c r="Y5" s="46" t="n"/>
      <c r="Z5" s="46" t="n"/>
    </row>
    <row r="6" ht="12.75" customHeight="1">
      <c r="A6" s="157" t="n"/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  <c r="N6" s="71" t="n"/>
      <c r="O6" s="71" t="n"/>
      <c r="P6" s="71" t="n"/>
      <c r="Q6" s="54" t="n"/>
      <c r="R6" s="46" t="n"/>
      <c r="S6" s="46" t="n"/>
      <c r="T6" s="46" t="n"/>
      <c r="U6" s="46" t="n"/>
      <c r="V6" s="46" t="n"/>
      <c r="W6" s="46" t="n"/>
      <c r="X6" s="46" t="n"/>
      <c r="Y6" s="46" t="n"/>
      <c r="Z6" s="46" t="n"/>
    </row>
    <row r="7" ht="12.75" customHeight="1">
      <c r="A7" s="72" t="inlineStr">
        <is>
          <t>List of additional teams</t>
        </is>
      </c>
      <c r="B7" s="73" t="n"/>
      <c r="C7" s="52" t="n"/>
      <c r="D7" s="71" t="n"/>
      <c r="E7" s="71" t="n"/>
      <c r="F7" s="71" t="n"/>
      <c r="G7" s="71" t="n"/>
      <c r="H7" s="71" t="n"/>
      <c r="I7" s="71" t="n"/>
      <c r="J7" s="71" t="n"/>
      <c r="K7" s="71" t="n"/>
      <c r="L7" s="71" t="n"/>
      <c r="M7" s="71" t="n"/>
      <c r="N7" s="71" t="n"/>
      <c r="O7" s="71" t="n"/>
      <c r="P7" s="71" t="n"/>
      <c r="Q7" s="54" t="n"/>
      <c r="R7" s="46" t="n"/>
      <c r="S7" s="46" t="n"/>
      <c r="T7" s="46" t="n"/>
      <c r="U7" s="46" t="n"/>
      <c r="V7" s="46" t="n"/>
      <c r="W7" s="46" t="n"/>
      <c r="X7" s="46" t="n"/>
      <c r="Y7" s="46" t="n"/>
      <c r="Z7" s="46" t="n"/>
    </row>
    <row r="8" ht="12.75" customHeight="1">
      <c r="A8" s="73" t="n"/>
      <c r="B8" s="74" t="n">
        <v>1.1</v>
      </c>
      <c r="C8" s="73" t="n"/>
      <c r="D8" s="75" t="n">
        <v>1.2</v>
      </c>
      <c r="E8" s="71" t="n"/>
      <c r="F8" s="74" t="n">
        <v>1.3</v>
      </c>
      <c r="G8" s="71" t="n"/>
      <c r="H8" s="71" t="n"/>
      <c r="I8" s="71" t="n"/>
      <c r="J8" s="71" t="n"/>
      <c r="K8" s="71" t="n"/>
      <c r="L8" s="71" t="n"/>
      <c r="M8" s="71" t="n"/>
      <c r="N8" s="71" t="n"/>
      <c r="O8" s="71" t="n"/>
      <c r="P8" s="71" t="n"/>
      <c r="Q8" s="54" t="n"/>
      <c r="R8" s="46" t="n"/>
      <c r="S8" s="46" t="n"/>
      <c r="T8" s="46" t="n"/>
      <c r="U8" s="46" t="n"/>
      <c r="V8" s="46" t="n"/>
      <c r="W8" s="46" t="n"/>
      <c r="X8" s="46" t="n"/>
      <c r="Y8" s="46" t="n"/>
      <c r="Z8" s="46" t="n"/>
    </row>
    <row r="9" ht="12.75" customHeight="1">
      <c r="A9" s="73" t="n"/>
      <c r="B9" s="76" t="inlineStr">
        <is>
          <t>Colombia</t>
        </is>
      </c>
      <c r="C9" s="73" t="n"/>
      <c r="D9" s="76" t="inlineStr">
        <is>
          <t>Australia</t>
        </is>
      </c>
      <c r="E9" s="73" t="n"/>
      <c r="F9" s="76" t="inlineStr">
        <is>
          <t>DR Congo</t>
        </is>
      </c>
      <c r="G9" s="73" t="n"/>
      <c r="H9" s="73" t="n"/>
      <c r="I9" s="73" t="n"/>
      <c r="J9" s="73" t="n"/>
      <c r="K9" s="73" t="n"/>
      <c r="L9" s="73" t="n"/>
      <c r="M9" s="73" t="n"/>
      <c r="N9" s="73" t="n"/>
      <c r="O9" s="73" t="n"/>
      <c r="P9" s="73" t="n"/>
      <c r="Q9" s="73" t="n"/>
    </row>
    <row r="10" ht="12.75" customHeight="1">
      <c r="A10" s="157" t="n"/>
      <c r="B10" s="76" t="inlineStr">
        <is>
          <t>Senegal</t>
        </is>
      </c>
      <c r="C10" s="77" t="n"/>
      <c r="D10" s="76" t="inlineStr">
        <is>
          <t>Algeria</t>
        </is>
      </c>
      <c r="E10" s="71" t="n"/>
      <c r="F10" s="76" t="inlineStr">
        <is>
          <t>Uzbekistan</t>
        </is>
      </c>
      <c r="G10" s="71" t="n"/>
      <c r="H10" s="71" t="n"/>
      <c r="I10" s="71" t="n"/>
      <c r="J10" s="71" t="n"/>
      <c r="K10" s="71" t="n"/>
      <c r="L10" s="71" t="n"/>
      <c r="M10" s="71" t="n"/>
      <c r="N10" s="71" t="n"/>
      <c r="O10" s="71" t="n"/>
      <c r="P10" s="71" t="n"/>
      <c r="Q10" s="54" t="n"/>
      <c r="R10" s="46" t="n"/>
      <c r="S10" s="46" t="n"/>
      <c r="T10" s="46" t="n"/>
      <c r="U10" s="46" t="n"/>
      <c r="V10" s="46" t="n"/>
      <c r="W10" s="46" t="n"/>
      <c r="X10" s="46" t="n"/>
      <c r="Y10" s="46" t="n"/>
      <c r="Z10" s="46" t="n"/>
    </row>
    <row r="11" ht="12.75" customHeight="1">
      <c r="A11" s="157" t="n"/>
      <c r="B11" s="76" t="inlineStr">
        <is>
          <t>Mexico</t>
        </is>
      </c>
      <c r="C11" s="77" t="n"/>
      <c r="D11" s="76" t="inlineStr">
        <is>
          <t>Egypt</t>
        </is>
      </c>
      <c r="E11" s="71" t="n"/>
      <c r="F11" s="76" t="inlineStr">
        <is>
          <t>Qatar</t>
        </is>
      </c>
      <c r="G11" s="71" t="n"/>
      <c r="H11" s="71" t="n"/>
      <c r="I11" s="71" t="n"/>
      <c r="J11" s="71" t="n"/>
      <c r="K11" s="71" t="n"/>
      <c r="L11" s="71" t="n"/>
      <c r="M11" s="71" t="n"/>
      <c r="N11" s="71" t="n"/>
      <c r="O11" s="71" t="n"/>
      <c r="P11" s="71" t="n"/>
      <c r="Q11" s="54" t="n"/>
      <c r="R11" s="46" t="n"/>
      <c r="S11" s="46" t="n"/>
      <c r="T11" s="46" t="n"/>
      <c r="U11" s="46" t="n"/>
      <c r="V11" s="46" t="n"/>
      <c r="W11" s="46" t="n"/>
      <c r="X11" s="46" t="n"/>
      <c r="Y11" s="46" t="n"/>
      <c r="Z11" s="46" t="n"/>
    </row>
    <row r="12" ht="12.75" customHeight="1">
      <c r="A12" s="157" t="n"/>
      <c r="B12" s="76" t="inlineStr">
        <is>
          <t>United States</t>
        </is>
      </c>
      <c r="C12" s="77" t="n"/>
      <c r="D12" s="76" t="inlineStr">
        <is>
          <t>Canada</t>
        </is>
      </c>
      <c r="E12" s="71" t="n"/>
      <c r="F12" s="76" t="inlineStr">
        <is>
          <t>Iraq</t>
        </is>
      </c>
      <c r="G12" s="71" t="n"/>
      <c r="H12" s="71" t="n"/>
      <c r="I12" s="71" t="n"/>
      <c r="J12" s="71" t="n"/>
      <c r="K12" s="71" t="n"/>
      <c r="L12" s="71" t="n"/>
      <c r="M12" s="71" t="n"/>
      <c r="N12" s="71" t="n"/>
      <c r="O12" s="71" t="n"/>
      <c r="P12" s="71" t="n"/>
      <c r="Q12" s="54" t="n"/>
      <c r="R12" s="46" t="n"/>
      <c r="S12" s="46" t="n"/>
      <c r="T12" s="46" t="n"/>
      <c r="U12" s="46" t="n"/>
      <c r="V12" s="46" t="n"/>
      <c r="W12" s="46" t="n"/>
      <c r="X12" s="46" t="n"/>
      <c r="Y12" s="46" t="n"/>
      <c r="Z12" s="46" t="n"/>
    </row>
    <row r="13" ht="12.75" customHeight="1">
      <c r="A13" s="157" t="n"/>
      <c r="B13" s="76" t="inlineStr">
        <is>
          <t>Uruguay</t>
        </is>
      </c>
      <c r="C13" s="77" t="n"/>
      <c r="D13" s="76" t="inlineStr">
        <is>
          <t>Norway</t>
        </is>
      </c>
      <c r="E13" s="71" t="n"/>
      <c r="F13" s="76" t="inlineStr">
        <is>
          <t>South Africa</t>
        </is>
      </c>
      <c r="G13" s="71" t="n"/>
      <c r="H13" s="71" t="n"/>
      <c r="I13" s="71" t="n"/>
      <c r="J13" s="71" t="n"/>
      <c r="K13" s="71" t="n"/>
      <c r="L13" s="71" t="n"/>
      <c r="M13" s="71" t="n"/>
      <c r="N13" s="71" t="n"/>
      <c r="O13" s="71" t="n"/>
      <c r="P13" s="71" t="n"/>
      <c r="Q13" s="54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2.75" customHeight="1">
      <c r="A14" s="157" t="n"/>
      <c r="B14" s="76" t="inlineStr">
        <is>
          <t>Japan</t>
        </is>
      </c>
      <c r="C14" s="77" t="n"/>
      <c r="D14" s="76" t="inlineStr">
        <is>
          <t>Panama</t>
        </is>
      </c>
      <c r="E14" s="71" t="n"/>
      <c r="F14" s="76" t="inlineStr">
        <is>
          <t>Saudi Arabia</t>
        </is>
      </c>
      <c r="G14" s="71" t="n"/>
      <c r="H14" s="71" t="n"/>
      <c r="I14" s="71" t="n"/>
      <c r="J14" s="71" t="n"/>
      <c r="K14" s="71" t="n"/>
      <c r="L14" s="71" t="n"/>
      <c r="M14" s="71" t="n"/>
      <c r="N14" s="71" t="n"/>
      <c r="O14" s="71" t="n"/>
      <c r="P14" s="71" t="n"/>
      <c r="Q14" s="54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12" customHeight="1">
      <c r="A15" s="157" t="n"/>
      <c r="B15" s="76" t="inlineStr">
        <is>
          <t>Switzerland</t>
        </is>
      </c>
      <c r="C15" s="77" t="n"/>
      <c r="D15" s="76" t="inlineStr">
        <is>
          <t>Ivory Coast</t>
        </is>
      </c>
      <c r="E15" s="71" t="n"/>
      <c r="F15" s="76" t="inlineStr">
        <is>
          <t>Jordan</t>
        </is>
      </c>
      <c r="G15" s="71" t="n"/>
      <c r="H15" s="71" t="n"/>
      <c r="I15" s="71" t="n"/>
      <c r="J15" s="71" t="n"/>
      <c r="K15" s="71" t="n"/>
      <c r="L15" s="71" t="n"/>
      <c r="M15" s="71" t="n"/>
      <c r="N15" s="71" t="n"/>
      <c r="O15" s="71" t="n"/>
      <c r="P15" s="71" t="n"/>
      <c r="Q15" s="54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12.75" customHeight="1">
      <c r="A16" s="157" t="n"/>
      <c r="B16" s="76" t="inlineStr">
        <is>
          <t>Iran</t>
        </is>
      </c>
      <c r="C16" s="77" t="n"/>
      <c r="D16" s="76" t="inlineStr">
        <is>
          <t>Sweden</t>
        </is>
      </c>
      <c r="E16" s="71" t="n"/>
      <c r="F16" s="76" t="inlineStr">
        <is>
          <t>Bosnia &amp; Herzegovina</t>
        </is>
      </c>
      <c r="G16" s="71" t="n"/>
      <c r="H16" s="71" t="n"/>
      <c r="I16" s="71" t="n"/>
      <c r="J16" s="71" t="n"/>
      <c r="K16" s="71" t="n"/>
      <c r="L16" s="71" t="n"/>
      <c r="M16" s="71" t="n"/>
      <c r="N16" s="71" t="n"/>
      <c r="O16" s="71" t="n"/>
      <c r="P16" s="71" t="n"/>
      <c r="Q16" s="54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t="12.75" customHeight="1">
      <c r="A17" s="157" t="n"/>
      <c r="B17" s="76" t="inlineStr">
        <is>
          <t>Türkiye</t>
        </is>
      </c>
      <c r="C17" s="77" t="n"/>
      <c r="D17" s="76" t="inlineStr">
        <is>
          <t>Paraguay</t>
        </is>
      </c>
      <c r="E17" s="71" t="n"/>
      <c r="F17" s="76" t="inlineStr">
        <is>
          <t>Cape Verde</t>
        </is>
      </c>
      <c r="G17" s="71" t="n"/>
      <c r="H17" s="71" t="n"/>
      <c r="I17" s="71" t="n"/>
      <c r="J17" s="71" t="n"/>
      <c r="K17" s="71" t="n"/>
      <c r="L17" s="71" t="n"/>
      <c r="M17" s="71" t="n"/>
      <c r="N17" s="71" t="n"/>
      <c r="O17" s="71" t="n"/>
      <c r="P17" s="71" t="n"/>
      <c r="Q17" s="54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2.75" customHeight="1">
      <c r="A18" s="157" t="n"/>
      <c r="B18" s="76" t="inlineStr">
        <is>
          <t>Ecuador</t>
        </is>
      </c>
      <c r="C18" s="52" t="n"/>
      <c r="D18" s="76" t="inlineStr">
        <is>
          <t>Czechia</t>
        </is>
      </c>
      <c r="E18" s="71" t="n"/>
      <c r="F18" s="76" t="inlineStr">
        <is>
          <t>Ghana</t>
        </is>
      </c>
      <c r="G18" s="71" t="n"/>
      <c r="H18" s="71" t="n"/>
      <c r="I18" s="71" t="n"/>
      <c r="J18" s="71" t="n"/>
      <c r="K18" s="71" t="n"/>
      <c r="L18" s="71" t="n"/>
      <c r="M18" s="71" t="n"/>
      <c r="N18" s="71" t="n"/>
      <c r="O18" s="71" t="n"/>
      <c r="P18" s="71" t="n"/>
      <c r="Q18" s="54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2.75" customHeight="1">
      <c r="A19" s="157" t="n"/>
      <c r="B19" s="76" t="inlineStr">
        <is>
          <t>Austria</t>
        </is>
      </c>
      <c r="C19" s="52" t="n"/>
      <c r="D19" s="76" t="inlineStr">
        <is>
          <t>Scotland</t>
        </is>
      </c>
      <c r="E19" s="71" t="n"/>
      <c r="F19" s="76" t="inlineStr">
        <is>
          <t>Curaçao</t>
        </is>
      </c>
      <c r="G19" s="71" t="n"/>
      <c r="H19" s="71" t="n"/>
      <c r="I19" s="71" t="n"/>
      <c r="J19" s="78" t="n"/>
      <c r="K19" s="71" t="n"/>
      <c r="L19" s="71" t="n"/>
      <c r="M19" s="71" t="n"/>
      <c r="N19" s="71" t="n"/>
      <c r="O19" s="71" t="n"/>
      <c r="P19" s="71" t="n"/>
      <c r="Q19" s="54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2.75" customHeight="1">
      <c r="A20" s="157" t="n"/>
      <c r="B20" s="76" t="inlineStr">
        <is>
          <t>South Korea</t>
        </is>
      </c>
      <c r="C20" s="52" t="n"/>
      <c r="D20" s="76" t="inlineStr">
        <is>
          <t>Tunisia</t>
        </is>
      </c>
      <c r="E20" s="71" t="n"/>
      <c r="F20" s="76" t="inlineStr">
        <is>
          <t>Haiti</t>
        </is>
      </c>
      <c r="G20" s="71" t="n"/>
      <c r="H20" s="71" t="n"/>
      <c r="I20" s="71" t="n"/>
      <c r="J20" s="71" t="n"/>
      <c r="K20" s="71" t="n"/>
      <c r="L20" s="71" t="n"/>
      <c r="M20" s="71" t="n"/>
      <c r="N20" s="71" t="n"/>
      <c r="O20" s="71" t="n"/>
      <c r="P20" s="71" t="n"/>
      <c r="Q20" s="54" t="n"/>
      <c r="R20" s="46" t="n"/>
      <c r="S20" s="46" t="n"/>
      <c r="T20" s="46" t="n"/>
      <c r="U20" s="46" t="n"/>
      <c r="V20" s="46" t="n"/>
      <c r="W20" s="46" t="n"/>
      <c r="X20" s="46" t="n"/>
      <c r="Y20" s="46" t="n"/>
      <c r="Z20" s="46" t="n"/>
    </row>
    <row r="21" ht="12.75" customHeight="1">
      <c r="A21" s="157" t="n"/>
      <c r="B21" s="79" t="n"/>
      <c r="C21" s="71" t="n"/>
      <c r="D21" s="71" t="n"/>
      <c r="E21" s="71" t="n"/>
      <c r="F21" s="76" t="inlineStr">
        <is>
          <t>New Zealand</t>
        </is>
      </c>
      <c r="G21" s="71" t="n"/>
      <c r="H21" s="71" t="n"/>
      <c r="I21" s="71" t="n"/>
      <c r="J21" s="71" t="n"/>
      <c r="K21" s="71" t="n"/>
      <c r="L21" s="71" t="n"/>
      <c r="M21" s="71" t="n"/>
      <c r="N21" s="71" t="n"/>
      <c r="O21" s="71" t="n"/>
      <c r="P21" s="71" t="n"/>
      <c r="Q21" s="54" t="n"/>
      <c r="R21" s="46" t="n"/>
      <c r="S21" s="46" t="n"/>
      <c r="T21" s="46" t="n"/>
      <c r="U21" s="46" t="n"/>
      <c r="V21" s="46" t="n"/>
      <c r="W21" s="46" t="n"/>
      <c r="X21" s="46" t="n"/>
      <c r="Y21" s="46" t="n"/>
      <c r="Z21" s="46" t="n"/>
    </row>
    <row r="22" ht="12.75" customHeight="1">
      <c r="A22" s="80" t="n"/>
      <c r="B22" s="64" t="n"/>
      <c r="C22" s="64" t="n"/>
      <c r="D22" s="65" t="n"/>
      <c r="E22" s="66" t="n"/>
      <c r="F22" s="66" t="n"/>
      <c r="G22" s="67" t="n"/>
      <c r="H22" s="68" t="n"/>
      <c r="I22" s="68" t="n"/>
      <c r="J22" s="68" t="n"/>
      <c r="K22" s="68" t="n"/>
      <c r="L22" s="66" t="n"/>
      <c r="M22" s="66" t="n"/>
      <c r="N22" s="66" t="n"/>
      <c r="O22" s="66" t="n"/>
      <c r="P22" s="66" t="n"/>
      <c r="Q22" s="54" t="n"/>
      <c r="R22" s="46" t="n"/>
      <c r="S22" s="46" t="n"/>
      <c r="T22" s="46" t="n"/>
      <c r="U22" s="46" t="n"/>
      <c r="V22" s="46" t="n"/>
      <c r="W22" s="46" t="n"/>
      <c r="X22" s="46" t="n"/>
      <c r="Y22" s="46" t="n"/>
      <c r="Z22" s="46" t="n"/>
    </row>
    <row r="23" ht="12.75" customHeight="1">
      <c r="A23" s="80" t="inlineStr">
        <is>
          <t>2.In the group stage, selected teams will receive 3 points for a win, 1 point for a draw, and 0 points for a loss</t>
        </is>
      </c>
      <c r="B23" s="64" t="n"/>
      <c r="C23" s="64" t="n"/>
      <c r="D23" s="65" t="n"/>
      <c r="E23" s="66" t="n"/>
      <c r="F23" s="66" t="n"/>
      <c r="G23" s="67" t="n"/>
      <c r="H23" s="68" t="n"/>
      <c r="I23" s="68" t="n"/>
      <c r="J23" s="68" t="n"/>
      <c r="K23" s="68" t="n"/>
      <c r="L23" s="66" t="n"/>
      <c r="M23" s="66" t="n"/>
      <c r="N23" s="66" t="n"/>
      <c r="O23" s="66" t="n"/>
      <c r="P23" s="66" t="n"/>
      <c r="Q23" s="54" t="n"/>
      <c r="R23" s="46" t="n"/>
      <c r="S23" s="46" t="n"/>
      <c r="T23" s="46" t="n"/>
      <c r="U23" s="46" t="n"/>
      <c r="V23" s="46" t="n"/>
      <c r="W23" s="46" t="n"/>
      <c r="X23" s="46" t="n"/>
      <c r="Y23" s="46" t="n"/>
      <c r="Z23" s="46" t="n"/>
    </row>
    <row r="24" ht="12.75" customHeight="1">
      <c r="A24" s="80" t="inlineStr">
        <is>
          <t>Point that will be awarded if teams advances to knockout stages are below:</t>
        </is>
      </c>
      <c r="B24" s="64" t="n"/>
      <c r="C24" s="64" t="n"/>
      <c r="D24" s="65" t="n"/>
      <c r="E24" s="66" t="n"/>
      <c r="F24" s="66" t="n"/>
      <c r="G24" s="67" t="n"/>
      <c r="H24" s="68" t="n"/>
      <c r="I24" s="68" t="n"/>
      <c r="J24" s="68" t="n"/>
      <c r="K24" s="68" t="n"/>
      <c r="L24" s="66" t="n"/>
      <c r="M24" s="66" t="n"/>
      <c r="N24" s="66" t="n"/>
      <c r="O24" s="66" t="n"/>
      <c r="P24" s="66" t="n"/>
      <c r="Q24" s="54" t="n"/>
      <c r="R24" s="46" t="n"/>
      <c r="S24" s="46" t="n"/>
      <c r="T24" s="46" t="n"/>
      <c r="U24" s="46" t="n"/>
      <c r="V24" s="46" t="n"/>
      <c r="W24" s="46" t="n"/>
      <c r="X24" s="46" t="n"/>
      <c r="Y24" s="46" t="n"/>
      <c r="Z24" s="46" t="n"/>
    </row>
    <row r="25" hidden="1" ht="12.75" customHeight="1">
      <c r="A25" s="80" t="n"/>
      <c r="B25" s="64" t="n"/>
      <c r="C25" s="64" t="n"/>
      <c r="D25" s="65" t="n"/>
      <c r="E25" s="66" t="n"/>
      <c r="F25" s="66" t="n"/>
      <c r="G25" s="67" t="n"/>
      <c r="H25" s="68" t="n"/>
      <c r="I25" s="68" t="n"/>
      <c r="J25" s="68" t="n"/>
      <c r="K25" s="68" t="n"/>
      <c r="L25" s="66" t="n"/>
      <c r="M25" s="66" t="n"/>
      <c r="N25" s="66" t="n"/>
      <c r="O25" s="66" t="n"/>
      <c r="P25" s="66" t="n"/>
      <c r="Q25" s="54" t="n"/>
      <c r="R25" s="46" t="n"/>
      <c r="S25" s="46" t="n"/>
      <c r="T25" s="46" t="n"/>
      <c r="U25" s="46" t="n"/>
      <c r="V25" s="46" t="n"/>
      <c r="W25" s="46" t="n"/>
      <c r="X25" s="46" t="n"/>
      <c r="Y25" s="46" t="n"/>
      <c r="Z25" s="46" t="n"/>
    </row>
    <row r="26" ht="12.75" customHeight="1">
      <c r="A26" s="80" t="n"/>
      <c r="B26" s="64" t="n"/>
      <c r="C26" s="64" t="n"/>
      <c r="D26" s="81" t="n"/>
      <c r="E26" s="81" t="n"/>
      <c r="F26" s="81" t="n"/>
      <c r="G26" s="81" t="n"/>
      <c r="H26" s="68" t="n"/>
      <c r="I26" s="68" t="n"/>
      <c r="J26" s="68" t="n"/>
      <c r="K26" s="68" t="n"/>
      <c r="L26" s="66" t="n"/>
      <c r="M26" s="66" t="n"/>
      <c r="N26" s="66" t="n"/>
      <c r="O26" s="66" t="n"/>
      <c r="P26" s="66" t="n"/>
      <c r="Q26" s="54" t="n"/>
      <c r="R26" s="46" t="n"/>
      <c r="S26" s="46" t="n"/>
      <c r="T26" s="46" t="n"/>
      <c r="U26" s="46" t="n"/>
      <c r="V26" s="46" t="n"/>
      <c r="W26" s="46" t="n"/>
      <c r="X26" s="46" t="n"/>
      <c r="Y26" s="46" t="n"/>
      <c r="Z26" s="46" t="n"/>
    </row>
    <row r="27" ht="12.75" customHeight="1">
      <c r="A27" s="80" t="n"/>
      <c r="B27" s="82" t="inlineStr">
        <is>
          <t>Stages</t>
        </is>
      </c>
      <c r="C27" s="83" t="inlineStr">
        <is>
          <t>Points</t>
        </is>
      </c>
      <c r="D27" s="81" t="n"/>
      <c r="E27" s="68" t="n"/>
      <c r="F27" s="68" t="n"/>
      <c r="G27" s="68" t="n"/>
      <c r="H27" s="66" t="n"/>
      <c r="I27" s="68" t="n"/>
      <c r="J27" s="68" t="n"/>
      <c r="K27" s="68" t="n"/>
      <c r="L27" s="66" t="n"/>
      <c r="M27" s="66" t="n"/>
      <c r="N27" s="66" t="n"/>
      <c r="O27" s="66" t="n"/>
      <c r="P27" s="66" t="n"/>
      <c r="Q27" s="54" t="n"/>
      <c r="R27" s="46" t="n"/>
      <c r="S27" s="46" t="n"/>
      <c r="T27" s="46" t="n"/>
      <c r="U27" s="46" t="n"/>
      <c r="V27" s="46" t="n"/>
      <c r="W27" s="46" t="n"/>
      <c r="X27" s="46" t="n"/>
      <c r="Y27" s="46" t="n"/>
      <c r="Z27" s="46" t="n"/>
    </row>
    <row r="28" ht="12.75" customHeight="1">
      <c r="A28" s="80" t="n"/>
      <c r="B28" s="84" t="inlineStr">
        <is>
          <t>1/32</t>
        </is>
      </c>
      <c r="C28" s="85" t="n">
        <v>4</v>
      </c>
      <c r="D28" s="81" t="n"/>
      <c r="E28" s="68" t="n"/>
      <c r="F28" s="68" t="n"/>
      <c r="G28" s="68" t="n"/>
      <c r="H28" s="66" t="n"/>
      <c r="I28" s="68" t="n"/>
      <c r="J28" s="68" t="n"/>
      <c r="K28" s="68" t="n"/>
      <c r="L28" s="66" t="n"/>
      <c r="M28" s="66" t="n"/>
      <c r="N28" s="66" t="n"/>
      <c r="O28" s="66" t="n"/>
      <c r="P28" s="66" t="n"/>
      <c r="Q28" s="54" t="n"/>
      <c r="R28" s="46" t="n"/>
      <c r="S28" s="46" t="n"/>
      <c r="T28" s="46" t="n"/>
      <c r="U28" s="46" t="n"/>
      <c r="V28" s="46" t="n"/>
      <c r="W28" s="46" t="n"/>
      <c r="X28" s="46" t="n"/>
      <c r="Y28" s="46" t="n"/>
      <c r="Z28" s="46" t="n"/>
    </row>
    <row r="29" ht="12.75" customHeight="1">
      <c r="A29" s="80" t="n"/>
      <c r="B29" s="86" t="inlineStr">
        <is>
          <t>1/16</t>
        </is>
      </c>
      <c r="C29" s="85" t="n">
        <v>6</v>
      </c>
      <c r="D29" s="81" t="n"/>
      <c r="E29" s="68" t="n"/>
      <c r="F29" s="68" t="n"/>
      <c r="G29" s="68" t="n"/>
      <c r="H29" s="66" t="n"/>
      <c r="I29" s="68" t="n"/>
      <c r="J29" s="68" t="n"/>
      <c r="K29" s="68" t="n"/>
      <c r="L29" s="66" t="n"/>
      <c r="M29" s="66" t="n"/>
      <c r="N29" s="66" t="n"/>
      <c r="O29" s="66" t="n"/>
      <c r="P29" s="66" t="n"/>
      <c r="Q29" s="54" t="n"/>
      <c r="R29" s="46" t="n"/>
      <c r="S29" s="46" t="n"/>
      <c r="T29" s="46" t="n"/>
      <c r="U29" s="46" t="n"/>
      <c r="V29" s="46" t="n"/>
      <c r="W29" s="46" t="n"/>
      <c r="X29" s="46" t="n"/>
      <c r="Y29" s="46" t="n"/>
      <c r="Z29" s="46" t="n"/>
    </row>
    <row r="30" ht="12.75" customHeight="1">
      <c r="A30" s="80" t="n"/>
      <c r="B30" s="84" t="inlineStr">
        <is>
          <t>Quarterfinal</t>
        </is>
      </c>
      <c r="C30" s="85" t="n">
        <v>8</v>
      </c>
      <c r="D30" s="81" t="n"/>
      <c r="E30" s="68" t="n"/>
      <c r="F30" s="68" t="n"/>
      <c r="G30" s="68" t="n"/>
      <c r="H30" s="66" t="n"/>
      <c r="I30" s="68" t="n"/>
      <c r="J30" s="68" t="n"/>
      <c r="K30" s="68" t="n"/>
      <c r="L30" s="66" t="n"/>
      <c r="M30" s="66" t="n"/>
      <c r="N30" s="66" t="n"/>
      <c r="O30" s="66" t="n"/>
      <c r="P30" s="66" t="n"/>
      <c r="Q30" s="54" t="n"/>
      <c r="R30" s="46" t="n"/>
      <c r="S30" s="46" t="n"/>
      <c r="T30" s="46" t="n"/>
      <c r="U30" s="46" t="n"/>
      <c r="V30" s="46" t="n"/>
      <c r="W30" s="46" t="n"/>
      <c r="X30" s="46" t="n"/>
      <c r="Y30" s="46" t="n"/>
      <c r="Z30" s="46" t="n"/>
    </row>
    <row r="31" ht="12.75" customHeight="1">
      <c r="A31" s="80" t="n"/>
      <c r="B31" s="84" t="inlineStr">
        <is>
          <t>Semifinal</t>
        </is>
      </c>
      <c r="C31" s="85" t="n">
        <v>10</v>
      </c>
      <c r="D31" s="81" t="n"/>
      <c r="E31" s="68" t="n"/>
      <c r="F31" s="68" t="n"/>
      <c r="G31" s="68" t="n"/>
      <c r="H31" s="66" t="n"/>
      <c r="I31" s="68" t="n"/>
      <c r="J31" s="68" t="n"/>
      <c r="K31" s="68" t="n"/>
      <c r="L31" s="66" t="n"/>
      <c r="M31" s="66" t="n"/>
      <c r="N31" s="66" t="n"/>
      <c r="O31" s="66" t="n"/>
      <c r="P31" s="66" t="n"/>
      <c r="Q31" s="54" t="n"/>
      <c r="R31" s="46" t="n"/>
      <c r="S31" s="46" t="n"/>
      <c r="T31" s="46" t="n"/>
      <c r="U31" s="46" t="n"/>
      <c r="V31" s="46" t="n"/>
      <c r="W31" s="46" t="n"/>
      <c r="X31" s="46" t="n"/>
      <c r="Y31" s="46" t="n"/>
      <c r="Z31" s="46" t="n"/>
    </row>
    <row r="32" ht="12.75" customHeight="1">
      <c r="A32" s="80" t="n"/>
      <c r="B32" s="84" t="inlineStr">
        <is>
          <t>Final</t>
        </is>
      </c>
      <c r="C32" s="85" t="n">
        <v>13</v>
      </c>
      <c r="D32" s="81" t="n"/>
      <c r="E32" s="68" t="n"/>
      <c r="F32" s="68" t="n"/>
      <c r="G32" s="68" t="n"/>
      <c r="H32" s="66" t="n"/>
      <c r="I32" s="68" t="n"/>
      <c r="J32" s="68" t="n"/>
      <c r="K32" s="68" t="n"/>
      <c r="L32" s="66" t="n"/>
      <c r="M32" s="66" t="n"/>
      <c r="N32" s="66" t="n"/>
      <c r="O32" s="66" t="n"/>
      <c r="P32" s="66" t="n"/>
      <c r="Q32" s="54" t="n"/>
      <c r="R32" s="46" t="n"/>
      <c r="S32" s="46" t="n"/>
      <c r="T32" s="46" t="n"/>
      <c r="U32" s="46" t="n"/>
      <c r="V32" s="46" t="n"/>
      <c r="W32" s="46" t="n"/>
      <c r="X32" s="46" t="n"/>
      <c r="Y32" s="46" t="n"/>
      <c r="Z32" s="46" t="n"/>
    </row>
    <row r="33" ht="12.75" customHeight="1">
      <c r="A33" s="80" t="n"/>
      <c r="B33" s="84" t="inlineStr">
        <is>
          <t>Champion</t>
        </is>
      </c>
      <c r="C33" s="85" t="n">
        <v>16</v>
      </c>
      <c r="D33" s="81" t="n"/>
      <c r="E33" s="68" t="n"/>
      <c r="F33" s="68" t="n"/>
      <c r="G33" s="68" t="n"/>
      <c r="H33" s="66" t="n"/>
      <c r="I33" s="68" t="n"/>
      <c r="J33" s="68" t="n"/>
      <c r="K33" s="68" t="n"/>
      <c r="L33" s="66" t="n"/>
      <c r="M33" s="66" t="n"/>
      <c r="N33" s="66" t="n"/>
      <c r="O33" s="66" t="n"/>
      <c r="P33" s="66" t="n"/>
      <c r="Q33" s="54" t="n"/>
      <c r="R33" s="46" t="n"/>
      <c r="S33" s="46" t="n"/>
      <c r="T33" s="46" t="n"/>
      <c r="U33" s="46" t="n"/>
      <c r="V33" s="46" t="n"/>
      <c r="W33" s="46" t="n"/>
      <c r="X33" s="46" t="n"/>
      <c r="Y33" s="46" t="n"/>
      <c r="Z33" s="46" t="n"/>
    </row>
    <row r="34" ht="12.75" customHeight="1">
      <c r="A34" s="80" t="n"/>
      <c r="B34" s="87" t="inlineStr">
        <is>
          <t xml:space="preserve">3rd place </t>
        </is>
      </c>
      <c r="C34" s="85" t="n">
        <v>5</v>
      </c>
      <c r="D34" s="67" t="n"/>
      <c r="E34" s="68" t="n"/>
      <c r="F34" s="68" t="n"/>
      <c r="G34" s="68" t="n"/>
      <c r="H34" s="66" t="n"/>
      <c r="I34" s="68" t="n"/>
      <c r="J34" s="68" t="n"/>
      <c r="K34" s="68" t="n"/>
      <c r="L34" s="66" t="n"/>
      <c r="M34" s="66" t="n"/>
      <c r="N34" s="66" t="n"/>
      <c r="O34" s="66" t="n"/>
      <c r="P34" s="66" t="n"/>
      <c r="Q34" s="54" t="n"/>
      <c r="R34" s="46" t="n"/>
      <c r="S34" s="46" t="n"/>
      <c r="T34" s="46" t="n"/>
      <c r="U34" s="46" t="n"/>
      <c r="V34" s="46" t="n"/>
      <c r="W34" s="46" t="n"/>
      <c r="X34" s="46" t="n"/>
      <c r="Y34" s="46" t="n"/>
      <c r="Z34" s="46" t="n"/>
    </row>
    <row r="35" ht="12.75" customHeight="1">
      <c r="A35" s="80" t="n"/>
      <c r="B35" s="64" t="n"/>
      <c r="C35" s="64" t="n"/>
      <c r="D35" s="65" t="n"/>
      <c r="E35" s="66" t="n"/>
      <c r="F35" s="66" t="n"/>
      <c r="G35" s="67" t="n"/>
      <c r="H35" s="68" t="n"/>
      <c r="I35" s="68" t="n"/>
      <c r="J35" s="68" t="n"/>
      <c r="K35" s="68" t="n"/>
      <c r="L35" s="66" t="n"/>
      <c r="M35" s="66" t="n"/>
      <c r="N35" s="66" t="n"/>
      <c r="O35" s="66" t="n"/>
      <c r="P35" s="66" t="n"/>
      <c r="Q35" s="88" t="n"/>
      <c r="R35" s="46" t="n"/>
      <c r="S35" s="46" t="n"/>
      <c r="T35" s="46" t="n"/>
      <c r="U35" s="46" t="n"/>
      <c r="V35" s="46" t="n"/>
      <c r="W35" s="46" t="n"/>
      <c r="X35" s="46" t="n"/>
      <c r="Y35" s="46" t="n"/>
      <c r="Z35" s="46" t="n"/>
    </row>
    <row r="36" ht="12.75" customHeight="1">
      <c r="A36" s="158" t="inlineStr">
        <is>
          <t xml:space="preserve">The team that scores the most goals will receive 0.5 points for each goal scored in all stages.
</t>
        </is>
      </c>
      <c r="Q36" s="163" t="n"/>
      <c r="R36" s="46" t="n"/>
      <c r="S36" s="46" t="n"/>
      <c r="T36" s="46" t="n"/>
      <c r="U36" s="46" t="n"/>
      <c r="V36" s="46" t="n"/>
      <c r="W36" s="46" t="n"/>
      <c r="X36" s="46" t="n"/>
      <c r="Y36" s="46" t="n"/>
      <c r="Z36" s="46" t="n"/>
    </row>
    <row r="37" ht="12.75" customHeight="1">
      <c r="A37" s="80" t="inlineStr">
        <is>
          <t>(Penalty shootout goals after extra time do not count)</t>
        </is>
      </c>
      <c r="B37" s="64" t="n"/>
      <c r="C37" s="64" t="n"/>
      <c r="D37" s="65" t="n"/>
      <c r="E37" s="66" t="n"/>
      <c r="F37" s="66" t="n"/>
      <c r="G37" s="67" t="n"/>
      <c r="H37" s="68" t="n"/>
      <c r="I37" s="68" t="n"/>
      <c r="J37" s="68" t="n"/>
      <c r="K37" s="68" t="n"/>
      <c r="L37" s="66" t="n"/>
      <c r="M37" s="66" t="n"/>
      <c r="N37" s="66" t="n"/>
      <c r="O37" s="66" t="n"/>
      <c r="P37" s="66" t="n"/>
      <c r="Q37" s="54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</row>
    <row r="38" ht="12.75" customHeight="1">
      <c r="A38" s="80" t="n"/>
      <c r="B38" s="64" t="n"/>
      <c r="C38" s="64" t="n"/>
      <c r="D38" s="65" t="n"/>
      <c r="E38" s="66" t="n"/>
      <c r="F38" s="66" t="n"/>
      <c r="G38" s="67" t="n"/>
      <c r="H38" s="68" t="n"/>
      <c r="I38" s="68" t="n"/>
      <c r="J38" s="68" t="n"/>
      <c r="K38" s="68" t="n"/>
      <c r="L38" s="66" t="n"/>
      <c r="M38" s="66" t="n"/>
      <c r="N38" s="66" t="n"/>
      <c r="O38" s="66" t="n"/>
      <c r="P38" s="66" t="n"/>
      <c r="Q38" s="54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</row>
    <row r="39" ht="12.75" customHeight="1">
      <c r="A39" s="80" t="inlineStr">
        <is>
          <t>3. The total points of the teams will be increase based on the position of the team in participants ranking.</t>
        </is>
      </c>
      <c r="B39" s="64" t="n"/>
      <c r="C39" s="64" t="n"/>
      <c r="D39" s="65" t="n"/>
      <c r="E39" s="66" t="n"/>
      <c r="F39" s="66" t="n"/>
      <c r="G39" s="67" t="n"/>
      <c r="H39" s="68" t="n"/>
      <c r="I39" s="68" t="n"/>
      <c r="J39" s="68" t="n"/>
      <c r="K39" s="68" t="n"/>
      <c r="L39" s="66" t="n"/>
      <c r="M39" s="66" t="n"/>
      <c r="N39" s="66" t="n"/>
      <c r="O39" s="66" t="n"/>
      <c r="P39" s="66" t="n"/>
      <c r="Q39" s="54" t="n"/>
      <c r="R39" s="46" t="n"/>
      <c r="S39" s="46" t="n"/>
      <c r="T39" s="89" t="n"/>
      <c r="U39" s="46" t="n"/>
      <c r="V39" s="46" t="n"/>
      <c r="W39" s="46" t="n"/>
      <c r="X39" s="46" t="n"/>
      <c r="Y39" s="46" t="n"/>
      <c r="Z39" s="46" t="n"/>
    </row>
    <row r="40" ht="12.75" customHeight="1">
      <c r="A40" s="80" t="n"/>
      <c r="B40" s="64" t="inlineStr">
        <is>
          <t>1. First team  x 6.</t>
        </is>
      </c>
      <c r="C40" s="64" t="n"/>
      <c r="D40" s="65" t="n"/>
      <c r="E40" s="66" t="n"/>
      <c r="F40" s="66" t="n"/>
      <c r="G40" s="67" t="n"/>
      <c r="H40" s="68" t="n"/>
      <c r="I40" s="68" t="n"/>
      <c r="J40" s="68" t="n"/>
      <c r="K40" s="68" t="n"/>
      <c r="L40" s="66" t="n"/>
      <c r="M40" s="66" t="n"/>
      <c r="N40" s="66" t="n"/>
      <c r="O40" s="66" t="n"/>
      <c r="P40" s="66" t="n"/>
      <c r="Q40" s="54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</row>
    <row r="41" ht="12.75" customHeight="1">
      <c r="A41" s="80" t="n"/>
      <c r="B41" s="64" t="inlineStr">
        <is>
          <t>2. Second team x 4.</t>
        </is>
      </c>
      <c r="C41" s="64" t="n"/>
      <c r="D41" s="65" t="n"/>
      <c r="E41" s="66" t="n"/>
      <c r="F41" s="66" t="n"/>
      <c r="G41" s="67" t="n"/>
      <c r="H41" s="68" t="n"/>
      <c r="I41" s="68" t="n"/>
      <c r="J41" s="68" t="n"/>
      <c r="K41" s="68" t="n"/>
      <c r="L41" s="66" t="n"/>
      <c r="M41" s="66" t="n"/>
      <c r="N41" s="66" t="n"/>
      <c r="O41" s="66" t="n"/>
      <c r="P41" s="66" t="n"/>
      <c r="Q41" s="54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</row>
    <row r="42" ht="12.75" customHeight="1">
      <c r="A42" s="80" t="n"/>
      <c r="B42" s="64" t="inlineStr">
        <is>
          <t>3. Third team x 3.</t>
        </is>
      </c>
      <c r="C42" s="64" t="n"/>
      <c r="D42" s="65" t="n"/>
      <c r="E42" s="66" t="n"/>
      <c r="F42" s="66" t="n"/>
      <c r="G42" s="67" t="n"/>
      <c r="H42" s="68" t="n"/>
      <c r="I42" s="68" t="n"/>
      <c r="J42" s="68" t="n"/>
      <c r="K42" s="68" t="n"/>
      <c r="L42" s="66" t="n"/>
      <c r="M42" s="66" t="n"/>
      <c r="N42" s="66" t="n"/>
      <c r="O42" s="66" t="n"/>
      <c r="P42" s="66" t="n"/>
      <c r="Q42" s="54" t="n"/>
      <c r="R42" s="46" t="n"/>
      <c r="S42" s="46" t="n"/>
      <c r="T42" s="46" t="n"/>
      <c r="U42" s="46" t="n"/>
      <c r="V42" s="46" t="n"/>
      <c r="W42" s="46" t="n"/>
      <c r="X42" s="46" t="n"/>
      <c r="Y42" s="46" t="n"/>
      <c r="Z42" s="46" t="n"/>
    </row>
    <row r="43" ht="12.75" customHeight="1">
      <c r="A43" s="80" t="n"/>
      <c r="B43" s="64" t="inlineStr">
        <is>
          <t>4. Fourth team x 2.</t>
        </is>
      </c>
      <c r="C43" s="64" t="n"/>
      <c r="D43" s="65" t="n"/>
      <c r="E43" s="66" t="n"/>
      <c r="F43" s="66" t="n"/>
      <c r="G43" s="67" t="n"/>
      <c r="H43" s="68" t="n"/>
      <c r="I43" s="68" t="n"/>
      <c r="J43" s="68" t="n"/>
      <c r="K43" s="68" t="n"/>
      <c r="L43" s="66" t="n"/>
      <c r="M43" s="66" t="n"/>
      <c r="N43" s="66" t="n"/>
      <c r="O43" s="66" t="n"/>
      <c r="P43" s="66" t="n"/>
      <c r="Q43" s="54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</row>
    <row r="44" ht="12.75" customHeight="1">
      <c r="A44" s="80" t="n"/>
      <c r="B44" s="64" t="inlineStr">
        <is>
          <t>OC. Extra Team Nr1 x 1.</t>
        </is>
      </c>
      <c r="C44" s="64" t="n"/>
      <c r="D44" s="65" t="n"/>
      <c r="E44" s="66" t="n"/>
      <c r="F44" s="66" t="n"/>
      <c r="G44" s="67" t="n"/>
      <c r="H44" s="68" t="n"/>
      <c r="I44" s="68" t="n"/>
      <c r="J44" s="68" t="n"/>
      <c r="K44" s="68" t="n"/>
      <c r="L44" s="66" t="n"/>
      <c r="M44" s="66" t="n"/>
      <c r="N44" s="66" t="n"/>
      <c r="O44" s="66" t="n"/>
      <c r="P44" s="66" t="n"/>
      <c r="Q44" s="54" t="n"/>
      <c r="R44" s="46" t="n"/>
      <c r="S44" s="46" t="n"/>
      <c r="T44" s="46" t="n"/>
      <c r="U44" s="46" t="n"/>
      <c r="V44" s="46" t="n"/>
      <c r="W44" s="46" t="n"/>
      <c r="X44" s="46" t="n"/>
      <c r="Y44" s="46" t="n"/>
      <c r="Z44" s="46" t="n"/>
    </row>
    <row r="45" ht="12.75" customHeight="1">
      <c r="A45" s="80" t="n"/>
      <c r="B45" s="64" t="inlineStr">
        <is>
          <t>OC. Extra Team Nr2 x 1.</t>
        </is>
      </c>
      <c r="C45" s="64" t="n"/>
      <c r="D45" s="65" t="n"/>
      <c r="E45" s="66" t="n"/>
      <c r="F45" s="66" t="n"/>
      <c r="G45" s="67" t="n"/>
      <c r="H45" s="68" t="n"/>
      <c r="I45" s="68" t="n"/>
      <c r="J45" s="68" t="n"/>
      <c r="K45" s="68" t="n"/>
      <c r="L45" s="66" t="n"/>
      <c r="M45" s="66" t="n"/>
      <c r="N45" s="66" t="n"/>
      <c r="O45" s="66" t="n"/>
      <c r="P45" s="66" t="n"/>
      <c r="Q45" s="54" t="n"/>
      <c r="R45" s="46" t="n"/>
      <c r="S45" s="46" t="n"/>
      <c r="T45" s="46" t="n"/>
      <c r="U45" s="46" t="n"/>
      <c r="V45" s="46" t="n"/>
      <c r="W45" s="46" t="n"/>
      <c r="X45" s="46" t="n"/>
      <c r="Y45" s="46" t="n"/>
      <c r="Z45" s="46" t="n"/>
    </row>
    <row r="46" ht="12.75" customHeight="1">
      <c r="A46" s="80" t="n"/>
      <c r="B46" s="64" t="inlineStr">
        <is>
          <t>OC. Extra Team Nr3 x 1.</t>
        </is>
      </c>
      <c r="C46" s="64" t="n"/>
      <c r="D46" s="65" t="n"/>
      <c r="E46" s="66" t="n"/>
      <c r="F46" s="66" t="n"/>
      <c r="G46" s="67" t="n"/>
      <c r="H46" s="68" t="n"/>
      <c r="I46" s="68" t="n"/>
      <c r="J46" s="68" t="n"/>
      <c r="K46" s="68" t="n"/>
      <c r="L46" s="66" t="n"/>
      <c r="M46" s="66" t="n"/>
      <c r="N46" s="66" t="n"/>
      <c r="O46" s="66" t="n"/>
      <c r="P46" s="66" t="n"/>
      <c r="Q46" s="54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</row>
    <row r="47" ht="12.75" customHeight="1">
      <c r="A47" s="80" t="n"/>
      <c r="B47" s="64" t="inlineStr">
        <is>
          <t>SC. Team goals x 0,5.</t>
        </is>
      </c>
      <c r="C47" s="64" t="n"/>
      <c r="D47" s="65" t="n"/>
      <c r="E47" s="66" t="n"/>
      <c r="F47" s="66" t="n"/>
      <c r="G47" s="67" t="n"/>
      <c r="H47" s="68" t="n"/>
      <c r="I47" s="68" t="n"/>
      <c r="J47" s="68" t="n"/>
      <c r="K47" s="68" t="n"/>
      <c r="L47" s="66" t="n"/>
      <c r="M47" s="66" t="n"/>
      <c r="N47" s="66" t="n"/>
      <c r="O47" s="66" t="n"/>
      <c r="P47" s="66" t="n"/>
      <c r="Q47" s="54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</row>
    <row r="48" ht="12.75" customHeight="1">
      <c r="A48" s="80" t="n"/>
      <c r="C48" s="64" t="n"/>
      <c r="D48" s="65" t="n"/>
      <c r="E48" s="66" t="n"/>
      <c r="F48" s="66" t="n"/>
      <c r="G48" s="67" t="n"/>
      <c r="H48" s="68" t="n"/>
      <c r="I48" s="68" t="n"/>
      <c r="J48" s="68" t="n"/>
      <c r="K48" s="68" t="n"/>
      <c r="L48" s="66" t="n"/>
      <c r="M48" s="66" t="n"/>
      <c r="N48" s="66" t="n"/>
      <c r="O48" s="66" t="n"/>
      <c r="P48" s="66" t="n"/>
      <c r="Q48" s="54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</row>
    <row r="49" ht="12.75" customHeight="1">
      <c r="A49" s="80" t="n"/>
      <c r="B49" s="64" t="n"/>
      <c r="C49" s="64" t="n"/>
      <c r="D49" s="65" t="n"/>
      <c r="E49" s="66" t="n"/>
      <c r="F49" s="66" t="n"/>
      <c r="G49" s="67" t="n"/>
      <c r="H49" s="68" t="n"/>
      <c r="I49" s="68" t="n"/>
      <c r="J49" s="68" t="n"/>
      <c r="K49" s="68" t="n"/>
      <c r="L49" s="66" t="n"/>
      <c r="M49" s="66" t="n"/>
      <c r="N49" s="66" t="n"/>
      <c r="O49" s="66" t="n"/>
      <c r="P49" s="66" t="n"/>
      <c r="Q49" s="54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</row>
    <row r="50" ht="12.75" customHeight="1">
      <c r="A50" s="80" t="inlineStr">
        <is>
          <t>4. Winner is the participant who collects most points.</t>
        </is>
      </c>
      <c r="B50" s="64" t="n"/>
      <c r="C50" s="64" t="n"/>
      <c r="D50" s="65" t="n"/>
      <c r="E50" s="66" t="n"/>
      <c r="F50" s="66" t="n"/>
      <c r="G50" s="67" t="n"/>
      <c r="H50" s="68" t="n"/>
      <c r="I50" s="68" t="n"/>
      <c r="J50" s="68" t="n"/>
      <c r="K50" s="68" t="n"/>
      <c r="L50" s="66" t="n"/>
      <c r="M50" s="66" t="n"/>
      <c r="N50" s="66" t="n"/>
      <c r="O50" s="66" t="n"/>
      <c r="P50" s="66" t="n"/>
      <c r="Q50" s="54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</row>
    <row r="51" ht="12.75" customHeight="1">
      <c r="A51" s="80" t="n"/>
      <c r="B51" s="64" t="n"/>
      <c r="C51" s="64" t="n"/>
      <c r="D51" s="65" t="n"/>
      <c r="E51" s="66" t="n"/>
      <c r="F51" s="66" t="n"/>
      <c r="G51" s="67" t="n"/>
      <c r="H51" s="68" t="n"/>
      <c r="I51" s="68" t="n"/>
      <c r="J51" s="68" t="n"/>
      <c r="K51" s="68" t="n"/>
      <c r="L51" s="66" t="n"/>
      <c r="M51" s="66" t="n"/>
      <c r="N51" s="66" t="n"/>
      <c r="O51" s="66" t="n"/>
      <c r="P51" s="66" t="n"/>
      <c r="Q51" s="54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</row>
    <row r="52" ht="12.75" customHeight="1">
      <c r="A52" s="80" t="inlineStr">
        <is>
          <t>5. Prize fund split: 1st place — 50%, 2nd — 20%, 3rd — 10%, 4th — 5%, 5th — 5%, 6th — 2.5%, 7th — 2.5%, 8th — 2.5%, 9th — 2.5%.</t>
        </is>
      </c>
      <c r="B52" s="64" t="n"/>
      <c r="C52" s="64" t="n"/>
      <c r="D52" s="65" t="n"/>
      <c r="E52" s="66" t="n"/>
      <c r="F52" s="66" t="n"/>
      <c r="G52" s="67" t="n"/>
      <c r="H52" s="68" t="n"/>
      <c r="I52" s="68" t="n"/>
      <c r="J52" s="68" t="n"/>
      <c r="K52" s="68" t="n"/>
      <c r="L52" s="66" t="n"/>
      <c r="M52" s="66" t="n"/>
      <c r="N52" s="66" t="n"/>
      <c r="O52" s="66" t="n"/>
      <c r="P52" s="66" t="n"/>
      <c r="Q52" s="54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</row>
    <row r="53" ht="12.75" customHeight="1">
      <c r="A53" s="80" t="inlineStr">
        <is>
          <t>If two or more participants collect the same number of points, they will equally share the prize fund allocated for the respective positions, for example:</t>
        </is>
      </c>
      <c r="B53" s="64" t="n"/>
      <c r="C53" s="64" t="n"/>
      <c r="D53" s="65" t="n"/>
      <c r="E53" s="66" t="n"/>
      <c r="F53" s="66" t="n"/>
      <c r="G53" s="67" t="n"/>
      <c r="H53" s="68" t="n"/>
      <c r="I53" s="68" t="n"/>
      <c r="J53" s="68" t="n"/>
      <c r="K53" s="68" t="n"/>
      <c r="L53" s="66" t="n"/>
      <c r="M53" s="66" t="n"/>
      <c r="N53" s="66" t="n"/>
      <c r="O53" s="66" t="n"/>
      <c r="P53" s="66" t="n"/>
      <c r="Q53" s="54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</row>
    <row r="54" ht="12.75" customHeight="1">
      <c r="A54" s="80" t="n"/>
      <c r="B54" s="64" t="inlineStr">
        <is>
          <t>a) If two participants collect the same number of points and occupy 1st-2nd places, they will equally share the prize fund allocated for 1st-2nd places.</t>
        </is>
      </c>
      <c r="C54" s="64" t="n"/>
      <c r="D54" s="65" t="n"/>
      <c r="E54" s="66" t="n"/>
      <c r="F54" s="66" t="n"/>
      <c r="G54" s="67" t="n"/>
      <c r="H54" s="68" t="n"/>
      <c r="I54" s="68" t="n"/>
      <c r="J54" s="68" t="n"/>
      <c r="K54" s="68" t="n"/>
      <c r="L54" s="66" t="n"/>
      <c r="M54" s="66" t="n"/>
      <c r="N54" s="66" t="n"/>
      <c r="O54" s="66" t="n"/>
      <c r="P54" s="66" t="n"/>
      <c r="Q54" s="54" t="n"/>
      <c r="R54" s="46" t="n"/>
      <c r="S54" s="46" t="n"/>
      <c r="T54" s="46" t="n"/>
      <c r="U54" s="46" t="n"/>
      <c r="V54" s="46" t="n"/>
      <c r="W54" s="46" t="n"/>
      <c r="X54" s="46" t="n"/>
      <c r="Y54" s="46" t="n"/>
      <c r="Z54" s="46" t="n"/>
    </row>
    <row r="55" ht="12.75" customHeight="1">
      <c r="A55" s="80" t="n"/>
      <c r="B55" s="64" t="inlineStr">
        <is>
          <t>b) If two participants collect the same number of points and occupy 2nd-3rd places, they will equally share the prize fund allocated for 2nd-3rd places, and so on…</t>
        </is>
      </c>
      <c r="C55" s="64" t="n"/>
      <c r="D55" s="65" t="n"/>
      <c r="E55" s="66" t="n"/>
      <c r="F55" s="66" t="n"/>
      <c r="G55" s="67" t="n"/>
      <c r="H55" s="68" t="n"/>
      <c r="I55" s="68" t="n"/>
      <c r="J55" s="68" t="n"/>
      <c r="K55" s="68" t="n"/>
      <c r="L55" s="66" t="n"/>
      <c r="M55" s="66" t="n"/>
      <c r="N55" s="66" t="n"/>
      <c r="O55" s="66" t="n"/>
      <c r="P55" s="66" t="n"/>
      <c r="Q55" s="54" t="n"/>
      <c r="R55" s="46" t="n"/>
      <c r="S55" s="46" t="n"/>
      <c r="T55" s="46" t="n"/>
      <c r="U55" s="46" t="n"/>
      <c r="V55" s="46" t="n"/>
      <c r="W55" s="46" t="n"/>
      <c r="X55" s="46" t="n"/>
      <c r="Y55" s="46" t="n"/>
      <c r="Z55" s="46" t="n"/>
    </row>
    <row r="56" ht="12.75" customHeight="1">
      <c r="A56" s="80" t="inlineStr">
        <is>
          <t>The prize fund will be reduced by bank transfer fees so that the game manager (CFO) does not have to finance you.</t>
        </is>
      </c>
      <c r="B56" s="64" t="n"/>
      <c r="C56" s="64" t="n"/>
      <c r="D56" s="65" t="n"/>
      <c r="E56" s="66" t="n"/>
      <c r="F56" s="66" t="n"/>
      <c r="G56" s="67" t="n"/>
      <c r="H56" s="68" t="n"/>
      <c r="I56" s="68" t="n"/>
      <c r="J56" s="68" t="n"/>
      <c r="K56" s="68" t="n"/>
      <c r="L56" s="66" t="n"/>
      <c r="M56" s="66" t="n"/>
      <c r="N56" s="66" t="n"/>
      <c r="O56" s="66" t="n"/>
      <c r="P56" s="66" t="n"/>
      <c r="Q56" s="54" t="n"/>
      <c r="R56" s="46" t="n"/>
      <c r="S56" s="46" t="n"/>
      <c r="T56" s="46" t="n"/>
      <c r="U56" s="46" t="n"/>
      <c r="V56" s="46" t="n"/>
      <c r="W56" s="46" t="n"/>
      <c r="X56" s="46" t="n"/>
      <c r="Y56" s="46" t="n"/>
      <c r="Z56" s="46" t="n"/>
    </row>
    <row r="57" ht="12.75" customHeight="1">
      <c r="A57" s="80" t="inlineStr">
        <is>
          <t xml:space="preserve">If WC Toto collects more than 60 participants, the Admins keep the rights to change Toto price fund split could involving more winners. </t>
        </is>
      </c>
      <c r="B57" s="64" t="n"/>
      <c r="C57" s="64" t="n"/>
      <c r="D57" s="65" t="n"/>
      <c r="E57" s="66" t="n"/>
      <c r="F57" s="66" t="n"/>
      <c r="G57" s="67" t="n"/>
      <c r="H57" s="68" t="n"/>
      <c r="I57" s="68" t="n"/>
      <c r="J57" s="68" t="n"/>
      <c r="K57" s="68" t="n"/>
      <c r="L57" s="66" t="n"/>
      <c r="M57" s="66" t="n"/>
      <c r="N57" s="66" t="n"/>
      <c r="O57" s="66" t="n"/>
      <c r="P57" s="66" t="n"/>
      <c r="Q57" s="54" t="n"/>
      <c r="R57" s="46" t="n"/>
      <c r="S57" s="46" t="n"/>
      <c r="T57" s="46" t="n"/>
      <c r="U57" s="46" t="n"/>
      <c r="V57" s="46" t="n"/>
      <c r="W57" s="46" t="n"/>
      <c r="X57" s="46" t="n"/>
      <c r="Y57" s="46" t="n"/>
      <c r="Z57" s="46" t="n"/>
    </row>
    <row r="58" ht="12.75" customHeight="1">
      <c r="A58" s="80" t="inlineStr">
        <is>
          <t>This will be decided once the participants' list is complete.</t>
        </is>
      </c>
      <c r="B58" s="64" t="n"/>
      <c r="C58" s="64" t="n"/>
      <c r="D58" s="65" t="n"/>
      <c r="E58" s="66" t="n"/>
      <c r="F58" s="66" t="n"/>
      <c r="G58" s="67" t="n"/>
      <c r="H58" s="68" t="n"/>
      <c r="I58" s="68" t="n"/>
      <c r="J58" s="68" t="n"/>
      <c r="K58" s="68" t="n"/>
      <c r="L58" s="66" t="n"/>
      <c r="M58" s="66" t="n"/>
      <c r="N58" s="66" t="n"/>
      <c r="O58" s="66" t="n"/>
      <c r="P58" s="66" t="n"/>
      <c r="Q58" s="54" t="n"/>
      <c r="R58" s="46" t="n"/>
      <c r="S58" s="46" t="n"/>
      <c r="T58" s="46" t="n"/>
      <c r="U58" s="46" t="n"/>
      <c r="V58" s="46" t="n"/>
      <c r="W58" s="46" t="n"/>
      <c r="X58" s="46" t="n"/>
      <c r="Y58" s="46" t="n"/>
      <c r="Z58" s="46" t="n"/>
    </row>
    <row r="59" ht="12.75" customHeight="1">
      <c r="A59" s="80" t="n"/>
      <c r="B59" s="64" t="n"/>
      <c r="C59" s="64" t="n"/>
      <c r="D59" s="65" t="n"/>
      <c r="E59" s="66" t="n"/>
      <c r="F59" s="66" t="n"/>
      <c r="G59" s="67" t="n"/>
      <c r="H59" s="68" t="n"/>
      <c r="I59" s="68" t="n"/>
      <c r="J59" s="68" t="n"/>
      <c r="K59" s="68" t="n"/>
      <c r="L59" s="66" t="n"/>
      <c r="M59" s="66" t="n"/>
      <c r="N59" s="66" t="n"/>
      <c r="O59" s="66" t="n"/>
      <c r="P59" s="66" t="n"/>
      <c r="Q59" s="54" t="n"/>
      <c r="R59" s="46" t="n"/>
      <c r="S59" s="46" t="n"/>
      <c r="T59" s="46" t="n"/>
      <c r="U59" s="46" t="n"/>
      <c r="V59" s="46" t="n"/>
      <c r="W59" s="46" t="n"/>
      <c r="X59" s="46" t="n"/>
      <c r="Y59" s="46" t="n"/>
      <c r="Z59" s="46" t="n"/>
    </row>
    <row r="60" ht="12.75" customHeight="1">
      <c r="A60" s="80" t="inlineStr">
        <is>
          <t>6. Participation Fee - 30 EUR from each participant.</t>
        </is>
      </c>
      <c r="B60" s="64" t="n"/>
      <c r="C60" s="64" t="n"/>
      <c r="D60" s="65" t="n"/>
      <c r="E60" s="66" t="n"/>
      <c r="F60" s="66" t="n"/>
      <c r="G60" s="67" t="n"/>
      <c r="H60" s="68" t="n"/>
      <c r="I60" s="68" t="n"/>
      <c r="J60" s="68" t="n"/>
      <c r="K60" s="68" t="n"/>
      <c r="L60" s="66" t="n"/>
      <c r="M60" s="66" t="n"/>
      <c r="N60" s="66" t="n"/>
      <c r="O60" s="66" t="n"/>
      <c r="P60" s="66" t="n"/>
      <c r="Q60" s="54" t="n"/>
      <c r="R60" s="46" t="n"/>
      <c r="S60" s="46" t="n"/>
      <c r="T60" s="46" t="n"/>
      <c r="U60" s="46" t="n"/>
      <c r="V60" s="46" t="n"/>
      <c r="W60" s="46" t="n"/>
      <c r="X60" s="46" t="n"/>
      <c r="Y60" s="46" t="n"/>
      <c r="Z60" s="46" t="n"/>
    </row>
    <row r="61" ht="12.75" customHeight="1">
      <c r="A61" s="80" t="n"/>
      <c r="B61" s="64" t="n"/>
      <c r="C61" s="64" t="n"/>
      <c r="D61" s="65" t="n"/>
      <c r="E61" s="66" t="n"/>
      <c r="F61" s="66" t="n"/>
      <c r="G61" s="67" t="n"/>
      <c r="H61" s="68" t="n"/>
      <c r="I61" s="68" t="n"/>
      <c r="J61" s="68" t="n"/>
      <c r="K61" s="68" t="n"/>
      <c r="L61" s="66" t="n"/>
      <c r="M61" s="66" t="n"/>
      <c r="N61" s="66" t="n"/>
      <c r="O61" s="66" t="n"/>
      <c r="P61" s="66" t="n"/>
      <c r="Q61" s="54" t="n"/>
      <c r="R61" s="46" t="n"/>
      <c r="S61" s="46" t="n"/>
      <c r="T61" s="46" t="n"/>
      <c r="U61" s="46" t="n"/>
      <c r="V61" s="46" t="n"/>
      <c r="W61" s="46" t="n"/>
      <c r="X61" s="46" t="n"/>
      <c r="Y61" s="46" t="n"/>
      <c r="Z61" s="46" t="n"/>
    </row>
    <row r="62" ht="12.75" customHeight="1">
      <c r="A62" s="80" t="inlineStr">
        <is>
          <t>Support team:</t>
        </is>
      </c>
      <c r="B62" s="64" t="n"/>
      <c r="C62" s="64" t="n"/>
      <c r="D62" s="65" t="n"/>
      <c r="E62" s="66" t="n"/>
      <c r="F62" s="66" t="n"/>
      <c r="G62" s="67" t="n"/>
      <c r="H62" s="68" t="n"/>
      <c r="I62" s="68" t="n"/>
      <c r="J62" s="68" t="n"/>
      <c r="K62" s="68" t="n"/>
      <c r="L62" s="66" t="n"/>
      <c r="M62" s="66" t="n"/>
      <c r="N62" s="66" t="n"/>
      <c r="O62" s="66" t="n"/>
      <c r="P62" s="66" t="n"/>
      <c r="Q62" s="54" t="n"/>
      <c r="R62" s="46" t="n"/>
      <c r="S62" s="46" t="n"/>
      <c r="T62" s="46" t="n"/>
      <c r="U62" s="46" t="n"/>
      <c r="V62" s="46" t="n"/>
      <c r="W62" s="46" t="n"/>
      <c r="X62" s="46" t="n"/>
      <c r="Y62" s="46" t="n"/>
      <c r="Z62" s="46" t="n"/>
    </row>
    <row r="63" ht="12.75" customHeight="1">
      <c r="A63" s="80" t="inlineStr">
        <is>
          <t>Toto manager and fund collector - Arūnas Čižauskas</t>
        </is>
      </c>
      <c r="B63" s="64" t="n"/>
      <c r="C63" s="64" t="n"/>
      <c r="D63" s="65" t="n"/>
      <c r="E63" s="66" t="n"/>
      <c r="F63" s="66" t="n"/>
      <c r="G63" s="67" t="n"/>
      <c r="H63" s="68" t="n"/>
      <c r="I63" s="68" t="n"/>
      <c r="J63" s="68" t="n"/>
      <c r="K63" s="68" t="n"/>
      <c r="L63" s="66" t="n"/>
      <c r="M63" s="66" t="n"/>
      <c r="N63" s="66" t="n"/>
      <c r="O63" s="66" t="n"/>
      <c r="P63" s="66" t="n"/>
      <c r="Q63" s="54" t="n"/>
      <c r="R63" s="46" t="n"/>
      <c r="S63" s="46" t="n"/>
      <c r="T63" s="46" t="n"/>
      <c r="U63" s="46" t="n"/>
      <c r="V63" s="46" t="n"/>
      <c r="W63" s="46" t="n"/>
      <c r="X63" s="46" t="n"/>
      <c r="Y63" s="46" t="n"/>
      <c r="Z63" s="46" t="n"/>
    </row>
    <row r="64" ht="12.75" customHeight="1">
      <c r="A64" s="80" t="inlineStr">
        <is>
          <t>Creativity and Data manager -Yagub Alizada</t>
        </is>
      </c>
      <c r="B64" s="64" t="n"/>
      <c r="C64" s="64" t="n"/>
      <c r="D64" s="65" t="n"/>
      <c r="E64" s="66" t="n"/>
      <c r="F64" s="66" t="n"/>
      <c r="G64" s="67" t="n"/>
      <c r="H64" s="68" t="n"/>
      <c r="I64" s="68" t="n"/>
      <c r="J64" s="68" t="n"/>
      <c r="K64" s="68" t="n"/>
      <c r="L64" s="66" t="n"/>
      <c r="M64" s="66" t="n"/>
      <c r="N64" s="66" t="n"/>
      <c r="O64" s="66" t="n"/>
      <c r="P64" s="66" t="n"/>
      <c r="Q64" s="54" t="n"/>
      <c r="R64" s="46" t="n"/>
      <c r="S64" s="46" t="n"/>
      <c r="T64" s="46" t="n"/>
      <c r="U64" s="46" t="n"/>
      <c r="V64" s="46" t="n"/>
      <c r="W64" s="46" t="n"/>
      <c r="X64" s="46" t="n"/>
      <c r="Y64" s="46" t="n"/>
      <c r="Z64" s="46" t="n"/>
    </row>
    <row r="65" ht="12.75" customHeight="1">
      <c r="A65" s="90" t="n"/>
      <c r="B65" s="91" t="n"/>
      <c r="C65" s="91" t="n"/>
      <c r="D65" s="91" t="n"/>
      <c r="E65" s="91" t="n"/>
      <c r="F65" s="91" t="n"/>
      <c r="G65" s="92" t="n"/>
      <c r="H65" s="91" t="n"/>
      <c r="I65" s="91" t="n"/>
      <c r="J65" s="91" t="n"/>
      <c r="K65" s="91" t="n"/>
      <c r="L65" s="93" t="n"/>
      <c r="M65" s="93" t="n"/>
      <c r="N65" s="93" t="n"/>
      <c r="O65" s="93" t="n"/>
      <c r="P65" s="93" t="n"/>
      <c r="Q65" s="62" t="n"/>
      <c r="R65" s="46" t="n"/>
      <c r="S65" s="46" t="n"/>
      <c r="T65" s="46" t="n"/>
      <c r="U65" s="46" t="n"/>
      <c r="V65" s="46" t="n"/>
      <c r="W65" s="46" t="n"/>
      <c r="X65" s="46" t="n"/>
      <c r="Y65" s="46" t="n"/>
      <c r="Z65" s="46" t="n"/>
    </row>
    <row r="66" ht="12.75" customHeight="1">
      <c r="A66" s="46" t="n"/>
      <c r="B66" s="46" t="n"/>
      <c r="C66" s="46" t="n"/>
      <c r="D66" s="46" t="n"/>
      <c r="E66" s="46" t="n"/>
      <c r="F66" s="46" t="n"/>
      <c r="G66" s="94" t="n"/>
      <c r="H66" s="46" t="n"/>
      <c r="I66" s="46" t="n"/>
      <c r="J66" s="46" t="n"/>
      <c r="K66" s="46" t="n"/>
      <c r="L66" s="95" t="n"/>
      <c r="M66" s="95" t="n"/>
      <c r="N66" s="95" t="n"/>
      <c r="O66" s="95" t="n"/>
      <c r="P66" s="95" t="n"/>
      <c r="Q66" s="46" t="n"/>
      <c r="R66" s="46" t="n"/>
      <c r="S66" s="46" t="n"/>
      <c r="T66" s="46" t="n"/>
      <c r="U66" s="46" t="n"/>
      <c r="V66" s="46" t="n"/>
      <c r="W66" s="46" t="n"/>
      <c r="X66" s="46" t="n"/>
      <c r="Y66" s="46" t="n"/>
      <c r="Z66" s="46" t="n"/>
    </row>
    <row r="67" ht="12.75" customHeight="1">
      <c r="A67" s="46" t="n"/>
      <c r="B67" s="46" t="n"/>
      <c r="C67" s="46" t="n"/>
      <c r="D67" s="46" t="n"/>
      <c r="E67" s="46" t="n"/>
      <c r="F67" s="46" t="n"/>
      <c r="G67" s="94" t="n"/>
      <c r="H67" s="46" t="n"/>
      <c r="I67" s="46" t="n"/>
      <c r="J67" s="46" t="n"/>
      <c r="K67" s="46" t="n"/>
      <c r="L67" s="95" t="n"/>
      <c r="M67" s="95" t="n"/>
      <c r="N67" s="95" t="n"/>
      <c r="O67" s="95" t="n"/>
      <c r="P67" s="95" t="n"/>
      <c r="Q67" s="46" t="n"/>
      <c r="R67" s="46" t="n"/>
      <c r="S67" s="46" t="n"/>
      <c r="T67" s="46" t="n"/>
      <c r="U67" s="46" t="n"/>
      <c r="V67" s="46" t="n"/>
      <c r="W67" s="46" t="n"/>
      <c r="X67" s="46" t="n"/>
      <c r="Y67" s="46" t="n"/>
      <c r="Z67" s="46" t="n"/>
    </row>
    <row r="68" ht="12.75" customHeight="1">
      <c r="A68" s="46" t="n"/>
      <c r="B68" s="46" t="n"/>
      <c r="C68" s="46" t="n"/>
      <c r="D68" s="46" t="n"/>
      <c r="E68" s="46" t="n"/>
      <c r="F68" s="46" t="n"/>
      <c r="G68" s="94" t="n"/>
      <c r="H68" s="46" t="n"/>
      <c r="I68" s="46" t="n"/>
      <c r="J68" s="46" t="n"/>
      <c r="K68" s="46" t="n"/>
      <c r="L68" s="95" t="n"/>
      <c r="M68" s="95" t="n"/>
      <c r="N68" s="95" t="n"/>
      <c r="O68" s="95" t="n"/>
      <c r="P68" s="95" t="n"/>
      <c r="Q68" s="46" t="n"/>
      <c r="R68" s="46" t="n"/>
      <c r="S68" s="46" t="n"/>
      <c r="T68" s="46" t="n"/>
      <c r="U68" s="46" t="n"/>
      <c r="V68" s="46" t="n"/>
      <c r="W68" s="46" t="n"/>
      <c r="X68" s="46" t="n"/>
      <c r="Y68" s="46" t="n"/>
      <c r="Z68" s="46" t="n"/>
    </row>
    <row r="69" ht="12.75" customHeight="1">
      <c r="A69" s="96" t="n"/>
      <c r="B69" s="97" t="n"/>
      <c r="C69" s="98" t="n"/>
      <c r="D69" s="99" t="n"/>
      <c r="E69" s="95" t="n"/>
      <c r="F69" s="95" t="n"/>
      <c r="G69" s="94" t="n"/>
      <c r="H69" s="46" t="n"/>
      <c r="I69" s="46" t="n"/>
      <c r="J69" s="46" t="n"/>
      <c r="K69" s="46" t="n"/>
      <c r="L69" s="95" t="n"/>
      <c r="M69" s="95" t="n"/>
      <c r="N69" s="95" t="n"/>
      <c r="O69" s="95" t="n"/>
      <c r="P69" s="95" t="n"/>
      <c r="Q69" s="46" t="n"/>
      <c r="R69" s="46" t="n"/>
      <c r="S69" s="46" t="n"/>
      <c r="T69" s="46" t="n"/>
      <c r="U69" s="46" t="n"/>
      <c r="V69" s="46" t="n"/>
      <c r="W69" s="46" t="n"/>
      <c r="X69" s="46" t="n"/>
      <c r="Y69" s="46" t="n"/>
      <c r="Z69" s="46" t="n"/>
    </row>
    <row r="70" ht="12.75" customHeight="1">
      <c r="A70" s="100" t="n"/>
      <c r="B70" s="101" t="n"/>
      <c r="C70" s="102" t="n"/>
      <c r="D70" s="99" t="n"/>
      <c r="E70" s="95" t="n"/>
      <c r="F70" s="95" t="n"/>
      <c r="G70" s="94" t="n"/>
      <c r="H70" s="46" t="n"/>
      <c r="I70" s="46" t="n"/>
      <c r="J70" s="46" t="n"/>
      <c r="K70" s="46" t="n"/>
      <c r="L70" s="95" t="n"/>
      <c r="M70" s="95" t="n"/>
      <c r="N70" s="95" t="n"/>
      <c r="O70" s="95" t="n"/>
      <c r="P70" s="95" t="n"/>
      <c r="Q70" s="46" t="n"/>
      <c r="R70" s="46" t="n"/>
      <c r="S70" s="46" t="n"/>
      <c r="T70" s="46" t="n"/>
      <c r="U70" s="46" t="n"/>
      <c r="V70" s="46" t="n"/>
      <c r="W70" s="46" t="n"/>
      <c r="X70" s="46" t="n"/>
      <c r="Y70" s="46" t="n"/>
      <c r="Z70" s="46" t="n"/>
    </row>
    <row r="71" ht="12.75" customHeight="1">
      <c r="A71" s="100" t="n"/>
      <c r="B71" s="101" t="n"/>
      <c r="C71" s="102" t="n"/>
      <c r="D71" s="99" t="n"/>
      <c r="E71" s="95" t="n"/>
      <c r="F71" s="95" t="n"/>
      <c r="G71" s="94" t="n"/>
      <c r="H71" s="46" t="n"/>
      <c r="I71" s="46" t="n"/>
      <c r="J71" s="46" t="n"/>
      <c r="K71" s="46" t="n"/>
      <c r="L71" s="95" t="n"/>
      <c r="M71" s="95" t="n"/>
      <c r="N71" s="95" t="n"/>
      <c r="O71" s="95" t="n"/>
      <c r="P71" s="95" t="n"/>
      <c r="Q71" s="46" t="n"/>
      <c r="R71" s="46" t="n"/>
      <c r="S71" s="46" t="n"/>
      <c r="T71" s="46" t="n"/>
      <c r="U71" s="46" t="n"/>
      <c r="V71" s="46" t="n"/>
      <c r="W71" s="46" t="n"/>
      <c r="X71" s="46" t="n"/>
      <c r="Y71" s="46" t="n"/>
      <c r="Z71" s="46" t="n"/>
    </row>
    <row r="72" ht="12.75" customHeight="1">
      <c r="A72" s="100" t="n"/>
      <c r="B72" s="101" t="n"/>
      <c r="C72" s="102" t="n"/>
      <c r="D72" s="99" t="n"/>
      <c r="E72" s="95" t="n"/>
      <c r="F72" s="95" t="n"/>
      <c r="G72" s="94" t="n"/>
      <c r="H72" s="46" t="n"/>
      <c r="I72" s="46" t="n"/>
      <c r="J72" s="46" t="n"/>
      <c r="K72" s="46" t="n"/>
      <c r="L72" s="95" t="n"/>
      <c r="M72" s="95" t="n"/>
      <c r="N72" s="95" t="n"/>
      <c r="O72" s="95" t="n"/>
      <c r="P72" s="95" t="n"/>
      <c r="Q72" s="46" t="n"/>
      <c r="R72" s="46" t="n"/>
      <c r="S72" s="46" t="n"/>
      <c r="T72" s="46" t="n"/>
      <c r="U72" s="46" t="n"/>
      <c r="V72" s="46" t="n"/>
      <c r="W72" s="46" t="n"/>
      <c r="X72" s="46" t="n"/>
      <c r="Y72" s="46" t="n"/>
      <c r="Z72" s="46" t="n"/>
    </row>
    <row r="73" ht="12.75" customHeight="1">
      <c r="A73" s="100" t="n"/>
      <c r="B73" s="101" t="n"/>
      <c r="C73" s="102" t="n"/>
      <c r="D73" s="99" t="n"/>
      <c r="E73" s="95" t="n"/>
      <c r="F73" s="95" t="n"/>
      <c r="G73" s="94" t="n"/>
      <c r="H73" s="46" t="n"/>
      <c r="I73" s="46" t="n"/>
      <c r="J73" s="46" t="n"/>
      <c r="K73" s="46" t="n"/>
      <c r="L73" s="95" t="n"/>
      <c r="M73" s="95" t="n"/>
      <c r="N73" s="95" t="n"/>
      <c r="O73" s="95" t="n"/>
      <c r="P73" s="95" t="n"/>
      <c r="Q73" s="46" t="n"/>
      <c r="R73" s="46" t="n"/>
      <c r="S73" s="46" t="n"/>
      <c r="T73" s="46" t="n"/>
      <c r="U73" s="46" t="n"/>
      <c r="V73" s="46" t="n"/>
      <c r="W73" s="46" t="n"/>
      <c r="X73" s="46" t="n"/>
      <c r="Y73" s="46" t="n"/>
      <c r="Z73" s="46" t="n"/>
    </row>
    <row r="74" ht="12.75" customHeight="1">
      <c r="A74" s="100" t="n"/>
      <c r="B74" s="101" t="n"/>
      <c r="C74" s="102" t="n"/>
      <c r="D74" s="99" t="n"/>
      <c r="E74" s="95" t="n"/>
      <c r="F74" s="95" t="n"/>
      <c r="G74" s="94" t="n"/>
      <c r="H74" s="46" t="n"/>
      <c r="I74" s="46" t="n"/>
      <c r="J74" s="46" t="n"/>
      <c r="K74" s="46" t="n"/>
      <c r="L74" s="95" t="n"/>
      <c r="M74" s="95" t="n"/>
      <c r="N74" s="95" t="n"/>
      <c r="O74" s="95" t="n"/>
      <c r="P74" s="95" t="n"/>
      <c r="Q74" s="46" t="n"/>
      <c r="R74" s="46" t="n"/>
      <c r="S74" s="46" t="n"/>
      <c r="T74" s="46" t="n"/>
      <c r="U74" s="46" t="n"/>
      <c r="V74" s="46" t="n"/>
      <c r="W74" s="46" t="n"/>
      <c r="X74" s="46" t="n"/>
      <c r="Y74" s="46" t="n"/>
      <c r="Z74" s="46" t="n"/>
    </row>
    <row r="75" ht="12.75" customHeight="1">
      <c r="A75" s="100" t="n"/>
      <c r="B75" s="101" t="n"/>
      <c r="C75" s="102" t="n"/>
      <c r="D75" s="70" t="n"/>
      <c r="E75" s="95" t="n"/>
      <c r="F75" s="95" t="n"/>
      <c r="G75" s="94" t="n"/>
      <c r="H75" s="46" t="n"/>
      <c r="I75" s="46" t="n"/>
      <c r="J75" s="46" t="n"/>
      <c r="K75" s="46" t="n"/>
      <c r="L75" s="95" t="n"/>
      <c r="M75" s="95" t="n"/>
      <c r="N75" s="95" t="n"/>
      <c r="O75" s="95" t="n"/>
      <c r="P75" s="95" t="n"/>
      <c r="Q75" s="46" t="n"/>
      <c r="R75" s="46" t="n"/>
      <c r="S75" s="46" t="n"/>
      <c r="T75" s="46" t="n"/>
      <c r="U75" s="46" t="n"/>
      <c r="V75" s="46" t="n"/>
      <c r="W75" s="46" t="n"/>
      <c r="X75" s="46" t="n"/>
      <c r="Y75" s="46" t="n"/>
      <c r="Z75" s="46" t="n"/>
    </row>
    <row r="76" ht="12.75" customHeight="1">
      <c r="A76" s="100" t="n"/>
      <c r="B76" s="101" t="n"/>
      <c r="C76" s="102" t="n"/>
      <c r="D76" s="99" t="n"/>
      <c r="E76" s="95" t="n"/>
      <c r="F76" s="95" t="n"/>
      <c r="G76" s="94" t="n"/>
      <c r="H76" s="46" t="n"/>
      <c r="I76" s="46" t="n"/>
      <c r="J76" s="46" t="n"/>
      <c r="K76" s="46" t="n"/>
      <c r="L76" s="95" t="n"/>
      <c r="M76" s="95" t="n"/>
      <c r="N76" s="95" t="n"/>
      <c r="O76" s="95" t="n"/>
      <c r="P76" s="95" t="n"/>
      <c r="Q76" s="46" t="n"/>
      <c r="R76" s="46" t="n"/>
      <c r="S76" s="46" t="n"/>
      <c r="T76" s="46" t="n"/>
      <c r="U76" s="46" t="n"/>
      <c r="V76" s="46" t="n"/>
      <c r="W76" s="46" t="n"/>
      <c r="X76" s="46" t="n"/>
      <c r="Y76" s="46" t="n"/>
      <c r="Z76" s="46" t="n"/>
    </row>
    <row r="77" ht="12.75" customHeight="1">
      <c r="A77" s="100" t="n"/>
      <c r="B77" s="101" t="n"/>
      <c r="C77" s="102" t="n"/>
      <c r="D77" s="99" t="n"/>
      <c r="E77" s="95" t="n"/>
      <c r="F77" s="95" t="n"/>
      <c r="G77" s="94" t="n"/>
      <c r="H77" s="46" t="n"/>
      <c r="I77" s="46" t="n"/>
      <c r="J77" s="46" t="n"/>
      <c r="K77" s="46" t="n"/>
      <c r="L77" s="95" t="n"/>
      <c r="M77" s="95" t="n"/>
      <c r="N77" s="95" t="n"/>
      <c r="O77" s="95" t="n"/>
      <c r="P77" s="95" t="n"/>
      <c r="Q77" s="46" t="n"/>
      <c r="R77" s="46" t="n"/>
      <c r="S77" s="46" t="n"/>
      <c r="T77" s="46" t="n"/>
      <c r="U77" s="46" t="n"/>
      <c r="V77" s="46" t="n"/>
      <c r="W77" s="46" t="n"/>
      <c r="X77" s="46" t="n"/>
      <c r="Y77" s="46" t="n"/>
      <c r="Z77" s="46" t="n"/>
    </row>
    <row r="78" ht="12.75" customHeight="1">
      <c r="A78" s="100" t="n"/>
      <c r="B78" s="101" t="n"/>
      <c r="C78" s="102" t="n"/>
      <c r="D78" s="99" t="n"/>
      <c r="E78" s="95" t="n"/>
      <c r="F78" s="95" t="n"/>
      <c r="G78" s="94" t="n"/>
      <c r="H78" s="46" t="n"/>
      <c r="I78" s="46" t="n"/>
      <c r="J78" s="46" t="n"/>
      <c r="K78" s="46" t="n"/>
      <c r="L78" s="95" t="n"/>
      <c r="M78" s="95" t="n"/>
      <c r="N78" s="95" t="n"/>
      <c r="O78" s="95" t="n"/>
      <c r="P78" s="95" t="n"/>
      <c r="Q78" s="46" t="n"/>
      <c r="R78" s="46" t="n"/>
      <c r="S78" s="46" t="n"/>
      <c r="T78" s="46" t="n"/>
      <c r="U78" s="46" t="n"/>
      <c r="V78" s="46" t="n"/>
      <c r="W78" s="46" t="n"/>
      <c r="X78" s="46" t="n"/>
      <c r="Y78" s="46" t="n"/>
      <c r="Z78" s="46" t="n"/>
    </row>
    <row r="79" ht="12.75" customHeight="1">
      <c r="A79" s="100" t="n"/>
      <c r="B79" s="101" t="n"/>
      <c r="C79" s="102" t="n"/>
      <c r="D79" s="99" t="n"/>
      <c r="E79" s="95" t="n"/>
      <c r="F79" s="95" t="n"/>
      <c r="G79" s="94" t="n"/>
      <c r="H79" s="46" t="n"/>
      <c r="I79" s="46" t="n"/>
      <c r="J79" s="46" t="n"/>
      <c r="K79" s="46" t="n"/>
      <c r="L79" s="95" t="n"/>
      <c r="M79" s="95" t="n"/>
      <c r="N79" s="95" t="n"/>
      <c r="O79" s="95" t="n"/>
      <c r="P79" s="95" t="n"/>
      <c r="Q79" s="46" t="n"/>
      <c r="R79" s="46" t="n"/>
      <c r="S79" s="46" t="n"/>
      <c r="T79" s="46" t="n"/>
      <c r="U79" s="46" t="n"/>
      <c r="V79" s="46" t="n"/>
      <c r="W79" s="46" t="n"/>
      <c r="X79" s="46" t="n"/>
      <c r="Y79" s="46" t="n"/>
      <c r="Z79" s="46" t="n"/>
    </row>
    <row r="80" ht="12.75" customHeight="1">
      <c r="A80" s="100" t="n"/>
      <c r="B80" s="101" t="n"/>
      <c r="C80" s="102" t="n"/>
      <c r="D80" s="99" t="n"/>
      <c r="E80" s="95" t="n"/>
      <c r="F80" s="95" t="n"/>
      <c r="G80" s="94" t="n"/>
      <c r="H80" s="46" t="n"/>
      <c r="I80" s="46" t="n"/>
      <c r="J80" s="46" t="n"/>
      <c r="K80" s="46" t="n"/>
      <c r="L80" s="95" t="n"/>
      <c r="M80" s="95" t="n"/>
      <c r="N80" s="95" t="n"/>
      <c r="O80" s="95" t="n"/>
      <c r="P80" s="95" t="n"/>
      <c r="Q80" s="46" t="n"/>
      <c r="R80" s="46" t="n"/>
      <c r="S80" s="46" t="n"/>
      <c r="T80" s="46" t="n"/>
      <c r="U80" s="46" t="n"/>
      <c r="V80" s="46" t="n"/>
      <c r="W80" s="46" t="n"/>
      <c r="X80" s="46" t="n"/>
      <c r="Y80" s="46" t="n"/>
      <c r="Z80" s="46" t="n"/>
    </row>
    <row r="81" ht="12.75" customHeight="1">
      <c r="A81" s="100" t="n"/>
      <c r="B81" s="101" t="n"/>
      <c r="C81" s="102" t="n"/>
      <c r="D81" s="99" t="n"/>
      <c r="E81" s="95" t="n"/>
      <c r="F81" s="95" t="n"/>
      <c r="G81" s="94" t="n"/>
      <c r="H81" s="46" t="n"/>
      <c r="I81" s="46" t="n"/>
      <c r="J81" s="46" t="n"/>
      <c r="K81" s="46" t="n"/>
      <c r="L81" s="95" t="n"/>
      <c r="M81" s="95" t="n"/>
      <c r="N81" s="95" t="n"/>
      <c r="O81" s="95" t="n"/>
      <c r="P81" s="95" t="n"/>
      <c r="Q81" s="46" t="n"/>
      <c r="R81" s="46" t="n"/>
      <c r="S81" s="46" t="n"/>
      <c r="T81" s="46" t="n"/>
      <c r="U81" s="46" t="n"/>
      <c r="V81" s="46" t="n"/>
      <c r="W81" s="46" t="n"/>
      <c r="X81" s="46" t="n"/>
      <c r="Y81" s="46" t="n"/>
      <c r="Z81" s="46" t="n"/>
    </row>
    <row r="82" ht="12.75" customHeight="1">
      <c r="A82" s="100" t="n"/>
      <c r="B82" s="101" t="n"/>
      <c r="C82" s="102" t="n"/>
      <c r="D82" s="99" t="n"/>
      <c r="E82" s="95" t="n"/>
      <c r="F82" s="95" t="n"/>
      <c r="G82" s="94" t="n"/>
      <c r="H82" s="46" t="n"/>
      <c r="I82" s="46" t="n"/>
      <c r="J82" s="46" t="n"/>
      <c r="K82" s="46" t="n"/>
      <c r="L82" s="95" t="n"/>
      <c r="M82" s="95" t="n"/>
      <c r="N82" s="95" t="n"/>
      <c r="O82" s="95" t="n"/>
      <c r="P82" s="95" t="n"/>
      <c r="Q82" s="46" t="n"/>
      <c r="R82" s="46" t="n"/>
      <c r="S82" s="46" t="n"/>
      <c r="T82" s="46" t="n"/>
      <c r="U82" s="46" t="n"/>
      <c r="V82" s="46" t="n"/>
      <c r="W82" s="46" t="n"/>
      <c r="X82" s="46" t="n"/>
      <c r="Y82" s="46" t="n"/>
      <c r="Z82" s="46" t="n"/>
    </row>
    <row r="83" ht="12.75" customHeight="1">
      <c r="A83" s="100" t="n"/>
      <c r="B83" s="101" t="n"/>
      <c r="C83" s="102" t="n"/>
      <c r="D83" s="99" t="n"/>
      <c r="E83" s="95" t="n"/>
      <c r="F83" s="95" t="n"/>
      <c r="G83" s="94" t="n"/>
      <c r="H83" s="46" t="n"/>
      <c r="I83" s="46" t="n"/>
      <c r="J83" s="46" t="n"/>
      <c r="K83" s="46" t="n"/>
      <c r="L83" s="95" t="n"/>
      <c r="M83" s="95" t="n"/>
      <c r="N83" s="95" t="n"/>
      <c r="O83" s="95" t="n"/>
      <c r="P83" s="95" t="n"/>
      <c r="Q83" s="46" t="n"/>
      <c r="R83" s="46" t="n"/>
      <c r="S83" s="46" t="n"/>
      <c r="T83" s="46" t="n"/>
      <c r="U83" s="46" t="n"/>
      <c r="V83" s="46" t="n"/>
      <c r="W83" s="46" t="n"/>
      <c r="X83" s="46" t="n"/>
      <c r="Y83" s="46" t="n"/>
      <c r="Z83" s="46" t="n"/>
    </row>
    <row r="84" ht="12.75" customHeight="1">
      <c r="A84" s="100" t="n"/>
      <c r="B84" s="101" t="n"/>
      <c r="C84" s="102" t="n"/>
      <c r="D84" s="99" t="n"/>
      <c r="E84" s="95" t="n"/>
      <c r="F84" s="95" t="n"/>
      <c r="G84" s="94" t="n"/>
      <c r="H84" s="46" t="n"/>
      <c r="I84" s="46" t="n"/>
      <c r="J84" s="46" t="n"/>
      <c r="K84" s="46" t="n"/>
      <c r="L84" s="95" t="n"/>
      <c r="M84" s="95" t="n"/>
      <c r="N84" s="95" t="n"/>
      <c r="O84" s="95" t="n"/>
      <c r="P84" s="95" t="n"/>
      <c r="Q84" s="46" t="n"/>
      <c r="R84" s="46" t="n"/>
      <c r="S84" s="46" t="n"/>
      <c r="T84" s="46" t="n"/>
      <c r="U84" s="46" t="n"/>
      <c r="V84" s="46" t="n"/>
      <c r="W84" s="46" t="n"/>
      <c r="X84" s="46" t="n"/>
      <c r="Y84" s="46" t="n"/>
      <c r="Z84" s="46" t="n"/>
    </row>
    <row r="85" ht="12.75" customHeight="1">
      <c r="A85" s="100" t="n"/>
      <c r="B85" s="101" t="n"/>
      <c r="C85" s="102" t="n"/>
      <c r="D85" s="99" t="n"/>
      <c r="E85" s="95" t="n"/>
      <c r="F85" s="95" t="n"/>
      <c r="G85" s="94" t="n"/>
      <c r="H85" s="46" t="n"/>
      <c r="I85" s="46" t="n"/>
      <c r="J85" s="46" t="n"/>
      <c r="K85" s="46" t="n"/>
      <c r="L85" s="95" t="n"/>
      <c r="M85" s="95" t="n"/>
      <c r="N85" s="95" t="n"/>
      <c r="O85" s="95" t="n"/>
      <c r="P85" s="95" t="n"/>
      <c r="Q85" s="46" t="n"/>
      <c r="R85" s="46" t="n"/>
      <c r="S85" s="46" t="n"/>
      <c r="T85" s="46" t="n"/>
      <c r="U85" s="46" t="n"/>
      <c r="V85" s="46" t="n"/>
      <c r="W85" s="46" t="n"/>
      <c r="X85" s="46" t="n"/>
      <c r="Y85" s="46" t="n"/>
      <c r="Z85" s="46" t="n"/>
    </row>
    <row r="86" ht="12.75" customHeight="1">
      <c r="A86" s="100" t="n"/>
      <c r="B86" s="101" t="n"/>
      <c r="C86" s="102" t="n"/>
      <c r="D86" s="99" t="n"/>
      <c r="E86" s="95" t="n"/>
      <c r="F86" s="95" t="n"/>
      <c r="G86" s="94" t="n"/>
      <c r="H86" s="46" t="n"/>
      <c r="I86" s="46" t="n"/>
      <c r="J86" s="46" t="n"/>
      <c r="K86" s="46" t="n"/>
      <c r="L86" s="95" t="n"/>
      <c r="M86" s="95" t="n"/>
      <c r="N86" s="95" t="n"/>
      <c r="O86" s="95" t="n"/>
      <c r="P86" s="95" t="n"/>
      <c r="Q86" s="46" t="n"/>
      <c r="R86" s="46" t="n"/>
      <c r="S86" s="46" t="n"/>
      <c r="T86" s="46" t="n"/>
      <c r="U86" s="46" t="n"/>
      <c r="V86" s="46" t="n"/>
      <c r="W86" s="46" t="n"/>
      <c r="X86" s="46" t="n"/>
      <c r="Y86" s="46" t="n"/>
      <c r="Z86" s="46" t="n"/>
    </row>
    <row r="87" ht="12.75" customHeight="1">
      <c r="A87" s="100" t="n"/>
      <c r="B87" s="101" t="n"/>
      <c r="C87" s="102" t="n"/>
      <c r="D87" s="99" t="n"/>
      <c r="E87" s="95" t="n"/>
      <c r="F87" s="95" t="n"/>
      <c r="G87" s="94" t="n"/>
      <c r="H87" s="46" t="n"/>
      <c r="I87" s="46" t="n"/>
      <c r="J87" s="46" t="n"/>
      <c r="K87" s="46" t="n"/>
      <c r="L87" s="95" t="n"/>
      <c r="M87" s="95" t="n"/>
      <c r="N87" s="95" t="n"/>
      <c r="O87" s="95" t="n"/>
      <c r="P87" s="95" t="n"/>
      <c r="Q87" s="46" t="n"/>
      <c r="R87" s="46" t="n"/>
      <c r="S87" s="46" t="n"/>
      <c r="T87" s="46" t="n"/>
      <c r="U87" s="46" t="n"/>
      <c r="V87" s="46" t="n"/>
      <c r="W87" s="46" t="n"/>
      <c r="X87" s="46" t="n"/>
      <c r="Y87" s="46" t="n"/>
      <c r="Z87" s="46" t="n"/>
    </row>
    <row r="88" ht="12.75" customHeight="1">
      <c r="A88" s="100" t="n"/>
      <c r="B88" s="101" t="n"/>
      <c r="C88" s="102" t="n"/>
      <c r="D88" s="99" t="n"/>
      <c r="E88" s="95" t="n"/>
      <c r="F88" s="95" t="n"/>
      <c r="G88" s="94" t="n"/>
      <c r="H88" s="46" t="n"/>
      <c r="I88" s="46" t="n"/>
      <c r="J88" s="46" t="n"/>
      <c r="K88" s="46" t="n"/>
      <c r="L88" s="95" t="n"/>
      <c r="M88" s="95" t="n"/>
      <c r="N88" s="95" t="n"/>
      <c r="O88" s="95" t="n"/>
      <c r="P88" s="95" t="n"/>
      <c r="Q88" s="46" t="n"/>
      <c r="R88" s="46" t="n"/>
      <c r="S88" s="46" t="n"/>
      <c r="T88" s="46" t="n"/>
      <c r="U88" s="46" t="n"/>
      <c r="V88" s="46" t="n"/>
      <c r="W88" s="46" t="n"/>
      <c r="X88" s="46" t="n"/>
      <c r="Y88" s="46" t="n"/>
      <c r="Z88" s="46" t="n"/>
    </row>
    <row r="89" ht="12.75" customHeight="1">
      <c r="A89" s="100" t="n"/>
      <c r="B89" s="101" t="n"/>
      <c r="C89" s="102" t="n"/>
      <c r="D89" s="99" t="n"/>
      <c r="E89" s="95" t="n"/>
      <c r="F89" s="95" t="n"/>
      <c r="G89" s="94" t="n"/>
      <c r="H89" s="46" t="n"/>
      <c r="I89" s="46" t="n"/>
      <c r="J89" s="46" t="n"/>
      <c r="K89" s="46" t="n"/>
      <c r="L89" s="95" t="n"/>
      <c r="M89" s="95" t="n"/>
      <c r="N89" s="95" t="n"/>
      <c r="O89" s="95" t="n"/>
      <c r="P89" s="95" t="n"/>
      <c r="Q89" s="46" t="n"/>
      <c r="R89" s="46" t="n"/>
      <c r="S89" s="46" t="n"/>
      <c r="T89" s="46" t="n"/>
      <c r="U89" s="46" t="n"/>
      <c r="V89" s="46" t="n"/>
      <c r="W89" s="46" t="n"/>
      <c r="X89" s="46" t="n"/>
      <c r="Y89" s="46" t="n"/>
      <c r="Z89" s="46" t="n"/>
    </row>
    <row r="90" ht="12.75" customHeight="1">
      <c r="A90" s="100" t="n"/>
      <c r="B90" s="101" t="n"/>
      <c r="C90" s="102" t="n"/>
      <c r="D90" s="99" t="n"/>
      <c r="E90" s="95" t="n"/>
      <c r="F90" s="95" t="n"/>
      <c r="G90" s="94" t="n"/>
      <c r="H90" s="46" t="n"/>
      <c r="I90" s="46" t="n"/>
      <c r="J90" s="46" t="n"/>
      <c r="K90" s="46" t="n"/>
      <c r="L90" s="95" t="n"/>
      <c r="M90" s="95" t="n"/>
      <c r="N90" s="95" t="n"/>
      <c r="O90" s="95" t="n"/>
      <c r="P90" s="95" t="n"/>
      <c r="Q90" s="46" t="n"/>
      <c r="R90" s="46" t="n"/>
      <c r="S90" s="46" t="n"/>
      <c r="T90" s="46" t="n"/>
      <c r="U90" s="46" t="n"/>
      <c r="V90" s="46" t="n"/>
      <c r="W90" s="46" t="n"/>
      <c r="X90" s="46" t="n"/>
      <c r="Y90" s="46" t="n"/>
      <c r="Z90" s="46" t="n"/>
    </row>
    <row r="91" ht="12.75" customHeight="1">
      <c r="A91" s="100" t="n"/>
      <c r="B91" s="101" t="n"/>
      <c r="C91" s="102" t="n"/>
      <c r="D91" s="99" t="n"/>
      <c r="E91" s="95" t="n"/>
      <c r="F91" s="95" t="n"/>
      <c r="G91" s="94" t="n"/>
      <c r="H91" s="46" t="n"/>
      <c r="I91" s="46" t="n"/>
      <c r="J91" s="46" t="n"/>
      <c r="K91" s="46" t="n"/>
      <c r="L91" s="95" t="n"/>
      <c r="M91" s="95" t="n"/>
      <c r="N91" s="95" t="n"/>
      <c r="O91" s="95" t="n"/>
      <c r="P91" s="95" t="n"/>
      <c r="Q91" s="46" t="n"/>
      <c r="R91" s="46" t="n"/>
      <c r="S91" s="46" t="n"/>
      <c r="T91" s="46" t="n"/>
      <c r="U91" s="46" t="n"/>
      <c r="V91" s="46" t="n"/>
      <c r="W91" s="46" t="n"/>
      <c r="X91" s="46" t="n"/>
      <c r="Y91" s="46" t="n"/>
      <c r="Z91" s="46" t="n"/>
    </row>
    <row r="92" ht="12.75" customHeight="1">
      <c r="A92" s="100" t="n"/>
      <c r="B92" s="101" t="n"/>
      <c r="C92" s="102" t="n"/>
      <c r="D92" s="99" t="n"/>
      <c r="E92" s="95" t="n"/>
      <c r="F92" s="95" t="n"/>
      <c r="G92" s="94" t="n"/>
      <c r="H92" s="46" t="n"/>
      <c r="I92" s="46" t="n"/>
      <c r="J92" s="46" t="n"/>
      <c r="K92" s="46" t="n"/>
      <c r="L92" s="95" t="n"/>
      <c r="M92" s="95" t="n"/>
      <c r="N92" s="95" t="n"/>
      <c r="O92" s="95" t="n"/>
      <c r="P92" s="95" t="n"/>
      <c r="Q92" s="46" t="n"/>
      <c r="R92" s="46" t="n"/>
      <c r="S92" s="46" t="n"/>
      <c r="T92" s="46" t="n"/>
      <c r="U92" s="46" t="n"/>
      <c r="V92" s="46" t="n"/>
      <c r="W92" s="46" t="n"/>
      <c r="X92" s="46" t="n"/>
      <c r="Y92" s="46" t="n"/>
      <c r="Z92" s="46" t="n"/>
    </row>
    <row r="93" ht="12.75" customHeight="1">
      <c r="A93" s="100" t="n"/>
      <c r="B93" s="101" t="n"/>
      <c r="C93" s="102" t="n"/>
      <c r="D93" s="99" t="n"/>
      <c r="E93" s="95" t="n"/>
      <c r="F93" s="95" t="n"/>
      <c r="G93" s="94" t="n"/>
      <c r="H93" s="46" t="n"/>
      <c r="I93" s="46" t="n"/>
      <c r="J93" s="46" t="n"/>
      <c r="K93" s="46" t="n"/>
      <c r="L93" s="95" t="n"/>
      <c r="M93" s="95" t="n"/>
      <c r="N93" s="95" t="n"/>
      <c r="O93" s="95" t="n"/>
      <c r="P93" s="95" t="n"/>
      <c r="Q93" s="46" t="n"/>
      <c r="R93" s="46" t="n"/>
      <c r="S93" s="46" t="n"/>
      <c r="T93" s="46" t="n"/>
      <c r="U93" s="46" t="n"/>
      <c r="V93" s="46" t="n"/>
      <c r="W93" s="46" t="n"/>
      <c r="X93" s="46" t="n"/>
      <c r="Y93" s="46" t="n"/>
      <c r="Z93" s="46" t="n"/>
    </row>
    <row r="94" ht="12.75" customHeight="1">
      <c r="A94" s="100" t="n"/>
      <c r="B94" s="101" t="n"/>
      <c r="C94" s="102" t="n"/>
      <c r="D94" s="99" t="n"/>
      <c r="E94" s="95" t="n"/>
      <c r="F94" s="95" t="n"/>
      <c r="G94" s="94" t="n"/>
      <c r="H94" s="46" t="n"/>
      <c r="I94" s="46" t="n"/>
      <c r="J94" s="46" t="n"/>
      <c r="K94" s="46" t="n"/>
      <c r="L94" s="95" t="n"/>
      <c r="M94" s="95" t="n"/>
      <c r="N94" s="95" t="n"/>
      <c r="O94" s="95" t="n"/>
      <c r="P94" s="95" t="n"/>
      <c r="Q94" s="46" t="n"/>
      <c r="R94" s="46" t="n"/>
      <c r="S94" s="46" t="n"/>
      <c r="T94" s="46" t="n"/>
      <c r="U94" s="46" t="n"/>
      <c r="V94" s="46" t="n"/>
      <c r="W94" s="46" t="n"/>
      <c r="X94" s="46" t="n"/>
      <c r="Y94" s="46" t="n"/>
      <c r="Z94" s="46" t="n"/>
    </row>
    <row r="95" ht="12.75" customHeight="1">
      <c r="A95" s="100" t="n"/>
      <c r="B95" s="101" t="n"/>
      <c r="C95" s="102" t="n"/>
      <c r="D95" s="99" t="n"/>
      <c r="E95" s="95" t="n"/>
      <c r="F95" s="95" t="n"/>
      <c r="G95" s="94" t="n"/>
      <c r="H95" s="46" t="n"/>
      <c r="I95" s="46" t="n"/>
      <c r="J95" s="46" t="n"/>
      <c r="K95" s="46" t="n"/>
      <c r="L95" s="95" t="n"/>
      <c r="M95" s="95" t="n"/>
      <c r="N95" s="95" t="n"/>
      <c r="O95" s="95" t="n"/>
      <c r="P95" s="95" t="n"/>
      <c r="Q95" s="46" t="n"/>
      <c r="R95" s="46" t="n"/>
      <c r="S95" s="46" t="n"/>
      <c r="T95" s="46" t="n"/>
      <c r="U95" s="46" t="n"/>
      <c r="V95" s="46" t="n"/>
      <c r="W95" s="46" t="n"/>
      <c r="X95" s="46" t="n"/>
      <c r="Y95" s="46" t="n"/>
      <c r="Z95" s="46" t="n"/>
    </row>
    <row r="96" ht="12.75" customHeight="1">
      <c r="A96" s="100" t="n"/>
      <c r="B96" s="101" t="n"/>
      <c r="C96" s="102" t="n"/>
      <c r="D96" s="99" t="n"/>
      <c r="E96" s="95" t="n"/>
      <c r="F96" s="95" t="n"/>
      <c r="G96" s="94" t="n"/>
      <c r="H96" s="46" t="n"/>
      <c r="I96" s="46" t="n"/>
      <c r="J96" s="46" t="n"/>
      <c r="K96" s="46" t="n"/>
      <c r="L96" s="95" t="n"/>
      <c r="M96" s="95" t="n"/>
      <c r="N96" s="95" t="n"/>
      <c r="O96" s="95" t="n"/>
      <c r="P96" s="95" t="n"/>
      <c r="Q96" s="46" t="n"/>
      <c r="R96" s="46" t="n"/>
      <c r="S96" s="46" t="n"/>
      <c r="T96" s="46" t="n"/>
      <c r="U96" s="46" t="n"/>
      <c r="V96" s="46" t="n"/>
      <c r="W96" s="46" t="n"/>
      <c r="X96" s="46" t="n"/>
      <c r="Y96" s="46" t="n"/>
      <c r="Z96" s="46" t="n"/>
    </row>
    <row r="97" ht="12.75" customHeight="1">
      <c r="A97" s="100" t="n"/>
      <c r="B97" s="101" t="n"/>
      <c r="C97" s="102" t="n"/>
      <c r="D97" s="99" t="n"/>
      <c r="E97" s="95" t="n"/>
      <c r="F97" s="95" t="n"/>
      <c r="G97" s="94" t="n"/>
      <c r="H97" s="46" t="n"/>
      <c r="I97" s="46" t="n"/>
      <c r="J97" s="46" t="n"/>
      <c r="K97" s="46" t="n"/>
      <c r="L97" s="95" t="n"/>
      <c r="M97" s="95" t="n"/>
      <c r="N97" s="95" t="n"/>
      <c r="O97" s="95" t="n"/>
      <c r="P97" s="95" t="n"/>
      <c r="Q97" s="46" t="n"/>
      <c r="R97" s="46" t="n"/>
      <c r="S97" s="46" t="n"/>
      <c r="T97" s="46" t="n"/>
      <c r="U97" s="46" t="n"/>
      <c r="V97" s="46" t="n"/>
      <c r="W97" s="46" t="n"/>
      <c r="X97" s="46" t="n"/>
      <c r="Y97" s="46" t="n"/>
      <c r="Z97" s="46" t="n"/>
    </row>
    <row r="98" ht="12.75" customHeight="1">
      <c r="A98" s="100" t="n"/>
      <c r="B98" s="101" t="n"/>
      <c r="C98" s="102" t="n"/>
      <c r="D98" s="99" t="n"/>
      <c r="E98" s="95" t="n"/>
      <c r="F98" s="95" t="n"/>
      <c r="G98" s="94" t="n"/>
      <c r="H98" s="46" t="n"/>
      <c r="I98" s="46" t="n"/>
      <c r="J98" s="46" t="n"/>
      <c r="K98" s="46" t="n"/>
      <c r="L98" s="95" t="n"/>
      <c r="M98" s="95" t="n"/>
      <c r="N98" s="95" t="n"/>
      <c r="O98" s="95" t="n"/>
      <c r="P98" s="95" t="n"/>
      <c r="Q98" s="46" t="n"/>
      <c r="R98" s="46" t="n"/>
      <c r="S98" s="46" t="n"/>
      <c r="T98" s="46" t="n"/>
      <c r="U98" s="46" t="n"/>
      <c r="V98" s="46" t="n"/>
      <c r="W98" s="46" t="n"/>
      <c r="X98" s="46" t="n"/>
      <c r="Y98" s="46" t="n"/>
      <c r="Z98" s="46" t="n"/>
    </row>
    <row r="99" ht="12.75" customHeight="1">
      <c r="A99" s="100" t="n"/>
      <c r="B99" s="101" t="n"/>
      <c r="C99" s="102" t="n"/>
      <c r="D99" s="99" t="n"/>
      <c r="E99" s="95" t="n"/>
      <c r="F99" s="95" t="n"/>
      <c r="G99" s="94" t="n"/>
      <c r="H99" s="46" t="n"/>
      <c r="I99" s="46" t="n"/>
      <c r="J99" s="46" t="n"/>
      <c r="K99" s="46" t="n"/>
      <c r="L99" s="95" t="n"/>
      <c r="M99" s="95" t="n"/>
      <c r="N99" s="95" t="n"/>
      <c r="O99" s="95" t="n"/>
      <c r="P99" s="95" t="n"/>
      <c r="Q99" s="46" t="n"/>
      <c r="R99" s="46" t="n"/>
      <c r="S99" s="46" t="n"/>
      <c r="T99" s="46" t="n"/>
      <c r="U99" s="46" t="n"/>
      <c r="V99" s="46" t="n"/>
      <c r="W99" s="46" t="n"/>
      <c r="X99" s="46" t="n"/>
      <c r="Y99" s="46" t="n"/>
      <c r="Z99" s="46" t="n"/>
    </row>
    <row r="100" ht="12.75" customHeight="1">
      <c r="A100" s="100" t="n"/>
      <c r="B100" s="101" t="n"/>
      <c r="C100" s="102" t="n"/>
      <c r="D100" s="99" t="n"/>
      <c r="E100" s="95" t="n"/>
      <c r="F100" s="95" t="n"/>
      <c r="G100" s="94" t="n"/>
      <c r="H100" s="46" t="n"/>
      <c r="I100" s="46" t="n"/>
      <c r="J100" s="46" t="n"/>
      <c r="K100" s="46" t="n"/>
      <c r="L100" s="95" t="n"/>
      <c r="M100" s="95" t="n"/>
      <c r="N100" s="95" t="n"/>
      <c r="O100" s="95" t="n"/>
      <c r="P100" s="95" t="n"/>
      <c r="Q100" s="46" t="n"/>
      <c r="R100" s="46" t="n"/>
      <c r="S100" s="46" t="n"/>
      <c r="T100" s="46" t="n"/>
      <c r="U100" s="46" t="n"/>
      <c r="V100" s="46" t="n"/>
      <c r="W100" s="46" t="n"/>
      <c r="X100" s="46" t="n"/>
      <c r="Y100" s="46" t="n"/>
      <c r="Z100" s="46" t="n"/>
    </row>
    <row r="101" ht="12.75" customHeight="1">
      <c r="A101" s="100" t="n"/>
      <c r="B101" s="101" t="n"/>
      <c r="C101" s="102" t="n"/>
      <c r="D101" s="99" t="n"/>
      <c r="E101" s="95" t="n"/>
      <c r="F101" s="95" t="n"/>
      <c r="G101" s="94" t="n"/>
      <c r="H101" s="46" t="n"/>
      <c r="I101" s="46" t="n"/>
      <c r="J101" s="46" t="n"/>
      <c r="K101" s="46" t="n"/>
      <c r="L101" s="95" t="n"/>
      <c r="M101" s="95" t="n"/>
      <c r="N101" s="95" t="n"/>
      <c r="O101" s="95" t="n"/>
      <c r="P101" s="95" t="n"/>
      <c r="Q101" s="46" t="n"/>
      <c r="R101" s="46" t="n"/>
      <c r="S101" s="46" t="n"/>
      <c r="T101" s="46" t="n"/>
      <c r="U101" s="46" t="n"/>
      <c r="V101" s="46" t="n"/>
      <c r="W101" s="46" t="n"/>
      <c r="X101" s="46" t="n"/>
      <c r="Y101" s="46" t="n"/>
      <c r="Z101" s="46" t="n"/>
    </row>
    <row r="102" ht="12.75" customHeight="1">
      <c r="A102" s="100" t="n"/>
      <c r="B102" s="101" t="n"/>
      <c r="C102" s="102" t="n"/>
      <c r="D102" s="99" t="n"/>
      <c r="E102" s="95" t="n"/>
      <c r="F102" s="95" t="n"/>
      <c r="G102" s="94" t="n"/>
      <c r="H102" s="46" t="n"/>
      <c r="I102" s="46" t="n"/>
      <c r="J102" s="46" t="n"/>
      <c r="K102" s="46" t="n"/>
      <c r="L102" s="95" t="n"/>
      <c r="M102" s="95" t="n"/>
      <c r="N102" s="95" t="n"/>
      <c r="O102" s="95" t="n"/>
      <c r="P102" s="95" t="n"/>
      <c r="Q102" s="46" t="n"/>
      <c r="R102" s="46" t="n"/>
      <c r="S102" s="46" t="n"/>
      <c r="T102" s="46" t="n"/>
      <c r="U102" s="46" t="n"/>
      <c r="V102" s="46" t="n"/>
      <c r="W102" s="46" t="n"/>
      <c r="X102" s="46" t="n"/>
      <c r="Y102" s="46" t="n"/>
      <c r="Z102" s="46" t="n"/>
    </row>
    <row r="103" ht="12.75" customHeight="1">
      <c r="A103" s="100" t="n"/>
      <c r="B103" s="101" t="n"/>
      <c r="C103" s="102" t="n"/>
      <c r="D103" s="99" t="n"/>
      <c r="E103" s="95" t="n"/>
      <c r="F103" s="95" t="n"/>
      <c r="G103" s="94" t="n"/>
      <c r="H103" s="46" t="n"/>
      <c r="I103" s="46" t="n"/>
      <c r="J103" s="46" t="n"/>
      <c r="K103" s="46" t="n"/>
      <c r="L103" s="95" t="n"/>
      <c r="M103" s="95" t="n"/>
      <c r="N103" s="95" t="n"/>
      <c r="O103" s="95" t="n"/>
      <c r="P103" s="95" t="n"/>
      <c r="Q103" s="46" t="n"/>
      <c r="R103" s="46" t="n"/>
      <c r="S103" s="46" t="n"/>
      <c r="T103" s="46" t="n"/>
      <c r="U103" s="46" t="n"/>
      <c r="V103" s="46" t="n"/>
      <c r="W103" s="46" t="n"/>
      <c r="X103" s="46" t="n"/>
      <c r="Y103" s="46" t="n"/>
      <c r="Z103" s="46" t="n"/>
    </row>
    <row r="104" ht="12.75" customHeight="1">
      <c r="A104" s="100" t="n"/>
      <c r="B104" s="101" t="n"/>
      <c r="C104" s="102" t="n"/>
      <c r="D104" s="99" t="n"/>
      <c r="E104" s="95" t="n"/>
      <c r="F104" s="95" t="n"/>
      <c r="G104" s="94" t="n"/>
      <c r="H104" s="46" t="n"/>
      <c r="I104" s="46" t="n"/>
      <c r="J104" s="46" t="n"/>
      <c r="K104" s="46" t="n"/>
      <c r="L104" s="95" t="n"/>
      <c r="M104" s="95" t="n"/>
      <c r="N104" s="95" t="n"/>
      <c r="O104" s="95" t="n"/>
      <c r="P104" s="95" t="n"/>
      <c r="Q104" s="46" t="n"/>
      <c r="R104" s="46" t="n"/>
      <c r="S104" s="46" t="n"/>
      <c r="T104" s="46" t="n"/>
      <c r="U104" s="46" t="n"/>
      <c r="V104" s="46" t="n"/>
      <c r="W104" s="46" t="n"/>
      <c r="X104" s="46" t="n"/>
      <c r="Y104" s="46" t="n"/>
      <c r="Z104" s="46" t="n"/>
    </row>
    <row r="105" ht="12.75" customHeight="1">
      <c r="A105" s="100" t="n"/>
      <c r="B105" s="101" t="n"/>
      <c r="C105" s="102" t="n"/>
      <c r="D105" s="99" t="n"/>
      <c r="E105" s="95" t="n"/>
      <c r="F105" s="95" t="n"/>
      <c r="G105" s="94" t="n"/>
      <c r="H105" s="46" t="n"/>
      <c r="I105" s="46" t="n"/>
      <c r="J105" s="46" t="n"/>
      <c r="K105" s="46" t="n"/>
      <c r="L105" s="95" t="n"/>
      <c r="M105" s="95" t="n"/>
      <c r="N105" s="95" t="n"/>
      <c r="O105" s="95" t="n"/>
      <c r="P105" s="95" t="n"/>
      <c r="Q105" s="46" t="n"/>
      <c r="R105" s="46" t="n"/>
      <c r="S105" s="46" t="n"/>
      <c r="T105" s="46" t="n"/>
      <c r="U105" s="46" t="n"/>
      <c r="V105" s="46" t="n"/>
      <c r="W105" s="46" t="n"/>
      <c r="X105" s="46" t="n"/>
      <c r="Y105" s="46" t="n"/>
      <c r="Z105" s="46" t="n"/>
    </row>
    <row r="106" ht="12.75" customHeight="1">
      <c r="A106" s="100" t="n"/>
      <c r="B106" s="101" t="n"/>
      <c r="C106" s="102" t="n"/>
      <c r="D106" s="99" t="n"/>
      <c r="E106" s="95" t="n"/>
      <c r="F106" s="95" t="n"/>
      <c r="G106" s="94" t="n"/>
      <c r="H106" s="46" t="n"/>
      <c r="I106" s="46" t="n"/>
      <c r="J106" s="46" t="n"/>
      <c r="K106" s="46" t="n"/>
      <c r="L106" s="95" t="n"/>
      <c r="M106" s="95" t="n"/>
      <c r="N106" s="95" t="n"/>
      <c r="O106" s="95" t="n"/>
      <c r="P106" s="95" t="n"/>
      <c r="Q106" s="46" t="n"/>
      <c r="R106" s="46" t="n"/>
      <c r="S106" s="46" t="n"/>
      <c r="T106" s="46" t="n"/>
      <c r="U106" s="46" t="n"/>
      <c r="V106" s="46" t="n"/>
      <c r="W106" s="46" t="n"/>
      <c r="X106" s="46" t="n"/>
      <c r="Y106" s="46" t="n"/>
      <c r="Z106" s="46" t="n"/>
    </row>
    <row r="107" ht="12.75" customHeight="1">
      <c r="A107" s="100" t="n"/>
      <c r="B107" s="101" t="n"/>
      <c r="C107" s="102" t="n"/>
      <c r="D107" s="99" t="n"/>
      <c r="E107" s="95" t="n"/>
      <c r="F107" s="95" t="n"/>
      <c r="G107" s="94" t="n"/>
      <c r="H107" s="46" t="n"/>
      <c r="I107" s="46" t="n"/>
      <c r="J107" s="46" t="n"/>
      <c r="K107" s="46" t="n"/>
      <c r="L107" s="95" t="n"/>
      <c r="M107" s="95" t="n"/>
      <c r="N107" s="95" t="n"/>
      <c r="O107" s="95" t="n"/>
      <c r="P107" s="95" t="n"/>
      <c r="Q107" s="46" t="n"/>
      <c r="R107" s="46" t="n"/>
      <c r="S107" s="46" t="n"/>
      <c r="T107" s="46" t="n"/>
      <c r="U107" s="46" t="n"/>
      <c r="V107" s="46" t="n"/>
      <c r="W107" s="46" t="n"/>
      <c r="X107" s="46" t="n"/>
      <c r="Y107" s="46" t="n"/>
      <c r="Z107" s="46" t="n"/>
    </row>
    <row r="108" ht="12.75" customHeight="1">
      <c r="A108" s="100" t="n"/>
      <c r="B108" s="101" t="n"/>
      <c r="C108" s="102" t="n"/>
      <c r="D108" s="99" t="n"/>
      <c r="E108" s="95" t="n"/>
      <c r="F108" s="95" t="n"/>
      <c r="G108" s="94" t="n"/>
      <c r="H108" s="46" t="n"/>
      <c r="I108" s="46" t="n"/>
      <c r="J108" s="46" t="n"/>
      <c r="K108" s="46" t="n"/>
      <c r="L108" s="95" t="n"/>
      <c r="M108" s="95" t="n"/>
      <c r="N108" s="95" t="n"/>
      <c r="O108" s="95" t="n"/>
      <c r="P108" s="95" t="n"/>
      <c r="Q108" s="46" t="n"/>
      <c r="R108" s="46" t="n"/>
      <c r="S108" s="46" t="n"/>
      <c r="T108" s="46" t="n"/>
      <c r="U108" s="46" t="n"/>
      <c r="V108" s="46" t="n"/>
      <c r="W108" s="46" t="n"/>
      <c r="X108" s="46" t="n"/>
      <c r="Y108" s="46" t="n"/>
      <c r="Z108" s="46" t="n"/>
    </row>
    <row r="109" ht="12.75" customHeight="1">
      <c r="A109" s="100" t="n"/>
      <c r="B109" s="101" t="n"/>
      <c r="C109" s="102" t="n"/>
      <c r="D109" s="99" t="n"/>
      <c r="E109" s="95" t="n"/>
      <c r="F109" s="95" t="n"/>
      <c r="G109" s="94" t="n"/>
      <c r="H109" s="46" t="n"/>
      <c r="I109" s="46" t="n"/>
      <c r="J109" s="46" t="n"/>
      <c r="K109" s="46" t="n"/>
      <c r="L109" s="95" t="n"/>
      <c r="M109" s="95" t="n"/>
      <c r="N109" s="95" t="n"/>
      <c r="O109" s="95" t="n"/>
      <c r="P109" s="95" t="n"/>
      <c r="Q109" s="46" t="n"/>
      <c r="R109" s="46" t="n"/>
      <c r="S109" s="46" t="n"/>
      <c r="T109" s="46" t="n"/>
      <c r="U109" s="46" t="n"/>
      <c r="V109" s="46" t="n"/>
      <c r="W109" s="46" t="n"/>
      <c r="X109" s="46" t="n"/>
      <c r="Y109" s="46" t="n"/>
      <c r="Z109" s="46" t="n"/>
    </row>
    <row r="110" ht="12.75" customHeight="1">
      <c r="A110" s="100" t="n"/>
      <c r="B110" s="101" t="n"/>
      <c r="C110" s="102" t="n"/>
      <c r="D110" s="99" t="n"/>
      <c r="E110" s="95" t="n"/>
      <c r="F110" s="95" t="n"/>
      <c r="G110" s="94" t="n"/>
      <c r="H110" s="46" t="n"/>
      <c r="I110" s="46" t="n"/>
      <c r="J110" s="46" t="n"/>
      <c r="K110" s="46" t="n"/>
      <c r="L110" s="95" t="n"/>
      <c r="M110" s="95" t="n"/>
      <c r="N110" s="95" t="n"/>
      <c r="O110" s="95" t="n"/>
      <c r="P110" s="95" t="n"/>
      <c r="Q110" s="46" t="n"/>
      <c r="R110" s="46" t="n"/>
      <c r="S110" s="46" t="n"/>
      <c r="T110" s="46" t="n"/>
      <c r="U110" s="46" t="n"/>
      <c r="V110" s="46" t="n"/>
      <c r="W110" s="46" t="n"/>
      <c r="X110" s="46" t="n"/>
      <c r="Y110" s="46" t="n"/>
      <c r="Z110" s="46" t="n"/>
    </row>
    <row r="111" ht="12.75" customHeight="1">
      <c r="A111" s="100" t="n"/>
      <c r="B111" s="101" t="n"/>
      <c r="C111" s="102" t="n"/>
      <c r="D111" s="99" t="n"/>
      <c r="E111" s="95" t="n"/>
      <c r="F111" s="95" t="n"/>
      <c r="G111" s="94" t="n"/>
      <c r="H111" s="46" t="n"/>
      <c r="I111" s="46" t="n"/>
      <c r="J111" s="46" t="n"/>
      <c r="K111" s="46" t="n"/>
      <c r="L111" s="95" t="n"/>
      <c r="M111" s="95" t="n"/>
      <c r="N111" s="95" t="n"/>
      <c r="O111" s="95" t="n"/>
      <c r="P111" s="95" t="n"/>
      <c r="Q111" s="46" t="n"/>
      <c r="R111" s="46" t="n"/>
      <c r="S111" s="46" t="n"/>
      <c r="T111" s="46" t="n"/>
      <c r="U111" s="46" t="n"/>
      <c r="V111" s="46" t="n"/>
      <c r="W111" s="46" t="n"/>
      <c r="X111" s="46" t="n"/>
      <c r="Y111" s="46" t="n"/>
      <c r="Z111" s="46" t="n"/>
    </row>
    <row r="112" ht="12.75" customHeight="1">
      <c r="A112" s="100" t="n"/>
      <c r="B112" s="101" t="n"/>
      <c r="C112" s="102" t="n"/>
      <c r="D112" s="99" t="n"/>
      <c r="E112" s="95" t="n"/>
      <c r="F112" s="95" t="n"/>
      <c r="G112" s="94" t="n"/>
      <c r="H112" s="46" t="n"/>
      <c r="I112" s="46" t="n"/>
      <c r="J112" s="46" t="n"/>
      <c r="K112" s="46" t="n"/>
      <c r="L112" s="95" t="n"/>
      <c r="M112" s="95" t="n"/>
      <c r="N112" s="95" t="n"/>
      <c r="O112" s="95" t="n"/>
      <c r="P112" s="95" t="n"/>
      <c r="Q112" s="46" t="n"/>
      <c r="R112" s="46" t="n"/>
      <c r="S112" s="46" t="n"/>
      <c r="T112" s="46" t="n"/>
      <c r="U112" s="46" t="n"/>
      <c r="V112" s="46" t="n"/>
      <c r="W112" s="46" t="n"/>
      <c r="X112" s="46" t="n"/>
      <c r="Y112" s="46" t="n"/>
      <c r="Z112" s="46" t="n"/>
    </row>
    <row r="113" ht="12.75" customHeight="1">
      <c r="A113" s="100" t="n"/>
      <c r="B113" s="101" t="n"/>
      <c r="C113" s="102" t="n"/>
      <c r="D113" s="99" t="n"/>
      <c r="E113" s="95" t="n"/>
      <c r="F113" s="95" t="n"/>
      <c r="G113" s="94" t="n"/>
      <c r="H113" s="46" t="n"/>
      <c r="I113" s="46" t="n"/>
      <c r="J113" s="46" t="n"/>
      <c r="K113" s="46" t="n"/>
      <c r="L113" s="95" t="n"/>
      <c r="M113" s="95" t="n"/>
      <c r="N113" s="95" t="n"/>
      <c r="O113" s="95" t="n"/>
      <c r="P113" s="95" t="n"/>
      <c r="Q113" s="46" t="n"/>
      <c r="R113" s="46" t="n"/>
      <c r="S113" s="46" t="n"/>
      <c r="T113" s="46" t="n"/>
      <c r="U113" s="46" t="n"/>
      <c r="V113" s="46" t="n"/>
      <c r="W113" s="46" t="n"/>
      <c r="X113" s="46" t="n"/>
      <c r="Y113" s="46" t="n"/>
      <c r="Z113" s="46" t="n"/>
    </row>
    <row r="114" ht="12.75" customHeight="1">
      <c r="A114" s="100" t="n"/>
      <c r="B114" s="101" t="n"/>
      <c r="C114" s="102" t="n"/>
      <c r="D114" s="99" t="n"/>
      <c r="E114" s="95" t="n"/>
      <c r="F114" s="95" t="n"/>
      <c r="G114" s="94" t="n"/>
      <c r="H114" s="46" t="n"/>
      <c r="I114" s="46" t="n"/>
      <c r="J114" s="46" t="n"/>
      <c r="K114" s="46" t="n"/>
      <c r="L114" s="95" t="n"/>
      <c r="M114" s="95" t="n"/>
      <c r="N114" s="95" t="n"/>
      <c r="O114" s="95" t="n"/>
      <c r="P114" s="95" t="n"/>
      <c r="Q114" s="46" t="n"/>
      <c r="R114" s="46" t="n"/>
      <c r="S114" s="46" t="n"/>
      <c r="T114" s="46" t="n"/>
      <c r="U114" s="46" t="n"/>
      <c r="V114" s="46" t="n"/>
      <c r="W114" s="46" t="n"/>
      <c r="X114" s="46" t="n"/>
      <c r="Y114" s="46" t="n"/>
      <c r="Z114" s="46" t="n"/>
    </row>
    <row r="115" ht="12.75" customHeight="1">
      <c r="A115" s="100" t="n"/>
      <c r="B115" s="101" t="n"/>
      <c r="C115" s="102" t="n"/>
      <c r="D115" s="99" t="n"/>
      <c r="E115" s="95" t="n"/>
      <c r="F115" s="95" t="n"/>
      <c r="G115" s="94" t="n"/>
      <c r="H115" s="46" t="n"/>
      <c r="I115" s="46" t="n"/>
      <c r="J115" s="46" t="n"/>
      <c r="K115" s="46" t="n"/>
      <c r="L115" s="95" t="n"/>
      <c r="M115" s="95" t="n"/>
      <c r="N115" s="95" t="n"/>
      <c r="O115" s="95" t="n"/>
      <c r="P115" s="95" t="n"/>
      <c r="Q115" s="46" t="n"/>
      <c r="R115" s="46" t="n"/>
      <c r="S115" s="46" t="n"/>
      <c r="T115" s="46" t="n"/>
      <c r="U115" s="46" t="n"/>
      <c r="V115" s="46" t="n"/>
      <c r="W115" s="46" t="n"/>
      <c r="X115" s="46" t="n"/>
      <c r="Y115" s="46" t="n"/>
      <c r="Z115" s="46" t="n"/>
    </row>
    <row r="116" ht="12.75" customHeight="1">
      <c r="A116" s="100" t="n"/>
      <c r="B116" s="101" t="n"/>
      <c r="C116" s="102" t="n"/>
      <c r="D116" s="99" t="n"/>
      <c r="E116" s="95" t="n"/>
      <c r="F116" s="95" t="n"/>
      <c r="G116" s="94" t="n"/>
      <c r="H116" s="46" t="n"/>
      <c r="I116" s="46" t="n"/>
      <c r="J116" s="46" t="n"/>
      <c r="K116" s="46" t="n"/>
      <c r="L116" s="95" t="n"/>
      <c r="M116" s="95" t="n"/>
      <c r="N116" s="95" t="n"/>
      <c r="O116" s="95" t="n"/>
      <c r="P116" s="95" t="n"/>
      <c r="Q116" s="46" t="n"/>
      <c r="R116" s="46" t="n"/>
      <c r="S116" s="46" t="n"/>
      <c r="T116" s="46" t="n"/>
      <c r="U116" s="46" t="n"/>
      <c r="V116" s="46" t="n"/>
      <c r="W116" s="46" t="n"/>
      <c r="X116" s="46" t="n"/>
      <c r="Y116" s="46" t="n"/>
      <c r="Z116" s="46" t="n"/>
    </row>
    <row r="117" ht="12.75" customHeight="1">
      <c r="A117" s="100" t="n"/>
      <c r="B117" s="101" t="n"/>
      <c r="C117" s="102" t="n"/>
      <c r="D117" s="99" t="n"/>
      <c r="E117" s="95" t="n"/>
      <c r="F117" s="95" t="n"/>
      <c r="G117" s="94" t="n"/>
      <c r="H117" s="46" t="n"/>
      <c r="I117" s="46" t="n"/>
      <c r="J117" s="46" t="n"/>
      <c r="K117" s="46" t="n"/>
      <c r="L117" s="95" t="n"/>
      <c r="M117" s="95" t="n"/>
      <c r="N117" s="95" t="n"/>
      <c r="O117" s="95" t="n"/>
      <c r="P117" s="95" t="n"/>
      <c r="Q117" s="46" t="n"/>
      <c r="R117" s="46" t="n"/>
      <c r="S117" s="46" t="n"/>
      <c r="T117" s="46" t="n"/>
      <c r="U117" s="46" t="n"/>
      <c r="V117" s="46" t="n"/>
      <c r="W117" s="46" t="n"/>
      <c r="X117" s="46" t="n"/>
      <c r="Y117" s="46" t="n"/>
      <c r="Z117" s="46" t="n"/>
    </row>
    <row r="118" ht="12.75" customHeight="1">
      <c r="A118" s="100" t="n"/>
      <c r="B118" s="101" t="n"/>
      <c r="C118" s="102" t="n"/>
      <c r="D118" s="99" t="n"/>
      <c r="E118" s="95" t="n"/>
      <c r="F118" s="95" t="n"/>
      <c r="G118" s="94" t="n"/>
      <c r="H118" s="46" t="n"/>
      <c r="I118" s="46" t="n"/>
      <c r="J118" s="46" t="n"/>
      <c r="K118" s="46" t="n"/>
      <c r="L118" s="95" t="n"/>
      <c r="M118" s="95" t="n"/>
      <c r="N118" s="95" t="n"/>
      <c r="O118" s="95" t="n"/>
      <c r="P118" s="95" t="n"/>
      <c r="Q118" s="46" t="n"/>
      <c r="R118" s="46" t="n"/>
      <c r="S118" s="46" t="n"/>
      <c r="T118" s="46" t="n"/>
      <c r="U118" s="46" t="n"/>
      <c r="V118" s="46" t="n"/>
      <c r="W118" s="46" t="n"/>
      <c r="X118" s="46" t="n"/>
      <c r="Y118" s="46" t="n"/>
      <c r="Z118" s="46" t="n"/>
    </row>
    <row r="119" ht="12.75" customHeight="1">
      <c r="A119" s="100" t="n"/>
      <c r="B119" s="101" t="n"/>
      <c r="C119" s="102" t="n"/>
      <c r="D119" s="99" t="n"/>
      <c r="E119" s="95" t="n"/>
      <c r="F119" s="95" t="n"/>
      <c r="G119" s="94" t="n"/>
      <c r="H119" s="46" t="n"/>
      <c r="I119" s="46" t="n"/>
      <c r="J119" s="46" t="n"/>
      <c r="K119" s="46" t="n"/>
      <c r="L119" s="95" t="n"/>
      <c r="M119" s="95" t="n"/>
      <c r="N119" s="95" t="n"/>
      <c r="O119" s="95" t="n"/>
      <c r="P119" s="95" t="n"/>
      <c r="Q119" s="46" t="n"/>
      <c r="R119" s="46" t="n"/>
      <c r="S119" s="46" t="n"/>
      <c r="T119" s="46" t="n"/>
      <c r="U119" s="46" t="n"/>
      <c r="V119" s="46" t="n"/>
      <c r="W119" s="46" t="n"/>
      <c r="X119" s="46" t="n"/>
      <c r="Y119" s="46" t="n"/>
      <c r="Z119" s="46" t="n"/>
    </row>
    <row r="120" ht="12.75" customHeight="1">
      <c r="A120" s="100" t="n"/>
      <c r="B120" s="101" t="n"/>
      <c r="C120" s="102" t="n"/>
      <c r="D120" s="99" t="n"/>
      <c r="E120" s="95" t="n"/>
      <c r="F120" s="95" t="n"/>
      <c r="G120" s="94" t="n"/>
      <c r="H120" s="46" t="n"/>
      <c r="I120" s="46" t="n"/>
      <c r="J120" s="46" t="n"/>
      <c r="K120" s="46" t="n"/>
      <c r="L120" s="95" t="n"/>
      <c r="M120" s="95" t="n"/>
      <c r="N120" s="95" t="n"/>
      <c r="O120" s="95" t="n"/>
      <c r="P120" s="95" t="n"/>
      <c r="Q120" s="46" t="n"/>
      <c r="R120" s="46" t="n"/>
      <c r="S120" s="46" t="n"/>
      <c r="T120" s="46" t="n"/>
      <c r="U120" s="46" t="n"/>
      <c r="V120" s="46" t="n"/>
      <c r="W120" s="46" t="n"/>
      <c r="X120" s="46" t="n"/>
      <c r="Y120" s="46" t="n"/>
      <c r="Z120" s="46" t="n"/>
    </row>
    <row r="121" ht="12.75" customHeight="1">
      <c r="A121" s="100" t="n"/>
      <c r="B121" s="101" t="n"/>
      <c r="C121" s="102" t="n"/>
      <c r="D121" s="99" t="n"/>
      <c r="E121" s="95" t="n"/>
      <c r="F121" s="95" t="n"/>
      <c r="G121" s="94" t="n"/>
      <c r="H121" s="46" t="n"/>
      <c r="I121" s="46" t="n"/>
      <c r="J121" s="46" t="n"/>
      <c r="K121" s="46" t="n"/>
      <c r="L121" s="95" t="n"/>
      <c r="M121" s="95" t="n"/>
      <c r="N121" s="95" t="n"/>
      <c r="O121" s="95" t="n"/>
      <c r="P121" s="95" t="n"/>
      <c r="Q121" s="46" t="n"/>
      <c r="R121" s="46" t="n"/>
      <c r="S121" s="46" t="n"/>
      <c r="T121" s="46" t="n"/>
      <c r="U121" s="46" t="n"/>
      <c r="V121" s="46" t="n"/>
      <c r="W121" s="46" t="n"/>
      <c r="X121" s="46" t="n"/>
      <c r="Y121" s="46" t="n"/>
      <c r="Z121" s="46" t="n"/>
    </row>
    <row r="122" ht="12.75" customHeight="1">
      <c r="A122" s="100" t="n"/>
      <c r="B122" s="101" t="n"/>
      <c r="C122" s="102" t="n"/>
      <c r="D122" s="99" t="n"/>
      <c r="E122" s="95" t="n"/>
      <c r="F122" s="95" t="n"/>
      <c r="G122" s="94" t="n"/>
      <c r="H122" s="46" t="n"/>
      <c r="I122" s="46" t="n"/>
      <c r="J122" s="46" t="n"/>
      <c r="K122" s="46" t="n"/>
      <c r="L122" s="95" t="n"/>
      <c r="M122" s="95" t="n"/>
      <c r="N122" s="95" t="n"/>
      <c r="O122" s="95" t="n"/>
      <c r="P122" s="95" t="n"/>
      <c r="Q122" s="46" t="n"/>
      <c r="R122" s="46" t="n"/>
      <c r="S122" s="46" t="n"/>
      <c r="T122" s="46" t="n"/>
      <c r="U122" s="46" t="n"/>
      <c r="V122" s="46" t="n"/>
      <c r="W122" s="46" t="n"/>
      <c r="X122" s="46" t="n"/>
      <c r="Y122" s="46" t="n"/>
      <c r="Z122" s="46" t="n"/>
    </row>
    <row r="123" ht="12.75" customHeight="1">
      <c r="A123" s="100" t="n"/>
      <c r="B123" s="101" t="n"/>
      <c r="C123" s="102" t="n"/>
      <c r="D123" s="99" t="n"/>
      <c r="E123" s="95" t="n"/>
      <c r="F123" s="95" t="n"/>
      <c r="G123" s="94" t="n"/>
      <c r="H123" s="46" t="n"/>
      <c r="I123" s="46" t="n"/>
      <c r="J123" s="46" t="n"/>
      <c r="K123" s="46" t="n"/>
      <c r="L123" s="95" t="n"/>
      <c r="M123" s="95" t="n"/>
      <c r="N123" s="95" t="n"/>
      <c r="O123" s="95" t="n"/>
      <c r="P123" s="95" t="n"/>
      <c r="Q123" s="46" t="n"/>
      <c r="R123" s="46" t="n"/>
      <c r="S123" s="46" t="n"/>
      <c r="T123" s="46" t="n"/>
      <c r="U123" s="46" t="n"/>
      <c r="V123" s="46" t="n"/>
      <c r="W123" s="46" t="n"/>
      <c r="X123" s="46" t="n"/>
      <c r="Y123" s="46" t="n"/>
      <c r="Z123" s="46" t="n"/>
    </row>
    <row r="124" ht="12.75" customHeight="1">
      <c r="A124" s="100" t="n"/>
      <c r="B124" s="101" t="n"/>
      <c r="C124" s="102" t="n"/>
      <c r="D124" s="99" t="n"/>
      <c r="E124" s="95" t="n"/>
      <c r="F124" s="95" t="n"/>
      <c r="G124" s="94" t="n"/>
      <c r="H124" s="46" t="n"/>
      <c r="I124" s="46" t="n"/>
      <c r="J124" s="46" t="n"/>
      <c r="K124" s="46" t="n"/>
      <c r="L124" s="95" t="n"/>
      <c r="M124" s="95" t="n"/>
      <c r="N124" s="95" t="n"/>
      <c r="O124" s="95" t="n"/>
      <c r="P124" s="95" t="n"/>
      <c r="Q124" s="46" t="n"/>
      <c r="R124" s="46" t="n"/>
      <c r="S124" s="46" t="n"/>
      <c r="T124" s="46" t="n"/>
      <c r="U124" s="46" t="n"/>
      <c r="V124" s="46" t="n"/>
      <c r="W124" s="46" t="n"/>
      <c r="X124" s="46" t="n"/>
      <c r="Y124" s="46" t="n"/>
      <c r="Z124" s="46" t="n"/>
    </row>
    <row r="125" ht="12.75" customHeight="1">
      <c r="A125" s="100" t="n"/>
      <c r="B125" s="101" t="n"/>
      <c r="C125" s="102" t="n"/>
      <c r="D125" s="99" t="n"/>
      <c r="E125" s="95" t="n"/>
      <c r="F125" s="95" t="n"/>
      <c r="G125" s="94" t="n"/>
      <c r="H125" s="46" t="n"/>
      <c r="I125" s="46" t="n"/>
      <c r="J125" s="46" t="n"/>
      <c r="K125" s="46" t="n"/>
      <c r="L125" s="95" t="n"/>
      <c r="M125" s="95" t="n"/>
      <c r="N125" s="95" t="n"/>
      <c r="O125" s="95" t="n"/>
      <c r="P125" s="95" t="n"/>
      <c r="Q125" s="46" t="n"/>
      <c r="R125" s="46" t="n"/>
      <c r="S125" s="46" t="n"/>
      <c r="T125" s="46" t="n"/>
      <c r="U125" s="46" t="n"/>
      <c r="V125" s="46" t="n"/>
      <c r="W125" s="46" t="n"/>
      <c r="X125" s="46" t="n"/>
      <c r="Y125" s="46" t="n"/>
      <c r="Z125" s="46" t="n"/>
    </row>
    <row r="126" ht="12.75" customHeight="1">
      <c r="A126" s="100" t="n"/>
      <c r="B126" s="101" t="n"/>
      <c r="C126" s="102" t="n"/>
      <c r="D126" s="99" t="n"/>
      <c r="E126" s="95" t="n"/>
      <c r="F126" s="95" t="n"/>
      <c r="G126" s="94" t="n"/>
      <c r="H126" s="46" t="n"/>
      <c r="I126" s="46" t="n"/>
      <c r="J126" s="46" t="n"/>
      <c r="K126" s="46" t="n"/>
      <c r="L126" s="95" t="n"/>
      <c r="M126" s="95" t="n"/>
      <c r="N126" s="95" t="n"/>
      <c r="O126" s="95" t="n"/>
      <c r="P126" s="95" t="n"/>
      <c r="Q126" s="46" t="n"/>
      <c r="R126" s="46" t="n"/>
      <c r="S126" s="46" t="n"/>
      <c r="T126" s="46" t="n"/>
      <c r="U126" s="46" t="n"/>
      <c r="V126" s="46" t="n"/>
      <c r="W126" s="46" t="n"/>
      <c r="X126" s="46" t="n"/>
      <c r="Y126" s="46" t="n"/>
      <c r="Z126" s="46" t="n"/>
    </row>
    <row r="127" ht="12.75" customHeight="1">
      <c r="A127" s="100" t="n"/>
      <c r="B127" s="101" t="n"/>
      <c r="C127" s="102" t="n"/>
      <c r="D127" s="99" t="n"/>
      <c r="E127" s="95" t="n"/>
      <c r="F127" s="95" t="n"/>
      <c r="G127" s="94" t="n"/>
      <c r="H127" s="46" t="n"/>
      <c r="I127" s="46" t="n"/>
      <c r="J127" s="46" t="n"/>
      <c r="K127" s="46" t="n"/>
      <c r="L127" s="95" t="n"/>
      <c r="M127" s="95" t="n"/>
      <c r="N127" s="95" t="n"/>
      <c r="O127" s="95" t="n"/>
      <c r="P127" s="95" t="n"/>
      <c r="Q127" s="46" t="n"/>
      <c r="R127" s="46" t="n"/>
      <c r="S127" s="46" t="n"/>
      <c r="T127" s="46" t="n"/>
      <c r="U127" s="46" t="n"/>
      <c r="V127" s="46" t="n"/>
      <c r="W127" s="46" t="n"/>
      <c r="X127" s="46" t="n"/>
      <c r="Y127" s="46" t="n"/>
      <c r="Z127" s="46" t="n"/>
    </row>
    <row r="128" ht="12.75" customHeight="1">
      <c r="A128" s="100" t="n"/>
      <c r="B128" s="101" t="n"/>
      <c r="C128" s="102" t="n"/>
      <c r="D128" s="99" t="n"/>
      <c r="E128" s="95" t="n"/>
      <c r="F128" s="95" t="n"/>
      <c r="G128" s="94" t="n"/>
      <c r="H128" s="46" t="n"/>
      <c r="I128" s="46" t="n"/>
      <c r="J128" s="46" t="n"/>
      <c r="K128" s="46" t="n"/>
      <c r="L128" s="95" t="n"/>
      <c r="M128" s="95" t="n"/>
      <c r="N128" s="95" t="n"/>
      <c r="O128" s="95" t="n"/>
      <c r="P128" s="95" t="n"/>
      <c r="Q128" s="46" t="n"/>
      <c r="R128" s="46" t="n"/>
      <c r="S128" s="46" t="n"/>
      <c r="T128" s="46" t="n"/>
      <c r="U128" s="46" t="n"/>
      <c r="V128" s="46" t="n"/>
      <c r="W128" s="46" t="n"/>
      <c r="X128" s="46" t="n"/>
      <c r="Y128" s="46" t="n"/>
      <c r="Z128" s="46" t="n"/>
    </row>
    <row r="129" ht="12.75" customHeight="1">
      <c r="A129" s="100" t="n"/>
      <c r="B129" s="101" t="n"/>
      <c r="C129" s="102" t="n"/>
      <c r="D129" s="99" t="n"/>
      <c r="E129" s="95" t="n"/>
      <c r="F129" s="95" t="n"/>
      <c r="G129" s="94" t="n"/>
      <c r="H129" s="46" t="n"/>
      <c r="I129" s="46" t="n"/>
      <c r="J129" s="46" t="n"/>
      <c r="K129" s="46" t="n"/>
      <c r="L129" s="95" t="n"/>
      <c r="M129" s="95" t="n"/>
      <c r="N129" s="95" t="n"/>
      <c r="O129" s="95" t="n"/>
      <c r="P129" s="95" t="n"/>
      <c r="Q129" s="46" t="n"/>
      <c r="R129" s="46" t="n"/>
      <c r="S129" s="46" t="n"/>
      <c r="T129" s="46" t="n"/>
      <c r="U129" s="46" t="n"/>
      <c r="V129" s="46" t="n"/>
      <c r="W129" s="46" t="n"/>
      <c r="X129" s="46" t="n"/>
      <c r="Y129" s="46" t="n"/>
      <c r="Z129" s="46" t="n"/>
    </row>
    <row r="130" ht="12.75" customHeight="1">
      <c r="A130" s="100" t="n"/>
      <c r="B130" s="101" t="n"/>
      <c r="C130" s="102" t="n"/>
      <c r="D130" s="99" t="n"/>
      <c r="E130" s="95" t="n"/>
      <c r="F130" s="95" t="n"/>
      <c r="G130" s="94" t="n"/>
      <c r="H130" s="46" t="n"/>
      <c r="I130" s="46" t="n"/>
      <c r="J130" s="46" t="n"/>
      <c r="K130" s="46" t="n"/>
      <c r="L130" s="95" t="n"/>
      <c r="M130" s="95" t="n"/>
      <c r="N130" s="95" t="n"/>
      <c r="O130" s="95" t="n"/>
      <c r="P130" s="95" t="n"/>
      <c r="Q130" s="46" t="n"/>
      <c r="R130" s="46" t="n"/>
      <c r="S130" s="46" t="n"/>
      <c r="T130" s="46" t="n"/>
      <c r="U130" s="46" t="n"/>
      <c r="V130" s="46" t="n"/>
      <c r="W130" s="46" t="n"/>
      <c r="X130" s="46" t="n"/>
      <c r="Y130" s="46" t="n"/>
      <c r="Z130" s="46" t="n"/>
    </row>
    <row r="131" ht="12.75" customHeight="1">
      <c r="A131" s="100" t="n"/>
      <c r="B131" s="101" t="n"/>
      <c r="C131" s="102" t="n"/>
      <c r="D131" s="99" t="n"/>
      <c r="E131" s="95" t="n"/>
      <c r="F131" s="95" t="n"/>
      <c r="G131" s="94" t="n"/>
      <c r="H131" s="46" t="n"/>
      <c r="I131" s="46" t="n"/>
      <c r="J131" s="46" t="n"/>
      <c r="K131" s="46" t="n"/>
      <c r="L131" s="95" t="n"/>
      <c r="M131" s="95" t="n"/>
      <c r="N131" s="95" t="n"/>
      <c r="O131" s="95" t="n"/>
      <c r="P131" s="95" t="n"/>
      <c r="Q131" s="46" t="n"/>
      <c r="R131" s="46" t="n"/>
      <c r="S131" s="46" t="n"/>
      <c r="T131" s="46" t="n"/>
      <c r="U131" s="46" t="n"/>
      <c r="V131" s="46" t="n"/>
      <c r="W131" s="46" t="n"/>
      <c r="X131" s="46" t="n"/>
      <c r="Y131" s="46" t="n"/>
      <c r="Z131" s="46" t="n"/>
    </row>
    <row r="132" ht="12.75" customHeight="1">
      <c r="A132" s="100" t="n"/>
      <c r="B132" s="101" t="n"/>
      <c r="C132" s="102" t="n"/>
      <c r="D132" s="99" t="n"/>
      <c r="E132" s="95" t="n"/>
      <c r="F132" s="95" t="n"/>
      <c r="G132" s="94" t="n"/>
      <c r="H132" s="46" t="n"/>
      <c r="I132" s="46" t="n"/>
      <c r="J132" s="46" t="n"/>
      <c r="K132" s="46" t="n"/>
      <c r="L132" s="95" t="n"/>
      <c r="M132" s="95" t="n"/>
      <c r="N132" s="95" t="n"/>
      <c r="O132" s="95" t="n"/>
      <c r="P132" s="95" t="n"/>
      <c r="Q132" s="46" t="n"/>
      <c r="R132" s="46" t="n"/>
      <c r="S132" s="46" t="n"/>
      <c r="T132" s="46" t="n"/>
      <c r="U132" s="46" t="n"/>
      <c r="V132" s="46" t="n"/>
      <c r="W132" s="46" t="n"/>
      <c r="X132" s="46" t="n"/>
      <c r="Y132" s="46" t="n"/>
      <c r="Z132" s="46" t="n"/>
    </row>
    <row r="133" ht="12.75" customHeight="1">
      <c r="A133" s="100" t="n"/>
      <c r="B133" s="101" t="n"/>
      <c r="C133" s="102" t="n"/>
      <c r="D133" s="99" t="n"/>
      <c r="E133" s="95" t="n"/>
      <c r="F133" s="95" t="n"/>
      <c r="G133" s="94" t="n"/>
      <c r="H133" s="46" t="n"/>
      <c r="I133" s="46" t="n"/>
      <c r="J133" s="46" t="n"/>
      <c r="K133" s="46" t="n"/>
      <c r="L133" s="95" t="n"/>
      <c r="M133" s="95" t="n"/>
      <c r="N133" s="95" t="n"/>
      <c r="O133" s="95" t="n"/>
      <c r="P133" s="95" t="n"/>
      <c r="Q133" s="46" t="n"/>
      <c r="R133" s="46" t="n"/>
      <c r="S133" s="46" t="n"/>
      <c r="T133" s="46" t="n"/>
      <c r="U133" s="46" t="n"/>
      <c r="V133" s="46" t="n"/>
      <c r="W133" s="46" t="n"/>
      <c r="X133" s="46" t="n"/>
      <c r="Y133" s="46" t="n"/>
      <c r="Z133" s="46" t="n"/>
    </row>
    <row r="134" ht="12.75" customHeight="1">
      <c r="A134" s="100" t="n"/>
      <c r="B134" s="101" t="n"/>
      <c r="C134" s="102" t="n"/>
      <c r="D134" s="99" t="n"/>
      <c r="E134" s="95" t="n"/>
      <c r="F134" s="95" t="n"/>
      <c r="G134" s="94" t="n"/>
      <c r="H134" s="46" t="n"/>
      <c r="I134" s="46" t="n"/>
      <c r="J134" s="46" t="n"/>
      <c r="K134" s="46" t="n"/>
      <c r="L134" s="95" t="n"/>
      <c r="M134" s="95" t="n"/>
      <c r="N134" s="95" t="n"/>
      <c r="O134" s="95" t="n"/>
      <c r="P134" s="95" t="n"/>
      <c r="Q134" s="46" t="n"/>
      <c r="R134" s="46" t="n"/>
      <c r="S134" s="46" t="n"/>
      <c r="T134" s="46" t="n"/>
      <c r="U134" s="46" t="n"/>
      <c r="V134" s="46" t="n"/>
      <c r="W134" s="46" t="n"/>
      <c r="X134" s="46" t="n"/>
      <c r="Y134" s="46" t="n"/>
      <c r="Z134" s="46" t="n"/>
    </row>
    <row r="135" ht="12.75" customHeight="1">
      <c r="A135" s="100" t="n"/>
      <c r="B135" s="101" t="n"/>
      <c r="C135" s="102" t="n"/>
      <c r="D135" s="99" t="n"/>
      <c r="E135" s="95" t="n"/>
      <c r="F135" s="95" t="n"/>
      <c r="G135" s="94" t="n"/>
      <c r="H135" s="46" t="n"/>
      <c r="I135" s="46" t="n"/>
      <c r="J135" s="46" t="n"/>
      <c r="K135" s="46" t="n"/>
      <c r="L135" s="95" t="n"/>
      <c r="M135" s="95" t="n"/>
      <c r="N135" s="95" t="n"/>
      <c r="O135" s="95" t="n"/>
      <c r="P135" s="95" t="n"/>
      <c r="Q135" s="46" t="n"/>
      <c r="R135" s="46" t="n"/>
      <c r="S135" s="46" t="n"/>
      <c r="T135" s="46" t="n"/>
      <c r="U135" s="46" t="n"/>
      <c r="V135" s="46" t="n"/>
      <c r="W135" s="46" t="n"/>
      <c r="X135" s="46" t="n"/>
      <c r="Y135" s="46" t="n"/>
      <c r="Z135" s="46" t="n"/>
    </row>
    <row r="136" ht="12.75" customHeight="1">
      <c r="A136" s="100" t="n"/>
      <c r="B136" s="101" t="n"/>
      <c r="C136" s="102" t="n"/>
      <c r="D136" s="99" t="n"/>
      <c r="E136" s="95" t="n"/>
      <c r="F136" s="95" t="n"/>
      <c r="G136" s="94" t="n"/>
      <c r="H136" s="46" t="n"/>
      <c r="I136" s="46" t="n"/>
      <c r="J136" s="46" t="n"/>
      <c r="K136" s="46" t="n"/>
      <c r="L136" s="95" t="n"/>
      <c r="M136" s="95" t="n"/>
      <c r="N136" s="95" t="n"/>
      <c r="O136" s="95" t="n"/>
      <c r="P136" s="95" t="n"/>
      <c r="Q136" s="46" t="n"/>
      <c r="R136" s="46" t="n"/>
      <c r="S136" s="46" t="n"/>
      <c r="T136" s="46" t="n"/>
      <c r="U136" s="46" t="n"/>
      <c r="V136" s="46" t="n"/>
      <c r="W136" s="46" t="n"/>
      <c r="X136" s="46" t="n"/>
      <c r="Y136" s="46" t="n"/>
      <c r="Z136" s="46" t="n"/>
    </row>
    <row r="137" ht="12.75" customHeight="1">
      <c r="A137" s="100" t="n"/>
      <c r="B137" s="101" t="n"/>
      <c r="C137" s="102" t="n"/>
      <c r="D137" s="99" t="n"/>
      <c r="E137" s="95" t="n"/>
      <c r="F137" s="95" t="n"/>
      <c r="G137" s="94" t="n"/>
      <c r="H137" s="46" t="n"/>
      <c r="I137" s="46" t="n"/>
      <c r="J137" s="46" t="n"/>
      <c r="K137" s="46" t="n"/>
      <c r="L137" s="95" t="n"/>
      <c r="M137" s="95" t="n"/>
      <c r="N137" s="95" t="n"/>
      <c r="O137" s="95" t="n"/>
      <c r="P137" s="95" t="n"/>
      <c r="Q137" s="46" t="n"/>
      <c r="R137" s="46" t="n"/>
      <c r="S137" s="46" t="n"/>
      <c r="T137" s="46" t="n"/>
      <c r="U137" s="46" t="n"/>
      <c r="V137" s="46" t="n"/>
      <c r="W137" s="46" t="n"/>
      <c r="X137" s="46" t="n"/>
      <c r="Y137" s="46" t="n"/>
      <c r="Z137" s="46" t="n"/>
    </row>
    <row r="138" ht="12.75" customHeight="1">
      <c r="A138" s="100" t="n"/>
      <c r="B138" s="101" t="n"/>
      <c r="C138" s="102" t="n"/>
      <c r="D138" s="99" t="n"/>
      <c r="E138" s="95" t="n"/>
      <c r="F138" s="95" t="n"/>
      <c r="G138" s="94" t="n"/>
      <c r="H138" s="46" t="n"/>
      <c r="I138" s="46" t="n"/>
      <c r="J138" s="46" t="n"/>
      <c r="K138" s="46" t="n"/>
      <c r="L138" s="95" t="n"/>
      <c r="M138" s="95" t="n"/>
      <c r="N138" s="95" t="n"/>
      <c r="O138" s="95" t="n"/>
      <c r="P138" s="95" t="n"/>
      <c r="Q138" s="46" t="n"/>
      <c r="R138" s="46" t="n"/>
      <c r="S138" s="46" t="n"/>
      <c r="T138" s="46" t="n"/>
      <c r="U138" s="46" t="n"/>
      <c r="V138" s="46" t="n"/>
      <c r="W138" s="46" t="n"/>
      <c r="X138" s="46" t="n"/>
      <c r="Y138" s="46" t="n"/>
      <c r="Z138" s="46" t="n"/>
    </row>
    <row r="139" ht="12.75" customHeight="1">
      <c r="A139" s="100" t="n"/>
      <c r="B139" s="101" t="n"/>
      <c r="C139" s="102" t="n"/>
      <c r="D139" s="99" t="n"/>
      <c r="E139" s="95" t="n"/>
      <c r="F139" s="95" t="n"/>
      <c r="G139" s="94" t="n"/>
      <c r="H139" s="46" t="n"/>
      <c r="I139" s="46" t="n"/>
      <c r="J139" s="46" t="n"/>
      <c r="K139" s="46" t="n"/>
      <c r="L139" s="95" t="n"/>
      <c r="M139" s="95" t="n"/>
      <c r="N139" s="95" t="n"/>
      <c r="O139" s="95" t="n"/>
      <c r="P139" s="95" t="n"/>
      <c r="Q139" s="46" t="n"/>
      <c r="R139" s="46" t="n"/>
      <c r="S139" s="46" t="n"/>
      <c r="T139" s="46" t="n"/>
      <c r="U139" s="46" t="n"/>
      <c r="V139" s="46" t="n"/>
      <c r="W139" s="46" t="n"/>
      <c r="X139" s="46" t="n"/>
      <c r="Y139" s="46" t="n"/>
      <c r="Z139" s="46" t="n"/>
    </row>
    <row r="140" ht="12.75" customHeight="1">
      <c r="A140" s="100" t="n"/>
      <c r="B140" s="101" t="n"/>
      <c r="C140" s="102" t="n"/>
      <c r="D140" s="99" t="n"/>
      <c r="E140" s="95" t="n"/>
      <c r="F140" s="95" t="n"/>
      <c r="G140" s="94" t="n"/>
      <c r="H140" s="46" t="n"/>
      <c r="I140" s="46" t="n"/>
      <c r="J140" s="46" t="n"/>
      <c r="K140" s="46" t="n"/>
      <c r="L140" s="95" t="n"/>
      <c r="M140" s="95" t="n"/>
      <c r="N140" s="95" t="n"/>
      <c r="O140" s="95" t="n"/>
      <c r="P140" s="95" t="n"/>
      <c r="Q140" s="46" t="n"/>
      <c r="R140" s="46" t="n"/>
      <c r="S140" s="46" t="n"/>
      <c r="T140" s="46" t="n"/>
      <c r="U140" s="46" t="n"/>
      <c r="V140" s="46" t="n"/>
      <c r="W140" s="46" t="n"/>
      <c r="X140" s="46" t="n"/>
      <c r="Y140" s="46" t="n"/>
      <c r="Z140" s="46" t="n"/>
    </row>
    <row r="141" ht="12.75" customHeight="1">
      <c r="A141" s="100" t="n"/>
      <c r="B141" s="101" t="n"/>
      <c r="C141" s="102" t="n"/>
      <c r="D141" s="99" t="n"/>
      <c r="E141" s="95" t="n"/>
      <c r="F141" s="95" t="n"/>
      <c r="G141" s="94" t="n"/>
      <c r="H141" s="46" t="n"/>
      <c r="I141" s="46" t="n"/>
      <c r="J141" s="46" t="n"/>
      <c r="K141" s="46" t="n"/>
      <c r="L141" s="95" t="n"/>
      <c r="M141" s="95" t="n"/>
      <c r="N141" s="95" t="n"/>
      <c r="O141" s="95" t="n"/>
      <c r="P141" s="95" t="n"/>
      <c r="Q141" s="46" t="n"/>
      <c r="R141" s="46" t="n"/>
      <c r="S141" s="46" t="n"/>
      <c r="T141" s="46" t="n"/>
      <c r="U141" s="46" t="n"/>
      <c r="V141" s="46" t="n"/>
      <c r="W141" s="46" t="n"/>
      <c r="X141" s="46" t="n"/>
      <c r="Y141" s="46" t="n"/>
      <c r="Z141" s="46" t="n"/>
    </row>
    <row r="142" ht="12.75" customHeight="1">
      <c r="A142" s="100" t="n"/>
      <c r="B142" s="101" t="n"/>
      <c r="C142" s="102" t="n"/>
      <c r="D142" s="99" t="n"/>
      <c r="E142" s="95" t="n"/>
      <c r="F142" s="95" t="n"/>
      <c r="G142" s="94" t="n"/>
      <c r="H142" s="46" t="n"/>
      <c r="I142" s="46" t="n"/>
      <c r="J142" s="46" t="n"/>
      <c r="K142" s="46" t="n"/>
      <c r="L142" s="95" t="n"/>
      <c r="M142" s="95" t="n"/>
      <c r="N142" s="95" t="n"/>
      <c r="O142" s="95" t="n"/>
      <c r="P142" s="95" t="n"/>
      <c r="Q142" s="46" t="n"/>
      <c r="R142" s="46" t="n"/>
      <c r="S142" s="46" t="n"/>
      <c r="T142" s="46" t="n"/>
      <c r="U142" s="46" t="n"/>
      <c r="V142" s="46" t="n"/>
      <c r="W142" s="46" t="n"/>
      <c r="X142" s="46" t="n"/>
      <c r="Y142" s="46" t="n"/>
      <c r="Z142" s="46" t="n"/>
    </row>
    <row r="143" ht="12.75" customHeight="1">
      <c r="A143" s="100" t="n"/>
      <c r="B143" s="101" t="n"/>
      <c r="C143" s="102" t="n"/>
      <c r="D143" s="99" t="n"/>
      <c r="E143" s="95" t="n"/>
      <c r="F143" s="95" t="n"/>
      <c r="G143" s="94" t="n"/>
      <c r="H143" s="46" t="n"/>
      <c r="I143" s="46" t="n"/>
      <c r="J143" s="46" t="n"/>
      <c r="K143" s="46" t="n"/>
      <c r="L143" s="95" t="n"/>
      <c r="M143" s="95" t="n"/>
      <c r="N143" s="95" t="n"/>
      <c r="O143" s="95" t="n"/>
      <c r="P143" s="95" t="n"/>
      <c r="Q143" s="46" t="n"/>
      <c r="R143" s="46" t="n"/>
      <c r="S143" s="46" t="n"/>
      <c r="T143" s="46" t="n"/>
      <c r="U143" s="46" t="n"/>
      <c r="V143" s="46" t="n"/>
      <c r="W143" s="46" t="n"/>
      <c r="X143" s="46" t="n"/>
      <c r="Y143" s="46" t="n"/>
      <c r="Z143" s="46" t="n"/>
    </row>
    <row r="144" ht="12.75" customHeight="1">
      <c r="A144" s="100" t="n"/>
      <c r="B144" s="101" t="n"/>
      <c r="C144" s="102" t="n"/>
      <c r="D144" s="99" t="n"/>
      <c r="E144" s="95" t="n"/>
      <c r="F144" s="95" t="n"/>
      <c r="G144" s="94" t="n"/>
      <c r="H144" s="46" t="n"/>
      <c r="I144" s="46" t="n"/>
      <c r="J144" s="46" t="n"/>
      <c r="K144" s="46" t="n"/>
      <c r="L144" s="95" t="n"/>
      <c r="M144" s="95" t="n"/>
      <c r="N144" s="95" t="n"/>
      <c r="O144" s="95" t="n"/>
      <c r="P144" s="95" t="n"/>
      <c r="Q144" s="46" t="n"/>
      <c r="R144" s="46" t="n"/>
      <c r="S144" s="46" t="n"/>
      <c r="T144" s="46" t="n"/>
      <c r="U144" s="46" t="n"/>
      <c r="V144" s="46" t="n"/>
      <c r="W144" s="46" t="n"/>
      <c r="X144" s="46" t="n"/>
      <c r="Y144" s="46" t="n"/>
      <c r="Z144" s="46" t="n"/>
    </row>
    <row r="145" ht="12.75" customHeight="1">
      <c r="A145" s="100" t="n"/>
      <c r="B145" s="101" t="n"/>
      <c r="C145" s="102" t="n"/>
      <c r="D145" s="99" t="n"/>
      <c r="E145" s="95" t="n"/>
      <c r="F145" s="95" t="n"/>
      <c r="G145" s="94" t="n"/>
      <c r="H145" s="46" t="n"/>
      <c r="I145" s="46" t="n"/>
      <c r="J145" s="46" t="n"/>
      <c r="K145" s="46" t="n"/>
      <c r="L145" s="95" t="n"/>
      <c r="M145" s="95" t="n"/>
      <c r="N145" s="95" t="n"/>
      <c r="O145" s="95" t="n"/>
      <c r="P145" s="95" t="n"/>
      <c r="Q145" s="46" t="n"/>
      <c r="R145" s="46" t="n"/>
      <c r="S145" s="46" t="n"/>
      <c r="T145" s="46" t="n"/>
      <c r="U145" s="46" t="n"/>
      <c r="V145" s="46" t="n"/>
      <c r="W145" s="46" t="n"/>
      <c r="X145" s="46" t="n"/>
      <c r="Y145" s="46" t="n"/>
      <c r="Z145" s="46" t="n"/>
    </row>
    <row r="146" ht="12.75" customHeight="1">
      <c r="A146" s="100" t="n"/>
      <c r="B146" s="101" t="n"/>
      <c r="C146" s="102" t="n"/>
      <c r="D146" s="99" t="n"/>
      <c r="E146" s="95" t="n"/>
      <c r="F146" s="95" t="n"/>
      <c r="G146" s="94" t="n"/>
      <c r="H146" s="46" t="n"/>
      <c r="I146" s="46" t="n"/>
      <c r="J146" s="46" t="n"/>
      <c r="K146" s="46" t="n"/>
      <c r="L146" s="95" t="n"/>
      <c r="M146" s="95" t="n"/>
      <c r="N146" s="95" t="n"/>
      <c r="O146" s="95" t="n"/>
      <c r="P146" s="95" t="n"/>
      <c r="Q146" s="46" t="n"/>
      <c r="R146" s="46" t="n"/>
      <c r="S146" s="46" t="n"/>
      <c r="T146" s="46" t="n"/>
      <c r="U146" s="46" t="n"/>
      <c r="V146" s="46" t="n"/>
      <c r="W146" s="46" t="n"/>
      <c r="X146" s="46" t="n"/>
      <c r="Y146" s="46" t="n"/>
      <c r="Z146" s="46" t="n"/>
    </row>
    <row r="147" ht="12.75" customHeight="1">
      <c r="A147" s="100" t="n"/>
      <c r="B147" s="101" t="n"/>
      <c r="C147" s="102" t="n"/>
      <c r="D147" s="99" t="n"/>
      <c r="E147" s="95" t="n"/>
      <c r="F147" s="95" t="n"/>
      <c r="G147" s="94" t="n"/>
      <c r="H147" s="46" t="n"/>
      <c r="I147" s="46" t="n"/>
      <c r="J147" s="46" t="n"/>
      <c r="K147" s="46" t="n"/>
      <c r="L147" s="95" t="n"/>
      <c r="M147" s="95" t="n"/>
      <c r="N147" s="95" t="n"/>
      <c r="O147" s="95" t="n"/>
      <c r="P147" s="95" t="n"/>
      <c r="Q147" s="46" t="n"/>
      <c r="R147" s="46" t="n"/>
      <c r="S147" s="46" t="n"/>
      <c r="T147" s="46" t="n"/>
      <c r="U147" s="46" t="n"/>
      <c r="V147" s="46" t="n"/>
      <c r="W147" s="46" t="n"/>
      <c r="X147" s="46" t="n"/>
      <c r="Y147" s="46" t="n"/>
      <c r="Z147" s="46" t="n"/>
    </row>
    <row r="148" ht="12.75" customHeight="1">
      <c r="A148" s="100" t="n"/>
      <c r="B148" s="101" t="n"/>
      <c r="C148" s="102" t="n"/>
      <c r="D148" s="99" t="n"/>
      <c r="E148" s="95" t="n"/>
      <c r="F148" s="95" t="n"/>
      <c r="G148" s="94" t="n"/>
      <c r="H148" s="46" t="n"/>
      <c r="I148" s="46" t="n"/>
      <c r="J148" s="46" t="n"/>
      <c r="K148" s="46" t="n"/>
      <c r="L148" s="95" t="n"/>
      <c r="M148" s="95" t="n"/>
      <c r="N148" s="95" t="n"/>
      <c r="O148" s="95" t="n"/>
      <c r="P148" s="95" t="n"/>
      <c r="Q148" s="46" t="n"/>
      <c r="R148" s="46" t="n"/>
      <c r="S148" s="46" t="n"/>
      <c r="T148" s="46" t="n"/>
      <c r="U148" s="46" t="n"/>
      <c r="V148" s="46" t="n"/>
      <c r="W148" s="46" t="n"/>
      <c r="X148" s="46" t="n"/>
      <c r="Y148" s="46" t="n"/>
      <c r="Z148" s="46" t="n"/>
    </row>
    <row r="149" ht="12.75" customHeight="1">
      <c r="A149" s="100" t="n"/>
      <c r="B149" s="101" t="n"/>
      <c r="C149" s="102" t="n"/>
      <c r="D149" s="99" t="n"/>
      <c r="E149" s="95" t="n"/>
      <c r="F149" s="95" t="n"/>
      <c r="G149" s="94" t="n"/>
      <c r="H149" s="46" t="n"/>
      <c r="I149" s="46" t="n"/>
      <c r="J149" s="46" t="n"/>
      <c r="K149" s="46" t="n"/>
      <c r="L149" s="95" t="n"/>
      <c r="M149" s="95" t="n"/>
      <c r="N149" s="95" t="n"/>
      <c r="O149" s="95" t="n"/>
      <c r="P149" s="95" t="n"/>
      <c r="Q149" s="46" t="n"/>
      <c r="R149" s="46" t="n"/>
      <c r="S149" s="46" t="n"/>
      <c r="T149" s="46" t="n"/>
      <c r="U149" s="46" t="n"/>
      <c r="V149" s="46" t="n"/>
      <c r="W149" s="46" t="n"/>
      <c r="X149" s="46" t="n"/>
      <c r="Y149" s="46" t="n"/>
      <c r="Z149" s="46" t="n"/>
    </row>
    <row r="150" ht="12.75" customHeight="1">
      <c r="A150" s="100" t="n"/>
      <c r="B150" s="101" t="n"/>
      <c r="C150" s="102" t="n"/>
      <c r="D150" s="99" t="n"/>
      <c r="E150" s="95" t="n"/>
      <c r="F150" s="95" t="n"/>
      <c r="G150" s="94" t="n"/>
      <c r="H150" s="46" t="n"/>
      <c r="I150" s="46" t="n"/>
      <c r="J150" s="46" t="n"/>
      <c r="K150" s="46" t="n"/>
      <c r="L150" s="95" t="n"/>
      <c r="M150" s="95" t="n"/>
      <c r="N150" s="95" t="n"/>
      <c r="O150" s="95" t="n"/>
      <c r="P150" s="95" t="n"/>
      <c r="Q150" s="46" t="n"/>
      <c r="R150" s="46" t="n"/>
      <c r="S150" s="46" t="n"/>
      <c r="T150" s="46" t="n"/>
      <c r="U150" s="46" t="n"/>
      <c r="V150" s="46" t="n"/>
      <c r="W150" s="46" t="n"/>
      <c r="X150" s="46" t="n"/>
      <c r="Y150" s="46" t="n"/>
      <c r="Z150" s="46" t="n"/>
    </row>
    <row r="151" ht="12.75" customHeight="1">
      <c r="A151" s="100" t="n"/>
      <c r="B151" s="101" t="n"/>
      <c r="C151" s="102" t="n"/>
      <c r="D151" s="99" t="n"/>
      <c r="E151" s="95" t="n"/>
      <c r="F151" s="95" t="n"/>
      <c r="G151" s="94" t="n"/>
      <c r="H151" s="46" t="n"/>
      <c r="I151" s="46" t="n"/>
      <c r="J151" s="46" t="n"/>
      <c r="K151" s="46" t="n"/>
      <c r="L151" s="95" t="n"/>
      <c r="M151" s="95" t="n"/>
      <c r="N151" s="95" t="n"/>
      <c r="O151" s="95" t="n"/>
      <c r="P151" s="95" t="n"/>
      <c r="Q151" s="46" t="n"/>
      <c r="R151" s="46" t="n"/>
      <c r="S151" s="46" t="n"/>
      <c r="T151" s="46" t="n"/>
      <c r="U151" s="46" t="n"/>
      <c r="V151" s="46" t="n"/>
      <c r="W151" s="46" t="n"/>
      <c r="X151" s="46" t="n"/>
      <c r="Y151" s="46" t="n"/>
      <c r="Z151" s="46" t="n"/>
    </row>
    <row r="152" ht="12.75" customHeight="1">
      <c r="A152" s="100" t="n"/>
      <c r="B152" s="101" t="n"/>
      <c r="C152" s="102" t="n"/>
      <c r="D152" s="99" t="n"/>
      <c r="E152" s="95" t="n"/>
      <c r="F152" s="95" t="n"/>
      <c r="G152" s="94" t="n"/>
      <c r="H152" s="46" t="n"/>
      <c r="I152" s="46" t="n"/>
      <c r="J152" s="46" t="n"/>
      <c r="K152" s="46" t="n"/>
      <c r="L152" s="95" t="n"/>
      <c r="M152" s="95" t="n"/>
      <c r="N152" s="95" t="n"/>
      <c r="O152" s="95" t="n"/>
      <c r="P152" s="95" t="n"/>
      <c r="Q152" s="46" t="n"/>
      <c r="R152" s="46" t="n"/>
      <c r="S152" s="46" t="n"/>
      <c r="T152" s="46" t="n"/>
      <c r="U152" s="46" t="n"/>
      <c r="V152" s="46" t="n"/>
      <c r="W152" s="46" t="n"/>
      <c r="X152" s="46" t="n"/>
      <c r="Y152" s="46" t="n"/>
      <c r="Z152" s="46" t="n"/>
    </row>
    <row r="153" ht="12.75" customHeight="1">
      <c r="A153" s="100" t="n"/>
      <c r="B153" s="101" t="n"/>
      <c r="C153" s="102" t="n"/>
      <c r="D153" s="99" t="n"/>
      <c r="E153" s="95" t="n"/>
      <c r="F153" s="95" t="n"/>
      <c r="G153" s="94" t="n"/>
      <c r="H153" s="46" t="n"/>
      <c r="I153" s="46" t="n"/>
      <c r="J153" s="46" t="n"/>
      <c r="K153" s="46" t="n"/>
      <c r="L153" s="95" t="n"/>
      <c r="M153" s="95" t="n"/>
      <c r="N153" s="95" t="n"/>
      <c r="O153" s="95" t="n"/>
      <c r="P153" s="95" t="n"/>
      <c r="Q153" s="46" t="n"/>
      <c r="R153" s="46" t="n"/>
      <c r="S153" s="46" t="n"/>
      <c r="T153" s="46" t="n"/>
      <c r="U153" s="46" t="n"/>
      <c r="V153" s="46" t="n"/>
      <c r="W153" s="46" t="n"/>
      <c r="X153" s="46" t="n"/>
      <c r="Y153" s="46" t="n"/>
      <c r="Z153" s="46" t="n"/>
    </row>
    <row r="154" ht="12.75" customHeight="1">
      <c r="A154" s="100" t="n"/>
      <c r="B154" s="101" t="n"/>
      <c r="C154" s="102" t="n"/>
      <c r="D154" s="99" t="n"/>
      <c r="E154" s="95" t="n"/>
      <c r="F154" s="95" t="n"/>
      <c r="G154" s="94" t="n"/>
      <c r="H154" s="46" t="n"/>
      <c r="I154" s="46" t="n"/>
      <c r="J154" s="46" t="n"/>
      <c r="K154" s="46" t="n"/>
      <c r="L154" s="95" t="n"/>
      <c r="M154" s="95" t="n"/>
      <c r="N154" s="95" t="n"/>
      <c r="O154" s="95" t="n"/>
      <c r="P154" s="95" t="n"/>
      <c r="Q154" s="46" t="n"/>
      <c r="R154" s="46" t="n"/>
      <c r="S154" s="46" t="n"/>
      <c r="T154" s="46" t="n"/>
      <c r="U154" s="46" t="n"/>
      <c r="V154" s="46" t="n"/>
      <c r="W154" s="46" t="n"/>
      <c r="X154" s="46" t="n"/>
      <c r="Y154" s="46" t="n"/>
      <c r="Z154" s="46" t="n"/>
    </row>
    <row r="155" ht="12.75" customHeight="1">
      <c r="A155" s="100" t="n"/>
      <c r="B155" s="101" t="n"/>
      <c r="C155" s="102" t="n"/>
      <c r="D155" s="99" t="n"/>
      <c r="E155" s="95" t="n"/>
      <c r="F155" s="95" t="n"/>
      <c r="G155" s="94" t="n"/>
      <c r="H155" s="46" t="n"/>
      <c r="I155" s="46" t="n"/>
      <c r="J155" s="46" t="n"/>
      <c r="K155" s="46" t="n"/>
      <c r="L155" s="95" t="n"/>
      <c r="M155" s="95" t="n"/>
      <c r="N155" s="95" t="n"/>
      <c r="O155" s="95" t="n"/>
      <c r="P155" s="95" t="n"/>
      <c r="Q155" s="46" t="n"/>
      <c r="R155" s="46" t="n"/>
      <c r="S155" s="46" t="n"/>
      <c r="T155" s="46" t="n"/>
      <c r="U155" s="46" t="n"/>
      <c r="V155" s="46" t="n"/>
      <c r="W155" s="46" t="n"/>
      <c r="X155" s="46" t="n"/>
      <c r="Y155" s="46" t="n"/>
      <c r="Z155" s="46" t="n"/>
    </row>
    <row r="156" ht="12.75" customHeight="1">
      <c r="A156" s="100" t="n"/>
      <c r="B156" s="101" t="n"/>
      <c r="C156" s="102" t="n"/>
      <c r="D156" s="99" t="n"/>
      <c r="E156" s="95" t="n"/>
      <c r="F156" s="95" t="n"/>
      <c r="G156" s="94" t="n"/>
      <c r="H156" s="46" t="n"/>
      <c r="I156" s="46" t="n"/>
      <c r="J156" s="46" t="n"/>
      <c r="K156" s="46" t="n"/>
      <c r="L156" s="95" t="n"/>
      <c r="M156" s="95" t="n"/>
      <c r="N156" s="95" t="n"/>
      <c r="O156" s="95" t="n"/>
      <c r="P156" s="95" t="n"/>
      <c r="Q156" s="46" t="n"/>
      <c r="R156" s="46" t="n"/>
      <c r="S156" s="46" t="n"/>
      <c r="T156" s="46" t="n"/>
      <c r="U156" s="46" t="n"/>
      <c r="V156" s="46" t="n"/>
      <c r="W156" s="46" t="n"/>
      <c r="X156" s="46" t="n"/>
      <c r="Y156" s="46" t="n"/>
      <c r="Z156" s="46" t="n"/>
    </row>
    <row r="157" ht="12.75" customHeight="1">
      <c r="A157" s="100" t="n"/>
      <c r="B157" s="101" t="n"/>
      <c r="C157" s="102" t="n"/>
      <c r="D157" s="99" t="n"/>
      <c r="E157" s="95" t="n"/>
      <c r="F157" s="95" t="n"/>
      <c r="G157" s="94" t="n"/>
      <c r="H157" s="46" t="n"/>
      <c r="I157" s="46" t="n"/>
      <c r="J157" s="46" t="n"/>
      <c r="K157" s="46" t="n"/>
      <c r="L157" s="95" t="n"/>
      <c r="M157" s="95" t="n"/>
      <c r="N157" s="95" t="n"/>
      <c r="O157" s="95" t="n"/>
      <c r="P157" s="95" t="n"/>
      <c r="Q157" s="46" t="n"/>
      <c r="R157" s="46" t="n"/>
      <c r="S157" s="46" t="n"/>
      <c r="T157" s="46" t="n"/>
      <c r="U157" s="46" t="n"/>
      <c r="V157" s="46" t="n"/>
      <c r="W157" s="46" t="n"/>
      <c r="X157" s="46" t="n"/>
      <c r="Y157" s="46" t="n"/>
      <c r="Z157" s="46" t="n"/>
    </row>
    <row r="158" ht="12.75" customHeight="1">
      <c r="A158" s="100" t="n"/>
      <c r="B158" s="101" t="n"/>
      <c r="C158" s="102" t="n"/>
      <c r="D158" s="99" t="n"/>
      <c r="E158" s="95" t="n"/>
      <c r="F158" s="95" t="n"/>
      <c r="G158" s="94" t="n"/>
      <c r="H158" s="46" t="n"/>
      <c r="I158" s="46" t="n"/>
      <c r="J158" s="46" t="n"/>
      <c r="K158" s="46" t="n"/>
      <c r="L158" s="95" t="n"/>
      <c r="M158" s="95" t="n"/>
      <c r="N158" s="95" t="n"/>
      <c r="O158" s="95" t="n"/>
      <c r="P158" s="95" t="n"/>
      <c r="Q158" s="46" t="n"/>
      <c r="R158" s="46" t="n"/>
      <c r="S158" s="46" t="n"/>
      <c r="T158" s="46" t="n"/>
      <c r="U158" s="46" t="n"/>
      <c r="V158" s="46" t="n"/>
      <c r="W158" s="46" t="n"/>
      <c r="X158" s="46" t="n"/>
      <c r="Y158" s="46" t="n"/>
      <c r="Z158" s="46" t="n"/>
    </row>
    <row r="159" ht="12.75" customHeight="1">
      <c r="A159" s="100" t="n"/>
      <c r="B159" s="101" t="n"/>
      <c r="C159" s="102" t="n"/>
      <c r="D159" s="99" t="n"/>
      <c r="E159" s="95" t="n"/>
      <c r="F159" s="95" t="n"/>
      <c r="G159" s="94" t="n"/>
      <c r="H159" s="46" t="n"/>
      <c r="I159" s="46" t="n"/>
      <c r="J159" s="46" t="n"/>
      <c r="K159" s="46" t="n"/>
      <c r="L159" s="95" t="n"/>
      <c r="M159" s="95" t="n"/>
      <c r="N159" s="95" t="n"/>
      <c r="O159" s="95" t="n"/>
      <c r="P159" s="95" t="n"/>
      <c r="Q159" s="46" t="n"/>
      <c r="R159" s="46" t="n"/>
      <c r="S159" s="46" t="n"/>
      <c r="T159" s="46" t="n"/>
      <c r="U159" s="46" t="n"/>
      <c r="V159" s="46" t="n"/>
      <c r="W159" s="46" t="n"/>
      <c r="X159" s="46" t="n"/>
      <c r="Y159" s="46" t="n"/>
      <c r="Z159" s="46" t="n"/>
    </row>
    <row r="160" ht="12.75" customHeight="1">
      <c r="A160" s="100" t="n"/>
      <c r="B160" s="101" t="n"/>
      <c r="C160" s="102" t="n"/>
      <c r="D160" s="99" t="n"/>
      <c r="E160" s="95" t="n"/>
      <c r="F160" s="95" t="n"/>
      <c r="G160" s="94" t="n"/>
      <c r="H160" s="46" t="n"/>
      <c r="I160" s="46" t="n"/>
      <c r="J160" s="46" t="n"/>
      <c r="K160" s="46" t="n"/>
      <c r="L160" s="95" t="n"/>
      <c r="M160" s="95" t="n"/>
      <c r="N160" s="95" t="n"/>
      <c r="O160" s="95" t="n"/>
      <c r="P160" s="95" t="n"/>
      <c r="Q160" s="46" t="n"/>
      <c r="R160" s="46" t="n"/>
      <c r="S160" s="46" t="n"/>
      <c r="T160" s="46" t="n"/>
      <c r="U160" s="46" t="n"/>
      <c r="V160" s="46" t="n"/>
      <c r="W160" s="46" t="n"/>
      <c r="X160" s="46" t="n"/>
      <c r="Y160" s="46" t="n"/>
      <c r="Z160" s="46" t="n"/>
    </row>
    <row r="161" ht="12.75" customHeight="1">
      <c r="A161" s="100" t="n"/>
      <c r="B161" s="101" t="n"/>
      <c r="C161" s="102" t="n"/>
      <c r="D161" s="99" t="n"/>
      <c r="E161" s="95" t="n"/>
      <c r="F161" s="95" t="n"/>
      <c r="G161" s="94" t="n"/>
      <c r="H161" s="46" t="n"/>
      <c r="I161" s="46" t="n"/>
      <c r="J161" s="46" t="n"/>
      <c r="K161" s="46" t="n"/>
      <c r="L161" s="95" t="n"/>
      <c r="M161" s="95" t="n"/>
      <c r="N161" s="95" t="n"/>
      <c r="O161" s="95" t="n"/>
      <c r="P161" s="95" t="n"/>
      <c r="Q161" s="46" t="n"/>
      <c r="R161" s="46" t="n"/>
      <c r="S161" s="46" t="n"/>
      <c r="T161" s="46" t="n"/>
      <c r="U161" s="46" t="n"/>
      <c r="V161" s="46" t="n"/>
      <c r="W161" s="46" t="n"/>
      <c r="X161" s="46" t="n"/>
      <c r="Y161" s="46" t="n"/>
      <c r="Z161" s="46" t="n"/>
    </row>
    <row r="162" ht="12.75" customHeight="1">
      <c r="A162" s="100" t="n"/>
      <c r="B162" s="101" t="n"/>
      <c r="C162" s="102" t="n"/>
      <c r="D162" s="99" t="n"/>
      <c r="E162" s="95" t="n"/>
      <c r="F162" s="95" t="n"/>
      <c r="G162" s="94" t="n"/>
      <c r="H162" s="46" t="n"/>
      <c r="I162" s="46" t="n"/>
      <c r="J162" s="46" t="n"/>
      <c r="K162" s="46" t="n"/>
      <c r="L162" s="95" t="n"/>
      <c r="M162" s="95" t="n"/>
      <c r="N162" s="95" t="n"/>
      <c r="O162" s="95" t="n"/>
      <c r="P162" s="95" t="n"/>
      <c r="Q162" s="46" t="n"/>
      <c r="R162" s="46" t="n"/>
      <c r="S162" s="46" t="n"/>
      <c r="T162" s="46" t="n"/>
      <c r="U162" s="46" t="n"/>
      <c r="V162" s="46" t="n"/>
      <c r="W162" s="46" t="n"/>
      <c r="X162" s="46" t="n"/>
      <c r="Y162" s="46" t="n"/>
      <c r="Z162" s="46" t="n"/>
    </row>
    <row r="163" ht="12.75" customHeight="1">
      <c r="A163" s="100" t="n"/>
      <c r="B163" s="101" t="n"/>
      <c r="C163" s="102" t="n"/>
      <c r="D163" s="99" t="n"/>
      <c r="E163" s="95" t="n"/>
      <c r="F163" s="95" t="n"/>
      <c r="G163" s="94" t="n"/>
      <c r="H163" s="46" t="n"/>
      <c r="I163" s="46" t="n"/>
      <c r="J163" s="46" t="n"/>
      <c r="K163" s="46" t="n"/>
      <c r="L163" s="95" t="n"/>
      <c r="M163" s="95" t="n"/>
      <c r="N163" s="95" t="n"/>
      <c r="O163" s="95" t="n"/>
      <c r="P163" s="95" t="n"/>
      <c r="Q163" s="46" t="n"/>
      <c r="R163" s="46" t="n"/>
      <c r="S163" s="46" t="n"/>
      <c r="T163" s="46" t="n"/>
      <c r="U163" s="46" t="n"/>
      <c r="V163" s="46" t="n"/>
      <c r="W163" s="46" t="n"/>
      <c r="X163" s="46" t="n"/>
      <c r="Y163" s="46" t="n"/>
      <c r="Z163" s="46" t="n"/>
    </row>
    <row r="164" ht="12.75" customHeight="1">
      <c r="A164" s="100" t="n"/>
      <c r="B164" s="101" t="n"/>
      <c r="C164" s="102" t="n"/>
      <c r="D164" s="99" t="n"/>
      <c r="E164" s="95" t="n"/>
      <c r="F164" s="95" t="n"/>
      <c r="G164" s="94" t="n"/>
      <c r="H164" s="46" t="n"/>
      <c r="I164" s="46" t="n"/>
      <c r="J164" s="46" t="n"/>
      <c r="K164" s="46" t="n"/>
      <c r="L164" s="95" t="n"/>
      <c r="M164" s="95" t="n"/>
      <c r="N164" s="95" t="n"/>
      <c r="O164" s="95" t="n"/>
      <c r="P164" s="95" t="n"/>
      <c r="Q164" s="46" t="n"/>
      <c r="R164" s="46" t="n"/>
      <c r="S164" s="46" t="n"/>
      <c r="T164" s="46" t="n"/>
      <c r="U164" s="46" t="n"/>
      <c r="V164" s="46" t="n"/>
      <c r="W164" s="46" t="n"/>
      <c r="X164" s="46" t="n"/>
      <c r="Y164" s="46" t="n"/>
      <c r="Z164" s="46" t="n"/>
    </row>
    <row r="165" ht="12.75" customHeight="1">
      <c r="A165" s="100" t="n"/>
      <c r="B165" s="101" t="n"/>
      <c r="C165" s="102" t="n"/>
      <c r="D165" s="99" t="n"/>
      <c r="E165" s="95" t="n"/>
      <c r="F165" s="95" t="n"/>
      <c r="G165" s="94" t="n"/>
      <c r="H165" s="46" t="n"/>
      <c r="I165" s="46" t="n"/>
      <c r="J165" s="46" t="n"/>
      <c r="K165" s="46" t="n"/>
      <c r="L165" s="95" t="n"/>
      <c r="M165" s="95" t="n"/>
      <c r="N165" s="95" t="n"/>
      <c r="O165" s="95" t="n"/>
      <c r="P165" s="95" t="n"/>
      <c r="Q165" s="46" t="n"/>
      <c r="R165" s="46" t="n"/>
      <c r="S165" s="46" t="n"/>
      <c r="T165" s="46" t="n"/>
      <c r="U165" s="46" t="n"/>
      <c r="V165" s="46" t="n"/>
      <c r="W165" s="46" t="n"/>
      <c r="X165" s="46" t="n"/>
      <c r="Y165" s="46" t="n"/>
      <c r="Z165" s="46" t="n"/>
    </row>
    <row r="166" ht="12.75" customHeight="1">
      <c r="A166" s="100" t="n"/>
      <c r="B166" s="101" t="n"/>
      <c r="C166" s="102" t="n"/>
      <c r="D166" s="99" t="n"/>
      <c r="E166" s="95" t="n"/>
      <c r="F166" s="95" t="n"/>
      <c r="G166" s="94" t="n"/>
      <c r="H166" s="46" t="n"/>
      <c r="I166" s="46" t="n"/>
      <c r="J166" s="46" t="n"/>
      <c r="K166" s="46" t="n"/>
      <c r="L166" s="95" t="n"/>
      <c r="M166" s="95" t="n"/>
      <c r="N166" s="95" t="n"/>
      <c r="O166" s="95" t="n"/>
      <c r="P166" s="95" t="n"/>
      <c r="Q166" s="46" t="n"/>
      <c r="R166" s="46" t="n"/>
      <c r="S166" s="46" t="n"/>
      <c r="T166" s="46" t="n"/>
      <c r="U166" s="46" t="n"/>
      <c r="V166" s="46" t="n"/>
      <c r="W166" s="46" t="n"/>
      <c r="X166" s="46" t="n"/>
      <c r="Y166" s="46" t="n"/>
      <c r="Z166" s="46" t="n"/>
    </row>
    <row r="167" ht="12.75" customHeight="1">
      <c r="A167" s="100" t="n"/>
      <c r="B167" s="101" t="n"/>
      <c r="C167" s="102" t="n"/>
      <c r="D167" s="99" t="n"/>
      <c r="E167" s="95" t="n"/>
      <c r="F167" s="95" t="n"/>
      <c r="G167" s="94" t="n"/>
      <c r="H167" s="46" t="n"/>
      <c r="I167" s="46" t="n"/>
      <c r="J167" s="46" t="n"/>
      <c r="K167" s="46" t="n"/>
      <c r="L167" s="95" t="n"/>
      <c r="M167" s="95" t="n"/>
      <c r="N167" s="95" t="n"/>
      <c r="O167" s="95" t="n"/>
      <c r="P167" s="95" t="n"/>
      <c r="Q167" s="46" t="n"/>
      <c r="R167" s="46" t="n"/>
      <c r="S167" s="46" t="n"/>
      <c r="T167" s="46" t="n"/>
      <c r="U167" s="46" t="n"/>
      <c r="V167" s="46" t="n"/>
      <c r="W167" s="46" t="n"/>
      <c r="X167" s="46" t="n"/>
      <c r="Y167" s="46" t="n"/>
      <c r="Z167" s="46" t="n"/>
    </row>
    <row r="168" ht="12.75" customHeight="1">
      <c r="A168" s="100" t="n"/>
      <c r="B168" s="101" t="n"/>
      <c r="C168" s="102" t="n"/>
      <c r="D168" s="99" t="n"/>
      <c r="E168" s="95" t="n"/>
      <c r="F168" s="95" t="n"/>
      <c r="G168" s="94" t="n"/>
      <c r="H168" s="46" t="n"/>
      <c r="I168" s="46" t="n"/>
      <c r="J168" s="46" t="n"/>
      <c r="K168" s="46" t="n"/>
      <c r="L168" s="95" t="n"/>
      <c r="M168" s="95" t="n"/>
      <c r="N168" s="95" t="n"/>
      <c r="O168" s="95" t="n"/>
      <c r="P168" s="95" t="n"/>
      <c r="Q168" s="46" t="n"/>
      <c r="R168" s="46" t="n"/>
      <c r="S168" s="46" t="n"/>
      <c r="T168" s="46" t="n"/>
      <c r="U168" s="46" t="n"/>
      <c r="V168" s="46" t="n"/>
      <c r="W168" s="46" t="n"/>
      <c r="X168" s="46" t="n"/>
      <c r="Y168" s="46" t="n"/>
      <c r="Z168" s="46" t="n"/>
    </row>
    <row r="169" ht="12.75" customHeight="1">
      <c r="A169" s="100" t="n"/>
      <c r="B169" s="101" t="n"/>
      <c r="C169" s="102" t="n"/>
      <c r="D169" s="99" t="n"/>
      <c r="E169" s="95" t="n"/>
      <c r="F169" s="95" t="n"/>
      <c r="G169" s="94" t="n"/>
      <c r="H169" s="46" t="n"/>
      <c r="I169" s="46" t="n"/>
      <c r="J169" s="46" t="n"/>
      <c r="K169" s="46" t="n"/>
      <c r="L169" s="95" t="n"/>
      <c r="M169" s="95" t="n"/>
      <c r="N169" s="95" t="n"/>
      <c r="O169" s="95" t="n"/>
      <c r="P169" s="95" t="n"/>
      <c r="Q169" s="46" t="n"/>
      <c r="R169" s="46" t="n"/>
      <c r="S169" s="46" t="n"/>
      <c r="T169" s="46" t="n"/>
      <c r="U169" s="46" t="n"/>
      <c r="V169" s="46" t="n"/>
      <c r="W169" s="46" t="n"/>
      <c r="X169" s="46" t="n"/>
      <c r="Y169" s="46" t="n"/>
      <c r="Z169" s="46" t="n"/>
    </row>
    <row r="170" ht="12.75" customHeight="1">
      <c r="A170" s="100" t="n"/>
      <c r="B170" s="101" t="n"/>
      <c r="C170" s="102" t="n"/>
      <c r="D170" s="99" t="n"/>
      <c r="E170" s="95" t="n"/>
      <c r="F170" s="95" t="n"/>
      <c r="G170" s="94" t="n"/>
      <c r="H170" s="46" t="n"/>
      <c r="I170" s="46" t="n"/>
      <c r="J170" s="46" t="n"/>
      <c r="K170" s="46" t="n"/>
      <c r="L170" s="95" t="n"/>
      <c r="M170" s="95" t="n"/>
      <c r="N170" s="95" t="n"/>
      <c r="O170" s="95" t="n"/>
      <c r="P170" s="95" t="n"/>
      <c r="Q170" s="46" t="n"/>
      <c r="R170" s="46" t="n"/>
      <c r="S170" s="46" t="n"/>
      <c r="T170" s="46" t="n"/>
      <c r="U170" s="46" t="n"/>
      <c r="V170" s="46" t="n"/>
      <c r="W170" s="46" t="n"/>
      <c r="X170" s="46" t="n"/>
      <c r="Y170" s="46" t="n"/>
      <c r="Z170" s="46" t="n"/>
    </row>
    <row r="171" ht="12.75" customHeight="1">
      <c r="A171" s="100" t="n"/>
      <c r="B171" s="101" t="n"/>
      <c r="C171" s="102" t="n"/>
      <c r="D171" s="99" t="n"/>
      <c r="E171" s="95" t="n"/>
      <c r="F171" s="95" t="n"/>
      <c r="G171" s="94" t="n"/>
      <c r="H171" s="46" t="n"/>
      <c r="I171" s="46" t="n"/>
      <c r="J171" s="46" t="n"/>
      <c r="K171" s="46" t="n"/>
      <c r="L171" s="95" t="n"/>
      <c r="M171" s="95" t="n"/>
      <c r="N171" s="95" t="n"/>
      <c r="O171" s="95" t="n"/>
      <c r="P171" s="95" t="n"/>
      <c r="Q171" s="46" t="n"/>
      <c r="R171" s="46" t="n"/>
      <c r="S171" s="46" t="n"/>
      <c r="T171" s="46" t="n"/>
      <c r="U171" s="46" t="n"/>
      <c r="V171" s="46" t="n"/>
      <c r="W171" s="46" t="n"/>
      <c r="X171" s="46" t="n"/>
      <c r="Y171" s="46" t="n"/>
      <c r="Z171" s="46" t="n"/>
    </row>
    <row r="172" ht="12.75" customHeight="1">
      <c r="A172" s="100" t="n"/>
      <c r="B172" s="101" t="n"/>
      <c r="C172" s="102" t="n"/>
      <c r="D172" s="99" t="n"/>
      <c r="E172" s="95" t="n"/>
      <c r="F172" s="95" t="n"/>
      <c r="G172" s="94" t="n"/>
      <c r="H172" s="46" t="n"/>
      <c r="I172" s="46" t="n"/>
      <c r="J172" s="46" t="n"/>
      <c r="K172" s="46" t="n"/>
      <c r="L172" s="95" t="n"/>
      <c r="M172" s="95" t="n"/>
      <c r="N172" s="95" t="n"/>
      <c r="O172" s="95" t="n"/>
      <c r="P172" s="95" t="n"/>
      <c r="Q172" s="46" t="n"/>
      <c r="R172" s="46" t="n"/>
      <c r="S172" s="46" t="n"/>
      <c r="T172" s="46" t="n"/>
      <c r="U172" s="46" t="n"/>
      <c r="V172" s="46" t="n"/>
      <c r="W172" s="46" t="n"/>
      <c r="X172" s="46" t="n"/>
      <c r="Y172" s="46" t="n"/>
      <c r="Z172" s="46" t="n"/>
    </row>
    <row r="173" ht="12.75" customHeight="1">
      <c r="A173" s="100" t="n"/>
      <c r="B173" s="101" t="n"/>
      <c r="C173" s="102" t="n"/>
      <c r="D173" s="99" t="n"/>
      <c r="E173" s="95" t="n"/>
      <c r="F173" s="95" t="n"/>
      <c r="G173" s="94" t="n"/>
      <c r="H173" s="46" t="n"/>
      <c r="I173" s="46" t="n"/>
      <c r="J173" s="46" t="n"/>
      <c r="K173" s="46" t="n"/>
      <c r="L173" s="95" t="n"/>
      <c r="M173" s="95" t="n"/>
      <c r="N173" s="95" t="n"/>
      <c r="O173" s="95" t="n"/>
      <c r="P173" s="95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  <c r="Z173" s="46" t="n"/>
    </row>
    <row r="174" ht="12.75" customHeight="1">
      <c r="A174" s="100" t="n"/>
      <c r="B174" s="101" t="n"/>
      <c r="C174" s="102" t="n"/>
      <c r="D174" s="99" t="n"/>
      <c r="E174" s="95" t="n"/>
      <c r="F174" s="95" t="n"/>
      <c r="G174" s="94" t="n"/>
      <c r="H174" s="46" t="n"/>
      <c r="I174" s="46" t="n"/>
      <c r="J174" s="46" t="n"/>
      <c r="K174" s="46" t="n"/>
      <c r="L174" s="95" t="n"/>
      <c r="M174" s="95" t="n"/>
      <c r="N174" s="95" t="n"/>
      <c r="O174" s="95" t="n"/>
      <c r="P174" s="95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  <c r="Z174" s="46" t="n"/>
    </row>
    <row r="175" ht="12.75" customHeight="1">
      <c r="A175" s="100" t="n"/>
      <c r="B175" s="101" t="n"/>
      <c r="C175" s="102" t="n"/>
      <c r="D175" s="99" t="n"/>
      <c r="E175" s="95" t="n"/>
      <c r="F175" s="95" t="n"/>
      <c r="G175" s="94" t="n"/>
      <c r="H175" s="46" t="n"/>
      <c r="I175" s="46" t="n"/>
      <c r="J175" s="46" t="n"/>
      <c r="K175" s="46" t="n"/>
      <c r="L175" s="95" t="n"/>
      <c r="M175" s="95" t="n"/>
      <c r="N175" s="95" t="n"/>
      <c r="O175" s="95" t="n"/>
      <c r="P175" s="95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  <c r="Z175" s="46" t="n"/>
    </row>
    <row r="176" ht="12.75" customHeight="1">
      <c r="A176" s="100" t="n"/>
      <c r="B176" s="101" t="n"/>
      <c r="C176" s="102" t="n"/>
      <c r="D176" s="99" t="n"/>
      <c r="E176" s="95" t="n"/>
      <c r="F176" s="95" t="n"/>
      <c r="G176" s="94" t="n"/>
      <c r="H176" s="46" t="n"/>
      <c r="I176" s="46" t="n"/>
      <c r="J176" s="46" t="n"/>
      <c r="K176" s="46" t="n"/>
      <c r="L176" s="95" t="n"/>
      <c r="M176" s="95" t="n"/>
      <c r="N176" s="95" t="n"/>
      <c r="O176" s="95" t="n"/>
      <c r="P176" s="95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  <c r="Z176" s="46" t="n"/>
    </row>
    <row r="177" ht="12.75" customHeight="1">
      <c r="A177" s="100" t="n"/>
      <c r="B177" s="101" t="n"/>
      <c r="C177" s="102" t="n"/>
      <c r="D177" s="99" t="n"/>
      <c r="E177" s="95" t="n"/>
      <c r="F177" s="95" t="n"/>
      <c r="G177" s="94" t="n"/>
      <c r="H177" s="46" t="n"/>
      <c r="I177" s="46" t="n"/>
      <c r="J177" s="46" t="n"/>
      <c r="K177" s="46" t="n"/>
      <c r="L177" s="95" t="n"/>
      <c r="M177" s="95" t="n"/>
      <c r="N177" s="95" t="n"/>
      <c r="O177" s="95" t="n"/>
      <c r="P177" s="95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  <c r="Z177" s="46" t="n"/>
    </row>
    <row r="178" ht="12.75" customHeight="1">
      <c r="A178" s="100" t="n"/>
      <c r="B178" s="101" t="n"/>
      <c r="C178" s="102" t="n"/>
      <c r="D178" s="99" t="n"/>
      <c r="E178" s="95" t="n"/>
      <c r="F178" s="95" t="n"/>
      <c r="G178" s="94" t="n"/>
      <c r="H178" s="46" t="n"/>
      <c r="I178" s="46" t="n"/>
      <c r="J178" s="46" t="n"/>
      <c r="K178" s="46" t="n"/>
      <c r="L178" s="95" t="n"/>
      <c r="M178" s="95" t="n"/>
      <c r="N178" s="95" t="n"/>
      <c r="O178" s="95" t="n"/>
      <c r="P178" s="95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  <c r="Z178" s="46" t="n"/>
    </row>
    <row r="179" ht="12.75" customHeight="1">
      <c r="A179" s="100" t="n"/>
      <c r="B179" s="101" t="n"/>
      <c r="C179" s="102" t="n"/>
      <c r="D179" s="99" t="n"/>
      <c r="E179" s="95" t="n"/>
      <c r="F179" s="95" t="n"/>
      <c r="G179" s="94" t="n"/>
      <c r="H179" s="46" t="n"/>
      <c r="I179" s="46" t="n"/>
      <c r="J179" s="46" t="n"/>
      <c r="K179" s="46" t="n"/>
      <c r="L179" s="95" t="n"/>
      <c r="M179" s="95" t="n"/>
      <c r="N179" s="95" t="n"/>
      <c r="O179" s="95" t="n"/>
      <c r="P179" s="95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  <c r="Z179" s="46" t="n"/>
    </row>
    <row r="180" ht="12.75" customHeight="1">
      <c r="A180" s="100" t="n"/>
      <c r="B180" s="101" t="n"/>
      <c r="C180" s="102" t="n"/>
      <c r="D180" s="99" t="n"/>
      <c r="E180" s="95" t="n"/>
      <c r="F180" s="95" t="n"/>
      <c r="G180" s="94" t="n"/>
      <c r="H180" s="46" t="n"/>
      <c r="I180" s="46" t="n"/>
      <c r="J180" s="46" t="n"/>
      <c r="K180" s="46" t="n"/>
      <c r="L180" s="95" t="n"/>
      <c r="M180" s="95" t="n"/>
      <c r="N180" s="95" t="n"/>
      <c r="O180" s="95" t="n"/>
      <c r="P180" s="95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  <c r="Z180" s="46" t="n"/>
    </row>
    <row r="181" ht="12.75" customHeight="1">
      <c r="A181" s="100" t="n"/>
      <c r="B181" s="101" t="n"/>
      <c r="C181" s="102" t="n"/>
      <c r="D181" s="99" t="n"/>
      <c r="E181" s="95" t="n"/>
      <c r="F181" s="95" t="n"/>
      <c r="G181" s="94" t="n"/>
      <c r="H181" s="46" t="n"/>
      <c r="I181" s="46" t="n"/>
      <c r="J181" s="46" t="n"/>
      <c r="K181" s="46" t="n"/>
      <c r="L181" s="95" t="n"/>
      <c r="M181" s="95" t="n"/>
      <c r="N181" s="95" t="n"/>
      <c r="O181" s="95" t="n"/>
      <c r="P181" s="95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  <c r="Z181" s="46" t="n"/>
    </row>
    <row r="182" ht="12.75" customHeight="1">
      <c r="A182" s="100" t="n"/>
      <c r="B182" s="101" t="n"/>
      <c r="C182" s="102" t="n"/>
      <c r="D182" s="99" t="n"/>
      <c r="E182" s="95" t="n"/>
      <c r="F182" s="95" t="n"/>
      <c r="G182" s="94" t="n"/>
      <c r="H182" s="46" t="n"/>
      <c r="I182" s="46" t="n"/>
      <c r="J182" s="46" t="n"/>
      <c r="K182" s="46" t="n"/>
      <c r="L182" s="95" t="n"/>
      <c r="M182" s="95" t="n"/>
      <c r="N182" s="95" t="n"/>
      <c r="O182" s="95" t="n"/>
      <c r="P182" s="95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  <c r="Z182" s="46" t="n"/>
    </row>
    <row r="183" ht="12.75" customHeight="1">
      <c r="A183" s="100" t="n"/>
      <c r="B183" s="101" t="n"/>
      <c r="C183" s="102" t="n"/>
      <c r="D183" s="99" t="n"/>
      <c r="E183" s="95" t="n"/>
      <c r="F183" s="95" t="n"/>
      <c r="G183" s="94" t="n"/>
      <c r="H183" s="46" t="n"/>
      <c r="I183" s="46" t="n"/>
      <c r="J183" s="46" t="n"/>
      <c r="K183" s="46" t="n"/>
      <c r="L183" s="95" t="n"/>
      <c r="M183" s="95" t="n"/>
      <c r="N183" s="95" t="n"/>
      <c r="O183" s="95" t="n"/>
      <c r="P183" s="95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  <c r="Z183" s="46" t="n"/>
    </row>
    <row r="184" ht="12.75" customHeight="1">
      <c r="A184" s="100" t="n"/>
      <c r="B184" s="101" t="n"/>
      <c r="C184" s="102" t="n"/>
      <c r="D184" s="99" t="n"/>
      <c r="E184" s="95" t="n"/>
      <c r="F184" s="95" t="n"/>
      <c r="G184" s="94" t="n"/>
      <c r="H184" s="46" t="n"/>
      <c r="I184" s="46" t="n"/>
      <c r="J184" s="46" t="n"/>
      <c r="K184" s="46" t="n"/>
      <c r="L184" s="95" t="n"/>
      <c r="M184" s="95" t="n"/>
      <c r="N184" s="95" t="n"/>
      <c r="O184" s="95" t="n"/>
      <c r="P184" s="95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  <c r="Z184" s="46" t="n"/>
    </row>
    <row r="185" ht="12.75" customHeight="1">
      <c r="A185" s="100" t="n"/>
      <c r="B185" s="101" t="n"/>
      <c r="C185" s="102" t="n"/>
      <c r="D185" s="99" t="n"/>
      <c r="E185" s="95" t="n"/>
      <c r="F185" s="95" t="n"/>
      <c r="G185" s="94" t="n"/>
      <c r="H185" s="46" t="n"/>
      <c r="I185" s="46" t="n"/>
      <c r="J185" s="46" t="n"/>
      <c r="K185" s="46" t="n"/>
      <c r="L185" s="95" t="n"/>
      <c r="M185" s="95" t="n"/>
      <c r="N185" s="95" t="n"/>
      <c r="O185" s="95" t="n"/>
      <c r="P185" s="95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  <c r="Z185" s="46" t="n"/>
    </row>
    <row r="186" ht="12.75" customHeight="1">
      <c r="A186" s="100" t="n"/>
      <c r="B186" s="101" t="n"/>
      <c r="C186" s="102" t="n"/>
      <c r="D186" s="99" t="n"/>
      <c r="E186" s="95" t="n"/>
      <c r="F186" s="95" t="n"/>
      <c r="G186" s="94" t="n"/>
      <c r="H186" s="46" t="n"/>
      <c r="I186" s="46" t="n"/>
      <c r="J186" s="46" t="n"/>
      <c r="K186" s="46" t="n"/>
      <c r="L186" s="95" t="n"/>
      <c r="M186" s="95" t="n"/>
      <c r="N186" s="95" t="n"/>
      <c r="O186" s="95" t="n"/>
      <c r="P186" s="95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  <c r="Z186" s="46" t="n"/>
    </row>
    <row r="187" ht="12.75" customHeight="1">
      <c r="A187" s="100" t="n"/>
      <c r="B187" s="101" t="n"/>
      <c r="C187" s="102" t="n"/>
      <c r="D187" s="99" t="n"/>
      <c r="E187" s="95" t="n"/>
      <c r="F187" s="95" t="n"/>
      <c r="G187" s="94" t="n"/>
      <c r="H187" s="46" t="n"/>
      <c r="I187" s="46" t="n"/>
      <c r="J187" s="46" t="n"/>
      <c r="K187" s="46" t="n"/>
      <c r="L187" s="95" t="n"/>
      <c r="M187" s="95" t="n"/>
      <c r="N187" s="95" t="n"/>
      <c r="O187" s="95" t="n"/>
      <c r="P187" s="95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  <c r="Z187" s="46" t="n"/>
    </row>
    <row r="188" ht="12.75" customHeight="1">
      <c r="A188" s="100" t="n"/>
      <c r="B188" s="101" t="n"/>
      <c r="C188" s="102" t="n"/>
      <c r="D188" s="99" t="n"/>
      <c r="E188" s="95" t="n"/>
      <c r="F188" s="95" t="n"/>
      <c r="G188" s="94" t="n"/>
      <c r="H188" s="46" t="n"/>
      <c r="I188" s="46" t="n"/>
      <c r="J188" s="46" t="n"/>
      <c r="K188" s="46" t="n"/>
      <c r="L188" s="95" t="n"/>
      <c r="M188" s="95" t="n"/>
      <c r="N188" s="95" t="n"/>
      <c r="O188" s="95" t="n"/>
      <c r="P188" s="95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  <c r="Z188" s="46" t="n"/>
    </row>
    <row r="189" ht="12.75" customHeight="1">
      <c r="A189" s="100" t="n"/>
      <c r="B189" s="101" t="n"/>
      <c r="C189" s="102" t="n"/>
      <c r="D189" s="99" t="n"/>
      <c r="E189" s="95" t="n"/>
      <c r="F189" s="95" t="n"/>
      <c r="G189" s="94" t="n"/>
      <c r="H189" s="46" t="n"/>
      <c r="I189" s="46" t="n"/>
      <c r="J189" s="46" t="n"/>
      <c r="K189" s="46" t="n"/>
      <c r="L189" s="95" t="n"/>
      <c r="M189" s="95" t="n"/>
      <c r="N189" s="95" t="n"/>
      <c r="O189" s="95" t="n"/>
      <c r="P189" s="95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  <c r="Z189" s="46" t="n"/>
    </row>
    <row r="190" ht="12.75" customHeight="1">
      <c r="A190" s="100" t="n"/>
      <c r="B190" s="101" t="n"/>
      <c r="C190" s="102" t="n"/>
      <c r="D190" s="99" t="n"/>
      <c r="E190" s="95" t="n"/>
      <c r="F190" s="95" t="n"/>
      <c r="G190" s="94" t="n"/>
      <c r="H190" s="46" t="n"/>
      <c r="I190" s="46" t="n"/>
      <c r="J190" s="46" t="n"/>
      <c r="K190" s="46" t="n"/>
      <c r="L190" s="95" t="n"/>
      <c r="M190" s="95" t="n"/>
      <c r="N190" s="95" t="n"/>
      <c r="O190" s="95" t="n"/>
      <c r="P190" s="95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  <c r="Z190" s="46" t="n"/>
    </row>
    <row r="191" ht="12.75" customHeight="1">
      <c r="A191" s="100" t="n"/>
      <c r="B191" s="101" t="n"/>
      <c r="C191" s="102" t="n"/>
      <c r="D191" s="99" t="n"/>
      <c r="E191" s="95" t="n"/>
      <c r="F191" s="95" t="n"/>
      <c r="G191" s="94" t="n"/>
      <c r="H191" s="46" t="n"/>
      <c r="I191" s="46" t="n"/>
      <c r="J191" s="46" t="n"/>
      <c r="K191" s="46" t="n"/>
      <c r="L191" s="95" t="n"/>
      <c r="M191" s="95" t="n"/>
      <c r="N191" s="95" t="n"/>
      <c r="O191" s="95" t="n"/>
      <c r="P191" s="95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  <c r="Z191" s="46" t="n"/>
    </row>
    <row r="192" ht="12.75" customHeight="1">
      <c r="A192" s="100" t="n"/>
      <c r="B192" s="101" t="n"/>
      <c r="C192" s="102" t="n"/>
      <c r="D192" s="99" t="n"/>
      <c r="E192" s="95" t="n"/>
      <c r="F192" s="95" t="n"/>
      <c r="G192" s="94" t="n"/>
      <c r="H192" s="46" t="n"/>
      <c r="I192" s="46" t="n"/>
      <c r="J192" s="46" t="n"/>
      <c r="K192" s="46" t="n"/>
      <c r="L192" s="95" t="n"/>
      <c r="M192" s="95" t="n"/>
      <c r="N192" s="95" t="n"/>
      <c r="O192" s="95" t="n"/>
      <c r="P192" s="95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  <c r="Z192" s="46" t="n"/>
    </row>
    <row r="193" ht="12.75" customHeight="1">
      <c r="A193" s="100" t="n"/>
      <c r="B193" s="101" t="n"/>
      <c r="C193" s="102" t="n"/>
      <c r="D193" s="99" t="n"/>
      <c r="E193" s="95" t="n"/>
      <c r="F193" s="95" t="n"/>
      <c r="G193" s="94" t="n"/>
      <c r="H193" s="46" t="n"/>
      <c r="I193" s="46" t="n"/>
      <c r="J193" s="46" t="n"/>
      <c r="K193" s="46" t="n"/>
      <c r="L193" s="95" t="n"/>
      <c r="M193" s="95" t="n"/>
      <c r="N193" s="95" t="n"/>
      <c r="O193" s="95" t="n"/>
      <c r="P193" s="95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  <c r="Z193" s="46" t="n"/>
    </row>
    <row r="194" ht="12.75" customHeight="1">
      <c r="A194" s="100" t="n"/>
      <c r="B194" s="101" t="n"/>
      <c r="C194" s="102" t="n"/>
      <c r="D194" s="99" t="n"/>
      <c r="E194" s="95" t="n"/>
      <c r="F194" s="95" t="n"/>
      <c r="G194" s="94" t="n"/>
      <c r="H194" s="46" t="n"/>
      <c r="I194" s="46" t="n"/>
      <c r="J194" s="46" t="n"/>
      <c r="K194" s="46" t="n"/>
      <c r="L194" s="95" t="n"/>
      <c r="M194" s="95" t="n"/>
      <c r="N194" s="95" t="n"/>
      <c r="O194" s="95" t="n"/>
      <c r="P194" s="95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  <c r="Z194" s="46" t="n"/>
    </row>
    <row r="195" ht="12.75" customHeight="1">
      <c r="A195" s="100" t="n"/>
      <c r="B195" s="101" t="n"/>
      <c r="C195" s="102" t="n"/>
      <c r="D195" s="99" t="n"/>
      <c r="E195" s="95" t="n"/>
      <c r="F195" s="95" t="n"/>
      <c r="G195" s="94" t="n"/>
      <c r="H195" s="46" t="n"/>
      <c r="I195" s="46" t="n"/>
      <c r="J195" s="46" t="n"/>
      <c r="K195" s="46" t="n"/>
      <c r="L195" s="95" t="n"/>
      <c r="M195" s="95" t="n"/>
      <c r="N195" s="95" t="n"/>
      <c r="O195" s="95" t="n"/>
      <c r="P195" s="95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  <c r="Z195" s="46" t="n"/>
    </row>
    <row r="196" ht="12.75" customHeight="1">
      <c r="A196" s="100" t="n"/>
      <c r="B196" s="101" t="n"/>
      <c r="C196" s="102" t="n"/>
      <c r="D196" s="99" t="n"/>
      <c r="E196" s="95" t="n"/>
      <c r="F196" s="95" t="n"/>
      <c r="G196" s="94" t="n"/>
      <c r="H196" s="46" t="n"/>
      <c r="I196" s="46" t="n"/>
      <c r="J196" s="46" t="n"/>
      <c r="K196" s="46" t="n"/>
      <c r="L196" s="95" t="n"/>
      <c r="M196" s="95" t="n"/>
      <c r="N196" s="95" t="n"/>
      <c r="O196" s="95" t="n"/>
      <c r="P196" s="95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  <c r="Z196" s="46" t="n"/>
    </row>
    <row r="197" ht="12.75" customHeight="1">
      <c r="A197" s="100" t="n"/>
      <c r="B197" s="101" t="n"/>
      <c r="C197" s="102" t="n"/>
      <c r="D197" s="99" t="n"/>
      <c r="E197" s="95" t="n"/>
      <c r="F197" s="95" t="n"/>
      <c r="G197" s="94" t="n"/>
      <c r="H197" s="46" t="n"/>
      <c r="I197" s="46" t="n"/>
      <c r="J197" s="46" t="n"/>
      <c r="K197" s="46" t="n"/>
      <c r="L197" s="95" t="n"/>
      <c r="M197" s="95" t="n"/>
      <c r="N197" s="95" t="n"/>
      <c r="O197" s="95" t="n"/>
      <c r="P197" s="95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  <c r="Z197" s="46" t="n"/>
    </row>
    <row r="198" ht="12.75" customHeight="1">
      <c r="A198" s="100" t="n"/>
      <c r="B198" s="101" t="n"/>
      <c r="C198" s="102" t="n"/>
      <c r="D198" s="99" t="n"/>
      <c r="E198" s="95" t="n"/>
      <c r="F198" s="95" t="n"/>
      <c r="G198" s="94" t="n"/>
      <c r="H198" s="46" t="n"/>
      <c r="I198" s="46" t="n"/>
      <c r="J198" s="46" t="n"/>
      <c r="K198" s="46" t="n"/>
      <c r="L198" s="95" t="n"/>
      <c r="M198" s="95" t="n"/>
      <c r="N198" s="95" t="n"/>
      <c r="O198" s="95" t="n"/>
      <c r="P198" s="95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  <c r="Z198" s="46" t="n"/>
    </row>
    <row r="199" ht="12.75" customHeight="1">
      <c r="A199" s="100" t="n"/>
      <c r="B199" s="101" t="n"/>
      <c r="C199" s="102" t="n"/>
      <c r="D199" s="99" t="n"/>
      <c r="E199" s="95" t="n"/>
      <c r="F199" s="95" t="n"/>
      <c r="G199" s="94" t="n"/>
      <c r="H199" s="46" t="n"/>
      <c r="I199" s="46" t="n"/>
      <c r="J199" s="46" t="n"/>
      <c r="K199" s="46" t="n"/>
      <c r="L199" s="95" t="n"/>
      <c r="M199" s="95" t="n"/>
      <c r="N199" s="95" t="n"/>
      <c r="O199" s="95" t="n"/>
      <c r="P199" s="95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  <c r="Z199" s="46" t="n"/>
    </row>
    <row r="200" ht="12.75" customHeight="1">
      <c r="A200" s="100" t="n"/>
      <c r="B200" s="101" t="n"/>
      <c r="C200" s="102" t="n"/>
      <c r="D200" s="99" t="n"/>
      <c r="E200" s="95" t="n"/>
      <c r="F200" s="95" t="n"/>
      <c r="G200" s="94" t="n"/>
      <c r="H200" s="46" t="n"/>
      <c r="I200" s="46" t="n"/>
      <c r="J200" s="46" t="n"/>
      <c r="K200" s="46" t="n"/>
      <c r="L200" s="95" t="n"/>
      <c r="M200" s="95" t="n"/>
      <c r="N200" s="95" t="n"/>
      <c r="O200" s="95" t="n"/>
      <c r="P200" s="95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  <c r="Z200" s="46" t="n"/>
    </row>
    <row r="201" ht="12.75" customHeight="1">
      <c r="A201" s="100" t="n"/>
      <c r="B201" s="101" t="n"/>
      <c r="C201" s="102" t="n"/>
      <c r="D201" s="99" t="n"/>
      <c r="E201" s="95" t="n"/>
      <c r="F201" s="95" t="n"/>
      <c r="G201" s="94" t="n"/>
      <c r="H201" s="46" t="n"/>
      <c r="I201" s="46" t="n"/>
      <c r="J201" s="46" t="n"/>
      <c r="K201" s="46" t="n"/>
      <c r="L201" s="95" t="n"/>
      <c r="M201" s="95" t="n"/>
      <c r="N201" s="95" t="n"/>
      <c r="O201" s="95" t="n"/>
      <c r="P201" s="95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  <c r="Z201" s="46" t="n"/>
    </row>
    <row r="202" ht="12.75" customHeight="1">
      <c r="A202" s="100" t="n"/>
      <c r="B202" s="101" t="n"/>
      <c r="C202" s="102" t="n"/>
      <c r="D202" s="99" t="n"/>
      <c r="E202" s="95" t="n"/>
      <c r="F202" s="95" t="n"/>
      <c r="G202" s="94" t="n"/>
      <c r="H202" s="46" t="n"/>
      <c r="I202" s="46" t="n"/>
      <c r="J202" s="46" t="n"/>
      <c r="K202" s="46" t="n"/>
      <c r="L202" s="95" t="n"/>
      <c r="M202" s="95" t="n"/>
      <c r="N202" s="95" t="n"/>
      <c r="O202" s="95" t="n"/>
      <c r="P202" s="95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  <c r="Z202" s="46" t="n"/>
    </row>
    <row r="203" ht="12.75" customHeight="1">
      <c r="A203" s="100" t="n"/>
      <c r="B203" s="101" t="n"/>
      <c r="C203" s="102" t="n"/>
      <c r="D203" s="99" t="n"/>
      <c r="E203" s="95" t="n"/>
      <c r="F203" s="95" t="n"/>
      <c r="G203" s="94" t="n"/>
      <c r="H203" s="46" t="n"/>
      <c r="I203" s="46" t="n"/>
      <c r="J203" s="46" t="n"/>
      <c r="K203" s="46" t="n"/>
      <c r="L203" s="95" t="n"/>
      <c r="M203" s="95" t="n"/>
      <c r="N203" s="95" t="n"/>
      <c r="O203" s="95" t="n"/>
      <c r="P203" s="95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  <c r="Z203" s="46" t="n"/>
    </row>
    <row r="204" ht="12.75" customHeight="1">
      <c r="A204" s="100" t="n"/>
      <c r="B204" s="101" t="n"/>
      <c r="C204" s="102" t="n"/>
      <c r="D204" s="99" t="n"/>
      <c r="E204" s="95" t="n"/>
      <c r="F204" s="95" t="n"/>
      <c r="G204" s="94" t="n"/>
      <c r="H204" s="46" t="n"/>
      <c r="I204" s="46" t="n"/>
      <c r="J204" s="46" t="n"/>
      <c r="K204" s="46" t="n"/>
      <c r="L204" s="95" t="n"/>
      <c r="M204" s="95" t="n"/>
      <c r="N204" s="95" t="n"/>
      <c r="O204" s="95" t="n"/>
      <c r="P204" s="95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  <c r="Z204" s="46" t="n"/>
    </row>
    <row r="205" ht="12.75" customHeight="1">
      <c r="A205" s="100" t="n"/>
      <c r="B205" s="101" t="n"/>
      <c r="C205" s="102" t="n"/>
      <c r="D205" s="99" t="n"/>
      <c r="E205" s="95" t="n"/>
      <c r="F205" s="95" t="n"/>
      <c r="G205" s="94" t="n"/>
      <c r="H205" s="46" t="n"/>
      <c r="I205" s="46" t="n"/>
      <c r="J205" s="46" t="n"/>
      <c r="K205" s="46" t="n"/>
      <c r="L205" s="95" t="n"/>
      <c r="M205" s="95" t="n"/>
      <c r="N205" s="95" t="n"/>
      <c r="O205" s="95" t="n"/>
      <c r="P205" s="95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  <c r="Z205" s="46" t="n"/>
    </row>
    <row r="206" ht="12.75" customHeight="1">
      <c r="A206" s="100" t="n"/>
      <c r="B206" s="101" t="n"/>
      <c r="C206" s="102" t="n"/>
      <c r="D206" s="99" t="n"/>
      <c r="E206" s="95" t="n"/>
      <c r="F206" s="95" t="n"/>
      <c r="G206" s="94" t="n"/>
      <c r="H206" s="46" t="n"/>
      <c r="I206" s="46" t="n"/>
      <c r="J206" s="46" t="n"/>
      <c r="K206" s="46" t="n"/>
      <c r="L206" s="95" t="n"/>
      <c r="M206" s="95" t="n"/>
      <c r="N206" s="95" t="n"/>
      <c r="O206" s="95" t="n"/>
      <c r="P206" s="95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  <c r="Z206" s="46" t="n"/>
    </row>
    <row r="207" ht="12.75" customHeight="1">
      <c r="A207" s="100" t="n"/>
      <c r="B207" s="101" t="n"/>
      <c r="C207" s="102" t="n"/>
      <c r="D207" s="99" t="n"/>
      <c r="E207" s="95" t="n"/>
      <c r="F207" s="95" t="n"/>
      <c r="G207" s="94" t="n"/>
      <c r="H207" s="46" t="n"/>
      <c r="I207" s="46" t="n"/>
      <c r="J207" s="46" t="n"/>
      <c r="K207" s="46" t="n"/>
      <c r="L207" s="95" t="n"/>
      <c r="M207" s="95" t="n"/>
      <c r="N207" s="95" t="n"/>
      <c r="O207" s="95" t="n"/>
      <c r="P207" s="95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  <c r="Z207" s="46" t="n"/>
    </row>
    <row r="208" ht="12.75" customHeight="1">
      <c r="A208" s="100" t="n"/>
      <c r="B208" s="101" t="n"/>
      <c r="C208" s="102" t="n"/>
      <c r="D208" s="99" t="n"/>
      <c r="E208" s="95" t="n"/>
      <c r="F208" s="95" t="n"/>
      <c r="G208" s="94" t="n"/>
      <c r="H208" s="46" t="n"/>
      <c r="I208" s="46" t="n"/>
      <c r="J208" s="46" t="n"/>
      <c r="K208" s="46" t="n"/>
      <c r="L208" s="95" t="n"/>
      <c r="M208" s="95" t="n"/>
      <c r="N208" s="95" t="n"/>
      <c r="O208" s="95" t="n"/>
      <c r="P208" s="95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  <c r="Z208" s="46" t="n"/>
    </row>
    <row r="209" ht="12.75" customHeight="1">
      <c r="A209" s="100" t="n"/>
      <c r="B209" s="101" t="n"/>
      <c r="C209" s="102" t="n"/>
      <c r="D209" s="99" t="n"/>
      <c r="E209" s="95" t="n"/>
      <c r="F209" s="95" t="n"/>
      <c r="G209" s="94" t="n"/>
      <c r="H209" s="46" t="n"/>
      <c r="I209" s="46" t="n"/>
      <c r="J209" s="46" t="n"/>
      <c r="K209" s="46" t="n"/>
      <c r="L209" s="95" t="n"/>
      <c r="M209" s="95" t="n"/>
      <c r="N209" s="95" t="n"/>
      <c r="O209" s="95" t="n"/>
      <c r="P209" s="95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  <c r="Z209" s="46" t="n"/>
    </row>
    <row r="210" ht="12.75" customHeight="1">
      <c r="A210" s="100" t="n"/>
      <c r="B210" s="101" t="n"/>
      <c r="C210" s="102" t="n"/>
      <c r="D210" s="99" t="n"/>
      <c r="E210" s="95" t="n"/>
      <c r="F210" s="95" t="n"/>
      <c r="G210" s="94" t="n"/>
      <c r="H210" s="46" t="n"/>
      <c r="I210" s="46" t="n"/>
      <c r="J210" s="46" t="n"/>
      <c r="K210" s="46" t="n"/>
      <c r="L210" s="95" t="n"/>
      <c r="M210" s="95" t="n"/>
      <c r="N210" s="95" t="n"/>
      <c r="O210" s="95" t="n"/>
      <c r="P210" s="95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  <c r="Z210" s="46" t="n"/>
    </row>
    <row r="211" ht="12.75" customHeight="1">
      <c r="A211" s="100" t="n"/>
      <c r="B211" s="101" t="n"/>
      <c r="C211" s="102" t="n"/>
      <c r="D211" s="99" t="n"/>
      <c r="E211" s="95" t="n"/>
      <c r="F211" s="95" t="n"/>
      <c r="G211" s="94" t="n"/>
      <c r="H211" s="46" t="n"/>
      <c r="I211" s="46" t="n"/>
      <c r="J211" s="46" t="n"/>
      <c r="K211" s="46" t="n"/>
      <c r="L211" s="95" t="n"/>
      <c r="M211" s="95" t="n"/>
      <c r="N211" s="95" t="n"/>
      <c r="O211" s="95" t="n"/>
      <c r="P211" s="95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  <c r="Z211" s="46" t="n"/>
    </row>
    <row r="212" ht="12.75" customHeight="1">
      <c r="A212" s="100" t="n"/>
      <c r="B212" s="101" t="n"/>
      <c r="C212" s="102" t="n"/>
      <c r="D212" s="99" t="n"/>
      <c r="E212" s="95" t="n"/>
      <c r="F212" s="95" t="n"/>
      <c r="G212" s="94" t="n"/>
      <c r="H212" s="46" t="n"/>
      <c r="I212" s="46" t="n"/>
      <c r="J212" s="46" t="n"/>
      <c r="K212" s="46" t="n"/>
      <c r="L212" s="95" t="n"/>
      <c r="M212" s="95" t="n"/>
      <c r="N212" s="95" t="n"/>
      <c r="O212" s="95" t="n"/>
      <c r="P212" s="95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  <c r="Z212" s="46" t="n"/>
    </row>
    <row r="213" ht="12.75" customHeight="1">
      <c r="A213" s="100" t="n"/>
      <c r="B213" s="101" t="n"/>
      <c r="C213" s="102" t="n"/>
      <c r="D213" s="99" t="n"/>
      <c r="E213" s="95" t="n"/>
      <c r="F213" s="95" t="n"/>
      <c r="G213" s="94" t="n"/>
      <c r="H213" s="46" t="n"/>
      <c r="I213" s="46" t="n"/>
      <c r="J213" s="46" t="n"/>
      <c r="K213" s="46" t="n"/>
      <c r="L213" s="95" t="n"/>
      <c r="M213" s="95" t="n"/>
      <c r="N213" s="95" t="n"/>
      <c r="O213" s="95" t="n"/>
      <c r="P213" s="95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  <c r="Z213" s="46" t="n"/>
    </row>
    <row r="214" ht="12.75" customHeight="1">
      <c r="A214" s="100" t="n"/>
      <c r="B214" s="101" t="n"/>
      <c r="C214" s="102" t="n"/>
      <c r="D214" s="99" t="n"/>
      <c r="E214" s="95" t="n"/>
      <c r="F214" s="95" t="n"/>
      <c r="G214" s="94" t="n"/>
      <c r="H214" s="46" t="n"/>
      <c r="I214" s="46" t="n"/>
      <c r="J214" s="46" t="n"/>
      <c r="K214" s="46" t="n"/>
      <c r="L214" s="95" t="n"/>
      <c r="M214" s="95" t="n"/>
      <c r="N214" s="95" t="n"/>
      <c r="O214" s="95" t="n"/>
      <c r="P214" s="95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  <c r="Z214" s="46" t="n"/>
    </row>
    <row r="215" ht="12.75" customHeight="1">
      <c r="A215" s="100" t="n"/>
      <c r="B215" s="101" t="n"/>
      <c r="C215" s="102" t="n"/>
      <c r="D215" s="99" t="n"/>
      <c r="E215" s="95" t="n"/>
      <c r="F215" s="95" t="n"/>
      <c r="G215" s="94" t="n"/>
      <c r="H215" s="46" t="n"/>
      <c r="I215" s="46" t="n"/>
      <c r="J215" s="46" t="n"/>
      <c r="K215" s="46" t="n"/>
      <c r="L215" s="95" t="n"/>
      <c r="M215" s="95" t="n"/>
      <c r="N215" s="95" t="n"/>
      <c r="O215" s="95" t="n"/>
      <c r="P215" s="95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  <c r="Z215" s="46" t="n"/>
    </row>
    <row r="216" ht="12.75" customHeight="1">
      <c r="A216" s="100" t="n"/>
      <c r="B216" s="101" t="n"/>
      <c r="C216" s="102" t="n"/>
      <c r="D216" s="99" t="n"/>
      <c r="E216" s="95" t="n"/>
      <c r="F216" s="95" t="n"/>
      <c r="G216" s="94" t="n"/>
      <c r="H216" s="46" t="n"/>
      <c r="I216" s="46" t="n"/>
      <c r="J216" s="46" t="n"/>
      <c r="K216" s="46" t="n"/>
      <c r="L216" s="95" t="n"/>
      <c r="M216" s="95" t="n"/>
      <c r="N216" s="95" t="n"/>
      <c r="O216" s="95" t="n"/>
      <c r="P216" s="95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  <c r="Z216" s="46" t="n"/>
    </row>
    <row r="217" ht="12.75" customHeight="1">
      <c r="A217" s="100" t="n"/>
      <c r="B217" s="101" t="n"/>
      <c r="C217" s="102" t="n"/>
      <c r="D217" s="99" t="n"/>
      <c r="E217" s="95" t="n"/>
      <c r="F217" s="95" t="n"/>
      <c r="G217" s="94" t="n"/>
      <c r="H217" s="46" t="n"/>
      <c r="I217" s="46" t="n"/>
      <c r="J217" s="46" t="n"/>
      <c r="K217" s="46" t="n"/>
      <c r="L217" s="95" t="n"/>
      <c r="M217" s="95" t="n"/>
      <c r="N217" s="95" t="n"/>
      <c r="O217" s="95" t="n"/>
      <c r="P217" s="95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  <c r="Z217" s="46" t="n"/>
    </row>
    <row r="218" ht="12.75" customHeight="1">
      <c r="A218" s="100" t="n"/>
      <c r="B218" s="101" t="n"/>
      <c r="C218" s="102" t="n"/>
      <c r="D218" s="99" t="n"/>
      <c r="E218" s="95" t="n"/>
      <c r="F218" s="95" t="n"/>
      <c r="G218" s="94" t="n"/>
      <c r="H218" s="46" t="n"/>
      <c r="I218" s="46" t="n"/>
      <c r="J218" s="46" t="n"/>
      <c r="K218" s="46" t="n"/>
      <c r="L218" s="95" t="n"/>
      <c r="M218" s="95" t="n"/>
      <c r="N218" s="95" t="n"/>
      <c r="O218" s="95" t="n"/>
      <c r="P218" s="95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  <c r="Z218" s="46" t="n"/>
    </row>
    <row r="219" ht="12.75" customHeight="1">
      <c r="A219" s="100" t="n"/>
      <c r="B219" s="101" t="n"/>
      <c r="C219" s="102" t="n"/>
      <c r="D219" s="99" t="n"/>
      <c r="E219" s="95" t="n"/>
      <c r="F219" s="95" t="n"/>
      <c r="G219" s="94" t="n"/>
      <c r="H219" s="46" t="n"/>
      <c r="I219" s="46" t="n"/>
      <c r="J219" s="46" t="n"/>
      <c r="K219" s="46" t="n"/>
      <c r="L219" s="95" t="n"/>
      <c r="M219" s="95" t="n"/>
      <c r="N219" s="95" t="n"/>
      <c r="O219" s="95" t="n"/>
      <c r="P219" s="95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  <c r="Z219" s="46" t="n"/>
    </row>
    <row r="220" ht="12.75" customHeight="1">
      <c r="A220" s="100" t="n"/>
      <c r="B220" s="101" t="n"/>
      <c r="C220" s="102" t="n"/>
      <c r="D220" s="99" t="n"/>
      <c r="E220" s="95" t="n"/>
      <c r="F220" s="95" t="n"/>
      <c r="G220" s="94" t="n"/>
      <c r="H220" s="46" t="n"/>
      <c r="I220" s="46" t="n"/>
      <c r="J220" s="46" t="n"/>
      <c r="K220" s="46" t="n"/>
      <c r="L220" s="95" t="n"/>
      <c r="M220" s="95" t="n"/>
      <c r="N220" s="95" t="n"/>
      <c r="O220" s="95" t="n"/>
      <c r="P220" s="95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  <c r="Z220" s="46" t="n"/>
    </row>
    <row r="221" ht="12.75" customHeight="1">
      <c r="A221" s="100" t="n"/>
      <c r="B221" s="101" t="n"/>
      <c r="C221" s="102" t="n"/>
      <c r="D221" s="99" t="n"/>
      <c r="E221" s="95" t="n"/>
      <c r="F221" s="95" t="n"/>
      <c r="G221" s="94" t="n"/>
      <c r="H221" s="46" t="n"/>
      <c r="I221" s="46" t="n"/>
      <c r="J221" s="46" t="n"/>
      <c r="K221" s="46" t="n"/>
      <c r="L221" s="95" t="n"/>
      <c r="M221" s="95" t="n"/>
      <c r="N221" s="95" t="n"/>
      <c r="O221" s="95" t="n"/>
      <c r="P221" s="95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  <c r="Z221" s="46" t="n"/>
    </row>
    <row r="222" ht="12.75" customHeight="1">
      <c r="A222" s="100" t="n"/>
      <c r="B222" s="101" t="n"/>
      <c r="C222" s="102" t="n"/>
      <c r="D222" s="99" t="n"/>
      <c r="E222" s="95" t="n"/>
      <c r="F222" s="95" t="n"/>
      <c r="G222" s="94" t="n"/>
      <c r="H222" s="46" t="n"/>
      <c r="I222" s="46" t="n"/>
      <c r="J222" s="46" t="n"/>
      <c r="K222" s="46" t="n"/>
      <c r="L222" s="95" t="n"/>
      <c r="M222" s="95" t="n"/>
      <c r="N222" s="95" t="n"/>
      <c r="O222" s="95" t="n"/>
      <c r="P222" s="95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  <c r="Z222" s="46" t="n"/>
    </row>
    <row r="223" ht="12.75" customHeight="1">
      <c r="A223" s="100" t="n"/>
      <c r="B223" s="101" t="n"/>
      <c r="C223" s="102" t="n"/>
      <c r="D223" s="99" t="n"/>
      <c r="E223" s="95" t="n"/>
      <c r="F223" s="95" t="n"/>
      <c r="G223" s="94" t="n"/>
      <c r="H223" s="46" t="n"/>
      <c r="I223" s="46" t="n"/>
      <c r="J223" s="46" t="n"/>
      <c r="K223" s="46" t="n"/>
      <c r="L223" s="95" t="n"/>
      <c r="M223" s="95" t="n"/>
      <c r="N223" s="95" t="n"/>
      <c r="O223" s="95" t="n"/>
      <c r="P223" s="95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  <c r="Z223" s="46" t="n"/>
    </row>
    <row r="224" ht="12.75" customHeight="1">
      <c r="A224" s="100" t="n"/>
      <c r="B224" s="101" t="n"/>
      <c r="C224" s="102" t="n"/>
      <c r="D224" s="99" t="n"/>
      <c r="E224" s="95" t="n"/>
      <c r="F224" s="95" t="n"/>
      <c r="G224" s="94" t="n"/>
      <c r="H224" s="46" t="n"/>
      <c r="I224" s="46" t="n"/>
      <c r="J224" s="46" t="n"/>
      <c r="K224" s="46" t="n"/>
      <c r="L224" s="95" t="n"/>
      <c r="M224" s="95" t="n"/>
      <c r="N224" s="95" t="n"/>
      <c r="O224" s="95" t="n"/>
      <c r="P224" s="95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  <c r="Z224" s="46" t="n"/>
    </row>
    <row r="225" ht="12.75" customHeight="1">
      <c r="A225" s="100" t="n"/>
      <c r="B225" s="101" t="n"/>
      <c r="C225" s="102" t="n"/>
      <c r="D225" s="99" t="n"/>
      <c r="E225" s="95" t="n"/>
      <c r="F225" s="95" t="n"/>
      <c r="G225" s="94" t="n"/>
      <c r="H225" s="46" t="n"/>
      <c r="I225" s="46" t="n"/>
      <c r="J225" s="46" t="n"/>
      <c r="K225" s="46" t="n"/>
      <c r="L225" s="95" t="n"/>
      <c r="M225" s="95" t="n"/>
      <c r="N225" s="95" t="n"/>
      <c r="O225" s="95" t="n"/>
      <c r="P225" s="95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  <c r="Z225" s="46" t="n"/>
    </row>
    <row r="226" ht="12.75" customHeight="1">
      <c r="A226" s="100" t="n"/>
      <c r="B226" s="101" t="n"/>
      <c r="C226" s="102" t="n"/>
      <c r="D226" s="99" t="n"/>
      <c r="E226" s="95" t="n"/>
      <c r="F226" s="95" t="n"/>
      <c r="G226" s="94" t="n"/>
      <c r="H226" s="46" t="n"/>
      <c r="I226" s="46" t="n"/>
      <c r="J226" s="46" t="n"/>
      <c r="K226" s="46" t="n"/>
      <c r="L226" s="95" t="n"/>
      <c r="M226" s="95" t="n"/>
      <c r="N226" s="95" t="n"/>
      <c r="O226" s="95" t="n"/>
      <c r="P226" s="95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  <c r="Z226" s="46" t="n"/>
    </row>
    <row r="227" ht="12.75" customHeight="1">
      <c r="A227" s="100" t="n"/>
      <c r="B227" s="101" t="n"/>
      <c r="C227" s="102" t="n"/>
      <c r="D227" s="99" t="n"/>
      <c r="E227" s="95" t="n"/>
      <c r="F227" s="95" t="n"/>
      <c r="G227" s="94" t="n"/>
      <c r="H227" s="46" t="n"/>
      <c r="I227" s="46" t="n"/>
      <c r="J227" s="46" t="n"/>
      <c r="K227" s="46" t="n"/>
      <c r="L227" s="95" t="n"/>
      <c r="M227" s="95" t="n"/>
      <c r="N227" s="95" t="n"/>
      <c r="O227" s="95" t="n"/>
      <c r="P227" s="95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  <c r="Z227" s="46" t="n"/>
    </row>
    <row r="228" ht="12.75" customHeight="1">
      <c r="A228" s="100" t="n"/>
      <c r="B228" s="101" t="n"/>
      <c r="C228" s="102" t="n"/>
      <c r="D228" s="99" t="n"/>
      <c r="E228" s="95" t="n"/>
      <c r="F228" s="95" t="n"/>
      <c r="G228" s="94" t="n"/>
      <c r="H228" s="46" t="n"/>
      <c r="I228" s="46" t="n"/>
      <c r="J228" s="46" t="n"/>
      <c r="K228" s="46" t="n"/>
      <c r="L228" s="95" t="n"/>
      <c r="M228" s="95" t="n"/>
      <c r="N228" s="95" t="n"/>
      <c r="O228" s="95" t="n"/>
      <c r="P228" s="95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  <c r="Z228" s="46" t="n"/>
    </row>
    <row r="229" ht="12.75" customHeight="1">
      <c r="A229" s="100" t="n"/>
      <c r="B229" s="101" t="n"/>
      <c r="C229" s="102" t="n"/>
      <c r="D229" s="99" t="n"/>
      <c r="E229" s="95" t="n"/>
      <c r="F229" s="95" t="n"/>
      <c r="G229" s="94" t="n"/>
      <c r="H229" s="46" t="n"/>
      <c r="I229" s="46" t="n"/>
      <c r="J229" s="46" t="n"/>
      <c r="K229" s="46" t="n"/>
      <c r="L229" s="95" t="n"/>
      <c r="M229" s="95" t="n"/>
      <c r="N229" s="95" t="n"/>
      <c r="O229" s="95" t="n"/>
      <c r="P229" s="95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  <c r="Z229" s="46" t="n"/>
    </row>
    <row r="230" ht="12.75" customHeight="1">
      <c r="A230" s="100" t="n"/>
      <c r="B230" s="101" t="n"/>
      <c r="C230" s="102" t="n"/>
      <c r="D230" s="99" t="n"/>
      <c r="E230" s="95" t="n"/>
      <c r="F230" s="95" t="n"/>
      <c r="G230" s="94" t="n"/>
      <c r="H230" s="46" t="n"/>
      <c r="I230" s="46" t="n"/>
      <c r="J230" s="46" t="n"/>
      <c r="K230" s="46" t="n"/>
      <c r="L230" s="95" t="n"/>
      <c r="M230" s="95" t="n"/>
      <c r="N230" s="95" t="n"/>
      <c r="O230" s="95" t="n"/>
      <c r="P230" s="95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  <c r="Z230" s="46" t="n"/>
    </row>
    <row r="231" ht="12.75" customHeight="1">
      <c r="A231" s="100" t="n"/>
      <c r="B231" s="101" t="n"/>
      <c r="C231" s="102" t="n"/>
      <c r="D231" s="99" t="n"/>
      <c r="E231" s="95" t="n"/>
      <c r="F231" s="95" t="n"/>
      <c r="G231" s="94" t="n"/>
      <c r="H231" s="46" t="n"/>
      <c r="I231" s="46" t="n"/>
      <c r="J231" s="46" t="n"/>
      <c r="K231" s="46" t="n"/>
      <c r="L231" s="95" t="n"/>
      <c r="M231" s="95" t="n"/>
      <c r="N231" s="95" t="n"/>
      <c r="O231" s="95" t="n"/>
      <c r="P231" s="95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  <c r="Z231" s="46" t="n"/>
    </row>
    <row r="232" ht="12.75" customHeight="1">
      <c r="A232" s="100" t="n"/>
      <c r="B232" s="101" t="n"/>
      <c r="C232" s="102" t="n"/>
      <c r="D232" s="99" t="n"/>
      <c r="E232" s="95" t="n"/>
      <c r="F232" s="95" t="n"/>
      <c r="G232" s="94" t="n"/>
      <c r="H232" s="46" t="n"/>
      <c r="I232" s="46" t="n"/>
      <c r="J232" s="46" t="n"/>
      <c r="K232" s="46" t="n"/>
      <c r="L232" s="95" t="n"/>
      <c r="M232" s="95" t="n"/>
      <c r="N232" s="95" t="n"/>
      <c r="O232" s="95" t="n"/>
      <c r="P232" s="95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  <c r="Z232" s="46" t="n"/>
    </row>
    <row r="233" ht="12.75" customHeight="1">
      <c r="A233" s="100" t="n"/>
      <c r="B233" s="101" t="n"/>
      <c r="C233" s="102" t="n"/>
      <c r="D233" s="99" t="n"/>
      <c r="E233" s="95" t="n"/>
      <c r="F233" s="95" t="n"/>
      <c r="G233" s="94" t="n"/>
      <c r="H233" s="46" t="n"/>
      <c r="I233" s="46" t="n"/>
      <c r="J233" s="46" t="n"/>
      <c r="K233" s="46" t="n"/>
      <c r="L233" s="95" t="n"/>
      <c r="M233" s="95" t="n"/>
      <c r="N233" s="95" t="n"/>
      <c r="O233" s="95" t="n"/>
      <c r="P233" s="95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  <c r="Z233" s="46" t="n"/>
    </row>
    <row r="234" ht="12.75" customHeight="1">
      <c r="A234" s="100" t="n"/>
      <c r="B234" s="101" t="n"/>
      <c r="C234" s="102" t="n"/>
      <c r="D234" s="99" t="n"/>
      <c r="E234" s="95" t="n"/>
      <c r="F234" s="95" t="n"/>
      <c r="G234" s="94" t="n"/>
      <c r="H234" s="46" t="n"/>
      <c r="I234" s="46" t="n"/>
      <c r="J234" s="46" t="n"/>
      <c r="K234" s="46" t="n"/>
      <c r="L234" s="95" t="n"/>
      <c r="M234" s="95" t="n"/>
      <c r="N234" s="95" t="n"/>
      <c r="O234" s="95" t="n"/>
      <c r="P234" s="95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  <c r="Z234" s="46" t="n"/>
    </row>
    <row r="235" ht="12.75" customHeight="1">
      <c r="A235" s="100" t="n"/>
      <c r="B235" s="101" t="n"/>
      <c r="C235" s="102" t="n"/>
      <c r="D235" s="99" t="n"/>
      <c r="E235" s="95" t="n"/>
      <c r="F235" s="95" t="n"/>
      <c r="G235" s="94" t="n"/>
      <c r="H235" s="46" t="n"/>
      <c r="I235" s="46" t="n"/>
      <c r="J235" s="46" t="n"/>
      <c r="K235" s="46" t="n"/>
      <c r="L235" s="95" t="n"/>
      <c r="M235" s="95" t="n"/>
      <c r="N235" s="95" t="n"/>
      <c r="O235" s="95" t="n"/>
      <c r="P235" s="95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  <c r="Z235" s="46" t="n"/>
    </row>
    <row r="236" ht="12.75" customHeight="1">
      <c r="A236" s="100" t="n"/>
      <c r="B236" s="101" t="n"/>
      <c r="C236" s="102" t="n"/>
      <c r="D236" s="99" t="n"/>
      <c r="E236" s="95" t="n"/>
      <c r="F236" s="95" t="n"/>
      <c r="G236" s="94" t="n"/>
      <c r="H236" s="46" t="n"/>
      <c r="I236" s="46" t="n"/>
      <c r="J236" s="46" t="n"/>
      <c r="K236" s="46" t="n"/>
      <c r="L236" s="95" t="n"/>
      <c r="M236" s="95" t="n"/>
      <c r="N236" s="95" t="n"/>
      <c r="O236" s="95" t="n"/>
      <c r="P236" s="95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  <c r="Z236" s="46" t="n"/>
    </row>
    <row r="237" ht="12.75" customHeight="1">
      <c r="A237" s="100" t="n"/>
      <c r="B237" s="101" t="n"/>
      <c r="C237" s="102" t="n"/>
      <c r="D237" s="99" t="n"/>
      <c r="E237" s="95" t="n"/>
      <c r="F237" s="95" t="n"/>
      <c r="G237" s="94" t="n"/>
      <c r="H237" s="46" t="n"/>
      <c r="I237" s="46" t="n"/>
      <c r="J237" s="46" t="n"/>
      <c r="K237" s="46" t="n"/>
      <c r="L237" s="95" t="n"/>
      <c r="M237" s="95" t="n"/>
      <c r="N237" s="95" t="n"/>
      <c r="O237" s="95" t="n"/>
      <c r="P237" s="95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  <c r="Z237" s="46" t="n"/>
    </row>
    <row r="238" ht="12.75" customHeight="1">
      <c r="A238" s="100" t="n"/>
      <c r="B238" s="101" t="n"/>
      <c r="C238" s="102" t="n"/>
      <c r="D238" s="99" t="n"/>
      <c r="E238" s="95" t="n"/>
      <c r="F238" s="95" t="n"/>
      <c r="G238" s="94" t="n"/>
      <c r="H238" s="46" t="n"/>
      <c r="I238" s="46" t="n"/>
      <c r="J238" s="46" t="n"/>
      <c r="K238" s="46" t="n"/>
      <c r="L238" s="95" t="n"/>
      <c r="M238" s="95" t="n"/>
      <c r="N238" s="95" t="n"/>
      <c r="O238" s="95" t="n"/>
      <c r="P238" s="95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  <c r="Z238" s="46" t="n"/>
    </row>
    <row r="239" ht="12.75" customHeight="1">
      <c r="A239" s="100" t="n"/>
      <c r="B239" s="101" t="n"/>
      <c r="C239" s="102" t="n"/>
      <c r="D239" s="99" t="n"/>
      <c r="E239" s="95" t="n"/>
      <c r="F239" s="95" t="n"/>
      <c r="G239" s="94" t="n"/>
      <c r="H239" s="46" t="n"/>
      <c r="I239" s="46" t="n"/>
      <c r="J239" s="46" t="n"/>
      <c r="K239" s="46" t="n"/>
      <c r="L239" s="95" t="n"/>
      <c r="M239" s="95" t="n"/>
      <c r="N239" s="95" t="n"/>
      <c r="O239" s="95" t="n"/>
      <c r="P239" s="95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  <c r="Z239" s="46" t="n"/>
    </row>
    <row r="240" ht="12.75" customHeight="1">
      <c r="A240" s="100" t="n"/>
      <c r="B240" s="101" t="n"/>
      <c r="C240" s="102" t="n"/>
      <c r="D240" s="99" t="n"/>
      <c r="E240" s="95" t="n"/>
      <c r="F240" s="95" t="n"/>
      <c r="G240" s="94" t="n"/>
      <c r="H240" s="46" t="n"/>
      <c r="I240" s="46" t="n"/>
      <c r="J240" s="46" t="n"/>
      <c r="K240" s="46" t="n"/>
      <c r="L240" s="95" t="n"/>
      <c r="M240" s="95" t="n"/>
      <c r="N240" s="95" t="n"/>
      <c r="O240" s="95" t="n"/>
      <c r="P240" s="95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  <c r="Z240" s="46" t="n"/>
    </row>
    <row r="241" ht="12.75" customHeight="1">
      <c r="A241" s="100" t="n"/>
      <c r="B241" s="101" t="n"/>
      <c r="C241" s="102" t="n"/>
      <c r="D241" s="99" t="n"/>
      <c r="E241" s="95" t="n"/>
      <c r="F241" s="95" t="n"/>
      <c r="G241" s="94" t="n"/>
      <c r="H241" s="46" t="n"/>
      <c r="I241" s="46" t="n"/>
      <c r="J241" s="46" t="n"/>
      <c r="K241" s="46" t="n"/>
      <c r="L241" s="95" t="n"/>
      <c r="M241" s="95" t="n"/>
      <c r="N241" s="95" t="n"/>
      <c r="O241" s="95" t="n"/>
      <c r="P241" s="95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  <c r="Z241" s="46" t="n"/>
    </row>
    <row r="242" ht="12.75" customHeight="1">
      <c r="A242" s="100" t="n"/>
      <c r="B242" s="101" t="n"/>
      <c r="C242" s="102" t="n"/>
      <c r="D242" s="99" t="n"/>
      <c r="E242" s="95" t="n"/>
      <c r="F242" s="95" t="n"/>
      <c r="G242" s="94" t="n"/>
      <c r="H242" s="46" t="n"/>
      <c r="I242" s="46" t="n"/>
      <c r="J242" s="46" t="n"/>
      <c r="K242" s="46" t="n"/>
      <c r="L242" s="95" t="n"/>
      <c r="M242" s="95" t="n"/>
      <c r="N242" s="95" t="n"/>
      <c r="O242" s="95" t="n"/>
      <c r="P242" s="95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  <c r="Z242" s="46" t="n"/>
    </row>
    <row r="243" ht="12.75" customHeight="1">
      <c r="A243" s="100" t="n"/>
      <c r="B243" s="101" t="n"/>
      <c r="C243" s="102" t="n"/>
      <c r="D243" s="99" t="n"/>
      <c r="E243" s="95" t="n"/>
      <c r="F243" s="95" t="n"/>
      <c r="G243" s="94" t="n"/>
      <c r="H243" s="46" t="n"/>
      <c r="I243" s="46" t="n"/>
      <c r="J243" s="46" t="n"/>
      <c r="K243" s="46" t="n"/>
      <c r="L243" s="95" t="n"/>
      <c r="M243" s="95" t="n"/>
      <c r="N243" s="95" t="n"/>
      <c r="O243" s="95" t="n"/>
      <c r="P243" s="95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  <c r="Z243" s="46" t="n"/>
    </row>
    <row r="244" ht="12.75" customHeight="1">
      <c r="A244" s="100" t="n"/>
      <c r="B244" s="101" t="n"/>
      <c r="C244" s="102" t="n"/>
      <c r="D244" s="99" t="n"/>
      <c r="E244" s="95" t="n"/>
      <c r="F244" s="95" t="n"/>
      <c r="G244" s="94" t="n"/>
      <c r="H244" s="46" t="n"/>
      <c r="I244" s="46" t="n"/>
      <c r="J244" s="46" t="n"/>
      <c r="K244" s="46" t="n"/>
      <c r="L244" s="95" t="n"/>
      <c r="M244" s="95" t="n"/>
      <c r="N244" s="95" t="n"/>
      <c r="O244" s="95" t="n"/>
      <c r="P244" s="95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  <c r="Z244" s="46" t="n"/>
    </row>
    <row r="245" ht="12.75" customHeight="1">
      <c r="A245" s="100" t="n"/>
      <c r="B245" s="101" t="n"/>
      <c r="C245" s="102" t="n"/>
      <c r="D245" s="99" t="n"/>
      <c r="E245" s="95" t="n"/>
      <c r="F245" s="95" t="n"/>
      <c r="G245" s="94" t="n"/>
      <c r="H245" s="46" t="n"/>
      <c r="I245" s="46" t="n"/>
      <c r="J245" s="46" t="n"/>
      <c r="K245" s="46" t="n"/>
      <c r="L245" s="95" t="n"/>
      <c r="M245" s="95" t="n"/>
      <c r="N245" s="95" t="n"/>
      <c r="O245" s="95" t="n"/>
      <c r="P245" s="95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  <c r="Z245" s="46" t="n"/>
    </row>
    <row r="246" ht="12.75" customHeight="1">
      <c r="A246" s="100" t="n"/>
      <c r="B246" s="101" t="n"/>
      <c r="C246" s="102" t="n"/>
      <c r="D246" s="99" t="n"/>
      <c r="E246" s="95" t="n"/>
      <c r="F246" s="95" t="n"/>
      <c r="G246" s="94" t="n"/>
      <c r="H246" s="46" t="n"/>
      <c r="I246" s="46" t="n"/>
      <c r="J246" s="46" t="n"/>
      <c r="K246" s="46" t="n"/>
      <c r="L246" s="95" t="n"/>
      <c r="M246" s="95" t="n"/>
      <c r="N246" s="95" t="n"/>
      <c r="O246" s="95" t="n"/>
      <c r="P246" s="95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  <c r="Z246" s="46" t="n"/>
    </row>
    <row r="247" ht="12.75" customHeight="1">
      <c r="A247" s="100" t="n"/>
      <c r="B247" s="101" t="n"/>
      <c r="C247" s="102" t="n"/>
      <c r="D247" s="99" t="n"/>
      <c r="E247" s="95" t="n"/>
      <c r="F247" s="95" t="n"/>
      <c r="G247" s="94" t="n"/>
      <c r="H247" s="46" t="n"/>
      <c r="I247" s="46" t="n"/>
      <c r="J247" s="46" t="n"/>
      <c r="K247" s="46" t="n"/>
      <c r="L247" s="95" t="n"/>
      <c r="M247" s="95" t="n"/>
      <c r="N247" s="95" t="n"/>
      <c r="O247" s="95" t="n"/>
      <c r="P247" s="95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  <c r="Z247" s="46" t="n"/>
    </row>
    <row r="248" ht="12.75" customHeight="1">
      <c r="A248" s="100" t="n"/>
      <c r="B248" s="101" t="n"/>
      <c r="C248" s="102" t="n"/>
      <c r="D248" s="99" t="n"/>
      <c r="E248" s="95" t="n"/>
      <c r="F248" s="95" t="n"/>
      <c r="G248" s="94" t="n"/>
      <c r="H248" s="46" t="n"/>
      <c r="I248" s="46" t="n"/>
      <c r="J248" s="46" t="n"/>
      <c r="K248" s="46" t="n"/>
      <c r="L248" s="95" t="n"/>
      <c r="M248" s="95" t="n"/>
      <c r="N248" s="95" t="n"/>
      <c r="O248" s="95" t="n"/>
      <c r="P248" s="95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  <c r="Z248" s="46" t="n"/>
    </row>
    <row r="249" ht="12.75" customHeight="1">
      <c r="A249" s="100" t="n"/>
      <c r="B249" s="101" t="n"/>
      <c r="C249" s="102" t="n"/>
      <c r="D249" s="99" t="n"/>
      <c r="E249" s="95" t="n"/>
      <c r="F249" s="95" t="n"/>
      <c r="G249" s="94" t="n"/>
      <c r="H249" s="46" t="n"/>
      <c r="I249" s="46" t="n"/>
      <c r="J249" s="46" t="n"/>
      <c r="K249" s="46" t="n"/>
      <c r="L249" s="95" t="n"/>
      <c r="M249" s="95" t="n"/>
      <c r="N249" s="95" t="n"/>
      <c r="O249" s="95" t="n"/>
      <c r="P249" s="95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  <c r="Z249" s="46" t="n"/>
    </row>
    <row r="250" ht="12.75" customHeight="1">
      <c r="A250" s="100" t="n"/>
      <c r="B250" s="101" t="n"/>
      <c r="C250" s="102" t="n"/>
      <c r="D250" s="99" t="n"/>
      <c r="E250" s="95" t="n"/>
      <c r="F250" s="95" t="n"/>
      <c r="G250" s="94" t="n"/>
      <c r="H250" s="46" t="n"/>
      <c r="I250" s="46" t="n"/>
      <c r="J250" s="46" t="n"/>
      <c r="K250" s="46" t="n"/>
      <c r="L250" s="95" t="n"/>
      <c r="M250" s="95" t="n"/>
      <c r="N250" s="95" t="n"/>
      <c r="O250" s="95" t="n"/>
      <c r="P250" s="95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  <c r="Z250" s="46" t="n"/>
    </row>
    <row r="251" ht="12.75" customHeight="1">
      <c r="A251" s="100" t="n"/>
      <c r="B251" s="101" t="n"/>
      <c r="C251" s="102" t="n"/>
      <c r="D251" s="99" t="n"/>
      <c r="E251" s="95" t="n"/>
      <c r="F251" s="95" t="n"/>
      <c r="G251" s="94" t="n"/>
      <c r="H251" s="46" t="n"/>
      <c r="I251" s="46" t="n"/>
      <c r="J251" s="46" t="n"/>
      <c r="K251" s="46" t="n"/>
      <c r="L251" s="95" t="n"/>
      <c r="M251" s="95" t="n"/>
      <c r="N251" s="95" t="n"/>
      <c r="O251" s="95" t="n"/>
      <c r="P251" s="95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  <c r="Z251" s="46" t="n"/>
    </row>
    <row r="252" ht="12.75" customHeight="1">
      <c r="A252" s="100" t="n"/>
      <c r="B252" s="101" t="n"/>
      <c r="C252" s="102" t="n"/>
      <c r="D252" s="99" t="n"/>
      <c r="E252" s="95" t="n"/>
      <c r="F252" s="95" t="n"/>
      <c r="G252" s="94" t="n"/>
      <c r="H252" s="46" t="n"/>
      <c r="I252" s="46" t="n"/>
      <c r="J252" s="46" t="n"/>
      <c r="K252" s="46" t="n"/>
      <c r="L252" s="95" t="n"/>
      <c r="M252" s="95" t="n"/>
      <c r="N252" s="95" t="n"/>
      <c r="O252" s="95" t="n"/>
      <c r="P252" s="95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  <c r="Z252" s="46" t="n"/>
    </row>
    <row r="253" ht="12.75" customHeight="1">
      <c r="A253" s="100" t="n"/>
      <c r="B253" s="101" t="n"/>
      <c r="C253" s="102" t="n"/>
      <c r="D253" s="99" t="n"/>
      <c r="E253" s="95" t="n"/>
      <c r="F253" s="95" t="n"/>
      <c r="G253" s="94" t="n"/>
      <c r="H253" s="46" t="n"/>
      <c r="I253" s="46" t="n"/>
      <c r="J253" s="46" t="n"/>
      <c r="K253" s="46" t="n"/>
      <c r="L253" s="95" t="n"/>
      <c r="M253" s="95" t="n"/>
      <c r="N253" s="95" t="n"/>
      <c r="O253" s="95" t="n"/>
      <c r="P253" s="95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  <c r="Z253" s="46" t="n"/>
    </row>
    <row r="254" ht="12.75" customHeight="1">
      <c r="A254" s="100" t="n"/>
      <c r="B254" s="101" t="n"/>
      <c r="C254" s="102" t="n"/>
      <c r="D254" s="99" t="n"/>
      <c r="E254" s="95" t="n"/>
      <c r="F254" s="95" t="n"/>
      <c r="G254" s="94" t="n"/>
      <c r="H254" s="46" t="n"/>
      <c r="I254" s="46" t="n"/>
      <c r="J254" s="46" t="n"/>
      <c r="K254" s="46" t="n"/>
      <c r="L254" s="95" t="n"/>
      <c r="M254" s="95" t="n"/>
      <c r="N254" s="95" t="n"/>
      <c r="O254" s="95" t="n"/>
      <c r="P254" s="95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  <c r="Z254" s="46" t="n"/>
    </row>
    <row r="255" ht="12.75" customHeight="1">
      <c r="A255" s="100" t="n"/>
      <c r="B255" s="101" t="n"/>
      <c r="C255" s="102" t="n"/>
      <c r="D255" s="99" t="n"/>
      <c r="E255" s="95" t="n"/>
      <c r="F255" s="95" t="n"/>
      <c r="G255" s="94" t="n"/>
      <c r="H255" s="46" t="n"/>
      <c r="I255" s="46" t="n"/>
      <c r="J255" s="46" t="n"/>
      <c r="K255" s="46" t="n"/>
      <c r="L255" s="95" t="n"/>
      <c r="M255" s="95" t="n"/>
      <c r="N255" s="95" t="n"/>
      <c r="O255" s="95" t="n"/>
      <c r="P255" s="95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  <c r="Z255" s="46" t="n"/>
    </row>
    <row r="256" ht="12.75" customHeight="1">
      <c r="A256" s="100" t="n"/>
      <c r="B256" s="101" t="n"/>
      <c r="C256" s="102" t="n"/>
      <c r="D256" s="99" t="n"/>
      <c r="E256" s="95" t="n"/>
      <c r="F256" s="95" t="n"/>
      <c r="G256" s="94" t="n"/>
      <c r="H256" s="46" t="n"/>
      <c r="I256" s="46" t="n"/>
      <c r="J256" s="46" t="n"/>
      <c r="K256" s="46" t="n"/>
      <c r="L256" s="95" t="n"/>
      <c r="M256" s="95" t="n"/>
      <c r="N256" s="95" t="n"/>
      <c r="O256" s="95" t="n"/>
      <c r="P256" s="95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  <c r="Z256" s="46" t="n"/>
    </row>
    <row r="257" ht="12.75" customHeight="1">
      <c r="A257" s="100" t="n"/>
      <c r="B257" s="101" t="n"/>
      <c r="C257" s="102" t="n"/>
      <c r="D257" s="99" t="n"/>
      <c r="E257" s="95" t="n"/>
      <c r="F257" s="95" t="n"/>
      <c r="G257" s="94" t="n"/>
      <c r="H257" s="46" t="n"/>
      <c r="I257" s="46" t="n"/>
      <c r="J257" s="46" t="n"/>
      <c r="K257" s="46" t="n"/>
      <c r="L257" s="95" t="n"/>
      <c r="M257" s="95" t="n"/>
      <c r="N257" s="95" t="n"/>
      <c r="O257" s="95" t="n"/>
      <c r="P257" s="95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  <c r="Z257" s="46" t="n"/>
    </row>
    <row r="258" ht="12.75" customHeight="1">
      <c r="A258" s="100" t="n"/>
      <c r="B258" s="101" t="n"/>
      <c r="C258" s="102" t="n"/>
      <c r="D258" s="99" t="n"/>
      <c r="E258" s="95" t="n"/>
      <c r="F258" s="95" t="n"/>
      <c r="G258" s="94" t="n"/>
      <c r="H258" s="46" t="n"/>
      <c r="I258" s="46" t="n"/>
      <c r="J258" s="46" t="n"/>
      <c r="K258" s="46" t="n"/>
      <c r="L258" s="95" t="n"/>
      <c r="M258" s="95" t="n"/>
      <c r="N258" s="95" t="n"/>
      <c r="O258" s="95" t="n"/>
      <c r="P258" s="95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  <c r="Z258" s="46" t="n"/>
    </row>
    <row r="259" ht="12.75" customHeight="1">
      <c r="A259" s="100" t="n"/>
      <c r="B259" s="101" t="n"/>
      <c r="C259" s="102" t="n"/>
      <c r="D259" s="99" t="n"/>
      <c r="E259" s="95" t="n"/>
      <c r="F259" s="95" t="n"/>
      <c r="G259" s="94" t="n"/>
      <c r="H259" s="46" t="n"/>
      <c r="I259" s="46" t="n"/>
      <c r="J259" s="46" t="n"/>
      <c r="K259" s="46" t="n"/>
      <c r="L259" s="95" t="n"/>
      <c r="M259" s="95" t="n"/>
      <c r="N259" s="95" t="n"/>
      <c r="O259" s="95" t="n"/>
      <c r="P259" s="95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  <c r="Z259" s="46" t="n"/>
    </row>
    <row r="260" ht="12.75" customHeight="1">
      <c r="A260" s="100" t="n"/>
      <c r="B260" s="101" t="n"/>
      <c r="C260" s="102" t="n"/>
      <c r="D260" s="99" t="n"/>
      <c r="E260" s="95" t="n"/>
      <c r="F260" s="95" t="n"/>
      <c r="G260" s="94" t="n"/>
      <c r="H260" s="46" t="n"/>
      <c r="I260" s="46" t="n"/>
      <c r="J260" s="46" t="n"/>
      <c r="K260" s="46" t="n"/>
      <c r="L260" s="95" t="n"/>
      <c r="M260" s="95" t="n"/>
      <c r="N260" s="95" t="n"/>
      <c r="O260" s="95" t="n"/>
      <c r="P260" s="95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  <c r="Z260" s="46" t="n"/>
    </row>
    <row r="261" ht="12.75" customHeight="1">
      <c r="A261" s="100" t="n"/>
      <c r="B261" s="101" t="n"/>
      <c r="C261" s="102" t="n"/>
      <c r="D261" s="99" t="n"/>
      <c r="E261" s="95" t="n"/>
      <c r="F261" s="95" t="n"/>
      <c r="G261" s="94" t="n"/>
      <c r="H261" s="46" t="n"/>
      <c r="I261" s="46" t="n"/>
      <c r="J261" s="46" t="n"/>
      <c r="K261" s="46" t="n"/>
      <c r="L261" s="95" t="n"/>
      <c r="M261" s="95" t="n"/>
      <c r="N261" s="95" t="n"/>
      <c r="O261" s="95" t="n"/>
      <c r="P261" s="95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  <c r="Z261" s="46" t="n"/>
    </row>
    <row r="262" ht="12.75" customHeight="1">
      <c r="A262" s="100" t="n"/>
      <c r="B262" s="101" t="n"/>
      <c r="C262" s="102" t="n"/>
      <c r="D262" s="99" t="n"/>
      <c r="E262" s="95" t="n"/>
      <c r="F262" s="95" t="n"/>
      <c r="G262" s="94" t="n"/>
      <c r="H262" s="46" t="n"/>
      <c r="I262" s="46" t="n"/>
      <c r="J262" s="46" t="n"/>
      <c r="K262" s="46" t="n"/>
      <c r="L262" s="95" t="n"/>
      <c r="M262" s="95" t="n"/>
      <c r="N262" s="95" t="n"/>
      <c r="O262" s="95" t="n"/>
      <c r="P262" s="95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  <c r="Z262" s="46" t="n"/>
    </row>
    <row r="263" ht="12.75" customHeight="1">
      <c r="A263" s="100" t="n"/>
      <c r="B263" s="101" t="n"/>
      <c r="C263" s="102" t="n"/>
      <c r="D263" s="99" t="n"/>
      <c r="E263" s="95" t="n"/>
      <c r="F263" s="95" t="n"/>
      <c r="G263" s="94" t="n"/>
      <c r="H263" s="46" t="n"/>
      <c r="I263" s="46" t="n"/>
      <c r="J263" s="46" t="n"/>
      <c r="K263" s="46" t="n"/>
      <c r="L263" s="95" t="n"/>
      <c r="M263" s="95" t="n"/>
      <c r="N263" s="95" t="n"/>
      <c r="O263" s="95" t="n"/>
      <c r="P263" s="95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  <c r="Z263" s="46" t="n"/>
    </row>
    <row r="264" ht="12.75" customHeight="1">
      <c r="A264" s="100" t="n"/>
      <c r="B264" s="101" t="n"/>
      <c r="C264" s="102" t="n"/>
      <c r="D264" s="99" t="n"/>
      <c r="E264" s="95" t="n"/>
      <c r="F264" s="95" t="n"/>
      <c r="G264" s="94" t="n"/>
      <c r="H264" s="46" t="n"/>
      <c r="I264" s="46" t="n"/>
      <c r="J264" s="46" t="n"/>
      <c r="K264" s="46" t="n"/>
      <c r="L264" s="95" t="n"/>
      <c r="M264" s="95" t="n"/>
      <c r="N264" s="95" t="n"/>
      <c r="O264" s="95" t="n"/>
      <c r="P264" s="95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  <c r="Z264" s="46" t="n"/>
    </row>
    <row r="265" ht="12.75" customHeight="1">
      <c r="A265" s="100" t="n"/>
      <c r="B265" s="101" t="n"/>
      <c r="C265" s="102" t="n"/>
      <c r="D265" s="99" t="n"/>
      <c r="E265" s="95" t="n"/>
      <c r="F265" s="95" t="n"/>
      <c r="G265" s="94" t="n"/>
      <c r="H265" s="46" t="n"/>
      <c r="I265" s="46" t="n"/>
      <c r="J265" s="46" t="n"/>
      <c r="K265" s="46" t="n"/>
      <c r="L265" s="95" t="n"/>
      <c r="M265" s="95" t="n"/>
      <c r="N265" s="95" t="n"/>
      <c r="O265" s="95" t="n"/>
      <c r="P265" s="95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  <c r="Z265" s="46" t="n"/>
    </row>
    <row r="266" ht="12.75" customHeight="1">
      <c r="A266" s="100" t="n"/>
      <c r="B266" s="101" t="n"/>
      <c r="C266" s="102" t="n"/>
      <c r="D266" s="99" t="n"/>
      <c r="E266" s="95" t="n"/>
      <c r="F266" s="95" t="n"/>
      <c r="G266" s="94" t="n"/>
      <c r="H266" s="46" t="n"/>
      <c r="I266" s="46" t="n"/>
      <c r="J266" s="46" t="n"/>
      <c r="K266" s="46" t="n"/>
      <c r="L266" s="95" t="n"/>
      <c r="M266" s="95" t="n"/>
      <c r="N266" s="95" t="n"/>
      <c r="O266" s="95" t="n"/>
      <c r="P266" s="95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  <c r="Z266" s="46" t="n"/>
    </row>
    <row r="267" ht="12.75" customHeight="1">
      <c r="A267" s="100" t="n"/>
      <c r="B267" s="101" t="n"/>
      <c r="C267" s="102" t="n"/>
      <c r="D267" s="99" t="n"/>
      <c r="E267" s="95" t="n"/>
      <c r="F267" s="95" t="n"/>
      <c r="G267" s="94" t="n"/>
      <c r="H267" s="46" t="n"/>
      <c r="I267" s="46" t="n"/>
      <c r="J267" s="46" t="n"/>
      <c r="K267" s="46" t="n"/>
      <c r="L267" s="95" t="n"/>
      <c r="M267" s="95" t="n"/>
      <c r="N267" s="95" t="n"/>
      <c r="O267" s="95" t="n"/>
      <c r="P267" s="95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  <c r="Z267" s="46" t="n"/>
    </row>
    <row r="268" ht="12.75" customHeight="1">
      <c r="A268" s="100" t="n"/>
      <c r="B268" s="101" t="n"/>
      <c r="C268" s="102" t="n"/>
      <c r="D268" s="99" t="n"/>
      <c r="E268" s="95" t="n"/>
      <c r="F268" s="95" t="n"/>
      <c r="G268" s="94" t="n"/>
      <c r="H268" s="46" t="n"/>
      <c r="I268" s="46" t="n"/>
      <c r="J268" s="46" t="n"/>
      <c r="K268" s="46" t="n"/>
      <c r="L268" s="95" t="n"/>
      <c r="M268" s="95" t="n"/>
      <c r="N268" s="95" t="n"/>
      <c r="O268" s="95" t="n"/>
      <c r="P268" s="95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  <c r="Z268" s="46" t="n"/>
    </row>
    <row r="269" ht="12.75" customHeight="1">
      <c r="A269" s="100" t="n"/>
      <c r="B269" s="101" t="n"/>
      <c r="C269" s="102" t="n"/>
      <c r="D269" s="99" t="n"/>
      <c r="E269" s="95" t="n"/>
      <c r="F269" s="95" t="n"/>
      <c r="G269" s="94" t="n"/>
      <c r="H269" s="46" t="n"/>
      <c r="I269" s="46" t="n"/>
      <c r="J269" s="46" t="n"/>
      <c r="K269" s="46" t="n"/>
      <c r="L269" s="95" t="n"/>
      <c r="M269" s="95" t="n"/>
      <c r="N269" s="95" t="n"/>
      <c r="O269" s="95" t="n"/>
      <c r="P269" s="95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  <c r="Z269" s="46" t="n"/>
    </row>
    <row r="270" ht="12.75" customHeight="1">
      <c r="A270" s="100" t="n"/>
      <c r="B270" s="101" t="n"/>
      <c r="C270" s="102" t="n"/>
      <c r="D270" s="99" t="n"/>
      <c r="E270" s="95" t="n"/>
      <c r="F270" s="95" t="n"/>
      <c r="G270" s="94" t="n"/>
      <c r="H270" s="46" t="n"/>
      <c r="I270" s="46" t="n"/>
      <c r="J270" s="46" t="n"/>
      <c r="K270" s="46" t="n"/>
      <c r="L270" s="95" t="n"/>
      <c r="M270" s="95" t="n"/>
      <c r="N270" s="95" t="n"/>
      <c r="O270" s="95" t="n"/>
      <c r="P270" s="95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  <c r="Z270" s="46" t="n"/>
    </row>
    <row r="271" ht="12.75" customHeight="1">
      <c r="A271" s="100" t="n"/>
      <c r="B271" s="101" t="n"/>
      <c r="C271" s="102" t="n"/>
      <c r="D271" s="99" t="n"/>
      <c r="E271" s="95" t="n"/>
      <c r="F271" s="95" t="n"/>
      <c r="G271" s="94" t="n"/>
      <c r="H271" s="46" t="n"/>
      <c r="I271" s="46" t="n"/>
      <c r="J271" s="46" t="n"/>
      <c r="K271" s="46" t="n"/>
      <c r="L271" s="95" t="n"/>
      <c r="M271" s="95" t="n"/>
      <c r="N271" s="95" t="n"/>
      <c r="O271" s="95" t="n"/>
      <c r="P271" s="95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  <c r="Z271" s="46" t="n"/>
    </row>
    <row r="272" ht="12.75" customHeight="1">
      <c r="A272" s="100" t="n"/>
      <c r="B272" s="101" t="n"/>
      <c r="C272" s="102" t="n"/>
      <c r="D272" s="99" t="n"/>
      <c r="E272" s="95" t="n"/>
      <c r="F272" s="95" t="n"/>
      <c r="G272" s="94" t="n"/>
      <c r="H272" s="46" t="n"/>
      <c r="I272" s="46" t="n"/>
      <c r="J272" s="46" t="n"/>
      <c r="K272" s="46" t="n"/>
      <c r="L272" s="95" t="n"/>
      <c r="M272" s="95" t="n"/>
      <c r="N272" s="95" t="n"/>
      <c r="O272" s="95" t="n"/>
      <c r="P272" s="95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  <c r="Z272" s="46" t="n"/>
    </row>
    <row r="273" ht="12.75" customHeight="1">
      <c r="A273" s="100" t="n"/>
      <c r="B273" s="101" t="n"/>
      <c r="C273" s="102" t="n"/>
      <c r="D273" s="99" t="n"/>
      <c r="E273" s="95" t="n"/>
      <c r="F273" s="95" t="n"/>
      <c r="G273" s="94" t="n"/>
      <c r="H273" s="46" t="n"/>
      <c r="I273" s="46" t="n"/>
      <c r="J273" s="46" t="n"/>
      <c r="K273" s="46" t="n"/>
      <c r="L273" s="95" t="n"/>
      <c r="M273" s="95" t="n"/>
      <c r="N273" s="95" t="n"/>
      <c r="O273" s="95" t="n"/>
      <c r="P273" s="95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  <c r="Z273" s="46" t="n"/>
    </row>
    <row r="274" ht="12.75" customHeight="1">
      <c r="A274" s="100" t="n"/>
      <c r="B274" s="101" t="n"/>
      <c r="C274" s="102" t="n"/>
      <c r="D274" s="99" t="n"/>
      <c r="E274" s="95" t="n"/>
      <c r="F274" s="95" t="n"/>
      <c r="G274" s="94" t="n"/>
      <c r="H274" s="46" t="n"/>
      <c r="I274" s="46" t="n"/>
      <c r="J274" s="46" t="n"/>
      <c r="K274" s="46" t="n"/>
      <c r="L274" s="95" t="n"/>
      <c r="M274" s="95" t="n"/>
      <c r="N274" s="95" t="n"/>
      <c r="O274" s="95" t="n"/>
      <c r="P274" s="95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  <c r="Z274" s="46" t="n"/>
    </row>
    <row r="275" ht="12.75" customHeight="1">
      <c r="A275" s="100" t="n"/>
      <c r="B275" s="101" t="n"/>
      <c r="C275" s="102" t="n"/>
      <c r="D275" s="99" t="n"/>
      <c r="E275" s="95" t="n"/>
      <c r="F275" s="95" t="n"/>
      <c r="G275" s="94" t="n"/>
      <c r="H275" s="46" t="n"/>
      <c r="I275" s="46" t="n"/>
      <c r="J275" s="46" t="n"/>
      <c r="K275" s="46" t="n"/>
      <c r="L275" s="95" t="n"/>
      <c r="M275" s="95" t="n"/>
      <c r="N275" s="95" t="n"/>
      <c r="O275" s="95" t="n"/>
      <c r="P275" s="95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  <c r="Z275" s="46" t="n"/>
    </row>
    <row r="276" ht="12.75" customHeight="1">
      <c r="A276" s="100" t="n"/>
      <c r="B276" s="101" t="n"/>
      <c r="C276" s="102" t="n"/>
      <c r="D276" s="99" t="n"/>
      <c r="E276" s="95" t="n"/>
      <c r="F276" s="95" t="n"/>
      <c r="G276" s="94" t="n"/>
      <c r="H276" s="46" t="n"/>
      <c r="I276" s="46" t="n"/>
      <c r="J276" s="46" t="n"/>
      <c r="K276" s="46" t="n"/>
      <c r="L276" s="95" t="n"/>
      <c r="M276" s="95" t="n"/>
      <c r="N276" s="95" t="n"/>
      <c r="O276" s="95" t="n"/>
      <c r="P276" s="95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  <c r="Z276" s="46" t="n"/>
    </row>
    <row r="277" ht="12.75" customHeight="1">
      <c r="A277" s="100" t="n"/>
      <c r="B277" s="101" t="n"/>
      <c r="C277" s="102" t="n"/>
      <c r="D277" s="99" t="n"/>
      <c r="E277" s="95" t="n"/>
      <c r="F277" s="95" t="n"/>
      <c r="G277" s="94" t="n"/>
      <c r="H277" s="46" t="n"/>
      <c r="I277" s="46" t="n"/>
      <c r="J277" s="46" t="n"/>
      <c r="K277" s="46" t="n"/>
      <c r="L277" s="95" t="n"/>
      <c r="M277" s="95" t="n"/>
      <c r="N277" s="95" t="n"/>
      <c r="O277" s="95" t="n"/>
      <c r="P277" s="95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  <c r="Z277" s="46" t="n"/>
    </row>
    <row r="278" ht="12.75" customHeight="1">
      <c r="A278" s="100" t="n"/>
      <c r="B278" s="101" t="n"/>
      <c r="C278" s="102" t="n"/>
      <c r="D278" s="99" t="n"/>
      <c r="E278" s="95" t="n"/>
      <c r="F278" s="95" t="n"/>
      <c r="G278" s="94" t="n"/>
      <c r="H278" s="46" t="n"/>
      <c r="I278" s="46" t="n"/>
      <c r="J278" s="46" t="n"/>
      <c r="K278" s="46" t="n"/>
      <c r="L278" s="95" t="n"/>
      <c r="M278" s="95" t="n"/>
      <c r="N278" s="95" t="n"/>
      <c r="O278" s="95" t="n"/>
      <c r="P278" s="95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  <c r="Z278" s="46" t="n"/>
    </row>
    <row r="279" ht="12.75" customHeight="1">
      <c r="A279" s="100" t="n"/>
      <c r="B279" s="101" t="n"/>
      <c r="C279" s="102" t="n"/>
      <c r="D279" s="99" t="n"/>
      <c r="E279" s="95" t="n"/>
      <c r="F279" s="95" t="n"/>
      <c r="G279" s="94" t="n"/>
      <c r="H279" s="46" t="n"/>
      <c r="I279" s="46" t="n"/>
      <c r="J279" s="46" t="n"/>
      <c r="K279" s="46" t="n"/>
      <c r="L279" s="95" t="n"/>
      <c r="M279" s="95" t="n"/>
      <c r="N279" s="95" t="n"/>
      <c r="O279" s="95" t="n"/>
      <c r="P279" s="95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  <c r="Z279" s="46" t="n"/>
    </row>
    <row r="280" ht="12.75" customHeight="1">
      <c r="A280" s="100" t="n"/>
      <c r="B280" s="101" t="n"/>
      <c r="C280" s="102" t="n"/>
      <c r="D280" s="99" t="n"/>
      <c r="E280" s="95" t="n"/>
      <c r="F280" s="95" t="n"/>
      <c r="G280" s="94" t="n"/>
      <c r="H280" s="46" t="n"/>
      <c r="I280" s="46" t="n"/>
      <c r="J280" s="46" t="n"/>
      <c r="K280" s="46" t="n"/>
      <c r="L280" s="95" t="n"/>
      <c r="M280" s="95" t="n"/>
      <c r="N280" s="95" t="n"/>
      <c r="O280" s="95" t="n"/>
      <c r="P280" s="95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  <c r="Z280" s="46" t="n"/>
    </row>
    <row r="281" ht="12.75" customHeight="1">
      <c r="A281" s="100" t="n"/>
      <c r="B281" s="101" t="n"/>
      <c r="C281" s="102" t="n"/>
      <c r="D281" s="99" t="n"/>
      <c r="E281" s="95" t="n"/>
      <c r="F281" s="95" t="n"/>
      <c r="G281" s="94" t="n"/>
      <c r="H281" s="46" t="n"/>
      <c r="I281" s="46" t="n"/>
      <c r="J281" s="46" t="n"/>
      <c r="K281" s="46" t="n"/>
      <c r="L281" s="95" t="n"/>
      <c r="M281" s="95" t="n"/>
      <c r="N281" s="95" t="n"/>
      <c r="O281" s="95" t="n"/>
      <c r="P281" s="95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  <c r="Z281" s="46" t="n"/>
    </row>
    <row r="282" ht="12.75" customHeight="1">
      <c r="A282" s="100" t="n"/>
      <c r="B282" s="101" t="n"/>
      <c r="C282" s="102" t="n"/>
      <c r="D282" s="99" t="n"/>
      <c r="E282" s="95" t="n"/>
      <c r="F282" s="95" t="n"/>
      <c r="G282" s="94" t="n"/>
      <c r="H282" s="46" t="n"/>
      <c r="I282" s="46" t="n"/>
      <c r="J282" s="46" t="n"/>
      <c r="K282" s="46" t="n"/>
      <c r="L282" s="95" t="n"/>
      <c r="M282" s="95" t="n"/>
      <c r="N282" s="95" t="n"/>
      <c r="O282" s="95" t="n"/>
      <c r="P282" s="95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  <c r="Z282" s="46" t="n"/>
    </row>
    <row r="283" ht="12.75" customHeight="1">
      <c r="A283" s="100" t="n"/>
      <c r="B283" s="101" t="n"/>
      <c r="C283" s="102" t="n"/>
      <c r="D283" s="99" t="n"/>
      <c r="E283" s="95" t="n"/>
      <c r="F283" s="95" t="n"/>
      <c r="G283" s="94" t="n"/>
      <c r="H283" s="46" t="n"/>
      <c r="I283" s="46" t="n"/>
      <c r="J283" s="46" t="n"/>
      <c r="K283" s="46" t="n"/>
      <c r="L283" s="95" t="n"/>
      <c r="M283" s="95" t="n"/>
      <c r="N283" s="95" t="n"/>
      <c r="O283" s="95" t="n"/>
      <c r="P283" s="95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  <c r="Z283" s="46" t="n"/>
    </row>
    <row r="284" ht="12.75" customHeight="1">
      <c r="A284" s="100" t="n"/>
      <c r="B284" s="101" t="n"/>
      <c r="C284" s="102" t="n"/>
      <c r="D284" s="99" t="n"/>
      <c r="E284" s="95" t="n"/>
      <c r="F284" s="95" t="n"/>
      <c r="G284" s="94" t="n"/>
      <c r="H284" s="46" t="n"/>
      <c r="I284" s="46" t="n"/>
      <c r="J284" s="46" t="n"/>
      <c r="K284" s="46" t="n"/>
      <c r="L284" s="95" t="n"/>
      <c r="M284" s="95" t="n"/>
      <c r="N284" s="95" t="n"/>
      <c r="O284" s="95" t="n"/>
      <c r="P284" s="95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  <c r="Z284" s="46" t="n"/>
    </row>
    <row r="285" ht="12.75" customHeight="1">
      <c r="A285" s="100" t="n"/>
      <c r="B285" s="101" t="n"/>
      <c r="C285" s="102" t="n"/>
      <c r="D285" s="99" t="n"/>
      <c r="E285" s="95" t="n"/>
      <c r="F285" s="95" t="n"/>
      <c r="G285" s="94" t="n"/>
      <c r="H285" s="46" t="n"/>
      <c r="I285" s="46" t="n"/>
      <c r="J285" s="46" t="n"/>
      <c r="K285" s="46" t="n"/>
      <c r="L285" s="95" t="n"/>
      <c r="M285" s="95" t="n"/>
      <c r="N285" s="95" t="n"/>
      <c r="O285" s="95" t="n"/>
      <c r="P285" s="95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  <c r="Z285" s="46" t="n"/>
    </row>
    <row r="286" ht="12.75" customHeight="1">
      <c r="A286" s="100" t="n"/>
      <c r="B286" s="101" t="n"/>
      <c r="C286" s="102" t="n"/>
      <c r="D286" s="99" t="n"/>
      <c r="E286" s="95" t="n"/>
      <c r="F286" s="95" t="n"/>
      <c r="G286" s="94" t="n"/>
      <c r="H286" s="46" t="n"/>
      <c r="I286" s="46" t="n"/>
      <c r="J286" s="46" t="n"/>
      <c r="K286" s="46" t="n"/>
      <c r="L286" s="95" t="n"/>
      <c r="M286" s="95" t="n"/>
      <c r="N286" s="95" t="n"/>
      <c r="O286" s="95" t="n"/>
      <c r="P286" s="95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  <c r="Z286" s="46" t="n"/>
    </row>
    <row r="287" ht="12.75" customHeight="1">
      <c r="A287" s="100" t="n"/>
      <c r="B287" s="101" t="n"/>
      <c r="C287" s="102" t="n"/>
      <c r="D287" s="99" t="n"/>
      <c r="E287" s="95" t="n"/>
      <c r="F287" s="95" t="n"/>
      <c r="G287" s="94" t="n"/>
      <c r="H287" s="46" t="n"/>
      <c r="I287" s="46" t="n"/>
      <c r="J287" s="46" t="n"/>
      <c r="K287" s="46" t="n"/>
      <c r="L287" s="95" t="n"/>
      <c r="M287" s="95" t="n"/>
      <c r="N287" s="95" t="n"/>
      <c r="O287" s="95" t="n"/>
      <c r="P287" s="95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  <c r="Z287" s="46" t="n"/>
    </row>
    <row r="288" ht="12.75" customHeight="1">
      <c r="A288" s="100" t="n"/>
      <c r="B288" s="101" t="n"/>
      <c r="C288" s="102" t="n"/>
      <c r="D288" s="99" t="n"/>
      <c r="E288" s="95" t="n"/>
      <c r="F288" s="95" t="n"/>
      <c r="G288" s="94" t="n"/>
      <c r="H288" s="46" t="n"/>
      <c r="I288" s="46" t="n"/>
      <c r="J288" s="46" t="n"/>
      <c r="K288" s="46" t="n"/>
      <c r="L288" s="95" t="n"/>
      <c r="M288" s="95" t="n"/>
      <c r="N288" s="95" t="n"/>
      <c r="O288" s="95" t="n"/>
      <c r="P288" s="95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  <c r="Z288" s="46" t="n"/>
    </row>
    <row r="289" ht="12.75" customHeight="1">
      <c r="A289" s="100" t="n"/>
      <c r="B289" s="101" t="n"/>
      <c r="C289" s="102" t="n"/>
      <c r="D289" s="99" t="n"/>
      <c r="E289" s="95" t="n"/>
      <c r="F289" s="95" t="n"/>
      <c r="G289" s="94" t="n"/>
      <c r="H289" s="46" t="n"/>
      <c r="I289" s="46" t="n"/>
      <c r="J289" s="46" t="n"/>
      <c r="K289" s="46" t="n"/>
      <c r="L289" s="95" t="n"/>
      <c r="M289" s="95" t="n"/>
      <c r="N289" s="95" t="n"/>
      <c r="O289" s="95" t="n"/>
      <c r="P289" s="95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  <c r="Z289" s="46" t="n"/>
    </row>
    <row r="290" ht="12.75" customHeight="1">
      <c r="A290" s="100" t="n"/>
      <c r="B290" s="101" t="n"/>
      <c r="C290" s="102" t="n"/>
      <c r="D290" s="99" t="n"/>
      <c r="E290" s="95" t="n"/>
      <c r="F290" s="95" t="n"/>
      <c r="G290" s="94" t="n"/>
      <c r="H290" s="46" t="n"/>
      <c r="I290" s="46" t="n"/>
      <c r="J290" s="46" t="n"/>
      <c r="K290" s="46" t="n"/>
      <c r="L290" s="95" t="n"/>
      <c r="M290" s="95" t="n"/>
      <c r="N290" s="95" t="n"/>
      <c r="O290" s="95" t="n"/>
      <c r="P290" s="95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  <c r="Z290" s="46" t="n"/>
    </row>
    <row r="291" ht="12.75" customHeight="1">
      <c r="A291" s="100" t="n"/>
      <c r="B291" s="101" t="n"/>
      <c r="C291" s="102" t="n"/>
      <c r="D291" s="99" t="n"/>
      <c r="E291" s="95" t="n"/>
      <c r="F291" s="95" t="n"/>
      <c r="G291" s="94" t="n"/>
      <c r="H291" s="46" t="n"/>
      <c r="I291" s="46" t="n"/>
      <c r="J291" s="46" t="n"/>
      <c r="K291" s="46" t="n"/>
      <c r="L291" s="95" t="n"/>
      <c r="M291" s="95" t="n"/>
      <c r="N291" s="95" t="n"/>
      <c r="O291" s="95" t="n"/>
      <c r="P291" s="95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  <c r="Z291" s="46" t="n"/>
    </row>
    <row r="292" ht="12.75" customHeight="1">
      <c r="A292" s="100" t="n"/>
      <c r="B292" s="101" t="n"/>
      <c r="C292" s="102" t="n"/>
      <c r="D292" s="99" t="n"/>
      <c r="E292" s="95" t="n"/>
      <c r="F292" s="95" t="n"/>
      <c r="G292" s="94" t="n"/>
      <c r="H292" s="46" t="n"/>
      <c r="I292" s="46" t="n"/>
      <c r="J292" s="46" t="n"/>
      <c r="K292" s="46" t="n"/>
      <c r="L292" s="95" t="n"/>
      <c r="M292" s="95" t="n"/>
      <c r="N292" s="95" t="n"/>
      <c r="O292" s="95" t="n"/>
      <c r="P292" s="95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  <c r="Z292" s="46" t="n"/>
    </row>
    <row r="293" ht="12.75" customHeight="1">
      <c r="A293" s="100" t="n"/>
      <c r="B293" s="101" t="n"/>
      <c r="C293" s="102" t="n"/>
      <c r="D293" s="99" t="n"/>
      <c r="E293" s="95" t="n"/>
      <c r="F293" s="95" t="n"/>
      <c r="G293" s="94" t="n"/>
      <c r="H293" s="46" t="n"/>
      <c r="I293" s="46" t="n"/>
      <c r="J293" s="46" t="n"/>
      <c r="K293" s="46" t="n"/>
      <c r="L293" s="95" t="n"/>
      <c r="M293" s="95" t="n"/>
      <c r="N293" s="95" t="n"/>
      <c r="O293" s="95" t="n"/>
      <c r="P293" s="95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  <c r="Z293" s="46" t="n"/>
    </row>
    <row r="294" ht="12.75" customHeight="1">
      <c r="A294" s="100" t="n"/>
      <c r="B294" s="101" t="n"/>
      <c r="C294" s="102" t="n"/>
      <c r="D294" s="99" t="n"/>
      <c r="E294" s="95" t="n"/>
      <c r="F294" s="95" t="n"/>
      <c r="G294" s="94" t="n"/>
      <c r="H294" s="46" t="n"/>
      <c r="I294" s="46" t="n"/>
      <c r="J294" s="46" t="n"/>
      <c r="K294" s="46" t="n"/>
      <c r="L294" s="95" t="n"/>
      <c r="M294" s="95" t="n"/>
      <c r="N294" s="95" t="n"/>
      <c r="O294" s="95" t="n"/>
      <c r="P294" s="95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  <c r="Z294" s="46" t="n"/>
    </row>
    <row r="295" ht="12.75" customHeight="1">
      <c r="A295" s="100" t="n"/>
      <c r="B295" s="101" t="n"/>
      <c r="C295" s="102" t="n"/>
      <c r="D295" s="99" t="n"/>
      <c r="E295" s="95" t="n"/>
      <c r="F295" s="95" t="n"/>
      <c r="G295" s="94" t="n"/>
      <c r="H295" s="46" t="n"/>
      <c r="I295" s="46" t="n"/>
      <c r="J295" s="46" t="n"/>
      <c r="K295" s="46" t="n"/>
      <c r="L295" s="95" t="n"/>
      <c r="M295" s="95" t="n"/>
      <c r="N295" s="95" t="n"/>
      <c r="O295" s="95" t="n"/>
      <c r="P295" s="95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  <c r="Z295" s="46" t="n"/>
    </row>
    <row r="296" ht="12.75" customHeight="1">
      <c r="A296" s="100" t="n"/>
      <c r="B296" s="101" t="n"/>
      <c r="C296" s="102" t="n"/>
      <c r="D296" s="99" t="n"/>
      <c r="E296" s="95" t="n"/>
      <c r="F296" s="95" t="n"/>
      <c r="G296" s="94" t="n"/>
      <c r="H296" s="46" t="n"/>
      <c r="I296" s="46" t="n"/>
      <c r="J296" s="46" t="n"/>
      <c r="K296" s="46" t="n"/>
      <c r="L296" s="95" t="n"/>
      <c r="M296" s="95" t="n"/>
      <c r="N296" s="95" t="n"/>
      <c r="O296" s="95" t="n"/>
      <c r="P296" s="95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  <c r="Z296" s="46" t="n"/>
    </row>
    <row r="297" ht="12.75" customHeight="1">
      <c r="A297" s="100" t="n"/>
      <c r="B297" s="101" t="n"/>
      <c r="C297" s="102" t="n"/>
      <c r="D297" s="99" t="n"/>
      <c r="E297" s="95" t="n"/>
      <c r="F297" s="95" t="n"/>
      <c r="G297" s="94" t="n"/>
      <c r="H297" s="46" t="n"/>
      <c r="I297" s="46" t="n"/>
      <c r="J297" s="46" t="n"/>
      <c r="K297" s="46" t="n"/>
      <c r="L297" s="95" t="n"/>
      <c r="M297" s="95" t="n"/>
      <c r="N297" s="95" t="n"/>
      <c r="O297" s="95" t="n"/>
      <c r="P297" s="95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  <c r="Z297" s="46" t="n"/>
    </row>
    <row r="298" ht="12.75" customHeight="1">
      <c r="A298" s="100" t="n"/>
      <c r="B298" s="101" t="n"/>
      <c r="C298" s="102" t="n"/>
      <c r="D298" s="99" t="n"/>
      <c r="E298" s="95" t="n"/>
      <c r="F298" s="95" t="n"/>
      <c r="G298" s="94" t="n"/>
      <c r="H298" s="46" t="n"/>
      <c r="I298" s="46" t="n"/>
      <c r="J298" s="46" t="n"/>
      <c r="K298" s="46" t="n"/>
      <c r="L298" s="95" t="n"/>
      <c r="M298" s="95" t="n"/>
      <c r="N298" s="95" t="n"/>
      <c r="O298" s="95" t="n"/>
      <c r="P298" s="95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  <c r="Z298" s="46" t="n"/>
    </row>
    <row r="299" ht="12.75" customHeight="1">
      <c r="A299" s="100" t="n"/>
      <c r="B299" s="101" t="n"/>
      <c r="C299" s="102" t="n"/>
      <c r="D299" s="99" t="n"/>
      <c r="E299" s="95" t="n"/>
      <c r="F299" s="95" t="n"/>
      <c r="G299" s="94" t="n"/>
      <c r="H299" s="46" t="n"/>
      <c r="I299" s="46" t="n"/>
      <c r="J299" s="46" t="n"/>
      <c r="K299" s="46" t="n"/>
      <c r="L299" s="95" t="n"/>
      <c r="M299" s="95" t="n"/>
      <c r="N299" s="95" t="n"/>
      <c r="O299" s="95" t="n"/>
      <c r="P299" s="95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  <c r="Z299" s="46" t="n"/>
    </row>
    <row r="300" ht="12.75" customHeight="1">
      <c r="A300" s="100" t="n"/>
      <c r="B300" s="101" t="n"/>
      <c r="C300" s="102" t="n"/>
      <c r="D300" s="99" t="n"/>
      <c r="E300" s="95" t="n"/>
      <c r="F300" s="95" t="n"/>
      <c r="G300" s="94" t="n"/>
      <c r="H300" s="46" t="n"/>
      <c r="I300" s="46" t="n"/>
      <c r="J300" s="46" t="n"/>
      <c r="K300" s="46" t="n"/>
      <c r="L300" s="95" t="n"/>
      <c r="M300" s="95" t="n"/>
      <c r="N300" s="95" t="n"/>
      <c r="O300" s="95" t="n"/>
      <c r="P300" s="95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  <c r="Z300" s="46" t="n"/>
    </row>
    <row r="301" ht="12.75" customHeight="1">
      <c r="A301" s="100" t="n"/>
      <c r="B301" s="101" t="n"/>
      <c r="C301" s="102" t="n"/>
      <c r="D301" s="99" t="n"/>
      <c r="E301" s="95" t="n"/>
      <c r="F301" s="95" t="n"/>
      <c r="G301" s="94" t="n"/>
      <c r="H301" s="46" t="n"/>
      <c r="I301" s="46" t="n"/>
      <c r="J301" s="46" t="n"/>
      <c r="K301" s="46" t="n"/>
      <c r="L301" s="95" t="n"/>
      <c r="M301" s="95" t="n"/>
      <c r="N301" s="95" t="n"/>
      <c r="O301" s="95" t="n"/>
      <c r="P301" s="95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  <c r="Z301" s="46" t="n"/>
    </row>
    <row r="302" ht="12.75" customHeight="1">
      <c r="A302" s="100" t="n"/>
      <c r="B302" s="101" t="n"/>
      <c r="C302" s="102" t="n"/>
      <c r="D302" s="99" t="n"/>
      <c r="E302" s="95" t="n"/>
      <c r="F302" s="95" t="n"/>
      <c r="G302" s="94" t="n"/>
      <c r="H302" s="46" t="n"/>
      <c r="I302" s="46" t="n"/>
      <c r="J302" s="46" t="n"/>
      <c r="K302" s="46" t="n"/>
      <c r="L302" s="95" t="n"/>
      <c r="M302" s="95" t="n"/>
      <c r="N302" s="95" t="n"/>
      <c r="O302" s="95" t="n"/>
      <c r="P302" s="95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  <c r="Z302" s="46" t="n"/>
    </row>
    <row r="303" ht="12.75" customHeight="1">
      <c r="A303" s="100" t="n"/>
      <c r="B303" s="101" t="n"/>
      <c r="C303" s="102" t="n"/>
      <c r="D303" s="99" t="n"/>
      <c r="E303" s="95" t="n"/>
      <c r="F303" s="95" t="n"/>
      <c r="G303" s="94" t="n"/>
      <c r="H303" s="46" t="n"/>
      <c r="I303" s="46" t="n"/>
      <c r="J303" s="46" t="n"/>
      <c r="K303" s="46" t="n"/>
      <c r="L303" s="95" t="n"/>
      <c r="M303" s="95" t="n"/>
      <c r="N303" s="95" t="n"/>
      <c r="O303" s="95" t="n"/>
      <c r="P303" s="95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  <c r="Z303" s="46" t="n"/>
    </row>
    <row r="304" ht="12.75" customHeight="1">
      <c r="A304" s="100" t="n"/>
      <c r="B304" s="101" t="n"/>
      <c r="C304" s="102" t="n"/>
      <c r="D304" s="99" t="n"/>
      <c r="E304" s="95" t="n"/>
      <c r="F304" s="95" t="n"/>
      <c r="G304" s="94" t="n"/>
      <c r="H304" s="46" t="n"/>
      <c r="I304" s="46" t="n"/>
      <c r="J304" s="46" t="n"/>
      <c r="K304" s="46" t="n"/>
      <c r="L304" s="95" t="n"/>
      <c r="M304" s="95" t="n"/>
      <c r="N304" s="95" t="n"/>
      <c r="O304" s="95" t="n"/>
      <c r="P304" s="95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  <c r="Z304" s="46" t="n"/>
    </row>
    <row r="305" ht="12.75" customHeight="1">
      <c r="A305" s="100" t="n"/>
      <c r="B305" s="101" t="n"/>
      <c r="C305" s="102" t="n"/>
      <c r="D305" s="99" t="n"/>
      <c r="E305" s="95" t="n"/>
      <c r="F305" s="95" t="n"/>
      <c r="G305" s="94" t="n"/>
      <c r="H305" s="46" t="n"/>
      <c r="I305" s="46" t="n"/>
      <c r="J305" s="46" t="n"/>
      <c r="K305" s="46" t="n"/>
      <c r="L305" s="95" t="n"/>
      <c r="M305" s="95" t="n"/>
      <c r="N305" s="95" t="n"/>
      <c r="O305" s="95" t="n"/>
      <c r="P305" s="95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  <c r="Z305" s="46" t="n"/>
    </row>
    <row r="306" ht="12.75" customHeight="1">
      <c r="A306" s="100" t="n"/>
      <c r="B306" s="101" t="n"/>
      <c r="C306" s="102" t="n"/>
      <c r="D306" s="99" t="n"/>
      <c r="E306" s="95" t="n"/>
      <c r="F306" s="95" t="n"/>
      <c r="G306" s="94" t="n"/>
      <c r="H306" s="46" t="n"/>
      <c r="I306" s="46" t="n"/>
      <c r="J306" s="46" t="n"/>
      <c r="K306" s="46" t="n"/>
      <c r="L306" s="95" t="n"/>
      <c r="M306" s="95" t="n"/>
      <c r="N306" s="95" t="n"/>
      <c r="O306" s="95" t="n"/>
      <c r="P306" s="95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  <c r="Z306" s="46" t="n"/>
    </row>
    <row r="307" ht="12.75" customHeight="1">
      <c r="A307" s="100" t="n"/>
      <c r="B307" s="101" t="n"/>
      <c r="C307" s="102" t="n"/>
      <c r="D307" s="99" t="n"/>
      <c r="E307" s="95" t="n"/>
      <c r="F307" s="95" t="n"/>
      <c r="G307" s="94" t="n"/>
      <c r="H307" s="46" t="n"/>
      <c r="I307" s="46" t="n"/>
      <c r="J307" s="46" t="n"/>
      <c r="K307" s="46" t="n"/>
      <c r="L307" s="95" t="n"/>
      <c r="M307" s="95" t="n"/>
      <c r="N307" s="95" t="n"/>
      <c r="O307" s="95" t="n"/>
      <c r="P307" s="95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  <c r="Z307" s="46" t="n"/>
    </row>
    <row r="308" ht="12.75" customHeight="1">
      <c r="A308" s="100" t="n"/>
      <c r="B308" s="101" t="n"/>
      <c r="C308" s="102" t="n"/>
      <c r="D308" s="99" t="n"/>
      <c r="E308" s="95" t="n"/>
      <c r="F308" s="95" t="n"/>
      <c r="G308" s="94" t="n"/>
      <c r="H308" s="46" t="n"/>
      <c r="I308" s="46" t="n"/>
      <c r="J308" s="46" t="n"/>
      <c r="K308" s="46" t="n"/>
      <c r="L308" s="95" t="n"/>
      <c r="M308" s="95" t="n"/>
      <c r="N308" s="95" t="n"/>
      <c r="O308" s="95" t="n"/>
      <c r="P308" s="95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  <c r="Z308" s="46" t="n"/>
    </row>
    <row r="309" ht="12.75" customHeight="1">
      <c r="A309" s="100" t="n"/>
      <c r="B309" s="101" t="n"/>
      <c r="C309" s="102" t="n"/>
      <c r="D309" s="99" t="n"/>
      <c r="E309" s="95" t="n"/>
      <c r="F309" s="95" t="n"/>
      <c r="G309" s="94" t="n"/>
      <c r="H309" s="46" t="n"/>
      <c r="I309" s="46" t="n"/>
      <c r="J309" s="46" t="n"/>
      <c r="K309" s="46" t="n"/>
      <c r="L309" s="95" t="n"/>
      <c r="M309" s="95" t="n"/>
      <c r="N309" s="95" t="n"/>
      <c r="O309" s="95" t="n"/>
      <c r="P309" s="95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  <c r="Z309" s="46" t="n"/>
    </row>
    <row r="310" ht="12.75" customHeight="1">
      <c r="A310" s="100" t="n"/>
      <c r="B310" s="101" t="n"/>
      <c r="C310" s="102" t="n"/>
      <c r="D310" s="99" t="n"/>
      <c r="E310" s="95" t="n"/>
      <c r="F310" s="95" t="n"/>
      <c r="G310" s="94" t="n"/>
      <c r="H310" s="46" t="n"/>
      <c r="I310" s="46" t="n"/>
      <c r="J310" s="46" t="n"/>
      <c r="K310" s="46" t="n"/>
      <c r="L310" s="95" t="n"/>
      <c r="M310" s="95" t="n"/>
      <c r="N310" s="95" t="n"/>
      <c r="O310" s="95" t="n"/>
      <c r="P310" s="95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  <c r="Z310" s="46" t="n"/>
    </row>
    <row r="311" ht="12.75" customHeight="1">
      <c r="A311" s="100" t="n"/>
      <c r="B311" s="101" t="n"/>
      <c r="C311" s="102" t="n"/>
      <c r="D311" s="99" t="n"/>
      <c r="E311" s="95" t="n"/>
      <c r="F311" s="95" t="n"/>
      <c r="G311" s="94" t="n"/>
      <c r="H311" s="46" t="n"/>
      <c r="I311" s="46" t="n"/>
      <c r="J311" s="46" t="n"/>
      <c r="K311" s="46" t="n"/>
      <c r="L311" s="95" t="n"/>
      <c r="M311" s="95" t="n"/>
      <c r="N311" s="95" t="n"/>
      <c r="O311" s="95" t="n"/>
      <c r="P311" s="95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  <c r="Z311" s="46" t="n"/>
    </row>
    <row r="312" ht="12.75" customHeight="1">
      <c r="A312" s="100" t="n"/>
      <c r="B312" s="101" t="n"/>
      <c r="C312" s="102" t="n"/>
      <c r="D312" s="99" t="n"/>
      <c r="E312" s="95" t="n"/>
      <c r="F312" s="95" t="n"/>
      <c r="G312" s="94" t="n"/>
      <c r="H312" s="46" t="n"/>
      <c r="I312" s="46" t="n"/>
      <c r="J312" s="46" t="n"/>
      <c r="K312" s="46" t="n"/>
      <c r="L312" s="95" t="n"/>
      <c r="M312" s="95" t="n"/>
      <c r="N312" s="95" t="n"/>
      <c r="O312" s="95" t="n"/>
      <c r="P312" s="95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  <c r="Z312" s="46" t="n"/>
    </row>
    <row r="313" ht="12.75" customHeight="1">
      <c r="A313" s="100" t="n"/>
      <c r="B313" s="101" t="n"/>
      <c r="C313" s="102" t="n"/>
      <c r="D313" s="99" t="n"/>
      <c r="E313" s="95" t="n"/>
      <c r="F313" s="95" t="n"/>
      <c r="G313" s="94" t="n"/>
      <c r="H313" s="46" t="n"/>
      <c r="I313" s="46" t="n"/>
      <c r="J313" s="46" t="n"/>
      <c r="K313" s="46" t="n"/>
      <c r="L313" s="95" t="n"/>
      <c r="M313" s="95" t="n"/>
      <c r="N313" s="95" t="n"/>
      <c r="O313" s="95" t="n"/>
      <c r="P313" s="95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  <c r="Z313" s="46" t="n"/>
    </row>
    <row r="314" ht="12.75" customHeight="1">
      <c r="A314" s="100" t="n"/>
      <c r="B314" s="101" t="n"/>
      <c r="C314" s="102" t="n"/>
      <c r="D314" s="99" t="n"/>
      <c r="E314" s="95" t="n"/>
      <c r="F314" s="95" t="n"/>
      <c r="G314" s="94" t="n"/>
      <c r="H314" s="46" t="n"/>
      <c r="I314" s="46" t="n"/>
      <c r="J314" s="46" t="n"/>
      <c r="K314" s="46" t="n"/>
      <c r="L314" s="95" t="n"/>
      <c r="M314" s="95" t="n"/>
      <c r="N314" s="95" t="n"/>
      <c r="O314" s="95" t="n"/>
      <c r="P314" s="95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  <c r="Z314" s="46" t="n"/>
    </row>
    <row r="315" ht="12.75" customHeight="1">
      <c r="A315" s="100" t="n"/>
      <c r="B315" s="101" t="n"/>
      <c r="C315" s="102" t="n"/>
      <c r="D315" s="99" t="n"/>
      <c r="E315" s="95" t="n"/>
      <c r="F315" s="95" t="n"/>
      <c r="G315" s="94" t="n"/>
      <c r="H315" s="46" t="n"/>
      <c r="I315" s="46" t="n"/>
      <c r="J315" s="46" t="n"/>
      <c r="K315" s="46" t="n"/>
      <c r="L315" s="95" t="n"/>
      <c r="M315" s="95" t="n"/>
      <c r="N315" s="95" t="n"/>
      <c r="O315" s="95" t="n"/>
      <c r="P315" s="95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  <c r="Z315" s="46" t="n"/>
    </row>
    <row r="316" ht="12.75" customHeight="1">
      <c r="A316" s="100" t="n"/>
      <c r="B316" s="101" t="n"/>
      <c r="C316" s="102" t="n"/>
      <c r="D316" s="99" t="n"/>
      <c r="E316" s="95" t="n"/>
      <c r="F316" s="95" t="n"/>
      <c r="G316" s="94" t="n"/>
      <c r="H316" s="46" t="n"/>
      <c r="I316" s="46" t="n"/>
      <c r="J316" s="46" t="n"/>
      <c r="K316" s="46" t="n"/>
      <c r="L316" s="95" t="n"/>
      <c r="M316" s="95" t="n"/>
      <c r="N316" s="95" t="n"/>
      <c r="O316" s="95" t="n"/>
      <c r="P316" s="95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  <c r="Z316" s="46" t="n"/>
    </row>
    <row r="317" ht="12.75" customHeight="1">
      <c r="A317" s="100" t="n"/>
      <c r="B317" s="101" t="n"/>
      <c r="C317" s="102" t="n"/>
      <c r="D317" s="99" t="n"/>
      <c r="E317" s="95" t="n"/>
      <c r="F317" s="95" t="n"/>
      <c r="G317" s="94" t="n"/>
      <c r="H317" s="46" t="n"/>
      <c r="I317" s="46" t="n"/>
      <c r="J317" s="46" t="n"/>
      <c r="K317" s="46" t="n"/>
      <c r="L317" s="95" t="n"/>
      <c r="M317" s="95" t="n"/>
      <c r="N317" s="95" t="n"/>
      <c r="O317" s="95" t="n"/>
      <c r="P317" s="95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  <c r="Z317" s="46" t="n"/>
    </row>
    <row r="318" ht="12.75" customHeight="1">
      <c r="A318" s="100" t="n"/>
      <c r="B318" s="101" t="n"/>
      <c r="C318" s="102" t="n"/>
      <c r="D318" s="99" t="n"/>
      <c r="E318" s="95" t="n"/>
      <c r="F318" s="95" t="n"/>
      <c r="G318" s="94" t="n"/>
      <c r="H318" s="46" t="n"/>
      <c r="I318" s="46" t="n"/>
      <c r="J318" s="46" t="n"/>
      <c r="K318" s="46" t="n"/>
      <c r="L318" s="95" t="n"/>
      <c r="M318" s="95" t="n"/>
      <c r="N318" s="95" t="n"/>
      <c r="O318" s="95" t="n"/>
      <c r="P318" s="95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  <c r="Z318" s="46" t="n"/>
    </row>
    <row r="319" ht="12.75" customHeight="1">
      <c r="A319" s="100" t="n"/>
      <c r="B319" s="101" t="n"/>
      <c r="C319" s="102" t="n"/>
      <c r="D319" s="99" t="n"/>
      <c r="E319" s="95" t="n"/>
      <c r="F319" s="95" t="n"/>
      <c r="G319" s="94" t="n"/>
      <c r="H319" s="46" t="n"/>
      <c r="I319" s="46" t="n"/>
      <c r="J319" s="46" t="n"/>
      <c r="K319" s="46" t="n"/>
      <c r="L319" s="95" t="n"/>
      <c r="M319" s="95" t="n"/>
      <c r="N319" s="95" t="n"/>
      <c r="O319" s="95" t="n"/>
      <c r="P319" s="95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  <c r="Z319" s="46" t="n"/>
    </row>
    <row r="320" ht="12.75" customHeight="1">
      <c r="A320" s="100" t="n"/>
      <c r="B320" s="101" t="n"/>
      <c r="C320" s="102" t="n"/>
      <c r="D320" s="99" t="n"/>
      <c r="E320" s="95" t="n"/>
      <c r="F320" s="95" t="n"/>
      <c r="G320" s="94" t="n"/>
      <c r="H320" s="46" t="n"/>
      <c r="I320" s="46" t="n"/>
      <c r="J320" s="46" t="n"/>
      <c r="K320" s="46" t="n"/>
      <c r="L320" s="95" t="n"/>
      <c r="M320" s="95" t="n"/>
      <c r="N320" s="95" t="n"/>
      <c r="O320" s="95" t="n"/>
      <c r="P320" s="95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  <c r="Z320" s="46" t="n"/>
    </row>
    <row r="321" ht="12.75" customHeight="1">
      <c r="A321" s="100" t="n"/>
      <c r="B321" s="101" t="n"/>
      <c r="C321" s="102" t="n"/>
      <c r="D321" s="99" t="n"/>
      <c r="E321" s="95" t="n"/>
      <c r="F321" s="95" t="n"/>
      <c r="G321" s="94" t="n"/>
      <c r="H321" s="46" t="n"/>
      <c r="I321" s="46" t="n"/>
      <c r="J321" s="46" t="n"/>
      <c r="K321" s="46" t="n"/>
      <c r="L321" s="95" t="n"/>
      <c r="M321" s="95" t="n"/>
      <c r="N321" s="95" t="n"/>
      <c r="O321" s="95" t="n"/>
      <c r="P321" s="95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  <c r="Z321" s="46" t="n"/>
    </row>
    <row r="322" ht="12.75" customHeight="1">
      <c r="A322" s="100" t="n"/>
      <c r="B322" s="101" t="n"/>
      <c r="C322" s="102" t="n"/>
      <c r="D322" s="99" t="n"/>
      <c r="E322" s="95" t="n"/>
      <c r="F322" s="95" t="n"/>
      <c r="G322" s="94" t="n"/>
      <c r="H322" s="46" t="n"/>
      <c r="I322" s="46" t="n"/>
      <c r="J322" s="46" t="n"/>
      <c r="K322" s="46" t="n"/>
      <c r="L322" s="95" t="n"/>
      <c r="M322" s="95" t="n"/>
      <c r="N322" s="95" t="n"/>
      <c r="O322" s="95" t="n"/>
      <c r="P322" s="95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  <c r="Z322" s="46" t="n"/>
    </row>
    <row r="323" ht="12.75" customHeight="1">
      <c r="A323" s="100" t="n"/>
      <c r="B323" s="101" t="n"/>
      <c r="C323" s="102" t="n"/>
      <c r="D323" s="99" t="n"/>
      <c r="E323" s="95" t="n"/>
      <c r="F323" s="95" t="n"/>
      <c r="G323" s="94" t="n"/>
      <c r="H323" s="46" t="n"/>
      <c r="I323" s="46" t="n"/>
      <c r="J323" s="46" t="n"/>
      <c r="K323" s="46" t="n"/>
      <c r="L323" s="95" t="n"/>
      <c r="M323" s="95" t="n"/>
      <c r="N323" s="95" t="n"/>
      <c r="O323" s="95" t="n"/>
      <c r="P323" s="95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  <c r="Z323" s="46" t="n"/>
    </row>
    <row r="324" ht="12.75" customHeight="1">
      <c r="A324" s="100" t="n"/>
      <c r="B324" s="101" t="n"/>
      <c r="C324" s="102" t="n"/>
      <c r="D324" s="99" t="n"/>
      <c r="E324" s="95" t="n"/>
      <c r="F324" s="95" t="n"/>
      <c r="G324" s="94" t="n"/>
      <c r="H324" s="46" t="n"/>
      <c r="I324" s="46" t="n"/>
      <c r="J324" s="46" t="n"/>
      <c r="K324" s="46" t="n"/>
      <c r="L324" s="95" t="n"/>
      <c r="M324" s="95" t="n"/>
      <c r="N324" s="95" t="n"/>
      <c r="O324" s="95" t="n"/>
      <c r="P324" s="95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  <c r="Z324" s="46" t="n"/>
    </row>
    <row r="325" ht="12.75" customHeight="1">
      <c r="A325" s="100" t="n"/>
      <c r="B325" s="101" t="n"/>
      <c r="C325" s="102" t="n"/>
      <c r="D325" s="99" t="n"/>
      <c r="E325" s="95" t="n"/>
      <c r="F325" s="95" t="n"/>
      <c r="G325" s="94" t="n"/>
      <c r="H325" s="46" t="n"/>
      <c r="I325" s="46" t="n"/>
      <c r="J325" s="46" t="n"/>
      <c r="K325" s="46" t="n"/>
      <c r="L325" s="95" t="n"/>
      <c r="M325" s="95" t="n"/>
      <c r="N325" s="95" t="n"/>
      <c r="O325" s="95" t="n"/>
      <c r="P325" s="95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  <c r="Z325" s="46" t="n"/>
    </row>
    <row r="326" ht="12.75" customHeight="1">
      <c r="A326" s="100" t="n"/>
      <c r="B326" s="101" t="n"/>
      <c r="C326" s="102" t="n"/>
      <c r="D326" s="99" t="n"/>
      <c r="E326" s="95" t="n"/>
      <c r="F326" s="95" t="n"/>
      <c r="G326" s="94" t="n"/>
      <c r="H326" s="46" t="n"/>
      <c r="I326" s="46" t="n"/>
      <c r="J326" s="46" t="n"/>
      <c r="K326" s="46" t="n"/>
      <c r="L326" s="95" t="n"/>
      <c r="M326" s="95" t="n"/>
      <c r="N326" s="95" t="n"/>
      <c r="O326" s="95" t="n"/>
      <c r="P326" s="95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  <c r="Z326" s="46" t="n"/>
    </row>
    <row r="327" ht="12.75" customHeight="1">
      <c r="A327" s="100" t="n"/>
      <c r="B327" s="101" t="n"/>
      <c r="C327" s="102" t="n"/>
      <c r="D327" s="99" t="n"/>
      <c r="E327" s="95" t="n"/>
      <c r="F327" s="95" t="n"/>
      <c r="G327" s="94" t="n"/>
      <c r="H327" s="46" t="n"/>
      <c r="I327" s="46" t="n"/>
      <c r="J327" s="46" t="n"/>
      <c r="K327" s="46" t="n"/>
      <c r="L327" s="95" t="n"/>
      <c r="M327" s="95" t="n"/>
      <c r="N327" s="95" t="n"/>
      <c r="O327" s="95" t="n"/>
      <c r="P327" s="95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  <c r="Z327" s="46" t="n"/>
    </row>
    <row r="328" ht="12.75" customHeight="1">
      <c r="A328" s="100" t="n"/>
      <c r="B328" s="101" t="n"/>
      <c r="C328" s="102" t="n"/>
      <c r="D328" s="99" t="n"/>
      <c r="E328" s="95" t="n"/>
      <c r="F328" s="95" t="n"/>
      <c r="G328" s="94" t="n"/>
      <c r="H328" s="46" t="n"/>
      <c r="I328" s="46" t="n"/>
      <c r="J328" s="46" t="n"/>
      <c r="K328" s="46" t="n"/>
      <c r="L328" s="95" t="n"/>
      <c r="M328" s="95" t="n"/>
      <c r="N328" s="95" t="n"/>
      <c r="O328" s="95" t="n"/>
      <c r="P328" s="95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  <c r="Z328" s="46" t="n"/>
    </row>
    <row r="329" ht="12.75" customHeight="1">
      <c r="A329" s="100" t="n"/>
      <c r="B329" s="101" t="n"/>
      <c r="C329" s="102" t="n"/>
      <c r="D329" s="99" t="n"/>
      <c r="E329" s="95" t="n"/>
      <c r="F329" s="95" t="n"/>
      <c r="G329" s="94" t="n"/>
      <c r="H329" s="46" t="n"/>
      <c r="I329" s="46" t="n"/>
      <c r="J329" s="46" t="n"/>
      <c r="K329" s="46" t="n"/>
      <c r="L329" s="95" t="n"/>
      <c r="M329" s="95" t="n"/>
      <c r="N329" s="95" t="n"/>
      <c r="O329" s="95" t="n"/>
      <c r="P329" s="95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  <c r="Z329" s="46" t="n"/>
    </row>
    <row r="330" ht="12.75" customHeight="1">
      <c r="A330" s="100" t="n"/>
      <c r="B330" s="101" t="n"/>
      <c r="C330" s="102" t="n"/>
      <c r="D330" s="99" t="n"/>
      <c r="E330" s="95" t="n"/>
      <c r="F330" s="95" t="n"/>
      <c r="G330" s="94" t="n"/>
      <c r="H330" s="46" t="n"/>
      <c r="I330" s="46" t="n"/>
      <c r="J330" s="46" t="n"/>
      <c r="K330" s="46" t="n"/>
      <c r="L330" s="95" t="n"/>
      <c r="M330" s="95" t="n"/>
      <c r="N330" s="95" t="n"/>
      <c r="O330" s="95" t="n"/>
      <c r="P330" s="95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  <c r="Z330" s="46" t="n"/>
    </row>
    <row r="331" ht="12.75" customHeight="1">
      <c r="A331" s="100" t="n"/>
      <c r="B331" s="101" t="n"/>
      <c r="C331" s="102" t="n"/>
      <c r="D331" s="99" t="n"/>
      <c r="E331" s="95" t="n"/>
      <c r="F331" s="95" t="n"/>
      <c r="G331" s="94" t="n"/>
      <c r="H331" s="46" t="n"/>
      <c r="I331" s="46" t="n"/>
      <c r="J331" s="46" t="n"/>
      <c r="K331" s="46" t="n"/>
      <c r="L331" s="95" t="n"/>
      <c r="M331" s="95" t="n"/>
      <c r="N331" s="95" t="n"/>
      <c r="O331" s="95" t="n"/>
      <c r="P331" s="95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  <c r="Z331" s="46" t="n"/>
    </row>
    <row r="332" ht="12.75" customHeight="1">
      <c r="A332" s="100" t="n"/>
      <c r="B332" s="101" t="n"/>
      <c r="C332" s="102" t="n"/>
      <c r="D332" s="99" t="n"/>
      <c r="E332" s="95" t="n"/>
      <c r="F332" s="95" t="n"/>
      <c r="G332" s="94" t="n"/>
      <c r="H332" s="46" t="n"/>
      <c r="I332" s="46" t="n"/>
      <c r="J332" s="46" t="n"/>
      <c r="K332" s="46" t="n"/>
      <c r="L332" s="95" t="n"/>
      <c r="M332" s="95" t="n"/>
      <c r="N332" s="95" t="n"/>
      <c r="O332" s="95" t="n"/>
      <c r="P332" s="95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  <c r="Z332" s="46" t="n"/>
    </row>
    <row r="333" ht="12.75" customHeight="1">
      <c r="A333" s="100" t="n"/>
      <c r="B333" s="101" t="n"/>
      <c r="C333" s="102" t="n"/>
      <c r="D333" s="99" t="n"/>
      <c r="E333" s="95" t="n"/>
      <c r="F333" s="95" t="n"/>
      <c r="G333" s="94" t="n"/>
      <c r="H333" s="46" t="n"/>
      <c r="I333" s="46" t="n"/>
      <c r="J333" s="46" t="n"/>
      <c r="K333" s="46" t="n"/>
      <c r="L333" s="95" t="n"/>
      <c r="M333" s="95" t="n"/>
      <c r="N333" s="95" t="n"/>
      <c r="O333" s="95" t="n"/>
      <c r="P333" s="95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  <c r="Z333" s="46" t="n"/>
    </row>
    <row r="334" ht="12.75" customHeight="1">
      <c r="A334" s="100" t="n"/>
      <c r="B334" s="101" t="n"/>
      <c r="C334" s="102" t="n"/>
      <c r="D334" s="99" t="n"/>
      <c r="E334" s="95" t="n"/>
      <c r="F334" s="95" t="n"/>
      <c r="G334" s="94" t="n"/>
      <c r="H334" s="46" t="n"/>
      <c r="I334" s="46" t="n"/>
      <c r="J334" s="46" t="n"/>
      <c r="K334" s="46" t="n"/>
      <c r="L334" s="95" t="n"/>
      <c r="M334" s="95" t="n"/>
      <c r="N334" s="95" t="n"/>
      <c r="O334" s="95" t="n"/>
      <c r="P334" s="95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  <c r="Z334" s="46" t="n"/>
    </row>
    <row r="335" ht="12.75" customHeight="1">
      <c r="A335" s="100" t="n"/>
      <c r="B335" s="101" t="n"/>
      <c r="C335" s="102" t="n"/>
      <c r="D335" s="99" t="n"/>
      <c r="E335" s="95" t="n"/>
      <c r="F335" s="95" t="n"/>
      <c r="G335" s="94" t="n"/>
      <c r="H335" s="46" t="n"/>
      <c r="I335" s="46" t="n"/>
      <c r="J335" s="46" t="n"/>
      <c r="K335" s="46" t="n"/>
      <c r="L335" s="95" t="n"/>
      <c r="M335" s="95" t="n"/>
      <c r="N335" s="95" t="n"/>
      <c r="O335" s="95" t="n"/>
      <c r="P335" s="95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  <c r="Z335" s="46" t="n"/>
    </row>
    <row r="336" ht="12.75" customHeight="1">
      <c r="A336" s="100" t="n"/>
      <c r="B336" s="101" t="n"/>
      <c r="C336" s="102" t="n"/>
      <c r="D336" s="99" t="n"/>
      <c r="E336" s="95" t="n"/>
      <c r="F336" s="95" t="n"/>
      <c r="G336" s="94" t="n"/>
      <c r="H336" s="46" t="n"/>
      <c r="I336" s="46" t="n"/>
      <c r="J336" s="46" t="n"/>
      <c r="K336" s="46" t="n"/>
      <c r="L336" s="95" t="n"/>
      <c r="M336" s="95" t="n"/>
      <c r="N336" s="95" t="n"/>
      <c r="O336" s="95" t="n"/>
      <c r="P336" s="95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  <c r="Z336" s="46" t="n"/>
    </row>
    <row r="337" ht="12.75" customHeight="1">
      <c r="A337" s="100" t="n"/>
      <c r="B337" s="101" t="n"/>
      <c r="C337" s="102" t="n"/>
      <c r="D337" s="99" t="n"/>
      <c r="E337" s="95" t="n"/>
      <c r="F337" s="95" t="n"/>
      <c r="G337" s="94" t="n"/>
      <c r="H337" s="46" t="n"/>
      <c r="I337" s="46" t="n"/>
      <c r="J337" s="46" t="n"/>
      <c r="K337" s="46" t="n"/>
      <c r="L337" s="95" t="n"/>
      <c r="M337" s="95" t="n"/>
      <c r="N337" s="95" t="n"/>
      <c r="O337" s="95" t="n"/>
      <c r="P337" s="95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  <c r="Z337" s="46" t="n"/>
    </row>
    <row r="338" ht="12.75" customHeight="1">
      <c r="A338" s="100" t="n"/>
      <c r="B338" s="101" t="n"/>
      <c r="C338" s="102" t="n"/>
      <c r="D338" s="99" t="n"/>
      <c r="E338" s="95" t="n"/>
      <c r="F338" s="95" t="n"/>
      <c r="G338" s="94" t="n"/>
      <c r="H338" s="46" t="n"/>
      <c r="I338" s="46" t="n"/>
      <c r="J338" s="46" t="n"/>
      <c r="K338" s="46" t="n"/>
      <c r="L338" s="95" t="n"/>
      <c r="M338" s="95" t="n"/>
      <c r="N338" s="95" t="n"/>
      <c r="O338" s="95" t="n"/>
      <c r="P338" s="95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  <c r="Z338" s="46" t="n"/>
    </row>
    <row r="339" ht="12.75" customHeight="1">
      <c r="A339" s="100" t="n"/>
      <c r="B339" s="101" t="n"/>
      <c r="C339" s="102" t="n"/>
      <c r="D339" s="99" t="n"/>
      <c r="E339" s="95" t="n"/>
      <c r="F339" s="95" t="n"/>
      <c r="G339" s="94" t="n"/>
      <c r="H339" s="46" t="n"/>
      <c r="I339" s="46" t="n"/>
      <c r="J339" s="46" t="n"/>
      <c r="K339" s="46" t="n"/>
      <c r="L339" s="95" t="n"/>
      <c r="M339" s="95" t="n"/>
      <c r="N339" s="95" t="n"/>
      <c r="O339" s="95" t="n"/>
      <c r="P339" s="95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  <c r="Z339" s="46" t="n"/>
    </row>
    <row r="340" ht="12.75" customHeight="1">
      <c r="A340" s="100" t="n"/>
      <c r="B340" s="101" t="n"/>
      <c r="C340" s="102" t="n"/>
      <c r="D340" s="99" t="n"/>
      <c r="E340" s="95" t="n"/>
      <c r="F340" s="95" t="n"/>
      <c r="G340" s="94" t="n"/>
      <c r="H340" s="46" t="n"/>
      <c r="I340" s="46" t="n"/>
      <c r="J340" s="46" t="n"/>
      <c r="K340" s="46" t="n"/>
      <c r="L340" s="95" t="n"/>
      <c r="M340" s="95" t="n"/>
      <c r="N340" s="95" t="n"/>
      <c r="O340" s="95" t="n"/>
      <c r="P340" s="95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  <c r="Z340" s="46" t="n"/>
    </row>
    <row r="341" ht="12.75" customHeight="1">
      <c r="A341" s="100" t="n"/>
      <c r="B341" s="101" t="n"/>
      <c r="C341" s="102" t="n"/>
      <c r="D341" s="99" t="n"/>
      <c r="E341" s="95" t="n"/>
      <c r="F341" s="95" t="n"/>
      <c r="G341" s="94" t="n"/>
      <c r="H341" s="46" t="n"/>
      <c r="I341" s="46" t="n"/>
      <c r="J341" s="46" t="n"/>
      <c r="K341" s="46" t="n"/>
      <c r="L341" s="95" t="n"/>
      <c r="M341" s="95" t="n"/>
      <c r="N341" s="95" t="n"/>
      <c r="O341" s="95" t="n"/>
      <c r="P341" s="95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  <c r="Z341" s="46" t="n"/>
    </row>
    <row r="342" ht="12.75" customHeight="1">
      <c r="A342" s="100" t="n"/>
      <c r="B342" s="101" t="n"/>
      <c r="C342" s="102" t="n"/>
      <c r="D342" s="99" t="n"/>
      <c r="E342" s="95" t="n"/>
      <c r="F342" s="95" t="n"/>
      <c r="G342" s="94" t="n"/>
      <c r="H342" s="46" t="n"/>
      <c r="I342" s="46" t="n"/>
      <c r="J342" s="46" t="n"/>
      <c r="K342" s="46" t="n"/>
      <c r="L342" s="95" t="n"/>
      <c r="M342" s="95" t="n"/>
      <c r="N342" s="95" t="n"/>
      <c r="O342" s="95" t="n"/>
      <c r="P342" s="95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  <c r="Z342" s="46" t="n"/>
    </row>
    <row r="343" ht="12.75" customHeight="1">
      <c r="A343" s="100" t="n"/>
      <c r="B343" s="101" t="n"/>
      <c r="C343" s="102" t="n"/>
      <c r="D343" s="99" t="n"/>
      <c r="E343" s="95" t="n"/>
      <c r="F343" s="95" t="n"/>
      <c r="G343" s="94" t="n"/>
      <c r="H343" s="46" t="n"/>
      <c r="I343" s="46" t="n"/>
      <c r="J343" s="46" t="n"/>
      <c r="K343" s="46" t="n"/>
      <c r="L343" s="95" t="n"/>
      <c r="M343" s="95" t="n"/>
      <c r="N343" s="95" t="n"/>
      <c r="O343" s="95" t="n"/>
      <c r="P343" s="95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  <c r="Z343" s="46" t="n"/>
    </row>
    <row r="344" ht="12.75" customHeight="1">
      <c r="A344" s="100" t="n"/>
      <c r="B344" s="101" t="n"/>
      <c r="C344" s="102" t="n"/>
      <c r="D344" s="99" t="n"/>
      <c r="E344" s="95" t="n"/>
      <c r="F344" s="95" t="n"/>
      <c r="G344" s="94" t="n"/>
      <c r="H344" s="46" t="n"/>
      <c r="I344" s="46" t="n"/>
      <c r="J344" s="46" t="n"/>
      <c r="K344" s="46" t="n"/>
      <c r="L344" s="95" t="n"/>
      <c r="M344" s="95" t="n"/>
      <c r="N344" s="95" t="n"/>
      <c r="O344" s="95" t="n"/>
      <c r="P344" s="95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  <c r="Z344" s="46" t="n"/>
    </row>
    <row r="345" ht="12.75" customHeight="1">
      <c r="A345" s="100" t="n"/>
      <c r="B345" s="101" t="n"/>
      <c r="C345" s="102" t="n"/>
      <c r="D345" s="99" t="n"/>
      <c r="E345" s="95" t="n"/>
      <c r="F345" s="95" t="n"/>
      <c r="G345" s="94" t="n"/>
      <c r="H345" s="46" t="n"/>
      <c r="I345" s="46" t="n"/>
      <c r="J345" s="46" t="n"/>
      <c r="K345" s="46" t="n"/>
      <c r="L345" s="95" t="n"/>
      <c r="M345" s="95" t="n"/>
      <c r="N345" s="95" t="n"/>
      <c r="O345" s="95" t="n"/>
      <c r="P345" s="95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  <c r="Z345" s="46" t="n"/>
    </row>
    <row r="346" ht="12.75" customHeight="1">
      <c r="A346" s="100" t="n"/>
      <c r="B346" s="101" t="n"/>
      <c r="C346" s="102" t="n"/>
      <c r="D346" s="99" t="n"/>
      <c r="E346" s="95" t="n"/>
      <c r="F346" s="95" t="n"/>
      <c r="G346" s="94" t="n"/>
      <c r="H346" s="46" t="n"/>
      <c r="I346" s="46" t="n"/>
      <c r="J346" s="46" t="n"/>
      <c r="K346" s="46" t="n"/>
      <c r="L346" s="95" t="n"/>
      <c r="M346" s="95" t="n"/>
      <c r="N346" s="95" t="n"/>
      <c r="O346" s="95" t="n"/>
      <c r="P346" s="95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  <c r="Z346" s="46" t="n"/>
    </row>
    <row r="347" ht="12.75" customHeight="1">
      <c r="A347" s="100" t="n"/>
      <c r="B347" s="101" t="n"/>
      <c r="C347" s="102" t="n"/>
      <c r="D347" s="99" t="n"/>
      <c r="E347" s="95" t="n"/>
      <c r="F347" s="95" t="n"/>
      <c r="G347" s="94" t="n"/>
      <c r="H347" s="46" t="n"/>
      <c r="I347" s="46" t="n"/>
      <c r="J347" s="46" t="n"/>
      <c r="K347" s="46" t="n"/>
      <c r="L347" s="95" t="n"/>
      <c r="M347" s="95" t="n"/>
      <c r="N347" s="95" t="n"/>
      <c r="O347" s="95" t="n"/>
      <c r="P347" s="95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  <c r="Z347" s="46" t="n"/>
    </row>
    <row r="348" ht="12.75" customHeight="1">
      <c r="A348" s="100" t="n"/>
      <c r="B348" s="101" t="n"/>
      <c r="C348" s="102" t="n"/>
      <c r="D348" s="99" t="n"/>
      <c r="E348" s="95" t="n"/>
      <c r="F348" s="95" t="n"/>
      <c r="G348" s="94" t="n"/>
      <c r="H348" s="46" t="n"/>
      <c r="I348" s="46" t="n"/>
      <c r="J348" s="46" t="n"/>
      <c r="K348" s="46" t="n"/>
      <c r="L348" s="95" t="n"/>
      <c r="M348" s="95" t="n"/>
      <c r="N348" s="95" t="n"/>
      <c r="O348" s="95" t="n"/>
      <c r="P348" s="95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  <c r="Z348" s="46" t="n"/>
    </row>
    <row r="349" ht="12.75" customHeight="1">
      <c r="A349" s="100" t="n"/>
      <c r="B349" s="101" t="n"/>
      <c r="C349" s="102" t="n"/>
      <c r="D349" s="99" t="n"/>
      <c r="E349" s="95" t="n"/>
      <c r="F349" s="95" t="n"/>
      <c r="G349" s="94" t="n"/>
      <c r="H349" s="46" t="n"/>
      <c r="I349" s="46" t="n"/>
      <c r="J349" s="46" t="n"/>
      <c r="K349" s="46" t="n"/>
      <c r="L349" s="95" t="n"/>
      <c r="M349" s="95" t="n"/>
      <c r="N349" s="95" t="n"/>
      <c r="O349" s="95" t="n"/>
      <c r="P349" s="95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  <c r="Z349" s="46" t="n"/>
    </row>
    <row r="350" ht="12.75" customHeight="1">
      <c r="A350" s="100" t="n"/>
      <c r="B350" s="101" t="n"/>
      <c r="C350" s="102" t="n"/>
      <c r="D350" s="99" t="n"/>
      <c r="E350" s="95" t="n"/>
      <c r="F350" s="95" t="n"/>
      <c r="G350" s="94" t="n"/>
      <c r="H350" s="46" t="n"/>
      <c r="I350" s="46" t="n"/>
      <c r="J350" s="46" t="n"/>
      <c r="K350" s="46" t="n"/>
      <c r="L350" s="95" t="n"/>
      <c r="M350" s="95" t="n"/>
      <c r="N350" s="95" t="n"/>
      <c r="O350" s="95" t="n"/>
      <c r="P350" s="95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  <c r="Z350" s="46" t="n"/>
    </row>
    <row r="351" ht="12.75" customHeight="1">
      <c r="A351" s="100" t="n"/>
      <c r="B351" s="101" t="n"/>
      <c r="C351" s="102" t="n"/>
      <c r="D351" s="99" t="n"/>
      <c r="E351" s="95" t="n"/>
      <c r="F351" s="95" t="n"/>
      <c r="G351" s="94" t="n"/>
      <c r="H351" s="46" t="n"/>
      <c r="I351" s="46" t="n"/>
      <c r="J351" s="46" t="n"/>
      <c r="K351" s="46" t="n"/>
      <c r="L351" s="95" t="n"/>
      <c r="M351" s="95" t="n"/>
      <c r="N351" s="95" t="n"/>
      <c r="O351" s="95" t="n"/>
      <c r="P351" s="95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  <c r="Z351" s="46" t="n"/>
    </row>
    <row r="352" ht="12.75" customHeight="1">
      <c r="A352" s="100" t="n"/>
      <c r="B352" s="101" t="n"/>
      <c r="C352" s="102" t="n"/>
      <c r="D352" s="99" t="n"/>
      <c r="E352" s="95" t="n"/>
      <c r="F352" s="95" t="n"/>
      <c r="G352" s="94" t="n"/>
      <c r="H352" s="46" t="n"/>
      <c r="I352" s="46" t="n"/>
      <c r="J352" s="46" t="n"/>
      <c r="K352" s="46" t="n"/>
      <c r="L352" s="95" t="n"/>
      <c r="M352" s="95" t="n"/>
      <c r="N352" s="95" t="n"/>
      <c r="O352" s="95" t="n"/>
      <c r="P352" s="95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  <c r="Z352" s="46" t="n"/>
    </row>
    <row r="353" ht="12.75" customHeight="1">
      <c r="A353" s="100" t="n"/>
      <c r="B353" s="101" t="n"/>
      <c r="C353" s="102" t="n"/>
      <c r="D353" s="99" t="n"/>
      <c r="E353" s="95" t="n"/>
      <c r="F353" s="95" t="n"/>
      <c r="G353" s="94" t="n"/>
      <c r="H353" s="46" t="n"/>
      <c r="I353" s="46" t="n"/>
      <c r="J353" s="46" t="n"/>
      <c r="K353" s="46" t="n"/>
      <c r="L353" s="95" t="n"/>
      <c r="M353" s="95" t="n"/>
      <c r="N353" s="95" t="n"/>
      <c r="O353" s="95" t="n"/>
      <c r="P353" s="95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  <c r="Z353" s="46" t="n"/>
    </row>
    <row r="354" ht="12.75" customHeight="1">
      <c r="A354" s="100" t="n"/>
      <c r="B354" s="101" t="n"/>
      <c r="C354" s="102" t="n"/>
      <c r="D354" s="99" t="n"/>
      <c r="E354" s="95" t="n"/>
      <c r="F354" s="95" t="n"/>
      <c r="G354" s="94" t="n"/>
      <c r="H354" s="46" t="n"/>
      <c r="I354" s="46" t="n"/>
      <c r="J354" s="46" t="n"/>
      <c r="K354" s="46" t="n"/>
      <c r="L354" s="95" t="n"/>
      <c r="M354" s="95" t="n"/>
      <c r="N354" s="95" t="n"/>
      <c r="O354" s="95" t="n"/>
      <c r="P354" s="95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  <c r="Z354" s="46" t="n"/>
    </row>
    <row r="355" ht="12.75" customHeight="1">
      <c r="A355" s="100" t="n"/>
      <c r="B355" s="101" t="n"/>
      <c r="C355" s="102" t="n"/>
      <c r="D355" s="99" t="n"/>
      <c r="E355" s="95" t="n"/>
      <c r="F355" s="95" t="n"/>
      <c r="G355" s="94" t="n"/>
      <c r="H355" s="46" t="n"/>
      <c r="I355" s="46" t="n"/>
      <c r="J355" s="46" t="n"/>
      <c r="K355" s="46" t="n"/>
      <c r="L355" s="95" t="n"/>
      <c r="M355" s="95" t="n"/>
      <c r="N355" s="95" t="n"/>
      <c r="O355" s="95" t="n"/>
      <c r="P355" s="95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  <c r="Z355" s="46" t="n"/>
    </row>
    <row r="356" ht="12.75" customHeight="1">
      <c r="A356" s="100" t="n"/>
      <c r="B356" s="101" t="n"/>
      <c r="C356" s="102" t="n"/>
      <c r="D356" s="99" t="n"/>
      <c r="E356" s="95" t="n"/>
      <c r="F356" s="95" t="n"/>
      <c r="G356" s="94" t="n"/>
      <c r="H356" s="46" t="n"/>
      <c r="I356" s="46" t="n"/>
      <c r="J356" s="46" t="n"/>
      <c r="K356" s="46" t="n"/>
      <c r="L356" s="95" t="n"/>
      <c r="M356" s="95" t="n"/>
      <c r="N356" s="95" t="n"/>
      <c r="O356" s="95" t="n"/>
      <c r="P356" s="95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  <c r="Z356" s="46" t="n"/>
    </row>
    <row r="357" ht="12.75" customHeight="1">
      <c r="A357" s="100" t="n"/>
      <c r="B357" s="101" t="n"/>
      <c r="C357" s="102" t="n"/>
      <c r="D357" s="99" t="n"/>
      <c r="E357" s="95" t="n"/>
      <c r="F357" s="95" t="n"/>
      <c r="G357" s="94" t="n"/>
      <c r="H357" s="46" t="n"/>
      <c r="I357" s="46" t="n"/>
      <c r="J357" s="46" t="n"/>
      <c r="K357" s="46" t="n"/>
      <c r="L357" s="95" t="n"/>
      <c r="M357" s="95" t="n"/>
      <c r="N357" s="95" t="n"/>
      <c r="O357" s="95" t="n"/>
      <c r="P357" s="95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  <c r="Z357" s="46" t="n"/>
    </row>
    <row r="358" ht="12.75" customHeight="1">
      <c r="A358" s="100" t="n"/>
      <c r="B358" s="101" t="n"/>
      <c r="C358" s="102" t="n"/>
      <c r="D358" s="99" t="n"/>
      <c r="E358" s="95" t="n"/>
      <c r="F358" s="95" t="n"/>
      <c r="G358" s="94" t="n"/>
      <c r="H358" s="46" t="n"/>
      <c r="I358" s="46" t="n"/>
      <c r="J358" s="46" t="n"/>
      <c r="K358" s="46" t="n"/>
      <c r="L358" s="95" t="n"/>
      <c r="M358" s="95" t="n"/>
      <c r="N358" s="95" t="n"/>
      <c r="O358" s="95" t="n"/>
      <c r="P358" s="95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  <c r="Z358" s="46" t="n"/>
    </row>
    <row r="359" ht="12.75" customHeight="1">
      <c r="A359" s="100" t="n"/>
      <c r="B359" s="101" t="n"/>
      <c r="C359" s="102" t="n"/>
      <c r="D359" s="99" t="n"/>
      <c r="E359" s="95" t="n"/>
      <c r="F359" s="95" t="n"/>
      <c r="G359" s="94" t="n"/>
      <c r="H359" s="46" t="n"/>
      <c r="I359" s="46" t="n"/>
      <c r="J359" s="46" t="n"/>
      <c r="K359" s="46" t="n"/>
      <c r="L359" s="95" t="n"/>
      <c r="M359" s="95" t="n"/>
      <c r="N359" s="95" t="n"/>
      <c r="O359" s="95" t="n"/>
      <c r="P359" s="95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  <c r="Z359" s="46" t="n"/>
    </row>
    <row r="360" ht="12.75" customHeight="1">
      <c r="A360" s="100" t="n"/>
      <c r="B360" s="101" t="n"/>
      <c r="C360" s="102" t="n"/>
      <c r="D360" s="99" t="n"/>
      <c r="E360" s="95" t="n"/>
      <c r="F360" s="95" t="n"/>
      <c r="G360" s="94" t="n"/>
      <c r="H360" s="46" t="n"/>
      <c r="I360" s="46" t="n"/>
      <c r="J360" s="46" t="n"/>
      <c r="K360" s="46" t="n"/>
      <c r="L360" s="95" t="n"/>
      <c r="M360" s="95" t="n"/>
      <c r="N360" s="95" t="n"/>
      <c r="O360" s="95" t="n"/>
      <c r="P360" s="95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  <c r="Z360" s="46" t="n"/>
    </row>
    <row r="361" ht="12.75" customHeight="1">
      <c r="A361" s="100" t="n"/>
      <c r="B361" s="101" t="n"/>
      <c r="C361" s="102" t="n"/>
      <c r="D361" s="99" t="n"/>
      <c r="E361" s="95" t="n"/>
      <c r="F361" s="95" t="n"/>
      <c r="G361" s="94" t="n"/>
      <c r="H361" s="46" t="n"/>
      <c r="I361" s="46" t="n"/>
      <c r="J361" s="46" t="n"/>
      <c r="K361" s="46" t="n"/>
      <c r="L361" s="95" t="n"/>
      <c r="M361" s="95" t="n"/>
      <c r="N361" s="95" t="n"/>
      <c r="O361" s="95" t="n"/>
      <c r="P361" s="95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  <c r="Z361" s="46" t="n"/>
    </row>
    <row r="362" ht="12.75" customHeight="1">
      <c r="A362" s="100" t="n"/>
      <c r="B362" s="101" t="n"/>
      <c r="C362" s="102" t="n"/>
      <c r="D362" s="99" t="n"/>
      <c r="E362" s="95" t="n"/>
      <c r="F362" s="95" t="n"/>
      <c r="G362" s="94" t="n"/>
      <c r="H362" s="46" t="n"/>
      <c r="I362" s="46" t="n"/>
      <c r="J362" s="46" t="n"/>
      <c r="K362" s="46" t="n"/>
      <c r="L362" s="95" t="n"/>
      <c r="M362" s="95" t="n"/>
      <c r="N362" s="95" t="n"/>
      <c r="O362" s="95" t="n"/>
      <c r="P362" s="95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  <c r="Z362" s="46" t="n"/>
    </row>
    <row r="363" ht="12.75" customHeight="1">
      <c r="A363" s="100" t="n"/>
      <c r="B363" s="101" t="n"/>
      <c r="C363" s="102" t="n"/>
      <c r="D363" s="99" t="n"/>
      <c r="E363" s="95" t="n"/>
      <c r="F363" s="95" t="n"/>
      <c r="G363" s="94" t="n"/>
      <c r="H363" s="46" t="n"/>
      <c r="I363" s="46" t="n"/>
      <c r="J363" s="46" t="n"/>
      <c r="K363" s="46" t="n"/>
      <c r="L363" s="95" t="n"/>
      <c r="M363" s="95" t="n"/>
      <c r="N363" s="95" t="n"/>
      <c r="O363" s="95" t="n"/>
      <c r="P363" s="95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  <c r="Z363" s="46" t="n"/>
    </row>
    <row r="364" ht="12.75" customHeight="1">
      <c r="A364" s="100" t="n"/>
      <c r="B364" s="101" t="n"/>
      <c r="C364" s="102" t="n"/>
      <c r="D364" s="99" t="n"/>
      <c r="E364" s="95" t="n"/>
      <c r="F364" s="95" t="n"/>
      <c r="G364" s="94" t="n"/>
      <c r="H364" s="46" t="n"/>
      <c r="I364" s="46" t="n"/>
      <c r="J364" s="46" t="n"/>
      <c r="K364" s="46" t="n"/>
      <c r="L364" s="95" t="n"/>
      <c r="M364" s="95" t="n"/>
      <c r="N364" s="95" t="n"/>
      <c r="O364" s="95" t="n"/>
      <c r="P364" s="95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  <c r="Z364" s="46" t="n"/>
    </row>
    <row r="365" ht="12.75" customHeight="1">
      <c r="A365" s="100" t="n"/>
      <c r="B365" s="101" t="n"/>
      <c r="C365" s="102" t="n"/>
      <c r="D365" s="99" t="n"/>
      <c r="E365" s="95" t="n"/>
      <c r="F365" s="95" t="n"/>
      <c r="G365" s="94" t="n"/>
      <c r="H365" s="46" t="n"/>
      <c r="I365" s="46" t="n"/>
      <c r="J365" s="46" t="n"/>
      <c r="K365" s="46" t="n"/>
      <c r="L365" s="95" t="n"/>
      <c r="M365" s="95" t="n"/>
      <c r="N365" s="95" t="n"/>
      <c r="O365" s="95" t="n"/>
      <c r="P365" s="95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  <c r="Z365" s="46" t="n"/>
    </row>
    <row r="366" ht="12.75" customHeight="1">
      <c r="A366" s="100" t="n"/>
      <c r="B366" s="101" t="n"/>
      <c r="C366" s="102" t="n"/>
      <c r="D366" s="99" t="n"/>
      <c r="E366" s="95" t="n"/>
      <c r="F366" s="95" t="n"/>
      <c r="G366" s="94" t="n"/>
      <c r="H366" s="46" t="n"/>
      <c r="I366" s="46" t="n"/>
      <c r="J366" s="46" t="n"/>
      <c r="K366" s="46" t="n"/>
      <c r="L366" s="95" t="n"/>
      <c r="M366" s="95" t="n"/>
      <c r="N366" s="95" t="n"/>
      <c r="O366" s="95" t="n"/>
      <c r="P366" s="95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  <c r="Z366" s="46" t="n"/>
    </row>
    <row r="367" ht="12.75" customHeight="1">
      <c r="A367" s="100" t="n"/>
      <c r="B367" s="101" t="n"/>
      <c r="C367" s="102" t="n"/>
      <c r="D367" s="99" t="n"/>
      <c r="E367" s="95" t="n"/>
      <c r="F367" s="95" t="n"/>
      <c r="G367" s="94" t="n"/>
      <c r="H367" s="46" t="n"/>
      <c r="I367" s="46" t="n"/>
      <c r="J367" s="46" t="n"/>
      <c r="K367" s="46" t="n"/>
      <c r="L367" s="95" t="n"/>
      <c r="M367" s="95" t="n"/>
      <c r="N367" s="95" t="n"/>
      <c r="O367" s="95" t="n"/>
      <c r="P367" s="95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  <c r="Z367" s="46" t="n"/>
    </row>
    <row r="368" ht="12.75" customHeight="1">
      <c r="A368" s="100" t="n"/>
      <c r="B368" s="101" t="n"/>
      <c r="C368" s="102" t="n"/>
      <c r="D368" s="99" t="n"/>
      <c r="E368" s="95" t="n"/>
      <c r="F368" s="95" t="n"/>
      <c r="G368" s="94" t="n"/>
      <c r="H368" s="46" t="n"/>
      <c r="I368" s="46" t="n"/>
      <c r="J368" s="46" t="n"/>
      <c r="K368" s="46" t="n"/>
      <c r="L368" s="95" t="n"/>
      <c r="M368" s="95" t="n"/>
      <c r="N368" s="95" t="n"/>
      <c r="O368" s="95" t="n"/>
      <c r="P368" s="95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  <c r="Z368" s="46" t="n"/>
    </row>
    <row r="369" ht="12.75" customHeight="1">
      <c r="A369" s="100" t="n"/>
      <c r="B369" s="101" t="n"/>
      <c r="C369" s="102" t="n"/>
      <c r="D369" s="99" t="n"/>
      <c r="E369" s="95" t="n"/>
      <c r="F369" s="95" t="n"/>
      <c r="G369" s="94" t="n"/>
      <c r="H369" s="46" t="n"/>
      <c r="I369" s="46" t="n"/>
      <c r="J369" s="46" t="n"/>
      <c r="K369" s="46" t="n"/>
      <c r="L369" s="95" t="n"/>
      <c r="M369" s="95" t="n"/>
      <c r="N369" s="95" t="n"/>
      <c r="O369" s="95" t="n"/>
      <c r="P369" s="95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  <c r="Z369" s="46" t="n"/>
    </row>
    <row r="370" ht="12.75" customHeight="1">
      <c r="A370" s="100" t="n"/>
      <c r="B370" s="101" t="n"/>
      <c r="C370" s="102" t="n"/>
      <c r="D370" s="99" t="n"/>
      <c r="E370" s="95" t="n"/>
      <c r="F370" s="95" t="n"/>
      <c r="G370" s="94" t="n"/>
      <c r="H370" s="46" t="n"/>
      <c r="I370" s="46" t="n"/>
      <c r="J370" s="46" t="n"/>
      <c r="K370" s="46" t="n"/>
      <c r="L370" s="95" t="n"/>
      <c r="M370" s="95" t="n"/>
      <c r="N370" s="95" t="n"/>
      <c r="O370" s="95" t="n"/>
      <c r="P370" s="95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  <c r="Z370" s="46" t="n"/>
    </row>
    <row r="371" ht="12.75" customHeight="1">
      <c r="A371" s="100" t="n"/>
      <c r="B371" s="101" t="n"/>
      <c r="C371" s="102" t="n"/>
      <c r="D371" s="99" t="n"/>
      <c r="E371" s="95" t="n"/>
      <c r="F371" s="95" t="n"/>
      <c r="G371" s="94" t="n"/>
      <c r="H371" s="46" t="n"/>
      <c r="I371" s="46" t="n"/>
      <c r="J371" s="46" t="n"/>
      <c r="K371" s="46" t="n"/>
      <c r="L371" s="95" t="n"/>
      <c r="M371" s="95" t="n"/>
      <c r="N371" s="95" t="n"/>
      <c r="O371" s="95" t="n"/>
      <c r="P371" s="95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  <c r="Z371" s="46" t="n"/>
    </row>
    <row r="372" ht="12.75" customHeight="1">
      <c r="A372" s="100" t="n"/>
      <c r="B372" s="101" t="n"/>
      <c r="C372" s="102" t="n"/>
      <c r="D372" s="99" t="n"/>
      <c r="E372" s="95" t="n"/>
      <c r="F372" s="95" t="n"/>
      <c r="G372" s="94" t="n"/>
      <c r="H372" s="46" t="n"/>
      <c r="I372" s="46" t="n"/>
      <c r="J372" s="46" t="n"/>
      <c r="K372" s="46" t="n"/>
      <c r="L372" s="95" t="n"/>
      <c r="M372" s="95" t="n"/>
      <c r="N372" s="95" t="n"/>
      <c r="O372" s="95" t="n"/>
      <c r="P372" s="95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  <c r="Z372" s="46" t="n"/>
    </row>
    <row r="373" ht="12.75" customHeight="1">
      <c r="A373" s="100" t="n"/>
      <c r="B373" s="101" t="n"/>
      <c r="C373" s="102" t="n"/>
      <c r="D373" s="99" t="n"/>
      <c r="E373" s="95" t="n"/>
      <c r="F373" s="95" t="n"/>
      <c r="G373" s="94" t="n"/>
      <c r="H373" s="46" t="n"/>
      <c r="I373" s="46" t="n"/>
      <c r="J373" s="46" t="n"/>
      <c r="K373" s="46" t="n"/>
      <c r="L373" s="95" t="n"/>
      <c r="M373" s="95" t="n"/>
      <c r="N373" s="95" t="n"/>
      <c r="O373" s="95" t="n"/>
      <c r="P373" s="95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  <c r="Z373" s="46" t="n"/>
    </row>
    <row r="374" ht="12.75" customHeight="1">
      <c r="A374" s="100" t="n"/>
      <c r="B374" s="101" t="n"/>
      <c r="C374" s="102" t="n"/>
      <c r="D374" s="99" t="n"/>
      <c r="E374" s="95" t="n"/>
      <c r="F374" s="95" t="n"/>
      <c r="G374" s="94" t="n"/>
      <c r="H374" s="46" t="n"/>
      <c r="I374" s="46" t="n"/>
      <c r="J374" s="46" t="n"/>
      <c r="K374" s="46" t="n"/>
      <c r="L374" s="95" t="n"/>
      <c r="M374" s="95" t="n"/>
      <c r="N374" s="95" t="n"/>
      <c r="O374" s="95" t="n"/>
      <c r="P374" s="95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  <c r="Z374" s="46" t="n"/>
    </row>
    <row r="375" ht="12.75" customHeight="1">
      <c r="A375" s="100" t="n"/>
      <c r="B375" s="101" t="n"/>
      <c r="C375" s="102" t="n"/>
      <c r="D375" s="99" t="n"/>
      <c r="E375" s="95" t="n"/>
      <c r="F375" s="95" t="n"/>
      <c r="G375" s="94" t="n"/>
      <c r="H375" s="46" t="n"/>
      <c r="I375" s="46" t="n"/>
      <c r="J375" s="46" t="n"/>
      <c r="K375" s="46" t="n"/>
      <c r="L375" s="95" t="n"/>
      <c r="M375" s="95" t="n"/>
      <c r="N375" s="95" t="n"/>
      <c r="O375" s="95" t="n"/>
      <c r="P375" s="95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  <c r="Z375" s="46" t="n"/>
    </row>
    <row r="376" ht="12.75" customHeight="1">
      <c r="A376" s="100" t="n"/>
      <c r="B376" s="101" t="n"/>
      <c r="C376" s="102" t="n"/>
      <c r="D376" s="99" t="n"/>
      <c r="E376" s="95" t="n"/>
      <c r="F376" s="95" t="n"/>
      <c r="G376" s="94" t="n"/>
      <c r="H376" s="46" t="n"/>
      <c r="I376" s="46" t="n"/>
      <c r="J376" s="46" t="n"/>
      <c r="K376" s="46" t="n"/>
      <c r="L376" s="95" t="n"/>
      <c r="M376" s="95" t="n"/>
      <c r="N376" s="95" t="n"/>
      <c r="O376" s="95" t="n"/>
      <c r="P376" s="95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  <c r="Z376" s="46" t="n"/>
    </row>
    <row r="377" ht="12.75" customHeight="1">
      <c r="A377" s="100" t="n"/>
      <c r="B377" s="101" t="n"/>
      <c r="C377" s="102" t="n"/>
      <c r="D377" s="99" t="n"/>
      <c r="E377" s="95" t="n"/>
      <c r="F377" s="95" t="n"/>
      <c r="G377" s="94" t="n"/>
      <c r="H377" s="46" t="n"/>
      <c r="I377" s="46" t="n"/>
      <c r="J377" s="46" t="n"/>
      <c r="K377" s="46" t="n"/>
      <c r="L377" s="95" t="n"/>
      <c r="M377" s="95" t="n"/>
      <c r="N377" s="95" t="n"/>
      <c r="O377" s="95" t="n"/>
      <c r="P377" s="95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  <c r="Z377" s="46" t="n"/>
    </row>
    <row r="378" ht="12.75" customHeight="1">
      <c r="A378" s="100" t="n"/>
      <c r="B378" s="101" t="n"/>
      <c r="C378" s="102" t="n"/>
      <c r="D378" s="99" t="n"/>
      <c r="E378" s="95" t="n"/>
      <c r="F378" s="95" t="n"/>
      <c r="G378" s="94" t="n"/>
      <c r="H378" s="46" t="n"/>
      <c r="I378" s="46" t="n"/>
      <c r="J378" s="46" t="n"/>
      <c r="K378" s="46" t="n"/>
      <c r="L378" s="95" t="n"/>
      <c r="M378" s="95" t="n"/>
      <c r="N378" s="95" t="n"/>
      <c r="O378" s="95" t="n"/>
      <c r="P378" s="95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  <c r="Z378" s="46" t="n"/>
    </row>
    <row r="379" ht="12.75" customHeight="1">
      <c r="A379" s="100" t="n"/>
      <c r="B379" s="101" t="n"/>
      <c r="C379" s="102" t="n"/>
      <c r="D379" s="99" t="n"/>
      <c r="E379" s="95" t="n"/>
      <c r="F379" s="95" t="n"/>
      <c r="G379" s="94" t="n"/>
      <c r="H379" s="46" t="n"/>
      <c r="I379" s="46" t="n"/>
      <c r="J379" s="46" t="n"/>
      <c r="K379" s="46" t="n"/>
      <c r="L379" s="95" t="n"/>
      <c r="M379" s="95" t="n"/>
      <c r="N379" s="95" t="n"/>
      <c r="O379" s="95" t="n"/>
      <c r="P379" s="95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  <c r="Z379" s="46" t="n"/>
    </row>
    <row r="380" ht="12.75" customHeight="1">
      <c r="A380" s="100" t="n"/>
      <c r="B380" s="101" t="n"/>
      <c r="C380" s="102" t="n"/>
      <c r="D380" s="99" t="n"/>
      <c r="E380" s="95" t="n"/>
      <c r="F380" s="95" t="n"/>
      <c r="G380" s="94" t="n"/>
      <c r="H380" s="46" t="n"/>
      <c r="I380" s="46" t="n"/>
      <c r="J380" s="46" t="n"/>
      <c r="K380" s="46" t="n"/>
      <c r="L380" s="95" t="n"/>
      <c r="M380" s="95" t="n"/>
      <c r="N380" s="95" t="n"/>
      <c r="O380" s="95" t="n"/>
      <c r="P380" s="95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  <c r="Z380" s="46" t="n"/>
    </row>
    <row r="381" ht="12.75" customHeight="1">
      <c r="A381" s="100" t="n"/>
      <c r="B381" s="101" t="n"/>
      <c r="C381" s="102" t="n"/>
      <c r="D381" s="99" t="n"/>
      <c r="E381" s="95" t="n"/>
      <c r="F381" s="95" t="n"/>
      <c r="G381" s="94" t="n"/>
      <c r="H381" s="46" t="n"/>
      <c r="I381" s="46" t="n"/>
      <c r="J381" s="46" t="n"/>
      <c r="K381" s="46" t="n"/>
      <c r="L381" s="95" t="n"/>
      <c r="M381" s="95" t="n"/>
      <c r="N381" s="95" t="n"/>
      <c r="O381" s="95" t="n"/>
      <c r="P381" s="95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  <c r="Z381" s="46" t="n"/>
    </row>
    <row r="382" ht="12.75" customHeight="1">
      <c r="A382" s="100" t="n"/>
      <c r="B382" s="101" t="n"/>
      <c r="C382" s="102" t="n"/>
      <c r="D382" s="99" t="n"/>
      <c r="E382" s="95" t="n"/>
      <c r="F382" s="95" t="n"/>
      <c r="G382" s="94" t="n"/>
      <c r="H382" s="46" t="n"/>
      <c r="I382" s="46" t="n"/>
      <c r="J382" s="46" t="n"/>
      <c r="K382" s="46" t="n"/>
      <c r="L382" s="95" t="n"/>
      <c r="M382" s="95" t="n"/>
      <c r="N382" s="95" t="n"/>
      <c r="O382" s="95" t="n"/>
      <c r="P382" s="95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  <c r="Z382" s="46" t="n"/>
    </row>
    <row r="383" ht="12.75" customHeight="1">
      <c r="A383" s="100" t="n"/>
      <c r="B383" s="101" t="n"/>
      <c r="C383" s="102" t="n"/>
      <c r="D383" s="99" t="n"/>
      <c r="E383" s="95" t="n"/>
      <c r="F383" s="95" t="n"/>
      <c r="G383" s="94" t="n"/>
      <c r="H383" s="46" t="n"/>
      <c r="I383" s="46" t="n"/>
      <c r="J383" s="46" t="n"/>
      <c r="K383" s="46" t="n"/>
      <c r="L383" s="95" t="n"/>
      <c r="M383" s="95" t="n"/>
      <c r="N383" s="95" t="n"/>
      <c r="O383" s="95" t="n"/>
      <c r="P383" s="95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  <c r="Z383" s="46" t="n"/>
    </row>
    <row r="384" ht="12.75" customHeight="1">
      <c r="A384" s="100" t="n"/>
      <c r="B384" s="101" t="n"/>
      <c r="C384" s="102" t="n"/>
      <c r="D384" s="99" t="n"/>
      <c r="E384" s="95" t="n"/>
      <c r="F384" s="95" t="n"/>
      <c r="G384" s="94" t="n"/>
      <c r="H384" s="46" t="n"/>
      <c r="I384" s="46" t="n"/>
      <c r="J384" s="46" t="n"/>
      <c r="K384" s="46" t="n"/>
      <c r="L384" s="95" t="n"/>
      <c r="M384" s="95" t="n"/>
      <c r="N384" s="95" t="n"/>
      <c r="O384" s="95" t="n"/>
      <c r="P384" s="95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  <c r="Z384" s="46" t="n"/>
    </row>
    <row r="385" ht="12.75" customHeight="1">
      <c r="A385" s="100" t="n"/>
      <c r="B385" s="101" t="n"/>
      <c r="C385" s="102" t="n"/>
      <c r="D385" s="99" t="n"/>
      <c r="E385" s="95" t="n"/>
      <c r="F385" s="95" t="n"/>
      <c r="G385" s="94" t="n"/>
      <c r="H385" s="46" t="n"/>
      <c r="I385" s="46" t="n"/>
      <c r="J385" s="46" t="n"/>
      <c r="K385" s="46" t="n"/>
      <c r="L385" s="95" t="n"/>
      <c r="M385" s="95" t="n"/>
      <c r="N385" s="95" t="n"/>
      <c r="O385" s="95" t="n"/>
      <c r="P385" s="95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  <c r="Z385" s="46" t="n"/>
    </row>
    <row r="386" ht="12.75" customHeight="1">
      <c r="A386" s="100" t="n"/>
      <c r="B386" s="101" t="n"/>
      <c r="C386" s="102" t="n"/>
      <c r="D386" s="99" t="n"/>
      <c r="E386" s="95" t="n"/>
      <c r="F386" s="95" t="n"/>
      <c r="G386" s="94" t="n"/>
      <c r="H386" s="46" t="n"/>
      <c r="I386" s="46" t="n"/>
      <c r="J386" s="46" t="n"/>
      <c r="K386" s="46" t="n"/>
      <c r="L386" s="95" t="n"/>
      <c r="M386" s="95" t="n"/>
      <c r="N386" s="95" t="n"/>
      <c r="O386" s="95" t="n"/>
      <c r="P386" s="95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  <c r="Z386" s="46" t="n"/>
    </row>
    <row r="387" ht="12.75" customHeight="1">
      <c r="A387" s="100" t="n"/>
      <c r="B387" s="101" t="n"/>
      <c r="C387" s="102" t="n"/>
      <c r="D387" s="99" t="n"/>
      <c r="E387" s="95" t="n"/>
      <c r="F387" s="95" t="n"/>
      <c r="G387" s="94" t="n"/>
      <c r="H387" s="46" t="n"/>
      <c r="I387" s="46" t="n"/>
      <c r="J387" s="46" t="n"/>
      <c r="K387" s="46" t="n"/>
      <c r="L387" s="95" t="n"/>
      <c r="M387" s="95" t="n"/>
      <c r="N387" s="95" t="n"/>
      <c r="O387" s="95" t="n"/>
      <c r="P387" s="95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  <c r="Z387" s="46" t="n"/>
    </row>
    <row r="388" ht="12.75" customHeight="1">
      <c r="A388" s="100" t="n"/>
      <c r="B388" s="101" t="n"/>
      <c r="C388" s="102" t="n"/>
      <c r="D388" s="99" t="n"/>
      <c r="E388" s="95" t="n"/>
      <c r="F388" s="95" t="n"/>
      <c r="G388" s="94" t="n"/>
      <c r="H388" s="46" t="n"/>
      <c r="I388" s="46" t="n"/>
      <c r="J388" s="46" t="n"/>
      <c r="K388" s="46" t="n"/>
      <c r="L388" s="95" t="n"/>
      <c r="M388" s="95" t="n"/>
      <c r="N388" s="95" t="n"/>
      <c r="O388" s="95" t="n"/>
      <c r="P388" s="95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  <c r="Z388" s="46" t="n"/>
    </row>
    <row r="389" ht="12.75" customHeight="1">
      <c r="A389" s="100" t="n"/>
      <c r="B389" s="101" t="n"/>
      <c r="C389" s="102" t="n"/>
      <c r="D389" s="99" t="n"/>
      <c r="E389" s="95" t="n"/>
      <c r="F389" s="95" t="n"/>
      <c r="G389" s="94" t="n"/>
      <c r="H389" s="46" t="n"/>
      <c r="I389" s="46" t="n"/>
      <c r="J389" s="46" t="n"/>
      <c r="K389" s="46" t="n"/>
      <c r="L389" s="95" t="n"/>
      <c r="M389" s="95" t="n"/>
      <c r="N389" s="95" t="n"/>
      <c r="O389" s="95" t="n"/>
      <c r="P389" s="95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  <c r="Z389" s="46" t="n"/>
    </row>
    <row r="390" ht="12.75" customHeight="1">
      <c r="A390" s="100" t="n"/>
      <c r="B390" s="101" t="n"/>
      <c r="C390" s="102" t="n"/>
      <c r="D390" s="99" t="n"/>
      <c r="E390" s="95" t="n"/>
      <c r="F390" s="95" t="n"/>
      <c r="G390" s="94" t="n"/>
      <c r="H390" s="46" t="n"/>
      <c r="I390" s="46" t="n"/>
      <c r="J390" s="46" t="n"/>
      <c r="K390" s="46" t="n"/>
      <c r="L390" s="95" t="n"/>
      <c r="M390" s="95" t="n"/>
      <c r="N390" s="95" t="n"/>
      <c r="O390" s="95" t="n"/>
      <c r="P390" s="95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  <c r="Z390" s="46" t="n"/>
    </row>
    <row r="391" ht="12.75" customHeight="1">
      <c r="A391" s="100" t="n"/>
      <c r="B391" s="101" t="n"/>
      <c r="C391" s="102" t="n"/>
      <c r="D391" s="99" t="n"/>
      <c r="E391" s="95" t="n"/>
      <c r="F391" s="95" t="n"/>
      <c r="G391" s="94" t="n"/>
      <c r="H391" s="46" t="n"/>
      <c r="I391" s="46" t="n"/>
      <c r="J391" s="46" t="n"/>
      <c r="K391" s="46" t="n"/>
      <c r="L391" s="95" t="n"/>
      <c r="M391" s="95" t="n"/>
      <c r="N391" s="95" t="n"/>
      <c r="O391" s="95" t="n"/>
      <c r="P391" s="95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  <c r="Z391" s="46" t="n"/>
    </row>
    <row r="392" ht="12.75" customHeight="1">
      <c r="A392" s="100" t="n"/>
      <c r="B392" s="101" t="n"/>
      <c r="C392" s="102" t="n"/>
      <c r="D392" s="99" t="n"/>
      <c r="E392" s="95" t="n"/>
      <c r="F392" s="95" t="n"/>
      <c r="G392" s="94" t="n"/>
      <c r="H392" s="46" t="n"/>
      <c r="I392" s="46" t="n"/>
      <c r="J392" s="46" t="n"/>
      <c r="K392" s="46" t="n"/>
      <c r="L392" s="95" t="n"/>
      <c r="M392" s="95" t="n"/>
      <c r="N392" s="95" t="n"/>
      <c r="O392" s="95" t="n"/>
      <c r="P392" s="95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  <c r="Z392" s="46" t="n"/>
    </row>
    <row r="393" ht="12.75" customHeight="1">
      <c r="A393" s="100" t="n"/>
      <c r="B393" s="101" t="n"/>
      <c r="C393" s="102" t="n"/>
      <c r="D393" s="99" t="n"/>
      <c r="E393" s="95" t="n"/>
      <c r="F393" s="95" t="n"/>
      <c r="G393" s="94" t="n"/>
      <c r="H393" s="46" t="n"/>
      <c r="I393" s="46" t="n"/>
      <c r="J393" s="46" t="n"/>
      <c r="K393" s="46" t="n"/>
      <c r="L393" s="95" t="n"/>
      <c r="M393" s="95" t="n"/>
      <c r="N393" s="95" t="n"/>
      <c r="O393" s="95" t="n"/>
      <c r="P393" s="95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  <c r="Z393" s="46" t="n"/>
    </row>
    <row r="394" ht="12.75" customHeight="1">
      <c r="A394" s="100" t="n"/>
      <c r="B394" s="101" t="n"/>
      <c r="C394" s="102" t="n"/>
      <c r="D394" s="99" t="n"/>
      <c r="E394" s="95" t="n"/>
      <c r="F394" s="95" t="n"/>
      <c r="G394" s="94" t="n"/>
      <c r="H394" s="46" t="n"/>
      <c r="I394" s="46" t="n"/>
      <c r="J394" s="46" t="n"/>
      <c r="K394" s="46" t="n"/>
      <c r="L394" s="95" t="n"/>
      <c r="M394" s="95" t="n"/>
      <c r="N394" s="95" t="n"/>
      <c r="O394" s="95" t="n"/>
      <c r="P394" s="95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  <c r="Z394" s="46" t="n"/>
    </row>
    <row r="395" ht="12.75" customHeight="1">
      <c r="A395" s="100" t="n"/>
      <c r="B395" s="101" t="n"/>
      <c r="C395" s="102" t="n"/>
      <c r="D395" s="99" t="n"/>
      <c r="E395" s="95" t="n"/>
      <c r="F395" s="95" t="n"/>
      <c r="G395" s="94" t="n"/>
      <c r="H395" s="46" t="n"/>
      <c r="I395" s="46" t="n"/>
      <c r="J395" s="46" t="n"/>
      <c r="K395" s="46" t="n"/>
      <c r="L395" s="95" t="n"/>
      <c r="M395" s="95" t="n"/>
      <c r="N395" s="95" t="n"/>
      <c r="O395" s="95" t="n"/>
      <c r="P395" s="95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  <c r="Z395" s="46" t="n"/>
    </row>
    <row r="396" ht="12.75" customHeight="1">
      <c r="A396" s="100" t="n"/>
      <c r="B396" s="101" t="n"/>
      <c r="C396" s="102" t="n"/>
      <c r="D396" s="99" t="n"/>
      <c r="E396" s="95" t="n"/>
      <c r="F396" s="95" t="n"/>
      <c r="G396" s="94" t="n"/>
      <c r="H396" s="46" t="n"/>
      <c r="I396" s="46" t="n"/>
      <c r="J396" s="46" t="n"/>
      <c r="K396" s="46" t="n"/>
      <c r="L396" s="95" t="n"/>
      <c r="M396" s="95" t="n"/>
      <c r="N396" s="95" t="n"/>
      <c r="O396" s="95" t="n"/>
      <c r="P396" s="95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  <c r="Z396" s="46" t="n"/>
    </row>
    <row r="397" ht="12.75" customHeight="1">
      <c r="A397" s="100" t="n"/>
      <c r="B397" s="101" t="n"/>
      <c r="C397" s="102" t="n"/>
      <c r="D397" s="99" t="n"/>
      <c r="E397" s="95" t="n"/>
      <c r="F397" s="95" t="n"/>
      <c r="G397" s="94" t="n"/>
      <c r="H397" s="46" t="n"/>
      <c r="I397" s="46" t="n"/>
      <c r="J397" s="46" t="n"/>
      <c r="K397" s="46" t="n"/>
      <c r="L397" s="95" t="n"/>
      <c r="M397" s="95" t="n"/>
      <c r="N397" s="95" t="n"/>
      <c r="O397" s="95" t="n"/>
      <c r="P397" s="95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  <c r="Z397" s="46" t="n"/>
    </row>
    <row r="398" ht="12.75" customHeight="1">
      <c r="A398" s="100" t="n"/>
      <c r="B398" s="101" t="n"/>
      <c r="C398" s="102" t="n"/>
      <c r="D398" s="99" t="n"/>
      <c r="E398" s="95" t="n"/>
      <c r="F398" s="95" t="n"/>
      <c r="G398" s="94" t="n"/>
      <c r="H398" s="46" t="n"/>
      <c r="I398" s="46" t="n"/>
      <c r="J398" s="46" t="n"/>
      <c r="K398" s="46" t="n"/>
      <c r="L398" s="95" t="n"/>
      <c r="M398" s="95" t="n"/>
      <c r="N398" s="95" t="n"/>
      <c r="O398" s="95" t="n"/>
      <c r="P398" s="95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  <c r="Z398" s="46" t="n"/>
    </row>
    <row r="399" ht="12.75" customHeight="1">
      <c r="A399" s="100" t="n"/>
      <c r="B399" s="101" t="n"/>
      <c r="C399" s="102" t="n"/>
      <c r="D399" s="99" t="n"/>
      <c r="E399" s="95" t="n"/>
      <c r="F399" s="95" t="n"/>
      <c r="G399" s="94" t="n"/>
      <c r="H399" s="46" t="n"/>
      <c r="I399" s="46" t="n"/>
      <c r="J399" s="46" t="n"/>
      <c r="K399" s="46" t="n"/>
      <c r="L399" s="95" t="n"/>
      <c r="M399" s="95" t="n"/>
      <c r="N399" s="95" t="n"/>
      <c r="O399" s="95" t="n"/>
      <c r="P399" s="95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  <c r="Z399" s="46" t="n"/>
    </row>
    <row r="400" ht="12.75" customHeight="1">
      <c r="A400" s="100" t="n"/>
      <c r="B400" s="101" t="n"/>
      <c r="C400" s="102" t="n"/>
      <c r="D400" s="99" t="n"/>
      <c r="E400" s="95" t="n"/>
      <c r="F400" s="95" t="n"/>
      <c r="G400" s="94" t="n"/>
      <c r="H400" s="46" t="n"/>
      <c r="I400" s="46" t="n"/>
      <c r="J400" s="46" t="n"/>
      <c r="K400" s="46" t="n"/>
      <c r="L400" s="95" t="n"/>
      <c r="M400" s="95" t="n"/>
      <c r="N400" s="95" t="n"/>
      <c r="O400" s="95" t="n"/>
      <c r="P400" s="95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  <c r="Z400" s="46" t="n"/>
    </row>
    <row r="401" ht="12.75" customHeight="1">
      <c r="A401" s="100" t="n"/>
      <c r="B401" s="101" t="n"/>
      <c r="C401" s="102" t="n"/>
      <c r="D401" s="99" t="n"/>
      <c r="E401" s="95" t="n"/>
      <c r="F401" s="95" t="n"/>
      <c r="G401" s="94" t="n"/>
      <c r="H401" s="46" t="n"/>
      <c r="I401" s="46" t="n"/>
      <c r="J401" s="46" t="n"/>
      <c r="K401" s="46" t="n"/>
      <c r="L401" s="95" t="n"/>
      <c r="M401" s="95" t="n"/>
      <c r="N401" s="95" t="n"/>
      <c r="O401" s="95" t="n"/>
      <c r="P401" s="95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  <c r="Z401" s="46" t="n"/>
    </row>
    <row r="402" ht="12.75" customHeight="1">
      <c r="A402" s="100" t="n"/>
      <c r="B402" s="101" t="n"/>
      <c r="C402" s="102" t="n"/>
      <c r="D402" s="99" t="n"/>
      <c r="E402" s="95" t="n"/>
      <c r="F402" s="95" t="n"/>
      <c r="G402" s="94" t="n"/>
      <c r="H402" s="46" t="n"/>
      <c r="I402" s="46" t="n"/>
      <c r="J402" s="46" t="n"/>
      <c r="K402" s="46" t="n"/>
      <c r="L402" s="95" t="n"/>
      <c r="M402" s="95" t="n"/>
      <c r="N402" s="95" t="n"/>
      <c r="O402" s="95" t="n"/>
      <c r="P402" s="95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  <c r="Z402" s="46" t="n"/>
    </row>
    <row r="403" ht="12.75" customHeight="1">
      <c r="A403" s="100" t="n"/>
      <c r="B403" s="101" t="n"/>
      <c r="C403" s="102" t="n"/>
      <c r="D403" s="99" t="n"/>
      <c r="E403" s="95" t="n"/>
      <c r="F403" s="95" t="n"/>
      <c r="G403" s="94" t="n"/>
      <c r="H403" s="46" t="n"/>
      <c r="I403" s="46" t="n"/>
      <c r="J403" s="46" t="n"/>
      <c r="K403" s="46" t="n"/>
      <c r="L403" s="95" t="n"/>
      <c r="M403" s="95" t="n"/>
      <c r="N403" s="95" t="n"/>
      <c r="O403" s="95" t="n"/>
      <c r="P403" s="95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  <c r="Z403" s="46" t="n"/>
    </row>
    <row r="404" ht="12.75" customHeight="1">
      <c r="A404" s="100" t="n"/>
      <c r="B404" s="101" t="n"/>
      <c r="C404" s="102" t="n"/>
      <c r="D404" s="99" t="n"/>
      <c r="E404" s="95" t="n"/>
      <c r="F404" s="95" t="n"/>
      <c r="G404" s="94" t="n"/>
      <c r="H404" s="46" t="n"/>
      <c r="I404" s="46" t="n"/>
      <c r="J404" s="46" t="n"/>
      <c r="K404" s="46" t="n"/>
      <c r="L404" s="95" t="n"/>
      <c r="M404" s="95" t="n"/>
      <c r="N404" s="95" t="n"/>
      <c r="O404" s="95" t="n"/>
      <c r="P404" s="95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  <c r="Z404" s="46" t="n"/>
    </row>
    <row r="405" ht="12.75" customHeight="1">
      <c r="A405" s="100" t="n"/>
      <c r="B405" s="101" t="n"/>
      <c r="C405" s="102" t="n"/>
      <c r="D405" s="99" t="n"/>
      <c r="E405" s="95" t="n"/>
      <c r="F405" s="95" t="n"/>
      <c r="G405" s="94" t="n"/>
      <c r="H405" s="46" t="n"/>
      <c r="I405" s="46" t="n"/>
      <c r="J405" s="46" t="n"/>
      <c r="K405" s="46" t="n"/>
      <c r="L405" s="95" t="n"/>
      <c r="M405" s="95" t="n"/>
      <c r="N405" s="95" t="n"/>
      <c r="O405" s="95" t="n"/>
      <c r="P405" s="95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  <c r="Z405" s="46" t="n"/>
    </row>
    <row r="406" ht="12.75" customHeight="1">
      <c r="A406" s="100" t="n"/>
      <c r="B406" s="101" t="n"/>
      <c r="C406" s="102" t="n"/>
      <c r="D406" s="99" t="n"/>
      <c r="E406" s="95" t="n"/>
      <c r="F406" s="95" t="n"/>
      <c r="G406" s="94" t="n"/>
      <c r="H406" s="46" t="n"/>
      <c r="I406" s="46" t="n"/>
      <c r="J406" s="46" t="n"/>
      <c r="K406" s="46" t="n"/>
      <c r="L406" s="95" t="n"/>
      <c r="M406" s="95" t="n"/>
      <c r="N406" s="95" t="n"/>
      <c r="O406" s="95" t="n"/>
      <c r="P406" s="95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  <c r="Z406" s="46" t="n"/>
    </row>
    <row r="407" ht="12.75" customHeight="1">
      <c r="A407" s="100" t="n"/>
      <c r="B407" s="101" t="n"/>
      <c r="C407" s="102" t="n"/>
      <c r="D407" s="99" t="n"/>
      <c r="E407" s="95" t="n"/>
      <c r="F407" s="95" t="n"/>
      <c r="G407" s="94" t="n"/>
      <c r="H407" s="46" t="n"/>
      <c r="I407" s="46" t="n"/>
      <c r="J407" s="46" t="n"/>
      <c r="K407" s="46" t="n"/>
      <c r="L407" s="95" t="n"/>
      <c r="M407" s="95" t="n"/>
      <c r="N407" s="95" t="n"/>
      <c r="O407" s="95" t="n"/>
      <c r="P407" s="95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  <c r="Z407" s="46" t="n"/>
    </row>
    <row r="408" ht="12.75" customHeight="1">
      <c r="A408" s="100" t="n"/>
      <c r="B408" s="101" t="n"/>
      <c r="C408" s="102" t="n"/>
      <c r="D408" s="99" t="n"/>
      <c r="E408" s="95" t="n"/>
      <c r="F408" s="95" t="n"/>
      <c r="G408" s="94" t="n"/>
      <c r="H408" s="46" t="n"/>
      <c r="I408" s="46" t="n"/>
      <c r="J408" s="46" t="n"/>
      <c r="K408" s="46" t="n"/>
      <c r="L408" s="95" t="n"/>
      <c r="M408" s="95" t="n"/>
      <c r="N408" s="95" t="n"/>
      <c r="O408" s="95" t="n"/>
      <c r="P408" s="95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  <c r="Z408" s="46" t="n"/>
    </row>
    <row r="409" ht="12.75" customHeight="1">
      <c r="A409" s="100" t="n"/>
      <c r="B409" s="101" t="n"/>
      <c r="C409" s="102" t="n"/>
      <c r="D409" s="99" t="n"/>
      <c r="E409" s="95" t="n"/>
      <c r="F409" s="95" t="n"/>
      <c r="G409" s="94" t="n"/>
      <c r="H409" s="46" t="n"/>
      <c r="I409" s="46" t="n"/>
      <c r="J409" s="46" t="n"/>
      <c r="K409" s="46" t="n"/>
      <c r="L409" s="95" t="n"/>
      <c r="M409" s="95" t="n"/>
      <c r="N409" s="95" t="n"/>
      <c r="O409" s="95" t="n"/>
      <c r="P409" s="95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  <c r="Z409" s="46" t="n"/>
    </row>
    <row r="410" ht="12.75" customHeight="1">
      <c r="A410" s="100" t="n"/>
      <c r="B410" s="101" t="n"/>
      <c r="C410" s="102" t="n"/>
      <c r="D410" s="99" t="n"/>
      <c r="E410" s="95" t="n"/>
      <c r="F410" s="95" t="n"/>
      <c r="G410" s="94" t="n"/>
      <c r="H410" s="46" t="n"/>
      <c r="I410" s="46" t="n"/>
      <c r="J410" s="46" t="n"/>
      <c r="K410" s="46" t="n"/>
      <c r="L410" s="95" t="n"/>
      <c r="M410" s="95" t="n"/>
      <c r="N410" s="95" t="n"/>
      <c r="O410" s="95" t="n"/>
      <c r="P410" s="95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  <c r="Z410" s="46" t="n"/>
    </row>
    <row r="411" ht="12.75" customHeight="1">
      <c r="A411" s="100" t="n"/>
      <c r="B411" s="101" t="n"/>
      <c r="C411" s="102" t="n"/>
      <c r="D411" s="99" t="n"/>
      <c r="E411" s="95" t="n"/>
      <c r="F411" s="95" t="n"/>
      <c r="G411" s="94" t="n"/>
      <c r="H411" s="46" t="n"/>
      <c r="I411" s="46" t="n"/>
      <c r="J411" s="46" t="n"/>
      <c r="K411" s="46" t="n"/>
      <c r="L411" s="95" t="n"/>
      <c r="M411" s="95" t="n"/>
      <c r="N411" s="95" t="n"/>
      <c r="O411" s="95" t="n"/>
      <c r="P411" s="95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  <c r="Z411" s="46" t="n"/>
    </row>
    <row r="412" ht="12.75" customHeight="1">
      <c r="A412" s="100" t="n"/>
      <c r="B412" s="101" t="n"/>
      <c r="C412" s="102" t="n"/>
      <c r="D412" s="99" t="n"/>
      <c r="E412" s="95" t="n"/>
      <c r="F412" s="95" t="n"/>
      <c r="G412" s="94" t="n"/>
      <c r="H412" s="46" t="n"/>
      <c r="I412" s="46" t="n"/>
      <c r="J412" s="46" t="n"/>
      <c r="K412" s="46" t="n"/>
      <c r="L412" s="95" t="n"/>
      <c r="M412" s="95" t="n"/>
      <c r="N412" s="95" t="n"/>
      <c r="O412" s="95" t="n"/>
      <c r="P412" s="95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  <c r="Z412" s="46" t="n"/>
    </row>
    <row r="413" ht="12.75" customHeight="1">
      <c r="A413" s="100" t="n"/>
      <c r="B413" s="101" t="n"/>
      <c r="C413" s="102" t="n"/>
      <c r="D413" s="99" t="n"/>
      <c r="E413" s="95" t="n"/>
      <c r="F413" s="95" t="n"/>
      <c r="G413" s="94" t="n"/>
      <c r="H413" s="46" t="n"/>
      <c r="I413" s="46" t="n"/>
      <c r="J413" s="46" t="n"/>
      <c r="K413" s="46" t="n"/>
      <c r="L413" s="95" t="n"/>
      <c r="M413" s="95" t="n"/>
      <c r="N413" s="95" t="n"/>
      <c r="O413" s="95" t="n"/>
      <c r="P413" s="95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  <c r="Z413" s="46" t="n"/>
    </row>
    <row r="414" ht="12.75" customHeight="1">
      <c r="A414" s="100" t="n"/>
      <c r="B414" s="101" t="n"/>
      <c r="C414" s="102" t="n"/>
      <c r="D414" s="99" t="n"/>
      <c r="E414" s="95" t="n"/>
      <c r="F414" s="95" t="n"/>
      <c r="G414" s="94" t="n"/>
      <c r="H414" s="46" t="n"/>
      <c r="I414" s="46" t="n"/>
      <c r="J414" s="46" t="n"/>
      <c r="K414" s="46" t="n"/>
      <c r="L414" s="95" t="n"/>
      <c r="M414" s="95" t="n"/>
      <c r="N414" s="95" t="n"/>
      <c r="O414" s="95" t="n"/>
      <c r="P414" s="95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  <c r="Z414" s="46" t="n"/>
    </row>
    <row r="415" ht="12.75" customHeight="1">
      <c r="A415" s="100" t="n"/>
      <c r="B415" s="101" t="n"/>
      <c r="C415" s="102" t="n"/>
      <c r="D415" s="99" t="n"/>
      <c r="E415" s="95" t="n"/>
      <c r="F415" s="95" t="n"/>
      <c r="G415" s="94" t="n"/>
      <c r="H415" s="46" t="n"/>
      <c r="I415" s="46" t="n"/>
      <c r="J415" s="46" t="n"/>
      <c r="K415" s="46" t="n"/>
      <c r="L415" s="95" t="n"/>
      <c r="M415" s="95" t="n"/>
      <c r="N415" s="95" t="n"/>
      <c r="O415" s="95" t="n"/>
      <c r="P415" s="95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  <c r="Z415" s="46" t="n"/>
    </row>
    <row r="416" ht="12.75" customHeight="1">
      <c r="A416" s="100" t="n"/>
      <c r="B416" s="101" t="n"/>
      <c r="C416" s="102" t="n"/>
      <c r="D416" s="99" t="n"/>
      <c r="E416" s="95" t="n"/>
      <c r="F416" s="95" t="n"/>
      <c r="G416" s="94" t="n"/>
      <c r="H416" s="46" t="n"/>
      <c r="I416" s="46" t="n"/>
      <c r="J416" s="46" t="n"/>
      <c r="K416" s="46" t="n"/>
      <c r="L416" s="95" t="n"/>
      <c r="M416" s="95" t="n"/>
      <c r="N416" s="95" t="n"/>
      <c r="O416" s="95" t="n"/>
      <c r="P416" s="95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  <c r="Z416" s="46" t="n"/>
    </row>
    <row r="417" ht="12.75" customHeight="1">
      <c r="A417" s="100" t="n"/>
      <c r="B417" s="101" t="n"/>
      <c r="C417" s="102" t="n"/>
      <c r="D417" s="99" t="n"/>
      <c r="E417" s="95" t="n"/>
      <c r="F417" s="95" t="n"/>
      <c r="G417" s="94" t="n"/>
      <c r="H417" s="46" t="n"/>
      <c r="I417" s="46" t="n"/>
      <c r="J417" s="46" t="n"/>
      <c r="K417" s="46" t="n"/>
      <c r="L417" s="95" t="n"/>
      <c r="M417" s="95" t="n"/>
      <c r="N417" s="95" t="n"/>
      <c r="O417" s="95" t="n"/>
      <c r="P417" s="95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  <c r="Z417" s="46" t="n"/>
    </row>
    <row r="418" ht="12.75" customHeight="1">
      <c r="A418" s="100" t="n"/>
      <c r="B418" s="101" t="n"/>
      <c r="C418" s="102" t="n"/>
      <c r="D418" s="99" t="n"/>
      <c r="E418" s="95" t="n"/>
      <c r="F418" s="95" t="n"/>
      <c r="G418" s="94" t="n"/>
      <c r="H418" s="46" t="n"/>
      <c r="I418" s="46" t="n"/>
      <c r="J418" s="46" t="n"/>
      <c r="K418" s="46" t="n"/>
      <c r="L418" s="95" t="n"/>
      <c r="M418" s="95" t="n"/>
      <c r="N418" s="95" t="n"/>
      <c r="O418" s="95" t="n"/>
      <c r="P418" s="95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  <c r="Z418" s="46" t="n"/>
    </row>
    <row r="419" ht="12.75" customHeight="1">
      <c r="A419" s="100" t="n"/>
      <c r="B419" s="101" t="n"/>
      <c r="C419" s="102" t="n"/>
      <c r="D419" s="99" t="n"/>
      <c r="E419" s="95" t="n"/>
      <c r="F419" s="95" t="n"/>
      <c r="G419" s="94" t="n"/>
      <c r="H419" s="46" t="n"/>
      <c r="I419" s="46" t="n"/>
      <c r="J419" s="46" t="n"/>
      <c r="K419" s="46" t="n"/>
      <c r="L419" s="95" t="n"/>
      <c r="M419" s="95" t="n"/>
      <c r="N419" s="95" t="n"/>
      <c r="O419" s="95" t="n"/>
      <c r="P419" s="95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  <c r="Z419" s="46" t="n"/>
    </row>
    <row r="420" ht="12.75" customHeight="1">
      <c r="A420" s="100" t="n"/>
      <c r="B420" s="101" t="n"/>
      <c r="C420" s="102" t="n"/>
      <c r="D420" s="99" t="n"/>
      <c r="E420" s="95" t="n"/>
      <c r="F420" s="95" t="n"/>
      <c r="G420" s="94" t="n"/>
      <c r="H420" s="46" t="n"/>
      <c r="I420" s="46" t="n"/>
      <c r="J420" s="46" t="n"/>
      <c r="K420" s="46" t="n"/>
      <c r="L420" s="95" t="n"/>
      <c r="M420" s="95" t="n"/>
      <c r="N420" s="95" t="n"/>
      <c r="O420" s="95" t="n"/>
      <c r="P420" s="95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  <c r="Z420" s="46" t="n"/>
    </row>
    <row r="421" ht="12.75" customHeight="1">
      <c r="A421" s="100" t="n"/>
      <c r="B421" s="101" t="n"/>
      <c r="C421" s="102" t="n"/>
      <c r="D421" s="99" t="n"/>
      <c r="E421" s="95" t="n"/>
      <c r="F421" s="95" t="n"/>
      <c r="G421" s="94" t="n"/>
      <c r="H421" s="46" t="n"/>
      <c r="I421" s="46" t="n"/>
      <c r="J421" s="46" t="n"/>
      <c r="K421" s="46" t="n"/>
      <c r="L421" s="95" t="n"/>
      <c r="M421" s="95" t="n"/>
      <c r="N421" s="95" t="n"/>
      <c r="O421" s="95" t="n"/>
      <c r="P421" s="95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  <c r="Z421" s="46" t="n"/>
    </row>
    <row r="422" ht="12.75" customHeight="1">
      <c r="A422" s="100" t="n"/>
      <c r="B422" s="101" t="n"/>
      <c r="C422" s="102" t="n"/>
      <c r="D422" s="99" t="n"/>
      <c r="E422" s="95" t="n"/>
      <c r="F422" s="95" t="n"/>
      <c r="G422" s="94" t="n"/>
      <c r="H422" s="46" t="n"/>
      <c r="I422" s="46" t="n"/>
      <c r="J422" s="46" t="n"/>
      <c r="K422" s="46" t="n"/>
      <c r="L422" s="95" t="n"/>
      <c r="M422" s="95" t="n"/>
      <c r="N422" s="95" t="n"/>
      <c r="O422" s="95" t="n"/>
      <c r="P422" s="95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  <c r="Z422" s="46" t="n"/>
    </row>
    <row r="423" ht="12.75" customHeight="1">
      <c r="A423" s="100" t="n"/>
      <c r="B423" s="101" t="n"/>
      <c r="C423" s="102" t="n"/>
      <c r="D423" s="99" t="n"/>
      <c r="E423" s="95" t="n"/>
      <c r="F423" s="95" t="n"/>
      <c r="G423" s="94" t="n"/>
      <c r="H423" s="46" t="n"/>
      <c r="I423" s="46" t="n"/>
      <c r="J423" s="46" t="n"/>
      <c r="K423" s="46" t="n"/>
      <c r="L423" s="95" t="n"/>
      <c r="M423" s="95" t="n"/>
      <c r="N423" s="95" t="n"/>
      <c r="O423" s="95" t="n"/>
      <c r="P423" s="95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  <c r="Z423" s="46" t="n"/>
    </row>
    <row r="424" ht="12.75" customHeight="1">
      <c r="A424" s="100" t="n"/>
      <c r="B424" s="101" t="n"/>
      <c r="C424" s="102" t="n"/>
      <c r="D424" s="99" t="n"/>
      <c r="E424" s="95" t="n"/>
      <c r="F424" s="95" t="n"/>
      <c r="G424" s="94" t="n"/>
      <c r="H424" s="46" t="n"/>
      <c r="I424" s="46" t="n"/>
      <c r="J424" s="46" t="n"/>
      <c r="K424" s="46" t="n"/>
      <c r="L424" s="95" t="n"/>
      <c r="M424" s="95" t="n"/>
      <c r="N424" s="95" t="n"/>
      <c r="O424" s="95" t="n"/>
      <c r="P424" s="95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  <c r="Z424" s="46" t="n"/>
    </row>
    <row r="425" ht="12.75" customHeight="1">
      <c r="A425" s="100" t="n"/>
      <c r="B425" s="101" t="n"/>
      <c r="C425" s="102" t="n"/>
      <c r="D425" s="99" t="n"/>
      <c r="E425" s="95" t="n"/>
      <c r="F425" s="95" t="n"/>
      <c r="G425" s="94" t="n"/>
      <c r="H425" s="46" t="n"/>
      <c r="I425" s="46" t="n"/>
      <c r="J425" s="46" t="n"/>
      <c r="K425" s="46" t="n"/>
      <c r="L425" s="95" t="n"/>
      <c r="M425" s="95" t="n"/>
      <c r="N425" s="95" t="n"/>
      <c r="O425" s="95" t="n"/>
      <c r="P425" s="95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  <c r="Z425" s="46" t="n"/>
    </row>
    <row r="426" ht="12.75" customHeight="1">
      <c r="A426" s="100" t="n"/>
      <c r="B426" s="101" t="n"/>
      <c r="C426" s="102" t="n"/>
      <c r="D426" s="99" t="n"/>
      <c r="E426" s="95" t="n"/>
      <c r="F426" s="95" t="n"/>
      <c r="G426" s="94" t="n"/>
      <c r="H426" s="46" t="n"/>
      <c r="I426" s="46" t="n"/>
      <c r="J426" s="46" t="n"/>
      <c r="K426" s="46" t="n"/>
      <c r="L426" s="95" t="n"/>
      <c r="M426" s="95" t="n"/>
      <c r="N426" s="95" t="n"/>
      <c r="O426" s="95" t="n"/>
      <c r="P426" s="95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  <c r="Z426" s="46" t="n"/>
    </row>
    <row r="427" ht="12.75" customHeight="1">
      <c r="A427" s="100" t="n"/>
      <c r="B427" s="101" t="n"/>
      <c r="C427" s="102" t="n"/>
      <c r="D427" s="99" t="n"/>
      <c r="E427" s="95" t="n"/>
      <c r="F427" s="95" t="n"/>
      <c r="G427" s="94" t="n"/>
      <c r="H427" s="46" t="n"/>
      <c r="I427" s="46" t="n"/>
      <c r="J427" s="46" t="n"/>
      <c r="K427" s="46" t="n"/>
      <c r="L427" s="95" t="n"/>
      <c r="M427" s="95" t="n"/>
      <c r="N427" s="95" t="n"/>
      <c r="O427" s="95" t="n"/>
      <c r="P427" s="95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  <c r="Z427" s="46" t="n"/>
    </row>
    <row r="428" ht="12.75" customHeight="1">
      <c r="A428" s="100" t="n"/>
      <c r="B428" s="101" t="n"/>
      <c r="C428" s="102" t="n"/>
      <c r="D428" s="99" t="n"/>
      <c r="E428" s="95" t="n"/>
      <c r="F428" s="95" t="n"/>
      <c r="G428" s="94" t="n"/>
      <c r="H428" s="46" t="n"/>
      <c r="I428" s="46" t="n"/>
      <c r="J428" s="46" t="n"/>
      <c r="K428" s="46" t="n"/>
      <c r="L428" s="95" t="n"/>
      <c r="M428" s="95" t="n"/>
      <c r="N428" s="95" t="n"/>
      <c r="O428" s="95" t="n"/>
      <c r="P428" s="95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  <c r="Z428" s="46" t="n"/>
    </row>
    <row r="429" ht="12.75" customHeight="1">
      <c r="A429" s="100" t="n"/>
      <c r="B429" s="101" t="n"/>
      <c r="C429" s="102" t="n"/>
      <c r="D429" s="99" t="n"/>
      <c r="E429" s="95" t="n"/>
      <c r="F429" s="95" t="n"/>
      <c r="G429" s="94" t="n"/>
      <c r="H429" s="46" t="n"/>
      <c r="I429" s="46" t="n"/>
      <c r="J429" s="46" t="n"/>
      <c r="K429" s="46" t="n"/>
      <c r="L429" s="95" t="n"/>
      <c r="M429" s="95" t="n"/>
      <c r="N429" s="95" t="n"/>
      <c r="O429" s="95" t="n"/>
      <c r="P429" s="95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  <c r="Z429" s="46" t="n"/>
    </row>
    <row r="430" ht="12.75" customHeight="1">
      <c r="A430" s="100" t="n"/>
      <c r="B430" s="101" t="n"/>
      <c r="C430" s="102" t="n"/>
      <c r="D430" s="99" t="n"/>
      <c r="E430" s="95" t="n"/>
      <c r="F430" s="95" t="n"/>
      <c r="G430" s="94" t="n"/>
      <c r="H430" s="46" t="n"/>
      <c r="I430" s="46" t="n"/>
      <c r="J430" s="46" t="n"/>
      <c r="K430" s="46" t="n"/>
      <c r="L430" s="95" t="n"/>
      <c r="M430" s="95" t="n"/>
      <c r="N430" s="95" t="n"/>
      <c r="O430" s="95" t="n"/>
      <c r="P430" s="95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  <c r="Z430" s="46" t="n"/>
    </row>
    <row r="431" ht="12.75" customHeight="1">
      <c r="A431" s="100" t="n"/>
      <c r="B431" s="101" t="n"/>
      <c r="C431" s="102" t="n"/>
      <c r="D431" s="99" t="n"/>
      <c r="E431" s="95" t="n"/>
      <c r="F431" s="95" t="n"/>
      <c r="G431" s="94" t="n"/>
      <c r="H431" s="46" t="n"/>
      <c r="I431" s="46" t="n"/>
      <c r="J431" s="46" t="n"/>
      <c r="K431" s="46" t="n"/>
      <c r="L431" s="95" t="n"/>
      <c r="M431" s="95" t="n"/>
      <c r="N431" s="95" t="n"/>
      <c r="O431" s="95" t="n"/>
      <c r="P431" s="95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  <c r="Z431" s="46" t="n"/>
    </row>
    <row r="432" ht="12.75" customHeight="1">
      <c r="A432" s="100" t="n"/>
      <c r="B432" s="101" t="n"/>
      <c r="C432" s="102" t="n"/>
      <c r="D432" s="99" t="n"/>
      <c r="E432" s="95" t="n"/>
      <c r="F432" s="95" t="n"/>
      <c r="G432" s="94" t="n"/>
      <c r="H432" s="46" t="n"/>
      <c r="I432" s="46" t="n"/>
      <c r="J432" s="46" t="n"/>
      <c r="K432" s="46" t="n"/>
      <c r="L432" s="95" t="n"/>
      <c r="M432" s="95" t="n"/>
      <c r="N432" s="95" t="n"/>
      <c r="O432" s="95" t="n"/>
      <c r="P432" s="95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  <c r="Z432" s="46" t="n"/>
    </row>
    <row r="433" ht="12.75" customHeight="1">
      <c r="A433" s="100" t="n"/>
      <c r="B433" s="101" t="n"/>
      <c r="C433" s="102" t="n"/>
      <c r="D433" s="99" t="n"/>
      <c r="E433" s="95" t="n"/>
      <c r="F433" s="95" t="n"/>
      <c r="G433" s="94" t="n"/>
      <c r="H433" s="46" t="n"/>
      <c r="I433" s="46" t="n"/>
      <c r="J433" s="46" t="n"/>
      <c r="K433" s="46" t="n"/>
      <c r="L433" s="95" t="n"/>
      <c r="M433" s="95" t="n"/>
      <c r="N433" s="95" t="n"/>
      <c r="O433" s="95" t="n"/>
      <c r="P433" s="95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  <c r="Z433" s="46" t="n"/>
    </row>
    <row r="434" ht="12.75" customHeight="1">
      <c r="A434" s="100" t="n"/>
      <c r="B434" s="101" t="n"/>
      <c r="C434" s="102" t="n"/>
      <c r="D434" s="99" t="n"/>
      <c r="E434" s="95" t="n"/>
      <c r="F434" s="95" t="n"/>
      <c r="G434" s="94" t="n"/>
      <c r="H434" s="46" t="n"/>
      <c r="I434" s="46" t="n"/>
      <c r="J434" s="46" t="n"/>
      <c r="K434" s="46" t="n"/>
      <c r="L434" s="95" t="n"/>
      <c r="M434" s="95" t="n"/>
      <c r="N434" s="95" t="n"/>
      <c r="O434" s="95" t="n"/>
      <c r="P434" s="95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  <c r="Z434" s="46" t="n"/>
    </row>
    <row r="435" ht="12.75" customHeight="1">
      <c r="A435" s="100" t="n"/>
      <c r="B435" s="101" t="n"/>
      <c r="C435" s="102" t="n"/>
      <c r="D435" s="99" t="n"/>
      <c r="E435" s="95" t="n"/>
      <c r="F435" s="95" t="n"/>
      <c r="G435" s="94" t="n"/>
      <c r="H435" s="46" t="n"/>
      <c r="I435" s="46" t="n"/>
      <c r="J435" s="46" t="n"/>
      <c r="K435" s="46" t="n"/>
      <c r="L435" s="95" t="n"/>
      <c r="M435" s="95" t="n"/>
      <c r="N435" s="95" t="n"/>
      <c r="O435" s="95" t="n"/>
      <c r="P435" s="95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  <c r="Z435" s="46" t="n"/>
    </row>
    <row r="436" ht="12.75" customHeight="1">
      <c r="A436" s="100" t="n"/>
      <c r="B436" s="101" t="n"/>
      <c r="C436" s="102" t="n"/>
      <c r="D436" s="99" t="n"/>
      <c r="E436" s="95" t="n"/>
      <c r="F436" s="95" t="n"/>
      <c r="G436" s="94" t="n"/>
      <c r="H436" s="46" t="n"/>
      <c r="I436" s="46" t="n"/>
      <c r="J436" s="46" t="n"/>
      <c r="K436" s="46" t="n"/>
      <c r="L436" s="95" t="n"/>
      <c r="M436" s="95" t="n"/>
      <c r="N436" s="95" t="n"/>
      <c r="O436" s="95" t="n"/>
      <c r="P436" s="95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  <c r="Z436" s="46" t="n"/>
    </row>
    <row r="437" ht="12.75" customHeight="1">
      <c r="A437" s="100" t="n"/>
      <c r="B437" s="101" t="n"/>
      <c r="C437" s="102" t="n"/>
      <c r="D437" s="99" t="n"/>
      <c r="E437" s="95" t="n"/>
      <c r="F437" s="95" t="n"/>
      <c r="G437" s="94" t="n"/>
      <c r="H437" s="46" t="n"/>
      <c r="I437" s="46" t="n"/>
      <c r="J437" s="46" t="n"/>
      <c r="K437" s="46" t="n"/>
      <c r="L437" s="95" t="n"/>
      <c r="M437" s="95" t="n"/>
      <c r="N437" s="95" t="n"/>
      <c r="O437" s="95" t="n"/>
      <c r="P437" s="95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  <c r="Z437" s="46" t="n"/>
    </row>
    <row r="438" ht="12.75" customHeight="1">
      <c r="A438" s="100" t="n"/>
      <c r="B438" s="101" t="n"/>
      <c r="C438" s="102" t="n"/>
      <c r="D438" s="99" t="n"/>
      <c r="E438" s="95" t="n"/>
      <c r="F438" s="95" t="n"/>
      <c r="G438" s="94" t="n"/>
      <c r="H438" s="46" t="n"/>
      <c r="I438" s="46" t="n"/>
      <c r="J438" s="46" t="n"/>
      <c r="K438" s="46" t="n"/>
      <c r="L438" s="95" t="n"/>
      <c r="M438" s="95" t="n"/>
      <c r="N438" s="95" t="n"/>
      <c r="O438" s="95" t="n"/>
      <c r="P438" s="95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  <c r="Z438" s="46" t="n"/>
    </row>
    <row r="439" ht="12.75" customHeight="1">
      <c r="A439" s="100" t="n"/>
      <c r="B439" s="101" t="n"/>
      <c r="C439" s="102" t="n"/>
      <c r="D439" s="99" t="n"/>
      <c r="E439" s="95" t="n"/>
      <c r="F439" s="95" t="n"/>
      <c r="G439" s="94" t="n"/>
      <c r="H439" s="46" t="n"/>
      <c r="I439" s="46" t="n"/>
      <c r="J439" s="46" t="n"/>
      <c r="K439" s="46" t="n"/>
      <c r="L439" s="95" t="n"/>
      <c r="M439" s="95" t="n"/>
      <c r="N439" s="95" t="n"/>
      <c r="O439" s="95" t="n"/>
      <c r="P439" s="95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  <c r="Z439" s="46" t="n"/>
    </row>
    <row r="440" ht="12.75" customHeight="1">
      <c r="A440" s="100" t="n"/>
      <c r="B440" s="101" t="n"/>
      <c r="C440" s="102" t="n"/>
      <c r="D440" s="99" t="n"/>
      <c r="E440" s="95" t="n"/>
      <c r="F440" s="95" t="n"/>
      <c r="G440" s="94" t="n"/>
      <c r="H440" s="46" t="n"/>
      <c r="I440" s="46" t="n"/>
      <c r="J440" s="46" t="n"/>
      <c r="K440" s="46" t="n"/>
      <c r="L440" s="95" t="n"/>
      <c r="M440" s="95" t="n"/>
      <c r="N440" s="95" t="n"/>
      <c r="O440" s="95" t="n"/>
      <c r="P440" s="95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  <c r="Z440" s="46" t="n"/>
    </row>
    <row r="441" ht="12.75" customHeight="1">
      <c r="A441" s="100" t="n"/>
      <c r="B441" s="101" t="n"/>
      <c r="C441" s="102" t="n"/>
      <c r="D441" s="99" t="n"/>
      <c r="E441" s="95" t="n"/>
      <c r="F441" s="95" t="n"/>
      <c r="G441" s="94" t="n"/>
      <c r="H441" s="46" t="n"/>
      <c r="I441" s="46" t="n"/>
      <c r="J441" s="46" t="n"/>
      <c r="K441" s="46" t="n"/>
      <c r="L441" s="95" t="n"/>
      <c r="M441" s="95" t="n"/>
      <c r="N441" s="95" t="n"/>
      <c r="O441" s="95" t="n"/>
      <c r="P441" s="95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  <c r="Z441" s="46" t="n"/>
    </row>
    <row r="442" ht="12.75" customHeight="1">
      <c r="A442" s="100" t="n"/>
      <c r="B442" s="101" t="n"/>
      <c r="C442" s="102" t="n"/>
      <c r="D442" s="99" t="n"/>
      <c r="E442" s="95" t="n"/>
      <c r="F442" s="95" t="n"/>
      <c r="G442" s="94" t="n"/>
      <c r="H442" s="46" t="n"/>
      <c r="I442" s="46" t="n"/>
      <c r="J442" s="46" t="n"/>
      <c r="K442" s="46" t="n"/>
      <c r="L442" s="95" t="n"/>
      <c r="M442" s="95" t="n"/>
      <c r="N442" s="95" t="n"/>
      <c r="O442" s="95" t="n"/>
      <c r="P442" s="95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  <c r="Z442" s="46" t="n"/>
    </row>
    <row r="443" ht="12.75" customHeight="1">
      <c r="A443" s="100" t="n"/>
      <c r="B443" s="101" t="n"/>
      <c r="C443" s="102" t="n"/>
      <c r="D443" s="99" t="n"/>
      <c r="E443" s="95" t="n"/>
      <c r="F443" s="95" t="n"/>
      <c r="G443" s="94" t="n"/>
      <c r="H443" s="46" t="n"/>
      <c r="I443" s="46" t="n"/>
      <c r="J443" s="46" t="n"/>
      <c r="K443" s="46" t="n"/>
      <c r="L443" s="95" t="n"/>
      <c r="M443" s="95" t="n"/>
      <c r="N443" s="95" t="n"/>
      <c r="O443" s="95" t="n"/>
      <c r="P443" s="95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  <c r="Z443" s="46" t="n"/>
    </row>
    <row r="444" ht="12.75" customHeight="1">
      <c r="A444" s="100" t="n"/>
      <c r="B444" s="101" t="n"/>
      <c r="C444" s="102" t="n"/>
      <c r="D444" s="99" t="n"/>
      <c r="E444" s="95" t="n"/>
      <c r="F444" s="95" t="n"/>
      <c r="G444" s="94" t="n"/>
      <c r="H444" s="46" t="n"/>
      <c r="I444" s="46" t="n"/>
      <c r="J444" s="46" t="n"/>
      <c r="K444" s="46" t="n"/>
      <c r="L444" s="95" t="n"/>
      <c r="M444" s="95" t="n"/>
      <c r="N444" s="95" t="n"/>
      <c r="O444" s="95" t="n"/>
      <c r="P444" s="95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  <c r="Z444" s="46" t="n"/>
    </row>
    <row r="445" ht="12.75" customHeight="1">
      <c r="A445" s="100" t="n"/>
      <c r="B445" s="101" t="n"/>
      <c r="C445" s="102" t="n"/>
      <c r="D445" s="99" t="n"/>
      <c r="E445" s="95" t="n"/>
      <c r="F445" s="95" t="n"/>
      <c r="G445" s="94" t="n"/>
      <c r="H445" s="46" t="n"/>
      <c r="I445" s="46" t="n"/>
      <c r="J445" s="46" t="n"/>
      <c r="K445" s="46" t="n"/>
      <c r="L445" s="95" t="n"/>
      <c r="M445" s="95" t="n"/>
      <c r="N445" s="95" t="n"/>
      <c r="O445" s="95" t="n"/>
      <c r="P445" s="95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  <c r="Z445" s="46" t="n"/>
    </row>
    <row r="446" ht="12.75" customHeight="1">
      <c r="A446" s="100" t="n"/>
      <c r="B446" s="101" t="n"/>
      <c r="C446" s="102" t="n"/>
      <c r="D446" s="99" t="n"/>
      <c r="E446" s="95" t="n"/>
      <c r="F446" s="95" t="n"/>
      <c r="G446" s="94" t="n"/>
      <c r="H446" s="46" t="n"/>
      <c r="I446" s="46" t="n"/>
      <c r="J446" s="46" t="n"/>
      <c r="K446" s="46" t="n"/>
      <c r="L446" s="95" t="n"/>
      <c r="M446" s="95" t="n"/>
      <c r="N446" s="95" t="n"/>
      <c r="O446" s="95" t="n"/>
      <c r="P446" s="95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  <c r="Z446" s="46" t="n"/>
    </row>
    <row r="447" ht="12.75" customHeight="1">
      <c r="A447" s="100" t="n"/>
      <c r="B447" s="101" t="n"/>
      <c r="C447" s="102" t="n"/>
      <c r="D447" s="99" t="n"/>
      <c r="E447" s="95" t="n"/>
      <c r="F447" s="95" t="n"/>
      <c r="G447" s="94" t="n"/>
      <c r="H447" s="46" t="n"/>
      <c r="I447" s="46" t="n"/>
      <c r="J447" s="46" t="n"/>
      <c r="K447" s="46" t="n"/>
      <c r="L447" s="95" t="n"/>
      <c r="M447" s="95" t="n"/>
      <c r="N447" s="95" t="n"/>
      <c r="O447" s="95" t="n"/>
      <c r="P447" s="95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  <c r="Z447" s="46" t="n"/>
    </row>
    <row r="448" ht="12.75" customHeight="1">
      <c r="A448" s="100" t="n"/>
      <c r="B448" s="101" t="n"/>
      <c r="C448" s="102" t="n"/>
      <c r="D448" s="99" t="n"/>
      <c r="E448" s="95" t="n"/>
      <c r="F448" s="95" t="n"/>
      <c r="G448" s="94" t="n"/>
      <c r="H448" s="46" t="n"/>
      <c r="I448" s="46" t="n"/>
      <c r="J448" s="46" t="n"/>
      <c r="K448" s="46" t="n"/>
      <c r="L448" s="95" t="n"/>
      <c r="M448" s="95" t="n"/>
      <c r="N448" s="95" t="n"/>
      <c r="O448" s="95" t="n"/>
      <c r="P448" s="95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  <c r="Z448" s="46" t="n"/>
    </row>
    <row r="449" ht="12.75" customHeight="1">
      <c r="A449" s="100" t="n"/>
      <c r="B449" s="101" t="n"/>
      <c r="C449" s="102" t="n"/>
      <c r="D449" s="99" t="n"/>
      <c r="E449" s="95" t="n"/>
      <c r="F449" s="95" t="n"/>
      <c r="G449" s="94" t="n"/>
      <c r="H449" s="46" t="n"/>
      <c r="I449" s="46" t="n"/>
      <c r="J449" s="46" t="n"/>
      <c r="K449" s="46" t="n"/>
      <c r="L449" s="95" t="n"/>
      <c r="M449" s="95" t="n"/>
      <c r="N449" s="95" t="n"/>
      <c r="O449" s="95" t="n"/>
      <c r="P449" s="95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  <c r="Z449" s="46" t="n"/>
    </row>
    <row r="450" ht="12.75" customHeight="1">
      <c r="A450" s="100" t="n"/>
      <c r="B450" s="101" t="n"/>
      <c r="C450" s="102" t="n"/>
      <c r="D450" s="99" t="n"/>
      <c r="E450" s="95" t="n"/>
      <c r="F450" s="95" t="n"/>
      <c r="G450" s="94" t="n"/>
      <c r="H450" s="46" t="n"/>
      <c r="I450" s="46" t="n"/>
      <c r="J450" s="46" t="n"/>
      <c r="K450" s="46" t="n"/>
      <c r="L450" s="95" t="n"/>
      <c r="M450" s="95" t="n"/>
      <c r="N450" s="95" t="n"/>
      <c r="O450" s="95" t="n"/>
      <c r="P450" s="95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  <c r="Z450" s="46" t="n"/>
    </row>
    <row r="451" ht="12.75" customHeight="1">
      <c r="A451" s="100" t="n"/>
      <c r="B451" s="101" t="n"/>
      <c r="C451" s="102" t="n"/>
      <c r="D451" s="99" t="n"/>
      <c r="E451" s="95" t="n"/>
      <c r="F451" s="95" t="n"/>
      <c r="G451" s="94" t="n"/>
      <c r="H451" s="46" t="n"/>
      <c r="I451" s="46" t="n"/>
      <c r="J451" s="46" t="n"/>
      <c r="K451" s="46" t="n"/>
      <c r="L451" s="95" t="n"/>
      <c r="M451" s="95" t="n"/>
      <c r="N451" s="95" t="n"/>
      <c r="O451" s="95" t="n"/>
      <c r="P451" s="95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  <c r="Z451" s="46" t="n"/>
    </row>
    <row r="452" ht="12.75" customHeight="1">
      <c r="A452" s="100" t="n"/>
      <c r="B452" s="101" t="n"/>
      <c r="C452" s="102" t="n"/>
      <c r="D452" s="99" t="n"/>
      <c r="E452" s="95" t="n"/>
      <c r="F452" s="95" t="n"/>
      <c r="G452" s="94" t="n"/>
      <c r="H452" s="46" t="n"/>
      <c r="I452" s="46" t="n"/>
      <c r="J452" s="46" t="n"/>
      <c r="K452" s="46" t="n"/>
      <c r="L452" s="95" t="n"/>
      <c r="M452" s="95" t="n"/>
      <c r="N452" s="95" t="n"/>
      <c r="O452" s="95" t="n"/>
      <c r="P452" s="95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  <c r="Z452" s="46" t="n"/>
    </row>
    <row r="453" ht="12.75" customHeight="1">
      <c r="A453" s="100" t="n"/>
      <c r="B453" s="101" t="n"/>
      <c r="C453" s="102" t="n"/>
      <c r="D453" s="99" t="n"/>
      <c r="E453" s="95" t="n"/>
      <c r="F453" s="95" t="n"/>
      <c r="G453" s="94" t="n"/>
      <c r="H453" s="46" t="n"/>
      <c r="I453" s="46" t="n"/>
      <c r="J453" s="46" t="n"/>
      <c r="K453" s="46" t="n"/>
      <c r="L453" s="95" t="n"/>
      <c r="M453" s="95" t="n"/>
      <c r="N453" s="95" t="n"/>
      <c r="O453" s="95" t="n"/>
      <c r="P453" s="95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  <c r="Z453" s="46" t="n"/>
    </row>
    <row r="454" ht="12.75" customHeight="1">
      <c r="A454" s="100" t="n"/>
      <c r="B454" s="101" t="n"/>
      <c r="C454" s="102" t="n"/>
      <c r="D454" s="99" t="n"/>
      <c r="E454" s="95" t="n"/>
      <c r="F454" s="95" t="n"/>
      <c r="G454" s="94" t="n"/>
      <c r="H454" s="46" t="n"/>
      <c r="I454" s="46" t="n"/>
      <c r="J454" s="46" t="n"/>
      <c r="K454" s="46" t="n"/>
      <c r="L454" s="95" t="n"/>
      <c r="M454" s="95" t="n"/>
      <c r="N454" s="95" t="n"/>
      <c r="O454" s="95" t="n"/>
      <c r="P454" s="95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  <c r="Z454" s="46" t="n"/>
    </row>
    <row r="455" ht="12.75" customHeight="1">
      <c r="A455" s="100" t="n"/>
      <c r="B455" s="101" t="n"/>
      <c r="C455" s="102" t="n"/>
      <c r="D455" s="99" t="n"/>
      <c r="E455" s="95" t="n"/>
      <c r="F455" s="95" t="n"/>
      <c r="G455" s="94" t="n"/>
      <c r="H455" s="46" t="n"/>
      <c r="I455" s="46" t="n"/>
      <c r="J455" s="46" t="n"/>
      <c r="K455" s="46" t="n"/>
      <c r="L455" s="95" t="n"/>
      <c r="M455" s="95" t="n"/>
      <c r="N455" s="95" t="n"/>
      <c r="O455" s="95" t="n"/>
      <c r="P455" s="95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  <c r="Z455" s="46" t="n"/>
    </row>
    <row r="456" ht="12.75" customHeight="1">
      <c r="A456" s="100" t="n"/>
      <c r="B456" s="101" t="n"/>
      <c r="C456" s="102" t="n"/>
      <c r="D456" s="99" t="n"/>
      <c r="E456" s="95" t="n"/>
      <c r="F456" s="95" t="n"/>
      <c r="G456" s="94" t="n"/>
      <c r="H456" s="46" t="n"/>
      <c r="I456" s="46" t="n"/>
      <c r="J456" s="46" t="n"/>
      <c r="K456" s="46" t="n"/>
      <c r="L456" s="95" t="n"/>
      <c r="M456" s="95" t="n"/>
      <c r="N456" s="95" t="n"/>
      <c r="O456" s="95" t="n"/>
      <c r="P456" s="95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  <c r="Z456" s="46" t="n"/>
    </row>
    <row r="457" ht="12.75" customHeight="1">
      <c r="A457" s="100" t="n"/>
      <c r="B457" s="101" t="n"/>
      <c r="C457" s="102" t="n"/>
      <c r="D457" s="99" t="n"/>
      <c r="E457" s="95" t="n"/>
      <c r="F457" s="95" t="n"/>
      <c r="G457" s="94" t="n"/>
      <c r="H457" s="46" t="n"/>
      <c r="I457" s="46" t="n"/>
      <c r="J457" s="46" t="n"/>
      <c r="K457" s="46" t="n"/>
      <c r="L457" s="95" t="n"/>
      <c r="M457" s="95" t="n"/>
      <c r="N457" s="95" t="n"/>
      <c r="O457" s="95" t="n"/>
      <c r="P457" s="95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  <c r="Z457" s="46" t="n"/>
    </row>
    <row r="458" ht="12.75" customHeight="1">
      <c r="A458" s="100" t="n"/>
      <c r="B458" s="101" t="n"/>
      <c r="C458" s="102" t="n"/>
      <c r="D458" s="99" t="n"/>
      <c r="E458" s="95" t="n"/>
      <c r="F458" s="95" t="n"/>
      <c r="G458" s="94" t="n"/>
      <c r="H458" s="46" t="n"/>
      <c r="I458" s="46" t="n"/>
      <c r="J458" s="46" t="n"/>
      <c r="K458" s="46" t="n"/>
      <c r="L458" s="95" t="n"/>
      <c r="M458" s="95" t="n"/>
      <c r="N458" s="95" t="n"/>
      <c r="O458" s="95" t="n"/>
      <c r="P458" s="95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  <c r="Z458" s="46" t="n"/>
    </row>
    <row r="459" ht="12.75" customHeight="1">
      <c r="A459" s="100" t="n"/>
      <c r="B459" s="101" t="n"/>
      <c r="C459" s="102" t="n"/>
      <c r="D459" s="99" t="n"/>
      <c r="E459" s="95" t="n"/>
      <c r="F459" s="95" t="n"/>
      <c r="G459" s="94" t="n"/>
      <c r="H459" s="46" t="n"/>
      <c r="I459" s="46" t="n"/>
      <c r="J459" s="46" t="n"/>
      <c r="K459" s="46" t="n"/>
      <c r="L459" s="95" t="n"/>
      <c r="M459" s="95" t="n"/>
      <c r="N459" s="95" t="n"/>
      <c r="O459" s="95" t="n"/>
      <c r="P459" s="95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  <c r="Z459" s="46" t="n"/>
    </row>
    <row r="460" ht="12.75" customHeight="1">
      <c r="A460" s="100" t="n"/>
      <c r="B460" s="101" t="n"/>
      <c r="C460" s="102" t="n"/>
      <c r="D460" s="99" t="n"/>
      <c r="E460" s="95" t="n"/>
      <c r="F460" s="95" t="n"/>
      <c r="G460" s="94" t="n"/>
      <c r="H460" s="46" t="n"/>
      <c r="I460" s="46" t="n"/>
      <c r="J460" s="46" t="n"/>
      <c r="K460" s="46" t="n"/>
      <c r="L460" s="95" t="n"/>
      <c r="M460" s="95" t="n"/>
      <c r="N460" s="95" t="n"/>
      <c r="O460" s="95" t="n"/>
      <c r="P460" s="95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  <c r="Z460" s="46" t="n"/>
    </row>
    <row r="461" ht="12.75" customHeight="1">
      <c r="A461" s="100" t="n"/>
      <c r="B461" s="101" t="n"/>
      <c r="C461" s="102" t="n"/>
      <c r="D461" s="99" t="n"/>
      <c r="E461" s="95" t="n"/>
      <c r="F461" s="95" t="n"/>
      <c r="G461" s="94" t="n"/>
      <c r="H461" s="46" t="n"/>
      <c r="I461" s="46" t="n"/>
      <c r="J461" s="46" t="n"/>
      <c r="K461" s="46" t="n"/>
      <c r="L461" s="95" t="n"/>
      <c r="M461" s="95" t="n"/>
      <c r="N461" s="95" t="n"/>
      <c r="O461" s="95" t="n"/>
      <c r="P461" s="95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  <c r="Z461" s="46" t="n"/>
    </row>
    <row r="462" ht="12.75" customHeight="1">
      <c r="A462" s="100" t="n"/>
      <c r="B462" s="101" t="n"/>
      <c r="C462" s="102" t="n"/>
      <c r="D462" s="99" t="n"/>
      <c r="E462" s="95" t="n"/>
      <c r="F462" s="95" t="n"/>
      <c r="G462" s="94" t="n"/>
      <c r="H462" s="46" t="n"/>
      <c r="I462" s="46" t="n"/>
      <c r="J462" s="46" t="n"/>
      <c r="K462" s="46" t="n"/>
      <c r="L462" s="95" t="n"/>
      <c r="M462" s="95" t="n"/>
      <c r="N462" s="95" t="n"/>
      <c r="O462" s="95" t="n"/>
      <c r="P462" s="95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  <c r="Z462" s="46" t="n"/>
    </row>
    <row r="463" ht="12.75" customHeight="1">
      <c r="A463" s="100" t="n"/>
      <c r="B463" s="101" t="n"/>
      <c r="C463" s="102" t="n"/>
      <c r="D463" s="99" t="n"/>
      <c r="E463" s="95" t="n"/>
      <c r="F463" s="95" t="n"/>
      <c r="G463" s="94" t="n"/>
      <c r="H463" s="46" t="n"/>
      <c r="I463" s="46" t="n"/>
      <c r="J463" s="46" t="n"/>
      <c r="K463" s="46" t="n"/>
      <c r="L463" s="95" t="n"/>
      <c r="M463" s="95" t="n"/>
      <c r="N463" s="95" t="n"/>
      <c r="O463" s="95" t="n"/>
      <c r="P463" s="95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  <c r="Z463" s="46" t="n"/>
    </row>
    <row r="464" ht="12.75" customHeight="1">
      <c r="A464" s="100" t="n"/>
      <c r="B464" s="101" t="n"/>
      <c r="C464" s="102" t="n"/>
      <c r="D464" s="99" t="n"/>
      <c r="E464" s="95" t="n"/>
      <c r="F464" s="95" t="n"/>
      <c r="G464" s="94" t="n"/>
      <c r="H464" s="46" t="n"/>
      <c r="I464" s="46" t="n"/>
      <c r="J464" s="46" t="n"/>
      <c r="K464" s="46" t="n"/>
      <c r="L464" s="95" t="n"/>
      <c r="M464" s="95" t="n"/>
      <c r="N464" s="95" t="n"/>
      <c r="O464" s="95" t="n"/>
      <c r="P464" s="95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  <c r="Z464" s="46" t="n"/>
    </row>
    <row r="465" ht="12.75" customHeight="1">
      <c r="A465" s="100" t="n"/>
      <c r="B465" s="101" t="n"/>
      <c r="C465" s="102" t="n"/>
      <c r="D465" s="99" t="n"/>
      <c r="E465" s="95" t="n"/>
      <c r="F465" s="95" t="n"/>
      <c r="G465" s="94" t="n"/>
      <c r="H465" s="46" t="n"/>
      <c r="I465" s="46" t="n"/>
      <c r="J465" s="46" t="n"/>
      <c r="K465" s="46" t="n"/>
      <c r="L465" s="95" t="n"/>
      <c r="M465" s="95" t="n"/>
      <c r="N465" s="95" t="n"/>
      <c r="O465" s="95" t="n"/>
      <c r="P465" s="95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  <c r="Z465" s="46" t="n"/>
    </row>
    <row r="466" ht="12.75" customHeight="1">
      <c r="A466" s="100" t="n"/>
      <c r="B466" s="101" t="n"/>
      <c r="C466" s="102" t="n"/>
      <c r="D466" s="99" t="n"/>
      <c r="E466" s="95" t="n"/>
      <c r="F466" s="95" t="n"/>
      <c r="G466" s="94" t="n"/>
      <c r="H466" s="46" t="n"/>
      <c r="I466" s="46" t="n"/>
      <c r="J466" s="46" t="n"/>
      <c r="K466" s="46" t="n"/>
      <c r="L466" s="95" t="n"/>
      <c r="M466" s="95" t="n"/>
      <c r="N466" s="95" t="n"/>
      <c r="O466" s="95" t="n"/>
      <c r="P466" s="95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  <c r="Z466" s="46" t="n"/>
    </row>
    <row r="467" ht="12.75" customHeight="1">
      <c r="A467" s="100" t="n"/>
      <c r="B467" s="101" t="n"/>
      <c r="C467" s="102" t="n"/>
      <c r="D467" s="99" t="n"/>
      <c r="E467" s="95" t="n"/>
      <c r="F467" s="95" t="n"/>
      <c r="G467" s="94" t="n"/>
      <c r="H467" s="46" t="n"/>
      <c r="I467" s="46" t="n"/>
      <c r="J467" s="46" t="n"/>
      <c r="K467" s="46" t="n"/>
      <c r="L467" s="95" t="n"/>
      <c r="M467" s="95" t="n"/>
      <c r="N467" s="95" t="n"/>
      <c r="O467" s="95" t="n"/>
      <c r="P467" s="95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  <c r="Z467" s="46" t="n"/>
    </row>
    <row r="468" ht="12.75" customHeight="1">
      <c r="A468" s="100" t="n"/>
      <c r="B468" s="101" t="n"/>
      <c r="C468" s="102" t="n"/>
      <c r="D468" s="99" t="n"/>
      <c r="E468" s="95" t="n"/>
      <c r="F468" s="95" t="n"/>
      <c r="G468" s="94" t="n"/>
      <c r="H468" s="46" t="n"/>
      <c r="I468" s="46" t="n"/>
      <c r="J468" s="46" t="n"/>
      <c r="K468" s="46" t="n"/>
      <c r="L468" s="95" t="n"/>
      <c r="M468" s="95" t="n"/>
      <c r="N468" s="95" t="n"/>
      <c r="O468" s="95" t="n"/>
      <c r="P468" s="95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  <c r="Z468" s="46" t="n"/>
    </row>
    <row r="469" ht="12.75" customHeight="1">
      <c r="A469" s="100" t="n"/>
      <c r="B469" s="101" t="n"/>
      <c r="C469" s="102" t="n"/>
      <c r="D469" s="99" t="n"/>
      <c r="E469" s="95" t="n"/>
      <c r="F469" s="95" t="n"/>
      <c r="G469" s="94" t="n"/>
      <c r="H469" s="46" t="n"/>
      <c r="I469" s="46" t="n"/>
      <c r="J469" s="46" t="n"/>
      <c r="K469" s="46" t="n"/>
      <c r="L469" s="95" t="n"/>
      <c r="M469" s="95" t="n"/>
      <c r="N469" s="95" t="n"/>
      <c r="O469" s="95" t="n"/>
      <c r="P469" s="95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  <c r="Z469" s="46" t="n"/>
    </row>
    <row r="470" ht="12.75" customHeight="1">
      <c r="A470" s="100" t="n"/>
      <c r="B470" s="101" t="n"/>
      <c r="C470" s="102" t="n"/>
      <c r="D470" s="99" t="n"/>
      <c r="E470" s="95" t="n"/>
      <c r="F470" s="95" t="n"/>
      <c r="G470" s="94" t="n"/>
      <c r="H470" s="46" t="n"/>
      <c r="I470" s="46" t="n"/>
      <c r="J470" s="46" t="n"/>
      <c r="K470" s="46" t="n"/>
      <c r="L470" s="95" t="n"/>
      <c r="M470" s="95" t="n"/>
      <c r="N470" s="95" t="n"/>
      <c r="O470" s="95" t="n"/>
      <c r="P470" s="95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  <c r="Z470" s="46" t="n"/>
    </row>
    <row r="471" ht="12.75" customHeight="1">
      <c r="A471" s="100" t="n"/>
      <c r="B471" s="101" t="n"/>
      <c r="C471" s="102" t="n"/>
      <c r="D471" s="99" t="n"/>
      <c r="E471" s="95" t="n"/>
      <c r="F471" s="95" t="n"/>
      <c r="G471" s="94" t="n"/>
      <c r="H471" s="46" t="n"/>
      <c r="I471" s="46" t="n"/>
      <c r="J471" s="46" t="n"/>
      <c r="K471" s="46" t="n"/>
      <c r="L471" s="95" t="n"/>
      <c r="M471" s="95" t="n"/>
      <c r="N471" s="95" t="n"/>
      <c r="O471" s="95" t="n"/>
      <c r="P471" s="95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  <c r="Z471" s="46" t="n"/>
    </row>
    <row r="472" ht="12.75" customHeight="1">
      <c r="A472" s="100" t="n"/>
      <c r="B472" s="101" t="n"/>
      <c r="C472" s="102" t="n"/>
      <c r="D472" s="99" t="n"/>
      <c r="E472" s="95" t="n"/>
      <c r="F472" s="95" t="n"/>
      <c r="G472" s="94" t="n"/>
      <c r="H472" s="46" t="n"/>
      <c r="I472" s="46" t="n"/>
      <c r="J472" s="46" t="n"/>
      <c r="K472" s="46" t="n"/>
      <c r="L472" s="95" t="n"/>
      <c r="M472" s="95" t="n"/>
      <c r="N472" s="95" t="n"/>
      <c r="O472" s="95" t="n"/>
      <c r="P472" s="95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  <c r="Z472" s="46" t="n"/>
    </row>
    <row r="473" ht="12.75" customHeight="1">
      <c r="A473" s="100" t="n"/>
      <c r="B473" s="101" t="n"/>
      <c r="C473" s="102" t="n"/>
      <c r="D473" s="99" t="n"/>
      <c r="E473" s="95" t="n"/>
      <c r="F473" s="95" t="n"/>
      <c r="G473" s="94" t="n"/>
      <c r="H473" s="46" t="n"/>
      <c r="I473" s="46" t="n"/>
      <c r="J473" s="46" t="n"/>
      <c r="K473" s="46" t="n"/>
      <c r="L473" s="95" t="n"/>
      <c r="M473" s="95" t="n"/>
      <c r="N473" s="95" t="n"/>
      <c r="O473" s="95" t="n"/>
      <c r="P473" s="95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  <c r="Z473" s="46" t="n"/>
    </row>
    <row r="474" ht="12.75" customHeight="1">
      <c r="A474" s="100" t="n"/>
      <c r="B474" s="101" t="n"/>
      <c r="C474" s="102" t="n"/>
      <c r="D474" s="99" t="n"/>
      <c r="E474" s="95" t="n"/>
      <c r="F474" s="95" t="n"/>
      <c r="G474" s="94" t="n"/>
      <c r="H474" s="46" t="n"/>
      <c r="I474" s="46" t="n"/>
      <c r="J474" s="46" t="n"/>
      <c r="K474" s="46" t="n"/>
      <c r="L474" s="95" t="n"/>
      <c r="M474" s="95" t="n"/>
      <c r="N474" s="95" t="n"/>
      <c r="O474" s="95" t="n"/>
      <c r="P474" s="95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  <c r="Z474" s="46" t="n"/>
    </row>
    <row r="475" ht="12.75" customHeight="1">
      <c r="A475" s="100" t="n"/>
      <c r="B475" s="101" t="n"/>
      <c r="C475" s="102" t="n"/>
      <c r="D475" s="99" t="n"/>
      <c r="E475" s="95" t="n"/>
      <c r="F475" s="95" t="n"/>
      <c r="G475" s="94" t="n"/>
      <c r="H475" s="46" t="n"/>
      <c r="I475" s="46" t="n"/>
      <c r="J475" s="46" t="n"/>
      <c r="K475" s="46" t="n"/>
      <c r="L475" s="95" t="n"/>
      <c r="M475" s="95" t="n"/>
      <c r="N475" s="95" t="n"/>
      <c r="O475" s="95" t="n"/>
      <c r="P475" s="95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  <c r="Z475" s="46" t="n"/>
    </row>
    <row r="476" ht="12.75" customHeight="1">
      <c r="A476" s="100" t="n"/>
      <c r="B476" s="101" t="n"/>
      <c r="C476" s="102" t="n"/>
      <c r="D476" s="99" t="n"/>
      <c r="E476" s="95" t="n"/>
      <c r="F476" s="95" t="n"/>
      <c r="G476" s="94" t="n"/>
      <c r="H476" s="46" t="n"/>
      <c r="I476" s="46" t="n"/>
      <c r="J476" s="46" t="n"/>
      <c r="K476" s="46" t="n"/>
      <c r="L476" s="95" t="n"/>
      <c r="M476" s="95" t="n"/>
      <c r="N476" s="95" t="n"/>
      <c r="O476" s="95" t="n"/>
      <c r="P476" s="95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  <c r="Z476" s="46" t="n"/>
    </row>
    <row r="477" ht="12.75" customHeight="1">
      <c r="A477" s="100" t="n"/>
      <c r="B477" s="101" t="n"/>
      <c r="C477" s="102" t="n"/>
      <c r="D477" s="99" t="n"/>
      <c r="E477" s="95" t="n"/>
      <c r="F477" s="95" t="n"/>
      <c r="G477" s="94" t="n"/>
      <c r="H477" s="46" t="n"/>
      <c r="I477" s="46" t="n"/>
      <c r="J477" s="46" t="n"/>
      <c r="K477" s="46" t="n"/>
      <c r="L477" s="95" t="n"/>
      <c r="M477" s="95" t="n"/>
      <c r="N477" s="95" t="n"/>
      <c r="O477" s="95" t="n"/>
      <c r="P477" s="95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  <c r="Z477" s="46" t="n"/>
    </row>
    <row r="478" ht="12.75" customHeight="1">
      <c r="A478" s="100" t="n"/>
      <c r="B478" s="101" t="n"/>
      <c r="C478" s="102" t="n"/>
      <c r="D478" s="99" t="n"/>
      <c r="E478" s="95" t="n"/>
      <c r="F478" s="95" t="n"/>
      <c r="G478" s="94" t="n"/>
      <c r="H478" s="46" t="n"/>
      <c r="I478" s="46" t="n"/>
      <c r="J478" s="46" t="n"/>
      <c r="K478" s="46" t="n"/>
      <c r="L478" s="95" t="n"/>
      <c r="M478" s="95" t="n"/>
      <c r="N478" s="95" t="n"/>
      <c r="O478" s="95" t="n"/>
      <c r="P478" s="95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  <c r="Z478" s="46" t="n"/>
    </row>
    <row r="479" ht="12.75" customHeight="1">
      <c r="A479" s="100" t="n"/>
      <c r="B479" s="101" t="n"/>
      <c r="C479" s="102" t="n"/>
      <c r="D479" s="99" t="n"/>
      <c r="E479" s="95" t="n"/>
      <c r="F479" s="95" t="n"/>
      <c r="G479" s="94" t="n"/>
      <c r="H479" s="46" t="n"/>
      <c r="I479" s="46" t="n"/>
      <c r="J479" s="46" t="n"/>
      <c r="K479" s="46" t="n"/>
      <c r="L479" s="95" t="n"/>
      <c r="M479" s="95" t="n"/>
      <c r="N479" s="95" t="n"/>
      <c r="O479" s="95" t="n"/>
      <c r="P479" s="95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  <c r="Z479" s="46" t="n"/>
    </row>
    <row r="480" ht="12.75" customHeight="1">
      <c r="A480" s="100" t="n"/>
      <c r="B480" s="101" t="n"/>
      <c r="C480" s="102" t="n"/>
      <c r="D480" s="99" t="n"/>
      <c r="E480" s="95" t="n"/>
      <c r="F480" s="95" t="n"/>
      <c r="G480" s="94" t="n"/>
      <c r="H480" s="46" t="n"/>
      <c r="I480" s="46" t="n"/>
      <c r="J480" s="46" t="n"/>
      <c r="K480" s="46" t="n"/>
      <c r="L480" s="95" t="n"/>
      <c r="M480" s="95" t="n"/>
      <c r="N480" s="95" t="n"/>
      <c r="O480" s="95" t="n"/>
      <c r="P480" s="95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  <c r="Z480" s="46" t="n"/>
    </row>
    <row r="481" ht="12.75" customHeight="1">
      <c r="A481" s="100" t="n"/>
      <c r="B481" s="101" t="n"/>
      <c r="C481" s="102" t="n"/>
      <c r="D481" s="99" t="n"/>
      <c r="E481" s="95" t="n"/>
      <c r="F481" s="95" t="n"/>
      <c r="G481" s="94" t="n"/>
      <c r="H481" s="46" t="n"/>
      <c r="I481" s="46" t="n"/>
      <c r="J481" s="46" t="n"/>
      <c r="K481" s="46" t="n"/>
      <c r="L481" s="95" t="n"/>
      <c r="M481" s="95" t="n"/>
      <c r="N481" s="95" t="n"/>
      <c r="O481" s="95" t="n"/>
      <c r="P481" s="95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  <c r="Z481" s="46" t="n"/>
    </row>
    <row r="482" ht="12.75" customHeight="1">
      <c r="A482" s="100" t="n"/>
      <c r="B482" s="101" t="n"/>
      <c r="C482" s="102" t="n"/>
      <c r="D482" s="99" t="n"/>
      <c r="E482" s="95" t="n"/>
      <c r="F482" s="95" t="n"/>
      <c r="G482" s="94" t="n"/>
      <c r="H482" s="46" t="n"/>
      <c r="I482" s="46" t="n"/>
      <c r="J482" s="46" t="n"/>
      <c r="K482" s="46" t="n"/>
      <c r="L482" s="95" t="n"/>
      <c r="M482" s="95" t="n"/>
      <c r="N482" s="95" t="n"/>
      <c r="O482" s="95" t="n"/>
      <c r="P482" s="95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  <c r="Z482" s="46" t="n"/>
    </row>
    <row r="483" ht="12.75" customHeight="1">
      <c r="A483" s="100" t="n"/>
      <c r="B483" s="101" t="n"/>
      <c r="C483" s="102" t="n"/>
      <c r="D483" s="99" t="n"/>
      <c r="E483" s="95" t="n"/>
      <c r="F483" s="95" t="n"/>
      <c r="G483" s="94" t="n"/>
      <c r="H483" s="46" t="n"/>
      <c r="I483" s="46" t="n"/>
      <c r="J483" s="46" t="n"/>
      <c r="K483" s="46" t="n"/>
      <c r="L483" s="95" t="n"/>
      <c r="M483" s="95" t="n"/>
      <c r="N483" s="95" t="n"/>
      <c r="O483" s="95" t="n"/>
      <c r="P483" s="95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  <c r="Z483" s="46" t="n"/>
    </row>
    <row r="484" ht="12.75" customHeight="1">
      <c r="A484" s="100" t="n"/>
      <c r="B484" s="101" t="n"/>
      <c r="C484" s="102" t="n"/>
      <c r="D484" s="99" t="n"/>
      <c r="E484" s="95" t="n"/>
      <c r="F484" s="95" t="n"/>
      <c r="G484" s="94" t="n"/>
      <c r="H484" s="46" t="n"/>
      <c r="I484" s="46" t="n"/>
      <c r="J484" s="46" t="n"/>
      <c r="K484" s="46" t="n"/>
      <c r="L484" s="95" t="n"/>
      <c r="M484" s="95" t="n"/>
      <c r="N484" s="95" t="n"/>
      <c r="O484" s="95" t="n"/>
      <c r="P484" s="95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  <c r="Z484" s="46" t="n"/>
    </row>
    <row r="485" ht="12.75" customHeight="1">
      <c r="A485" s="100" t="n"/>
      <c r="B485" s="101" t="n"/>
      <c r="C485" s="102" t="n"/>
      <c r="D485" s="99" t="n"/>
      <c r="E485" s="95" t="n"/>
      <c r="F485" s="95" t="n"/>
      <c r="G485" s="94" t="n"/>
      <c r="H485" s="46" t="n"/>
      <c r="I485" s="46" t="n"/>
      <c r="J485" s="46" t="n"/>
      <c r="K485" s="46" t="n"/>
      <c r="L485" s="95" t="n"/>
      <c r="M485" s="95" t="n"/>
      <c r="N485" s="95" t="n"/>
      <c r="O485" s="95" t="n"/>
      <c r="P485" s="95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  <c r="Z485" s="46" t="n"/>
    </row>
    <row r="486" ht="12.75" customHeight="1">
      <c r="A486" s="100" t="n"/>
      <c r="B486" s="101" t="n"/>
      <c r="C486" s="102" t="n"/>
      <c r="D486" s="99" t="n"/>
      <c r="E486" s="95" t="n"/>
      <c r="F486" s="95" t="n"/>
      <c r="G486" s="94" t="n"/>
      <c r="H486" s="46" t="n"/>
      <c r="I486" s="46" t="n"/>
      <c r="J486" s="46" t="n"/>
      <c r="K486" s="46" t="n"/>
      <c r="L486" s="95" t="n"/>
      <c r="M486" s="95" t="n"/>
      <c r="N486" s="95" t="n"/>
      <c r="O486" s="95" t="n"/>
      <c r="P486" s="95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  <c r="Z486" s="46" t="n"/>
    </row>
    <row r="487" ht="12.75" customHeight="1">
      <c r="A487" s="100" t="n"/>
      <c r="B487" s="101" t="n"/>
      <c r="C487" s="102" t="n"/>
      <c r="D487" s="99" t="n"/>
      <c r="E487" s="95" t="n"/>
      <c r="F487" s="95" t="n"/>
      <c r="G487" s="94" t="n"/>
      <c r="H487" s="46" t="n"/>
      <c r="I487" s="46" t="n"/>
      <c r="J487" s="46" t="n"/>
      <c r="K487" s="46" t="n"/>
      <c r="L487" s="95" t="n"/>
      <c r="M487" s="95" t="n"/>
      <c r="N487" s="95" t="n"/>
      <c r="O487" s="95" t="n"/>
      <c r="P487" s="95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  <c r="Z487" s="46" t="n"/>
    </row>
    <row r="488" ht="12.75" customHeight="1">
      <c r="A488" s="100" t="n"/>
      <c r="B488" s="101" t="n"/>
      <c r="C488" s="102" t="n"/>
      <c r="D488" s="99" t="n"/>
      <c r="E488" s="95" t="n"/>
      <c r="F488" s="95" t="n"/>
      <c r="G488" s="94" t="n"/>
      <c r="H488" s="46" t="n"/>
      <c r="I488" s="46" t="n"/>
      <c r="J488" s="46" t="n"/>
      <c r="K488" s="46" t="n"/>
      <c r="L488" s="95" t="n"/>
      <c r="M488" s="95" t="n"/>
      <c r="N488" s="95" t="n"/>
      <c r="O488" s="95" t="n"/>
      <c r="P488" s="95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  <c r="Z488" s="46" t="n"/>
    </row>
    <row r="489" ht="12.75" customHeight="1">
      <c r="A489" s="100" t="n"/>
      <c r="B489" s="101" t="n"/>
      <c r="C489" s="102" t="n"/>
      <c r="D489" s="99" t="n"/>
      <c r="E489" s="95" t="n"/>
      <c r="F489" s="95" t="n"/>
      <c r="G489" s="94" t="n"/>
      <c r="H489" s="46" t="n"/>
      <c r="I489" s="46" t="n"/>
      <c r="J489" s="46" t="n"/>
      <c r="K489" s="46" t="n"/>
      <c r="L489" s="95" t="n"/>
      <c r="M489" s="95" t="n"/>
      <c r="N489" s="95" t="n"/>
      <c r="O489" s="95" t="n"/>
      <c r="P489" s="95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  <c r="Z489" s="46" t="n"/>
    </row>
    <row r="490" ht="12.75" customHeight="1">
      <c r="A490" s="100" t="n"/>
      <c r="B490" s="101" t="n"/>
      <c r="C490" s="102" t="n"/>
      <c r="D490" s="99" t="n"/>
      <c r="E490" s="95" t="n"/>
      <c r="F490" s="95" t="n"/>
      <c r="G490" s="94" t="n"/>
      <c r="H490" s="46" t="n"/>
      <c r="I490" s="46" t="n"/>
      <c r="J490" s="46" t="n"/>
      <c r="K490" s="46" t="n"/>
      <c r="L490" s="95" t="n"/>
      <c r="M490" s="95" t="n"/>
      <c r="N490" s="95" t="n"/>
      <c r="O490" s="95" t="n"/>
      <c r="P490" s="95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  <c r="Z490" s="46" t="n"/>
    </row>
    <row r="491" ht="12.75" customHeight="1">
      <c r="A491" s="100" t="n"/>
      <c r="B491" s="101" t="n"/>
      <c r="C491" s="102" t="n"/>
      <c r="D491" s="99" t="n"/>
      <c r="E491" s="95" t="n"/>
      <c r="F491" s="95" t="n"/>
      <c r="G491" s="94" t="n"/>
      <c r="H491" s="46" t="n"/>
      <c r="I491" s="46" t="n"/>
      <c r="J491" s="46" t="n"/>
      <c r="K491" s="46" t="n"/>
      <c r="L491" s="95" t="n"/>
      <c r="M491" s="95" t="n"/>
      <c r="N491" s="95" t="n"/>
      <c r="O491" s="95" t="n"/>
      <c r="P491" s="95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  <c r="Z491" s="46" t="n"/>
    </row>
    <row r="492" ht="12.75" customHeight="1">
      <c r="A492" s="100" t="n"/>
      <c r="B492" s="101" t="n"/>
      <c r="C492" s="102" t="n"/>
      <c r="D492" s="99" t="n"/>
      <c r="E492" s="95" t="n"/>
      <c r="F492" s="95" t="n"/>
      <c r="G492" s="94" t="n"/>
      <c r="H492" s="46" t="n"/>
      <c r="I492" s="46" t="n"/>
      <c r="J492" s="46" t="n"/>
      <c r="K492" s="46" t="n"/>
      <c r="L492" s="95" t="n"/>
      <c r="M492" s="95" t="n"/>
      <c r="N492" s="95" t="n"/>
      <c r="O492" s="95" t="n"/>
      <c r="P492" s="95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  <c r="Z492" s="46" t="n"/>
    </row>
    <row r="493" ht="12.75" customHeight="1">
      <c r="A493" s="100" t="n"/>
      <c r="B493" s="101" t="n"/>
      <c r="C493" s="102" t="n"/>
      <c r="D493" s="99" t="n"/>
      <c r="E493" s="95" t="n"/>
      <c r="F493" s="95" t="n"/>
      <c r="G493" s="94" t="n"/>
      <c r="H493" s="46" t="n"/>
      <c r="I493" s="46" t="n"/>
      <c r="J493" s="46" t="n"/>
      <c r="K493" s="46" t="n"/>
      <c r="L493" s="95" t="n"/>
      <c r="M493" s="95" t="n"/>
      <c r="N493" s="95" t="n"/>
      <c r="O493" s="95" t="n"/>
      <c r="P493" s="95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  <c r="Z493" s="46" t="n"/>
    </row>
    <row r="494" ht="12.75" customHeight="1">
      <c r="A494" s="100" t="n"/>
      <c r="B494" s="101" t="n"/>
      <c r="C494" s="102" t="n"/>
      <c r="D494" s="99" t="n"/>
      <c r="E494" s="95" t="n"/>
      <c r="F494" s="95" t="n"/>
      <c r="G494" s="94" t="n"/>
      <c r="H494" s="46" t="n"/>
      <c r="I494" s="46" t="n"/>
      <c r="J494" s="46" t="n"/>
      <c r="K494" s="46" t="n"/>
      <c r="L494" s="95" t="n"/>
      <c r="M494" s="95" t="n"/>
      <c r="N494" s="95" t="n"/>
      <c r="O494" s="95" t="n"/>
      <c r="P494" s="95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  <c r="Z494" s="46" t="n"/>
    </row>
    <row r="495" ht="12.75" customHeight="1">
      <c r="A495" s="100" t="n"/>
      <c r="B495" s="101" t="n"/>
      <c r="C495" s="102" t="n"/>
      <c r="D495" s="99" t="n"/>
      <c r="E495" s="95" t="n"/>
      <c r="F495" s="95" t="n"/>
      <c r="G495" s="94" t="n"/>
      <c r="H495" s="46" t="n"/>
      <c r="I495" s="46" t="n"/>
      <c r="J495" s="46" t="n"/>
      <c r="K495" s="46" t="n"/>
      <c r="L495" s="95" t="n"/>
      <c r="M495" s="95" t="n"/>
      <c r="N495" s="95" t="n"/>
      <c r="O495" s="95" t="n"/>
      <c r="P495" s="95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  <c r="Z495" s="46" t="n"/>
    </row>
    <row r="496" ht="12.75" customHeight="1">
      <c r="A496" s="100" t="n"/>
      <c r="B496" s="101" t="n"/>
      <c r="C496" s="102" t="n"/>
      <c r="D496" s="99" t="n"/>
      <c r="E496" s="95" t="n"/>
      <c r="F496" s="95" t="n"/>
      <c r="G496" s="94" t="n"/>
      <c r="H496" s="46" t="n"/>
      <c r="I496" s="46" t="n"/>
      <c r="J496" s="46" t="n"/>
      <c r="K496" s="46" t="n"/>
      <c r="L496" s="95" t="n"/>
      <c r="M496" s="95" t="n"/>
      <c r="N496" s="95" t="n"/>
      <c r="O496" s="95" t="n"/>
      <c r="P496" s="95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  <c r="Z496" s="46" t="n"/>
    </row>
    <row r="497" ht="12.75" customHeight="1">
      <c r="A497" s="100" t="n"/>
      <c r="B497" s="101" t="n"/>
      <c r="C497" s="102" t="n"/>
      <c r="D497" s="99" t="n"/>
      <c r="E497" s="95" t="n"/>
      <c r="F497" s="95" t="n"/>
      <c r="G497" s="94" t="n"/>
      <c r="H497" s="46" t="n"/>
      <c r="I497" s="46" t="n"/>
      <c r="J497" s="46" t="n"/>
      <c r="K497" s="46" t="n"/>
      <c r="L497" s="95" t="n"/>
      <c r="M497" s="95" t="n"/>
      <c r="N497" s="95" t="n"/>
      <c r="O497" s="95" t="n"/>
      <c r="P497" s="95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  <c r="Z497" s="46" t="n"/>
    </row>
    <row r="498" ht="12.75" customHeight="1">
      <c r="A498" s="100" t="n"/>
      <c r="B498" s="101" t="n"/>
      <c r="C498" s="102" t="n"/>
      <c r="D498" s="99" t="n"/>
      <c r="E498" s="95" t="n"/>
      <c r="F498" s="95" t="n"/>
      <c r="G498" s="94" t="n"/>
      <c r="H498" s="46" t="n"/>
      <c r="I498" s="46" t="n"/>
      <c r="J498" s="46" t="n"/>
      <c r="K498" s="46" t="n"/>
      <c r="L498" s="95" t="n"/>
      <c r="M498" s="95" t="n"/>
      <c r="N498" s="95" t="n"/>
      <c r="O498" s="95" t="n"/>
      <c r="P498" s="95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  <c r="Z498" s="46" t="n"/>
    </row>
    <row r="499" ht="12.75" customHeight="1">
      <c r="A499" s="100" t="n"/>
      <c r="B499" s="101" t="n"/>
      <c r="C499" s="102" t="n"/>
      <c r="D499" s="99" t="n"/>
      <c r="E499" s="95" t="n"/>
      <c r="F499" s="95" t="n"/>
      <c r="G499" s="94" t="n"/>
      <c r="H499" s="46" t="n"/>
      <c r="I499" s="46" t="n"/>
      <c r="J499" s="46" t="n"/>
      <c r="K499" s="46" t="n"/>
      <c r="L499" s="95" t="n"/>
      <c r="M499" s="95" t="n"/>
      <c r="N499" s="95" t="n"/>
      <c r="O499" s="95" t="n"/>
      <c r="P499" s="95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  <c r="Z499" s="46" t="n"/>
    </row>
    <row r="500" ht="12.75" customHeight="1">
      <c r="A500" s="100" t="n"/>
      <c r="B500" s="101" t="n"/>
      <c r="C500" s="102" t="n"/>
      <c r="D500" s="99" t="n"/>
      <c r="E500" s="95" t="n"/>
      <c r="F500" s="95" t="n"/>
      <c r="G500" s="94" t="n"/>
      <c r="H500" s="46" t="n"/>
      <c r="I500" s="46" t="n"/>
      <c r="J500" s="46" t="n"/>
      <c r="K500" s="46" t="n"/>
      <c r="L500" s="95" t="n"/>
      <c r="M500" s="95" t="n"/>
      <c r="N500" s="95" t="n"/>
      <c r="O500" s="95" t="n"/>
      <c r="P500" s="95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  <c r="Z500" s="46" t="n"/>
    </row>
    <row r="501" ht="12.75" customHeight="1">
      <c r="A501" s="100" t="n"/>
      <c r="B501" s="101" t="n"/>
      <c r="C501" s="102" t="n"/>
      <c r="D501" s="99" t="n"/>
      <c r="E501" s="95" t="n"/>
      <c r="F501" s="95" t="n"/>
      <c r="G501" s="94" t="n"/>
      <c r="H501" s="46" t="n"/>
      <c r="I501" s="46" t="n"/>
      <c r="J501" s="46" t="n"/>
      <c r="K501" s="46" t="n"/>
      <c r="L501" s="95" t="n"/>
      <c r="M501" s="95" t="n"/>
      <c r="N501" s="95" t="n"/>
      <c r="O501" s="95" t="n"/>
      <c r="P501" s="95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  <c r="Z501" s="46" t="n"/>
    </row>
    <row r="502" ht="12.75" customHeight="1">
      <c r="A502" s="100" t="n"/>
      <c r="B502" s="101" t="n"/>
      <c r="C502" s="102" t="n"/>
      <c r="D502" s="99" t="n"/>
      <c r="E502" s="95" t="n"/>
      <c r="F502" s="95" t="n"/>
      <c r="G502" s="94" t="n"/>
      <c r="H502" s="46" t="n"/>
      <c r="I502" s="46" t="n"/>
      <c r="J502" s="46" t="n"/>
      <c r="K502" s="46" t="n"/>
      <c r="L502" s="95" t="n"/>
      <c r="M502" s="95" t="n"/>
      <c r="N502" s="95" t="n"/>
      <c r="O502" s="95" t="n"/>
      <c r="P502" s="95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  <c r="Z502" s="46" t="n"/>
    </row>
    <row r="503" ht="12.75" customHeight="1">
      <c r="A503" s="100" t="n"/>
      <c r="B503" s="101" t="n"/>
      <c r="C503" s="102" t="n"/>
      <c r="D503" s="99" t="n"/>
      <c r="E503" s="95" t="n"/>
      <c r="F503" s="95" t="n"/>
      <c r="G503" s="94" t="n"/>
      <c r="H503" s="46" t="n"/>
      <c r="I503" s="46" t="n"/>
      <c r="J503" s="46" t="n"/>
      <c r="K503" s="46" t="n"/>
      <c r="L503" s="95" t="n"/>
      <c r="M503" s="95" t="n"/>
      <c r="N503" s="95" t="n"/>
      <c r="O503" s="95" t="n"/>
      <c r="P503" s="95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  <c r="Z503" s="46" t="n"/>
    </row>
    <row r="504" ht="12.75" customHeight="1">
      <c r="A504" s="100" t="n"/>
      <c r="B504" s="101" t="n"/>
      <c r="C504" s="102" t="n"/>
      <c r="D504" s="99" t="n"/>
      <c r="E504" s="95" t="n"/>
      <c r="F504" s="95" t="n"/>
      <c r="G504" s="94" t="n"/>
      <c r="H504" s="46" t="n"/>
      <c r="I504" s="46" t="n"/>
      <c r="J504" s="46" t="n"/>
      <c r="K504" s="46" t="n"/>
      <c r="L504" s="95" t="n"/>
      <c r="M504" s="95" t="n"/>
      <c r="N504" s="95" t="n"/>
      <c r="O504" s="95" t="n"/>
      <c r="P504" s="95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  <c r="Z504" s="46" t="n"/>
    </row>
    <row r="505" ht="12.75" customHeight="1">
      <c r="A505" s="100" t="n"/>
      <c r="B505" s="101" t="n"/>
      <c r="C505" s="102" t="n"/>
      <c r="D505" s="99" t="n"/>
      <c r="E505" s="95" t="n"/>
      <c r="F505" s="95" t="n"/>
      <c r="G505" s="94" t="n"/>
      <c r="H505" s="46" t="n"/>
      <c r="I505" s="46" t="n"/>
      <c r="J505" s="46" t="n"/>
      <c r="K505" s="46" t="n"/>
      <c r="L505" s="95" t="n"/>
      <c r="M505" s="95" t="n"/>
      <c r="N505" s="95" t="n"/>
      <c r="O505" s="95" t="n"/>
      <c r="P505" s="95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  <c r="Z505" s="46" t="n"/>
    </row>
    <row r="506" ht="12.75" customHeight="1">
      <c r="A506" s="100" t="n"/>
      <c r="B506" s="101" t="n"/>
      <c r="C506" s="102" t="n"/>
      <c r="D506" s="99" t="n"/>
      <c r="E506" s="95" t="n"/>
      <c r="F506" s="95" t="n"/>
      <c r="G506" s="94" t="n"/>
      <c r="H506" s="46" t="n"/>
      <c r="I506" s="46" t="n"/>
      <c r="J506" s="46" t="n"/>
      <c r="K506" s="46" t="n"/>
      <c r="L506" s="95" t="n"/>
      <c r="M506" s="95" t="n"/>
      <c r="N506" s="95" t="n"/>
      <c r="O506" s="95" t="n"/>
      <c r="P506" s="95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  <c r="Z506" s="46" t="n"/>
    </row>
    <row r="507" ht="12.75" customHeight="1">
      <c r="A507" s="100" t="n"/>
      <c r="B507" s="101" t="n"/>
      <c r="C507" s="102" t="n"/>
      <c r="D507" s="99" t="n"/>
      <c r="E507" s="95" t="n"/>
      <c r="F507" s="95" t="n"/>
      <c r="G507" s="94" t="n"/>
      <c r="H507" s="46" t="n"/>
      <c r="I507" s="46" t="n"/>
      <c r="J507" s="46" t="n"/>
      <c r="K507" s="46" t="n"/>
      <c r="L507" s="95" t="n"/>
      <c r="M507" s="95" t="n"/>
      <c r="N507" s="95" t="n"/>
      <c r="O507" s="95" t="n"/>
      <c r="P507" s="95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  <c r="Z507" s="46" t="n"/>
    </row>
    <row r="508" ht="12.75" customHeight="1">
      <c r="A508" s="100" t="n"/>
      <c r="B508" s="101" t="n"/>
      <c r="C508" s="102" t="n"/>
      <c r="D508" s="99" t="n"/>
      <c r="E508" s="95" t="n"/>
      <c r="F508" s="95" t="n"/>
      <c r="G508" s="94" t="n"/>
      <c r="H508" s="46" t="n"/>
      <c r="I508" s="46" t="n"/>
      <c r="J508" s="46" t="n"/>
      <c r="K508" s="46" t="n"/>
      <c r="L508" s="95" t="n"/>
      <c r="M508" s="95" t="n"/>
      <c r="N508" s="95" t="n"/>
      <c r="O508" s="95" t="n"/>
      <c r="P508" s="95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  <c r="Z508" s="46" t="n"/>
    </row>
    <row r="509" ht="12.75" customHeight="1">
      <c r="A509" s="100" t="n"/>
      <c r="B509" s="101" t="n"/>
      <c r="C509" s="102" t="n"/>
      <c r="D509" s="99" t="n"/>
      <c r="E509" s="95" t="n"/>
      <c r="F509" s="95" t="n"/>
      <c r="G509" s="94" t="n"/>
      <c r="H509" s="46" t="n"/>
      <c r="I509" s="46" t="n"/>
      <c r="J509" s="46" t="n"/>
      <c r="K509" s="46" t="n"/>
      <c r="L509" s="95" t="n"/>
      <c r="M509" s="95" t="n"/>
      <c r="N509" s="95" t="n"/>
      <c r="O509" s="95" t="n"/>
      <c r="P509" s="95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  <c r="Z509" s="46" t="n"/>
    </row>
    <row r="510" ht="12.75" customHeight="1">
      <c r="A510" s="100" t="n"/>
      <c r="B510" s="101" t="n"/>
      <c r="C510" s="102" t="n"/>
      <c r="D510" s="99" t="n"/>
      <c r="E510" s="95" t="n"/>
      <c r="F510" s="95" t="n"/>
      <c r="G510" s="94" t="n"/>
      <c r="H510" s="46" t="n"/>
      <c r="I510" s="46" t="n"/>
      <c r="J510" s="46" t="n"/>
      <c r="K510" s="46" t="n"/>
      <c r="L510" s="95" t="n"/>
      <c r="M510" s="95" t="n"/>
      <c r="N510" s="95" t="n"/>
      <c r="O510" s="95" t="n"/>
      <c r="P510" s="95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  <c r="Z510" s="46" t="n"/>
    </row>
    <row r="511" ht="12.75" customHeight="1">
      <c r="A511" s="100" t="n"/>
      <c r="B511" s="101" t="n"/>
      <c r="C511" s="102" t="n"/>
      <c r="D511" s="99" t="n"/>
      <c r="E511" s="95" t="n"/>
      <c r="F511" s="95" t="n"/>
      <c r="G511" s="94" t="n"/>
      <c r="H511" s="46" t="n"/>
      <c r="I511" s="46" t="n"/>
      <c r="J511" s="46" t="n"/>
      <c r="K511" s="46" t="n"/>
      <c r="L511" s="95" t="n"/>
      <c r="M511" s="95" t="n"/>
      <c r="N511" s="95" t="n"/>
      <c r="O511" s="95" t="n"/>
      <c r="P511" s="95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  <c r="Z511" s="46" t="n"/>
    </row>
    <row r="512" ht="12.75" customHeight="1">
      <c r="A512" s="100" t="n"/>
      <c r="B512" s="101" t="n"/>
      <c r="C512" s="102" t="n"/>
      <c r="D512" s="99" t="n"/>
      <c r="E512" s="95" t="n"/>
      <c r="F512" s="95" t="n"/>
      <c r="G512" s="94" t="n"/>
      <c r="H512" s="46" t="n"/>
      <c r="I512" s="46" t="n"/>
      <c r="J512" s="46" t="n"/>
      <c r="K512" s="46" t="n"/>
      <c r="L512" s="95" t="n"/>
      <c r="M512" s="95" t="n"/>
      <c r="N512" s="95" t="n"/>
      <c r="O512" s="95" t="n"/>
      <c r="P512" s="95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  <c r="Z512" s="46" t="n"/>
    </row>
    <row r="513" ht="12.75" customHeight="1">
      <c r="A513" s="100" t="n"/>
      <c r="B513" s="101" t="n"/>
      <c r="C513" s="102" t="n"/>
      <c r="D513" s="99" t="n"/>
      <c r="E513" s="95" t="n"/>
      <c r="F513" s="95" t="n"/>
      <c r="G513" s="94" t="n"/>
      <c r="H513" s="46" t="n"/>
      <c r="I513" s="46" t="n"/>
      <c r="J513" s="46" t="n"/>
      <c r="K513" s="46" t="n"/>
      <c r="L513" s="95" t="n"/>
      <c r="M513" s="95" t="n"/>
      <c r="N513" s="95" t="n"/>
      <c r="O513" s="95" t="n"/>
      <c r="P513" s="95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  <c r="Z513" s="46" t="n"/>
    </row>
    <row r="514" ht="12.75" customHeight="1">
      <c r="A514" s="100" t="n"/>
      <c r="B514" s="101" t="n"/>
      <c r="C514" s="102" t="n"/>
      <c r="D514" s="99" t="n"/>
      <c r="E514" s="95" t="n"/>
      <c r="F514" s="95" t="n"/>
      <c r="G514" s="94" t="n"/>
      <c r="H514" s="46" t="n"/>
      <c r="I514" s="46" t="n"/>
      <c r="J514" s="46" t="n"/>
      <c r="K514" s="46" t="n"/>
      <c r="L514" s="95" t="n"/>
      <c r="M514" s="95" t="n"/>
      <c r="N514" s="95" t="n"/>
      <c r="O514" s="95" t="n"/>
      <c r="P514" s="95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  <c r="Z514" s="46" t="n"/>
    </row>
    <row r="515" ht="12.75" customHeight="1">
      <c r="A515" s="100" t="n"/>
      <c r="B515" s="101" t="n"/>
      <c r="C515" s="102" t="n"/>
      <c r="D515" s="99" t="n"/>
      <c r="E515" s="95" t="n"/>
      <c r="F515" s="95" t="n"/>
      <c r="G515" s="94" t="n"/>
      <c r="H515" s="46" t="n"/>
      <c r="I515" s="46" t="n"/>
      <c r="J515" s="46" t="n"/>
      <c r="K515" s="46" t="n"/>
      <c r="L515" s="95" t="n"/>
      <c r="M515" s="95" t="n"/>
      <c r="N515" s="95" t="n"/>
      <c r="O515" s="95" t="n"/>
      <c r="P515" s="95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  <c r="Z515" s="46" t="n"/>
    </row>
    <row r="516" ht="12.75" customHeight="1">
      <c r="A516" s="100" t="n"/>
      <c r="B516" s="101" t="n"/>
      <c r="C516" s="102" t="n"/>
      <c r="D516" s="99" t="n"/>
      <c r="E516" s="95" t="n"/>
      <c r="F516" s="95" t="n"/>
      <c r="G516" s="94" t="n"/>
      <c r="H516" s="46" t="n"/>
      <c r="I516" s="46" t="n"/>
      <c r="J516" s="46" t="n"/>
      <c r="K516" s="46" t="n"/>
      <c r="L516" s="95" t="n"/>
      <c r="M516" s="95" t="n"/>
      <c r="N516" s="95" t="n"/>
      <c r="O516" s="95" t="n"/>
      <c r="P516" s="95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  <c r="Z516" s="46" t="n"/>
    </row>
    <row r="517" ht="12.75" customHeight="1">
      <c r="A517" s="100" t="n"/>
      <c r="B517" s="101" t="n"/>
      <c r="C517" s="102" t="n"/>
      <c r="D517" s="99" t="n"/>
      <c r="E517" s="95" t="n"/>
      <c r="F517" s="95" t="n"/>
      <c r="G517" s="94" t="n"/>
      <c r="H517" s="46" t="n"/>
      <c r="I517" s="46" t="n"/>
      <c r="J517" s="46" t="n"/>
      <c r="K517" s="46" t="n"/>
      <c r="L517" s="95" t="n"/>
      <c r="M517" s="95" t="n"/>
      <c r="N517" s="95" t="n"/>
      <c r="O517" s="95" t="n"/>
      <c r="P517" s="95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  <c r="Z517" s="46" t="n"/>
    </row>
    <row r="518" ht="12.75" customHeight="1">
      <c r="A518" s="100" t="n"/>
      <c r="B518" s="101" t="n"/>
      <c r="C518" s="102" t="n"/>
      <c r="D518" s="99" t="n"/>
      <c r="E518" s="95" t="n"/>
      <c r="F518" s="95" t="n"/>
      <c r="G518" s="94" t="n"/>
      <c r="H518" s="46" t="n"/>
      <c r="I518" s="46" t="n"/>
      <c r="J518" s="46" t="n"/>
      <c r="K518" s="46" t="n"/>
      <c r="L518" s="95" t="n"/>
      <c r="M518" s="95" t="n"/>
      <c r="N518" s="95" t="n"/>
      <c r="O518" s="95" t="n"/>
      <c r="P518" s="95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  <c r="Z518" s="46" t="n"/>
    </row>
    <row r="519" ht="12.75" customHeight="1">
      <c r="A519" s="100" t="n"/>
      <c r="B519" s="101" t="n"/>
      <c r="C519" s="102" t="n"/>
      <c r="D519" s="99" t="n"/>
      <c r="E519" s="95" t="n"/>
      <c r="F519" s="95" t="n"/>
      <c r="G519" s="94" t="n"/>
      <c r="H519" s="46" t="n"/>
      <c r="I519" s="46" t="n"/>
      <c r="J519" s="46" t="n"/>
      <c r="K519" s="46" t="n"/>
      <c r="L519" s="95" t="n"/>
      <c r="M519" s="95" t="n"/>
      <c r="N519" s="95" t="n"/>
      <c r="O519" s="95" t="n"/>
      <c r="P519" s="95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  <c r="Z519" s="46" t="n"/>
    </row>
    <row r="520" ht="12.75" customHeight="1">
      <c r="A520" s="100" t="n"/>
      <c r="B520" s="101" t="n"/>
      <c r="C520" s="102" t="n"/>
      <c r="D520" s="99" t="n"/>
      <c r="E520" s="95" t="n"/>
      <c r="F520" s="95" t="n"/>
      <c r="G520" s="94" t="n"/>
      <c r="H520" s="46" t="n"/>
      <c r="I520" s="46" t="n"/>
      <c r="J520" s="46" t="n"/>
      <c r="K520" s="46" t="n"/>
      <c r="L520" s="95" t="n"/>
      <c r="M520" s="95" t="n"/>
      <c r="N520" s="95" t="n"/>
      <c r="O520" s="95" t="n"/>
      <c r="P520" s="95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  <c r="Z520" s="46" t="n"/>
    </row>
    <row r="521" ht="12.75" customHeight="1">
      <c r="A521" s="100" t="n"/>
      <c r="B521" s="101" t="n"/>
      <c r="C521" s="102" t="n"/>
      <c r="D521" s="99" t="n"/>
      <c r="E521" s="95" t="n"/>
      <c r="F521" s="95" t="n"/>
      <c r="G521" s="94" t="n"/>
      <c r="H521" s="46" t="n"/>
      <c r="I521" s="46" t="n"/>
      <c r="J521" s="46" t="n"/>
      <c r="K521" s="46" t="n"/>
      <c r="L521" s="95" t="n"/>
      <c r="M521" s="95" t="n"/>
      <c r="N521" s="95" t="n"/>
      <c r="O521" s="95" t="n"/>
      <c r="P521" s="95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  <c r="Z521" s="46" t="n"/>
    </row>
    <row r="522" ht="12.75" customHeight="1">
      <c r="A522" s="100" t="n"/>
      <c r="B522" s="101" t="n"/>
      <c r="C522" s="102" t="n"/>
      <c r="D522" s="99" t="n"/>
      <c r="E522" s="95" t="n"/>
      <c r="F522" s="95" t="n"/>
      <c r="G522" s="94" t="n"/>
      <c r="H522" s="46" t="n"/>
      <c r="I522" s="46" t="n"/>
      <c r="J522" s="46" t="n"/>
      <c r="K522" s="46" t="n"/>
      <c r="L522" s="95" t="n"/>
      <c r="M522" s="95" t="n"/>
      <c r="N522" s="95" t="n"/>
      <c r="O522" s="95" t="n"/>
      <c r="P522" s="95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  <c r="Z522" s="46" t="n"/>
    </row>
    <row r="523" ht="12.75" customHeight="1">
      <c r="A523" s="100" t="n"/>
      <c r="B523" s="101" t="n"/>
      <c r="C523" s="102" t="n"/>
      <c r="D523" s="99" t="n"/>
      <c r="E523" s="95" t="n"/>
      <c r="F523" s="95" t="n"/>
      <c r="G523" s="94" t="n"/>
      <c r="H523" s="46" t="n"/>
      <c r="I523" s="46" t="n"/>
      <c r="J523" s="46" t="n"/>
      <c r="K523" s="46" t="n"/>
      <c r="L523" s="95" t="n"/>
      <c r="M523" s="95" t="n"/>
      <c r="N523" s="95" t="n"/>
      <c r="O523" s="95" t="n"/>
      <c r="P523" s="95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  <c r="Z523" s="46" t="n"/>
    </row>
    <row r="524" ht="12.75" customHeight="1">
      <c r="A524" s="100" t="n"/>
      <c r="B524" s="101" t="n"/>
      <c r="C524" s="102" t="n"/>
      <c r="D524" s="99" t="n"/>
      <c r="E524" s="95" t="n"/>
      <c r="F524" s="95" t="n"/>
      <c r="G524" s="94" t="n"/>
      <c r="H524" s="46" t="n"/>
      <c r="I524" s="46" t="n"/>
      <c r="J524" s="46" t="n"/>
      <c r="K524" s="46" t="n"/>
      <c r="L524" s="95" t="n"/>
      <c r="M524" s="95" t="n"/>
      <c r="N524" s="95" t="n"/>
      <c r="O524" s="95" t="n"/>
      <c r="P524" s="95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  <c r="Z524" s="46" t="n"/>
    </row>
    <row r="525" ht="12.75" customHeight="1">
      <c r="A525" s="100" t="n"/>
      <c r="B525" s="101" t="n"/>
      <c r="C525" s="102" t="n"/>
      <c r="D525" s="99" t="n"/>
      <c r="E525" s="95" t="n"/>
      <c r="F525" s="95" t="n"/>
      <c r="G525" s="94" t="n"/>
      <c r="H525" s="46" t="n"/>
      <c r="I525" s="46" t="n"/>
      <c r="J525" s="46" t="n"/>
      <c r="K525" s="46" t="n"/>
      <c r="L525" s="95" t="n"/>
      <c r="M525" s="95" t="n"/>
      <c r="N525" s="95" t="n"/>
      <c r="O525" s="95" t="n"/>
      <c r="P525" s="95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  <c r="Z525" s="46" t="n"/>
    </row>
    <row r="526" ht="12.75" customHeight="1">
      <c r="A526" s="100" t="n"/>
      <c r="B526" s="101" t="n"/>
      <c r="C526" s="102" t="n"/>
      <c r="D526" s="99" t="n"/>
      <c r="E526" s="95" t="n"/>
      <c r="F526" s="95" t="n"/>
      <c r="G526" s="94" t="n"/>
      <c r="H526" s="46" t="n"/>
      <c r="I526" s="46" t="n"/>
      <c r="J526" s="46" t="n"/>
      <c r="K526" s="46" t="n"/>
      <c r="L526" s="95" t="n"/>
      <c r="M526" s="95" t="n"/>
      <c r="N526" s="95" t="n"/>
      <c r="O526" s="95" t="n"/>
      <c r="P526" s="95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  <c r="Z526" s="46" t="n"/>
    </row>
    <row r="527" ht="12.75" customHeight="1">
      <c r="A527" s="100" t="n"/>
      <c r="B527" s="101" t="n"/>
      <c r="C527" s="102" t="n"/>
      <c r="D527" s="99" t="n"/>
      <c r="E527" s="95" t="n"/>
      <c r="F527" s="95" t="n"/>
      <c r="G527" s="94" t="n"/>
      <c r="H527" s="46" t="n"/>
      <c r="I527" s="46" t="n"/>
      <c r="J527" s="46" t="n"/>
      <c r="K527" s="46" t="n"/>
      <c r="L527" s="95" t="n"/>
      <c r="M527" s="95" t="n"/>
      <c r="N527" s="95" t="n"/>
      <c r="O527" s="95" t="n"/>
      <c r="P527" s="95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  <c r="Z527" s="46" t="n"/>
    </row>
    <row r="528" ht="12.75" customHeight="1">
      <c r="A528" s="100" t="n"/>
      <c r="B528" s="101" t="n"/>
      <c r="C528" s="102" t="n"/>
      <c r="D528" s="99" t="n"/>
      <c r="E528" s="95" t="n"/>
      <c r="F528" s="95" t="n"/>
      <c r="G528" s="94" t="n"/>
      <c r="H528" s="46" t="n"/>
      <c r="I528" s="46" t="n"/>
      <c r="J528" s="46" t="n"/>
      <c r="K528" s="46" t="n"/>
      <c r="L528" s="95" t="n"/>
      <c r="M528" s="95" t="n"/>
      <c r="N528" s="95" t="n"/>
      <c r="O528" s="95" t="n"/>
      <c r="P528" s="95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  <c r="Z528" s="46" t="n"/>
    </row>
    <row r="529" ht="12.75" customHeight="1">
      <c r="A529" s="100" t="n"/>
      <c r="B529" s="101" t="n"/>
      <c r="C529" s="102" t="n"/>
      <c r="D529" s="99" t="n"/>
      <c r="E529" s="95" t="n"/>
      <c r="F529" s="95" t="n"/>
      <c r="G529" s="94" t="n"/>
      <c r="H529" s="46" t="n"/>
      <c r="I529" s="46" t="n"/>
      <c r="J529" s="46" t="n"/>
      <c r="K529" s="46" t="n"/>
      <c r="L529" s="95" t="n"/>
      <c r="M529" s="95" t="n"/>
      <c r="N529" s="95" t="n"/>
      <c r="O529" s="95" t="n"/>
      <c r="P529" s="95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  <c r="Z529" s="46" t="n"/>
    </row>
    <row r="530" ht="12.75" customHeight="1">
      <c r="A530" s="100" t="n"/>
      <c r="B530" s="101" t="n"/>
      <c r="C530" s="102" t="n"/>
      <c r="D530" s="99" t="n"/>
      <c r="E530" s="95" t="n"/>
      <c r="F530" s="95" t="n"/>
      <c r="G530" s="94" t="n"/>
      <c r="H530" s="46" t="n"/>
      <c r="I530" s="46" t="n"/>
      <c r="J530" s="46" t="n"/>
      <c r="K530" s="46" t="n"/>
      <c r="L530" s="95" t="n"/>
      <c r="M530" s="95" t="n"/>
      <c r="N530" s="95" t="n"/>
      <c r="O530" s="95" t="n"/>
      <c r="P530" s="95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  <c r="Z530" s="46" t="n"/>
    </row>
    <row r="531" ht="12.75" customHeight="1">
      <c r="A531" s="100" t="n"/>
      <c r="B531" s="101" t="n"/>
      <c r="C531" s="102" t="n"/>
      <c r="D531" s="99" t="n"/>
      <c r="E531" s="95" t="n"/>
      <c r="F531" s="95" t="n"/>
      <c r="G531" s="94" t="n"/>
      <c r="H531" s="46" t="n"/>
      <c r="I531" s="46" t="n"/>
      <c r="J531" s="46" t="n"/>
      <c r="K531" s="46" t="n"/>
      <c r="L531" s="95" t="n"/>
      <c r="M531" s="95" t="n"/>
      <c r="N531" s="95" t="n"/>
      <c r="O531" s="95" t="n"/>
      <c r="P531" s="95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  <c r="Z531" s="46" t="n"/>
    </row>
    <row r="532" ht="12.75" customHeight="1">
      <c r="A532" s="100" t="n"/>
      <c r="B532" s="101" t="n"/>
      <c r="C532" s="102" t="n"/>
      <c r="D532" s="99" t="n"/>
      <c r="E532" s="95" t="n"/>
      <c r="F532" s="95" t="n"/>
      <c r="G532" s="94" t="n"/>
      <c r="H532" s="46" t="n"/>
      <c r="I532" s="46" t="n"/>
      <c r="J532" s="46" t="n"/>
      <c r="K532" s="46" t="n"/>
      <c r="L532" s="95" t="n"/>
      <c r="M532" s="95" t="n"/>
      <c r="N532" s="95" t="n"/>
      <c r="O532" s="95" t="n"/>
      <c r="P532" s="95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  <c r="Z532" s="46" t="n"/>
    </row>
    <row r="533" ht="12.75" customHeight="1">
      <c r="A533" s="100" t="n"/>
      <c r="B533" s="101" t="n"/>
      <c r="C533" s="102" t="n"/>
      <c r="D533" s="99" t="n"/>
      <c r="E533" s="95" t="n"/>
      <c r="F533" s="95" t="n"/>
      <c r="G533" s="94" t="n"/>
      <c r="H533" s="46" t="n"/>
      <c r="I533" s="46" t="n"/>
      <c r="J533" s="46" t="n"/>
      <c r="K533" s="46" t="n"/>
      <c r="L533" s="95" t="n"/>
      <c r="M533" s="95" t="n"/>
      <c r="N533" s="95" t="n"/>
      <c r="O533" s="95" t="n"/>
      <c r="P533" s="95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  <c r="Z533" s="46" t="n"/>
    </row>
    <row r="534" ht="12.75" customHeight="1">
      <c r="A534" s="100" t="n"/>
      <c r="B534" s="101" t="n"/>
      <c r="C534" s="102" t="n"/>
      <c r="D534" s="99" t="n"/>
      <c r="E534" s="95" t="n"/>
      <c r="F534" s="95" t="n"/>
      <c r="G534" s="94" t="n"/>
      <c r="H534" s="46" t="n"/>
      <c r="I534" s="46" t="n"/>
      <c r="J534" s="46" t="n"/>
      <c r="K534" s="46" t="n"/>
      <c r="L534" s="95" t="n"/>
      <c r="M534" s="95" t="n"/>
      <c r="N534" s="95" t="n"/>
      <c r="O534" s="95" t="n"/>
      <c r="P534" s="95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  <c r="Z534" s="46" t="n"/>
    </row>
    <row r="535" ht="12.75" customHeight="1">
      <c r="A535" s="100" t="n"/>
      <c r="B535" s="101" t="n"/>
      <c r="C535" s="102" t="n"/>
      <c r="D535" s="99" t="n"/>
      <c r="E535" s="95" t="n"/>
      <c r="F535" s="95" t="n"/>
      <c r="G535" s="94" t="n"/>
      <c r="H535" s="46" t="n"/>
      <c r="I535" s="46" t="n"/>
      <c r="J535" s="46" t="n"/>
      <c r="K535" s="46" t="n"/>
      <c r="L535" s="95" t="n"/>
      <c r="M535" s="95" t="n"/>
      <c r="N535" s="95" t="n"/>
      <c r="O535" s="95" t="n"/>
      <c r="P535" s="95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  <c r="Z535" s="46" t="n"/>
    </row>
    <row r="536" ht="12.75" customHeight="1">
      <c r="A536" s="100" t="n"/>
      <c r="B536" s="101" t="n"/>
      <c r="C536" s="102" t="n"/>
      <c r="D536" s="99" t="n"/>
      <c r="E536" s="95" t="n"/>
      <c r="F536" s="95" t="n"/>
      <c r="G536" s="94" t="n"/>
      <c r="H536" s="46" t="n"/>
      <c r="I536" s="46" t="n"/>
      <c r="J536" s="46" t="n"/>
      <c r="K536" s="46" t="n"/>
      <c r="L536" s="95" t="n"/>
      <c r="M536" s="95" t="n"/>
      <c r="N536" s="95" t="n"/>
      <c r="O536" s="95" t="n"/>
      <c r="P536" s="95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  <c r="Z536" s="46" t="n"/>
    </row>
    <row r="537" ht="12.75" customHeight="1">
      <c r="A537" s="100" t="n"/>
      <c r="B537" s="101" t="n"/>
      <c r="C537" s="102" t="n"/>
      <c r="D537" s="99" t="n"/>
      <c r="E537" s="95" t="n"/>
      <c r="F537" s="95" t="n"/>
      <c r="G537" s="94" t="n"/>
      <c r="H537" s="46" t="n"/>
      <c r="I537" s="46" t="n"/>
      <c r="J537" s="46" t="n"/>
      <c r="K537" s="46" t="n"/>
      <c r="L537" s="95" t="n"/>
      <c r="M537" s="95" t="n"/>
      <c r="N537" s="95" t="n"/>
      <c r="O537" s="95" t="n"/>
      <c r="P537" s="95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  <c r="Z537" s="46" t="n"/>
    </row>
    <row r="538" ht="12.75" customHeight="1">
      <c r="A538" s="100" t="n"/>
      <c r="B538" s="101" t="n"/>
      <c r="C538" s="102" t="n"/>
      <c r="D538" s="99" t="n"/>
      <c r="E538" s="95" t="n"/>
      <c r="F538" s="95" t="n"/>
      <c r="G538" s="94" t="n"/>
      <c r="H538" s="46" t="n"/>
      <c r="I538" s="46" t="n"/>
      <c r="J538" s="46" t="n"/>
      <c r="K538" s="46" t="n"/>
      <c r="L538" s="95" t="n"/>
      <c r="M538" s="95" t="n"/>
      <c r="N538" s="95" t="n"/>
      <c r="O538" s="95" t="n"/>
      <c r="P538" s="95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  <c r="Z538" s="46" t="n"/>
    </row>
    <row r="539" ht="12.75" customHeight="1">
      <c r="A539" s="100" t="n"/>
      <c r="B539" s="101" t="n"/>
      <c r="C539" s="102" t="n"/>
      <c r="D539" s="99" t="n"/>
      <c r="E539" s="95" t="n"/>
      <c r="F539" s="95" t="n"/>
      <c r="G539" s="94" t="n"/>
      <c r="H539" s="46" t="n"/>
      <c r="I539" s="46" t="n"/>
      <c r="J539" s="46" t="n"/>
      <c r="K539" s="46" t="n"/>
      <c r="L539" s="95" t="n"/>
      <c r="M539" s="95" t="n"/>
      <c r="N539" s="95" t="n"/>
      <c r="O539" s="95" t="n"/>
      <c r="P539" s="95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  <c r="Z539" s="46" t="n"/>
    </row>
    <row r="540" ht="12.75" customHeight="1">
      <c r="A540" s="100" t="n"/>
      <c r="B540" s="101" t="n"/>
      <c r="C540" s="102" t="n"/>
      <c r="D540" s="99" t="n"/>
      <c r="E540" s="95" t="n"/>
      <c r="F540" s="95" t="n"/>
      <c r="G540" s="94" t="n"/>
      <c r="H540" s="46" t="n"/>
      <c r="I540" s="46" t="n"/>
      <c r="J540" s="46" t="n"/>
      <c r="K540" s="46" t="n"/>
      <c r="L540" s="95" t="n"/>
      <c r="M540" s="95" t="n"/>
      <c r="N540" s="95" t="n"/>
      <c r="O540" s="95" t="n"/>
      <c r="P540" s="95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  <c r="Z540" s="46" t="n"/>
    </row>
    <row r="541" ht="12.75" customHeight="1">
      <c r="A541" s="100" t="n"/>
      <c r="B541" s="101" t="n"/>
      <c r="C541" s="102" t="n"/>
      <c r="D541" s="99" t="n"/>
      <c r="E541" s="95" t="n"/>
      <c r="F541" s="95" t="n"/>
      <c r="G541" s="94" t="n"/>
      <c r="H541" s="46" t="n"/>
      <c r="I541" s="46" t="n"/>
      <c r="J541" s="46" t="n"/>
      <c r="K541" s="46" t="n"/>
      <c r="L541" s="95" t="n"/>
      <c r="M541" s="95" t="n"/>
      <c r="N541" s="95" t="n"/>
      <c r="O541" s="95" t="n"/>
      <c r="P541" s="95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  <c r="Z541" s="46" t="n"/>
    </row>
    <row r="542" ht="12.75" customHeight="1">
      <c r="A542" s="100" t="n"/>
      <c r="B542" s="101" t="n"/>
      <c r="C542" s="102" t="n"/>
      <c r="D542" s="99" t="n"/>
      <c r="E542" s="95" t="n"/>
      <c r="F542" s="95" t="n"/>
      <c r="G542" s="94" t="n"/>
      <c r="H542" s="46" t="n"/>
      <c r="I542" s="46" t="n"/>
      <c r="J542" s="46" t="n"/>
      <c r="K542" s="46" t="n"/>
      <c r="L542" s="95" t="n"/>
      <c r="M542" s="95" t="n"/>
      <c r="N542" s="95" t="n"/>
      <c r="O542" s="95" t="n"/>
      <c r="P542" s="95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  <c r="Z542" s="46" t="n"/>
    </row>
    <row r="543" ht="12.75" customHeight="1">
      <c r="A543" s="100" t="n"/>
      <c r="B543" s="101" t="n"/>
      <c r="C543" s="102" t="n"/>
      <c r="D543" s="99" t="n"/>
      <c r="E543" s="95" t="n"/>
      <c r="F543" s="95" t="n"/>
      <c r="G543" s="94" t="n"/>
      <c r="H543" s="46" t="n"/>
      <c r="I543" s="46" t="n"/>
      <c r="J543" s="46" t="n"/>
      <c r="K543" s="46" t="n"/>
      <c r="L543" s="95" t="n"/>
      <c r="M543" s="95" t="n"/>
      <c r="N543" s="95" t="n"/>
      <c r="O543" s="95" t="n"/>
      <c r="P543" s="95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  <c r="Z543" s="46" t="n"/>
    </row>
    <row r="544" ht="12.75" customHeight="1">
      <c r="A544" s="100" t="n"/>
      <c r="B544" s="101" t="n"/>
      <c r="C544" s="102" t="n"/>
      <c r="D544" s="99" t="n"/>
      <c r="E544" s="95" t="n"/>
      <c r="F544" s="95" t="n"/>
      <c r="G544" s="94" t="n"/>
      <c r="H544" s="46" t="n"/>
      <c r="I544" s="46" t="n"/>
      <c r="J544" s="46" t="n"/>
      <c r="K544" s="46" t="n"/>
      <c r="L544" s="95" t="n"/>
      <c r="M544" s="95" t="n"/>
      <c r="N544" s="95" t="n"/>
      <c r="O544" s="95" t="n"/>
      <c r="P544" s="95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  <c r="Z544" s="46" t="n"/>
    </row>
    <row r="545" ht="12.75" customHeight="1">
      <c r="A545" s="100" t="n"/>
      <c r="B545" s="101" t="n"/>
      <c r="C545" s="102" t="n"/>
      <c r="D545" s="99" t="n"/>
      <c r="E545" s="95" t="n"/>
      <c r="F545" s="95" t="n"/>
      <c r="G545" s="94" t="n"/>
      <c r="H545" s="46" t="n"/>
      <c r="I545" s="46" t="n"/>
      <c r="J545" s="46" t="n"/>
      <c r="K545" s="46" t="n"/>
      <c r="L545" s="95" t="n"/>
      <c r="M545" s="95" t="n"/>
      <c r="N545" s="95" t="n"/>
      <c r="O545" s="95" t="n"/>
      <c r="P545" s="95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  <c r="Z545" s="46" t="n"/>
    </row>
    <row r="546" ht="12.75" customHeight="1">
      <c r="A546" s="100" t="n"/>
      <c r="B546" s="101" t="n"/>
      <c r="C546" s="102" t="n"/>
      <c r="D546" s="99" t="n"/>
      <c r="E546" s="95" t="n"/>
      <c r="F546" s="95" t="n"/>
      <c r="G546" s="94" t="n"/>
      <c r="H546" s="46" t="n"/>
      <c r="I546" s="46" t="n"/>
      <c r="J546" s="46" t="n"/>
      <c r="K546" s="46" t="n"/>
      <c r="L546" s="95" t="n"/>
      <c r="M546" s="95" t="n"/>
      <c r="N546" s="95" t="n"/>
      <c r="O546" s="95" t="n"/>
      <c r="P546" s="95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  <c r="Z546" s="46" t="n"/>
    </row>
    <row r="547" ht="12.75" customHeight="1">
      <c r="A547" s="100" t="n"/>
      <c r="B547" s="101" t="n"/>
      <c r="C547" s="102" t="n"/>
      <c r="D547" s="99" t="n"/>
      <c r="E547" s="95" t="n"/>
      <c r="F547" s="95" t="n"/>
      <c r="G547" s="94" t="n"/>
      <c r="H547" s="46" t="n"/>
      <c r="I547" s="46" t="n"/>
      <c r="J547" s="46" t="n"/>
      <c r="K547" s="46" t="n"/>
      <c r="L547" s="95" t="n"/>
      <c r="M547" s="95" t="n"/>
      <c r="N547" s="95" t="n"/>
      <c r="O547" s="95" t="n"/>
      <c r="P547" s="95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  <c r="Z547" s="46" t="n"/>
    </row>
    <row r="548" ht="12.75" customHeight="1">
      <c r="A548" s="100" t="n"/>
      <c r="B548" s="101" t="n"/>
      <c r="C548" s="102" t="n"/>
      <c r="D548" s="99" t="n"/>
      <c r="E548" s="95" t="n"/>
      <c r="F548" s="95" t="n"/>
      <c r="G548" s="94" t="n"/>
      <c r="H548" s="46" t="n"/>
      <c r="I548" s="46" t="n"/>
      <c r="J548" s="46" t="n"/>
      <c r="K548" s="46" t="n"/>
      <c r="L548" s="95" t="n"/>
      <c r="M548" s="95" t="n"/>
      <c r="N548" s="95" t="n"/>
      <c r="O548" s="95" t="n"/>
      <c r="P548" s="95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  <c r="Z548" s="46" t="n"/>
    </row>
    <row r="549" ht="12.75" customHeight="1">
      <c r="A549" s="100" t="n"/>
      <c r="B549" s="101" t="n"/>
      <c r="C549" s="102" t="n"/>
      <c r="D549" s="99" t="n"/>
      <c r="E549" s="95" t="n"/>
      <c r="F549" s="95" t="n"/>
      <c r="G549" s="94" t="n"/>
      <c r="H549" s="46" t="n"/>
      <c r="I549" s="46" t="n"/>
      <c r="J549" s="46" t="n"/>
      <c r="K549" s="46" t="n"/>
      <c r="L549" s="95" t="n"/>
      <c r="M549" s="95" t="n"/>
      <c r="N549" s="95" t="n"/>
      <c r="O549" s="95" t="n"/>
      <c r="P549" s="95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  <c r="Z549" s="46" t="n"/>
    </row>
    <row r="550" ht="12.75" customHeight="1">
      <c r="A550" s="100" t="n"/>
      <c r="B550" s="101" t="n"/>
      <c r="C550" s="102" t="n"/>
      <c r="D550" s="99" t="n"/>
      <c r="E550" s="95" t="n"/>
      <c r="F550" s="95" t="n"/>
      <c r="G550" s="94" t="n"/>
      <c r="H550" s="46" t="n"/>
      <c r="I550" s="46" t="n"/>
      <c r="J550" s="46" t="n"/>
      <c r="K550" s="46" t="n"/>
      <c r="L550" s="95" t="n"/>
      <c r="M550" s="95" t="n"/>
      <c r="N550" s="95" t="n"/>
      <c r="O550" s="95" t="n"/>
      <c r="P550" s="95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  <c r="Z550" s="46" t="n"/>
    </row>
    <row r="551" ht="12.75" customHeight="1">
      <c r="A551" s="100" t="n"/>
      <c r="B551" s="101" t="n"/>
      <c r="C551" s="102" t="n"/>
      <c r="D551" s="99" t="n"/>
      <c r="E551" s="95" t="n"/>
      <c r="F551" s="95" t="n"/>
      <c r="G551" s="94" t="n"/>
      <c r="H551" s="46" t="n"/>
      <c r="I551" s="46" t="n"/>
      <c r="J551" s="46" t="n"/>
      <c r="K551" s="46" t="n"/>
      <c r="L551" s="95" t="n"/>
      <c r="M551" s="95" t="n"/>
      <c r="N551" s="95" t="n"/>
      <c r="O551" s="95" t="n"/>
      <c r="P551" s="95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  <c r="Z551" s="46" t="n"/>
    </row>
    <row r="552" ht="12.75" customHeight="1">
      <c r="A552" s="100" t="n"/>
      <c r="B552" s="101" t="n"/>
      <c r="C552" s="102" t="n"/>
      <c r="D552" s="99" t="n"/>
      <c r="E552" s="95" t="n"/>
      <c r="F552" s="95" t="n"/>
      <c r="G552" s="94" t="n"/>
      <c r="H552" s="46" t="n"/>
      <c r="I552" s="46" t="n"/>
      <c r="J552" s="46" t="n"/>
      <c r="K552" s="46" t="n"/>
      <c r="L552" s="95" t="n"/>
      <c r="M552" s="95" t="n"/>
      <c r="N552" s="95" t="n"/>
      <c r="O552" s="95" t="n"/>
      <c r="P552" s="95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  <c r="Z552" s="46" t="n"/>
    </row>
    <row r="553" ht="12.75" customHeight="1">
      <c r="A553" s="100" t="n"/>
      <c r="B553" s="101" t="n"/>
      <c r="C553" s="102" t="n"/>
      <c r="D553" s="99" t="n"/>
      <c r="E553" s="95" t="n"/>
      <c r="F553" s="95" t="n"/>
      <c r="G553" s="94" t="n"/>
      <c r="H553" s="46" t="n"/>
      <c r="I553" s="46" t="n"/>
      <c r="J553" s="46" t="n"/>
      <c r="K553" s="46" t="n"/>
      <c r="L553" s="95" t="n"/>
      <c r="M553" s="95" t="n"/>
      <c r="N553" s="95" t="n"/>
      <c r="O553" s="95" t="n"/>
      <c r="P553" s="95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  <c r="Z553" s="46" t="n"/>
    </row>
    <row r="554" ht="12.75" customHeight="1">
      <c r="A554" s="100" t="n"/>
      <c r="B554" s="101" t="n"/>
      <c r="C554" s="102" t="n"/>
      <c r="D554" s="99" t="n"/>
      <c r="E554" s="95" t="n"/>
      <c r="F554" s="95" t="n"/>
      <c r="G554" s="94" t="n"/>
      <c r="H554" s="46" t="n"/>
      <c r="I554" s="46" t="n"/>
      <c r="J554" s="46" t="n"/>
      <c r="K554" s="46" t="n"/>
      <c r="L554" s="95" t="n"/>
      <c r="M554" s="95" t="n"/>
      <c r="N554" s="95" t="n"/>
      <c r="O554" s="95" t="n"/>
      <c r="P554" s="95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  <c r="Z554" s="46" t="n"/>
    </row>
    <row r="555" ht="12.75" customHeight="1">
      <c r="A555" s="100" t="n"/>
      <c r="B555" s="101" t="n"/>
      <c r="C555" s="102" t="n"/>
      <c r="D555" s="99" t="n"/>
      <c r="E555" s="95" t="n"/>
      <c r="F555" s="95" t="n"/>
      <c r="G555" s="94" t="n"/>
      <c r="H555" s="46" t="n"/>
      <c r="I555" s="46" t="n"/>
      <c r="J555" s="46" t="n"/>
      <c r="K555" s="46" t="n"/>
      <c r="L555" s="95" t="n"/>
      <c r="M555" s="95" t="n"/>
      <c r="N555" s="95" t="n"/>
      <c r="O555" s="95" t="n"/>
      <c r="P555" s="95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  <c r="Z555" s="46" t="n"/>
    </row>
    <row r="556" ht="12.75" customHeight="1">
      <c r="A556" s="100" t="n"/>
      <c r="B556" s="101" t="n"/>
      <c r="C556" s="102" t="n"/>
      <c r="D556" s="99" t="n"/>
      <c r="E556" s="95" t="n"/>
      <c r="F556" s="95" t="n"/>
      <c r="G556" s="94" t="n"/>
      <c r="H556" s="46" t="n"/>
      <c r="I556" s="46" t="n"/>
      <c r="J556" s="46" t="n"/>
      <c r="K556" s="46" t="n"/>
      <c r="L556" s="95" t="n"/>
      <c r="M556" s="95" t="n"/>
      <c r="N556" s="95" t="n"/>
      <c r="O556" s="95" t="n"/>
      <c r="P556" s="95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  <c r="Z556" s="46" t="n"/>
    </row>
    <row r="557" ht="12.75" customHeight="1">
      <c r="A557" s="100" t="n"/>
      <c r="B557" s="101" t="n"/>
      <c r="C557" s="102" t="n"/>
      <c r="D557" s="99" t="n"/>
      <c r="E557" s="95" t="n"/>
      <c r="F557" s="95" t="n"/>
      <c r="G557" s="94" t="n"/>
      <c r="H557" s="46" t="n"/>
      <c r="I557" s="46" t="n"/>
      <c r="J557" s="46" t="n"/>
      <c r="K557" s="46" t="n"/>
      <c r="L557" s="95" t="n"/>
      <c r="M557" s="95" t="n"/>
      <c r="N557" s="95" t="n"/>
      <c r="O557" s="95" t="n"/>
      <c r="P557" s="95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  <c r="Z557" s="46" t="n"/>
    </row>
    <row r="558" ht="12.75" customHeight="1">
      <c r="A558" s="100" t="n"/>
      <c r="B558" s="101" t="n"/>
      <c r="C558" s="102" t="n"/>
      <c r="D558" s="99" t="n"/>
      <c r="E558" s="95" t="n"/>
      <c r="F558" s="95" t="n"/>
      <c r="G558" s="94" t="n"/>
      <c r="H558" s="46" t="n"/>
      <c r="I558" s="46" t="n"/>
      <c r="J558" s="46" t="n"/>
      <c r="K558" s="46" t="n"/>
      <c r="L558" s="95" t="n"/>
      <c r="M558" s="95" t="n"/>
      <c r="N558" s="95" t="n"/>
      <c r="O558" s="95" t="n"/>
      <c r="P558" s="95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  <c r="Z558" s="46" t="n"/>
    </row>
    <row r="559" ht="12.75" customHeight="1">
      <c r="A559" s="100" t="n"/>
      <c r="B559" s="101" t="n"/>
      <c r="C559" s="102" t="n"/>
      <c r="D559" s="99" t="n"/>
      <c r="E559" s="95" t="n"/>
      <c r="F559" s="95" t="n"/>
      <c r="G559" s="94" t="n"/>
      <c r="H559" s="46" t="n"/>
      <c r="I559" s="46" t="n"/>
      <c r="J559" s="46" t="n"/>
      <c r="K559" s="46" t="n"/>
      <c r="L559" s="95" t="n"/>
      <c r="M559" s="95" t="n"/>
      <c r="N559" s="95" t="n"/>
      <c r="O559" s="95" t="n"/>
      <c r="P559" s="95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  <c r="Z559" s="46" t="n"/>
    </row>
    <row r="560" ht="12.75" customHeight="1">
      <c r="A560" s="100" t="n"/>
      <c r="B560" s="101" t="n"/>
      <c r="C560" s="102" t="n"/>
      <c r="D560" s="99" t="n"/>
      <c r="E560" s="95" t="n"/>
      <c r="F560" s="95" t="n"/>
      <c r="G560" s="94" t="n"/>
      <c r="H560" s="46" t="n"/>
      <c r="I560" s="46" t="n"/>
      <c r="J560" s="46" t="n"/>
      <c r="K560" s="46" t="n"/>
      <c r="L560" s="95" t="n"/>
      <c r="M560" s="95" t="n"/>
      <c r="N560" s="95" t="n"/>
      <c r="O560" s="95" t="n"/>
      <c r="P560" s="95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  <c r="Z560" s="46" t="n"/>
    </row>
    <row r="561" ht="12.75" customHeight="1">
      <c r="A561" s="100" t="n"/>
      <c r="B561" s="101" t="n"/>
      <c r="C561" s="102" t="n"/>
      <c r="D561" s="99" t="n"/>
      <c r="E561" s="95" t="n"/>
      <c r="F561" s="95" t="n"/>
      <c r="G561" s="94" t="n"/>
      <c r="H561" s="46" t="n"/>
      <c r="I561" s="46" t="n"/>
      <c r="J561" s="46" t="n"/>
      <c r="K561" s="46" t="n"/>
      <c r="L561" s="95" t="n"/>
      <c r="M561" s="95" t="n"/>
      <c r="N561" s="95" t="n"/>
      <c r="O561" s="95" t="n"/>
      <c r="P561" s="95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  <c r="Z561" s="46" t="n"/>
    </row>
    <row r="562" ht="12.75" customHeight="1">
      <c r="A562" s="100" t="n"/>
      <c r="B562" s="101" t="n"/>
      <c r="C562" s="102" t="n"/>
      <c r="D562" s="99" t="n"/>
      <c r="E562" s="95" t="n"/>
      <c r="F562" s="95" t="n"/>
      <c r="G562" s="94" t="n"/>
      <c r="H562" s="46" t="n"/>
      <c r="I562" s="46" t="n"/>
      <c r="J562" s="46" t="n"/>
      <c r="K562" s="46" t="n"/>
      <c r="L562" s="95" t="n"/>
      <c r="M562" s="95" t="n"/>
      <c r="N562" s="95" t="n"/>
      <c r="O562" s="95" t="n"/>
      <c r="P562" s="95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  <c r="Z562" s="46" t="n"/>
    </row>
    <row r="563" ht="12.75" customHeight="1">
      <c r="A563" s="100" t="n"/>
      <c r="B563" s="101" t="n"/>
      <c r="C563" s="102" t="n"/>
      <c r="D563" s="99" t="n"/>
      <c r="E563" s="95" t="n"/>
      <c r="F563" s="95" t="n"/>
      <c r="G563" s="94" t="n"/>
      <c r="H563" s="46" t="n"/>
      <c r="I563" s="46" t="n"/>
      <c r="J563" s="46" t="n"/>
      <c r="K563" s="46" t="n"/>
      <c r="L563" s="95" t="n"/>
      <c r="M563" s="95" t="n"/>
      <c r="N563" s="95" t="n"/>
      <c r="O563" s="95" t="n"/>
      <c r="P563" s="95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  <c r="Z563" s="46" t="n"/>
    </row>
    <row r="564" ht="12.75" customHeight="1">
      <c r="A564" s="100" t="n"/>
      <c r="B564" s="101" t="n"/>
      <c r="C564" s="102" t="n"/>
      <c r="D564" s="99" t="n"/>
      <c r="E564" s="95" t="n"/>
      <c r="F564" s="95" t="n"/>
      <c r="G564" s="94" t="n"/>
      <c r="H564" s="46" t="n"/>
      <c r="I564" s="46" t="n"/>
      <c r="J564" s="46" t="n"/>
      <c r="K564" s="46" t="n"/>
      <c r="L564" s="95" t="n"/>
      <c r="M564" s="95" t="n"/>
      <c r="N564" s="95" t="n"/>
      <c r="O564" s="95" t="n"/>
      <c r="P564" s="95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  <c r="Z564" s="46" t="n"/>
    </row>
    <row r="565" ht="12.75" customHeight="1">
      <c r="A565" s="100" t="n"/>
      <c r="B565" s="101" t="n"/>
      <c r="C565" s="102" t="n"/>
      <c r="D565" s="99" t="n"/>
      <c r="E565" s="95" t="n"/>
      <c r="F565" s="95" t="n"/>
      <c r="G565" s="94" t="n"/>
      <c r="H565" s="46" t="n"/>
      <c r="I565" s="46" t="n"/>
      <c r="J565" s="46" t="n"/>
      <c r="K565" s="46" t="n"/>
      <c r="L565" s="95" t="n"/>
      <c r="M565" s="95" t="n"/>
      <c r="N565" s="95" t="n"/>
      <c r="O565" s="95" t="n"/>
      <c r="P565" s="95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  <c r="Z565" s="46" t="n"/>
    </row>
    <row r="566" ht="12.75" customHeight="1">
      <c r="A566" s="100" t="n"/>
      <c r="B566" s="101" t="n"/>
      <c r="C566" s="102" t="n"/>
      <c r="D566" s="99" t="n"/>
      <c r="E566" s="95" t="n"/>
      <c r="F566" s="95" t="n"/>
      <c r="G566" s="94" t="n"/>
      <c r="H566" s="46" t="n"/>
      <c r="I566" s="46" t="n"/>
      <c r="J566" s="46" t="n"/>
      <c r="K566" s="46" t="n"/>
      <c r="L566" s="95" t="n"/>
      <c r="M566" s="95" t="n"/>
      <c r="N566" s="95" t="n"/>
      <c r="O566" s="95" t="n"/>
      <c r="P566" s="95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  <c r="Z566" s="46" t="n"/>
    </row>
    <row r="567" ht="12.75" customHeight="1">
      <c r="A567" s="100" t="n"/>
      <c r="B567" s="101" t="n"/>
      <c r="C567" s="102" t="n"/>
      <c r="D567" s="99" t="n"/>
      <c r="E567" s="95" t="n"/>
      <c r="F567" s="95" t="n"/>
      <c r="G567" s="94" t="n"/>
      <c r="H567" s="46" t="n"/>
      <c r="I567" s="46" t="n"/>
      <c r="J567" s="46" t="n"/>
      <c r="K567" s="46" t="n"/>
      <c r="L567" s="95" t="n"/>
      <c r="M567" s="95" t="n"/>
      <c r="N567" s="95" t="n"/>
      <c r="O567" s="95" t="n"/>
      <c r="P567" s="95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  <c r="Z567" s="46" t="n"/>
    </row>
    <row r="568" ht="12.75" customHeight="1">
      <c r="A568" s="100" t="n"/>
      <c r="B568" s="101" t="n"/>
      <c r="C568" s="102" t="n"/>
      <c r="D568" s="99" t="n"/>
      <c r="E568" s="95" t="n"/>
      <c r="F568" s="95" t="n"/>
      <c r="G568" s="94" t="n"/>
      <c r="H568" s="46" t="n"/>
      <c r="I568" s="46" t="n"/>
      <c r="J568" s="46" t="n"/>
      <c r="K568" s="46" t="n"/>
      <c r="L568" s="95" t="n"/>
      <c r="M568" s="95" t="n"/>
      <c r="N568" s="95" t="n"/>
      <c r="O568" s="95" t="n"/>
      <c r="P568" s="95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  <c r="Z568" s="46" t="n"/>
    </row>
    <row r="569" ht="12.75" customHeight="1">
      <c r="A569" s="100" t="n"/>
      <c r="B569" s="101" t="n"/>
      <c r="C569" s="102" t="n"/>
      <c r="D569" s="99" t="n"/>
      <c r="E569" s="95" t="n"/>
      <c r="F569" s="95" t="n"/>
      <c r="G569" s="94" t="n"/>
      <c r="H569" s="46" t="n"/>
      <c r="I569" s="46" t="n"/>
      <c r="J569" s="46" t="n"/>
      <c r="K569" s="46" t="n"/>
      <c r="L569" s="95" t="n"/>
      <c r="M569" s="95" t="n"/>
      <c r="N569" s="95" t="n"/>
      <c r="O569" s="95" t="n"/>
      <c r="P569" s="95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  <c r="Z569" s="46" t="n"/>
    </row>
    <row r="570" ht="12.75" customHeight="1">
      <c r="A570" s="100" t="n"/>
      <c r="B570" s="101" t="n"/>
      <c r="C570" s="102" t="n"/>
      <c r="D570" s="99" t="n"/>
      <c r="E570" s="95" t="n"/>
      <c r="F570" s="95" t="n"/>
      <c r="G570" s="94" t="n"/>
      <c r="H570" s="46" t="n"/>
      <c r="I570" s="46" t="n"/>
      <c r="J570" s="46" t="n"/>
      <c r="K570" s="46" t="n"/>
      <c r="L570" s="95" t="n"/>
      <c r="M570" s="95" t="n"/>
      <c r="N570" s="95" t="n"/>
      <c r="O570" s="95" t="n"/>
      <c r="P570" s="95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  <c r="Z570" s="46" t="n"/>
    </row>
    <row r="571" ht="12.75" customHeight="1">
      <c r="A571" s="100" t="n"/>
      <c r="B571" s="101" t="n"/>
      <c r="C571" s="102" t="n"/>
      <c r="D571" s="99" t="n"/>
      <c r="E571" s="95" t="n"/>
      <c r="F571" s="95" t="n"/>
      <c r="G571" s="94" t="n"/>
      <c r="H571" s="46" t="n"/>
      <c r="I571" s="46" t="n"/>
      <c r="J571" s="46" t="n"/>
      <c r="K571" s="46" t="n"/>
      <c r="L571" s="95" t="n"/>
      <c r="M571" s="95" t="n"/>
      <c r="N571" s="95" t="n"/>
      <c r="O571" s="95" t="n"/>
      <c r="P571" s="95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  <c r="Z571" s="46" t="n"/>
    </row>
    <row r="572" ht="12.75" customHeight="1">
      <c r="A572" s="100" t="n"/>
      <c r="B572" s="101" t="n"/>
      <c r="C572" s="102" t="n"/>
      <c r="D572" s="99" t="n"/>
      <c r="E572" s="95" t="n"/>
      <c r="F572" s="95" t="n"/>
      <c r="G572" s="94" t="n"/>
      <c r="H572" s="46" t="n"/>
      <c r="I572" s="46" t="n"/>
      <c r="J572" s="46" t="n"/>
      <c r="K572" s="46" t="n"/>
      <c r="L572" s="95" t="n"/>
      <c r="M572" s="95" t="n"/>
      <c r="N572" s="95" t="n"/>
      <c r="O572" s="95" t="n"/>
      <c r="P572" s="95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  <c r="Z572" s="46" t="n"/>
    </row>
    <row r="573" ht="12.75" customHeight="1">
      <c r="A573" s="100" t="n"/>
      <c r="B573" s="101" t="n"/>
      <c r="C573" s="102" t="n"/>
      <c r="D573" s="99" t="n"/>
      <c r="E573" s="95" t="n"/>
      <c r="F573" s="95" t="n"/>
      <c r="G573" s="94" t="n"/>
      <c r="H573" s="46" t="n"/>
      <c r="I573" s="46" t="n"/>
      <c r="J573" s="46" t="n"/>
      <c r="K573" s="46" t="n"/>
      <c r="L573" s="95" t="n"/>
      <c r="M573" s="95" t="n"/>
      <c r="N573" s="95" t="n"/>
      <c r="O573" s="95" t="n"/>
      <c r="P573" s="95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  <c r="Z573" s="46" t="n"/>
    </row>
    <row r="574" ht="12.75" customHeight="1">
      <c r="A574" s="100" t="n"/>
      <c r="B574" s="101" t="n"/>
      <c r="C574" s="102" t="n"/>
      <c r="D574" s="99" t="n"/>
      <c r="E574" s="95" t="n"/>
      <c r="F574" s="95" t="n"/>
      <c r="G574" s="94" t="n"/>
      <c r="H574" s="46" t="n"/>
      <c r="I574" s="46" t="n"/>
      <c r="J574" s="46" t="n"/>
      <c r="K574" s="46" t="n"/>
      <c r="L574" s="95" t="n"/>
      <c r="M574" s="95" t="n"/>
      <c r="N574" s="95" t="n"/>
      <c r="O574" s="95" t="n"/>
      <c r="P574" s="95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  <c r="Z574" s="46" t="n"/>
    </row>
    <row r="575" ht="12.75" customHeight="1">
      <c r="A575" s="100" t="n"/>
      <c r="B575" s="101" t="n"/>
      <c r="C575" s="102" t="n"/>
      <c r="D575" s="99" t="n"/>
      <c r="E575" s="95" t="n"/>
      <c r="F575" s="95" t="n"/>
      <c r="G575" s="94" t="n"/>
      <c r="H575" s="46" t="n"/>
      <c r="I575" s="46" t="n"/>
      <c r="J575" s="46" t="n"/>
      <c r="K575" s="46" t="n"/>
      <c r="L575" s="95" t="n"/>
      <c r="M575" s="95" t="n"/>
      <c r="N575" s="95" t="n"/>
      <c r="O575" s="95" t="n"/>
      <c r="P575" s="95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  <c r="Z575" s="46" t="n"/>
    </row>
    <row r="576" ht="12.75" customHeight="1">
      <c r="A576" s="100" t="n"/>
      <c r="B576" s="101" t="n"/>
      <c r="C576" s="102" t="n"/>
      <c r="D576" s="99" t="n"/>
      <c r="E576" s="95" t="n"/>
      <c r="F576" s="95" t="n"/>
      <c r="G576" s="94" t="n"/>
      <c r="H576" s="46" t="n"/>
      <c r="I576" s="46" t="n"/>
      <c r="J576" s="46" t="n"/>
      <c r="K576" s="46" t="n"/>
      <c r="L576" s="95" t="n"/>
      <c r="M576" s="95" t="n"/>
      <c r="N576" s="95" t="n"/>
      <c r="O576" s="95" t="n"/>
      <c r="P576" s="95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  <c r="Z576" s="46" t="n"/>
    </row>
    <row r="577" ht="12.75" customHeight="1">
      <c r="A577" s="100" t="n"/>
      <c r="B577" s="101" t="n"/>
      <c r="C577" s="102" t="n"/>
      <c r="D577" s="99" t="n"/>
      <c r="E577" s="95" t="n"/>
      <c r="F577" s="95" t="n"/>
      <c r="G577" s="94" t="n"/>
      <c r="H577" s="46" t="n"/>
      <c r="I577" s="46" t="n"/>
      <c r="J577" s="46" t="n"/>
      <c r="K577" s="46" t="n"/>
      <c r="L577" s="95" t="n"/>
      <c r="M577" s="95" t="n"/>
      <c r="N577" s="95" t="n"/>
      <c r="O577" s="95" t="n"/>
      <c r="P577" s="95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  <c r="Z577" s="46" t="n"/>
    </row>
    <row r="578" ht="12.75" customHeight="1">
      <c r="A578" s="100" t="n"/>
      <c r="B578" s="101" t="n"/>
      <c r="C578" s="102" t="n"/>
      <c r="D578" s="99" t="n"/>
      <c r="E578" s="95" t="n"/>
      <c r="F578" s="95" t="n"/>
      <c r="G578" s="94" t="n"/>
      <c r="H578" s="46" t="n"/>
      <c r="I578" s="46" t="n"/>
      <c r="J578" s="46" t="n"/>
      <c r="K578" s="46" t="n"/>
      <c r="L578" s="95" t="n"/>
      <c r="M578" s="95" t="n"/>
      <c r="N578" s="95" t="n"/>
      <c r="O578" s="95" t="n"/>
      <c r="P578" s="95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  <c r="Z578" s="46" t="n"/>
    </row>
    <row r="579" ht="12.75" customHeight="1">
      <c r="A579" s="100" t="n"/>
      <c r="B579" s="101" t="n"/>
      <c r="C579" s="102" t="n"/>
      <c r="D579" s="99" t="n"/>
      <c r="E579" s="95" t="n"/>
      <c r="F579" s="95" t="n"/>
      <c r="G579" s="94" t="n"/>
      <c r="H579" s="46" t="n"/>
      <c r="I579" s="46" t="n"/>
      <c r="J579" s="46" t="n"/>
      <c r="K579" s="46" t="n"/>
      <c r="L579" s="95" t="n"/>
      <c r="M579" s="95" t="n"/>
      <c r="N579" s="95" t="n"/>
      <c r="O579" s="95" t="n"/>
      <c r="P579" s="95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  <c r="Z579" s="46" t="n"/>
    </row>
    <row r="580" ht="12.75" customHeight="1">
      <c r="A580" s="100" t="n"/>
      <c r="B580" s="101" t="n"/>
      <c r="C580" s="102" t="n"/>
      <c r="D580" s="99" t="n"/>
      <c r="E580" s="95" t="n"/>
      <c r="F580" s="95" t="n"/>
      <c r="G580" s="94" t="n"/>
      <c r="H580" s="46" t="n"/>
      <c r="I580" s="46" t="n"/>
      <c r="J580" s="46" t="n"/>
      <c r="K580" s="46" t="n"/>
      <c r="L580" s="95" t="n"/>
      <c r="M580" s="95" t="n"/>
      <c r="N580" s="95" t="n"/>
      <c r="O580" s="95" t="n"/>
      <c r="P580" s="95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  <c r="Z580" s="46" t="n"/>
    </row>
    <row r="581" ht="12.75" customHeight="1">
      <c r="A581" s="100" t="n"/>
      <c r="B581" s="101" t="n"/>
      <c r="C581" s="102" t="n"/>
      <c r="D581" s="99" t="n"/>
      <c r="E581" s="95" t="n"/>
      <c r="F581" s="95" t="n"/>
      <c r="G581" s="94" t="n"/>
      <c r="H581" s="46" t="n"/>
      <c r="I581" s="46" t="n"/>
      <c r="J581" s="46" t="n"/>
      <c r="K581" s="46" t="n"/>
      <c r="L581" s="95" t="n"/>
      <c r="M581" s="95" t="n"/>
      <c r="N581" s="95" t="n"/>
      <c r="O581" s="95" t="n"/>
      <c r="P581" s="95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  <c r="Z581" s="46" t="n"/>
    </row>
    <row r="582" ht="12.75" customHeight="1">
      <c r="A582" s="100" t="n"/>
      <c r="B582" s="101" t="n"/>
      <c r="C582" s="102" t="n"/>
      <c r="D582" s="99" t="n"/>
      <c r="E582" s="95" t="n"/>
      <c r="F582" s="95" t="n"/>
      <c r="G582" s="94" t="n"/>
      <c r="H582" s="46" t="n"/>
      <c r="I582" s="46" t="n"/>
      <c r="J582" s="46" t="n"/>
      <c r="K582" s="46" t="n"/>
      <c r="L582" s="95" t="n"/>
      <c r="M582" s="95" t="n"/>
      <c r="N582" s="95" t="n"/>
      <c r="O582" s="95" t="n"/>
      <c r="P582" s="95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  <c r="Z582" s="46" t="n"/>
    </row>
    <row r="583" ht="12.75" customHeight="1">
      <c r="A583" s="100" t="n"/>
      <c r="B583" s="101" t="n"/>
      <c r="C583" s="102" t="n"/>
      <c r="D583" s="99" t="n"/>
      <c r="E583" s="95" t="n"/>
      <c r="F583" s="95" t="n"/>
      <c r="G583" s="94" t="n"/>
      <c r="H583" s="46" t="n"/>
      <c r="I583" s="46" t="n"/>
      <c r="J583" s="46" t="n"/>
      <c r="K583" s="46" t="n"/>
      <c r="L583" s="95" t="n"/>
      <c r="M583" s="95" t="n"/>
      <c r="N583" s="95" t="n"/>
      <c r="O583" s="95" t="n"/>
      <c r="P583" s="95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  <c r="Z583" s="46" t="n"/>
    </row>
    <row r="584" ht="12.75" customHeight="1">
      <c r="A584" s="100" t="n"/>
      <c r="B584" s="101" t="n"/>
      <c r="C584" s="102" t="n"/>
      <c r="D584" s="99" t="n"/>
      <c r="E584" s="95" t="n"/>
      <c r="F584" s="95" t="n"/>
      <c r="G584" s="94" t="n"/>
      <c r="H584" s="46" t="n"/>
      <c r="I584" s="46" t="n"/>
      <c r="J584" s="46" t="n"/>
      <c r="K584" s="46" t="n"/>
      <c r="L584" s="95" t="n"/>
      <c r="M584" s="95" t="n"/>
      <c r="N584" s="95" t="n"/>
      <c r="O584" s="95" t="n"/>
      <c r="P584" s="95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  <c r="Z584" s="46" t="n"/>
    </row>
    <row r="585" ht="12.75" customHeight="1">
      <c r="A585" s="100" t="n"/>
      <c r="B585" s="101" t="n"/>
      <c r="C585" s="102" t="n"/>
      <c r="D585" s="99" t="n"/>
      <c r="E585" s="95" t="n"/>
      <c r="F585" s="95" t="n"/>
      <c r="G585" s="94" t="n"/>
      <c r="H585" s="46" t="n"/>
      <c r="I585" s="46" t="n"/>
      <c r="J585" s="46" t="n"/>
      <c r="K585" s="46" t="n"/>
      <c r="L585" s="95" t="n"/>
      <c r="M585" s="95" t="n"/>
      <c r="N585" s="95" t="n"/>
      <c r="O585" s="95" t="n"/>
      <c r="P585" s="95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  <c r="Z585" s="46" t="n"/>
    </row>
    <row r="586" ht="12.75" customHeight="1">
      <c r="A586" s="100" t="n"/>
      <c r="B586" s="101" t="n"/>
      <c r="C586" s="102" t="n"/>
      <c r="D586" s="99" t="n"/>
      <c r="E586" s="95" t="n"/>
      <c r="F586" s="95" t="n"/>
      <c r="G586" s="94" t="n"/>
      <c r="H586" s="46" t="n"/>
      <c r="I586" s="46" t="n"/>
      <c r="J586" s="46" t="n"/>
      <c r="K586" s="46" t="n"/>
      <c r="L586" s="95" t="n"/>
      <c r="M586" s="95" t="n"/>
      <c r="N586" s="95" t="n"/>
      <c r="O586" s="95" t="n"/>
      <c r="P586" s="95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  <c r="Z586" s="46" t="n"/>
    </row>
    <row r="587" ht="12.75" customHeight="1">
      <c r="A587" s="100" t="n"/>
      <c r="B587" s="101" t="n"/>
      <c r="C587" s="102" t="n"/>
      <c r="D587" s="99" t="n"/>
      <c r="E587" s="95" t="n"/>
      <c r="F587" s="95" t="n"/>
      <c r="G587" s="94" t="n"/>
      <c r="H587" s="46" t="n"/>
      <c r="I587" s="46" t="n"/>
      <c r="J587" s="46" t="n"/>
      <c r="K587" s="46" t="n"/>
      <c r="L587" s="95" t="n"/>
      <c r="M587" s="95" t="n"/>
      <c r="N587" s="95" t="n"/>
      <c r="O587" s="95" t="n"/>
      <c r="P587" s="95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  <c r="Z587" s="46" t="n"/>
    </row>
    <row r="588" ht="12.75" customHeight="1">
      <c r="A588" s="100" t="n"/>
      <c r="B588" s="101" t="n"/>
      <c r="C588" s="102" t="n"/>
      <c r="D588" s="99" t="n"/>
      <c r="E588" s="95" t="n"/>
      <c r="F588" s="95" t="n"/>
      <c r="G588" s="94" t="n"/>
      <c r="H588" s="46" t="n"/>
      <c r="I588" s="46" t="n"/>
      <c r="J588" s="46" t="n"/>
      <c r="K588" s="46" t="n"/>
      <c r="L588" s="95" t="n"/>
      <c r="M588" s="95" t="n"/>
      <c r="N588" s="95" t="n"/>
      <c r="O588" s="95" t="n"/>
      <c r="P588" s="95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  <c r="Z588" s="46" t="n"/>
    </row>
    <row r="589" ht="12.75" customHeight="1">
      <c r="A589" s="100" t="n"/>
      <c r="B589" s="101" t="n"/>
      <c r="C589" s="102" t="n"/>
      <c r="D589" s="99" t="n"/>
      <c r="E589" s="95" t="n"/>
      <c r="F589" s="95" t="n"/>
      <c r="G589" s="94" t="n"/>
      <c r="H589" s="46" t="n"/>
      <c r="I589" s="46" t="n"/>
      <c r="J589" s="46" t="n"/>
      <c r="K589" s="46" t="n"/>
      <c r="L589" s="95" t="n"/>
      <c r="M589" s="95" t="n"/>
      <c r="N589" s="95" t="n"/>
      <c r="O589" s="95" t="n"/>
      <c r="P589" s="95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  <c r="Z589" s="46" t="n"/>
    </row>
    <row r="590" ht="12.75" customHeight="1">
      <c r="A590" s="100" t="n"/>
      <c r="B590" s="101" t="n"/>
      <c r="C590" s="102" t="n"/>
      <c r="D590" s="99" t="n"/>
      <c r="E590" s="95" t="n"/>
      <c r="F590" s="95" t="n"/>
      <c r="G590" s="94" t="n"/>
      <c r="H590" s="46" t="n"/>
      <c r="I590" s="46" t="n"/>
      <c r="J590" s="46" t="n"/>
      <c r="K590" s="46" t="n"/>
      <c r="L590" s="95" t="n"/>
      <c r="M590" s="95" t="n"/>
      <c r="N590" s="95" t="n"/>
      <c r="O590" s="95" t="n"/>
      <c r="P590" s="95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  <c r="Z590" s="46" t="n"/>
    </row>
    <row r="591" ht="12.75" customHeight="1">
      <c r="A591" s="100" t="n"/>
      <c r="B591" s="101" t="n"/>
      <c r="C591" s="102" t="n"/>
      <c r="D591" s="99" t="n"/>
      <c r="E591" s="95" t="n"/>
      <c r="F591" s="95" t="n"/>
      <c r="G591" s="94" t="n"/>
      <c r="H591" s="46" t="n"/>
      <c r="I591" s="46" t="n"/>
      <c r="J591" s="46" t="n"/>
      <c r="K591" s="46" t="n"/>
      <c r="L591" s="95" t="n"/>
      <c r="M591" s="95" t="n"/>
      <c r="N591" s="95" t="n"/>
      <c r="O591" s="95" t="n"/>
      <c r="P591" s="95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  <c r="Z591" s="46" t="n"/>
    </row>
    <row r="592" ht="12.75" customHeight="1">
      <c r="A592" s="100" t="n"/>
      <c r="B592" s="101" t="n"/>
      <c r="C592" s="102" t="n"/>
      <c r="D592" s="99" t="n"/>
      <c r="E592" s="95" t="n"/>
      <c r="F592" s="95" t="n"/>
      <c r="G592" s="94" t="n"/>
      <c r="H592" s="46" t="n"/>
      <c r="I592" s="46" t="n"/>
      <c r="J592" s="46" t="n"/>
      <c r="K592" s="46" t="n"/>
      <c r="L592" s="95" t="n"/>
      <c r="M592" s="95" t="n"/>
      <c r="N592" s="95" t="n"/>
      <c r="O592" s="95" t="n"/>
      <c r="P592" s="95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  <c r="Z592" s="46" t="n"/>
    </row>
    <row r="593" ht="12.75" customHeight="1">
      <c r="A593" s="100" t="n"/>
      <c r="B593" s="101" t="n"/>
      <c r="C593" s="102" t="n"/>
      <c r="D593" s="99" t="n"/>
      <c r="E593" s="95" t="n"/>
      <c r="F593" s="95" t="n"/>
      <c r="G593" s="94" t="n"/>
      <c r="H593" s="46" t="n"/>
      <c r="I593" s="46" t="n"/>
      <c r="J593" s="46" t="n"/>
      <c r="K593" s="46" t="n"/>
      <c r="L593" s="95" t="n"/>
      <c r="M593" s="95" t="n"/>
      <c r="N593" s="95" t="n"/>
      <c r="O593" s="95" t="n"/>
      <c r="P593" s="95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  <c r="Z593" s="46" t="n"/>
    </row>
    <row r="594" ht="12.75" customHeight="1">
      <c r="A594" s="100" t="n"/>
      <c r="B594" s="101" t="n"/>
      <c r="C594" s="102" t="n"/>
      <c r="D594" s="99" t="n"/>
      <c r="E594" s="95" t="n"/>
      <c r="F594" s="95" t="n"/>
      <c r="G594" s="94" t="n"/>
      <c r="H594" s="46" t="n"/>
      <c r="I594" s="46" t="n"/>
      <c r="J594" s="46" t="n"/>
      <c r="K594" s="46" t="n"/>
      <c r="L594" s="95" t="n"/>
      <c r="M594" s="95" t="n"/>
      <c r="N594" s="95" t="n"/>
      <c r="O594" s="95" t="n"/>
      <c r="P594" s="95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  <c r="Z594" s="46" t="n"/>
    </row>
    <row r="595" ht="12.75" customHeight="1">
      <c r="A595" s="100" t="n"/>
      <c r="B595" s="101" t="n"/>
      <c r="C595" s="102" t="n"/>
      <c r="D595" s="99" t="n"/>
      <c r="E595" s="95" t="n"/>
      <c r="F595" s="95" t="n"/>
      <c r="G595" s="94" t="n"/>
      <c r="H595" s="46" t="n"/>
      <c r="I595" s="46" t="n"/>
      <c r="J595" s="46" t="n"/>
      <c r="K595" s="46" t="n"/>
      <c r="L595" s="95" t="n"/>
      <c r="M595" s="95" t="n"/>
      <c r="N595" s="95" t="n"/>
      <c r="O595" s="95" t="n"/>
      <c r="P595" s="95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  <c r="Z595" s="46" t="n"/>
    </row>
    <row r="596" ht="12.75" customHeight="1">
      <c r="A596" s="100" t="n"/>
      <c r="B596" s="101" t="n"/>
      <c r="C596" s="102" t="n"/>
      <c r="D596" s="99" t="n"/>
      <c r="E596" s="95" t="n"/>
      <c r="F596" s="95" t="n"/>
      <c r="G596" s="94" t="n"/>
      <c r="H596" s="46" t="n"/>
      <c r="I596" s="46" t="n"/>
      <c r="J596" s="46" t="n"/>
      <c r="K596" s="46" t="n"/>
      <c r="L596" s="95" t="n"/>
      <c r="M596" s="95" t="n"/>
      <c r="N596" s="95" t="n"/>
      <c r="O596" s="95" t="n"/>
      <c r="P596" s="95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  <c r="Z596" s="46" t="n"/>
    </row>
    <row r="597" ht="12.75" customHeight="1">
      <c r="A597" s="100" t="n"/>
      <c r="B597" s="101" t="n"/>
      <c r="C597" s="102" t="n"/>
      <c r="D597" s="99" t="n"/>
      <c r="E597" s="95" t="n"/>
      <c r="F597" s="95" t="n"/>
      <c r="G597" s="94" t="n"/>
      <c r="H597" s="46" t="n"/>
      <c r="I597" s="46" t="n"/>
      <c r="J597" s="46" t="n"/>
      <c r="K597" s="46" t="n"/>
      <c r="L597" s="95" t="n"/>
      <c r="M597" s="95" t="n"/>
      <c r="N597" s="95" t="n"/>
      <c r="O597" s="95" t="n"/>
      <c r="P597" s="95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  <c r="Z597" s="46" t="n"/>
    </row>
    <row r="598" ht="12.75" customHeight="1">
      <c r="A598" s="100" t="n"/>
      <c r="B598" s="101" t="n"/>
      <c r="C598" s="102" t="n"/>
      <c r="D598" s="99" t="n"/>
      <c r="E598" s="95" t="n"/>
      <c r="F598" s="95" t="n"/>
      <c r="G598" s="94" t="n"/>
      <c r="H598" s="46" t="n"/>
      <c r="I598" s="46" t="n"/>
      <c r="J598" s="46" t="n"/>
      <c r="K598" s="46" t="n"/>
      <c r="L598" s="95" t="n"/>
      <c r="M598" s="95" t="n"/>
      <c r="N598" s="95" t="n"/>
      <c r="O598" s="95" t="n"/>
      <c r="P598" s="95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  <c r="Z598" s="46" t="n"/>
    </row>
    <row r="599" ht="12.75" customHeight="1">
      <c r="A599" s="100" t="n"/>
      <c r="B599" s="101" t="n"/>
      <c r="C599" s="102" t="n"/>
      <c r="D599" s="99" t="n"/>
      <c r="E599" s="95" t="n"/>
      <c r="F599" s="95" t="n"/>
      <c r="G599" s="94" t="n"/>
      <c r="H599" s="46" t="n"/>
      <c r="I599" s="46" t="n"/>
      <c r="J599" s="46" t="n"/>
      <c r="K599" s="46" t="n"/>
      <c r="L599" s="95" t="n"/>
      <c r="M599" s="95" t="n"/>
      <c r="N599" s="95" t="n"/>
      <c r="O599" s="95" t="n"/>
      <c r="P599" s="95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  <c r="Z599" s="46" t="n"/>
    </row>
    <row r="600" ht="12.75" customHeight="1">
      <c r="A600" s="100" t="n"/>
      <c r="B600" s="101" t="n"/>
      <c r="C600" s="102" t="n"/>
      <c r="D600" s="99" t="n"/>
      <c r="E600" s="95" t="n"/>
      <c r="F600" s="95" t="n"/>
      <c r="G600" s="94" t="n"/>
      <c r="H600" s="46" t="n"/>
      <c r="I600" s="46" t="n"/>
      <c r="J600" s="46" t="n"/>
      <c r="K600" s="46" t="n"/>
      <c r="L600" s="95" t="n"/>
      <c r="M600" s="95" t="n"/>
      <c r="N600" s="95" t="n"/>
      <c r="O600" s="95" t="n"/>
      <c r="P600" s="95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  <c r="Z600" s="46" t="n"/>
    </row>
    <row r="601" ht="12.75" customHeight="1">
      <c r="A601" s="100" t="n"/>
      <c r="B601" s="101" t="n"/>
      <c r="C601" s="102" t="n"/>
      <c r="D601" s="99" t="n"/>
      <c r="E601" s="95" t="n"/>
      <c r="F601" s="95" t="n"/>
      <c r="G601" s="94" t="n"/>
      <c r="H601" s="46" t="n"/>
      <c r="I601" s="46" t="n"/>
      <c r="J601" s="46" t="n"/>
      <c r="K601" s="46" t="n"/>
      <c r="L601" s="95" t="n"/>
      <c r="M601" s="95" t="n"/>
      <c r="N601" s="95" t="n"/>
      <c r="O601" s="95" t="n"/>
      <c r="P601" s="95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  <c r="Z601" s="46" t="n"/>
    </row>
    <row r="602" ht="12.75" customHeight="1">
      <c r="A602" s="100" t="n"/>
      <c r="B602" s="101" t="n"/>
      <c r="C602" s="102" t="n"/>
      <c r="D602" s="99" t="n"/>
      <c r="E602" s="95" t="n"/>
      <c r="F602" s="95" t="n"/>
      <c r="G602" s="94" t="n"/>
      <c r="H602" s="46" t="n"/>
      <c r="I602" s="46" t="n"/>
      <c r="J602" s="46" t="n"/>
      <c r="K602" s="46" t="n"/>
      <c r="L602" s="95" t="n"/>
      <c r="M602" s="95" t="n"/>
      <c r="N602" s="95" t="n"/>
      <c r="O602" s="95" t="n"/>
      <c r="P602" s="95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  <c r="Z602" s="46" t="n"/>
    </row>
    <row r="603" ht="12.75" customHeight="1">
      <c r="A603" s="100" t="n"/>
      <c r="B603" s="101" t="n"/>
      <c r="C603" s="102" t="n"/>
      <c r="D603" s="99" t="n"/>
      <c r="E603" s="95" t="n"/>
      <c r="F603" s="95" t="n"/>
      <c r="G603" s="94" t="n"/>
      <c r="H603" s="46" t="n"/>
      <c r="I603" s="46" t="n"/>
      <c r="J603" s="46" t="n"/>
      <c r="K603" s="46" t="n"/>
      <c r="L603" s="95" t="n"/>
      <c r="M603" s="95" t="n"/>
      <c r="N603" s="95" t="n"/>
      <c r="O603" s="95" t="n"/>
      <c r="P603" s="95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  <c r="Z603" s="46" t="n"/>
    </row>
    <row r="604" ht="12.75" customHeight="1">
      <c r="A604" s="100" t="n"/>
      <c r="B604" s="101" t="n"/>
      <c r="C604" s="102" t="n"/>
      <c r="D604" s="99" t="n"/>
      <c r="E604" s="95" t="n"/>
      <c r="F604" s="95" t="n"/>
      <c r="G604" s="94" t="n"/>
      <c r="H604" s="46" t="n"/>
      <c r="I604" s="46" t="n"/>
      <c r="J604" s="46" t="n"/>
      <c r="K604" s="46" t="n"/>
      <c r="L604" s="95" t="n"/>
      <c r="M604" s="95" t="n"/>
      <c r="N604" s="95" t="n"/>
      <c r="O604" s="95" t="n"/>
      <c r="P604" s="95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  <c r="Z604" s="46" t="n"/>
    </row>
    <row r="605" ht="12.75" customHeight="1">
      <c r="A605" s="100" t="n"/>
      <c r="B605" s="101" t="n"/>
      <c r="C605" s="102" t="n"/>
      <c r="D605" s="99" t="n"/>
      <c r="E605" s="95" t="n"/>
      <c r="F605" s="95" t="n"/>
      <c r="G605" s="94" t="n"/>
      <c r="H605" s="46" t="n"/>
      <c r="I605" s="46" t="n"/>
      <c r="J605" s="46" t="n"/>
      <c r="K605" s="46" t="n"/>
      <c r="L605" s="95" t="n"/>
      <c r="M605" s="95" t="n"/>
      <c r="N605" s="95" t="n"/>
      <c r="O605" s="95" t="n"/>
      <c r="P605" s="95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  <c r="Z605" s="46" t="n"/>
    </row>
    <row r="606" ht="12.75" customHeight="1">
      <c r="A606" s="100" t="n"/>
      <c r="B606" s="101" t="n"/>
      <c r="C606" s="102" t="n"/>
      <c r="D606" s="99" t="n"/>
      <c r="E606" s="95" t="n"/>
      <c r="F606" s="95" t="n"/>
      <c r="G606" s="94" t="n"/>
      <c r="H606" s="46" t="n"/>
      <c r="I606" s="46" t="n"/>
      <c r="J606" s="46" t="n"/>
      <c r="K606" s="46" t="n"/>
      <c r="L606" s="95" t="n"/>
      <c r="M606" s="95" t="n"/>
      <c r="N606" s="95" t="n"/>
      <c r="O606" s="95" t="n"/>
      <c r="P606" s="95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  <c r="Z606" s="46" t="n"/>
    </row>
    <row r="607" ht="12.75" customHeight="1">
      <c r="A607" s="100" t="n"/>
      <c r="B607" s="101" t="n"/>
      <c r="C607" s="102" t="n"/>
      <c r="D607" s="99" t="n"/>
      <c r="E607" s="95" t="n"/>
      <c r="F607" s="95" t="n"/>
      <c r="G607" s="94" t="n"/>
      <c r="H607" s="46" t="n"/>
      <c r="I607" s="46" t="n"/>
      <c r="J607" s="46" t="n"/>
      <c r="K607" s="46" t="n"/>
      <c r="L607" s="95" t="n"/>
      <c r="M607" s="95" t="n"/>
      <c r="N607" s="95" t="n"/>
      <c r="O607" s="95" t="n"/>
      <c r="P607" s="95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  <c r="Z607" s="46" t="n"/>
    </row>
    <row r="608" ht="12.75" customHeight="1">
      <c r="A608" s="100" t="n"/>
      <c r="B608" s="101" t="n"/>
      <c r="C608" s="102" t="n"/>
      <c r="D608" s="99" t="n"/>
      <c r="E608" s="95" t="n"/>
      <c r="F608" s="95" t="n"/>
      <c r="G608" s="94" t="n"/>
      <c r="H608" s="46" t="n"/>
      <c r="I608" s="46" t="n"/>
      <c r="J608" s="46" t="n"/>
      <c r="K608" s="46" t="n"/>
      <c r="L608" s="95" t="n"/>
      <c r="M608" s="95" t="n"/>
      <c r="N608" s="95" t="n"/>
      <c r="O608" s="95" t="n"/>
      <c r="P608" s="95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  <c r="Z608" s="46" t="n"/>
    </row>
    <row r="609" ht="12.75" customHeight="1">
      <c r="A609" s="100" t="n"/>
      <c r="B609" s="101" t="n"/>
      <c r="C609" s="102" t="n"/>
      <c r="D609" s="99" t="n"/>
      <c r="E609" s="95" t="n"/>
      <c r="F609" s="95" t="n"/>
      <c r="G609" s="94" t="n"/>
      <c r="H609" s="46" t="n"/>
      <c r="I609" s="46" t="n"/>
      <c r="J609" s="46" t="n"/>
      <c r="K609" s="46" t="n"/>
      <c r="L609" s="95" t="n"/>
      <c r="M609" s="95" t="n"/>
      <c r="N609" s="95" t="n"/>
      <c r="O609" s="95" t="n"/>
      <c r="P609" s="95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  <c r="Z609" s="46" t="n"/>
    </row>
    <row r="610" ht="12.75" customHeight="1">
      <c r="A610" s="100" t="n"/>
      <c r="B610" s="101" t="n"/>
      <c r="C610" s="102" t="n"/>
      <c r="D610" s="99" t="n"/>
      <c r="E610" s="95" t="n"/>
      <c r="F610" s="95" t="n"/>
      <c r="G610" s="94" t="n"/>
      <c r="H610" s="46" t="n"/>
      <c r="I610" s="46" t="n"/>
      <c r="J610" s="46" t="n"/>
      <c r="K610" s="46" t="n"/>
      <c r="L610" s="95" t="n"/>
      <c r="M610" s="95" t="n"/>
      <c r="N610" s="95" t="n"/>
      <c r="O610" s="95" t="n"/>
      <c r="P610" s="95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  <c r="Z610" s="46" t="n"/>
    </row>
    <row r="611" ht="12.75" customHeight="1">
      <c r="A611" s="100" t="n"/>
      <c r="B611" s="101" t="n"/>
      <c r="C611" s="102" t="n"/>
      <c r="D611" s="99" t="n"/>
      <c r="E611" s="95" t="n"/>
      <c r="F611" s="95" t="n"/>
      <c r="G611" s="94" t="n"/>
      <c r="H611" s="46" t="n"/>
      <c r="I611" s="46" t="n"/>
      <c r="J611" s="46" t="n"/>
      <c r="K611" s="46" t="n"/>
      <c r="L611" s="95" t="n"/>
      <c r="M611" s="95" t="n"/>
      <c r="N611" s="95" t="n"/>
      <c r="O611" s="95" t="n"/>
      <c r="P611" s="95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  <c r="Z611" s="46" t="n"/>
    </row>
    <row r="612" ht="12.75" customHeight="1">
      <c r="A612" s="100" t="n"/>
      <c r="B612" s="101" t="n"/>
      <c r="C612" s="102" t="n"/>
      <c r="D612" s="99" t="n"/>
      <c r="E612" s="95" t="n"/>
      <c r="F612" s="95" t="n"/>
      <c r="G612" s="94" t="n"/>
      <c r="H612" s="46" t="n"/>
      <c r="I612" s="46" t="n"/>
      <c r="J612" s="46" t="n"/>
      <c r="K612" s="46" t="n"/>
      <c r="L612" s="95" t="n"/>
      <c r="M612" s="95" t="n"/>
      <c r="N612" s="95" t="n"/>
      <c r="O612" s="95" t="n"/>
      <c r="P612" s="95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  <c r="Z612" s="46" t="n"/>
    </row>
    <row r="613" ht="12.75" customHeight="1">
      <c r="A613" s="100" t="n"/>
      <c r="B613" s="101" t="n"/>
      <c r="C613" s="102" t="n"/>
      <c r="D613" s="99" t="n"/>
      <c r="E613" s="95" t="n"/>
      <c r="F613" s="95" t="n"/>
      <c r="G613" s="94" t="n"/>
      <c r="H613" s="46" t="n"/>
      <c r="I613" s="46" t="n"/>
      <c r="J613" s="46" t="n"/>
      <c r="K613" s="46" t="n"/>
      <c r="L613" s="95" t="n"/>
      <c r="M613" s="95" t="n"/>
      <c r="N613" s="95" t="n"/>
      <c r="O613" s="95" t="n"/>
      <c r="P613" s="95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  <c r="Z613" s="46" t="n"/>
    </row>
    <row r="614" ht="12.75" customHeight="1">
      <c r="A614" s="100" t="n"/>
      <c r="B614" s="101" t="n"/>
      <c r="C614" s="102" t="n"/>
      <c r="D614" s="99" t="n"/>
      <c r="E614" s="95" t="n"/>
      <c r="F614" s="95" t="n"/>
      <c r="G614" s="94" t="n"/>
      <c r="H614" s="46" t="n"/>
      <c r="I614" s="46" t="n"/>
      <c r="J614" s="46" t="n"/>
      <c r="K614" s="46" t="n"/>
      <c r="L614" s="95" t="n"/>
      <c r="M614" s="95" t="n"/>
      <c r="N614" s="95" t="n"/>
      <c r="O614" s="95" t="n"/>
      <c r="P614" s="95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  <c r="Z614" s="46" t="n"/>
    </row>
    <row r="615" ht="12.75" customHeight="1">
      <c r="A615" s="100" t="n"/>
      <c r="B615" s="101" t="n"/>
      <c r="C615" s="102" t="n"/>
      <c r="D615" s="99" t="n"/>
      <c r="E615" s="95" t="n"/>
      <c r="F615" s="95" t="n"/>
      <c r="G615" s="94" t="n"/>
      <c r="H615" s="46" t="n"/>
      <c r="I615" s="46" t="n"/>
      <c r="J615" s="46" t="n"/>
      <c r="K615" s="46" t="n"/>
      <c r="L615" s="95" t="n"/>
      <c r="M615" s="95" t="n"/>
      <c r="N615" s="95" t="n"/>
      <c r="O615" s="95" t="n"/>
      <c r="P615" s="95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  <c r="Z615" s="46" t="n"/>
    </row>
    <row r="616" ht="12.75" customHeight="1">
      <c r="A616" s="100" t="n"/>
      <c r="B616" s="101" t="n"/>
      <c r="C616" s="102" t="n"/>
      <c r="D616" s="99" t="n"/>
      <c r="E616" s="95" t="n"/>
      <c r="F616" s="95" t="n"/>
      <c r="G616" s="94" t="n"/>
      <c r="H616" s="46" t="n"/>
      <c r="I616" s="46" t="n"/>
      <c r="J616" s="46" t="n"/>
      <c r="K616" s="46" t="n"/>
      <c r="L616" s="95" t="n"/>
      <c r="M616" s="95" t="n"/>
      <c r="N616" s="95" t="n"/>
      <c r="O616" s="95" t="n"/>
      <c r="P616" s="95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  <c r="Z616" s="46" t="n"/>
    </row>
    <row r="617" ht="12.75" customHeight="1">
      <c r="A617" s="100" t="n"/>
      <c r="B617" s="101" t="n"/>
      <c r="C617" s="102" t="n"/>
      <c r="D617" s="99" t="n"/>
      <c r="E617" s="95" t="n"/>
      <c r="F617" s="95" t="n"/>
      <c r="G617" s="94" t="n"/>
      <c r="H617" s="46" t="n"/>
      <c r="I617" s="46" t="n"/>
      <c r="J617" s="46" t="n"/>
      <c r="K617" s="46" t="n"/>
      <c r="L617" s="95" t="n"/>
      <c r="M617" s="95" t="n"/>
      <c r="N617" s="95" t="n"/>
      <c r="O617" s="95" t="n"/>
      <c r="P617" s="95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  <c r="Z617" s="46" t="n"/>
    </row>
    <row r="618" ht="12.75" customHeight="1">
      <c r="A618" s="100" t="n"/>
      <c r="B618" s="101" t="n"/>
      <c r="C618" s="102" t="n"/>
      <c r="D618" s="99" t="n"/>
      <c r="E618" s="95" t="n"/>
      <c r="F618" s="95" t="n"/>
      <c r="G618" s="94" t="n"/>
      <c r="H618" s="46" t="n"/>
      <c r="I618" s="46" t="n"/>
      <c r="J618" s="46" t="n"/>
      <c r="K618" s="46" t="n"/>
      <c r="L618" s="95" t="n"/>
      <c r="M618" s="95" t="n"/>
      <c r="N618" s="95" t="n"/>
      <c r="O618" s="95" t="n"/>
      <c r="P618" s="95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  <c r="Z618" s="46" t="n"/>
    </row>
    <row r="619" ht="12.75" customHeight="1">
      <c r="A619" s="100" t="n"/>
      <c r="B619" s="101" t="n"/>
      <c r="C619" s="102" t="n"/>
      <c r="D619" s="99" t="n"/>
      <c r="E619" s="95" t="n"/>
      <c r="F619" s="95" t="n"/>
      <c r="G619" s="94" t="n"/>
      <c r="H619" s="46" t="n"/>
      <c r="I619" s="46" t="n"/>
      <c r="J619" s="46" t="n"/>
      <c r="K619" s="46" t="n"/>
      <c r="L619" s="95" t="n"/>
      <c r="M619" s="95" t="n"/>
      <c r="N619" s="95" t="n"/>
      <c r="O619" s="95" t="n"/>
      <c r="P619" s="95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  <c r="Z619" s="46" t="n"/>
    </row>
    <row r="620" ht="12.75" customHeight="1">
      <c r="A620" s="100" t="n"/>
      <c r="B620" s="101" t="n"/>
      <c r="C620" s="102" t="n"/>
      <c r="D620" s="99" t="n"/>
      <c r="E620" s="95" t="n"/>
      <c r="F620" s="95" t="n"/>
      <c r="G620" s="94" t="n"/>
      <c r="H620" s="46" t="n"/>
      <c r="I620" s="46" t="n"/>
      <c r="J620" s="46" t="n"/>
      <c r="K620" s="46" t="n"/>
      <c r="L620" s="95" t="n"/>
      <c r="M620" s="95" t="n"/>
      <c r="N620" s="95" t="n"/>
      <c r="O620" s="95" t="n"/>
      <c r="P620" s="95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  <c r="Z620" s="46" t="n"/>
    </row>
    <row r="621" ht="12.75" customHeight="1">
      <c r="A621" s="100" t="n"/>
      <c r="B621" s="101" t="n"/>
      <c r="C621" s="102" t="n"/>
      <c r="D621" s="99" t="n"/>
      <c r="E621" s="95" t="n"/>
      <c r="F621" s="95" t="n"/>
      <c r="G621" s="94" t="n"/>
      <c r="H621" s="46" t="n"/>
      <c r="I621" s="46" t="n"/>
      <c r="J621" s="46" t="n"/>
      <c r="K621" s="46" t="n"/>
      <c r="L621" s="95" t="n"/>
      <c r="M621" s="95" t="n"/>
      <c r="N621" s="95" t="n"/>
      <c r="O621" s="95" t="n"/>
      <c r="P621" s="95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  <c r="Z621" s="46" t="n"/>
    </row>
    <row r="622" ht="12.75" customHeight="1">
      <c r="A622" s="100" t="n"/>
      <c r="B622" s="101" t="n"/>
      <c r="C622" s="102" t="n"/>
      <c r="D622" s="99" t="n"/>
      <c r="E622" s="95" t="n"/>
      <c r="F622" s="95" t="n"/>
      <c r="G622" s="94" t="n"/>
      <c r="H622" s="46" t="n"/>
      <c r="I622" s="46" t="n"/>
      <c r="J622" s="46" t="n"/>
      <c r="K622" s="46" t="n"/>
      <c r="L622" s="95" t="n"/>
      <c r="M622" s="95" t="n"/>
      <c r="N622" s="95" t="n"/>
      <c r="O622" s="95" t="n"/>
      <c r="P622" s="95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  <c r="Z622" s="46" t="n"/>
    </row>
    <row r="623" ht="12.75" customHeight="1">
      <c r="A623" s="100" t="n"/>
      <c r="B623" s="101" t="n"/>
      <c r="C623" s="102" t="n"/>
      <c r="D623" s="99" t="n"/>
      <c r="E623" s="95" t="n"/>
      <c r="F623" s="95" t="n"/>
      <c r="G623" s="94" t="n"/>
      <c r="H623" s="46" t="n"/>
      <c r="I623" s="46" t="n"/>
      <c r="J623" s="46" t="n"/>
      <c r="K623" s="46" t="n"/>
      <c r="L623" s="95" t="n"/>
      <c r="M623" s="95" t="n"/>
      <c r="N623" s="95" t="n"/>
      <c r="O623" s="95" t="n"/>
      <c r="P623" s="95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  <c r="Z623" s="46" t="n"/>
    </row>
    <row r="624" ht="12.75" customHeight="1">
      <c r="A624" s="100" t="n"/>
      <c r="B624" s="101" t="n"/>
      <c r="C624" s="102" t="n"/>
      <c r="D624" s="99" t="n"/>
      <c r="E624" s="95" t="n"/>
      <c r="F624" s="95" t="n"/>
      <c r="G624" s="94" t="n"/>
      <c r="H624" s="46" t="n"/>
      <c r="I624" s="46" t="n"/>
      <c r="J624" s="46" t="n"/>
      <c r="K624" s="46" t="n"/>
      <c r="L624" s="95" t="n"/>
      <c r="M624" s="95" t="n"/>
      <c r="N624" s="95" t="n"/>
      <c r="O624" s="95" t="n"/>
      <c r="P624" s="95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  <c r="Z624" s="46" t="n"/>
    </row>
    <row r="625" ht="12.75" customHeight="1">
      <c r="A625" s="100" t="n"/>
      <c r="B625" s="101" t="n"/>
      <c r="C625" s="102" t="n"/>
      <c r="D625" s="99" t="n"/>
      <c r="E625" s="95" t="n"/>
      <c r="F625" s="95" t="n"/>
      <c r="G625" s="94" t="n"/>
      <c r="H625" s="46" t="n"/>
      <c r="I625" s="46" t="n"/>
      <c r="J625" s="46" t="n"/>
      <c r="K625" s="46" t="n"/>
      <c r="L625" s="95" t="n"/>
      <c r="M625" s="95" t="n"/>
      <c r="N625" s="95" t="n"/>
      <c r="O625" s="95" t="n"/>
      <c r="P625" s="95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  <c r="Z625" s="46" t="n"/>
    </row>
    <row r="626" ht="12.75" customHeight="1">
      <c r="A626" s="100" t="n"/>
      <c r="B626" s="101" t="n"/>
      <c r="C626" s="102" t="n"/>
      <c r="D626" s="99" t="n"/>
      <c r="E626" s="95" t="n"/>
      <c r="F626" s="95" t="n"/>
      <c r="G626" s="94" t="n"/>
      <c r="H626" s="46" t="n"/>
      <c r="I626" s="46" t="n"/>
      <c r="J626" s="46" t="n"/>
      <c r="K626" s="46" t="n"/>
      <c r="L626" s="95" t="n"/>
      <c r="M626" s="95" t="n"/>
      <c r="N626" s="95" t="n"/>
      <c r="O626" s="95" t="n"/>
      <c r="P626" s="95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  <c r="Z626" s="46" t="n"/>
    </row>
    <row r="627" ht="12.75" customHeight="1">
      <c r="A627" s="100" t="n"/>
      <c r="B627" s="101" t="n"/>
      <c r="C627" s="102" t="n"/>
      <c r="D627" s="99" t="n"/>
      <c r="E627" s="95" t="n"/>
      <c r="F627" s="95" t="n"/>
      <c r="G627" s="94" t="n"/>
      <c r="H627" s="46" t="n"/>
      <c r="I627" s="46" t="n"/>
      <c r="J627" s="46" t="n"/>
      <c r="K627" s="46" t="n"/>
      <c r="L627" s="95" t="n"/>
      <c r="M627" s="95" t="n"/>
      <c r="N627" s="95" t="n"/>
      <c r="O627" s="95" t="n"/>
      <c r="P627" s="95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  <c r="Z627" s="46" t="n"/>
    </row>
    <row r="628" ht="12.75" customHeight="1">
      <c r="A628" s="100" t="n"/>
      <c r="B628" s="101" t="n"/>
      <c r="C628" s="102" t="n"/>
      <c r="D628" s="99" t="n"/>
      <c r="E628" s="95" t="n"/>
      <c r="F628" s="95" t="n"/>
      <c r="G628" s="94" t="n"/>
      <c r="H628" s="46" t="n"/>
      <c r="I628" s="46" t="n"/>
      <c r="J628" s="46" t="n"/>
      <c r="K628" s="46" t="n"/>
      <c r="L628" s="95" t="n"/>
      <c r="M628" s="95" t="n"/>
      <c r="N628" s="95" t="n"/>
      <c r="O628" s="95" t="n"/>
      <c r="P628" s="95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  <c r="Z628" s="46" t="n"/>
    </row>
    <row r="629" ht="12.75" customHeight="1">
      <c r="A629" s="100" t="n"/>
      <c r="B629" s="101" t="n"/>
      <c r="C629" s="102" t="n"/>
      <c r="D629" s="99" t="n"/>
      <c r="E629" s="95" t="n"/>
      <c r="F629" s="95" t="n"/>
      <c r="G629" s="94" t="n"/>
      <c r="H629" s="46" t="n"/>
      <c r="I629" s="46" t="n"/>
      <c r="J629" s="46" t="n"/>
      <c r="K629" s="46" t="n"/>
      <c r="L629" s="95" t="n"/>
      <c r="M629" s="95" t="n"/>
      <c r="N629" s="95" t="n"/>
      <c r="O629" s="95" t="n"/>
      <c r="P629" s="95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  <c r="Z629" s="46" t="n"/>
    </row>
    <row r="630" ht="12.75" customHeight="1">
      <c r="A630" s="100" t="n"/>
      <c r="B630" s="101" t="n"/>
      <c r="C630" s="102" t="n"/>
      <c r="D630" s="99" t="n"/>
      <c r="E630" s="95" t="n"/>
      <c r="F630" s="95" t="n"/>
      <c r="G630" s="94" t="n"/>
      <c r="H630" s="46" t="n"/>
      <c r="I630" s="46" t="n"/>
      <c r="J630" s="46" t="n"/>
      <c r="K630" s="46" t="n"/>
      <c r="L630" s="95" t="n"/>
      <c r="M630" s="95" t="n"/>
      <c r="N630" s="95" t="n"/>
      <c r="O630" s="95" t="n"/>
      <c r="P630" s="95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  <c r="Z630" s="46" t="n"/>
    </row>
    <row r="631" ht="12.75" customHeight="1">
      <c r="A631" s="100" t="n"/>
      <c r="B631" s="101" t="n"/>
      <c r="C631" s="102" t="n"/>
      <c r="D631" s="99" t="n"/>
      <c r="E631" s="95" t="n"/>
      <c r="F631" s="95" t="n"/>
      <c r="G631" s="94" t="n"/>
      <c r="H631" s="46" t="n"/>
      <c r="I631" s="46" t="n"/>
      <c r="J631" s="46" t="n"/>
      <c r="K631" s="46" t="n"/>
      <c r="L631" s="95" t="n"/>
      <c r="M631" s="95" t="n"/>
      <c r="N631" s="95" t="n"/>
      <c r="O631" s="95" t="n"/>
      <c r="P631" s="95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  <c r="Z631" s="46" t="n"/>
    </row>
    <row r="632" ht="12.75" customHeight="1">
      <c r="A632" s="100" t="n"/>
      <c r="B632" s="101" t="n"/>
      <c r="C632" s="102" t="n"/>
      <c r="D632" s="99" t="n"/>
      <c r="E632" s="95" t="n"/>
      <c r="F632" s="95" t="n"/>
      <c r="G632" s="94" t="n"/>
      <c r="H632" s="46" t="n"/>
      <c r="I632" s="46" t="n"/>
      <c r="J632" s="46" t="n"/>
      <c r="K632" s="46" t="n"/>
      <c r="L632" s="95" t="n"/>
      <c r="M632" s="95" t="n"/>
      <c r="N632" s="95" t="n"/>
      <c r="O632" s="95" t="n"/>
      <c r="P632" s="95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  <c r="Z632" s="46" t="n"/>
    </row>
    <row r="633" ht="12.75" customHeight="1">
      <c r="A633" s="100" t="n"/>
      <c r="B633" s="101" t="n"/>
      <c r="C633" s="102" t="n"/>
      <c r="D633" s="99" t="n"/>
      <c r="E633" s="95" t="n"/>
      <c r="F633" s="95" t="n"/>
      <c r="G633" s="94" t="n"/>
      <c r="H633" s="46" t="n"/>
      <c r="I633" s="46" t="n"/>
      <c r="J633" s="46" t="n"/>
      <c r="K633" s="46" t="n"/>
      <c r="L633" s="95" t="n"/>
      <c r="M633" s="95" t="n"/>
      <c r="N633" s="95" t="n"/>
      <c r="O633" s="95" t="n"/>
      <c r="P633" s="95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  <c r="Z633" s="46" t="n"/>
    </row>
    <row r="634" ht="12.75" customHeight="1">
      <c r="A634" s="100" t="n"/>
      <c r="B634" s="101" t="n"/>
      <c r="C634" s="102" t="n"/>
      <c r="D634" s="99" t="n"/>
      <c r="E634" s="95" t="n"/>
      <c r="F634" s="95" t="n"/>
      <c r="G634" s="94" t="n"/>
      <c r="H634" s="46" t="n"/>
      <c r="I634" s="46" t="n"/>
      <c r="J634" s="46" t="n"/>
      <c r="K634" s="46" t="n"/>
      <c r="L634" s="95" t="n"/>
      <c r="M634" s="95" t="n"/>
      <c r="N634" s="95" t="n"/>
      <c r="O634" s="95" t="n"/>
      <c r="P634" s="95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  <c r="Z634" s="46" t="n"/>
    </row>
    <row r="635" ht="12.75" customHeight="1">
      <c r="A635" s="100" t="n"/>
      <c r="B635" s="101" t="n"/>
      <c r="C635" s="102" t="n"/>
      <c r="D635" s="99" t="n"/>
      <c r="E635" s="95" t="n"/>
      <c r="F635" s="95" t="n"/>
      <c r="G635" s="94" t="n"/>
      <c r="H635" s="46" t="n"/>
      <c r="I635" s="46" t="n"/>
      <c r="J635" s="46" t="n"/>
      <c r="K635" s="46" t="n"/>
      <c r="L635" s="95" t="n"/>
      <c r="M635" s="95" t="n"/>
      <c r="N635" s="95" t="n"/>
      <c r="O635" s="95" t="n"/>
      <c r="P635" s="95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  <c r="Z635" s="46" t="n"/>
    </row>
    <row r="636" ht="12.75" customHeight="1">
      <c r="A636" s="100" t="n"/>
      <c r="B636" s="101" t="n"/>
      <c r="C636" s="102" t="n"/>
      <c r="D636" s="99" t="n"/>
      <c r="E636" s="95" t="n"/>
      <c r="F636" s="95" t="n"/>
      <c r="G636" s="94" t="n"/>
      <c r="H636" s="46" t="n"/>
      <c r="I636" s="46" t="n"/>
      <c r="J636" s="46" t="n"/>
      <c r="K636" s="46" t="n"/>
      <c r="L636" s="95" t="n"/>
      <c r="M636" s="95" t="n"/>
      <c r="N636" s="95" t="n"/>
      <c r="O636" s="95" t="n"/>
      <c r="P636" s="95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  <c r="Z636" s="46" t="n"/>
    </row>
    <row r="637" ht="12.75" customHeight="1">
      <c r="A637" s="100" t="n"/>
      <c r="B637" s="101" t="n"/>
      <c r="C637" s="102" t="n"/>
      <c r="D637" s="99" t="n"/>
      <c r="E637" s="95" t="n"/>
      <c r="F637" s="95" t="n"/>
      <c r="G637" s="94" t="n"/>
      <c r="H637" s="46" t="n"/>
      <c r="I637" s="46" t="n"/>
      <c r="J637" s="46" t="n"/>
      <c r="K637" s="46" t="n"/>
      <c r="L637" s="95" t="n"/>
      <c r="M637" s="95" t="n"/>
      <c r="N637" s="95" t="n"/>
      <c r="O637" s="95" t="n"/>
      <c r="P637" s="95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  <c r="Z637" s="46" t="n"/>
    </row>
    <row r="638" ht="12.75" customHeight="1">
      <c r="A638" s="100" t="n"/>
      <c r="B638" s="101" t="n"/>
      <c r="C638" s="102" t="n"/>
      <c r="D638" s="99" t="n"/>
      <c r="E638" s="95" t="n"/>
      <c r="F638" s="95" t="n"/>
      <c r="G638" s="94" t="n"/>
      <c r="H638" s="46" t="n"/>
      <c r="I638" s="46" t="n"/>
      <c r="J638" s="46" t="n"/>
      <c r="K638" s="46" t="n"/>
      <c r="L638" s="95" t="n"/>
      <c r="M638" s="95" t="n"/>
      <c r="N638" s="95" t="n"/>
      <c r="O638" s="95" t="n"/>
      <c r="P638" s="95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  <c r="Z638" s="46" t="n"/>
    </row>
    <row r="639" ht="12.75" customHeight="1">
      <c r="A639" s="100" t="n"/>
      <c r="B639" s="101" t="n"/>
      <c r="C639" s="102" t="n"/>
      <c r="D639" s="99" t="n"/>
      <c r="E639" s="95" t="n"/>
      <c r="F639" s="95" t="n"/>
      <c r="G639" s="94" t="n"/>
      <c r="H639" s="46" t="n"/>
      <c r="I639" s="46" t="n"/>
      <c r="J639" s="46" t="n"/>
      <c r="K639" s="46" t="n"/>
      <c r="L639" s="95" t="n"/>
      <c r="M639" s="95" t="n"/>
      <c r="N639" s="95" t="n"/>
      <c r="O639" s="95" t="n"/>
      <c r="P639" s="95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  <c r="Z639" s="46" t="n"/>
    </row>
    <row r="640" ht="12.75" customHeight="1">
      <c r="A640" s="100" t="n"/>
      <c r="B640" s="101" t="n"/>
      <c r="C640" s="102" t="n"/>
      <c r="D640" s="99" t="n"/>
      <c r="E640" s="95" t="n"/>
      <c r="F640" s="95" t="n"/>
      <c r="G640" s="94" t="n"/>
      <c r="H640" s="46" t="n"/>
      <c r="I640" s="46" t="n"/>
      <c r="J640" s="46" t="n"/>
      <c r="K640" s="46" t="n"/>
      <c r="L640" s="95" t="n"/>
      <c r="M640" s="95" t="n"/>
      <c r="N640" s="95" t="n"/>
      <c r="O640" s="95" t="n"/>
      <c r="P640" s="95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  <c r="Z640" s="46" t="n"/>
    </row>
    <row r="641" ht="12.75" customHeight="1">
      <c r="A641" s="100" t="n"/>
      <c r="B641" s="101" t="n"/>
      <c r="C641" s="102" t="n"/>
      <c r="D641" s="99" t="n"/>
      <c r="E641" s="95" t="n"/>
      <c r="F641" s="95" t="n"/>
      <c r="G641" s="94" t="n"/>
      <c r="H641" s="46" t="n"/>
      <c r="I641" s="46" t="n"/>
      <c r="J641" s="46" t="n"/>
      <c r="K641" s="46" t="n"/>
      <c r="L641" s="95" t="n"/>
      <c r="M641" s="95" t="n"/>
      <c r="N641" s="95" t="n"/>
      <c r="O641" s="95" t="n"/>
      <c r="P641" s="95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  <c r="Z641" s="46" t="n"/>
    </row>
    <row r="642" ht="12.75" customHeight="1">
      <c r="A642" s="100" t="n"/>
      <c r="B642" s="101" t="n"/>
      <c r="C642" s="102" t="n"/>
      <c r="D642" s="99" t="n"/>
      <c r="E642" s="95" t="n"/>
      <c r="F642" s="95" t="n"/>
      <c r="G642" s="94" t="n"/>
      <c r="H642" s="46" t="n"/>
      <c r="I642" s="46" t="n"/>
      <c r="J642" s="46" t="n"/>
      <c r="K642" s="46" t="n"/>
      <c r="L642" s="95" t="n"/>
      <c r="M642" s="95" t="n"/>
      <c r="N642" s="95" t="n"/>
      <c r="O642" s="95" t="n"/>
      <c r="P642" s="95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  <c r="Z642" s="46" t="n"/>
    </row>
    <row r="643" ht="12.75" customHeight="1">
      <c r="A643" s="100" t="n"/>
      <c r="B643" s="101" t="n"/>
      <c r="C643" s="102" t="n"/>
      <c r="D643" s="99" t="n"/>
      <c r="E643" s="95" t="n"/>
      <c r="F643" s="95" t="n"/>
      <c r="G643" s="94" t="n"/>
      <c r="H643" s="46" t="n"/>
      <c r="I643" s="46" t="n"/>
      <c r="J643" s="46" t="n"/>
      <c r="K643" s="46" t="n"/>
      <c r="L643" s="95" t="n"/>
      <c r="M643" s="95" t="n"/>
      <c r="N643" s="95" t="n"/>
      <c r="O643" s="95" t="n"/>
      <c r="P643" s="95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  <c r="Z643" s="46" t="n"/>
    </row>
    <row r="644" ht="12.75" customHeight="1">
      <c r="A644" s="100" t="n"/>
      <c r="B644" s="101" t="n"/>
      <c r="C644" s="102" t="n"/>
      <c r="D644" s="99" t="n"/>
      <c r="E644" s="95" t="n"/>
      <c r="F644" s="95" t="n"/>
      <c r="G644" s="94" t="n"/>
      <c r="H644" s="46" t="n"/>
      <c r="I644" s="46" t="n"/>
      <c r="J644" s="46" t="n"/>
      <c r="K644" s="46" t="n"/>
      <c r="L644" s="95" t="n"/>
      <c r="M644" s="95" t="n"/>
      <c r="N644" s="95" t="n"/>
      <c r="O644" s="95" t="n"/>
      <c r="P644" s="95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  <c r="Z644" s="46" t="n"/>
    </row>
    <row r="645" ht="12.75" customHeight="1">
      <c r="A645" s="100" t="n"/>
      <c r="B645" s="101" t="n"/>
      <c r="C645" s="102" t="n"/>
      <c r="D645" s="99" t="n"/>
      <c r="E645" s="95" t="n"/>
      <c r="F645" s="95" t="n"/>
      <c r="G645" s="94" t="n"/>
      <c r="H645" s="46" t="n"/>
      <c r="I645" s="46" t="n"/>
      <c r="J645" s="46" t="n"/>
      <c r="K645" s="46" t="n"/>
      <c r="L645" s="95" t="n"/>
      <c r="M645" s="95" t="n"/>
      <c r="N645" s="95" t="n"/>
      <c r="O645" s="95" t="n"/>
      <c r="P645" s="95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  <c r="Z645" s="46" t="n"/>
    </row>
    <row r="646" ht="12.75" customHeight="1">
      <c r="A646" s="100" t="n"/>
      <c r="B646" s="101" t="n"/>
      <c r="C646" s="102" t="n"/>
      <c r="D646" s="99" t="n"/>
      <c r="E646" s="95" t="n"/>
      <c r="F646" s="95" t="n"/>
      <c r="G646" s="94" t="n"/>
      <c r="H646" s="46" t="n"/>
      <c r="I646" s="46" t="n"/>
      <c r="J646" s="46" t="n"/>
      <c r="K646" s="46" t="n"/>
      <c r="L646" s="95" t="n"/>
      <c r="M646" s="95" t="n"/>
      <c r="N646" s="95" t="n"/>
      <c r="O646" s="95" t="n"/>
      <c r="P646" s="95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  <c r="Z646" s="46" t="n"/>
    </row>
    <row r="647" ht="12.75" customHeight="1">
      <c r="A647" s="100" t="n"/>
      <c r="B647" s="101" t="n"/>
      <c r="C647" s="102" t="n"/>
      <c r="D647" s="99" t="n"/>
      <c r="E647" s="95" t="n"/>
      <c r="F647" s="95" t="n"/>
      <c r="G647" s="94" t="n"/>
      <c r="H647" s="46" t="n"/>
      <c r="I647" s="46" t="n"/>
      <c r="J647" s="46" t="n"/>
      <c r="K647" s="46" t="n"/>
      <c r="L647" s="95" t="n"/>
      <c r="M647" s="95" t="n"/>
      <c r="N647" s="95" t="n"/>
      <c r="O647" s="95" t="n"/>
      <c r="P647" s="95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  <c r="Z647" s="46" t="n"/>
    </row>
    <row r="648" ht="12.75" customHeight="1">
      <c r="A648" s="100" t="n"/>
      <c r="B648" s="101" t="n"/>
      <c r="C648" s="102" t="n"/>
      <c r="D648" s="99" t="n"/>
      <c r="E648" s="95" t="n"/>
      <c r="F648" s="95" t="n"/>
      <c r="G648" s="94" t="n"/>
      <c r="H648" s="46" t="n"/>
      <c r="I648" s="46" t="n"/>
      <c r="J648" s="46" t="n"/>
      <c r="K648" s="46" t="n"/>
      <c r="L648" s="95" t="n"/>
      <c r="M648" s="95" t="n"/>
      <c r="N648" s="95" t="n"/>
      <c r="O648" s="95" t="n"/>
      <c r="P648" s="95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  <c r="Z648" s="46" t="n"/>
    </row>
    <row r="649" ht="12.75" customHeight="1">
      <c r="A649" s="100" t="n"/>
      <c r="B649" s="101" t="n"/>
      <c r="C649" s="102" t="n"/>
      <c r="D649" s="99" t="n"/>
      <c r="E649" s="95" t="n"/>
      <c r="F649" s="95" t="n"/>
      <c r="G649" s="94" t="n"/>
      <c r="H649" s="46" t="n"/>
      <c r="I649" s="46" t="n"/>
      <c r="J649" s="46" t="n"/>
      <c r="K649" s="46" t="n"/>
      <c r="L649" s="95" t="n"/>
      <c r="M649" s="95" t="n"/>
      <c r="N649" s="95" t="n"/>
      <c r="O649" s="95" t="n"/>
      <c r="P649" s="95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  <c r="Z649" s="46" t="n"/>
    </row>
    <row r="650" ht="12.75" customHeight="1">
      <c r="A650" s="100" t="n"/>
      <c r="B650" s="101" t="n"/>
      <c r="C650" s="102" t="n"/>
      <c r="D650" s="99" t="n"/>
      <c r="E650" s="95" t="n"/>
      <c r="F650" s="95" t="n"/>
      <c r="G650" s="94" t="n"/>
      <c r="H650" s="46" t="n"/>
      <c r="I650" s="46" t="n"/>
      <c r="J650" s="46" t="n"/>
      <c r="K650" s="46" t="n"/>
      <c r="L650" s="95" t="n"/>
      <c r="M650" s="95" t="n"/>
      <c r="N650" s="95" t="n"/>
      <c r="O650" s="95" t="n"/>
      <c r="P650" s="95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  <c r="Z650" s="46" t="n"/>
    </row>
    <row r="651" ht="12.75" customHeight="1">
      <c r="A651" s="100" t="n"/>
      <c r="B651" s="101" t="n"/>
      <c r="C651" s="102" t="n"/>
      <c r="D651" s="99" t="n"/>
      <c r="E651" s="95" t="n"/>
      <c r="F651" s="95" t="n"/>
      <c r="G651" s="94" t="n"/>
      <c r="H651" s="46" t="n"/>
      <c r="I651" s="46" t="n"/>
      <c r="J651" s="46" t="n"/>
      <c r="K651" s="46" t="n"/>
      <c r="L651" s="95" t="n"/>
      <c r="M651" s="95" t="n"/>
      <c r="N651" s="95" t="n"/>
      <c r="O651" s="95" t="n"/>
      <c r="P651" s="95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  <c r="Z651" s="46" t="n"/>
    </row>
    <row r="652" ht="12.75" customHeight="1">
      <c r="A652" s="100" t="n"/>
      <c r="B652" s="101" t="n"/>
      <c r="C652" s="102" t="n"/>
      <c r="D652" s="99" t="n"/>
      <c r="E652" s="95" t="n"/>
      <c r="F652" s="95" t="n"/>
      <c r="G652" s="94" t="n"/>
      <c r="H652" s="46" t="n"/>
      <c r="I652" s="46" t="n"/>
      <c r="J652" s="46" t="n"/>
      <c r="K652" s="46" t="n"/>
      <c r="L652" s="95" t="n"/>
      <c r="M652" s="95" t="n"/>
      <c r="N652" s="95" t="n"/>
      <c r="O652" s="95" t="n"/>
      <c r="P652" s="95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  <c r="Z652" s="46" t="n"/>
    </row>
    <row r="653" ht="12.75" customHeight="1">
      <c r="A653" s="100" t="n"/>
      <c r="B653" s="101" t="n"/>
      <c r="C653" s="102" t="n"/>
      <c r="D653" s="99" t="n"/>
      <c r="E653" s="95" t="n"/>
      <c r="F653" s="95" t="n"/>
      <c r="G653" s="94" t="n"/>
      <c r="H653" s="46" t="n"/>
      <c r="I653" s="46" t="n"/>
      <c r="J653" s="46" t="n"/>
      <c r="K653" s="46" t="n"/>
      <c r="L653" s="95" t="n"/>
      <c r="M653" s="95" t="n"/>
      <c r="N653" s="95" t="n"/>
      <c r="O653" s="95" t="n"/>
      <c r="P653" s="95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  <c r="Z653" s="46" t="n"/>
    </row>
    <row r="654" ht="12.75" customHeight="1">
      <c r="A654" s="100" t="n"/>
      <c r="B654" s="101" t="n"/>
      <c r="C654" s="102" t="n"/>
      <c r="D654" s="99" t="n"/>
      <c r="E654" s="95" t="n"/>
      <c r="F654" s="95" t="n"/>
      <c r="G654" s="94" t="n"/>
      <c r="H654" s="46" t="n"/>
      <c r="I654" s="46" t="n"/>
      <c r="J654" s="46" t="n"/>
      <c r="K654" s="46" t="n"/>
      <c r="L654" s="95" t="n"/>
      <c r="M654" s="95" t="n"/>
      <c r="N654" s="95" t="n"/>
      <c r="O654" s="95" t="n"/>
      <c r="P654" s="95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  <c r="Z654" s="46" t="n"/>
    </row>
    <row r="655" ht="12.75" customHeight="1">
      <c r="A655" s="100" t="n"/>
      <c r="B655" s="101" t="n"/>
      <c r="C655" s="102" t="n"/>
      <c r="D655" s="99" t="n"/>
      <c r="E655" s="95" t="n"/>
      <c r="F655" s="95" t="n"/>
      <c r="G655" s="94" t="n"/>
      <c r="H655" s="46" t="n"/>
      <c r="I655" s="46" t="n"/>
      <c r="J655" s="46" t="n"/>
      <c r="K655" s="46" t="n"/>
      <c r="L655" s="95" t="n"/>
      <c r="M655" s="95" t="n"/>
      <c r="N655" s="95" t="n"/>
      <c r="O655" s="95" t="n"/>
      <c r="P655" s="95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  <c r="Z655" s="46" t="n"/>
    </row>
    <row r="656" ht="12.75" customHeight="1">
      <c r="A656" s="100" t="n"/>
      <c r="B656" s="101" t="n"/>
      <c r="C656" s="102" t="n"/>
      <c r="D656" s="99" t="n"/>
      <c r="E656" s="95" t="n"/>
      <c r="F656" s="95" t="n"/>
      <c r="G656" s="94" t="n"/>
      <c r="H656" s="46" t="n"/>
      <c r="I656" s="46" t="n"/>
      <c r="J656" s="46" t="n"/>
      <c r="K656" s="46" t="n"/>
      <c r="L656" s="95" t="n"/>
      <c r="M656" s="95" t="n"/>
      <c r="N656" s="95" t="n"/>
      <c r="O656" s="95" t="n"/>
      <c r="P656" s="95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  <c r="Z656" s="46" t="n"/>
    </row>
    <row r="657" ht="12.75" customHeight="1">
      <c r="A657" s="100" t="n"/>
      <c r="B657" s="101" t="n"/>
      <c r="C657" s="102" t="n"/>
      <c r="D657" s="99" t="n"/>
      <c r="E657" s="95" t="n"/>
      <c r="F657" s="95" t="n"/>
      <c r="G657" s="94" t="n"/>
      <c r="H657" s="46" t="n"/>
      <c r="I657" s="46" t="n"/>
      <c r="J657" s="46" t="n"/>
      <c r="K657" s="46" t="n"/>
      <c r="L657" s="95" t="n"/>
      <c r="M657" s="95" t="n"/>
      <c r="N657" s="95" t="n"/>
      <c r="O657" s="95" t="n"/>
      <c r="P657" s="95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  <c r="Z657" s="46" t="n"/>
    </row>
    <row r="658" ht="12.75" customHeight="1">
      <c r="A658" s="100" t="n"/>
      <c r="B658" s="101" t="n"/>
      <c r="C658" s="102" t="n"/>
      <c r="D658" s="99" t="n"/>
      <c r="E658" s="95" t="n"/>
      <c r="F658" s="95" t="n"/>
      <c r="G658" s="94" t="n"/>
      <c r="H658" s="46" t="n"/>
      <c r="I658" s="46" t="n"/>
      <c r="J658" s="46" t="n"/>
      <c r="K658" s="46" t="n"/>
      <c r="L658" s="95" t="n"/>
      <c r="M658" s="95" t="n"/>
      <c r="N658" s="95" t="n"/>
      <c r="O658" s="95" t="n"/>
      <c r="P658" s="95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  <c r="Z658" s="46" t="n"/>
    </row>
    <row r="659" ht="12.75" customHeight="1">
      <c r="A659" s="100" t="n"/>
      <c r="B659" s="101" t="n"/>
      <c r="C659" s="102" t="n"/>
      <c r="D659" s="99" t="n"/>
      <c r="E659" s="95" t="n"/>
      <c r="F659" s="95" t="n"/>
      <c r="G659" s="94" t="n"/>
      <c r="H659" s="46" t="n"/>
      <c r="I659" s="46" t="n"/>
      <c r="J659" s="46" t="n"/>
      <c r="K659" s="46" t="n"/>
      <c r="L659" s="95" t="n"/>
      <c r="M659" s="95" t="n"/>
      <c r="N659" s="95" t="n"/>
      <c r="O659" s="95" t="n"/>
      <c r="P659" s="95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  <c r="Z659" s="46" t="n"/>
    </row>
    <row r="660" ht="12.75" customHeight="1">
      <c r="A660" s="100" t="n"/>
      <c r="B660" s="101" t="n"/>
      <c r="C660" s="102" t="n"/>
      <c r="D660" s="99" t="n"/>
      <c r="E660" s="95" t="n"/>
      <c r="F660" s="95" t="n"/>
      <c r="G660" s="94" t="n"/>
      <c r="H660" s="46" t="n"/>
      <c r="I660" s="46" t="n"/>
      <c r="J660" s="46" t="n"/>
      <c r="K660" s="46" t="n"/>
      <c r="L660" s="95" t="n"/>
      <c r="M660" s="95" t="n"/>
      <c r="N660" s="95" t="n"/>
      <c r="O660" s="95" t="n"/>
      <c r="P660" s="95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  <c r="Z660" s="46" t="n"/>
    </row>
    <row r="661" ht="12.75" customHeight="1">
      <c r="A661" s="100" t="n"/>
      <c r="B661" s="101" t="n"/>
      <c r="C661" s="102" t="n"/>
      <c r="D661" s="99" t="n"/>
      <c r="E661" s="95" t="n"/>
      <c r="F661" s="95" t="n"/>
      <c r="G661" s="94" t="n"/>
      <c r="H661" s="46" t="n"/>
      <c r="I661" s="46" t="n"/>
      <c r="J661" s="46" t="n"/>
      <c r="K661" s="46" t="n"/>
      <c r="L661" s="95" t="n"/>
      <c r="M661" s="95" t="n"/>
      <c r="N661" s="95" t="n"/>
      <c r="O661" s="95" t="n"/>
      <c r="P661" s="95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  <c r="Z661" s="46" t="n"/>
    </row>
    <row r="662" ht="12.75" customHeight="1">
      <c r="A662" s="100" t="n"/>
      <c r="B662" s="101" t="n"/>
      <c r="C662" s="102" t="n"/>
      <c r="D662" s="99" t="n"/>
      <c r="E662" s="95" t="n"/>
      <c r="F662" s="95" t="n"/>
      <c r="G662" s="94" t="n"/>
      <c r="H662" s="46" t="n"/>
      <c r="I662" s="46" t="n"/>
      <c r="J662" s="46" t="n"/>
      <c r="K662" s="46" t="n"/>
      <c r="L662" s="95" t="n"/>
      <c r="M662" s="95" t="n"/>
      <c r="N662" s="95" t="n"/>
      <c r="O662" s="95" t="n"/>
      <c r="P662" s="95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  <c r="Z662" s="46" t="n"/>
    </row>
    <row r="663" ht="12.75" customHeight="1">
      <c r="A663" s="100" t="n"/>
      <c r="B663" s="101" t="n"/>
      <c r="C663" s="102" t="n"/>
      <c r="D663" s="99" t="n"/>
      <c r="E663" s="95" t="n"/>
      <c r="F663" s="95" t="n"/>
      <c r="G663" s="94" t="n"/>
      <c r="H663" s="46" t="n"/>
      <c r="I663" s="46" t="n"/>
      <c r="J663" s="46" t="n"/>
      <c r="K663" s="46" t="n"/>
      <c r="L663" s="95" t="n"/>
      <c r="M663" s="95" t="n"/>
      <c r="N663" s="95" t="n"/>
      <c r="O663" s="95" t="n"/>
      <c r="P663" s="95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  <c r="Z663" s="46" t="n"/>
    </row>
    <row r="664" ht="12.75" customHeight="1">
      <c r="A664" s="100" t="n"/>
      <c r="B664" s="101" t="n"/>
      <c r="C664" s="102" t="n"/>
      <c r="D664" s="99" t="n"/>
      <c r="E664" s="95" t="n"/>
      <c r="F664" s="95" t="n"/>
      <c r="G664" s="94" t="n"/>
      <c r="H664" s="46" t="n"/>
      <c r="I664" s="46" t="n"/>
      <c r="J664" s="46" t="n"/>
      <c r="K664" s="46" t="n"/>
      <c r="L664" s="95" t="n"/>
      <c r="M664" s="95" t="n"/>
      <c r="N664" s="95" t="n"/>
      <c r="O664" s="95" t="n"/>
      <c r="P664" s="95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  <c r="Z664" s="46" t="n"/>
    </row>
    <row r="665" ht="12.75" customHeight="1">
      <c r="A665" s="100" t="n"/>
      <c r="B665" s="101" t="n"/>
      <c r="C665" s="102" t="n"/>
      <c r="D665" s="99" t="n"/>
      <c r="E665" s="95" t="n"/>
      <c r="F665" s="95" t="n"/>
      <c r="G665" s="94" t="n"/>
      <c r="H665" s="46" t="n"/>
      <c r="I665" s="46" t="n"/>
      <c r="J665" s="46" t="n"/>
      <c r="K665" s="46" t="n"/>
      <c r="L665" s="95" t="n"/>
      <c r="M665" s="95" t="n"/>
      <c r="N665" s="95" t="n"/>
      <c r="O665" s="95" t="n"/>
      <c r="P665" s="95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  <c r="Z665" s="46" t="n"/>
    </row>
    <row r="666" ht="12.75" customHeight="1">
      <c r="A666" s="100" t="n"/>
      <c r="B666" s="101" t="n"/>
      <c r="C666" s="102" t="n"/>
      <c r="D666" s="99" t="n"/>
      <c r="E666" s="95" t="n"/>
      <c r="F666" s="95" t="n"/>
      <c r="G666" s="94" t="n"/>
      <c r="H666" s="46" t="n"/>
      <c r="I666" s="46" t="n"/>
      <c r="J666" s="46" t="n"/>
      <c r="K666" s="46" t="n"/>
      <c r="L666" s="95" t="n"/>
      <c r="M666" s="95" t="n"/>
      <c r="N666" s="95" t="n"/>
      <c r="O666" s="95" t="n"/>
      <c r="P666" s="95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  <c r="Z666" s="46" t="n"/>
    </row>
    <row r="667" ht="12.75" customHeight="1">
      <c r="A667" s="100" t="n"/>
      <c r="B667" s="101" t="n"/>
      <c r="C667" s="102" t="n"/>
      <c r="D667" s="99" t="n"/>
      <c r="E667" s="95" t="n"/>
      <c r="F667" s="95" t="n"/>
      <c r="G667" s="94" t="n"/>
      <c r="H667" s="46" t="n"/>
      <c r="I667" s="46" t="n"/>
      <c r="J667" s="46" t="n"/>
      <c r="K667" s="46" t="n"/>
      <c r="L667" s="95" t="n"/>
      <c r="M667" s="95" t="n"/>
      <c r="N667" s="95" t="n"/>
      <c r="O667" s="95" t="n"/>
      <c r="P667" s="95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  <c r="Z667" s="46" t="n"/>
    </row>
    <row r="668" ht="12.75" customHeight="1">
      <c r="A668" s="100" t="n"/>
      <c r="B668" s="101" t="n"/>
      <c r="C668" s="102" t="n"/>
      <c r="D668" s="99" t="n"/>
      <c r="E668" s="95" t="n"/>
      <c r="F668" s="95" t="n"/>
      <c r="G668" s="94" t="n"/>
      <c r="H668" s="46" t="n"/>
      <c r="I668" s="46" t="n"/>
      <c r="J668" s="46" t="n"/>
      <c r="K668" s="46" t="n"/>
      <c r="L668" s="95" t="n"/>
      <c r="M668" s="95" t="n"/>
      <c r="N668" s="95" t="n"/>
      <c r="O668" s="95" t="n"/>
      <c r="P668" s="95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  <c r="Z668" s="46" t="n"/>
    </row>
    <row r="669" ht="12.75" customHeight="1">
      <c r="A669" s="100" t="n"/>
      <c r="B669" s="101" t="n"/>
      <c r="C669" s="102" t="n"/>
      <c r="D669" s="99" t="n"/>
      <c r="E669" s="95" t="n"/>
      <c r="F669" s="95" t="n"/>
      <c r="G669" s="94" t="n"/>
      <c r="H669" s="46" t="n"/>
      <c r="I669" s="46" t="n"/>
      <c r="J669" s="46" t="n"/>
      <c r="K669" s="46" t="n"/>
      <c r="L669" s="95" t="n"/>
      <c r="M669" s="95" t="n"/>
      <c r="N669" s="95" t="n"/>
      <c r="O669" s="95" t="n"/>
      <c r="P669" s="95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  <c r="Z669" s="46" t="n"/>
    </row>
    <row r="670" ht="12.75" customHeight="1">
      <c r="A670" s="100" t="n"/>
      <c r="B670" s="101" t="n"/>
      <c r="C670" s="102" t="n"/>
      <c r="D670" s="99" t="n"/>
      <c r="E670" s="95" t="n"/>
      <c r="F670" s="95" t="n"/>
      <c r="G670" s="94" t="n"/>
      <c r="H670" s="46" t="n"/>
      <c r="I670" s="46" t="n"/>
      <c r="J670" s="46" t="n"/>
      <c r="K670" s="46" t="n"/>
      <c r="L670" s="95" t="n"/>
      <c r="M670" s="95" t="n"/>
      <c r="N670" s="95" t="n"/>
      <c r="O670" s="95" t="n"/>
      <c r="P670" s="95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  <c r="Z670" s="46" t="n"/>
    </row>
    <row r="671" ht="12.75" customHeight="1">
      <c r="A671" s="100" t="n"/>
      <c r="B671" s="101" t="n"/>
      <c r="C671" s="102" t="n"/>
      <c r="D671" s="99" t="n"/>
      <c r="E671" s="95" t="n"/>
      <c r="F671" s="95" t="n"/>
      <c r="G671" s="94" t="n"/>
      <c r="H671" s="46" t="n"/>
      <c r="I671" s="46" t="n"/>
      <c r="J671" s="46" t="n"/>
      <c r="K671" s="46" t="n"/>
      <c r="L671" s="95" t="n"/>
      <c r="M671" s="95" t="n"/>
      <c r="N671" s="95" t="n"/>
      <c r="O671" s="95" t="n"/>
      <c r="P671" s="95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  <c r="Z671" s="46" t="n"/>
    </row>
    <row r="672" ht="12.75" customHeight="1">
      <c r="A672" s="100" t="n"/>
      <c r="B672" s="101" t="n"/>
      <c r="C672" s="102" t="n"/>
      <c r="D672" s="99" t="n"/>
      <c r="E672" s="95" t="n"/>
      <c r="F672" s="95" t="n"/>
      <c r="G672" s="94" t="n"/>
      <c r="H672" s="46" t="n"/>
      <c r="I672" s="46" t="n"/>
      <c r="J672" s="46" t="n"/>
      <c r="K672" s="46" t="n"/>
      <c r="L672" s="95" t="n"/>
      <c r="M672" s="95" t="n"/>
      <c r="N672" s="95" t="n"/>
      <c r="O672" s="95" t="n"/>
      <c r="P672" s="95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  <c r="Z672" s="46" t="n"/>
    </row>
    <row r="673" ht="12.75" customHeight="1">
      <c r="A673" s="100" t="n"/>
      <c r="B673" s="101" t="n"/>
      <c r="C673" s="102" t="n"/>
      <c r="D673" s="99" t="n"/>
      <c r="E673" s="95" t="n"/>
      <c r="F673" s="95" t="n"/>
      <c r="G673" s="94" t="n"/>
      <c r="H673" s="46" t="n"/>
      <c r="I673" s="46" t="n"/>
      <c r="J673" s="46" t="n"/>
      <c r="K673" s="46" t="n"/>
      <c r="L673" s="95" t="n"/>
      <c r="M673" s="95" t="n"/>
      <c r="N673" s="95" t="n"/>
      <c r="O673" s="95" t="n"/>
      <c r="P673" s="95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  <c r="Z673" s="46" t="n"/>
    </row>
    <row r="674" ht="12.75" customHeight="1">
      <c r="A674" s="100" t="n"/>
      <c r="B674" s="101" t="n"/>
      <c r="C674" s="102" t="n"/>
      <c r="D674" s="99" t="n"/>
      <c r="E674" s="95" t="n"/>
      <c r="F674" s="95" t="n"/>
      <c r="G674" s="94" t="n"/>
      <c r="H674" s="46" t="n"/>
      <c r="I674" s="46" t="n"/>
      <c r="J674" s="46" t="n"/>
      <c r="K674" s="46" t="n"/>
      <c r="L674" s="95" t="n"/>
      <c r="M674" s="95" t="n"/>
      <c r="N674" s="95" t="n"/>
      <c r="O674" s="95" t="n"/>
      <c r="P674" s="95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  <c r="Z674" s="46" t="n"/>
    </row>
    <row r="675" ht="12.75" customHeight="1">
      <c r="A675" s="100" t="n"/>
      <c r="B675" s="101" t="n"/>
      <c r="C675" s="102" t="n"/>
      <c r="D675" s="99" t="n"/>
      <c r="E675" s="95" t="n"/>
      <c r="F675" s="95" t="n"/>
      <c r="G675" s="94" t="n"/>
      <c r="H675" s="46" t="n"/>
      <c r="I675" s="46" t="n"/>
      <c r="J675" s="46" t="n"/>
      <c r="K675" s="46" t="n"/>
      <c r="L675" s="95" t="n"/>
      <c r="M675" s="95" t="n"/>
      <c r="N675" s="95" t="n"/>
      <c r="O675" s="95" t="n"/>
      <c r="P675" s="95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  <c r="Z675" s="46" t="n"/>
    </row>
    <row r="676" ht="12.75" customHeight="1">
      <c r="A676" s="100" t="n"/>
      <c r="B676" s="101" t="n"/>
      <c r="C676" s="102" t="n"/>
      <c r="D676" s="99" t="n"/>
      <c r="E676" s="95" t="n"/>
      <c r="F676" s="95" t="n"/>
      <c r="G676" s="94" t="n"/>
      <c r="H676" s="46" t="n"/>
      <c r="I676" s="46" t="n"/>
      <c r="J676" s="46" t="n"/>
      <c r="K676" s="46" t="n"/>
      <c r="L676" s="95" t="n"/>
      <c r="M676" s="95" t="n"/>
      <c r="N676" s="95" t="n"/>
      <c r="O676" s="95" t="n"/>
      <c r="P676" s="95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  <c r="Z676" s="46" t="n"/>
    </row>
    <row r="677" ht="12.75" customHeight="1">
      <c r="A677" s="100" t="n"/>
      <c r="B677" s="101" t="n"/>
      <c r="C677" s="102" t="n"/>
      <c r="D677" s="99" t="n"/>
      <c r="E677" s="95" t="n"/>
      <c r="F677" s="95" t="n"/>
      <c r="G677" s="94" t="n"/>
      <c r="H677" s="46" t="n"/>
      <c r="I677" s="46" t="n"/>
      <c r="J677" s="46" t="n"/>
      <c r="K677" s="46" t="n"/>
      <c r="L677" s="95" t="n"/>
      <c r="M677" s="95" t="n"/>
      <c r="N677" s="95" t="n"/>
      <c r="O677" s="95" t="n"/>
      <c r="P677" s="95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  <c r="Z677" s="46" t="n"/>
    </row>
    <row r="678" ht="12.75" customHeight="1">
      <c r="A678" s="100" t="n"/>
      <c r="B678" s="101" t="n"/>
      <c r="C678" s="102" t="n"/>
      <c r="D678" s="99" t="n"/>
      <c r="E678" s="95" t="n"/>
      <c r="F678" s="95" t="n"/>
      <c r="G678" s="94" t="n"/>
      <c r="H678" s="46" t="n"/>
      <c r="I678" s="46" t="n"/>
      <c r="J678" s="46" t="n"/>
      <c r="K678" s="46" t="n"/>
      <c r="L678" s="95" t="n"/>
      <c r="M678" s="95" t="n"/>
      <c r="N678" s="95" t="n"/>
      <c r="O678" s="95" t="n"/>
      <c r="P678" s="95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  <c r="Z678" s="46" t="n"/>
    </row>
    <row r="679" ht="12.75" customHeight="1">
      <c r="A679" s="100" t="n"/>
      <c r="B679" s="101" t="n"/>
      <c r="C679" s="102" t="n"/>
      <c r="D679" s="99" t="n"/>
      <c r="E679" s="95" t="n"/>
      <c r="F679" s="95" t="n"/>
      <c r="G679" s="94" t="n"/>
      <c r="H679" s="46" t="n"/>
      <c r="I679" s="46" t="n"/>
      <c r="J679" s="46" t="n"/>
      <c r="K679" s="46" t="n"/>
      <c r="L679" s="95" t="n"/>
      <c r="M679" s="95" t="n"/>
      <c r="N679" s="95" t="n"/>
      <c r="O679" s="95" t="n"/>
      <c r="P679" s="95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  <c r="Z679" s="46" t="n"/>
    </row>
    <row r="680" ht="12.75" customHeight="1">
      <c r="A680" s="100" t="n"/>
      <c r="B680" s="101" t="n"/>
      <c r="C680" s="102" t="n"/>
      <c r="D680" s="99" t="n"/>
      <c r="E680" s="95" t="n"/>
      <c r="F680" s="95" t="n"/>
      <c r="G680" s="94" t="n"/>
      <c r="H680" s="46" t="n"/>
      <c r="I680" s="46" t="n"/>
      <c r="J680" s="46" t="n"/>
      <c r="K680" s="46" t="n"/>
      <c r="L680" s="95" t="n"/>
      <c r="M680" s="95" t="n"/>
      <c r="N680" s="95" t="n"/>
      <c r="O680" s="95" t="n"/>
      <c r="P680" s="95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  <c r="Z680" s="46" t="n"/>
    </row>
    <row r="681" ht="12.75" customHeight="1">
      <c r="A681" s="100" t="n"/>
      <c r="B681" s="101" t="n"/>
      <c r="C681" s="102" t="n"/>
      <c r="D681" s="99" t="n"/>
      <c r="E681" s="95" t="n"/>
      <c r="F681" s="95" t="n"/>
      <c r="G681" s="94" t="n"/>
      <c r="H681" s="46" t="n"/>
      <c r="I681" s="46" t="n"/>
      <c r="J681" s="46" t="n"/>
      <c r="K681" s="46" t="n"/>
      <c r="L681" s="95" t="n"/>
      <c r="M681" s="95" t="n"/>
      <c r="N681" s="95" t="n"/>
      <c r="O681" s="95" t="n"/>
      <c r="P681" s="95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  <c r="Z681" s="46" t="n"/>
    </row>
    <row r="682" ht="12.75" customHeight="1">
      <c r="A682" s="100" t="n"/>
      <c r="B682" s="101" t="n"/>
      <c r="C682" s="102" t="n"/>
      <c r="D682" s="99" t="n"/>
      <c r="E682" s="95" t="n"/>
      <c r="F682" s="95" t="n"/>
      <c r="G682" s="94" t="n"/>
      <c r="H682" s="46" t="n"/>
      <c r="I682" s="46" t="n"/>
      <c r="J682" s="46" t="n"/>
      <c r="K682" s="46" t="n"/>
      <c r="L682" s="95" t="n"/>
      <c r="M682" s="95" t="n"/>
      <c r="N682" s="95" t="n"/>
      <c r="O682" s="95" t="n"/>
      <c r="P682" s="95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  <c r="Z682" s="46" t="n"/>
    </row>
    <row r="683" ht="12.75" customHeight="1">
      <c r="A683" s="100" t="n"/>
      <c r="B683" s="101" t="n"/>
      <c r="C683" s="102" t="n"/>
      <c r="D683" s="99" t="n"/>
      <c r="E683" s="95" t="n"/>
      <c r="F683" s="95" t="n"/>
      <c r="G683" s="94" t="n"/>
      <c r="H683" s="46" t="n"/>
      <c r="I683" s="46" t="n"/>
      <c r="J683" s="46" t="n"/>
      <c r="K683" s="46" t="n"/>
      <c r="L683" s="95" t="n"/>
      <c r="M683" s="95" t="n"/>
      <c r="N683" s="95" t="n"/>
      <c r="O683" s="95" t="n"/>
      <c r="P683" s="95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  <c r="Z683" s="46" t="n"/>
    </row>
    <row r="684" ht="12.75" customHeight="1">
      <c r="A684" s="100" t="n"/>
      <c r="B684" s="101" t="n"/>
      <c r="C684" s="102" t="n"/>
      <c r="D684" s="99" t="n"/>
      <c r="E684" s="95" t="n"/>
      <c r="F684" s="95" t="n"/>
      <c r="G684" s="94" t="n"/>
      <c r="H684" s="46" t="n"/>
      <c r="I684" s="46" t="n"/>
      <c r="J684" s="46" t="n"/>
      <c r="K684" s="46" t="n"/>
      <c r="L684" s="95" t="n"/>
      <c r="M684" s="95" t="n"/>
      <c r="N684" s="95" t="n"/>
      <c r="O684" s="95" t="n"/>
      <c r="P684" s="95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  <c r="Z684" s="46" t="n"/>
    </row>
    <row r="685" ht="12.75" customHeight="1">
      <c r="A685" s="100" t="n"/>
      <c r="B685" s="101" t="n"/>
      <c r="C685" s="102" t="n"/>
      <c r="D685" s="99" t="n"/>
      <c r="E685" s="95" t="n"/>
      <c r="F685" s="95" t="n"/>
      <c r="G685" s="94" t="n"/>
      <c r="H685" s="46" t="n"/>
      <c r="I685" s="46" t="n"/>
      <c r="J685" s="46" t="n"/>
      <c r="K685" s="46" t="n"/>
      <c r="L685" s="95" t="n"/>
      <c r="M685" s="95" t="n"/>
      <c r="N685" s="95" t="n"/>
      <c r="O685" s="95" t="n"/>
      <c r="P685" s="95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  <c r="Z685" s="46" t="n"/>
    </row>
    <row r="686" ht="12.75" customHeight="1">
      <c r="A686" s="100" t="n"/>
      <c r="B686" s="101" t="n"/>
      <c r="C686" s="102" t="n"/>
      <c r="D686" s="99" t="n"/>
      <c r="E686" s="95" t="n"/>
      <c r="F686" s="95" t="n"/>
      <c r="G686" s="94" t="n"/>
      <c r="H686" s="46" t="n"/>
      <c r="I686" s="46" t="n"/>
      <c r="J686" s="46" t="n"/>
      <c r="K686" s="46" t="n"/>
      <c r="L686" s="95" t="n"/>
      <c r="M686" s="95" t="n"/>
      <c r="N686" s="95" t="n"/>
      <c r="O686" s="95" t="n"/>
      <c r="P686" s="95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  <c r="Z686" s="46" t="n"/>
    </row>
    <row r="687" ht="12.75" customHeight="1">
      <c r="A687" s="100" t="n"/>
      <c r="B687" s="101" t="n"/>
      <c r="C687" s="102" t="n"/>
      <c r="D687" s="99" t="n"/>
      <c r="E687" s="95" t="n"/>
      <c r="F687" s="95" t="n"/>
      <c r="G687" s="94" t="n"/>
      <c r="H687" s="46" t="n"/>
      <c r="I687" s="46" t="n"/>
      <c r="J687" s="46" t="n"/>
      <c r="K687" s="46" t="n"/>
      <c r="L687" s="95" t="n"/>
      <c r="M687" s="95" t="n"/>
      <c r="N687" s="95" t="n"/>
      <c r="O687" s="95" t="n"/>
      <c r="P687" s="95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  <c r="Z687" s="46" t="n"/>
    </row>
    <row r="688" ht="12.75" customHeight="1">
      <c r="A688" s="100" t="n"/>
      <c r="B688" s="101" t="n"/>
      <c r="C688" s="102" t="n"/>
      <c r="D688" s="99" t="n"/>
      <c r="E688" s="95" t="n"/>
      <c r="F688" s="95" t="n"/>
      <c r="G688" s="94" t="n"/>
      <c r="H688" s="46" t="n"/>
      <c r="I688" s="46" t="n"/>
      <c r="J688" s="46" t="n"/>
      <c r="K688" s="46" t="n"/>
      <c r="L688" s="95" t="n"/>
      <c r="M688" s="95" t="n"/>
      <c r="N688" s="95" t="n"/>
      <c r="O688" s="95" t="n"/>
      <c r="P688" s="95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  <c r="Z688" s="46" t="n"/>
    </row>
    <row r="689" ht="12.75" customHeight="1">
      <c r="A689" s="100" t="n"/>
      <c r="B689" s="101" t="n"/>
      <c r="C689" s="102" t="n"/>
      <c r="D689" s="99" t="n"/>
      <c r="E689" s="95" t="n"/>
      <c r="F689" s="95" t="n"/>
      <c r="G689" s="94" t="n"/>
      <c r="H689" s="46" t="n"/>
      <c r="I689" s="46" t="n"/>
      <c r="J689" s="46" t="n"/>
      <c r="K689" s="46" t="n"/>
      <c r="L689" s="95" t="n"/>
      <c r="M689" s="95" t="n"/>
      <c r="N689" s="95" t="n"/>
      <c r="O689" s="95" t="n"/>
      <c r="P689" s="95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  <c r="Z689" s="46" t="n"/>
    </row>
    <row r="690" ht="12.75" customHeight="1">
      <c r="A690" s="100" t="n"/>
      <c r="B690" s="101" t="n"/>
      <c r="C690" s="102" t="n"/>
      <c r="D690" s="99" t="n"/>
      <c r="E690" s="95" t="n"/>
      <c r="F690" s="95" t="n"/>
      <c r="G690" s="94" t="n"/>
      <c r="H690" s="46" t="n"/>
      <c r="I690" s="46" t="n"/>
      <c r="J690" s="46" t="n"/>
      <c r="K690" s="46" t="n"/>
      <c r="L690" s="95" t="n"/>
      <c r="M690" s="95" t="n"/>
      <c r="N690" s="95" t="n"/>
      <c r="O690" s="95" t="n"/>
      <c r="P690" s="95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  <c r="Z690" s="46" t="n"/>
    </row>
    <row r="691" ht="12.75" customHeight="1">
      <c r="A691" s="100" t="n"/>
      <c r="B691" s="101" t="n"/>
      <c r="C691" s="102" t="n"/>
      <c r="D691" s="99" t="n"/>
      <c r="E691" s="95" t="n"/>
      <c r="F691" s="95" t="n"/>
      <c r="G691" s="94" t="n"/>
      <c r="H691" s="46" t="n"/>
      <c r="I691" s="46" t="n"/>
      <c r="J691" s="46" t="n"/>
      <c r="K691" s="46" t="n"/>
      <c r="L691" s="95" t="n"/>
      <c r="M691" s="95" t="n"/>
      <c r="N691" s="95" t="n"/>
      <c r="O691" s="95" t="n"/>
      <c r="P691" s="95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  <c r="Z691" s="46" t="n"/>
    </row>
    <row r="692" ht="12.75" customHeight="1">
      <c r="A692" s="100" t="n"/>
      <c r="B692" s="101" t="n"/>
      <c r="C692" s="102" t="n"/>
      <c r="D692" s="99" t="n"/>
      <c r="E692" s="95" t="n"/>
      <c r="F692" s="95" t="n"/>
      <c r="G692" s="94" t="n"/>
      <c r="H692" s="46" t="n"/>
      <c r="I692" s="46" t="n"/>
      <c r="J692" s="46" t="n"/>
      <c r="K692" s="46" t="n"/>
      <c r="L692" s="95" t="n"/>
      <c r="M692" s="95" t="n"/>
      <c r="N692" s="95" t="n"/>
      <c r="O692" s="95" t="n"/>
      <c r="P692" s="95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  <c r="Z692" s="46" t="n"/>
    </row>
    <row r="693" ht="12.75" customHeight="1">
      <c r="A693" s="100" t="n"/>
      <c r="B693" s="101" t="n"/>
      <c r="C693" s="102" t="n"/>
      <c r="D693" s="99" t="n"/>
      <c r="E693" s="95" t="n"/>
      <c r="F693" s="95" t="n"/>
      <c r="G693" s="94" t="n"/>
      <c r="H693" s="46" t="n"/>
      <c r="I693" s="46" t="n"/>
      <c r="J693" s="46" t="n"/>
      <c r="K693" s="46" t="n"/>
      <c r="L693" s="95" t="n"/>
      <c r="M693" s="95" t="n"/>
      <c r="N693" s="95" t="n"/>
      <c r="O693" s="95" t="n"/>
      <c r="P693" s="95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  <c r="Z693" s="46" t="n"/>
    </row>
    <row r="694" ht="12.75" customHeight="1">
      <c r="A694" s="100" t="n"/>
      <c r="B694" s="101" t="n"/>
      <c r="C694" s="102" t="n"/>
      <c r="D694" s="99" t="n"/>
      <c r="E694" s="95" t="n"/>
      <c r="F694" s="95" t="n"/>
      <c r="G694" s="94" t="n"/>
      <c r="H694" s="46" t="n"/>
      <c r="I694" s="46" t="n"/>
      <c r="J694" s="46" t="n"/>
      <c r="K694" s="46" t="n"/>
      <c r="L694" s="95" t="n"/>
      <c r="M694" s="95" t="n"/>
      <c r="N694" s="95" t="n"/>
      <c r="O694" s="95" t="n"/>
      <c r="P694" s="95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  <c r="Z694" s="46" t="n"/>
    </row>
    <row r="695" ht="12.75" customHeight="1">
      <c r="A695" s="100" t="n"/>
      <c r="B695" s="101" t="n"/>
      <c r="C695" s="102" t="n"/>
      <c r="D695" s="99" t="n"/>
      <c r="E695" s="95" t="n"/>
      <c r="F695" s="95" t="n"/>
      <c r="G695" s="94" t="n"/>
      <c r="H695" s="46" t="n"/>
      <c r="I695" s="46" t="n"/>
      <c r="J695" s="46" t="n"/>
      <c r="K695" s="46" t="n"/>
      <c r="L695" s="95" t="n"/>
      <c r="M695" s="95" t="n"/>
      <c r="N695" s="95" t="n"/>
      <c r="O695" s="95" t="n"/>
      <c r="P695" s="95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  <c r="Z695" s="46" t="n"/>
    </row>
    <row r="696" ht="12.75" customHeight="1">
      <c r="A696" s="100" t="n"/>
      <c r="B696" s="101" t="n"/>
      <c r="C696" s="102" t="n"/>
      <c r="D696" s="99" t="n"/>
      <c r="E696" s="95" t="n"/>
      <c r="F696" s="95" t="n"/>
      <c r="G696" s="94" t="n"/>
      <c r="H696" s="46" t="n"/>
      <c r="I696" s="46" t="n"/>
      <c r="J696" s="46" t="n"/>
      <c r="K696" s="46" t="n"/>
      <c r="L696" s="95" t="n"/>
      <c r="M696" s="95" t="n"/>
      <c r="N696" s="95" t="n"/>
      <c r="O696" s="95" t="n"/>
      <c r="P696" s="95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  <c r="Z696" s="46" t="n"/>
    </row>
    <row r="697" ht="12.75" customHeight="1">
      <c r="A697" s="100" t="n"/>
      <c r="B697" s="101" t="n"/>
      <c r="C697" s="102" t="n"/>
      <c r="D697" s="99" t="n"/>
      <c r="E697" s="95" t="n"/>
      <c r="F697" s="95" t="n"/>
      <c r="G697" s="94" t="n"/>
      <c r="H697" s="46" t="n"/>
      <c r="I697" s="46" t="n"/>
      <c r="J697" s="46" t="n"/>
      <c r="K697" s="46" t="n"/>
      <c r="L697" s="95" t="n"/>
      <c r="M697" s="95" t="n"/>
      <c r="N697" s="95" t="n"/>
      <c r="O697" s="95" t="n"/>
      <c r="P697" s="95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  <c r="Z697" s="46" t="n"/>
    </row>
    <row r="698" ht="12.75" customHeight="1">
      <c r="A698" s="100" t="n"/>
      <c r="B698" s="101" t="n"/>
      <c r="C698" s="102" t="n"/>
      <c r="D698" s="99" t="n"/>
      <c r="E698" s="95" t="n"/>
      <c r="F698" s="95" t="n"/>
      <c r="G698" s="94" t="n"/>
      <c r="H698" s="46" t="n"/>
      <c r="I698" s="46" t="n"/>
      <c r="J698" s="46" t="n"/>
      <c r="K698" s="46" t="n"/>
      <c r="L698" s="95" t="n"/>
      <c r="M698" s="95" t="n"/>
      <c r="N698" s="95" t="n"/>
      <c r="O698" s="95" t="n"/>
      <c r="P698" s="95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  <c r="Z698" s="46" t="n"/>
    </row>
    <row r="699" ht="12.75" customHeight="1">
      <c r="A699" s="100" t="n"/>
      <c r="B699" s="101" t="n"/>
      <c r="C699" s="102" t="n"/>
      <c r="D699" s="99" t="n"/>
      <c r="E699" s="95" t="n"/>
      <c r="F699" s="95" t="n"/>
      <c r="G699" s="94" t="n"/>
      <c r="H699" s="46" t="n"/>
      <c r="I699" s="46" t="n"/>
      <c r="J699" s="46" t="n"/>
      <c r="K699" s="46" t="n"/>
      <c r="L699" s="95" t="n"/>
      <c r="M699" s="95" t="n"/>
      <c r="N699" s="95" t="n"/>
      <c r="O699" s="95" t="n"/>
      <c r="P699" s="95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  <c r="Z699" s="46" t="n"/>
    </row>
    <row r="700" ht="12.75" customHeight="1">
      <c r="A700" s="100" t="n"/>
      <c r="B700" s="101" t="n"/>
      <c r="C700" s="102" t="n"/>
      <c r="D700" s="99" t="n"/>
      <c r="E700" s="95" t="n"/>
      <c r="F700" s="95" t="n"/>
      <c r="G700" s="94" t="n"/>
      <c r="H700" s="46" t="n"/>
      <c r="I700" s="46" t="n"/>
      <c r="J700" s="46" t="n"/>
      <c r="K700" s="46" t="n"/>
      <c r="L700" s="95" t="n"/>
      <c r="M700" s="95" t="n"/>
      <c r="N700" s="95" t="n"/>
      <c r="O700" s="95" t="n"/>
      <c r="P700" s="95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  <c r="Z700" s="46" t="n"/>
    </row>
    <row r="701" ht="12.75" customHeight="1">
      <c r="A701" s="100" t="n"/>
      <c r="B701" s="101" t="n"/>
      <c r="C701" s="102" t="n"/>
      <c r="D701" s="99" t="n"/>
      <c r="E701" s="95" t="n"/>
      <c r="F701" s="95" t="n"/>
      <c r="G701" s="94" t="n"/>
      <c r="H701" s="46" t="n"/>
      <c r="I701" s="46" t="n"/>
      <c r="J701" s="46" t="n"/>
      <c r="K701" s="46" t="n"/>
      <c r="L701" s="95" t="n"/>
      <c r="M701" s="95" t="n"/>
      <c r="N701" s="95" t="n"/>
      <c r="O701" s="95" t="n"/>
      <c r="P701" s="95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  <c r="Z701" s="46" t="n"/>
    </row>
    <row r="702" ht="12.75" customHeight="1">
      <c r="A702" s="100" t="n"/>
      <c r="B702" s="101" t="n"/>
      <c r="C702" s="102" t="n"/>
      <c r="D702" s="99" t="n"/>
      <c r="E702" s="95" t="n"/>
      <c r="F702" s="95" t="n"/>
      <c r="G702" s="94" t="n"/>
      <c r="H702" s="46" t="n"/>
      <c r="I702" s="46" t="n"/>
      <c r="J702" s="46" t="n"/>
      <c r="K702" s="46" t="n"/>
      <c r="L702" s="95" t="n"/>
      <c r="M702" s="95" t="n"/>
      <c r="N702" s="95" t="n"/>
      <c r="O702" s="95" t="n"/>
      <c r="P702" s="95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  <c r="Z702" s="46" t="n"/>
    </row>
    <row r="703" ht="12.75" customHeight="1">
      <c r="A703" s="100" t="n"/>
      <c r="B703" s="101" t="n"/>
      <c r="C703" s="102" t="n"/>
      <c r="D703" s="99" t="n"/>
      <c r="E703" s="95" t="n"/>
      <c r="F703" s="95" t="n"/>
      <c r="G703" s="94" t="n"/>
      <c r="H703" s="46" t="n"/>
      <c r="I703" s="46" t="n"/>
      <c r="J703" s="46" t="n"/>
      <c r="K703" s="46" t="n"/>
      <c r="L703" s="95" t="n"/>
      <c r="M703" s="95" t="n"/>
      <c r="N703" s="95" t="n"/>
      <c r="O703" s="95" t="n"/>
      <c r="P703" s="95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  <c r="Z703" s="46" t="n"/>
    </row>
    <row r="704" ht="12.75" customHeight="1">
      <c r="A704" s="100" t="n"/>
      <c r="B704" s="101" t="n"/>
      <c r="C704" s="102" t="n"/>
      <c r="D704" s="99" t="n"/>
      <c r="E704" s="95" t="n"/>
      <c r="F704" s="95" t="n"/>
      <c r="G704" s="94" t="n"/>
      <c r="H704" s="46" t="n"/>
      <c r="I704" s="46" t="n"/>
      <c r="J704" s="46" t="n"/>
      <c r="K704" s="46" t="n"/>
      <c r="L704" s="95" t="n"/>
      <c r="M704" s="95" t="n"/>
      <c r="N704" s="95" t="n"/>
      <c r="O704" s="95" t="n"/>
      <c r="P704" s="95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  <c r="Z704" s="46" t="n"/>
    </row>
    <row r="705" ht="12.75" customHeight="1">
      <c r="A705" s="100" t="n"/>
      <c r="B705" s="101" t="n"/>
      <c r="C705" s="102" t="n"/>
      <c r="D705" s="99" t="n"/>
      <c r="E705" s="95" t="n"/>
      <c r="F705" s="95" t="n"/>
      <c r="G705" s="94" t="n"/>
      <c r="H705" s="46" t="n"/>
      <c r="I705" s="46" t="n"/>
      <c r="J705" s="46" t="n"/>
      <c r="K705" s="46" t="n"/>
      <c r="L705" s="95" t="n"/>
      <c r="M705" s="95" t="n"/>
      <c r="N705" s="95" t="n"/>
      <c r="O705" s="95" t="n"/>
      <c r="P705" s="95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  <c r="Z705" s="46" t="n"/>
    </row>
    <row r="706" ht="12.75" customHeight="1">
      <c r="A706" s="100" t="n"/>
      <c r="B706" s="101" t="n"/>
      <c r="C706" s="102" t="n"/>
      <c r="D706" s="99" t="n"/>
      <c r="E706" s="95" t="n"/>
      <c r="F706" s="95" t="n"/>
      <c r="G706" s="94" t="n"/>
      <c r="H706" s="46" t="n"/>
      <c r="I706" s="46" t="n"/>
      <c r="J706" s="46" t="n"/>
      <c r="K706" s="46" t="n"/>
      <c r="L706" s="95" t="n"/>
      <c r="M706" s="95" t="n"/>
      <c r="N706" s="95" t="n"/>
      <c r="O706" s="95" t="n"/>
      <c r="P706" s="95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  <c r="Z706" s="46" t="n"/>
    </row>
    <row r="707" ht="12.75" customHeight="1">
      <c r="A707" s="100" t="n"/>
      <c r="B707" s="101" t="n"/>
      <c r="C707" s="102" t="n"/>
      <c r="D707" s="99" t="n"/>
      <c r="E707" s="95" t="n"/>
      <c r="F707" s="95" t="n"/>
      <c r="G707" s="94" t="n"/>
      <c r="H707" s="46" t="n"/>
      <c r="I707" s="46" t="n"/>
      <c r="J707" s="46" t="n"/>
      <c r="K707" s="46" t="n"/>
      <c r="L707" s="95" t="n"/>
      <c r="M707" s="95" t="n"/>
      <c r="N707" s="95" t="n"/>
      <c r="O707" s="95" t="n"/>
      <c r="P707" s="95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  <c r="Z707" s="46" t="n"/>
    </row>
    <row r="708" ht="12.75" customHeight="1">
      <c r="A708" s="100" t="n"/>
      <c r="B708" s="101" t="n"/>
      <c r="C708" s="102" t="n"/>
      <c r="D708" s="99" t="n"/>
      <c r="E708" s="95" t="n"/>
      <c r="F708" s="95" t="n"/>
      <c r="G708" s="94" t="n"/>
      <c r="H708" s="46" t="n"/>
      <c r="I708" s="46" t="n"/>
      <c r="J708" s="46" t="n"/>
      <c r="K708" s="46" t="n"/>
      <c r="L708" s="95" t="n"/>
      <c r="M708" s="95" t="n"/>
      <c r="N708" s="95" t="n"/>
      <c r="O708" s="95" t="n"/>
      <c r="P708" s="95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  <c r="Z708" s="46" t="n"/>
    </row>
    <row r="709" ht="12.75" customHeight="1">
      <c r="A709" s="100" t="n"/>
      <c r="B709" s="101" t="n"/>
      <c r="C709" s="102" t="n"/>
      <c r="D709" s="99" t="n"/>
      <c r="E709" s="95" t="n"/>
      <c r="F709" s="95" t="n"/>
      <c r="G709" s="94" t="n"/>
      <c r="H709" s="46" t="n"/>
      <c r="I709" s="46" t="n"/>
      <c r="J709" s="46" t="n"/>
      <c r="K709" s="46" t="n"/>
      <c r="L709" s="95" t="n"/>
      <c r="M709" s="95" t="n"/>
      <c r="N709" s="95" t="n"/>
      <c r="O709" s="95" t="n"/>
      <c r="P709" s="95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  <c r="Z709" s="46" t="n"/>
    </row>
    <row r="710" ht="12.75" customHeight="1">
      <c r="A710" s="100" t="n"/>
      <c r="B710" s="101" t="n"/>
      <c r="C710" s="102" t="n"/>
      <c r="D710" s="99" t="n"/>
      <c r="E710" s="95" t="n"/>
      <c r="F710" s="95" t="n"/>
      <c r="G710" s="94" t="n"/>
      <c r="H710" s="46" t="n"/>
      <c r="I710" s="46" t="n"/>
      <c r="J710" s="46" t="n"/>
      <c r="K710" s="46" t="n"/>
      <c r="L710" s="95" t="n"/>
      <c r="M710" s="95" t="n"/>
      <c r="N710" s="95" t="n"/>
      <c r="O710" s="95" t="n"/>
      <c r="P710" s="95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  <c r="Z710" s="46" t="n"/>
    </row>
    <row r="711" ht="12.75" customHeight="1">
      <c r="A711" s="100" t="n"/>
      <c r="B711" s="101" t="n"/>
      <c r="C711" s="102" t="n"/>
      <c r="D711" s="99" t="n"/>
      <c r="E711" s="95" t="n"/>
      <c r="F711" s="95" t="n"/>
      <c r="G711" s="94" t="n"/>
      <c r="H711" s="46" t="n"/>
      <c r="I711" s="46" t="n"/>
      <c r="J711" s="46" t="n"/>
      <c r="K711" s="46" t="n"/>
      <c r="L711" s="95" t="n"/>
      <c r="M711" s="95" t="n"/>
      <c r="N711" s="95" t="n"/>
      <c r="O711" s="95" t="n"/>
      <c r="P711" s="95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  <c r="Z711" s="46" t="n"/>
    </row>
    <row r="712" ht="12.75" customHeight="1">
      <c r="A712" s="100" t="n"/>
      <c r="B712" s="101" t="n"/>
      <c r="C712" s="102" t="n"/>
      <c r="D712" s="99" t="n"/>
      <c r="E712" s="95" t="n"/>
      <c r="F712" s="95" t="n"/>
      <c r="G712" s="94" t="n"/>
      <c r="H712" s="46" t="n"/>
      <c r="I712" s="46" t="n"/>
      <c r="J712" s="46" t="n"/>
      <c r="K712" s="46" t="n"/>
      <c r="L712" s="95" t="n"/>
      <c r="M712" s="95" t="n"/>
      <c r="N712" s="95" t="n"/>
      <c r="O712" s="95" t="n"/>
      <c r="P712" s="95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  <c r="Z712" s="46" t="n"/>
    </row>
    <row r="713" ht="12.75" customHeight="1">
      <c r="A713" s="100" t="n"/>
      <c r="B713" s="101" t="n"/>
      <c r="C713" s="102" t="n"/>
      <c r="D713" s="99" t="n"/>
      <c r="E713" s="95" t="n"/>
      <c r="F713" s="95" t="n"/>
      <c r="G713" s="94" t="n"/>
      <c r="H713" s="46" t="n"/>
      <c r="I713" s="46" t="n"/>
      <c r="J713" s="46" t="n"/>
      <c r="K713" s="46" t="n"/>
      <c r="L713" s="95" t="n"/>
      <c r="M713" s="95" t="n"/>
      <c r="N713" s="95" t="n"/>
      <c r="O713" s="95" t="n"/>
      <c r="P713" s="95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  <c r="Z713" s="46" t="n"/>
    </row>
    <row r="714" ht="12.75" customHeight="1">
      <c r="A714" s="100" t="n"/>
      <c r="B714" s="101" t="n"/>
      <c r="C714" s="102" t="n"/>
      <c r="D714" s="99" t="n"/>
      <c r="E714" s="95" t="n"/>
      <c r="F714" s="95" t="n"/>
      <c r="G714" s="94" t="n"/>
      <c r="H714" s="46" t="n"/>
      <c r="I714" s="46" t="n"/>
      <c r="J714" s="46" t="n"/>
      <c r="K714" s="46" t="n"/>
      <c r="L714" s="95" t="n"/>
      <c r="M714" s="95" t="n"/>
      <c r="N714" s="95" t="n"/>
      <c r="O714" s="95" t="n"/>
      <c r="P714" s="95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  <c r="Z714" s="46" t="n"/>
    </row>
    <row r="715" ht="12.75" customHeight="1">
      <c r="A715" s="100" t="n"/>
      <c r="B715" s="101" t="n"/>
      <c r="C715" s="102" t="n"/>
      <c r="D715" s="99" t="n"/>
      <c r="E715" s="95" t="n"/>
      <c r="F715" s="95" t="n"/>
      <c r="G715" s="94" t="n"/>
      <c r="H715" s="46" t="n"/>
      <c r="I715" s="46" t="n"/>
      <c r="J715" s="46" t="n"/>
      <c r="K715" s="46" t="n"/>
      <c r="L715" s="95" t="n"/>
      <c r="M715" s="95" t="n"/>
      <c r="N715" s="95" t="n"/>
      <c r="O715" s="95" t="n"/>
      <c r="P715" s="95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  <c r="Z715" s="46" t="n"/>
    </row>
    <row r="716" ht="12.75" customHeight="1">
      <c r="A716" s="100" t="n"/>
      <c r="B716" s="101" t="n"/>
      <c r="C716" s="102" t="n"/>
      <c r="D716" s="99" t="n"/>
      <c r="E716" s="95" t="n"/>
      <c r="F716" s="95" t="n"/>
      <c r="G716" s="94" t="n"/>
      <c r="H716" s="46" t="n"/>
      <c r="I716" s="46" t="n"/>
      <c r="J716" s="46" t="n"/>
      <c r="K716" s="46" t="n"/>
      <c r="L716" s="95" t="n"/>
      <c r="M716" s="95" t="n"/>
      <c r="N716" s="95" t="n"/>
      <c r="O716" s="95" t="n"/>
      <c r="P716" s="95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  <c r="Z716" s="46" t="n"/>
    </row>
    <row r="717" ht="12.75" customHeight="1">
      <c r="A717" s="100" t="n"/>
      <c r="B717" s="101" t="n"/>
      <c r="C717" s="102" t="n"/>
      <c r="D717" s="99" t="n"/>
      <c r="E717" s="95" t="n"/>
      <c r="F717" s="95" t="n"/>
      <c r="G717" s="94" t="n"/>
      <c r="H717" s="46" t="n"/>
      <c r="I717" s="46" t="n"/>
      <c r="J717" s="46" t="n"/>
      <c r="K717" s="46" t="n"/>
      <c r="L717" s="95" t="n"/>
      <c r="M717" s="95" t="n"/>
      <c r="N717" s="95" t="n"/>
      <c r="O717" s="95" t="n"/>
      <c r="P717" s="95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  <c r="Z717" s="46" t="n"/>
    </row>
    <row r="718" ht="12.75" customHeight="1">
      <c r="A718" s="100" t="n"/>
      <c r="B718" s="101" t="n"/>
      <c r="C718" s="102" t="n"/>
      <c r="D718" s="99" t="n"/>
      <c r="E718" s="95" t="n"/>
      <c r="F718" s="95" t="n"/>
      <c r="G718" s="94" t="n"/>
      <c r="H718" s="46" t="n"/>
      <c r="I718" s="46" t="n"/>
      <c r="J718" s="46" t="n"/>
      <c r="K718" s="46" t="n"/>
      <c r="L718" s="95" t="n"/>
      <c r="M718" s="95" t="n"/>
      <c r="N718" s="95" t="n"/>
      <c r="O718" s="95" t="n"/>
      <c r="P718" s="95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  <c r="Z718" s="46" t="n"/>
    </row>
    <row r="719" ht="12.75" customHeight="1">
      <c r="A719" s="100" t="n"/>
      <c r="B719" s="101" t="n"/>
      <c r="C719" s="102" t="n"/>
      <c r="D719" s="99" t="n"/>
      <c r="E719" s="95" t="n"/>
      <c r="F719" s="95" t="n"/>
      <c r="G719" s="94" t="n"/>
      <c r="H719" s="46" t="n"/>
      <c r="I719" s="46" t="n"/>
      <c r="J719" s="46" t="n"/>
      <c r="K719" s="46" t="n"/>
      <c r="L719" s="95" t="n"/>
      <c r="M719" s="95" t="n"/>
      <c r="N719" s="95" t="n"/>
      <c r="O719" s="95" t="n"/>
      <c r="P719" s="95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  <c r="Z719" s="46" t="n"/>
    </row>
    <row r="720" ht="12.75" customHeight="1">
      <c r="A720" s="100" t="n"/>
      <c r="B720" s="101" t="n"/>
      <c r="C720" s="102" t="n"/>
      <c r="D720" s="99" t="n"/>
      <c r="E720" s="95" t="n"/>
      <c r="F720" s="95" t="n"/>
      <c r="G720" s="94" t="n"/>
      <c r="H720" s="46" t="n"/>
      <c r="I720" s="46" t="n"/>
      <c r="J720" s="46" t="n"/>
      <c r="K720" s="46" t="n"/>
      <c r="L720" s="95" t="n"/>
      <c r="M720" s="95" t="n"/>
      <c r="N720" s="95" t="n"/>
      <c r="O720" s="95" t="n"/>
      <c r="P720" s="95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  <c r="Z720" s="46" t="n"/>
    </row>
    <row r="721" ht="12.75" customHeight="1">
      <c r="A721" s="100" t="n"/>
      <c r="B721" s="101" t="n"/>
      <c r="C721" s="102" t="n"/>
      <c r="D721" s="99" t="n"/>
      <c r="E721" s="95" t="n"/>
      <c r="F721" s="95" t="n"/>
      <c r="G721" s="94" t="n"/>
      <c r="H721" s="46" t="n"/>
      <c r="I721" s="46" t="n"/>
      <c r="J721" s="46" t="n"/>
      <c r="K721" s="46" t="n"/>
      <c r="L721" s="95" t="n"/>
      <c r="M721" s="95" t="n"/>
      <c r="N721" s="95" t="n"/>
      <c r="O721" s="95" t="n"/>
      <c r="P721" s="95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  <c r="Z721" s="46" t="n"/>
    </row>
    <row r="722" ht="12.75" customHeight="1">
      <c r="A722" s="100" t="n"/>
      <c r="B722" s="101" t="n"/>
      <c r="C722" s="102" t="n"/>
      <c r="D722" s="99" t="n"/>
      <c r="E722" s="95" t="n"/>
      <c r="F722" s="95" t="n"/>
      <c r="G722" s="94" t="n"/>
      <c r="H722" s="46" t="n"/>
      <c r="I722" s="46" t="n"/>
      <c r="J722" s="46" t="n"/>
      <c r="K722" s="46" t="n"/>
      <c r="L722" s="95" t="n"/>
      <c r="M722" s="95" t="n"/>
      <c r="N722" s="95" t="n"/>
      <c r="O722" s="95" t="n"/>
      <c r="P722" s="95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  <c r="Z722" s="46" t="n"/>
    </row>
    <row r="723" ht="12.75" customHeight="1">
      <c r="A723" s="100" t="n"/>
      <c r="B723" s="101" t="n"/>
      <c r="C723" s="102" t="n"/>
      <c r="D723" s="99" t="n"/>
      <c r="E723" s="95" t="n"/>
      <c r="F723" s="95" t="n"/>
      <c r="G723" s="94" t="n"/>
      <c r="H723" s="46" t="n"/>
      <c r="I723" s="46" t="n"/>
      <c r="J723" s="46" t="n"/>
      <c r="K723" s="46" t="n"/>
      <c r="L723" s="95" t="n"/>
      <c r="M723" s="95" t="n"/>
      <c r="N723" s="95" t="n"/>
      <c r="O723" s="95" t="n"/>
      <c r="P723" s="95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  <c r="Z723" s="46" t="n"/>
    </row>
    <row r="724" ht="12.75" customHeight="1">
      <c r="A724" s="100" t="n"/>
      <c r="B724" s="101" t="n"/>
      <c r="C724" s="102" t="n"/>
      <c r="D724" s="99" t="n"/>
      <c r="E724" s="95" t="n"/>
      <c r="F724" s="95" t="n"/>
      <c r="G724" s="94" t="n"/>
      <c r="H724" s="46" t="n"/>
      <c r="I724" s="46" t="n"/>
      <c r="J724" s="46" t="n"/>
      <c r="K724" s="46" t="n"/>
      <c r="L724" s="95" t="n"/>
      <c r="M724" s="95" t="n"/>
      <c r="N724" s="95" t="n"/>
      <c r="O724" s="95" t="n"/>
      <c r="P724" s="95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  <c r="Z724" s="46" t="n"/>
    </row>
    <row r="725" ht="12.75" customHeight="1">
      <c r="A725" s="100" t="n"/>
      <c r="B725" s="101" t="n"/>
      <c r="C725" s="102" t="n"/>
      <c r="D725" s="99" t="n"/>
      <c r="E725" s="95" t="n"/>
      <c r="F725" s="95" t="n"/>
      <c r="G725" s="94" t="n"/>
      <c r="H725" s="46" t="n"/>
      <c r="I725" s="46" t="n"/>
      <c r="J725" s="46" t="n"/>
      <c r="K725" s="46" t="n"/>
      <c r="L725" s="95" t="n"/>
      <c r="M725" s="95" t="n"/>
      <c r="N725" s="95" t="n"/>
      <c r="O725" s="95" t="n"/>
      <c r="P725" s="95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  <c r="Z725" s="46" t="n"/>
    </row>
    <row r="726" ht="12.75" customHeight="1">
      <c r="A726" s="100" t="n"/>
      <c r="B726" s="101" t="n"/>
      <c r="C726" s="102" t="n"/>
      <c r="D726" s="99" t="n"/>
      <c r="E726" s="95" t="n"/>
      <c r="F726" s="95" t="n"/>
      <c r="G726" s="94" t="n"/>
      <c r="H726" s="46" t="n"/>
      <c r="I726" s="46" t="n"/>
      <c r="J726" s="46" t="n"/>
      <c r="K726" s="46" t="n"/>
      <c r="L726" s="95" t="n"/>
      <c r="M726" s="95" t="n"/>
      <c r="N726" s="95" t="n"/>
      <c r="O726" s="95" t="n"/>
      <c r="P726" s="95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  <c r="Z726" s="46" t="n"/>
    </row>
    <row r="727" ht="12.75" customHeight="1">
      <c r="A727" s="100" t="n"/>
      <c r="B727" s="101" t="n"/>
      <c r="C727" s="102" t="n"/>
      <c r="D727" s="99" t="n"/>
      <c r="E727" s="95" t="n"/>
      <c r="F727" s="95" t="n"/>
      <c r="G727" s="94" t="n"/>
      <c r="H727" s="46" t="n"/>
      <c r="I727" s="46" t="n"/>
      <c r="J727" s="46" t="n"/>
      <c r="K727" s="46" t="n"/>
      <c r="L727" s="95" t="n"/>
      <c r="M727" s="95" t="n"/>
      <c r="N727" s="95" t="n"/>
      <c r="O727" s="95" t="n"/>
      <c r="P727" s="95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  <c r="Z727" s="46" t="n"/>
    </row>
    <row r="728" ht="12.75" customHeight="1">
      <c r="A728" s="100" t="n"/>
      <c r="B728" s="101" t="n"/>
      <c r="C728" s="102" t="n"/>
      <c r="D728" s="99" t="n"/>
      <c r="E728" s="95" t="n"/>
      <c r="F728" s="95" t="n"/>
      <c r="G728" s="94" t="n"/>
      <c r="H728" s="46" t="n"/>
      <c r="I728" s="46" t="n"/>
      <c r="J728" s="46" t="n"/>
      <c r="K728" s="46" t="n"/>
      <c r="L728" s="95" t="n"/>
      <c r="M728" s="95" t="n"/>
      <c r="N728" s="95" t="n"/>
      <c r="O728" s="95" t="n"/>
      <c r="P728" s="95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  <c r="Z728" s="46" t="n"/>
    </row>
    <row r="729" ht="12.75" customHeight="1">
      <c r="A729" s="100" t="n"/>
      <c r="B729" s="101" t="n"/>
      <c r="C729" s="102" t="n"/>
      <c r="D729" s="99" t="n"/>
      <c r="E729" s="95" t="n"/>
      <c r="F729" s="95" t="n"/>
      <c r="G729" s="94" t="n"/>
      <c r="H729" s="46" t="n"/>
      <c r="I729" s="46" t="n"/>
      <c r="J729" s="46" t="n"/>
      <c r="K729" s="46" t="n"/>
      <c r="L729" s="95" t="n"/>
      <c r="M729" s="95" t="n"/>
      <c r="N729" s="95" t="n"/>
      <c r="O729" s="95" t="n"/>
      <c r="P729" s="95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  <c r="Z729" s="46" t="n"/>
    </row>
    <row r="730" ht="12.75" customHeight="1">
      <c r="A730" s="100" t="n"/>
      <c r="B730" s="101" t="n"/>
      <c r="C730" s="102" t="n"/>
      <c r="D730" s="99" t="n"/>
      <c r="E730" s="95" t="n"/>
      <c r="F730" s="95" t="n"/>
      <c r="G730" s="94" t="n"/>
      <c r="H730" s="46" t="n"/>
      <c r="I730" s="46" t="n"/>
      <c r="J730" s="46" t="n"/>
      <c r="K730" s="46" t="n"/>
      <c r="L730" s="95" t="n"/>
      <c r="M730" s="95" t="n"/>
      <c r="N730" s="95" t="n"/>
      <c r="O730" s="95" t="n"/>
      <c r="P730" s="95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  <c r="Z730" s="46" t="n"/>
    </row>
    <row r="731" ht="12.75" customHeight="1">
      <c r="A731" s="100" t="n"/>
      <c r="B731" s="101" t="n"/>
      <c r="C731" s="102" t="n"/>
      <c r="D731" s="99" t="n"/>
      <c r="E731" s="95" t="n"/>
      <c r="F731" s="95" t="n"/>
      <c r="G731" s="94" t="n"/>
      <c r="H731" s="46" t="n"/>
      <c r="I731" s="46" t="n"/>
      <c r="J731" s="46" t="n"/>
      <c r="K731" s="46" t="n"/>
      <c r="L731" s="95" t="n"/>
      <c r="M731" s="95" t="n"/>
      <c r="N731" s="95" t="n"/>
      <c r="O731" s="95" t="n"/>
      <c r="P731" s="95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  <c r="Z731" s="46" t="n"/>
    </row>
    <row r="732" ht="12.75" customHeight="1">
      <c r="A732" s="100" t="n"/>
      <c r="B732" s="101" t="n"/>
      <c r="C732" s="102" t="n"/>
      <c r="D732" s="99" t="n"/>
      <c r="E732" s="95" t="n"/>
      <c r="F732" s="95" t="n"/>
      <c r="G732" s="94" t="n"/>
      <c r="H732" s="46" t="n"/>
      <c r="I732" s="46" t="n"/>
      <c r="J732" s="46" t="n"/>
      <c r="K732" s="46" t="n"/>
      <c r="L732" s="95" t="n"/>
      <c r="M732" s="95" t="n"/>
      <c r="N732" s="95" t="n"/>
      <c r="O732" s="95" t="n"/>
      <c r="P732" s="95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  <c r="Z732" s="46" t="n"/>
    </row>
    <row r="733" ht="12.75" customHeight="1">
      <c r="A733" s="100" t="n"/>
      <c r="B733" s="101" t="n"/>
      <c r="C733" s="102" t="n"/>
      <c r="D733" s="99" t="n"/>
      <c r="E733" s="95" t="n"/>
      <c r="F733" s="95" t="n"/>
      <c r="G733" s="94" t="n"/>
      <c r="H733" s="46" t="n"/>
      <c r="I733" s="46" t="n"/>
      <c r="J733" s="46" t="n"/>
      <c r="K733" s="46" t="n"/>
      <c r="L733" s="95" t="n"/>
      <c r="M733" s="95" t="n"/>
      <c r="N733" s="95" t="n"/>
      <c r="O733" s="95" t="n"/>
      <c r="P733" s="95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  <c r="Z733" s="46" t="n"/>
    </row>
    <row r="734" ht="12.75" customHeight="1">
      <c r="A734" s="100" t="n"/>
      <c r="B734" s="101" t="n"/>
      <c r="C734" s="102" t="n"/>
      <c r="D734" s="99" t="n"/>
      <c r="E734" s="95" t="n"/>
      <c r="F734" s="95" t="n"/>
      <c r="G734" s="94" t="n"/>
      <c r="H734" s="46" t="n"/>
      <c r="I734" s="46" t="n"/>
      <c r="J734" s="46" t="n"/>
      <c r="K734" s="46" t="n"/>
      <c r="L734" s="95" t="n"/>
      <c r="M734" s="95" t="n"/>
      <c r="N734" s="95" t="n"/>
      <c r="O734" s="95" t="n"/>
      <c r="P734" s="95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  <c r="Z734" s="46" t="n"/>
    </row>
    <row r="735" ht="12.75" customHeight="1">
      <c r="A735" s="100" t="n"/>
      <c r="B735" s="101" t="n"/>
      <c r="C735" s="102" t="n"/>
      <c r="D735" s="99" t="n"/>
      <c r="E735" s="95" t="n"/>
      <c r="F735" s="95" t="n"/>
      <c r="G735" s="94" t="n"/>
      <c r="H735" s="46" t="n"/>
      <c r="I735" s="46" t="n"/>
      <c r="J735" s="46" t="n"/>
      <c r="K735" s="46" t="n"/>
      <c r="L735" s="95" t="n"/>
      <c r="M735" s="95" t="n"/>
      <c r="N735" s="95" t="n"/>
      <c r="O735" s="95" t="n"/>
      <c r="P735" s="95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  <c r="Z735" s="46" t="n"/>
    </row>
    <row r="736" ht="12.75" customHeight="1">
      <c r="A736" s="100" t="n"/>
      <c r="B736" s="101" t="n"/>
      <c r="C736" s="102" t="n"/>
      <c r="D736" s="99" t="n"/>
      <c r="E736" s="95" t="n"/>
      <c r="F736" s="95" t="n"/>
      <c r="G736" s="94" t="n"/>
      <c r="H736" s="46" t="n"/>
      <c r="I736" s="46" t="n"/>
      <c r="J736" s="46" t="n"/>
      <c r="K736" s="46" t="n"/>
      <c r="L736" s="95" t="n"/>
      <c r="M736" s="95" t="n"/>
      <c r="N736" s="95" t="n"/>
      <c r="O736" s="95" t="n"/>
      <c r="P736" s="95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  <c r="Z736" s="46" t="n"/>
    </row>
    <row r="737" ht="12.75" customHeight="1">
      <c r="A737" s="100" t="n"/>
      <c r="B737" s="101" t="n"/>
      <c r="C737" s="102" t="n"/>
      <c r="D737" s="99" t="n"/>
      <c r="E737" s="95" t="n"/>
      <c r="F737" s="95" t="n"/>
      <c r="G737" s="94" t="n"/>
      <c r="H737" s="46" t="n"/>
      <c r="I737" s="46" t="n"/>
      <c r="J737" s="46" t="n"/>
      <c r="K737" s="46" t="n"/>
      <c r="L737" s="95" t="n"/>
      <c r="M737" s="95" t="n"/>
      <c r="N737" s="95" t="n"/>
      <c r="O737" s="95" t="n"/>
      <c r="P737" s="95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  <c r="Z737" s="46" t="n"/>
    </row>
    <row r="738" ht="12.75" customHeight="1">
      <c r="A738" s="100" t="n"/>
      <c r="B738" s="101" t="n"/>
      <c r="C738" s="102" t="n"/>
      <c r="D738" s="99" t="n"/>
      <c r="E738" s="95" t="n"/>
      <c r="F738" s="95" t="n"/>
      <c r="G738" s="94" t="n"/>
      <c r="H738" s="46" t="n"/>
      <c r="I738" s="46" t="n"/>
      <c r="J738" s="46" t="n"/>
      <c r="K738" s="46" t="n"/>
      <c r="L738" s="95" t="n"/>
      <c r="M738" s="95" t="n"/>
      <c r="N738" s="95" t="n"/>
      <c r="O738" s="95" t="n"/>
      <c r="P738" s="95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  <c r="Z738" s="46" t="n"/>
    </row>
    <row r="739" ht="12.75" customHeight="1">
      <c r="A739" s="100" t="n"/>
      <c r="B739" s="101" t="n"/>
      <c r="C739" s="102" t="n"/>
      <c r="D739" s="99" t="n"/>
      <c r="E739" s="95" t="n"/>
      <c r="F739" s="95" t="n"/>
      <c r="G739" s="94" t="n"/>
      <c r="H739" s="46" t="n"/>
      <c r="I739" s="46" t="n"/>
      <c r="J739" s="46" t="n"/>
      <c r="K739" s="46" t="n"/>
      <c r="L739" s="95" t="n"/>
      <c r="M739" s="95" t="n"/>
      <c r="N739" s="95" t="n"/>
      <c r="O739" s="95" t="n"/>
      <c r="P739" s="95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  <c r="Z739" s="46" t="n"/>
    </row>
    <row r="740" ht="12.75" customHeight="1">
      <c r="A740" s="100" t="n"/>
      <c r="B740" s="101" t="n"/>
      <c r="C740" s="102" t="n"/>
      <c r="D740" s="99" t="n"/>
      <c r="E740" s="95" t="n"/>
      <c r="F740" s="95" t="n"/>
      <c r="G740" s="94" t="n"/>
      <c r="H740" s="46" t="n"/>
      <c r="I740" s="46" t="n"/>
      <c r="J740" s="46" t="n"/>
      <c r="K740" s="46" t="n"/>
      <c r="L740" s="95" t="n"/>
      <c r="M740" s="95" t="n"/>
      <c r="N740" s="95" t="n"/>
      <c r="O740" s="95" t="n"/>
      <c r="P740" s="95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  <c r="Z740" s="46" t="n"/>
    </row>
    <row r="741" ht="12.75" customHeight="1">
      <c r="A741" s="100" t="n"/>
      <c r="B741" s="101" t="n"/>
      <c r="C741" s="102" t="n"/>
      <c r="D741" s="99" t="n"/>
      <c r="E741" s="95" t="n"/>
      <c r="F741" s="95" t="n"/>
      <c r="G741" s="94" t="n"/>
      <c r="H741" s="46" t="n"/>
      <c r="I741" s="46" t="n"/>
      <c r="J741" s="46" t="n"/>
      <c r="K741" s="46" t="n"/>
      <c r="L741" s="95" t="n"/>
      <c r="M741" s="95" t="n"/>
      <c r="N741" s="95" t="n"/>
      <c r="O741" s="95" t="n"/>
      <c r="P741" s="95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  <c r="Z741" s="46" t="n"/>
    </row>
    <row r="742" ht="12.75" customHeight="1">
      <c r="A742" s="100" t="n"/>
      <c r="B742" s="101" t="n"/>
      <c r="C742" s="102" t="n"/>
      <c r="D742" s="99" t="n"/>
      <c r="E742" s="95" t="n"/>
      <c r="F742" s="95" t="n"/>
      <c r="G742" s="94" t="n"/>
      <c r="H742" s="46" t="n"/>
      <c r="I742" s="46" t="n"/>
      <c r="J742" s="46" t="n"/>
      <c r="K742" s="46" t="n"/>
      <c r="L742" s="95" t="n"/>
      <c r="M742" s="95" t="n"/>
      <c r="N742" s="95" t="n"/>
      <c r="O742" s="95" t="n"/>
      <c r="P742" s="95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  <c r="Z742" s="46" t="n"/>
    </row>
    <row r="743" ht="12.75" customHeight="1">
      <c r="A743" s="100" t="n"/>
      <c r="B743" s="101" t="n"/>
      <c r="C743" s="102" t="n"/>
      <c r="D743" s="99" t="n"/>
      <c r="E743" s="95" t="n"/>
      <c r="F743" s="95" t="n"/>
      <c r="G743" s="94" t="n"/>
      <c r="H743" s="46" t="n"/>
      <c r="I743" s="46" t="n"/>
      <c r="J743" s="46" t="n"/>
      <c r="K743" s="46" t="n"/>
      <c r="L743" s="95" t="n"/>
      <c r="M743" s="95" t="n"/>
      <c r="N743" s="95" t="n"/>
      <c r="O743" s="95" t="n"/>
      <c r="P743" s="95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  <c r="Z743" s="46" t="n"/>
    </row>
    <row r="744" ht="12.75" customHeight="1">
      <c r="A744" s="100" t="n"/>
      <c r="B744" s="101" t="n"/>
      <c r="C744" s="102" t="n"/>
      <c r="D744" s="99" t="n"/>
      <c r="E744" s="95" t="n"/>
      <c r="F744" s="95" t="n"/>
      <c r="G744" s="94" t="n"/>
      <c r="H744" s="46" t="n"/>
      <c r="I744" s="46" t="n"/>
      <c r="J744" s="46" t="n"/>
      <c r="K744" s="46" t="n"/>
      <c r="L744" s="95" t="n"/>
      <c r="M744" s="95" t="n"/>
      <c r="N744" s="95" t="n"/>
      <c r="O744" s="95" t="n"/>
      <c r="P744" s="95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  <c r="Z744" s="46" t="n"/>
    </row>
    <row r="745" ht="12.75" customHeight="1">
      <c r="A745" s="100" t="n"/>
      <c r="B745" s="101" t="n"/>
      <c r="C745" s="102" t="n"/>
      <c r="D745" s="99" t="n"/>
      <c r="E745" s="95" t="n"/>
      <c r="F745" s="95" t="n"/>
      <c r="G745" s="94" t="n"/>
      <c r="H745" s="46" t="n"/>
      <c r="I745" s="46" t="n"/>
      <c r="J745" s="46" t="n"/>
      <c r="K745" s="46" t="n"/>
      <c r="L745" s="95" t="n"/>
      <c r="M745" s="95" t="n"/>
      <c r="N745" s="95" t="n"/>
      <c r="O745" s="95" t="n"/>
      <c r="P745" s="95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  <c r="Z745" s="46" t="n"/>
    </row>
    <row r="746" ht="12.75" customHeight="1">
      <c r="A746" s="100" t="n"/>
      <c r="B746" s="101" t="n"/>
      <c r="C746" s="102" t="n"/>
      <c r="D746" s="99" t="n"/>
      <c r="E746" s="95" t="n"/>
      <c r="F746" s="95" t="n"/>
      <c r="G746" s="94" t="n"/>
      <c r="H746" s="46" t="n"/>
      <c r="I746" s="46" t="n"/>
      <c r="J746" s="46" t="n"/>
      <c r="K746" s="46" t="n"/>
      <c r="L746" s="95" t="n"/>
      <c r="M746" s="95" t="n"/>
      <c r="N746" s="95" t="n"/>
      <c r="O746" s="95" t="n"/>
      <c r="P746" s="95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  <c r="Z746" s="46" t="n"/>
    </row>
    <row r="747" ht="12.75" customHeight="1">
      <c r="A747" s="100" t="n"/>
      <c r="B747" s="101" t="n"/>
      <c r="C747" s="102" t="n"/>
      <c r="D747" s="99" t="n"/>
      <c r="E747" s="95" t="n"/>
      <c r="F747" s="95" t="n"/>
      <c r="G747" s="94" t="n"/>
      <c r="H747" s="46" t="n"/>
      <c r="I747" s="46" t="n"/>
      <c r="J747" s="46" t="n"/>
      <c r="K747" s="46" t="n"/>
      <c r="L747" s="95" t="n"/>
      <c r="M747" s="95" t="n"/>
      <c r="N747" s="95" t="n"/>
      <c r="O747" s="95" t="n"/>
      <c r="P747" s="95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  <c r="Z747" s="46" t="n"/>
    </row>
    <row r="748" ht="12.75" customHeight="1">
      <c r="A748" s="100" t="n"/>
      <c r="B748" s="101" t="n"/>
      <c r="C748" s="102" t="n"/>
      <c r="D748" s="99" t="n"/>
      <c r="E748" s="95" t="n"/>
      <c r="F748" s="95" t="n"/>
      <c r="G748" s="94" t="n"/>
      <c r="H748" s="46" t="n"/>
      <c r="I748" s="46" t="n"/>
      <c r="J748" s="46" t="n"/>
      <c r="K748" s="46" t="n"/>
      <c r="L748" s="95" t="n"/>
      <c r="M748" s="95" t="n"/>
      <c r="N748" s="95" t="n"/>
      <c r="O748" s="95" t="n"/>
      <c r="P748" s="95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  <c r="Z748" s="46" t="n"/>
    </row>
    <row r="749" ht="12.75" customHeight="1">
      <c r="A749" s="100" t="n"/>
      <c r="B749" s="101" t="n"/>
      <c r="C749" s="102" t="n"/>
      <c r="D749" s="99" t="n"/>
      <c r="E749" s="95" t="n"/>
      <c r="F749" s="95" t="n"/>
      <c r="G749" s="94" t="n"/>
      <c r="H749" s="46" t="n"/>
      <c r="I749" s="46" t="n"/>
      <c r="J749" s="46" t="n"/>
      <c r="K749" s="46" t="n"/>
      <c r="L749" s="95" t="n"/>
      <c r="M749" s="95" t="n"/>
      <c r="N749" s="95" t="n"/>
      <c r="O749" s="95" t="n"/>
      <c r="P749" s="95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  <c r="Z749" s="46" t="n"/>
    </row>
    <row r="750" ht="12.75" customHeight="1">
      <c r="A750" s="100" t="n"/>
      <c r="B750" s="101" t="n"/>
      <c r="C750" s="102" t="n"/>
      <c r="D750" s="99" t="n"/>
      <c r="E750" s="95" t="n"/>
      <c r="F750" s="95" t="n"/>
      <c r="G750" s="94" t="n"/>
      <c r="H750" s="46" t="n"/>
      <c r="I750" s="46" t="n"/>
      <c r="J750" s="46" t="n"/>
      <c r="K750" s="46" t="n"/>
      <c r="L750" s="95" t="n"/>
      <c r="M750" s="95" t="n"/>
      <c r="N750" s="95" t="n"/>
      <c r="O750" s="95" t="n"/>
      <c r="P750" s="95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  <c r="Z750" s="46" t="n"/>
    </row>
    <row r="751" ht="12.75" customHeight="1">
      <c r="A751" s="100" t="n"/>
      <c r="B751" s="101" t="n"/>
      <c r="C751" s="102" t="n"/>
      <c r="D751" s="99" t="n"/>
      <c r="E751" s="95" t="n"/>
      <c r="F751" s="95" t="n"/>
      <c r="G751" s="94" t="n"/>
      <c r="H751" s="46" t="n"/>
      <c r="I751" s="46" t="n"/>
      <c r="J751" s="46" t="n"/>
      <c r="K751" s="46" t="n"/>
      <c r="L751" s="95" t="n"/>
      <c r="M751" s="95" t="n"/>
      <c r="N751" s="95" t="n"/>
      <c r="O751" s="95" t="n"/>
      <c r="P751" s="95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  <c r="Z751" s="46" t="n"/>
    </row>
    <row r="752" ht="12.75" customHeight="1">
      <c r="A752" s="100" t="n"/>
      <c r="B752" s="101" t="n"/>
      <c r="C752" s="102" t="n"/>
      <c r="D752" s="99" t="n"/>
      <c r="E752" s="95" t="n"/>
      <c r="F752" s="95" t="n"/>
      <c r="G752" s="94" t="n"/>
      <c r="H752" s="46" t="n"/>
      <c r="I752" s="46" t="n"/>
      <c r="J752" s="46" t="n"/>
      <c r="K752" s="46" t="n"/>
      <c r="L752" s="95" t="n"/>
      <c r="M752" s="95" t="n"/>
      <c r="N752" s="95" t="n"/>
      <c r="O752" s="95" t="n"/>
      <c r="P752" s="95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  <c r="Z752" s="46" t="n"/>
    </row>
    <row r="753" ht="12.75" customHeight="1">
      <c r="A753" s="100" t="n"/>
      <c r="B753" s="101" t="n"/>
      <c r="C753" s="102" t="n"/>
      <c r="D753" s="99" t="n"/>
      <c r="E753" s="95" t="n"/>
      <c r="F753" s="95" t="n"/>
      <c r="G753" s="94" t="n"/>
      <c r="H753" s="46" t="n"/>
      <c r="I753" s="46" t="n"/>
      <c r="J753" s="46" t="n"/>
      <c r="K753" s="46" t="n"/>
      <c r="L753" s="95" t="n"/>
      <c r="M753" s="95" t="n"/>
      <c r="N753" s="95" t="n"/>
      <c r="O753" s="95" t="n"/>
      <c r="P753" s="95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  <c r="Z753" s="46" t="n"/>
    </row>
    <row r="754" ht="12.75" customHeight="1">
      <c r="A754" s="100" t="n"/>
      <c r="B754" s="101" t="n"/>
      <c r="C754" s="102" t="n"/>
      <c r="D754" s="99" t="n"/>
      <c r="E754" s="95" t="n"/>
      <c r="F754" s="95" t="n"/>
      <c r="G754" s="94" t="n"/>
      <c r="H754" s="46" t="n"/>
      <c r="I754" s="46" t="n"/>
      <c r="J754" s="46" t="n"/>
      <c r="K754" s="46" t="n"/>
      <c r="L754" s="95" t="n"/>
      <c r="M754" s="95" t="n"/>
      <c r="N754" s="95" t="n"/>
      <c r="O754" s="95" t="n"/>
      <c r="P754" s="95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  <c r="Z754" s="46" t="n"/>
    </row>
    <row r="755" ht="12.75" customHeight="1">
      <c r="A755" s="100" t="n"/>
      <c r="B755" s="101" t="n"/>
      <c r="C755" s="102" t="n"/>
      <c r="D755" s="99" t="n"/>
      <c r="E755" s="95" t="n"/>
      <c r="F755" s="95" t="n"/>
      <c r="G755" s="94" t="n"/>
      <c r="H755" s="46" t="n"/>
      <c r="I755" s="46" t="n"/>
      <c r="J755" s="46" t="n"/>
      <c r="K755" s="46" t="n"/>
      <c r="L755" s="95" t="n"/>
      <c r="M755" s="95" t="n"/>
      <c r="N755" s="95" t="n"/>
      <c r="O755" s="95" t="n"/>
      <c r="P755" s="95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  <c r="Z755" s="46" t="n"/>
    </row>
    <row r="756" ht="12.75" customHeight="1">
      <c r="A756" s="100" t="n"/>
      <c r="B756" s="101" t="n"/>
      <c r="C756" s="102" t="n"/>
      <c r="D756" s="99" t="n"/>
      <c r="E756" s="95" t="n"/>
      <c r="F756" s="95" t="n"/>
      <c r="G756" s="94" t="n"/>
      <c r="H756" s="46" t="n"/>
      <c r="I756" s="46" t="n"/>
      <c r="J756" s="46" t="n"/>
      <c r="K756" s="46" t="n"/>
      <c r="L756" s="95" t="n"/>
      <c r="M756" s="95" t="n"/>
      <c r="N756" s="95" t="n"/>
      <c r="O756" s="95" t="n"/>
      <c r="P756" s="95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  <c r="Z756" s="46" t="n"/>
    </row>
    <row r="757" ht="12.75" customHeight="1">
      <c r="A757" s="100" t="n"/>
      <c r="B757" s="101" t="n"/>
      <c r="C757" s="102" t="n"/>
      <c r="D757" s="99" t="n"/>
      <c r="E757" s="95" t="n"/>
      <c r="F757" s="95" t="n"/>
      <c r="G757" s="94" t="n"/>
      <c r="H757" s="46" t="n"/>
      <c r="I757" s="46" t="n"/>
      <c r="J757" s="46" t="n"/>
      <c r="K757" s="46" t="n"/>
      <c r="L757" s="95" t="n"/>
      <c r="M757" s="95" t="n"/>
      <c r="N757" s="95" t="n"/>
      <c r="O757" s="95" t="n"/>
      <c r="P757" s="95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  <c r="Z757" s="46" t="n"/>
    </row>
    <row r="758" ht="12.75" customHeight="1">
      <c r="A758" s="100" t="n"/>
      <c r="B758" s="101" t="n"/>
      <c r="C758" s="102" t="n"/>
      <c r="D758" s="99" t="n"/>
      <c r="E758" s="95" t="n"/>
      <c r="F758" s="95" t="n"/>
      <c r="G758" s="94" t="n"/>
      <c r="H758" s="46" t="n"/>
      <c r="I758" s="46" t="n"/>
      <c r="J758" s="46" t="n"/>
      <c r="K758" s="46" t="n"/>
      <c r="L758" s="95" t="n"/>
      <c r="M758" s="95" t="n"/>
      <c r="N758" s="95" t="n"/>
      <c r="O758" s="95" t="n"/>
      <c r="P758" s="95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  <c r="Z758" s="46" t="n"/>
    </row>
    <row r="759" ht="12.75" customHeight="1">
      <c r="A759" s="100" t="n"/>
      <c r="B759" s="101" t="n"/>
      <c r="C759" s="102" t="n"/>
      <c r="D759" s="99" t="n"/>
      <c r="E759" s="95" t="n"/>
      <c r="F759" s="95" t="n"/>
      <c r="G759" s="94" t="n"/>
      <c r="H759" s="46" t="n"/>
      <c r="I759" s="46" t="n"/>
      <c r="J759" s="46" t="n"/>
      <c r="K759" s="46" t="n"/>
      <c r="L759" s="95" t="n"/>
      <c r="M759" s="95" t="n"/>
      <c r="N759" s="95" t="n"/>
      <c r="O759" s="95" t="n"/>
      <c r="P759" s="95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  <c r="Z759" s="46" t="n"/>
    </row>
    <row r="760" ht="12.75" customHeight="1">
      <c r="A760" s="100" t="n"/>
      <c r="B760" s="101" t="n"/>
      <c r="C760" s="102" t="n"/>
      <c r="D760" s="99" t="n"/>
      <c r="E760" s="95" t="n"/>
      <c r="F760" s="95" t="n"/>
      <c r="G760" s="94" t="n"/>
      <c r="H760" s="46" t="n"/>
      <c r="I760" s="46" t="n"/>
      <c r="J760" s="46" t="n"/>
      <c r="K760" s="46" t="n"/>
      <c r="L760" s="95" t="n"/>
      <c r="M760" s="95" t="n"/>
      <c r="N760" s="95" t="n"/>
      <c r="O760" s="95" t="n"/>
      <c r="P760" s="95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  <c r="Z760" s="46" t="n"/>
    </row>
    <row r="761" ht="12.75" customHeight="1">
      <c r="A761" s="100" t="n"/>
      <c r="B761" s="101" t="n"/>
      <c r="C761" s="102" t="n"/>
      <c r="D761" s="99" t="n"/>
      <c r="E761" s="95" t="n"/>
      <c r="F761" s="95" t="n"/>
      <c r="G761" s="94" t="n"/>
      <c r="H761" s="46" t="n"/>
      <c r="I761" s="46" t="n"/>
      <c r="J761" s="46" t="n"/>
      <c r="K761" s="46" t="n"/>
      <c r="L761" s="95" t="n"/>
      <c r="M761" s="95" t="n"/>
      <c r="N761" s="95" t="n"/>
      <c r="O761" s="95" t="n"/>
      <c r="P761" s="95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  <c r="Z761" s="46" t="n"/>
    </row>
    <row r="762" ht="12.75" customHeight="1">
      <c r="A762" s="100" t="n"/>
      <c r="B762" s="101" t="n"/>
      <c r="C762" s="102" t="n"/>
      <c r="D762" s="99" t="n"/>
      <c r="E762" s="95" t="n"/>
      <c r="F762" s="95" t="n"/>
      <c r="G762" s="94" t="n"/>
      <c r="H762" s="46" t="n"/>
      <c r="I762" s="46" t="n"/>
      <c r="J762" s="46" t="n"/>
      <c r="K762" s="46" t="n"/>
      <c r="L762" s="95" t="n"/>
      <c r="M762" s="95" t="n"/>
      <c r="N762" s="95" t="n"/>
      <c r="O762" s="95" t="n"/>
      <c r="P762" s="95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  <c r="Z762" s="46" t="n"/>
    </row>
    <row r="763" ht="12.75" customHeight="1">
      <c r="A763" s="100" t="n"/>
      <c r="B763" s="101" t="n"/>
      <c r="C763" s="102" t="n"/>
      <c r="D763" s="99" t="n"/>
      <c r="E763" s="95" t="n"/>
      <c r="F763" s="95" t="n"/>
      <c r="G763" s="94" t="n"/>
      <c r="H763" s="46" t="n"/>
      <c r="I763" s="46" t="n"/>
      <c r="J763" s="46" t="n"/>
      <c r="K763" s="46" t="n"/>
      <c r="L763" s="95" t="n"/>
      <c r="M763" s="95" t="n"/>
      <c r="N763" s="95" t="n"/>
      <c r="O763" s="95" t="n"/>
      <c r="P763" s="95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  <c r="Z763" s="46" t="n"/>
    </row>
    <row r="764" ht="12.75" customHeight="1">
      <c r="A764" s="100" t="n"/>
      <c r="B764" s="101" t="n"/>
      <c r="C764" s="102" t="n"/>
      <c r="D764" s="99" t="n"/>
      <c r="E764" s="95" t="n"/>
      <c r="F764" s="95" t="n"/>
      <c r="G764" s="94" t="n"/>
      <c r="H764" s="46" t="n"/>
      <c r="I764" s="46" t="n"/>
      <c r="J764" s="46" t="n"/>
      <c r="K764" s="46" t="n"/>
      <c r="L764" s="95" t="n"/>
      <c r="M764" s="95" t="n"/>
      <c r="N764" s="95" t="n"/>
      <c r="O764" s="95" t="n"/>
      <c r="P764" s="95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  <c r="Z764" s="46" t="n"/>
    </row>
    <row r="765" ht="12.75" customHeight="1">
      <c r="A765" s="100" t="n"/>
      <c r="B765" s="101" t="n"/>
      <c r="C765" s="102" t="n"/>
      <c r="D765" s="99" t="n"/>
      <c r="E765" s="95" t="n"/>
      <c r="F765" s="95" t="n"/>
      <c r="G765" s="94" t="n"/>
      <c r="H765" s="46" t="n"/>
      <c r="I765" s="46" t="n"/>
      <c r="J765" s="46" t="n"/>
      <c r="K765" s="46" t="n"/>
      <c r="L765" s="95" t="n"/>
      <c r="M765" s="95" t="n"/>
      <c r="N765" s="95" t="n"/>
      <c r="O765" s="95" t="n"/>
      <c r="P765" s="95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  <c r="Z765" s="46" t="n"/>
    </row>
    <row r="766" ht="12.75" customHeight="1">
      <c r="A766" s="100" t="n"/>
      <c r="B766" s="101" t="n"/>
      <c r="C766" s="102" t="n"/>
      <c r="D766" s="99" t="n"/>
      <c r="E766" s="95" t="n"/>
      <c r="F766" s="95" t="n"/>
      <c r="G766" s="94" t="n"/>
      <c r="H766" s="46" t="n"/>
      <c r="I766" s="46" t="n"/>
      <c r="J766" s="46" t="n"/>
      <c r="K766" s="46" t="n"/>
      <c r="L766" s="95" t="n"/>
      <c r="M766" s="95" t="n"/>
      <c r="N766" s="95" t="n"/>
      <c r="O766" s="95" t="n"/>
      <c r="P766" s="95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  <c r="Z766" s="46" t="n"/>
    </row>
    <row r="767" ht="12.75" customHeight="1">
      <c r="A767" s="100" t="n"/>
      <c r="B767" s="101" t="n"/>
      <c r="C767" s="102" t="n"/>
      <c r="D767" s="99" t="n"/>
      <c r="E767" s="95" t="n"/>
      <c r="F767" s="95" t="n"/>
      <c r="G767" s="94" t="n"/>
      <c r="H767" s="46" t="n"/>
      <c r="I767" s="46" t="n"/>
      <c r="J767" s="46" t="n"/>
      <c r="K767" s="46" t="n"/>
      <c r="L767" s="95" t="n"/>
      <c r="M767" s="95" t="n"/>
      <c r="N767" s="95" t="n"/>
      <c r="O767" s="95" t="n"/>
      <c r="P767" s="95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  <c r="Z767" s="46" t="n"/>
    </row>
    <row r="768" ht="12.75" customHeight="1">
      <c r="A768" s="100" t="n"/>
      <c r="B768" s="101" t="n"/>
      <c r="C768" s="102" t="n"/>
      <c r="D768" s="99" t="n"/>
      <c r="E768" s="95" t="n"/>
      <c r="F768" s="95" t="n"/>
      <c r="G768" s="94" t="n"/>
      <c r="H768" s="46" t="n"/>
      <c r="I768" s="46" t="n"/>
      <c r="J768" s="46" t="n"/>
      <c r="K768" s="46" t="n"/>
      <c r="L768" s="95" t="n"/>
      <c r="M768" s="95" t="n"/>
      <c r="N768" s="95" t="n"/>
      <c r="O768" s="95" t="n"/>
      <c r="P768" s="95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  <c r="Z768" s="46" t="n"/>
    </row>
    <row r="769" ht="12.75" customHeight="1">
      <c r="A769" s="100" t="n"/>
      <c r="B769" s="101" t="n"/>
      <c r="C769" s="102" t="n"/>
      <c r="D769" s="99" t="n"/>
      <c r="E769" s="95" t="n"/>
      <c r="F769" s="95" t="n"/>
      <c r="G769" s="94" t="n"/>
      <c r="H769" s="46" t="n"/>
      <c r="I769" s="46" t="n"/>
      <c r="J769" s="46" t="n"/>
      <c r="K769" s="46" t="n"/>
      <c r="L769" s="95" t="n"/>
      <c r="M769" s="95" t="n"/>
      <c r="N769" s="95" t="n"/>
      <c r="O769" s="95" t="n"/>
      <c r="P769" s="95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  <c r="Z769" s="46" t="n"/>
    </row>
    <row r="770" ht="12.75" customHeight="1">
      <c r="A770" s="100" t="n"/>
      <c r="B770" s="101" t="n"/>
      <c r="C770" s="102" t="n"/>
      <c r="D770" s="99" t="n"/>
      <c r="E770" s="95" t="n"/>
      <c r="F770" s="95" t="n"/>
      <c r="G770" s="94" t="n"/>
      <c r="H770" s="46" t="n"/>
      <c r="I770" s="46" t="n"/>
      <c r="J770" s="46" t="n"/>
      <c r="K770" s="46" t="n"/>
      <c r="L770" s="95" t="n"/>
      <c r="M770" s="95" t="n"/>
      <c r="N770" s="95" t="n"/>
      <c r="O770" s="95" t="n"/>
      <c r="P770" s="95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  <c r="Z770" s="46" t="n"/>
    </row>
    <row r="771" ht="12.75" customHeight="1">
      <c r="A771" s="100" t="n"/>
      <c r="B771" s="101" t="n"/>
      <c r="C771" s="102" t="n"/>
      <c r="D771" s="99" t="n"/>
      <c r="E771" s="95" t="n"/>
      <c r="F771" s="95" t="n"/>
      <c r="G771" s="94" t="n"/>
      <c r="H771" s="46" t="n"/>
      <c r="I771" s="46" t="n"/>
      <c r="J771" s="46" t="n"/>
      <c r="K771" s="46" t="n"/>
      <c r="L771" s="95" t="n"/>
      <c r="M771" s="95" t="n"/>
      <c r="N771" s="95" t="n"/>
      <c r="O771" s="95" t="n"/>
      <c r="P771" s="95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  <c r="Z771" s="46" t="n"/>
    </row>
    <row r="772" ht="12.75" customHeight="1">
      <c r="A772" s="100" t="n"/>
      <c r="B772" s="101" t="n"/>
      <c r="C772" s="102" t="n"/>
      <c r="D772" s="99" t="n"/>
      <c r="E772" s="95" t="n"/>
      <c r="F772" s="95" t="n"/>
      <c r="G772" s="94" t="n"/>
      <c r="H772" s="46" t="n"/>
      <c r="I772" s="46" t="n"/>
      <c r="J772" s="46" t="n"/>
      <c r="K772" s="46" t="n"/>
      <c r="L772" s="95" t="n"/>
      <c r="M772" s="95" t="n"/>
      <c r="N772" s="95" t="n"/>
      <c r="O772" s="95" t="n"/>
      <c r="P772" s="95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  <c r="Z772" s="46" t="n"/>
    </row>
    <row r="773" ht="12.75" customHeight="1">
      <c r="A773" s="100" t="n"/>
      <c r="B773" s="101" t="n"/>
      <c r="C773" s="102" t="n"/>
      <c r="D773" s="99" t="n"/>
      <c r="E773" s="95" t="n"/>
      <c r="F773" s="95" t="n"/>
      <c r="G773" s="94" t="n"/>
      <c r="H773" s="46" t="n"/>
      <c r="I773" s="46" t="n"/>
      <c r="J773" s="46" t="n"/>
      <c r="K773" s="46" t="n"/>
      <c r="L773" s="95" t="n"/>
      <c r="M773" s="95" t="n"/>
      <c r="N773" s="95" t="n"/>
      <c r="O773" s="95" t="n"/>
      <c r="P773" s="95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  <c r="Z773" s="46" t="n"/>
    </row>
    <row r="774" ht="12.75" customHeight="1">
      <c r="A774" s="100" t="n"/>
      <c r="B774" s="101" t="n"/>
      <c r="C774" s="102" t="n"/>
      <c r="D774" s="99" t="n"/>
      <c r="E774" s="95" t="n"/>
      <c r="F774" s="95" t="n"/>
      <c r="G774" s="94" t="n"/>
      <c r="H774" s="46" t="n"/>
      <c r="I774" s="46" t="n"/>
      <c r="J774" s="46" t="n"/>
      <c r="K774" s="46" t="n"/>
      <c r="L774" s="95" t="n"/>
      <c r="M774" s="95" t="n"/>
      <c r="N774" s="95" t="n"/>
      <c r="O774" s="95" t="n"/>
      <c r="P774" s="95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  <c r="Z774" s="46" t="n"/>
    </row>
    <row r="775" ht="12.75" customHeight="1">
      <c r="A775" s="100" t="n"/>
      <c r="B775" s="101" t="n"/>
      <c r="C775" s="102" t="n"/>
      <c r="D775" s="99" t="n"/>
      <c r="E775" s="95" t="n"/>
      <c r="F775" s="95" t="n"/>
      <c r="G775" s="94" t="n"/>
      <c r="H775" s="46" t="n"/>
      <c r="I775" s="46" t="n"/>
      <c r="J775" s="46" t="n"/>
      <c r="K775" s="46" t="n"/>
      <c r="L775" s="95" t="n"/>
      <c r="M775" s="95" t="n"/>
      <c r="N775" s="95" t="n"/>
      <c r="O775" s="95" t="n"/>
      <c r="P775" s="95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  <c r="Z775" s="46" t="n"/>
    </row>
    <row r="776" ht="12.75" customHeight="1">
      <c r="A776" s="100" t="n"/>
      <c r="B776" s="101" t="n"/>
      <c r="C776" s="102" t="n"/>
      <c r="D776" s="99" t="n"/>
      <c r="E776" s="95" t="n"/>
      <c r="F776" s="95" t="n"/>
      <c r="G776" s="94" t="n"/>
      <c r="H776" s="46" t="n"/>
      <c r="I776" s="46" t="n"/>
      <c r="J776" s="46" t="n"/>
      <c r="K776" s="46" t="n"/>
      <c r="L776" s="95" t="n"/>
      <c r="M776" s="95" t="n"/>
      <c r="N776" s="95" t="n"/>
      <c r="O776" s="95" t="n"/>
      <c r="P776" s="95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  <c r="Z776" s="46" t="n"/>
    </row>
    <row r="777" ht="12.75" customHeight="1">
      <c r="A777" s="100" t="n"/>
      <c r="B777" s="101" t="n"/>
      <c r="C777" s="102" t="n"/>
      <c r="D777" s="99" t="n"/>
      <c r="E777" s="95" t="n"/>
      <c r="F777" s="95" t="n"/>
      <c r="G777" s="94" t="n"/>
      <c r="H777" s="46" t="n"/>
      <c r="I777" s="46" t="n"/>
      <c r="J777" s="46" t="n"/>
      <c r="K777" s="46" t="n"/>
      <c r="L777" s="95" t="n"/>
      <c r="M777" s="95" t="n"/>
      <c r="N777" s="95" t="n"/>
      <c r="O777" s="95" t="n"/>
      <c r="P777" s="95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  <c r="Z777" s="46" t="n"/>
    </row>
    <row r="778" ht="12.75" customHeight="1">
      <c r="A778" s="100" t="n"/>
      <c r="B778" s="101" t="n"/>
      <c r="C778" s="102" t="n"/>
      <c r="D778" s="99" t="n"/>
      <c r="E778" s="95" t="n"/>
      <c r="F778" s="95" t="n"/>
      <c r="G778" s="94" t="n"/>
      <c r="H778" s="46" t="n"/>
      <c r="I778" s="46" t="n"/>
      <c r="J778" s="46" t="n"/>
      <c r="K778" s="46" t="n"/>
      <c r="L778" s="95" t="n"/>
      <c r="M778" s="95" t="n"/>
      <c r="N778" s="95" t="n"/>
      <c r="O778" s="95" t="n"/>
      <c r="P778" s="95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  <c r="Z778" s="46" t="n"/>
    </row>
    <row r="779" ht="12.75" customHeight="1">
      <c r="A779" s="100" t="n"/>
      <c r="B779" s="101" t="n"/>
      <c r="C779" s="102" t="n"/>
      <c r="D779" s="99" t="n"/>
      <c r="E779" s="95" t="n"/>
      <c r="F779" s="95" t="n"/>
      <c r="G779" s="94" t="n"/>
      <c r="H779" s="46" t="n"/>
      <c r="I779" s="46" t="n"/>
      <c r="J779" s="46" t="n"/>
      <c r="K779" s="46" t="n"/>
      <c r="L779" s="95" t="n"/>
      <c r="M779" s="95" t="n"/>
      <c r="N779" s="95" t="n"/>
      <c r="O779" s="95" t="n"/>
      <c r="P779" s="95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  <c r="Z779" s="46" t="n"/>
    </row>
    <row r="780" ht="12.75" customHeight="1">
      <c r="A780" s="100" t="n"/>
      <c r="B780" s="101" t="n"/>
      <c r="C780" s="102" t="n"/>
      <c r="D780" s="99" t="n"/>
      <c r="E780" s="95" t="n"/>
      <c r="F780" s="95" t="n"/>
      <c r="G780" s="94" t="n"/>
      <c r="H780" s="46" t="n"/>
      <c r="I780" s="46" t="n"/>
      <c r="J780" s="46" t="n"/>
      <c r="K780" s="46" t="n"/>
      <c r="L780" s="95" t="n"/>
      <c r="M780" s="95" t="n"/>
      <c r="N780" s="95" t="n"/>
      <c r="O780" s="95" t="n"/>
      <c r="P780" s="95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  <c r="Z780" s="46" t="n"/>
    </row>
    <row r="781" ht="12.75" customHeight="1">
      <c r="A781" s="100" t="n"/>
      <c r="B781" s="101" t="n"/>
      <c r="C781" s="102" t="n"/>
      <c r="D781" s="99" t="n"/>
      <c r="E781" s="95" t="n"/>
      <c r="F781" s="95" t="n"/>
      <c r="G781" s="94" t="n"/>
      <c r="H781" s="46" t="n"/>
      <c r="I781" s="46" t="n"/>
      <c r="J781" s="46" t="n"/>
      <c r="K781" s="46" t="n"/>
      <c r="L781" s="95" t="n"/>
      <c r="M781" s="95" t="n"/>
      <c r="N781" s="95" t="n"/>
      <c r="O781" s="95" t="n"/>
      <c r="P781" s="95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  <c r="Z781" s="46" t="n"/>
    </row>
    <row r="782" ht="12.75" customHeight="1">
      <c r="A782" s="100" t="n"/>
      <c r="B782" s="101" t="n"/>
      <c r="C782" s="102" t="n"/>
      <c r="D782" s="99" t="n"/>
      <c r="E782" s="95" t="n"/>
      <c r="F782" s="95" t="n"/>
      <c r="G782" s="94" t="n"/>
      <c r="H782" s="46" t="n"/>
      <c r="I782" s="46" t="n"/>
      <c r="J782" s="46" t="n"/>
      <c r="K782" s="46" t="n"/>
      <c r="L782" s="95" t="n"/>
      <c r="M782" s="95" t="n"/>
      <c r="N782" s="95" t="n"/>
      <c r="O782" s="95" t="n"/>
      <c r="P782" s="95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  <c r="Z782" s="46" t="n"/>
    </row>
    <row r="783" ht="12.75" customHeight="1">
      <c r="A783" s="100" t="n"/>
      <c r="B783" s="101" t="n"/>
      <c r="C783" s="102" t="n"/>
      <c r="D783" s="99" t="n"/>
      <c r="E783" s="95" t="n"/>
      <c r="F783" s="95" t="n"/>
      <c r="G783" s="94" t="n"/>
      <c r="H783" s="46" t="n"/>
      <c r="I783" s="46" t="n"/>
      <c r="J783" s="46" t="n"/>
      <c r="K783" s="46" t="n"/>
      <c r="L783" s="95" t="n"/>
      <c r="M783" s="95" t="n"/>
      <c r="N783" s="95" t="n"/>
      <c r="O783" s="95" t="n"/>
      <c r="P783" s="95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  <c r="Z783" s="46" t="n"/>
    </row>
    <row r="784" ht="12.75" customHeight="1">
      <c r="A784" s="100" t="n"/>
      <c r="B784" s="101" t="n"/>
      <c r="C784" s="102" t="n"/>
      <c r="D784" s="99" t="n"/>
      <c r="E784" s="95" t="n"/>
      <c r="F784" s="95" t="n"/>
      <c r="G784" s="94" t="n"/>
      <c r="H784" s="46" t="n"/>
      <c r="I784" s="46" t="n"/>
      <c r="J784" s="46" t="n"/>
      <c r="K784" s="46" t="n"/>
      <c r="L784" s="95" t="n"/>
      <c r="M784" s="95" t="n"/>
      <c r="N784" s="95" t="n"/>
      <c r="O784" s="95" t="n"/>
      <c r="P784" s="95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  <c r="Z784" s="46" t="n"/>
    </row>
    <row r="785" ht="12.75" customHeight="1">
      <c r="A785" s="100" t="n"/>
      <c r="B785" s="101" t="n"/>
      <c r="C785" s="102" t="n"/>
      <c r="D785" s="99" t="n"/>
      <c r="E785" s="95" t="n"/>
      <c r="F785" s="95" t="n"/>
      <c r="G785" s="94" t="n"/>
      <c r="H785" s="46" t="n"/>
      <c r="I785" s="46" t="n"/>
      <c r="J785" s="46" t="n"/>
      <c r="K785" s="46" t="n"/>
      <c r="L785" s="95" t="n"/>
      <c r="M785" s="95" t="n"/>
      <c r="N785" s="95" t="n"/>
      <c r="O785" s="95" t="n"/>
      <c r="P785" s="95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  <c r="Z785" s="46" t="n"/>
    </row>
    <row r="786" ht="12.75" customHeight="1">
      <c r="A786" s="100" t="n"/>
      <c r="B786" s="101" t="n"/>
      <c r="C786" s="102" t="n"/>
      <c r="D786" s="99" t="n"/>
      <c r="E786" s="95" t="n"/>
      <c r="F786" s="95" t="n"/>
      <c r="G786" s="94" t="n"/>
      <c r="H786" s="46" t="n"/>
      <c r="I786" s="46" t="n"/>
      <c r="J786" s="46" t="n"/>
      <c r="K786" s="46" t="n"/>
      <c r="L786" s="95" t="n"/>
      <c r="M786" s="95" t="n"/>
      <c r="N786" s="95" t="n"/>
      <c r="O786" s="95" t="n"/>
      <c r="P786" s="95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  <c r="Z786" s="46" t="n"/>
    </row>
    <row r="787" ht="12.75" customHeight="1">
      <c r="A787" s="100" t="n"/>
      <c r="B787" s="101" t="n"/>
      <c r="C787" s="102" t="n"/>
      <c r="D787" s="99" t="n"/>
      <c r="E787" s="95" t="n"/>
      <c r="F787" s="95" t="n"/>
      <c r="G787" s="94" t="n"/>
      <c r="H787" s="46" t="n"/>
      <c r="I787" s="46" t="n"/>
      <c r="J787" s="46" t="n"/>
      <c r="K787" s="46" t="n"/>
      <c r="L787" s="95" t="n"/>
      <c r="M787" s="95" t="n"/>
      <c r="N787" s="95" t="n"/>
      <c r="O787" s="95" t="n"/>
      <c r="P787" s="95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  <c r="Z787" s="46" t="n"/>
    </row>
    <row r="788" ht="12.75" customHeight="1">
      <c r="A788" s="100" t="n"/>
      <c r="B788" s="101" t="n"/>
      <c r="C788" s="102" t="n"/>
      <c r="D788" s="99" t="n"/>
      <c r="E788" s="95" t="n"/>
      <c r="F788" s="95" t="n"/>
      <c r="G788" s="94" t="n"/>
      <c r="H788" s="46" t="n"/>
      <c r="I788" s="46" t="n"/>
      <c r="J788" s="46" t="n"/>
      <c r="K788" s="46" t="n"/>
      <c r="L788" s="95" t="n"/>
      <c r="M788" s="95" t="n"/>
      <c r="N788" s="95" t="n"/>
      <c r="O788" s="95" t="n"/>
      <c r="P788" s="95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  <c r="Z788" s="46" t="n"/>
    </row>
    <row r="789" ht="12.75" customHeight="1">
      <c r="A789" s="100" t="n"/>
      <c r="B789" s="101" t="n"/>
      <c r="C789" s="102" t="n"/>
      <c r="D789" s="99" t="n"/>
      <c r="E789" s="95" t="n"/>
      <c r="F789" s="95" t="n"/>
      <c r="G789" s="94" t="n"/>
      <c r="H789" s="46" t="n"/>
      <c r="I789" s="46" t="n"/>
      <c r="J789" s="46" t="n"/>
      <c r="K789" s="46" t="n"/>
      <c r="L789" s="95" t="n"/>
      <c r="M789" s="95" t="n"/>
      <c r="N789" s="95" t="n"/>
      <c r="O789" s="95" t="n"/>
      <c r="P789" s="95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  <c r="Z789" s="46" t="n"/>
    </row>
    <row r="790" ht="12.75" customHeight="1">
      <c r="A790" s="100" t="n"/>
      <c r="B790" s="101" t="n"/>
      <c r="C790" s="102" t="n"/>
      <c r="D790" s="99" t="n"/>
      <c r="E790" s="95" t="n"/>
      <c r="F790" s="95" t="n"/>
      <c r="G790" s="94" t="n"/>
      <c r="H790" s="46" t="n"/>
      <c r="I790" s="46" t="n"/>
      <c r="J790" s="46" t="n"/>
      <c r="K790" s="46" t="n"/>
      <c r="L790" s="95" t="n"/>
      <c r="M790" s="95" t="n"/>
      <c r="N790" s="95" t="n"/>
      <c r="O790" s="95" t="n"/>
      <c r="P790" s="95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  <c r="Z790" s="46" t="n"/>
    </row>
    <row r="791" ht="12.75" customHeight="1">
      <c r="A791" s="100" t="n"/>
      <c r="B791" s="101" t="n"/>
      <c r="C791" s="102" t="n"/>
      <c r="D791" s="99" t="n"/>
      <c r="E791" s="95" t="n"/>
      <c r="F791" s="95" t="n"/>
      <c r="G791" s="94" t="n"/>
      <c r="H791" s="46" t="n"/>
      <c r="I791" s="46" t="n"/>
      <c r="J791" s="46" t="n"/>
      <c r="K791" s="46" t="n"/>
      <c r="L791" s="95" t="n"/>
      <c r="M791" s="95" t="n"/>
      <c r="N791" s="95" t="n"/>
      <c r="O791" s="95" t="n"/>
      <c r="P791" s="95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  <c r="Z791" s="46" t="n"/>
    </row>
    <row r="792" ht="12.75" customHeight="1">
      <c r="A792" s="100" t="n"/>
      <c r="B792" s="101" t="n"/>
      <c r="C792" s="102" t="n"/>
      <c r="D792" s="99" t="n"/>
      <c r="E792" s="95" t="n"/>
      <c r="F792" s="95" t="n"/>
      <c r="G792" s="94" t="n"/>
      <c r="H792" s="46" t="n"/>
      <c r="I792" s="46" t="n"/>
      <c r="J792" s="46" t="n"/>
      <c r="K792" s="46" t="n"/>
      <c r="L792" s="95" t="n"/>
      <c r="M792" s="95" t="n"/>
      <c r="N792" s="95" t="n"/>
      <c r="O792" s="95" t="n"/>
      <c r="P792" s="95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  <c r="Z792" s="46" t="n"/>
    </row>
    <row r="793" ht="12.75" customHeight="1">
      <c r="A793" s="100" t="n"/>
      <c r="B793" s="101" t="n"/>
      <c r="C793" s="102" t="n"/>
      <c r="D793" s="99" t="n"/>
      <c r="E793" s="95" t="n"/>
      <c r="F793" s="95" t="n"/>
      <c r="G793" s="94" t="n"/>
      <c r="H793" s="46" t="n"/>
      <c r="I793" s="46" t="n"/>
      <c r="J793" s="46" t="n"/>
      <c r="K793" s="46" t="n"/>
      <c r="L793" s="95" t="n"/>
      <c r="M793" s="95" t="n"/>
      <c r="N793" s="95" t="n"/>
      <c r="O793" s="95" t="n"/>
      <c r="P793" s="95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  <c r="Z793" s="46" t="n"/>
    </row>
    <row r="794" ht="12.75" customHeight="1">
      <c r="A794" s="100" t="n"/>
      <c r="B794" s="101" t="n"/>
      <c r="C794" s="102" t="n"/>
      <c r="D794" s="99" t="n"/>
      <c r="E794" s="95" t="n"/>
      <c r="F794" s="95" t="n"/>
      <c r="G794" s="94" t="n"/>
      <c r="H794" s="46" t="n"/>
      <c r="I794" s="46" t="n"/>
      <c r="J794" s="46" t="n"/>
      <c r="K794" s="46" t="n"/>
      <c r="L794" s="95" t="n"/>
      <c r="M794" s="95" t="n"/>
      <c r="N794" s="95" t="n"/>
      <c r="O794" s="95" t="n"/>
      <c r="P794" s="95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  <c r="Z794" s="46" t="n"/>
    </row>
    <row r="795" ht="12.75" customHeight="1">
      <c r="A795" s="100" t="n"/>
      <c r="B795" s="101" t="n"/>
      <c r="C795" s="102" t="n"/>
      <c r="D795" s="99" t="n"/>
      <c r="E795" s="95" t="n"/>
      <c r="F795" s="95" t="n"/>
      <c r="G795" s="94" t="n"/>
      <c r="H795" s="46" t="n"/>
      <c r="I795" s="46" t="n"/>
      <c r="J795" s="46" t="n"/>
      <c r="K795" s="46" t="n"/>
      <c r="L795" s="95" t="n"/>
      <c r="M795" s="95" t="n"/>
      <c r="N795" s="95" t="n"/>
      <c r="O795" s="95" t="n"/>
      <c r="P795" s="95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  <c r="Z795" s="46" t="n"/>
    </row>
    <row r="796" ht="12.75" customHeight="1">
      <c r="A796" s="100" t="n"/>
      <c r="B796" s="101" t="n"/>
      <c r="C796" s="102" t="n"/>
      <c r="D796" s="99" t="n"/>
      <c r="E796" s="95" t="n"/>
      <c r="F796" s="95" t="n"/>
      <c r="G796" s="94" t="n"/>
      <c r="H796" s="46" t="n"/>
      <c r="I796" s="46" t="n"/>
      <c r="J796" s="46" t="n"/>
      <c r="K796" s="46" t="n"/>
      <c r="L796" s="95" t="n"/>
      <c r="M796" s="95" t="n"/>
      <c r="N796" s="95" t="n"/>
      <c r="O796" s="95" t="n"/>
      <c r="P796" s="95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  <c r="Z796" s="46" t="n"/>
    </row>
    <row r="797" ht="12.75" customHeight="1">
      <c r="A797" s="100" t="n"/>
      <c r="B797" s="101" t="n"/>
      <c r="C797" s="102" t="n"/>
      <c r="D797" s="99" t="n"/>
      <c r="E797" s="95" t="n"/>
      <c r="F797" s="95" t="n"/>
      <c r="G797" s="94" t="n"/>
      <c r="H797" s="46" t="n"/>
      <c r="I797" s="46" t="n"/>
      <c r="J797" s="46" t="n"/>
      <c r="K797" s="46" t="n"/>
      <c r="L797" s="95" t="n"/>
      <c r="M797" s="95" t="n"/>
      <c r="N797" s="95" t="n"/>
      <c r="O797" s="95" t="n"/>
      <c r="P797" s="95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  <c r="Z797" s="46" t="n"/>
    </row>
    <row r="798" ht="12.75" customHeight="1">
      <c r="A798" s="100" t="n"/>
      <c r="B798" s="101" t="n"/>
      <c r="C798" s="102" t="n"/>
      <c r="D798" s="99" t="n"/>
      <c r="E798" s="95" t="n"/>
      <c r="F798" s="95" t="n"/>
      <c r="G798" s="94" t="n"/>
      <c r="H798" s="46" t="n"/>
      <c r="I798" s="46" t="n"/>
      <c r="J798" s="46" t="n"/>
      <c r="K798" s="46" t="n"/>
      <c r="L798" s="95" t="n"/>
      <c r="M798" s="95" t="n"/>
      <c r="N798" s="95" t="n"/>
      <c r="O798" s="95" t="n"/>
      <c r="P798" s="95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  <c r="Z798" s="46" t="n"/>
    </row>
    <row r="799" ht="12.75" customHeight="1">
      <c r="A799" s="100" t="n"/>
      <c r="B799" s="101" t="n"/>
      <c r="C799" s="102" t="n"/>
      <c r="D799" s="99" t="n"/>
      <c r="E799" s="95" t="n"/>
      <c r="F799" s="95" t="n"/>
      <c r="G799" s="94" t="n"/>
      <c r="H799" s="46" t="n"/>
      <c r="I799" s="46" t="n"/>
      <c r="J799" s="46" t="n"/>
      <c r="K799" s="46" t="n"/>
      <c r="L799" s="95" t="n"/>
      <c r="M799" s="95" t="n"/>
      <c r="N799" s="95" t="n"/>
      <c r="O799" s="95" t="n"/>
      <c r="P799" s="95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  <c r="Z799" s="46" t="n"/>
    </row>
    <row r="800" ht="12.75" customHeight="1">
      <c r="A800" s="100" t="n"/>
      <c r="B800" s="101" t="n"/>
      <c r="C800" s="102" t="n"/>
      <c r="D800" s="99" t="n"/>
      <c r="E800" s="95" t="n"/>
      <c r="F800" s="95" t="n"/>
      <c r="G800" s="94" t="n"/>
      <c r="H800" s="46" t="n"/>
      <c r="I800" s="46" t="n"/>
      <c r="J800" s="46" t="n"/>
      <c r="K800" s="46" t="n"/>
      <c r="L800" s="95" t="n"/>
      <c r="M800" s="95" t="n"/>
      <c r="N800" s="95" t="n"/>
      <c r="O800" s="95" t="n"/>
      <c r="P800" s="95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  <c r="Z800" s="46" t="n"/>
    </row>
    <row r="801" ht="12.75" customHeight="1">
      <c r="A801" s="100" t="n"/>
      <c r="B801" s="101" t="n"/>
      <c r="C801" s="102" t="n"/>
      <c r="D801" s="99" t="n"/>
      <c r="E801" s="95" t="n"/>
      <c r="F801" s="95" t="n"/>
      <c r="G801" s="94" t="n"/>
      <c r="H801" s="46" t="n"/>
      <c r="I801" s="46" t="n"/>
      <c r="J801" s="46" t="n"/>
      <c r="K801" s="46" t="n"/>
      <c r="L801" s="95" t="n"/>
      <c r="M801" s="95" t="n"/>
      <c r="N801" s="95" t="n"/>
      <c r="O801" s="95" t="n"/>
      <c r="P801" s="95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  <c r="Z801" s="46" t="n"/>
    </row>
    <row r="802" ht="12.75" customHeight="1">
      <c r="A802" s="100" t="n"/>
      <c r="B802" s="101" t="n"/>
      <c r="C802" s="102" t="n"/>
      <c r="D802" s="99" t="n"/>
      <c r="E802" s="95" t="n"/>
      <c r="F802" s="95" t="n"/>
      <c r="G802" s="94" t="n"/>
      <c r="H802" s="46" t="n"/>
      <c r="I802" s="46" t="n"/>
      <c r="J802" s="46" t="n"/>
      <c r="K802" s="46" t="n"/>
      <c r="L802" s="95" t="n"/>
      <c r="M802" s="95" t="n"/>
      <c r="N802" s="95" t="n"/>
      <c r="O802" s="95" t="n"/>
      <c r="P802" s="95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  <c r="Z802" s="46" t="n"/>
    </row>
    <row r="803" ht="12.75" customHeight="1">
      <c r="A803" s="100" t="n"/>
      <c r="B803" s="101" t="n"/>
      <c r="C803" s="102" t="n"/>
      <c r="D803" s="99" t="n"/>
      <c r="E803" s="95" t="n"/>
      <c r="F803" s="95" t="n"/>
      <c r="G803" s="94" t="n"/>
      <c r="H803" s="46" t="n"/>
      <c r="I803" s="46" t="n"/>
      <c r="J803" s="46" t="n"/>
      <c r="K803" s="46" t="n"/>
      <c r="L803" s="95" t="n"/>
      <c r="M803" s="95" t="n"/>
      <c r="N803" s="95" t="n"/>
      <c r="O803" s="95" t="n"/>
      <c r="P803" s="95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  <c r="Z803" s="46" t="n"/>
    </row>
    <row r="804" ht="12.75" customHeight="1">
      <c r="A804" s="100" t="n"/>
      <c r="B804" s="101" t="n"/>
      <c r="C804" s="102" t="n"/>
      <c r="D804" s="99" t="n"/>
      <c r="E804" s="95" t="n"/>
      <c r="F804" s="95" t="n"/>
      <c r="G804" s="94" t="n"/>
      <c r="H804" s="46" t="n"/>
      <c r="I804" s="46" t="n"/>
      <c r="J804" s="46" t="n"/>
      <c r="K804" s="46" t="n"/>
      <c r="L804" s="95" t="n"/>
      <c r="M804" s="95" t="n"/>
      <c r="N804" s="95" t="n"/>
      <c r="O804" s="95" t="n"/>
      <c r="P804" s="95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  <c r="Z804" s="46" t="n"/>
    </row>
    <row r="805" ht="12.75" customHeight="1">
      <c r="A805" s="100" t="n"/>
      <c r="B805" s="101" t="n"/>
      <c r="C805" s="102" t="n"/>
      <c r="D805" s="99" t="n"/>
      <c r="E805" s="95" t="n"/>
      <c r="F805" s="95" t="n"/>
      <c r="G805" s="94" t="n"/>
      <c r="H805" s="46" t="n"/>
      <c r="I805" s="46" t="n"/>
      <c r="J805" s="46" t="n"/>
      <c r="K805" s="46" t="n"/>
      <c r="L805" s="95" t="n"/>
      <c r="M805" s="95" t="n"/>
      <c r="N805" s="95" t="n"/>
      <c r="O805" s="95" t="n"/>
      <c r="P805" s="95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  <c r="Z805" s="46" t="n"/>
    </row>
    <row r="806" ht="12.75" customHeight="1">
      <c r="A806" s="100" t="n"/>
      <c r="B806" s="101" t="n"/>
      <c r="C806" s="102" t="n"/>
      <c r="D806" s="99" t="n"/>
      <c r="E806" s="95" t="n"/>
      <c r="F806" s="95" t="n"/>
      <c r="G806" s="94" t="n"/>
      <c r="H806" s="46" t="n"/>
      <c r="I806" s="46" t="n"/>
      <c r="J806" s="46" t="n"/>
      <c r="K806" s="46" t="n"/>
      <c r="L806" s="95" t="n"/>
      <c r="M806" s="95" t="n"/>
      <c r="N806" s="95" t="n"/>
      <c r="O806" s="95" t="n"/>
      <c r="P806" s="95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  <c r="Z806" s="46" t="n"/>
    </row>
    <row r="807" ht="12.75" customHeight="1">
      <c r="A807" s="100" t="n"/>
      <c r="B807" s="101" t="n"/>
      <c r="C807" s="102" t="n"/>
      <c r="D807" s="99" t="n"/>
      <c r="E807" s="95" t="n"/>
      <c r="F807" s="95" t="n"/>
      <c r="G807" s="94" t="n"/>
      <c r="H807" s="46" t="n"/>
      <c r="I807" s="46" t="n"/>
      <c r="J807" s="46" t="n"/>
      <c r="K807" s="46" t="n"/>
      <c r="L807" s="95" t="n"/>
      <c r="M807" s="95" t="n"/>
      <c r="N807" s="95" t="n"/>
      <c r="O807" s="95" t="n"/>
      <c r="P807" s="95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  <c r="Z807" s="46" t="n"/>
    </row>
    <row r="808" ht="12.75" customHeight="1">
      <c r="A808" s="100" t="n"/>
      <c r="B808" s="101" t="n"/>
      <c r="C808" s="102" t="n"/>
      <c r="D808" s="99" t="n"/>
      <c r="E808" s="95" t="n"/>
      <c r="F808" s="95" t="n"/>
      <c r="G808" s="94" t="n"/>
      <c r="H808" s="46" t="n"/>
      <c r="I808" s="46" t="n"/>
      <c r="J808" s="46" t="n"/>
      <c r="K808" s="46" t="n"/>
      <c r="L808" s="95" t="n"/>
      <c r="M808" s="95" t="n"/>
      <c r="N808" s="95" t="n"/>
      <c r="O808" s="95" t="n"/>
      <c r="P808" s="95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  <c r="Z808" s="46" t="n"/>
    </row>
    <row r="809" ht="12.75" customHeight="1">
      <c r="A809" s="100" t="n"/>
      <c r="B809" s="101" t="n"/>
      <c r="C809" s="102" t="n"/>
      <c r="D809" s="99" t="n"/>
      <c r="E809" s="95" t="n"/>
      <c r="F809" s="95" t="n"/>
      <c r="G809" s="94" t="n"/>
      <c r="H809" s="46" t="n"/>
      <c r="I809" s="46" t="n"/>
      <c r="J809" s="46" t="n"/>
      <c r="K809" s="46" t="n"/>
      <c r="L809" s="95" t="n"/>
      <c r="M809" s="95" t="n"/>
      <c r="N809" s="95" t="n"/>
      <c r="O809" s="95" t="n"/>
      <c r="P809" s="95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  <c r="Z809" s="46" t="n"/>
    </row>
    <row r="810" ht="12.75" customHeight="1">
      <c r="A810" s="100" t="n"/>
      <c r="B810" s="101" t="n"/>
      <c r="C810" s="102" t="n"/>
      <c r="D810" s="99" t="n"/>
      <c r="E810" s="95" t="n"/>
      <c r="F810" s="95" t="n"/>
      <c r="G810" s="94" t="n"/>
      <c r="H810" s="46" t="n"/>
      <c r="I810" s="46" t="n"/>
      <c r="J810" s="46" t="n"/>
      <c r="K810" s="46" t="n"/>
      <c r="L810" s="95" t="n"/>
      <c r="M810" s="95" t="n"/>
      <c r="N810" s="95" t="n"/>
      <c r="O810" s="95" t="n"/>
      <c r="P810" s="95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  <c r="Z810" s="46" t="n"/>
    </row>
    <row r="811" ht="12.75" customHeight="1">
      <c r="A811" s="100" t="n"/>
      <c r="B811" s="101" t="n"/>
      <c r="C811" s="102" t="n"/>
      <c r="D811" s="99" t="n"/>
      <c r="E811" s="95" t="n"/>
      <c r="F811" s="95" t="n"/>
      <c r="G811" s="94" t="n"/>
      <c r="H811" s="46" t="n"/>
      <c r="I811" s="46" t="n"/>
      <c r="J811" s="46" t="n"/>
      <c r="K811" s="46" t="n"/>
      <c r="L811" s="95" t="n"/>
      <c r="M811" s="95" t="n"/>
      <c r="N811" s="95" t="n"/>
      <c r="O811" s="95" t="n"/>
      <c r="P811" s="95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  <c r="Z811" s="46" t="n"/>
    </row>
    <row r="812" ht="12.75" customHeight="1">
      <c r="A812" s="100" t="n"/>
      <c r="B812" s="101" t="n"/>
      <c r="C812" s="102" t="n"/>
      <c r="D812" s="99" t="n"/>
      <c r="E812" s="95" t="n"/>
      <c r="F812" s="95" t="n"/>
      <c r="G812" s="94" t="n"/>
      <c r="H812" s="46" t="n"/>
      <c r="I812" s="46" t="n"/>
      <c r="J812" s="46" t="n"/>
      <c r="K812" s="46" t="n"/>
      <c r="L812" s="95" t="n"/>
      <c r="M812" s="95" t="n"/>
      <c r="N812" s="95" t="n"/>
      <c r="O812" s="95" t="n"/>
      <c r="P812" s="95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  <c r="Z812" s="46" t="n"/>
    </row>
    <row r="813" ht="12.75" customHeight="1">
      <c r="A813" s="100" t="n"/>
      <c r="B813" s="101" t="n"/>
      <c r="C813" s="102" t="n"/>
      <c r="D813" s="99" t="n"/>
      <c r="E813" s="95" t="n"/>
      <c r="F813" s="95" t="n"/>
      <c r="G813" s="94" t="n"/>
      <c r="H813" s="46" t="n"/>
      <c r="I813" s="46" t="n"/>
      <c r="J813" s="46" t="n"/>
      <c r="K813" s="46" t="n"/>
      <c r="L813" s="95" t="n"/>
      <c r="M813" s="95" t="n"/>
      <c r="N813" s="95" t="n"/>
      <c r="O813" s="95" t="n"/>
      <c r="P813" s="95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  <c r="Z813" s="46" t="n"/>
    </row>
    <row r="814" ht="12.75" customHeight="1">
      <c r="A814" s="100" t="n"/>
      <c r="B814" s="101" t="n"/>
      <c r="C814" s="102" t="n"/>
      <c r="D814" s="99" t="n"/>
      <c r="E814" s="95" t="n"/>
      <c r="F814" s="95" t="n"/>
      <c r="G814" s="94" t="n"/>
      <c r="H814" s="46" t="n"/>
      <c r="I814" s="46" t="n"/>
      <c r="J814" s="46" t="n"/>
      <c r="K814" s="46" t="n"/>
      <c r="L814" s="95" t="n"/>
      <c r="M814" s="95" t="n"/>
      <c r="N814" s="95" t="n"/>
      <c r="O814" s="95" t="n"/>
      <c r="P814" s="95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  <c r="Z814" s="46" t="n"/>
    </row>
    <row r="815" ht="12.75" customHeight="1">
      <c r="A815" s="100" t="n"/>
      <c r="B815" s="101" t="n"/>
      <c r="C815" s="102" t="n"/>
      <c r="D815" s="99" t="n"/>
      <c r="E815" s="95" t="n"/>
      <c r="F815" s="95" t="n"/>
      <c r="G815" s="94" t="n"/>
      <c r="H815" s="46" t="n"/>
      <c r="I815" s="46" t="n"/>
      <c r="J815" s="46" t="n"/>
      <c r="K815" s="46" t="n"/>
      <c r="L815" s="95" t="n"/>
      <c r="M815" s="95" t="n"/>
      <c r="N815" s="95" t="n"/>
      <c r="O815" s="95" t="n"/>
      <c r="P815" s="95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  <c r="Z815" s="46" t="n"/>
    </row>
    <row r="816" ht="12.75" customHeight="1">
      <c r="A816" s="100" t="n"/>
      <c r="B816" s="101" t="n"/>
      <c r="C816" s="102" t="n"/>
      <c r="D816" s="99" t="n"/>
      <c r="E816" s="95" t="n"/>
      <c r="F816" s="95" t="n"/>
      <c r="G816" s="94" t="n"/>
      <c r="H816" s="46" t="n"/>
      <c r="I816" s="46" t="n"/>
      <c r="J816" s="46" t="n"/>
      <c r="K816" s="46" t="n"/>
      <c r="L816" s="95" t="n"/>
      <c r="M816" s="95" t="n"/>
      <c r="N816" s="95" t="n"/>
      <c r="O816" s="95" t="n"/>
      <c r="P816" s="95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  <c r="Z816" s="46" t="n"/>
    </row>
    <row r="817" ht="12.75" customHeight="1">
      <c r="A817" s="100" t="n"/>
      <c r="B817" s="101" t="n"/>
      <c r="C817" s="102" t="n"/>
      <c r="D817" s="99" t="n"/>
      <c r="E817" s="95" t="n"/>
      <c r="F817" s="95" t="n"/>
      <c r="G817" s="94" t="n"/>
      <c r="H817" s="46" t="n"/>
      <c r="I817" s="46" t="n"/>
      <c r="J817" s="46" t="n"/>
      <c r="K817" s="46" t="n"/>
      <c r="L817" s="95" t="n"/>
      <c r="M817" s="95" t="n"/>
      <c r="N817" s="95" t="n"/>
      <c r="O817" s="95" t="n"/>
      <c r="P817" s="95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  <c r="Z817" s="46" t="n"/>
    </row>
    <row r="818" ht="12.75" customHeight="1">
      <c r="A818" s="100" t="n"/>
      <c r="B818" s="101" t="n"/>
      <c r="C818" s="102" t="n"/>
      <c r="D818" s="99" t="n"/>
      <c r="E818" s="95" t="n"/>
      <c r="F818" s="95" t="n"/>
      <c r="G818" s="94" t="n"/>
      <c r="H818" s="46" t="n"/>
      <c r="I818" s="46" t="n"/>
      <c r="J818" s="46" t="n"/>
      <c r="K818" s="46" t="n"/>
      <c r="L818" s="95" t="n"/>
      <c r="M818" s="95" t="n"/>
      <c r="N818" s="95" t="n"/>
      <c r="O818" s="95" t="n"/>
      <c r="P818" s="95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  <c r="Z818" s="46" t="n"/>
    </row>
    <row r="819" ht="12.75" customHeight="1">
      <c r="A819" s="100" t="n"/>
      <c r="B819" s="101" t="n"/>
      <c r="C819" s="102" t="n"/>
      <c r="D819" s="99" t="n"/>
      <c r="E819" s="95" t="n"/>
      <c r="F819" s="95" t="n"/>
      <c r="G819" s="94" t="n"/>
      <c r="H819" s="46" t="n"/>
      <c r="I819" s="46" t="n"/>
      <c r="J819" s="46" t="n"/>
      <c r="K819" s="46" t="n"/>
      <c r="L819" s="95" t="n"/>
      <c r="M819" s="95" t="n"/>
      <c r="N819" s="95" t="n"/>
      <c r="O819" s="95" t="n"/>
      <c r="P819" s="95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  <c r="Z819" s="46" t="n"/>
    </row>
    <row r="820" ht="12.75" customHeight="1">
      <c r="A820" s="100" t="n"/>
      <c r="B820" s="101" t="n"/>
      <c r="C820" s="102" t="n"/>
      <c r="D820" s="99" t="n"/>
      <c r="E820" s="95" t="n"/>
      <c r="F820" s="95" t="n"/>
      <c r="G820" s="94" t="n"/>
      <c r="H820" s="46" t="n"/>
      <c r="I820" s="46" t="n"/>
      <c r="J820" s="46" t="n"/>
      <c r="K820" s="46" t="n"/>
      <c r="L820" s="95" t="n"/>
      <c r="M820" s="95" t="n"/>
      <c r="N820" s="95" t="n"/>
      <c r="O820" s="95" t="n"/>
      <c r="P820" s="95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  <c r="Z820" s="46" t="n"/>
    </row>
    <row r="821" ht="12.75" customHeight="1">
      <c r="A821" s="100" t="n"/>
      <c r="B821" s="101" t="n"/>
      <c r="C821" s="102" t="n"/>
      <c r="D821" s="99" t="n"/>
      <c r="E821" s="95" t="n"/>
      <c r="F821" s="95" t="n"/>
      <c r="G821" s="94" t="n"/>
      <c r="H821" s="46" t="n"/>
      <c r="I821" s="46" t="n"/>
      <c r="J821" s="46" t="n"/>
      <c r="K821" s="46" t="n"/>
      <c r="L821" s="95" t="n"/>
      <c r="M821" s="95" t="n"/>
      <c r="N821" s="95" t="n"/>
      <c r="O821" s="95" t="n"/>
      <c r="P821" s="95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  <c r="Z821" s="46" t="n"/>
    </row>
    <row r="822" ht="12.75" customHeight="1">
      <c r="A822" s="100" t="n"/>
      <c r="B822" s="101" t="n"/>
      <c r="C822" s="102" t="n"/>
      <c r="D822" s="99" t="n"/>
      <c r="E822" s="95" t="n"/>
      <c r="F822" s="95" t="n"/>
      <c r="G822" s="94" t="n"/>
      <c r="H822" s="46" t="n"/>
      <c r="I822" s="46" t="n"/>
      <c r="J822" s="46" t="n"/>
      <c r="K822" s="46" t="n"/>
      <c r="L822" s="95" t="n"/>
      <c r="M822" s="95" t="n"/>
      <c r="N822" s="95" t="n"/>
      <c r="O822" s="95" t="n"/>
      <c r="P822" s="95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  <c r="Z822" s="46" t="n"/>
    </row>
    <row r="823" ht="12.75" customHeight="1">
      <c r="A823" s="100" t="n"/>
      <c r="B823" s="101" t="n"/>
      <c r="C823" s="102" t="n"/>
      <c r="D823" s="99" t="n"/>
      <c r="E823" s="95" t="n"/>
      <c r="F823" s="95" t="n"/>
      <c r="G823" s="94" t="n"/>
      <c r="H823" s="46" t="n"/>
      <c r="I823" s="46" t="n"/>
      <c r="J823" s="46" t="n"/>
      <c r="K823" s="46" t="n"/>
      <c r="L823" s="95" t="n"/>
      <c r="M823" s="95" t="n"/>
      <c r="N823" s="95" t="n"/>
      <c r="O823" s="95" t="n"/>
      <c r="P823" s="95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  <c r="Z823" s="46" t="n"/>
    </row>
    <row r="824" ht="12.75" customHeight="1">
      <c r="A824" s="100" t="n"/>
      <c r="B824" s="101" t="n"/>
      <c r="C824" s="102" t="n"/>
      <c r="D824" s="99" t="n"/>
      <c r="E824" s="95" t="n"/>
      <c r="F824" s="95" t="n"/>
      <c r="G824" s="94" t="n"/>
      <c r="H824" s="46" t="n"/>
      <c r="I824" s="46" t="n"/>
      <c r="J824" s="46" t="n"/>
      <c r="K824" s="46" t="n"/>
      <c r="L824" s="95" t="n"/>
      <c r="M824" s="95" t="n"/>
      <c r="N824" s="95" t="n"/>
      <c r="O824" s="95" t="n"/>
      <c r="P824" s="95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  <c r="Z824" s="46" t="n"/>
    </row>
    <row r="825" ht="12.75" customHeight="1">
      <c r="A825" s="100" t="n"/>
      <c r="B825" s="101" t="n"/>
      <c r="C825" s="102" t="n"/>
      <c r="D825" s="99" t="n"/>
      <c r="E825" s="95" t="n"/>
      <c r="F825" s="95" t="n"/>
      <c r="G825" s="94" t="n"/>
      <c r="H825" s="46" t="n"/>
      <c r="I825" s="46" t="n"/>
      <c r="J825" s="46" t="n"/>
      <c r="K825" s="46" t="n"/>
      <c r="L825" s="95" t="n"/>
      <c r="M825" s="95" t="n"/>
      <c r="N825" s="95" t="n"/>
      <c r="O825" s="95" t="n"/>
      <c r="P825" s="95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  <c r="Z825" s="46" t="n"/>
    </row>
    <row r="826" ht="12.75" customHeight="1">
      <c r="A826" s="100" t="n"/>
      <c r="B826" s="101" t="n"/>
      <c r="C826" s="102" t="n"/>
      <c r="D826" s="99" t="n"/>
      <c r="E826" s="95" t="n"/>
      <c r="F826" s="95" t="n"/>
      <c r="G826" s="94" t="n"/>
      <c r="H826" s="46" t="n"/>
      <c r="I826" s="46" t="n"/>
      <c r="J826" s="46" t="n"/>
      <c r="K826" s="46" t="n"/>
      <c r="L826" s="95" t="n"/>
      <c r="M826" s="95" t="n"/>
      <c r="N826" s="95" t="n"/>
      <c r="O826" s="95" t="n"/>
      <c r="P826" s="95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  <c r="Z826" s="46" t="n"/>
    </row>
    <row r="827" ht="12.75" customHeight="1">
      <c r="A827" s="100" t="n"/>
      <c r="B827" s="101" t="n"/>
      <c r="C827" s="102" t="n"/>
      <c r="D827" s="99" t="n"/>
      <c r="E827" s="95" t="n"/>
      <c r="F827" s="95" t="n"/>
      <c r="G827" s="94" t="n"/>
      <c r="H827" s="46" t="n"/>
      <c r="I827" s="46" t="n"/>
      <c r="J827" s="46" t="n"/>
      <c r="K827" s="46" t="n"/>
      <c r="L827" s="95" t="n"/>
      <c r="M827" s="95" t="n"/>
      <c r="N827" s="95" t="n"/>
      <c r="O827" s="95" t="n"/>
      <c r="P827" s="95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  <c r="Z827" s="46" t="n"/>
    </row>
    <row r="828" ht="12.75" customHeight="1">
      <c r="A828" s="100" t="n"/>
      <c r="B828" s="101" t="n"/>
      <c r="C828" s="102" t="n"/>
      <c r="D828" s="99" t="n"/>
      <c r="E828" s="95" t="n"/>
      <c r="F828" s="95" t="n"/>
      <c r="G828" s="94" t="n"/>
      <c r="H828" s="46" t="n"/>
      <c r="I828" s="46" t="n"/>
      <c r="J828" s="46" t="n"/>
      <c r="K828" s="46" t="n"/>
      <c r="L828" s="95" t="n"/>
      <c r="M828" s="95" t="n"/>
      <c r="N828" s="95" t="n"/>
      <c r="O828" s="95" t="n"/>
      <c r="P828" s="95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  <c r="Z828" s="46" t="n"/>
    </row>
    <row r="829" ht="12.75" customHeight="1">
      <c r="A829" s="100" t="n"/>
      <c r="B829" s="101" t="n"/>
      <c r="C829" s="102" t="n"/>
      <c r="D829" s="99" t="n"/>
      <c r="E829" s="95" t="n"/>
      <c r="F829" s="95" t="n"/>
      <c r="G829" s="94" t="n"/>
      <c r="H829" s="46" t="n"/>
      <c r="I829" s="46" t="n"/>
      <c r="J829" s="46" t="n"/>
      <c r="K829" s="46" t="n"/>
      <c r="L829" s="95" t="n"/>
      <c r="M829" s="95" t="n"/>
      <c r="N829" s="95" t="n"/>
      <c r="O829" s="95" t="n"/>
      <c r="P829" s="95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  <c r="Z829" s="46" t="n"/>
    </row>
    <row r="830" ht="12.75" customHeight="1">
      <c r="A830" s="100" t="n"/>
      <c r="B830" s="101" t="n"/>
      <c r="C830" s="102" t="n"/>
      <c r="D830" s="99" t="n"/>
      <c r="E830" s="95" t="n"/>
      <c r="F830" s="95" t="n"/>
      <c r="G830" s="94" t="n"/>
      <c r="H830" s="46" t="n"/>
      <c r="I830" s="46" t="n"/>
      <c r="J830" s="46" t="n"/>
      <c r="K830" s="46" t="n"/>
      <c r="L830" s="95" t="n"/>
      <c r="M830" s="95" t="n"/>
      <c r="N830" s="95" t="n"/>
      <c r="O830" s="95" t="n"/>
      <c r="P830" s="95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  <c r="Z830" s="46" t="n"/>
    </row>
    <row r="831" ht="12.75" customHeight="1">
      <c r="A831" s="100" t="n"/>
      <c r="B831" s="101" t="n"/>
      <c r="C831" s="102" t="n"/>
      <c r="D831" s="99" t="n"/>
      <c r="E831" s="95" t="n"/>
      <c r="F831" s="95" t="n"/>
      <c r="G831" s="94" t="n"/>
      <c r="H831" s="46" t="n"/>
      <c r="I831" s="46" t="n"/>
      <c r="J831" s="46" t="n"/>
      <c r="K831" s="46" t="n"/>
      <c r="L831" s="95" t="n"/>
      <c r="M831" s="95" t="n"/>
      <c r="N831" s="95" t="n"/>
      <c r="O831" s="95" t="n"/>
      <c r="P831" s="95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  <c r="Z831" s="46" t="n"/>
    </row>
    <row r="832" ht="12.75" customHeight="1">
      <c r="A832" s="100" t="n"/>
      <c r="B832" s="101" t="n"/>
      <c r="C832" s="102" t="n"/>
      <c r="D832" s="99" t="n"/>
      <c r="E832" s="95" t="n"/>
      <c r="F832" s="95" t="n"/>
      <c r="G832" s="94" t="n"/>
      <c r="H832" s="46" t="n"/>
      <c r="I832" s="46" t="n"/>
      <c r="J832" s="46" t="n"/>
      <c r="K832" s="46" t="n"/>
      <c r="L832" s="95" t="n"/>
      <c r="M832" s="95" t="n"/>
      <c r="N832" s="95" t="n"/>
      <c r="O832" s="95" t="n"/>
      <c r="P832" s="95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  <c r="Z832" s="46" t="n"/>
    </row>
    <row r="833" ht="12.75" customHeight="1">
      <c r="A833" s="100" t="n"/>
      <c r="B833" s="101" t="n"/>
      <c r="C833" s="102" t="n"/>
      <c r="D833" s="99" t="n"/>
      <c r="E833" s="95" t="n"/>
      <c r="F833" s="95" t="n"/>
      <c r="G833" s="94" t="n"/>
      <c r="H833" s="46" t="n"/>
      <c r="I833" s="46" t="n"/>
      <c r="J833" s="46" t="n"/>
      <c r="K833" s="46" t="n"/>
      <c r="L833" s="95" t="n"/>
      <c r="M833" s="95" t="n"/>
      <c r="N833" s="95" t="n"/>
      <c r="O833" s="95" t="n"/>
      <c r="P833" s="95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  <c r="Z833" s="46" t="n"/>
    </row>
    <row r="834" ht="12.75" customHeight="1">
      <c r="A834" s="100" t="n"/>
      <c r="B834" s="101" t="n"/>
      <c r="C834" s="102" t="n"/>
      <c r="D834" s="99" t="n"/>
      <c r="E834" s="95" t="n"/>
      <c r="F834" s="95" t="n"/>
      <c r="G834" s="94" t="n"/>
      <c r="H834" s="46" t="n"/>
      <c r="I834" s="46" t="n"/>
      <c r="J834" s="46" t="n"/>
      <c r="K834" s="46" t="n"/>
      <c r="L834" s="95" t="n"/>
      <c r="M834" s="95" t="n"/>
      <c r="N834" s="95" t="n"/>
      <c r="O834" s="95" t="n"/>
      <c r="P834" s="95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  <c r="Z834" s="46" t="n"/>
    </row>
    <row r="835" ht="12.75" customHeight="1">
      <c r="A835" s="100" t="n"/>
      <c r="B835" s="101" t="n"/>
      <c r="C835" s="102" t="n"/>
      <c r="D835" s="99" t="n"/>
      <c r="E835" s="95" t="n"/>
      <c r="F835" s="95" t="n"/>
      <c r="G835" s="94" t="n"/>
      <c r="H835" s="46" t="n"/>
      <c r="I835" s="46" t="n"/>
      <c r="J835" s="46" t="n"/>
      <c r="K835" s="46" t="n"/>
      <c r="L835" s="95" t="n"/>
      <c r="M835" s="95" t="n"/>
      <c r="N835" s="95" t="n"/>
      <c r="O835" s="95" t="n"/>
      <c r="P835" s="95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  <c r="Z835" s="46" t="n"/>
    </row>
    <row r="836" ht="12.75" customHeight="1">
      <c r="A836" s="100" t="n"/>
      <c r="B836" s="101" t="n"/>
      <c r="C836" s="102" t="n"/>
      <c r="D836" s="99" t="n"/>
      <c r="E836" s="95" t="n"/>
      <c r="F836" s="95" t="n"/>
      <c r="G836" s="94" t="n"/>
      <c r="H836" s="46" t="n"/>
      <c r="I836" s="46" t="n"/>
      <c r="J836" s="46" t="n"/>
      <c r="K836" s="46" t="n"/>
      <c r="L836" s="95" t="n"/>
      <c r="M836" s="95" t="n"/>
      <c r="N836" s="95" t="n"/>
      <c r="O836" s="95" t="n"/>
      <c r="P836" s="95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  <c r="Z836" s="46" t="n"/>
    </row>
    <row r="837" ht="12.75" customHeight="1">
      <c r="A837" s="100" t="n"/>
      <c r="B837" s="101" t="n"/>
      <c r="C837" s="102" t="n"/>
      <c r="D837" s="99" t="n"/>
      <c r="E837" s="95" t="n"/>
      <c r="F837" s="95" t="n"/>
      <c r="G837" s="94" t="n"/>
      <c r="H837" s="46" t="n"/>
      <c r="I837" s="46" t="n"/>
      <c r="J837" s="46" t="n"/>
      <c r="K837" s="46" t="n"/>
      <c r="L837" s="95" t="n"/>
      <c r="M837" s="95" t="n"/>
      <c r="N837" s="95" t="n"/>
      <c r="O837" s="95" t="n"/>
      <c r="P837" s="95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  <c r="Z837" s="46" t="n"/>
    </row>
    <row r="838" ht="12.75" customHeight="1">
      <c r="A838" s="100" t="n"/>
      <c r="B838" s="101" t="n"/>
      <c r="C838" s="102" t="n"/>
      <c r="D838" s="99" t="n"/>
      <c r="E838" s="95" t="n"/>
      <c r="F838" s="95" t="n"/>
      <c r="G838" s="94" t="n"/>
      <c r="H838" s="46" t="n"/>
      <c r="I838" s="46" t="n"/>
      <c r="J838" s="46" t="n"/>
      <c r="K838" s="46" t="n"/>
      <c r="L838" s="95" t="n"/>
      <c r="M838" s="95" t="n"/>
      <c r="N838" s="95" t="n"/>
      <c r="O838" s="95" t="n"/>
      <c r="P838" s="95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  <c r="Z838" s="46" t="n"/>
    </row>
    <row r="839" ht="12.75" customHeight="1">
      <c r="A839" s="100" t="n"/>
      <c r="B839" s="101" t="n"/>
      <c r="C839" s="102" t="n"/>
      <c r="D839" s="99" t="n"/>
      <c r="E839" s="95" t="n"/>
      <c r="F839" s="95" t="n"/>
      <c r="G839" s="94" t="n"/>
      <c r="H839" s="46" t="n"/>
      <c r="I839" s="46" t="n"/>
      <c r="J839" s="46" t="n"/>
      <c r="K839" s="46" t="n"/>
      <c r="L839" s="95" t="n"/>
      <c r="M839" s="95" t="n"/>
      <c r="N839" s="95" t="n"/>
      <c r="O839" s="95" t="n"/>
      <c r="P839" s="95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  <c r="Z839" s="46" t="n"/>
    </row>
    <row r="840" ht="12.75" customHeight="1">
      <c r="A840" s="100" t="n"/>
      <c r="B840" s="101" t="n"/>
      <c r="C840" s="102" t="n"/>
      <c r="D840" s="99" t="n"/>
      <c r="E840" s="95" t="n"/>
      <c r="F840" s="95" t="n"/>
      <c r="G840" s="94" t="n"/>
      <c r="H840" s="46" t="n"/>
      <c r="I840" s="46" t="n"/>
      <c r="J840" s="46" t="n"/>
      <c r="K840" s="46" t="n"/>
      <c r="L840" s="95" t="n"/>
      <c r="M840" s="95" t="n"/>
      <c r="N840" s="95" t="n"/>
      <c r="O840" s="95" t="n"/>
      <c r="P840" s="95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  <c r="Z840" s="46" t="n"/>
    </row>
    <row r="841" ht="12.75" customHeight="1">
      <c r="A841" s="100" t="n"/>
      <c r="B841" s="101" t="n"/>
      <c r="C841" s="102" t="n"/>
      <c r="D841" s="99" t="n"/>
      <c r="E841" s="95" t="n"/>
      <c r="F841" s="95" t="n"/>
      <c r="G841" s="94" t="n"/>
      <c r="H841" s="46" t="n"/>
      <c r="I841" s="46" t="n"/>
      <c r="J841" s="46" t="n"/>
      <c r="K841" s="46" t="n"/>
      <c r="L841" s="95" t="n"/>
      <c r="M841" s="95" t="n"/>
      <c r="N841" s="95" t="n"/>
      <c r="O841" s="95" t="n"/>
      <c r="P841" s="95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  <c r="Z841" s="46" t="n"/>
    </row>
    <row r="842" ht="12.75" customHeight="1">
      <c r="A842" s="100" t="n"/>
      <c r="B842" s="101" t="n"/>
      <c r="C842" s="102" t="n"/>
      <c r="D842" s="99" t="n"/>
      <c r="E842" s="95" t="n"/>
      <c r="F842" s="95" t="n"/>
      <c r="G842" s="94" t="n"/>
      <c r="H842" s="46" t="n"/>
      <c r="I842" s="46" t="n"/>
      <c r="J842" s="46" t="n"/>
      <c r="K842" s="46" t="n"/>
      <c r="L842" s="95" t="n"/>
      <c r="M842" s="95" t="n"/>
      <c r="N842" s="95" t="n"/>
      <c r="O842" s="95" t="n"/>
      <c r="P842" s="95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  <c r="Z842" s="46" t="n"/>
    </row>
    <row r="843" ht="12.75" customHeight="1">
      <c r="A843" s="100" t="n"/>
      <c r="B843" s="101" t="n"/>
      <c r="C843" s="102" t="n"/>
      <c r="D843" s="99" t="n"/>
      <c r="E843" s="95" t="n"/>
      <c r="F843" s="95" t="n"/>
      <c r="G843" s="94" t="n"/>
      <c r="H843" s="46" t="n"/>
      <c r="I843" s="46" t="n"/>
      <c r="J843" s="46" t="n"/>
      <c r="K843" s="46" t="n"/>
      <c r="L843" s="95" t="n"/>
      <c r="M843" s="95" t="n"/>
      <c r="N843" s="95" t="n"/>
      <c r="O843" s="95" t="n"/>
      <c r="P843" s="95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  <c r="Z843" s="46" t="n"/>
    </row>
    <row r="844" ht="12.75" customHeight="1">
      <c r="A844" s="100" t="n"/>
      <c r="B844" s="101" t="n"/>
      <c r="C844" s="102" t="n"/>
      <c r="D844" s="99" t="n"/>
      <c r="E844" s="95" t="n"/>
      <c r="F844" s="95" t="n"/>
      <c r="G844" s="94" t="n"/>
      <c r="H844" s="46" t="n"/>
      <c r="I844" s="46" t="n"/>
      <c r="J844" s="46" t="n"/>
      <c r="K844" s="46" t="n"/>
      <c r="L844" s="95" t="n"/>
      <c r="M844" s="95" t="n"/>
      <c r="N844" s="95" t="n"/>
      <c r="O844" s="95" t="n"/>
      <c r="P844" s="95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  <c r="Z844" s="46" t="n"/>
    </row>
    <row r="845" ht="12.75" customHeight="1">
      <c r="A845" s="100" t="n"/>
      <c r="B845" s="101" t="n"/>
      <c r="C845" s="102" t="n"/>
      <c r="D845" s="99" t="n"/>
      <c r="E845" s="95" t="n"/>
      <c r="F845" s="95" t="n"/>
      <c r="G845" s="94" t="n"/>
      <c r="H845" s="46" t="n"/>
      <c r="I845" s="46" t="n"/>
      <c r="J845" s="46" t="n"/>
      <c r="K845" s="46" t="n"/>
      <c r="L845" s="95" t="n"/>
      <c r="M845" s="95" t="n"/>
      <c r="N845" s="95" t="n"/>
      <c r="O845" s="95" t="n"/>
      <c r="P845" s="95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  <c r="Z845" s="46" t="n"/>
    </row>
    <row r="846" ht="12.75" customHeight="1">
      <c r="A846" s="100" t="n"/>
      <c r="B846" s="101" t="n"/>
      <c r="C846" s="102" t="n"/>
      <c r="D846" s="99" t="n"/>
      <c r="E846" s="95" t="n"/>
      <c r="F846" s="95" t="n"/>
      <c r="G846" s="94" t="n"/>
      <c r="H846" s="46" t="n"/>
      <c r="I846" s="46" t="n"/>
      <c r="J846" s="46" t="n"/>
      <c r="K846" s="46" t="n"/>
      <c r="L846" s="95" t="n"/>
      <c r="M846" s="95" t="n"/>
      <c r="N846" s="95" t="n"/>
      <c r="O846" s="95" t="n"/>
      <c r="P846" s="95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  <c r="Z846" s="46" t="n"/>
    </row>
    <row r="847" ht="12.75" customHeight="1">
      <c r="A847" s="100" t="n"/>
      <c r="B847" s="101" t="n"/>
      <c r="C847" s="102" t="n"/>
      <c r="D847" s="99" t="n"/>
      <c r="E847" s="95" t="n"/>
      <c r="F847" s="95" t="n"/>
      <c r="G847" s="94" t="n"/>
      <c r="H847" s="46" t="n"/>
      <c r="I847" s="46" t="n"/>
      <c r="J847" s="46" t="n"/>
      <c r="K847" s="46" t="n"/>
      <c r="L847" s="95" t="n"/>
      <c r="M847" s="95" t="n"/>
      <c r="N847" s="95" t="n"/>
      <c r="O847" s="95" t="n"/>
      <c r="P847" s="95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  <c r="Z847" s="46" t="n"/>
    </row>
    <row r="848" ht="12.75" customHeight="1">
      <c r="A848" s="100" t="n"/>
      <c r="B848" s="101" t="n"/>
      <c r="C848" s="102" t="n"/>
      <c r="D848" s="99" t="n"/>
      <c r="E848" s="95" t="n"/>
      <c r="F848" s="95" t="n"/>
      <c r="G848" s="94" t="n"/>
      <c r="H848" s="46" t="n"/>
      <c r="I848" s="46" t="n"/>
      <c r="J848" s="46" t="n"/>
      <c r="K848" s="46" t="n"/>
      <c r="L848" s="95" t="n"/>
      <c r="M848" s="95" t="n"/>
      <c r="N848" s="95" t="n"/>
      <c r="O848" s="95" t="n"/>
      <c r="P848" s="95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  <c r="Z848" s="46" t="n"/>
    </row>
    <row r="849" ht="12.75" customHeight="1">
      <c r="A849" s="100" t="n"/>
      <c r="B849" s="101" t="n"/>
      <c r="C849" s="102" t="n"/>
      <c r="D849" s="99" t="n"/>
      <c r="E849" s="95" t="n"/>
      <c r="F849" s="95" t="n"/>
      <c r="G849" s="94" t="n"/>
      <c r="H849" s="46" t="n"/>
      <c r="I849" s="46" t="n"/>
      <c r="J849" s="46" t="n"/>
      <c r="K849" s="46" t="n"/>
      <c r="L849" s="95" t="n"/>
      <c r="M849" s="95" t="n"/>
      <c r="N849" s="95" t="n"/>
      <c r="O849" s="95" t="n"/>
      <c r="P849" s="95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  <c r="Z849" s="46" t="n"/>
    </row>
    <row r="850" ht="12.75" customHeight="1">
      <c r="A850" s="100" t="n"/>
      <c r="B850" s="101" t="n"/>
      <c r="C850" s="102" t="n"/>
      <c r="D850" s="99" t="n"/>
      <c r="E850" s="95" t="n"/>
      <c r="F850" s="95" t="n"/>
      <c r="G850" s="94" t="n"/>
      <c r="H850" s="46" t="n"/>
      <c r="I850" s="46" t="n"/>
      <c r="J850" s="46" t="n"/>
      <c r="K850" s="46" t="n"/>
      <c r="L850" s="95" t="n"/>
      <c r="M850" s="95" t="n"/>
      <c r="N850" s="95" t="n"/>
      <c r="O850" s="95" t="n"/>
      <c r="P850" s="95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  <c r="Z850" s="46" t="n"/>
    </row>
    <row r="851" ht="12.75" customHeight="1">
      <c r="A851" s="100" t="n"/>
      <c r="B851" s="101" t="n"/>
      <c r="C851" s="102" t="n"/>
      <c r="D851" s="99" t="n"/>
      <c r="E851" s="95" t="n"/>
      <c r="F851" s="95" t="n"/>
      <c r="G851" s="94" t="n"/>
      <c r="H851" s="46" t="n"/>
      <c r="I851" s="46" t="n"/>
      <c r="J851" s="46" t="n"/>
      <c r="K851" s="46" t="n"/>
      <c r="L851" s="95" t="n"/>
      <c r="M851" s="95" t="n"/>
      <c r="N851" s="95" t="n"/>
      <c r="O851" s="95" t="n"/>
      <c r="P851" s="95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  <c r="Z851" s="46" t="n"/>
    </row>
    <row r="852" ht="12.75" customHeight="1">
      <c r="A852" s="100" t="n"/>
      <c r="B852" s="101" t="n"/>
      <c r="C852" s="102" t="n"/>
      <c r="D852" s="99" t="n"/>
      <c r="E852" s="95" t="n"/>
      <c r="F852" s="95" t="n"/>
      <c r="G852" s="94" t="n"/>
      <c r="H852" s="46" t="n"/>
      <c r="I852" s="46" t="n"/>
      <c r="J852" s="46" t="n"/>
      <c r="K852" s="46" t="n"/>
      <c r="L852" s="95" t="n"/>
      <c r="M852" s="95" t="n"/>
      <c r="N852" s="95" t="n"/>
      <c r="O852" s="95" t="n"/>
      <c r="P852" s="95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  <c r="Z852" s="46" t="n"/>
    </row>
    <row r="853" ht="12.75" customHeight="1">
      <c r="A853" s="100" t="n"/>
      <c r="B853" s="101" t="n"/>
      <c r="C853" s="102" t="n"/>
      <c r="D853" s="99" t="n"/>
      <c r="E853" s="95" t="n"/>
      <c r="F853" s="95" t="n"/>
      <c r="G853" s="94" t="n"/>
      <c r="H853" s="46" t="n"/>
      <c r="I853" s="46" t="n"/>
      <c r="J853" s="46" t="n"/>
      <c r="K853" s="46" t="n"/>
      <c r="L853" s="95" t="n"/>
      <c r="M853" s="95" t="n"/>
      <c r="N853" s="95" t="n"/>
      <c r="O853" s="95" t="n"/>
      <c r="P853" s="95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  <c r="Z853" s="46" t="n"/>
    </row>
    <row r="854" ht="12.75" customHeight="1">
      <c r="A854" s="100" t="n"/>
      <c r="B854" s="101" t="n"/>
      <c r="C854" s="102" t="n"/>
      <c r="D854" s="99" t="n"/>
      <c r="E854" s="95" t="n"/>
      <c r="F854" s="95" t="n"/>
      <c r="G854" s="94" t="n"/>
      <c r="H854" s="46" t="n"/>
      <c r="I854" s="46" t="n"/>
      <c r="J854" s="46" t="n"/>
      <c r="K854" s="46" t="n"/>
      <c r="L854" s="95" t="n"/>
      <c r="M854" s="95" t="n"/>
      <c r="N854" s="95" t="n"/>
      <c r="O854" s="95" t="n"/>
      <c r="P854" s="95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  <c r="Z854" s="46" t="n"/>
    </row>
    <row r="855" ht="12.75" customHeight="1">
      <c r="A855" s="100" t="n"/>
      <c r="B855" s="101" t="n"/>
      <c r="C855" s="102" t="n"/>
      <c r="D855" s="99" t="n"/>
      <c r="E855" s="95" t="n"/>
      <c r="F855" s="95" t="n"/>
      <c r="G855" s="94" t="n"/>
      <c r="H855" s="46" t="n"/>
      <c r="I855" s="46" t="n"/>
      <c r="J855" s="46" t="n"/>
      <c r="K855" s="46" t="n"/>
      <c r="L855" s="95" t="n"/>
      <c r="M855" s="95" t="n"/>
      <c r="N855" s="95" t="n"/>
      <c r="O855" s="95" t="n"/>
      <c r="P855" s="95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  <c r="Z855" s="46" t="n"/>
    </row>
    <row r="856" ht="12.75" customHeight="1">
      <c r="A856" s="100" t="n"/>
      <c r="B856" s="101" t="n"/>
      <c r="C856" s="102" t="n"/>
      <c r="D856" s="99" t="n"/>
      <c r="E856" s="95" t="n"/>
      <c r="F856" s="95" t="n"/>
      <c r="G856" s="94" t="n"/>
      <c r="H856" s="46" t="n"/>
      <c r="I856" s="46" t="n"/>
      <c r="J856" s="46" t="n"/>
      <c r="K856" s="46" t="n"/>
      <c r="L856" s="95" t="n"/>
      <c r="M856" s="95" t="n"/>
      <c r="N856" s="95" t="n"/>
      <c r="O856" s="95" t="n"/>
      <c r="P856" s="95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  <c r="Z856" s="46" t="n"/>
    </row>
    <row r="857" ht="12.75" customHeight="1">
      <c r="A857" s="100" t="n"/>
      <c r="B857" s="101" t="n"/>
      <c r="C857" s="102" t="n"/>
      <c r="D857" s="99" t="n"/>
      <c r="E857" s="95" t="n"/>
      <c r="F857" s="95" t="n"/>
      <c r="G857" s="94" t="n"/>
      <c r="H857" s="46" t="n"/>
      <c r="I857" s="46" t="n"/>
      <c r="J857" s="46" t="n"/>
      <c r="K857" s="46" t="n"/>
      <c r="L857" s="95" t="n"/>
      <c r="M857" s="95" t="n"/>
      <c r="N857" s="95" t="n"/>
      <c r="O857" s="95" t="n"/>
      <c r="P857" s="95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  <c r="Z857" s="46" t="n"/>
    </row>
    <row r="858" ht="12.75" customHeight="1">
      <c r="A858" s="100" t="n"/>
      <c r="B858" s="101" t="n"/>
      <c r="C858" s="102" t="n"/>
      <c r="D858" s="99" t="n"/>
      <c r="E858" s="95" t="n"/>
      <c r="F858" s="95" t="n"/>
      <c r="G858" s="94" t="n"/>
      <c r="H858" s="46" t="n"/>
      <c r="I858" s="46" t="n"/>
      <c r="J858" s="46" t="n"/>
      <c r="K858" s="46" t="n"/>
      <c r="L858" s="95" t="n"/>
      <c r="M858" s="95" t="n"/>
      <c r="N858" s="95" t="n"/>
      <c r="O858" s="95" t="n"/>
      <c r="P858" s="95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  <c r="Z858" s="46" t="n"/>
    </row>
    <row r="859" ht="12.75" customHeight="1">
      <c r="A859" s="100" t="n"/>
      <c r="B859" s="101" t="n"/>
      <c r="C859" s="102" t="n"/>
      <c r="D859" s="99" t="n"/>
      <c r="E859" s="95" t="n"/>
      <c r="F859" s="95" t="n"/>
      <c r="G859" s="94" t="n"/>
      <c r="H859" s="46" t="n"/>
      <c r="I859" s="46" t="n"/>
      <c r="J859" s="46" t="n"/>
      <c r="K859" s="46" t="n"/>
      <c r="L859" s="95" t="n"/>
      <c r="M859" s="95" t="n"/>
      <c r="N859" s="95" t="n"/>
      <c r="O859" s="95" t="n"/>
      <c r="P859" s="95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  <c r="Z859" s="46" t="n"/>
    </row>
    <row r="860" ht="12.75" customHeight="1">
      <c r="A860" s="100" t="n"/>
      <c r="B860" s="101" t="n"/>
      <c r="C860" s="102" t="n"/>
      <c r="D860" s="99" t="n"/>
      <c r="E860" s="95" t="n"/>
      <c r="F860" s="95" t="n"/>
      <c r="G860" s="94" t="n"/>
      <c r="H860" s="46" t="n"/>
      <c r="I860" s="46" t="n"/>
      <c r="J860" s="46" t="n"/>
      <c r="K860" s="46" t="n"/>
      <c r="L860" s="95" t="n"/>
      <c r="M860" s="95" t="n"/>
      <c r="N860" s="95" t="n"/>
      <c r="O860" s="95" t="n"/>
      <c r="P860" s="95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  <c r="Z860" s="46" t="n"/>
    </row>
    <row r="861" ht="12.75" customHeight="1">
      <c r="A861" s="100" t="n"/>
      <c r="B861" s="101" t="n"/>
      <c r="C861" s="102" t="n"/>
      <c r="D861" s="99" t="n"/>
      <c r="E861" s="95" t="n"/>
      <c r="F861" s="95" t="n"/>
      <c r="G861" s="94" t="n"/>
      <c r="H861" s="46" t="n"/>
      <c r="I861" s="46" t="n"/>
      <c r="J861" s="46" t="n"/>
      <c r="K861" s="46" t="n"/>
      <c r="L861" s="95" t="n"/>
      <c r="M861" s="95" t="n"/>
      <c r="N861" s="95" t="n"/>
      <c r="O861" s="95" t="n"/>
      <c r="P861" s="95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  <c r="Z861" s="46" t="n"/>
    </row>
    <row r="862" ht="12.75" customHeight="1">
      <c r="A862" s="100" t="n"/>
      <c r="B862" s="101" t="n"/>
      <c r="C862" s="102" t="n"/>
      <c r="D862" s="99" t="n"/>
      <c r="E862" s="95" t="n"/>
      <c r="F862" s="95" t="n"/>
      <c r="G862" s="94" t="n"/>
      <c r="H862" s="46" t="n"/>
      <c r="I862" s="46" t="n"/>
      <c r="J862" s="46" t="n"/>
      <c r="K862" s="46" t="n"/>
      <c r="L862" s="95" t="n"/>
      <c r="M862" s="95" t="n"/>
      <c r="N862" s="95" t="n"/>
      <c r="O862" s="95" t="n"/>
      <c r="P862" s="95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  <c r="Z862" s="46" t="n"/>
    </row>
    <row r="863" ht="12.75" customHeight="1">
      <c r="A863" s="100" t="n"/>
      <c r="B863" s="101" t="n"/>
      <c r="C863" s="102" t="n"/>
      <c r="D863" s="99" t="n"/>
      <c r="E863" s="95" t="n"/>
      <c r="F863" s="95" t="n"/>
      <c r="G863" s="94" t="n"/>
      <c r="H863" s="46" t="n"/>
      <c r="I863" s="46" t="n"/>
      <c r="J863" s="46" t="n"/>
      <c r="K863" s="46" t="n"/>
      <c r="L863" s="95" t="n"/>
      <c r="M863" s="95" t="n"/>
      <c r="N863" s="95" t="n"/>
      <c r="O863" s="95" t="n"/>
      <c r="P863" s="95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  <c r="Z863" s="46" t="n"/>
    </row>
    <row r="864" ht="12.75" customHeight="1">
      <c r="A864" s="100" t="n"/>
      <c r="B864" s="101" t="n"/>
      <c r="C864" s="102" t="n"/>
      <c r="D864" s="99" t="n"/>
      <c r="E864" s="95" t="n"/>
      <c r="F864" s="95" t="n"/>
      <c r="G864" s="94" t="n"/>
      <c r="H864" s="46" t="n"/>
      <c r="I864" s="46" t="n"/>
      <c r="J864" s="46" t="n"/>
      <c r="K864" s="46" t="n"/>
      <c r="L864" s="95" t="n"/>
      <c r="M864" s="95" t="n"/>
      <c r="N864" s="95" t="n"/>
      <c r="O864" s="95" t="n"/>
      <c r="P864" s="95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  <c r="Z864" s="46" t="n"/>
    </row>
    <row r="865" ht="12.75" customHeight="1">
      <c r="A865" s="100" t="n"/>
      <c r="B865" s="101" t="n"/>
      <c r="C865" s="102" t="n"/>
      <c r="D865" s="99" t="n"/>
      <c r="E865" s="95" t="n"/>
      <c r="F865" s="95" t="n"/>
      <c r="G865" s="94" t="n"/>
      <c r="H865" s="46" t="n"/>
      <c r="I865" s="46" t="n"/>
      <c r="J865" s="46" t="n"/>
      <c r="K865" s="46" t="n"/>
      <c r="L865" s="95" t="n"/>
      <c r="M865" s="95" t="n"/>
      <c r="N865" s="95" t="n"/>
      <c r="O865" s="95" t="n"/>
      <c r="P865" s="95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  <c r="Z865" s="46" t="n"/>
    </row>
    <row r="866" ht="12.75" customHeight="1">
      <c r="A866" s="100" t="n"/>
      <c r="B866" s="101" t="n"/>
      <c r="C866" s="102" t="n"/>
      <c r="D866" s="99" t="n"/>
      <c r="E866" s="95" t="n"/>
      <c r="F866" s="95" t="n"/>
      <c r="G866" s="94" t="n"/>
      <c r="H866" s="46" t="n"/>
      <c r="I866" s="46" t="n"/>
      <c r="J866" s="46" t="n"/>
      <c r="K866" s="46" t="n"/>
      <c r="L866" s="95" t="n"/>
      <c r="M866" s="95" t="n"/>
      <c r="N866" s="95" t="n"/>
      <c r="O866" s="95" t="n"/>
      <c r="P866" s="95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  <c r="Z866" s="46" t="n"/>
    </row>
    <row r="867" ht="12.75" customHeight="1">
      <c r="A867" s="100" t="n"/>
      <c r="B867" s="101" t="n"/>
      <c r="C867" s="102" t="n"/>
      <c r="D867" s="99" t="n"/>
      <c r="E867" s="95" t="n"/>
      <c r="F867" s="95" t="n"/>
      <c r="G867" s="94" t="n"/>
      <c r="H867" s="46" t="n"/>
      <c r="I867" s="46" t="n"/>
      <c r="J867" s="46" t="n"/>
      <c r="K867" s="46" t="n"/>
      <c r="L867" s="95" t="n"/>
      <c r="M867" s="95" t="n"/>
      <c r="N867" s="95" t="n"/>
      <c r="O867" s="95" t="n"/>
      <c r="P867" s="95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  <c r="Z867" s="46" t="n"/>
    </row>
    <row r="868" ht="12.75" customHeight="1">
      <c r="A868" s="100" t="n"/>
      <c r="B868" s="101" t="n"/>
      <c r="C868" s="102" t="n"/>
      <c r="D868" s="99" t="n"/>
      <c r="E868" s="95" t="n"/>
      <c r="F868" s="95" t="n"/>
      <c r="G868" s="94" t="n"/>
      <c r="H868" s="46" t="n"/>
      <c r="I868" s="46" t="n"/>
      <c r="J868" s="46" t="n"/>
      <c r="K868" s="46" t="n"/>
      <c r="L868" s="95" t="n"/>
      <c r="M868" s="95" t="n"/>
      <c r="N868" s="95" t="n"/>
      <c r="O868" s="95" t="n"/>
      <c r="P868" s="95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  <c r="Z868" s="46" t="n"/>
    </row>
    <row r="869" ht="12.75" customHeight="1">
      <c r="A869" s="100" t="n"/>
      <c r="B869" s="101" t="n"/>
      <c r="C869" s="102" t="n"/>
      <c r="D869" s="99" t="n"/>
      <c r="E869" s="95" t="n"/>
      <c r="F869" s="95" t="n"/>
      <c r="G869" s="94" t="n"/>
      <c r="H869" s="46" t="n"/>
      <c r="I869" s="46" t="n"/>
      <c r="J869" s="46" t="n"/>
      <c r="K869" s="46" t="n"/>
      <c r="L869" s="95" t="n"/>
      <c r="M869" s="95" t="n"/>
      <c r="N869" s="95" t="n"/>
      <c r="O869" s="95" t="n"/>
      <c r="P869" s="95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  <c r="Z869" s="46" t="n"/>
    </row>
    <row r="870" ht="12.75" customHeight="1">
      <c r="A870" s="100" t="n"/>
      <c r="B870" s="101" t="n"/>
      <c r="C870" s="102" t="n"/>
      <c r="D870" s="99" t="n"/>
      <c r="E870" s="95" t="n"/>
      <c r="F870" s="95" t="n"/>
      <c r="G870" s="94" t="n"/>
      <c r="H870" s="46" t="n"/>
      <c r="I870" s="46" t="n"/>
      <c r="J870" s="46" t="n"/>
      <c r="K870" s="46" t="n"/>
      <c r="L870" s="95" t="n"/>
      <c r="M870" s="95" t="n"/>
      <c r="N870" s="95" t="n"/>
      <c r="O870" s="95" t="n"/>
      <c r="P870" s="95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  <c r="Z870" s="46" t="n"/>
    </row>
    <row r="871" ht="12.75" customHeight="1">
      <c r="A871" s="100" t="n"/>
      <c r="B871" s="101" t="n"/>
      <c r="C871" s="102" t="n"/>
      <c r="D871" s="99" t="n"/>
      <c r="E871" s="95" t="n"/>
      <c r="F871" s="95" t="n"/>
      <c r="G871" s="94" t="n"/>
      <c r="H871" s="46" t="n"/>
      <c r="I871" s="46" t="n"/>
      <c r="J871" s="46" t="n"/>
      <c r="K871" s="46" t="n"/>
      <c r="L871" s="95" t="n"/>
      <c r="M871" s="95" t="n"/>
      <c r="N871" s="95" t="n"/>
      <c r="O871" s="95" t="n"/>
      <c r="P871" s="95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  <c r="Z871" s="46" t="n"/>
    </row>
    <row r="872" ht="12.75" customHeight="1">
      <c r="A872" s="100" t="n"/>
      <c r="B872" s="101" t="n"/>
      <c r="C872" s="102" t="n"/>
      <c r="D872" s="99" t="n"/>
      <c r="E872" s="95" t="n"/>
      <c r="F872" s="95" t="n"/>
      <c r="G872" s="94" t="n"/>
      <c r="H872" s="46" t="n"/>
      <c r="I872" s="46" t="n"/>
      <c r="J872" s="46" t="n"/>
      <c r="K872" s="46" t="n"/>
      <c r="L872" s="95" t="n"/>
      <c r="M872" s="95" t="n"/>
      <c r="N872" s="95" t="n"/>
      <c r="O872" s="95" t="n"/>
      <c r="P872" s="95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  <c r="Z872" s="46" t="n"/>
    </row>
    <row r="873" ht="12.75" customHeight="1">
      <c r="A873" s="100" t="n"/>
      <c r="B873" s="101" t="n"/>
      <c r="C873" s="102" t="n"/>
      <c r="D873" s="99" t="n"/>
      <c r="E873" s="95" t="n"/>
      <c r="F873" s="95" t="n"/>
      <c r="G873" s="94" t="n"/>
      <c r="H873" s="46" t="n"/>
      <c r="I873" s="46" t="n"/>
      <c r="J873" s="46" t="n"/>
      <c r="K873" s="46" t="n"/>
      <c r="L873" s="95" t="n"/>
      <c r="M873" s="95" t="n"/>
      <c r="N873" s="95" t="n"/>
      <c r="O873" s="95" t="n"/>
      <c r="P873" s="95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  <c r="Z873" s="46" t="n"/>
    </row>
    <row r="874" ht="12.75" customHeight="1">
      <c r="A874" s="100" t="n"/>
      <c r="B874" s="101" t="n"/>
      <c r="C874" s="102" t="n"/>
      <c r="D874" s="99" t="n"/>
      <c r="E874" s="95" t="n"/>
      <c r="F874" s="95" t="n"/>
      <c r="G874" s="94" t="n"/>
      <c r="H874" s="46" t="n"/>
      <c r="I874" s="46" t="n"/>
      <c r="J874" s="46" t="n"/>
      <c r="K874" s="46" t="n"/>
      <c r="L874" s="95" t="n"/>
      <c r="M874" s="95" t="n"/>
      <c r="N874" s="95" t="n"/>
      <c r="O874" s="95" t="n"/>
      <c r="P874" s="95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  <c r="Z874" s="46" t="n"/>
    </row>
    <row r="875" ht="12.75" customHeight="1">
      <c r="A875" s="100" t="n"/>
      <c r="B875" s="101" t="n"/>
      <c r="C875" s="102" t="n"/>
      <c r="D875" s="99" t="n"/>
      <c r="E875" s="95" t="n"/>
      <c r="F875" s="95" t="n"/>
      <c r="G875" s="94" t="n"/>
      <c r="H875" s="46" t="n"/>
      <c r="I875" s="46" t="n"/>
      <c r="J875" s="46" t="n"/>
      <c r="K875" s="46" t="n"/>
      <c r="L875" s="95" t="n"/>
      <c r="M875" s="95" t="n"/>
      <c r="N875" s="95" t="n"/>
      <c r="O875" s="95" t="n"/>
      <c r="P875" s="95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  <c r="Z875" s="46" t="n"/>
    </row>
    <row r="876" ht="12.75" customHeight="1">
      <c r="A876" s="100" t="n"/>
      <c r="B876" s="101" t="n"/>
      <c r="C876" s="102" t="n"/>
      <c r="D876" s="99" t="n"/>
      <c r="E876" s="95" t="n"/>
      <c r="F876" s="95" t="n"/>
      <c r="G876" s="94" t="n"/>
      <c r="H876" s="46" t="n"/>
      <c r="I876" s="46" t="n"/>
      <c r="J876" s="46" t="n"/>
      <c r="K876" s="46" t="n"/>
      <c r="L876" s="95" t="n"/>
      <c r="M876" s="95" t="n"/>
      <c r="N876" s="95" t="n"/>
      <c r="O876" s="95" t="n"/>
      <c r="P876" s="95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  <c r="Z876" s="46" t="n"/>
    </row>
    <row r="877" ht="12.75" customHeight="1">
      <c r="A877" s="100" t="n"/>
      <c r="B877" s="101" t="n"/>
      <c r="C877" s="102" t="n"/>
      <c r="D877" s="99" t="n"/>
      <c r="E877" s="95" t="n"/>
      <c r="F877" s="95" t="n"/>
      <c r="G877" s="94" t="n"/>
      <c r="H877" s="46" t="n"/>
      <c r="I877" s="46" t="n"/>
      <c r="J877" s="46" t="n"/>
      <c r="K877" s="46" t="n"/>
      <c r="L877" s="95" t="n"/>
      <c r="M877" s="95" t="n"/>
      <c r="N877" s="95" t="n"/>
      <c r="O877" s="95" t="n"/>
      <c r="P877" s="95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  <c r="Z877" s="46" t="n"/>
    </row>
    <row r="878" ht="12.75" customHeight="1">
      <c r="A878" s="100" t="n"/>
      <c r="B878" s="101" t="n"/>
      <c r="C878" s="102" t="n"/>
      <c r="D878" s="99" t="n"/>
      <c r="E878" s="95" t="n"/>
      <c r="F878" s="95" t="n"/>
      <c r="G878" s="94" t="n"/>
      <c r="H878" s="46" t="n"/>
      <c r="I878" s="46" t="n"/>
      <c r="J878" s="46" t="n"/>
      <c r="K878" s="46" t="n"/>
      <c r="L878" s="95" t="n"/>
      <c r="M878" s="95" t="n"/>
      <c r="N878" s="95" t="n"/>
      <c r="O878" s="95" t="n"/>
      <c r="P878" s="95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  <c r="Z878" s="46" t="n"/>
    </row>
    <row r="879" ht="12.75" customHeight="1">
      <c r="A879" s="100" t="n"/>
      <c r="B879" s="101" t="n"/>
      <c r="C879" s="102" t="n"/>
      <c r="D879" s="99" t="n"/>
      <c r="E879" s="95" t="n"/>
      <c r="F879" s="95" t="n"/>
      <c r="G879" s="94" t="n"/>
      <c r="H879" s="46" t="n"/>
      <c r="I879" s="46" t="n"/>
      <c r="J879" s="46" t="n"/>
      <c r="K879" s="46" t="n"/>
      <c r="L879" s="95" t="n"/>
      <c r="M879" s="95" t="n"/>
      <c r="N879" s="95" t="n"/>
      <c r="O879" s="95" t="n"/>
      <c r="P879" s="95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  <c r="Z879" s="46" t="n"/>
    </row>
    <row r="880" ht="12.75" customHeight="1">
      <c r="A880" s="100" t="n"/>
      <c r="B880" s="101" t="n"/>
      <c r="C880" s="102" t="n"/>
      <c r="D880" s="99" t="n"/>
      <c r="E880" s="95" t="n"/>
      <c r="F880" s="95" t="n"/>
      <c r="G880" s="94" t="n"/>
      <c r="H880" s="46" t="n"/>
      <c r="I880" s="46" t="n"/>
      <c r="J880" s="46" t="n"/>
      <c r="K880" s="46" t="n"/>
      <c r="L880" s="95" t="n"/>
      <c r="M880" s="95" t="n"/>
      <c r="N880" s="95" t="n"/>
      <c r="O880" s="95" t="n"/>
      <c r="P880" s="95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  <c r="Z880" s="46" t="n"/>
    </row>
    <row r="881" ht="12.75" customHeight="1">
      <c r="A881" s="100" t="n"/>
      <c r="B881" s="101" t="n"/>
      <c r="C881" s="102" t="n"/>
      <c r="D881" s="99" t="n"/>
      <c r="E881" s="95" t="n"/>
      <c r="F881" s="95" t="n"/>
      <c r="G881" s="94" t="n"/>
      <c r="H881" s="46" t="n"/>
      <c r="I881" s="46" t="n"/>
      <c r="J881" s="46" t="n"/>
      <c r="K881" s="46" t="n"/>
      <c r="L881" s="95" t="n"/>
      <c r="M881" s="95" t="n"/>
      <c r="N881" s="95" t="n"/>
      <c r="O881" s="95" t="n"/>
      <c r="P881" s="95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  <c r="Z881" s="46" t="n"/>
    </row>
    <row r="882" ht="12.75" customHeight="1">
      <c r="A882" s="100" t="n"/>
      <c r="B882" s="101" t="n"/>
      <c r="C882" s="102" t="n"/>
      <c r="D882" s="99" t="n"/>
      <c r="E882" s="95" t="n"/>
      <c r="F882" s="95" t="n"/>
      <c r="G882" s="94" t="n"/>
      <c r="H882" s="46" t="n"/>
      <c r="I882" s="46" t="n"/>
      <c r="J882" s="46" t="n"/>
      <c r="K882" s="46" t="n"/>
      <c r="L882" s="95" t="n"/>
      <c r="M882" s="95" t="n"/>
      <c r="N882" s="95" t="n"/>
      <c r="O882" s="95" t="n"/>
      <c r="P882" s="95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  <c r="Z882" s="46" t="n"/>
    </row>
    <row r="883" ht="12.75" customHeight="1">
      <c r="A883" s="100" t="n"/>
      <c r="B883" s="101" t="n"/>
      <c r="C883" s="102" t="n"/>
      <c r="D883" s="99" t="n"/>
      <c r="E883" s="95" t="n"/>
      <c r="F883" s="95" t="n"/>
      <c r="G883" s="94" t="n"/>
      <c r="H883" s="46" t="n"/>
      <c r="I883" s="46" t="n"/>
      <c r="J883" s="46" t="n"/>
      <c r="K883" s="46" t="n"/>
      <c r="L883" s="95" t="n"/>
      <c r="M883" s="95" t="n"/>
      <c r="N883" s="95" t="n"/>
      <c r="O883" s="95" t="n"/>
      <c r="P883" s="95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  <c r="Z883" s="46" t="n"/>
    </row>
    <row r="884" ht="12.75" customHeight="1">
      <c r="A884" s="100" t="n"/>
      <c r="B884" s="101" t="n"/>
      <c r="C884" s="102" t="n"/>
      <c r="D884" s="99" t="n"/>
      <c r="E884" s="95" t="n"/>
      <c r="F884" s="95" t="n"/>
      <c r="G884" s="94" t="n"/>
      <c r="H884" s="46" t="n"/>
      <c r="I884" s="46" t="n"/>
      <c r="J884" s="46" t="n"/>
      <c r="K884" s="46" t="n"/>
      <c r="L884" s="95" t="n"/>
      <c r="M884" s="95" t="n"/>
      <c r="N884" s="95" t="n"/>
      <c r="O884" s="95" t="n"/>
      <c r="P884" s="95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  <c r="Z884" s="46" t="n"/>
    </row>
    <row r="885" ht="12.75" customHeight="1">
      <c r="A885" s="100" t="n"/>
      <c r="B885" s="101" t="n"/>
      <c r="C885" s="102" t="n"/>
      <c r="D885" s="99" t="n"/>
      <c r="E885" s="95" t="n"/>
      <c r="F885" s="95" t="n"/>
      <c r="G885" s="94" t="n"/>
      <c r="H885" s="46" t="n"/>
      <c r="I885" s="46" t="n"/>
      <c r="J885" s="46" t="n"/>
      <c r="K885" s="46" t="n"/>
      <c r="L885" s="95" t="n"/>
      <c r="M885" s="95" t="n"/>
      <c r="N885" s="95" t="n"/>
      <c r="O885" s="95" t="n"/>
      <c r="P885" s="95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  <c r="Z885" s="46" t="n"/>
    </row>
    <row r="886" ht="12.75" customHeight="1">
      <c r="A886" s="100" t="n"/>
      <c r="B886" s="101" t="n"/>
      <c r="C886" s="102" t="n"/>
      <c r="D886" s="99" t="n"/>
      <c r="E886" s="95" t="n"/>
      <c r="F886" s="95" t="n"/>
      <c r="G886" s="94" t="n"/>
      <c r="H886" s="46" t="n"/>
      <c r="I886" s="46" t="n"/>
      <c r="J886" s="46" t="n"/>
      <c r="K886" s="46" t="n"/>
      <c r="L886" s="95" t="n"/>
      <c r="M886" s="95" t="n"/>
      <c r="N886" s="95" t="n"/>
      <c r="O886" s="95" t="n"/>
      <c r="P886" s="95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  <c r="Z886" s="46" t="n"/>
    </row>
    <row r="887" ht="12.75" customHeight="1">
      <c r="A887" s="100" t="n"/>
      <c r="B887" s="101" t="n"/>
      <c r="C887" s="102" t="n"/>
      <c r="D887" s="99" t="n"/>
      <c r="E887" s="95" t="n"/>
      <c r="F887" s="95" t="n"/>
      <c r="G887" s="94" t="n"/>
      <c r="H887" s="46" t="n"/>
      <c r="I887" s="46" t="n"/>
      <c r="J887" s="46" t="n"/>
      <c r="K887" s="46" t="n"/>
      <c r="L887" s="95" t="n"/>
      <c r="M887" s="95" t="n"/>
      <c r="N887" s="95" t="n"/>
      <c r="O887" s="95" t="n"/>
      <c r="P887" s="95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  <c r="Z887" s="46" t="n"/>
    </row>
    <row r="888" ht="12.75" customHeight="1">
      <c r="A888" s="100" t="n"/>
      <c r="B888" s="101" t="n"/>
      <c r="C888" s="102" t="n"/>
      <c r="D888" s="99" t="n"/>
      <c r="E888" s="95" t="n"/>
      <c r="F888" s="95" t="n"/>
      <c r="G888" s="94" t="n"/>
      <c r="H888" s="46" t="n"/>
      <c r="I888" s="46" t="n"/>
      <c r="J888" s="46" t="n"/>
      <c r="K888" s="46" t="n"/>
      <c r="L888" s="95" t="n"/>
      <c r="M888" s="95" t="n"/>
      <c r="N888" s="95" t="n"/>
      <c r="O888" s="95" t="n"/>
      <c r="P888" s="95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  <c r="Z888" s="46" t="n"/>
    </row>
    <row r="889" ht="12.75" customHeight="1">
      <c r="A889" s="100" t="n"/>
      <c r="B889" s="101" t="n"/>
      <c r="C889" s="102" t="n"/>
      <c r="D889" s="99" t="n"/>
      <c r="E889" s="95" t="n"/>
      <c r="F889" s="95" t="n"/>
      <c r="G889" s="94" t="n"/>
      <c r="H889" s="46" t="n"/>
      <c r="I889" s="46" t="n"/>
      <c r="J889" s="46" t="n"/>
      <c r="K889" s="46" t="n"/>
      <c r="L889" s="95" t="n"/>
      <c r="M889" s="95" t="n"/>
      <c r="N889" s="95" t="n"/>
      <c r="O889" s="95" t="n"/>
      <c r="P889" s="95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  <c r="Z889" s="46" t="n"/>
    </row>
    <row r="890" ht="12.75" customHeight="1">
      <c r="A890" s="100" t="n"/>
      <c r="B890" s="101" t="n"/>
      <c r="C890" s="102" t="n"/>
      <c r="D890" s="99" t="n"/>
      <c r="E890" s="95" t="n"/>
      <c r="F890" s="95" t="n"/>
      <c r="G890" s="94" t="n"/>
      <c r="H890" s="46" t="n"/>
      <c r="I890" s="46" t="n"/>
      <c r="J890" s="46" t="n"/>
      <c r="K890" s="46" t="n"/>
      <c r="L890" s="95" t="n"/>
      <c r="M890" s="95" t="n"/>
      <c r="N890" s="95" t="n"/>
      <c r="O890" s="95" t="n"/>
      <c r="P890" s="95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  <c r="Z890" s="46" t="n"/>
    </row>
    <row r="891" ht="12.75" customHeight="1">
      <c r="A891" s="100" t="n"/>
      <c r="B891" s="101" t="n"/>
      <c r="C891" s="102" t="n"/>
      <c r="D891" s="99" t="n"/>
      <c r="E891" s="95" t="n"/>
      <c r="F891" s="95" t="n"/>
      <c r="G891" s="94" t="n"/>
      <c r="H891" s="46" t="n"/>
      <c r="I891" s="46" t="n"/>
      <c r="J891" s="46" t="n"/>
      <c r="K891" s="46" t="n"/>
      <c r="L891" s="95" t="n"/>
      <c r="M891" s="95" t="n"/>
      <c r="N891" s="95" t="n"/>
      <c r="O891" s="95" t="n"/>
      <c r="P891" s="95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  <c r="Z891" s="46" t="n"/>
    </row>
    <row r="892" ht="12.75" customHeight="1">
      <c r="A892" s="100" t="n"/>
      <c r="B892" s="101" t="n"/>
      <c r="C892" s="102" t="n"/>
      <c r="D892" s="99" t="n"/>
      <c r="E892" s="95" t="n"/>
      <c r="F892" s="95" t="n"/>
      <c r="G892" s="94" t="n"/>
      <c r="H892" s="46" t="n"/>
      <c r="I892" s="46" t="n"/>
      <c r="J892" s="46" t="n"/>
      <c r="K892" s="46" t="n"/>
      <c r="L892" s="95" t="n"/>
      <c r="M892" s="95" t="n"/>
      <c r="N892" s="95" t="n"/>
      <c r="O892" s="95" t="n"/>
      <c r="P892" s="95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  <c r="Z892" s="46" t="n"/>
    </row>
    <row r="893" ht="12.75" customHeight="1">
      <c r="A893" s="100" t="n"/>
      <c r="B893" s="101" t="n"/>
      <c r="C893" s="102" t="n"/>
      <c r="D893" s="99" t="n"/>
      <c r="E893" s="95" t="n"/>
      <c r="F893" s="95" t="n"/>
      <c r="G893" s="94" t="n"/>
      <c r="H893" s="46" t="n"/>
      <c r="I893" s="46" t="n"/>
      <c r="J893" s="46" t="n"/>
      <c r="K893" s="46" t="n"/>
      <c r="L893" s="95" t="n"/>
      <c r="M893" s="95" t="n"/>
      <c r="N893" s="95" t="n"/>
      <c r="O893" s="95" t="n"/>
      <c r="P893" s="95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  <c r="Z893" s="46" t="n"/>
    </row>
    <row r="894" ht="12.75" customHeight="1">
      <c r="A894" s="100" t="n"/>
      <c r="B894" s="101" t="n"/>
      <c r="C894" s="102" t="n"/>
      <c r="D894" s="99" t="n"/>
      <c r="E894" s="95" t="n"/>
      <c r="F894" s="95" t="n"/>
      <c r="G894" s="94" t="n"/>
      <c r="H894" s="46" t="n"/>
      <c r="I894" s="46" t="n"/>
      <c r="J894" s="46" t="n"/>
      <c r="K894" s="46" t="n"/>
      <c r="L894" s="95" t="n"/>
      <c r="M894" s="95" t="n"/>
      <c r="N894" s="95" t="n"/>
      <c r="O894" s="95" t="n"/>
      <c r="P894" s="95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  <c r="Z894" s="46" t="n"/>
    </row>
    <row r="895" ht="12.75" customHeight="1">
      <c r="A895" s="100" t="n"/>
      <c r="B895" s="101" t="n"/>
      <c r="C895" s="102" t="n"/>
      <c r="D895" s="99" t="n"/>
      <c r="E895" s="95" t="n"/>
      <c r="F895" s="95" t="n"/>
      <c r="G895" s="94" t="n"/>
      <c r="H895" s="46" t="n"/>
      <c r="I895" s="46" t="n"/>
      <c r="J895" s="46" t="n"/>
      <c r="K895" s="46" t="n"/>
      <c r="L895" s="95" t="n"/>
      <c r="M895" s="95" t="n"/>
      <c r="N895" s="95" t="n"/>
      <c r="O895" s="95" t="n"/>
      <c r="P895" s="95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  <c r="Z895" s="46" t="n"/>
    </row>
    <row r="896" ht="12.75" customHeight="1">
      <c r="A896" s="100" t="n"/>
      <c r="B896" s="101" t="n"/>
      <c r="C896" s="102" t="n"/>
      <c r="D896" s="99" t="n"/>
      <c r="E896" s="95" t="n"/>
      <c r="F896" s="95" t="n"/>
      <c r="G896" s="94" t="n"/>
      <c r="H896" s="46" t="n"/>
      <c r="I896" s="46" t="n"/>
      <c r="J896" s="46" t="n"/>
      <c r="K896" s="46" t="n"/>
      <c r="L896" s="95" t="n"/>
      <c r="M896" s="95" t="n"/>
      <c r="N896" s="95" t="n"/>
      <c r="O896" s="95" t="n"/>
      <c r="P896" s="95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  <c r="Z896" s="46" t="n"/>
    </row>
    <row r="897" ht="12.75" customHeight="1">
      <c r="A897" s="100" t="n"/>
      <c r="B897" s="101" t="n"/>
      <c r="C897" s="102" t="n"/>
      <c r="D897" s="99" t="n"/>
      <c r="E897" s="95" t="n"/>
      <c r="F897" s="95" t="n"/>
      <c r="G897" s="94" t="n"/>
      <c r="H897" s="46" t="n"/>
      <c r="I897" s="46" t="n"/>
      <c r="J897" s="46" t="n"/>
      <c r="K897" s="46" t="n"/>
      <c r="L897" s="95" t="n"/>
      <c r="M897" s="95" t="n"/>
      <c r="N897" s="95" t="n"/>
      <c r="O897" s="95" t="n"/>
      <c r="P897" s="95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  <c r="Z897" s="46" t="n"/>
    </row>
    <row r="898" ht="12.75" customHeight="1">
      <c r="A898" s="100" t="n"/>
      <c r="B898" s="101" t="n"/>
      <c r="C898" s="102" t="n"/>
      <c r="D898" s="99" t="n"/>
      <c r="E898" s="95" t="n"/>
      <c r="F898" s="95" t="n"/>
      <c r="G898" s="94" t="n"/>
      <c r="H898" s="46" t="n"/>
      <c r="I898" s="46" t="n"/>
      <c r="J898" s="46" t="n"/>
      <c r="K898" s="46" t="n"/>
      <c r="L898" s="95" t="n"/>
      <c r="M898" s="95" t="n"/>
      <c r="N898" s="95" t="n"/>
      <c r="O898" s="95" t="n"/>
      <c r="P898" s="95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  <c r="Z898" s="46" t="n"/>
    </row>
    <row r="899" ht="12.75" customHeight="1">
      <c r="A899" s="100" t="n"/>
      <c r="B899" s="101" t="n"/>
      <c r="C899" s="102" t="n"/>
      <c r="D899" s="99" t="n"/>
      <c r="E899" s="95" t="n"/>
      <c r="F899" s="95" t="n"/>
      <c r="G899" s="94" t="n"/>
      <c r="H899" s="46" t="n"/>
      <c r="I899" s="46" t="n"/>
      <c r="J899" s="46" t="n"/>
      <c r="K899" s="46" t="n"/>
      <c r="L899" s="95" t="n"/>
      <c r="M899" s="95" t="n"/>
      <c r="N899" s="95" t="n"/>
      <c r="O899" s="95" t="n"/>
      <c r="P899" s="95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  <c r="Z899" s="46" t="n"/>
    </row>
    <row r="900" ht="12.75" customHeight="1">
      <c r="A900" s="100" t="n"/>
      <c r="B900" s="101" t="n"/>
      <c r="C900" s="102" t="n"/>
      <c r="D900" s="99" t="n"/>
      <c r="E900" s="95" t="n"/>
      <c r="F900" s="95" t="n"/>
      <c r="G900" s="94" t="n"/>
      <c r="H900" s="46" t="n"/>
      <c r="I900" s="46" t="n"/>
      <c r="J900" s="46" t="n"/>
      <c r="K900" s="46" t="n"/>
      <c r="L900" s="95" t="n"/>
      <c r="M900" s="95" t="n"/>
      <c r="N900" s="95" t="n"/>
      <c r="O900" s="95" t="n"/>
      <c r="P900" s="95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  <c r="Z900" s="46" t="n"/>
    </row>
    <row r="901" ht="12.75" customHeight="1">
      <c r="A901" s="100" t="n"/>
      <c r="B901" s="101" t="n"/>
      <c r="C901" s="102" t="n"/>
      <c r="D901" s="99" t="n"/>
      <c r="E901" s="95" t="n"/>
      <c r="F901" s="95" t="n"/>
      <c r="G901" s="94" t="n"/>
      <c r="H901" s="46" t="n"/>
      <c r="I901" s="46" t="n"/>
      <c r="J901" s="46" t="n"/>
      <c r="K901" s="46" t="n"/>
      <c r="L901" s="95" t="n"/>
      <c r="M901" s="95" t="n"/>
      <c r="N901" s="95" t="n"/>
      <c r="O901" s="95" t="n"/>
      <c r="P901" s="95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  <c r="Z901" s="46" t="n"/>
    </row>
    <row r="902" ht="12.75" customHeight="1">
      <c r="A902" s="100" t="n"/>
      <c r="B902" s="101" t="n"/>
      <c r="C902" s="102" t="n"/>
      <c r="D902" s="99" t="n"/>
      <c r="E902" s="95" t="n"/>
      <c r="F902" s="95" t="n"/>
      <c r="G902" s="94" t="n"/>
      <c r="H902" s="46" t="n"/>
      <c r="I902" s="46" t="n"/>
      <c r="J902" s="46" t="n"/>
      <c r="K902" s="46" t="n"/>
      <c r="L902" s="95" t="n"/>
      <c r="M902" s="95" t="n"/>
      <c r="N902" s="95" t="n"/>
      <c r="O902" s="95" t="n"/>
      <c r="P902" s="95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  <c r="Z902" s="46" t="n"/>
    </row>
    <row r="903" ht="12.75" customHeight="1">
      <c r="A903" s="100" t="n"/>
      <c r="B903" s="101" t="n"/>
      <c r="C903" s="102" t="n"/>
      <c r="D903" s="99" t="n"/>
      <c r="E903" s="95" t="n"/>
      <c r="F903" s="95" t="n"/>
      <c r="G903" s="94" t="n"/>
      <c r="H903" s="46" t="n"/>
      <c r="I903" s="46" t="n"/>
      <c r="J903" s="46" t="n"/>
      <c r="K903" s="46" t="n"/>
      <c r="L903" s="95" t="n"/>
      <c r="M903" s="95" t="n"/>
      <c r="N903" s="95" t="n"/>
      <c r="O903" s="95" t="n"/>
      <c r="P903" s="95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  <c r="Z903" s="46" t="n"/>
    </row>
    <row r="904" ht="12.75" customHeight="1">
      <c r="A904" s="100" t="n"/>
      <c r="B904" s="101" t="n"/>
      <c r="C904" s="102" t="n"/>
      <c r="D904" s="99" t="n"/>
      <c r="E904" s="95" t="n"/>
      <c r="F904" s="95" t="n"/>
      <c r="G904" s="94" t="n"/>
      <c r="H904" s="46" t="n"/>
      <c r="I904" s="46" t="n"/>
      <c r="J904" s="46" t="n"/>
      <c r="K904" s="46" t="n"/>
      <c r="L904" s="95" t="n"/>
      <c r="M904" s="95" t="n"/>
      <c r="N904" s="95" t="n"/>
      <c r="O904" s="95" t="n"/>
      <c r="P904" s="95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  <c r="Z904" s="46" t="n"/>
    </row>
    <row r="905" ht="12.75" customHeight="1">
      <c r="A905" s="100" t="n"/>
      <c r="B905" s="101" t="n"/>
      <c r="C905" s="102" t="n"/>
      <c r="D905" s="99" t="n"/>
      <c r="E905" s="95" t="n"/>
      <c r="F905" s="95" t="n"/>
      <c r="G905" s="94" t="n"/>
      <c r="H905" s="46" t="n"/>
      <c r="I905" s="46" t="n"/>
      <c r="J905" s="46" t="n"/>
      <c r="K905" s="46" t="n"/>
      <c r="L905" s="95" t="n"/>
      <c r="M905" s="95" t="n"/>
      <c r="N905" s="95" t="n"/>
      <c r="O905" s="95" t="n"/>
      <c r="P905" s="95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  <c r="Z905" s="46" t="n"/>
    </row>
    <row r="906" ht="12.75" customHeight="1">
      <c r="A906" s="100" t="n"/>
      <c r="B906" s="101" t="n"/>
      <c r="C906" s="102" t="n"/>
      <c r="D906" s="99" t="n"/>
      <c r="E906" s="95" t="n"/>
      <c r="F906" s="95" t="n"/>
      <c r="G906" s="94" t="n"/>
      <c r="H906" s="46" t="n"/>
      <c r="I906" s="46" t="n"/>
      <c r="J906" s="46" t="n"/>
      <c r="K906" s="46" t="n"/>
      <c r="L906" s="95" t="n"/>
      <c r="M906" s="95" t="n"/>
      <c r="N906" s="95" t="n"/>
      <c r="O906" s="95" t="n"/>
      <c r="P906" s="95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  <c r="Z906" s="46" t="n"/>
    </row>
    <row r="907" ht="12.75" customHeight="1">
      <c r="A907" s="100" t="n"/>
      <c r="B907" s="101" t="n"/>
      <c r="C907" s="102" t="n"/>
      <c r="D907" s="99" t="n"/>
      <c r="E907" s="95" t="n"/>
      <c r="F907" s="95" t="n"/>
      <c r="G907" s="94" t="n"/>
      <c r="H907" s="46" t="n"/>
      <c r="I907" s="46" t="n"/>
      <c r="J907" s="46" t="n"/>
      <c r="K907" s="46" t="n"/>
      <c r="L907" s="95" t="n"/>
      <c r="M907" s="95" t="n"/>
      <c r="N907" s="95" t="n"/>
      <c r="O907" s="95" t="n"/>
      <c r="P907" s="95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  <c r="Z907" s="46" t="n"/>
    </row>
    <row r="908" ht="12.75" customHeight="1">
      <c r="A908" s="100" t="n"/>
      <c r="B908" s="101" t="n"/>
      <c r="C908" s="102" t="n"/>
      <c r="D908" s="99" t="n"/>
      <c r="E908" s="95" t="n"/>
      <c r="F908" s="95" t="n"/>
      <c r="G908" s="94" t="n"/>
      <c r="H908" s="46" t="n"/>
      <c r="I908" s="46" t="n"/>
      <c r="J908" s="46" t="n"/>
      <c r="K908" s="46" t="n"/>
      <c r="L908" s="95" t="n"/>
      <c r="M908" s="95" t="n"/>
      <c r="N908" s="95" t="n"/>
      <c r="O908" s="95" t="n"/>
      <c r="P908" s="95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  <c r="Z908" s="46" t="n"/>
    </row>
    <row r="909" ht="12.75" customHeight="1">
      <c r="A909" s="100" t="n"/>
      <c r="B909" s="101" t="n"/>
      <c r="C909" s="102" t="n"/>
      <c r="D909" s="99" t="n"/>
      <c r="E909" s="95" t="n"/>
      <c r="F909" s="95" t="n"/>
      <c r="G909" s="94" t="n"/>
      <c r="H909" s="46" t="n"/>
      <c r="I909" s="46" t="n"/>
      <c r="J909" s="46" t="n"/>
      <c r="K909" s="46" t="n"/>
      <c r="L909" s="95" t="n"/>
      <c r="M909" s="95" t="n"/>
      <c r="N909" s="95" t="n"/>
      <c r="O909" s="95" t="n"/>
      <c r="P909" s="95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  <c r="Z909" s="46" t="n"/>
    </row>
    <row r="910" ht="12.75" customHeight="1">
      <c r="A910" s="100" t="n"/>
      <c r="B910" s="101" t="n"/>
      <c r="C910" s="102" t="n"/>
      <c r="D910" s="99" t="n"/>
      <c r="E910" s="95" t="n"/>
      <c r="F910" s="95" t="n"/>
      <c r="G910" s="94" t="n"/>
      <c r="H910" s="46" t="n"/>
      <c r="I910" s="46" t="n"/>
      <c r="J910" s="46" t="n"/>
      <c r="K910" s="46" t="n"/>
      <c r="L910" s="95" t="n"/>
      <c r="M910" s="95" t="n"/>
      <c r="N910" s="95" t="n"/>
      <c r="O910" s="95" t="n"/>
      <c r="P910" s="95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  <c r="Z910" s="46" t="n"/>
    </row>
    <row r="911" ht="12.75" customHeight="1">
      <c r="A911" s="100" t="n"/>
      <c r="B911" s="101" t="n"/>
      <c r="C911" s="102" t="n"/>
      <c r="D911" s="99" t="n"/>
      <c r="E911" s="95" t="n"/>
      <c r="F911" s="95" t="n"/>
      <c r="G911" s="94" t="n"/>
      <c r="H911" s="46" t="n"/>
      <c r="I911" s="46" t="n"/>
      <c r="J911" s="46" t="n"/>
      <c r="K911" s="46" t="n"/>
      <c r="L911" s="95" t="n"/>
      <c r="M911" s="95" t="n"/>
      <c r="N911" s="95" t="n"/>
      <c r="O911" s="95" t="n"/>
      <c r="P911" s="95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  <c r="Z911" s="46" t="n"/>
    </row>
    <row r="912" ht="12.75" customHeight="1">
      <c r="A912" s="100" t="n"/>
      <c r="B912" s="101" t="n"/>
      <c r="C912" s="102" t="n"/>
      <c r="D912" s="99" t="n"/>
      <c r="E912" s="95" t="n"/>
      <c r="F912" s="95" t="n"/>
      <c r="G912" s="94" t="n"/>
      <c r="H912" s="46" t="n"/>
      <c r="I912" s="46" t="n"/>
      <c r="J912" s="46" t="n"/>
      <c r="K912" s="46" t="n"/>
      <c r="L912" s="95" t="n"/>
      <c r="M912" s="95" t="n"/>
      <c r="N912" s="95" t="n"/>
      <c r="O912" s="95" t="n"/>
      <c r="P912" s="95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  <c r="Z912" s="46" t="n"/>
    </row>
    <row r="913" ht="12.75" customHeight="1">
      <c r="A913" s="100" t="n"/>
      <c r="B913" s="101" t="n"/>
      <c r="C913" s="102" t="n"/>
      <c r="D913" s="99" t="n"/>
      <c r="E913" s="95" t="n"/>
      <c r="F913" s="95" t="n"/>
      <c r="G913" s="94" t="n"/>
      <c r="H913" s="46" t="n"/>
      <c r="I913" s="46" t="n"/>
      <c r="J913" s="46" t="n"/>
      <c r="K913" s="46" t="n"/>
      <c r="L913" s="95" t="n"/>
      <c r="M913" s="95" t="n"/>
      <c r="N913" s="95" t="n"/>
      <c r="O913" s="95" t="n"/>
      <c r="P913" s="95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  <c r="Z913" s="46" t="n"/>
    </row>
    <row r="914" ht="12.75" customHeight="1">
      <c r="A914" s="100" t="n"/>
      <c r="B914" s="101" t="n"/>
      <c r="C914" s="102" t="n"/>
      <c r="D914" s="99" t="n"/>
      <c r="E914" s="95" t="n"/>
      <c r="F914" s="95" t="n"/>
      <c r="G914" s="94" t="n"/>
      <c r="H914" s="46" t="n"/>
      <c r="I914" s="46" t="n"/>
      <c r="J914" s="46" t="n"/>
      <c r="K914" s="46" t="n"/>
      <c r="L914" s="95" t="n"/>
      <c r="M914" s="95" t="n"/>
      <c r="N914" s="95" t="n"/>
      <c r="O914" s="95" t="n"/>
      <c r="P914" s="95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  <c r="Z914" s="46" t="n"/>
    </row>
    <row r="915" ht="12.75" customHeight="1">
      <c r="A915" s="100" t="n"/>
      <c r="B915" s="101" t="n"/>
      <c r="C915" s="102" t="n"/>
      <c r="D915" s="99" t="n"/>
      <c r="E915" s="95" t="n"/>
      <c r="F915" s="95" t="n"/>
      <c r="G915" s="94" t="n"/>
      <c r="H915" s="46" t="n"/>
      <c r="I915" s="46" t="n"/>
      <c r="J915" s="46" t="n"/>
      <c r="K915" s="46" t="n"/>
      <c r="L915" s="95" t="n"/>
      <c r="M915" s="95" t="n"/>
      <c r="N915" s="95" t="n"/>
      <c r="O915" s="95" t="n"/>
      <c r="P915" s="95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  <c r="Z915" s="46" t="n"/>
    </row>
    <row r="916" ht="12.75" customHeight="1">
      <c r="A916" s="100" t="n"/>
      <c r="B916" s="101" t="n"/>
      <c r="C916" s="102" t="n"/>
      <c r="D916" s="99" t="n"/>
      <c r="E916" s="95" t="n"/>
      <c r="F916" s="95" t="n"/>
      <c r="G916" s="94" t="n"/>
      <c r="H916" s="46" t="n"/>
      <c r="I916" s="46" t="n"/>
      <c r="J916" s="46" t="n"/>
      <c r="K916" s="46" t="n"/>
      <c r="L916" s="95" t="n"/>
      <c r="M916" s="95" t="n"/>
      <c r="N916" s="95" t="n"/>
      <c r="O916" s="95" t="n"/>
      <c r="P916" s="95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  <c r="Z916" s="46" t="n"/>
    </row>
    <row r="917" ht="12.75" customHeight="1">
      <c r="A917" s="100" t="n"/>
      <c r="B917" s="101" t="n"/>
      <c r="C917" s="102" t="n"/>
      <c r="D917" s="99" t="n"/>
      <c r="E917" s="95" t="n"/>
      <c r="F917" s="95" t="n"/>
      <c r="G917" s="94" t="n"/>
      <c r="H917" s="46" t="n"/>
      <c r="I917" s="46" t="n"/>
      <c r="J917" s="46" t="n"/>
      <c r="K917" s="46" t="n"/>
      <c r="L917" s="95" t="n"/>
      <c r="M917" s="95" t="n"/>
      <c r="N917" s="95" t="n"/>
      <c r="O917" s="95" t="n"/>
      <c r="P917" s="95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  <c r="Z917" s="46" t="n"/>
    </row>
    <row r="918" ht="12.75" customHeight="1">
      <c r="A918" s="100" t="n"/>
      <c r="B918" s="101" t="n"/>
      <c r="C918" s="102" t="n"/>
      <c r="D918" s="99" t="n"/>
      <c r="E918" s="95" t="n"/>
      <c r="F918" s="95" t="n"/>
      <c r="G918" s="94" t="n"/>
      <c r="H918" s="46" t="n"/>
      <c r="I918" s="46" t="n"/>
      <c r="J918" s="46" t="n"/>
      <c r="K918" s="46" t="n"/>
      <c r="L918" s="95" t="n"/>
      <c r="M918" s="95" t="n"/>
      <c r="N918" s="95" t="n"/>
      <c r="O918" s="95" t="n"/>
      <c r="P918" s="95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  <c r="Z918" s="46" t="n"/>
    </row>
    <row r="919" ht="12.75" customHeight="1">
      <c r="A919" s="100" t="n"/>
      <c r="B919" s="101" t="n"/>
      <c r="C919" s="102" t="n"/>
      <c r="D919" s="99" t="n"/>
      <c r="E919" s="95" t="n"/>
      <c r="F919" s="95" t="n"/>
      <c r="G919" s="94" t="n"/>
      <c r="H919" s="46" t="n"/>
      <c r="I919" s="46" t="n"/>
      <c r="J919" s="46" t="n"/>
      <c r="K919" s="46" t="n"/>
      <c r="L919" s="95" t="n"/>
      <c r="M919" s="95" t="n"/>
      <c r="N919" s="95" t="n"/>
      <c r="O919" s="95" t="n"/>
      <c r="P919" s="95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  <c r="Z919" s="46" t="n"/>
    </row>
    <row r="920" ht="12.75" customHeight="1">
      <c r="A920" s="100" t="n"/>
      <c r="B920" s="101" t="n"/>
      <c r="C920" s="102" t="n"/>
      <c r="D920" s="99" t="n"/>
      <c r="E920" s="95" t="n"/>
      <c r="F920" s="95" t="n"/>
      <c r="G920" s="94" t="n"/>
      <c r="H920" s="46" t="n"/>
      <c r="I920" s="46" t="n"/>
      <c r="J920" s="46" t="n"/>
      <c r="K920" s="46" t="n"/>
      <c r="L920" s="95" t="n"/>
      <c r="M920" s="95" t="n"/>
      <c r="N920" s="95" t="n"/>
      <c r="O920" s="95" t="n"/>
      <c r="P920" s="95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  <c r="Z920" s="46" t="n"/>
    </row>
    <row r="921" ht="12.75" customHeight="1">
      <c r="A921" s="100" t="n"/>
      <c r="B921" s="101" t="n"/>
      <c r="C921" s="102" t="n"/>
      <c r="D921" s="99" t="n"/>
      <c r="E921" s="95" t="n"/>
      <c r="F921" s="95" t="n"/>
      <c r="G921" s="94" t="n"/>
      <c r="H921" s="46" t="n"/>
      <c r="I921" s="46" t="n"/>
      <c r="J921" s="46" t="n"/>
      <c r="K921" s="46" t="n"/>
      <c r="L921" s="95" t="n"/>
      <c r="M921" s="95" t="n"/>
      <c r="N921" s="95" t="n"/>
      <c r="O921" s="95" t="n"/>
      <c r="P921" s="95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  <c r="Z921" s="46" t="n"/>
    </row>
    <row r="922" ht="12.75" customHeight="1">
      <c r="A922" s="100" t="n"/>
      <c r="B922" s="101" t="n"/>
      <c r="C922" s="102" t="n"/>
      <c r="D922" s="99" t="n"/>
      <c r="E922" s="95" t="n"/>
      <c r="F922" s="95" t="n"/>
      <c r="G922" s="94" t="n"/>
      <c r="H922" s="46" t="n"/>
      <c r="I922" s="46" t="n"/>
      <c r="J922" s="46" t="n"/>
      <c r="K922" s="46" t="n"/>
      <c r="L922" s="95" t="n"/>
      <c r="M922" s="95" t="n"/>
      <c r="N922" s="95" t="n"/>
      <c r="O922" s="95" t="n"/>
      <c r="P922" s="95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  <c r="Z922" s="46" t="n"/>
    </row>
    <row r="923" ht="12.75" customHeight="1">
      <c r="A923" s="100" t="n"/>
      <c r="B923" s="101" t="n"/>
      <c r="C923" s="102" t="n"/>
      <c r="D923" s="99" t="n"/>
      <c r="E923" s="95" t="n"/>
      <c r="F923" s="95" t="n"/>
      <c r="G923" s="94" t="n"/>
      <c r="H923" s="46" t="n"/>
      <c r="I923" s="46" t="n"/>
      <c r="J923" s="46" t="n"/>
      <c r="K923" s="46" t="n"/>
      <c r="L923" s="95" t="n"/>
      <c r="M923" s="95" t="n"/>
      <c r="N923" s="95" t="n"/>
      <c r="O923" s="95" t="n"/>
      <c r="P923" s="95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  <c r="Z923" s="46" t="n"/>
    </row>
    <row r="924" ht="12.75" customHeight="1">
      <c r="A924" s="100" t="n"/>
      <c r="B924" s="101" t="n"/>
      <c r="C924" s="102" t="n"/>
      <c r="D924" s="99" t="n"/>
      <c r="E924" s="95" t="n"/>
      <c r="F924" s="95" t="n"/>
      <c r="G924" s="94" t="n"/>
      <c r="H924" s="46" t="n"/>
      <c r="I924" s="46" t="n"/>
      <c r="J924" s="46" t="n"/>
      <c r="K924" s="46" t="n"/>
      <c r="L924" s="95" t="n"/>
      <c r="M924" s="95" t="n"/>
      <c r="N924" s="95" t="n"/>
      <c r="O924" s="95" t="n"/>
      <c r="P924" s="95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  <c r="Z924" s="46" t="n"/>
    </row>
    <row r="925" ht="12.75" customHeight="1">
      <c r="A925" s="100" t="n"/>
      <c r="B925" s="101" t="n"/>
      <c r="C925" s="102" t="n"/>
      <c r="D925" s="99" t="n"/>
      <c r="E925" s="95" t="n"/>
      <c r="F925" s="95" t="n"/>
      <c r="G925" s="94" t="n"/>
      <c r="H925" s="46" t="n"/>
      <c r="I925" s="46" t="n"/>
      <c r="J925" s="46" t="n"/>
      <c r="K925" s="46" t="n"/>
      <c r="L925" s="95" t="n"/>
      <c r="M925" s="95" t="n"/>
      <c r="N925" s="95" t="n"/>
      <c r="O925" s="95" t="n"/>
      <c r="P925" s="95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  <c r="Z925" s="46" t="n"/>
    </row>
    <row r="926" ht="12.75" customHeight="1">
      <c r="A926" s="100" t="n"/>
      <c r="B926" s="101" t="n"/>
      <c r="C926" s="102" t="n"/>
      <c r="D926" s="99" t="n"/>
      <c r="E926" s="95" t="n"/>
      <c r="F926" s="95" t="n"/>
      <c r="G926" s="94" t="n"/>
      <c r="H926" s="46" t="n"/>
      <c r="I926" s="46" t="n"/>
      <c r="J926" s="46" t="n"/>
      <c r="K926" s="46" t="n"/>
      <c r="L926" s="95" t="n"/>
      <c r="M926" s="95" t="n"/>
      <c r="N926" s="95" t="n"/>
      <c r="O926" s="95" t="n"/>
      <c r="P926" s="95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  <c r="Z926" s="46" t="n"/>
    </row>
    <row r="927" ht="12.75" customHeight="1">
      <c r="A927" s="100" t="n"/>
      <c r="B927" s="101" t="n"/>
      <c r="C927" s="102" t="n"/>
      <c r="D927" s="99" t="n"/>
      <c r="E927" s="95" t="n"/>
      <c r="F927" s="95" t="n"/>
      <c r="G927" s="94" t="n"/>
      <c r="H927" s="46" t="n"/>
      <c r="I927" s="46" t="n"/>
      <c r="J927" s="46" t="n"/>
      <c r="K927" s="46" t="n"/>
      <c r="L927" s="95" t="n"/>
      <c r="M927" s="95" t="n"/>
      <c r="N927" s="95" t="n"/>
      <c r="O927" s="95" t="n"/>
      <c r="P927" s="95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  <c r="Z927" s="46" t="n"/>
    </row>
    <row r="928" ht="12.75" customHeight="1">
      <c r="A928" s="100" t="n"/>
      <c r="B928" s="101" t="n"/>
      <c r="C928" s="102" t="n"/>
      <c r="D928" s="99" t="n"/>
      <c r="E928" s="95" t="n"/>
      <c r="F928" s="95" t="n"/>
      <c r="G928" s="94" t="n"/>
      <c r="H928" s="46" t="n"/>
      <c r="I928" s="46" t="n"/>
      <c r="J928" s="46" t="n"/>
      <c r="K928" s="46" t="n"/>
      <c r="L928" s="95" t="n"/>
      <c r="M928" s="95" t="n"/>
      <c r="N928" s="95" t="n"/>
      <c r="O928" s="95" t="n"/>
      <c r="P928" s="95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  <c r="Z928" s="46" t="n"/>
    </row>
    <row r="929" ht="12.75" customHeight="1">
      <c r="A929" s="100" t="n"/>
      <c r="B929" s="101" t="n"/>
      <c r="C929" s="102" t="n"/>
      <c r="D929" s="99" t="n"/>
      <c r="E929" s="95" t="n"/>
      <c r="F929" s="95" t="n"/>
      <c r="G929" s="94" t="n"/>
      <c r="H929" s="46" t="n"/>
      <c r="I929" s="46" t="n"/>
      <c r="J929" s="46" t="n"/>
      <c r="K929" s="46" t="n"/>
      <c r="L929" s="95" t="n"/>
      <c r="M929" s="95" t="n"/>
      <c r="N929" s="95" t="n"/>
      <c r="O929" s="95" t="n"/>
      <c r="P929" s="95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  <c r="Z929" s="46" t="n"/>
    </row>
    <row r="930" ht="12.75" customHeight="1">
      <c r="A930" s="100" t="n"/>
      <c r="B930" s="101" t="n"/>
      <c r="C930" s="102" t="n"/>
      <c r="D930" s="99" t="n"/>
      <c r="E930" s="95" t="n"/>
      <c r="F930" s="95" t="n"/>
      <c r="G930" s="94" t="n"/>
      <c r="H930" s="46" t="n"/>
      <c r="I930" s="46" t="n"/>
      <c r="J930" s="46" t="n"/>
      <c r="K930" s="46" t="n"/>
      <c r="L930" s="95" t="n"/>
      <c r="M930" s="95" t="n"/>
      <c r="N930" s="95" t="n"/>
      <c r="O930" s="95" t="n"/>
      <c r="P930" s="95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  <c r="Z930" s="46" t="n"/>
    </row>
    <row r="931" ht="12.75" customHeight="1">
      <c r="A931" s="100" t="n"/>
      <c r="B931" s="101" t="n"/>
      <c r="C931" s="102" t="n"/>
      <c r="D931" s="99" t="n"/>
      <c r="E931" s="95" t="n"/>
      <c r="F931" s="95" t="n"/>
      <c r="G931" s="94" t="n"/>
      <c r="H931" s="46" t="n"/>
      <c r="I931" s="46" t="n"/>
      <c r="J931" s="46" t="n"/>
      <c r="K931" s="46" t="n"/>
      <c r="L931" s="95" t="n"/>
      <c r="M931" s="95" t="n"/>
      <c r="N931" s="95" t="n"/>
      <c r="O931" s="95" t="n"/>
      <c r="P931" s="95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  <c r="Z931" s="46" t="n"/>
    </row>
    <row r="932" ht="12.75" customHeight="1">
      <c r="A932" s="100" t="n"/>
      <c r="B932" s="101" t="n"/>
      <c r="C932" s="102" t="n"/>
      <c r="D932" s="99" t="n"/>
      <c r="E932" s="95" t="n"/>
      <c r="F932" s="95" t="n"/>
      <c r="G932" s="94" t="n"/>
      <c r="H932" s="46" t="n"/>
      <c r="I932" s="46" t="n"/>
      <c r="J932" s="46" t="n"/>
      <c r="K932" s="46" t="n"/>
      <c r="L932" s="95" t="n"/>
      <c r="M932" s="95" t="n"/>
      <c r="N932" s="95" t="n"/>
      <c r="O932" s="95" t="n"/>
      <c r="P932" s="95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  <c r="Z932" s="46" t="n"/>
    </row>
    <row r="933" ht="12.75" customHeight="1">
      <c r="A933" s="100" t="n"/>
      <c r="B933" s="101" t="n"/>
      <c r="C933" s="102" t="n"/>
      <c r="D933" s="99" t="n"/>
      <c r="E933" s="95" t="n"/>
      <c r="F933" s="95" t="n"/>
      <c r="G933" s="94" t="n"/>
      <c r="H933" s="46" t="n"/>
      <c r="I933" s="46" t="n"/>
      <c r="J933" s="46" t="n"/>
      <c r="K933" s="46" t="n"/>
      <c r="L933" s="95" t="n"/>
      <c r="M933" s="95" t="n"/>
      <c r="N933" s="95" t="n"/>
      <c r="O933" s="95" t="n"/>
      <c r="P933" s="95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  <c r="Z933" s="46" t="n"/>
    </row>
    <row r="934" ht="12.75" customHeight="1">
      <c r="A934" s="100" t="n"/>
      <c r="B934" s="101" t="n"/>
      <c r="C934" s="102" t="n"/>
      <c r="D934" s="99" t="n"/>
      <c r="E934" s="95" t="n"/>
      <c r="F934" s="95" t="n"/>
      <c r="G934" s="94" t="n"/>
      <c r="H934" s="46" t="n"/>
      <c r="I934" s="46" t="n"/>
      <c r="J934" s="46" t="n"/>
      <c r="K934" s="46" t="n"/>
      <c r="L934" s="95" t="n"/>
      <c r="M934" s="95" t="n"/>
      <c r="N934" s="95" t="n"/>
      <c r="O934" s="95" t="n"/>
      <c r="P934" s="95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  <c r="Z934" s="46" t="n"/>
    </row>
    <row r="935" ht="12.75" customHeight="1">
      <c r="A935" s="100" t="n"/>
      <c r="B935" s="101" t="n"/>
      <c r="C935" s="102" t="n"/>
      <c r="D935" s="99" t="n"/>
      <c r="E935" s="95" t="n"/>
      <c r="F935" s="95" t="n"/>
      <c r="G935" s="94" t="n"/>
      <c r="H935" s="46" t="n"/>
      <c r="I935" s="46" t="n"/>
      <c r="J935" s="46" t="n"/>
      <c r="K935" s="46" t="n"/>
      <c r="L935" s="95" t="n"/>
      <c r="M935" s="95" t="n"/>
      <c r="N935" s="95" t="n"/>
      <c r="O935" s="95" t="n"/>
      <c r="P935" s="95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  <c r="Z935" s="46" t="n"/>
    </row>
    <row r="936" ht="12.75" customHeight="1">
      <c r="A936" s="100" t="n"/>
      <c r="B936" s="101" t="n"/>
      <c r="C936" s="102" t="n"/>
      <c r="D936" s="99" t="n"/>
      <c r="E936" s="95" t="n"/>
      <c r="F936" s="95" t="n"/>
      <c r="G936" s="94" t="n"/>
      <c r="H936" s="46" t="n"/>
      <c r="I936" s="46" t="n"/>
      <c r="J936" s="46" t="n"/>
      <c r="K936" s="46" t="n"/>
      <c r="L936" s="95" t="n"/>
      <c r="M936" s="95" t="n"/>
      <c r="N936" s="95" t="n"/>
      <c r="O936" s="95" t="n"/>
      <c r="P936" s="95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  <c r="Z936" s="46" t="n"/>
    </row>
    <row r="937" ht="12.75" customHeight="1">
      <c r="A937" s="100" t="n"/>
      <c r="B937" s="101" t="n"/>
      <c r="C937" s="102" t="n"/>
      <c r="D937" s="99" t="n"/>
      <c r="E937" s="95" t="n"/>
      <c r="F937" s="95" t="n"/>
      <c r="G937" s="94" t="n"/>
      <c r="H937" s="46" t="n"/>
      <c r="I937" s="46" t="n"/>
      <c r="J937" s="46" t="n"/>
      <c r="K937" s="46" t="n"/>
      <c r="L937" s="95" t="n"/>
      <c r="M937" s="95" t="n"/>
      <c r="N937" s="95" t="n"/>
      <c r="O937" s="95" t="n"/>
      <c r="P937" s="95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  <c r="Z937" s="46" t="n"/>
    </row>
    <row r="938" ht="12.75" customHeight="1">
      <c r="A938" s="100" t="n"/>
      <c r="B938" s="101" t="n"/>
      <c r="C938" s="102" t="n"/>
      <c r="D938" s="99" t="n"/>
      <c r="E938" s="95" t="n"/>
      <c r="F938" s="95" t="n"/>
      <c r="G938" s="94" t="n"/>
      <c r="H938" s="46" t="n"/>
      <c r="I938" s="46" t="n"/>
      <c r="J938" s="46" t="n"/>
      <c r="K938" s="46" t="n"/>
      <c r="L938" s="95" t="n"/>
      <c r="M938" s="95" t="n"/>
      <c r="N938" s="95" t="n"/>
      <c r="O938" s="95" t="n"/>
      <c r="P938" s="95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  <c r="Z938" s="46" t="n"/>
    </row>
    <row r="939" ht="12.75" customHeight="1">
      <c r="A939" s="100" t="n"/>
      <c r="B939" s="101" t="n"/>
      <c r="C939" s="102" t="n"/>
      <c r="D939" s="99" t="n"/>
      <c r="E939" s="95" t="n"/>
      <c r="F939" s="95" t="n"/>
      <c r="G939" s="94" t="n"/>
      <c r="H939" s="46" t="n"/>
      <c r="I939" s="46" t="n"/>
      <c r="J939" s="46" t="n"/>
      <c r="K939" s="46" t="n"/>
      <c r="L939" s="95" t="n"/>
      <c r="M939" s="95" t="n"/>
      <c r="N939" s="95" t="n"/>
      <c r="O939" s="95" t="n"/>
      <c r="P939" s="95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  <c r="Z939" s="46" t="n"/>
    </row>
    <row r="940" ht="12.75" customHeight="1">
      <c r="A940" s="100" t="n"/>
      <c r="B940" s="101" t="n"/>
      <c r="C940" s="102" t="n"/>
      <c r="D940" s="99" t="n"/>
      <c r="E940" s="95" t="n"/>
      <c r="F940" s="95" t="n"/>
      <c r="G940" s="94" t="n"/>
      <c r="H940" s="46" t="n"/>
      <c r="I940" s="46" t="n"/>
      <c r="J940" s="46" t="n"/>
      <c r="K940" s="46" t="n"/>
      <c r="L940" s="95" t="n"/>
      <c r="M940" s="95" t="n"/>
      <c r="N940" s="95" t="n"/>
      <c r="O940" s="95" t="n"/>
      <c r="P940" s="95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  <c r="Z940" s="46" t="n"/>
    </row>
    <row r="941" ht="12.75" customHeight="1">
      <c r="A941" s="100" t="n"/>
      <c r="B941" s="101" t="n"/>
      <c r="C941" s="102" t="n"/>
      <c r="D941" s="99" t="n"/>
      <c r="E941" s="95" t="n"/>
      <c r="F941" s="95" t="n"/>
      <c r="G941" s="94" t="n"/>
      <c r="H941" s="46" t="n"/>
      <c r="I941" s="46" t="n"/>
      <c r="J941" s="46" t="n"/>
      <c r="K941" s="46" t="n"/>
      <c r="L941" s="95" t="n"/>
      <c r="M941" s="95" t="n"/>
      <c r="N941" s="95" t="n"/>
      <c r="O941" s="95" t="n"/>
      <c r="P941" s="95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  <c r="Z941" s="46" t="n"/>
    </row>
    <row r="942" ht="12.75" customHeight="1">
      <c r="A942" s="100" t="n"/>
      <c r="B942" s="101" t="n"/>
      <c r="C942" s="102" t="n"/>
      <c r="D942" s="99" t="n"/>
      <c r="E942" s="95" t="n"/>
      <c r="F942" s="95" t="n"/>
      <c r="G942" s="94" t="n"/>
      <c r="H942" s="46" t="n"/>
      <c r="I942" s="46" t="n"/>
      <c r="J942" s="46" t="n"/>
      <c r="K942" s="46" t="n"/>
      <c r="L942" s="95" t="n"/>
      <c r="M942" s="95" t="n"/>
      <c r="N942" s="95" t="n"/>
      <c r="O942" s="95" t="n"/>
      <c r="P942" s="95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  <c r="Z942" s="46" t="n"/>
    </row>
    <row r="943" ht="12.75" customHeight="1">
      <c r="A943" s="100" t="n"/>
      <c r="B943" s="101" t="n"/>
      <c r="C943" s="102" t="n"/>
      <c r="D943" s="99" t="n"/>
      <c r="E943" s="95" t="n"/>
      <c r="F943" s="95" t="n"/>
      <c r="G943" s="94" t="n"/>
      <c r="H943" s="46" t="n"/>
      <c r="I943" s="46" t="n"/>
      <c r="J943" s="46" t="n"/>
      <c r="K943" s="46" t="n"/>
      <c r="L943" s="95" t="n"/>
      <c r="M943" s="95" t="n"/>
      <c r="N943" s="95" t="n"/>
      <c r="O943" s="95" t="n"/>
      <c r="P943" s="95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  <c r="Z943" s="46" t="n"/>
    </row>
    <row r="944" ht="12.75" customHeight="1">
      <c r="A944" s="100" t="n"/>
      <c r="B944" s="101" t="n"/>
      <c r="C944" s="102" t="n"/>
      <c r="D944" s="99" t="n"/>
      <c r="E944" s="95" t="n"/>
      <c r="F944" s="95" t="n"/>
      <c r="G944" s="94" t="n"/>
      <c r="H944" s="46" t="n"/>
      <c r="I944" s="46" t="n"/>
      <c r="J944" s="46" t="n"/>
      <c r="K944" s="46" t="n"/>
      <c r="L944" s="95" t="n"/>
      <c r="M944" s="95" t="n"/>
      <c r="N944" s="95" t="n"/>
      <c r="O944" s="95" t="n"/>
      <c r="P944" s="95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  <c r="Z944" s="46" t="n"/>
    </row>
    <row r="945" ht="12.75" customHeight="1">
      <c r="A945" s="100" t="n"/>
      <c r="B945" s="101" t="n"/>
      <c r="C945" s="102" t="n"/>
      <c r="D945" s="99" t="n"/>
      <c r="E945" s="95" t="n"/>
      <c r="F945" s="95" t="n"/>
      <c r="G945" s="94" t="n"/>
      <c r="H945" s="46" t="n"/>
      <c r="I945" s="46" t="n"/>
      <c r="J945" s="46" t="n"/>
      <c r="K945" s="46" t="n"/>
      <c r="L945" s="95" t="n"/>
      <c r="M945" s="95" t="n"/>
      <c r="N945" s="95" t="n"/>
      <c r="O945" s="95" t="n"/>
      <c r="P945" s="95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  <c r="Z945" s="46" t="n"/>
    </row>
    <row r="946" ht="12.75" customHeight="1">
      <c r="A946" s="100" t="n"/>
      <c r="B946" s="101" t="n"/>
      <c r="C946" s="102" t="n"/>
      <c r="D946" s="99" t="n"/>
      <c r="E946" s="95" t="n"/>
      <c r="F946" s="95" t="n"/>
      <c r="G946" s="94" t="n"/>
      <c r="H946" s="46" t="n"/>
      <c r="I946" s="46" t="n"/>
      <c r="J946" s="46" t="n"/>
      <c r="K946" s="46" t="n"/>
      <c r="L946" s="95" t="n"/>
      <c r="M946" s="95" t="n"/>
      <c r="N946" s="95" t="n"/>
      <c r="O946" s="95" t="n"/>
      <c r="P946" s="95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  <c r="Z946" s="46" t="n"/>
    </row>
    <row r="947" ht="12.75" customHeight="1">
      <c r="A947" s="100" t="n"/>
      <c r="B947" s="101" t="n"/>
      <c r="C947" s="102" t="n"/>
      <c r="D947" s="99" t="n"/>
      <c r="E947" s="95" t="n"/>
      <c r="F947" s="95" t="n"/>
      <c r="G947" s="94" t="n"/>
      <c r="H947" s="46" t="n"/>
      <c r="I947" s="46" t="n"/>
      <c r="J947" s="46" t="n"/>
      <c r="K947" s="46" t="n"/>
      <c r="L947" s="95" t="n"/>
      <c r="M947" s="95" t="n"/>
      <c r="N947" s="95" t="n"/>
      <c r="O947" s="95" t="n"/>
      <c r="P947" s="95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  <c r="Z947" s="46" t="n"/>
    </row>
    <row r="948" ht="12.75" customHeight="1">
      <c r="A948" s="100" t="n"/>
      <c r="B948" s="101" t="n"/>
      <c r="C948" s="102" t="n"/>
      <c r="D948" s="99" t="n"/>
      <c r="E948" s="95" t="n"/>
      <c r="F948" s="95" t="n"/>
      <c r="G948" s="94" t="n"/>
      <c r="H948" s="46" t="n"/>
      <c r="I948" s="46" t="n"/>
      <c r="J948" s="46" t="n"/>
      <c r="K948" s="46" t="n"/>
      <c r="L948" s="95" t="n"/>
      <c r="M948" s="95" t="n"/>
      <c r="N948" s="95" t="n"/>
      <c r="O948" s="95" t="n"/>
      <c r="P948" s="95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  <c r="Z948" s="46" t="n"/>
    </row>
    <row r="949" ht="12.75" customHeight="1">
      <c r="A949" s="100" t="n"/>
      <c r="B949" s="101" t="n"/>
      <c r="C949" s="102" t="n"/>
      <c r="D949" s="99" t="n"/>
      <c r="E949" s="95" t="n"/>
      <c r="F949" s="95" t="n"/>
      <c r="G949" s="94" t="n"/>
      <c r="H949" s="46" t="n"/>
      <c r="I949" s="46" t="n"/>
      <c r="J949" s="46" t="n"/>
      <c r="K949" s="46" t="n"/>
      <c r="L949" s="95" t="n"/>
      <c r="M949" s="95" t="n"/>
      <c r="N949" s="95" t="n"/>
      <c r="O949" s="95" t="n"/>
      <c r="P949" s="95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  <c r="Z949" s="46" t="n"/>
    </row>
    <row r="950" ht="12.75" customHeight="1">
      <c r="A950" s="100" t="n"/>
      <c r="B950" s="101" t="n"/>
      <c r="C950" s="102" t="n"/>
      <c r="D950" s="99" t="n"/>
      <c r="E950" s="95" t="n"/>
      <c r="F950" s="95" t="n"/>
      <c r="G950" s="94" t="n"/>
      <c r="H950" s="46" t="n"/>
      <c r="I950" s="46" t="n"/>
      <c r="J950" s="46" t="n"/>
      <c r="K950" s="46" t="n"/>
      <c r="L950" s="95" t="n"/>
      <c r="M950" s="95" t="n"/>
      <c r="N950" s="95" t="n"/>
      <c r="O950" s="95" t="n"/>
      <c r="P950" s="95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  <c r="Z950" s="46" t="n"/>
    </row>
    <row r="951" ht="12.75" customHeight="1">
      <c r="A951" s="100" t="n"/>
      <c r="B951" s="101" t="n"/>
      <c r="C951" s="102" t="n"/>
      <c r="D951" s="99" t="n"/>
      <c r="E951" s="95" t="n"/>
      <c r="F951" s="95" t="n"/>
      <c r="G951" s="94" t="n"/>
      <c r="H951" s="46" t="n"/>
      <c r="I951" s="46" t="n"/>
      <c r="J951" s="46" t="n"/>
      <c r="K951" s="46" t="n"/>
      <c r="L951" s="95" t="n"/>
      <c r="M951" s="95" t="n"/>
      <c r="N951" s="95" t="n"/>
      <c r="O951" s="95" t="n"/>
      <c r="P951" s="95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  <c r="Z951" s="46" t="n"/>
    </row>
    <row r="952" ht="12.75" customHeight="1">
      <c r="A952" s="100" t="n"/>
      <c r="B952" s="101" t="n"/>
      <c r="C952" s="102" t="n"/>
      <c r="D952" s="99" t="n"/>
      <c r="E952" s="95" t="n"/>
      <c r="F952" s="95" t="n"/>
      <c r="G952" s="94" t="n"/>
      <c r="H952" s="46" t="n"/>
      <c r="I952" s="46" t="n"/>
      <c r="J952" s="46" t="n"/>
      <c r="K952" s="46" t="n"/>
      <c r="L952" s="95" t="n"/>
      <c r="M952" s="95" t="n"/>
      <c r="N952" s="95" t="n"/>
      <c r="O952" s="95" t="n"/>
      <c r="P952" s="95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  <c r="Z952" s="46" t="n"/>
    </row>
    <row r="953" ht="12.75" customHeight="1">
      <c r="A953" s="100" t="n"/>
      <c r="B953" s="101" t="n"/>
      <c r="C953" s="102" t="n"/>
      <c r="D953" s="99" t="n"/>
      <c r="E953" s="95" t="n"/>
      <c r="F953" s="95" t="n"/>
      <c r="G953" s="94" t="n"/>
      <c r="H953" s="46" t="n"/>
      <c r="I953" s="46" t="n"/>
      <c r="J953" s="46" t="n"/>
      <c r="K953" s="46" t="n"/>
      <c r="L953" s="95" t="n"/>
      <c r="M953" s="95" t="n"/>
      <c r="N953" s="95" t="n"/>
      <c r="O953" s="95" t="n"/>
      <c r="P953" s="95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  <c r="Z953" s="46" t="n"/>
    </row>
    <row r="954" ht="12.75" customHeight="1">
      <c r="A954" s="100" t="n"/>
      <c r="B954" s="101" t="n"/>
      <c r="C954" s="102" t="n"/>
      <c r="D954" s="99" t="n"/>
      <c r="E954" s="95" t="n"/>
      <c r="F954" s="95" t="n"/>
      <c r="G954" s="94" t="n"/>
      <c r="H954" s="46" t="n"/>
      <c r="I954" s="46" t="n"/>
      <c r="J954" s="46" t="n"/>
      <c r="K954" s="46" t="n"/>
      <c r="L954" s="95" t="n"/>
      <c r="M954" s="95" t="n"/>
      <c r="N954" s="95" t="n"/>
      <c r="O954" s="95" t="n"/>
      <c r="P954" s="95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  <c r="Z954" s="46" t="n"/>
    </row>
    <row r="955" ht="12.75" customHeight="1">
      <c r="A955" s="100" t="n"/>
      <c r="B955" s="101" t="n"/>
      <c r="C955" s="102" t="n"/>
      <c r="D955" s="99" t="n"/>
      <c r="E955" s="95" t="n"/>
      <c r="F955" s="95" t="n"/>
      <c r="G955" s="94" t="n"/>
      <c r="H955" s="46" t="n"/>
      <c r="I955" s="46" t="n"/>
      <c r="J955" s="46" t="n"/>
      <c r="K955" s="46" t="n"/>
      <c r="L955" s="95" t="n"/>
      <c r="M955" s="95" t="n"/>
      <c r="N955" s="95" t="n"/>
      <c r="O955" s="95" t="n"/>
      <c r="P955" s="95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  <c r="Z955" s="46" t="n"/>
    </row>
    <row r="956" ht="12.75" customHeight="1">
      <c r="A956" s="100" t="n"/>
      <c r="B956" s="101" t="n"/>
      <c r="C956" s="102" t="n"/>
      <c r="D956" s="99" t="n"/>
      <c r="E956" s="95" t="n"/>
      <c r="F956" s="95" t="n"/>
      <c r="G956" s="94" t="n"/>
      <c r="H956" s="46" t="n"/>
      <c r="I956" s="46" t="n"/>
      <c r="J956" s="46" t="n"/>
      <c r="K956" s="46" t="n"/>
      <c r="L956" s="95" t="n"/>
      <c r="M956" s="95" t="n"/>
      <c r="N956" s="95" t="n"/>
      <c r="O956" s="95" t="n"/>
      <c r="P956" s="95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  <c r="Z956" s="46" t="n"/>
    </row>
    <row r="957" ht="12.75" customHeight="1">
      <c r="A957" s="100" t="n"/>
      <c r="B957" s="101" t="n"/>
      <c r="C957" s="102" t="n"/>
      <c r="D957" s="99" t="n"/>
      <c r="E957" s="95" t="n"/>
      <c r="F957" s="95" t="n"/>
      <c r="G957" s="94" t="n"/>
      <c r="H957" s="46" t="n"/>
      <c r="I957" s="46" t="n"/>
      <c r="J957" s="46" t="n"/>
      <c r="K957" s="46" t="n"/>
      <c r="L957" s="95" t="n"/>
      <c r="M957" s="95" t="n"/>
      <c r="N957" s="95" t="n"/>
      <c r="O957" s="95" t="n"/>
      <c r="P957" s="95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  <c r="Z957" s="46" t="n"/>
    </row>
    <row r="958" ht="12.75" customHeight="1">
      <c r="A958" s="100" t="n"/>
      <c r="B958" s="101" t="n"/>
      <c r="C958" s="102" t="n"/>
      <c r="D958" s="99" t="n"/>
      <c r="E958" s="95" t="n"/>
      <c r="F958" s="95" t="n"/>
      <c r="G958" s="94" t="n"/>
      <c r="H958" s="46" t="n"/>
      <c r="I958" s="46" t="n"/>
      <c r="J958" s="46" t="n"/>
      <c r="K958" s="46" t="n"/>
      <c r="L958" s="95" t="n"/>
      <c r="M958" s="95" t="n"/>
      <c r="N958" s="95" t="n"/>
      <c r="O958" s="95" t="n"/>
      <c r="P958" s="95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  <c r="Z958" s="46" t="n"/>
    </row>
    <row r="959" ht="12.75" customHeight="1">
      <c r="A959" s="100" t="n"/>
      <c r="B959" s="101" t="n"/>
      <c r="C959" s="102" t="n"/>
      <c r="D959" s="99" t="n"/>
      <c r="E959" s="95" t="n"/>
      <c r="F959" s="95" t="n"/>
      <c r="G959" s="94" t="n"/>
      <c r="H959" s="46" t="n"/>
      <c r="I959" s="46" t="n"/>
      <c r="J959" s="46" t="n"/>
      <c r="K959" s="46" t="n"/>
      <c r="L959" s="95" t="n"/>
      <c r="M959" s="95" t="n"/>
      <c r="N959" s="95" t="n"/>
      <c r="O959" s="95" t="n"/>
      <c r="P959" s="95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  <c r="Z959" s="46" t="n"/>
    </row>
    <row r="960" ht="12.75" customHeight="1">
      <c r="A960" s="100" t="n"/>
      <c r="B960" s="101" t="n"/>
      <c r="C960" s="102" t="n"/>
      <c r="D960" s="99" t="n"/>
      <c r="E960" s="95" t="n"/>
      <c r="F960" s="95" t="n"/>
      <c r="G960" s="94" t="n"/>
      <c r="H960" s="46" t="n"/>
      <c r="I960" s="46" t="n"/>
      <c r="J960" s="46" t="n"/>
      <c r="K960" s="46" t="n"/>
      <c r="L960" s="95" t="n"/>
      <c r="M960" s="95" t="n"/>
      <c r="N960" s="95" t="n"/>
      <c r="O960" s="95" t="n"/>
      <c r="P960" s="95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  <c r="Z960" s="46" t="n"/>
    </row>
    <row r="961" ht="12.75" customHeight="1">
      <c r="A961" s="100" t="n"/>
      <c r="B961" s="101" t="n"/>
      <c r="C961" s="102" t="n"/>
      <c r="D961" s="99" t="n"/>
      <c r="E961" s="95" t="n"/>
      <c r="F961" s="95" t="n"/>
      <c r="G961" s="94" t="n"/>
      <c r="H961" s="46" t="n"/>
      <c r="I961" s="46" t="n"/>
      <c r="J961" s="46" t="n"/>
      <c r="K961" s="46" t="n"/>
      <c r="L961" s="95" t="n"/>
      <c r="M961" s="95" t="n"/>
      <c r="N961" s="95" t="n"/>
      <c r="O961" s="95" t="n"/>
      <c r="P961" s="95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  <c r="Z961" s="46" t="n"/>
    </row>
    <row r="962" ht="12.75" customHeight="1">
      <c r="A962" s="100" t="n"/>
      <c r="B962" s="101" t="n"/>
      <c r="C962" s="102" t="n"/>
      <c r="D962" s="99" t="n"/>
      <c r="E962" s="95" t="n"/>
      <c r="F962" s="95" t="n"/>
      <c r="G962" s="94" t="n"/>
      <c r="H962" s="46" t="n"/>
      <c r="I962" s="46" t="n"/>
      <c r="J962" s="46" t="n"/>
      <c r="K962" s="46" t="n"/>
      <c r="L962" s="95" t="n"/>
      <c r="M962" s="95" t="n"/>
      <c r="N962" s="95" t="n"/>
      <c r="O962" s="95" t="n"/>
      <c r="P962" s="95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  <c r="Z962" s="46" t="n"/>
    </row>
    <row r="963" ht="12.75" customHeight="1">
      <c r="A963" s="100" t="n"/>
      <c r="B963" s="101" t="n"/>
      <c r="C963" s="102" t="n"/>
      <c r="D963" s="99" t="n"/>
      <c r="E963" s="95" t="n"/>
      <c r="F963" s="95" t="n"/>
      <c r="G963" s="94" t="n"/>
      <c r="H963" s="46" t="n"/>
      <c r="I963" s="46" t="n"/>
      <c r="J963" s="46" t="n"/>
      <c r="K963" s="46" t="n"/>
      <c r="L963" s="95" t="n"/>
      <c r="M963" s="95" t="n"/>
      <c r="N963" s="95" t="n"/>
      <c r="O963" s="95" t="n"/>
      <c r="P963" s="95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  <c r="Z963" s="46" t="n"/>
    </row>
    <row r="964" ht="12.75" customHeight="1">
      <c r="A964" s="100" t="n"/>
      <c r="B964" s="101" t="n"/>
      <c r="C964" s="102" t="n"/>
      <c r="D964" s="99" t="n"/>
      <c r="E964" s="95" t="n"/>
      <c r="F964" s="95" t="n"/>
      <c r="G964" s="94" t="n"/>
      <c r="H964" s="46" t="n"/>
      <c r="I964" s="46" t="n"/>
      <c r="J964" s="46" t="n"/>
      <c r="K964" s="46" t="n"/>
      <c r="L964" s="95" t="n"/>
      <c r="M964" s="95" t="n"/>
      <c r="N964" s="95" t="n"/>
      <c r="O964" s="95" t="n"/>
      <c r="P964" s="95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  <c r="Z964" s="46" t="n"/>
    </row>
    <row r="965" ht="12.75" customHeight="1">
      <c r="A965" s="100" t="n"/>
      <c r="B965" s="101" t="n"/>
      <c r="C965" s="102" t="n"/>
      <c r="D965" s="99" t="n"/>
      <c r="E965" s="95" t="n"/>
      <c r="F965" s="95" t="n"/>
      <c r="G965" s="94" t="n"/>
      <c r="H965" s="46" t="n"/>
      <c r="I965" s="46" t="n"/>
      <c r="J965" s="46" t="n"/>
      <c r="K965" s="46" t="n"/>
      <c r="L965" s="95" t="n"/>
      <c r="M965" s="95" t="n"/>
      <c r="N965" s="95" t="n"/>
      <c r="O965" s="95" t="n"/>
      <c r="P965" s="95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  <c r="Z965" s="46" t="n"/>
    </row>
    <row r="966" ht="12.75" customHeight="1">
      <c r="A966" s="100" t="n"/>
      <c r="B966" s="101" t="n"/>
      <c r="C966" s="102" t="n"/>
      <c r="D966" s="99" t="n"/>
      <c r="E966" s="95" t="n"/>
      <c r="F966" s="95" t="n"/>
      <c r="G966" s="94" t="n"/>
      <c r="H966" s="46" t="n"/>
      <c r="I966" s="46" t="n"/>
      <c r="J966" s="46" t="n"/>
      <c r="K966" s="46" t="n"/>
      <c r="L966" s="95" t="n"/>
      <c r="M966" s="95" t="n"/>
      <c r="N966" s="95" t="n"/>
      <c r="O966" s="95" t="n"/>
      <c r="P966" s="95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  <c r="Z966" s="46" t="n"/>
    </row>
    <row r="967" ht="12.75" customHeight="1">
      <c r="A967" s="100" t="n"/>
      <c r="B967" s="101" t="n"/>
      <c r="C967" s="102" t="n"/>
      <c r="D967" s="99" t="n"/>
      <c r="E967" s="95" t="n"/>
      <c r="F967" s="95" t="n"/>
      <c r="G967" s="94" t="n"/>
      <c r="H967" s="46" t="n"/>
      <c r="I967" s="46" t="n"/>
      <c r="J967" s="46" t="n"/>
      <c r="K967" s="46" t="n"/>
      <c r="L967" s="95" t="n"/>
      <c r="M967" s="95" t="n"/>
      <c r="N967" s="95" t="n"/>
      <c r="O967" s="95" t="n"/>
      <c r="P967" s="95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  <c r="Z967" s="46" t="n"/>
    </row>
    <row r="968" ht="12.75" customHeight="1">
      <c r="A968" s="100" t="n"/>
      <c r="B968" s="101" t="n"/>
      <c r="C968" s="102" t="n"/>
      <c r="D968" s="99" t="n"/>
      <c r="E968" s="95" t="n"/>
      <c r="F968" s="95" t="n"/>
      <c r="G968" s="94" t="n"/>
      <c r="H968" s="46" t="n"/>
      <c r="I968" s="46" t="n"/>
      <c r="J968" s="46" t="n"/>
      <c r="K968" s="46" t="n"/>
      <c r="L968" s="95" t="n"/>
      <c r="M968" s="95" t="n"/>
      <c r="N968" s="95" t="n"/>
      <c r="O968" s="95" t="n"/>
      <c r="P968" s="95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  <c r="Z968" s="46" t="n"/>
    </row>
    <row r="969" ht="12.75" customHeight="1">
      <c r="A969" s="100" t="n"/>
      <c r="B969" s="101" t="n"/>
      <c r="C969" s="102" t="n"/>
      <c r="D969" s="99" t="n"/>
      <c r="E969" s="95" t="n"/>
      <c r="F969" s="95" t="n"/>
      <c r="G969" s="94" t="n"/>
      <c r="H969" s="46" t="n"/>
      <c r="I969" s="46" t="n"/>
      <c r="J969" s="46" t="n"/>
      <c r="K969" s="46" t="n"/>
      <c r="L969" s="95" t="n"/>
      <c r="M969" s="95" t="n"/>
      <c r="N969" s="95" t="n"/>
      <c r="O969" s="95" t="n"/>
      <c r="P969" s="95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  <c r="Z969" s="46" t="n"/>
    </row>
    <row r="970" ht="12.75" customHeight="1">
      <c r="A970" s="100" t="n"/>
      <c r="B970" s="101" t="n"/>
      <c r="C970" s="102" t="n"/>
      <c r="D970" s="99" t="n"/>
      <c r="E970" s="95" t="n"/>
      <c r="F970" s="95" t="n"/>
      <c r="G970" s="94" t="n"/>
      <c r="H970" s="46" t="n"/>
      <c r="I970" s="46" t="n"/>
      <c r="J970" s="46" t="n"/>
      <c r="K970" s="46" t="n"/>
      <c r="L970" s="95" t="n"/>
      <c r="M970" s="95" t="n"/>
      <c r="N970" s="95" t="n"/>
      <c r="O970" s="95" t="n"/>
      <c r="P970" s="95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  <c r="Z970" s="46" t="n"/>
    </row>
    <row r="971" ht="12.75" customHeight="1">
      <c r="A971" s="100" t="n"/>
      <c r="B971" s="101" t="n"/>
      <c r="C971" s="102" t="n"/>
      <c r="D971" s="99" t="n"/>
      <c r="E971" s="95" t="n"/>
      <c r="F971" s="95" t="n"/>
      <c r="G971" s="94" t="n"/>
      <c r="H971" s="46" t="n"/>
      <c r="I971" s="46" t="n"/>
      <c r="J971" s="46" t="n"/>
      <c r="K971" s="46" t="n"/>
      <c r="L971" s="95" t="n"/>
      <c r="M971" s="95" t="n"/>
      <c r="N971" s="95" t="n"/>
      <c r="O971" s="95" t="n"/>
      <c r="P971" s="95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  <c r="Z971" s="46" t="n"/>
    </row>
    <row r="972" ht="12.75" customHeight="1">
      <c r="A972" s="100" t="n"/>
      <c r="B972" s="101" t="n"/>
      <c r="C972" s="102" t="n"/>
      <c r="D972" s="99" t="n"/>
      <c r="E972" s="95" t="n"/>
      <c r="F972" s="95" t="n"/>
      <c r="G972" s="94" t="n"/>
      <c r="H972" s="46" t="n"/>
      <c r="I972" s="46" t="n"/>
      <c r="J972" s="46" t="n"/>
      <c r="K972" s="46" t="n"/>
      <c r="L972" s="95" t="n"/>
      <c r="M972" s="95" t="n"/>
      <c r="N972" s="95" t="n"/>
      <c r="O972" s="95" t="n"/>
      <c r="P972" s="95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  <c r="Z972" s="46" t="n"/>
    </row>
    <row r="973" ht="12.75" customHeight="1">
      <c r="A973" s="100" t="n"/>
      <c r="B973" s="101" t="n"/>
      <c r="C973" s="102" t="n"/>
      <c r="D973" s="99" t="n"/>
      <c r="E973" s="95" t="n"/>
      <c r="F973" s="95" t="n"/>
      <c r="G973" s="94" t="n"/>
      <c r="H973" s="46" t="n"/>
      <c r="I973" s="46" t="n"/>
      <c r="J973" s="46" t="n"/>
      <c r="K973" s="46" t="n"/>
      <c r="L973" s="95" t="n"/>
      <c r="M973" s="95" t="n"/>
      <c r="N973" s="95" t="n"/>
      <c r="O973" s="95" t="n"/>
      <c r="P973" s="95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  <c r="Z973" s="46" t="n"/>
    </row>
    <row r="974" ht="12.75" customHeight="1">
      <c r="A974" s="100" t="n"/>
      <c r="B974" s="101" t="n"/>
      <c r="C974" s="102" t="n"/>
      <c r="D974" s="99" t="n"/>
      <c r="E974" s="95" t="n"/>
      <c r="F974" s="95" t="n"/>
      <c r="G974" s="94" t="n"/>
      <c r="H974" s="46" t="n"/>
      <c r="I974" s="46" t="n"/>
      <c r="J974" s="46" t="n"/>
      <c r="K974" s="46" t="n"/>
      <c r="L974" s="95" t="n"/>
      <c r="M974" s="95" t="n"/>
      <c r="N974" s="95" t="n"/>
      <c r="O974" s="95" t="n"/>
      <c r="P974" s="95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  <c r="Z974" s="46" t="n"/>
    </row>
    <row r="975" ht="12.75" customHeight="1">
      <c r="A975" s="100" t="n"/>
      <c r="B975" s="101" t="n"/>
      <c r="C975" s="102" t="n"/>
      <c r="D975" s="99" t="n"/>
      <c r="E975" s="95" t="n"/>
      <c r="F975" s="95" t="n"/>
      <c r="G975" s="94" t="n"/>
      <c r="H975" s="46" t="n"/>
      <c r="I975" s="46" t="n"/>
      <c r="J975" s="46" t="n"/>
      <c r="K975" s="46" t="n"/>
      <c r="L975" s="95" t="n"/>
      <c r="M975" s="95" t="n"/>
      <c r="N975" s="95" t="n"/>
      <c r="O975" s="95" t="n"/>
      <c r="P975" s="95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  <c r="Z975" s="46" t="n"/>
    </row>
    <row r="976" ht="12.75" customHeight="1">
      <c r="A976" s="100" t="n"/>
      <c r="B976" s="101" t="n"/>
      <c r="C976" s="102" t="n"/>
      <c r="D976" s="99" t="n"/>
      <c r="E976" s="95" t="n"/>
      <c r="F976" s="95" t="n"/>
      <c r="G976" s="94" t="n"/>
      <c r="H976" s="46" t="n"/>
      <c r="I976" s="46" t="n"/>
      <c r="J976" s="46" t="n"/>
      <c r="K976" s="46" t="n"/>
      <c r="L976" s="95" t="n"/>
      <c r="M976" s="95" t="n"/>
      <c r="N976" s="95" t="n"/>
      <c r="O976" s="95" t="n"/>
      <c r="P976" s="95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  <c r="Z976" s="46" t="n"/>
    </row>
    <row r="977" ht="12.75" customHeight="1">
      <c r="A977" s="100" t="n"/>
      <c r="B977" s="101" t="n"/>
      <c r="C977" s="102" t="n"/>
      <c r="D977" s="99" t="n"/>
      <c r="E977" s="95" t="n"/>
      <c r="F977" s="95" t="n"/>
      <c r="G977" s="94" t="n"/>
      <c r="H977" s="46" t="n"/>
      <c r="I977" s="46" t="n"/>
      <c r="J977" s="46" t="n"/>
      <c r="K977" s="46" t="n"/>
      <c r="L977" s="95" t="n"/>
      <c r="M977" s="95" t="n"/>
      <c r="N977" s="95" t="n"/>
      <c r="O977" s="95" t="n"/>
      <c r="P977" s="95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  <c r="Z977" s="46" t="n"/>
    </row>
    <row r="978" ht="12.75" customHeight="1">
      <c r="A978" s="100" t="n"/>
      <c r="B978" s="101" t="n"/>
      <c r="C978" s="102" t="n"/>
      <c r="D978" s="99" t="n"/>
      <c r="E978" s="95" t="n"/>
      <c r="F978" s="95" t="n"/>
      <c r="G978" s="94" t="n"/>
      <c r="H978" s="46" t="n"/>
      <c r="I978" s="46" t="n"/>
      <c r="J978" s="46" t="n"/>
      <c r="K978" s="46" t="n"/>
      <c r="L978" s="95" t="n"/>
      <c r="M978" s="95" t="n"/>
      <c r="N978" s="95" t="n"/>
      <c r="O978" s="95" t="n"/>
      <c r="P978" s="95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  <c r="Z978" s="46" t="n"/>
    </row>
    <row r="979" ht="12.75" customHeight="1">
      <c r="A979" s="100" t="n"/>
      <c r="B979" s="101" t="n"/>
      <c r="C979" s="102" t="n"/>
      <c r="D979" s="99" t="n"/>
      <c r="E979" s="95" t="n"/>
      <c r="F979" s="95" t="n"/>
      <c r="G979" s="94" t="n"/>
      <c r="H979" s="46" t="n"/>
      <c r="I979" s="46" t="n"/>
      <c r="J979" s="46" t="n"/>
      <c r="K979" s="46" t="n"/>
      <c r="L979" s="95" t="n"/>
      <c r="M979" s="95" t="n"/>
      <c r="N979" s="95" t="n"/>
      <c r="O979" s="95" t="n"/>
      <c r="P979" s="95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  <c r="Z979" s="46" t="n"/>
    </row>
    <row r="980" ht="12.75" customHeight="1">
      <c r="A980" s="100" t="n"/>
      <c r="B980" s="101" t="n"/>
      <c r="C980" s="102" t="n"/>
      <c r="D980" s="99" t="n"/>
      <c r="E980" s="95" t="n"/>
      <c r="F980" s="95" t="n"/>
      <c r="G980" s="94" t="n"/>
      <c r="H980" s="46" t="n"/>
      <c r="I980" s="46" t="n"/>
      <c r="J980" s="46" t="n"/>
      <c r="K980" s="46" t="n"/>
      <c r="L980" s="95" t="n"/>
      <c r="M980" s="95" t="n"/>
      <c r="N980" s="95" t="n"/>
      <c r="O980" s="95" t="n"/>
      <c r="P980" s="95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  <c r="Z980" s="46" t="n"/>
    </row>
    <row r="981" ht="12.75" customHeight="1">
      <c r="A981" s="100" t="n"/>
      <c r="B981" s="101" t="n"/>
      <c r="C981" s="102" t="n"/>
      <c r="D981" s="99" t="n"/>
      <c r="E981" s="95" t="n"/>
      <c r="F981" s="95" t="n"/>
      <c r="G981" s="94" t="n"/>
      <c r="H981" s="46" t="n"/>
      <c r="I981" s="46" t="n"/>
      <c r="J981" s="46" t="n"/>
      <c r="K981" s="46" t="n"/>
      <c r="L981" s="95" t="n"/>
      <c r="M981" s="95" t="n"/>
      <c r="N981" s="95" t="n"/>
      <c r="O981" s="95" t="n"/>
      <c r="P981" s="95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  <c r="Z981" s="46" t="n"/>
    </row>
    <row r="982" ht="12.75" customHeight="1">
      <c r="A982" s="100" t="n"/>
      <c r="B982" s="101" t="n"/>
      <c r="C982" s="102" t="n"/>
      <c r="D982" s="99" t="n"/>
      <c r="E982" s="95" t="n"/>
      <c r="F982" s="95" t="n"/>
      <c r="G982" s="94" t="n"/>
      <c r="H982" s="46" t="n"/>
      <c r="I982" s="46" t="n"/>
      <c r="J982" s="46" t="n"/>
      <c r="K982" s="46" t="n"/>
      <c r="L982" s="95" t="n"/>
      <c r="M982" s="95" t="n"/>
      <c r="N982" s="95" t="n"/>
      <c r="O982" s="95" t="n"/>
      <c r="P982" s="95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  <c r="Z982" s="46" t="n"/>
    </row>
    <row r="983" ht="12.75" customHeight="1">
      <c r="A983" s="100" t="n"/>
      <c r="B983" s="101" t="n"/>
      <c r="C983" s="102" t="n"/>
      <c r="D983" s="99" t="n"/>
      <c r="E983" s="95" t="n"/>
      <c r="F983" s="95" t="n"/>
      <c r="G983" s="94" t="n"/>
      <c r="H983" s="46" t="n"/>
      <c r="I983" s="46" t="n"/>
      <c r="J983" s="46" t="n"/>
      <c r="K983" s="46" t="n"/>
      <c r="L983" s="95" t="n"/>
      <c r="M983" s="95" t="n"/>
      <c r="N983" s="95" t="n"/>
      <c r="O983" s="95" t="n"/>
      <c r="P983" s="95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  <c r="Z983" s="46" t="n"/>
    </row>
    <row r="984" ht="12.75" customHeight="1">
      <c r="A984" s="100" t="n"/>
      <c r="B984" s="101" t="n"/>
      <c r="C984" s="102" t="n"/>
      <c r="D984" s="99" t="n"/>
      <c r="E984" s="95" t="n"/>
      <c r="F984" s="95" t="n"/>
      <c r="G984" s="94" t="n"/>
      <c r="H984" s="46" t="n"/>
      <c r="I984" s="46" t="n"/>
      <c r="J984" s="46" t="n"/>
      <c r="K984" s="46" t="n"/>
      <c r="L984" s="95" t="n"/>
      <c r="M984" s="95" t="n"/>
      <c r="N984" s="95" t="n"/>
      <c r="O984" s="95" t="n"/>
      <c r="P984" s="95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  <c r="Z984" s="46" t="n"/>
    </row>
    <row r="985" ht="12.75" customHeight="1">
      <c r="A985" s="100" t="n"/>
      <c r="B985" s="101" t="n"/>
      <c r="C985" s="102" t="n"/>
      <c r="D985" s="99" t="n"/>
      <c r="E985" s="95" t="n"/>
      <c r="F985" s="95" t="n"/>
      <c r="G985" s="94" t="n"/>
      <c r="H985" s="46" t="n"/>
      <c r="I985" s="46" t="n"/>
      <c r="J985" s="46" t="n"/>
      <c r="K985" s="46" t="n"/>
      <c r="L985" s="95" t="n"/>
      <c r="M985" s="95" t="n"/>
      <c r="N985" s="95" t="n"/>
      <c r="O985" s="95" t="n"/>
      <c r="P985" s="95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  <c r="Z985" s="46" t="n"/>
    </row>
    <row r="986" ht="12.75" customHeight="1">
      <c r="A986" s="100" t="n"/>
      <c r="B986" s="101" t="n"/>
      <c r="C986" s="102" t="n"/>
      <c r="D986" s="99" t="n"/>
      <c r="E986" s="95" t="n"/>
      <c r="F986" s="95" t="n"/>
      <c r="G986" s="94" t="n"/>
      <c r="H986" s="46" t="n"/>
      <c r="I986" s="46" t="n"/>
      <c r="J986" s="46" t="n"/>
      <c r="K986" s="46" t="n"/>
      <c r="L986" s="95" t="n"/>
      <c r="M986" s="95" t="n"/>
      <c r="N986" s="95" t="n"/>
      <c r="O986" s="95" t="n"/>
      <c r="P986" s="95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  <c r="Z986" s="46" t="n"/>
    </row>
    <row r="987" ht="12.75" customHeight="1">
      <c r="A987" s="100" t="n"/>
      <c r="B987" s="101" t="n"/>
      <c r="C987" s="102" t="n"/>
      <c r="D987" s="99" t="n"/>
      <c r="E987" s="95" t="n"/>
      <c r="F987" s="95" t="n"/>
      <c r="G987" s="94" t="n"/>
      <c r="H987" s="46" t="n"/>
      <c r="I987" s="46" t="n"/>
      <c r="J987" s="46" t="n"/>
      <c r="K987" s="46" t="n"/>
      <c r="L987" s="95" t="n"/>
      <c r="M987" s="95" t="n"/>
      <c r="N987" s="95" t="n"/>
      <c r="O987" s="95" t="n"/>
      <c r="P987" s="95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  <c r="Z987" s="46" t="n"/>
    </row>
    <row r="988" ht="12.75" customHeight="1">
      <c r="A988" s="100" t="n"/>
      <c r="B988" s="101" t="n"/>
      <c r="C988" s="102" t="n"/>
      <c r="D988" s="99" t="n"/>
      <c r="E988" s="95" t="n"/>
      <c r="F988" s="95" t="n"/>
      <c r="G988" s="94" t="n"/>
      <c r="H988" s="46" t="n"/>
      <c r="I988" s="46" t="n"/>
      <c r="J988" s="46" t="n"/>
      <c r="K988" s="46" t="n"/>
      <c r="L988" s="95" t="n"/>
      <c r="M988" s="95" t="n"/>
      <c r="N988" s="95" t="n"/>
      <c r="O988" s="95" t="n"/>
      <c r="P988" s="95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  <c r="Z988" s="46" t="n"/>
    </row>
    <row r="989" ht="12.75" customHeight="1">
      <c r="A989" s="100" t="n"/>
      <c r="B989" s="101" t="n"/>
      <c r="C989" s="102" t="n"/>
      <c r="D989" s="99" t="n"/>
      <c r="E989" s="95" t="n"/>
      <c r="F989" s="95" t="n"/>
      <c r="G989" s="94" t="n"/>
      <c r="H989" s="46" t="n"/>
      <c r="I989" s="46" t="n"/>
      <c r="J989" s="46" t="n"/>
      <c r="K989" s="46" t="n"/>
      <c r="L989" s="95" t="n"/>
      <c r="M989" s="95" t="n"/>
      <c r="N989" s="95" t="n"/>
      <c r="O989" s="95" t="n"/>
      <c r="P989" s="95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  <c r="Z989" s="46" t="n"/>
    </row>
    <row r="990" ht="12.75" customHeight="1">
      <c r="A990" s="100" t="n"/>
      <c r="B990" s="101" t="n"/>
      <c r="C990" s="102" t="n"/>
      <c r="D990" s="99" t="n"/>
      <c r="E990" s="95" t="n"/>
      <c r="F990" s="95" t="n"/>
      <c r="G990" s="94" t="n"/>
      <c r="H990" s="46" t="n"/>
      <c r="I990" s="46" t="n"/>
      <c r="J990" s="46" t="n"/>
      <c r="K990" s="46" t="n"/>
      <c r="L990" s="95" t="n"/>
      <c r="M990" s="95" t="n"/>
      <c r="N990" s="95" t="n"/>
      <c r="O990" s="95" t="n"/>
      <c r="P990" s="95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  <c r="Z990" s="46" t="n"/>
    </row>
    <row r="991" ht="12.75" customHeight="1">
      <c r="A991" s="100" t="n"/>
      <c r="B991" s="101" t="n"/>
      <c r="C991" s="102" t="n"/>
      <c r="D991" s="99" t="n"/>
      <c r="E991" s="95" t="n"/>
      <c r="F991" s="95" t="n"/>
      <c r="G991" s="94" t="n"/>
      <c r="H991" s="46" t="n"/>
      <c r="I991" s="46" t="n"/>
      <c r="J991" s="46" t="n"/>
      <c r="K991" s="46" t="n"/>
      <c r="L991" s="95" t="n"/>
      <c r="M991" s="95" t="n"/>
      <c r="N991" s="95" t="n"/>
      <c r="O991" s="95" t="n"/>
      <c r="P991" s="95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  <c r="Z991" s="46" t="n"/>
    </row>
    <row r="992" ht="12.75" customHeight="1">
      <c r="A992" s="100" t="n"/>
      <c r="B992" s="101" t="n"/>
      <c r="C992" s="102" t="n"/>
      <c r="D992" s="99" t="n"/>
      <c r="E992" s="95" t="n"/>
      <c r="F992" s="95" t="n"/>
      <c r="G992" s="94" t="n"/>
      <c r="H992" s="46" t="n"/>
      <c r="I992" s="46" t="n"/>
      <c r="J992" s="46" t="n"/>
      <c r="K992" s="46" t="n"/>
      <c r="L992" s="95" t="n"/>
      <c r="M992" s="95" t="n"/>
      <c r="N992" s="95" t="n"/>
      <c r="O992" s="95" t="n"/>
      <c r="P992" s="95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  <c r="Z992" s="46" t="n"/>
    </row>
    <row r="993" ht="12.75" customHeight="1">
      <c r="A993" s="100" t="n"/>
      <c r="B993" s="101" t="n"/>
      <c r="C993" s="102" t="n"/>
      <c r="D993" s="99" t="n"/>
      <c r="E993" s="95" t="n"/>
      <c r="F993" s="95" t="n"/>
      <c r="G993" s="94" t="n"/>
      <c r="H993" s="46" t="n"/>
      <c r="I993" s="46" t="n"/>
      <c r="J993" s="46" t="n"/>
      <c r="K993" s="46" t="n"/>
      <c r="L993" s="95" t="n"/>
      <c r="M993" s="95" t="n"/>
      <c r="N993" s="95" t="n"/>
      <c r="O993" s="95" t="n"/>
      <c r="P993" s="95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  <c r="Z993" s="46" t="n"/>
    </row>
    <row r="994" ht="12.75" customHeight="1">
      <c r="A994" s="100" t="n"/>
      <c r="B994" s="101" t="n"/>
      <c r="C994" s="102" t="n"/>
      <c r="D994" s="99" t="n"/>
      <c r="E994" s="95" t="n"/>
      <c r="F994" s="95" t="n"/>
      <c r="G994" s="94" t="n"/>
      <c r="H994" s="46" t="n"/>
      <c r="I994" s="46" t="n"/>
      <c r="J994" s="46" t="n"/>
      <c r="K994" s="46" t="n"/>
      <c r="L994" s="95" t="n"/>
      <c r="M994" s="95" t="n"/>
      <c r="N994" s="95" t="n"/>
      <c r="O994" s="95" t="n"/>
      <c r="P994" s="95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  <c r="Z994" s="46" t="n"/>
    </row>
    <row r="995" ht="12.75" customHeight="1">
      <c r="A995" s="100" t="n"/>
      <c r="B995" s="101" t="n"/>
      <c r="C995" s="102" t="n"/>
      <c r="D995" s="99" t="n"/>
      <c r="E995" s="95" t="n"/>
      <c r="F995" s="95" t="n"/>
      <c r="G995" s="94" t="n"/>
      <c r="H995" s="46" t="n"/>
      <c r="I995" s="46" t="n"/>
      <c r="J995" s="46" t="n"/>
      <c r="K995" s="46" t="n"/>
      <c r="L995" s="95" t="n"/>
      <c r="M995" s="95" t="n"/>
      <c r="N995" s="95" t="n"/>
      <c r="O995" s="95" t="n"/>
      <c r="P995" s="95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  <c r="Z995" s="46" t="n"/>
    </row>
    <row r="996" ht="12.75" customHeight="1">
      <c r="A996" s="100" t="n"/>
      <c r="B996" s="101" t="n"/>
      <c r="C996" s="102" t="n"/>
      <c r="D996" s="99" t="n"/>
      <c r="E996" s="95" t="n"/>
      <c r="F996" s="95" t="n"/>
      <c r="G996" s="94" t="n"/>
      <c r="H996" s="46" t="n"/>
      <c r="I996" s="46" t="n"/>
      <c r="J996" s="46" t="n"/>
      <c r="K996" s="46" t="n"/>
      <c r="L996" s="95" t="n"/>
      <c r="M996" s="95" t="n"/>
      <c r="N996" s="95" t="n"/>
      <c r="O996" s="95" t="n"/>
      <c r="P996" s="95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  <c r="Z996" s="46" t="n"/>
    </row>
    <row r="997" ht="12.75" customHeight="1">
      <c r="A997" s="100" t="n"/>
      <c r="B997" s="101" t="n"/>
      <c r="C997" s="102" t="n"/>
      <c r="D997" s="99" t="n"/>
      <c r="E997" s="95" t="n"/>
      <c r="F997" s="95" t="n"/>
      <c r="G997" s="94" t="n"/>
      <c r="H997" s="46" t="n"/>
      <c r="I997" s="46" t="n"/>
      <c r="J997" s="46" t="n"/>
      <c r="K997" s="46" t="n"/>
      <c r="L997" s="95" t="n"/>
      <c r="M997" s="95" t="n"/>
      <c r="N997" s="95" t="n"/>
      <c r="O997" s="95" t="n"/>
      <c r="P997" s="95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  <c r="Z997" s="46" t="n"/>
    </row>
    <row r="998" ht="12.75" customHeight="1">
      <c r="A998" s="100" t="n"/>
      <c r="B998" s="101" t="n"/>
      <c r="C998" s="102" t="n"/>
      <c r="D998" s="99" t="n"/>
      <c r="E998" s="95" t="n"/>
      <c r="F998" s="95" t="n"/>
      <c r="G998" s="94" t="n"/>
      <c r="H998" s="46" t="n"/>
      <c r="I998" s="46" t="n"/>
      <c r="J998" s="46" t="n"/>
      <c r="K998" s="46" t="n"/>
      <c r="L998" s="95" t="n"/>
      <c r="M998" s="95" t="n"/>
      <c r="N998" s="95" t="n"/>
      <c r="O998" s="95" t="n"/>
      <c r="P998" s="95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  <c r="Z998" s="46" t="n"/>
    </row>
    <row r="999" ht="12.75" customHeight="1">
      <c r="A999" s="100" t="n"/>
      <c r="B999" s="101" t="n"/>
      <c r="C999" s="102" t="n"/>
      <c r="D999" s="99" t="n"/>
      <c r="E999" s="95" t="n"/>
      <c r="F999" s="95" t="n"/>
      <c r="G999" s="94" t="n"/>
      <c r="H999" s="46" t="n"/>
      <c r="I999" s="46" t="n"/>
      <c r="J999" s="46" t="n"/>
      <c r="K999" s="46" t="n"/>
      <c r="L999" s="95" t="n"/>
      <c r="M999" s="95" t="n"/>
      <c r="N999" s="95" t="n"/>
      <c r="O999" s="95" t="n"/>
      <c r="P999" s="95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  <c r="Z999" s="46" t="n"/>
    </row>
    <row r="1000" ht="12.75" customHeight="1">
      <c r="A1000" s="100" t="n"/>
      <c r="B1000" s="101" t="n"/>
      <c r="C1000" s="102" t="n"/>
      <c r="D1000" s="99" t="n"/>
      <c r="E1000" s="95" t="n"/>
      <c r="F1000" s="95" t="n"/>
      <c r="G1000" s="94" t="n"/>
      <c r="H1000" s="46" t="n"/>
      <c r="I1000" s="46" t="n"/>
      <c r="J1000" s="46" t="n"/>
      <c r="K1000" s="46" t="n"/>
      <c r="L1000" s="95" t="n"/>
      <c r="M1000" s="95" t="n"/>
      <c r="N1000" s="95" t="n"/>
      <c r="O1000" s="95" t="n"/>
      <c r="P1000" s="95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  <c r="Z1000" s="46" t="n"/>
    </row>
    <row r="1001" ht="12.75" customHeight="1">
      <c r="A1001" s="100" t="n"/>
      <c r="B1001" s="101" t="n"/>
      <c r="C1001" s="102" t="n"/>
      <c r="D1001" s="99" t="n"/>
      <c r="E1001" s="95" t="n"/>
      <c r="F1001" s="95" t="n"/>
      <c r="G1001" s="94" t="n"/>
      <c r="H1001" s="46" t="n"/>
      <c r="I1001" s="46" t="n"/>
      <c r="J1001" s="46" t="n"/>
      <c r="K1001" s="46" t="n"/>
      <c r="L1001" s="95" t="n"/>
      <c r="M1001" s="95" t="n"/>
      <c r="N1001" s="95" t="n"/>
      <c r="O1001" s="95" t="n"/>
      <c r="P1001" s="95" t="n"/>
      <c r="Q1001" s="46" t="n"/>
      <c r="R1001" s="46" t="n"/>
      <c r="S1001" s="46" t="n"/>
      <c r="T1001" s="46" t="n"/>
      <c r="U1001" s="46" t="n"/>
      <c r="V1001" s="46" t="n"/>
      <c r="W1001" s="46" t="n"/>
      <c r="X1001" s="46" t="n"/>
      <c r="Y1001" s="46" t="n"/>
      <c r="Z1001" s="46" t="n"/>
    </row>
    <row r="1002" ht="12.75" customHeight="1">
      <c r="A1002" s="100" t="n"/>
      <c r="B1002" s="101" t="n"/>
      <c r="C1002" s="102" t="n"/>
      <c r="D1002" s="99" t="n"/>
      <c r="E1002" s="95" t="n"/>
      <c r="F1002" s="95" t="n"/>
      <c r="G1002" s="94" t="n"/>
      <c r="H1002" s="46" t="n"/>
      <c r="I1002" s="46" t="n"/>
      <c r="J1002" s="46" t="n"/>
      <c r="K1002" s="46" t="n"/>
      <c r="L1002" s="95" t="n"/>
      <c r="M1002" s="95" t="n"/>
      <c r="N1002" s="95" t="n"/>
      <c r="O1002" s="95" t="n"/>
      <c r="P1002" s="95" t="n"/>
      <c r="Q1002" s="46" t="n"/>
      <c r="R1002" s="46" t="n"/>
      <c r="S1002" s="46" t="n"/>
      <c r="T1002" s="46" t="n"/>
      <c r="U1002" s="46" t="n"/>
      <c r="V1002" s="46" t="n"/>
      <c r="W1002" s="46" t="n"/>
      <c r="X1002" s="46" t="n"/>
      <c r="Y1002" s="46" t="n"/>
      <c r="Z1002" s="46" t="n"/>
    </row>
    <row r="1003" ht="12.75" customHeight="1">
      <c r="A1003" s="100" t="n"/>
      <c r="B1003" s="101" t="n"/>
      <c r="C1003" s="102" t="n"/>
      <c r="D1003" s="99" t="n"/>
      <c r="E1003" s="95" t="n"/>
      <c r="F1003" s="95" t="n"/>
      <c r="G1003" s="94" t="n"/>
      <c r="H1003" s="46" t="n"/>
      <c r="I1003" s="46" t="n"/>
      <c r="J1003" s="46" t="n"/>
      <c r="K1003" s="46" t="n"/>
      <c r="L1003" s="95" t="n"/>
      <c r="M1003" s="95" t="n"/>
      <c r="N1003" s="95" t="n"/>
      <c r="O1003" s="95" t="n"/>
      <c r="P1003" s="95" t="n"/>
      <c r="Q1003" s="46" t="n"/>
      <c r="R1003" s="46" t="n"/>
      <c r="S1003" s="46" t="n"/>
      <c r="T1003" s="46" t="n"/>
      <c r="U1003" s="46" t="n"/>
      <c r="V1003" s="46" t="n"/>
      <c r="W1003" s="46" t="n"/>
      <c r="X1003" s="46" t="n"/>
      <c r="Y1003" s="46" t="n"/>
      <c r="Z1003" s="46" t="n"/>
    </row>
    <row r="1004" ht="12.75" customHeight="1">
      <c r="A1004" s="100" t="n"/>
      <c r="B1004" s="101" t="n"/>
      <c r="C1004" s="102" t="n"/>
      <c r="D1004" s="99" t="n"/>
      <c r="E1004" s="95" t="n"/>
      <c r="F1004" s="95" t="n"/>
      <c r="G1004" s="94" t="n"/>
      <c r="H1004" s="46" t="n"/>
      <c r="I1004" s="46" t="n"/>
      <c r="J1004" s="46" t="n"/>
      <c r="K1004" s="46" t="n"/>
      <c r="L1004" s="95" t="n"/>
      <c r="M1004" s="95" t="n"/>
      <c r="N1004" s="95" t="n"/>
      <c r="O1004" s="95" t="n"/>
      <c r="P1004" s="95" t="n"/>
      <c r="Q1004" s="46" t="n"/>
      <c r="R1004" s="46" t="n"/>
      <c r="S1004" s="46" t="n"/>
      <c r="T1004" s="46" t="n"/>
      <c r="U1004" s="46" t="n"/>
      <c r="V1004" s="46" t="n"/>
      <c r="W1004" s="46" t="n"/>
      <c r="X1004" s="46" t="n"/>
      <c r="Y1004" s="46" t="n"/>
      <c r="Z1004" s="46" t="n"/>
    </row>
    <row r="1005" ht="12.75" customHeight="1">
      <c r="A1005" s="100" t="n"/>
      <c r="B1005" s="101" t="n"/>
      <c r="C1005" s="102" t="n"/>
      <c r="D1005" s="99" t="n"/>
      <c r="E1005" s="95" t="n"/>
      <c r="F1005" s="95" t="n"/>
      <c r="G1005" s="94" t="n"/>
      <c r="H1005" s="46" t="n"/>
      <c r="I1005" s="46" t="n"/>
      <c r="J1005" s="46" t="n"/>
      <c r="K1005" s="46" t="n"/>
      <c r="L1005" s="95" t="n"/>
      <c r="M1005" s="95" t="n"/>
      <c r="N1005" s="95" t="n"/>
      <c r="O1005" s="95" t="n"/>
      <c r="P1005" s="95" t="n"/>
      <c r="Q1005" s="46" t="n"/>
      <c r="R1005" s="46" t="n"/>
      <c r="S1005" s="46" t="n"/>
      <c r="T1005" s="46" t="n"/>
      <c r="U1005" s="46" t="n"/>
      <c r="V1005" s="46" t="n"/>
      <c r="W1005" s="46" t="n"/>
      <c r="X1005" s="46" t="n"/>
      <c r="Y1005" s="46" t="n"/>
      <c r="Z1005" s="46" t="n"/>
    </row>
    <row r="1006" ht="12.75" customHeight="1">
      <c r="A1006" s="100" t="n"/>
      <c r="B1006" s="101" t="n"/>
      <c r="C1006" s="102" t="n"/>
      <c r="D1006" s="99" t="n"/>
      <c r="E1006" s="95" t="n"/>
      <c r="F1006" s="95" t="n"/>
      <c r="G1006" s="94" t="n"/>
      <c r="H1006" s="46" t="n"/>
      <c r="I1006" s="46" t="n"/>
      <c r="J1006" s="46" t="n"/>
      <c r="K1006" s="46" t="n"/>
      <c r="L1006" s="95" t="n"/>
      <c r="M1006" s="95" t="n"/>
      <c r="N1006" s="95" t="n"/>
      <c r="O1006" s="95" t="n"/>
      <c r="P1006" s="95" t="n"/>
      <c r="Q1006" s="46" t="n"/>
      <c r="R1006" s="46" t="n"/>
      <c r="S1006" s="46" t="n"/>
      <c r="T1006" s="46" t="n"/>
      <c r="U1006" s="46" t="n"/>
      <c r="V1006" s="46" t="n"/>
      <c r="W1006" s="46" t="n"/>
      <c r="X1006" s="46" t="n"/>
      <c r="Y1006" s="46" t="n"/>
      <c r="Z1006" s="46" t="n"/>
    </row>
    <row r="1007" ht="12.75" customHeight="1">
      <c r="A1007" s="100" t="n"/>
      <c r="B1007" s="101" t="n"/>
      <c r="C1007" s="102" t="n"/>
      <c r="D1007" s="99" t="n"/>
      <c r="E1007" s="95" t="n"/>
      <c r="F1007" s="95" t="n"/>
      <c r="G1007" s="94" t="n"/>
      <c r="H1007" s="46" t="n"/>
      <c r="I1007" s="46" t="n"/>
      <c r="J1007" s="46" t="n"/>
      <c r="K1007" s="46" t="n"/>
      <c r="L1007" s="95" t="n"/>
      <c r="M1007" s="95" t="n"/>
      <c r="N1007" s="95" t="n"/>
      <c r="O1007" s="95" t="n"/>
      <c r="P1007" s="95" t="n"/>
      <c r="Q1007" s="46" t="n"/>
      <c r="R1007" s="46" t="n"/>
      <c r="S1007" s="46" t="n"/>
      <c r="T1007" s="46" t="n"/>
      <c r="U1007" s="46" t="n"/>
      <c r="V1007" s="46" t="n"/>
      <c r="W1007" s="46" t="n"/>
      <c r="X1007" s="46" t="n"/>
      <c r="Y1007" s="46" t="n"/>
      <c r="Z1007" s="46" t="n"/>
    </row>
    <row r="1008" ht="12.75" customHeight="1">
      <c r="A1008" s="100" t="n"/>
      <c r="B1008" s="101" t="n"/>
      <c r="C1008" s="102" t="n"/>
      <c r="D1008" s="99" t="n"/>
      <c r="E1008" s="95" t="n"/>
      <c r="F1008" s="95" t="n"/>
      <c r="G1008" s="94" t="n"/>
      <c r="H1008" s="46" t="n"/>
      <c r="I1008" s="46" t="n"/>
      <c r="J1008" s="46" t="n"/>
      <c r="K1008" s="46" t="n"/>
      <c r="L1008" s="95" t="n"/>
      <c r="M1008" s="95" t="n"/>
      <c r="N1008" s="95" t="n"/>
      <c r="O1008" s="95" t="n"/>
      <c r="P1008" s="95" t="n"/>
      <c r="Q1008" s="46" t="n"/>
      <c r="R1008" s="46" t="n"/>
      <c r="S1008" s="46" t="n"/>
      <c r="T1008" s="46" t="n"/>
      <c r="U1008" s="46" t="n"/>
      <c r="V1008" s="46" t="n"/>
      <c r="W1008" s="46" t="n"/>
      <c r="X1008" s="46" t="n"/>
      <c r="Y1008" s="46" t="n"/>
      <c r="Z1008" s="46" t="n"/>
    </row>
    <row r="1009" ht="12.75" customHeight="1">
      <c r="A1009" s="100" t="n"/>
      <c r="B1009" s="101" t="n"/>
      <c r="C1009" s="102" t="n"/>
      <c r="D1009" s="99" t="n"/>
      <c r="E1009" s="95" t="n"/>
      <c r="F1009" s="95" t="n"/>
      <c r="G1009" s="94" t="n"/>
      <c r="H1009" s="46" t="n"/>
      <c r="I1009" s="46" t="n"/>
      <c r="J1009" s="46" t="n"/>
      <c r="K1009" s="46" t="n"/>
      <c r="L1009" s="95" t="n"/>
      <c r="M1009" s="95" t="n"/>
      <c r="N1009" s="95" t="n"/>
      <c r="O1009" s="95" t="n"/>
      <c r="P1009" s="95" t="n"/>
      <c r="Q1009" s="46" t="n"/>
      <c r="R1009" s="46" t="n"/>
      <c r="S1009" s="46" t="n"/>
      <c r="T1009" s="46" t="n"/>
      <c r="U1009" s="46" t="n"/>
      <c r="V1009" s="46" t="n"/>
      <c r="W1009" s="46" t="n"/>
      <c r="X1009" s="46" t="n"/>
      <c r="Y1009" s="46" t="n"/>
      <c r="Z1009" s="46" t="n"/>
    </row>
    <row r="1010" ht="12.75" customHeight="1">
      <c r="A1010" s="100" t="n"/>
      <c r="B1010" s="101" t="n"/>
      <c r="C1010" s="102" t="n"/>
      <c r="D1010" s="99" t="n"/>
      <c r="E1010" s="95" t="n"/>
      <c r="F1010" s="95" t="n"/>
      <c r="G1010" s="94" t="n"/>
      <c r="H1010" s="46" t="n"/>
      <c r="I1010" s="46" t="n"/>
      <c r="J1010" s="46" t="n"/>
      <c r="K1010" s="46" t="n"/>
      <c r="L1010" s="95" t="n"/>
      <c r="M1010" s="95" t="n"/>
      <c r="N1010" s="95" t="n"/>
      <c r="O1010" s="95" t="n"/>
      <c r="P1010" s="95" t="n"/>
      <c r="Q1010" s="46" t="n"/>
      <c r="R1010" s="46" t="n"/>
      <c r="S1010" s="46" t="n"/>
      <c r="T1010" s="46" t="n"/>
      <c r="U1010" s="46" t="n"/>
      <c r="V1010" s="46" t="n"/>
      <c r="W1010" s="46" t="n"/>
      <c r="X1010" s="46" t="n"/>
      <c r="Y1010" s="46" t="n"/>
      <c r="Z1010" s="46" t="n"/>
    </row>
    <row r="1011" ht="12.75" customHeight="1">
      <c r="A1011" s="100" t="n"/>
      <c r="B1011" s="101" t="n"/>
      <c r="C1011" s="102" t="n"/>
      <c r="D1011" s="99" t="n"/>
      <c r="E1011" s="95" t="n"/>
      <c r="F1011" s="95" t="n"/>
      <c r="G1011" s="94" t="n"/>
      <c r="H1011" s="46" t="n"/>
      <c r="I1011" s="46" t="n"/>
      <c r="J1011" s="46" t="n"/>
      <c r="K1011" s="46" t="n"/>
      <c r="L1011" s="95" t="n"/>
      <c r="M1011" s="95" t="n"/>
      <c r="N1011" s="95" t="n"/>
      <c r="O1011" s="95" t="n"/>
      <c r="P1011" s="95" t="n"/>
      <c r="Q1011" s="46" t="n"/>
      <c r="R1011" s="46" t="n"/>
      <c r="S1011" s="46" t="n"/>
      <c r="T1011" s="46" t="n"/>
      <c r="U1011" s="46" t="n"/>
      <c r="V1011" s="46" t="n"/>
      <c r="W1011" s="46" t="n"/>
      <c r="X1011" s="46" t="n"/>
      <c r="Y1011" s="46" t="n"/>
      <c r="Z1011" s="46" t="n"/>
    </row>
    <row r="1012" ht="12.75" customHeight="1">
      <c r="A1012" s="100" t="n"/>
      <c r="B1012" s="101" t="n"/>
      <c r="C1012" s="102" t="n"/>
      <c r="D1012" s="99" t="n"/>
      <c r="E1012" s="95" t="n"/>
      <c r="F1012" s="95" t="n"/>
      <c r="G1012" s="94" t="n"/>
      <c r="H1012" s="46" t="n"/>
      <c r="I1012" s="46" t="n"/>
      <c r="J1012" s="46" t="n"/>
      <c r="K1012" s="46" t="n"/>
      <c r="L1012" s="95" t="n"/>
      <c r="M1012" s="95" t="n"/>
      <c r="N1012" s="95" t="n"/>
      <c r="O1012" s="95" t="n"/>
      <c r="P1012" s="95" t="n"/>
      <c r="Q1012" s="46" t="n"/>
      <c r="R1012" s="46" t="n"/>
      <c r="S1012" s="46" t="n"/>
      <c r="T1012" s="46" t="n"/>
      <c r="U1012" s="46" t="n"/>
      <c r="V1012" s="46" t="n"/>
      <c r="W1012" s="46" t="n"/>
      <c r="X1012" s="46" t="n"/>
      <c r="Y1012" s="46" t="n"/>
      <c r="Z1012" s="46" t="n"/>
    </row>
    <row r="1013" ht="12.75" customHeight="1">
      <c r="A1013" s="100" t="n"/>
      <c r="B1013" s="101" t="n"/>
      <c r="C1013" s="102" t="n"/>
      <c r="D1013" s="99" t="n"/>
      <c r="E1013" s="95" t="n"/>
      <c r="F1013" s="95" t="n"/>
      <c r="G1013" s="94" t="n"/>
      <c r="H1013" s="46" t="n"/>
      <c r="I1013" s="46" t="n"/>
      <c r="J1013" s="46" t="n"/>
      <c r="K1013" s="46" t="n"/>
      <c r="L1013" s="95" t="n"/>
      <c r="M1013" s="95" t="n"/>
      <c r="N1013" s="95" t="n"/>
      <c r="O1013" s="95" t="n"/>
      <c r="P1013" s="95" t="n"/>
      <c r="Q1013" s="46" t="n"/>
      <c r="R1013" s="46" t="n"/>
      <c r="S1013" s="46" t="n"/>
      <c r="T1013" s="46" t="n"/>
      <c r="U1013" s="46" t="n"/>
      <c r="V1013" s="46" t="n"/>
      <c r="W1013" s="46" t="n"/>
      <c r="X1013" s="46" t="n"/>
      <c r="Y1013" s="46" t="n"/>
      <c r="Z1013" s="46" t="n"/>
    </row>
    <row r="1014" ht="12.75" customHeight="1">
      <c r="A1014" s="100" t="n"/>
      <c r="B1014" s="101" t="n"/>
      <c r="C1014" s="102" t="n"/>
      <c r="D1014" s="99" t="n"/>
      <c r="E1014" s="95" t="n"/>
      <c r="F1014" s="95" t="n"/>
      <c r="G1014" s="94" t="n"/>
      <c r="H1014" s="46" t="n"/>
      <c r="I1014" s="46" t="n"/>
      <c r="J1014" s="46" t="n"/>
      <c r="K1014" s="46" t="n"/>
      <c r="L1014" s="95" t="n"/>
      <c r="M1014" s="95" t="n"/>
      <c r="N1014" s="95" t="n"/>
      <c r="O1014" s="95" t="n"/>
      <c r="P1014" s="95" t="n"/>
      <c r="Q1014" s="46" t="n"/>
      <c r="R1014" s="46" t="n"/>
      <c r="S1014" s="46" t="n"/>
      <c r="T1014" s="46" t="n"/>
      <c r="U1014" s="46" t="n"/>
      <c r="V1014" s="46" t="n"/>
      <c r="W1014" s="46" t="n"/>
      <c r="X1014" s="46" t="n"/>
      <c r="Y1014" s="46" t="n"/>
      <c r="Z1014" s="46" t="n"/>
    </row>
    <row r="1015" ht="12.75" customHeight="1">
      <c r="A1015" s="100" t="n"/>
      <c r="B1015" s="101" t="n"/>
      <c r="C1015" s="102" t="n"/>
      <c r="D1015" s="99" t="n"/>
      <c r="E1015" s="95" t="n"/>
      <c r="F1015" s="95" t="n"/>
      <c r="G1015" s="94" t="n"/>
      <c r="H1015" s="46" t="n"/>
      <c r="I1015" s="46" t="n"/>
      <c r="J1015" s="46" t="n"/>
      <c r="K1015" s="46" t="n"/>
      <c r="L1015" s="95" t="n"/>
      <c r="M1015" s="95" t="n"/>
      <c r="N1015" s="95" t="n"/>
      <c r="O1015" s="95" t="n"/>
      <c r="P1015" s="95" t="n"/>
      <c r="Q1015" s="46" t="n"/>
      <c r="R1015" s="46" t="n"/>
      <c r="S1015" s="46" t="n"/>
      <c r="T1015" s="46" t="n"/>
      <c r="U1015" s="46" t="n"/>
      <c r="V1015" s="46" t="n"/>
      <c r="W1015" s="46" t="n"/>
      <c r="X1015" s="46" t="n"/>
      <c r="Y1015" s="46" t="n"/>
      <c r="Z1015" s="46" t="n"/>
    </row>
  </sheetData>
  <mergeCells count="3">
    <mergeCell ref="A5:P5"/>
    <mergeCell ref="A1:Q1"/>
    <mergeCell ref="A36:Q36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topLeftCell="A44" zoomScaleNormal="100" workbookViewId="0">
      <selection activeCell="F71" sqref="F71"/>
    </sheetView>
  </sheetViews>
  <sheetFormatPr baseColWidth="8" defaultColWidth="14.3984375" defaultRowHeight="13"/>
  <cols>
    <col width="7.3984375" customWidth="1" min="1" max="1"/>
    <col width="19.19921875" customWidth="1" min="2" max="2"/>
    <col width="6.59765625" customWidth="1" min="3" max="3"/>
    <col width="7.3984375" customWidth="1" min="4" max="4"/>
    <col width="18.59765625" customWidth="1" min="5" max="5"/>
    <col width="7.3984375" customWidth="1" min="6" max="10"/>
    <col width="4" customWidth="1" min="11" max="11"/>
    <col width="3" customWidth="1" min="12" max="12"/>
    <col width="7.3984375" customWidth="1" min="13" max="13"/>
    <col width="3.59765625" customWidth="1" min="14" max="14"/>
    <col width="4.796875" customWidth="1" min="15" max="15"/>
    <col width="2.796875" customWidth="1" min="16" max="16"/>
    <col width="39.59765625" customWidth="1" min="17" max="17"/>
    <col width="9.19921875" customWidth="1" min="18" max="23"/>
    <col width="8.59765625" customWidth="1" min="24" max="26"/>
  </cols>
  <sheetData>
    <row r="1" ht="54.75" customHeight="1">
      <c r="A1" s="156" t="inlineStr">
        <is>
          <t>Instructions</t>
        </is>
      </c>
      <c r="B1" s="161" t="n"/>
      <c r="C1" s="161" t="n"/>
      <c r="D1" s="161" t="n"/>
      <c r="E1" s="161" t="n"/>
      <c r="F1" s="161" t="n"/>
      <c r="G1" s="161" t="n"/>
      <c r="H1" s="161" t="n"/>
      <c r="I1" s="161" t="n"/>
      <c r="J1" s="161" t="n"/>
      <c r="K1" s="161" t="n"/>
      <c r="L1" s="161" t="n"/>
      <c r="M1" s="161" t="n"/>
      <c r="N1" s="161" t="n"/>
      <c r="O1" s="161" t="n"/>
      <c r="P1" s="161" t="n"/>
      <c r="Q1" s="162" t="n"/>
      <c r="R1" s="46" t="n"/>
      <c r="S1" s="46" t="n"/>
      <c r="T1" s="46" t="n"/>
      <c r="U1" s="46" t="n"/>
      <c r="V1" s="46" t="n"/>
      <c r="W1" s="46" t="n"/>
      <c r="X1" s="46" t="n"/>
      <c r="Y1" s="46" t="n"/>
      <c r="Z1" s="46" t="n"/>
    </row>
    <row r="2" ht="8.25" customHeight="1">
      <c r="A2" s="47" t="n"/>
      <c r="B2" s="48" t="n"/>
      <c r="C2" s="49" t="n"/>
      <c r="D2" s="50" t="n"/>
      <c r="E2" s="51" t="n"/>
      <c r="F2" s="52" t="n"/>
      <c r="G2" s="53" t="n"/>
      <c r="H2" s="52" t="n"/>
      <c r="I2" s="52" t="n"/>
      <c r="J2" s="52" t="n"/>
      <c r="K2" s="52" t="n"/>
      <c r="L2" s="51" t="n"/>
      <c r="M2" s="51" t="n"/>
      <c r="N2" s="51" t="n"/>
      <c r="O2" s="51" t="n"/>
      <c r="P2" s="51" t="n"/>
      <c r="Q2" s="54" t="n"/>
      <c r="R2" s="46" t="n"/>
      <c r="S2" s="46" t="n"/>
      <c r="T2" s="46" t="n"/>
      <c r="U2" s="46" t="n"/>
      <c r="V2" s="46" t="n"/>
      <c r="W2" s="46" t="n"/>
      <c r="X2" s="46" t="n"/>
      <c r="Y2" s="46" t="n"/>
      <c r="Z2" s="46" t="n"/>
    </row>
    <row r="3" ht="12.75" customHeight="1">
      <c r="A3" s="55" t="n"/>
      <c r="B3" s="56" t="n"/>
      <c r="C3" s="57" t="n"/>
      <c r="D3" s="58" t="n"/>
      <c r="E3" s="59" t="n"/>
      <c r="F3" s="59" t="n"/>
      <c r="G3" s="60" t="n"/>
      <c r="H3" s="61" t="n"/>
      <c r="I3" s="61" t="n"/>
      <c r="J3" s="61" t="n"/>
      <c r="K3" s="61" t="n"/>
      <c r="L3" s="59" t="n"/>
      <c r="M3" s="59" t="n"/>
      <c r="N3" s="59" t="n"/>
      <c r="O3" s="59" t="n"/>
      <c r="P3" s="59" t="n"/>
      <c r="Q3" s="62" t="n"/>
      <c r="R3" s="46" t="n"/>
      <c r="S3" s="46" t="n"/>
      <c r="T3" s="46" t="n"/>
      <c r="U3" s="46" t="n"/>
      <c r="V3" s="46" t="n"/>
      <c r="W3" s="46" t="n"/>
      <c r="X3" s="46" t="n"/>
      <c r="Y3" s="46" t="n"/>
      <c r="Z3" s="46" t="n"/>
    </row>
    <row r="4" ht="12.75" customHeight="1">
      <c r="A4" s="63" t="n"/>
      <c r="B4" s="64" t="n"/>
      <c r="C4" s="64" t="n"/>
      <c r="D4" s="65" t="n"/>
      <c r="E4" s="66" t="n"/>
      <c r="F4" s="66" t="n"/>
      <c r="G4" s="67" t="n"/>
      <c r="H4" s="68" t="n"/>
      <c r="I4" s="68" t="n"/>
      <c r="J4" s="68" t="n"/>
      <c r="K4" s="68" t="n"/>
      <c r="L4" s="66" t="n"/>
      <c r="M4" s="66" t="n"/>
      <c r="N4" s="66" t="n"/>
      <c r="O4" s="66" t="n"/>
      <c r="P4" s="66" t="n"/>
      <c r="Q4" s="54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</row>
    <row r="5" ht="66.75" customHeight="1">
      <c r="A5" s="157" t="inlineStr">
        <is>
          <t>Kiekvienas dalyvis pasirenka 4 komandas ir išrikiuoja jas pagal svarbą nuo 1 (komanda, kuria labiausiai tiki) iki 4 (komanda, kuria tiki mažiausiai). Be to, reikia pasirinkti 1 papildomą komandą, kuri, tavo nuomone, pelnys daugiausiai įvarčių per čempionatą (žais gražiausią ir rezultatyviausią futbolą), nepriklausomai nuo to, kuriame etape ji sustos. Taip pat yra naujas TOTO kriterijus — reikia pasirinkti tris „silpnesnes“ komandas iš žemiau pateikto sąrašo 1.1, 1.2 ir 1.3. Trys papildomos komandos yra reitinguojamos pagal esamą FIFA reitingą. Tai galimybė užsidirbti papildomų taškų.</t>
        </is>
      </c>
      <c r="Q5" s="54" t="n"/>
      <c r="R5" s="46" t="n"/>
      <c r="S5" s="70" t="n"/>
      <c r="T5" s="46" t="n"/>
      <c r="U5" s="46" t="n"/>
      <c r="V5" s="46" t="n"/>
      <c r="W5" s="46" t="n"/>
      <c r="X5" s="46" t="n"/>
      <c r="Y5" s="46" t="n"/>
      <c r="Z5" s="46" t="n"/>
    </row>
    <row r="6" ht="12.75" customHeight="1">
      <c r="A6" s="157" t="n"/>
      <c r="B6" s="71" t="n"/>
      <c r="C6" s="71" t="n"/>
      <c r="D6" s="71" t="n"/>
      <c r="E6" s="71" t="n"/>
      <c r="F6" s="71" t="n"/>
      <c r="G6" s="71" t="n"/>
      <c r="H6" s="71" t="n"/>
      <c r="I6" s="71" t="n"/>
      <c r="J6" s="71" t="n"/>
      <c r="K6" s="71" t="n"/>
      <c r="L6" s="71" t="n"/>
      <c r="M6" s="71" t="n"/>
      <c r="N6" s="71" t="n"/>
      <c r="O6" s="71" t="n"/>
      <c r="P6" s="71" t="n"/>
      <c r="Q6" s="54" t="n"/>
      <c r="R6" s="46" t="n"/>
      <c r="S6" s="46" t="n"/>
      <c r="T6" s="46" t="n"/>
      <c r="U6" s="46" t="n"/>
      <c r="V6" s="46" t="n"/>
      <c r="W6" s="46" t="n"/>
      <c r="X6" s="46" t="n"/>
      <c r="Y6" s="46" t="n"/>
      <c r="Z6" s="46" t="n"/>
    </row>
    <row r="7" ht="12.75" customHeight="1">
      <c r="A7" s="72" t="inlineStr">
        <is>
          <t>Papildomų komandų sąrašai:</t>
        </is>
      </c>
      <c r="B7" s="73" t="n"/>
      <c r="C7" s="52" t="n"/>
      <c r="D7" s="71" t="n"/>
      <c r="E7" s="71" t="n"/>
      <c r="F7" s="71" t="n"/>
      <c r="G7" s="71" t="n"/>
      <c r="H7" s="71" t="n"/>
      <c r="I7" s="71" t="n"/>
      <c r="J7" s="71" t="n"/>
      <c r="K7" s="71" t="n"/>
      <c r="L7" s="71" t="n"/>
      <c r="M7" s="71" t="n"/>
      <c r="N7" s="71" t="n"/>
      <c r="O7" s="71" t="n"/>
      <c r="P7" s="71" t="n"/>
      <c r="Q7" s="54" t="n"/>
      <c r="R7" s="46" t="n"/>
      <c r="S7" s="46" t="n"/>
      <c r="T7" s="46" t="n"/>
      <c r="U7" s="46" t="n"/>
      <c r="V7" s="46" t="n"/>
      <c r="W7" s="46" t="n"/>
      <c r="X7" s="46" t="n"/>
      <c r="Y7" s="46" t="n"/>
      <c r="Z7" s="46" t="n"/>
    </row>
    <row r="8" ht="12.75" customHeight="1">
      <c r="A8" s="73" t="n"/>
      <c r="B8" s="74" t="n">
        <v>1.1</v>
      </c>
      <c r="C8" s="73" t="n"/>
      <c r="D8" s="75" t="n">
        <v>1.2</v>
      </c>
      <c r="E8" s="71" t="n"/>
      <c r="F8" s="74" t="n">
        <v>1.3</v>
      </c>
      <c r="G8" s="71" t="n"/>
      <c r="H8" s="71" t="n"/>
      <c r="I8" s="71" t="n"/>
      <c r="J8" s="71" t="n"/>
      <c r="K8" s="71" t="n"/>
      <c r="L8" s="71" t="n"/>
      <c r="M8" s="71" t="n"/>
      <c r="N8" s="71" t="n"/>
      <c r="O8" s="71" t="n"/>
      <c r="P8" s="71" t="n"/>
      <c r="Q8" s="54" t="n"/>
      <c r="R8" s="46" t="n"/>
      <c r="S8" s="46" t="n"/>
      <c r="T8" s="46" t="n"/>
      <c r="U8" s="46" t="n"/>
      <c r="V8" s="46" t="n"/>
      <c r="W8" s="46" t="n"/>
      <c r="X8" s="46" t="n"/>
      <c r="Y8" s="46" t="n"/>
      <c r="Z8" s="46" t="n"/>
    </row>
    <row r="9" ht="12.75" customHeight="1">
      <c r="A9" s="73" t="n"/>
      <c r="B9" s="76" t="inlineStr">
        <is>
          <t>Colombia</t>
        </is>
      </c>
      <c r="C9" s="73" t="n"/>
      <c r="D9" s="76" t="inlineStr">
        <is>
          <t>Australia</t>
        </is>
      </c>
      <c r="E9" s="73" t="n"/>
      <c r="F9" s="76" t="inlineStr">
        <is>
          <t>DR Congo</t>
        </is>
      </c>
      <c r="G9" s="73" t="n"/>
      <c r="H9" s="73" t="n"/>
      <c r="I9" s="73" t="n"/>
      <c r="J9" s="73" t="n"/>
      <c r="K9" s="73" t="n"/>
      <c r="L9" s="73" t="n"/>
      <c r="M9" s="73" t="n"/>
      <c r="N9" s="73" t="n"/>
      <c r="O9" s="73" t="n"/>
      <c r="P9" s="73" t="n"/>
      <c r="Q9" s="73" t="n"/>
      <c r="R9" s="46" t="n"/>
      <c r="S9" s="46" t="n"/>
      <c r="T9" s="46" t="n"/>
      <c r="U9" s="46" t="n"/>
      <c r="V9" s="46" t="n"/>
      <c r="W9" s="46" t="n"/>
      <c r="X9" s="46" t="n"/>
      <c r="Y9" s="46" t="n"/>
      <c r="Z9" s="46" t="n"/>
    </row>
    <row r="10" ht="12.75" customHeight="1">
      <c r="A10" s="157" t="n"/>
      <c r="B10" s="76" t="inlineStr">
        <is>
          <t>Senegal</t>
        </is>
      </c>
      <c r="C10" s="77" t="n"/>
      <c r="D10" s="76" t="inlineStr">
        <is>
          <t>Algeria</t>
        </is>
      </c>
      <c r="E10" s="71" t="n"/>
      <c r="F10" s="76" t="inlineStr">
        <is>
          <t>Uzbekistan</t>
        </is>
      </c>
      <c r="G10" s="71" t="n"/>
      <c r="H10" s="71" t="n"/>
      <c r="I10" s="71" t="n"/>
      <c r="J10" s="71" t="n"/>
      <c r="K10" s="71" t="n"/>
      <c r="L10" s="71" t="n"/>
      <c r="M10" s="71" t="n"/>
      <c r="N10" s="71" t="n"/>
      <c r="O10" s="71" t="n"/>
      <c r="P10" s="71" t="n"/>
      <c r="Q10" s="54" t="n"/>
      <c r="R10" s="46" t="n"/>
      <c r="S10" s="46" t="n"/>
      <c r="T10" s="46" t="n"/>
      <c r="U10" s="46" t="n"/>
      <c r="V10" s="46" t="n"/>
      <c r="W10" s="46" t="n"/>
      <c r="X10" s="46" t="n"/>
      <c r="Y10" s="46" t="n"/>
      <c r="Z10" s="46" t="n"/>
    </row>
    <row r="11" ht="12.75" customHeight="1">
      <c r="A11" s="157" t="n"/>
      <c r="B11" s="76" t="inlineStr">
        <is>
          <t>Mexico</t>
        </is>
      </c>
      <c r="C11" s="77" t="n"/>
      <c r="D11" s="76" t="inlineStr">
        <is>
          <t>Egypt</t>
        </is>
      </c>
      <c r="E11" s="71" t="n"/>
      <c r="F11" s="76" t="inlineStr">
        <is>
          <t>Qatar</t>
        </is>
      </c>
      <c r="G11" s="71" t="n"/>
      <c r="H11" s="71" t="n"/>
      <c r="I11" s="71" t="n"/>
      <c r="J11" s="71" t="n"/>
      <c r="K11" s="71" t="n"/>
      <c r="L11" s="71" t="n"/>
      <c r="M11" s="71" t="n"/>
      <c r="N11" s="71" t="n"/>
      <c r="O11" s="71" t="n"/>
      <c r="P11" s="71" t="n"/>
      <c r="Q11" s="54" t="n"/>
      <c r="R11" s="46" t="n"/>
      <c r="S11" s="46" t="n"/>
      <c r="T11" s="46" t="n"/>
      <c r="U11" s="46" t="n"/>
      <c r="V11" s="46" t="n"/>
      <c r="W11" s="46" t="n"/>
      <c r="X11" s="46" t="n"/>
      <c r="Y11" s="46" t="n"/>
      <c r="Z11" s="46" t="n"/>
    </row>
    <row r="12" ht="12.75" customHeight="1">
      <c r="A12" s="157" t="n"/>
      <c r="B12" s="76" t="inlineStr">
        <is>
          <t>United States</t>
        </is>
      </c>
      <c r="C12" s="77" t="n"/>
      <c r="D12" s="76" t="inlineStr">
        <is>
          <t>Canada</t>
        </is>
      </c>
      <c r="E12" s="71" t="n"/>
      <c r="F12" s="76" t="inlineStr">
        <is>
          <t>Iraq</t>
        </is>
      </c>
      <c r="G12" s="71" t="n"/>
      <c r="H12" s="71" t="n"/>
      <c r="I12" s="71" t="n"/>
      <c r="J12" s="71" t="n"/>
      <c r="K12" s="71" t="n"/>
      <c r="L12" s="71" t="n"/>
      <c r="M12" s="71" t="n"/>
      <c r="N12" s="71" t="n"/>
      <c r="O12" s="71" t="n"/>
      <c r="P12" s="71" t="n"/>
      <c r="Q12" s="54" t="n"/>
      <c r="R12" s="46" t="n"/>
      <c r="S12" s="46" t="n"/>
      <c r="T12" s="46" t="n"/>
      <c r="U12" s="46" t="n"/>
      <c r="V12" s="46" t="n"/>
      <c r="W12" s="46" t="n"/>
      <c r="X12" s="46" t="n"/>
      <c r="Y12" s="46" t="n"/>
      <c r="Z12" s="46" t="n"/>
    </row>
    <row r="13" ht="12.75" customHeight="1">
      <c r="A13" s="157" t="n"/>
      <c r="B13" s="76" t="inlineStr">
        <is>
          <t>Uruguay</t>
        </is>
      </c>
      <c r="C13" s="77" t="n"/>
      <c r="D13" s="76" t="inlineStr">
        <is>
          <t>Norway</t>
        </is>
      </c>
      <c r="E13" s="71" t="n"/>
      <c r="F13" s="76" t="inlineStr">
        <is>
          <t>South Africa</t>
        </is>
      </c>
      <c r="G13" s="71" t="n"/>
      <c r="H13" s="71" t="n"/>
      <c r="I13" s="71" t="n"/>
      <c r="J13" s="71" t="n"/>
      <c r="K13" s="71" t="n"/>
      <c r="L13" s="71" t="n"/>
      <c r="M13" s="71" t="n"/>
      <c r="N13" s="71" t="n"/>
      <c r="O13" s="71" t="n"/>
      <c r="P13" s="71" t="n"/>
      <c r="Q13" s="54" t="n"/>
      <c r="R13" s="46" t="n"/>
      <c r="S13" s="46" t="n"/>
      <c r="T13" s="46" t="n"/>
      <c r="U13" s="46" t="n"/>
      <c r="V13" s="46" t="n"/>
      <c r="W13" s="46" t="n"/>
      <c r="X13" s="46" t="n"/>
      <c r="Y13" s="46" t="n"/>
      <c r="Z13" s="46" t="n"/>
    </row>
    <row r="14" ht="12.75" customHeight="1">
      <c r="A14" s="157" t="n"/>
      <c r="B14" s="76" t="inlineStr">
        <is>
          <t>Japan</t>
        </is>
      </c>
      <c r="C14" s="77" t="n"/>
      <c r="D14" s="76" t="inlineStr">
        <is>
          <t>Panama</t>
        </is>
      </c>
      <c r="E14" s="71" t="n"/>
      <c r="F14" s="76" t="inlineStr">
        <is>
          <t>Saudi Arabia</t>
        </is>
      </c>
      <c r="G14" s="71" t="n"/>
      <c r="H14" s="71" t="n"/>
      <c r="I14" s="71" t="n"/>
      <c r="J14" s="71" t="n"/>
      <c r="K14" s="71" t="n"/>
      <c r="L14" s="71" t="n"/>
      <c r="M14" s="71" t="n"/>
      <c r="N14" s="71" t="n"/>
      <c r="O14" s="71" t="n"/>
      <c r="P14" s="71" t="n"/>
      <c r="Q14" s="54" t="n"/>
      <c r="R14" s="46" t="n"/>
      <c r="S14" s="46" t="n"/>
      <c r="T14" s="46" t="n"/>
      <c r="U14" s="46" t="n"/>
      <c r="V14" s="46" t="n"/>
      <c r="W14" s="46" t="n"/>
      <c r="X14" s="46" t="n"/>
      <c r="Y14" s="46" t="n"/>
      <c r="Z14" s="46" t="n"/>
    </row>
    <row r="15" ht="12.75" customHeight="1">
      <c r="A15" s="157" t="n"/>
      <c r="B15" s="76" t="inlineStr">
        <is>
          <t>Switzerland</t>
        </is>
      </c>
      <c r="C15" s="77" t="n"/>
      <c r="D15" s="76" t="inlineStr">
        <is>
          <t>Ivory Coast</t>
        </is>
      </c>
      <c r="E15" s="71" t="n"/>
      <c r="F15" s="76" t="inlineStr">
        <is>
          <t>Jordan</t>
        </is>
      </c>
      <c r="G15" s="71" t="n"/>
      <c r="H15" s="71" t="n"/>
      <c r="I15" s="71" t="n"/>
      <c r="J15" s="71" t="n"/>
      <c r="K15" s="71" t="n"/>
      <c r="L15" s="71" t="n"/>
      <c r="M15" s="71" t="n"/>
      <c r="N15" s="71" t="n"/>
      <c r="O15" s="71" t="n"/>
      <c r="P15" s="71" t="n"/>
      <c r="Q15" s="54" t="n"/>
      <c r="R15" s="46" t="n"/>
      <c r="S15" s="46" t="n"/>
      <c r="T15" s="46" t="n"/>
      <c r="U15" s="46" t="n"/>
      <c r="V15" s="46" t="n"/>
      <c r="W15" s="46" t="n"/>
      <c r="X15" s="46" t="n"/>
      <c r="Y15" s="46" t="n"/>
      <c r="Z15" s="46" t="n"/>
    </row>
    <row r="16" ht="12.75" customHeight="1">
      <c r="A16" s="157" t="n"/>
      <c r="B16" s="76" t="inlineStr">
        <is>
          <t>Iran</t>
        </is>
      </c>
      <c r="C16" s="77" t="n"/>
      <c r="D16" s="76" t="inlineStr">
        <is>
          <t>Sweden</t>
        </is>
      </c>
      <c r="E16" s="71" t="n"/>
      <c r="F16" s="76" t="inlineStr">
        <is>
          <t>Bosnia &amp; Herzegovina</t>
        </is>
      </c>
      <c r="G16" s="71" t="n"/>
      <c r="H16" s="71" t="n"/>
      <c r="I16" s="71" t="n"/>
      <c r="J16" s="71" t="n"/>
      <c r="K16" s="71" t="n"/>
      <c r="L16" s="71" t="n"/>
      <c r="M16" s="71" t="n"/>
      <c r="N16" s="71" t="n"/>
      <c r="O16" s="71" t="n"/>
      <c r="P16" s="71" t="n"/>
      <c r="Q16" s="54" t="n"/>
      <c r="R16" s="46" t="n"/>
      <c r="S16" s="46" t="n"/>
      <c r="T16" s="46" t="n"/>
      <c r="U16" s="46" t="n"/>
      <c r="V16" s="46" t="n"/>
      <c r="W16" s="46" t="n"/>
      <c r="X16" s="46" t="n"/>
      <c r="Y16" s="46" t="n"/>
      <c r="Z16" s="46" t="n"/>
    </row>
    <row r="17" hidden="1" ht="12.75" customHeight="1">
      <c r="A17" s="157" t="n"/>
      <c r="B17" s="76" t="inlineStr">
        <is>
          <t>Türkiye</t>
        </is>
      </c>
      <c r="C17" s="77" t="n"/>
      <c r="D17" s="76" t="inlineStr">
        <is>
          <t>Paraguay</t>
        </is>
      </c>
      <c r="E17" s="71" t="n"/>
      <c r="F17" s="76" t="inlineStr">
        <is>
          <t>Cape Verde</t>
        </is>
      </c>
      <c r="G17" s="71" t="n"/>
      <c r="H17" s="71" t="n"/>
      <c r="I17" s="71" t="n"/>
      <c r="J17" s="71" t="n"/>
      <c r="K17" s="71" t="n"/>
      <c r="L17" s="71" t="n"/>
      <c r="M17" s="71" t="n"/>
      <c r="N17" s="71" t="n"/>
      <c r="O17" s="71" t="n"/>
      <c r="P17" s="71" t="n"/>
      <c r="Q17" s="54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</row>
    <row r="18" ht="12.75" customHeight="1">
      <c r="A18" s="157" t="n"/>
      <c r="B18" s="76" t="inlineStr">
        <is>
          <t>Ecuador</t>
        </is>
      </c>
      <c r="C18" s="52" t="n"/>
      <c r="D18" s="76" t="inlineStr">
        <is>
          <t>Czechia</t>
        </is>
      </c>
      <c r="E18" s="71" t="n"/>
      <c r="F18" s="76" t="inlineStr">
        <is>
          <t>Ghana</t>
        </is>
      </c>
      <c r="G18" s="71" t="n"/>
      <c r="H18" s="71" t="n"/>
      <c r="I18" s="71" t="n"/>
      <c r="J18" s="71" t="n"/>
      <c r="K18" s="71" t="n"/>
      <c r="L18" s="71" t="n"/>
      <c r="M18" s="71" t="n"/>
      <c r="N18" s="71" t="n"/>
      <c r="O18" s="71" t="n"/>
      <c r="P18" s="71" t="n"/>
      <c r="Q18" s="54" t="n"/>
      <c r="R18" s="46" t="n"/>
      <c r="S18" s="46" t="n"/>
      <c r="T18" s="46" t="n"/>
      <c r="U18" s="46" t="n"/>
      <c r="V18" s="46" t="n"/>
      <c r="W18" s="46" t="n"/>
      <c r="X18" s="46" t="n"/>
      <c r="Y18" s="46" t="n"/>
      <c r="Z18" s="46" t="n"/>
    </row>
    <row r="19" ht="12.75" customHeight="1">
      <c r="A19" s="157" t="n"/>
      <c r="B19" s="76" t="inlineStr">
        <is>
          <t>Austria</t>
        </is>
      </c>
      <c r="C19" s="52" t="n"/>
      <c r="D19" s="76" t="inlineStr">
        <is>
          <t>Scotland</t>
        </is>
      </c>
      <c r="E19" s="71" t="n"/>
      <c r="F19" s="76" t="inlineStr">
        <is>
          <t>Curaçao</t>
        </is>
      </c>
      <c r="G19" s="71" t="n"/>
      <c r="H19" s="71" t="n"/>
      <c r="I19" s="71" t="n"/>
      <c r="J19" s="78" t="n"/>
      <c r="K19" s="71" t="n"/>
      <c r="L19" s="71" t="n"/>
      <c r="M19" s="71" t="n"/>
      <c r="N19" s="71" t="n"/>
      <c r="O19" s="71" t="n"/>
      <c r="P19" s="71" t="n"/>
      <c r="Q19" s="54" t="n"/>
      <c r="R19" s="46" t="n"/>
      <c r="S19" s="46" t="n"/>
      <c r="T19" s="46" t="n"/>
      <c r="U19" s="46" t="n"/>
      <c r="V19" s="46" t="n"/>
      <c r="W19" s="46" t="n"/>
      <c r="X19" s="46" t="n"/>
      <c r="Y19" s="46" t="n"/>
      <c r="Z19" s="46" t="n"/>
    </row>
    <row r="20" ht="12.75" customHeight="1">
      <c r="A20" s="157" t="n"/>
      <c r="B20" s="76" t="inlineStr">
        <is>
          <t>South Korea</t>
        </is>
      </c>
      <c r="C20" s="52" t="n"/>
      <c r="D20" s="76" t="inlineStr">
        <is>
          <t>Tunisia</t>
        </is>
      </c>
      <c r="E20" s="71" t="n"/>
      <c r="F20" s="76" t="inlineStr">
        <is>
          <t>Haiti</t>
        </is>
      </c>
      <c r="G20" s="71" t="n"/>
      <c r="H20" s="71" t="n"/>
      <c r="I20" s="71" t="n"/>
      <c r="J20" s="71" t="n"/>
      <c r="K20" s="71" t="n"/>
      <c r="L20" s="71" t="n"/>
      <c r="M20" s="71" t="n"/>
      <c r="N20" s="71" t="n"/>
      <c r="O20" s="71" t="n"/>
      <c r="P20" s="71" t="n"/>
      <c r="Q20" s="54" t="n"/>
      <c r="R20" s="46" t="n"/>
      <c r="S20" s="46" t="n"/>
      <c r="T20" s="46" t="n"/>
      <c r="U20" s="46" t="n"/>
      <c r="V20" s="46" t="n"/>
      <c r="W20" s="46" t="n"/>
      <c r="X20" s="46" t="n"/>
      <c r="Y20" s="46" t="n"/>
      <c r="Z20" s="46" t="n"/>
    </row>
    <row r="21" ht="12.75" customHeight="1">
      <c r="A21" s="157" t="n"/>
      <c r="B21" s="79" t="n"/>
      <c r="C21" s="71" t="n"/>
      <c r="D21" s="71" t="n"/>
      <c r="E21" s="71" t="n"/>
      <c r="F21" s="76" t="inlineStr">
        <is>
          <t>New Zealand</t>
        </is>
      </c>
      <c r="G21" s="71" t="n"/>
      <c r="H21" s="71" t="n"/>
      <c r="I21" s="71" t="n"/>
      <c r="J21" s="71" t="n"/>
      <c r="K21" s="71" t="n"/>
      <c r="L21" s="71" t="n"/>
      <c r="M21" s="71" t="n"/>
      <c r="N21" s="71" t="n"/>
      <c r="O21" s="71" t="n"/>
      <c r="P21" s="71" t="n"/>
      <c r="Q21" s="54" t="n"/>
      <c r="R21" s="46" t="n"/>
      <c r="S21" s="46" t="n"/>
      <c r="T21" s="46" t="n"/>
      <c r="U21" s="46" t="n"/>
      <c r="V21" s="46" t="n"/>
      <c r="W21" s="46" t="n"/>
      <c r="X21" s="46" t="n"/>
      <c r="Y21" s="46" t="n"/>
      <c r="Z21" s="46" t="n"/>
    </row>
    <row r="22" ht="12.75" customHeight="1">
      <c r="A22" s="80" t="n"/>
      <c r="B22" s="64" t="n"/>
      <c r="C22" s="64" t="n"/>
      <c r="D22" s="65" t="n"/>
      <c r="E22" s="66" t="n"/>
      <c r="F22" s="66" t="n"/>
      <c r="G22" s="67" t="n"/>
      <c r="H22" s="68" t="n"/>
      <c r="I22" s="68" t="n"/>
      <c r="J22" s="68" t="n"/>
      <c r="K22" s="68" t="n"/>
      <c r="L22" s="66" t="n"/>
      <c r="M22" s="66" t="n"/>
      <c r="N22" s="66" t="n"/>
      <c r="O22" s="66" t="n"/>
      <c r="P22" s="66" t="n"/>
      <c r="Q22" s="54" t="n"/>
      <c r="R22" s="46" t="n"/>
      <c r="S22" s="46" t="n"/>
      <c r="T22" s="46" t="n"/>
      <c r="U22" s="46" t="n"/>
      <c r="V22" s="46" t="n"/>
      <c r="W22" s="46" t="n"/>
      <c r="X22" s="46" t="n"/>
      <c r="Y22" s="46" t="n"/>
      <c r="Z22" s="46" t="n"/>
    </row>
    <row r="23" ht="12.75" customHeight="1">
      <c r="A23" s="80" t="inlineStr">
        <is>
          <t>2. Grupių etape, komanda už pergalę gauna 3 taškus, už lygiasias 1 tašką, 0 taškų už pralaimėjimą.</t>
        </is>
      </c>
      <c r="B23" s="64" t="n"/>
      <c r="C23" s="64" t="n"/>
      <c r="D23" s="65" t="n"/>
      <c r="E23" s="66" t="n"/>
      <c r="F23" s="66" t="n"/>
      <c r="G23" s="67" t="n"/>
      <c r="H23" s="68" t="n"/>
      <c r="I23" s="68" t="n"/>
      <c r="J23" s="68" t="n"/>
      <c r="K23" s="68" t="n"/>
      <c r="L23" s="66" t="n"/>
      <c r="M23" s="66" t="n"/>
      <c r="N23" s="66" t="n"/>
      <c r="O23" s="66" t="n"/>
      <c r="P23" s="66" t="n"/>
      <c r="Q23" s="54" t="n"/>
      <c r="R23" s="46" t="n"/>
      <c r="S23" s="46" t="n"/>
      <c r="T23" s="46" t="n"/>
      <c r="U23" s="46" t="n"/>
      <c r="V23" s="46" t="n"/>
      <c r="W23" s="46" t="n"/>
      <c r="X23" s="46" t="n"/>
      <c r="Y23" s="46" t="n"/>
      <c r="Z23" s="46" t="n"/>
    </row>
    <row r="24" ht="12.75" customHeight="1">
      <c r="A24" s="80" t="inlineStr">
        <is>
          <t>Point that will be awarded if teams advances to knockout stages are below:</t>
        </is>
      </c>
      <c r="B24" s="64" t="n"/>
      <c r="C24" s="64" t="n"/>
      <c r="D24" s="65" t="n"/>
      <c r="E24" s="66" t="n"/>
      <c r="F24" s="66" t="n"/>
      <c r="G24" s="67" t="n"/>
      <c r="H24" s="68" t="n"/>
      <c r="I24" s="68" t="n"/>
      <c r="J24" s="68" t="n"/>
      <c r="K24" s="68" t="n"/>
      <c r="L24" s="66" t="n"/>
      <c r="M24" s="66" t="n"/>
      <c r="N24" s="66" t="n"/>
      <c r="O24" s="66" t="n"/>
      <c r="P24" s="66" t="n"/>
      <c r="Q24" s="54" t="n"/>
      <c r="R24" s="46" t="n"/>
      <c r="S24" s="46" t="n"/>
      <c r="T24" s="46" t="n"/>
      <c r="U24" s="46" t="n"/>
      <c r="V24" s="46" t="n"/>
      <c r="W24" s="46" t="n"/>
      <c r="X24" s="46" t="n"/>
      <c r="Y24" s="46" t="n"/>
      <c r="Z24" s="46" t="n"/>
    </row>
    <row r="25" ht="12.75" customHeight="1">
      <c r="A25" s="80" t="n"/>
      <c r="B25" s="64" t="n"/>
      <c r="C25" s="64" t="n"/>
      <c r="D25" s="65" t="n"/>
      <c r="E25" s="66" t="n"/>
      <c r="F25" s="66" t="n"/>
      <c r="G25" s="67" t="n"/>
      <c r="H25" s="68" t="n"/>
      <c r="I25" s="68" t="n"/>
      <c r="J25" s="68" t="n"/>
      <c r="K25" s="68" t="n"/>
      <c r="L25" s="66" t="n"/>
      <c r="M25" s="66" t="n"/>
      <c r="N25" s="66" t="n"/>
      <c r="O25" s="66" t="n"/>
      <c r="P25" s="66" t="n"/>
      <c r="Q25" s="54" t="n"/>
      <c r="R25" s="46" t="n"/>
      <c r="S25" s="46" t="n"/>
      <c r="T25" s="46" t="n"/>
      <c r="U25" s="46" t="n"/>
      <c r="V25" s="46" t="n"/>
      <c r="W25" s="46" t="n"/>
      <c r="X25" s="46" t="n"/>
      <c r="Y25" s="46" t="n"/>
      <c r="Z25" s="46" t="n"/>
    </row>
    <row r="26" ht="12.75" customHeight="1">
      <c r="A26" s="80" t="n"/>
      <c r="B26" s="64" t="n"/>
      <c r="C26" s="64" t="n"/>
      <c r="D26" s="81" t="n"/>
      <c r="E26" s="81" t="n"/>
      <c r="F26" s="81" t="n"/>
      <c r="G26" s="81" t="n"/>
      <c r="H26" s="68" t="n"/>
      <c r="I26" s="68" t="n"/>
      <c r="J26" s="68" t="n"/>
      <c r="K26" s="68" t="n"/>
      <c r="L26" s="66" t="n"/>
      <c r="M26" s="66" t="n"/>
      <c r="N26" s="66" t="n"/>
      <c r="O26" s="66" t="n"/>
      <c r="P26" s="66" t="n"/>
      <c r="Q26" s="54" t="n"/>
      <c r="R26" s="46" t="n"/>
      <c r="S26" s="46" t="n"/>
      <c r="T26" s="46" t="n"/>
      <c r="U26" s="46" t="n"/>
      <c r="V26" s="46" t="n"/>
      <c r="W26" s="46" t="n"/>
      <c r="X26" s="46" t="n"/>
      <c r="Y26" s="46" t="n"/>
      <c r="Z26" s="46" t="n"/>
    </row>
    <row r="27" ht="12.75" customHeight="1">
      <c r="A27" s="80" t="n"/>
      <c r="B27" s="82" t="inlineStr">
        <is>
          <t>Atkrintamieji etapai</t>
        </is>
      </c>
      <c r="C27" s="83" t="inlineStr">
        <is>
          <t>Taškai</t>
        </is>
      </c>
      <c r="D27" s="81" t="n"/>
      <c r="E27" s="68" t="n"/>
      <c r="F27" s="68" t="n"/>
      <c r="G27" s="68" t="n"/>
      <c r="H27" s="66" t="n"/>
      <c r="I27" s="68" t="n"/>
      <c r="J27" s="68" t="n"/>
      <c r="K27" s="68" t="n"/>
      <c r="L27" s="66" t="n"/>
      <c r="M27" s="66" t="n"/>
      <c r="N27" s="66" t="n"/>
      <c r="O27" s="66" t="n"/>
      <c r="P27" s="66" t="n"/>
      <c r="Q27" s="54" t="n"/>
      <c r="R27" s="46" t="n"/>
      <c r="S27" s="46" t="n"/>
      <c r="T27" s="46" t="n"/>
      <c r="U27" s="46" t="n"/>
      <c r="V27" s="46" t="n"/>
      <c r="W27" s="46" t="n"/>
      <c r="X27" s="46" t="n"/>
      <c r="Y27" s="46" t="n"/>
      <c r="Z27" s="46" t="n"/>
    </row>
    <row r="28" ht="12.75" customHeight="1">
      <c r="A28" s="80" t="n"/>
      <c r="B28" s="84" t="inlineStr">
        <is>
          <t>1/32</t>
        </is>
      </c>
      <c r="C28" s="85" t="n">
        <v>4</v>
      </c>
      <c r="D28" s="81" t="n"/>
      <c r="E28" s="68" t="n"/>
      <c r="F28" s="68" t="n"/>
      <c r="G28" s="68" t="n"/>
      <c r="H28" s="66" t="n"/>
      <c r="I28" s="68" t="n"/>
      <c r="J28" s="68" t="n"/>
      <c r="K28" s="68" t="n"/>
      <c r="L28" s="66" t="n"/>
      <c r="M28" s="66" t="n"/>
      <c r="N28" s="66" t="n"/>
      <c r="O28" s="66" t="n"/>
      <c r="P28" s="66" t="n"/>
      <c r="Q28" s="54" t="n"/>
      <c r="R28" s="46" t="n"/>
      <c r="S28" s="46" t="n"/>
      <c r="T28" s="46" t="n"/>
      <c r="U28" s="46" t="n"/>
      <c r="V28" s="46" t="n"/>
      <c r="W28" s="46" t="n"/>
      <c r="X28" s="46" t="n"/>
      <c r="Y28" s="46" t="n"/>
      <c r="Z28" s="46" t="n"/>
    </row>
    <row r="29" ht="12.75" customHeight="1">
      <c r="A29" s="80" t="n"/>
      <c r="B29" s="103" t="inlineStr">
        <is>
          <t>1/16</t>
        </is>
      </c>
      <c r="C29" s="85" t="n">
        <v>6</v>
      </c>
      <c r="D29" s="81" t="n"/>
      <c r="E29" s="68" t="n"/>
      <c r="F29" s="68" t="n"/>
      <c r="G29" s="68" t="n"/>
      <c r="H29" s="66" t="n"/>
      <c r="I29" s="68" t="n"/>
      <c r="J29" s="68" t="n"/>
      <c r="K29" s="68" t="n"/>
      <c r="L29" s="66" t="n"/>
      <c r="M29" s="66" t="n"/>
      <c r="N29" s="66" t="n"/>
      <c r="O29" s="66" t="n"/>
      <c r="P29" s="66" t="n"/>
      <c r="Q29" s="54" t="n"/>
      <c r="R29" s="46" t="n"/>
      <c r="S29" s="46" t="n"/>
      <c r="T29" s="46" t="n"/>
      <c r="U29" s="46" t="n"/>
      <c r="V29" s="46" t="n"/>
      <c r="W29" s="46" t="n"/>
      <c r="X29" s="46" t="n"/>
      <c r="Y29" s="46" t="n"/>
      <c r="Z29" s="46" t="n"/>
    </row>
    <row r="30" ht="12.75" customHeight="1">
      <c r="A30" s="80" t="n"/>
      <c r="B30" s="84" t="inlineStr">
        <is>
          <t>Ketvirtfinalis</t>
        </is>
      </c>
      <c r="C30" s="85" t="n">
        <v>8</v>
      </c>
      <c r="D30" s="81" t="n"/>
      <c r="E30" s="68" t="n"/>
      <c r="F30" s="68" t="n"/>
      <c r="G30" s="68" t="n"/>
      <c r="H30" s="66" t="n"/>
      <c r="I30" s="68" t="n"/>
      <c r="J30" s="68" t="n"/>
      <c r="K30" s="68" t="n"/>
      <c r="L30" s="66" t="n"/>
      <c r="M30" s="66" t="n"/>
      <c r="N30" s="66" t="n"/>
      <c r="O30" s="66" t="n"/>
      <c r="P30" s="66" t="n"/>
      <c r="Q30" s="54" t="n"/>
      <c r="R30" s="46" t="n"/>
      <c r="S30" s="46" t="n"/>
      <c r="T30" s="46" t="n"/>
      <c r="U30" s="46" t="n"/>
      <c r="V30" s="46" t="n"/>
      <c r="W30" s="46" t="n"/>
      <c r="X30" s="46" t="n"/>
      <c r="Y30" s="46" t="n"/>
      <c r="Z30" s="46" t="n"/>
    </row>
    <row r="31" ht="12.75" customHeight="1">
      <c r="A31" s="80" t="n"/>
      <c r="B31" s="84" t="inlineStr">
        <is>
          <t>Pusfinalis</t>
        </is>
      </c>
      <c r="C31" s="85" t="n">
        <v>10</v>
      </c>
      <c r="D31" s="81" t="n"/>
      <c r="E31" s="68" t="n"/>
      <c r="F31" s="68" t="n"/>
      <c r="G31" s="68" t="n"/>
      <c r="H31" s="66" t="n"/>
      <c r="I31" s="68" t="n"/>
      <c r="J31" s="68" t="n"/>
      <c r="K31" s="68" t="n"/>
      <c r="L31" s="66" t="n"/>
      <c r="M31" s="66" t="n"/>
      <c r="N31" s="66" t="n"/>
      <c r="O31" s="66" t="n"/>
      <c r="P31" s="66" t="n"/>
      <c r="Q31" s="54" t="n"/>
      <c r="R31" s="46" t="n"/>
      <c r="S31" s="46" t="n"/>
      <c r="T31" s="89" t="n"/>
      <c r="U31" s="46" t="n"/>
      <c r="V31" s="46" t="n"/>
      <c r="W31" s="46" t="n"/>
      <c r="X31" s="46" t="n"/>
      <c r="Y31" s="46" t="n"/>
      <c r="Z31" s="46" t="n"/>
    </row>
    <row r="32" ht="12.75" customHeight="1">
      <c r="A32" s="80" t="n"/>
      <c r="B32" s="84" t="inlineStr">
        <is>
          <t>Finalas</t>
        </is>
      </c>
      <c r="C32" s="85" t="n">
        <v>13</v>
      </c>
      <c r="D32" s="81" t="n"/>
      <c r="E32" s="68" t="n"/>
      <c r="F32" s="68" t="n"/>
      <c r="G32" s="68" t="n"/>
      <c r="H32" s="66" t="n"/>
      <c r="I32" s="68" t="n"/>
      <c r="J32" s="68" t="n"/>
      <c r="K32" s="68" t="n"/>
      <c r="L32" s="66" t="n"/>
      <c r="M32" s="66" t="n"/>
      <c r="N32" s="66" t="n"/>
      <c r="O32" s="66" t="n"/>
      <c r="P32" s="66" t="n"/>
      <c r="Q32" s="54" t="n"/>
      <c r="R32" s="46" t="n"/>
      <c r="S32" s="46" t="n"/>
      <c r="T32" s="46" t="n"/>
      <c r="U32" s="46" t="n"/>
      <c r="V32" s="46" t="n"/>
      <c r="W32" s="46" t="n"/>
      <c r="X32" s="46" t="n"/>
      <c r="Y32" s="46" t="n"/>
      <c r="Z32" s="46" t="n"/>
    </row>
    <row r="33" ht="12.75" customHeight="1">
      <c r="A33" s="80" t="n"/>
      <c r="B33" s="84" t="inlineStr">
        <is>
          <t>Čempionai</t>
        </is>
      </c>
      <c r="C33" s="85" t="n">
        <v>16</v>
      </c>
      <c r="D33" s="81" t="n"/>
      <c r="E33" s="68" t="n"/>
      <c r="F33" s="68" t="n"/>
      <c r="G33" s="68" t="n"/>
      <c r="H33" s="66" t="n"/>
      <c r="I33" s="68" t="n"/>
      <c r="J33" s="68" t="n"/>
      <c r="K33" s="68" t="n"/>
      <c r="L33" s="66" t="n"/>
      <c r="M33" s="66" t="n"/>
      <c r="N33" s="66" t="n"/>
      <c r="O33" s="66" t="n"/>
      <c r="P33" s="66" t="n"/>
      <c r="Q33" s="54" t="n"/>
      <c r="R33" s="46" t="n"/>
      <c r="S33" s="46" t="n"/>
      <c r="T33" s="46" t="n"/>
      <c r="U33" s="46" t="n"/>
      <c r="V33" s="46" t="n"/>
      <c r="W33" s="46" t="n"/>
      <c r="X33" s="46" t="n"/>
      <c r="Y33" s="46" t="n"/>
      <c r="Z33" s="46" t="n"/>
    </row>
    <row r="34" ht="12.75" customHeight="1">
      <c r="A34" s="80" t="n"/>
      <c r="B34" s="87" t="inlineStr">
        <is>
          <t>3vietos laimėtojai</t>
        </is>
      </c>
      <c r="C34" s="85" t="n">
        <v>5</v>
      </c>
      <c r="D34" s="67" t="n"/>
      <c r="E34" s="68" t="n"/>
      <c r="F34" s="68" t="n"/>
      <c r="G34" s="68" t="n"/>
      <c r="H34" s="66" t="n"/>
      <c r="I34" s="68" t="n"/>
      <c r="J34" s="68" t="n"/>
      <c r="K34" s="68" t="n"/>
      <c r="L34" s="66" t="n"/>
      <c r="M34" s="66" t="n"/>
      <c r="N34" s="66" t="n"/>
      <c r="O34" s="66" t="n"/>
      <c r="P34" s="66" t="n"/>
      <c r="Q34" s="54" t="n"/>
      <c r="R34" s="46" t="n"/>
      <c r="S34" s="46" t="n"/>
      <c r="T34" s="46" t="n"/>
      <c r="U34" s="46" t="n"/>
      <c r="V34" s="46" t="n"/>
      <c r="W34" s="46" t="n"/>
      <c r="X34" s="46" t="n"/>
      <c r="Y34" s="46" t="n"/>
      <c r="Z34" s="46" t="n"/>
    </row>
    <row r="35" ht="12.75" customHeight="1">
      <c r="A35" s="80" t="n"/>
      <c r="B35" s="64" t="n"/>
      <c r="C35" s="64" t="n"/>
      <c r="D35" s="65" t="n"/>
      <c r="E35" s="66" t="n"/>
      <c r="F35" s="66" t="n"/>
      <c r="G35" s="67" t="n"/>
      <c r="H35" s="68" t="n"/>
      <c r="I35" s="68" t="n"/>
      <c r="J35" s="68" t="n"/>
      <c r="K35" s="68" t="n"/>
      <c r="L35" s="66" t="n"/>
      <c r="M35" s="66" t="n"/>
      <c r="N35" s="66" t="n"/>
      <c r="O35" s="66" t="n"/>
      <c r="P35" s="66" t="n"/>
      <c r="Q35" s="88" t="n"/>
      <c r="R35" s="46" t="n"/>
      <c r="S35" s="46" t="n"/>
      <c r="T35" s="46" t="n"/>
      <c r="U35" s="46" t="n"/>
      <c r="V35" s="46" t="n"/>
      <c r="W35" s="46" t="n"/>
      <c r="X35" s="46" t="n"/>
      <c r="Y35" s="46" t="n"/>
      <c r="Z35" s="46" t="n"/>
    </row>
    <row r="36" ht="12.75" customHeight="1">
      <c r="A36" s="158" t="inlineStr">
        <is>
          <t xml:space="preserve">Komanda, įmušusi daugiausia įvarčių, gaus po 0,5 taško už kiekvieną įmuštą įvartį visuose etapuose. Įvarčiai, pelnyti baudinių serijoje po pratęsimo, neįskaičiuojami.
</t>
        </is>
      </c>
      <c r="Q36" s="163" t="n"/>
      <c r="R36" s="46" t="n"/>
      <c r="S36" s="46" t="n"/>
      <c r="T36" s="46" t="n"/>
      <c r="U36" s="46" t="n"/>
      <c r="V36" s="46" t="n"/>
      <c r="W36" s="46" t="n"/>
      <c r="X36" s="46" t="n"/>
      <c r="Y36" s="46" t="n"/>
      <c r="Z36" s="46" t="n"/>
    </row>
    <row r="37" ht="12.75" customHeight="1">
      <c r="A37" s="80" t="n"/>
      <c r="B37" s="64" t="n"/>
      <c r="C37" s="64" t="n"/>
      <c r="D37" s="65" t="n"/>
      <c r="E37" s="66" t="n"/>
      <c r="F37" s="66" t="n"/>
      <c r="G37" s="67" t="n"/>
      <c r="H37" s="68" t="n"/>
      <c r="I37" s="68" t="n"/>
      <c r="J37" s="68" t="n"/>
      <c r="K37" s="68" t="n"/>
      <c r="L37" s="66" t="n"/>
      <c r="M37" s="66" t="n"/>
      <c r="N37" s="66" t="n"/>
      <c r="O37" s="66" t="n"/>
      <c r="P37" s="66" t="n"/>
      <c r="Q37" s="54" t="n"/>
      <c r="R37" s="46" t="n"/>
      <c r="S37" s="46" t="n"/>
      <c r="T37" s="46" t="n"/>
      <c r="U37" s="46" t="n"/>
      <c r="V37" s="46" t="n"/>
      <c r="W37" s="46" t="n"/>
      <c r="X37" s="46" t="n"/>
      <c r="Y37" s="46" t="n"/>
      <c r="Z37" s="46" t="n"/>
    </row>
    <row r="38" ht="12.75" customHeight="1">
      <c r="A38" s="80" t="n"/>
      <c r="B38" s="64" t="n"/>
      <c r="C38" s="64" t="n"/>
      <c r="D38" s="65" t="n"/>
      <c r="E38" s="66" t="n"/>
      <c r="F38" s="66" t="n"/>
      <c r="G38" s="67" t="n"/>
      <c r="H38" s="68" t="n"/>
      <c r="I38" s="68" t="n"/>
      <c r="J38" s="68" t="n"/>
      <c r="K38" s="68" t="n"/>
      <c r="L38" s="66" t="n"/>
      <c r="M38" s="66" t="n"/>
      <c r="N38" s="66" t="n"/>
      <c r="O38" s="66" t="n"/>
      <c r="P38" s="66" t="n"/>
      <c r="Q38" s="54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</row>
    <row r="39" ht="12.75" customHeight="1">
      <c r="A39" s="80" t="inlineStr">
        <is>
          <t>3. Bendras komandų taškų skaičius bus padidintas atsižvelgiant į komandos vietą dalyvių reitinge.</t>
        </is>
      </c>
      <c r="B39" s="64" t="n"/>
      <c r="C39" s="64" t="n"/>
      <c r="D39" s="65" t="n"/>
      <c r="E39" s="66" t="n"/>
      <c r="F39" s="66" t="n"/>
      <c r="G39" s="67" t="n"/>
      <c r="H39" s="68" t="n"/>
      <c r="I39" s="68" t="n"/>
      <c r="J39" s="68" t="n"/>
      <c r="K39" s="68" t="n"/>
      <c r="L39" s="66" t="n"/>
      <c r="M39" s="66" t="n"/>
      <c r="N39" s="66" t="n"/>
      <c r="O39" s="66" t="n"/>
      <c r="P39" s="66" t="n"/>
      <c r="Q39" s="54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</row>
    <row r="40" ht="12.75" customHeight="1">
      <c r="A40" s="80" t="n"/>
      <c r="B40" s="64" t="inlineStr">
        <is>
          <t>1. Pirma komanda  x 6.</t>
        </is>
      </c>
      <c r="C40" s="64" t="n"/>
      <c r="D40" s="65" t="n"/>
      <c r="E40" s="66" t="n"/>
      <c r="F40" s="66" t="n"/>
      <c r="G40" s="67" t="n"/>
      <c r="H40" s="68" t="n"/>
      <c r="I40" s="68" t="n"/>
      <c r="J40" s="68" t="n"/>
      <c r="K40" s="68" t="n"/>
      <c r="L40" s="66" t="n"/>
      <c r="M40" s="66" t="n"/>
      <c r="N40" s="66" t="n"/>
      <c r="O40" s="66" t="n"/>
      <c r="P40" s="66" t="n"/>
      <c r="Q40" s="54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</row>
    <row r="41" ht="12.75" customHeight="1">
      <c r="A41" s="80" t="n"/>
      <c r="B41" s="64" t="inlineStr">
        <is>
          <t>2. Antra komanda x 4.</t>
        </is>
      </c>
      <c r="C41" s="64" t="n"/>
      <c r="D41" s="65" t="n"/>
      <c r="E41" s="66" t="n"/>
      <c r="F41" s="66" t="n"/>
      <c r="G41" s="67" t="n"/>
      <c r="H41" s="68" t="n"/>
      <c r="I41" s="68" t="n"/>
      <c r="J41" s="68" t="n"/>
      <c r="K41" s="68" t="n"/>
      <c r="L41" s="66" t="n"/>
      <c r="M41" s="66" t="n"/>
      <c r="N41" s="66" t="n"/>
      <c r="O41" s="66" t="n"/>
      <c r="P41" s="66" t="n"/>
      <c r="Q41" s="54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</row>
    <row r="42" ht="12.75" customHeight="1">
      <c r="A42" s="80" t="n"/>
      <c r="B42" s="64" t="inlineStr">
        <is>
          <t>3. Trečia komanda x 3.</t>
        </is>
      </c>
      <c r="C42" s="64" t="n"/>
      <c r="D42" s="65" t="n"/>
      <c r="E42" s="66" t="n"/>
      <c r="F42" s="66" t="n"/>
      <c r="G42" s="67" t="n"/>
      <c r="H42" s="68" t="n"/>
      <c r="I42" s="68" t="n"/>
      <c r="J42" s="68" t="n"/>
      <c r="K42" s="68" t="n"/>
      <c r="L42" s="66" t="n"/>
      <c r="M42" s="66" t="n"/>
      <c r="N42" s="66" t="n"/>
      <c r="O42" s="66" t="n"/>
      <c r="P42" s="66" t="n"/>
      <c r="Q42" s="54" t="n"/>
      <c r="R42" s="46" t="n"/>
      <c r="S42" s="46" t="n"/>
      <c r="T42" s="46" t="n"/>
      <c r="U42" s="46" t="n"/>
      <c r="V42" s="46" t="n"/>
      <c r="W42" s="46" t="n"/>
      <c r="X42" s="46" t="n"/>
      <c r="Y42" s="46" t="n"/>
      <c r="Z42" s="46" t="n"/>
    </row>
    <row r="43" ht="12.75" customHeight="1">
      <c r="A43" s="80" t="n"/>
      <c r="B43" s="64" t="inlineStr">
        <is>
          <t>4. Ketvirta komanda x 2.</t>
        </is>
      </c>
      <c r="C43" s="64" t="n"/>
      <c r="D43" s="65" t="n"/>
      <c r="E43" s="66" t="n"/>
      <c r="F43" s="66" t="n"/>
      <c r="G43" s="67" t="n"/>
      <c r="H43" s="68" t="n"/>
      <c r="I43" s="68" t="n"/>
      <c r="J43" s="68" t="n"/>
      <c r="K43" s="68" t="n"/>
      <c r="L43" s="66" t="n"/>
      <c r="M43" s="66" t="n"/>
      <c r="N43" s="66" t="n"/>
      <c r="O43" s="66" t="n"/>
      <c r="P43" s="66" t="n"/>
      <c r="Q43" s="54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</row>
    <row r="44" ht="12.75" customHeight="1">
      <c r="A44" s="80" t="n"/>
      <c r="B44" s="64" t="inlineStr">
        <is>
          <t>OC. Papildoma komanda Nr1 x 1.</t>
        </is>
      </c>
      <c r="C44" s="64" t="n"/>
      <c r="D44" s="65" t="n"/>
      <c r="E44" s="66" t="n"/>
      <c r="F44" s="66" t="n"/>
      <c r="G44" s="67" t="n"/>
      <c r="H44" s="68" t="n"/>
      <c r="I44" s="68" t="n"/>
      <c r="J44" s="68" t="n"/>
      <c r="K44" s="68" t="n"/>
      <c r="L44" s="66" t="n"/>
      <c r="M44" s="66" t="n"/>
      <c r="N44" s="66" t="n"/>
      <c r="O44" s="66" t="n"/>
      <c r="P44" s="66" t="n"/>
      <c r="Q44" s="54" t="n"/>
      <c r="R44" s="46" t="n"/>
      <c r="S44" s="46" t="n"/>
      <c r="T44" s="46" t="n"/>
      <c r="U44" s="46" t="n"/>
      <c r="V44" s="46" t="n"/>
      <c r="W44" s="46" t="n"/>
      <c r="X44" s="46" t="n"/>
      <c r="Y44" s="46" t="n"/>
      <c r="Z44" s="46" t="n"/>
    </row>
    <row r="45" ht="12.75" customHeight="1">
      <c r="A45" s="80" t="n"/>
      <c r="B45" s="64" t="inlineStr">
        <is>
          <t>OC. Papildoma komanda Nr2 x 1.</t>
        </is>
      </c>
      <c r="C45" s="64" t="n"/>
      <c r="D45" s="65" t="n"/>
      <c r="E45" s="66" t="n"/>
      <c r="F45" s="66" t="n"/>
      <c r="G45" s="67" t="n"/>
      <c r="H45" s="68" t="n"/>
      <c r="I45" s="68" t="n"/>
      <c r="J45" s="68" t="n"/>
      <c r="K45" s="68" t="n"/>
      <c r="L45" s="66" t="n"/>
      <c r="M45" s="66" t="n"/>
      <c r="N45" s="66" t="n"/>
      <c r="O45" s="66" t="n"/>
      <c r="P45" s="66" t="n"/>
      <c r="Q45" s="54" t="n"/>
      <c r="R45" s="46" t="n"/>
      <c r="S45" s="46" t="n"/>
      <c r="T45" s="46" t="n"/>
      <c r="U45" s="46" t="n"/>
      <c r="V45" s="46" t="n"/>
      <c r="W45" s="46" t="n"/>
      <c r="X45" s="46" t="n"/>
      <c r="Y45" s="46" t="n"/>
      <c r="Z45" s="46" t="n"/>
    </row>
    <row r="46" ht="12.75" customHeight="1">
      <c r="A46" s="80" t="n"/>
      <c r="B46" s="64" t="inlineStr">
        <is>
          <t>OC. Papildoma komanda Nr3 x 1.</t>
        </is>
      </c>
      <c r="C46" s="64" t="n"/>
      <c r="D46" s="65" t="n"/>
      <c r="E46" s="66" t="n"/>
      <c r="F46" s="66" t="n"/>
      <c r="G46" s="67" t="n"/>
      <c r="H46" s="68" t="n"/>
      <c r="I46" s="68" t="n"/>
      <c r="J46" s="68" t="n"/>
      <c r="K46" s="68" t="n"/>
      <c r="L46" s="66" t="n"/>
      <c r="M46" s="66" t="n"/>
      <c r="N46" s="66" t="n"/>
      <c r="O46" s="66" t="n"/>
      <c r="P46" s="66" t="n"/>
      <c r="Q46" s="54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</row>
    <row r="47" ht="12.75" customHeight="1">
      <c r="A47" s="80" t="n"/>
      <c r="B47" s="64" t="inlineStr">
        <is>
          <t>SC. Rezultatyviausios komandos įvarčiai x 0,5.</t>
        </is>
      </c>
      <c r="C47" s="64" t="n"/>
      <c r="D47" s="65" t="n"/>
      <c r="E47" s="66" t="n"/>
      <c r="F47" s="66" t="n"/>
      <c r="G47" s="67" t="n"/>
      <c r="H47" s="68" t="n"/>
      <c r="I47" s="68" t="n"/>
      <c r="J47" s="68" t="n"/>
      <c r="K47" s="68" t="n"/>
      <c r="L47" s="66" t="n"/>
      <c r="M47" s="66" t="n"/>
      <c r="N47" s="66" t="n"/>
      <c r="O47" s="66" t="n"/>
      <c r="P47" s="66" t="n"/>
      <c r="Q47" s="54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</row>
    <row r="48" ht="12.75" customHeight="1">
      <c r="A48" s="80" t="n"/>
      <c r="B48" s="64" t="n"/>
      <c r="C48" s="64" t="n"/>
      <c r="D48" s="65" t="n"/>
      <c r="E48" s="66" t="n"/>
      <c r="F48" s="66" t="n"/>
      <c r="G48" s="67" t="n"/>
      <c r="H48" s="68" t="n"/>
      <c r="I48" s="68" t="n"/>
      <c r="J48" s="68" t="n"/>
      <c r="K48" s="68" t="n"/>
      <c r="L48" s="66" t="n"/>
      <c r="M48" s="66" t="n"/>
      <c r="N48" s="66" t="n"/>
      <c r="O48" s="66" t="n"/>
      <c r="P48" s="66" t="n"/>
      <c r="Q48" s="54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</row>
    <row r="49" ht="12.75" customHeight="1">
      <c r="A49" s="80" t="inlineStr">
        <is>
          <t>4. Laimėtoju tampa dalyvis, surinkęs daugiausia taškų.</t>
        </is>
      </c>
      <c r="B49" s="64" t="n"/>
      <c r="C49" s="64" t="n"/>
      <c r="D49" s="65" t="n"/>
      <c r="E49" s="66" t="n"/>
      <c r="F49" s="66" t="n"/>
      <c r="G49" s="67" t="n"/>
      <c r="H49" s="68" t="n"/>
      <c r="I49" s="68" t="n"/>
      <c r="J49" s="68" t="n"/>
      <c r="K49" s="68" t="n"/>
      <c r="L49" s="66" t="n"/>
      <c r="M49" s="66" t="n"/>
      <c r="N49" s="66" t="n"/>
      <c r="O49" s="66" t="n"/>
      <c r="P49" s="66" t="n"/>
      <c r="Q49" s="54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</row>
    <row r="50" ht="12.75" customHeight="1">
      <c r="A50" s="80" t="n"/>
      <c r="B50" s="64" t="n"/>
      <c r="C50" s="64" t="n"/>
      <c r="D50" s="65" t="n"/>
      <c r="E50" s="66" t="n"/>
      <c r="F50" s="66" t="n"/>
      <c r="G50" s="67" t="n"/>
      <c r="H50" s="68" t="n"/>
      <c r="I50" s="68" t="n"/>
      <c r="J50" s="68" t="n"/>
      <c r="K50" s="68" t="n"/>
      <c r="L50" s="66" t="n"/>
      <c r="M50" s="66" t="n"/>
      <c r="N50" s="66" t="n"/>
      <c r="O50" s="66" t="n"/>
      <c r="P50" s="66" t="n"/>
      <c r="Q50" s="54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</row>
    <row r="51" ht="12.75" customHeight="1">
      <c r="A51" s="80" t="inlineStr">
        <is>
          <t>5. Prizinio fondo paskirstymas: 1 vieta — 50%, 2 — 20%, 3 — 10%, 4 — 5%, 5 — 5%, 6 — 2,5%, 7 — 2,5%, 8 — 2,5%, 9 — 2,5%.</t>
        </is>
      </c>
      <c r="B51" s="64" t="n"/>
      <c r="C51" s="64" t="n"/>
      <c r="D51" s="65" t="n"/>
      <c r="E51" s="66" t="n"/>
      <c r="F51" s="66" t="n"/>
      <c r="G51" s="67" t="n"/>
      <c r="H51" s="68" t="n"/>
      <c r="I51" s="68" t="n"/>
      <c r="J51" s="68" t="n"/>
      <c r="K51" s="68" t="n"/>
      <c r="L51" s="66" t="n"/>
      <c r="M51" s="66" t="n"/>
      <c r="N51" s="66" t="n"/>
      <c r="O51" s="66" t="n"/>
      <c r="P51" s="66" t="n"/>
      <c r="Q51" s="54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</row>
    <row r="52" ht="12.75" customHeight="1">
      <c r="A52" s="80" t="inlineStr">
        <is>
          <t>Jeigu du ar daugiau dalyvių surenka vienodą taškų skaičių, jie lygiomis dalimis pasidalija prizinį fondą, skirtą atitinkamoms vietoms, pavyzdžiui:</t>
        </is>
      </c>
      <c r="B52" s="64" t="n"/>
      <c r="C52" s="64" t="n"/>
      <c r="D52" s="65" t="n"/>
      <c r="E52" s="66" t="n"/>
      <c r="F52" s="66" t="n"/>
      <c r="G52" s="67" t="n"/>
      <c r="H52" s="68" t="n"/>
      <c r="I52" s="68" t="n"/>
      <c r="J52" s="68" t="n"/>
      <c r="K52" s="68" t="n"/>
      <c r="L52" s="66" t="n"/>
      <c r="M52" s="66" t="n"/>
      <c r="N52" s="66" t="n"/>
      <c r="O52" s="66" t="n"/>
      <c r="P52" s="66" t="n"/>
      <c r="Q52" s="54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</row>
    <row r="53" ht="12.75" customHeight="1">
      <c r="A53" s="80" t="n"/>
      <c r="B53" s="64" t="inlineStr">
        <is>
          <t>a) Jeigu du dalyviai surenka vienodą taškų skaičių ir užima 1-2 vietas, jie lygiomis dalimis pasidalija prizinį fondą, skirtą 1-2 vietoms.</t>
        </is>
      </c>
      <c r="C53" s="64" t="n"/>
      <c r="D53" s="65" t="n"/>
      <c r="E53" s="66" t="n"/>
      <c r="F53" s="66" t="n"/>
      <c r="G53" s="67" t="n"/>
      <c r="H53" s="68" t="n"/>
      <c r="I53" s="68" t="n"/>
      <c r="J53" s="68" t="n"/>
      <c r="K53" s="68" t="n"/>
      <c r="L53" s="66" t="n"/>
      <c r="M53" s="66" t="n"/>
      <c r="N53" s="66" t="n"/>
      <c r="O53" s="66" t="n"/>
      <c r="P53" s="66" t="n"/>
      <c r="Q53" s="54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</row>
    <row r="54" ht="12.75" customHeight="1">
      <c r="A54" s="80" t="n"/>
      <c r="B54" s="64" t="inlineStr">
        <is>
          <t>b) Jeigu du dalyviai surenka vienodą taškų skaičių ir užima 2-3 vietas, jie lygiomis dalimis pasidalija prizinį fondą, skirtą 2-3 vietoms, ir t. t.</t>
        </is>
      </c>
      <c r="C54" s="64" t="n"/>
      <c r="D54" s="65" t="n"/>
      <c r="E54" s="66" t="n"/>
      <c r="F54" s="66" t="n"/>
      <c r="G54" s="67" t="n"/>
      <c r="H54" s="68" t="n"/>
      <c r="I54" s="68" t="n"/>
      <c r="J54" s="68" t="n"/>
      <c r="K54" s="68" t="n"/>
      <c r="L54" s="66" t="n"/>
      <c r="M54" s="66" t="n"/>
      <c r="N54" s="66" t="n"/>
      <c r="O54" s="66" t="n"/>
      <c r="P54" s="66" t="n"/>
      <c r="Q54" s="54" t="n"/>
      <c r="R54" s="46" t="n"/>
      <c r="S54" s="46" t="n"/>
      <c r="T54" s="46" t="n"/>
      <c r="U54" s="46" t="n"/>
      <c r="V54" s="46" t="n"/>
      <c r="W54" s="46" t="n"/>
      <c r="X54" s="46" t="n"/>
      <c r="Y54" s="46" t="n"/>
      <c r="Z54" s="46" t="n"/>
    </row>
    <row r="55" ht="12.75" customHeight="1">
      <c r="A55" s="80" t="n"/>
      <c r="B55" s="64" t="n"/>
      <c r="C55" s="64" t="n"/>
      <c r="D55" s="65" t="n"/>
      <c r="E55" s="66" t="n"/>
      <c r="F55" s="66" t="n"/>
      <c r="G55" s="67" t="n"/>
      <c r="H55" s="68" t="n"/>
      <c r="I55" s="68" t="n"/>
      <c r="J55" s="68" t="n"/>
      <c r="K55" s="68" t="n"/>
      <c r="L55" s="66" t="n"/>
      <c r="M55" s="66" t="n"/>
      <c r="N55" s="66" t="n"/>
      <c r="O55" s="66" t="n"/>
      <c r="P55" s="66" t="n"/>
      <c r="Q55" s="54" t="n"/>
      <c r="R55" s="46" t="n"/>
      <c r="S55" s="46" t="n"/>
      <c r="T55" s="46" t="n"/>
      <c r="U55" s="46" t="n"/>
      <c r="V55" s="46" t="n"/>
      <c r="W55" s="46" t="n"/>
      <c r="X55" s="46" t="n"/>
      <c r="Y55" s="46" t="n"/>
      <c r="Z55" s="46" t="n"/>
    </row>
    <row r="56" ht="12.75" customHeight="1">
      <c r="A56" s="80" t="inlineStr">
        <is>
          <t>Jeigu WC Toto surinks daugiau nei 60 dalyvių, administratoriai pasilieka teisę pakeisti prizinio fondo paskirstymą, įtraukiant daugiau laimėtojų. Sprendimas bus priimtas užbaigus dalyvių sąrašą.</t>
        </is>
      </c>
      <c r="B56" s="64" t="n"/>
      <c r="C56" s="64" t="n"/>
      <c r="D56" s="65" t="n"/>
      <c r="E56" s="66" t="n"/>
      <c r="F56" s="66" t="n"/>
      <c r="G56" s="67" t="n"/>
      <c r="H56" s="68" t="n"/>
      <c r="I56" s="68" t="n"/>
      <c r="J56" s="68" t="n"/>
      <c r="K56" s="68" t="n"/>
      <c r="L56" s="66" t="n"/>
      <c r="M56" s="66" t="n"/>
      <c r="N56" s="66" t="n"/>
      <c r="O56" s="66" t="n"/>
      <c r="P56" s="66" t="n"/>
      <c r="Q56" s="54" t="n"/>
      <c r="R56" s="46" t="n"/>
      <c r="S56" s="46" t="n"/>
      <c r="T56" s="46" t="n"/>
      <c r="U56" s="46" t="n"/>
      <c r="V56" s="46" t="n"/>
      <c r="W56" s="46" t="n"/>
      <c r="X56" s="46" t="n"/>
      <c r="Y56" s="46" t="n"/>
      <c r="Z56" s="46" t="n"/>
    </row>
    <row r="57" ht="12.75" customHeight="1">
      <c r="A57" s="80" t="n"/>
      <c r="B57" s="64" t="n"/>
      <c r="C57" s="64" t="n"/>
      <c r="D57" s="65" t="n"/>
      <c r="E57" s="66" t="n"/>
      <c r="F57" s="66" t="n"/>
      <c r="G57" s="67" t="n"/>
      <c r="H57" s="68" t="n"/>
      <c r="I57" s="68" t="n"/>
      <c r="J57" s="68" t="n"/>
      <c r="K57" s="68" t="n"/>
      <c r="L57" s="66" t="n"/>
      <c r="M57" s="66" t="n"/>
      <c r="N57" s="66" t="n"/>
      <c r="O57" s="66" t="n"/>
      <c r="P57" s="66" t="n"/>
      <c r="Q57" s="54" t="n"/>
      <c r="R57" s="46" t="n"/>
      <c r="S57" s="46" t="n"/>
      <c r="T57" s="46" t="n"/>
      <c r="U57" s="46" t="n"/>
      <c r="V57" s="46" t="n"/>
      <c r="W57" s="46" t="n"/>
      <c r="X57" s="46" t="n"/>
      <c r="Y57" s="46" t="n"/>
      <c r="Z57" s="46" t="n"/>
    </row>
    <row r="58" ht="12.75" customHeight="1">
      <c r="A58" s="80" t="n"/>
      <c r="B58" s="64" t="n"/>
      <c r="C58" s="64" t="n"/>
      <c r="D58" s="65" t="n"/>
      <c r="E58" s="66" t="n"/>
      <c r="F58" s="66" t="n"/>
      <c r="G58" s="67" t="n"/>
      <c r="H58" s="68" t="n"/>
      <c r="I58" s="68" t="n"/>
      <c r="J58" s="68" t="n"/>
      <c r="K58" s="68" t="n"/>
      <c r="L58" s="66" t="n"/>
      <c r="M58" s="66" t="n"/>
      <c r="N58" s="66" t="n"/>
      <c r="O58" s="66" t="n"/>
      <c r="P58" s="66" t="n"/>
      <c r="Q58" s="54" t="n"/>
      <c r="R58" s="46" t="n"/>
      <c r="S58" s="46" t="n"/>
      <c r="T58" s="46" t="n"/>
      <c r="U58" s="46" t="n"/>
      <c r="V58" s="46" t="n"/>
      <c r="W58" s="46" t="n"/>
      <c r="X58" s="46" t="n"/>
      <c r="Y58" s="46" t="n"/>
      <c r="Z58" s="46" t="n"/>
    </row>
    <row r="59" ht="12.75" customHeight="1">
      <c r="A59" s="80" t="inlineStr">
        <is>
          <t>6. Dalyvio mokestis - 30 EUR nuo dalyvio.</t>
        </is>
      </c>
      <c r="B59" s="64" t="n"/>
      <c r="C59" s="64" t="n"/>
      <c r="D59" s="65" t="n"/>
      <c r="E59" s="66" t="n"/>
      <c r="F59" s="66" t="n"/>
      <c r="G59" s="67" t="n"/>
      <c r="H59" s="68" t="n"/>
      <c r="I59" s="68" t="n"/>
      <c r="J59" s="68" t="n"/>
      <c r="K59" s="68" t="n"/>
      <c r="L59" s="66" t="n"/>
      <c r="M59" s="66" t="n"/>
      <c r="N59" s="66" t="n"/>
      <c r="O59" s="66" t="n"/>
      <c r="P59" s="66" t="n"/>
      <c r="Q59" s="54" t="n"/>
      <c r="R59" s="46" t="n"/>
      <c r="S59" s="46" t="n"/>
      <c r="T59" s="46" t="n"/>
      <c r="U59" s="46" t="n"/>
      <c r="V59" s="46" t="n"/>
      <c r="W59" s="46" t="n"/>
      <c r="X59" s="46" t="n"/>
      <c r="Y59" s="46" t="n"/>
      <c r="Z59" s="46" t="n"/>
    </row>
    <row r="60" ht="12.75" customHeight="1">
      <c r="A60" s="80" t="n"/>
      <c r="B60" s="64" t="n"/>
      <c r="C60" s="64" t="n"/>
      <c r="D60" s="65" t="n"/>
      <c r="E60" s="66" t="n"/>
      <c r="F60" s="66" t="n"/>
      <c r="G60" s="67" t="n"/>
      <c r="H60" s="68" t="n"/>
      <c r="I60" s="68" t="n"/>
      <c r="J60" s="68" t="n"/>
      <c r="K60" s="68" t="n"/>
      <c r="L60" s="66" t="n"/>
      <c r="M60" s="66" t="n"/>
      <c r="N60" s="66" t="n"/>
      <c r="O60" s="66" t="n"/>
      <c r="P60" s="66" t="n"/>
      <c r="Q60" s="54" t="n"/>
      <c r="R60" s="46" t="n"/>
      <c r="S60" s="46" t="n"/>
      <c r="T60" s="46" t="n"/>
      <c r="U60" s="46" t="n"/>
      <c r="V60" s="46" t="n"/>
      <c r="W60" s="46" t="n"/>
      <c r="X60" s="46" t="n"/>
      <c r="Y60" s="46" t="n"/>
      <c r="Z60" s="46" t="n"/>
    </row>
    <row r="61" ht="12.75" customHeight="1">
      <c r="A61" s="80" t="inlineStr">
        <is>
          <t>TOTO brain and support team:</t>
        </is>
      </c>
      <c r="B61" s="64" t="n"/>
      <c r="C61" s="64" t="n"/>
      <c r="D61" s="65" t="n"/>
      <c r="E61" s="66" t="n"/>
      <c r="F61" s="66" t="n"/>
      <c r="G61" s="67" t="n"/>
      <c r="H61" s="68" t="n"/>
      <c r="I61" s="68" t="n"/>
      <c r="J61" s="68" t="n"/>
      <c r="K61" s="68" t="n"/>
      <c r="L61" s="66" t="n"/>
      <c r="M61" s="66" t="n"/>
      <c r="N61" s="66" t="n"/>
      <c r="O61" s="66" t="n"/>
      <c r="P61" s="66" t="n"/>
      <c r="Q61" s="54" t="n"/>
      <c r="R61" s="46" t="n"/>
      <c r="S61" s="46" t="n"/>
      <c r="T61" s="46" t="n"/>
      <c r="U61" s="46" t="n"/>
      <c r="V61" s="46" t="n"/>
      <c r="W61" s="46" t="n"/>
      <c r="X61" s="46" t="n"/>
      <c r="Y61" s="46" t="n"/>
      <c r="Z61" s="46" t="n"/>
    </row>
    <row r="62" ht="12.75" customHeight="1">
      <c r="A62" s="80" t="inlineStr">
        <is>
          <t>Toto manager and fund collector - Arūnas Čižauskas</t>
        </is>
      </c>
      <c r="B62" s="64" t="n"/>
      <c r="C62" s="64" t="n"/>
      <c r="D62" s="65" t="n"/>
      <c r="E62" s="66" t="n"/>
      <c r="F62" s="66" t="n"/>
      <c r="G62" s="67" t="n"/>
      <c r="H62" s="68" t="n"/>
      <c r="I62" s="68" t="n"/>
      <c r="J62" s="68" t="n"/>
      <c r="K62" s="68" t="n"/>
      <c r="L62" s="66" t="n"/>
      <c r="M62" s="66" t="n"/>
      <c r="N62" s="66" t="n"/>
      <c r="O62" s="66" t="n"/>
      <c r="P62" s="66" t="n"/>
      <c r="Q62" s="54" t="n"/>
      <c r="R62" s="46" t="n"/>
      <c r="S62" s="46" t="n"/>
      <c r="T62" s="46" t="n"/>
      <c r="U62" s="46" t="n"/>
      <c r="V62" s="46" t="n"/>
      <c r="W62" s="46" t="n"/>
      <c r="X62" s="46" t="n"/>
      <c r="Y62" s="46" t="n"/>
      <c r="Z62" s="46" t="n"/>
    </row>
    <row r="63" ht="12.75" customHeight="1">
      <c r="A63" s="80" t="inlineStr">
        <is>
          <t>Creativity and Data manager -Yagub Alizada</t>
        </is>
      </c>
      <c r="B63" s="64" t="n"/>
      <c r="C63" s="64" t="n"/>
      <c r="D63" s="65" t="n"/>
      <c r="E63" s="66" t="n"/>
      <c r="F63" s="66" t="n"/>
      <c r="G63" s="67" t="n"/>
      <c r="H63" s="68" t="n"/>
      <c r="I63" s="68" t="n"/>
      <c r="J63" s="68" t="n"/>
      <c r="K63" s="68" t="n"/>
      <c r="L63" s="66" t="n"/>
      <c r="M63" s="66" t="n"/>
      <c r="N63" s="66" t="n"/>
      <c r="O63" s="66" t="n"/>
      <c r="P63" s="66" t="n"/>
      <c r="Q63" s="54" t="n"/>
      <c r="R63" s="46" t="n"/>
      <c r="S63" s="46" t="n"/>
      <c r="T63" s="46" t="n"/>
      <c r="U63" s="46" t="n"/>
      <c r="V63" s="46" t="n"/>
      <c r="W63" s="46" t="n"/>
      <c r="X63" s="46" t="n"/>
      <c r="Y63" s="46" t="n"/>
      <c r="Z63" s="46" t="n"/>
    </row>
    <row r="64" ht="12.75" customHeight="1">
      <c r="A64" s="90" t="n"/>
      <c r="B64" s="91" t="n"/>
      <c r="C64" s="91" t="n"/>
      <c r="D64" s="91" t="n"/>
      <c r="E64" s="91" t="n"/>
      <c r="F64" s="91" t="n"/>
      <c r="G64" s="92" t="n"/>
      <c r="H64" s="91" t="n"/>
      <c r="I64" s="91" t="n"/>
      <c r="J64" s="91" t="n"/>
      <c r="K64" s="91" t="n"/>
      <c r="L64" s="93" t="n"/>
      <c r="M64" s="93" t="n"/>
      <c r="N64" s="93" t="n"/>
      <c r="O64" s="93" t="n"/>
      <c r="P64" s="93" t="n"/>
      <c r="Q64" s="62" t="n"/>
      <c r="R64" s="46" t="n"/>
      <c r="S64" s="46" t="n"/>
      <c r="T64" s="46" t="n"/>
      <c r="U64" s="46" t="n"/>
      <c r="V64" s="46" t="n"/>
      <c r="W64" s="46" t="n"/>
      <c r="X64" s="46" t="n"/>
      <c r="Y64" s="46" t="n"/>
      <c r="Z64" s="46" t="n"/>
    </row>
    <row r="65" ht="12.75" customHeight="1">
      <c r="A65" s="100" t="n"/>
      <c r="B65" s="101" t="n"/>
      <c r="C65" s="102" t="n"/>
      <c r="D65" s="99" t="n"/>
      <c r="E65" s="95" t="n"/>
      <c r="F65" s="95" t="n"/>
      <c r="G65" s="94" t="n"/>
      <c r="H65" s="46" t="n"/>
      <c r="I65" s="46" t="n"/>
      <c r="J65" s="46" t="n"/>
      <c r="K65" s="46" t="n"/>
      <c r="L65" s="95" t="n"/>
      <c r="M65" s="95" t="n"/>
      <c r="N65" s="95" t="n"/>
      <c r="O65" s="95" t="n"/>
      <c r="P65" s="95" t="n"/>
      <c r="Q65" s="46" t="n"/>
      <c r="R65" s="46" t="n"/>
      <c r="S65" s="46" t="n"/>
      <c r="T65" s="46" t="n"/>
      <c r="U65" s="46" t="n"/>
      <c r="V65" s="46" t="n"/>
      <c r="W65" s="46" t="n"/>
      <c r="X65" s="46" t="n"/>
      <c r="Y65" s="46" t="n"/>
      <c r="Z65" s="46" t="n"/>
    </row>
    <row r="66" ht="12.75" customHeight="1">
      <c r="A66" s="100" t="n"/>
      <c r="B66" s="101" t="n"/>
      <c r="C66" s="102" t="n"/>
      <c r="D66" s="99" t="n"/>
      <c r="E66" s="95" t="n"/>
      <c r="F66" s="95" t="n"/>
      <c r="G66" s="94" t="n"/>
      <c r="H66" s="46" t="n"/>
      <c r="I66" s="46" t="n"/>
      <c r="J66" s="46" t="n"/>
      <c r="K66" s="46" t="n"/>
      <c r="L66" s="95" t="n"/>
      <c r="M66" s="95" t="n"/>
      <c r="N66" s="95" t="n"/>
      <c r="O66" s="95" t="n"/>
      <c r="P66" s="95" t="n"/>
      <c r="Q66" s="46" t="n"/>
      <c r="R66" s="46" t="n"/>
      <c r="S66" s="46" t="n"/>
      <c r="T66" s="46" t="n"/>
      <c r="U66" s="46" t="n"/>
      <c r="V66" s="46" t="n"/>
      <c r="W66" s="46" t="n"/>
      <c r="X66" s="46" t="n"/>
      <c r="Y66" s="46" t="n"/>
      <c r="Z66" s="46" t="n"/>
    </row>
    <row r="67" ht="12.75" customHeight="1">
      <c r="A67" s="100" t="n"/>
      <c r="B67" s="101" t="n"/>
      <c r="C67" s="102" t="n"/>
      <c r="D67" s="99" t="n"/>
      <c r="E67" s="95" t="n"/>
      <c r="F67" s="95" t="n"/>
      <c r="G67" s="94" t="n"/>
      <c r="H67" s="46" t="n"/>
      <c r="I67" s="46" t="n"/>
      <c r="J67" s="46" t="n"/>
      <c r="K67" s="46" t="n"/>
      <c r="L67" s="95" t="n"/>
      <c r="M67" s="95" t="n"/>
      <c r="N67" s="95" t="n"/>
      <c r="O67" s="95" t="n"/>
      <c r="P67" s="95" t="n"/>
      <c r="Q67" s="46" t="n"/>
      <c r="R67" s="46" t="n"/>
      <c r="S67" s="46" t="n"/>
      <c r="T67" s="46" t="n"/>
      <c r="U67" s="46" t="n"/>
      <c r="V67" s="46" t="n"/>
      <c r="W67" s="46" t="n"/>
      <c r="X67" s="46" t="n"/>
      <c r="Y67" s="46" t="n"/>
      <c r="Z67" s="46" t="n"/>
    </row>
    <row r="68" ht="12.75" customHeight="1">
      <c r="A68" s="100" t="n"/>
      <c r="B68" s="101" t="n"/>
      <c r="C68" s="102" t="n"/>
      <c r="D68" s="99" t="n"/>
      <c r="E68" s="95" t="n"/>
      <c r="F68" s="95" t="n"/>
      <c r="G68" s="94" t="n"/>
      <c r="H68" s="46" t="n"/>
      <c r="I68" s="46" t="n"/>
      <c r="J68" s="46" t="n"/>
      <c r="K68" s="46" t="n"/>
      <c r="L68" s="95" t="n"/>
      <c r="M68" s="95" t="n"/>
      <c r="N68" s="95" t="n"/>
      <c r="O68" s="95" t="n"/>
      <c r="P68" s="95" t="n"/>
      <c r="Q68" s="46" t="n"/>
      <c r="R68" s="46" t="n"/>
      <c r="S68" s="46" t="n"/>
      <c r="T68" s="46" t="n"/>
      <c r="U68" s="46" t="n"/>
      <c r="V68" s="46" t="n"/>
      <c r="W68" s="46" t="n"/>
      <c r="X68" s="46" t="n"/>
      <c r="Y68" s="46" t="n"/>
      <c r="Z68" s="46" t="n"/>
    </row>
    <row r="69" ht="12.75" customHeight="1">
      <c r="A69" s="100" t="n"/>
      <c r="B69" s="101" t="n"/>
      <c r="C69" s="102" t="n"/>
      <c r="D69" s="99" t="n"/>
      <c r="E69" s="95" t="n"/>
      <c r="F69" s="95" t="n"/>
      <c r="G69" s="94" t="n"/>
      <c r="H69" s="46" t="n"/>
      <c r="I69" s="46" t="n"/>
      <c r="J69" s="46" t="n"/>
      <c r="K69" s="46" t="n"/>
      <c r="L69" s="95" t="n"/>
      <c r="M69" s="95" t="n"/>
      <c r="N69" s="95" t="n"/>
      <c r="O69" s="95" t="n"/>
      <c r="P69" s="95" t="n"/>
      <c r="Q69" s="46" t="n"/>
      <c r="R69" s="46" t="n"/>
      <c r="S69" s="46" t="n"/>
      <c r="T69" s="46" t="n"/>
      <c r="U69" s="46" t="n"/>
      <c r="V69" s="46" t="n"/>
      <c r="W69" s="46" t="n"/>
      <c r="X69" s="46" t="n"/>
      <c r="Y69" s="46" t="n"/>
      <c r="Z69" s="46" t="n"/>
    </row>
    <row r="70" ht="12.75" customHeight="1">
      <c r="A70" s="100" t="n"/>
      <c r="B70" s="101" t="n"/>
      <c r="C70" s="102" t="n"/>
      <c r="D70" s="99" t="n"/>
      <c r="E70" s="95" t="n"/>
      <c r="F70" s="95" t="n"/>
      <c r="G70" s="94" t="n"/>
      <c r="H70" s="46" t="n"/>
      <c r="I70" s="46" t="n"/>
      <c r="J70" s="46" t="n"/>
      <c r="K70" s="46" t="n"/>
      <c r="L70" s="95" t="n"/>
      <c r="M70" s="95" t="n"/>
      <c r="N70" s="95" t="n"/>
      <c r="O70" s="95" t="n"/>
      <c r="P70" s="95" t="n"/>
      <c r="Q70" s="46" t="n"/>
      <c r="R70" s="46" t="n"/>
      <c r="S70" s="46" t="n"/>
      <c r="T70" s="46" t="n"/>
      <c r="U70" s="46" t="n"/>
      <c r="V70" s="46" t="n"/>
      <c r="W70" s="46" t="n"/>
      <c r="X70" s="46" t="n"/>
      <c r="Y70" s="46" t="n"/>
      <c r="Z70" s="46" t="n"/>
    </row>
    <row r="71" ht="12.75" customHeight="1">
      <c r="A71" s="100" t="n"/>
      <c r="B71" s="101" t="n"/>
      <c r="C71" s="102" t="n"/>
      <c r="D71" s="99" t="n"/>
      <c r="E71" s="95" t="n"/>
      <c r="F71" s="95" t="n"/>
      <c r="G71" s="94" t="n"/>
      <c r="H71" s="46" t="n"/>
      <c r="I71" s="46" t="n"/>
      <c r="J71" s="46" t="n"/>
      <c r="K71" s="46" t="n"/>
      <c r="L71" s="95" t="n"/>
      <c r="M71" s="95" t="n"/>
      <c r="N71" s="95" t="n"/>
      <c r="O71" s="95" t="n"/>
      <c r="P71" s="95" t="n"/>
      <c r="Q71" s="46" t="n"/>
      <c r="R71" s="46" t="n"/>
      <c r="S71" s="46" t="n"/>
      <c r="T71" s="46" t="n"/>
      <c r="U71" s="46" t="n"/>
      <c r="V71" s="46" t="n"/>
      <c r="W71" s="46" t="n"/>
      <c r="X71" s="46" t="n"/>
      <c r="Y71" s="46" t="n"/>
      <c r="Z71" s="46" t="n"/>
    </row>
    <row r="72" ht="12.75" customHeight="1">
      <c r="A72" s="100" t="n"/>
      <c r="B72" s="101" t="n"/>
      <c r="C72" s="102" t="n"/>
      <c r="D72" s="99" t="n"/>
      <c r="E72" s="95" t="n"/>
      <c r="F72" s="95" t="n"/>
      <c r="G72" s="94" t="n"/>
      <c r="H72" s="46" t="n"/>
      <c r="I72" s="46" t="n"/>
      <c r="J72" s="46" t="n"/>
      <c r="K72" s="46" t="n"/>
      <c r="L72" s="95" t="n"/>
      <c r="M72" s="95" t="n"/>
      <c r="N72" s="95" t="n"/>
      <c r="O72" s="95" t="n"/>
      <c r="P72" s="95" t="n"/>
      <c r="Q72" s="46" t="n"/>
      <c r="R72" s="46" t="n"/>
      <c r="S72" s="46" t="n"/>
      <c r="T72" s="46" t="n"/>
      <c r="U72" s="46" t="n"/>
      <c r="V72" s="46" t="n"/>
      <c r="W72" s="46" t="n"/>
      <c r="X72" s="46" t="n"/>
      <c r="Y72" s="46" t="n"/>
      <c r="Z72" s="46" t="n"/>
    </row>
    <row r="73" ht="12.75" customHeight="1">
      <c r="A73" s="100" t="n"/>
      <c r="B73" s="101" t="n"/>
      <c r="C73" s="102" t="n"/>
      <c r="D73" s="99" t="n"/>
      <c r="E73" s="95" t="n"/>
      <c r="F73" s="95" t="n"/>
      <c r="G73" s="94" t="n"/>
      <c r="H73" s="46" t="n"/>
      <c r="I73" s="46" t="n"/>
      <c r="J73" s="46" t="n"/>
      <c r="K73" s="46" t="n"/>
      <c r="L73" s="95" t="n"/>
      <c r="M73" s="95" t="n"/>
      <c r="N73" s="95" t="n"/>
      <c r="O73" s="95" t="n"/>
      <c r="P73" s="95" t="n"/>
      <c r="Q73" s="46" t="n"/>
      <c r="R73" s="46" t="n"/>
      <c r="S73" s="46" t="n"/>
      <c r="T73" s="46" t="n"/>
      <c r="U73" s="46" t="n"/>
      <c r="V73" s="46" t="n"/>
      <c r="W73" s="46" t="n"/>
      <c r="X73" s="46" t="n"/>
      <c r="Y73" s="46" t="n"/>
      <c r="Z73" s="46" t="n"/>
    </row>
    <row r="74" ht="12.75" customHeight="1">
      <c r="A74" s="100" t="n"/>
      <c r="B74" s="101" t="n"/>
      <c r="C74" s="102" t="n"/>
      <c r="D74" s="99" t="n"/>
      <c r="E74" s="95" t="n"/>
      <c r="F74" s="95" t="n"/>
      <c r="G74" s="94" t="n"/>
      <c r="H74" s="46" t="n"/>
      <c r="I74" s="46" t="n"/>
      <c r="J74" s="46" t="n"/>
      <c r="K74" s="46" t="n"/>
      <c r="L74" s="95" t="n"/>
      <c r="M74" s="95" t="n"/>
      <c r="N74" s="95" t="n"/>
      <c r="O74" s="95" t="n"/>
      <c r="P74" s="95" t="n"/>
      <c r="Q74" s="46" t="n"/>
      <c r="R74" s="46" t="n"/>
      <c r="S74" s="46" t="n"/>
      <c r="T74" s="46" t="n"/>
      <c r="U74" s="46" t="n"/>
      <c r="V74" s="46" t="n"/>
      <c r="W74" s="46" t="n"/>
      <c r="X74" s="46" t="n"/>
      <c r="Y74" s="46" t="n"/>
      <c r="Z74" s="46" t="n"/>
    </row>
    <row r="75" ht="12.75" customHeight="1">
      <c r="A75" s="100" t="n"/>
      <c r="B75" s="101" t="n"/>
      <c r="C75" s="102" t="n"/>
      <c r="D75" s="99" t="n"/>
      <c r="E75" s="95" t="n"/>
      <c r="F75" s="95" t="n"/>
      <c r="G75" s="94" t="n"/>
      <c r="H75" s="46" t="n"/>
      <c r="I75" s="46" t="n"/>
      <c r="J75" s="46" t="n"/>
      <c r="K75" s="46" t="n"/>
      <c r="L75" s="95" t="n"/>
      <c r="M75" s="95" t="n"/>
      <c r="N75" s="95" t="n"/>
      <c r="O75" s="95" t="n"/>
      <c r="P75" s="95" t="n"/>
      <c r="Q75" s="46" t="n"/>
      <c r="R75" s="46" t="n"/>
      <c r="S75" s="46" t="n"/>
      <c r="T75" s="46" t="n"/>
      <c r="U75" s="46" t="n"/>
      <c r="V75" s="46" t="n"/>
      <c r="W75" s="46" t="n"/>
      <c r="X75" s="46" t="n"/>
      <c r="Y75" s="46" t="n"/>
      <c r="Z75" s="46" t="n"/>
    </row>
    <row r="76" ht="12.75" customHeight="1">
      <c r="A76" s="100" t="n"/>
      <c r="B76" s="101" t="n"/>
      <c r="C76" s="102" t="n"/>
      <c r="D76" s="99" t="n"/>
      <c r="E76" s="95" t="n"/>
      <c r="F76" s="95" t="n"/>
      <c r="G76" s="94" t="n"/>
      <c r="H76" s="46" t="n"/>
      <c r="I76" s="46" t="n"/>
      <c r="J76" s="46" t="n"/>
      <c r="K76" s="46" t="n"/>
      <c r="L76" s="95" t="n"/>
      <c r="M76" s="95" t="n"/>
      <c r="N76" s="95" t="n"/>
      <c r="O76" s="95" t="n"/>
      <c r="P76" s="95" t="n"/>
      <c r="Q76" s="46" t="n"/>
      <c r="R76" s="46" t="n"/>
      <c r="S76" s="46" t="n"/>
      <c r="T76" s="46" t="n"/>
      <c r="U76" s="46" t="n"/>
      <c r="V76" s="46" t="n"/>
      <c r="W76" s="46" t="n"/>
      <c r="X76" s="46" t="n"/>
      <c r="Y76" s="46" t="n"/>
      <c r="Z76" s="46" t="n"/>
    </row>
    <row r="77" ht="12.75" customHeight="1">
      <c r="A77" s="100" t="n"/>
      <c r="B77" s="101" t="n"/>
      <c r="C77" s="102" t="n"/>
      <c r="D77" s="99" t="n"/>
      <c r="E77" s="95" t="n"/>
      <c r="F77" s="95" t="n"/>
      <c r="G77" s="94" t="n"/>
      <c r="H77" s="46" t="n"/>
      <c r="I77" s="46" t="n"/>
      <c r="J77" s="46" t="n"/>
      <c r="K77" s="46" t="n"/>
      <c r="L77" s="95" t="n"/>
      <c r="M77" s="95" t="n"/>
      <c r="N77" s="95" t="n"/>
      <c r="O77" s="95" t="n"/>
      <c r="P77" s="95" t="n"/>
      <c r="Q77" s="46" t="n"/>
      <c r="R77" s="46" t="n"/>
      <c r="S77" s="46" t="n"/>
      <c r="T77" s="46" t="n"/>
      <c r="U77" s="46" t="n"/>
      <c r="V77" s="46" t="n"/>
      <c r="W77" s="46" t="n"/>
      <c r="X77" s="46" t="n"/>
      <c r="Y77" s="46" t="n"/>
      <c r="Z77" s="46" t="n"/>
    </row>
    <row r="78" ht="12.75" customHeight="1">
      <c r="A78" s="100" t="n"/>
      <c r="B78" s="101" t="n"/>
      <c r="C78" s="102" t="n"/>
      <c r="D78" s="99" t="n"/>
      <c r="E78" s="95" t="n"/>
      <c r="F78" s="95" t="n"/>
      <c r="G78" s="94" t="n"/>
      <c r="H78" s="46" t="n"/>
      <c r="I78" s="46" t="n"/>
      <c r="J78" s="46" t="n"/>
      <c r="K78" s="46" t="n"/>
      <c r="L78" s="95" t="n"/>
      <c r="M78" s="95" t="n"/>
      <c r="N78" s="95" t="n"/>
      <c r="O78" s="95" t="n"/>
      <c r="P78" s="95" t="n"/>
      <c r="Q78" s="46" t="n"/>
      <c r="R78" s="46" t="n"/>
      <c r="S78" s="46" t="n"/>
      <c r="T78" s="46" t="n"/>
      <c r="U78" s="46" t="n"/>
      <c r="V78" s="46" t="n"/>
      <c r="W78" s="46" t="n"/>
      <c r="X78" s="46" t="n"/>
      <c r="Y78" s="46" t="n"/>
      <c r="Z78" s="46" t="n"/>
    </row>
    <row r="79" ht="12.75" customHeight="1">
      <c r="A79" s="100" t="n"/>
      <c r="B79" s="101" t="n"/>
      <c r="C79" s="102" t="n"/>
      <c r="D79" s="99" t="n"/>
      <c r="E79" s="95" t="n"/>
      <c r="F79" s="95" t="n"/>
      <c r="G79" s="94" t="n"/>
      <c r="H79" s="46" t="n"/>
      <c r="I79" s="46" t="n"/>
      <c r="J79" s="46" t="n"/>
      <c r="K79" s="46" t="n"/>
      <c r="L79" s="95" t="n"/>
      <c r="M79" s="95" t="n"/>
      <c r="N79" s="95" t="n"/>
      <c r="O79" s="95" t="n"/>
      <c r="P79" s="95" t="n"/>
      <c r="Q79" s="46" t="n"/>
      <c r="R79" s="46" t="n"/>
      <c r="S79" s="46" t="n"/>
      <c r="T79" s="46" t="n"/>
      <c r="U79" s="46" t="n"/>
      <c r="V79" s="46" t="n"/>
      <c r="W79" s="46" t="n"/>
      <c r="X79" s="46" t="n"/>
      <c r="Y79" s="46" t="n"/>
      <c r="Z79" s="46" t="n"/>
    </row>
    <row r="80" ht="12.75" customHeight="1">
      <c r="A80" s="100" t="n"/>
      <c r="B80" s="101" t="n"/>
      <c r="C80" s="102" t="n"/>
      <c r="D80" s="99" t="n"/>
      <c r="E80" s="95" t="n"/>
      <c r="F80" s="95" t="n"/>
      <c r="G80" s="94" t="n"/>
      <c r="H80" s="46" t="n"/>
      <c r="I80" s="46" t="n"/>
      <c r="J80" s="46" t="n"/>
      <c r="K80" s="46" t="n"/>
      <c r="L80" s="95" t="n"/>
      <c r="M80" s="95" t="n"/>
      <c r="N80" s="95" t="n"/>
      <c r="O80" s="95" t="n"/>
      <c r="P80" s="95" t="n"/>
      <c r="Q80" s="46" t="n"/>
      <c r="R80" s="46" t="n"/>
      <c r="S80" s="46" t="n"/>
      <c r="T80" s="46" t="n"/>
      <c r="U80" s="46" t="n"/>
      <c r="V80" s="46" t="n"/>
      <c r="W80" s="46" t="n"/>
      <c r="X80" s="46" t="n"/>
      <c r="Y80" s="46" t="n"/>
      <c r="Z80" s="46" t="n"/>
    </row>
    <row r="81" ht="12.75" customHeight="1">
      <c r="A81" s="100" t="n"/>
      <c r="B81" s="101" t="n"/>
      <c r="C81" s="102" t="n"/>
      <c r="D81" s="99" t="n"/>
      <c r="E81" s="95" t="n"/>
      <c r="F81" s="95" t="n"/>
      <c r="G81" s="94" t="n"/>
      <c r="H81" s="46" t="n"/>
      <c r="I81" s="46" t="n"/>
      <c r="J81" s="46" t="n"/>
      <c r="K81" s="46" t="n"/>
      <c r="L81" s="95" t="n"/>
      <c r="M81" s="95" t="n"/>
      <c r="N81" s="95" t="n"/>
      <c r="O81" s="95" t="n"/>
      <c r="P81" s="95" t="n"/>
      <c r="Q81" s="46" t="n"/>
      <c r="R81" s="46" t="n"/>
      <c r="S81" s="46" t="n"/>
      <c r="T81" s="46" t="n"/>
      <c r="U81" s="46" t="n"/>
      <c r="V81" s="46" t="n"/>
      <c r="W81" s="46" t="n"/>
      <c r="X81" s="46" t="n"/>
      <c r="Y81" s="46" t="n"/>
      <c r="Z81" s="46" t="n"/>
    </row>
    <row r="82" ht="12.75" customHeight="1">
      <c r="A82" s="100" t="n"/>
      <c r="B82" s="101" t="n"/>
      <c r="C82" s="102" t="n"/>
      <c r="D82" s="99" t="n"/>
      <c r="E82" s="95" t="n"/>
      <c r="F82" s="95" t="n"/>
      <c r="G82" s="94" t="n"/>
      <c r="H82" s="46" t="n"/>
      <c r="I82" s="46" t="n"/>
      <c r="J82" s="46" t="n"/>
      <c r="K82" s="46" t="n"/>
      <c r="L82" s="95" t="n"/>
      <c r="M82" s="95" t="n"/>
      <c r="N82" s="95" t="n"/>
      <c r="O82" s="95" t="n"/>
      <c r="P82" s="95" t="n"/>
      <c r="Q82" s="46" t="n"/>
      <c r="R82" s="46" t="n"/>
      <c r="S82" s="46" t="n"/>
      <c r="T82" s="46" t="n"/>
      <c r="U82" s="46" t="n"/>
      <c r="V82" s="46" t="n"/>
      <c r="W82" s="46" t="n"/>
      <c r="X82" s="46" t="n"/>
      <c r="Y82" s="46" t="n"/>
      <c r="Z82" s="46" t="n"/>
    </row>
    <row r="83" ht="12.75" customHeight="1">
      <c r="A83" s="100" t="n"/>
      <c r="B83" s="101" t="n"/>
      <c r="C83" s="102" t="n"/>
      <c r="D83" s="99" t="n"/>
      <c r="E83" s="95" t="n"/>
      <c r="F83" s="95" t="n"/>
      <c r="G83" s="94" t="n"/>
      <c r="H83" s="46" t="n"/>
      <c r="I83" s="46" t="n"/>
      <c r="J83" s="46" t="n"/>
      <c r="K83" s="46" t="n"/>
      <c r="L83" s="95" t="n"/>
      <c r="M83" s="95" t="n"/>
      <c r="N83" s="95" t="n"/>
      <c r="O83" s="95" t="n"/>
      <c r="P83" s="95" t="n"/>
      <c r="Q83" s="46" t="n"/>
      <c r="R83" s="46" t="n"/>
      <c r="S83" s="46" t="n"/>
      <c r="T83" s="46" t="n"/>
      <c r="U83" s="46" t="n"/>
      <c r="V83" s="46" t="n"/>
      <c r="W83" s="46" t="n"/>
      <c r="X83" s="46" t="n"/>
      <c r="Y83" s="46" t="n"/>
      <c r="Z83" s="46" t="n"/>
    </row>
    <row r="84" ht="12.75" customHeight="1">
      <c r="A84" s="100" t="n"/>
      <c r="B84" s="101" t="n"/>
      <c r="C84" s="102" t="n"/>
      <c r="D84" s="99" t="n"/>
      <c r="E84" s="95" t="n"/>
      <c r="F84" s="95" t="n"/>
      <c r="G84" s="94" t="n"/>
      <c r="H84" s="46" t="n"/>
      <c r="I84" s="46" t="n"/>
      <c r="J84" s="46" t="n"/>
      <c r="K84" s="46" t="n"/>
      <c r="L84" s="95" t="n"/>
      <c r="M84" s="95" t="n"/>
      <c r="N84" s="95" t="n"/>
      <c r="O84" s="95" t="n"/>
      <c r="P84" s="95" t="n"/>
      <c r="Q84" s="46" t="n"/>
      <c r="R84" s="46" t="n"/>
      <c r="S84" s="46" t="n"/>
      <c r="T84" s="46" t="n"/>
      <c r="U84" s="46" t="n"/>
      <c r="V84" s="46" t="n"/>
      <c r="W84" s="46" t="n"/>
      <c r="X84" s="46" t="n"/>
      <c r="Y84" s="46" t="n"/>
      <c r="Z84" s="46" t="n"/>
    </row>
    <row r="85" ht="12.75" customHeight="1">
      <c r="A85" s="100" t="n"/>
      <c r="B85" s="101" t="n"/>
      <c r="C85" s="102" t="n"/>
      <c r="D85" s="99" t="n"/>
      <c r="E85" s="95" t="n"/>
      <c r="F85" s="95" t="n"/>
      <c r="G85" s="94" t="n"/>
      <c r="H85" s="46" t="n"/>
      <c r="I85" s="46" t="n"/>
      <c r="J85" s="46" t="n"/>
      <c r="K85" s="46" t="n"/>
      <c r="L85" s="95" t="n"/>
      <c r="M85" s="95" t="n"/>
      <c r="N85" s="95" t="n"/>
      <c r="O85" s="95" t="n"/>
      <c r="P85" s="95" t="n"/>
      <c r="Q85" s="46" t="n"/>
      <c r="R85" s="46" t="n"/>
      <c r="S85" s="46" t="n"/>
      <c r="T85" s="46" t="n"/>
      <c r="U85" s="46" t="n"/>
      <c r="V85" s="46" t="n"/>
      <c r="W85" s="46" t="n"/>
      <c r="X85" s="46" t="n"/>
      <c r="Y85" s="46" t="n"/>
      <c r="Z85" s="46" t="n"/>
    </row>
    <row r="86" ht="12.75" customHeight="1">
      <c r="A86" s="100" t="n"/>
      <c r="B86" s="101" t="n"/>
      <c r="C86" s="102" t="n"/>
      <c r="D86" s="99" t="n"/>
      <c r="E86" s="95" t="n"/>
      <c r="F86" s="95" t="n"/>
      <c r="G86" s="94" t="n"/>
      <c r="H86" s="46" t="n"/>
      <c r="I86" s="46" t="n"/>
      <c r="J86" s="46" t="n"/>
      <c r="K86" s="46" t="n"/>
      <c r="L86" s="95" t="n"/>
      <c r="M86" s="95" t="n"/>
      <c r="N86" s="95" t="n"/>
      <c r="O86" s="95" t="n"/>
      <c r="P86" s="95" t="n"/>
      <c r="Q86" s="46" t="n"/>
      <c r="R86" s="46" t="n"/>
      <c r="S86" s="46" t="n"/>
      <c r="T86" s="46" t="n"/>
      <c r="U86" s="46" t="n"/>
      <c r="V86" s="46" t="n"/>
      <c r="W86" s="46" t="n"/>
      <c r="X86" s="46" t="n"/>
      <c r="Y86" s="46" t="n"/>
      <c r="Z86" s="46" t="n"/>
    </row>
    <row r="87" ht="12.75" customHeight="1">
      <c r="A87" s="100" t="n"/>
      <c r="B87" s="101" t="n"/>
      <c r="C87" s="102" t="n"/>
      <c r="D87" s="99" t="n"/>
      <c r="E87" s="95" t="n"/>
      <c r="F87" s="95" t="n"/>
      <c r="G87" s="94" t="n"/>
      <c r="H87" s="46" t="n"/>
      <c r="I87" s="46" t="n"/>
      <c r="J87" s="46" t="n"/>
      <c r="K87" s="46" t="n"/>
      <c r="L87" s="95" t="n"/>
      <c r="M87" s="95" t="n"/>
      <c r="N87" s="95" t="n"/>
      <c r="O87" s="95" t="n"/>
      <c r="P87" s="95" t="n"/>
      <c r="Q87" s="46" t="n"/>
      <c r="R87" s="46" t="n"/>
      <c r="S87" s="46" t="n"/>
      <c r="T87" s="46" t="n"/>
      <c r="U87" s="46" t="n"/>
      <c r="V87" s="46" t="n"/>
      <c r="W87" s="46" t="n"/>
      <c r="X87" s="46" t="n"/>
      <c r="Y87" s="46" t="n"/>
      <c r="Z87" s="46" t="n"/>
    </row>
    <row r="88" ht="12.75" customHeight="1">
      <c r="A88" s="100" t="n"/>
      <c r="B88" s="101" t="n"/>
      <c r="C88" s="102" t="n"/>
      <c r="D88" s="99" t="n"/>
      <c r="E88" s="95" t="n"/>
      <c r="F88" s="95" t="n"/>
      <c r="G88" s="94" t="n"/>
      <c r="H88" s="46" t="n"/>
      <c r="I88" s="46" t="n"/>
      <c r="J88" s="46" t="n"/>
      <c r="K88" s="46" t="n"/>
      <c r="L88" s="95" t="n"/>
      <c r="M88" s="95" t="n"/>
      <c r="N88" s="95" t="n"/>
      <c r="O88" s="95" t="n"/>
      <c r="P88" s="95" t="n"/>
      <c r="Q88" s="46" t="n"/>
      <c r="R88" s="46" t="n"/>
      <c r="S88" s="46" t="n"/>
      <c r="T88" s="46" t="n"/>
      <c r="U88" s="46" t="n"/>
      <c r="V88" s="46" t="n"/>
      <c r="W88" s="46" t="n"/>
      <c r="X88" s="46" t="n"/>
      <c r="Y88" s="46" t="n"/>
      <c r="Z88" s="46" t="n"/>
    </row>
    <row r="89" ht="12.75" customHeight="1">
      <c r="A89" s="100" t="n"/>
      <c r="B89" s="101" t="n"/>
      <c r="C89" s="102" t="n"/>
      <c r="D89" s="99" t="n"/>
      <c r="E89" s="95" t="n"/>
      <c r="F89" s="95" t="n"/>
      <c r="G89" s="94" t="n"/>
      <c r="H89" s="46" t="n"/>
      <c r="I89" s="46" t="n"/>
      <c r="J89" s="46" t="n"/>
      <c r="K89" s="46" t="n"/>
      <c r="L89" s="95" t="n"/>
      <c r="M89" s="95" t="n"/>
      <c r="N89" s="95" t="n"/>
      <c r="O89" s="95" t="n"/>
      <c r="P89" s="95" t="n"/>
      <c r="Q89" s="46" t="n"/>
      <c r="R89" s="46" t="n"/>
      <c r="S89" s="46" t="n"/>
      <c r="T89" s="46" t="n"/>
      <c r="U89" s="46" t="n"/>
      <c r="V89" s="46" t="n"/>
      <c r="W89" s="46" t="n"/>
      <c r="X89" s="46" t="n"/>
      <c r="Y89" s="46" t="n"/>
      <c r="Z89" s="46" t="n"/>
    </row>
    <row r="90" ht="12.75" customHeight="1">
      <c r="A90" s="100" t="n"/>
      <c r="B90" s="101" t="n"/>
      <c r="C90" s="102" t="n"/>
      <c r="D90" s="99" t="n"/>
      <c r="E90" s="95" t="n"/>
      <c r="F90" s="95" t="n"/>
      <c r="G90" s="94" t="n"/>
      <c r="H90" s="46" t="n"/>
      <c r="I90" s="46" t="n"/>
      <c r="J90" s="46" t="n"/>
      <c r="K90" s="46" t="n"/>
      <c r="L90" s="95" t="n"/>
      <c r="M90" s="95" t="n"/>
      <c r="N90" s="95" t="n"/>
      <c r="O90" s="95" t="n"/>
      <c r="P90" s="95" t="n"/>
      <c r="Q90" s="46" t="n"/>
      <c r="R90" s="46" t="n"/>
      <c r="S90" s="46" t="n"/>
      <c r="T90" s="46" t="n"/>
      <c r="U90" s="46" t="n"/>
      <c r="V90" s="46" t="n"/>
      <c r="W90" s="46" t="n"/>
      <c r="X90" s="46" t="n"/>
      <c r="Y90" s="46" t="n"/>
      <c r="Z90" s="46" t="n"/>
    </row>
    <row r="91" ht="12.75" customHeight="1">
      <c r="A91" s="100" t="n"/>
      <c r="B91" s="101" t="n"/>
      <c r="C91" s="102" t="n"/>
      <c r="D91" s="99" t="n"/>
      <c r="E91" s="95" t="n"/>
      <c r="F91" s="95" t="n"/>
      <c r="G91" s="94" t="n"/>
      <c r="H91" s="46" t="n"/>
      <c r="I91" s="46" t="n"/>
      <c r="J91" s="46" t="n"/>
      <c r="K91" s="46" t="n"/>
      <c r="L91" s="95" t="n"/>
      <c r="M91" s="95" t="n"/>
      <c r="N91" s="95" t="n"/>
      <c r="O91" s="95" t="n"/>
      <c r="P91" s="95" t="n"/>
      <c r="Q91" s="46" t="n"/>
      <c r="R91" s="46" t="n"/>
      <c r="S91" s="46" t="n"/>
      <c r="T91" s="46" t="n"/>
      <c r="U91" s="46" t="n"/>
      <c r="V91" s="46" t="n"/>
      <c r="W91" s="46" t="n"/>
      <c r="X91" s="46" t="n"/>
      <c r="Y91" s="46" t="n"/>
      <c r="Z91" s="46" t="n"/>
    </row>
    <row r="92" ht="12.75" customHeight="1">
      <c r="A92" s="100" t="n"/>
      <c r="B92" s="101" t="n"/>
      <c r="C92" s="102" t="n"/>
      <c r="D92" s="99" t="n"/>
      <c r="E92" s="95" t="n"/>
      <c r="F92" s="95" t="n"/>
      <c r="G92" s="94" t="n"/>
      <c r="H92" s="46" t="n"/>
      <c r="I92" s="46" t="n"/>
      <c r="J92" s="46" t="n"/>
      <c r="K92" s="46" t="n"/>
      <c r="L92" s="95" t="n"/>
      <c r="M92" s="95" t="n"/>
      <c r="N92" s="95" t="n"/>
      <c r="O92" s="95" t="n"/>
      <c r="P92" s="95" t="n"/>
      <c r="Q92" s="46" t="n"/>
      <c r="R92" s="46" t="n"/>
      <c r="S92" s="46" t="n"/>
      <c r="T92" s="46" t="n"/>
      <c r="U92" s="46" t="n"/>
      <c r="V92" s="46" t="n"/>
      <c r="W92" s="46" t="n"/>
      <c r="X92" s="46" t="n"/>
      <c r="Y92" s="46" t="n"/>
      <c r="Z92" s="46" t="n"/>
    </row>
    <row r="93" ht="12.75" customHeight="1">
      <c r="A93" s="100" t="n"/>
      <c r="B93" s="101" t="n"/>
      <c r="C93" s="102" t="n"/>
      <c r="D93" s="99" t="n"/>
      <c r="E93" s="95" t="n"/>
      <c r="F93" s="95" t="n"/>
      <c r="G93" s="94" t="n"/>
      <c r="H93" s="46" t="n"/>
      <c r="I93" s="46" t="n"/>
      <c r="J93" s="46" t="n"/>
      <c r="K93" s="46" t="n"/>
      <c r="L93" s="95" t="n"/>
      <c r="M93" s="95" t="n"/>
      <c r="N93" s="95" t="n"/>
      <c r="O93" s="95" t="n"/>
      <c r="P93" s="95" t="n"/>
      <c r="Q93" s="46" t="n"/>
      <c r="R93" s="46" t="n"/>
      <c r="S93" s="46" t="n"/>
      <c r="T93" s="46" t="n"/>
      <c r="U93" s="46" t="n"/>
      <c r="V93" s="46" t="n"/>
      <c r="W93" s="46" t="n"/>
      <c r="X93" s="46" t="n"/>
      <c r="Y93" s="46" t="n"/>
      <c r="Z93" s="46" t="n"/>
    </row>
    <row r="94" ht="12.75" customHeight="1">
      <c r="A94" s="100" t="n"/>
      <c r="B94" s="101" t="n"/>
      <c r="C94" s="102" t="n"/>
      <c r="D94" s="99" t="n"/>
      <c r="E94" s="95" t="n"/>
      <c r="F94" s="95" t="n"/>
      <c r="G94" s="94" t="n"/>
      <c r="H94" s="46" t="n"/>
      <c r="I94" s="46" t="n"/>
      <c r="J94" s="46" t="n"/>
      <c r="K94" s="46" t="n"/>
      <c r="L94" s="95" t="n"/>
      <c r="M94" s="95" t="n"/>
      <c r="N94" s="95" t="n"/>
      <c r="O94" s="95" t="n"/>
      <c r="P94" s="95" t="n"/>
      <c r="Q94" s="46" t="n"/>
      <c r="R94" s="46" t="n"/>
      <c r="S94" s="46" t="n"/>
      <c r="T94" s="46" t="n"/>
      <c r="U94" s="46" t="n"/>
      <c r="V94" s="46" t="n"/>
      <c r="W94" s="46" t="n"/>
      <c r="X94" s="46" t="n"/>
      <c r="Y94" s="46" t="n"/>
      <c r="Z94" s="46" t="n"/>
    </row>
    <row r="95" ht="12.75" customHeight="1">
      <c r="A95" s="100" t="n"/>
      <c r="B95" s="101" t="n"/>
      <c r="C95" s="102" t="n"/>
      <c r="D95" s="99" t="n"/>
      <c r="E95" s="95" t="n"/>
      <c r="F95" s="95" t="n"/>
      <c r="G95" s="94" t="n"/>
      <c r="H95" s="46" t="n"/>
      <c r="I95" s="46" t="n"/>
      <c r="J95" s="46" t="n"/>
      <c r="K95" s="46" t="n"/>
      <c r="L95" s="95" t="n"/>
      <c r="M95" s="95" t="n"/>
      <c r="N95" s="95" t="n"/>
      <c r="O95" s="95" t="n"/>
      <c r="P95" s="95" t="n"/>
      <c r="Q95" s="46" t="n"/>
      <c r="R95" s="46" t="n"/>
      <c r="S95" s="46" t="n"/>
      <c r="T95" s="46" t="n"/>
      <c r="U95" s="46" t="n"/>
      <c r="V95" s="46" t="n"/>
      <c r="W95" s="46" t="n"/>
      <c r="X95" s="46" t="n"/>
      <c r="Y95" s="46" t="n"/>
      <c r="Z95" s="46" t="n"/>
    </row>
    <row r="96" ht="12.75" customHeight="1">
      <c r="A96" s="100" t="n"/>
      <c r="B96" s="101" t="n"/>
      <c r="C96" s="102" t="n"/>
      <c r="D96" s="99" t="n"/>
      <c r="E96" s="95" t="n"/>
      <c r="F96" s="95" t="n"/>
      <c r="G96" s="94" t="n"/>
      <c r="H96" s="46" t="n"/>
      <c r="I96" s="46" t="n"/>
      <c r="J96" s="46" t="n"/>
      <c r="K96" s="46" t="n"/>
      <c r="L96" s="95" t="n"/>
      <c r="M96" s="95" t="n"/>
      <c r="N96" s="95" t="n"/>
      <c r="O96" s="95" t="n"/>
      <c r="P96" s="95" t="n"/>
      <c r="Q96" s="46" t="n"/>
      <c r="R96" s="46" t="n"/>
      <c r="S96" s="46" t="n"/>
      <c r="T96" s="46" t="n"/>
      <c r="U96" s="46" t="n"/>
      <c r="V96" s="46" t="n"/>
      <c r="W96" s="46" t="n"/>
      <c r="X96" s="46" t="n"/>
      <c r="Y96" s="46" t="n"/>
      <c r="Z96" s="46" t="n"/>
    </row>
    <row r="97" ht="12.75" customHeight="1">
      <c r="A97" s="100" t="n"/>
      <c r="B97" s="101" t="n"/>
      <c r="C97" s="102" t="n"/>
      <c r="D97" s="99" t="n"/>
      <c r="E97" s="95" t="n"/>
      <c r="F97" s="95" t="n"/>
      <c r="G97" s="94" t="n"/>
      <c r="H97" s="46" t="n"/>
      <c r="I97" s="46" t="n"/>
      <c r="J97" s="46" t="n"/>
      <c r="K97" s="46" t="n"/>
      <c r="L97" s="95" t="n"/>
      <c r="M97" s="95" t="n"/>
      <c r="N97" s="95" t="n"/>
      <c r="O97" s="95" t="n"/>
      <c r="P97" s="95" t="n"/>
      <c r="Q97" s="46" t="n"/>
      <c r="R97" s="46" t="n"/>
      <c r="S97" s="46" t="n"/>
      <c r="T97" s="46" t="n"/>
      <c r="U97" s="46" t="n"/>
      <c r="V97" s="46" t="n"/>
      <c r="W97" s="46" t="n"/>
      <c r="X97" s="46" t="n"/>
      <c r="Y97" s="46" t="n"/>
      <c r="Z97" s="46" t="n"/>
    </row>
    <row r="98" ht="12.75" customHeight="1">
      <c r="A98" s="100" t="n"/>
      <c r="B98" s="101" t="n"/>
      <c r="C98" s="102" t="n"/>
      <c r="D98" s="99" t="n"/>
      <c r="E98" s="95" t="n"/>
      <c r="F98" s="95" t="n"/>
      <c r="G98" s="94" t="n"/>
      <c r="H98" s="46" t="n"/>
      <c r="I98" s="46" t="n"/>
      <c r="J98" s="46" t="n"/>
      <c r="K98" s="46" t="n"/>
      <c r="L98" s="95" t="n"/>
      <c r="M98" s="95" t="n"/>
      <c r="N98" s="95" t="n"/>
      <c r="O98" s="95" t="n"/>
      <c r="P98" s="95" t="n"/>
      <c r="Q98" s="46" t="n"/>
      <c r="R98" s="46" t="n"/>
      <c r="S98" s="46" t="n"/>
      <c r="T98" s="46" t="n"/>
      <c r="U98" s="46" t="n"/>
      <c r="V98" s="46" t="n"/>
      <c r="W98" s="46" t="n"/>
      <c r="X98" s="46" t="n"/>
      <c r="Y98" s="46" t="n"/>
      <c r="Z98" s="46" t="n"/>
    </row>
    <row r="99" ht="12.75" customHeight="1">
      <c r="A99" s="100" t="n"/>
      <c r="B99" s="101" t="n"/>
      <c r="C99" s="102" t="n"/>
      <c r="D99" s="99" t="n"/>
      <c r="E99" s="95" t="n"/>
      <c r="F99" s="95" t="n"/>
      <c r="G99" s="94" t="n"/>
      <c r="H99" s="46" t="n"/>
      <c r="I99" s="46" t="n"/>
      <c r="J99" s="46" t="n"/>
      <c r="K99" s="46" t="n"/>
      <c r="L99" s="95" t="n"/>
      <c r="M99" s="95" t="n"/>
      <c r="N99" s="95" t="n"/>
      <c r="O99" s="95" t="n"/>
      <c r="P99" s="95" t="n"/>
      <c r="Q99" s="46" t="n"/>
      <c r="R99" s="46" t="n"/>
      <c r="S99" s="46" t="n"/>
      <c r="T99" s="46" t="n"/>
      <c r="U99" s="46" t="n"/>
      <c r="V99" s="46" t="n"/>
      <c r="W99" s="46" t="n"/>
      <c r="X99" s="46" t="n"/>
      <c r="Y99" s="46" t="n"/>
      <c r="Z99" s="46" t="n"/>
    </row>
    <row r="100" ht="12.75" customHeight="1">
      <c r="A100" s="100" t="n"/>
      <c r="B100" s="101" t="n"/>
      <c r="C100" s="102" t="n"/>
      <c r="D100" s="99" t="n"/>
      <c r="E100" s="95" t="n"/>
      <c r="F100" s="95" t="n"/>
      <c r="G100" s="94" t="n"/>
      <c r="H100" s="46" t="n"/>
      <c r="I100" s="46" t="n"/>
      <c r="J100" s="46" t="n"/>
      <c r="K100" s="46" t="n"/>
      <c r="L100" s="95" t="n"/>
      <c r="M100" s="95" t="n"/>
      <c r="N100" s="95" t="n"/>
      <c r="O100" s="95" t="n"/>
      <c r="P100" s="95" t="n"/>
      <c r="Q100" s="46" t="n"/>
      <c r="R100" s="46" t="n"/>
      <c r="S100" s="46" t="n"/>
      <c r="T100" s="46" t="n"/>
      <c r="U100" s="46" t="n"/>
      <c r="V100" s="46" t="n"/>
      <c r="W100" s="46" t="n"/>
      <c r="X100" s="46" t="n"/>
      <c r="Y100" s="46" t="n"/>
      <c r="Z100" s="46" t="n"/>
    </row>
    <row r="101" ht="12.75" customHeight="1">
      <c r="A101" s="100" t="n"/>
      <c r="B101" s="101" t="n"/>
      <c r="C101" s="102" t="n"/>
      <c r="D101" s="99" t="n"/>
      <c r="E101" s="95" t="n"/>
      <c r="F101" s="95" t="n"/>
      <c r="G101" s="94" t="n"/>
      <c r="H101" s="46" t="n"/>
      <c r="I101" s="46" t="n"/>
      <c r="J101" s="46" t="n"/>
      <c r="K101" s="46" t="n"/>
      <c r="L101" s="95" t="n"/>
      <c r="M101" s="95" t="n"/>
      <c r="N101" s="95" t="n"/>
      <c r="O101" s="95" t="n"/>
      <c r="P101" s="95" t="n"/>
      <c r="Q101" s="46" t="n"/>
      <c r="R101" s="46" t="n"/>
      <c r="S101" s="46" t="n"/>
      <c r="T101" s="46" t="n"/>
      <c r="U101" s="46" t="n"/>
      <c r="V101" s="46" t="n"/>
      <c r="W101" s="46" t="n"/>
      <c r="X101" s="46" t="n"/>
      <c r="Y101" s="46" t="n"/>
      <c r="Z101" s="46" t="n"/>
    </row>
    <row r="102" ht="12.75" customHeight="1">
      <c r="A102" s="100" t="n"/>
      <c r="B102" s="101" t="n"/>
      <c r="C102" s="102" t="n"/>
      <c r="D102" s="99" t="n"/>
      <c r="E102" s="95" t="n"/>
      <c r="F102" s="95" t="n"/>
      <c r="G102" s="94" t="n"/>
      <c r="H102" s="46" t="n"/>
      <c r="I102" s="46" t="n"/>
      <c r="J102" s="46" t="n"/>
      <c r="K102" s="46" t="n"/>
      <c r="L102" s="95" t="n"/>
      <c r="M102" s="95" t="n"/>
      <c r="N102" s="95" t="n"/>
      <c r="O102" s="95" t="n"/>
      <c r="P102" s="95" t="n"/>
      <c r="Q102" s="46" t="n"/>
      <c r="R102" s="46" t="n"/>
      <c r="S102" s="46" t="n"/>
      <c r="T102" s="46" t="n"/>
      <c r="U102" s="46" t="n"/>
      <c r="V102" s="46" t="n"/>
      <c r="W102" s="46" t="n"/>
      <c r="X102" s="46" t="n"/>
      <c r="Y102" s="46" t="n"/>
      <c r="Z102" s="46" t="n"/>
    </row>
    <row r="103" ht="12.75" customHeight="1">
      <c r="A103" s="100" t="n"/>
      <c r="B103" s="101" t="n"/>
      <c r="C103" s="102" t="n"/>
      <c r="D103" s="99" t="n"/>
      <c r="E103" s="95" t="n"/>
      <c r="F103" s="95" t="n"/>
      <c r="G103" s="94" t="n"/>
      <c r="H103" s="46" t="n"/>
      <c r="I103" s="46" t="n"/>
      <c r="J103" s="46" t="n"/>
      <c r="K103" s="46" t="n"/>
      <c r="L103" s="95" t="n"/>
      <c r="M103" s="95" t="n"/>
      <c r="N103" s="95" t="n"/>
      <c r="O103" s="95" t="n"/>
      <c r="P103" s="95" t="n"/>
      <c r="Q103" s="46" t="n"/>
      <c r="R103" s="46" t="n"/>
      <c r="S103" s="46" t="n"/>
      <c r="T103" s="46" t="n"/>
      <c r="U103" s="46" t="n"/>
      <c r="V103" s="46" t="n"/>
      <c r="W103" s="46" t="n"/>
      <c r="X103" s="46" t="n"/>
      <c r="Y103" s="46" t="n"/>
      <c r="Z103" s="46" t="n"/>
    </row>
    <row r="104" ht="12.75" customHeight="1">
      <c r="A104" s="100" t="n"/>
      <c r="B104" s="101" t="n"/>
      <c r="C104" s="102" t="n"/>
      <c r="D104" s="99" t="n"/>
      <c r="E104" s="95" t="n"/>
      <c r="F104" s="95" t="n"/>
      <c r="G104" s="94" t="n"/>
      <c r="H104" s="46" t="n"/>
      <c r="I104" s="46" t="n"/>
      <c r="J104" s="46" t="n"/>
      <c r="K104" s="46" t="n"/>
      <c r="L104" s="95" t="n"/>
      <c r="M104" s="95" t="n"/>
      <c r="N104" s="95" t="n"/>
      <c r="O104" s="95" t="n"/>
      <c r="P104" s="95" t="n"/>
      <c r="Q104" s="46" t="n"/>
      <c r="R104" s="46" t="n"/>
      <c r="S104" s="46" t="n"/>
      <c r="T104" s="46" t="n"/>
      <c r="U104" s="46" t="n"/>
      <c r="V104" s="46" t="n"/>
      <c r="W104" s="46" t="n"/>
      <c r="X104" s="46" t="n"/>
      <c r="Y104" s="46" t="n"/>
      <c r="Z104" s="46" t="n"/>
    </row>
    <row r="105" ht="12.75" customHeight="1">
      <c r="A105" s="100" t="n"/>
      <c r="B105" s="101" t="n"/>
      <c r="C105" s="102" t="n"/>
      <c r="D105" s="99" t="n"/>
      <c r="E105" s="95" t="n"/>
      <c r="F105" s="95" t="n"/>
      <c r="G105" s="94" t="n"/>
      <c r="H105" s="46" t="n"/>
      <c r="I105" s="46" t="n"/>
      <c r="J105" s="46" t="n"/>
      <c r="K105" s="46" t="n"/>
      <c r="L105" s="95" t="n"/>
      <c r="M105" s="95" t="n"/>
      <c r="N105" s="95" t="n"/>
      <c r="O105" s="95" t="n"/>
      <c r="P105" s="95" t="n"/>
      <c r="Q105" s="46" t="n"/>
      <c r="R105" s="46" t="n"/>
      <c r="S105" s="46" t="n"/>
      <c r="T105" s="46" t="n"/>
      <c r="U105" s="46" t="n"/>
      <c r="V105" s="46" t="n"/>
      <c r="W105" s="46" t="n"/>
      <c r="X105" s="46" t="n"/>
      <c r="Y105" s="46" t="n"/>
      <c r="Z105" s="46" t="n"/>
    </row>
    <row r="106" ht="12.75" customHeight="1">
      <c r="A106" s="100" t="n"/>
      <c r="B106" s="101" t="n"/>
      <c r="C106" s="102" t="n"/>
      <c r="D106" s="99" t="n"/>
      <c r="E106" s="95" t="n"/>
      <c r="F106" s="95" t="n"/>
      <c r="G106" s="94" t="n"/>
      <c r="H106" s="46" t="n"/>
      <c r="I106" s="46" t="n"/>
      <c r="J106" s="46" t="n"/>
      <c r="K106" s="46" t="n"/>
      <c r="L106" s="95" t="n"/>
      <c r="M106" s="95" t="n"/>
      <c r="N106" s="95" t="n"/>
      <c r="O106" s="95" t="n"/>
      <c r="P106" s="95" t="n"/>
      <c r="Q106" s="46" t="n"/>
      <c r="R106" s="46" t="n"/>
      <c r="S106" s="46" t="n"/>
      <c r="T106" s="46" t="n"/>
      <c r="U106" s="46" t="n"/>
      <c r="V106" s="46" t="n"/>
      <c r="W106" s="46" t="n"/>
      <c r="X106" s="46" t="n"/>
      <c r="Y106" s="46" t="n"/>
      <c r="Z106" s="46" t="n"/>
    </row>
    <row r="107" ht="12.75" customHeight="1">
      <c r="A107" s="100" t="n"/>
      <c r="B107" s="101" t="n"/>
      <c r="C107" s="102" t="n"/>
      <c r="D107" s="99" t="n"/>
      <c r="E107" s="95" t="n"/>
      <c r="F107" s="95" t="n"/>
      <c r="G107" s="94" t="n"/>
      <c r="H107" s="46" t="n"/>
      <c r="I107" s="46" t="n"/>
      <c r="J107" s="46" t="n"/>
      <c r="K107" s="46" t="n"/>
      <c r="L107" s="95" t="n"/>
      <c r="M107" s="95" t="n"/>
      <c r="N107" s="95" t="n"/>
      <c r="O107" s="95" t="n"/>
      <c r="P107" s="95" t="n"/>
      <c r="Q107" s="46" t="n"/>
      <c r="R107" s="46" t="n"/>
      <c r="S107" s="46" t="n"/>
      <c r="T107" s="46" t="n"/>
      <c r="U107" s="46" t="n"/>
      <c r="V107" s="46" t="n"/>
      <c r="W107" s="46" t="n"/>
      <c r="X107" s="46" t="n"/>
      <c r="Y107" s="46" t="n"/>
      <c r="Z107" s="46" t="n"/>
    </row>
    <row r="108" ht="12.75" customHeight="1">
      <c r="A108" s="100" t="n"/>
      <c r="B108" s="101" t="n"/>
      <c r="C108" s="102" t="n"/>
      <c r="D108" s="99" t="n"/>
      <c r="E108" s="95" t="n"/>
      <c r="F108" s="95" t="n"/>
      <c r="G108" s="94" t="n"/>
      <c r="H108" s="46" t="n"/>
      <c r="I108" s="46" t="n"/>
      <c r="J108" s="46" t="n"/>
      <c r="K108" s="46" t="n"/>
      <c r="L108" s="95" t="n"/>
      <c r="M108" s="95" t="n"/>
      <c r="N108" s="95" t="n"/>
      <c r="O108" s="95" t="n"/>
      <c r="P108" s="95" t="n"/>
      <c r="Q108" s="46" t="n"/>
      <c r="R108" s="46" t="n"/>
      <c r="S108" s="46" t="n"/>
      <c r="T108" s="46" t="n"/>
      <c r="U108" s="46" t="n"/>
      <c r="V108" s="46" t="n"/>
      <c r="W108" s="46" t="n"/>
      <c r="X108" s="46" t="n"/>
      <c r="Y108" s="46" t="n"/>
      <c r="Z108" s="46" t="n"/>
    </row>
    <row r="109" ht="12.75" customHeight="1">
      <c r="A109" s="100" t="n"/>
      <c r="B109" s="101" t="n"/>
      <c r="C109" s="102" t="n"/>
      <c r="D109" s="99" t="n"/>
      <c r="E109" s="95" t="n"/>
      <c r="F109" s="95" t="n"/>
      <c r="G109" s="94" t="n"/>
      <c r="H109" s="46" t="n"/>
      <c r="I109" s="46" t="n"/>
      <c r="J109" s="46" t="n"/>
      <c r="K109" s="46" t="n"/>
      <c r="L109" s="95" t="n"/>
      <c r="M109" s="95" t="n"/>
      <c r="N109" s="95" t="n"/>
      <c r="O109" s="95" t="n"/>
      <c r="P109" s="95" t="n"/>
      <c r="Q109" s="46" t="n"/>
      <c r="R109" s="46" t="n"/>
      <c r="S109" s="46" t="n"/>
      <c r="T109" s="46" t="n"/>
      <c r="U109" s="46" t="n"/>
      <c r="V109" s="46" t="n"/>
      <c r="W109" s="46" t="n"/>
      <c r="X109" s="46" t="n"/>
      <c r="Y109" s="46" t="n"/>
      <c r="Z109" s="46" t="n"/>
    </row>
    <row r="110" ht="12.75" customHeight="1">
      <c r="A110" s="100" t="n"/>
      <c r="B110" s="101" t="n"/>
      <c r="C110" s="102" t="n"/>
      <c r="D110" s="99" t="n"/>
      <c r="E110" s="95" t="n"/>
      <c r="F110" s="95" t="n"/>
      <c r="G110" s="94" t="n"/>
      <c r="H110" s="46" t="n"/>
      <c r="I110" s="46" t="n"/>
      <c r="J110" s="46" t="n"/>
      <c r="K110" s="46" t="n"/>
      <c r="L110" s="95" t="n"/>
      <c r="M110" s="95" t="n"/>
      <c r="N110" s="95" t="n"/>
      <c r="O110" s="95" t="n"/>
      <c r="P110" s="95" t="n"/>
      <c r="Q110" s="46" t="n"/>
      <c r="R110" s="46" t="n"/>
      <c r="S110" s="46" t="n"/>
      <c r="T110" s="46" t="n"/>
      <c r="U110" s="46" t="n"/>
      <c r="V110" s="46" t="n"/>
      <c r="W110" s="46" t="n"/>
      <c r="X110" s="46" t="n"/>
      <c r="Y110" s="46" t="n"/>
      <c r="Z110" s="46" t="n"/>
    </row>
    <row r="111" ht="12.75" customHeight="1">
      <c r="A111" s="100" t="n"/>
      <c r="B111" s="101" t="n"/>
      <c r="C111" s="102" t="n"/>
      <c r="D111" s="99" t="n"/>
      <c r="E111" s="95" t="n"/>
      <c r="F111" s="95" t="n"/>
      <c r="G111" s="94" t="n"/>
      <c r="H111" s="46" t="n"/>
      <c r="I111" s="46" t="n"/>
      <c r="J111" s="46" t="n"/>
      <c r="K111" s="46" t="n"/>
      <c r="L111" s="95" t="n"/>
      <c r="M111" s="95" t="n"/>
      <c r="N111" s="95" t="n"/>
      <c r="O111" s="95" t="n"/>
      <c r="P111" s="95" t="n"/>
      <c r="Q111" s="46" t="n"/>
      <c r="R111" s="46" t="n"/>
      <c r="S111" s="46" t="n"/>
      <c r="T111" s="46" t="n"/>
      <c r="U111" s="46" t="n"/>
      <c r="V111" s="46" t="n"/>
      <c r="W111" s="46" t="n"/>
      <c r="X111" s="46" t="n"/>
      <c r="Y111" s="46" t="n"/>
      <c r="Z111" s="46" t="n"/>
    </row>
    <row r="112" ht="12.75" customHeight="1">
      <c r="A112" s="100" t="n"/>
      <c r="B112" s="101" t="n"/>
      <c r="C112" s="102" t="n"/>
      <c r="D112" s="99" t="n"/>
      <c r="E112" s="95" t="n"/>
      <c r="F112" s="95" t="n"/>
      <c r="G112" s="94" t="n"/>
      <c r="H112" s="46" t="n"/>
      <c r="I112" s="46" t="n"/>
      <c r="J112" s="46" t="n"/>
      <c r="K112" s="46" t="n"/>
      <c r="L112" s="95" t="n"/>
      <c r="M112" s="95" t="n"/>
      <c r="N112" s="95" t="n"/>
      <c r="O112" s="95" t="n"/>
      <c r="P112" s="95" t="n"/>
      <c r="Q112" s="46" t="n"/>
      <c r="R112" s="46" t="n"/>
      <c r="S112" s="46" t="n"/>
      <c r="T112" s="46" t="n"/>
      <c r="U112" s="46" t="n"/>
      <c r="V112" s="46" t="n"/>
      <c r="W112" s="46" t="n"/>
      <c r="X112" s="46" t="n"/>
      <c r="Y112" s="46" t="n"/>
      <c r="Z112" s="46" t="n"/>
    </row>
    <row r="113" ht="12.75" customHeight="1">
      <c r="A113" s="100" t="n"/>
      <c r="B113" s="101" t="n"/>
      <c r="C113" s="102" t="n"/>
      <c r="D113" s="99" t="n"/>
      <c r="E113" s="95" t="n"/>
      <c r="F113" s="95" t="n"/>
      <c r="G113" s="94" t="n"/>
      <c r="H113" s="46" t="n"/>
      <c r="I113" s="46" t="n"/>
      <c r="J113" s="46" t="n"/>
      <c r="K113" s="46" t="n"/>
      <c r="L113" s="95" t="n"/>
      <c r="M113" s="95" t="n"/>
      <c r="N113" s="95" t="n"/>
      <c r="O113" s="95" t="n"/>
      <c r="P113" s="95" t="n"/>
      <c r="Q113" s="46" t="n"/>
      <c r="R113" s="46" t="n"/>
      <c r="S113" s="46" t="n"/>
      <c r="T113" s="46" t="n"/>
      <c r="U113" s="46" t="n"/>
      <c r="V113" s="46" t="n"/>
      <c r="W113" s="46" t="n"/>
      <c r="X113" s="46" t="n"/>
      <c r="Y113" s="46" t="n"/>
      <c r="Z113" s="46" t="n"/>
    </row>
    <row r="114" ht="12.75" customHeight="1">
      <c r="A114" s="100" t="n"/>
      <c r="B114" s="101" t="n"/>
      <c r="C114" s="102" t="n"/>
      <c r="D114" s="99" t="n"/>
      <c r="E114" s="95" t="n"/>
      <c r="F114" s="95" t="n"/>
      <c r="G114" s="94" t="n"/>
      <c r="H114" s="46" t="n"/>
      <c r="I114" s="46" t="n"/>
      <c r="J114" s="46" t="n"/>
      <c r="K114" s="46" t="n"/>
      <c r="L114" s="95" t="n"/>
      <c r="M114" s="95" t="n"/>
      <c r="N114" s="95" t="n"/>
      <c r="O114" s="95" t="n"/>
      <c r="P114" s="95" t="n"/>
      <c r="Q114" s="46" t="n"/>
      <c r="R114" s="46" t="n"/>
      <c r="S114" s="46" t="n"/>
      <c r="T114" s="46" t="n"/>
      <c r="U114" s="46" t="n"/>
      <c r="V114" s="46" t="n"/>
      <c r="W114" s="46" t="n"/>
      <c r="X114" s="46" t="n"/>
      <c r="Y114" s="46" t="n"/>
      <c r="Z114" s="46" t="n"/>
    </row>
    <row r="115" ht="12.75" customHeight="1">
      <c r="A115" s="100" t="n"/>
      <c r="B115" s="101" t="n"/>
      <c r="C115" s="102" t="n"/>
      <c r="D115" s="99" t="n"/>
      <c r="E115" s="95" t="n"/>
      <c r="F115" s="95" t="n"/>
      <c r="G115" s="94" t="n"/>
      <c r="H115" s="46" t="n"/>
      <c r="I115" s="46" t="n"/>
      <c r="J115" s="46" t="n"/>
      <c r="K115" s="46" t="n"/>
      <c r="L115" s="95" t="n"/>
      <c r="M115" s="95" t="n"/>
      <c r="N115" s="95" t="n"/>
      <c r="O115" s="95" t="n"/>
      <c r="P115" s="95" t="n"/>
      <c r="Q115" s="46" t="n"/>
      <c r="R115" s="46" t="n"/>
      <c r="S115" s="46" t="n"/>
      <c r="T115" s="46" t="n"/>
      <c r="U115" s="46" t="n"/>
      <c r="V115" s="46" t="n"/>
      <c r="W115" s="46" t="n"/>
      <c r="X115" s="46" t="n"/>
      <c r="Y115" s="46" t="n"/>
      <c r="Z115" s="46" t="n"/>
    </row>
    <row r="116" ht="12.75" customHeight="1">
      <c r="A116" s="100" t="n"/>
      <c r="B116" s="101" t="n"/>
      <c r="C116" s="102" t="n"/>
      <c r="D116" s="99" t="n"/>
      <c r="E116" s="95" t="n"/>
      <c r="F116" s="95" t="n"/>
      <c r="G116" s="94" t="n"/>
      <c r="H116" s="46" t="n"/>
      <c r="I116" s="46" t="n"/>
      <c r="J116" s="46" t="n"/>
      <c r="K116" s="46" t="n"/>
      <c r="L116" s="95" t="n"/>
      <c r="M116" s="95" t="n"/>
      <c r="N116" s="95" t="n"/>
      <c r="O116" s="95" t="n"/>
      <c r="P116" s="95" t="n"/>
      <c r="Q116" s="46" t="n"/>
      <c r="R116" s="46" t="n"/>
      <c r="S116" s="46" t="n"/>
      <c r="T116" s="46" t="n"/>
      <c r="U116" s="46" t="n"/>
      <c r="V116" s="46" t="n"/>
      <c r="W116" s="46" t="n"/>
      <c r="X116" s="46" t="n"/>
      <c r="Y116" s="46" t="n"/>
      <c r="Z116" s="46" t="n"/>
    </row>
    <row r="117" ht="12.75" customHeight="1">
      <c r="A117" s="100" t="n"/>
      <c r="B117" s="101" t="n"/>
      <c r="C117" s="102" t="n"/>
      <c r="D117" s="99" t="n"/>
      <c r="E117" s="95" t="n"/>
      <c r="F117" s="95" t="n"/>
      <c r="G117" s="94" t="n"/>
      <c r="H117" s="46" t="n"/>
      <c r="I117" s="46" t="n"/>
      <c r="J117" s="46" t="n"/>
      <c r="K117" s="46" t="n"/>
      <c r="L117" s="95" t="n"/>
      <c r="M117" s="95" t="n"/>
      <c r="N117" s="95" t="n"/>
      <c r="O117" s="95" t="n"/>
      <c r="P117" s="95" t="n"/>
      <c r="Q117" s="46" t="n"/>
      <c r="R117" s="46" t="n"/>
      <c r="S117" s="46" t="n"/>
      <c r="T117" s="46" t="n"/>
      <c r="U117" s="46" t="n"/>
      <c r="V117" s="46" t="n"/>
      <c r="W117" s="46" t="n"/>
      <c r="X117" s="46" t="n"/>
      <c r="Y117" s="46" t="n"/>
      <c r="Z117" s="46" t="n"/>
    </row>
    <row r="118" ht="12.75" customHeight="1">
      <c r="A118" s="100" t="n"/>
      <c r="B118" s="101" t="n"/>
      <c r="C118" s="102" t="n"/>
      <c r="D118" s="99" t="n"/>
      <c r="E118" s="95" t="n"/>
      <c r="F118" s="95" t="n"/>
      <c r="G118" s="94" t="n"/>
      <c r="H118" s="46" t="n"/>
      <c r="I118" s="46" t="n"/>
      <c r="J118" s="46" t="n"/>
      <c r="K118" s="46" t="n"/>
      <c r="L118" s="95" t="n"/>
      <c r="M118" s="95" t="n"/>
      <c r="N118" s="95" t="n"/>
      <c r="O118" s="95" t="n"/>
      <c r="P118" s="95" t="n"/>
      <c r="Q118" s="46" t="n"/>
      <c r="R118" s="46" t="n"/>
      <c r="S118" s="46" t="n"/>
      <c r="T118" s="46" t="n"/>
      <c r="U118" s="46" t="n"/>
      <c r="V118" s="46" t="n"/>
      <c r="W118" s="46" t="n"/>
      <c r="X118" s="46" t="n"/>
      <c r="Y118" s="46" t="n"/>
      <c r="Z118" s="46" t="n"/>
    </row>
    <row r="119" ht="12.75" customHeight="1">
      <c r="A119" s="100" t="n"/>
      <c r="B119" s="101" t="n"/>
      <c r="C119" s="102" t="n"/>
      <c r="D119" s="99" t="n"/>
      <c r="E119" s="95" t="n"/>
      <c r="F119" s="95" t="n"/>
      <c r="G119" s="94" t="n"/>
      <c r="H119" s="46" t="n"/>
      <c r="I119" s="46" t="n"/>
      <c r="J119" s="46" t="n"/>
      <c r="K119" s="46" t="n"/>
      <c r="L119" s="95" t="n"/>
      <c r="M119" s="95" t="n"/>
      <c r="N119" s="95" t="n"/>
      <c r="O119" s="95" t="n"/>
      <c r="P119" s="95" t="n"/>
      <c r="Q119" s="46" t="n"/>
      <c r="R119" s="46" t="n"/>
      <c r="S119" s="46" t="n"/>
      <c r="T119" s="46" t="n"/>
      <c r="U119" s="46" t="n"/>
      <c r="V119" s="46" t="n"/>
      <c r="W119" s="46" t="n"/>
      <c r="X119" s="46" t="n"/>
      <c r="Y119" s="46" t="n"/>
      <c r="Z119" s="46" t="n"/>
    </row>
    <row r="120" ht="12.75" customHeight="1">
      <c r="A120" s="100" t="n"/>
      <c r="B120" s="101" t="n"/>
      <c r="C120" s="102" t="n"/>
      <c r="D120" s="99" t="n"/>
      <c r="E120" s="95" t="n"/>
      <c r="F120" s="95" t="n"/>
      <c r="G120" s="94" t="n"/>
      <c r="H120" s="46" t="n"/>
      <c r="I120" s="46" t="n"/>
      <c r="J120" s="46" t="n"/>
      <c r="K120" s="46" t="n"/>
      <c r="L120" s="95" t="n"/>
      <c r="M120" s="95" t="n"/>
      <c r="N120" s="95" t="n"/>
      <c r="O120" s="95" t="n"/>
      <c r="P120" s="95" t="n"/>
      <c r="Q120" s="46" t="n"/>
      <c r="R120" s="46" t="n"/>
      <c r="S120" s="46" t="n"/>
      <c r="T120" s="46" t="n"/>
      <c r="U120" s="46" t="n"/>
      <c r="V120" s="46" t="n"/>
      <c r="W120" s="46" t="n"/>
      <c r="X120" s="46" t="n"/>
      <c r="Y120" s="46" t="n"/>
      <c r="Z120" s="46" t="n"/>
    </row>
    <row r="121" ht="12.75" customHeight="1">
      <c r="A121" s="100" t="n"/>
      <c r="B121" s="101" t="n"/>
      <c r="C121" s="102" t="n"/>
      <c r="D121" s="99" t="n"/>
      <c r="E121" s="95" t="n"/>
      <c r="F121" s="95" t="n"/>
      <c r="G121" s="94" t="n"/>
      <c r="H121" s="46" t="n"/>
      <c r="I121" s="46" t="n"/>
      <c r="J121" s="46" t="n"/>
      <c r="K121" s="46" t="n"/>
      <c r="L121" s="95" t="n"/>
      <c r="M121" s="95" t="n"/>
      <c r="N121" s="95" t="n"/>
      <c r="O121" s="95" t="n"/>
      <c r="P121" s="95" t="n"/>
      <c r="Q121" s="46" t="n"/>
      <c r="R121" s="46" t="n"/>
      <c r="S121" s="46" t="n"/>
      <c r="T121" s="46" t="n"/>
      <c r="U121" s="46" t="n"/>
      <c r="V121" s="46" t="n"/>
      <c r="W121" s="46" t="n"/>
      <c r="X121" s="46" t="n"/>
      <c r="Y121" s="46" t="n"/>
      <c r="Z121" s="46" t="n"/>
    </row>
    <row r="122" ht="12.75" customHeight="1">
      <c r="A122" s="100" t="n"/>
      <c r="B122" s="101" t="n"/>
      <c r="C122" s="102" t="n"/>
      <c r="D122" s="99" t="n"/>
      <c r="E122" s="95" t="n"/>
      <c r="F122" s="95" t="n"/>
      <c r="G122" s="94" t="n"/>
      <c r="H122" s="46" t="n"/>
      <c r="I122" s="46" t="n"/>
      <c r="J122" s="46" t="n"/>
      <c r="K122" s="46" t="n"/>
      <c r="L122" s="95" t="n"/>
      <c r="M122" s="95" t="n"/>
      <c r="N122" s="95" t="n"/>
      <c r="O122" s="95" t="n"/>
      <c r="P122" s="95" t="n"/>
      <c r="Q122" s="46" t="n"/>
      <c r="R122" s="46" t="n"/>
      <c r="S122" s="46" t="n"/>
      <c r="T122" s="46" t="n"/>
      <c r="U122" s="46" t="n"/>
      <c r="V122" s="46" t="n"/>
      <c r="W122" s="46" t="n"/>
      <c r="X122" s="46" t="n"/>
      <c r="Y122" s="46" t="n"/>
      <c r="Z122" s="46" t="n"/>
    </row>
    <row r="123" ht="12.75" customHeight="1">
      <c r="A123" s="100" t="n"/>
      <c r="B123" s="101" t="n"/>
      <c r="C123" s="102" t="n"/>
      <c r="D123" s="99" t="n"/>
      <c r="E123" s="95" t="n"/>
      <c r="F123" s="95" t="n"/>
      <c r="G123" s="94" t="n"/>
      <c r="H123" s="46" t="n"/>
      <c r="I123" s="46" t="n"/>
      <c r="J123" s="46" t="n"/>
      <c r="K123" s="46" t="n"/>
      <c r="L123" s="95" t="n"/>
      <c r="M123" s="95" t="n"/>
      <c r="N123" s="95" t="n"/>
      <c r="O123" s="95" t="n"/>
      <c r="P123" s="95" t="n"/>
      <c r="Q123" s="46" t="n"/>
      <c r="R123" s="46" t="n"/>
      <c r="S123" s="46" t="n"/>
      <c r="T123" s="46" t="n"/>
      <c r="U123" s="46" t="n"/>
      <c r="V123" s="46" t="n"/>
      <c r="W123" s="46" t="n"/>
      <c r="X123" s="46" t="n"/>
      <c r="Y123" s="46" t="n"/>
      <c r="Z123" s="46" t="n"/>
    </row>
    <row r="124" ht="12.75" customHeight="1">
      <c r="A124" s="100" t="n"/>
      <c r="B124" s="101" t="n"/>
      <c r="C124" s="102" t="n"/>
      <c r="D124" s="99" t="n"/>
      <c r="E124" s="95" t="n"/>
      <c r="F124" s="95" t="n"/>
      <c r="G124" s="94" t="n"/>
      <c r="H124" s="46" t="n"/>
      <c r="I124" s="46" t="n"/>
      <c r="J124" s="46" t="n"/>
      <c r="K124" s="46" t="n"/>
      <c r="L124" s="95" t="n"/>
      <c r="M124" s="95" t="n"/>
      <c r="N124" s="95" t="n"/>
      <c r="O124" s="95" t="n"/>
      <c r="P124" s="95" t="n"/>
      <c r="Q124" s="46" t="n"/>
      <c r="R124" s="46" t="n"/>
      <c r="S124" s="46" t="n"/>
      <c r="T124" s="46" t="n"/>
      <c r="U124" s="46" t="n"/>
      <c r="V124" s="46" t="n"/>
      <c r="W124" s="46" t="n"/>
      <c r="X124" s="46" t="n"/>
      <c r="Y124" s="46" t="n"/>
      <c r="Z124" s="46" t="n"/>
    </row>
    <row r="125" ht="12.75" customHeight="1">
      <c r="A125" s="100" t="n"/>
      <c r="B125" s="101" t="n"/>
      <c r="C125" s="102" t="n"/>
      <c r="D125" s="99" t="n"/>
      <c r="E125" s="95" t="n"/>
      <c r="F125" s="95" t="n"/>
      <c r="G125" s="94" t="n"/>
      <c r="H125" s="46" t="n"/>
      <c r="I125" s="46" t="n"/>
      <c r="J125" s="46" t="n"/>
      <c r="K125" s="46" t="n"/>
      <c r="L125" s="95" t="n"/>
      <c r="M125" s="95" t="n"/>
      <c r="N125" s="95" t="n"/>
      <c r="O125" s="95" t="n"/>
      <c r="P125" s="95" t="n"/>
      <c r="Q125" s="46" t="n"/>
      <c r="R125" s="46" t="n"/>
      <c r="S125" s="46" t="n"/>
      <c r="T125" s="46" t="n"/>
      <c r="U125" s="46" t="n"/>
      <c r="V125" s="46" t="n"/>
      <c r="W125" s="46" t="n"/>
      <c r="X125" s="46" t="n"/>
      <c r="Y125" s="46" t="n"/>
      <c r="Z125" s="46" t="n"/>
    </row>
    <row r="126" ht="12.75" customHeight="1">
      <c r="A126" s="100" t="n"/>
      <c r="B126" s="101" t="n"/>
      <c r="C126" s="102" t="n"/>
      <c r="D126" s="99" t="n"/>
      <c r="E126" s="95" t="n"/>
      <c r="F126" s="95" t="n"/>
      <c r="G126" s="94" t="n"/>
      <c r="H126" s="46" t="n"/>
      <c r="I126" s="46" t="n"/>
      <c r="J126" s="46" t="n"/>
      <c r="K126" s="46" t="n"/>
      <c r="L126" s="95" t="n"/>
      <c r="M126" s="95" t="n"/>
      <c r="N126" s="95" t="n"/>
      <c r="O126" s="95" t="n"/>
      <c r="P126" s="95" t="n"/>
      <c r="Q126" s="46" t="n"/>
      <c r="R126" s="46" t="n"/>
      <c r="S126" s="46" t="n"/>
      <c r="T126" s="46" t="n"/>
      <c r="U126" s="46" t="n"/>
      <c r="V126" s="46" t="n"/>
      <c r="W126" s="46" t="n"/>
      <c r="X126" s="46" t="n"/>
      <c r="Y126" s="46" t="n"/>
      <c r="Z126" s="46" t="n"/>
    </row>
    <row r="127" ht="12.75" customHeight="1">
      <c r="A127" s="100" t="n"/>
      <c r="B127" s="101" t="n"/>
      <c r="C127" s="102" t="n"/>
      <c r="D127" s="99" t="n"/>
      <c r="E127" s="95" t="n"/>
      <c r="F127" s="95" t="n"/>
      <c r="G127" s="94" t="n"/>
      <c r="H127" s="46" t="n"/>
      <c r="I127" s="46" t="n"/>
      <c r="J127" s="46" t="n"/>
      <c r="K127" s="46" t="n"/>
      <c r="L127" s="95" t="n"/>
      <c r="M127" s="95" t="n"/>
      <c r="N127" s="95" t="n"/>
      <c r="O127" s="95" t="n"/>
      <c r="P127" s="95" t="n"/>
      <c r="Q127" s="46" t="n"/>
      <c r="R127" s="46" t="n"/>
      <c r="S127" s="46" t="n"/>
      <c r="T127" s="46" t="n"/>
      <c r="U127" s="46" t="n"/>
      <c r="V127" s="46" t="n"/>
      <c r="W127" s="46" t="n"/>
      <c r="X127" s="46" t="n"/>
      <c r="Y127" s="46" t="n"/>
      <c r="Z127" s="46" t="n"/>
    </row>
    <row r="128" ht="12.75" customHeight="1">
      <c r="A128" s="100" t="n"/>
      <c r="B128" s="101" t="n"/>
      <c r="C128" s="102" t="n"/>
      <c r="D128" s="99" t="n"/>
      <c r="E128" s="95" t="n"/>
      <c r="F128" s="95" t="n"/>
      <c r="G128" s="94" t="n"/>
      <c r="H128" s="46" t="n"/>
      <c r="I128" s="46" t="n"/>
      <c r="J128" s="46" t="n"/>
      <c r="K128" s="46" t="n"/>
      <c r="L128" s="95" t="n"/>
      <c r="M128" s="95" t="n"/>
      <c r="N128" s="95" t="n"/>
      <c r="O128" s="95" t="n"/>
      <c r="P128" s="95" t="n"/>
      <c r="Q128" s="46" t="n"/>
      <c r="R128" s="46" t="n"/>
      <c r="S128" s="46" t="n"/>
      <c r="T128" s="46" t="n"/>
      <c r="U128" s="46" t="n"/>
      <c r="V128" s="46" t="n"/>
      <c r="W128" s="46" t="n"/>
      <c r="X128" s="46" t="n"/>
      <c r="Y128" s="46" t="n"/>
      <c r="Z128" s="46" t="n"/>
    </row>
    <row r="129" ht="12.75" customHeight="1">
      <c r="A129" s="100" t="n"/>
      <c r="B129" s="101" t="n"/>
      <c r="C129" s="102" t="n"/>
      <c r="D129" s="99" t="n"/>
      <c r="E129" s="95" t="n"/>
      <c r="F129" s="95" t="n"/>
      <c r="G129" s="94" t="n"/>
      <c r="H129" s="46" t="n"/>
      <c r="I129" s="46" t="n"/>
      <c r="J129" s="46" t="n"/>
      <c r="K129" s="46" t="n"/>
      <c r="L129" s="95" t="n"/>
      <c r="M129" s="95" t="n"/>
      <c r="N129" s="95" t="n"/>
      <c r="O129" s="95" t="n"/>
      <c r="P129" s="95" t="n"/>
      <c r="Q129" s="46" t="n"/>
      <c r="R129" s="46" t="n"/>
      <c r="S129" s="46" t="n"/>
      <c r="T129" s="46" t="n"/>
      <c r="U129" s="46" t="n"/>
      <c r="V129" s="46" t="n"/>
      <c r="W129" s="46" t="n"/>
      <c r="X129" s="46" t="n"/>
      <c r="Y129" s="46" t="n"/>
      <c r="Z129" s="46" t="n"/>
    </row>
    <row r="130" ht="12.75" customHeight="1">
      <c r="A130" s="100" t="n"/>
      <c r="B130" s="101" t="n"/>
      <c r="C130" s="102" t="n"/>
      <c r="D130" s="99" t="n"/>
      <c r="E130" s="95" t="n"/>
      <c r="F130" s="95" t="n"/>
      <c r="G130" s="94" t="n"/>
      <c r="H130" s="46" t="n"/>
      <c r="I130" s="46" t="n"/>
      <c r="J130" s="46" t="n"/>
      <c r="K130" s="46" t="n"/>
      <c r="L130" s="95" t="n"/>
      <c r="M130" s="95" t="n"/>
      <c r="N130" s="95" t="n"/>
      <c r="O130" s="95" t="n"/>
      <c r="P130" s="95" t="n"/>
      <c r="Q130" s="46" t="n"/>
      <c r="R130" s="46" t="n"/>
      <c r="S130" s="46" t="n"/>
      <c r="T130" s="46" t="n"/>
      <c r="U130" s="46" t="n"/>
      <c r="V130" s="46" t="n"/>
      <c r="W130" s="46" t="n"/>
      <c r="X130" s="46" t="n"/>
      <c r="Y130" s="46" t="n"/>
      <c r="Z130" s="46" t="n"/>
    </row>
    <row r="131" ht="12.75" customHeight="1">
      <c r="A131" s="100" t="n"/>
      <c r="B131" s="101" t="n"/>
      <c r="C131" s="102" t="n"/>
      <c r="D131" s="99" t="n"/>
      <c r="E131" s="95" t="n"/>
      <c r="F131" s="95" t="n"/>
      <c r="G131" s="94" t="n"/>
      <c r="H131" s="46" t="n"/>
      <c r="I131" s="46" t="n"/>
      <c r="J131" s="46" t="n"/>
      <c r="K131" s="46" t="n"/>
      <c r="L131" s="95" t="n"/>
      <c r="M131" s="95" t="n"/>
      <c r="N131" s="95" t="n"/>
      <c r="O131" s="95" t="n"/>
      <c r="P131" s="95" t="n"/>
      <c r="Q131" s="46" t="n"/>
      <c r="R131" s="46" t="n"/>
      <c r="S131" s="46" t="n"/>
      <c r="T131" s="46" t="n"/>
      <c r="U131" s="46" t="n"/>
      <c r="V131" s="46" t="n"/>
      <c r="W131" s="46" t="n"/>
      <c r="X131" s="46" t="n"/>
      <c r="Y131" s="46" t="n"/>
      <c r="Z131" s="46" t="n"/>
    </row>
    <row r="132" ht="12.75" customHeight="1">
      <c r="A132" s="100" t="n"/>
      <c r="B132" s="101" t="n"/>
      <c r="C132" s="102" t="n"/>
      <c r="D132" s="99" t="n"/>
      <c r="E132" s="95" t="n"/>
      <c r="F132" s="95" t="n"/>
      <c r="G132" s="94" t="n"/>
      <c r="H132" s="46" t="n"/>
      <c r="I132" s="46" t="n"/>
      <c r="J132" s="46" t="n"/>
      <c r="K132" s="46" t="n"/>
      <c r="L132" s="95" t="n"/>
      <c r="M132" s="95" t="n"/>
      <c r="N132" s="95" t="n"/>
      <c r="O132" s="95" t="n"/>
      <c r="P132" s="95" t="n"/>
      <c r="Q132" s="46" t="n"/>
      <c r="R132" s="46" t="n"/>
      <c r="S132" s="46" t="n"/>
      <c r="T132" s="46" t="n"/>
      <c r="U132" s="46" t="n"/>
      <c r="V132" s="46" t="n"/>
      <c r="W132" s="46" t="n"/>
      <c r="X132" s="46" t="n"/>
      <c r="Y132" s="46" t="n"/>
      <c r="Z132" s="46" t="n"/>
    </row>
    <row r="133" ht="12.75" customHeight="1">
      <c r="A133" s="100" t="n"/>
      <c r="B133" s="101" t="n"/>
      <c r="C133" s="102" t="n"/>
      <c r="D133" s="99" t="n"/>
      <c r="E133" s="95" t="n"/>
      <c r="F133" s="95" t="n"/>
      <c r="G133" s="94" t="n"/>
      <c r="H133" s="46" t="n"/>
      <c r="I133" s="46" t="n"/>
      <c r="J133" s="46" t="n"/>
      <c r="K133" s="46" t="n"/>
      <c r="L133" s="95" t="n"/>
      <c r="M133" s="95" t="n"/>
      <c r="N133" s="95" t="n"/>
      <c r="O133" s="95" t="n"/>
      <c r="P133" s="95" t="n"/>
      <c r="Q133" s="46" t="n"/>
      <c r="R133" s="46" t="n"/>
      <c r="S133" s="46" t="n"/>
      <c r="T133" s="46" t="n"/>
      <c r="U133" s="46" t="n"/>
      <c r="V133" s="46" t="n"/>
      <c r="W133" s="46" t="n"/>
      <c r="X133" s="46" t="n"/>
      <c r="Y133" s="46" t="n"/>
      <c r="Z133" s="46" t="n"/>
    </row>
    <row r="134" ht="12.75" customHeight="1">
      <c r="A134" s="100" t="n"/>
      <c r="B134" s="101" t="n"/>
      <c r="C134" s="102" t="n"/>
      <c r="D134" s="99" t="n"/>
      <c r="E134" s="95" t="n"/>
      <c r="F134" s="95" t="n"/>
      <c r="G134" s="94" t="n"/>
      <c r="H134" s="46" t="n"/>
      <c r="I134" s="46" t="n"/>
      <c r="J134" s="46" t="n"/>
      <c r="K134" s="46" t="n"/>
      <c r="L134" s="95" t="n"/>
      <c r="M134" s="95" t="n"/>
      <c r="N134" s="95" t="n"/>
      <c r="O134" s="95" t="n"/>
      <c r="P134" s="95" t="n"/>
      <c r="Q134" s="46" t="n"/>
      <c r="R134" s="46" t="n"/>
      <c r="S134" s="46" t="n"/>
      <c r="T134" s="46" t="n"/>
      <c r="U134" s="46" t="n"/>
      <c r="V134" s="46" t="n"/>
      <c r="W134" s="46" t="n"/>
      <c r="X134" s="46" t="n"/>
      <c r="Y134" s="46" t="n"/>
      <c r="Z134" s="46" t="n"/>
    </row>
    <row r="135" ht="12.75" customHeight="1">
      <c r="A135" s="100" t="n"/>
      <c r="B135" s="101" t="n"/>
      <c r="C135" s="102" t="n"/>
      <c r="D135" s="99" t="n"/>
      <c r="E135" s="95" t="n"/>
      <c r="F135" s="95" t="n"/>
      <c r="G135" s="94" t="n"/>
      <c r="H135" s="46" t="n"/>
      <c r="I135" s="46" t="n"/>
      <c r="J135" s="46" t="n"/>
      <c r="K135" s="46" t="n"/>
      <c r="L135" s="95" t="n"/>
      <c r="M135" s="95" t="n"/>
      <c r="N135" s="95" t="n"/>
      <c r="O135" s="95" t="n"/>
      <c r="P135" s="95" t="n"/>
      <c r="Q135" s="46" t="n"/>
      <c r="R135" s="46" t="n"/>
      <c r="S135" s="46" t="n"/>
      <c r="T135" s="46" t="n"/>
      <c r="U135" s="46" t="n"/>
      <c r="V135" s="46" t="n"/>
      <c r="W135" s="46" t="n"/>
      <c r="X135" s="46" t="n"/>
      <c r="Y135" s="46" t="n"/>
      <c r="Z135" s="46" t="n"/>
    </row>
    <row r="136" ht="12.75" customHeight="1">
      <c r="A136" s="100" t="n"/>
      <c r="B136" s="101" t="n"/>
      <c r="C136" s="102" t="n"/>
      <c r="D136" s="99" t="n"/>
      <c r="E136" s="95" t="n"/>
      <c r="F136" s="95" t="n"/>
      <c r="G136" s="94" t="n"/>
      <c r="H136" s="46" t="n"/>
      <c r="I136" s="46" t="n"/>
      <c r="J136" s="46" t="n"/>
      <c r="K136" s="46" t="n"/>
      <c r="L136" s="95" t="n"/>
      <c r="M136" s="95" t="n"/>
      <c r="N136" s="95" t="n"/>
      <c r="O136" s="95" t="n"/>
      <c r="P136" s="95" t="n"/>
      <c r="Q136" s="46" t="n"/>
      <c r="R136" s="46" t="n"/>
      <c r="S136" s="46" t="n"/>
      <c r="T136" s="46" t="n"/>
      <c r="U136" s="46" t="n"/>
      <c r="V136" s="46" t="n"/>
      <c r="W136" s="46" t="n"/>
      <c r="X136" s="46" t="n"/>
      <c r="Y136" s="46" t="n"/>
      <c r="Z136" s="46" t="n"/>
    </row>
    <row r="137" ht="12.75" customHeight="1">
      <c r="A137" s="100" t="n"/>
      <c r="B137" s="101" t="n"/>
      <c r="C137" s="102" t="n"/>
      <c r="D137" s="99" t="n"/>
      <c r="E137" s="95" t="n"/>
      <c r="F137" s="95" t="n"/>
      <c r="G137" s="94" t="n"/>
      <c r="H137" s="46" t="n"/>
      <c r="I137" s="46" t="n"/>
      <c r="J137" s="46" t="n"/>
      <c r="K137" s="46" t="n"/>
      <c r="L137" s="95" t="n"/>
      <c r="M137" s="95" t="n"/>
      <c r="N137" s="95" t="n"/>
      <c r="O137" s="95" t="n"/>
      <c r="P137" s="95" t="n"/>
      <c r="Q137" s="46" t="n"/>
      <c r="R137" s="46" t="n"/>
      <c r="S137" s="46" t="n"/>
      <c r="T137" s="46" t="n"/>
      <c r="U137" s="46" t="n"/>
      <c r="V137" s="46" t="n"/>
      <c r="W137" s="46" t="n"/>
      <c r="X137" s="46" t="n"/>
      <c r="Y137" s="46" t="n"/>
      <c r="Z137" s="46" t="n"/>
    </row>
    <row r="138" ht="12.75" customHeight="1">
      <c r="A138" s="100" t="n"/>
      <c r="B138" s="101" t="n"/>
      <c r="C138" s="102" t="n"/>
      <c r="D138" s="99" t="n"/>
      <c r="E138" s="95" t="n"/>
      <c r="F138" s="95" t="n"/>
      <c r="G138" s="94" t="n"/>
      <c r="H138" s="46" t="n"/>
      <c r="I138" s="46" t="n"/>
      <c r="J138" s="46" t="n"/>
      <c r="K138" s="46" t="n"/>
      <c r="L138" s="95" t="n"/>
      <c r="M138" s="95" t="n"/>
      <c r="N138" s="95" t="n"/>
      <c r="O138" s="95" t="n"/>
      <c r="P138" s="95" t="n"/>
      <c r="Q138" s="46" t="n"/>
      <c r="R138" s="46" t="n"/>
      <c r="S138" s="46" t="n"/>
      <c r="T138" s="46" t="n"/>
      <c r="U138" s="46" t="n"/>
      <c r="V138" s="46" t="n"/>
      <c r="W138" s="46" t="n"/>
      <c r="X138" s="46" t="n"/>
      <c r="Y138" s="46" t="n"/>
      <c r="Z138" s="46" t="n"/>
    </row>
    <row r="139" ht="12.75" customHeight="1">
      <c r="A139" s="100" t="n"/>
      <c r="B139" s="101" t="n"/>
      <c r="C139" s="102" t="n"/>
      <c r="D139" s="99" t="n"/>
      <c r="E139" s="95" t="n"/>
      <c r="F139" s="95" t="n"/>
      <c r="G139" s="94" t="n"/>
      <c r="H139" s="46" t="n"/>
      <c r="I139" s="46" t="n"/>
      <c r="J139" s="46" t="n"/>
      <c r="K139" s="46" t="n"/>
      <c r="L139" s="95" t="n"/>
      <c r="M139" s="95" t="n"/>
      <c r="N139" s="95" t="n"/>
      <c r="O139" s="95" t="n"/>
      <c r="P139" s="95" t="n"/>
      <c r="Q139" s="46" t="n"/>
      <c r="R139" s="46" t="n"/>
      <c r="S139" s="46" t="n"/>
      <c r="T139" s="46" t="n"/>
      <c r="U139" s="46" t="n"/>
      <c r="V139" s="46" t="n"/>
      <c r="W139" s="46" t="n"/>
      <c r="X139" s="46" t="n"/>
      <c r="Y139" s="46" t="n"/>
      <c r="Z139" s="46" t="n"/>
    </row>
    <row r="140" ht="12.75" customHeight="1">
      <c r="A140" s="100" t="n"/>
      <c r="B140" s="101" t="n"/>
      <c r="C140" s="102" t="n"/>
      <c r="D140" s="99" t="n"/>
      <c r="E140" s="95" t="n"/>
      <c r="F140" s="95" t="n"/>
      <c r="G140" s="94" t="n"/>
      <c r="H140" s="46" t="n"/>
      <c r="I140" s="46" t="n"/>
      <c r="J140" s="46" t="n"/>
      <c r="K140" s="46" t="n"/>
      <c r="L140" s="95" t="n"/>
      <c r="M140" s="95" t="n"/>
      <c r="N140" s="95" t="n"/>
      <c r="O140" s="95" t="n"/>
      <c r="P140" s="95" t="n"/>
      <c r="Q140" s="46" t="n"/>
      <c r="R140" s="46" t="n"/>
      <c r="S140" s="46" t="n"/>
      <c r="T140" s="46" t="n"/>
      <c r="U140" s="46" t="n"/>
      <c r="V140" s="46" t="n"/>
      <c r="W140" s="46" t="n"/>
      <c r="X140" s="46" t="n"/>
      <c r="Y140" s="46" t="n"/>
      <c r="Z140" s="46" t="n"/>
    </row>
    <row r="141" ht="12.75" customHeight="1">
      <c r="A141" s="100" t="n"/>
      <c r="B141" s="101" t="n"/>
      <c r="C141" s="102" t="n"/>
      <c r="D141" s="99" t="n"/>
      <c r="E141" s="95" t="n"/>
      <c r="F141" s="95" t="n"/>
      <c r="G141" s="94" t="n"/>
      <c r="H141" s="46" t="n"/>
      <c r="I141" s="46" t="n"/>
      <c r="J141" s="46" t="n"/>
      <c r="K141" s="46" t="n"/>
      <c r="L141" s="95" t="n"/>
      <c r="M141" s="95" t="n"/>
      <c r="N141" s="95" t="n"/>
      <c r="O141" s="95" t="n"/>
      <c r="P141" s="95" t="n"/>
      <c r="Q141" s="46" t="n"/>
      <c r="R141" s="46" t="n"/>
      <c r="S141" s="46" t="n"/>
      <c r="T141" s="46" t="n"/>
      <c r="U141" s="46" t="n"/>
      <c r="V141" s="46" t="n"/>
      <c r="W141" s="46" t="n"/>
      <c r="X141" s="46" t="n"/>
      <c r="Y141" s="46" t="n"/>
      <c r="Z141" s="46" t="n"/>
    </row>
    <row r="142" ht="12.75" customHeight="1">
      <c r="A142" s="100" t="n"/>
      <c r="B142" s="101" t="n"/>
      <c r="C142" s="102" t="n"/>
      <c r="D142" s="99" t="n"/>
      <c r="E142" s="95" t="n"/>
      <c r="F142" s="95" t="n"/>
      <c r="G142" s="94" t="n"/>
      <c r="H142" s="46" t="n"/>
      <c r="I142" s="46" t="n"/>
      <c r="J142" s="46" t="n"/>
      <c r="K142" s="46" t="n"/>
      <c r="L142" s="95" t="n"/>
      <c r="M142" s="95" t="n"/>
      <c r="N142" s="95" t="n"/>
      <c r="O142" s="95" t="n"/>
      <c r="P142" s="95" t="n"/>
      <c r="Q142" s="46" t="n"/>
      <c r="R142" s="46" t="n"/>
      <c r="S142" s="46" t="n"/>
      <c r="T142" s="46" t="n"/>
      <c r="U142" s="46" t="n"/>
      <c r="V142" s="46" t="n"/>
      <c r="W142" s="46" t="n"/>
      <c r="X142" s="46" t="n"/>
      <c r="Y142" s="46" t="n"/>
      <c r="Z142" s="46" t="n"/>
    </row>
    <row r="143" ht="12.75" customHeight="1">
      <c r="A143" s="100" t="n"/>
      <c r="B143" s="101" t="n"/>
      <c r="C143" s="102" t="n"/>
      <c r="D143" s="99" t="n"/>
      <c r="E143" s="95" t="n"/>
      <c r="F143" s="95" t="n"/>
      <c r="G143" s="94" t="n"/>
      <c r="H143" s="46" t="n"/>
      <c r="I143" s="46" t="n"/>
      <c r="J143" s="46" t="n"/>
      <c r="K143" s="46" t="n"/>
      <c r="L143" s="95" t="n"/>
      <c r="M143" s="95" t="n"/>
      <c r="N143" s="95" t="n"/>
      <c r="O143" s="95" t="n"/>
      <c r="P143" s="95" t="n"/>
      <c r="Q143" s="46" t="n"/>
      <c r="R143" s="46" t="n"/>
      <c r="S143" s="46" t="n"/>
      <c r="T143" s="46" t="n"/>
      <c r="U143" s="46" t="n"/>
      <c r="V143" s="46" t="n"/>
      <c r="W143" s="46" t="n"/>
      <c r="X143" s="46" t="n"/>
      <c r="Y143" s="46" t="n"/>
      <c r="Z143" s="46" t="n"/>
    </row>
    <row r="144" ht="12.75" customHeight="1">
      <c r="A144" s="100" t="n"/>
      <c r="B144" s="101" t="n"/>
      <c r="C144" s="102" t="n"/>
      <c r="D144" s="99" t="n"/>
      <c r="E144" s="95" t="n"/>
      <c r="F144" s="95" t="n"/>
      <c r="G144" s="94" t="n"/>
      <c r="H144" s="46" t="n"/>
      <c r="I144" s="46" t="n"/>
      <c r="J144" s="46" t="n"/>
      <c r="K144" s="46" t="n"/>
      <c r="L144" s="95" t="n"/>
      <c r="M144" s="95" t="n"/>
      <c r="N144" s="95" t="n"/>
      <c r="O144" s="95" t="n"/>
      <c r="P144" s="95" t="n"/>
      <c r="Q144" s="46" t="n"/>
      <c r="R144" s="46" t="n"/>
      <c r="S144" s="46" t="n"/>
      <c r="T144" s="46" t="n"/>
      <c r="U144" s="46" t="n"/>
      <c r="V144" s="46" t="n"/>
      <c r="W144" s="46" t="n"/>
      <c r="X144" s="46" t="n"/>
      <c r="Y144" s="46" t="n"/>
      <c r="Z144" s="46" t="n"/>
    </row>
    <row r="145" ht="12.75" customHeight="1">
      <c r="A145" s="100" t="n"/>
      <c r="B145" s="101" t="n"/>
      <c r="C145" s="102" t="n"/>
      <c r="D145" s="99" t="n"/>
      <c r="E145" s="95" t="n"/>
      <c r="F145" s="95" t="n"/>
      <c r="G145" s="94" t="n"/>
      <c r="H145" s="46" t="n"/>
      <c r="I145" s="46" t="n"/>
      <c r="J145" s="46" t="n"/>
      <c r="K145" s="46" t="n"/>
      <c r="L145" s="95" t="n"/>
      <c r="M145" s="95" t="n"/>
      <c r="N145" s="95" t="n"/>
      <c r="O145" s="95" t="n"/>
      <c r="P145" s="95" t="n"/>
      <c r="Q145" s="46" t="n"/>
      <c r="R145" s="46" t="n"/>
      <c r="S145" s="46" t="n"/>
      <c r="T145" s="46" t="n"/>
      <c r="U145" s="46" t="n"/>
      <c r="V145" s="46" t="n"/>
      <c r="W145" s="46" t="n"/>
      <c r="X145" s="46" t="n"/>
      <c r="Y145" s="46" t="n"/>
      <c r="Z145" s="46" t="n"/>
    </row>
    <row r="146" ht="12.75" customHeight="1">
      <c r="A146" s="100" t="n"/>
      <c r="B146" s="101" t="n"/>
      <c r="C146" s="102" t="n"/>
      <c r="D146" s="99" t="n"/>
      <c r="E146" s="95" t="n"/>
      <c r="F146" s="95" t="n"/>
      <c r="G146" s="94" t="n"/>
      <c r="H146" s="46" t="n"/>
      <c r="I146" s="46" t="n"/>
      <c r="J146" s="46" t="n"/>
      <c r="K146" s="46" t="n"/>
      <c r="L146" s="95" t="n"/>
      <c r="M146" s="95" t="n"/>
      <c r="N146" s="95" t="n"/>
      <c r="O146" s="95" t="n"/>
      <c r="P146" s="95" t="n"/>
      <c r="Q146" s="46" t="n"/>
      <c r="R146" s="46" t="n"/>
      <c r="S146" s="46" t="n"/>
      <c r="T146" s="46" t="n"/>
      <c r="U146" s="46" t="n"/>
      <c r="V146" s="46" t="n"/>
      <c r="W146" s="46" t="n"/>
      <c r="X146" s="46" t="n"/>
      <c r="Y146" s="46" t="n"/>
      <c r="Z146" s="46" t="n"/>
    </row>
    <row r="147" ht="12.75" customHeight="1">
      <c r="A147" s="100" t="n"/>
      <c r="B147" s="101" t="n"/>
      <c r="C147" s="102" t="n"/>
      <c r="D147" s="99" t="n"/>
      <c r="E147" s="95" t="n"/>
      <c r="F147" s="95" t="n"/>
      <c r="G147" s="94" t="n"/>
      <c r="H147" s="46" t="n"/>
      <c r="I147" s="46" t="n"/>
      <c r="J147" s="46" t="n"/>
      <c r="K147" s="46" t="n"/>
      <c r="L147" s="95" t="n"/>
      <c r="M147" s="95" t="n"/>
      <c r="N147" s="95" t="n"/>
      <c r="O147" s="95" t="n"/>
      <c r="P147" s="95" t="n"/>
      <c r="Q147" s="46" t="n"/>
      <c r="R147" s="46" t="n"/>
      <c r="S147" s="46" t="n"/>
      <c r="T147" s="46" t="n"/>
      <c r="U147" s="46" t="n"/>
      <c r="V147" s="46" t="n"/>
      <c r="W147" s="46" t="n"/>
      <c r="X147" s="46" t="n"/>
      <c r="Y147" s="46" t="n"/>
      <c r="Z147" s="46" t="n"/>
    </row>
    <row r="148" ht="12.75" customHeight="1">
      <c r="A148" s="100" t="n"/>
      <c r="B148" s="101" t="n"/>
      <c r="C148" s="102" t="n"/>
      <c r="D148" s="99" t="n"/>
      <c r="E148" s="95" t="n"/>
      <c r="F148" s="95" t="n"/>
      <c r="G148" s="94" t="n"/>
      <c r="H148" s="46" t="n"/>
      <c r="I148" s="46" t="n"/>
      <c r="J148" s="46" t="n"/>
      <c r="K148" s="46" t="n"/>
      <c r="L148" s="95" t="n"/>
      <c r="M148" s="95" t="n"/>
      <c r="N148" s="95" t="n"/>
      <c r="O148" s="95" t="n"/>
      <c r="P148" s="95" t="n"/>
      <c r="Q148" s="46" t="n"/>
      <c r="R148" s="46" t="n"/>
      <c r="S148" s="46" t="n"/>
      <c r="T148" s="46" t="n"/>
      <c r="U148" s="46" t="n"/>
      <c r="V148" s="46" t="n"/>
      <c r="W148" s="46" t="n"/>
      <c r="X148" s="46" t="n"/>
      <c r="Y148" s="46" t="n"/>
      <c r="Z148" s="46" t="n"/>
    </row>
    <row r="149" ht="12.75" customHeight="1">
      <c r="A149" s="100" t="n"/>
      <c r="B149" s="101" t="n"/>
      <c r="C149" s="102" t="n"/>
      <c r="D149" s="99" t="n"/>
      <c r="E149" s="95" t="n"/>
      <c r="F149" s="95" t="n"/>
      <c r="G149" s="94" t="n"/>
      <c r="H149" s="46" t="n"/>
      <c r="I149" s="46" t="n"/>
      <c r="J149" s="46" t="n"/>
      <c r="K149" s="46" t="n"/>
      <c r="L149" s="95" t="n"/>
      <c r="M149" s="95" t="n"/>
      <c r="N149" s="95" t="n"/>
      <c r="O149" s="95" t="n"/>
      <c r="P149" s="95" t="n"/>
      <c r="Q149" s="46" t="n"/>
      <c r="R149" s="46" t="n"/>
      <c r="S149" s="46" t="n"/>
      <c r="T149" s="46" t="n"/>
      <c r="U149" s="46" t="n"/>
      <c r="V149" s="46" t="n"/>
      <c r="W149" s="46" t="n"/>
      <c r="X149" s="46" t="n"/>
      <c r="Y149" s="46" t="n"/>
      <c r="Z149" s="46" t="n"/>
    </row>
    <row r="150" ht="12.75" customHeight="1">
      <c r="A150" s="100" t="n"/>
      <c r="B150" s="101" t="n"/>
      <c r="C150" s="102" t="n"/>
      <c r="D150" s="99" t="n"/>
      <c r="E150" s="95" t="n"/>
      <c r="F150" s="95" t="n"/>
      <c r="G150" s="94" t="n"/>
      <c r="H150" s="46" t="n"/>
      <c r="I150" s="46" t="n"/>
      <c r="J150" s="46" t="n"/>
      <c r="K150" s="46" t="n"/>
      <c r="L150" s="95" t="n"/>
      <c r="M150" s="95" t="n"/>
      <c r="N150" s="95" t="n"/>
      <c r="O150" s="95" t="n"/>
      <c r="P150" s="95" t="n"/>
      <c r="Q150" s="46" t="n"/>
      <c r="R150" s="46" t="n"/>
      <c r="S150" s="46" t="n"/>
      <c r="T150" s="46" t="n"/>
      <c r="U150" s="46" t="n"/>
      <c r="V150" s="46" t="n"/>
      <c r="W150" s="46" t="n"/>
      <c r="X150" s="46" t="n"/>
      <c r="Y150" s="46" t="n"/>
      <c r="Z150" s="46" t="n"/>
    </row>
    <row r="151" ht="12.75" customHeight="1">
      <c r="A151" s="100" t="n"/>
      <c r="B151" s="101" t="n"/>
      <c r="C151" s="102" t="n"/>
      <c r="D151" s="99" t="n"/>
      <c r="E151" s="95" t="n"/>
      <c r="F151" s="95" t="n"/>
      <c r="G151" s="94" t="n"/>
      <c r="H151" s="46" t="n"/>
      <c r="I151" s="46" t="n"/>
      <c r="J151" s="46" t="n"/>
      <c r="K151" s="46" t="n"/>
      <c r="L151" s="95" t="n"/>
      <c r="M151" s="95" t="n"/>
      <c r="N151" s="95" t="n"/>
      <c r="O151" s="95" t="n"/>
      <c r="P151" s="95" t="n"/>
      <c r="Q151" s="46" t="n"/>
      <c r="R151" s="46" t="n"/>
      <c r="S151" s="46" t="n"/>
      <c r="T151" s="46" t="n"/>
      <c r="U151" s="46" t="n"/>
      <c r="V151" s="46" t="n"/>
      <c r="W151" s="46" t="n"/>
      <c r="X151" s="46" t="n"/>
      <c r="Y151" s="46" t="n"/>
      <c r="Z151" s="46" t="n"/>
    </row>
    <row r="152" ht="12.75" customHeight="1">
      <c r="A152" s="100" t="n"/>
      <c r="B152" s="101" t="n"/>
      <c r="C152" s="102" t="n"/>
      <c r="D152" s="99" t="n"/>
      <c r="E152" s="95" t="n"/>
      <c r="F152" s="95" t="n"/>
      <c r="G152" s="94" t="n"/>
      <c r="H152" s="46" t="n"/>
      <c r="I152" s="46" t="n"/>
      <c r="J152" s="46" t="n"/>
      <c r="K152" s="46" t="n"/>
      <c r="L152" s="95" t="n"/>
      <c r="M152" s="95" t="n"/>
      <c r="N152" s="95" t="n"/>
      <c r="O152" s="95" t="n"/>
      <c r="P152" s="95" t="n"/>
      <c r="Q152" s="46" t="n"/>
      <c r="R152" s="46" t="n"/>
      <c r="S152" s="46" t="n"/>
      <c r="T152" s="46" t="n"/>
      <c r="U152" s="46" t="n"/>
      <c r="V152" s="46" t="n"/>
      <c r="W152" s="46" t="n"/>
      <c r="X152" s="46" t="n"/>
      <c r="Y152" s="46" t="n"/>
      <c r="Z152" s="46" t="n"/>
    </row>
    <row r="153" ht="12.75" customHeight="1">
      <c r="A153" s="100" t="n"/>
      <c r="B153" s="101" t="n"/>
      <c r="C153" s="102" t="n"/>
      <c r="D153" s="99" t="n"/>
      <c r="E153" s="95" t="n"/>
      <c r="F153" s="95" t="n"/>
      <c r="G153" s="94" t="n"/>
      <c r="H153" s="46" t="n"/>
      <c r="I153" s="46" t="n"/>
      <c r="J153" s="46" t="n"/>
      <c r="K153" s="46" t="n"/>
      <c r="L153" s="95" t="n"/>
      <c r="M153" s="95" t="n"/>
      <c r="N153" s="95" t="n"/>
      <c r="O153" s="95" t="n"/>
      <c r="P153" s="95" t="n"/>
      <c r="Q153" s="46" t="n"/>
      <c r="R153" s="46" t="n"/>
      <c r="S153" s="46" t="n"/>
      <c r="T153" s="46" t="n"/>
      <c r="U153" s="46" t="n"/>
      <c r="V153" s="46" t="n"/>
      <c r="W153" s="46" t="n"/>
      <c r="X153" s="46" t="n"/>
      <c r="Y153" s="46" t="n"/>
      <c r="Z153" s="46" t="n"/>
    </row>
    <row r="154" ht="12.75" customHeight="1">
      <c r="A154" s="100" t="n"/>
      <c r="B154" s="101" t="n"/>
      <c r="C154" s="102" t="n"/>
      <c r="D154" s="99" t="n"/>
      <c r="E154" s="95" t="n"/>
      <c r="F154" s="95" t="n"/>
      <c r="G154" s="94" t="n"/>
      <c r="H154" s="46" t="n"/>
      <c r="I154" s="46" t="n"/>
      <c r="J154" s="46" t="n"/>
      <c r="K154" s="46" t="n"/>
      <c r="L154" s="95" t="n"/>
      <c r="M154" s="95" t="n"/>
      <c r="N154" s="95" t="n"/>
      <c r="O154" s="95" t="n"/>
      <c r="P154" s="95" t="n"/>
      <c r="Q154" s="46" t="n"/>
      <c r="R154" s="46" t="n"/>
      <c r="S154" s="46" t="n"/>
      <c r="T154" s="46" t="n"/>
      <c r="U154" s="46" t="n"/>
      <c r="V154" s="46" t="n"/>
      <c r="W154" s="46" t="n"/>
      <c r="X154" s="46" t="n"/>
      <c r="Y154" s="46" t="n"/>
      <c r="Z154" s="46" t="n"/>
    </row>
    <row r="155" ht="12.75" customHeight="1">
      <c r="A155" s="100" t="n"/>
      <c r="B155" s="101" t="n"/>
      <c r="C155" s="102" t="n"/>
      <c r="D155" s="99" t="n"/>
      <c r="E155" s="95" t="n"/>
      <c r="F155" s="95" t="n"/>
      <c r="G155" s="94" t="n"/>
      <c r="H155" s="46" t="n"/>
      <c r="I155" s="46" t="n"/>
      <c r="J155" s="46" t="n"/>
      <c r="K155" s="46" t="n"/>
      <c r="L155" s="95" t="n"/>
      <c r="M155" s="95" t="n"/>
      <c r="N155" s="95" t="n"/>
      <c r="O155" s="95" t="n"/>
      <c r="P155" s="95" t="n"/>
      <c r="Q155" s="46" t="n"/>
      <c r="R155" s="46" t="n"/>
      <c r="S155" s="46" t="n"/>
      <c r="T155" s="46" t="n"/>
      <c r="U155" s="46" t="n"/>
      <c r="V155" s="46" t="n"/>
      <c r="W155" s="46" t="n"/>
      <c r="X155" s="46" t="n"/>
      <c r="Y155" s="46" t="n"/>
      <c r="Z155" s="46" t="n"/>
    </row>
    <row r="156" ht="12.75" customHeight="1">
      <c r="A156" s="100" t="n"/>
      <c r="B156" s="101" t="n"/>
      <c r="C156" s="102" t="n"/>
      <c r="D156" s="99" t="n"/>
      <c r="E156" s="95" t="n"/>
      <c r="F156" s="95" t="n"/>
      <c r="G156" s="94" t="n"/>
      <c r="H156" s="46" t="n"/>
      <c r="I156" s="46" t="n"/>
      <c r="J156" s="46" t="n"/>
      <c r="K156" s="46" t="n"/>
      <c r="L156" s="95" t="n"/>
      <c r="M156" s="95" t="n"/>
      <c r="N156" s="95" t="n"/>
      <c r="O156" s="95" t="n"/>
      <c r="P156" s="95" t="n"/>
      <c r="Q156" s="46" t="n"/>
      <c r="R156" s="46" t="n"/>
      <c r="S156" s="46" t="n"/>
      <c r="T156" s="46" t="n"/>
      <c r="U156" s="46" t="n"/>
      <c r="V156" s="46" t="n"/>
      <c r="W156" s="46" t="n"/>
      <c r="X156" s="46" t="n"/>
      <c r="Y156" s="46" t="n"/>
      <c r="Z156" s="46" t="n"/>
    </row>
    <row r="157" ht="12.75" customHeight="1">
      <c r="A157" s="100" t="n"/>
      <c r="B157" s="101" t="n"/>
      <c r="C157" s="102" t="n"/>
      <c r="D157" s="99" t="n"/>
      <c r="E157" s="95" t="n"/>
      <c r="F157" s="95" t="n"/>
      <c r="G157" s="94" t="n"/>
      <c r="H157" s="46" t="n"/>
      <c r="I157" s="46" t="n"/>
      <c r="J157" s="46" t="n"/>
      <c r="K157" s="46" t="n"/>
      <c r="L157" s="95" t="n"/>
      <c r="M157" s="95" t="n"/>
      <c r="N157" s="95" t="n"/>
      <c r="O157" s="95" t="n"/>
      <c r="P157" s="95" t="n"/>
      <c r="Q157" s="46" t="n"/>
      <c r="R157" s="46" t="n"/>
      <c r="S157" s="46" t="n"/>
      <c r="T157" s="46" t="n"/>
      <c r="U157" s="46" t="n"/>
      <c r="V157" s="46" t="n"/>
      <c r="W157" s="46" t="n"/>
      <c r="X157" s="46" t="n"/>
      <c r="Y157" s="46" t="n"/>
      <c r="Z157" s="46" t="n"/>
    </row>
    <row r="158" ht="12.75" customHeight="1">
      <c r="A158" s="100" t="n"/>
      <c r="B158" s="101" t="n"/>
      <c r="C158" s="102" t="n"/>
      <c r="D158" s="99" t="n"/>
      <c r="E158" s="95" t="n"/>
      <c r="F158" s="95" t="n"/>
      <c r="G158" s="94" t="n"/>
      <c r="H158" s="46" t="n"/>
      <c r="I158" s="46" t="n"/>
      <c r="J158" s="46" t="n"/>
      <c r="K158" s="46" t="n"/>
      <c r="L158" s="95" t="n"/>
      <c r="M158" s="95" t="n"/>
      <c r="N158" s="95" t="n"/>
      <c r="O158" s="95" t="n"/>
      <c r="P158" s="95" t="n"/>
      <c r="Q158" s="46" t="n"/>
      <c r="R158" s="46" t="n"/>
      <c r="S158" s="46" t="n"/>
      <c r="T158" s="46" t="n"/>
      <c r="U158" s="46" t="n"/>
      <c r="V158" s="46" t="n"/>
      <c r="W158" s="46" t="n"/>
      <c r="X158" s="46" t="n"/>
      <c r="Y158" s="46" t="n"/>
      <c r="Z158" s="46" t="n"/>
    </row>
    <row r="159" ht="12.75" customHeight="1">
      <c r="A159" s="100" t="n"/>
      <c r="B159" s="101" t="n"/>
      <c r="C159" s="102" t="n"/>
      <c r="D159" s="99" t="n"/>
      <c r="E159" s="95" t="n"/>
      <c r="F159" s="95" t="n"/>
      <c r="G159" s="94" t="n"/>
      <c r="H159" s="46" t="n"/>
      <c r="I159" s="46" t="n"/>
      <c r="J159" s="46" t="n"/>
      <c r="K159" s="46" t="n"/>
      <c r="L159" s="95" t="n"/>
      <c r="M159" s="95" t="n"/>
      <c r="N159" s="95" t="n"/>
      <c r="O159" s="95" t="n"/>
      <c r="P159" s="95" t="n"/>
      <c r="Q159" s="46" t="n"/>
      <c r="R159" s="46" t="n"/>
      <c r="S159" s="46" t="n"/>
      <c r="T159" s="46" t="n"/>
      <c r="U159" s="46" t="n"/>
      <c r="V159" s="46" t="n"/>
      <c r="W159" s="46" t="n"/>
      <c r="X159" s="46" t="n"/>
      <c r="Y159" s="46" t="n"/>
      <c r="Z159" s="46" t="n"/>
    </row>
    <row r="160" ht="12.75" customHeight="1">
      <c r="A160" s="100" t="n"/>
      <c r="B160" s="101" t="n"/>
      <c r="C160" s="102" t="n"/>
      <c r="D160" s="99" t="n"/>
      <c r="E160" s="95" t="n"/>
      <c r="F160" s="95" t="n"/>
      <c r="G160" s="94" t="n"/>
      <c r="H160" s="46" t="n"/>
      <c r="I160" s="46" t="n"/>
      <c r="J160" s="46" t="n"/>
      <c r="K160" s="46" t="n"/>
      <c r="L160" s="95" t="n"/>
      <c r="M160" s="95" t="n"/>
      <c r="N160" s="95" t="n"/>
      <c r="O160" s="95" t="n"/>
      <c r="P160" s="95" t="n"/>
      <c r="Q160" s="46" t="n"/>
      <c r="R160" s="46" t="n"/>
      <c r="S160" s="46" t="n"/>
      <c r="T160" s="46" t="n"/>
      <c r="U160" s="46" t="n"/>
      <c r="V160" s="46" t="n"/>
      <c r="W160" s="46" t="n"/>
      <c r="X160" s="46" t="n"/>
      <c r="Y160" s="46" t="n"/>
      <c r="Z160" s="46" t="n"/>
    </row>
    <row r="161" ht="12.75" customHeight="1">
      <c r="A161" s="100" t="n"/>
      <c r="B161" s="101" t="n"/>
      <c r="C161" s="102" t="n"/>
      <c r="D161" s="99" t="n"/>
      <c r="E161" s="95" t="n"/>
      <c r="F161" s="95" t="n"/>
      <c r="G161" s="94" t="n"/>
      <c r="H161" s="46" t="n"/>
      <c r="I161" s="46" t="n"/>
      <c r="J161" s="46" t="n"/>
      <c r="K161" s="46" t="n"/>
      <c r="L161" s="95" t="n"/>
      <c r="M161" s="95" t="n"/>
      <c r="N161" s="95" t="n"/>
      <c r="O161" s="95" t="n"/>
      <c r="P161" s="95" t="n"/>
      <c r="Q161" s="46" t="n"/>
      <c r="R161" s="46" t="n"/>
      <c r="S161" s="46" t="n"/>
      <c r="T161" s="46" t="n"/>
      <c r="U161" s="46" t="n"/>
      <c r="V161" s="46" t="n"/>
      <c r="W161" s="46" t="n"/>
      <c r="X161" s="46" t="n"/>
      <c r="Y161" s="46" t="n"/>
      <c r="Z161" s="46" t="n"/>
    </row>
    <row r="162" ht="12.75" customHeight="1">
      <c r="A162" s="100" t="n"/>
      <c r="B162" s="101" t="n"/>
      <c r="C162" s="102" t="n"/>
      <c r="D162" s="99" t="n"/>
      <c r="E162" s="95" t="n"/>
      <c r="F162" s="95" t="n"/>
      <c r="G162" s="94" t="n"/>
      <c r="H162" s="46" t="n"/>
      <c r="I162" s="46" t="n"/>
      <c r="J162" s="46" t="n"/>
      <c r="K162" s="46" t="n"/>
      <c r="L162" s="95" t="n"/>
      <c r="M162" s="95" t="n"/>
      <c r="N162" s="95" t="n"/>
      <c r="O162" s="95" t="n"/>
      <c r="P162" s="95" t="n"/>
      <c r="Q162" s="46" t="n"/>
      <c r="R162" s="46" t="n"/>
      <c r="S162" s="46" t="n"/>
      <c r="T162" s="46" t="n"/>
      <c r="U162" s="46" t="n"/>
      <c r="V162" s="46" t="n"/>
      <c r="W162" s="46" t="n"/>
      <c r="X162" s="46" t="n"/>
      <c r="Y162" s="46" t="n"/>
      <c r="Z162" s="46" t="n"/>
    </row>
    <row r="163" ht="12.75" customHeight="1">
      <c r="A163" s="100" t="n"/>
      <c r="B163" s="101" t="n"/>
      <c r="C163" s="102" t="n"/>
      <c r="D163" s="99" t="n"/>
      <c r="E163" s="95" t="n"/>
      <c r="F163" s="95" t="n"/>
      <c r="G163" s="94" t="n"/>
      <c r="H163" s="46" t="n"/>
      <c r="I163" s="46" t="n"/>
      <c r="J163" s="46" t="n"/>
      <c r="K163" s="46" t="n"/>
      <c r="L163" s="95" t="n"/>
      <c r="M163" s="95" t="n"/>
      <c r="N163" s="95" t="n"/>
      <c r="O163" s="95" t="n"/>
      <c r="P163" s="95" t="n"/>
      <c r="Q163" s="46" t="n"/>
      <c r="R163" s="46" t="n"/>
      <c r="S163" s="46" t="n"/>
      <c r="T163" s="46" t="n"/>
      <c r="U163" s="46" t="n"/>
      <c r="V163" s="46" t="n"/>
      <c r="W163" s="46" t="n"/>
      <c r="X163" s="46" t="n"/>
      <c r="Y163" s="46" t="n"/>
      <c r="Z163" s="46" t="n"/>
    </row>
    <row r="164" ht="12.75" customHeight="1">
      <c r="A164" s="100" t="n"/>
      <c r="B164" s="101" t="n"/>
      <c r="C164" s="102" t="n"/>
      <c r="D164" s="99" t="n"/>
      <c r="E164" s="95" t="n"/>
      <c r="F164" s="95" t="n"/>
      <c r="G164" s="94" t="n"/>
      <c r="H164" s="46" t="n"/>
      <c r="I164" s="46" t="n"/>
      <c r="J164" s="46" t="n"/>
      <c r="K164" s="46" t="n"/>
      <c r="L164" s="95" t="n"/>
      <c r="M164" s="95" t="n"/>
      <c r="N164" s="95" t="n"/>
      <c r="O164" s="95" t="n"/>
      <c r="P164" s="95" t="n"/>
      <c r="Q164" s="46" t="n"/>
      <c r="R164" s="46" t="n"/>
      <c r="S164" s="46" t="n"/>
      <c r="T164" s="46" t="n"/>
      <c r="U164" s="46" t="n"/>
      <c r="V164" s="46" t="n"/>
      <c r="W164" s="46" t="n"/>
      <c r="X164" s="46" t="n"/>
      <c r="Y164" s="46" t="n"/>
      <c r="Z164" s="46" t="n"/>
    </row>
    <row r="165" ht="12.75" customHeight="1">
      <c r="A165" s="100" t="n"/>
      <c r="B165" s="101" t="n"/>
      <c r="C165" s="102" t="n"/>
      <c r="D165" s="99" t="n"/>
      <c r="E165" s="95" t="n"/>
      <c r="F165" s="95" t="n"/>
      <c r="G165" s="94" t="n"/>
      <c r="H165" s="46" t="n"/>
      <c r="I165" s="46" t="n"/>
      <c r="J165" s="46" t="n"/>
      <c r="K165" s="46" t="n"/>
      <c r="L165" s="95" t="n"/>
      <c r="M165" s="95" t="n"/>
      <c r="N165" s="95" t="n"/>
      <c r="O165" s="95" t="n"/>
      <c r="P165" s="95" t="n"/>
      <c r="Q165" s="46" t="n"/>
      <c r="R165" s="46" t="n"/>
      <c r="S165" s="46" t="n"/>
      <c r="T165" s="46" t="n"/>
      <c r="U165" s="46" t="n"/>
      <c r="V165" s="46" t="n"/>
      <c r="W165" s="46" t="n"/>
      <c r="X165" s="46" t="n"/>
      <c r="Y165" s="46" t="n"/>
      <c r="Z165" s="46" t="n"/>
    </row>
    <row r="166" ht="12.75" customHeight="1">
      <c r="A166" s="100" t="n"/>
      <c r="B166" s="101" t="n"/>
      <c r="C166" s="102" t="n"/>
      <c r="D166" s="99" t="n"/>
      <c r="E166" s="95" t="n"/>
      <c r="F166" s="95" t="n"/>
      <c r="G166" s="94" t="n"/>
      <c r="H166" s="46" t="n"/>
      <c r="I166" s="46" t="n"/>
      <c r="J166" s="46" t="n"/>
      <c r="K166" s="46" t="n"/>
      <c r="L166" s="95" t="n"/>
      <c r="M166" s="95" t="n"/>
      <c r="N166" s="95" t="n"/>
      <c r="O166" s="95" t="n"/>
      <c r="P166" s="95" t="n"/>
      <c r="Q166" s="46" t="n"/>
      <c r="R166" s="46" t="n"/>
      <c r="S166" s="46" t="n"/>
      <c r="T166" s="46" t="n"/>
      <c r="U166" s="46" t="n"/>
      <c r="V166" s="46" t="n"/>
      <c r="W166" s="46" t="n"/>
      <c r="X166" s="46" t="n"/>
      <c r="Y166" s="46" t="n"/>
      <c r="Z166" s="46" t="n"/>
    </row>
    <row r="167" ht="12.75" customHeight="1">
      <c r="A167" s="100" t="n"/>
      <c r="B167" s="101" t="n"/>
      <c r="C167" s="102" t="n"/>
      <c r="D167" s="99" t="n"/>
      <c r="E167" s="95" t="n"/>
      <c r="F167" s="95" t="n"/>
      <c r="G167" s="94" t="n"/>
      <c r="H167" s="46" t="n"/>
      <c r="I167" s="46" t="n"/>
      <c r="J167" s="46" t="n"/>
      <c r="K167" s="46" t="n"/>
      <c r="L167" s="95" t="n"/>
      <c r="M167" s="95" t="n"/>
      <c r="N167" s="95" t="n"/>
      <c r="O167" s="95" t="n"/>
      <c r="P167" s="95" t="n"/>
      <c r="Q167" s="46" t="n"/>
      <c r="R167" s="46" t="n"/>
      <c r="S167" s="46" t="n"/>
      <c r="T167" s="46" t="n"/>
      <c r="U167" s="46" t="n"/>
      <c r="V167" s="46" t="n"/>
      <c r="W167" s="46" t="n"/>
      <c r="X167" s="46" t="n"/>
      <c r="Y167" s="46" t="n"/>
      <c r="Z167" s="46" t="n"/>
    </row>
    <row r="168" ht="12.75" customHeight="1">
      <c r="A168" s="100" t="n"/>
      <c r="B168" s="101" t="n"/>
      <c r="C168" s="102" t="n"/>
      <c r="D168" s="99" t="n"/>
      <c r="E168" s="95" t="n"/>
      <c r="F168" s="95" t="n"/>
      <c r="G168" s="94" t="n"/>
      <c r="H168" s="46" t="n"/>
      <c r="I168" s="46" t="n"/>
      <c r="J168" s="46" t="n"/>
      <c r="K168" s="46" t="n"/>
      <c r="L168" s="95" t="n"/>
      <c r="M168" s="95" t="n"/>
      <c r="N168" s="95" t="n"/>
      <c r="O168" s="95" t="n"/>
      <c r="P168" s="95" t="n"/>
      <c r="Q168" s="46" t="n"/>
      <c r="R168" s="46" t="n"/>
      <c r="S168" s="46" t="n"/>
      <c r="T168" s="46" t="n"/>
      <c r="U168" s="46" t="n"/>
      <c r="V168" s="46" t="n"/>
      <c r="W168" s="46" t="n"/>
      <c r="X168" s="46" t="n"/>
      <c r="Y168" s="46" t="n"/>
      <c r="Z168" s="46" t="n"/>
    </row>
    <row r="169" ht="12.75" customHeight="1">
      <c r="A169" s="100" t="n"/>
      <c r="B169" s="101" t="n"/>
      <c r="C169" s="102" t="n"/>
      <c r="D169" s="99" t="n"/>
      <c r="E169" s="95" t="n"/>
      <c r="F169" s="95" t="n"/>
      <c r="G169" s="94" t="n"/>
      <c r="H169" s="46" t="n"/>
      <c r="I169" s="46" t="n"/>
      <c r="J169" s="46" t="n"/>
      <c r="K169" s="46" t="n"/>
      <c r="L169" s="95" t="n"/>
      <c r="M169" s="95" t="n"/>
      <c r="N169" s="95" t="n"/>
      <c r="O169" s="95" t="n"/>
      <c r="P169" s="95" t="n"/>
      <c r="Q169" s="46" t="n"/>
      <c r="R169" s="46" t="n"/>
      <c r="S169" s="46" t="n"/>
      <c r="T169" s="46" t="n"/>
      <c r="U169" s="46" t="n"/>
      <c r="V169" s="46" t="n"/>
      <c r="W169" s="46" t="n"/>
      <c r="X169" s="46" t="n"/>
      <c r="Y169" s="46" t="n"/>
      <c r="Z169" s="46" t="n"/>
    </row>
    <row r="170" ht="12.75" customHeight="1">
      <c r="A170" s="100" t="n"/>
      <c r="B170" s="101" t="n"/>
      <c r="C170" s="102" t="n"/>
      <c r="D170" s="99" t="n"/>
      <c r="E170" s="95" t="n"/>
      <c r="F170" s="95" t="n"/>
      <c r="G170" s="94" t="n"/>
      <c r="H170" s="46" t="n"/>
      <c r="I170" s="46" t="n"/>
      <c r="J170" s="46" t="n"/>
      <c r="K170" s="46" t="n"/>
      <c r="L170" s="95" t="n"/>
      <c r="M170" s="95" t="n"/>
      <c r="N170" s="95" t="n"/>
      <c r="O170" s="95" t="n"/>
      <c r="P170" s="95" t="n"/>
      <c r="Q170" s="46" t="n"/>
      <c r="R170" s="46" t="n"/>
      <c r="S170" s="46" t="n"/>
      <c r="T170" s="46" t="n"/>
      <c r="U170" s="46" t="n"/>
      <c r="V170" s="46" t="n"/>
      <c r="W170" s="46" t="n"/>
      <c r="X170" s="46" t="n"/>
      <c r="Y170" s="46" t="n"/>
      <c r="Z170" s="46" t="n"/>
    </row>
    <row r="171" ht="12.75" customHeight="1">
      <c r="A171" s="100" t="n"/>
      <c r="B171" s="101" t="n"/>
      <c r="C171" s="102" t="n"/>
      <c r="D171" s="99" t="n"/>
      <c r="E171" s="95" t="n"/>
      <c r="F171" s="95" t="n"/>
      <c r="G171" s="94" t="n"/>
      <c r="H171" s="46" t="n"/>
      <c r="I171" s="46" t="n"/>
      <c r="J171" s="46" t="n"/>
      <c r="K171" s="46" t="n"/>
      <c r="L171" s="95" t="n"/>
      <c r="M171" s="95" t="n"/>
      <c r="N171" s="95" t="n"/>
      <c r="O171" s="95" t="n"/>
      <c r="P171" s="95" t="n"/>
      <c r="Q171" s="46" t="n"/>
      <c r="R171" s="46" t="n"/>
      <c r="S171" s="46" t="n"/>
      <c r="T171" s="46" t="n"/>
      <c r="U171" s="46" t="n"/>
      <c r="V171" s="46" t="n"/>
      <c r="W171" s="46" t="n"/>
      <c r="X171" s="46" t="n"/>
      <c r="Y171" s="46" t="n"/>
      <c r="Z171" s="46" t="n"/>
    </row>
    <row r="172" ht="12.75" customHeight="1">
      <c r="A172" s="100" t="n"/>
      <c r="B172" s="101" t="n"/>
      <c r="C172" s="102" t="n"/>
      <c r="D172" s="99" t="n"/>
      <c r="E172" s="95" t="n"/>
      <c r="F172" s="95" t="n"/>
      <c r="G172" s="94" t="n"/>
      <c r="H172" s="46" t="n"/>
      <c r="I172" s="46" t="n"/>
      <c r="J172" s="46" t="n"/>
      <c r="K172" s="46" t="n"/>
      <c r="L172" s="95" t="n"/>
      <c r="M172" s="95" t="n"/>
      <c r="N172" s="95" t="n"/>
      <c r="O172" s="95" t="n"/>
      <c r="P172" s="95" t="n"/>
      <c r="Q172" s="46" t="n"/>
      <c r="R172" s="46" t="n"/>
      <c r="S172" s="46" t="n"/>
      <c r="T172" s="46" t="n"/>
      <c r="U172" s="46" t="n"/>
      <c r="V172" s="46" t="n"/>
      <c r="W172" s="46" t="n"/>
      <c r="X172" s="46" t="n"/>
      <c r="Y172" s="46" t="n"/>
      <c r="Z172" s="46" t="n"/>
    </row>
    <row r="173" ht="12.75" customHeight="1">
      <c r="A173" s="100" t="n"/>
      <c r="B173" s="101" t="n"/>
      <c r="C173" s="102" t="n"/>
      <c r="D173" s="99" t="n"/>
      <c r="E173" s="95" t="n"/>
      <c r="F173" s="95" t="n"/>
      <c r="G173" s="94" t="n"/>
      <c r="H173" s="46" t="n"/>
      <c r="I173" s="46" t="n"/>
      <c r="J173" s="46" t="n"/>
      <c r="K173" s="46" t="n"/>
      <c r="L173" s="95" t="n"/>
      <c r="M173" s="95" t="n"/>
      <c r="N173" s="95" t="n"/>
      <c r="O173" s="95" t="n"/>
      <c r="P173" s="95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  <c r="Z173" s="46" t="n"/>
    </row>
    <row r="174" ht="12.75" customHeight="1">
      <c r="A174" s="100" t="n"/>
      <c r="B174" s="101" t="n"/>
      <c r="C174" s="102" t="n"/>
      <c r="D174" s="99" t="n"/>
      <c r="E174" s="95" t="n"/>
      <c r="F174" s="95" t="n"/>
      <c r="G174" s="94" t="n"/>
      <c r="H174" s="46" t="n"/>
      <c r="I174" s="46" t="n"/>
      <c r="J174" s="46" t="n"/>
      <c r="K174" s="46" t="n"/>
      <c r="L174" s="95" t="n"/>
      <c r="M174" s="95" t="n"/>
      <c r="N174" s="95" t="n"/>
      <c r="O174" s="95" t="n"/>
      <c r="P174" s="95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  <c r="Z174" s="46" t="n"/>
    </row>
    <row r="175" ht="12.75" customHeight="1">
      <c r="A175" s="100" t="n"/>
      <c r="B175" s="101" t="n"/>
      <c r="C175" s="102" t="n"/>
      <c r="D175" s="99" t="n"/>
      <c r="E175" s="95" t="n"/>
      <c r="F175" s="95" t="n"/>
      <c r="G175" s="94" t="n"/>
      <c r="H175" s="46" t="n"/>
      <c r="I175" s="46" t="n"/>
      <c r="J175" s="46" t="n"/>
      <c r="K175" s="46" t="n"/>
      <c r="L175" s="95" t="n"/>
      <c r="M175" s="95" t="n"/>
      <c r="N175" s="95" t="n"/>
      <c r="O175" s="95" t="n"/>
      <c r="P175" s="95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  <c r="Z175" s="46" t="n"/>
    </row>
    <row r="176" ht="12.75" customHeight="1">
      <c r="A176" s="100" t="n"/>
      <c r="B176" s="101" t="n"/>
      <c r="C176" s="102" t="n"/>
      <c r="D176" s="99" t="n"/>
      <c r="E176" s="95" t="n"/>
      <c r="F176" s="95" t="n"/>
      <c r="G176" s="94" t="n"/>
      <c r="H176" s="46" t="n"/>
      <c r="I176" s="46" t="n"/>
      <c r="J176" s="46" t="n"/>
      <c r="K176" s="46" t="n"/>
      <c r="L176" s="95" t="n"/>
      <c r="M176" s="95" t="n"/>
      <c r="N176" s="95" t="n"/>
      <c r="O176" s="95" t="n"/>
      <c r="P176" s="95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  <c r="Z176" s="46" t="n"/>
    </row>
    <row r="177" ht="12.75" customHeight="1">
      <c r="A177" s="100" t="n"/>
      <c r="B177" s="101" t="n"/>
      <c r="C177" s="102" t="n"/>
      <c r="D177" s="99" t="n"/>
      <c r="E177" s="95" t="n"/>
      <c r="F177" s="95" t="n"/>
      <c r="G177" s="94" t="n"/>
      <c r="H177" s="46" t="n"/>
      <c r="I177" s="46" t="n"/>
      <c r="J177" s="46" t="n"/>
      <c r="K177" s="46" t="n"/>
      <c r="L177" s="95" t="n"/>
      <c r="M177" s="95" t="n"/>
      <c r="N177" s="95" t="n"/>
      <c r="O177" s="95" t="n"/>
      <c r="P177" s="95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  <c r="Z177" s="46" t="n"/>
    </row>
    <row r="178" ht="12.75" customHeight="1">
      <c r="A178" s="100" t="n"/>
      <c r="B178" s="101" t="n"/>
      <c r="C178" s="102" t="n"/>
      <c r="D178" s="99" t="n"/>
      <c r="E178" s="95" t="n"/>
      <c r="F178" s="95" t="n"/>
      <c r="G178" s="94" t="n"/>
      <c r="H178" s="46" t="n"/>
      <c r="I178" s="46" t="n"/>
      <c r="J178" s="46" t="n"/>
      <c r="K178" s="46" t="n"/>
      <c r="L178" s="95" t="n"/>
      <c r="M178" s="95" t="n"/>
      <c r="N178" s="95" t="n"/>
      <c r="O178" s="95" t="n"/>
      <c r="P178" s="95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  <c r="Z178" s="46" t="n"/>
    </row>
    <row r="179" ht="12.75" customHeight="1">
      <c r="A179" s="100" t="n"/>
      <c r="B179" s="101" t="n"/>
      <c r="C179" s="102" t="n"/>
      <c r="D179" s="99" t="n"/>
      <c r="E179" s="95" t="n"/>
      <c r="F179" s="95" t="n"/>
      <c r="G179" s="94" t="n"/>
      <c r="H179" s="46" t="n"/>
      <c r="I179" s="46" t="n"/>
      <c r="J179" s="46" t="n"/>
      <c r="K179" s="46" t="n"/>
      <c r="L179" s="95" t="n"/>
      <c r="M179" s="95" t="n"/>
      <c r="N179" s="95" t="n"/>
      <c r="O179" s="95" t="n"/>
      <c r="P179" s="95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  <c r="Z179" s="46" t="n"/>
    </row>
    <row r="180" ht="12.75" customHeight="1">
      <c r="A180" s="100" t="n"/>
      <c r="B180" s="101" t="n"/>
      <c r="C180" s="102" t="n"/>
      <c r="D180" s="99" t="n"/>
      <c r="E180" s="95" t="n"/>
      <c r="F180" s="95" t="n"/>
      <c r="G180" s="94" t="n"/>
      <c r="H180" s="46" t="n"/>
      <c r="I180" s="46" t="n"/>
      <c r="J180" s="46" t="n"/>
      <c r="K180" s="46" t="n"/>
      <c r="L180" s="95" t="n"/>
      <c r="M180" s="95" t="n"/>
      <c r="N180" s="95" t="n"/>
      <c r="O180" s="95" t="n"/>
      <c r="P180" s="95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  <c r="Z180" s="46" t="n"/>
    </row>
    <row r="181" ht="12.75" customHeight="1">
      <c r="A181" s="100" t="n"/>
      <c r="B181" s="101" t="n"/>
      <c r="C181" s="102" t="n"/>
      <c r="D181" s="99" t="n"/>
      <c r="E181" s="95" t="n"/>
      <c r="F181" s="95" t="n"/>
      <c r="G181" s="94" t="n"/>
      <c r="H181" s="46" t="n"/>
      <c r="I181" s="46" t="n"/>
      <c r="J181" s="46" t="n"/>
      <c r="K181" s="46" t="n"/>
      <c r="L181" s="95" t="n"/>
      <c r="M181" s="95" t="n"/>
      <c r="N181" s="95" t="n"/>
      <c r="O181" s="95" t="n"/>
      <c r="P181" s="95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  <c r="Z181" s="46" t="n"/>
    </row>
    <row r="182" ht="12.75" customHeight="1">
      <c r="A182" s="100" t="n"/>
      <c r="B182" s="101" t="n"/>
      <c r="C182" s="102" t="n"/>
      <c r="D182" s="99" t="n"/>
      <c r="E182" s="95" t="n"/>
      <c r="F182" s="95" t="n"/>
      <c r="G182" s="94" t="n"/>
      <c r="H182" s="46" t="n"/>
      <c r="I182" s="46" t="n"/>
      <c r="J182" s="46" t="n"/>
      <c r="K182" s="46" t="n"/>
      <c r="L182" s="95" t="n"/>
      <c r="M182" s="95" t="n"/>
      <c r="N182" s="95" t="n"/>
      <c r="O182" s="95" t="n"/>
      <c r="P182" s="95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  <c r="Z182" s="46" t="n"/>
    </row>
    <row r="183" ht="12.75" customHeight="1">
      <c r="A183" s="100" t="n"/>
      <c r="B183" s="101" t="n"/>
      <c r="C183" s="102" t="n"/>
      <c r="D183" s="99" t="n"/>
      <c r="E183" s="95" t="n"/>
      <c r="F183" s="95" t="n"/>
      <c r="G183" s="94" t="n"/>
      <c r="H183" s="46" t="n"/>
      <c r="I183" s="46" t="n"/>
      <c r="J183" s="46" t="n"/>
      <c r="K183" s="46" t="n"/>
      <c r="L183" s="95" t="n"/>
      <c r="M183" s="95" t="n"/>
      <c r="N183" s="95" t="n"/>
      <c r="O183" s="95" t="n"/>
      <c r="P183" s="95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  <c r="Z183" s="46" t="n"/>
    </row>
    <row r="184" ht="12.75" customHeight="1">
      <c r="A184" s="100" t="n"/>
      <c r="B184" s="101" t="n"/>
      <c r="C184" s="102" t="n"/>
      <c r="D184" s="99" t="n"/>
      <c r="E184" s="95" t="n"/>
      <c r="F184" s="95" t="n"/>
      <c r="G184" s="94" t="n"/>
      <c r="H184" s="46" t="n"/>
      <c r="I184" s="46" t="n"/>
      <c r="J184" s="46" t="n"/>
      <c r="K184" s="46" t="n"/>
      <c r="L184" s="95" t="n"/>
      <c r="M184" s="95" t="n"/>
      <c r="N184" s="95" t="n"/>
      <c r="O184" s="95" t="n"/>
      <c r="P184" s="95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  <c r="Z184" s="46" t="n"/>
    </row>
    <row r="185" ht="12.75" customHeight="1">
      <c r="A185" s="100" t="n"/>
      <c r="B185" s="101" t="n"/>
      <c r="C185" s="102" t="n"/>
      <c r="D185" s="99" t="n"/>
      <c r="E185" s="95" t="n"/>
      <c r="F185" s="95" t="n"/>
      <c r="G185" s="94" t="n"/>
      <c r="H185" s="46" t="n"/>
      <c r="I185" s="46" t="n"/>
      <c r="J185" s="46" t="n"/>
      <c r="K185" s="46" t="n"/>
      <c r="L185" s="95" t="n"/>
      <c r="M185" s="95" t="n"/>
      <c r="N185" s="95" t="n"/>
      <c r="O185" s="95" t="n"/>
      <c r="P185" s="95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  <c r="Z185" s="46" t="n"/>
    </row>
    <row r="186" ht="12.75" customHeight="1">
      <c r="A186" s="100" t="n"/>
      <c r="B186" s="101" t="n"/>
      <c r="C186" s="102" t="n"/>
      <c r="D186" s="99" t="n"/>
      <c r="E186" s="95" t="n"/>
      <c r="F186" s="95" t="n"/>
      <c r="G186" s="94" t="n"/>
      <c r="H186" s="46" t="n"/>
      <c r="I186" s="46" t="n"/>
      <c r="J186" s="46" t="n"/>
      <c r="K186" s="46" t="n"/>
      <c r="L186" s="95" t="n"/>
      <c r="M186" s="95" t="n"/>
      <c r="N186" s="95" t="n"/>
      <c r="O186" s="95" t="n"/>
      <c r="P186" s="95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  <c r="Z186" s="46" t="n"/>
    </row>
    <row r="187" ht="12.75" customHeight="1">
      <c r="A187" s="100" t="n"/>
      <c r="B187" s="101" t="n"/>
      <c r="C187" s="102" t="n"/>
      <c r="D187" s="99" t="n"/>
      <c r="E187" s="95" t="n"/>
      <c r="F187" s="95" t="n"/>
      <c r="G187" s="94" t="n"/>
      <c r="H187" s="46" t="n"/>
      <c r="I187" s="46" t="n"/>
      <c r="J187" s="46" t="n"/>
      <c r="K187" s="46" t="n"/>
      <c r="L187" s="95" t="n"/>
      <c r="M187" s="95" t="n"/>
      <c r="N187" s="95" t="n"/>
      <c r="O187" s="95" t="n"/>
      <c r="P187" s="95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  <c r="Z187" s="46" t="n"/>
    </row>
    <row r="188" ht="12.75" customHeight="1">
      <c r="A188" s="100" t="n"/>
      <c r="B188" s="101" t="n"/>
      <c r="C188" s="102" t="n"/>
      <c r="D188" s="99" t="n"/>
      <c r="E188" s="95" t="n"/>
      <c r="F188" s="95" t="n"/>
      <c r="G188" s="94" t="n"/>
      <c r="H188" s="46" t="n"/>
      <c r="I188" s="46" t="n"/>
      <c r="J188" s="46" t="n"/>
      <c r="K188" s="46" t="n"/>
      <c r="L188" s="95" t="n"/>
      <c r="M188" s="95" t="n"/>
      <c r="N188" s="95" t="n"/>
      <c r="O188" s="95" t="n"/>
      <c r="P188" s="95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  <c r="Z188" s="46" t="n"/>
    </row>
    <row r="189" ht="12.75" customHeight="1">
      <c r="A189" s="100" t="n"/>
      <c r="B189" s="101" t="n"/>
      <c r="C189" s="102" t="n"/>
      <c r="D189" s="99" t="n"/>
      <c r="E189" s="95" t="n"/>
      <c r="F189" s="95" t="n"/>
      <c r="G189" s="94" t="n"/>
      <c r="H189" s="46" t="n"/>
      <c r="I189" s="46" t="n"/>
      <c r="J189" s="46" t="n"/>
      <c r="K189" s="46" t="n"/>
      <c r="L189" s="95" t="n"/>
      <c r="M189" s="95" t="n"/>
      <c r="N189" s="95" t="n"/>
      <c r="O189" s="95" t="n"/>
      <c r="P189" s="95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  <c r="Z189" s="46" t="n"/>
    </row>
    <row r="190" ht="12.75" customHeight="1">
      <c r="A190" s="100" t="n"/>
      <c r="B190" s="101" t="n"/>
      <c r="C190" s="102" t="n"/>
      <c r="D190" s="99" t="n"/>
      <c r="E190" s="95" t="n"/>
      <c r="F190" s="95" t="n"/>
      <c r="G190" s="94" t="n"/>
      <c r="H190" s="46" t="n"/>
      <c r="I190" s="46" t="n"/>
      <c r="J190" s="46" t="n"/>
      <c r="K190" s="46" t="n"/>
      <c r="L190" s="95" t="n"/>
      <c r="M190" s="95" t="n"/>
      <c r="N190" s="95" t="n"/>
      <c r="O190" s="95" t="n"/>
      <c r="P190" s="95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  <c r="Z190" s="46" t="n"/>
    </row>
    <row r="191" ht="12.75" customHeight="1">
      <c r="A191" s="100" t="n"/>
      <c r="B191" s="101" t="n"/>
      <c r="C191" s="102" t="n"/>
      <c r="D191" s="99" t="n"/>
      <c r="E191" s="95" t="n"/>
      <c r="F191" s="95" t="n"/>
      <c r="G191" s="94" t="n"/>
      <c r="H191" s="46" t="n"/>
      <c r="I191" s="46" t="n"/>
      <c r="J191" s="46" t="n"/>
      <c r="K191" s="46" t="n"/>
      <c r="L191" s="95" t="n"/>
      <c r="M191" s="95" t="n"/>
      <c r="N191" s="95" t="n"/>
      <c r="O191" s="95" t="n"/>
      <c r="P191" s="95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  <c r="Z191" s="46" t="n"/>
    </row>
    <row r="192" ht="12.75" customHeight="1">
      <c r="A192" s="100" t="n"/>
      <c r="B192" s="101" t="n"/>
      <c r="C192" s="102" t="n"/>
      <c r="D192" s="99" t="n"/>
      <c r="E192" s="95" t="n"/>
      <c r="F192" s="95" t="n"/>
      <c r="G192" s="94" t="n"/>
      <c r="H192" s="46" t="n"/>
      <c r="I192" s="46" t="n"/>
      <c r="J192" s="46" t="n"/>
      <c r="K192" s="46" t="n"/>
      <c r="L192" s="95" t="n"/>
      <c r="M192" s="95" t="n"/>
      <c r="N192" s="95" t="n"/>
      <c r="O192" s="95" t="n"/>
      <c r="P192" s="95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  <c r="Z192" s="46" t="n"/>
    </row>
    <row r="193" ht="12.75" customHeight="1">
      <c r="A193" s="100" t="n"/>
      <c r="B193" s="101" t="n"/>
      <c r="C193" s="102" t="n"/>
      <c r="D193" s="99" t="n"/>
      <c r="E193" s="95" t="n"/>
      <c r="F193" s="95" t="n"/>
      <c r="G193" s="94" t="n"/>
      <c r="H193" s="46" t="n"/>
      <c r="I193" s="46" t="n"/>
      <c r="J193" s="46" t="n"/>
      <c r="K193" s="46" t="n"/>
      <c r="L193" s="95" t="n"/>
      <c r="M193" s="95" t="n"/>
      <c r="N193" s="95" t="n"/>
      <c r="O193" s="95" t="n"/>
      <c r="P193" s="95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  <c r="Z193" s="46" t="n"/>
    </row>
    <row r="194" ht="12.75" customHeight="1">
      <c r="A194" s="100" t="n"/>
      <c r="B194" s="101" t="n"/>
      <c r="C194" s="102" t="n"/>
      <c r="D194" s="99" t="n"/>
      <c r="E194" s="95" t="n"/>
      <c r="F194" s="95" t="n"/>
      <c r="G194" s="94" t="n"/>
      <c r="H194" s="46" t="n"/>
      <c r="I194" s="46" t="n"/>
      <c r="J194" s="46" t="n"/>
      <c r="K194" s="46" t="n"/>
      <c r="L194" s="95" t="n"/>
      <c r="M194" s="95" t="n"/>
      <c r="N194" s="95" t="n"/>
      <c r="O194" s="95" t="n"/>
      <c r="P194" s="95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  <c r="Z194" s="46" t="n"/>
    </row>
    <row r="195" ht="12.75" customHeight="1">
      <c r="A195" s="100" t="n"/>
      <c r="B195" s="101" t="n"/>
      <c r="C195" s="102" t="n"/>
      <c r="D195" s="99" t="n"/>
      <c r="E195" s="95" t="n"/>
      <c r="F195" s="95" t="n"/>
      <c r="G195" s="94" t="n"/>
      <c r="H195" s="46" t="n"/>
      <c r="I195" s="46" t="n"/>
      <c r="J195" s="46" t="n"/>
      <c r="K195" s="46" t="n"/>
      <c r="L195" s="95" t="n"/>
      <c r="M195" s="95" t="n"/>
      <c r="N195" s="95" t="n"/>
      <c r="O195" s="95" t="n"/>
      <c r="P195" s="95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  <c r="Z195" s="46" t="n"/>
    </row>
    <row r="196" ht="12.75" customHeight="1">
      <c r="A196" s="100" t="n"/>
      <c r="B196" s="101" t="n"/>
      <c r="C196" s="102" t="n"/>
      <c r="D196" s="99" t="n"/>
      <c r="E196" s="95" t="n"/>
      <c r="F196" s="95" t="n"/>
      <c r="G196" s="94" t="n"/>
      <c r="H196" s="46" t="n"/>
      <c r="I196" s="46" t="n"/>
      <c r="J196" s="46" t="n"/>
      <c r="K196" s="46" t="n"/>
      <c r="L196" s="95" t="n"/>
      <c r="M196" s="95" t="n"/>
      <c r="N196" s="95" t="n"/>
      <c r="O196" s="95" t="n"/>
      <c r="P196" s="95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  <c r="Z196" s="46" t="n"/>
    </row>
    <row r="197" ht="12.75" customHeight="1">
      <c r="A197" s="100" t="n"/>
      <c r="B197" s="101" t="n"/>
      <c r="C197" s="102" t="n"/>
      <c r="D197" s="99" t="n"/>
      <c r="E197" s="95" t="n"/>
      <c r="F197" s="95" t="n"/>
      <c r="G197" s="94" t="n"/>
      <c r="H197" s="46" t="n"/>
      <c r="I197" s="46" t="n"/>
      <c r="J197" s="46" t="n"/>
      <c r="K197" s="46" t="n"/>
      <c r="L197" s="95" t="n"/>
      <c r="M197" s="95" t="n"/>
      <c r="N197" s="95" t="n"/>
      <c r="O197" s="95" t="n"/>
      <c r="P197" s="95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  <c r="Z197" s="46" t="n"/>
    </row>
    <row r="198" ht="12.75" customHeight="1">
      <c r="A198" s="100" t="n"/>
      <c r="B198" s="101" t="n"/>
      <c r="C198" s="102" t="n"/>
      <c r="D198" s="99" t="n"/>
      <c r="E198" s="95" t="n"/>
      <c r="F198" s="95" t="n"/>
      <c r="G198" s="94" t="n"/>
      <c r="H198" s="46" t="n"/>
      <c r="I198" s="46" t="n"/>
      <c r="J198" s="46" t="n"/>
      <c r="K198" s="46" t="n"/>
      <c r="L198" s="95" t="n"/>
      <c r="M198" s="95" t="n"/>
      <c r="N198" s="95" t="n"/>
      <c r="O198" s="95" t="n"/>
      <c r="P198" s="95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  <c r="Z198" s="46" t="n"/>
    </row>
    <row r="199" ht="12.75" customHeight="1">
      <c r="A199" s="100" t="n"/>
      <c r="B199" s="101" t="n"/>
      <c r="C199" s="102" t="n"/>
      <c r="D199" s="99" t="n"/>
      <c r="E199" s="95" t="n"/>
      <c r="F199" s="95" t="n"/>
      <c r="G199" s="94" t="n"/>
      <c r="H199" s="46" t="n"/>
      <c r="I199" s="46" t="n"/>
      <c r="J199" s="46" t="n"/>
      <c r="K199" s="46" t="n"/>
      <c r="L199" s="95" t="n"/>
      <c r="M199" s="95" t="n"/>
      <c r="N199" s="95" t="n"/>
      <c r="O199" s="95" t="n"/>
      <c r="P199" s="95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  <c r="Z199" s="46" t="n"/>
    </row>
    <row r="200" ht="12.75" customHeight="1">
      <c r="A200" s="100" t="n"/>
      <c r="B200" s="101" t="n"/>
      <c r="C200" s="102" t="n"/>
      <c r="D200" s="99" t="n"/>
      <c r="E200" s="95" t="n"/>
      <c r="F200" s="95" t="n"/>
      <c r="G200" s="94" t="n"/>
      <c r="H200" s="46" t="n"/>
      <c r="I200" s="46" t="n"/>
      <c r="J200" s="46" t="n"/>
      <c r="K200" s="46" t="n"/>
      <c r="L200" s="95" t="n"/>
      <c r="M200" s="95" t="n"/>
      <c r="N200" s="95" t="n"/>
      <c r="O200" s="95" t="n"/>
      <c r="P200" s="95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  <c r="Z200" s="46" t="n"/>
    </row>
    <row r="201" ht="12.75" customHeight="1">
      <c r="A201" s="100" t="n"/>
      <c r="B201" s="101" t="n"/>
      <c r="C201" s="102" t="n"/>
      <c r="D201" s="99" t="n"/>
      <c r="E201" s="95" t="n"/>
      <c r="F201" s="95" t="n"/>
      <c r="G201" s="94" t="n"/>
      <c r="H201" s="46" t="n"/>
      <c r="I201" s="46" t="n"/>
      <c r="J201" s="46" t="n"/>
      <c r="K201" s="46" t="n"/>
      <c r="L201" s="95" t="n"/>
      <c r="M201" s="95" t="n"/>
      <c r="N201" s="95" t="n"/>
      <c r="O201" s="95" t="n"/>
      <c r="P201" s="95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  <c r="Z201" s="46" t="n"/>
    </row>
    <row r="202" ht="12.75" customHeight="1">
      <c r="A202" s="100" t="n"/>
      <c r="B202" s="101" t="n"/>
      <c r="C202" s="102" t="n"/>
      <c r="D202" s="99" t="n"/>
      <c r="E202" s="95" t="n"/>
      <c r="F202" s="95" t="n"/>
      <c r="G202" s="94" t="n"/>
      <c r="H202" s="46" t="n"/>
      <c r="I202" s="46" t="n"/>
      <c r="J202" s="46" t="n"/>
      <c r="K202" s="46" t="n"/>
      <c r="L202" s="95" t="n"/>
      <c r="M202" s="95" t="n"/>
      <c r="N202" s="95" t="n"/>
      <c r="O202" s="95" t="n"/>
      <c r="P202" s="95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  <c r="Z202" s="46" t="n"/>
    </row>
    <row r="203" ht="12.75" customHeight="1">
      <c r="A203" s="100" t="n"/>
      <c r="B203" s="101" t="n"/>
      <c r="C203" s="102" t="n"/>
      <c r="D203" s="99" t="n"/>
      <c r="E203" s="95" t="n"/>
      <c r="F203" s="95" t="n"/>
      <c r="G203" s="94" t="n"/>
      <c r="H203" s="46" t="n"/>
      <c r="I203" s="46" t="n"/>
      <c r="J203" s="46" t="n"/>
      <c r="K203" s="46" t="n"/>
      <c r="L203" s="95" t="n"/>
      <c r="M203" s="95" t="n"/>
      <c r="N203" s="95" t="n"/>
      <c r="O203" s="95" t="n"/>
      <c r="P203" s="95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  <c r="Z203" s="46" t="n"/>
    </row>
    <row r="204" ht="12.75" customHeight="1">
      <c r="A204" s="100" t="n"/>
      <c r="B204" s="101" t="n"/>
      <c r="C204" s="102" t="n"/>
      <c r="D204" s="99" t="n"/>
      <c r="E204" s="95" t="n"/>
      <c r="F204" s="95" t="n"/>
      <c r="G204" s="94" t="n"/>
      <c r="H204" s="46" t="n"/>
      <c r="I204" s="46" t="n"/>
      <c r="J204" s="46" t="n"/>
      <c r="K204" s="46" t="n"/>
      <c r="L204" s="95" t="n"/>
      <c r="M204" s="95" t="n"/>
      <c r="N204" s="95" t="n"/>
      <c r="O204" s="95" t="n"/>
      <c r="P204" s="95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  <c r="Z204" s="46" t="n"/>
    </row>
    <row r="205" ht="12.75" customHeight="1">
      <c r="A205" s="100" t="n"/>
      <c r="B205" s="101" t="n"/>
      <c r="C205" s="102" t="n"/>
      <c r="D205" s="99" t="n"/>
      <c r="E205" s="95" t="n"/>
      <c r="F205" s="95" t="n"/>
      <c r="G205" s="94" t="n"/>
      <c r="H205" s="46" t="n"/>
      <c r="I205" s="46" t="n"/>
      <c r="J205" s="46" t="n"/>
      <c r="K205" s="46" t="n"/>
      <c r="L205" s="95" t="n"/>
      <c r="M205" s="95" t="n"/>
      <c r="N205" s="95" t="n"/>
      <c r="O205" s="95" t="n"/>
      <c r="P205" s="95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  <c r="Z205" s="46" t="n"/>
    </row>
    <row r="206" ht="12.75" customHeight="1">
      <c r="A206" s="100" t="n"/>
      <c r="B206" s="101" t="n"/>
      <c r="C206" s="102" t="n"/>
      <c r="D206" s="99" t="n"/>
      <c r="E206" s="95" t="n"/>
      <c r="F206" s="95" t="n"/>
      <c r="G206" s="94" t="n"/>
      <c r="H206" s="46" t="n"/>
      <c r="I206" s="46" t="n"/>
      <c r="J206" s="46" t="n"/>
      <c r="K206" s="46" t="n"/>
      <c r="L206" s="95" t="n"/>
      <c r="M206" s="95" t="n"/>
      <c r="N206" s="95" t="n"/>
      <c r="O206" s="95" t="n"/>
      <c r="P206" s="95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  <c r="Z206" s="46" t="n"/>
    </row>
    <row r="207" ht="12.75" customHeight="1">
      <c r="A207" s="100" t="n"/>
      <c r="B207" s="101" t="n"/>
      <c r="C207" s="102" t="n"/>
      <c r="D207" s="99" t="n"/>
      <c r="E207" s="95" t="n"/>
      <c r="F207" s="95" t="n"/>
      <c r="G207" s="94" t="n"/>
      <c r="H207" s="46" t="n"/>
      <c r="I207" s="46" t="n"/>
      <c r="J207" s="46" t="n"/>
      <c r="K207" s="46" t="n"/>
      <c r="L207" s="95" t="n"/>
      <c r="M207" s="95" t="n"/>
      <c r="N207" s="95" t="n"/>
      <c r="O207" s="95" t="n"/>
      <c r="P207" s="95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  <c r="Z207" s="46" t="n"/>
    </row>
    <row r="208" ht="12.75" customHeight="1">
      <c r="A208" s="100" t="n"/>
      <c r="B208" s="101" t="n"/>
      <c r="C208" s="102" t="n"/>
      <c r="D208" s="99" t="n"/>
      <c r="E208" s="95" t="n"/>
      <c r="F208" s="95" t="n"/>
      <c r="G208" s="94" t="n"/>
      <c r="H208" s="46" t="n"/>
      <c r="I208" s="46" t="n"/>
      <c r="J208" s="46" t="n"/>
      <c r="K208" s="46" t="n"/>
      <c r="L208" s="95" t="n"/>
      <c r="M208" s="95" t="n"/>
      <c r="N208" s="95" t="n"/>
      <c r="O208" s="95" t="n"/>
      <c r="P208" s="95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  <c r="Z208" s="46" t="n"/>
    </row>
    <row r="209" ht="12.75" customHeight="1">
      <c r="A209" s="100" t="n"/>
      <c r="B209" s="101" t="n"/>
      <c r="C209" s="102" t="n"/>
      <c r="D209" s="99" t="n"/>
      <c r="E209" s="95" t="n"/>
      <c r="F209" s="95" t="n"/>
      <c r="G209" s="94" t="n"/>
      <c r="H209" s="46" t="n"/>
      <c r="I209" s="46" t="n"/>
      <c r="J209" s="46" t="n"/>
      <c r="K209" s="46" t="n"/>
      <c r="L209" s="95" t="n"/>
      <c r="M209" s="95" t="n"/>
      <c r="N209" s="95" t="n"/>
      <c r="O209" s="95" t="n"/>
      <c r="P209" s="95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  <c r="Z209" s="46" t="n"/>
    </row>
    <row r="210" ht="12.75" customHeight="1">
      <c r="A210" s="100" t="n"/>
      <c r="B210" s="101" t="n"/>
      <c r="C210" s="102" t="n"/>
      <c r="D210" s="99" t="n"/>
      <c r="E210" s="95" t="n"/>
      <c r="F210" s="95" t="n"/>
      <c r="G210" s="94" t="n"/>
      <c r="H210" s="46" t="n"/>
      <c r="I210" s="46" t="n"/>
      <c r="J210" s="46" t="n"/>
      <c r="K210" s="46" t="n"/>
      <c r="L210" s="95" t="n"/>
      <c r="M210" s="95" t="n"/>
      <c r="N210" s="95" t="n"/>
      <c r="O210" s="95" t="n"/>
      <c r="P210" s="95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  <c r="Z210" s="46" t="n"/>
    </row>
    <row r="211" ht="12.75" customHeight="1">
      <c r="A211" s="100" t="n"/>
      <c r="B211" s="101" t="n"/>
      <c r="C211" s="102" t="n"/>
      <c r="D211" s="99" t="n"/>
      <c r="E211" s="95" t="n"/>
      <c r="F211" s="95" t="n"/>
      <c r="G211" s="94" t="n"/>
      <c r="H211" s="46" t="n"/>
      <c r="I211" s="46" t="n"/>
      <c r="J211" s="46" t="n"/>
      <c r="K211" s="46" t="n"/>
      <c r="L211" s="95" t="n"/>
      <c r="M211" s="95" t="n"/>
      <c r="N211" s="95" t="n"/>
      <c r="O211" s="95" t="n"/>
      <c r="P211" s="95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  <c r="Z211" s="46" t="n"/>
    </row>
    <row r="212" ht="12.75" customHeight="1">
      <c r="A212" s="100" t="n"/>
      <c r="B212" s="101" t="n"/>
      <c r="C212" s="102" t="n"/>
      <c r="D212" s="99" t="n"/>
      <c r="E212" s="95" t="n"/>
      <c r="F212" s="95" t="n"/>
      <c r="G212" s="94" t="n"/>
      <c r="H212" s="46" t="n"/>
      <c r="I212" s="46" t="n"/>
      <c r="J212" s="46" t="n"/>
      <c r="K212" s="46" t="n"/>
      <c r="L212" s="95" t="n"/>
      <c r="M212" s="95" t="n"/>
      <c r="N212" s="95" t="n"/>
      <c r="O212" s="95" t="n"/>
      <c r="P212" s="95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  <c r="Z212" s="46" t="n"/>
    </row>
    <row r="213" ht="12.75" customHeight="1">
      <c r="A213" s="100" t="n"/>
      <c r="B213" s="101" t="n"/>
      <c r="C213" s="102" t="n"/>
      <c r="D213" s="99" t="n"/>
      <c r="E213" s="95" t="n"/>
      <c r="F213" s="95" t="n"/>
      <c r="G213" s="94" t="n"/>
      <c r="H213" s="46" t="n"/>
      <c r="I213" s="46" t="n"/>
      <c r="J213" s="46" t="n"/>
      <c r="K213" s="46" t="n"/>
      <c r="L213" s="95" t="n"/>
      <c r="M213" s="95" t="n"/>
      <c r="N213" s="95" t="n"/>
      <c r="O213" s="95" t="n"/>
      <c r="P213" s="95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  <c r="Z213" s="46" t="n"/>
    </row>
    <row r="214" ht="12.75" customHeight="1">
      <c r="A214" s="100" t="n"/>
      <c r="B214" s="101" t="n"/>
      <c r="C214" s="102" t="n"/>
      <c r="D214" s="99" t="n"/>
      <c r="E214" s="95" t="n"/>
      <c r="F214" s="95" t="n"/>
      <c r="G214" s="94" t="n"/>
      <c r="H214" s="46" t="n"/>
      <c r="I214" s="46" t="n"/>
      <c r="J214" s="46" t="n"/>
      <c r="K214" s="46" t="n"/>
      <c r="L214" s="95" t="n"/>
      <c r="M214" s="95" t="n"/>
      <c r="N214" s="95" t="n"/>
      <c r="O214" s="95" t="n"/>
      <c r="P214" s="95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  <c r="Z214" s="46" t="n"/>
    </row>
    <row r="215" ht="12.75" customHeight="1">
      <c r="A215" s="100" t="n"/>
      <c r="B215" s="101" t="n"/>
      <c r="C215" s="102" t="n"/>
      <c r="D215" s="99" t="n"/>
      <c r="E215" s="95" t="n"/>
      <c r="F215" s="95" t="n"/>
      <c r="G215" s="94" t="n"/>
      <c r="H215" s="46" t="n"/>
      <c r="I215" s="46" t="n"/>
      <c r="J215" s="46" t="n"/>
      <c r="K215" s="46" t="n"/>
      <c r="L215" s="95" t="n"/>
      <c r="M215" s="95" t="n"/>
      <c r="N215" s="95" t="n"/>
      <c r="O215" s="95" t="n"/>
      <c r="P215" s="95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  <c r="Z215" s="46" t="n"/>
    </row>
    <row r="216" ht="12.75" customHeight="1">
      <c r="A216" s="100" t="n"/>
      <c r="B216" s="101" t="n"/>
      <c r="C216" s="102" t="n"/>
      <c r="D216" s="99" t="n"/>
      <c r="E216" s="95" t="n"/>
      <c r="F216" s="95" t="n"/>
      <c r="G216" s="94" t="n"/>
      <c r="H216" s="46" t="n"/>
      <c r="I216" s="46" t="n"/>
      <c r="J216" s="46" t="n"/>
      <c r="K216" s="46" t="n"/>
      <c r="L216" s="95" t="n"/>
      <c r="M216" s="95" t="n"/>
      <c r="N216" s="95" t="n"/>
      <c r="O216" s="95" t="n"/>
      <c r="P216" s="95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  <c r="Z216" s="46" t="n"/>
    </row>
    <row r="217" ht="12.75" customHeight="1">
      <c r="A217" s="100" t="n"/>
      <c r="B217" s="101" t="n"/>
      <c r="C217" s="102" t="n"/>
      <c r="D217" s="99" t="n"/>
      <c r="E217" s="95" t="n"/>
      <c r="F217" s="95" t="n"/>
      <c r="G217" s="94" t="n"/>
      <c r="H217" s="46" t="n"/>
      <c r="I217" s="46" t="n"/>
      <c r="J217" s="46" t="n"/>
      <c r="K217" s="46" t="n"/>
      <c r="L217" s="95" t="n"/>
      <c r="M217" s="95" t="n"/>
      <c r="N217" s="95" t="n"/>
      <c r="O217" s="95" t="n"/>
      <c r="P217" s="95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  <c r="Z217" s="46" t="n"/>
    </row>
    <row r="218" ht="12.75" customHeight="1">
      <c r="A218" s="100" t="n"/>
      <c r="B218" s="101" t="n"/>
      <c r="C218" s="102" t="n"/>
      <c r="D218" s="99" t="n"/>
      <c r="E218" s="95" t="n"/>
      <c r="F218" s="95" t="n"/>
      <c r="G218" s="94" t="n"/>
      <c r="H218" s="46" t="n"/>
      <c r="I218" s="46" t="n"/>
      <c r="J218" s="46" t="n"/>
      <c r="K218" s="46" t="n"/>
      <c r="L218" s="95" t="n"/>
      <c r="M218" s="95" t="n"/>
      <c r="N218" s="95" t="n"/>
      <c r="O218" s="95" t="n"/>
      <c r="P218" s="95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  <c r="Z218" s="46" t="n"/>
    </row>
    <row r="219" ht="12.75" customHeight="1">
      <c r="A219" s="100" t="n"/>
      <c r="B219" s="101" t="n"/>
      <c r="C219" s="102" t="n"/>
      <c r="D219" s="99" t="n"/>
      <c r="E219" s="95" t="n"/>
      <c r="F219" s="95" t="n"/>
      <c r="G219" s="94" t="n"/>
      <c r="H219" s="46" t="n"/>
      <c r="I219" s="46" t="n"/>
      <c r="J219" s="46" t="n"/>
      <c r="K219" s="46" t="n"/>
      <c r="L219" s="95" t="n"/>
      <c r="M219" s="95" t="n"/>
      <c r="N219" s="95" t="n"/>
      <c r="O219" s="95" t="n"/>
      <c r="P219" s="95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  <c r="Z219" s="46" t="n"/>
    </row>
    <row r="220" ht="12.75" customHeight="1">
      <c r="A220" s="100" t="n"/>
      <c r="B220" s="101" t="n"/>
      <c r="C220" s="102" t="n"/>
      <c r="D220" s="99" t="n"/>
      <c r="E220" s="95" t="n"/>
      <c r="F220" s="95" t="n"/>
      <c r="G220" s="94" t="n"/>
      <c r="H220" s="46" t="n"/>
      <c r="I220" s="46" t="n"/>
      <c r="J220" s="46" t="n"/>
      <c r="K220" s="46" t="n"/>
      <c r="L220" s="95" t="n"/>
      <c r="M220" s="95" t="n"/>
      <c r="N220" s="95" t="n"/>
      <c r="O220" s="95" t="n"/>
      <c r="P220" s="95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  <c r="Z220" s="46" t="n"/>
    </row>
    <row r="221" ht="12.75" customHeight="1">
      <c r="A221" s="100" t="n"/>
      <c r="B221" s="101" t="n"/>
      <c r="C221" s="102" t="n"/>
      <c r="D221" s="99" t="n"/>
      <c r="E221" s="95" t="n"/>
      <c r="F221" s="95" t="n"/>
      <c r="G221" s="94" t="n"/>
      <c r="H221" s="46" t="n"/>
      <c r="I221" s="46" t="n"/>
      <c r="J221" s="46" t="n"/>
      <c r="K221" s="46" t="n"/>
      <c r="L221" s="95" t="n"/>
      <c r="M221" s="95" t="n"/>
      <c r="N221" s="95" t="n"/>
      <c r="O221" s="95" t="n"/>
      <c r="P221" s="95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  <c r="Z221" s="46" t="n"/>
    </row>
    <row r="222" ht="12.75" customHeight="1">
      <c r="A222" s="100" t="n"/>
      <c r="B222" s="101" t="n"/>
      <c r="C222" s="102" t="n"/>
      <c r="D222" s="99" t="n"/>
      <c r="E222" s="95" t="n"/>
      <c r="F222" s="95" t="n"/>
      <c r="G222" s="94" t="n"/>
      <c r="H222" s="46" t="n"/>
      <c r="I222" s="46" t="n"/>
      <c r="J222" s="46" t="n"/>
      <c r="K222" s="46" t="n"/>
      <c r="L222" s="95" t="n"/>
      <c r="M222" s="95" t="n"/>
      <c r="N222" s="95" t="n"/>
      <c r="O222" s="95" t="n"/>
      <c r="P222" s="95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  <c r="Z222" s="46" t="n"/>
    </row>
    <row r="223" ht="12.75" customHeight="1">
      <c r="A223" s="100" t="n"/>
      <c r="B223" s="101" t="n"/>
      <c r="C223" s="102" t="n"/>
      <c r="D223" s="99" t="n"/>
      <c r="E223" s="95" t="n"/>
      <c r="F223" s="95" t="n"/>
      <c r="G223" s="94" t="n"/>
      <c r="H223" s="46" t="n"/>
      <c r="I223" s="46" t="n"/>
      <c r="J223" s="46" t="n"/>
      <c r="K223" s="46" t="n"/>
      <c r="L223" s="95" t="n"/>
      <c r="M223" s="95" t="n"/>
      <c r="N223" s="95" t="n"/>
      <c r="O223" s="95" t="n"/>
      <c r="P223" s="95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  <c r="Z223" s="46" t="n"/>
    </row>
    <row r="224" ht="12.75" customHeight="1">
      <c r="A224" s="100" t="n"/>
      <c r="B224" s="101" t="n"/>
      <c r="C224" s="102" t="n"/>
      <c r="D224" s="99" t="n"/>
      <c r="E224" s="95" t="n"/>
      <c r="F224" s="95" t="n"/>
      <c r="G224" s="94" t="n"/>
      <c r="H224" s="46" t="n"/>
      <c r="I224" s="46" t="n"/>
      <c r="J224" s="46" t="n"/>
      <c r="K224" s="46" t="n"/>
      <c r="L224" s="95" t="n"/>
      <c r="M224" s="95" t="n"/>
      <c r="N224" s="95" t="n"/>
      <c r="O224" s="95" t="n"/>
      <c r="P224" s="95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  <c r="Z224" s="46" t="n"/>
    </row>
    <row r="225" ht="12.75" customHeight="1">
      <c r="A225" s="100" t="n"/>
      <c r="B225" s="101" t="n"/>
      <c r="C225" s="102" t="n"/>
      <c r="D225" s="99" t="n"/>
      <c r="E225" s="95" t="n"/>
      <c r="F225" s="95" t="n"/>
      <c r="G225" s="94" t="n"/>
      <c r="H225" s="46" t="n"/>
      <c r="I225" s="46" t="n"/>
      <c r="J225" s="46" t="n"/>
      <c r="K225" s="46" t="n"/>
      <c r="L225" s="95" t="n"/>
      <c r="M225" s="95" t="n"/>
      <c r="N225" s="95" t="n"/>
      <c r="O225" s="95" t="n"/>
      <c r="P225" s="95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  <c r="Z225" s="46" t="n"/>
    </row>
    <row r="226" ht="12.75" customHeight="1">
      <c r="A226" s="100" t="n"/>
      <c r="B226" s="101" t="n"/>
      <c r="C226" s="102" t="n"/>
      <c r="D226" s="99" t="n"/>
      <c r="E226" s="95" t="n"/>
      <c r="F226" s="95" t="n"/>
      <c r="G226" s="94" t="n"/>
      <c r="H226" s="46" t="n"/>
      <c r="I226" s="46" t="n"/>
      <c r="J226" s="46" t="n"/>
      <c r="K226" s="46" t="n"/>
      <c r="L226" s="95" t="n"/>
      <c r="M226" s="95" t="n"/>
      <c r="N226" s="95" t="n"/>
      <c r="O226" s="95" t="n"/>
      <c r="P226" s="95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  <c r="Z226" s="46" t="n"/>
    </row>
    <row r="227" ht="12.75" customHeight="1">
      <c r="A227" s="100" t="n"/>
      <c r="B227" s="101" t="n"/>
      <c r="C227" s="102" t="n"/>
      <c r="D227" s="99" t="n"/>
      <c r="E227" s="95" t="n"/>
      <c r="F227" s="95" t="n"/>
      <c r="G227" s="94" t="n"/>
      <c r="H227" s="46" t="n"/>
      <c r="I227" s="46" t="n"/>
      <c r="J227" s="46" t="n"/>
      <c r="K227" s="46" t="n"/>
      <c r="L227" s="95" t="n"/>
      <c r="M227" s="95" t="n"/>
      <c r="N227" s="95" t="n"/>
      <c r="O227" s="95" t="n"/>
      <c r="P227" s="95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  <c r="Z227" s="46" t="n"/>
    </row>
    <row r="228" ht="12.75" customHeight="1">
      <c r="A228" s="100" t="n"/>
      <c r="B228" s="101" t="n"/>
      <c r="C228" s="102" t="n"/>
      <c r="D228" s="99" t="n"/>
      <c r="E228" s="95" t="n"/>
      <c r="F228" s="95" t="n"/>
      <c r="G228" s="94" t="n"/>
      <c r="H228" s="46" t="n"/>
      <c r="I228" s="46" t="n"/>
      <c r="J228" s="46" t="n"/>
      <c r="K228" s="46" t="n"/>
      <c r="L228" s="95" t="n"/>
      <c r="M228" s="95" t="n"/>
      <c r="N228" s="95" t="n"/>
      <c r="O228" s="95" t="n"/>
      <c r="P228" s="95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  <c r="Z228" s="46" t="n"/>
    </row>
    <row r="229" ht="12.75" customHeight="1">
      <c r="A229" s="100" t="n"/>
      <c r="B229" s="101" t="n"/>
      <c r="C229" s="102" t="n"/>
      <c r="D229" s="99" t="n"/>
      <c r="E229" s="95" t="n"/>
      <c r="F229" s="95" t="n"/>
      <c r="G229" s="94" t="n"/>
      <c r="H229" s="46" t="n"/>
      <c r="I229" s="46" t="n"/>
      <c r="J229" s="46" t="n"/>
      <c r="K229" s="46" t="n"/>
      <c r="L229" s="95" t="n"/>
      <c r="M229" s="95" t="n"/>
      <c r="N229" s="95" t="n"/>
      <c r="O229" s="95" t="n"/>
      <c r="P229" s="95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  <c r="Z229" s="46" t="n"/>
    </row>
    <row r="230" ht="12.75" customHeight="1">
      <c r="A230" s="100" t="n"/>
      <c r="B230" s="101" t="n"/>
      <c r="C230" s="102" t="n"/>
      <c r="D230" s="99" t="n"/>
      <c r="E230" s="95" t="n"/>
      <c r="F230" s="95" t="n"/>
      <c r="G230" s="94" t="n"/>
      <c r="H230" s="46" t="n"/>
      <c r="I230" s="46" t="n"/>
      <c r="J230" s="46" t="n"/>
      <c r="K230" s="46" t="n"/>
      <c r="L230" s="95" t="n"/>
      <c r="M230" s="95" t="n"/>
      <c r="N230" s="95" t="n"/>
      <c r="O230" s="95" t="n"/>
      <c r="P230" s="95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  <c r="Z230" s="46" t="n"/>
    </row>
    <row r="231" ht="12.75" customHeight="1">
      <c r="A231" s="100" t="n"/>
      <c r="B231" s="101" t="n"/>
      <c r="C231" s="102" t="n"/>
      <c r="D231" s="99" t="n"/>
      <c r="E231" s="95" t="n"/>
      <c r="F231" s="95" t="n"/>
      <c r="G231" s="94" t="n"/>
      <c r="H231" s="46" t="n"/>
      <c r="I231" s="46" t="n"/>
      <c r="J231" s="46" t="n"/>
      <c r="K231" s="46" t="n"/>
      <c r="L231" s="95" t="n"/>
      <c r="M231" s="95" t="n"/>
      <c r="N231" s="95" t="n"/>
      <c r="O231" s="95" t="n"/>
      <c r="P231" s="95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  <c r="Z231" s="46" t="n"/>
    </row>
    <row r="232" ht="12.75" customHeight="1">
      <c r="A232" s="100" t="n"/>
      <c r="B232" s="101" t="n"/>
      <c r="C232" s="102" t="n"/>
      <c r="D232" s="99" t="n"/>
      <c r="E232" s="95" t="n"/>
      <c r="F232" s="95" t="n"/>
      <c r="G232" s="94" t="n"/>
      <c r="H232" s="46" t="n"/>
      <c r="I232" s="46" t="n"/>
      <c r="J232" s="46" t="n"/>
      <c r="K232" s="46" t="n"/>
      <c r="L232" s="95" t="n"/>
      <c r="M232" s="95" t="n"/>
      <c r="N232" s="95" t="n"/>
      <c r="O232" s="95" t="n"/>
      <c r="P232" s="95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  <c r="Z232" s="46" t="n"/>
    </row>
    <row r="233" ht="12.75" customHeight="1">
      <c r="A233" s="100" t="n"/>
      <c r="B233" s="101" t="n"/>
      <c r="C233" s="102" t="n"/>
      <c r="D233" s="99" t="n"/>
      <c r="E233" s="95" t="n"/>
      <c r="F233" s="95" t="n"/>
      <c r="G233" s="94" t="n"/>
      <c r="H233" s="46" t="n"/>
      <c r="I233" s="46" t="n"/>
      <c r="J233" s="46" t="n"/>
      <c r="K233" s="46" t="n"/>
      <c r="L233" s="95" t="n"/>
      <c r="M233" s="95" t="n"/>
      <c r="N233" s="95" t="n"/>
      <c r="O233" s="95" t="n"/>
      <c r="P233" s="95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  <c r="Z233" s="46" t="n"/>
    </row>
    <row r="234" ht="12.75" customHeight="1">
      <c r="A234" s="100" t="n"/>
      <c r="B234" s="101" t="n"/>
      <c r="C234" s="102" t="n"/>
      <c r="D234" s="99" t="n"/>
      <c r="E234" s="95" t="n"/>
      <c r="F234" s="95" t="n"/>
      <c r="G234" s="94" t="n"/>
      <c r="H234" s="46" t="n"/>
      <c r="I234" s="46" t="n"/>
      <c r="J234" s="46" t="n"/>
      <c r="K234" s="46" t="n"/>
      <c r="L234" s="95" t="n"/>
      <c r="M234" s="95" t="n"/>
      <c r="N234" s="95" t="n"/>
      <c r="O234" s="95" t="n"/>
      <c r="P234" s="95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  <c r="Z234" s="46" t="n"/>
    </row>
    <row r="235" ht="12.75" customHeight="1">
      <c r="A235" s="100" t="n"/>
      <c r="B235" s="101" t="n"/>
      <c r="C235" s="102" t="n"/>
      <c r="D235" s="99" t="n"/>
      <c r="E235" s="95" t="n"/>
      <c r="F235" s="95" t="n"/>
      <c r="G235" s="94" t="n"/>
      <c r="H235" s="46" t="n"/>
      <c r="I235" s="46" t="n"/>
      <c r="J235" s="46" t="n"/>
      <c r="K235" s="46" t="n"/>
      <c r="L235" s="95" t="n"/>
      <c r="M235" s="95" t="n"/>
      <c r="N235" s="95" t="n"/>
      <c r="O235" s="95" t="n"/>
      <c r="P235" s="95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  <c r="Z235" s="46" t="n"/>
    </row>
    <row r="236" ht="12.75" customHeight="1">
      <c r="A236" s="100" t="n"/>
      <c r="B236" s="101" t="n"/>
      <c r="C236" s="102" t="n"/>
      <c r="D236" s="99" t="n"/>
      <c r="E236" s="95" t="n"/>
      <c r="F236" s="95" t="n"/>
      <c r="G236" s="94" t="n"/>
      <c r="H236" s="46" t="n"/>
      <c r="I236" s="46" t="n"/>
      <c r="J236" s="46" t="n"/>
      <c r="K236" s="46" t="n"/>
      <c r="L236" s="95" t="n"/>
      <c r="M236" s="95" t="n"/>
      <c r="N236" s="95" t="n"/>
      <c r="O236" s="95" t="n"/>
      <c r="P236" s="95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  <c r="Z236" s="46" t="n"/>
    </row>
    <row r="237" ht="12.75" customHeight="1">
      <c r="A237" s="100" t="n"/>
      <c r="B237" s="101" t="n"/>
      <c r="C237" s="102" t="n"/>
      <c r="D237" s="99" t="n"/>
      <c r="E237" s="95" t="n"/>
      <c r="F237" s="95" t="n"/>
      <c r="G237" s="94" t="n"/>
      <c r="H237" s="46" t="n"/>
      <c r="I237" s="46" t="n"/>
      <c r="J237" s="46" t="n"/>
      <c r="K237" s="46" t="n"/>
      <c r="L237" s="95" t="n"/>
      <c r="M237" s="95" t="n"/>
      <c r="N237" s="95" t="n"/>
      <c r="O237" s="95" t="n"/>
      <c r="P237" s="95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  <c r="Z237" s="46" t="n"/>
    </row>
    <row r="238" ht="12.75" customHeight="1">
      <c r="A238" s="100" t="n"/>
      <c r="B238" s="101" t="n"/>
      <c r="C238" s="102" t="n"/>
      <c r="D238" s="99" t="n"/>
      <c r="E238" s="95" t="n"/>
      <c r="F238" s="95" t="n"/>
      <c r="G238" s="94" t="n"/>
      <c r="H238" s="46" t="n"/>
      <c r="I238" s="46" t="n"/>
      <c r="J238" s="46" t="n"/>
      <c r="K238" s="46" t="n"/>
      <c r="L238" s="95" t="n"/>
      <c r="M238" s="95" t="n"/>
      <c r="N238" s="95" t="n"/>
      <c r="O238" s="95" t="n"/>
      <c r="P238" s="95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  <c r="Z238" s="46" t="n"/>
    </row>
    <row r="239" ht="12.75" customHeight="1">
      <c r="A239" s="100" t="n"/>
      <c r="B239" s="101" t="n"/>
      <c r="C239" s="102" t="n"/>
      <c r="D239" s="99" t="n"/>
      <c r="E239" s="95" t="n"/>
      <c r="F239" s="95" t="n"/>
      <c r="G239" s="94" t="n"/>
      <c r="H239" s="46" t="n"/>
      <c r="I239" s="46" t="n"/>
      <c r="J239" s="46" t="n"/>
      <c r="K239" s="46" t="n"/>
      <c r="L239" s="95" t="n"/>
      <c r="M239" s="95" t="n"/>
      <c r="N239" s="95" t="n"/>
      <c r="O239" s="95" t="n"/>
      <c r="P239" s="95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  <c r="Z239" s="46" t="n"/>
    </row>
    <row r="240" ht="12.75" customHeight="1">
      <c r="A240" s="100" t="n"/>
      <c r="B240" s="101" t="n"/>
      <c r="C240" s="102" t="n"/>
      <c r="D240" s="99" t="n"/>
      <c r="E240" s="95" t="n"/>
      <c r="F240" s="95" t="n"/>
      <c r="G240" s="94" t="n"/>
      <c r="H240" s="46" t="n"/>
      <c r="I240" s="46" t="n"/>
      <c r="J240" s="46" t="n"/>
      <c r="K240" s="46" t="n"/>
      <c r="L240" s="95" t="n"/>
      <c r="M240" s="95" t="n"/>
      <c r="N240" s="95" t="n"/>
      <c r="O240" s="95" t="n"/>
      <c r="P240" s="95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  <c r="Z240" s="46" t="n"/>
    </row>
    <row r="241" ht="12.75" customHeight="1">
      <c r="A241" s="100" t="n"/>
      <c r="B241" s="101" t="n"/>
      <c r="C241" s="102" t="n"/>
      <c r="D241" s="99" t="n"/>
      <c r="E241" s="95" t="n"/>
      <c r="F241" s="95" t="n"/>
      <c r="G241" s="94" t="n"/>
      <c r="H241" s="46" t="n"/>
      <c r="I241" s="46" t="n"/>
      <c r="J241" s="46" t="n"/>
      <c r="K241" s="46" t="n"/>
      <c r="L241" s="95" t="n"/>
      <c r="M241" s="95" t="n"/>
      <c r="N241" s="95" t="n"/>
      <c r="O241" s="95" t="n"/>
      <c r="P241" s="95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  <c r="Z241" s="46" t="n"/>
    </row>
    <row r="242" ht="12.75" customHeight="1">
      <c r="A242" s="100" t="n"/>
      <c r="B242" s="101" t="n"/>
      <c r="C242" s="102" t="n"/>
      <c r="D242" s="99" t="n"/>
      <c r="E242" s="95" t="n"/>
      <c r="F242" s="95" t="n"/>
      <c r="G242" s="94" t="n"/>
      <c r="H242" s="46" t="n"/>
      <c r="I242" s="46" t="n"/>
      <c r="J242" s="46" t="n"/>
      <c r="K242" s="46" t="n"/>
      <c r="L242" s="95" t="n"/>
      <c r="M242" s="95" t="n"/>
      <c r="N242" s="95" t="n"/>
      <c r="O242" s="95" t="n"/>
      <c r="P242" s="95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  <c r="Z242" s="46" t="n"/>
    </row>
    <row r="243" ht="12.75" customHeight="1">
      <c r="A243" s="100" t="n"/>
      <c r="B243" s="101" t="n"/>
      <c r="C243" s="102" t="n"/>
      <c r="D243" s="99" t="n"/>
      <c r="E243" s="95" t="n"/>
      <c r="F243" s="95" t="n"/>
      <c r="G243" s="94" t="n"/>
      <c r="H243" s="46" t="n"/>
      <c r="I243" s="46" t="n"/>
      <c r="J243" s="46" t="n"/>
      <c r="K243" s="46" t="n"/>
      <c r="L243" s="95" t="n"/>
      <c r="M243" s="95" t="n"/>
      <c r="N243" s="95" t="n"/>
      <c r="O243" s="95" t="n"/>
      <c r="P243" s="95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  <c r="Z243" s="46" t="n"/>
    </row>
    <row r="244" ht="12.75" customHeight="1">
      <c r="A244" s="100" t="n"/>
      <c r="B244" s="101" t="n"/>
      <c r="C244" s="102" t="n"/>
      <c r="D244" s="99" t="n"/>
      <c r="E244" s="95" t="n"/>
      <c r="F244" s="95" t="n"/>
      <c r="G244" s="94" t="n"/>
      <c r="H244" s="46" t="n"/>
      <c r="I244" s="46" t="n"/>
      <c r="J244" s="46" t="n"/>
      <c r="K244" s="46" t="n"/>
      <c r="L244" s="95" t="n"/>
      <c r="M244" s="95" t="n"/>
      <c r="N244" s="95" t="n"/>
      <c r="O244" s="95" t="n"/>
      <c r="P244" s="95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  <c r="Z244" s="46" t="n"/>
    </row>
    <row r="245" ht="12.75" customHeight="1">
      <c r="A245" s="100" t="n"/>
      <c r="B245" s="101" t="n"/>
      <c r="C245" s="102" t="n"/>
      <c r="D245" s="99" t="n"/>
      <c r="E245" s="95" t="n"/>
      <c r="F245" s="95" t="n"/>
      <c r="G245" s="94" t="n"/>
      <c r="H245" s="46" t="n"/>
      <c r="I245" s="46" t="n"/>
      <c r="J245" s="46" t="n"/>
      <c r="K245" s="46" t="n"/>
      <c r="L245" s="95" t="n"/>
      <c r="M245" s="95" t="n"/>
      <c r="N245" s="95" t="n"/>
      <c r="O245" s="95" t="n"/>
      <c r="P245" s="95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  <c r="Z245" s="46" t="n"/>
    </row>
    <row r="246" ht="12.75" customHeight="1">
      <c r="A246" s="100" t="n"/>
      <c r="B246" s="101" t="n"/>
      <c r="C246" s="102" t="n"/>
      <c r="D246" s="99" t="n"/>
      <c r="E246" s="95" t="n"/>
      <c r="F246" s="95" t="n"/>
      <c r="G246" s="94" t="n"/>
      <c r="H246" s="46" t="n"/>
      <c r="I246" s="46" t="n"/>
      <c r="J246" s="46" t="n"/>
      <c r="K246" s="46" t="n"/>
      <c r="L246" s="95" t="n"/>
      <c r="M246" s="95" t="n"/>
      <c r="N246" s="95" t="n"/>
      <c r="O246" s="95" t="n"/>
      <c r="P246" s="95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  <c r="Z246" s="46" t="n"/>
    </row>
    <row r="247" ht="12.75" customHeight="1">
      <c r="A247" s="100" t="n"/>
      <c r="B247" s="101" t="n"/>
      <c r="C247" s="102" t="n"/>
      <c r="D247" s="99" t="n"/>
      <c r="E247" s="95" t="n"/>
      <c r="F247" s="95" t="n"/>
      <c r="G247" s="94" t="n"/>
      <c r="H247" s="46" t="n"/>
      <c r="I247" s="46" t="n"/>
      <c r="J247" s="46" t="n"/>
      <c r="K247" s="46" t="n"/>
      <c r="L247" s="95" t="n"/>
      <c r="M247" s="95" t="n"/>
      <c r="N247" s="95" t="n"/>
      <c r="O247" s="95" t="n"/>
      <c r="P247" s="95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  <c r="Z247" s="46" t="n"/>
    </row>
    <row r="248" ht="12.75" customHeight="1">
      <c r="A248" s="100" t="n"/>
      <c r="B248" s="101" t="n"/>
      <c r="C248" s="102" t="n"/>
      <c r="D248" s="99" t="n"/>
      <c r="E248" s="95" t="n"/>
      <c r="F248" s="95" t="n"/>
      <c r="G248" s="94" t="n"/>
      <c r="H248" s="46" t="n"/>
      <c r="I248" s="46" t="n"/>
      <c r="J248" s="46" t="n"/>
      <c r="K248" s="46" t="n"/>
      <c r="L248" s="95" t="n"/>
      <c r="M248" s="95" t="n"/>
      <c r="N248" s="95" t="n"/>
      <c r="O248" s="95" t="n"/>
      <c r="P248" s="95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  <c r="Z248" s="46" t="n"/>
    </row>
    <row r="249" ht="12.75" customHeight="1">
      <c r="A249" s="100" t="n"/>
      <c r="B249" s="101" t="n"/>
      <c r="C249" s="102" t="n"/>
      <c r="D249" s="99" t="n"/>
      <c r="E249" s="95" t="n"/>
      <c r="F249" s="95" t="n"/>
      <c r="G249" s="94" t="n"/>
      <c r="H249" s="46" t="n"/>
      <c r="I249" s="46" t="n"/>
      <c r="J249" s="46" t="n"/>
      <c r="K249" s="46" t="n"/>
      <c r="L249" s="95" t="n"/>
      <c r="M249" s="95" t="n"/>
      <c r="N249" s="95" t="n"/>
      <c r="O249" s="95" t="n"/>
      <c r="P249" s="95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  <c r="Z249" s="46" t="n"/>
    </row>
    <row r="250" ht="12.75" customHeight="1">
      <c r="A250" s="100" t="n"/>
      <c r="B250" s="101" t="n"/>
      <c r="C250" s="102" t="n"/>
      <c r="D250" s="99" t="n"/>
      <c r="E250" s="95" t="n"/>
      <c r="F250" s="95" t="n"/>
      <c r="G250" s="94" t="n"/>
      <c r="H250" s="46" t="n"/>
      <c r="I250" s="46" t="n"/>
      <c r="J250" s="46" t="n"/>
      <c r="K250" s="46" t="n"/>
      <c r="L250" s="95" t="n"/>
      <c r="M250" s="95" t="n"/>
      <c r="N250" s="95" t="n"/>
      <c r="O250" s="95" t="n"/>
      <c r="P250" s="95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  <c r="Z250" s="46" t="n"/>
    </row>
    <row r="251" ht="12.75" customHeight="1">
      <c r="A251" s="100" t="n"/>
      <c r="B251" s="101" t="n"/>
      <c r="C251" s="102" t="n"/>
      <c r="D251" s="99" t="n"/>
      <c r="E251" s="95" t="n"/>
      <c r="F251" s="95" t="n"/>
      <c r="G251" s="94" t="n"/>
      <c r="H251" s="46" t="n"/>
      <c r="I251" s="46" t="n"/>
      <c r="J251" s="46" t="n"/>
      <c r="K251" s="46" t="n"/>
      <c r="L251" s="95" t="n"/>
      <c r="M251" s="95" t="n"/>
      <c r="N251" s="95" t="n"/>
      <c r="O251" s="95" t="n"/>
      <c r="P251" s="95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  <c r="Z251" s="46" t="n"/>
    </row>
    <row r="252" ht="12.75" customHeight="1">
      <c r="A252" s="100" t="n"/>
      <c r="B252" s="101" t="n"/>
      <c r="C252" s="102" t="n"/>
      <c r="D252" s="99" t="n"/>
      <c r="E252" s="95" t="n"/>
      <c r="F252" s="95" t="n"/>
      <c r="G252" s="94" t="n"/>
      <c r="H252" s="46" t="n"/>
      <c r="I252" s="46" t="n"/>
      <c r="J252" s="46" t="n"/>
      <c r="K252" s="46" t="n"/>
      <c r="L252" s="95" t="n"/>
      <c r="M252" s="95" t="n"/>
      <c r="N252" s="95" t="n"/>
      <c r="O252" s="95" t="n"/>
      <c r="P252" s="95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  <c r="Z252" s="46" t="n"/>
    </row>
    <row r="253" ht="12.75" customHeight="1">
      <c r="A253" s="100" t="n"/>
      <c r="B253" s="101" t="n"/>
      <c r="C253" s="102" t="n"/>
      <c r="D253" s="99" t="n"/>
      <c r="E253" s="95" t="n"/>
      <c r="F253" s="95" t="n"/>
      <c r="G253" s="94" t="n"/>
      <c r="H253" s="46" t="n"/>
      <c r="I253" s="46" t="n"/>
      <c r="J253" s="46" t="n"/>
      <c r="K253" s="46" t="n"/>
      <c r="L253" s="95" t="n"/>
      <c r="M253" s="95" t="n"/>
      <c r="N253" s="95" t="n"/>
      <c r="O253" s="95" t="n"/>
      <c r="P253" s="95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  <c r="Z253" s="46" t="n"/>
    </row>
    <row r="254" ht="12.75" customHeight="1">
      <c r="A254" s="100" t="n"/>
      <c r="B254" s="101" t="n"/>
      <c r="C254" s="102" t="n"/>
      <c r="D254" s="99" t="n"/>
      <c r="E254" s="95" t="n"/>
      <c r="F254" s="95" t="n"/>
      <c r="G254" s="94" t="n"/>
      <c r="H254" s="46" t="n"/>
      <c r="I254" s="46" t="n"/>
      <c r="J254" s="46" t="n"/>
      <c r="K254" s="46" t="n"/>
      <c r="L254" s="95" t="n"/>
      <c r="M254" s="95" t="n"/>
      <c r="N254" s="95" t="n"/>
      <c r="O254" s="95" t="n"/>
      <c r="P254" s="95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  <c r="Z254" s="46" t="n"/>
    </row>
    <row r="255" ht="12.75" customHeight="1">
      <c r="A255" s="100" t="n"/>
      <c r="B255" s="101" t="n"/>
      <c r="C255" s="102" t="n"/>
      <c r="D255" s="99" t="n"/>
      <c r="E255" s="95" t="n"/>
      <c r="F255" s="95" t="n"/>
      <c r="G255" s="94" t="n"/>
      <c r="H255" s="46" t="n"/>
      <c r="I255" s="46" t="n"/>
      <c r="J255" s="46" t="n"/>
      <c r="K255" s="46" t="n"/>
      <c r="L255" s="95" t="n"/>
      <c r="M255" s="95" t="n"/>
      <c r="N255" s="95" t="n"/>
      <c r="O255" s="95" t="n"/>
      <c r="P255" s="95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  <c r="Z255" s="46" t="n"/>
    </row>
    <row r="256" ht="12.75" customHeight="1">
      <c r="A256" s="100" t="n"/>
      <c r="B256" s="101" t="n"/>
      <c r="C256" s="102" t="n"/>
      <c r="D256" s="99" t="n"/>
      <c r="E256" s="95" t="n"/>
      <c r="F256" s="95" t="n"/>
      <c r="G256" s="94" t="n"/>
      <c r="H256" s="46" t="n"/>
      <c r="I256" s="46" t="n"/>
      <c r="J256" s="46" t="n"/>
      <c r="K256" s="46" t="n"/>
      <c r="L256" s="95" t="n"/>
      <c r="M256" s="95" t="n"/>
      <c r="N256" s="95" t="n"/>
      <c r="O256" s="95" t="n"/>
      <c r="P256" s="95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  <c r="Z256" s="46" t="n"/>
    </row>
    <row r="257" ht="12.75" customHeight="1">
      <c r="A257" s="100" t="n"/>
      <c r="B257" s="101" t="n"/>
      <c r="C257" s="102" t="n"/>
      <c r="D257" s="99" t="n"/>
      <c r="E257" s="95" t="n"/>
      <c r="F257" s="95" t="n"/>
      <c r="G257" s="94" t="n"/>
      <c r="H257" s="46" t="n"/>
      <c r="I257" s="46" t="n"/>
      <c r="J257" s="46" t="n"/>
      <c r="K257" s="46" t="n"/>
      <c r="L257" s="95" t="n"/>
      <c r="M257" s="95" t="n"/>
      <c r="N257" s="95" t="n"/>
      <c r="O257" s="95" t="n"/>
      <c r="P257" s="95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  <c r="Z257" s="46" t="n"/>
    </row>
    <row r="258" ht="12.75" customHeight="1">
      <c r="A258" s="100" t="n"/>
      <c r="B258" s="101" t="n"/>
      <c r="C258" s="102" t="n"/>
      <c r="D258" s="99" t="n"/>
      <c r="E258" s="95" t="n"/>
      <c r="F258" s="95" t="n"/>
      <c r="G258" s="94" t="n"/>
      <c r="H258" s="46" t="n"/>
      <c r="I258" s="46" t="n"/>
      <c r="J258" s="46" t="n"/>
      <c r="K258" s="46" t="n"/>
      <c r="L258" s="95" t="n"/>
      <c r="M258" s="95" t="n"/>
      <c r="N258" s="95" t="n"/>
      <c r="O258" s="95" t="n"/>
      <c r="P258" s="95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  <c r="Z258" s="46" t="n"/>
    </row>
    <row r="259" ht="12.75" customHeight="1">
      <c r="A259" s="100" t="n"/>
      <c r="B259" s="101" t="n"/>
      <c r="C259" s="102" t="n"/>
      <c r="D259" s="99" t="n"/>
      <c r="E259" s="95" t="n"/>
      <c r="F259" s="95" t="n"/>
      <c r="G259" s="94" t="n"/>
      <c r="H259" s="46" t="n"/>
      <c r="I259" s="46" t="n"/>
      <c r="J259" s="46" t="n"/>
      <c r="K259" s="46" t="n"/>
      <c r="L259" s="95" t="n"/>
      <c r="M259" s="95" t="n"/>
      <c r="N259" s="95" t="n"/>
      <c r="O259" s="95" t="n"/>
      <c r="P259" s="95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  <c r="Z259" s="46" t="n"/>
    </row>
    <row r="260" ht="12.75" customHeight="1">
      <c r="A260" s="100" t="n"/>
      <c r="B260" s="101" t="n"/>
      <c r="C260" s="102" t="n"/>
      <c r="D260" s="99" t="n"/>
      <c r="E260" s="95" t="n"/>
      <c r="F260" s="95" t="n"/>
      <c r="G260" s="94" t="n"/>
      <c r="H260" s="46" t="n"/>
      <c r="I260" s="46" t="n"/>
      <c r="J260" s="46" t="n"/>
      <c r="K260" s="46" t="n"/>
      <c r="L260" s="95" t="n"/>
      <c r="M260" s="95" t="n"/>
      <c r="N260" s="95" t="n"/>
      <c r="O260" s="95" t="n"/>
      <c r="P260" s="95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  <c r="Z260" s="46" t="n"/>
    </row>
    <row r="261" ht="12.75" customHeight="1">
      <c r="A261" s="100" t="n"/>
      <c r="B261" s="101" t="n"/>
      <c r="C261" s="102" t="n"/>
      <c r="D261" s="99" t="n"/>
      <c r="E261" s="95" t="n"/>
      <c r="F261" s="95" t="n"/>
      <c r="G261" s="94" t="n"/>
      <c r="H261" s="46" t="n"/>
      <c r="I261" s="46" t="n"/>
      <c r="J261" s="46" t="n"/>
      <c r="K261" s="46" t="n"/>
      <c r="L261" s="95" t="n"/>
      <c r="M261" s="95" t="n"/>
      <c r="N261" s="95" t="n"/>
      <c r="O261" s="95" t="n"/>
      <c r="P261" s="95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  <c r="Z261" s="46" t="n"/>
    </row>
    <row r="262" ht="12.75" customHeight="1">
      <c r="A262" s="100" t="n"/>
      <c r="B262" s="101" t="n"/>
      <c r="C262" s="102" t="n"/>
      <c r="D262" s="99" t="n"/>
      <c r="E262" s="95" t="n"/>
      <c r="F262" s="95" t="n"/>
      <c r="G262" s="94" t="n"/>
      <c r="H262" s="46" t="n"/>
      <c r="I262" s="46" t="n"/>
      <c r="J262" s="46" t="n"/>
      <c r="K262" s="46" t="n"/>
      <c r="L262" s="95" t="n"/>
      <c r="M262" s="95" t="n"/>
      <c r="N262" s="95" t="n"/>
      <c r="O262" s="95" t="n"/>
      <c r="P262" s="95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  <c r="Z262" s="46" t="n"/>
    </row>
    <row r="263" ht="12.75" customHeight="1">
      <c r="A263" s="100" t="n"/>
      <c r="B263" s="101" t="n"/>
      <c r="C263" s="102" t="n"/>
      <c r="D263" s="99" t="n"/>
      <c r="E263" s="95" t="n"/>
      <c r="F263" s="95" t="n"/>
      <c r="G263" s="94" t="n"/>
      <c r="H263" s="46" t="n"/>
      <c r="I263" s="46" t="n"/>
      <c r="J263" s="46" t="n"/>
      <c r="K263" s="46" t="n"/>
      <c r="L263" s="95" t="n"/>
      <c r="M263" s="95" t="n"/>
      <c r="N263" s="95" t="n"/>
      <c r="O263" s="95" t="n"/>
      <c r="P263" s="95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  <c r="Z263" s="46" t="n"/>
    </row>
    <row r="264" ht="12.75" customHeight="1">
      <c r="A264" s="100" t="n"/>
      <c r="B264" s="101" t="n"/>
      <c r="C264" s="102" t="n"/>
      <c r="D264" s="99" t="n"/>
      <c r="E264" s="95" t="n"/>
      <c r="F264" s="95" t="n"/>
      <c r="G264" s="94" t="n"/>
      <c r="H264" s="46" t="n"/>
      <c r="I264" s="46" t="n"/>
      <c r="J264" s="46" t="n"/>
      <c r="K264" s="46" t="n"/>
      <c r="L264" s="95" t="n"/>
      <c r="M264" s="95" t="n"/>
      <c r="N264" s="95" t="n"/>
      <c r="O264" s="95" t="n"/>
      <c r="P264" s="95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  <c r="Z264" s="46" t="n"/>
    </row>
    <row r="265" ht="12.75" customHeight="1">
      <c r="A265" s="100" t="n"/>
      <c r="B265" s="101" t="n"/>
      <c r="C265" s="102" t="n"/>
      <c r="D265" s="99" t="n"/>
      <c r="E265" s="95" t="n"/>
      <c r="F265" s="95" t="n"/>
      <c r="G265" s="94" t="n"/>
      <c r="H265" s="46" t="n"/>
      <c r="I265" s="46" t="n"/>
      <c r="J265" s="46" t="n"/>
      <c r="K265" s="46" t="n"/>
      <c r="L265" s="95" t="n"/>
      <c r="M265" s="95" t="n"/>
      <c r="N265" s="95" t="n"/>
      <c r="O265" s="95" t="n"/>
      <c r="P265" s="95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  <c r="Z265" s="46" t="n"/>
    </row>
    <row r="266" ht="12.75" customHeight="1">
      <c r="A266" s="100" t="n"/>
      <c r="B266" s="101" t="n"/>
      <c r="C266" s="102" t="n"/>
      <c r="D266" s="99" t="n"/>
      <c r="E266" s="95" t="n"/>
      <c r="F266" s="95" t="n"/>
      <c r="G266" s="94" t="n"/>
      <c r="H266" s="46" t="n"/>
      <c r="I266" s="46" t="n"/>
      <c r="J266" s="46" t="n"/>
      <c r="K266" s="46" t="n"/>
      <c r="L266" s="95" t="n"/>
      <c r="M266" s="95" t="n"/>
      <c r="N266" s="95" t="n"/>
      <c r="O266" s="95" t="n"/>
      <c r="P266" s="95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  <c r="Z266" s="46" t="n"/>
    </row>
    <row r="267" ht="12.75" customHeight="1">
      <c r="A267" s="100" t="n"/>
      <c r="B267" s="101" t="n"/>
      <c r="C267" s="102" t="n"/>
      <c r="D267" s="99" t="n"/>
      <c r="E267" s="95" t="n"/>
      <c r="F267" s="95" t="n"/>
      <c r="G267" s="94" t="n"/>
      <c r="H267" s="46" t="n"/>
      <c r="I267" s="46" t="n"/>
      <c r="J267" s="46" t="n"/>
      <c r="K267" s="46" t="n"/>
      <c r="L267" s="95" t="n"/>
      <c r="M267" s="95" t="n"/>
      <c r="N267" s="95" t="n"/>
      <c r="O267" s="95" t="n"/>
      <c r="P267" s="95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  <c r="Z267" s="46" t="n"/>
    </row>
    <row r="268" ht="12.75" customHeight="1">
      <c r="A268" s="100" t="n"/>
      <c r="B268" s="101" t="n"/>
      <c r="C268" s="102" t="n"/>
      <c r="D268" s="99" t="n"/>
      <c r="E268" s="95" t="n"/>
      <c r="F268" s="95" t="n"/>
      <c r="G268" s="94" t="n"/>
      <c r="H268" s="46" t="n"/>
      <c r="I268" s="46" t="n"/>
      <c r="J268" s="46" t="n"/>
      <c r="K268" s="46" t="n"/>
      <c r="L268" s="95" t="n"/>
      <c r="M268" s="95" t="n"/>
      <c r="N268" s="95" t="n"/>
      <c r="O268" s="95" t="n"/>
      <c r="P268" s="95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  <c r="Z268" s="46" t="n"/>
    </row>
    <row r="269" ht="12.75" customHeight="1">
      <c r="A269" s="100" t="n"/>
      <c r="B269" s="101" t="n"/>
      <c r="C269" s="102" t="n"/>
      <c r="D269" s="99" t="n"/>
      <c r="E269" s="95" t="n"/>
      <c r="F269" s="95" t="n"/>
      <c r="G269" s="94" t="n"/>
      <c r="H269" s="46" t="n"/>
      <c r="I269" s="46" t="n"/>
      <c r="J269" s="46" t="n"/>
      <c r="K269" s="46" t="n"/>
      <c r="L269" s="95" t="n"/>
      <c r="M269" s="95" t="n"/>
      <c r="N269" s="95" t="n"/>
      <c r="O269" s="95" t="n"/>
      <c r="P269" s="95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  <c r="Z269" s="46" t="n"/>
    </row>
    <row r="270" ht="12.75" customHeight="1">
      <c r="A270" s="100" t="n"/>
      <c r="B270" s="101" t="n"/>
      <c r="C270" s="102" t="n"/>
      <c r="D270" s="99" t="n"/>
      <c r="E270" s="95" t="n"/>
      <c r="F270" s="95" t="n"/>
      <c r="G270" s="94" t="n"/>
      <c r="H270" s="46" t="n"/>
      <c r="I270" s="46" t="n"/>
      <c r="J270" s="46" t="n"/>
      <c r="K270" s="46" t="n"/>
      <c r="L270" s="95" t="n"/>
      <c r="M270" s="95" t="n"/>
      <c r="N270" s="95" t="n"/>
      <c r="O270" s="95" t="n"/>
      <c r="P270" s="95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  <c r="Z270" s="46" t="n"/>
    </row>
    <row r="271" ht="12.75" customHeight="1">
      <c r="A271" s="100" t="n"/>
      <c r="B271" s="101" t="n"/>
      <c r="C271" s="102" t="n"/>
      <c r="D271" s="99" t="n"/>
      <c r="E271" s="95" t="n"/>
      <c r="F271" s="95" t="n"/>
      <c r="G271" s="94" t="n"/>
      <c r="H271" s="46" t="n"/>
      <c r="I271" s="46" t="n"/>
      <c r="J271" s="46" t="n"/>
      <c r="K271" s="46" t="n"/>
      <c r="L271" s="95" t="n"/>
      <c r="M271" s="95" t="n"/>
      <c r="N271" s="95" t="n"/>
      <c r="O271" s="95" t="n"/>
      <c r="P271" s="95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  <c r="Z271" s="46" t="n"/>
    </row>
    <row r="272" ht="12.75" customHeight="1">
      <c r="A272" s="100" t="n"/>
      <c r="B272" s="101" t="n"/>
      <c r="C272" s="102" t="n"/>
      <c r="D272" s="99" t="n"/>
      <c r="E272" s="95" t="n"/>
      <c r="F272" s="95" t="n"/>
      <c r="G272" s="94" t="n"/>
      <c r="H272" s="46" t="n"/>
      <c r="I272" s="46" t="n"/>
      <c r="J272" s="46" t="n"/>
      <c r="K272" s="46" t="n"/>
      <c r="L272" s="95" t="n"/>
      <c r="M272" s="95" t="n"/>
      <c r="N272" s="95" t="n"/>
      <c r="O272" s="95" t="n"/>
      <c r="P272" s="95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  <c r="Z272" s="46" t="n"/>
    </row>
    <row r="273" ht="12.75" customHeight="1">
      <c r="A273" s="100" t="n"/>
      <c r="B273" s="101" t="n"/>
      <c r="C273" s="102" t="n"/>
      <c r="D273" s="99" t="n"/>
      <c r="E273" s="95" t="n"/>
      <c r="F273" s="95" t="n"/>
      <c r="G273" s="94" t="n"/>
      <c r="H273" s="46" t="n"/>
      <c r="I273" s="46" t="n"/>
      <c r="J273" s="46" t="n"/>
      <c r="K273" s="46" t="n"/>
      <c r="L273" s="95" t="n"/>
      <c r="M273" s="95" t="n"/>
      <c r="N273" s="95" t="n"/>
      <c r="O273" s="95" t="n"/>
      <c r="P273" s="95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  <c r="Z273" s="46" t="n"/>
    </row>
    <row r="274" ht="12.75" customHeight="1">
      <c r="A274" s="100" t="n"/>
      <c r="B274" s="101" t="n"/>
      <c r="C274" s="102" t="n"/>
      <c r="D274" s="99" t="n"/>
      <c r="E274" s="95" t="n"/>
      <c r="F274" s="95" t="n"/>
      <c r="G274" s="94" t="n"/>
      <c r="H274" s="46" t="n"/>
      <c r="I274" s="46" t="n"/>
      <c r="J274" s="46" t="n"/>
      <c r="K274" s="46" t="n"/>
      <c r="L274" s="95" t="n"/>
      <c r="M274" s="95" t="n"/>
      <c r="N274" s="95" t="n"/>
      <c r="O274" s="95" t="n"/>
      <c r="P274" s="95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  <c r="Z274" s="46" t="n"/>
    </row>
    <row r="275" ht="12.75" customHeight="1">
      <c r="A275" s="100" t="n"/>
      <c r="B275" s="101" t="n"/>
      <c r="C275" s="102" t="n"/>
      <c r="D275" s="99" t="n"/>
      <c r="E275" s="95" t="n"/>
      <c r="F275" s="95" t="n"/>
      <c r="G275" s="94" t="n"/>
      <c r="H275" s="46" t="n"/>
      <c r="I275" s="46" t="n"/>
      <c r="J275" s="46" t="n"/>
      <c r="K275" s="46" t="n"/>
      <c r="L275" s="95" t="n"/>
      <c r="M275" s="95" t="n"/>
      <c r="N275" s="95" t="n"/>
      <c r="O275" s="95" t="n"/>
      <c r="P275" s="95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  <c r="Z275" s="46" t="n"/>
    </row>
    <row r="276" ht="12.75" customHeight="1">
      <c r="A276" s="100" t="n"/>
      <c r="B276" s="101" t="n"/>
      <c r="C276" s="102" t="n"/>
      <c r="D276" s="99" t="n"/>
      <c r="E276" s="95" t="n"/>
      <c r="F276" s="95" t="n"/>
      <c r="G276" s="94" t="n"/>
      <c r="H276" s="46" t="n"/>
      <c r="I276" s="46" t="n"/>
      <c r="J276" s="46" t="n"/>
      <c r="K276" s="46" t="n"/>
      <c r="L276" s="95" t="n"/>
      <c r="M276" s="95" t="n"/>
      <c r="N276" s="95" t="n"/>
      <c r="O276" s="95" t="n"/>
      <c r="P276" s="95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  <c r="Z276" s="46" t="n"/>
    </row>
    <row r="277" ht="12.75" customHeight="1">
      <c r="A277" s="100" t="n"/>
      <c r="B277" s="101" t="n"/>
      <c r="C277" s="102" t="n"/>
      <c r="D277" s="99" t="n"/>
      <c r="E277" s="95" t="n"/>
      <c r="F277" s="95" t="n"/>
      <c r="G277" s="94" t="n"/>
      <c r="H277" s="46" t="n"/>
      <c r="I277" s="46" t="n"/>
      <c r="J277" s="46" t="n"/>
      <c r="K277" s="46" t="n"/>
      <c r="L277" s="95" t="n"/>
      <c r="M277" s="95" t="n"/>
      <c r="N277" s="95" t="n"/>
      <c r="O277" s="95" t="n"/>
      <c r="P277" s="95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  <c r="Z277" s="46" t="n"/>
    </row>
    <row r="278" ht="12.75" customHeight="1">
      <c r="A278" s="100" t="n"/>
      <c r="B278" s="101" t="n"/>
      <c r="C278" s="102" t="n"/>
      <c r="D278" s="99" t="n"/>
      <c r="E278" s="95" t="n"/>
      <c r="F278" s="95" t="n"/>
      <c r="G278" s="94" t="n"/>
      <c r="H278" s="46" t="n"/>
      <c r="I278" s="46" t="n"/>
      <c r="J278" s="46" t="n"/>
      <c r="K278" s="46" t="n"/>
      <c r="L278" s="95" t="n"/>
      <c r="M278" s="95" t="n"/>
      <c r="N278" s="95" t="n"/>
      <c r="O278" s="95" t="n"/>
      <c r="P278" s="95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  <c r="Z278" s="46" t="n"/>
    </row>
    <row r="279" ht="12.75" customHeight="1">
      <c r="A279" s="100" t="n"/>
      <c r="B279" s="101" t="n"/>
      <c r="C279" s="102" t="n"/>
      <c r="D279" s="99" t="n"/>
      <c r="E279" s="95" t="n"/>
      <c r="F279" s="95" t="n"/>
      <c r="G279" s="94" t="n"/>
      <c r="H279" s="46" t="n"/>
      <c r="I279" s="46" t="n"/>
      <c r="J279" s="46" t="n"/>
      <c r="K279" s="46" t="n"/>
      <c r="L279" s="95" t="n"/>
      <c r="M279" s="95" t="n"/>
      <c r="N279" s="95" t="n"/>
      <c r="O279" s="95" t="n"/>
      <c r="P279" s="95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  <c r="Z279" s="46" t="n"/>
    </row>
    <row r="280" ht="12.75" customHeight="1">
      <c r="A280" s="100" t="n"/>
      <c r="B280" s="101" t="n"/>
      <c r="C280" s="102" t="n"/>
      <c r="D280" s="99" t="n"/>
      <c r="E280" s="95" t="n"/>
      <c r="F280" s="95" t="n"/>
      <c r="G280" s="94" t="n"/>
      <c r="H280" s="46" t="n"/>
      <c r="I280" s="46" t="n"/>
      <c r="J280" s="46" t="n"/>
      <c r="K280" s="46" t="n"/>
      <c r="L280" s="95" t="n"/>
      <c r="M280" s="95" t="n"/>
      <c r="N280" s="95" t="n"/>
      <c r="O280" s="95" t="n"/>
      <c r="P280" s="95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  <c r="Z280" s="46" t="n"/>
    </row>
    <row r="281" ht="12.75" customHeight="1">
      <c r="A281" s="100" t="n"/>
      <c r="B281" s="101" t="n"/>
      <c r="C281" s="102" t="n"/>
      <c r="D281" s="99" t="n"/>
      <c r="E281" s="95" t="n"/>
      <c r="F281" s="95" t="n"/>
      <c r="G281" s="94" t="n"/>
      <c r="H281" s="46" t="n"/>
      <c r="I281" s="46" t="n"/>
      <c r="J281" s="46" t="n"/>
      <c r="K281" s="46" t="n"/>
      <c r="L281" s="95" t="n"/>
      <c r="M281" s="95" t="n"/>
      <c r="N281" s="95" t="n"/>
      <c r="O281" s="95" t="n"/>
      <c r="P281" s="95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  <c r="Z281" s="46" t="n"/>
    </row>
    <row r="282" ht="12.75" customHeight="1">
      <c r="A282" s="100" t="n"/>
      <c r="B282" s="101" t="n"/>
      <c r="C282" s="102" t="n"/>
      <c r="D282" s="99" t="n"/>
      <c r="E282" s="95" t="n"/>
      <c r="F282" s="95" t="n"/>
      <c r="G282" s="94" t="n"/>
      <c r="H282" s="46" t="n"/>
      <c r="I282" s="46" t="n"/>
      <c r="J282" s="46" t="n"/>
      <c r="K282" s="46" t="n"/>
      <c r="L282" s="95" t="n"/>
      <c r="M282" s="95" t="n"/>
      <c r="N282" s="95" t="n"/>
      <c r="O282" s="95" t="n"/>
      <c r="P282" s="95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  <c r="Z282" s="46" t="n"/>
    </row>
    <row r="283" ht="12.75" customHeight="1">
      <c r="A283" s="100" t="n"/>
      <c r="B283" s="101" t="n"/>
      <c r="C283" s="102" t="n"/>
      <c r="D283" s="99" t="n"/>
      <c r="E283" s="95" t="n"/>
      <c r="F283" s="95" t="n"/>
      <c r="G283" s="94" t="n"/>
      <c r="H283" s="46" t="n"/>
      <c r="I283" s="46" t="n"/>
      <c r="J283" s="46" t="n"/>
      <c r="K283" s="46" t="n"/>
      <c r="L283" s="95" t="n"/>
      <c r="M283" s="95" t="n"/>
      <c r="N283" s="95" t="n"/>
      <c r="O283" s="95" t="n"/>
      <c r="P283" s="95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  <c r="Z283" s="46" t="n"/>
    </row>
    <row r="284" ht="12.75" customHeight="1">
      <c r="A284" s="100" t="n"/>
      <c r="B284" s="101" t="n"/>
      <c r="C284" s="102" t="n"/>
      <c r="D284" s="99" t="n"/>
      <c r="E284" s="95" t="n"/>
      <c r="F284" s="95" t="n"/>
      <c r="G284" s="94" t="n"/>
      <c r="H284" s="46" t="n"/>
      <c r="I284" s="46" t="n"/>
      <c r="J284" s="46" t="n"/>
      <c r="K284" s="46" t="n"/>
      <c r="L284" s="95" t="n"/>
      <c r="M284" s="95" t="n"/>
      <c r="N284" s="95" t="n"/>
      <c r="O284" s="95" t="n"/>
      <c r="P284" s="95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  <c r="Z284" s="46" t="n"/>
    </row>
    <row r="285" ht="12.75" customHeight="1">
      <c r="A285" s="100" t="n"/>
      <c r="B285" s="101" t="n"/>
      <c r="C285" s="102" t="n"/>
      <c r="D285" s="99" t="n"/>
      <c r="E285" s="95" t="n"/>
      <c r="F285" s="95" t="n"/>
      <c r="G285" s="94" t="n"/>
      <c r="H285" s="46" t="n"/>
      <c r="I285" s="46" t="n"/>
      <c r="J285" s="46" t="n"/>
      <c r="K285" s="46" t="n"/>
      <c r="L285" s="95" t="n"/>
      <c r="M285" s="95" t="n"/>
      <c r="N285" s="95" t="n"/>
      <c r="O285" s="95" t="n"/>
      <c r="P285" s="95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  <c r="Z285" s="46" t="n"/>
    </row>
    <row r="286" ht="12.75" customHeight="1">
      <c r="A286" s="100" t="n"/>
      <c r="B286" s="101" t="n"/>
      <c r="C286" s="102" t="n"/>
      <c r="D286" s="99" t="n"/>
      <c r="E286" s="95" t="n"/>
      <c r="F286" s="95" t="n"/>
      <c r="G286" s="94" t="n"/>
      <c r="H286" s="46" t="n"/>
      <c r="I286" s="46" t="n"/>
      <c r="J286" s="46" t="n"/>
      <c r="K286" s="46" t="n"/>
      <c r="L286" s="95" t="n"/>
      <c r="M286" s="95" t="n"/>
      <c r="N286" s="95" t="n"/>
      <c r="O286" s="95" t="n"/>
      <c r="P286" s="95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  <c r="Z286" s="46" t="n"/>
    </row>
    <row r="287" ht="12.75" customHeight="1">
      <c r="A287" s="100" t="n"/>
      <c r="B287" s="101" t="n"/>
      <c r="C287" s="102" t="n"/>
      <c r="D287" s="99" t="n"/>
      <c r="E287" s="95" t="n"/>
      <c r="F287" s="95" t="n"/>
      <c r="G287" s="94" t="n"/>
      <c r="H287" s="46" t="n"/>
      <c r="I287" s="46" t="n"/>
      <c r="J287" s="46" t="n"/>
      <c r="K287" s="46" t="n"/>
      <c r="L287" s="95" t="n"/>
      <c r="M287" s="95" t="n"/>
      <c r="N287" s="95" t="n"/>
      <c r="O287" s="95" t="n"/>
      <c r="P287" s="95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  <c r="Z287" s="46" t="n"/>
    </row>
    <row r="288" ht="12.75" customHeight="1">
      <c r="A288" s="100" t="n"/>
      <c r="B288" s="101" t="n"/>
      <c r="C288" s="102" t="n"/>
      <c r="D288" s="99" t="n"/>
      <c r="E288" s="95" t="n"/>
      <c r="F288" s="95" t="n"/>
      <c r="G288" s="94" t="n"/>
      <c r="H288" s="46" t="n"/>
      <c r="I288" s="46" t="n"/>
      <c r="J288" s="46" t="n"/>
      <c r="K288" s="46" t="n"/>
      <c r="L288" s="95" t="n"/>
      <c r="M288" s="95" t="n"/>
      <c r="N288" s="95" t="n"/>
      <c r="O288" s="95" t="n"/>
      <c r="P288" s="95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  <c r="Z288" s="46" t="n"/>
    </row>
    <row r="289" ht="12.75" customHeight="1">
      <c r="A289" s="100" t="n"/>
      <c r="B289" s="101" t="n"/>
      <c r="C289" s="102" t="n"/>
      <c r="D289" s="99" t="n"/>
      <c r="E289" s="95" t="n"/>
      <c r="F289" s="95" t="n"/>
      <c r="G289" s="94" t="n"/>
      <c r="H289" s="46" t="n"/>
      <c r="I289" s="46" t="n"/>
      <c r="J289" s="46" t="n"/>
      <c r="K289" s="46" t="n"/>
      <c r="L289" s="95" t="n"/>
      <c r="M289" s="95" t="n"/>
      <c r="N289" s="95" t="n"/>
      <c r="O289" s="95" t="n"/>
      <c r="P289" s="95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  <c r="Z289" s="46" t="n"/>
    </row>
    <row r="290" ht="12.75" customHeight="1">
      <c r="A290" s="100" t="n"/>
      <c r="B290" s="101" t="n"/>
      <c r="C290" s="102" t="n"/>
      <c r="D290" s="99" t="n"/>
      <c r="E290" s="95" t="n"/>
      <c r="F290" s="95" t="n"/>
      <c r="G290" s="94" t="n"/>
      <c r="H290" s="46" t="n"/>
      <c r="I290" s="46" t="n"/>
      <c r="J290" s="46" t="n"/>
      <c r="K290" s="46" t="n"/>
      <c r="L290" s="95" t="n"/>
      <c r="M290" s="95" t="n"/>
      <c r="N290" s="95" t="n"/>
      <c r="O290" s="95" t="n"/>
      <c r="P290" s="95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  <c r="Z290" s="46" t="n"/>
    </row>
    <row r="291" ht="12.75" customHeight="1">
      <c r="A291" s="100" t="n"/>
      <c r="B291" s="101" t="n"/>
      <c r="C291" s="102" t="n"/>
      <c r="D291" s="99" t="n"/>
      <c r="E291" s="95" t="n"/>
      <c r="F291" s="95" t="n"/>
      <c r="G291" s="94" t="n"/>
      <c r="H291" s="46" t="n"/>
      <c r="I291" s="46" t="n"/>
      <c r="J291" s="46" t="n"/>
      <c r="K291" s="46" t="n"/>
      <c r="L291" s="95" t="n"/>
      <c r="M291" s="95" t="n"/>
      <c r="N291" s="95" t="n"/>
      <c r="O291" s="95" t="n"/>
      <c r="P291" s="95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  <c r="Z291" s="46" t="n"/>
    </row>
    <row r="292" ht="12.75" customHeight="1">
      <c r="A292" s="100" t="n"/>
      <c r="B292" s="101" t="n"/>
      <c r="C292" s="102" t="n"/>
      <c r="D292" s="99" t="n"/>
      <c r="E292" s="95" t="n"/>
      <c r="F292" s="95" t="n"/>
      <c r="G292" s="94" t="n"/>
      <c r="H292" s="46" t="n"/>
      <c r="I292" s="46" t="n"/>
      <c r="J292" s="46" t="n"/>
      <c r="K292" s="46" t="n"/>
      <c r="L292" s="95" t="n"/>
      <c r="M292" s="95" t="n"/>
      <c r="N292" s="95" t="n"/>
      <c r="O292" s="95" t="n"/>
      <c r="P292" s="95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  <c r="Z292" s="46" t="n"/>
    </row>
    <row r="293" ht="12.75" customHeight="1">
      <c r="A293" s="100" t="n"/>
      <c r="B293" s="101" t="n"/>
      <c r="C293" s="102" t="n"/>
      <c r="D293" s="99" t="n"/>
      <c r="E293" s="95" t="n"/>
      <c r="F293" s="95" t="n"/>
      <c r="G293" s="94" t="n"/>
      <c r="H293" s="46" t="n"/>
      <c r="I293" s="46" t="n"/>
      <c r="J293" s="46" t="n"/>
      <c r="K293" s="46" t="n"/>
      <c r="L293" s="95" t="n"/>
      <c r="M293" s="95" t="n"/>
      <c r="N293" s="95" t="n"/>
      <c r="O293" s="95" t="n"/>
      <c r="P293" s="95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  <c r="Z293" s="46" t="n"/>
    </row>
    <row r="294" ht="12.75" customHeight="1">
      <c r="A294" s="100" t="n"/>
      <c r="B294" s="101" t="n"/>
      <c r="C294" s="102" t="n"/>
      <c r="D294" s="99" t="n"/>
      <c r="E294" s="95" t="n"/>
      <c r="F294" s="95" t="n"/>
      <c r="G294" s="94" t="n"/>
      <c r="H294" s="46" t="n"/>
      <c r="I294" s="46" t="n"/>
      <c r="J294" s="46" t="n"/>
      <c r="K294" s="46" t="n"/>
      <c r="L294" s="95" t="n"/>
      <c r="M294" s="95" t="n"/>
      <c r="N294" s="95" t="n"/>
      <c r="O294" s="95" t="n"/>
      <c r="P294" s="95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  <c r="Z294" s="46" t="n"/>
    </row>
    <row r="295" ht="12.75" customHeight="1">
      <c r="A295" s="100" t="n"/>
      <c r="B295" s="101" t="n"/>
      <c r="C295" s="102" t="n"/>
      <c r="D295" s="99" t="n"/>
      <c r="E295" s="95" t="n"/>
      <c r="F295" s="95" t="n"/>
      <c r="G295" s="94" t="n"/>
      <c r="H295" s="46" t="n"/>
      <c r="I295" s="46" t="n"/>
      <c r="J295" s="46" t="n"/>
      <c r="K295" s="46" t="n"/>
      <c r="L295" s="95" t="n"/>
      <c r="M295" s="95" t="n"/>
      <c r="N295" s="95" t="n"/>
      <c r="O295" s="95" t="n"/>
      <c r="P295" s="95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  <c r="Z295" s="46" t="n"/>
    </row>
    <row r="296" ht="12.75" customHeight="1">
      <c r="A296" s="100" t="n"/>
      <c r="B296" s="101" t="n"/>
      <c r="C296" s="102" t="n"/>
      <c r="D296" s="99" t="n"/>
      <c r="E296" s="95" t="n"/>
      <c r="F296" s="95" t="n"/>
      <c r="G296" s="94" t="n"/>
      <c r="H296" s="46" t="n"/>
      <c r="I296" s="46" t="n"/>
      <c r="J296" s="46" t="n"/>
      <c r="K296" s="46" t="n"/>
      <c r="L296" s="95" t="n"/>
      <c r="M296" s="95" t="n"/>
      <c r="N296" s="95" t="n"/>
      <c r="O296" s="95" t="n"/>
      <c r="P296" s="95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  <c r="Z296" s="46" t="n"/>
    </row>
    <row r="297" ht="12.75" customHeight="1">
      <c r="A297" s="100" t="n"/>
      <c r="B297" s="101" t="n"/>
      <c r="C297" s="102" t="n"/>
      <c r="D297" s="99" t="n"/>
      <c r="E297" s="95" t="n"/>
      <c r="F297" s="95" t="n"/>
      <c r="G297" s="94" t="n"/>
      <c r="H297" s="46" t="n"/>
      <c r="I297" s="46" t="n"/>
      <c r="J297" s="46" t="n"/>
      <c r="K297" s="46" t="n"/>
      <c r="L297" s="95" t="n"/>
      <c r="M297" s="95" t="n"/>
      <c r="N297" s="95" t="n"/>
      <c r="O297" s="95" t="n"/>
      <c r="P297" s="95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  <c r="Z297" s="46" t="n"/>
    </row>
    <row r="298" ht="12.75" customHeight="1">
      <c r="A298" s="100" t="n"/>
      <c r="B298" s="101" t="n"/>
      <c r="C298" s="102" t="n"/>
      <c r="D298" s="99" t="n"/>
      <c r="E298" s="95" t="n"/>
      <c r="F298" s="95" t="n"/>
      <c r="G298" s="94" t="n"/>
      <c r="H298" s="46" t="n"/>
      <c r="I298" s="46" t="n"/>
      <c r="J298" s="46" t="n"/>
      <c r="K298" s="46" t="n"/>
      <c r="L298" s="95" t="n"/>
      <c r="M298" s="95" t="n"/>
      <c r="N298" s="95" t="n"/>
      <c r="O298" s="95" t="n"/>
      <c r="P298" s="95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  <c r="Z298" s="46" t="n"/>
    </row>
    <row r="299" ht="12.75" customHeight="1">
      <c r="A299" s="100" t="n"/>
      <c r="B299" s="101" t="n"/>
      <c r="C299" s="102" t="n"/>
      <c r="D299" s="99" t="n"/>
      <c r="E299" s="95" t="n"/>
      <c r="F299" s="95" t="n"/>
      <c r="G299" s="94" t="n"/>
      <c r="H299" s="46" t="n"/>
      <c r="I299" s="46" t="n"/>
      <c r="J299" s="46" t="n"/>
      <c r="K299" s="46" t="n"/>
      <c r="L299" s="95" t="n"/>
      <c r="M299" s="95" t="n"/>
      <c r="N299" s="95" t="n"/>
      <c r="O299" s="95" t="n"/>
      <c r="P299" s="95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  <c r="Z299" s="46" t="n"/>
    </row>
    <row r="300" ht="12.75" customHeight="1">
      <c r="A300" s="100" t="n"/>
      <c r="B300" s="101" t="n"/>
      <c r="C300" s="102" t="n"/>
      <c r="D300" s="99" t="n"/>
      <c r="E300" s="95" t="n"/>
      <c r="F300" s="95" t="n"/>
      <c r="G300" s="94" t="n"/>
      <c r="H300" s="46" t="n"/>
      <c r="I300" s="46" t="n"/>
      <c r="J300" s="46" t="n"/>
      <c r="K300" s="46" t="n"/>
      <c r="L300" s="95" t="n"/>
      <c r="M300" s="95" t="n"/>
      <c r="N300" s="95" t="n"/>
      <c r="O300" s="95" t="n"/>
      <c r="P300" s="95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  <c r="Z300" s="46" t="n"/>
    </row>
    <row r="301" ht="12.75" customHeight="1">
      <c r="A301" s="100" t="n"/>
      <c r="B301" s="101" t="n"/>
      <c r="C301" s="102" t="n"/>
      <c r="D301" s="99" t="n"/>
      <c r="E301" s="95" t="n"/>
      <c r="F301" s="95" t="n"/>
      <c r="G301" s="94" t="n"/>
      <c r="H301" s="46" t="n"/>
      <c r="I301" s="46" t="n"/>
      <c r="J301" s="46" t="n"/>
      <c r="K301" s="46" t="n"/>
      <c r="L301" s="95" t="n"/>
      <c r="M301" s="95" t="n"/>
      <c r="N301" s="95" t="n"/>
      <c r="O301" s="95" t="n"/>
      <c r="P301" s="95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  <c r="Z301" s="46" t="n"/>
    </row>
    <row r="302" ht="12.75" customHeight="1">
      <c r="A302" s="100" t="n"/>
      <c r="B302" s="101" t="n"/>
      <c r="C302" s="102" t="n"/>
      <c r="D302" s="99" t="n"/>
      <c r="E302" s="95" t="n"/>
      <c r="F302" s="95" t="n"/>
      <c r="G302" s="94" t="n"/>
      <c r="H302" s="46" t="n"/>
      <c r="I302" s="46" t="n"/>
      <c r="J302" s="46" t="n"/>
      <c r="K302" s="46" t="n"/>
      <c r="L302" s="95" t="n"/>
      <c r="M302" s="95" t="n"/>
      <c r="N302" s="95" t="n"/>
      <c r="O302" s="95" t="n"/>
      <c r="P302" s="95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  <c r="Z302" s="46" t="n"/>
    </row>
    <row r="303" ht="12.75" customHeight="1">
      <c r="A303" s="100" t="n"/>
      <c r="B303" s="101" t="n"/>
      <c r="C303" s="102" t="n"/>
      <c r="D303" s="99" t="n"/>
      <c r="E303" s="95" t="n"/>
      <c r="F303" s="95" t="n"/>
      <c r="G303" s="94" t="n"/>
      <c r="H303" s="46" t="n"/>
      <c r="I303" s="46" t="n"/>
      <c r="J303" s="46" t="n"/>
      <c r="K303" s="46" t="n"/>
      <c r="L303" s="95" t="n"/>
      <c r="M303" s="95" t="n"/>
      <c r="N303" s="95" t="n"/>
      <c r="O303" s="95" t="n"/>
      <c r="P303" s="95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  <c r="Z303" s="46" t="n"/>
    </row>
    <row r="304" ht="12.75" customHeight="1">
      <c r="A304" s="100" t="n"/>
      <c r="B304" s="101" t="n"/>
      <c r="C304" s="102" t="n"/>
      <c r="D304" s="99" t="n"/>
      <c r="E304" s="95" t="n"/>
      <c r="F304" s="95" t="n"/>
      <c r="G304" s="94" t="n"/>
      <c r="H304" s="46" t="n"/>
      <c r="I304" s="46" t="n"/>
      <c r="J304" s="46" t="n"/>
      <c r="K304" s="46" t="n"/>
      <c r="L304" s="95" t="n"/>
      <c r="M304" s="95" t="n"/>
      <c r="N304" s="95" t="n"/>
      <c r="O304" s="95" t="n"/>
      <c r="P304" s="95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  <c r="Z304" s="46" t="n"/>
    </row>
    <row r="305" ht="12.75" customHeight="1">
      <c r="A305" s="100" t="n"/>
      <c r="B305" s="101" t="n"/>
      <c r="C305" s="102" t="n"/>
      <c r="D305" s="99" t="n"/>
      <c r="E305" s="95" t="n"/>
      <c r="F305" s="95" t="n"/>
      <c r="G305" s="94" t="n"/>
      <c r="H305" s="46" t="n"/>
      <c r="I305" s="46" t="n"/>
      <c r="J305" s="46" t="n"/>
      <c r="K305" s="46" t="n"/>
      <c r="L305" s="95" t="n"/>
      <c r="M305" s="95" t="n"/>
      <c r="N305" s="95" t="n"/>
      <c r="O305" s="95" t="n"/>
      <c r="P305" s="95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  <c r="Z305" s="46" t="n"/>
    </row>
    <row r="306" ht="12.75" customHeight="1">
      <c r="A306" s="100" t="n"/>
      <c r="B306" s="101" t="n"/>
      <c r="C306" s="102" t="n"/>
      <c r="D306" s="99" t="n"/>
      <c r="E306" s="95" t="n"/>
      <c r="F306" s="95" t="n"/>
      <c r="G306" s="94" t="n"/>
      <c r="H306" s="46" t="n"/>
      <c r="I306" s="46" t="n"/>
      <c r="J306" s="46" t="n"/>
      <c r="K306" s="46" t="n"/>
      <c r="L306" s="95" t="n"/>
      <c r="M306" s="95" t="n"/>
      <c r="N306" s="95" t="n"/>
      <c r="O306" s="95" t="n"/>
      <c r="P306" s="95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  <c r="Z306" s="46" t="n"/>
    </row>
    <row r="307" ht="12.75" customHeight="1">
      <c r="A307" s="100" t="n"/>
      <c r="B307" s="101" t="n"/>
      <c r="C307" s="102" t="n"/>
      <c r="D307" s="99" t="n"/>
      <c r="E307" s="95" t="n"/>
      <c r="F307" s="95" t="n"/>
      <c r="G307" s="94" t="n"/>
      <c r="H307" s="46" t="n"/>
      <c r="I307" s="46" t="n"/>
      <c r="J307" s="46" t="n"/>
      <c r="K307" s="46" t="n"/>
      <c r="L307" s="95" t="n"/>
      <c r="M307" s="95" t="n"/>
      <c r="N307" s="95" t="n"/>
      <c r="O307" s="95" t="n"/>
      <c r="P307" s="95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  <c r="Z307" s="46" t="n"/>
    </row>
    <row r="308" ht="12.75" customHeight="1">
      <c r="A308" s="100" t="n"/>
      <c r="B308" s="101" t="n"/>
      <c r="C308" s="102" t="n"/>
      <c r="D308" s="99" t="n"/>
      <c r="E308" s="95" t="n"/>
      <c r="F308" s="95" t="n"/>
      <c r="G308" s="94" t="n"/>
      <c r="H308" s="46" t="n"/>
      <c r="I308" s="46" t="n"/>
      <c r="J308" s="46" t="n"/>
      <c r="K308" s="46" t="n"/>
      <c r="L308" s="95" t="n"/>
      <c r="M308" s="95" t="n"/>
      <c r="N308" s="95" t="n"/>
      <c r="O308" s="95" t="n"/>
      <c r="P308" s="95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  <c r="Z308" s="46" t="n"/>
    </row>
    <row r="309" ht="12.75" customHeight="1">
      <c r="A309" s="100" t="n"/>
      <c r="B309" s="101" t="n"/>
      <c r="C309" s="102" t="n"/>
      <c r="D309" s="99" t="n"/>
      <c r="E309" s="95" t="n"/>
      <c r="F309" s="95" t="n"/>
      <c r="G309" s="94" t="n"/>
      <c r="H309" s="46" t="n"/>
      <c r="I309" s="46" t="n"/>
      <c r="J309" s="46" t="n"/>
      <c r="K309" s="46" t="n"/>
      <c r="L309" s="95" t="n"/>
      <c r="M309" s="95" t="n"/>
      <c r="N309" s="95" t="n"/>
      <c r="O309" s="95" t="n"/>
      <c r="P309" s="95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  <c r="Z309" s="46" t="n"/>
    </row>
    <row r="310" ht="12.75" customHeight="1">
      <c r="A310" s="100" t="n"/>
      <c r="B310" s="101" t="n"/>
      <c r="C310" s="102" t="n"/>
      <c r="D310" s="99" t="n"/>
      <c r="E310" s="95" t="n"/>
      <c r="F310" s="95" t="n"/>
      <c r="G310" s="94" t="n"/>
      <c r="H310" s="46" t="n"/>
      <c r="I310" s="46" t="n"/>
      <c r="J310" s="46" t="n"/>
      <c r="K310" s="46" t="n"/>
      <c r="L310" s="95" t="n"/>
      <c r="M310" s="95" t="n"/>
      <c r="N310" s="95" t="n"/>
      <c r="O310" s="95" t="n"/>
      <c r="P310" s="95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  <c r="Z310" s="46" t="n"/>
    </row>
    <row r="311" ht="12.75" customHeight="1">
      <c r="A311" s="100" t="n"/>
      <c r="B311" s="101" t="n"/>
      <c r="C311" s="102" t="n"/>
      <c r="D311" s="99" t="n"/>
      <c r="E311" s="95" t="n"/>
      <c r="F311" s="95" t="n"/>
      <c r="G311" s="94" t="n"/>
      <c r="H311" s="46" t="n"/>
      <c r="I311" s="46" t="n"/>
      <c r="J311" s="46" t="n"/>
      <c r="K311" s="46" t="n"/>
      <c r="L311" s="95" t="n"/>
      <c r="M311" s="95" t="n"/>
      <c r="N311" s="95" t="n"/>
      <c r="O311" s="95" t="n"/>
      <c r="P311" s="95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  <c r="Z311" s="46" t="n"/>
    </row>
    <row r="312" ht="12.75" customHeight="1">
      <c r="A312" s="100" t="n"/>
      <c r="B312" s="101" t="n"/>
      <c r="C312" s="102" t="n"/>
      <c r="D312" s="99" t="n"/>
      <c r="E312" s="95" t="n"/>
      <c r="F312" s="95" t="n"/>
      <c r="G312" s="94" t="n"/>
      <c r="H312" s="46" t="n"/>
      <c r="I312" s="46" t="n"/>
      <c r="J312" s="46" t="n"/>
      <c r="K312" s="46" t="n"/>
      <c r="L312" s="95" t="n"/>
      <c r="M312" s="95" t="n"/>
      <c r="N312" s="95" t="n"/>
      <c r="O312" s="95" t="n"/>
      <c r="P312" s="95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  <c r="Z312" s="46" t="n"/>
    </row>
    <row r="313" ht="12.75" customHeight="1">
      <c r="A313" s="100" t="n"/>
      <c r="B313" s="101" t="n"/>
      <c r="C313" s="102" t="n"/>
      <c r="D313" s="99" t="n"/>
      <c r="E313" s="95" t="n"/>
      <c r="F313" s="95" t="n"/>
      <c r="G313" s="94" t="n"/>
      <c r="H313" s="46" t="n"/>
      <c r="I313" s="46" t="n"/>
      <c r="J313" s="46" t="n"/>
      <c r="K313" s="46" t="n"/>
      <c r="L313" s="95" t="n"/>
      <c r="M313" s="95" t="n"/>
      <c r="N313" s="95" t="n"/>
      <c r="O313" s="95" t="n"/>
      <c r="P313" s="95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  <c r="Z313" s="46" t="n"/>
    </row>
    <row r="314" ht="12.75" customHeight="1">
      <c r="A314" s="100" t="n"/>
      <c r="B314" s="101" t="n"/>
      <c r="C314" s="102" t="n"/>
      <c r="D314" s="99" t="n"/>
      <c r="E314" s="95" t="n"/>
      <c r="F314" s="95" t="n"/>
      <c r="G314" s="94" t="n"/>
      <c r="H314" s="46" t="n"/>
      <c r="I314" s="46" t="n"/>
      <c r="J314" s="46" t="n"/>
      <c r="K314" s="46" t="n"/>
      <c r="L314" s="95" t="n"/>
      <c r="M314" s="95" t="n"/>
      <c r="N314" s="95" t="n"/>
      <c r="O314" s="95" t="n"/>
      <c r="P314" s="95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  <c r="Z314" s="46" t="n"/>
    </row>
    <row r="315" ht="12.75" customHeight="1">
      <c r="A315" s="100" t="n"/>
      <c r="B315" s="101" t="n"/>
      <c r="C315" s="102" t="n"/>
      <c r="D315" s="99" t="n"/>
      <c r="E315" s="95" t="n"/>
      <c r="F315" s="95" t="n"/>
      <c r="G315" s="94" t="n"/>
      <c r="H315" s="46" t="n"/>
      <c r="I315" s="46" t="n"/>
      <c r="J315" s="46" t="n"/>
      <c r="K315" s="46" t="n"/>
      <c r="L315" s="95" t="n"/>
      <c r="M315" s="95" t="n"/>
      <c r="N315" s="95" t="n"/>
      <c r="O315" s="95" t="n"/>
      <c r="P315" s="95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  <c r="Z315" s="46" t="n"/>
    </row>
    <row r="316" ht="12.75" customHeight="1">
      <c r="A316" s="100" t="n"/>
      <c r="B316" s="101" t="n"/>
      <c r="C316" s="102" t="n"/>
      <c r="D316" s="99" t="n"/>
      <c r="E316" s="95" t="n"/>
      <c r="F316" s="95" t="n"/>
      <c r="G316" s="94" t="n"/>
      <c r="H316" s="46" t="n"/>
      <c r="I316" s="46" t="n"/>
      <c r="J316" s="46" t="n"/>
      <c r="K316" s="46" t="n"/>
      <c r="L316" s="95" t="n"/>
      <c r="M316" s="95" t="n"/>
      <c r="N316" s="95" t="n"/>
      <c r="O316" s="95" t="n"/>
      <c r="P316" s="95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  <c r="Z316" s="46" t="n"/>
    </row>
    <row r="317" ht="12.75" customHeight="1">
      <c r="A317" s="100" t="n"/>
      <c r="B317" s="101" t="n"/>
      <c r="C317" s="102" t="n"/>
      <c r="D317" s="99" t="n"/>
      <c r="E317" s="95" t="n"/>
      <c r="F317" s="95" t="n"/>
      <c r="G317" s="94" t="n"/>
      <c r="H317" s="46" t="n"/>
      <c r="I317" s="46" t="n"/>
      <c r="J317" s="46" t="n"/>
      <c r="K317" s="46" t="n"/>
      <c r="L317" s="95" t="n"/>
      <c r="M317" s="95" t="n"/>
      <c r="N317" s="95" t="n"/>
      <c r="O317" s="95" t="n"/>
      <c r="P317" s="95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  <c r="Z317" s="46" t="n"/>
    </row>
    <row r="318" ht="12.75" customHeight="1">
      <c r="A318" s="100" t="n"/>
      <c r="B318" s="101" t="n"/>
      <c r="C318" s="102" t="n"/>
      <c r="D318" s="99" t="n"/>
      <c r="E318" s="95" t="n"/>
      <c r="F318" s="95" t="n"/>
      <c r="G318" s="94" t="n"/>
      <c r="H318" s="46" t="n"/>
      <c r="I318" s="46" t="n"/>
      <c r="J318" s="46" t="n"/>
      <c r="K318" s="46" t="n"/>
      <c r="L318" s="95" t="n"/>
      <c r="M318" s="95" t="n"/>
      <c r="N318" s="95" t="n"/>
      <c r="O318" s="95" t="n"/>
      <c r="P318" s="95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  <c r="Z318" s="46" t="n"/>
    </row>
    <row r="319" ht="12.75" customHeight="1">
      <c r="A319" s="100" t="n"/>
      <c r="B319" s="101" t="n"/>
      <c r="C319" s="102" t="n"/>
      <c r="D319" s="99" t="n"/>
      <c r="E319" s="95" t="n"/>
      <c r="F319" s="95" t="n"/>
      <c r="G319" s="94" t="n"/>
      <c r="H319" s="46" t="n"/>
      <c r="I319" s="46" t="n"/>
      <c r="J319" s="46" t="n"/>
      <c r="K319" s="46" t="n"/>
      <c r="L319" s="95" t="n"/>
      <c r="M319" s="95" t="n"/>
      <c r="N319" s="95" t="n"/>
      <c r="O319" s="95" t="n"/>
      <c r="P319" s="95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  <c r="Z319" s="46" t="n"/>
    </row>
    <row r="320" ht="12.75" customHeight="1">
      <c r="A320" s="100" t="n"/>
      <c r="B320" s="101" t="n"/>
      <c r="C320" s="102" t="n"/>
      <c r="D320" s="99" t="n"/>
      <c r="E320" s="95" t="n"/>
      <c r="F320" s="95" t="n"/>
      <c r="G320" s="94" t="n"/>
      <c r="H320" s="46" t="n"/>
      <c r="I320" s="46" t="n"/>
      <c r="J320" s="46" t="n"/>
      <c r="K320" s="46" t="n"/>
      <c r="L320" s="95" t="n"/>
      <c r="M320" s="95" t="n"/>
      <c r="N320" s="95" t="n"/>
      <c r="O320" s="95" t="n"/>
      <c r="P320" s="95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  <c r="Z320" s="46" t="n"/>
    </row>
    <row r="321" ht="12.75" customHeight="1">
      <c r="A321" s="100" t="n"/>
      <c r="B321" s="101" t="n"/>
      <c r="C321" s="102" t="n"/>
      <c r="D321" s="99" t="n"/>
      <c r="E321" s="95" t="n"/>
      <c r="F321" s="95" t="n"/>
      <c r="G321" s="94" t="n"/>
      <c r="H321" s="46" t="n"/>
      <c r="I321" s="46" t="n"/>
      <c r="J321" s="46" t="n"/>
      <c r="K321" s="46" t="n"/>
      <c r="L321" s="95" t="n"/>
      <c r="M321" s="95" t="n"/>
      <c r="N321" s="95" t="n"/>
      <c r="O321" s="95" t="n"/>
      <c r="P321" s="95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  <c r="Z321" s="46" t="n"/>
    </row>
    <row r="322" ht="12.75" customHeight="1">
      <c r="A322" s="100" t="n"/>
      <c r="B322" s="101" t="n"/>
      <c r="C322" s="102" t="n"/>
      <c r="D322" s="99" t="n"/>
      <c r="E322" s="95" t="n"/>
      <c r="F322" s="95" t="n"/>
      <c r="G322" s="94" t="n"/>
      <c r="H322" s="46" t="n"/>
      <c r="I322" s="46" t="n"/>
      <c r="J322" s="46" t="n"/>
      <c r="K322" s="46" t="n"/>
      <c r="L322" s="95" t="n"/>
      <c r="M322" s="95" t="n"/>
      <c r="N322" s="95" t="n"/>
      <c r="O322" s="95" t="n"/>
      <c r="P322" s="95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  <c r="Z322" s="46" t="n"/>
    </row>
    <row r="323" ht="12.75" customHeight="1">
      <c r="A323" s="100" t="n"/>
      <c r="B323" s="101" t="n"/>
      <c r="C323" s="102" t="n"/>
      <c r="D323" s="99" t="n"/>
      <c r="E323" s="95" t="n"/>
      <c r="F323" s="95" t="n"/>
      <c r="G323" s="94" t="n"/>
      <c r="H323" s="46" t="n"/>
      <c r="I323" s="46" t="n"/>
      <c r="J323" s="46" t="n"/>
      <c r="K323" s="46" t="n"/>
      <c r="L323" s="95" t="n"/>
      <c r="M323" s="95" t="n"/>
      <c r="N323" s="95" t="n"/>
      <c r="O323" s="95" t="n"/>
      <c r="P323" s="95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  <c r="Z323" s="46" t="n"/>
    </row>
    <row r="324" ht="12.75" customHeight="1">
      <c r="A324" s="100" t="n"/>
      <c r="B324" s="101" t="n"/>
      <c r="C324" s="102" t="n"/>
      <c r="D324" s="99" t="n"/>
      <c r="E324" s="95" t="n"/>
      <c r="F324" s="95" t="n"/>
      <c r="G324" s="94" t="n"/>
      <c r="H324" s="46" t="n"/>
      <c r="I324" s="46" t="n"/>
      <c r="J324" s="46" t="n"/>
      <c r="K324" s="46" t="n"/>
      <c r="L324" s="95" t="n"/>
      <c r="M324" s="95" t="n"/>
      <c r="N324" s="95" t="n"/>
      <c r="O324" s="95" t="n"/>
      <c r="P324" s="95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  <c r="Z324" s="46" t="n"/>
    </row>
    <row r="325" ht="12.75" customHeight="1">
      <c r="A325" s="100" t="n"/>
      <c r="B325" s="101" t="n"/>
      <c r="C325" s="102" t="n"/>
      <c r="D325" s="99" t="n"/>
      <c r="E325" s="95" t="n"/>
      <c r="F325" s="95" t="n"/>
      <c r="G325" s="94" t="n"/>
      <c r="H325" s="46" t="n"/>
      <c r="I325" s="46" t="n"/>
      <c r="J325" s="46" t="n"/>
      <c r="K325" s="46" t="n"/>
      <c r="L325" s="95" t="n"/>
      <c r="M325" s="95" t="n"/>
      <c r="N325" s="95" t="n"/>
      <c r="O325" s="95" t="n"/>
      <c r="P325" s="95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  <c r="Z325" s="46" t="n"/>
    </row>
    <row r="326" ht="12.75" customHeight="1">
      <c r="A326" s="100" t="n"/>
      <c r="B326" s="101" t="n"/>
      <c r="C326" s="102" t="n"/>
      <c r="D326" s="99" t="n"/>
      <c r="E326" s="95" t="n"/>
      <c r="F326" s="95" t="n"/>
      <c r="G326" s="94" t="n"/>
      <c r="H326" s="46" t="n"/>
      <c r="I326" s="46" t="n"/>
      <c r="J326" s="46" t="n"/>
      <c r="K326" s="46" t="n"/>
      <c r="L326" s="95" t="n"/>
      <c r="M326" s="95" t="n"/>
      <c r="N326" s="95" t="n"/>
      <c r="O326" s="95" t="n"/>
      <c r="P326" s="95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  <c r="Z326" s="46" t="n"/>
    </row>
    <row r="327" ht="12.75" customHeight="1">
      <c r="A327" s="100" t="n"/>
      <c r="B327" s="101" t="n"/>
      <c r="C327" s="102" t="n"/>
      <c r="D327" s="99" t="n"/>
      <c r="E327" s="95" t="n"/>
      <c r="F327" s="95" t="n"/>
      <c r="G327" s="94" t="n"/>
      <c r="H327" s="46" t="n"/>
      <c r="I327" s="46" t="n"/>
      <c r="J327" s="46" t="n"/>
      <c r="K327" s="46" t="n"/>
      <c r="L327" s="95" t="n"/>
      <c r="M327" s="95" t="n"/>
      <c r="N327" s="95" t="n"/>
      <c r="O327" s="95" t="n"/>
      <c r="P327" s="95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  <c r="Z327" s="46" t="n"/>
    </row>
    <row r="328" ht="12.75" customHeight="1">
      <c r="A328" s="100" t="n"/>
      <c r="B328" s="101" t="n"/>
      <c r="C328" s="102" t="n"/>
      <c r="D328" s="99" t="n"/>
      <c r="E328" s="95" t="n"/>
      <c r="F328" s="95" t="n"/>
      <c r="G328" s="94" t="n"/>
      <c r="H328" s="46" t="n"/>
      <c r="I328" s="46" t="n"/>
      <c r="J328" s="46" t="n"/>
      <c r="K328" s="46" t="n"/>
      <c r="L328" s="95" t="n"/>
      <c r="M328" s="95" t="n"/>
      <c r="N328" s="95" t="n"/>
      <c r="O328" s="95" t="n"/>
      <c r="P328" s="95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  <c r="Z328" s="46" t="n"/>
    </row>
    <row r="329" ht="12.75" customHeight="1">
      <c r="A329" s="100" t="n"/>
      <c r="B329" s="101" t="n"/>
      <c r="C329" s="102" t="n"/>
      <c r="D329" s="99" t="n"/>
      <c r="E329" s="95" t="n"/>
      <c r="F329" s="95" t="n"/>
      <c r="G329" s="94" t="n"/>
      <c r="H329" s="46" t="n"/>
      <c r="I329" s="46" t="n"/>
      <c r="J329" s="46" t="n"/>
      <c r="K329" s="46" t="n"/>
      <c r="L329" s="95" t="n"/>
      <c r="M329" s="95" t="n"/>
      <c r="N329" s="95" t="n"/>
      <c r="O329" s="95" t="n"/>
      <c r="P329" s="95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  <c r="Z329" s="46" t="n"/>
    </row>
    <row r="330" ht="12.75" customHeight="1">
      <c r="A330" s="100" t="n"/>
      <c r="B330" s="101" t="n"/>
      <c r="C330" s="102" t="n"/>
      <c r="D330" s="99" t="n"/>
      <c r="E330" s="95" t="n"/>
      <c r="F330" s="95" t="n"/>
      <c r="G330" s="94" t="n"/>
      <c r="H330" s="46" t="n"/>
      <c r="I330" s="46" t="n"/>
      <c r="J330" s="46" t="n"/>
      <c r="K330" s="46" t="n"/>
      <c r="L330" s="95" t="n"/>
      <c r="M330" s="95" t="n"/>
      <c r="N330" s="95" t="n"/>
      <c r="O330" s="95" t="n"/>
      <c r="P330" s="95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  <c r="Z330" s="46" t="n"/>
    </row>
    <row r="331" ht="12.75" customHeight="1">
      <c r="A331" s="100" t="n"/>
      <c r="B331" s="101" t="n"/>
      <c r="C331" s="102" t="n"/>
      <c r="D331" s="99" t="n"/>
      <c r="E331" s="95" t="n"/>
      <c r="F331" s="95" t="n"/>
      <c r="G331" s="94" t="n"/>
      <c r="H331" s="46" t="n"/>
      <c r="I331" s="46" t="n"/>
      <c r="J331" s="46" t="n"/>
      <c r="K331" s="46" t="n"/>
      <c r="L331" s="95" t="n"/>
      <c r="M331" s="95" t="n"/>
      <c r="N331" s="95" t="n"/>
      <c r="O331" s="95" t="n"/>
      <c r="P331" s="95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  <c r="Z331" s="46" t="n"/>
    </row>
    <row r="332" ht="12.75" customHeight="1">
      <c r="A332" s="100" t="n"/>
      <c r="B332" s="101" t="n"/>
      <c r="C332" s="102" t="n"/>
      <c r="D332" s="99" t="n"/>
      <c r="E332" s="95" t="n"/>
      <c r="F332" s="95" t="n"/>
      <c r="G332" s="94" t="n"/>
      <c r="H332" s="46" t="n"/>
      <c r="I332" s="46" t="n"/>
      <c r="J332" s="46" t="n"/>
      <c r="K332" s="46" t="n"/>
      <c r="L332" s="95" t="n"/>
      <c r="M332" s="95" t="n"/>
      <c r="N332" s="95" t="n"/>
      <c r="O332" s="95" t="n"/>
      <c r="P332" s="95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  <c r="Z332" s="46" t="n"/>
    </row>
    <row r="333" ht="12.75" customHeight="1">
      <c r="A333" s="100" t="n"/>
      <c r="B333" s="101" t="n"/>
      <c r="C333" s="102" t="n"/>
      <c r="D333" s="99" t="n"/>
      <c r="E333" s="95" t="n"/>
      <c r="F333" s="95" t="n"/>
      <c r="G333" s="94" t="n"/>
      <c r="H333" s="46" t="n"/>
      <c r="I333" s="46" t="n"/>
      <c r="J333" s="46" t="n"/>
      <c r="K333" s="46" t="n"/>
      <c r="L333" s="95" t="n"/>
      <c r="M333" s="95" t="n"/>
      <c r="N333" s="95" t="n"/>
      <c r="O333" s="95" t="n"/>
      <c r="P333" s="95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  <c r="Z333" s="46" t="n"/>
    </row>
    <row r="334" ht="12.75" customHeight="1">
      <c r="A334" s="100" t="n"/>
      <c r="B334" s="101" t="n"/>
      <c r="C334" s="102" t="n"/>
      <c r="D334" s="99" t="n"/>
      <c r="E334" s="95" t="n"/>
      <c r="F334" s="95" t="n"/>
      <c r="G334" s="94" t="n"/>
      <c r="H334" s="46" t="n"/>
      <c r="I334" s="46" t="n"/>
      <c r="J334" s="46" t="n"/>
      <c r="K334" s="46" t="n"/>
      <c r="L334" s="95" t="n"/>
      <c r="M334" s="95" t="n"/>
      <c r="N334" s="95" t="n"/>
      <c r="O334" s="95" t="n"/>
      <c r="P334" s="95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  <c r="Z334" s="46" t="n"/>
    </row>
    <row r="335" ht="12.75" customHeight="1">
      <c r="A335" s="100" t="n"/>
      <c r="B335" s="101" t="n"/>
      <c r="C335" s="102" t="n"/>
      <c r="D335" s="99" t="n"/>
      <c r="E335" s="95" t="n"/>
      <c r="F335" s="95" t="n"/>
      <c r="G335" s="94" t="n"/>
      <c r="H335" s="46" t="n"/>
      <c r="I335" s="46" t="n"/>
      <c r="J335" s="46" t="n"/>
      <c r="K335" s="46" t="n"/>
      <c r="L335" s="95" t="n"/>
      <c r="M335" s="95" t="n"/>
      <c r="N335" s="95" t="n"/>
      <c r="O335" s="95" t="n"/>
      <c r="P335" s="95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  <c r="Z335" s="46" t="n"/>
    </row>
    <row r="336" ht="12.75" customHeight="1">
      <c r="A336" s="100" t="n"/>
      <c r="B336" s="101" t="n"/>
      <c r="C336" s="102" t="n"/>
      <c r="D336" s="99" t="n"/>
      <c r="E336" s="95" t="n"/>
      <c r="F336" s="95" t="n"/>
      <c r="G336" s="94" t="n"/>
      <c r="H336" s="46" t="n"/>
      <c r="I336" s="46" t="n"/>
      <c r="J336" s="46" t="n"/>
      <c r="K336" s="46" t="n"/>
      <c r="L336" s="95" t="n"/>
      <c r="M336" s="95" t="n"/>
      <c r="N336" s="95" t="n"/>
      <c r="O336" s="95" t="n"/>
      <c r="P336" s="95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  <c r="Z336" s="46" t="n"/>
    </row>
    <row r="337" ht="12.75" customHeight="1">
      <c r="A337" s="100" t="n"/>
      <c r="B337" s="101" t="n"/>
      <c r="C337" s="102" t="n"/>
      <c r="D337" s="99" t="n"/>
      <c r="E337" s="95" t="n"/>
      <c r="F337" s="95" t="n"/>
      <c r="G337" s="94" t="n"/>
      <c r="H337" s="46" t="n"/>
      <c r="I337" s="46" t="n"/>
      <c r="J337" s="46" t="n"/>
      <c r="K337" s="46" t="n"/>
      <c r="L337" s="95" t="n"/>
      <c r="M337" s="95" t="n"/>
      <c r="N337" s="95" t="n"/>
      <c r="O337" s="95" t="n"/>
      <c r="P337" s="95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  <c r="Z337" s="46" t="n"/>
    </row>
    <row r="338" ht="12.75" customHeight="1">
      <c r="A338" s="100" t="n"/>
      <c r="B338" s="101" t="n"/>
      <c r="C338" s="102" t="n"/>
      <c r="D338" s="99" t="n"/>
      <c r="E338" s="95" t="n"/>
      <c r="F338" s="95" t="n"/>
      <c r="G338" s="94" t="n"/>
      <c r="H338" s="46" t="n"/>
      <c r="I338" s="46" t="n"/>
      <c r="J338" s="46" t="n"/>
      <c r="K338" s="46" t="n"/>
      <c r="L338" s="95" t="n"/>
      <c r="M338" s="95" t="n"/>
      <c r="N338" s="95" t="n"/>
      <c r="O338" s="95" t="n"/>
      <c r="P338" s="95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  <c r="Z338" s="46" t="n"/>
    </row>
    <row r="339" ht="12.75" customHeight="1">
      <c r="A339" s="100" t="n"/>
      <c r="B339" s="101" t="n"/>
      <c r="C339" s="102" t="n"/>
      <c r="D339" s="99" t="n"/>
      <c r="E339" s="95" t="n"/>
      <c r="F339" s="95" t="n"/>
      <c r="G339" s="94" t="n"/>
      <c r="H339" s="46" t="n"/>
      <c r="I339" s="46" t="n"/>
      <c r="J339" s="46" t="n"/>
      <c r="K339" s="46" t="n"/>
      <c r="L339" s="95" t="n"/>
      <c r="M339" s="95" t="n"/>
      <c r="N339" s="95" t="n"/>
      <c r="O339" s="95" t="n"/>
      <c r="P339" s="95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  <c r="Z339" s="46" t="n"/>
    </row>
    <row r="340" ht="12.75" customHeight="1">
      <c r="A340" s="100" t="n"/>
      <c r="B340" s="101" t="n"/>
      <c r="C340" s="102" t="n"/>
      <c r="D340" s="99" t="n"/>
      <c r="E340" s="95" t="n"/>
      <c r="F340" s="95" t="n"/>
      <c r="G340" s="94" t="n"/>
      <c r="H340" s="46" t="n"/>
      <c r="I340" s="46" t="n"/>
      <c r="J340" s="46" t="n"/>
      <c r="K340" s="46" t="n"/>
      <c r="L340" s="95" t="n"/>
      <c r="M340" s="95" t="n"/>
      <c r="N340" s="95" t="n"/>
      <c r="O340" s="95" t="n"/>
      <c r="P340" s="95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  <c r="Z340" s="46" t="n"/>
    </row>
    <row r="341" ht="12.75" customHeight="1">
      <c r="A341" s="100" t="n"/>
      <c r="B341" s="101" t="n"/>
      <c r="C341" s="102" t="n"/>
      <c r="D341" s="99" t="n"/>
      <c r="E341" s="95" t="n"/>
      <c r="F341" s="95" t="n"/>
      <c r="G341" s="94" t="n"/>
      <c r="H341" s="46" t="n"/>
      <c r="I341" s="46" t="n"/>
      <c r="J341" s="46" t="n"/>
      <c r="K341" s="46" t="n"/>
      <c r="L341" s="95" t="n"/>
      <c r="M341" s="95" t="n"/>
      <c r="N341" s="95" t="n"/>
      <c r="O341" s="95" t="n"/>
      <c r="P341" s="95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  <c r="Z341" s="46" t="n"/>
    </row>
    <row r="342" ht="12.75" customHeight="1">
      <c r="A342" s="100" t="n"/>
      <c r="B342" s="101" t="n"/>
      <c r="C342" s="102" t="n"/>
      <c r="D342" s="99" t="n"/>
      <c r="E342" s="95" t="n"/>
      <c r="F342" s="95" t="n"/>
      <c r="G342" s="94" t="n"/>
      <c r="H342" s="46" t="n"/>
      <c r="I342" s="46" t="n"/>
      <c r="J342" s="46" t="n"/>
      <c r="K342" s="46" t="n"/>
      <c r="L342" s="95" t="n"/>
      <c r="M342" s="95" t="n"/>
      <c r="N342" s="95" t="n"/>
      <c r="O342" s="95" t="n"/>
      <c r="P342" s="95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  <c r="Z342" s="46" t="n"/>
    </row>
    <row r="343" ht="12.75" customHeight="1">
      <c r="A343" s="100" t="n"/>
      <c r="B343" s="101" t="n"/>
      <c r="C343" s="102" t="n"/>
      <c r="D343" s="99" t="n"/>
      <c r="E343" s="95" t="n"/>
      <c r="F343" s="95" t="n"/>
      <c r="G343" s="94" t="n"/>
      <c r="H343" s="46" t="n"/>
      <c r="I343" s="46" t="n"/>
      <c r="J343" s="46" t="n"/>
      <c r="K343" s="46" t="n"/>
      <c r="L343" s="95" t="n"/>
      <c r="M343" s="95" t="n"/>
      <c r="N343" s="95" t="n"/>
      <c r="O343" s="95" t="n"/>
      <c r="P343" s="95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  <c r="Z343" s="46" t="n"/>
    </row>
    <row r="344" ht="12.75" customHeight="1">
      <c r="A344" s="100" t="n"/>
      <c r="B344" s="101" t="n"/>
      <c r="C344" s="102" t="n"/>
      <c r="D344" s="99" t="n"/>
      <c r="E344" s="95" t="n"/>
      <c r="F344" s="95" t="n"/>
      <c r="G344" s="94" t="n"/>
      <c r="H344" s="46" t="n"/>
      <c r="I344" s="46" t="n"/>
      <c r="J344" s="46" t="n"/>
      <c r="K344" s="46" t="n"/>
      <c r="L344" s="95" t="n"/>
      <c r="M344" s="95" t="n"/>
      <c r="N344" s="95" t="n"/>
      <c r="O344" s="95" t="n"/>
      <c r="P344" s="95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  <c r="Z344" s="46" t="n"/>
    </row>
    <row r="345" ht="12.75" customHeight="1">
      <c r="A345" s="100" t="n"/>
      <c r="B345" s="101" t="n"/>
      <c r="C345" s="102" t="n"/>
      <c r="D345" s="99" t="n"/>
      <c r="E345" s="95" t="n"/>
      <c r="F345" s="95" t="n"/>
      <c r="G345" s="94" t="n"/>
      <c r="H345" s="46" t="n"/>
      <c r="I345" s="46" t="n"/>
      <c r="J345" s="46" t="n"/>
      <c r="K345" s="46" t="n"/>
      <c r="L345" s="95" t="n"/>
      <c r="M345" s="95" t="n"/>
      <c r="N345" s="95" t="n"/>
      <c r="O345" s="95" t="n"/>
      <c r="P345" s="95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  <c r="Z345" s="46" t="n"/>
    </row>
    <row r="346" ht="12.75" customHeight="1">
      <c r="A346" s="100" t="n"/>
      <c r="B346" s="101" t="n"/>
      <c r="C346" s="102" t="n"/>
      <c r="D346" s="99" t="n"/>
      <c r="E346" s="95" t="n"/>
      <c r="F346" s="95" t="n"/>
      <c r="G346" s="94" t="n"/>
      <c r="H346" s="46" t="n"/>
      <c r="I346" s="46" t="n"/>
      <c r="J346" s="46" t="n"/>
      <c r="K346" s="46" t="n"/>
      <c r="L346" s="95" t="n"/>
      <c r="M346" s="95" t="n"/>
      <c r="N346" s="95" t="n"/>
      <c r="O346" s="95" t="n"/>
      <c r="P346" s="95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  <c r="Z346" s="46" t="n"/>
    </row>
    <row r="347" ht="12.75" customHeight="1">
      <c r="A347" s="100" t="n"/>
      <c r="B347" s="101" t="n"/>
      <c r="C347" s="102" t="n"/>
      <c r="D347" s="99" t="n"/>
      <c r="E347" s="95" t="n"/>
      <c r="F347" s="95" t="n"/>
      <c r="G347" s="94" t="n"/>
      <c r="H347" s="46" t="n"/>
      <c r="I347" s="46" t="n"/>
      <c r="J347" s="46" t="n"/>
      <c r="K347" s="46" t="n"/>
      <c r="L347" s="95" t="n"/>
      <c r="M347" s="95" t="n"/>
      <c r="N347" s="95" t="n"/>
      <c r="O347" s="95" t="n"/>
      <c r="P347" s="95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  <c r="Z347" s="46" t="n"/>
    </row>
    <row r="348" ht="12.75" customHeight="1">
      <c r="A348" s="100" t="n"/>
      <c r="B348" s="101" t="n"/>
      <c r="C348" s="102" t="n"/>
      <c r="D348" s="99" t="n"/>
      <c r="E348" s="95" t="n"/>
      <c r="F348" s="95" t="n"/>
      <c r="G348" s="94" t="n"/>
      <c r="H348" s="46" t="n"/>
      <c r="I348" s="46" t="n"/>
      <c r="J348" s="46" t="n"/>
      <c r="K348" s="46" t="n"/>
      <c r="L348" s="95" t="n"/>
      <c r="M348" s="95" t="n"/>
      <c r="N348" s="95" t="n"/>
      <c r="O348" s="95" t="n"/>
      <c r="P348" s="95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  <c r="Z348" s="46" t="n"/>
    </row>
    <row r="349" ht="12.75" customHeight="1">
      <c r="A349" s="100" t="n"/>
      <c r="B349" s="101" t="n"/>
      <c r="C349" s="102" t="n"/>
      <c r="D349" s="99" t="n"/>
      <c r="E349" s="95" t="n"/>
      <c r="F349" s="95" t="n"/>
      <c r="G349" s="94" t="n"/>
      <c r="H349" s="46" t="n"/>
      <c r="I349" s="46" t="n"/>
      <c r="J349" s="46" t="n"/>
      <c r="K349" s="46" t="n"/>
      <c r="L349" s="95" t="n"/>
      <c r="M349" s="95" t="n"/>
      <c r="N349" s="95" t="n"/>
      <c r="O349" s="95" t="n"/>
      <c r="P349" s="95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  <c r="Z349" s="46" t="n"/>
    </row>
    <row r="350" ht="12.75" customHeight="1">
      <c r="A350" s="100" t="n"/>
      <c r="B350" s="101" t="n"/>
      <c r="C350" s="102" t="n"/>
      <c r="D350" s="99" t="n"/>
      <c r="E350" s="95" t="n"/>
      <c r="F350" s="95" t="n"/>
      <c r="G350" s="94" t="n"/>
      <c r="H350" s="46" t="n"/>
      <c r="I350" s="46" t="n"/>
      <c r="J350" s="46" t="n"/>
      <c r="K350" s="46" t="n"/>
      <c r="L350" s="95" t="n"/>
      <c r="M350" s="95" t="n"/>
      <c r="N350" s="95" t="n"/>
      <c r="O350" s="95" t="n"/>
      <c r="P350" s="95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  <c r="Z350" s="46" t="n"/>
    </row>
    <row r="351" ht="12.75" customHeight="1">
      <c r="A351" s="100" t="n"/>
      <c r="B351" s="101" t="n"/>
      <c r="C351" s="102" t="n"/>
      <c r="D351" s="99" t="n"/>
      <c r="E351" s="95" t="n"/>
      <c r="F351" s="95" t="n"/>
      <c r="G351" s="94" t="n"/>
      <c r="H351" s="46" t="n"/>
      <c r="I351" s="46" t="n"/>
      <c r="J351" s="46" t="n"/>
      <c r="K351" s="46" t="n"/>
      <c r="L351" s="95" t="n"/>
      <c r="M351" s="95" t="n"/>
      <c r="N351" s="95" t="n"/>
      <c r="O351" s="95" t="n"/>
      <c r="P351" s="95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  <c r="Z351" s="46" t="n"/>
    </row>
    <row r="352" ht="12.75" customHeight="1">
      <c r="A352" s="100" t="n"/>
      <c r="B352" s="101" t="n"/>
      <c r="C352" s="102" t="n"/>
      <c r="D352" s="99" t="n"/>
      <c r="E352" s="95" t="n"/>
      <c r="F352" s="95" t="n"/>
      <c r="G352" s="94" t="n"/>
      <c r="H352" s="46" t="n"/>
      <c r="I352" s="46" t="n"/>
      <c r="J352" s="46" t="n"/>
      <c r="K352" s="46" t="n"/>
      <c r="L352" s="95" t="n"/>
      <c r="M352" s="95" t="n"/>
      <c r="N352" s="95" t="n"/>
      <c r="O352" s="95" t="n"/>
      <c r="P352" s="95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  <c r="Z352" s="46" t="n"/>
    </row>
    <row r="353" ht="12.75" customHeight="1">
      <c r="A353" s="100" t="n"/>
      <c r="B353" s="101" t="n"/>
      <c r="C353" s="102" t="n"/>
      <c r="D353" s="99" t="n"/>
      <c r="E353" s="95" t="n"/>
      <c r="F353" s="95" t="n"/>
      <c r="G353" s="94" t="n"/>
      <c r="H353" s="46" t="n"/>
      <c r="I353" s="46" t="n"/>
      <c r="J353" s="46" t="n"/>
      <c r="K353" s="46" t="n"/>
      <c r="L353" s="95" t="n"/>
      <c r="M353" s="95" t="n"/>
      <c r="N353" s="95" t="n"/>
      <c r="O353" s="95" t="n"/>
      <c r="P353" s="95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  <c r="Z353" s="46" t="n"/>
    </row>
    <row r="354" ht="12.75" customHeight="1">
      <c r="A354" s="100" t="n"/>
      <c r="B354" s="101" t="n"/>
      <c r="C354" s="102" t="n"/>
      <c r="D354" s="99" t="n"/>
      <c r="E354" s="95" t="n"/>
      <c r="F354" s="95" t="n"/>
      <c r="G354" s="94" t="n"/>
      <c r="H354" s="46" t="n"/>
      <c r="I354" s="46" t="n"/>
      <c r="J354" s="46" t="n"/>
      <c r="K354" s="46" t="n"/>
      <c r="L354" s="95" t="n"/>
      <c r="M354" s="95" t="n"/>
      <c r="N354" s="95" t="n"/>
      <c r="O354" s="95" t="n"/>
      <c r="P354" s="95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  <c r="Z354" s="46" t="n"/>
    </row>
    <row r="355" ht="12.75" customHeight="1">
      <c r="A355" s="100" t="n"/>
      <c r="B355" s="101" t="n"/>
      <c r="C355" s="102" t="n"/>
      <c r="D355" s="99" t="n"/>
      <c r="E355" s="95" t="n"/>
      <c r="F355" s="95" t="n"/>
      <c r="G355" s="94" t="n"/>
      <c r="H355" s="46" t="n"/>
      <c r="I355" s="46" t="n"/>
      <c r="J355" s="46" t="n"/>
      <c r="K355" s="46" t="n"/>
      <c r="L355" s="95" t="n"/>
      <c r="M355" s="95" t="n"/>
      <c r="N355" s="95" t="n"/>
      <c r="O355" s="95" t="n"/>
      <c r="P355" s="95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  <c r="Z355" s="46" t="n"/>
    </row>
    <row r="356" ht="12.75" customHeight="1">
      <c r="A356" s="100" t="n"/>
      <c r="B356" s="101" t="n"/>
      <c r="C356" s="102" t="n"/>
      <c r="D356" s="99" t="n"/>
      <c r="E356" s="95" t="n"/>
      <c r="F356" s="95" t="n"/>
      <c r="G356" s="94" t="n"/>
      <c r="H356" s="46" t="n"/>
      <c r="I356" s="46" t="n"/>
      <c r="J356" s="46" t="n"/>
      <c r="K356" s="46" t="n"/>
      <c r="L356" s="95" t="n"/>
      <c r="M356" s="95" t="n"/>
      <c r="N356" s="95" t="n"/>
      <c r="O356" s="95" t="n"/>
      <c r="P356" s="95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  <c r="Z356" s="46" t="n"/>
    </row>
    <row r="357" ht="12.75" customHeight="1">
      <c r="A357" s="100" t="n"/>
      <c r="B357" s="101" t="n"/>
      <c r="C357" s="102" t="n"/>
      <c r="D357" s="99" t="n"/>
      <c r="E357" s="95" t="n"/>
      <c r="F357" s="95" t="n"/>
      <c r="G357" s="94" t="n"/>
      <c r="H357" s="46" t="n"/>
      <c r="I357" s="46" t="n"/>
      <c r="J357" s="46" t="n"/>
      <c r="K357" s="46" t="n"/>
      <c r="L357" s="95" t="n"/>
      <c r="M357" s="95" t="n"/>
      <c r="N357" s="95" t="n"/>
      <c r="O357" s="95" t="n"/>
      <c r="P357" s="95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  <c r="Z357" s="46" t="n"/>
    </row>
    <row r="358" ht="12.75" customHeight="1">
      <c r="A358" s="100" t="n"/>
      <c r="B358" s="101" t="n"/>
      <c r="C358" s="102" t="n"/>
      <c r="D358" s="99" t="n"/>
      <c r="E358" s="95" t="n"/>
      <c r="F358" s="95" t="n"/>
      <c r="G358" s="94" t="n"/>
      <c r="H358" s="46" t="n"/>
      <c r="I358" s="46" t="n"/>
      <c r="J358" s="46" t="n"/>
      <c r="K358" s="46" t="n"/>
      <c r="L358" s="95" t="n"/>
      <c r="M358" s="95" t="n"/>
      <c r="N358" s="95" t="n"/>
      <c r="O358" s="95" t="n"/>
      <c r="P358" s="95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  <c r="Z358" s="46" t="n"/>
    </row>
    <row r="359" ht="12.75" customHeight="1">
      <c r="A359" s="100" t="n"/>
      <c r="B359" s="101" t="n"/>
      <c r="C359" s="102" t="n"/>
      <c r="D359" s="99" t="n"/>
      <c r="E359" s="95" t="n"/>
      <c r="F359" s="95" t="n"/>
      <c r="G359" s="94" t="n"/>
      <c r="H359" s="46" t="n"/>
      <c r="I359" s="46" t="n"/>
      <c r="J359" s="46" t="n"/>
      <c r="K359" s="46" t="n"/>
      <c r="L359" s="95" t="n"/>
      <c r="M359" s="95" t="n"/>
      <c r="N359" s="95" t="n"/>
      <c r="O359" s="95" t="n"/>
      <c r="P359" s="95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  <c r="Z359" s="46" t="n"/>
    </row>
    <row r="360" ht="12.75" customHeight="1">
      <c r="A360" s="100" t="n"/>
      <c r="B360" s="101" t="n"/>
      <c r="C360" s="102" t="n"/>
      <c r="D360" s="99" t="n"/>
      <c r="E360" s="95" t="n"/>
      <c r="F360" s="95" t="n"/>
      <c r="G360" s="94" t="n"/>
      <c r="H360" s="46" t="n"/>
      <c r="I360" s="46" t="n"/>
      <c r="J360" s="46" t="n"/>
      <c r="K360" s="46" t="n"/>
      <c r="L360" s="95" t="n"/>
      <c r="M360" s="95" t="n"/>
      <c r="N360" s="95" t="n"/>
      <c r="O360" s="95" t="n"/>
      <c r="P360" s="95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  <c r="Z360" s="46" t="n"/>
    </row>
    <row r="361" ht="12.75" customHeight="1">
      <c r="A361" s="100" t="n"/>
      <c r="B361" s="101" t="n"/>
      <c r="C361" s="102" t="n"/>
      <c r="D361" s="99" t="n"/>
      <c r="E361" s="95" t="n"/>
      <c r="F361" s="95" t="n"/>
      <c r="G361" s="94" t="n"/>
      <c r="H361" s="46" t="n"/>
      <c r="I361" s="46" t="n"/>
      <c r="J361" s="46" t="n"/>
      <c r="K361" s="46" t="n"/>
      <c r="L361" s="95" t="n"/>
      <c r="M361" s="95" t="n"/>
      <c r="N361" s="95" t="n"/>
      <c r="O361" s="95" t="n"/>
      <c r="P361" s="95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  <c r="Z361" s="46" t="n"/>
    </row>
    <row r="362" ht="12.75" customHeight="1">
      <c r="A362" s="100" t="n"/>
      <c r="B362" s="101" t="n"/>
      <c r="C362" s="102" t="n"/>
      <c r="D362" s="99" t="n"/>
      <c r="E362" s="95" t="n"/>
      <c r="F362" s="95" t="n"/>
      <c r="G362" s="94" t="n"/>
      <c r="H362" s="46" t="n"/>
      <c r="I362" s="46" t="n"/>
      <c r="J362" s="46" t="n"/>
      <c r="K362" s="46" t="n"/>
      <c r="L362" s="95" t="n"/>
      <c r="M362" s="95" t="n"/>
      <c r="N362" s="95" t="n"/>
      <c r="O362" s="95" t="n"/>
      <c r="P362" s="95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  <c r="Z362" s="46" t="n"/>
    </row>
    <row r="363" ht="12.75" customHeight="1">
      <c r="A363" s="100" t="n"/>
      <c r="B363" s="101" t="n"/>
      <c r="C363" s="102" t="n"/>
      <c r="D363" s="99" t="n"/>
      <c r="E363" s="95" t="n"/>
      <c r="F363" s="95" t="n"/>
      <c r="G363" s="94" t="n"/>
      <c r="H363" s="46" t="n"/>
      <c r="I363" s="46" t="n"/>
      <c r="J363" s="46" t="n"/>
      <c r="K363" s="46" t="n"/>
      <c r="L363" s="95" t="n"/>
      <c r="M363" s="95" t="n"/>
      <c r="N363" s="95" t="n"/>
      <c r="O363" s="95" t="n"/>
      <c r="P363" s="95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  <c r="Z363" s="46" t="n"/>
    </row>
    <row r="364" ht="12.75" customHeight="1">
      <c r="A364" s="100" t="n"/>
      <c r="B364" s="101" t="n"/>
      <c r="C364" s="102" t="n"/>
      <c r="D364" s="99" t="n"/>
      <c r="E364" s="95" t="n"/>
      <c r="F364" s="95" t="n"/>
      <c r="G364" s="94" t="n"/>
      <c r="H364" s="46" t="n"/>
      <c r="I364" s="46" t="n"/>
      <c r="J364" s="46" t="n"/>
      <c r="K364" s="46" t="n"/>
      <c r="L364" s="95" t="n"/>
      <c r="M364" s="95" t="n"/>
      <c r="N364" s="95" t="n"/>
      <c r="O364" s="95" t="n"/>
      <c r="P364" s="95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  <c r="Z364" s="46" t="n"/>
    </row>
    <row r="365" ht="12.75" customHeight="1">
      <c r="A365" s="100" t="n"/>
      <c r="B365" s="101" t="n"/>
      <c r="C365" s="102" t="n"/>
      <c r="D365" s="99" t="n"/>
      <c r="E365" s="95" t="n"/>
      <c r="F365" s="95" t="n"/>
      <c r="G365" s="94" t="n"/>
      <c r="H365" s="46" t="n"/>
      <c r="I365" s="46" t="n"/>
      <c r="J365" s="46" t="n"/>
      <c r="K365" s="46" t="n"/>
      <c r="L365" s="95" t="n"/>
      <c r="M365" s="95" t="n"/>
      <c r="N365" s="95" t="n"/>
      <c r="O365" s="95" t="n"/>
      <c r="P365" s="95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  <c r="Z365" s="46" t="n"/>
    </row>
    <row r="366" ht="12.75" customHeight="1">
      <c r="A366" s="100" t="n"/>
      <c r="B366" s="101" t="n"/>
      <c r="C366" s="102" t="n"/>
      <c r="D366" s="99" t="n"/>
      <c r="E366" s="95" t="n"/>
      <c r="F366" s="95" t="n"/>
      <c r="G366" s="94" t="n"/>
      <c r="H366" s="46" t="n"/>
      <c r="I366" s="46" t="n"/>
      <c r="J366" s="46" t="n"/>
      <c r="K366" s="46" t="n"/>
      <c r="L366" s="95" t="n"/>
      <c r="M366" s="95" t="n"/>
      <c r="N366" s="95" t="n"/>
      <c r="O366" s="95" t="n"/>
      <c r="P366" s="95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  <c r="Z366" s="46" t="n"/>
    </row>
    <row r="367" ht="12.75" customHeight="1">
      <c r="A367" s="100" t="n"/>
      <c r="B367" s="101" t="n"/>
      <c r="C367" s="102" t="n"/>
      <c r="D367" s="99" t="n"/>
      <c r="E367" s="95" t="n"/>
      <c r="F367" s="95" t="n"/>
      <c r="G367" s="94" t="n"/>
      <c r="H367" s="46" t="n"/>
      <c r="I367" s="46" t="n"/>
      <c r="J367" s="46" t="n"/>
      <c r="K367" s="46" t="n"/>
      <c r="L367" s="95" t="n"/>
      <c r="M367" s="95" t="n"/>
      <c r="N367" s="95" t="n"/>
      <c r="O367" s="95" t="n"/>
      <c r="P367" s="95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  <c r="Z367" s="46" t="n"/>
    </row>
    <row r="368" ht="12.75" customHeight="1">
      <c r="A368" s="100" t="n"/>
      <c r="B368" s="101" t="n"/>
      <c r="C368" s="102" t="n"/>
      <c r="D368" s="99" t="n"/>
      <c r="E368" s="95" t="n"/>
      <c r="F368" s="95" t="n"/>
      <c r="G368" s="94" t="n"/>
      <c r="H368" s="46" t="n"/>
      <c r="I368" s="46" t="n"/>
      <c r="J368" s="46" t="n"/>
      <c r="K368" s="46" t="n"/>
      <c r="L368" s="95" t="n"/>
      <c r="M368" s="95" t="n"/>
      <c r="N368" s="95" t="n"/>
      <c r="O368" s="95" t="n"/>
      <c r="P368" s="95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  <c r="Z368" s="46" t="n"/>
    </row>
    <row r="369" ht="12.75" customHeight="1">
      <c r="A369" s="100" t="n"/>
      <c r="B369" s="101" t="n"/>
      <c r="C369" s="102" t="n"/>
      <c r="D369" s="99" t="n"/>
      <c r="E369" s="95" t="n"/>
      <c r="F369" s="95" t="n"/>
      <c r="G369" s="94" t="n"/>
      <c r="H369" s="46" t="n"/>
      <c r="I369" s="46" t="n"/>
      <c r="J369" s="46" t="n"/>
      <c r="K369" s="46" t="n"/>
      <c r="L369" s="95" t="n"/>
      <c r="M369" s="95" t="n"/>
      <c r="N369" s="95" t="n"/>
      <c r="O369" s="95" t="n"/>
      <c r="P369" s="95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  <c r="Z369" s="46" t="n"/>
    </row>
    <row r="370" ht="12.75" customHeight="1">
      <c r="A370" s="100" t="n"/>
      <c r="B370" s="101" t="n"/>
      <c r="C370" s="102" t="n"/>
      <c r="D370" s="99" t="n"/>
      <c r="E370" s="95" t="n"/>
      <c r="F370" s="95" t="n"/>
      <c r="G370" s="94" t="n"/>
      <c r="H370" s="46" t="n"/>
      <c r="I370" s="46" t="n"/>
      <c r="J370" s="46" t="n"/>
      <c r="K370" s="46" t="n"/>
      <c r="L370" s="95" t="n"/>
      <c r="M370" s="95" t="n"/>
      <c r="N370" s="95" t="n"/>
      <c r="O370" s="95" t="n"/>
      <c r="P370" s="95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  <c r="Z370" s="46" t="n"/>
    </row>
    <row r="371" ht="12.75" customHeight="1">
      <c r="A371" s="100" t="n"/>
      <c r="B371" s="101" t="n"/>
      <c r="C371" s="102" t="n"/>
      <c r="D371" s="99" t="n"/>
      <c r="E371" s="95" t="n"/>
      <c r="F371" s="95" t="n"/>
      <c r="G371" s="94" t="n"/>
      <c r="H371" s="46" t="n"/>
      <c r="I371" s="46" t="n"/>
      <c r="J371" s="46" t="n"/>
      <c r="K371" s="46" t="n"/>
      <c r="L371" s="95" t="n"/>
      <c r="M371" s="95" t="n"/>
      <c r="N371" s="95" t="n"/>
      <c r="O371" s="95" t="n"/>
      <c r="P371" s="95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  <c r="Z371" s="46" t="n"/>
    </row>
    <row r="372" ht="12.75" customHeight="1">
      <c r="A372" s="100" t="n"/>
      <c r="B372" s="101" t="n"/>
      <c r="C372" s="102" t="n"/>
      <c r="D372" s="99" t="n"/>
      <c r="E372" s="95" t="n"/>
      <c r="F372" s="95" t="n"/>
      <c r="G372" s="94" t="n"/>
      <c r="H372" s="46" t="n"/>
      <c r="I372" s="46" t="n"/>
      <c r="J372" s="46" t="n"/>
      <c r="K372" s="46" t="n"/>
      <c r="L372" s="95" t="n"/>
      <c r="M372" s="95" t="n"/>
      <c r="N372" s="95" t="n"/>
      <c r="O372" s="95" t="n"/>
      <c r="P372" s="95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  <c r="Z372" s="46" t="n"/>
    </row>
    <row r="373" ht="12.75" customHeight="1">
      <c r="A373" s="100" t="n"/>
      <c r="B373" s="101" t="n"/>
      <c r="C373" s="102" t="n"/>
      <c r="D373" s="99" t="n"/>
      <c r="E373" s="95" t="n"/>
      <c r="F373" s="95" t="n"/>
      <c r="G373" s="94" t="n"/>
      <c r="H373" s="46" t="n"/>
      <c r="I373" s="46" t="n"/>
      <c r="J373" s="46" t="n"/>
      <c r="K373" s="46" t="n"/>
      <c r="L373" s="95" t="n"/>
      <c r="M373" s="95" t="n"/>
      <c r="N373" s="95" t="n"/>
      <c r="O373" s="95" t="n"/>
      <c r="P373" s="95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  <c r="Z373" s="46" t="n"/>
    </row>
    <row r="374" ht="12.75" customHeight="1">
      <c r="A374" s="100" t="n"/>
      <c r="B374" s="101" t="n"/>
      <c r="C374" s="102" t="n"/>
      <c r="D374" s="99" t="n"/>
      <c r="E374" s="95" t="n"/>
      <c r="F374" s="95" t="n"/>
      <c r="G374" s="94" t="n"/>
      <c r="H374" s="46" t="n"/>
      <c r="I374" s="46" t="n"/>
      <c r="J374" s="46" t="n"/>
      <c r="K374" s="46" t="n"/>
      <c r="L374" s="95" t="n"/>
      <c r="M374" s="95" t="n"/>
      <c r="N374" s="95" t="n"/>
      <c r="O374" s="95" t="n"/>
      <c r="P374" s="95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  <c r="Z374" s="46" t="n"/>
    </row>
    <row r="375" ht="12.75" customHeight="1">
      <c r="A375" s="100" t="n"/>
      <c r="B375" s="101" t="n"/>
      <c r="C375" s="102" t="n"/>
      <c r="D375" s="99" t="n"/>
      <c r="E375" s="95" t="n"/>
      <c r="F375" s="95" t="n"/>
      <c r="G375" s="94" t="n"/>
      <c r="H375" s="46" t="n"/>
      <c r="I375" s="46" t="n"/>
      <c r="J375" s="46" t="n"/>
      <c r="K375" s="46" t="n"/>
      <c r="L375" s="95" t="n"/>
      <c r="M375" s="95" t="n"/>
      <c r="N375" s="95" t="n"/>
      <c r="O375" s="95" t="n"/>
      <c r="P375" s="95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  <c r="Z375" s="46" t="n"/>
    </row>
    <row r="376" ht="12.75" customHeight="1">
      <c r="A376" s="100" t="n"/>
      <c r="B376" s="101" t="n"/>
      <c r="C376" s="102" t="n"/>
      <c r="D376" s="99" t="n"/>
      <c r="E376" s="95" t="n"/>
      <c r="F376" s="95" t="n"/>
      <c r="G376" s="94" t="n"/>
      <c r="H376" s="46" t="n"/>
      <c r="I376" s="46" t="n"/>
      <c r="J376" s="46" t="n"/>
      <c r="K376" s="46" t="n"/>
      <c r="L376" s="95" t="n"/>
      <c r="M376" s="95" t="n"/>
      <c r="N376" s="95" t="n"/>
      <c r="O376" s="95" t="n"/>
      <c r="P376" s="95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  <c r="Z376" s="46" t="n"/>
    </row>
    <row r="377" ht="12.75" customHeight="1">
      <c r="A377" s="100" t="n"/>
      <c r="B377" s="101" t="n"/>
      <c r="C377" s="102" t="n"/>
      <c r="D377" s="99" t="n"/>
      <c r="E377" s="95" t="n"/>
      <c r="F377" s="95" t="n"/>
      <c r="G377" s="94" t="n"/>
      <c r="H377" s="46" t="n"/>
      <c r="I377" s="46" t="n"/>
      <c r="J377" s="46" t="n"/>
      <c r="K377" s="46" t="n"/>
      <c r="L377" s="95" t="n"/>
      <c r="M377" s="95" t="n"/>
      <c r="N377" s="95" t="n"/>
      <c r="O377" s="95" t="n"/>
      <c r="P377" s="95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  <c r="Z377" s="46" t="n"/>
    </row>
    <row r="378" ht="12.75" customHeight="1">
      <c r="A378" s="100" t="n"/>
      <c r="B378" s="101" t="n"/>
      <c r="C378" s="102" t="n"/>
      <c r="D378" s="99" t="n"/>
      <c r="E378" s="95" t="n"/>
      <c r="F378" s="95" t="n"/>
      <c r="G378" s="94" t="n"/>
      <c r="H378" s="46" t="n"/>
      <c r="I378" s="46" t="n"/>
      <c r="J378" s="46" t="n"/>
      <c r="K378" s="46" t="n"/>
      <c r="L378" s="95" t="n"/>
      <c r="M378" s="95" t="n"/>
      <c r="N378" s="95" t="n"/>
      <c r="O378" s="95" t="n"/>
      <c r="P378" s="95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  <c r="Z378" s="46" t="n"/>
    </row>
    <row r="379" ht="12.75" customHeight="1">
      <c r="A379" s="100" t="n"/>
      <c r="B379" s="101" t="n"/>
      <c r="C379" s="102" t="n"/>
      <c r="D379" s="99" t="n"/>
      <c r="E379" s="95" t="n"/>
      <c r="F379" s="95" t="n"/>
      <c r="G379" s="94" t="n"/>
      <c r="H379" s="46" t="n"/>
      <c r="I379" s="46" t="n"/>
      <c r="J379" s="46" t="n"/>
      <c r="K379" s="46" t="n"/>
      <c r="L379" s="95" t="n"/>
      <c r="M379" s="95" t="n"/>
      <c r="N379" s="95" t="n"/>
      <c r="O379" s="95" t="n"/>
      <c r="P379" s="95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  <c r="Z379" s="46" t="n"/>
    </row>
    <row r="380" ht="12.75" customHeight="1">
      <c r="A380" s="100" t="n"/>
      <c r="B380" s="101" t="n"/>
      <c r="C380" s="102" t="n"/>
      <c r="D380" s="99" t="n"/>
      <c r="E380" s="95" t="n"/>
      <c r="F380" s="95" t="n"/>
      <c r="G380" s="94" t="n"/>
      <c r="H380" s="46" t="n"/>
      <c r="I380" s="46" t="n"/>
      <c r="J380" s="46" t="n"/>
      <c r="K380" s="46" t="n"/>
      <c r="L380" s="95" t="n"/>
      <c r="M380" s="95" t="n"/>
      <c r="N380" s="95" t="n"/>
      <c r="O380" s="95" t="n"/>
      <c r="P380" s="95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  <c r="Z380" s="46" t="n"/>
    </row>
    <row r="381" ht="12.75" customHeight="1">
      <c r="A381" s="100" t="n"/>
      <c r="B381" s="101" t="n"/>
      <c r="C381" s="102" t="n"/>
      <c r="D381" s="99" t="n"/>
      <c r="E381" s="95" t="n"/>
      <c r="F381" s="95" t="n"/>
      <c r="G381" s="94" t="n"/>
      <c r="H381" s="46" t="n"/>
      <c r="I381" s="46" t="n"/>
      <c r="J381" s="46" t="n"/>
      <c r="K381" s="46" t="n"/>
      <c r="L381" s="95" t="n"/>
      <c r="M381" s="95" t="n"/>
      <c r="N381" s="95" t="n"/>
      <c r="O381" s="95" t="n"/>
      <c r="P381" s="95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  <c r="Z381" s="46" t="n"/>
    </row>
    <row r="382" ht="12.75" customHeight="1">
      <c r="A382" s="100" t="n"/>
      <c r="B382" s="101" t="n"/>
      <c r="C382" s="102" t="n"/>
      <c r="D382" s="99" t="n"/>
      <c r="E382" s="95" t="n"/>
      <c r="F382" s="95" t="n"/>
      <c r="G382" s="94" t="n"/>
      <c r="H382" s="46" t="n"/>
      <c r="I382" s="46" t="n"/>
      <c r="J382" s="46" t="n"/>
      <c r="K382" s="46" t="n"/>
      <c r="L382" s="95" t="n"/>
      <c r="M382" s="95" t="n"/>
      <c r="N382" s="95" t="n"/>
      <c r="O382" s="95" t="n"/>
      <c r="P382" s="95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  <c r="Z382" s="46" t="n"/>
    </row>
    <row r="383" ht="12.75" customHeight="1">
      <c r="A383" s="100" t="n"/>
      <c r="B383" s="101" t="n"/>
      <c r="C383" s="102" t="n"/>
      <c r="D383" s="99" t="n"/>
      <c r="E383" s="95" t="n"/>
      <c r="F383" s="95" t="n"/>
      <c r="G383" s="94" t="n"/>
      <c r="H383" s="46" t="n"/>
      <c r="I383" s="46" t="n"/>
      <c r="J383" s="46" t="n"/>
      <c r="K383" s="46" t="n"/>
      <c r="L383" s="95" t="n"/>
      <c r="M383" s="95" t="n"/>
      <c r="N383" s="95" t="n"/>
      <c r="O383" s="95" t="n"/>
      <c r="P383" s="95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  <c r="Z383" s="46" t="n"/>
    </row>
    <row r="384" ht="12.75" customHeight="1">
      <c r="A384" s="100" t="n"/>
      <c r="B384" s="101" t="n"/>
      <c r="C384" s="102" t="n"/>
      <c r="D384" s="99" t="n"/>
      <c r="E384" s="95" t="n"/>
      <c r="F384" s="95" t="n"/>
      <c r="G384" s="94" t="n"/>
      <c r="H384" s="46" t="n"/>
      <c r="I384" s="46" t="n"/>
      <c r="J384" s="46" t="n"/>
      <c r="K384" s="46" t="n"/>
      <c r="L384" s="95" t="n"/>
      <c r="M384" s="95" t="n"/>
      <c r="N384" s="95" t="n"/>
      <c r="O384" s="95" t="n"/>
      <c r="P384" s="95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  <c r="Z384" s="46" t="n"/>
    </row>
    <row r="385" ht="12.75" customHeight="1">
      <c r="A385" s="100" t="n"/>
      <c r="B385" s="101" t="n"/>
      <c r="C385" s="102" t="n"/>
      <c r="D385" s="99" t="n"/>
      <c r="E385" s="95" t="n"/>
      <c r="F385" s="95" t="n"/>
      <c r="G385" s="94" t="n"/>
      <c r="H385" s="46" t="n"/>
      <c r="I385" s="46" t="n"/>
      <c r="J385" s="46" t="n"/>
      <c r="K385" s="46" t="n"/>
      <c r="L385" s="95" t="n"/>
      <c r="M385" s="95" t="n"/>
      <c r="N385" s="95" t="n"/>
      <c r="O385" s="95" t="n"/>
      <c r="P385" s="95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  <c r="Z385" s="46" t="n"/>
    </row>
    <row r="386" ht="12.75" customHeight="1">
      <c r="A386" s="100" t="n"/>
      <c r="B386" s="101" t="n"/>
      <c r="C386" s="102" t="n"/>
      <c r="D386" s="99" t="n"/>
      <c r="E386" s="95" t="n"/>
      <c r="F386" s="95" t="n"/>
      <c r="G386" s="94" t="n"/>
      <c r="H386" s="46" t="n"/>
      <c r="I386" s="46" t="n"/>
      <c r="J386" s="46" t="n"/>
      <c r="K386" s="46" t="n"/>
      <c r="L386" s="95" t="n"/>
      <c r="M386" s="95" t="n"/>
      <c r="N386" s="95" t="n"/>
      <c r="O386" s="95" t="n"/>
      <c r="P386" s="95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  <c r="Z386" s="46" t="n"/>
    </row>
    <row r="387" ht="12.75" customHeight="1">
      <c r="A387" s="100" t="n"/>
      <c r="B387" s="101" t="n"/>
      <c r="C387" s="102" t="n"/>
      <c r="D387" s="99" t="n"/>
      <c r="E387" s="95" t="n"/>
      <c r="F387" s="95" t="n"/>
      <c r="G387" s="94" t="n"/>
      <c r="H387" s="46" t="n"/>
      <c r="I387" s="46" t="n"/>
      <c r="J387" s="46" t="n"/>
      <c r="K387" s="46" t="n"/>
      <c r="L387" s="95" t="n"/>
      <c r="M387" s="95" t="n"/>
      <c r="N387" s="95" t="n"/>
      <c r="O387" s="95" t="n"/>
      <c r="P387" s="95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  <c r="Z387" s="46" t="n"/>
    </row>
    <row r="388" ht="12.75" customHeight="1">
      <c r="A388" s="100" t="n"/>
      <c r="B388" s="101" t="n"/>
      <c r="C388" s="102" t="n"/>
      <c r="D388" s="99" t="n"/>
      <c r="E388" s="95" t="n"/>
      <c r="F388" s="95" t="n"/>
      <c r="G388" s="94" t="n"/>
      <c r="H388" s="46" t="n"/>
      <c r="I388" s="46" t="n"/>
      <c r="J388" s="46" t="n"/>
      <c r="K388" s="46" t="n"/>
      <c r="L388" s="95" t="n"/>
      <c r="M388" s="95" t="n"/>
      <c r="N388" s="95" t="n"/>
      <c r="O388" s="95" t="n"/>
      <c r="P388" s="95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  <c r="Z388" s="46" t="n"/>
    </row>
    <row r="389" ht="12.75" customHeight="1">
      <c r="A389" s="100" t="n"/>
      <c r="B389" s="101" t="n"/>
      <c r="C389" s="102" t="n"/>
      <c r="D389" s="99" t="n"/>
      <c r="E389" s="95" t="n"/>
      <c r="F389" s="95" t="n"/>
      <c r="G389" s="94" t="n"/>
      <c r="H389" s="46" t="n"/>
      <c r="I389" s="46" t="n"/>
      <c r="J389" s="46" t="n"/>
      <c r="K389" s="46" t="n"/>
      <c r="L389" s="95" t="n"/>
      <c r="M389" s="95" t="n"/>
      <c r="N389" s="95" t="n"/>
      <c r="O389" s="95" t="n"/>
      <c r="P389" s="95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  <c r="Z389" s="46" t="n"/>
    </row>
    <row r="390" ht="12.75" customHeight="1">
      <c r="A390" s="100" t="n"/>
      <c r="B390" s="101" t="n"/>
      <c r="C390" s="102" t="n"/>
      <c r="D390" s="99" t="n"/>
      <c r="E390" s="95" t="n"/>
      <c r="F390" s="95" t="n"/>
      <c r="G390" s="94" t="n"/>
      <c r="H390" s="46" t="n"/>
      <c r="I390" s="46" t="n"/>
      <c r="J390" s="46" t="n"/>
      <c r="K390" s="46" t="n"/>
      <c r="L390" s="95" t="n"/>
      <c r="M390" s="95" t="n"/>
      <c r="N390" s="95" t="n"/>
      <c r="O390" s="95" t="n"/>
      <c r="P390" s="95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  <c r="Z390" s="46" t="n"/>
    </row>
    <row r="391" ht="12.75" customHeight="1">
      <c r="A391" s="100" t="n"/>
      <c r="B391" s="101" t="n"/>
      <c r="C391" s="102" t="n"/>
      <c r="D391" s="99" t="n"/>
      <c r="E391" s="95" t="n"/>
      <c r="F391" s="95" t="n"/>
      <c r="G391" s="94" t="n"/>
      <c r="H391" s="46" t="n"/>
      <c r="I391" s="46" t="n"/>
      <c r="J391" s="46" t="n"/>
      <c r="K391" s="46" t="n"/>
      <c r="L391" s="95" t="n"/>
      <c r="M391" s="95" t="n"/>
      <c r="N391" s="95" t="n"/>
      <c r="O391" s="95" t="n"/>
      <c r="P391" s="95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  <c r="Z391" s="46" t="n"/>
    </row>
    <row r="392" ht="12.75" customHeight="1">
      <c r="A392" s="100" t="n"/>
      <c r="B392" s="101" t="n"/>
      <c r="C392" s="102" t="n"/>
      <c r="D392" s="99" t="n"/>
      <c r="E392" s="95" t="n"/>
      <c r="F392" s="95" t="n"/>
      <c r="G392" s="94" t="n"/>
      <c r="H392" s="46" t="n"/>
      <c r="I392" s="46" t="n"/>
      <c r="J392" s="46" t="n"/>
      <c r="K392" s="46" t="n"/>
      <c r="L392" s="95" t="n"/>
      <c r="M392" s="95" t="n"/>
      <c r="N392" s="95" t="n"/>
      <c r="O392" s="95" t="n"/>
      <c r="P392" s="95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  <c r="Z392" s="46" t="n"/>
    </row>
    <row r="393" ht="12.75" customHeight="1">
      <c r="A393" s="100" t="n"/>
      <c r="B393" s="101" t="n"/>
      <c r="C393" s="102" t="n"/>
      <c r="D393" s="99" t="n"/>
      <c r="E393" s="95" t="n"/>
      <c r="F393" s="95" t="n"/>
      <c r="G393" s="94" t="n"/>
      <c r="H393" s="46" t="n"/>
      <c r="I393" s="46" t="n"/>
      <c r="J393" s="46" t="n"/>
      <c r="K393" s="46" t="n"/>
      <c r="L393" s="95" t="n"/>
      <c r="M393" s="95" t="n"/>
      <c r="N393" s="95" t="n"/>
      <c r="O393" s="95" t="n"/>
      <c r="P393" s="95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  <c r="Z393" s="46" t="n"/>
    </row>
    <row r="394" ht="12.75" customHeight="1">
      <c r="A394" s="100" t="n"/>
      <c r="B394" s="101" t="n"/>
      <c r="C394" s="102" t="n"/>
      <c r="D394" s="99" t="n"/>
      <c r="E394" s="95" t="n"/>
      <c r="F394" s="95" t="n"/>
      <c r="G394" s="94" t="n"/>
      <c r="H394" s="46" t="n"/>
      <c r="I394" s="46" t="n"/>
      <c r="J394" s="46" t="n"/>
      <c r="K394" s="46" t="n"/>
      <c r="L394" s="95" t="n"/>
      <c r="M394" s="95" t="n"/>
      <c r="N394" s="95" t="n"/>
      <c r="O394" s="95" t="n"/>
      <c r="P394" s="95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  <c r="Z394" s="46" t="n"/>
    </row>
    <row r="395" ht="12.75" customHeight="1">
      <c r="A395" s="100" t="n"/>
      <c r="B395" s="101" t="n"/>
      <c r="C395" s="102" t="n"/>
      <c r="D395" s="99" t="n"/>
      <c r="E395" s="95" t="n"/>
      <c r="F395" s="95" t="n"/>
      <c r="G395" s="94" t="n"/>
      <c r="H395" s="46" t="n"/>
      <c r="I395" s="46" t="n"/>
      <c r="J395" s="46" t="n"/>
      <c r="K395" s="46" t="n"/>
      <c r="L395" s="95" t="n"/>
      <c r="M395" s="95" t="n"/>
      <c r="N395" s="95" t="n"/>
      <c r="O395" s="95" t="n"/>
      <c r="P395" s="95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  <c r="Z395" s="46" t="n"/>
    </row>
    <row r="396" ht="12.75" customHeight="1">
      <c r="A396" s="100" t="n"/>
      <c r="B396" s="101" t="n"/>
      <c r="C396" s="102" t="n"/>
      <c r="D396" s="99" t="n"/>
      <c r="E396" s="95" t="n"/>
      <c r="F396" s="95" t="n"/>
      <c r="G396" s="94" t="n"/>
      <c r="H396" s="46" t="n"/>
      <c r="I396" s="46" t="n"/>
      <c r="J396" s="46" t="n"/>
      <c r="K396" s="46" t="n"/>
      <c r="L396" s="95" t="n"/>
      <c r="M396" s="95" t="n"/>
      <c r="N396" s="95" t="n"/>
      <c r="O396" s="95" t="n"/>
      <c r="P396" s="95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  <c r="Z396" s="46" t="n"/>
    </row>
    <row r="397" ht="12.75" customHeight="1">
      <c r="A397" s="100" t="n"/>
      <c r="B397" s="101" t="n"/>
      <c r="C397" s="102" t="n"/>
      <c r="D397" s="99" t="n"/>
      <c r="E397" s="95" t="n"/>
      <c r="F397" s="95" t="n"/>
      <c r="G397" s="94" t="n"/>
      <c r="H397" s="46" t="n"/>
      <c r="I397" s="46" t="n"/>
      <c r="J397" s="46" t="n"/>
      <c r="K397" s="46" t="n"/>
      <c r="L397" s="95" t="n"/>
      <c r="M397" s="95" t="n"/>
      <c r="N397" s="95" t="n"/>
      <c r="O397" s="95" t="n"/>
      <c r="P397" s="95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  <c r="Z397" s="46" t="n"/>
    </row>
    <row r="398" ht="12.75" customHeight="1">
      <c r="A398" s="100" t="n"/>
      <c r="B398" s="101" t="n"/>
      <c r="C398" s="102" t="n"/>
      <c r="D398" s="99" t="n"/>
      <c r="E398" s="95" t="n"/>
      <c r="F398" s="95" t="n"/>
      <c r="G398" s="94" t="n"/>
      <c r="H398" s="46" t="n"/>
      <c r="I398" s="46" t="n"/>
      <c r="J398" s="46" t="n"/>
      <c r="K398" s="46" t="n"/>
      <c r="L398" s="95" t="n"/>
      <c r="M398" s="95" t="n"/>
      <c r="N398" s="95" t="n"/>
      <c r="O398" s="95" t="n"/>
      <c r="P398" s="95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  <c r="Z398" s="46" t="n"/>
    </row>
    <row r="399" ht="12.75" customHeight="1">
      <c r="A399" s="100" t="n"/>
      <c r="B399" s="101" t="n"/>
      <c r="C399" s="102" t="n"/>
      <c r="D399" s="99" t="n"/>
      <c r="E399" s="95" t="n"/>
      <c r="F399" s="95" t="n"/>
      <c r="G399" s="94" t="n"/>
      <c r="H399" s="46" t="n"/>
      <c r="I399" s="46" t="n"/>
      <c r="J399" s="46" t="n"/>
      <c r="K399" s="46" t="n"/>
      <c r="L399" s="95" t="n"/>
      <c r="M399" s="95" t="n"/>
      <c r="N399" s="95" t="n"/>
      <c r="O399" s="95" t="n"/>
      <c r="P399" s="95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  <c r="Z399" s="46" t="n"/>
    </row>
    <row r="400" ht="12.75" customHeight="1">
      <c r="A400" s="100" t="n"/>
      <c r="B400" s="101" t="n"/>
      <c r="C400" s="102" t="n"/>
      <c r="D400" s="99" t="n"/>
      <c r="E400" s="95" t="n"/>
      <c r="F400" s="95" t="n"/>
      <c r="G400" s="94" t="n"/>
      <c r="H400" s="46" t="n"/>
      <c r="I400" s="46" t="n"/>
      <c r="J400" s="46" t="n"/>
      <c r="K400" s="46" t="n"/>
      <c r="L400" s="95" t="n"/>
      <c r="M400" s="95" t="n"/>
      <c r="N400" s="95" t="n"/>
      <c r="O400" s="95" t="n"/>
      <c r="P400" s="95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  <c r="Z400" s="46" t="n"/>
    </row>
    <row r="401" ht="12.75" customHeight="1">
      <c r="A401" s="100" t="n"/>
      <c r="B401" s="101" t="n"/>
      <c r="C401" s="102" t="n"/>
      <c r="D401" s="99" t="n"/>
      <c r="E401" s="95" t="n"/>
      <c r="F401" s="95" t="n"/>
      <c r="G401" s="94" t="n"/>
      <c r="H401" s="46" t="n"/>
      <c r="I401" s="46" t="n"/>
      <c r="J401" s="46" t="n"/>
      <c r="K401" s="46" t="n"/>
      <c r="L401" s="95" t="n"/>
      <c r="M401" s="95" t="n"/>
      <c r="N401" s="95" t="n"/>
      <c r="O401" s="95" t="n"/>
      <c r="P401" s="95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  <c r="Z401" s="46" t="n"/>
    </row>
    <row r="402" ht="12.75" customHeight="1">
      <c r="A402" s="100" t="n"/>
      <c r="B402" s="101" t="n"/>
      <c r="C402" s="102" t="n"/>
      <c r="D402" s="99" t="n"/>
      <c r="E402" s="95" t="n"/>
      <c r="F402" s="95" t="n"/>
      <c r="G402" s="94" t="n"/>
      <c r="H402" s="46" t="n"/>
      <c r="I402" s="46" t="n"/>
      <c r="J402" s="46" t="n"/>
      <c r="K402" s="46" t="n"/>
      <c r="L402" s="95" t="n"/>
      <c r="M402" s="95" t="n"/>
      <c r="N402" s="95" t="n"/>
      <c r="O402" s="95" t="n"/>
      <c r="P402" s="95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  <c r="Z402" s="46" t="n"/>
    </row>
    <row r="403" ht="12.75" customHeight="1">
      <c r="A403" s="100" t="n"/>
      <c r="B403" s="101" t="n"/>
      <c r="C403" s="102" t="n"/>
      <c r="D403" s="99" t="n"/>
      <c r="E403" s="95" t="n"/>
      <c r="F403" s="95" t="n"/>
      <c r="G403" s="94" t="n"/>
      <c r="H403" s="46" t="n"/>
      <c r="I403" s="46" t="n"/>
      <c r="J403" s="46" t="n"/>
      <c r="K403" s="46" t="n"/>
      <c r="L403" s="95" t="n"/>
      <c r="M403" s="95" t="n"/>
      <c r="N403" s="95" t="n"/>
      <c r="O403" s="95" t="n"/>
      <c r="P403" s="95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  <c r="Z403" s="46" t="n"/>
    </row>
    <row r="404" ht="12.75" customHeight="1">
      <c r="A404" s="100" t="n"/>
      <c r="B404" s="101" t="n"/>
      <c r="C404" s="102" t="n"/>
      <c r="D404" s="99" t="n"/>
      <c r="E404" s="95" t="n"/>
      <c r="F404" s="95" t="n"/>
      <c r="G404" s="94" t="n"/>
      <c r="H404" s="46" t="n"/>
      <c r="I404" s="46" t="n"/>
      <c r="J404" s="46" t="n"/>
      <c r="K404" s="46" t="n"/>
      <c r="L404" s="95" t="n"/>
      <c r="M404" s="95" t="n"/>
      <c r="N404" s="95" t="n"/>
      <c r="O404" s="95" t="n"/>
      <c r="P404" s="95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  <c r="Z404" s="46" t="n"/>
    </row>
    <row r="405" ht="12.75" customHeight="1">
      <c r="A405" s="100" t="n"/>
      <c r="B405" s="101" t="n"/>
      <c r="C405" s="102" t="n"/>
      <c r="D405" s="99" t="n"/>
      <c r="E405" s="95" t="n"/>
      <c r="F405" s="95" t="n"/>
      <c r="G405" s="94" t="n"/>
      <c r="H405" s="46" t="n"/>
      <c r="I405" s="46" t="n"/>
      <c r="J405" s="46" t="n"/>
      <c r="K405" s="46" t="n"/>
      <c r="L405" s="95" t="n"/>
      <c r="M405" s="95" t="n"/>
      <c r="N405" s="95" t="n"/>
      <c r="O405" s="95" t="n"/>
      <c r="P405" s="95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  <c r="Z405" s="46" t="n"/>
    </row>
    <row r="406" ht="12.75" customHeight="1">
      <c r="A406" s="100" t="n"/>
      <c r="B406" s="101" t="n"/>
      <c r="C406" s="102" t="n"/>
      <c r="D406" s="99" t="n"/>
      <c r="E406" s="95" t="n"/>
      <c r="F406" s="95" t="n"/>
      <c r="G406" s="94" t="n"/>
      <c r="H406" s="46" t="n"/>
      <c r="I406" s="46" t="n"/>
      <c r="J406" s="46" t="n"/>
      <c r="K406" s="46" t="n"/>
      <c r="L406" s="95" t="n"/>
      <c r="M406" s="95" t="n"/>
      <c r="N406" s="95" t="n"/>
      <c r="O406" s="95" t="n"/>
      <c r="P406" s="95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  <c r="Z406" s="46" t="n"/>
    </row>
    <row r="407" ht="12.75" customHeight="1">
      <c r="A407" s="100" t="n"/>
      <c r="B407" s="101" t="n"/>
      <c r="C407" s="102" t="n"/>
      <c r="D407" s="99" t="n"/>
      <c r="E407" s="95" t="n"/>
      <c r="F407" s="95" t="n"/>
      <c r="G407" s="94" t="n"/>
      <c r="H407" s="46" t="n"/>
      <c r="I407" s="46" t="n"/>
      <c r="J407" s="46" t="n"/>
      <c r="K407" s="46" t="n"/>
      <c r="L407" s="95" t="n"/>
      <c r="M407" s="95" t="n"/>
      <c r="N407" s="95" t="n"/>
      <c r="O407" s="95" t="n"/>
      <c r="P407" s="95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  <c r="Z407" s="46" t="n"/>
    </row>
    <row r="408" ht="12.75" customHeight="1">
      <c r="A408" s="100" t="n"/>
      <c r="B408" s="101" t="n"/>
      <c r="C408" s="102" t="n"/>
      <c r="D408" s="99" t="n"/>
      <c r="E408" s="95" t="n"/>
      <c r="F408" s="95" t="n"/>
      <c r="G408" s="94" t="n"/>
      <c r="H408" s="46" t="n"/>
      <c r="I408" s="46" t="n"/>
      <c r="J408" s="46" t="n"/>
      <c r="K408" s="46" t="n"/>
      <c r="L408" s="95" t="n"/>
      <c r="M408" s="95" t="n"/>
      <c r="N408" s="95" t="n"/>
      <c r="O408" s="95" t="n"/>
      <c r="P408" s="95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  <c r="Z408" s="46" t="n"/>
    </row>
    <row r="409" ht="12.75" customHeight="1">
      <c r="A409" s="100" t="n"/>
      <c r="B409" s="101" t="n"/>
      <c r="C409" s="102" t="n"/>
      <c r="D409" s="99" t="n"/>
      <c r="E409" s="95" t="n"/>
      <c r="F409" s="95" t="n"/>
      <c r="G409" s="94" t="n"/>
      <c r="H409" s="46" t="n"/>
      <c r="I409" s="46" t="n"/>
      <c r="J409" s="46" t="n"/>
      <c r="K409" s="46" t="n"/>
      <c r="L409" s="95" t="n"/>
      <c r="M409" s="95" t="n"/>
      <c r="N409" s="95" t="n"/>
      <c r="O409" s="95" t="n"/>
      <c r="P409" s="95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  <c r="Z409" s="46" t="n"/>
    </row>
    <row r="410" ht="12.75" customHeight="1">
      <c r="A410" s="100" t="n"/>
      <c r="B410" s="101" t="n"/>
      <c r="C410" s="102" t="n"/>
      <c r="D410" s="99" t="n"/>
      <c r="E410" s="95" t="n"/>
      <c r="F410" s="95" t="n"/>
      <c r="G410" s="94" t="n"/>
      <c r="H410" s="46" t="n"/>
      <c r="I410" s="46" t="n"/>
      <c r="J410" s="46" t="n"/>
      <c r="K410" s="46" t="n"/>
      <c r="L410" s="95" t="n"/>
      <c r="M410" s="95" t="n"/>
      <c r="N410" s="95" t="n"/>
      <c r="O410" s="95" t="n"/>
      <c r="P410" s="95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  <c r="Z410" s="46" t="n"/>
    </row>
    <row r="411" ht="12.75" customHeight="1">
      <c r="A411" s="100" t="n"/>
      <c r="B411" s="101" t="n"/>
      <c r="C411" s="102" t="n"/>
      <c r="D411" s="99" t="n"/>
      <c r="E411" s="95" t="n"/>
      <c r="F411" s="95" t="n"/>
      <c r="G411" s="94" t="n"/>
      <c r="H411" s="46" t="n"/>
      <c r="I411" s="46" t="n"/>
      <c r="J411" s="46" t="n"/>
      <c r="K411" s="46" t="n"/>
      <c r="L411" s="95" t="n"/>
      <c r="M411" s="95" t="n"/>
      <c r="N411" s="95" t="n"/>
      <c r="O411" s="95" t="n"/>
      <c r="P411" s="95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  <c r="Z411" s="46" t="n"/>
    </row>
    <row r="412" ht="12.75" customHeight="1">
      <c r="A412" s="100" t="n"/>
      <c r="B412" s="101" t="n"/>
      <c r="C412" s="102" t="n"/>
      <c r="D412" s="99" t="n"/>
      <c r="E412" s="95" t="n"/>
      <c r="F412" s="95" t="n"/>
      <c r="G412" s="94" t="n"/>
      <c r="H412" s="46" t="n"/>
      <c r="I412" s="46" t="n"/>
      <c r="J412" s="46" t="n"/>
      <c r="K412" s="46" t="n"/>
      <c r="L412" s="95" t="n"/>
      <c r="M412" s="95" t="n"/>
      <c r="N412" s="95" t="n"/>
      <c r="O412" s="95" t="n"/>
      <c r="P412" s="95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  <c r="Z412" s="46" t="n"/>
    </row>
    <row r="413" ht="12.75" customHeight="1">
      <c r="A413" s="100" t="n"/>
      <c r="B413" s="101" t="n"/>
      <c r="C413" s="102" t="n"/>
      <c r="D413" s="99" t="n"/>
      <c r="E413" s="95" t="n"/>
      <c r="F413" s="95" t="n"/>
      <c r="G413" s="94" t="n"/>
      <c r="H413" s="46" t="n"/>
      <c r="I413" s="46" t="n"/>
      <c r="J413" s="46" t="n"/>
      <c r="K413" s="46" t="n"/>
      <c r="L413" s="95" t="n"/>
      <c r="M413" s="95" t="n"/>
      <c r="N413" s="95" t="n"/>
      <c r="O413" s="95" t="n"/>
      <c r="P413" s="95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  <c r="Z413" s="46" t="n"/>
    </row>
    <row r="414" ht="12.75" customHeight="1">
      <c r="A414" s="100" t="n"/>
      <c r="B414" s="101" t="n"/>
      <c r="C414" s="102" t="n"/>
      <c r="D414" s="99" t="n"/>
      <c r="E414" s="95" t="n"/>
      <c r="F414" s="95" t="n"/>
      <c r="G414" s="94" t="n"/>
      <c r="H414" s="46" t="n"/>
      <c r="I414" s="46" t="n"/>
      <c r="J414" s="46" t="n"/>
      <c r="K414" s="46" t="n"/>
      <c r="L414" s="95" t="n"/>
      <c r="M414" s="95" t="n"/>
      <c r="N414" s="95" t="n"/>
      <c r="O414" s="95" t="n"/>
      <c r="P414" s="95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  <c r="Z414" s="46" t="n"/>
    </row>
    <row r="415" ht="12.75" customHeight="1">
      <c r="A415" s="100" t="n"/>
      <c r="B415" s="101" t="n"/>
      <c r="C415" s="102" t="n"/>
      <c r="D415" s="99" t="n"/>
      <c r="E415" s="95" t="n"/>
      <c r="F415" s="95" t="n"/>
      <c r="G415" s="94" t="n"/>
      <c r="H415" s="46" t="n"/>
      <c r="I415" s="46" t="n"/>
      <c r="J415" s="46" t="n"/>
      <c r="K415" s="46" t="n"/>
      <c r="L415" s="95" t="n"/>
      <c r="M415" s="95" t="n"/>
      <c r="N415" s="95" t="n"/>
      <c r="O415" s="95" t="n"/>
      <c r="P415" s="95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  <c r="Z415" s="46" t="n"/>
    </row>
    <row r="416" ht="12.75" customHeight="1">
      <c r="A416" s="100" t="n"/>
      <c r="B416" s="101" t="n"/>
      <c r="C416" s="102" t="n"/>
      <c r="D416" s="99" t="n"/>
      <c r="E416" s="95" t="n"/>
      <c r="F416" s="95" t="n"/>
      <c r="G416" s="94" t="n"/>
      <c r="H416" s="46" t="n"/>
      <c r="I416" s="46" t="n"/>
      <c r="J416" s="46" t="n"/>
      <c r="K416" s="46" t="n"/>
      <c r="L416" s="95" t="n"/>
      <c r="M416" s="95" t="n"/>
      <c r="N416" s="95" t="n"/>
      <c r="O416" s="95" t="n"/>
      <c r="P416" s="95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  <c r="Z416" s="46" t="n"/>
    </row>
    <row r="417" ht="12.75" customHeight="1">
      <c r="A417" s="100" t="n"/>
      <c r="B417" s="101" t="n"/>
      <c r="C417" s="102" t="n"/>
      <c r="D417" s="99" t="n"/>
      <c r="E417" s="95" t="n"/>
      <c r="F417" s="95" t="n"/>
      <c r="G417" s="94" t="n"/>
      <c r="H417" s="46" t="n"/>
      <c r="I417" s="46" t="n"/>
      <c r="J417" s="46" t="n"/>
      <c r="K417" s="46" t="n"/>
      <c r="L417" s="95" t="n"/>
      <c r="M417" s="95" t="n"/>
      <c r="N417" s="95" t="n"/>
      <c r="O417" s="95" t="n"/>
      <c r="P417" s="95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  <c r="Z417" s="46" t="n"/>
    </row>
    <row r="418" ht="12.75" customHeight="1">
      <c r="A418" s="100" t="n"/>
      <c r="B418" s="101" t="n"/>
      <c r="C418" s="102" t="n"/>
      <c r="D418" s="99" t="n"/>
      <c r="E418" s="95" t="n"/>
      <c r="F418" s="95" t="n"/>
      <c r="G418" s="94" t="n"/>
      <c r="H418" s="46" t="n"/>
      <c r="I418" s="46" t="n"/>
      <c r="J418" s="46" t="n"/>
      <c r="K418" s="46" t="n"/>
      <c r="L418" s="95" t="n"/>
      <c r="M418" s="95" t="n"/>
      <c r="N418" s="95" t="n"/>
      <c r="O418" s="95" t="n"/>
      <c r="P418" s="95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  <c r="Z418" s="46" t="n"/>
    </row>
    <row r="419" ht="12.75" customHeight="1">
      <c r="A419" s="100" t="n"/>
      <c r="B419" s="101" t="n"/>
      <c r="C419" s="102" t="n"/>
      <c r="D419" s="99" t="n"/>
      <c r="E419" s="95" t="n"/>
      <c r="F419" s="95" t="n"/>
      <c r="G419" s="94" t="n"/>
      <c r="H419" s="46" t="n"/>
      <c r="I419" s="46" t="n"/>
      <c r="J419" s="46" t="n"/>
      <c r="K419" s="46" t="n"/>
      <c r="L419" s="95" t="n"/>
      <c r="M419" s="95" t="n"/>
      <c r="N419" s="95" t="n"/>
      <c r="O419" s="95" t="n"/>
      <c r="P419" s="95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  <c r="Z419" s="46" t="n"/>
    </row>
    <row r="420" ht="12.75" customHeight="1">
      <c r="A420" s="100" t="n"/>
      <c r="B420" s="101" t="n"/>
      <c r="C420" s="102" t="n"/>
      <c r="D420" s="99" t="n"/>
      <c r="E420" s="95" t="n"/>
      <c r="F420" s="95" t="n"/>
      <c r="G420" s="94" t="n"/>
      <c r="H420" s="46" t="n"/>
      <c r="I420" s="46" t="n"/>
      <c r="J420" s="46" t="n"/>
      <c r="K420" s="46" t="n"/>
      <c r="L420" s="95" t="n"/>
      <c r="M420" s="95" t="n"/>
      <c r="N420" s="95" t="n"/>
      <c r="O420" s="95" t="n"/>
      <c r="P420" s="95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  <c r="Z420" s="46" t="n"/>
    </row>
    <row r="421" ht="12.75" customHeight="1">
      <c r="A421" s="100" t="n"/>
      <c r="B421" s="101" t="n"/>
      <c r="C421" s="102" t="n"/>
      <c r="D421" s="99" t="n"/>
      <c r="E421" s="95" t="n"/>
      <c r="F421" s="95" t="n"/>
      <c r="G421" s="94" t="n"/>
      <c r="H421" s="46" t="n"/>
      <c r="I421" s="46" t="n"/>
      <c r="J421" s="46" t="n"/>
      <c r="K421" s="46" t="n"/>
      <c r="L421" s="95" t="n"/>
      <c r="M421" s="95" t="n"/>
      <c r="N421" s="95" t="n"/>
      <c r="O421" s="95" t="n"/>
      <c r="P421" s="95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  <c r="Z421" s="46" t="n"/>
    </row>
    <row r="422" ht="12.75" customHeight="1">
      <c r="A422" s="100" t="n"/>
      <c r="B422" s="101" t="n"/>
      <c r="C422" s="102" t="n"/>
      <c r="D422" s="99" t="n"/>
      <c r="E422" s="95" t="n"/>
      <c r="F422" s="95" t="n"/>
      <c r="G422" s="94" t="n"/>
      <c r="H422" s="46" t="n"/>
      <c r="I422" s="46" t="n"/>
      <c r="J422" s="46" t="n"/>
      <c r="K422" s="46" t="n"/>
      <c r="L422" s="95" t="n"/>
      <c r="M422" s="95" t="n"/>
      <c r="N422" s="95" t="n"/>
      <c r="O422" s="95" t="n"/>
      <c r="P422" s="95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  <c r="Z422" s="46" t="n"/>
    </row>
    <row r="423" ht="12.75" customHeight="1">
      <c r="A423" s="100" t="n"/>
      <c r="B423" s="101" t="n"/>
      <c r="C423" s="102" t="n"/>
      <c r="D423" s="99" t="n"/>
      <c r="E423" s="95" t="n"/>
      <c r="F423" s="95" t="n"/>
      <c r="G423" s="94" t="n"/>
      <c r="H423" s="46" t="n"/>
      <c r="I423" s="46" t="n"/>
      <c r="J423" s="46" t="n"/>
      <c r="K423" s="46" t="n"/>
      <c r="L423" s="95" t="n"/>
      <c r="M423" s="95" t="n"/>
      <c r="N423" s="95" t="n"/>
      <c r="O423" s="95" t="n"/>
      <c r="P423" s="95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  <c r="Z423" s="46" t="n"/>
    </row>
    <row r="424" ht="12.75" customHeight="1">
      <c r="A424" s="100" t="n"/>
      <c r="B424" s="101" t="n"/>
      <c r="C424" s="102" t="n"/>
      <c r="D424" s="99" t="n"/>
      <c r="E424" s="95" t="n"/>
      <c r="F424" s="95" t="n"/>
      <c r="G424" s="94" t="n"/>
      <c r="H424" s="46" t="n"/>
      <c r="I424" s="46" t="n"/>
      <c r="J424" s="46" t="n"/>
      <c r="K424" s="46" t="n"/>
      <c r="L424" s="95" t="n"/>
      <c r="M424" s="95" t="n"/>
      <c r="N424" s="95" t="n"/>
      <c r="O424" s="95" t="n"/>
      <c r="P424" s="95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  <c r="Z424" s="46" t="n"/>
    </row>
    <row r="425" ht="12.75" customHeight="1">
      <c r="A425" s="100" t="n"/>
      <c r="B425" s="101" t="n"/>
      <c r="C425" s="102" t="n"/>
      <c r="D425" s="99" t="n"/>
      <c r="E425" s="95" t="n"/>
      <c r="F425" s="95" t="n"/>
      <c r="G425" s="94" t="n"/>
      <c r="H425" s="46" t="n"/>
      <c r="I425" s="46" t="n"/>
      <c r="J425" s="46" t="n"/>
      <c r="K425" s="46" t="n"/>
      <c r="L425" s="95" t="n"/>
      <c r="M425" s="95" t="n"/>
      <c r="N425" s="95" t="n"/>
      <c r="O425" s="95" t="n"/>
      <c r="P425" s="95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  <c r="Z425" s="46" t="n"/>
    </row>
    <row r="426" ht="12.75" customHeight="1">
      <c r="A426" s="100" t="n"/>
      <c r="B426" s="101" t="n"/>
      <c r="C426" s="102" t="n"/>
      <c r="D426" s="99" t="n"/>
      <c r="E426" s="95" t="n"/>
      <c r="F426" s="95" t="n"/>
      <c r="G426" s="94" t="n"/>
      <c r="H426" s="46" t="n"/>
      <c r="I426" s="46" t="n"/>
      <c r="J426" s="46" t="n"/>
      <c r="K426" s="46" t="n"/>
      <c r="L426" s="95" t="n"/>
      <c r="M426" s="95" t="n"/>
      <c r="N426" s="95" t="n"/>
      <c r="O426" s="95" t="n"/>
      <c r="P426" s="95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  <c r="Z426" s="46" t="n"/>
    </row>
    <row r="427" ht="12.75" customHeight="1">
      <c r="A427" s="100" t="n"/>
      <c r="B427" s="101" t="n"/>
      <c r="C427" s="102" t="n"/>
      <c r="D427" s="99" t="n"/>
      <c r="E427" s="95" t="n"/>
      <c r="F427" s="95" t="n"/>
      <c r="G427" s="94" t="n"/>
      <c r="H427" s="46" t="n"/>
      <c r="I427" s="46" t="n"/>
      <c r="J427" s="46" t="n"/>
      <c r="K427" s="46" t="n"/>
      <c r="L427" s="95" t="n"/>
      <c r="M427" s="95" t="n"/>
      <c r="N427" s="95" t="n"/>
      <c r="O427" s="95" t="n"/>
      <c r="P427" s="95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  <c r="Z427" s="46" t="n"/>
    </row>
    <row r="428" ht="12.75" customHeight="1">
      <c r="A428" s="100" t="n"/>
      <c r="B428" s="101" t="n"/>
      <c r="C428" s="102" t="n"/>
      <c r="D428" s="99" t="n"/>
      <c r="E428" s="95" t="n"/>
      <c r="F428" s="95" t="n"/>
      <c r="G428" s="94" t="n"/>
      <c r="H428" s="46" t="n"/>
      <c r="I428" s="46" t="n"/>
      <c r="J428" s="46" t="n"/>
      <c r="K428" s="46" t="n"/>
      <c r="L428" s="95" t="n"/>
      <c r="M428" s="95" t="n"/>
      <c r="N428" s="95" t="n"/>
      <c r="O428" s="95" t="n"/>
      <c r="P428" s="95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  <c r="Z428" s="46" t="n"/>
    </row>
    <row r="429" ht="12.75" customHeight="1">
      <c r="A429" s="100" t="n"/>
      <c r="B429" s="101" t="n"/>
      <c r="C429" s="102" t="n"/>
      <c r="D429" s="99" t="n"/>
      <c r="E429" s="95" t="n"/>
      <c r="F429" s="95" t="n"/>
      <c r="G429" s="94" t="n"/>
      <c r="H429" s="46" t="n"/>
      <c r="I429" s="46" t="n"/>
      <c r="J429" s="46" t="n"/>
      <c r="K429" s="46" t="n"/>
      <c r="L429" s="95" t="n"/>
      <c r="M429" s="95" t="n"/>
      <c r="N429" s="95" t="n"/>
      <c r="O429" s="95" t="n"/>
      <c r="P429" s="95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  <c r="Z429" s="46" t="n"/>
    </row>
    <row r="430" ht="12.75" customHeight="1">
      <c r="A430" s="100" t="n"/>
      <c r="B430" s="101" t="n"/>
      <c r="C430" s="102" t="n"/>
      <c r="D430" s="99" t="n"/>
      <c r="E430" s="95" t="n"/>
      <c r="F430" s="95" t="n"/>
      <c r="G430" s="94" t="n"/>
      <c r="H430" s="46" t="n"/>
      <c r="I430" s="46" t="n"/>
      <c r="J430" s="46" t="n"/>
      <c r="K430" s="46" t="n"/>
      <c r="L430" s="95" t="n"/>
      <c r="M430" s="95" t="n"/>
      <c r="N430" s="95" t="n"/>
      <c r="O430" s="95" t="n"/>
      <c r="P430" s="95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  <c r="Z430" s="46" t="n"/>
    </row>
    <row r="431" ht="12.75" customHeight="1">
      <c r="A431" s="100" t="n"/>
      <c r="B431" s="101" t="n"/>
      <c r="C431" s="102" t="n"/>
      <c r="D431" s="99" t="n"/>
      <c r="E431" s="95" t="n"/>
      <c r="F431" s="95" t="n"/>
      <c r="G431" s="94" t="n"/>
      <c r="H431" s="46" t="n"/>
      <c r="I431" s="46" t="n"/>
      <c r="J431" s="46" t="n"/>
      <c r="K431" s="46" t="n"/>
      <c r="L431" s="95" t="n"/>
      <c r="M431" s="95" t="n"/>
      <c r="N431" s="95" t="n"/>
      <c r="O431" s="95" t="n"/>
      <c r="P431" s="95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  <c r="Z431" s="46" t="n"/>
    </row>
    <row r="432" ht="12.75" customHeight="1">
      <c r="A432" s="100" t="n"/>
      <c r="B432" s="101" t="n"/>
      <c r="C432" s="102" t="n"/>
      <c r="D432" s="99" t="n"/>
      <c r="E432" s="95" t="n"/>
      <c r="F432" s="95" t="n"/>
      <c r="G432" s="94" t="n"/>
      <c r="H432" s="46" t="n"/>
      <c r="I432" s="46" t="n"/>
      <c r="J432" s="46" t="n"/>
      <c r="K432" s="46" t="n"/>
      <c r="L432" s="95" t="n"/>
      <c r="M432" s="95" t="n"/>
      <c r="N432" s="95" t="n"/>
      <c r="O432" s="95" t="n"/>
      <c r="P432" s="95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  <c r="Z432" s="46" t="n"/>
    </row>
    <row r="433" ht="12.75" customHeight="1">
      <c r="A433" s="100" t="n"/>
      <c r="B433" s="101" t="n"/>
      <c r="C433" s="102" t="n"/>
      <c r="D433" s="99" t="n"/>
      <c r="E433" s="95" t="n"/>
      <c r="F433" s="95" t="n"/>
      <c r="G433" s="94" t="n"/>
      <c r="H433" s="46" t="n"/>
      <c r="I433" s="46" t="n"/>
      <c r="J433" s="46" t="n"/>
      <c r="K433" s="46" t="n"/>
      <c r="L433" s="95" t="n"/>
      <c r="M433" s="95" t="n"/>
      <c r="N433" s="95" t="n"/>
      <c r="O433" s="95" t="n"/>
      <c r="P433" s="95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  <c r="Z433" s="46" t="n"/>
    </row>
    <row r="434" ht="12.75" customHeight="1">
      <c r="A434" s="100" t="n"/>
      <c r="B434" s="101" t="n"/>
      <c r="C434" s="102" t="n"/>
      <c r="D434" s="99" t="n"/>
      <c r="E434" s="95" t="n"/>
      <c r="F434" s="95" t="n"/>
      <c r="G434" s="94" t="n"/>
      <c r="H434" s="46" t="n"/>
      <c r="I434" s="46" t="n"/>
      <c r="J434" s="46" t="n"/>
      <c r="K434" s="46" t="n"/>
      <c r="L434" s="95" t="n"/>
      <c r="M434" s="95" t="n"/>
      <c r="N434" s="95" t="n"/>
      <c r="O434" s="95" t="n"/>
      <c r="P434" s="95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  <c r="Z434" s="46" t="n"/>
    </row>
    <row r="435" ht="12.75" customHeight="1">
      <c r="A435" s="100" t="n"/>
      <c r="B435" s="101" t="n"/>
      <c r="C435" s="102" t="n"/>
      <c r="D435" s="99" t="n"/>
      <c r="E435" s="95" t="n"/>
      <c r="F435" s="95" t="n"/>
      <c r="G435" s="94" t="n"/>
      <c r="H435" s="46" t="n"/>
      <c r="I435" s="46" t="n"/>
      <c r="J435" s="46" t="n"/>
      <c r="K435" s="46" t="n"/>
      <c r="L435" s="95" t="n"/>
      <c r="M435" s="95" t="n"/>
      <c r="N435" s="95" t="n"/>
      <c r="O435" s="95" t="n"/>
      <c r="P435" s="95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  <c r="Z435" s="46" t="n"/>
    </row>
    <row r="436" ht="12.75" customHeight="1">
      <c r="A436" s="100" t="n"/>
      <c r="B436" s="101" t="n"/>
      <c r="C436" s="102" t="n"/>
      <c r="D436" s="99" t="n"/>
      <c r="E436" s="95" t="n"/>
      <c r="F436" s="95" t="n"/>
      <c r="G436" s="94" t="n"/>
      <c r="H436" s="46" t="n"/>
      <c r="I436" s="46" t="n"/>
      <c r="J436" s="46" t="n"/>
      <c r="K436" s="46" t="n"/>
      <c r="L436" s="95" t="n"/>
      <c r="M436" s="95" t="n"/>
      <c r="N436" s="95" t="n"/>
      <c r="O436" s="95" t="n"/>
      <c r="P436" s="95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  <c r="Z436" s="46" t="n"/>
    </row>
    <row r="437" ht="12.75" customHeight="1">
      <c r="A437" s="100" t="n"/>
      <c r="B437" s="101" t="n"/>
      <c r="C437" s="102" t="n"/>
      <c r="D437" s="99" t="n"/>
      <c r="E437" s="95" t="n"/>
      <c r="F437" s="95" t="n"/>
      <c r="G437" s="94" t="n"/>
      <c r="H437" s="46" t="n"/>
      <c r="I437" s="46" t="n"/>
      <c r="J437" s="46" t="n"/>
      <c r="K437" s="46" t="n"/>
      <c r="L437" s="95" t="n"/>
      <c r="M437" s="95" t="n"/>
      <c r="N437" s="95" t="n"/>
      <c r="O437" s="95" t="n"/>
      <c r="P437" s="95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  <c r="Z437" s="46" t="n"/>
    </row>
    <row r="438" ht="12.75" customHeight="1">
      <c r="A438" s="100" t="n"/>
      <c r="B438" s="101" t="n"/>
      <c r="C438" s="102" t="n"/>
      <c r="D438" s="99" t="n"/>
      <c r="E438" s="95" t="n"/>
      <c r="F438" s="95" t="n"/>
      <c r="G438" s="94" t="n"/>
      <c r="H438" s="46" t="n"/>
      <c r="I438" s="46" t="n"/>
      <c r="J438" s="46" t="n"/>
      <c r="K438" s="46" t="n"/>
      <c r="L438" s="95" t="n"/>
      <c r="M438" s="95" t="n"/>
      <c r="N438" s="95" t="n"/>
      <c r="O438" s="95" t="n"/>
      <c r="P438" s="95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  <c r="Z438" s="46" t="n"/>
    </row>
    <row r="439" ht="12.75" customHeight="1">
      <c r="A439" s="100" t="n"/>
      <c r="B439" s="101" t="n"/>
      <c r="C439" s="102" t="n"/>
      <c r="D439" s="99" t="n"/>
      <c r="E439" s="95" t="n"/>
      <c r="F439" s="95" t="n"/>
      <c r="G439" s="94" t="n"/>
      <c r="H439" s="46" t="n"/>
      <c r="I439" s="46" t="n"/>
      <c r="J439" s="46" t="n"/>
      <c r="K439" s="46" t="n"/>
      <c r="L439" s="95" t="n"/>
      <c r="M439" s="95" t="n"/>
      <c r="N439" s="95" t="n"/>
      <c r="O439" s="95" t="n"/>
      <c r="P439" s="95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  <c r="Z439" s="46" t="n"/>
    </row>
    <row r="440" ht="12.75" customHeight="1">
      <c r="A440" s="100" t="n"/>
      <c r="B440" s="101" t="n"/>
      <c r="C440" s="102" t="n"/>
      <c r="D440" s="99" t="n"/>
      <c r="E440" s="95" t="n"/>
      <c r="F440" s="95" t="n"/>
      <c r="G440" s="94" t="n"/>
      <c r="H440" s="46" t="n"/>
      <c r="I440" s="46" t="n"/>
      <c r="J440" s="46" t="n"/>
      <c r="K440" s="46" t="n"/>
      <c r="L440" s="95" t="n"/>
      <c r="M440" s="95" t="n"/>
      <c r="N440" s="95" t="n"/>
      <c r="O440" s="95" t="n"/>
      <c r="P440" s="95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  <c r="Z440" s="46" t="n"/>
    </row>
    <row r="441" ht="12.75" customHeight="1">
      <c r="A441" s="100" t="n"/>
      <c r="B441" s="101" t="n"/>
      <c r="C441" s="102" t="n"/>
      <c r="D441" s="99" t="n"/>
      <c r="E441" s="95" t="n"/>
      <c r="F441" s="95" t="n"/>
      <c r="G441" s="94" t="n"/>
      <c r="H441" s="46" t="n"/>
      <c r="I441" s="46" t="n"/>
      <c r="J441" s="46" t="n"/>
      <c r="K441" s="46" t="n"/>
      <c r="L441" s="95" t="n"/>
      <c r="M441" s="95" t="n"/>
      <c r="N441" s="95" t="n"/>
      <c r="O441" s="95" t="n"/>
      <c r="P441" s="95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  <c r="Z441" s="46" t="n"/>
    </row>
    <row r="442" ht="12.75" customHeight="1">
      <c r="A442" s="100" t="n"/>
      <c r="B442" s="101" t="n"/>
      <c r="C442" s="102" t="n"/>
      <c r="D442" s="99" t="n"/>
      <c r="E442" s="95" t="n"/>
      <c r="F442" s="95" t="n"/>
      <c r="G442" s="94" t="n"/>
      <c r="H442" s="46" t="n"/>
      <c r="I442" s="46" t="n"/>
      <c r="J442" s="46" t="n"/>
      <c r="K442" s="46" t="n"/>
      <c r="L442" s="95" t="n"/>
      <c r="M442" s="95" t="n"/>
      <c r="N442" s="95" t="n"/>
      <c r="O442" s="95" t="n"/>
      <c r="P442" s="95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  <c r="Z442" s="46" t="n"/>
    </row>
    <row r="443" ht="12.75" customHeight="1">
      <c r="A443" s="100" t="n"/>
      <c r="B443" s="101" t="n"/>
      <c r="C443" s="102" t="n"/>
      <c r="D443" s="99" t="n"/>
      <c r="E443" s="95" t="n"/>
      <c r="F443" s="95" t="n"/>
      <c r="G443" s="94" t="n"/>
      <c r="H443" s="46" t="n"/>
      <c r="I443" s="46" t="n"/>
      <c r="J443" s="46" t="n"/>
      <c r="K443" s="46" t="n"/>
      <c r="L443" s="95" t="n"/>
      <c r="M443" s="95" t="n"/>
      <c r="N443" s="95" t="n"/>
      <c r="O443" s="95" t="n"/>
      <c r="P443" s="95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  <c r="Z443" s="46" t="n"/>
    </row>
    <row r="444" ht="12.75" customHeight="1">
      <c r="A444" s="100" t="n"/>
      <c r="B444" s="101" t="n"/>
      <c r="C444" s="102" t="n"/>
      <c r="D444" s="99" t="n"/>
      <c r="E444" s="95" t="n"/>
      <c r="F444" s="95" t="n"/>
      <c r="G444" s="94" t="n"/>
      <c r="H444" s="46" t="n"/>
      <c r="I444" s="46" t="n"/>
      <c r="J444" s="46" t="n"/>
      <c r="K444" s="46" t="n"/>
      <c r="L444" s="95" t="n"/>
      <c r="M444" s="95" t="n"/>
      <c r="N444" s="95" t="n"/>
      <c r="O444" s="95" t="n"/>
      <c r="P444" s="95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  <c r="Z444" s="46" t="n"/>
    </row>
    <row r="445" ht="12.75" customHeight="1">
      <c r="A445" s="100" t="n"/>
      <c r="B445" s="101" t="n"/>
      <c r="C445" s="102" t="n"/>
      <c r="D445" s="99" t="n"/>
      <c r="E445" s="95" t="n"/>
      <c r="F445" s="95" t="n"/>
      <c r="G445" s="94" t="n"/>
      <c r="H445" s="46" t="n"/>
      <c r="I445" s="46" t="n"/>
      <c r="J445" s="46" t="n"/>
      <c r="K445" s="46" t="n"/>
      <c r="L445" s="95" t="n"/>
      <c r="M445" s="95" t="n"/>
      <c r="N445" s="95" t="n"/>
      <c r="O445" s="95" t="n"/>
      <c r="P445" s="95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  <c r="Z445" s="46" t="n"/>
    </row>
    <row r="446" ht="12.75" customHeight="1">
      <c r="A446" s="100" t="n"/>
      <c r="B446" s="101" t="n"/>
      <c r="C446" s="102" t="n"/>
      <c r="D446" s="99" t="n"/>
      <c r="E446" s="95" t="n"/>
      <c r="F446" s="95" t="n"/>
      <c r="G446" s="94" t="n"/>
      <c r="H446" s="46" t="n"/>
      <c r="I446" s="46" t="n"/>
      <c r="J446" s="46" t="n"/>
      <c r="K446" s="46" t="n"/>
      <c r="L446" s="95" t="n"/>
      <c r="M446" s="95" t="n"/>
      <c r="N446" s="95" t="n"/>
      <c r="O446" s="95" t="n"/>
      <c r="P446" s="95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  <c r="Z446" s="46" t="n"/>
    </row>
    <row r="447" ht="12.75" customHeight="1">
      <c r="A447" s="100" t="n"/>
      <c r="B447" s="101" t="n"/>
      <c r="C447" s="102" t="n"/>
      <c r="D447" s="99" t="n"/>
      <c r="E447" s="95" t="n"/>
      <c r="F447" s="95" t="n"/>
      <c r="G447" s="94" t="n"/>
      <c r="H447" s="46" t="n"/>
      <c r="I447" s="46" t="n"/>
      <c r="J447" s="46" t="n"/>
      <c r="K447" s="46" t="n"/>
      <c r="L447" s="95" t="n"/>
      <c r="M447" s="95" t="n"/>
      <c r="N447" s="95" t="n"/>
      <c r="O447" s="95" t="n"/>
      <c r="P447" s="95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  <c r="Z447" s="46" t="n"/>
    </row>
    <row r="448" ht="12.75" customHeight="1">
      <c r="A448" s="100" t="n"/>
      <c r="B448" s="101" t="n"/>
      <c r="C448" s="102" t="n"/>
      <c r="D448" s="99" t="n"/>
      <c r="E448" s="95" t="n"/>
      <c r="F448" s="95" t="n"/>
      <c r="G448" s="94" t="n"/>
      <c r="H448" s="46" t="n"/>
      <c r="I448" s="46" t="n"/>
      <c r="J448" s="46" t="n"/>
      <c r="K448" s="46" t="n"/>
      <c r="L448" s="95" t="n"/>
      <c r="M448" s="95" t="n"/>
      <c r="N448" s="95" t="n"/>
      <c r="O448" s="95" t="n"/>
      <c r="P448" s="95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  <c r="Z448" s="46" t="n"/>
    </row>
    <row r="449" ht="12.75" customHeight="1">
      <c r="A449" s="100" t="n"/>
      <c r="B449" s="101" t="n"/>
      <c r="C449" s="102" t="n"/>
      <c r="D449" s="99" t="n"/>
      <c r="E449" s="95" t="n"/>
      <c r="F449" s="95" t="n"/>
      <c r="G449" s="94" t="n"/>
      <c r="H449" s="46" t="n"/>
      <c r="I449" s="46" t="n"/>
      <c r="J449" s="46" t="n"/>
      <c r="K449" s="46" t="n"/>
      <c r="L449" s="95" t="n"/>
      <c r="M449" s="95" t="n"/>
      <c r="N449" s="95" t="n"/>
      <c r="O449" s="95" t="n"/>
      <c r="P449" s="95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  <c r="Z449" s="46" t="n"/>
    </row>
    <row r="450" ht="12.75" customHeight="1">
      <c r="A450" s="100" t="n"/>
      <c r="B450" s="101" t="n"/>
      <c r="C450" s="102" t="n"/>
      <c r="D450" s="99" t="n"/>
      <c r="E450" s="95" t="n"/>
      <c r="F450" s="95" t="n"/>
      <c r="G450" s="94" t="n"/>
      <c r="H450" s="46" t="n"/>
      <c r="I450" s="46" t="n"/>
      <c r="J450" s="46" t="n"/>
      <c r="K450" s="46" t="n"/>
      <c r="L450" s="95" t="n"/>
      <c r="M450" s="95" t="n"/>
      <c r="N450" s="95" t="n"/>
      <c r="O450" s="95" t="n"/>
      <c r="P450" s="95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  <c r="Z450" s="46" t="n"/>
    </row>
    <row r="451" ht="12.75" customHeight="1">
      <c r="A451" s="100" t="n"/>
      <c r="B451" s="101" t="n"/>
      <c r="C451" s="102" t="n"/>
      <c r="D451" s="99" t="n"/>
      <c r="E451" s="95" t="n"/>
      <c r="F451" s="95" t="n"/>
      <c r="G451" s="94" t="n"/>
      <c r="H451" s="46" t="n"/>
      <c r="I451" s="46" t="n"/>
      <c r="J451" s="46" t="n"/>
      <c r="K451" s="46" t="n"/>
      <c r="L451" s="95" t="n"/>
      <c r="M451" s="95" t="n"/>
      <c r="N451" s="95" t="n"/>
      <c r="O451" s="95" t="n"/>
      <c r="P451" s="95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  <c r="Z451" s="46" t="n"/>
    </row>
    <row r="452" ht="12.75" customHeight="1">
      <c r="A452" s="100" t="n"/>
      <c r="B452" s="101" t="n"/>
      <c r="C452" s="102" t="n"/>
      <c r="D452" s="99" t="n"/>
      <c r="E452" s="95" t="n"/>
      <c r="F452" s="95" t="n"/>
      <c r="G452" s="94" t="n"/>
      <c r="H452" s="46" t="n"/>
      <c r="I452" s="46" t="n"/>
      <c r="J452" s="46" t="n"/>
      <c r="K452" s="46" t="n"/>
      <c r="L452" s="95" t="n"/>
      <c r="M452" s="95" t="n"/>
      <c r="N452" s="95" t="n"/>
      <c r="O452" s="95" t="n"/>
      <c r="P452" s="95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  <c r="Z452" s="46" t="n"/>
    </row>
    <row r="453" ht="12.75" customHeight="1">
      <c r="A453" s="100" t="n"/>
      <c r="B453" s="101" t="n"/>
      <c r="C453" s="102" t="n"/>
      <c r="D453" s="99" t="n"/>
      <c r="E453" s="95" t="n"/>
      <c r="F453" s="95" t="n"/>
      <c r="G453" s="94" t="n"/>
      <c r="H453" s="46" t="n"/>
      <c r="I453" s="46" t="n"/>
      <c r="J453" s="46" t="n"/>
      <c r="K453" s="46" t="n"/>
      <c r="L453" s="95" t="n"/>
      <c r="M453" s="95" t="n"/>
      <c r="N453" s="95" t="n"/>
      <c r="O453" s="95" t="n"/>
      <c r="P453" s="95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  <c r="Z453" s="46" t="n"/>
    </row>
    <row r="454" ht="12.75" customHeight="1">
      <c r="A454" s="100" t="n"/>
      <c r="B454" s="101" t="n"/>
      <c r="C454" s="102" t="n"/>
      <c r="D454" s="99" t="n"/>
      <c r="E454" s="95" t="n"/>
      <c r="F454" s="95" t="n"/>
      <c r="G454" s="94" t="n"/>
      <c r="H454" s="46" t="n"/>
      <c r="I454" s="46" t="n"/>
      <c r="J454" s="46" t="n"/>
      <c r="K454" s="46" t="n"/>
      <c r="L454" s="95" t="n"/>
      <c r="M454" s="95" t="n"/>
      <c r="N454" s="95" t="n"/>
      <c r="O454" s="95" t="n"/>
      <c r="P454" s="95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  <c r="Z454" s="46" t="n"/>
    </row>
    <row r="455" ht="12.75" customHeight="1">
      <c r="A455" s="100" t="n"/>
      <c r="B455" s="101" t="n"/>
      <c r="C455" s="102" t="n"/>
      <c r="D455" s="99" t="n"/>
      <c r="E455" s="95" t="n"/>
      <c r="F455" s="95" t="n"/>
      <c r="G455" s="94" t="n"/>
      <c r="H455" s="46" t="n"/>
      <c r="I455" s="46" t="n"/>
      <c r="J455" s="46" t="n"/>
      <c r="K455" s="46" t="n"/>
      <c r="L455" s="95" t="n"/>
      <c r="M455" s="95" t="n"/>
      <c r="N455" s="95" t="n"/>
      <c r="O455" s="95" t="n"/>
      <c r="P455" s="95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  <c r="Z455" s="46" t="n"/>
    </row>
    <row r="456" ht="12.75" customHeight="1">
      <c r="A456" s="100" t="n"/>
      <c r="B456" s="101" t="n"/>
      <c r="C456" s="102" t="n"/>
      <c r="D456" s="99" t="n"/>
      <c r="E456" s="95" t="n"/>
      <c r="F456" s="95" t="n"/>
      <c r="G456" s="94" t="n"/>
      <c r="H456" s="46" t="n"/>
      <c r="I456" s="46" t="n"/>
      <c r="J456" s="46" t="n"/>
      <c r="K456" s="46" t="n"/>
      <c r="L456" s="95" t="n"/>
      <c r="M456" s="95" t="n"/>
      <c r="N456" s="95" t="n"/>
      <c r="O456" s="95" t="n"/>
      <c r="P456" s="95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  <c r="Z456" s="46" t="n"/>
    </row>
    <row r="457" ht="12.75" customHeight="1">
      <c r="A457" s="100" t="n"/>
      <c r="B457" s="101" t="n"/>
      <c r="C457" s="102" t="n"/>
      <c r="D457" s="99" t="n"/>
      <c r="E457" s="95" t="n"/>
      <c r="F457" s="95" t="n"/>
      <c r="G457" s="94" t="n"/>
      <c r="H457" s="46" t="n"/>
      <c r="I457" s="46" t="n"/>
      <c r="J457" s="46" t="n"/>
      <c r="K457" s="46" t="n"/>
      <c r="L457" s="95" t="n"/>
      <c r="M457" s="95" t="n"/>
      <c r="N457" s="95" t="n"/>
      <c r="O457" s="95" t="n"/>
      <c r="P457" s="95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  <c r="Z457" s="46" t="n"/>
    </row>
    <row r="458" ht="12.75" customHeight="1">
      <c r="A458" s="100" t="n"/>
      <c r="B458" s="101" t="n"/>
      <c r="C458" s="102" t="n"/>
      <c r="D458" s="99" t="n"/>
      <c r="E458" s="95" t="n"/>
      <c r="F458" s="95" t="n"/>
      <c r="G458" s="94" t="n"/>
      <c r="H458" s="46" t="n"/>
      <c r="I458" s="46" t="n"/>
      <c r="J458" s="46" t="n"/>
      <c r="K458" s="46" t="n"/>
      <c r="L458" s="95" t="n"/>
      <c r="M458" s="95" t="n"/>
      <c r="N458" s="95" t="n"/>
      <c r="O458" s="95" t="n"/>
      <c r="P458" s="95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  <c r="Z458" s="46" t="n"/>
    </row>
    <row r="459" ht="12.75" customHeight="1">
      <c r="A459" s="100" t="n"/>
      <c r="B459" s="101" t="n"/>
      <c r="C459" s="102" t="n"/>
      <c r="D459" s="99" t="n"/>
      <c r="E459" s="95" t="n"/>
      <c r="F459" s="95" t="n"/>
      <c r="G459" s="94" t="n"/>
      <c r="H459" s="46" t="n"/>
      <c r="I459" s="46" t="n"/>
      <c r="J459" s="46" t="n"/>
      <c r="K459" s="46" t="n"/>
      <c r="L459" s="95" t="n"/>
      <c r="M459" s="95" t="n"/>
      <c r="N459" s="95" t="n"/>
      <c r="O459" s="95" t="n"/>
      <c r="P459" s="95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  <c r="Z459" s="46" t="n"/>
    </row>
    <row r="460" ht="12.75" customHeight="1">
      <c r="A460" s="100" t="n"/>
      <c r="B460" s="101" t="n"/>
      <c r="C460" s="102" t="n"/>
      <c r="D460" s="99" t="n"/>
      <c r="E460" s="95" t="n"/>
      <c r="F460" s="95" t="n"/>
      <c r="G460" s="94" t="n"/>
      <c r="H460" s="46" t="n"/>
      <c r="I460" s="46" t="n"/>
      <c r="J460" s="46" t="n"/>
      <c r="K460" s="46" t="n"/>
      <c r="L460" s="95" t="n"/>
      <c r="M460" s="95" t="n"/>
      <c r="N460" s="95" t="n"/>
      <c r="O460" s="95" t="n"/>
      <c r="P460" s="95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  <c r="Z460" s="46" t="n"/>
    </row>
    <row r="461" ht="12.75" customHeight="1">
      <c r="A461" s="100" t="n"/>
      <c r="B461" s="101" t="n"/>
      <c r="C461" s="102" t="n"/>
      <c r="D461" s="99" t="n"/>
      <c r="E461" s="95" t="n"/>
      <c r="F461" s="95" t="n"/>
      <c r="G461" s="94" t="n"/>
      <c r="H461" s="46" t="n"/>
      <c r="I461" s="46" t="n"/>
      <c r="J461" s="46" t="n"/>
      <c r="K461" s="46" t="n"/>
      <c r="L461" s="95" t="n"/>
      <c r="M461" s="95" t="n"/>
      <c r="N461" s="95" t="n"/>
      <c r="O461" s="95" t="n"/>
      <c r="P461" s="95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  <c r="Z461" s="46" t="n"/>
    </row>
    <row r="462" ht="12.75" customHeight="1">
      <c r="A462" s="100" t="n"/>
      <c r="B462" s="101" t="n"/>
      <c r="C462" s="102" t="n"/>
      <c r="D462" s="99" t="n"/>
      <c r="E462" s="95" t="n"/>
      <c r="F462" s="95" t="n"/>
      <c r="G462" s="94" t="n"/>
      <c r="H462" s="46" t="n"/>
      <c r="I462" s="46" t="n"/>
      <c r="J462" s="46" t="n"/>
      <c r="K462" s="46" t="n"/>
      <c r="L462" s="95" t="n"/>
      <c r="M462" s="95" t="n"/>
      <c r="N462" s="95" t="n"/>
      <c r="O462" s="95" t="n"/>
      <c r="P462" s="95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  <c r="Z462" s="46" t="n"/>
    </row>
    <row r="463" ht="12.75" customHeight="1">
      <c r="A463" s="100" t="n"/>
      <c r="B463" s="101" t="n"/>
      <c r="C463" s="102" t="n"/>
      <c r="D463" s="99" t="n"/>
      <c r="E463" s="95" t="n"/>
      <c r="F463" s="95" t="n"/>
      <c r="G463" s="94" t="n"/>
      <c r="H463" s="46" t="n"/>
      <c r="I463" s="46" t="n"/>
      <c r="J463" s="46" t="n"/>
      <c r="K463" s="46" t="n"/>
      <c r="L463" s="95" t="n"/>
      <c r="M463" s="95" t="n"/>
      <c r="N463" s="95" t="n"/>
      <c r="O463" s="95" t="n"/>
      <c r="P463" s="95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  <c r="Z463" s="46" t="n"/>
    </row>
    <row r="464" ht="12.75" customHeight="1">
      <c r="A464" s="100" t="n"/>
      <c r="B464" s="101" t="n"/>
      <c r="C464" s="102" t="n"/>
      <c r="D464" s="99" t="n"/>
      <c r="E464" s="95" t="n"/>
      <c r="F464" s="95" t="n"/>
      <c r="G464" s="94" t="n"/>
      <c r="H464" s="46" t="n"/>
      <c r="I464" s="46" t="n"/>
      <c r="J464" s="46" t="n"/>
      <c r="K464" s="46" t="n"/>
      <c r="L464" s="95" t="n"/>
      <c r="M464" s="95" t="n"/>
      <c r="N464" s="95" t="n"/>
      <c r="O464" s="95" t="n"/>
      <c r="P464" s="95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  <c r="Z464" s="46" t="n"/>
    </row>
    <row r="465" ht="12.75" customHeight="1">
      <c r="A465" s="100" t="n"/>
      <c r="B465" s="101" t="n"/>
      <c r="C465" s="102" t="n"/>
      <c r="D465" s="99" t="n"/>
      <c r="E465" s="95" t="n"/>
      <c r="F465" s="95" t="n"/>
      <c r="G465" s="94" t="n"/>
      <c r="H465" s="46" t="n"/>
      <c r="I465" s="46" t="n"/>
      <c r="J465" s="46" t="n"/>
      <c r="K465" s="46" t="n"/>
      <c r="L465" s="95" t="n"/>
      <c r="M465" s="95" t="n"/>
      <c r="N465" s="95" t="n"/>
      <c r="O465" s="95" t="n"/>
      <c r="P465" s="95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  <c r="Z465" s="46" t="n"/>
    </row>
    <row r="466" ht="12.75" customHeight="1">
      <c r="A466" s="100" t="n"/>
      <c r="B466" s="101" t="n"/>
      <c r="C466" s="102" t="n"/>
      <c r="D466" s="99" t="n"/>
      <c r="E466" s="95" t="n"/>
      <c r="F466" s="95" t="n"/>
      <c r="G466" s="94" t="n"/>
      <c r="H466" s="46" t="n"/>
      <c r="I466" s="46" t="n"/>
      <c r="J466" s="46" t="n"/>
      <c r="K466" s="46" t="n"/>
      <c r="L466" s="95" t="n"/>
      <c r="M466" s="95" t="n"/>
      <c r="N466" s="95" t="n"/>
      <c r="O466" s="95" t="n"/>
      <c r="P466" s="95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  <c r="Z466" s="46" t="n"/>
    </row>
    <row r="467" ht="12.75" customHeight="1">
      <c r="A467" s="100" t="n"/>
      <c r="B467" s="101" t="n"/>
      <c r="C467" s="102" t="n"/>
      <c r="D467" s="99" t="n"/>
      <c r="E467" s="95" t="n"/>
      <c r="F467" s="95" t="n"/>
      <c r="G467" s="94" t="n"/>
      <c r="H467" s="46" t="n"/>
      <c r="I467" s="46" t="n"/>
      <c r="J467" s="46" t="n"/>
      <c r="K467" s="46" t="n"/>
      <c r="L467" s="95" t="n"/>
      <c r="M467" s="95" t="n"/>
      <c r="N467" s="95" t="n"/>
      <c r="O467" s="95" t="n"/>
      <c r="P467" s="95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  <c r="Z467" s="46" t="n"/>
    </row>
    <row r="468" ht="12.75" customHeight="1">
      <c r="A468" s="100" t="n"/>
      <c r="B468" s="101" t="n"/>
      <c r="C468" s="102" t="n"/>
      <c r="D468" s="99" t="n"/>
      <c r="E468" s="95" t="n"/>
      <c r="F468" s="95" t="n"/>
      <c r="G468" s="94" t="n"/>
      <c r="H468" s="46" t="n"/>
      <c r="I468" s="46" t="n"/>
      <c r="J468" s="46" t="n"/>
      <c r="K468" s="46" t="n"/>
      <c r="L468" s="95" t="n"/>
      <c r="M468" s="95" t="n"/>
      <c r="N468" s="95" t="n"/>
      <c r="O468" s="95" t="n"/>
      <c r="P468" s="95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  <c r="Z468" s="46" t="n"/>
    </row>
    <row r="469" ht="12.75" customHeight="1">
      <c r="A469" s="100" t="n"/>
      <c r="B469" s="101" t="n"/>
      <c r="C469" s="102" t="n"/>
      <c r="D469" s="99" t="n"/>
      <c r="E469" s="95" t="n"/>
      <c r="F469" s="95" t="n"/>
      <c r="G469" s="94" t="n"/>
      <c r="H469" s="46" t="n"/>
      <c r="I469" s="46" t="n"/>
      <c r="J469" s="46" t="n"/>
      <c r="K469" s="46" t="n"/>
      <c r="L469" s="95" t="n"/>
      <c r="M469" s="95" t="n"/>
      <c r="N469" s="95" t="n"/>
      <c r="O469" s="95" t="n"/>
      <c r="P469" s="95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  <c r="Z469" s="46" t="n"/>
    </row>
    <row r="470" ht="12.75" customHeight="1">
      <c r="A470" s="100" t="n"/>
      <c r="B470" s="101" t="n"/>
      <c r="C470" s="102" t="n"/>
      <c r="D470" s="99" t="n"/>
      <c r="E470" s="95" t="n"/>
      <c r="F470" s="95" t="n"/>
      <c r="G470" s="94" t="n"/>
      <c r="H470" s="46" t="n"/>
      <c r="I470" s="46" t="n"/>
      <c r="J470" s="46" t="n"/>
      <c r="K470" s="46" t="n"/>
      <c r="L470" s="95" t="n"/>
      <c r="M470" s="95" t="n"/>
      <c r="N470" s="95" t="n"/>
      <c r="O470" s="95" t="n"/>
      <c r="P470" s="95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  <c r="Z470" s="46" t="n"/>
    </row>
    <row r="471" ht="12.75" customHeight="1">
      <c r="A471" s="100" t="n"/>
      <c r="B471" s="101" t="n"/>
      <c r="C471" s="102" t="n"/>
      <c r="D471" s="99" t="n"/>
      <c r="E471" s="95" t="n"/>
      <c r="F471" s="95" t="n"/>
      <c r="G471" s="94" t="n"/>
      <c r="H471" s="46" t="n"/>
      <c r="I471" s="46" t="n"/>
      <c r="J471" s="46" t="n"/>
      <c r="K471" s="46" t="n"/>
      <c r="L471" s="95" t="n"/>
      <c r="M471" s="95" t="n"/>
      <c r="N471" s="95" t="n"/>
      <c r="O471" s="95" t="n"/>
      <c r="P471" s="95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  <c r="Z471" s="46" t="n"/>
    </row>
    <row r="472" ht="12.75" customHeight="1">
      <c r="A472" s="100" t="n"/>
      <c r="B472" s="101" t="n"/>
      <c r="C472" s="102" t="n"/>
      <c r="D472" s="99" t="n"/>
      <c r="E472" s="95" t="n"/>
      <c r="F472" s="95" t="n"/>
      <c r="G472" s="94" t="n"/>
      <c r="H472" s="46" t="n"/>
      <c r="I472" s="46" t="n"/>
      <c r="J472" s="46" t="n"/>
      <c r="K472" s="46" t="n"/>
      <c r="L472" s="95" t="n"/>
      <c r="M472" s="95" t="n"/>
      <c r="N472" s="95" t="n"/>
      <c r="O472" s="95" t="n"/>
      <c r="P472" s="95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  <c r="Z472" s="46" t="n"/>
    </row>
    <row r="473" ht="12.75" customHeight="1">
      <c r="A473" s="100" t="n"/>
      <c r="B473" s="101" t="n"/>
      <c r="C473" s="102" t="n"/>
      <c r="D473" s="99" t="n"/>
      <c r="E473" s="95" t="n"/>
      <c r="F473" s="95" t="n"/>
      <c r="G473" s="94" t="n"/>
      <c r="H473" s="46" t="n"/>
      <c r="I473" s="46" t="n"/>
      <c r="J473" s="46" t="n"/>
      <c r="K473" s="46" t="n"/>
      <c r="L473" s="95" t="n"/>
      <c r="M473" s="95" t="n"/>
      <c r="N473" s="95" t="n"/>
      <c r="O473" s="95" t="n"/>
      <c r="P473" s="95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  <c r="Z473" s="46" t="n"/>
    </row>
    <row r="474" ht="12.75" customHeight="1">
      <c r="A474" s="100" t="n"/>
      <c r="B474" s="101" t="n"/>
      <c r="C474" s="102" t="n"/>
      <c r="D474" s="99" t="n"/>
      <c r="E474" s="95" t="n"/>
      <c r="F474" s="95" t="n"/>
      <c r="G474" s="94" t="n"/>
      <c r="H474" s="46" t="n"/>
      <c r="I474" s="46" t="n"/>
      <c r="J474" s="46" t="n"/>
      <c r="K474" s="46" t="n"/>
      <c r="L474" s="95" t="n"/>
      <c r="M474" s="95" t="n"/>
      <c r="N474" s="95" t="n"/>
      <c r="O474" s="95" t="n"/>
      <c r="P474" s="95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  <c r="Z474" s="46" t="n"/>
    </row>
    <row r="475" ht="12.75" customHeight="1">
      <c r="A475" s="100" t="n"/>
      <c r="B475" s="101" t="n"/>
      <c r="C475" s="102" t="n"/>
      <c r="D475" s="99" t="n"/>
      <c r="E475" s="95" t="n"/>
      <c r="F475" s="95" t="n"/>
      <c r="G475" s="94" t="n"/>
      <c r="H475" s="46" t="n"/>
      <c r="I475" s="46" t="n"/>
      <c r="J475" s="46" t="n"/>
      <c r="K475" s="46" t="n"/>
      <c r="L475" s="95" t="n"/>
      <c r="M475" s="95" t="n"/>
      <c r="N475" s="95" t="n"/>
      <c r="O475" s="95" t="n"/>
      <c r="P475" s="95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  <c r="Z475" s="46" t="n"/>
    </row>
    <row r="476" ht="12.75" customHeight="1">
      <c r="A476" s="100" t="n"/>
      <c r="B476" s="101" t="n"/>
      <c r="C476" s="102" t="n"/>
      <c r="D476" s="99" t="n"/>
      <c r="E476" s="95" t="n"/>
      <c r="F476" s="95" t="n"/>
      <c r="G476" s="94" t="n"/>
      <c r="H476" s="46" t="n"/>
      <c r="I476" s="46" t="n"/>
      <c r="J476" s="46" t="n"/>
      <c r="K476" s="46" t="n"/>
      <c r="L476" s="95" t="n"/>
      <c r="M476" s="95" t="n"/>
      <c r="N476" s="95" t="n"/>
      <c r="O476" s="95" t="n"/>
      <c r="P476" s="95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  <c r="Z476" s="46" t="n"/>
    </row>
    <row r="477" ht="12.75" customHeight="1">
      <c r="A477" s="100" t="n"/>
      <c r="B477" s="101" t="n"/>
      <c r="C477" s="102" t="n"/>
      <c r="D477" s="99" t="n"/>
      <c r="E477" s="95" t="n"/>
      <c r="F477" s="95" t="n"/>
      <c r="G477" s="94" t="n"/>
      <c r="H477" s="46" t="n"/>
      <c r="I477" s="46" t="n"/>
      <c r="J477" s="46" t="n"/>
      <c r="K477" s="46" t="n"/>
      <c r="L477" s="95" t="n"/>
      <c r="M477" s="95" t="n"/>
      <c r="N477" s="95" t="n"/>
      <c r="O477" s="95" t="n"/>
      <c r="P477" s="95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  <c r="Z477" s="46" t="n"/>
    </row>
    <row r="478" ht="12.75" customHeight="1">
      <c r="A478" s="100" t="n"/>
      <c r="B478" s="101" t="n"/>
      <c r="C478" s="102" t="n"/>
      <c r="D478" s="99" t="n"/>
      <c r="E478" s="95" t="n"/>
      <c r="F478" s="95" t="n"/>
      <c r="G478" s="94" t="n"/>
      <c r="H478" s="46" t="n"/>
      <c r="I478" s="46" t="n"/>
      <c r="J478" s="46" t="n"/>
      <c r="K478" s="46" t="n"/>
      <c r="L478" s="95" t="n"/>
      <c r="M478" s="95" t="n"/>
      <c r="N478" s="95" t="n"/>
      <c r="O478" s="95" t="n"/>
      <c r="P478" s="95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  <c r="Z478" s="46" t="n"/>
    </row>
    <row r="479" ht="12.75" customHeight="1">
      <c r="A479" s="100" t="n"/>
      <c r="B479" s="101" t="n"/>
      <c r="C479" s="102" t="n"/>
      <c r="D479" s="99" t="n"/>
      <c r="E479" s="95" t="n"/>
      <c r="F479" s="95" t="n"/>
      <c r="G479" s="94" t="n"/>
      <c r="H479" s="46" t="n"/>
      <c r="I479" s="46" t="n"/>
      <c r="J479" s="46" t="n"/>
      <c r="K479" s="46" t="n"/>
      <c r="L479" s="95" t="n"/>
      <c r="M479" s="95" t="n"/>
      <c r="N479" s="95" t="n"/>
      <c r="O479" s="95" t="n"/>
      <c r="P479" s="95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  <c r="Z479" s="46" t="n"/>
    </row>
    <row r="480" ht="12.75" customHeight="1">
      <c r="A480" s="100" t="n"/>
      <c r="B480" s="101" t="n"/>
      <c r="C480" s="102" t="n"/>
      <c r="D480" s="99" t="n"/>
      <c r="E480" s="95" t="n"/>
      <c r="F480" s="95" t="n"/>
      <c r="G480" s="94" t="n"/>
      <c r="H480" s="46" t="n"/>
      <c r="I480" s="46" t="n"/>
      <c r="J480" s="46" t="n"/>
      <c r="K480" s="46" t="n"/>
      <c r="L480" s="95" t="n"/>
      <c r="M480" s="95" t="n"/>
      <c r="N480" s="95" t="n"/>
      <c r="O480" s="95" t="n"/>
      <c r="P480" s="95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  <c r="Z480" s="46" t="n"/>
    </row>
    <row r="481" ht="12.75" customHeight="1">
      <c r="A481" s="100" t="n"/>
      <c r="B481" s="101" t="n"/>
      <c r="C481" s="102" t="n"/>
      <c r="D481" s="99" t="n"/>
      <c r="E481" s="95" t="n"/>
      <c r="F481" s="95" t="n"/>
      <c r="G481" s="94" t="n"/>
      <c r="H481" s="46" t="n"/>
      <c r="I481" s="46" t="n"/>
      <c r="J481" s="46" t="n"/>
      <c r="K481" s="46" t="n"/>
      <c r="L481" s="95" t="n"/>
      <c r="M481" s="95" t="n"/>
      <c r="N481" s="95" t="n"/>
      <c r="O481" s="95" t="n"/>
      <c r="P481" s="95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  <c r="Z481" s="46" t="n"/>
    </row>
    <row r="482" ht="12.75" customHeight="1">
      <c r="A482" s="100" t="n"/>
      <c r="B482" s="101" t="n"/>
      <c r="C482" s="102" t="n"/>
      <c r="D482" s="99" t="n"/>
      <c r="E482" s="95" t="n"/>
      <c r="F482" s="95" t="n"/>
      <c r="G482" s="94" t="n"/>
      <c r="H482" s="46" t="n"/>
      <c r="I482" s="46" t="n"/>
      <c r="J482" s="46" t="n"/>
      <c r="K482" s="46" t="n"/>
      <c r="L482" s="95" t="n"/>
      <c r="M482" s="95" t="n"/>
      <c r="N482" s="95" t="n"/>
      <c r="O482" s="95" t="n"/>
      <c r="P482" s="95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  <c r="Z482" s="46" t="n"/>
    </row>
    <row r="483" ht="12.75" customHeight="1">
      <c r="A483" s="100" t="n"/>
      <c r="B483" s="101" t="n"/>
      <c r="C483" s="102" t="n"/>
      <c r="D483" s="99" t="n"/>
      <c r="E483" s="95" t="n"/>
      <c r="F483" s="95" t="n"/>
      <c r="G483" s="94" t="n"/>
      <c r="H483" s="46" t="n"/>
      <c r="I483" s="46" t="n"/>
      <c r="J483" s="46" t="n"/>
      <c r="K483" s="46" t="n"/>
      <c r="L483" s="95" t="n"/>
      <c r="M483" s="95" t="n"/>
      <c r="N483" s="95" t="n"/>
      <c r="O483" s="95" t="n"/>
      <c r="P483" s="95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  <c r="Z483" s="46" t="n"/>
    </row>
    <row r="484" ht="12.75" customHeight="1">
      <c r="A484" s="100" t="n"/>
      <c r="B484" s="101" t="n"/>
      <c r="C484" s="102" t="n"/>
      <c r="D484" s="99" t="n"/>
      <c r="E484" s="95" t="n"/>
      <c r="F484" s="95" t="n"/>
      <c r="G484" s="94" t="n"/>
      <c r="H484" s="46" t="n"/>
      <c r="I484" s="46" t="n"/>
      <c r="J484" s="46" t="n"/>
      <c r="K484" s="46" t="n"/>
      <c r="L484" s="95" t="n"/>
      <c r="M484" s="95" t="n"/>
      <c r="N484" s="95" t="n"/>
      <c r="O484" s="95" t="n"/>
      <c r="P484" s="95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  <c r="Z484" s="46" t="n"/>
    </row>
    <row r="485" ht="12.75" customHeight="1">
      <c r="A485" s="100" t="n"/>
      <c r="B485" s="101" t="n"/>
      <c r="C485" s="102" t="n"/>
      <c r="D485" s="99" t="n"/>
      <c r="E485" s="95" t="n"/>
      <c r="F485" s="95" t="n"/>
      <c r="G485" s="94" t="n"/>
      <c r="H485" s="46" t="n"/>
      <c r="I485" s="46" t="n"/>
      <c r="J485" s="46" t="n"/>
      <c r="K485" s="46" t="n"/>
      <c r="L485" s="95" t="n"/>
      <c r="M485" s="95" t="n"/>
      <c r="N485" s="95" t="n"/>
      <c r="O485" s="95" t="n"/>
      <c r="P485" s="95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  <c r="Z485" s="46" t="n"/>
    </row>
    <row r="486" ht="12.75" customHeight="1">
      <c r="A486" s="100" t="n"/>
      <c r="B486" s="101" t="n"/>
      <c r="C486" s="102" t="n"/>
      <c r="D486" s="99" t="n"/>
      <c r="E486" s="95" t="n"/>
      <c r="F486" s="95" t="n"/>
      <c r="G486" s="94" t="n"/>
      <c r="H486" s="46" t="n"/>
      <c r="I486" s="46" t="n"/>
      <c r="J486" s="46" t="n"/>
      <c r="K486" s="46" t="n"/>
      <c r="L486" s="95" t="n"/>
      <c r="M486" s="95" t="n"/>
      <c r="N486" s="95" t="n"/>
      <c r="O486" s="95" t="n"/>
      <c r="P486" s="95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  <c r="Z486" s="46" t="n"/>
    </row>
    <row r="487" ht="12.75" customHeight="1">
      <c r="A487" s="100" t="n"/>
      <c r="B487" s="101" t="n"/>
      <c r="C487" s="102" t="n"/>
      <c r="D487" s="99" t="n"/>
      <c r="E487" s="95" t="n"/>
      <c r="F487" s="95" t="n"/>
      <c r="G487" s="94" t="n"/>
      <c r="H487" s="46" t="n"/>
      <c r="I487" s="46" t="n"/>
      <c r="J487" s="46" t="n"/>
      <c r="K487" s="46" t="n"/>
      <c r="L487" s="95" t="n"/>
      <c r="M487" s="95" t="n"/>
      <c r="N487" s="95" t="n"/>
      <c r="O487" s="95" t="n"/>
      <c r="P487" s="95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  <c r="Z487" s="46" t="n"/>
    </row>
    <row r="488" ht="12.75" customHeight="1">
      <c r="A488" s="100" t="n"/>
      <c r="B488" s="101" t="n"/>
      <c r="C488" s="102" t="n"/>
      <c r="D488" s="99" t="n"/>
      <c r="E488" s="95" t="n"/>
      <c r="F488" s="95" t="n"/>
      <c r="G488" s="94" t="n"/>
      <c r="H488" s="46" t="n"/>
      <c r="I488" s="46" t="n"/>
      <c r="J488" s="46" t="n"/>
      <c r="K488" s="46" t="n"/>
      <c r="L488" s="95" t="n"/>
      <c r="M488" s="95" t="n"/>
      <c r="N488" s="95" t="n"/>
      <c r="O488" s="95" t="n"/>
      <c r="P488" s="95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  <c r="Z488" s="46" t="n"/>
    </row>
    <row r="489" ht="12.75" customHeight="1">
      <c r="A489" s="100" t="n"/>
      <c r="B489" s="101" t="n"/>
      <c r="C489" s="102" t="n"/>
      <c r="D489" s="99" t="n"/>
      <c r="E489" s="95" t="n"/>
      <c r="F489" s="95" t="n"/>
      <c r="G489" s="94" t="n"/>
      <c r="H489" s="46" t="n"/>
      <c r="I489" s="46" t="n"/>
      <c r="J489" s="46" t="n"/>
      <c r="K489" s="46" t="n"/>
      <c r="L489" s="95" t="n"/>
      <c r="M489" s="95" t="n"/>
      <c r="N489" s="95" t="n"/>
      <c r="O489" s="95" t="n"/>
      <c r="P489" s="95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  <c r="Z489" s="46" t="n"/>
    </row>
    <row r="490" ht="12.75" customHeight="1">
      <c r="A490" s="100" t="n"/>
      <c r="B490" s="101" t="n"/>
      <c r="C490" s="102" t="n"/>
      <c r="D490" s="99" t="n"/>
      <c r="E490" s="95" t="n"/>
      <c r="F490" s="95" t="n"/>
      <c r="G490" s="94" t="n"/>
      <c r="H490" s="46" t="n"/>
      <c r="I490" s="46" t="n"/>
      <c r="J490" s="46" t="n"/>
      <c r="K490" s="46" t="n"/>
      <c r="L490" s="95" t="n"/>
      <c r="M490" s="95" t="n"/>
      <c r="N490" s="95" t="n"/>
      <c r="O490" s="95" t="n"/>
      <c r="P490" s="95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  <c r="Z490" s="46" t="n"/>
    </row>
    <row r="491" ht="12.75" customHeight="1">
      <c r="A491" s="100" t="n"/>
      <c r="B491" s="101" t="n"/>
      <c r="C491" s="102" t="n"/>
      <c r="D491" s="99" t="n"/>
      <c r="E491" s="95" t="n"/>
      <c r="F491" s="95" t="n"/>
      <c r="G491" s="94" t="n"/>
      <c r="H491" s="46" t="n"/>
      <c r="I491" s="46" t="n"/>
      <c r="J491" s="46" t="n"/>
      <c r="K491" s="46" t="n"/>
      <c r="L491" s="95" t="n"/>
      <c r="M491" s="95" t="n"/>
      <c r="N491" s="95" t="n"/>
      <c r="O491" s="95" t="n"/>
      <c r="P491" s="95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  <c r="Z491" s="46" t="n"/>
    </row>
    <row r="492" ht="12.75" customHeight="1">
      <c r="A492" s="100" t="n"/>
      <c r="B492" s="101" t="n"/>
      <c r="C492" s="102" t="n"/>
      <c r="D492" s="99" t="n"/>
      <c r="E492" s="95" t="n"/>
      <c r="F492" s="95" t="n"/>
      <c r="G492" s="94" t="n"/>
      <c r="H492" s="46" t="n"/>
      <c r="I492" s="46" t="n"/>
      <c r="J492" s="46" t="n"/>
      <c r="K492" s="46" t="n"/>
      <c r="L492" s="95" t="n"/>
      <c r="M492" s="95" t="n"/>
      <c r="N492" s="95" t="n"/>
      <c r="O492" s="95" t="n"/>
      <c r="P492" s="95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  <c r="Z492" s="46" t="n"/>
    </row>
    <row r="493" ht="12.75" customHeight="1">
      <c r="A493" s="100" t="n"/>
      <c r="B493" s="101" t="n"/>
      <c r="C493" s="102" t="n"/>
      <c r="D493" s="99" t="n"/>
      <c r="E493" s="95" t="n"/>
      <c r="F493" s="95" t="n"/>
      <c r="G493" s="94" t="n"/>
      <c r="H493" s="46" t="n"/>
      <c r="I493" s="46" t="n"/>
      <c r="J493" s="46" t="n"/>
      <c r="K493" s="46" t="n"/>
      <c r="L493" s="95" t="n"/>
      <c r="M493" s="95" t="n"/>
      <c r="N493" s="95" t="n"/>
      <c r="O493" s="95" t="n"/>
      <c r="P493" s="95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  <c r="Z493" s="46" t="n"/>
    </row>
    <row r="494" ht="12.75" customHeight="1">
      <c r="A494" s="100" t="n"/>
      <c r="B494" s="101" t="n"/>
      <c r="C494" s="102" t="n"/>
      <c r="D494" s="99" t="n"/>
      <c r="E494" s="95" t="n"/>
      <c r="F494" s="95" t="n"/>
      <c r="G494" s="94" t="n"/>
      <c r="H494" s="46" t="n"/>
      <c r="I494" s="46" t="n"/>
      <c r="J494" s="46" t="n"/>
      <c r="K494" s="46" t="n"/>
      <c r="L494" s="95" t="n"/>
      <c r="M494" s="95" t="n"/>
      <c r="N494" s="95" t="n"/>
      <c r="O494" s="95" t="n"/>
      <c r="P494" s="95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  <c r="Z494" s="46" t="n"/>
    </row>
    <row r="495" ht="12.75" customHeight="1">
      <c r="A495" s="100" t="n"/>
      <c r="B495" s="101" t="n"/>
      <c r="C495" s="102" t="n"/>
      <c r="D495" s="99" t="n"/>
      <c r="E495" s="95" t="n"/>
      <c r="F495" s="95" t="n"/>
      <c r="G495" s="94" t="n"/>
      <c r="H495" s="46" t="n"/>
      <c r="I495" s="46" t="n"/>
      <c r="J495" s="46" t="n"/>
      <c r="K495" s="46" t="n"/>
      <c r="L495" s="95" t="n"/>
      <c r="M495" s="95" t="n"/>
      <c r="N495" s="95" t="n"/>
      <c r="O495" s="95" t="n"/>
      <c r="P495" s="95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  <c r="Z495" s="46" t="n"/>
    </row>
    <row r="496" ht="12.75" customHeight="1">
      <c r="A496" s="100" t="n"/>
      <c r="B496" s="101" t="n"/>
      <c r="C496" s="102" t="n"/>
      <c r="D496" s="99" t="n"/>
      <c r="E496" s="95" t="n"/>
      <c r="F496" s="95" t="n"/>
      <c r="G496" s="94" t="n"/>
      <c r="H496" s="46" t="n"/>
      <c r="I496" s="46" t="n"/>
      <c r="J496" s="46" t="n"/>
      <c r="K496" s="46" t="n"/>
      <c r="L496" s="95" t="n"/>
      <c r="M496" s="95" t="n"/>
      <c r="N496" s="95" t="n"/>
      <c r="O496" s="95" t="n"/>
      <c r="P496" s="95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  <c r="Z496" s="46" t="n"/>
    </row>
    <row r="497" ht="12.75" customHeight="1">
      <c r="A497" s="100" t="n"/>
      <c r="B497" s="101" t="n"/>
      <c r="C497" s="102" t="n"/>
      <c r="D497" s="99" t="n"/>
      <c r="E497" s="95" t="n"/>
      <c r="F497" s="95" t="n"/>
      <c r="G497" s="94" t="n"/>
      <c r="H497" s="46" t="n"/>
      <c r="I497" s="46" t="n"/>
      <c r="J497" s="46" t="n"/>
      <c r="K497" s="46" t="n"/>
      <c r="L497" s="95" t="n"/>
      <c r="M497" s="95" t="n"/>
      <c r="N497" s="95" t="n"/>
      <c r="O497" s="95" t="n"/>
      <c r="P497" s="95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  <c r="Z497" s="46" t="n"/>
    </row>
    <row r="498" ht="12.75" customHeight="1">
      <c r="A498" s="100" t="n"/>
      <c r="B498" s="101" t="n"/>
      <c r="C498" s="102" t="n"/>
      <c r="D498" s="99" t="n"/>
      <c r="E498" s="95" t="n"/>
      <c r="F498" s="95" t="n"/>
      <c r="G498" s="94" t="n"/>
      <c r="H498" s="46" t="n"/>
      <c r="I498" s="46" t="n"/>
      <c r="J498" s="46" t="n"/>
      <c r="K498" s="46" t="n"/>
      <c r="L498" s="95" t="n"/>
      <c r="M498" s="95" t="n"/>
      <c r="N498" s="95" t="n"/>
      <c r="O498" s="95" t="n"/>
      <c r="P498" s="95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  <c r="Z498" s="46" t="n"/>
    </row>
    <row r="499" ht="12.75" customHeight="1">
      <c r="A499" s="100" t="n"/>
      <c r="B499" s="101" t="n"/>
      <c r="C499" s="102" t="n"/>
      <c r="D499" s="99" t="n"/>
      <c r="E499" s="95" t="n"/>
      <c r="F499" s="95" t="n"/>
      <c r="G499" s="94" t="n"/>
      <c r="H499" s="46" t="n"/>
      <c r="I499" s="46" t="n"/>
      <c r="J499" s="46" t="n"/>
      <c r="K499" s="46" t="n"/>
      <c r="L499" s="95" t="n"/>
      <c r="M499" s="95" t="n"/>
      <c r="N499" s="95" t="n"/>
      <c r="O499" s="95" t="n"/>
      <c r="P499" s="95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  <c r="Z499" s="46" t="n"/>
    </row>
    <row r="500" ht="12.75" customHeight="1">
      <c r="A500" s="100" t="n"/>
      <c r="B500" s="101" t="n"/>
      <c r="C500" s="102" t="n"/>
      <c r="D500" s="99" t="n"/>
      <c r="E500" s="95" t="n"/>
      <c r="F500" s="95" t="n"/>
      <c r="G500" s="94" t="n"/>
      <c r="H500" s="46" t="n"/>
      <c r="I500" s="46" t="n"/>
      <c r="J500" s="46" t="n"/>
      <c r="K500" s="46" t="n"/>
      <c r="L500" s="95" t="n"/>
      <c r="M500" s="95" t="n"/>
      <c r="N500" s="95" t="n"/>
      <c r="O500" s="95" t="n"/>
      <c r="P500" s="95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  <c r="Z500" s="46" t="n"/>
    </row>
    <row r="501" ht="12.75" customHeight="1">
      <c r="A501" s="100" t="n"/>
      <c r="B501" s="101" t="n"/>
      <c r="C501" s="102" t="n"/>
      <c r="D501" s="99" t="n"/>
      <c r="E501" s="95" t="n"/>
      <c r="F501" s="95" t="n"/>
      <c r="G501" s="94" t="n"/>
      <c r="H501" s="46" t="n"/>
      <c r="I501" s="46" t="n"/>
      <c r="J501" s="46" t="n"/>
      <c r="K501" s="46" t="n"/>
      <c r="L501" s="95" t="n"/>
      <c r="M501" s="95" t="n"/>
      <c r="N501" s="95" t="n"/>
      <c r="O501" s="95" t="n"/>
      <c r="P501" s="95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  <c r="Z501" s="46" t="n"/>
    </row>
    <row r="502" ht="12.75" customHeight="1">
      <c r="A502" s="100" t="n"/>
      <c r="B502" s="101" t="n"/>
      <c r="C502" s="102" t="n"/>
      <c r="D502" s="99" t="n"/>
      <c r="E502" s="95" t="n"/>
      <c r="F502" s="95" t="n"/>
      <c r="G502" s="94" t="n"/>
      <c r="H502" s="46" t="n"/>
      <c r="I502" s="46" t="n"/>
      <c r="J502" s="46" t="n"/>
      <c r="K502" s="46" t="n"/>
      <c r="L502" s="95" t="n"/>
      <c r="M502" s="95" t="n"/>
      <c r="N502" s="95" t="n"/>
      <c r="O502" s="95" t="n"/>
      <c r="P502" s="95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  <c r="Z502" s="46" t="n"/>
    </row>
    <row r="503" ht="12.75" customHeight="1">
      <c r="A503" s="100" t="n"/>
      <c r="B503" s="101" t="n"/>
      <c r="C503" s="102" t="n"/>
      <c r="D503" s="99" t="n"/>
      <c r="E503" s="95" t="n"/>
      <c r="F503" s="95" t="n"/>
      <c r="G503" s="94" t="n"/>
      <c r="H503" s="46" t="n"/>
      <c r="I503" s="46" t="n"/>
      <c r="J503" s="46" t="n"/>
      <c r="K503" s="46" t="n"/>
      <c r="L503" s="95" t="n"/>
      <c r="M503" s="95" t="n"/>
      <c r="N503" s="95" t="n"/>
      <c r="O503" s="95" t="n"/>
      <c r="P503" s="95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  <c r="Z503" s="46" t="n"/>
    </row>
    <row r="504" ht="12.75" customHeight="1">
      <c r="A504" s="100" t="n"/>
      <c r="B504" s="101" t="n"/>
      <c r="C504" s="102" t="n"/>
      <c r="D504" s="99" t="n"/>
      <c r="E504" s="95" t="n"/>
      <c r="F504" s="95" t="n"/>
      <c r="G504" s="94" t="n"/>
      <c r="H504" s="46" t="n"/>
      <c r="I504" s="46" t="n"/>
      <c r="J504" s="46" t="n"/>
      <c r="K504" s="46" t="n"/>
      <c r="L504" s="95" t="n"/>
      <c r="M504" s="95" t="n"/>
      <c r="N504" s="95" t="n"/>
      <c r="O504" s="95" t="n"/>
      <c r="P504" s="95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  <c r="Z504" s="46" t="n"/>
    </row>
    <row r="505" ht="12.75" customHeight="1">
      <c r="A505" s="100" t="n"/>
      <c r="B505" s="101" t="n"/>
      <c r="C505" s="102" t="n"/>
      <c r="D505" s="99" t="n"/>
      <c r="E505" s="95" t="n"/>
      <c r="F505" s="95" t="n"/>
      <c r="G505" s="94" t="n"/>
      <c r="H505" s="46" t="n"/>
      <c r="I505" s="46" t="n"/>
      <c r="J505" s="46" t="n"/>
      <c r="K505" s="46" t="n"/>
      <c r="L505" s="95" t="n"/>
      <c r="M505" s="95" t="n"/>
      <c r="N505" s="95" t="n"/>
      <c r="O505" s="95" t="n"/>
      <c r="P505" s="95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  <c r="Z505" s="46" t="n"/>
    </row>
    <row r="506" ht="12.75" customHeight="1">
      <c r="A506" s="100" t="n"/>
      <c r="B506" s="101" t="n"/>
      <c r="C506" s="102" t="n"/>
      <c r="D506" s="99" t="n"/>
      <c r="E506" s="95" t="n"/>
      <c r="F506" s="95" t="n"/>
      <c r="G506" s="94" t="n"/>
      <c r="H506" s="46" t="n"/>
      <c r="I506" s="46" t="n"/>
      <c r="J506" s="46" t="n"/>
      <c r="K506" s="46" t="n"/>
      <c r="L506" s="95" t="n"/>
      <c r="M506" s="95" t="n"/>
      <c r="N506" s="95" t="n"/>
      <c r="O506" s="95" t="n"/>
      <c r="P506" s="95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  <c r="Z506" s="46" t="n"/>
    </row>
    <row r="507" ht="12.75" customHeight="1">
      <c r="A507" s="100" t="n"/>
      <c r="B507" s="101" t="n"/>
      <c r="C507" s="102" t="n"/>
      <c r="D507" s="99" t="n"/>
      <c r="E507" s="95" t="n"/>
      <c r="F507" s="95" t="n"/>
      <c r="G507" s="94" t="n"/>
      <c r="H507" s="46" t="n"/>
      <c r="I507" s="46" t="n"/>
      <c r="J507" s="46" t="n"/>
      <c r="K507" s="46" t="n"/>
      <c r="L507" s="95" t="n"/>
      <c r="M507" s="95" t="n"/>
      <c r="N507" s="95" t="n"/>
      <c r="O507" s="95" t="n"/>
      <c r="P507" s="95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  <c r="Z507" s="46" t="n"/>
    </row>
    <row r="508" ht="12.75" customHeight="1">
      <c r="A508" s="100" t="n"/>
      <c r="B508" s="101" t="n"/>
      <c r="C508" s="102" t="n"/>
      <c r="D508" s="99" t="n"/>
      <c r="E508" s="95" t="n"/>
      <c r="F508" s="95" t="n"/>
      <c r="G508" s="94" t="n"/>
      <c r="H508" s="46" t="n"/>
      <c r="I508" s="46" t="n"/>
      <c r="J508" s="46" t="n"/>
      <c r="K508" s="46" t="n"/>
      <c r="L508" s="95" t="n"/>
      <c r="M508" s="95" t="n"/>
      <c r="N508" s="95" t="n"/>
      <c r="O508" s="95" t="n"/>
      <c r="P508" s="95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  <c r="Z508" s="46" t="n"/>
    </row>
    <row r="509" ht="12.75" customHeight="1">
      <c r="A509" s="100" t="n"/>
      <c r="B509" s="101" t="n"/>
      <c r="C509" s="102" t="n"/>
      <c r="D509" s="99" t="n"/>
      <c r="E509" s="95" t="n"/>
      <c r="F509" s="95" t="n"/>
      <c r="G509" s="94" t="n"/>
      <c r="H509" s="46" t="n"/>
      <c r="I509" s="46" t="n"/>
      <c r="J509" s="46" t="n"/>
      <c r="K509" s="46" t="n"/>
      <c r="L509" s="95" t="n"/>
      <c r="M509" s="95" t="n"/>
      <c r="N509" s="95" t="n"/>
      <c r="O509" s="95" t="n"/>
      <c r="P509" s="95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  <c r="Z509" s="46" t="n"/>
    </row>
    <row r="510" ht="12.75" customHeight="1">
      <c r="A510" s="100" t="n"/>
      <c r="B510" s="101" t="n"/>
      <c r="C510" s="102" t="n"/>
      <c r="D510" s="99" t="n"/>
      <c r="E510" s="95" t="n"/>
      <c r="F510" s="95" t="n"/>
      <c r="G510" s="94" t="n"/>
      <c r="H510" s="46" t="n"/>
      <c r="I510" s="46" t="n"/>
      <c r="J510" s="46" t="n"/>
      <c r="K510" s="46" t="n"/>
      <c r="L510" s="95" t="n"/>
      <c r="M510" s="95" t="n"/>
      <c r="N510" s="95" t="n"/>
      <c r="O510" s="95" t="n"/>
      <c r="P510" s="95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  <c r="Z510" s="46" t="n"/>
    </row>
    <row r="511" ht="12.75" customHeight="1">
      <c r="A511" s="100" t="n"/>
      <c r="B511" s="101" t="n"/>
      <c r="C511" s="102" t="n"/>
      <c r="D511" s="99" t="n"/>
      <c r="E511" s="95" t="n"/>
      <c r="F511" s="95" t="n"/>
      <c r="G511" s="94" t="n"/>
      <c r="H511" s="46" t="n"/>
      <c r="I511" s="46" t="n"/>
      <c r="J511" s="46" t="n"/>
      <c r="K511" s="46" t="n"/>
      <c r="L511" s="95" t="n"/>
      <c r="M511" s="95" t="n"/>
      <c r="N511" s="95" t="n"/>
      <c r="O511" s="95" t="n"/>
      <c r="P511" s="95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  <c r="Z511" s="46" t="n"/>
    </row>
    <row r="512" ht="12.75" customHeight="1">
      <c r="A512" s="100" t="n"/>
      <c r="B512" s="101" t="n"/>
      <c r="C512" s="102" t="n"/>
      <c r="D512" s="99" t="n"/>
      <c r="E512" s="95" t="n"/>
      <c r="F512" s="95" t="n"/>
      <c r="G512" s="94" t="n"/>
      <c r="H512" s="46" t="n"/>
      <c r="I512" s="46" t="n"/>
      <c r="J512" s="46" t="n"/>
      <c r="K512" s="46" t="n"/>
      <c r="L512" s="95" t="n"/>
      <c r="M512" s="95" t="n"/>
      <c r="N512" s="95" t="n"/>
      <c r="O512" s="95" t="n"/>
      <c r="P512" s="95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  <c r="Z512" s="46" t="n"/>
    </row>
    <row r="513" ht="12.75" customHeight="1">
      <c r="A513" s="100" t="n"/>
      <c r="B513" s="101" t="n"/>
      <c r="C513" s="102" t="n"/>
      <c r="D513" s="99" t="n"/>
      <c r="E513" s="95" t="n"/>
      <c r="F513" s="95" t="n"/>
      <c r="G513" s="94" t="n"/>
      <c r="H513" s="46" t="n"/>
      <c r="I513" s="46" t="n"/>
      <c r="J513" s="46" t="n"/>
      <c r="K513" s="46" t="n"/>
      <c r="L513" s="95" t="n"/>
      <c r="M513" s="95" t="n"/>
      <c r="N513" s="95" t="n"/>
      <c r="O513" s="95" t="n"/>
      <c r="P513" s="95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  <c r="Z513" s="46" t="n"/>
    </row>
    <row r="514" ht="12.75" customHeight="1">
      <c r="A514" s="100" t="n"/>
      <c r="B514" s="101" t="n"/>
      <c r="C514" s="102" t="n"/>
      <c r="D514" s="99" t="n"/>
      <c r="E514" s="95" t="n"/>
      <c r="F514" s="95" t="n"/>
      <c r="G514" s="94" t="n"/>
      <c r="H514" s="46" t="n"/>
      <c r="I514" s="46" t="n"/>
      <c r="J514" s="46" t="n"/>
      <c r="K514" s="46" t="n"/>
      <c r="L514" s="95" t="n"/>
      <c r="M514" s="95" t="n"/>
      <c r="N514" s="95" t="n"/>
      <c r="O514" s="95" t="n"/>
      <c r="P514" s="95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  <c r="Z514" s="46" t="n"/>
    </row>
    <row r="515" ht="12.75" customHeight="1">
      <c r="A515" s="100" t="n"/>
      <c r="B515" s="101" t="n"/>
      <c r="C515" s="102" t="n"/>
      <c r="D515" s="99" t="n"/>
      <c r="E515" s="95" t="n"/>
      <c r="F515" s="95" t="n"/>
      <c r="G515" s="94" t="n"/>
      <c r="H515" s="46" t="n"/>
      <c r="I515" s="46" t="n"/>
      <c r="J515" s="46" t="n"/>
      <c r="K515" s="46" t="n"/>
      <c r="L515" s="95" t="n"/>
      <c r="M515" s="95" t="n"/>
      <c r="N515" s="95" t="n"/>
      <c r="O515" s="95" t="n"/>
      <c r="P515" s="95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  <c r="Z515" s="46" t="n"/>
    </row>
    <row r="516" ht="12.75" customHeight="1">
      <c r="A516" s="100" t="n"/>
      <c r="B516" s="101" t="n"/>
      <c r="C516" s="102" t="n"/>
      <c r="D516" s="99" t="n"/>
      <c r="E516" s="95" t="n"/>
      <c r="F516" s="95" t="n"/>
      <c r="G516" s="94" t="n"/>
      <c r="H516" s="46" t="n"/>
      <c r="I516" s="46" t="n"/>
      <c r="J516" s="46" t="n"/>
      <c r="K516" s="46" t="n"/>
      <c r="L516" s="95" t="n"/>
      <c r="M516" s="95" t="n"/>
      <c r="N516" s="95" t="n"/>
      <c r="O516" s="95" t="n"/>
      <c r="P516" s="95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  <c r="Z516" s="46" t="n"/>
    </row>
    <row r="517" ht="12.75" customHeight="1">
      <c r="A517" s="100" t="n"/>
      <c r="B517" s="101" t="n"/>
      <c r="C517" s="102" t="n"/>
      <c r="D517" s="99" t="n"/>
      <c r="E517" s="95" t="n"/>
      <c r="F517" s="95" t="n"/>
      <c r="G517" s="94" t="n"/>
      <c r="H517" s="46" t="n"/>
      <c r="I517" s="46" t="n"/>
      <c r="J517" s="46" t="n"/>
      <c r="K517" s="46" t="n"/>
      <c r="L517" s="95" t="n"/>
      <c r="M517" s="95" t="n"/>
      <c r="N517" s="95" t="n"/>
      <c r="O517" s="95" t="n"/>
      <c r="P517" s="95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  <c r="Z517" s="46" t="n"/>
    </row>
    <row r="518" ht="12.75" customHeight="1">
      <c r="A518" s="100" t="n"/>
      <c r="B518" s="101" t="n"/>
      <c r="C518" s="102" t="n"/>
      <c r="D518" s="99" t="n"/>
      <c r="E518" s="95" t="n"/>
      <c r="F518" s="95" t="n"/>
      <c r="G518" s="94" t="n"/>
      <c r="H518" s="46" t="n"/>
      <c r="I518" s="46" t="n"/>
      <c r="J518" s="46" t="n"/>
      <c r="K518" s="46" t="n"/>
      <c r="L518" s="95" t="n"/>
      <c r="M518" s="95" t="n"/>
      <c r="N518" s="95" t="n"/>
      <c r="O518" s="95" t="n"/>
      <c r="P518" s="95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  <c r="Z518" s="46" t="n"/>
    </row>
    <row r="519" ht="12.75" customHeight="1">
      <c r="A519" s="100" t="n"/>
      <c r="B519" s="101" t="n"/>
      <c r="C519" s="102" t="n"/>
      <c r="D519" s="99" t="n"/>
      <c r="E519" s="95" t="n"/>
      <c r="F519" s="95" t="n"/>
      <c r="G519" s="94" t="n"/>
      <c r="H519" s="46" t="n"/>
      <c r="I519" s="46" t="n"/>
      <c r="J519" s="46" t="n"/>
      <c r="K519" s="46" t="n"/>
      <c r="L519" s="95" t="n"/>
      <c r="M519" s="95" t="n"/>
      <c r="N519" s="95" t="n"/>
      <c r="O519" s="95" t="n"/>
      <c r="P519" s="95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  <c r="Z519" s="46" t="n"/>
    </row>
    <row r="520" ht="12.75" customHeight="1">
      <c r="A520" s="100" t="n"/>
      <c r="B520" s="101" t="n"/>
      <c r="C520" s="102" t="n"/>
      <c r="D520" s="99" t="n"/>
      <c r="E520" s="95" t="n"/>
      <c r="F520" s="95" t="n"/>
      <c r="G520" s="94" t="n"/>
      <c r="H520" s="46" t="n"/>
      <c r="I520" s="46" t="n"/>
      <c r="J520" s="46" t="n"/>
      <c r="K520" s="46" t="n"/>
      <c r="L520" s="95" t="n"/>
      <c r="M520" s="95" t="n"/>
      <c r="N520" s="95" t="n"/>
      <c r="O520" s="95" t="n"/>
      <c r="P520" s="95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  <c r="Z520" s="46" t="n"/>
    </row>
    <row r="521" ht="12.75" customHeight="1">
      <c r="A521" s="100" t="n"/>
      <c r="B521" s="101" t="n"/>
      <c r="C521" s="102" t="n"/>
      <c r="D521" s="99" t="n"/>
      <c r="E521" s="95" t="n"/>
      <c r="F521" s="95" t="n"/>
      <c r="G521" s="94" t="n"/>
      <c r="H521" s="46" t="n"/>
      <c r="I521" s="46" t="n"/>
      <c r="J521" s="46" t="n"/>
      <c r="K521" s="46" t="n"/>
      <c r="L521" s="95" t="n"/>
      <c r="M521" s="95" t="n"/>
      <c r="N521" s="95" t="n"/>
      <c r="O521" s="95" t="n"/>
      <c r="P521" s="95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  <c r="Z521" s="46" t="n"/>
    </row>
    <row r="522" ht="12.75" customHeight="1">
      <c r="A522" s="100" t="n"/>
      <c r="B522" s="101" t="n"/>
      <c r="C522" s="102" t="n"/>
      <c r="D522" s="99" t="n"/>
      <c r="E522" s="95" t="n"/>
      <c r="F522" s="95" t="n"/>
      <c r="G522" s="94" t="n"/>
      <c r="H522" s="46" t="n"/>
      <c r="I522" s="46" t="n"/>
      <c r="J522" s="46" t="n"/>
      <c r="K522" s="46" t="n"/>
      <c r="L522" s="95" t="n"/>
      <c r="M522" s="95" t="n"/>
      <c r="N522" s="95" t="n"/>
      <c r="O522" s="95" t="n"/>
      <c r="P522" s="95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  <c r="Z522" s="46" t="n"/>
    </row>
    <row r="523" ht="12.75" customHeight="1">
      <c r="A523" s="100" t="n"/>
      <c r="B523" s="101" t="n"/>
      <c r="C523" s="102" t="n"/>
      <c r="D523" s="99" t="n"/>
      <c r="E523" s="95" t="n"/>
      <c r="F523" s="95" t="n"/>
      <c r="G523" s="94" t="n"/>
      <c r="H523" s="46" t="n"/>
      <c r="I523" s="46" t="n"/>
      <c r="J523" s="46" t="n"/>
      <c r="K523" s="46" t="n"/>
      <c r="L523" s="95" t="n"/>
      <c r="M523" s="95" t="n"/>
      <c r="N523" s="95" t="n"/>
      <c r="O523" s="95" t="n"/>
      <c r="P523" s="95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  <c r="Z523" s="46" t="n"/>
    </row>
    <row r="524" ht="12.75" customHeight="1">
      <c r="A524" s="100" t="n"/>
      <c r="B524" s="101" t="n"/>
      <c r="C524" s="102" t="n"/>
      <c r="D524" s="99" t="n"/>
      <c r="E524" s="95" t="n"/>
      <c r="F524" s="95" t="n"/>
      <c r="G524" s="94" t="n"/>
      <c r="H524" s="46" t="n"/>
      <c r="I524" s="46" t="n"/>
      <c r="J524" s="46" t="n"/>
      <c r="K524" s="46" t="n"/>
      <c r="L524" s="95" t="n"/>
      <c r="M524" s="95" t="n"/>
      <c r="N524" s="95" t="n"/>
      <c r="O524" s="95" t="n"/>
      <c r="P524" s="95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  <c r="Z524" s="46" t="n"/>
    </row>
    <row r="525" ht="12.75" customHeight="1">
      <c r="A525" s="100" t="n"/>
      <c r="B525" s="101" t="n"/>
      <c r="C525" s="102" t="n"/>
      <c r="D525" s="99" t="n"/>
      <c r="E525" s="95" t="n"/>
      <c r="F525" s="95" t="n"/>
      <c r="G525" s="94" t="n"/>
      <c r="H525" s="46" t="n"/>
      <c r="I525" s="46" t="n"/>
      <c r="J525" s="46" t="n"/>
      <c r="K525" s="46" t="n"/>
      <c r="L525" s="95" t="n"/>
      <c r="M525" s="95" t="n"/>
      <c r="N525" s="95" t="n"/>
      <c r="O525" s="95" t="n"/>
      <c r="P525" s="95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  <c r="Z525" s="46" t="n"/>
    </row>
    <row r="526" ht="12.75" customHeight="1">
      <c r="A526" s="100" t="n"/>
      <c r="B526" s="101" t="n"/>
      <c r="C526" s="102" t="n"/>
      <c r="D526" s="99" t="n"/>
      <c r="E526" s="95" t="n"/>
      <c r="F526" s="95" t="n"/>
      <c r="G526" s="94" t="n"/>
      <c r="H526" s="46" t="n"/>
      <c r="I526" s="46" t="n"/>
      <c r="J526" s="46" t="n"/>
      <c r="K526" s="46" t="n"/>
      <c r="L526" s="95" t="n"/>
      <c r="M526" s="95" t="n"/>
      <c r="N526" s="95" t="n"/>
      <c r="O526" s="95" t="n"/>
      <c r="P526" s="95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  <c r="Z526" s="46" t="n"/>
    </row>
    <row r="527" ht="12.75" customHeight="1">
      <c r="A527" s="100" t="n"/>
      <c r="B527" s="101" t="n"/>
      <c r="C527" s="102" t="n"/>
      <c r="D527" s="99" t="n"/>
      <c r="E527" s="95" t="n"/>
      <c r="F527" s="95" t="n"/>
      <c r="G527" s="94" t="n"/>
      <c r="H527" s="46" t="n"/>
      <c r="I527" s="46" t="n"/>
      <c r="J527" s="46" t="n"/>
      <c r="K527" s="46" t="n"/>
      <c r="L527" s="95" t="n"/>
      <c r="M527" s="95" t="n"/>
      <c r="N527" s="95" t="n"/>
      <c r="O527" s="95" t="n"/>
      <c r="P527" s="95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  <c r="Z527" s="46" t="n"/>
    </row>
    <row r="528" ht="12.75" customHeight="1">
      <c r="A528" s="100" t="n"/>
      <c r="B528" s="101" t="n"/>
      <c r="C528" s="102" t="n"/>
      <c r="D528" s="99" t="n"/>
      <c r="E528" s="95" t="n"/>
      <c r="F528" s="95" t="n"/>
      <c r="G528" s="94" t="n"/>
      <c r="H528" s="46" t="n"/>
      <c r="I528" s="46" t="n"/>
      <c r="J528" s="46" t="n"/>
      <c r="K528" s="46" t="n"/>
      <c r="L528" s="95" t="n"/>
      <c r="M528" s="95" t="n"/>
      <c r="N528" s="95" t="n"/>
      <c r="O528" s="95" t="n"/>
      <c r="P528" s="95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  <c r="Z528" s="46" t="n"/>
    </row>
    <row r="529" ht="12.75" customHeight="1">
      <c r="A529" s="100" t="n"/>
      <c r="B529" s="101" t="n"/>
      <c r="C529" s="102" t="n"/>
      <c r="D529" s="99" t="n"/>
      <c r="E529" s="95" t="n"/>
      <c r="F529" s="95" t="n"/>
      <c r="G529" s="94" t="n"/>
      <c r="H529" s="46" t="n"/>
      <c r="I529" s="46" t="n"/>
      <c r="J529" s="46" t="n"/>
      <c r="K529" s="46" t="n"/>
      <c r="L529" s="95" t="n"/>
      <c r="M529" s="95" t="n"/>
      <c r="N529" s="95" t="n"/>
      <c r="O529" s="95" t="n"/>
      <c r="P529" s="95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  <c r="Z529" s="46" t="n"/>
    </row>
    <row r="530" ht="12.75" customHeight="1">
      <c r="A530" s="100" t="n"/>
      <c r="B530" s="101" t="n"/>
      <c r="C530" s="102" t="n"/>
      <c r="D530" s="99" t="n"/>
      <c r="E530" s="95" t="n"/>
      <c r="F530" s="95" t="n"/>
      <c r="G530" s="94" t="n"/>
      <c r="H530" s="46" t="n"/>
      <c r="I530" s="46" t="n"/>
      <c r="J530" s="46" t="n"/>
      <c r="K530" s="46" t="n"/>
      <c r="L530" s="95" t="n"/>
      <c r="M530" s="95" t="n"/>
      <c r="N530" s="95" t="n"/>
      <c r="O530" s="95" t="n"/>
      <c r="P530" s="95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  <c r="Z530" s="46" t="n"/>
    </row>
    <row r="531" ht="12.75" customHeight="1">
      <c r="A531" s="100" t="n"/>
      <c r="B531" s="101" t="n"/>
      <c r="C531" s="102" t="n"/>
      <c r="D531" s="99" t="n"/>
      <c r="E531" s="95" t="n"/>
      <c r="F531" s="95" t="n"/>
      <c r="G531" s="94" t="n"/>
      <c r="H531" s="46" t="n"/>
      <c r="I531" s="46" t="n"/>
      <c r="J531" s="46" t="n"/>
      <c r="K531" s="46" t="n"/>
      <c r="L531" s="95" t="n"/>
      <c r="M531" s="95" t="n"/>
      <c r="N531" s="95" t="n"/>
      <c r="O531" s="95" t="n"/>
      <c r="P531" s="95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  <c r="Z531" s="46" t="n"/>
    </row>
    <row r="532" ht="12.75" customHeight="1">
      <c r="A532" s="100" t="n"/>
      <c r="B532" s="101" t="n"/>
      <c r="C532" s="102" t="n"/>
      <c r="D532" s="99" t="n"/>
      <c r="E532" s="95" t="n"/>
      <c r="F532" s="95" t="n"/>
      <c r="G532" s="94" t="n"/>
      <c r="H532" s="46" t="n"/>
      <c r="I532" s="46" t="n"/>
      <c r="J532" s="46" t="n"/>
      <c r="K532" s="46" t="n"/>
      <c r="L532" s="95" t="n"/>
      <c r="M532" s="95" t="n"/>
      <c r="N532" s="95" t="n"/>
      <c r="O532" s="95" t="n"/>
      <c r="P532" s="95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  <c r="Z532" s="46" t="n"/>
    </row>
    <row r="533" ht="12.75" customHeight="1">
      <c r="A533" s="100" t="n"/>
      <c r="B533" s="101" t="n"/>
      <c r="C533" s="102" t="n"/>
      <c r="D533" s="99" t="n"/>
      <c r="E533" s="95" t="n"/>
      <c r="F533" s="95" t="n"/>
      <c r="G533" s="94" t="n"/>
      <c r="H533" s="46" t="n"/>
      <c r="I533" s="46" t="n"/>
      <c r="J533" s="46" t="n"/>
      <c r="K533" s="46" t="n"/>
      <c r="L533" s="95" t="n"/>
      <c r="M533" s="95" t="n"/>
      <c r="N533" s="95" t="n"/>
      <c r="O533" s="95" t="n"/>
      <c r="P533" s="95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  <c r="Z533" s="46" t="n"/>
    </row>
    <row r="534" ht="12.75" customHeight="1">
      <c r="A534" s="100" t="n"/>
      <c r="B534" s="101" t="n"/>
      <c r="C534" s="102" t="n"/>
      <c r="D534" s="99" t="n"/>
      <c r="E534" s="95" t="n"/>
      <c r="F534" s="95" t="n"/>
      <c r="G534" s="94" t="n"/>
      <c r="H534" s="46" t="n"/>
      <c r="I534" s="46" t="n"/>
      <c r="J534" s="46" t="n"/>
      <c r="K534" s="46" t="n"/>
      <c r="L534" s="95" t="n"/>
      <c r="M534" s="95" t="n"/>
      <c r="N534" s="95" t="n"/>
      <c r="O534" s="95" t="n"/>
      <c r="P534" s="95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  <c r="Z534" s="46" t="n"/>
    </row>
    <row r="535" ht="12.75" customHeight="1">
      <c r="A535" s="100" t="n"/>
      <c r="B535" s="101" t="n"/>
      <c r="C535" s="102" t="n"/>
      <c r="D535" s="99" t="n"/>
      <c r="E535" s="95" t="n"/>
      <c r="F535" s="95" t="n"/>
      <c r="G535" s="94" t="n"/>
      <c r="H535" s="46" t="n"/>
      <c r="I535" s="46" t="n"/>
      <c r="J535" s="46" t="n"/>
      <c r="K535" s="46" t="n"/>
      <c r="L535" s="95" t="n"/>
      <c r="M535" s="95" t="n"/>
      <c r="N535" s="95" t="n"/>
      <c r="O535" s="95" t="n"/>
      <c r="P535" s="95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  <c r="Z535" s="46" t="n"/>
    </row>
    <row r="536" ht="12.75" customHeight="1">
      <c r="A536" s="100" t="n"/>
      <c r="B536" s="101" t="n"/>
      <c r="C536" s="102" t="n"/>
      <c r="D536" s="99" t="n"/>
      <c r="E536" s="95" t="n"/>
      <c r="F536" s="95" t="n"/>
      <c r="G536" s="94" t="n"/>
      <c r="H536" s="46" t="n"/>
      <c r="I536" s="46" t="n"/>
      <c r="J536" s="46" t="n"/>
      <c r="K536" s="46" t="n"/>
      <c r="L536" s="95" t="n"/>
      <c r="M536" s="95" t="n"/>
      <c r="N536" s="95" t="n"/>
      <c r="O536" s="95" t="n"/>
      <c r="P536" s="95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  <c r="Z536" s="46" t="n"/>
    </row>
    <row r="537" ht="12.75" customHeight="1">
      <c r="A537" s="100" t="n"/>
      <c r="B537" s="101" t="n"/>
      <c r="C537" s="102" t="n"/>
      <c r="D537" s="99" t="n"/>
      <c r="E537" s="95" t="n"/>
      <c r="F537" s="95" t="n"/>
      <c r="G537" s="94" t="n"/>
      <c r="H537" s="46" t="n"/>
      <c r="I537" s="46" t="n"/>
      <c r="J537" s="46" t="n"/>
      <c r="K537" s="46" t="n"/>
      <c r="L537" s="95" t="n"/>
      <c r="M537" s="95" t="n"/>
      <c r="N537" s="95" t="n"/>
      <c r="O537" s="95" t="n"/>
      <c r="P537" s="95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  <c r="Z537" s="46" t="n"/>
    </row>
    <row r="538" ht="12.75" customHeight="1">
      <c r="A538" s="100" t="n"/>
      <c r="B538" s="101" t="n"/>
      <c r="C538" s="102" t="n"/>
      <c r="D538" s="99" t="n"/>
      <c r="E538" s="95" t="n"/>
      <c r="F538" s="95" t="n"/>
      <c r="G538" s="94" t="n"/>
      <c r="H538" s="46" t="n"/>
      <c r="I538" s="46" t="n"/>
      <c r="J538" s="46" t="n"/>
      <c r="K538" s="46" t="n"/>
      <c r="L538" s="95" t="n"/>
      <c r="M538" s="95" t="n"/>
      <c r="N538" s="95" t="n"/>
      <c r="O538" s="95" t="n"/>
      <c r="P538" s="95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  <c r="Z538" s="46" t="n"/>
    </row>
    <row r="539" ht="12.75" customHeight="1">
      <c r="A539" s="100" t="n"/>
      <c r="B539" s="101" t="n"/>
      <c r="C539" s="102" t="n"/>
      <c r="D539" s="99" t="n"/>
      <c r="E539" s="95" t="n"/>
      <c r="F539" s="95" t="n"/>
      <c r="G539" s="94" t="n"/>
      <c r="H539" s="46" t="n"/>
      <c r="I539" s="46" t="n"/>
      <c r="J539" s="46" t="n"/>
      <c r="K539" s="46" t="n"/>
      <c r="L539" s="95" t="n"/>
      <c r="M539" s="95" t="n"/>
      <c r="N539" s="95" t="n"/>
      <c r="O539" s="95" t="n"/>
      <c r="P539" s="95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  <c r="Z539" s="46" t="n"/>
    </row>
    <row r="540" ht="12.75" customHeight="1">
      <c r="A540" s="100" t="n"/>
      <c r="B540" s="101" t="n"/>
      <c r="C540" s="102" t="n"/>
      <c r="D540" s="99" t="n"/>
      <c r="E540" s="95" t="n"/>
      <c r="F540" s="95" t="n"/>
      <c r="G540" s="94" t="n"/>
      <c r="H540" s="46" t="n"/>
      <c r="I540" s="46" t="n"/>
      <c r="J540" s="46" t="n"/>
      <c r="K540" s="46" t="n"/>
      <c r="L540" s="95" t="n"/>
      <c r="M540" s="95" t="n"/>
      <c r="N540" s="95" t="n"/>
      <c r="O540" s="95" t="n"/>
      <c r="P540" s="95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  <c r="Z540" s="46" t="n"/>
    </row>
    <row r="541" ht="12.75" customHeight="1">
      <c r="A541" s="100" t="n"/>
      <c r="B541" s="101" t="n"/>
      <c r="C541" s="102" t="n"/>
      <c r="D541" s="99" t="n"/>
      <c r="E541" s="95" t="n"/>
      <c r="F541" s="95" t="n"/>
      <c r="G541" s="94" t="n"/>
      <c r="H541" s="46" t="n"/>
      <c r="I541" s="46" t="n"/>
      <c r="J541" s="46" t="n"/>
      <c r="K541" s="46" t="n"/>
      <c r="L541" s="95" t="n"/>
      <c r="M541" s="95" t="n"/>
      <c r="N541" s="95" t="n"/>
      <c r="O541" s="95" t="n"/>
      <c r="P541" s="95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  <c r="Z541" s="46" t="n"/>
    </row>
    <row r="542" ht="12.75" customHeight="1">
      <c r="A542" s="100" t="n"/>
      <c r="B542" s="101" t="n"/>
      <c r="C542" s="102" t="n"/>
      <c r="D542" s="99" t="n"/>
      <c r="E542" s="95" t="n"/>
      <c r="F542" s="95" t="n"/>
      <c r="G542" s="94" t="n"/>
      <c r="H542" s="46" t="n"/>
      <c r="I542" s="46" t="n"/>
      <c r="J542" s="46" t="n"/>
      <c r="K542" s="46" t="n"/>
      <c r="L542" s="95" t="n"/>
      <c r="M542" s="95" t="n"/>
      <c r="N542" s="95" t="n"/>
      <c r="O542" s="95" t="n"/>
      <c r="P542" s="95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  <c r="Z542" s="46" t="n"/>
    </row>
    <row r="543" ht="12.75" customHeight="1">
      <c r="A543" s="100" t="n"/>
      <c r="B543" s="101" t="n"/>
      <c r="C543" s="102" t="n"/>
      <c r="D543" s="99" t="n"/>
      <c r="E543" s="95" t="n"/>
      <c r="F543" s="95" t="n"/>
      <c r="G543" s="94" t="n"/>
      <c r="H543" s="46" t="n"/>
      <c r="I543" s="46" t="n"/>
      <c r="J543" s="46" t="n"/>
      <c r="K543" s="46" t="n"/>
      <c r="L543" s="95" t="n"/>
      <c r="M543" s="95" t="n"/>
      <c r="N543" s="95" t="n"/>
      <c r="O543" s="95" t="n"/>
      <c r="P543" s="95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  <c r="Z543" s="46" t="n"/>
    </row>
    <row r="544" ht="12.75" customHeight="1">
      <c r="A544" s="100" t="n"/>
      <c r="B544" s="101" t="n"/>
      <c r="C544" s="102" t="n"/>
      <c r="D544" s="99" t="n"/>
      <c r="E544" s="95" t="n"/>
      <c r="F544" s="95" t="n"/>
      <c r="G544" s="94" t="n"/>
      <c r="H544" s="46" t="n"/>
      <c r="I544" s="46" t="n"/>
      <c r="J544" s="46" t="n"/>
      <c r="K544" s="46" t="n"/>
      <c r="L544" s="95" t="n"/>
      <c r="M544" s="95" t="n"/>
      <c r="N544" s="95" t="n"/>
      <c r="O544" s="95" t="n"/>
      <c r="P544" s="95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  <c r="Z544" s="46" t="n"/>
    </row>
    <row r="545" ht="12.75" customHeight="1">
      <c r="A545" s="100" t="n"/>
      <c r="B545" s="101" t="n"/>
      <c r="C545" s="102" t="n"/>
      <c r="D545" s="99" t="n"/>
      <c r="E545" s="95" t="n"/>
      <c r="F545" s="95" t="n"/>
      <c r="G545" s="94" t="n"/>
      <c r="H545" s="46" t="n"/>
      <c r="I545" s="46" t="n"/>
      <c r="J545" s="46" t="n"/>
      <c r="K545" s="46" t="n"/>
      <c r="L545" s="95" t="n"/>
      <c r="M545" s="95" t="n"/>
      <c r="N545" s="95" t="n"/>
      <c r="O545" s="95" t="n"/>
      <c r="P545" s="95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  <c r="Z545" s="46" t="n"/>
    </row>
    <row r="546" ht="12.75" customHeight="1">
      <c r="A546" s="100" t="n"/>
      <c r="B546" s="101" t="n"/>
      <c r="C546" s="102" t="n"/>
      <c r="D546" s="99" t="n"/>
      <c r="E546" s="95" t="n"/>
      <c r="F546" s="95" t="n"/>
      <c r="G546" s="94" t="n"/>
      <c r="H546" s="46" t="n"/>
      <c r="I546" s="46" t="n"/>
      <c r="J546" s="46" t="n"/>
      <c r="K546" s="46" t="n"/>
      <c r="L546" s="95" t="n"/>
      <c r="M546" s="95" t="n"/>
      <c r="N546" s="95" t="n"/>
      <c r="O546" s="95" t="n"/>
      <c r="P546" s="95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  <c r="Z546" s="46" t="n"/>
    </row>
    <row r="547" ht="12.75" customHeight="1">
      <c r="A547" s="100" t="n"/>
      <c r="B547" s="101" t="n"/>
      <c r="C547" s="102" t="n"/>
      <c r="D547" s="99" t="n"/>
      <c r="E547" s="95" t="n"/>
      <c r="F547" s="95" t="n"/>
      <c r="G547" s="94" t="n"/>
      <c r="H547" s="46" t="n"/>
      <c r="I547" s="46" t="n"/>
      <c r="J547" s="46" t="n"/>
      <c r="K547" s="46" t="n"/>
      <c r="L547" s="95" t="n"/>
      <c r="M547" s="95" t="n"/>
      <c r="N547" s="95" t="n"/>
      <c r="O547" s="95" t="n"/>
      <c r="P547" s="95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  <c r="Z547" s="46" t="n"/>
    </row>
    <row r="548" ht="12.75" customHeight="1">
      <c r="A548" s="100" t="n"/>
      <c r="B548" s="101" t="n"/>
      <c r="C548" s="102" t="n"/>
      <c r="D548" s="99" t="n"/>
      <c r="E548" s="95" t="n"/>
      <c r="F548" s="95" t="n"/>
      <c r="G548" s="94" t="n"/>
      <c r="H548" s="46" t="n"/>
      <c r="I548" s="46" t="n"/>
      <c r="J548" s="46" t="n"/>
      <c r="K548" s="46" t="n"/>
      <c r="L548" s="95" t="n"/>
      <c r="M548" s="95" t="n"/>
      <c r="N548" s="95" t="n"/>
      <c r="O548" s="95" t="n"/>
      <c r="P548" s="95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  <c r="Z548" s="46" t="n"/>
    </row>
    <row r="549" ht="12.75" customHeight="1">
      <c r="A549" s="100" t="n"/>
      <c r="B549" s="101" t="n"/>
      <c r="C549" s="102" t="n"/>
      <c r="D549" s="99" t="n"/>
      <c r="E549" s="95" t="n"/>
      <c r="F549" s="95" t="n"/>
      <c r="G549" s="94" t="n"/>
      <c r="H549" s="46" t="n"/>
      <c r="I549" s="46" t="n"/>
      <c r="J549" s="46" t="n"/>
      <c r="K549" s="46" t="n"/>
      <c r="L549" s="95" t="n"/>
      <c r="M549" s="95" t="n"/>
      <c r="N549" s="95" t="n"/>
      <c r="O549" s="95" t="n"/>
      <c r="P549" s="95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  <c r="Z549" s="46" t="n"/>
    </row>
    <row r="550" ht="12.75" customHeight="1">
      <c r="A550" s="100" t="n"/>
      <c r="B550" s="101" t="n"/>
      <c r="C550" s="102" t="n"/>
      <c r="D550" s="99" t="n"/>
      <c r="E550" s="95" t="n"/>
      <c r="F550" s="95" t="n"/>
      <c r="G550" s="94" t="n"/>
      <c r="H550" s="46" t="n"/>
      <c r="I550" s="46" t="n"/>
      <c r="J550" s="46" t="n"/>
      <c r="K550" s="46" t="n"/>
      <c r="L550" s="95" t="n"/>
      <c r="M550" s="95" t="n"/>
      <c r="N550" s="95" t="n"/>
      <c r="O550" s="95" t="n"/>
      <c r="P550" s="95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  <c r="Z550" s="46" t="n"/>
    </row>
    <row r="551" ht="12.75" customHeight="1">
      <c r="A551" s="100" t="n"/>
      <c r="B551" s="101" t="n"/>
      <c r="C551" s="102" t="n"/>
      <c r="D551" s="99" t="n"/>
      <c r="E551" s="95" t="n"/>
      <c r="F551" s="95" t="n"/>
      <c r="G551" s="94" t="n"/>
      <c r="H551" s="46" t="n"/>
      <c r="I551" s="46" t="n"/>
      <c r="J551" s="46" t="n"/>
      <c r="K551" s="46" t="n"/>
      <c r="L551" s="95" t="n"/>
      <c r="M551" s="95" t="n"/>
      <c r="N551" s="95" t="n"/>
      <c r="O551" s="95" t="n"/>
      <c r="P551" s="95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  <c r="Z551" s="46" t="n"/>
    </row>
    <row r="552" ht="12.75" customHeight="1">
      <c r="A552" s="100" t="n"/>
      <c r="B552" s="101" t="n"/>
      <c r="C552" s="102" t="n"/>
      <c r="D552" s="99" t="n"/>
      <c r="E552" s="95" t="n"/>
      <c r="F552" s="95" t="n"/>
      <c r="G552" s="94" t="n"/>
      <c r="H552" s="46" t="n"/>
      <c r="I552" s="46" t="n"/>
      <c r="J552" s="46" t="n"/>
      <c r="K552" s="46" t="n"/>
      <c r="L552" s="95" t="n"/>
      <c r="M552" s="95" t="n"/>
      <c r="N552" s="95" t="n"/>
      <c r="O552" s="95" t="n"/>
      <c r="P552" s="95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  <c r="Z552" s="46" t="n"/>
    </row>
    <row r="553" ht="12.75" customHeight="1">
      <c r="A553" s="100" t="n"/>
      <c r="B553" s="101" t="n"/>
      <c r="C553" s="102" t="n"/>
      <c r="D553" s="99" t="n"/>
      <c r="E553" s="95" t="n"/>
      <c r="F553" s="95" t="n"/>
      <c r="G553" s="94" t="n"/>
      <c r="H553" s="46" t="n"/>
      <c r="I553" s="46" t="n"/>
      <c r="J553" s="46" t="n"/>
      <c r="K553" s="46" t="n"/>
      <c r="L553" s="95" t="n"/>
      <c r="M553" s="95" t="n"/>
      <c r="N553" s="95" t="n"/>
      <c r="O553" s="95" t="n"/>
      <c r="P553" s="95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  <c r="Z553" s="46" t="n"/>
    </row>
    <row r="554" ht="12.75" customHeight="1">
      <c r="A554" s="100" t="n"/>
      <c r="B554" s="101" t="n"/>
      <c r="C554" s="102" t="n"/>
      <c r="D554" s="99" t="n"/>
      <c r="E554" s="95" t="n"/>
      <c r="F554" s="95" t="n"/>
      <c r="G554" s="94" t="n"/>
      <c r="H554" s="46" t="n"/>
      <c r="I554" s="46" t="n"/>
      <c r="J554" s="46" t="n"/>
      <c r="K554" s="46" t="n"/>
      <c r="L554" s="95" t="n"/>
      <c r="M554" s="95" t="n"/>
      <c r="N554" s="95" t="n"/>
      <c r="O554" s="95" t="n"/>
      <c r="P554" s="95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  <c r="Z554" s="46" t="n"/>
    </row>
    <row r="555" ht="12.75" customHeight="1">
      <c r="A555" s="100" t="n"/>
      <c r="B555" s="101" t="n"/>
      <c r="C555" s="102" t="n"/>
      <c r="D555" s="99" t="n"/>
      <c r="E555" s="95" t="n"/>
      <c r="F555" s="95" t="n"/>
      <c r="G555" s="94" t="n"/>
      <c r="H555" s="46" t="n"/>
      <c r="I555" s="46" t="n"/>
      <c r="J555" s="46" t="n"/>
      <c r="K555" s="46" t="n"/>
      <c r="L555" s="95" t="n"/>
      <c r="M555" s="95" t="n"/>
      <c r="N555" s="95" t="n"/>
      <c r="O555" s="95" t="n"/>
      <c r="P555" s="95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  <c r="Z555" s="46" t="n"/>
    </row>
    <row r="556" ht="12.75" customHeight="1">
      <c r="A556" s="100" t="n"/>
      <c r="B556" s="101" t="n"/>
      <c r="C556" s="102" t="n"/>
      <c r="D556" s="99" t="n"/>
      <c r="E556" s="95" t="n"/>
      <c r="F556" s="95" t="n"/>
      <c r="G556" s="94" t="n"/>
      <c r="H556" s="46" t="n"/>
      <c r="I556" s="46" t="n"/>
      <c r="J556" s="46" t="n"/>
      <c r="K556" s="46" t="n"/>
      <c r="L556" s="95" t="n"/>
      <c r="M556" s="95" t="n"/>
      <c r="N556" s="95" t="n"/>
      <c r="O556" s="95" t="n"/>
      <c r="P556" s="95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  <c r="Z556" s="46" t="n"/>
    </row>
    <row r="557" ht="12.75" customHeight="1">
      <c r="A557" s="100" t="n"/>
      <c r="B557" s="101" t="n"/>
      <c r="C557" s="102" t="n"/>
      <c r="D557" s="99" t="n"/>
      <c r="E557" s="95" t="n"/>
      <c r="F557" s="95" t="n"/>
      <c r="G557" s="94" t="n"/>
      <c r="H557" s="46" t="n"/>
      <c r="I557" s="46" t="n"/>
      <c r="J557" s="46" t="n"/>
      <c r="K557" s="46" t="n"/>
      <c r="L557" s="95" t="n"/>
      <c r="M557" s="95" t="n"/>
      <c r="N557" s="95" t="n"/>
      <c r="O557" s="95" t="n"/>
      <c r="P557" s="95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  <c r="Z557" s="46" t="n"/>
    </row>
    <row r="558" ht="12.75" customHeight="1">
      <c r="A558" s="100" t="n"/>
      <c r="B558" s="101" t="n"/>
      <c r="C558" s="102" t="n"/>
      <c r="D558" s="99" t="n"/>
      <c r="E558" s="95" t="n"/>
      <c r="F558" s="95" t="n"/>
      <c r="G558" s="94" t="n"/>
      <c r="H558" s="46" t="n"/>
      <c r="I558" s="46" t="n"/>
      <c r="J558" s="46" t="n"/>
      <c r="K558" s="46" t="n"/>
      <c r="L558" s="95" t="n"/>
      <c r="M558" s="95" t="n"/>
      <c r="N558" s="95" t="n"/>
      <c r="O558" s="95" t="n"/>
      <c r="P558" s="95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  <c r="Z558" s="46" t="n"/>
    </row>
    <row r="559" ht="12.75" customHeight="1">
      <c r="A559" s="100" t="n"/>
      <c r="B559" s="101" t="n"/>
      <c r="C559" s="102" t="n"/>
      <c r="D559" s="99" t="n"/>
      <c r="E559" s="95" t="n"/>
      <c r="F559" s="95" t="n"/>
      <c r="G559" s="94" t="n"/>
      <c r="H559" s="46" t="n"/>
      <c r="I559" s="46" t="n"/>
      <c r="J559" s="46" t="n"/>
      <c r="K559" s="46" t="n"/>
      <c r="L559" s="95" t="n"/>
      <c r="M559" s="95" t="n"/>
      <c r="N559" s="95" t="n"/>
      <c r="O559" s="95" t="n"/>
      <c r="P559" s="95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  <c r="Z559" s="46" t="n"/>
    </row>
    <row r="560" ht="12.75" customHeight="1">
      <c r="A560" s="100" t="n"/>
      <c r="B560" s="101" t="n"/>
      <c r="C560" s="102" t="n"/>
      <c r="D560" s="99" t="n"/>
      <c r="E560" s="95" t="n"/>
      <c r="F560" s="95" t="n"/>
      <c r="G560" s="94" t="n"/>
      <c r="H560" s="46" t="n"/>
      <c r="I560" s="46" t="n"/>
      <c r="J560" s="46" t="n"/>
      <c r="K560" s="46" t="n"/>
      <c r="L560" s="95" t="n"/>
      <c r="M560" s="95" t="n"/>
      <c r="N560" s="95" t="n"/>
      <c r="O560" s="95" t="n"/>
      <c r="P560" s="95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  <c r="Z560" s="46" t="n"/>
    </row>
    <row r="561" ht="12.75" customHeight="1">
      <c r="A561" s="100" t="n"/>
      <c r="B561" s="101" t="n"/>
      <c r="C561" s="102" t="n"/>
      <c r="D561" s="99" t="n"/>
      <c r="E561" s="95" t="n"/>
      <c r="F561" s="95" t="n"/>
      <c r="G561" s="94" t="n"/>
      <c r="H561" s="46" t="n"/>
      <c r="I561" s="46" t="n"/>
      <c r="J561" s="46" t="n"/>
      <c r="K561" s="46" t="n"/>
      <c r="L561" s="95" t="n"/>
      <c r="M561" s="95" t="n"/>
      <c r="N561" s="95" t="n"/>
      <c r="O561" s="95" t="n"/>
      <c r="P561" s="95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  <c r="Z561" s="46" t="n"/>
    </row>
    <row r="562" ht="12.75" customHeight="1">
      <c r="A562" s="100" t="n"/>
      <c r="B562" s="101" t="n"/>
      <c r="C562" s="102" t="n"/>
      <c r="D562" s="99" t="n"/>
      <c r="E562" s="95" t="n"/>
      <c r="F562" s="95" t="n"/>
      <c r="G562" s="94" t="n"/>
      <c r="H562" s="46" t="n"/>
      <c r="I562" s="46" t="n"/>
      <c r="J562" s="46" t="n"/>
      <c r="K562" s="46" t="n"/>
      <c r="L562" s="95" t="n"/>
      <c r="M562" s="95" t="n"/>
      <c r="N562" s="95" t="n"/>
      <c r="O562" s="95" t="n"/>
      <c r="P562" s="95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  <c r="Z562" s="46" t="n"/>
    </row>
    <row r="563" ht="12.75" customHeight="1">
      <c r="A563" s="100" t="n"/>
      <c r="B563" s="101" t="n"/>
      <c r="C563" s="102" t="n"/>
      <c r="D563" s="99" t="n"/>
      <c r="E563" s="95" t="n"/>
      <c r="F563" s="95" t="n"/>
      <c r="G563" s="94" t="n"/>
      <c r="H563" s="46" t="n"/>
      <c r="I563" s="46" t="n"/>
      <c r="J563" s="46" t="n"/>
      <c r="K563" s="46" t="n"/>
      <c r="L563" s="95" t="n"/>
      <c r="M563" s="95" t="n"/>
      <c r="N563" s="95" t="n"/>
      <c r="O563" s="95" t="n"/>
      <c r="P563" s="95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  <c r="Z563" s="46" t="n"/>
    </row>
    <row r="564" ht="12.75" customHeight="1">
      <c r="A564" s="100" t="n"/>
      <c r="B564" s="101" t="n"/>
      <c r="C564" s="102" t="n"/>
      <c r="D564" s="99" t="n"/>
      <c r="E564" s="95" t="n"/>
      <c r="F564" s="95" t="n"/>
      <c r="G564" s="94" t="n"/>
      <c r="H564" s="46" t="n"/>
      <c r="I564" s="46" t="n"/>
      <c r="J564" s="46" t="n"/>
      <c r="K564" s="46" t="n"/>
      <c r="L564" s="95" t="n"/>
      <c r="M564" s="95" t="n"/>
      <c r="N564" s="95" t="n"/>
      <c r="O564" s="95" t="n"/>
      <c r="P564" s="95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  <c r="Z564" s="46" t="n"/>
    </row>
    <row r="565" ht="12.75" customHeight="1">
      <c r="A565" s="100" t="n"/>
      <c r="B565" s="101" t="n"/>
      <c r="C565" s="102" t="n"/>
      <c r="D565" s="99" t="n"/>
      <c r="E565" s="95" t="n"/>
      <c r="F565" s="95" t="n"/>
      <c r="G565" s="94" t="n"/>
      <c r="H565" s="46" t="n"/>
      <c r="I565" s="46" t="n"/>
      <c r="J565" s="46" t="n"/>
      <c r="K565" s="46" t="n"/>
      <c r="L565" s="95" t="n"/>
      <c r="M565" s="95" t="n"/>
      <c r="N565" s="95" t="n"/>
      <c r="O565" s="95" t="n"/>
      <c r="P565" s="95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  <c r="Z565" s="46" t="n"/>
    </row>
    <row r="566" ht="12.75" customHeight="1">
      <c r="A566" s="100" t="n"/>
      <c r="B566" s="101" t="n"/>
      <c r="C566" s="102" t="n"/>
      <c r="D566" s="99" t="n"/>
      <c r="E566" s="95" t="n"/>
      <c r="F566" s="95" t="n"/>
      <c r="G566" s="94" t="n"/>
      <c r="H566" s="46" t="n"/>
      <c r="I566" s="46" t="n"/>
      <c r="J566" s="46" t="n"/>
      <c r="K566" s="46" t="n"/>
      <c r="L566" s="95" t="n"/>
      <c r="M566" s="95" t="n"/>
      <c r="N566" s="95" t="n"/>
      <c r="O566" s="95" t="n"/>
      <c r="P566" s="95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  <c r="Z566" s="46" t="n"/>
    </row>
    <row r="567" ht="12.75" customHeight="1">
      <c r="A567" s="100" t="n"/>
      <c r="B567" s="101" t="n"/>
      <c r="C567" s="102" t="n"/>
      <c r="D567" s="99" t="n"/>
      <c r="E567" s="95" t="n"/>
      <c r="F567" s="95" t="n"/>
      <c r="G567" s="94" t="n"/>
      <c r="H567" s="46" t="n"/>
      <c r="I567" s="46" t="n"/>
      <c r="J567" s="46" t="n"/>
      <c r="K567" s="46" t="n"/>
      <c r="L567" s="95" t="n"/>
      <c r="M567" s="95" t="n"/>
      <c r="N567" s="95" t="n"/>
      <c r="O567" s="95" t="n"/>
      <c r="P567" s="95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  <c r="Z567" s="46" t="n"/>
    </row>
    <row r="568" ht="12.75" customHeight="1">
      <c r="A568" s="100" t="n"/>
      <c r="B568" s="101" t="n"/>
      <c r="C568" s="102" t="n"/>
      <c r="D568" s="99" t="n"/>
      <c r="E568" s="95" t="n"/>
      <c r="F568" s="95" t="n"/>
      <c r="G568" s="94" t="n"/>
      <c r="H568" s="46" t="n"/>
      <c r="I568" s="46" t="n"/>
      <c r="J568" s="46" t="n"/>
      <c r="K568" s="46" t="n"/>
      <c r="L568" s="95" t="n"/>
      <c r="M568" s="95" t="n"/>
      <c r="N568" s="95" t="n"/>
      <c r="O568" s="95" t="n"/>
      <c r="P568" s="95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  <c r="Z568" s="46" t="n"/>
    </row>
    <row r="569" ht="12.75" customHeight="1">
      <c r="A569" s="100" t="n"/>
      <c r="B569" s="101" t="n"/>
      <c r="C569" s="102" t="n"/>
      <c r="D569" s="99" t="n"/>
      <c r="E569" s="95" t="n"/>
      <c r="F569" s="95" t="n"/>
      <c r="G569" s="94" t="n"/>
      <c r="H569" s="46" t="n"/>
      <c r="I569" s="46" t="n"/>
      <c r="J569" s="46" t="n"/>
      <c r="K569" s="46" t="n"/>
      <c r="L569" s="95" t="n"/>
      <c r="M569" s="95" t="n"/>
      <c r="N569" s="95" t="n"/>
      <c r="O569" s="95" t="n"/>
      <c r="P569" s="95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  <c r="Z569" s="46" t="n"/>
    </row>
    <row r="570" ht="12.75" customHeight="1">
      <c r="A570" s="100" t="n"/>
      <c r="B570" s="101" t="n"/>
      <c r="C570" s="102" t="n"/>
      <c r="D570" s="99" t="n"/>
      <c r="E570" s="95" t="n"/>
      <c r="F570" s="95" t="n"/>
      <c r="G570" s="94" t="n"/>
      <c r="H570" s="46" t="n"/>
      <c r="I570" s="46" t="n"/>
      <c r="J570" s="46" t="n"/>
      <c r="K570" s="46" t="n"/>
      <c r="L570" s="95" t="n"/>
      <c r="M570" s="95" t="n"/>
      <c r="N570" s="95" t="n"/>
      <c r="O570" s="95" t="n"/>
      <c r="P570" s="95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  <c r="Z570" s="46" t="n"/>
    </row>
    <row r="571" ht="12.75" customHeight="1">
      <c r="A571" s="100" t="n"/>
      <c r="B571" s="101" t="n"/>
      <c r="C571" s="102" t="n"/>
      <c r="D571" s="99" t="n"/>
      <c r="E571" s="95" t="n"/>
      <c r="F571" s="95" t="n"/>
      <c r="G571" s="94" t="n"/>
      <c r="H571" s="46" t="n"/>
      <c r="I571" s="46" t="n"/>
      <c r="J571" s="46" t="n"/>
      <c r="K571" s="46" t="n"/>
      <c r="L571" s="95" t="n"/>
      <c r="M571" s="95" t="n"/>
      <c r="N571" s="95" t="n"/>
      <c r="O571" s="95" t="n"/>
      <c r="P571" s="95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  <c r="Z571" s="46" t="n"/>
    </row>
    <row r="572" ht="12.75" customHeight="1">
      <c r="A572" s="100" t="n"/>
      <c r="B572" s="101" t="n"/>
      <c r="C572" s="102" t="n"/>
      <c r="D572" s="99" t="n"/>
      <c r="E572" s="95" t="n"/>
      <c r="F572" s="95" t="n"/>
      <c r="G572" s="94" t="n"/>
      <c r="H572" s="46" t="n"/>
      <c r="I572" s="46" t="n"/>
      <c r="J572" s="46" t="n"/>
      <c r="K572" s="46" t="n"/>
      <c r="L572" s="95" t="n"/>
      <c r="M572" s="95" t="n"/>
      <c r="N572" s="95" t="n"/>
      <c r="O572" s="95" t="n"/>
      <c r="P572" s="95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  <c r="Z572" s="46" t="n"/>
    </row>
    <row r="573" ht="12.75" customHeight="1">
      <c r="A573" s="100" t="n"/>
      <c r="B573" s="101" t="n"/>
      <c r="C573" s="102" t="n"/>
      <c r="D573" s="99" t="n"/>
      <c r="E573" s="95" t="n"/>
      <c r="F573" s="95" t="n"/>
      <c r="G573" s="94" t="n"/>
      <c r="H573" s="46" t="n"/>
      <c r="I573" s="46" t="n"/>
      <c r="J573" s="46" t="n"/>
      <c r="K573" s="46" t="n"/>
      <c r="L573" s="95" t="n"/>
      <c r="M573" s="95" t="n"/>
      <c r="N573" s="95" t="n"/>
      <c r="O573" s="95" t="n"/>
      <c r="P573" s="95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  <c r="Z573" s="46" t="n"/>
    </row>
    <row r="574" ht="12.75" customHeight="1">
      <c r="A574" s="100" t="n"/>
      <c r="B574" s="101" t="n"/>
      <c r="C574" s="102" t="n"/>
      <c r="D574" s="99" t="n"/>
      <c r="E574" s="95" t="n"/>
      <c r="F574" s="95" t="n"/>
      <c r="G574" s="94" t="n"/>
      <c r="H574" s="46" t="n"/>
      <c r="I574" s="46" t="n"/>
      <c r="J574" s="46" t="n"/>
      <c r="K574" s="46" t="n"/>
      <c r="L574" s="95" t="n"/>
      <c r="M574" s="95" t="n"/>
      <c r="N574" s="95" t="n"/>
      <c r="O574" s="95" t="n"/>
      <c r="P574" s="95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  <c r="Z574" s="46" t="n"/>
    </row>
    <row r="575" ht="12.75" customHeight="1">
      <c r="A575" s="100" t="n"/>
      <c r="B575" s="101" t="n"/>
      <c r="C575" s="102" t="n"/>
      <c r="D575" s="99" t="n"/>
      <c r="E575" s="95" t="n"/>
      <c r="F575" s="95" t="n"/>
      <c r="G575" s="94" t="n"/>
      <c r="H575" s="46" t="n"/>
      <c r="I575" s="46" t="n"/>
      <c r="J575" s="46" t="n"/>
      <c r="K575" s="46" t="n"/>
      <c r="L575" s="95" t="n"/>
      <c r="M575" s="95" t="n"/>
      <c r="N575" s="95" t="n"/>
      <c r="O575" s="95" t="n"/>
      <c r="P575" s="95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  <c r="Z575" s="46" t="n"/>
    </row>
    <row r="576" ht="12.75" customHeight="1">
      <c r="A576" s="100" t="n"/>
      <c r="B576" s="101" t="n"/>
      <c r="C576" s="102" t="n"/>
      <c r="D576" s="99" t="n"/>
      <c r="E576" s="95" t="n"/>
      <c r="F576" s="95" t="n"/>
      <c r="G576" s="94" t="n"/>
      <c r="H576" s="46" t="n"/>
      <c r="I576" s="46" t="n"/>
      <c r="J576" s="46" t="n"/>
      <c r="K576" s="46" t="n"/>
      <c r="L576" s="95" t="n"/>
      <c r="M576" s="95" t="n"/>
      <c r="N576" s="95" t="n"/>
      <c r="O576" s="95" t="n"/>
      <c r="P576" s="95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  <c r="Z576" s="46" t="n"/>
    </row>
    <row r="577" ht="12.75" customHeight="1">
      <c r="A577" s="100" t="n"/>
      <c r="B577" s="101" t="n"/>
      <c r="C577" s="102" t="n"/>
      <c r="D577" s="99" t="n"/>
      <c r="E577" s="95" t="n"/>
      <c r="F577" s="95" t="n"/>
      <c r="G577" s="94" t="n"/>
      <c r="H577" s="46" t="n"/>
      <c r="I577" s="46" t="n"/>
      <c r="J577" s="46" t="n"/>
      <c r="K577" s="46" t="n"/>
      <c r="L577" s="95" t="n"/>
      <c r="M577" s="95" t="n"/>
      <c r="N577" s="95" t="n"/>
      <c r="O577" s="95" t="n"/>
      <c r="P577" s="95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  <c r="Z577" s="46" t="n"/>
    </row>
    <row r="578" ht="12.75" customHeight="1">
      <c r="A578" s="100" t="n"/>
      <c r="B578" s="101" t="n"/>
      <c r="C578" s="102" t="n"/>
      <c r="D578" s="99" t="n"/>
      <c r="E578" s="95" t="n"/>
      <c r="F578" s="95" t="n"/>
      <c r="G578" s="94" t="n"/>
      <c r="H578" s="46" t="n"/>
      <c r="I578" s="46" t="n"/>
      <c r="J578" s="46" t="n"/>
      <c r="K578" s="46" t="n"/>
      <c r="L578" s="95" t="n"/>
      <c r="M578" s="95" t="n"/>
      <c r="N578" s="95" t="n"/>
      <c r="O578" s="95" t="n"/>
      <c r="P578" s="95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  <c r="Z578" s="46" t="n"/>
    </row>
    <row r="579" ht="12.75" customHeight="1">
      <c r="A579" s="100" t="n"/>
      <c r="B579" s="101" t="n"/>
      <c r="C579" s="102" t="n"/>
      <c r="D579" s="99" t="n"/>
      <c r="E579" s="95" t="n"/>
      <c r="F579" s="95" t="n"/>
      <c r="G579" s="94" t="n"/>
      <c r="H579" s="46" t="n"/>
      <c r="I579" s="46" t="n"/>
      <c r="J579" s="46" t="n"/>
      <c r="K579" s="46" t="n"/>
      <c r="L579" s="95" t="n"/>
      <c r="M579" s="95" t="n"/>
      <c r="N579" s="95" t="n"/>
      <c r="O579" s="95" t="n"/>
      <c r="P579" s="95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  <c r="Z579" s="46" t="n"/>
    </row>
    <row r="580" ht="12.75" customHeight="1">
      <c r="A580" s="100" t="n"/>
      <c r="B580" s="101" t="n"/>
      <c r="C580" s="102" t="n"/>
      <c r="D580" s="99" t="n"/>
      <c r="E580" s="95" t="n"/>
      <c r="F580" s="95" t="n"/>
      <c r="G580" s="94" t="n"/>
      <c r="H580" s="46" t="n"/>
      <c r="I580" s="46" t="n"/>
      <c r="J580" s="46" t="n"/>
      <c r="K580" s="46" t="n"/>
      <c r="L580" s="95" t="n"/>
      <c r="M580" s="95" t="n"/>
      <c r="N580" s="95" t="n"/>
      <c r="O580" s="95" t="n"/>
      <c r="P580" s="95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  <c r="Z580" s="46" t="n"/>
    </row>
    <row r="581" ht="12.75" customHeight="1">
      <c r="A581" s="100" t="n"/>
      <c r="B581" s="101" t="n"/>
      <c r="C581" s="102" t="n"/>
      <c r="D581" s="99" t="n"/>
      <c r="E581" s="95" t="n"/>
      <c r="F581" s="95" t="n"/>
      <c r="G581" s="94" t="n"/>
      <c r="H581" s="46" t="n"/>
      <c r="I581" s="46" t="n"/>
      <c r="J581" s="46" t="n"/>
      <c r="K581" s="46" t="n"/>
      <c r="L581" s="95" t="n"/>
      <c r="M581" s="95" t="n"/>
      <c r="N581" s="95" t="n"/>
      <c r="O581" s="95" t="n"/>
      <c r="P581" s="95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  <c r="Z581" s="46" t="n"/>
    </row>
    <row r="582" ht="12.75" customHeight="1">
      <c r="A582" s="100" t="n"/>
      <c r="B582" s="101" t="n"/>
      <c r="C582" s="102" t="n"/>
      <c r="D582" s="99" t="n"/>
      <c r="E582" s="95" t="n"/>
      <c r="F582" s="95" t="n"/>
      <c r="G582" s="94" t="n"/>
      <c r="H582" s="46" t="n"/>
      <c r="I582" s="46" t="n"/>
      <c r="J582" s="46" t="n"/>
      <c r="K582" s="46" t="n"/>
      <c r="L582" s="95" t="n"/>
      <c r="M582" s="95" t="n"/>
      <c r="N582" s="95" t="n"/>
      <c r="O582" s="95" t="n"/>
      <c r="P582" s="95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  <c r="Z582" s="46" t="n"/>
    </row>
    <row r="583" ht="12.75" customHeight="1">
      <c r="A583" s="100" t="n"/>
      <c r="B583" s="101" t="n"/>
      <c r="C583" s="102" t="n"/>
      <c r="D583" s="99" t="n"/>
      <c r="E583" s="95" t="n"/>
      <c r="F583" s="95" t="n"/>
      <c r="G583" s="94" t="n"/>
      <c r="H583" s="46" t="n"/>
      <c r="I583" s="46" t="n"/>
      <c r="J583" s="46" t="n"/>
      <c r="K583" s="46" t="n"/>
      <c r="L583" s="95" t="n"/>
      <c r="M583" s="95" t="n"/>
      <c r="N583" s="95" t="n"/>
      <c r="O583" s="95" t="n"/>
      <c r="P583" s="95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  <c r="Z583" s="46" t="n"/>
    </row>
    <row r="584" ht="12.75" customHeight="1">
      <c r="A584" s="100" t="n"/>
      <c r="B584" s="101" t="n"/>
      <c r="C584" s="102" t="n"/>
      <c r="D584" s="99" t="n"/>
      <c r="E584" s="95" t="n"/>
      <c r="F584" s="95" t="n"/>
      <c r="G584" s="94" t="n"/>
      <c r="H584" s="46" t="n"/>
      <c r="I584" s="46" t="n"/>
      <c r="J584" s="46" t="n"/>
      <c r="K584" s="46" t="n"/>
      <c r="L584" s="95" t="n"/>
      <c r="M584" s="95" t="n"/>
      <c r="N584" s="95" t="n"/>
      <c r="O584" s="95" t="n"/>
      <c r="P584" s="95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  <c r="Z584" s="46" t="n"/>
    </row>
    <row r="585" ht="12.75" customHeight="1">
      <c r="A585" s="100" t="n"/>
      <c r="B585" s="101" t="n"/>
      <c r="C585" s="102" t="n"/>
      <c r="D585" s="99" t="n"/>
      <c r="E585" s="95" t="n"/>
      <c r="F585" s="95" t="n"/>
      <c r="G585" s="94" t="n"/>
      <c r="H585" s="46" t="n"/>
      <c r="I585" s="46" t="n"/>
      <c r="J585" s="46" t="n"/>
      <c r="K585" s="46" t="n"/>
      <c r="L585" s="95" t="n"/>
      <c r="M585" s="95" t="n"/>
      <c r="N585" s="95" t="n"/>
      <c r="O585" s="95" t="n"/>
      <c r="P585" s="95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  <c r="Z585" s="46" t="n"/>
    </row>
    <row r="586" ht="12.75" customHeight="1">
      <c r="A586" s="100" t="n"/>
      <c r="B586" s="101" t="n"/>
      <c r="C586" s="102" t="n"/>
      <c r="D586" s="99" t="n"/>
      <c r="E586" s="95" t="n"/>
      <c r="F586" s="95" t="n"/>
      <c r="G586" s="94" t="n"/>
      <c r="H586" s="46" t="n"/>
      <c r="I586" s="46" t="n"/>
      <c r="J586" s="46" t="n"/>
      <c r="K586" s="46" t="n"/>
      <c r="L586" s="95" t="n"/>
      <c r="M586" s="95" t="n"/>
      <c r="N586" s="95" t="n"/>
      <c r="O586" s="95" t="n"/>
      <c r="P586" s="95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  <c r="Z586" s="46" t="n"/>
    </row>
    <row r="587" ht="12.75" customHeight="1">
      <c r="A587" s="100" t="n"/>
      <c r="B587" s="101" t="n"/>
      <c r="C587" s="102" t="n"/>
      <c r="D587" s="99" t="n"/>
      <c r="E587" s="95" t="n"/>
      <c r="F587" s="95" t="n"/>
      <c r="G587" s="94" t="n"/>
      <c r="H587" s="46" t="n"/>
      <c r="I587" s="46" t="n"/>
      <c r="J587" s="46" t="n"/>
      <c r="K587" s="46" t="n"/>
      <c r="L587" s="95" t="n"/>
      <c r="M587" s="95" t="n"/>
      <c r="N587" s="95" t="n"/>
      <c r="O587" s="95" t="n"/>
      <c r="P587" s="95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  <c r="Z587" s="46" t="n"/>
    </row>
    <row r="588" ht="12.75" customHeight="1">
      <c r="A588" s="100" t="n"/>
      <c r="B588" s="101" t="n"/>
      <c r="C588" s="102" t="n"/>
      <c r="D588" s="99" t="n"/>
      <c r="E588" s="95" t="n"/>
      <c r="F588" s="95" t="n"/>
      <c r="G588" s="94" t="n"/>
      <c r="H588" s="46" t="n"/>
      <c r="I588" s="46" t="n"/>
      <c r="J588" s="46" t="n"/>
      <c r="K588" s="46" t="n"/>
      <c r="L588" s="95" t="n"/>
      <c r="M588" s="95" t="n"/>
      <c r="N588" s="95" t="n"/>
      <c r="O588" s="95" t="n"/>
      <c r="P588" s="95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  <c r="Z588" s="46" t="n"/>
    </row>
    <row r="589" ht="12.75" customHeight="1">
      <c r="A589" s="100" t="n"/>
      <c r="B589" s="101" t="n"/>
      <c r="C589" s="102" t="n"/>
      <c r="D589" s="99" t="n"/>
      <c r="E589" s="95" t="n"/>
      <c r="F589" s="95" t="n"/>
      <c r="G589" s="94" t="n"/>
      <c r="H589" s="46" t="n"/>
      <c r="I589" s="46" t="n"/>
      <c r="J589" s="46" t="n"/>
      <c r="K589" s="46" t="n"/>
      <c r="L589" s="95" t="n"/>
      <c r="M589" s="95" t="n"/>
      <c r="N589" s="95" t="n"/>
      <c r="O589" s="95" t="n"/>
      <c r="P589" s="95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  <c r="Z589" s="46" t="n"/>
    </row>
    <row r="590" ht="12.75" customHeight="1">
      <c r="A590" s="100" t="n"/>
      <c r="B590" s="101" t="n"/>
      <c r="C590" s="102" t="n"/>
      <c r="D590" s="99" t="n"/>
      <c r="E590" s="95" t="n"/>
      <c r="F590" s="95" t="n"/>
      <c r="G590" s="94" t="n"/>
      <c r="H590" s="46" t="n"/>
      <c r="I590" s="46" t="n"/>
      <c r="J590" s="46" t="n"/>
      <c r="K590" s="46" t="n"/>
      <c r="L590" s="95" t="n"/>
      <c r="M590" s="95" t="n"/>
      <c r="N590" s="95" t="n"/>
      <c r="O590" s="95" t="n"/>
      <c r="P590" s="95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  <c r="Z590" s="46" t="n"/>
    </row>
    <row r="591" ht="12.75" customHeight="1">
      <c r="A591" s="100" t="n"/>
      <c r="B591" s="101" t="n"/>
      <c r="C591" s="102" t="n"/>
      <c r="D591" s="99" t="n"/>
      <c r="E591" s="95" t="n"/>
      <c r="F591" s="95" t="n"/>
      <c r="G591" s="94" t="n"/>
      <c r="H591" s="46" t="n"/>
      <c r="I591" s="46" t="n"/>
      <c r="J591" s="46" t="n"/>
      <c r="K591" s="46" t="n"/>
      <c r="L591" s="95" t="n"/>
      <c r="M591" s="95" t="n"/>
      <c r="N591" s="95" t="n"/>
      <c r="O591" s="95" t="n"/>
      <c r="P591" s="95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  <c r="Z591" s="46" t="n"/>
    </row>
    <row r="592" ht="12.75" customHeight="1">
      <c r="A592" s="100" t="n"/>
      <c r="B592" s="101" t="n"/>
      <c r="C592" s="102" t="n"/>
      <c r="D592" s="99" t="n"/>
      <c r="E592" s="95" t="n"/>
      <c r="F592" s="95" t="n"/>
      <c r="G592" s="94" t="n"/>
      <c r="H592" s="46" t="n"/>
      <c r="I592" s="46" t="n"/>
      <c r="J592" s="46" t="n"/>
      <c r="K592" s="46" t="n"/>
      <c r="L592" s="95" t="n"/>
      <c r="M592" s="95" t="n"/>
      <c r="N592" s="95" t="n"/>
      <c r="O592" s="95" t="n"/>
      <c r="P592" s="95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  <c r="Z592" s="46" t="n"/>
    </row>
    <row r="593" ht="12.75" customHeight="1">
      <c r="A593" s="100" t="n"/>
      <c r="B593" s="101" t="n"/>
      <c r="C593" s="102" t="n"/>
      <c r="D593" s="99" t="n"/>
      <c r="E593" s="95" t="n"/>
      <c r="F593" s="95" t="n"/>
      <c r="G593" s="94" t="n"/>
      <c r="H593" s="46" t="n"/>
      <c r="I593" s="46" t="n"/>
      <c r="J593" s="46" t="n"/>
      <c r="K593" s="46" t="n"/>
      <c r="L593" s="95" t="n"/>
      <c r="M593" s="95" t="n"/>
      <c r="N593" s="95" t="n"/>
      <c r="O593" s="95" t="n"/>
      <c r="P593" s="95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  <c r="Z593" s="46" t="n"/>
    </row>
    <row r="594" ht="12.75" customHeight="1">
      <c r="A594" s="100" t="n"/>
      <c r="B594" s="101" t="n"/>
      <c r="C594" s="102" t="n"/>
      <c r="D594" s="99" t="n"/>
      <c r="E594" s="95" t="n"/>
      <c r="F594" s="95" t="n"/>
      <c r="G594" s="94" t="n"/>
      <c r="H594" s="46" t="n"/>
      <c r="I594" s="46" t="n"/>
      <c r="J594" s="46" t="n"/>
      <c r="K594" s="46" t="n"/>
      <c r="L594" s="95" t="n"/>
      <c r="M594" s="95" t="n"/>
      <c r="N594" s="95" t="n"/>
      <c r="O594" s="95" t="n"/>
      <c r="P594" s="95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  <c r="Z594" s="46" t="n"/>
    </row>
    <row r="595" ht="12.75" customHeight="1">
      <c r="A595" s="100" t="n"/>
      <c r="B595" s="101" t="n"/>
      <c r="C595" s="102" t="n"/>
      <c r="D595" s="99" t="n"/>
      <c r="E595" s="95" t="n"/>
      <c r="F595" s="95" t="n"/>
      <c r="G595" s="94" t="n"/>
      <c r="H595" s="46" t="n"/>
      <c r="I595" s="46" t="n"/>
      <c r="J595" s="46" t="n"/>
      <c r="K595" s="46" t="n"/>
      <c r="L595" s="95" t="n"/>
      <c r="M595" s="95" t="n"/>
      <c r="N595" s="95" t="n"/>
      <c r="O595" s="95" t="n"/>
      <c r="P595" s="95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  <c r="Z595" s="46" t="n"/>
    </row>
    <row r="596" ht="12.75" customHeight="1">
      <c r="A596" s="100" t="n"/>
      <c r="B596" s="101" t="n"/>
      <c r="C596" s="102" t="n"/>
      <c r="D596" s="99" t="n"/>
      <c r="E596" s="95" t="n"/>
      <c r="F596" s="95" t="n"/>
      <c r="G596" s="94" t="n"/>
      <c r="H596" s="46" t="n"/>
      <c r="I596" s="46" t="n"/>
      <c r="J596" s="46" t="n"/>
      <c r="K596" s="46" t="n"/>
      <c r="L596" s="95" t="n"/>
      <c r="M596" s="95" t="n"/>
      <c r="N596" s="95" t="n"/>
      <c r="O596" s="95" t="n"/>
      <c r="P596" s="95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  <c r="Z596" s="46" t="n"/>
    </row>
    <row r="597" ht="12.75" customHeight="1">
      <c r="A597" s="100" t="n"/>
      <c r="B597" s="101" t="n"/>
      <c r="C597" s="102" t="n"/>
      <c r="D597" s="99" t="n"/>
      <c r="E597" s="95" t="n"/>
      <c r="F597" s="95" t="n"/>
      <c r="G597" s="94" t="n"/>
      <c r="H597" s="46" t="n"/>
      <c r="I597" s="46" t="n"/>
      <c r="J597" s="46" t="n"/>
      <c r="K597" s="46" t="n"/>
      <c r="L597" s="95" t="n"/>
      <c r="M597" s="95" t="n"/>
      <c r="N597" s="95" t="n"/>
      <c r="O597" s="95" t="n"/>
      <c r="P597" s="95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  <c r="Z597" s="46" t="n"/>
    </row>
    <row r="598" ht="12.75" customHeight="1">
      <c r="A598" s="100" t="n"/>
      <c r="B598" s="101" t="n"/>
      <c r="C598" s="102" t="n"/>
      <c r="D598" s="99" t="n"/>
      <c r="E598" s="95" t="n"/>
      <c r="F598" s="95" t="n"/>
      <c r="G598" s="94" t="n"/>
      <c r="H598" s="46" t="n"/>
      <c r="I598" s="46" t="n"/>
      <c r="J598" s="46" t="n"/>
      <c r="K598" s="46" t="n"/>
      <c r="L598" s="95" t="n"/>
      <c r="M598" s="95" t="n"/>
      <c r="N598" s="95" t="n"/>
      <c r="O598" s="95" t="n"/>
      <c r="P598" s="95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  <c r="Z598" s="46" t="n"/>
    </row>
    <row r="599" ht="12.75" customHeight="1">
      <c r="A599" s="100" t="n"/>
      <c r="B599" s="101" t="n"/>
      <c r="C599" s="102" t="n"/>
      <c r="D599" s="99" t="n"/>
      <c r="E599" s="95" t="n"/>
      <c r="F599" s="95" t="n"/>
      <c r="G599" s="94" t="n"/>
      <c r="H599" s="46" t="n"/>
      <c r="I599" s="46" t="n"/>
      <c r="J599" s="46" t="n"/>
      <c r="K599" s="46" t="n"/>
      <c r="L599" s="95" t="n"/>
      <c r="M599" s="95" t="n"/>
      <c r="N599" s="95" t="n"/>
      <c r="O599" s="95" t="n"/>
      <c r="P599" s="95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  <c r="Z599" s="46" t="n"/>
    </row>
    <row r="600" ht="12.75" customHeight="1">
      <c r="A600" s="100" t="n"/>
      <c r="B600" s="101" t="n"/>
      <c r="C600" s="102" t="n"/>
      <c r="D600" s="99" t="n"/>
      <c r="E600" s="95" t="n"/>
      <c r="F600" s="95" t="n"/>
      <c r="G600" s="94" t="n"/>
      <c r="H600" s="46" t="n"/>
      <c r="I600" s="46" t="n"/>
      <c r="J600" s="46" t="n"/>
      <c r="K600" s="46" t="n"/>
      <c r="L600" s="95" t="n"/>
      <c r="M600" s="95" t="n"/>
      <c r="N600" s="95" t="n"/>
      <c r="O600" s="95" t="n"/>
      <c r="P600" s="95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  <c r="Z600" s="46" t="n"/>
    </row>
    <row r="601" ht="12.75" customHeight="1">
      <c r="A601" s="100" t="n"/>
      <c r="B601" s="101" t="n"/>
      <c r="C601" s="102" t="n"/>
      <c r="D601" s="99" t="n"/>
      <c r="E601" s="95" t="n"/>
      <c r="F601" s="95" t="n"/>
      <c r="G601" s="94" t="n"/>
      <c r="H601" s="46" t="n"/>
      <c r="I601" s="46" t="n"/>
      <c r="J601" s="46" t="n"/>
      <c r="K601" s="46" t="n"/>
      <c r="L601" s="95" t="n"/>
      <c r="M601" s="95" t="n"/>
      <c r="N601" s="95" t="n"/>
      <c r="O601" s="95" t="n"/>
      <c r="P601" s="95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  <c r="Z601" s="46" t="n"/>
    </row>
    <row r="602" ht="12.75" customHeight="1">
      <c r="A602" s="100" t="n"/>
      <c r="B602" s="101" t="n"/>
      <c r="C602" s="102" t="n"/>
      <c r="D602" s="99" t="n"/>
      <c r="E602" s="95" t="n"/>
      <c r="F602" s="95" t="n"/>
      <c r="G602" s="94" t="n"/>
      <c r="H602" s="46" t="n"/>
      <c r="I602" s="46" t="n"/>
      <c r="J602" s="46" t="n"/>
      <c r="K602" s="46" t="n"/>
      <c r="L602" s="95" t="n"/>
      <c r="M602" s="95" t="n"/>
      <c r="N602" s="95" t="n"/>
      <c r="O602" s="95" t="n"/>
      <c r="P602" s="95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  <c r="Z602" s="46" t="n"/>
    </row>
    <row r="603" ht="12.75" customHeight="1">
      <c r="A603" s="100" t="n"/>
      <c r="B603" s="101" t="n"/>
      <c r="C603" s="102" t="n"/>
      <c r="D603" s="99" t="n"/>
      <c r="E603" s="95" t="n"/>
      <c r="F603" s="95" t="n"/>
      <c r="G603" s="94" t="n"/>
      <c r="H603" s="46" t="n"/>
      <c r="I603" s="46" t="n"/>
      <c r="J603" s="46" t="n"/>
      <c r="K603" s="46" t="n"/>
      <c r="L603" s="95" t="n"/>
      <c r="M603" s="95" t="n"/>
      <c r="N603" s="95" t="n"/>
      <c r="O603" s="95" t="n"/>
      <c r="P603" s="95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  <c r="Z603" s="46" t="n"/>
    </row>
    <row r="604" ht="12.75" customHeight="1">
      <c r="A604" s="100" t="n"/>
      <c r="B604" s="101" t="n"/>
      <c r="C604" s="102" t="n"/>
      <c r="D604" s="99" t="n"/>
      <c r="E604" s="95" t="n"/>
      <c r="F604" s="95" t="n"/>
      <c r="G604" s="94" t="n"/>
      <c r="H604" s="46" t="n"/>
      <c r="I604" s="46" t="n"/>
      <c r="J604" s="46" t="n"/>
      <c r="K604" s="46" t="n"/>
      <c r="L604" s="95" t="n"/>
      <c r="M604" s="95" t="n"/>
      <c r="N604" s="95" t="n"/>
      <c r="O604" s="95" t="n"/>
      <c r="P604" s="95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  <c r="Z604" s="46" t="n"/>
    </row>
    <row r="605" ht="12.75" customHeight="1">
      <c r="A605" s="100" t="n"/>
      <c r="B605" s="101" t="n"/>
      <c r="C605" s="102" t="n"/>
      <c r="D605" s="99" t="n"/>
      <c r="E605" s="95" t="n"/>
      <c r="F605" s="95" t="n"/>
      <c r="G605" s="94" t="n"/>
      <c r="H605" s="46" t="n"/>
      <c r="I605" s="46" t="n"/>
      <c r="J605" s="46" t="n"/>
      <c r="K605" s="46" t="n"/>
      <c r="L605" s="95" t="n"/>
      <c r="M605" s="95" t="n"/>
      <c r="N605" s="95" t="n"/>
      <c r="O605" s="95" t="n"/>
      <c r="P605" s="95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  <c r="Z605" s="46" t="n"/>
    </row>
    <row r="606" ht="12.75" customHeight="1">
      <c r="A606" s="100" t="n"/>
      <c r="B606" s="101" t="n"/>
      <c r="C606" s="102" t="n"/>
      <c r="D606" s="99" t="n"/>
      <c r="E606" s="95" t="n"/>
      <c r="F606" s="95" t="n"/>
      <c r="G606" s="94" t="n"/>
      <c r="H606" s="46" t="n"/>
      <c r="I606" s="46" t="n"/>
      <c r="J606" s="46" t="n"/>
      <c r="K606" s="46" t="n"/>
      <c r="L606" s="95" t="n"/>
      <c r="M606" s="95" t="n"/>
      <c r="N606" s="95" t="n"/>
      <c r="O606" s="95" t="n"/>
      <c r="P606" s="95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  <c r="Z606" s="46" t="n"/>
    </row>
    <row r="607" ht="12.75" customHeight="1">
      <c r="A607" s="100" t="n"/>
      <c r="B607" s="101" t="n"/>
      <c r="C607" s="102" t="n"/>
      <c r="D607" s="99" t="n"/>
      <c r="E607" s="95" t="n"/>
      <c r="F607" s="95" t="n"/>
      <c r="G607" s="94" t="n"/>
      <c r="H607" s="46" t="n"/>
      <c r="I607" s="46" t="n"/>
      <c r="J607" s="46" t="n"/>
      <c r="K607" s="46" t="n"/>
      <c r="L607" s="95" t="n"/>
      <c r="M607" s="95" t="n"/>
      <c r="N607" s="95" t="n"/>
      <c r="O607" s="95" t="n"/>
      <c r="P607" s="95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  <c r="Z607" s="46" t="n"/>
    </row>
    <row r="608" ht="12.75" customHeight="1">
      <c r="A608" s="100" t="n"/>
      <c r="B608" s="101" t="n"/>
      <c r="C608" s="102" t="n"/>
      <c r="D608" s="99" t="n"/>
      <c r="E608" s="95" t="n"/>
      <c r="F608" s="95" t="n"/>
      <c r="G608" s="94" t="n"/>
      <c r="H608" s="46" t="n"/>
      <c r="I608" s="46" t="n"/>
      <c r="J608" s="46" t="n"/>
      <c r="K608" s="46" t="n"/>
      <c r="L608" s="95" t="n"/>
      <c r="M608" s="95" t="n"/>
      <c r="N608" s="95" t="n"/>
      <c r="O608" s="95" t="n"/>
      <c r="P608" s="95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  <c r="Z608" s="46" t="n"/>
    </row>
    <row r="609" ht="12.75" customHeight="1">
      <c r="A609" s="100" t="n"/>
      <c r="B609" s="101" t="n"/>
      <c r="C609" s="102" t="n"/>
      <c r="D609" s="99" t="n"/>
      <c r="E609" s="95" t="n"/>
      <c r="F609" s="95" t="n"/>
      <c r="G609" s="94" t="n"/>
      <c r="H609" s="46" t="n"/>
      <c r="I609" s="46" t="n"/>
      <c r="J609" s="46" t="n"/>
      <c r="K609" s="46" t="n"/>
      <c r="L609" s="95" t="n"/>
      <c r="M609" s="95" t="n"/>
      <c r="N609" s="95" t="n"/>
      <c r="O609" s="95" t="n"/>
      <c r="P609" s="95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  <c r="Z609" s="46" t="n"/>
    </row>
    <row r="610" ht="12.75" customHeight="1">
      <c r="A610" s="100" t="n"/>
      <c r="B610" s="101" t="n"/>
      <c r="C610" s="102" t="n"/>
      <c r="D610" s="99" t="n"/>
      <c r="E610" s="95" t="n"/>
      <c r="F610" s="95" t="n"/>
      <c r="G610" s="94" t="n"/>
      <c r="H610" s="46" t="n"/>
      <c r="I610" s="46" t="n"/>
      <c r="J610" s="46" t="n"/>
      <c r="K610" s="46" t="n"/>
      <c r="L610" s="95" t="n"/>
      <c r="M610" s="95" t="n"/>
      <c r="N610" s="95" t="n"/>
      <c r="O610" s="95" t="n"/>
      <c r="P610" s="95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  <c r="Z610" s="46" t="n"/>
    </row>
    <row r="611" ht="12.75" customHeight="1">
      <c r="A611" s="100" t="n"/>
      <c r="B611" s="101" t="n"/>
      <c r="C611" s="102" t="n"/>
      <c r="D611" s="99" t="n"/>
      <c r="E611" s="95" t="n"/>
      <c r="F611" s="95" t="n"/>
      <c r="G611" s="94" t="n"/>
      <c r="H611" s="46" t="n"/>
      <c r="I611" s="46" t="n"/>
      <c r="J611" s="46" t="n"/>
      <c r="K611" s="46" t="n"/>
      <c r="L611" s="95" t="n"/>
      <c r="M611" s="95" t="n"/>
      <c r="N611" s="95" t="n"/>
      <c r="O611" s="95" t="n"/>
      <c r="P611" s="95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  <c r="Z611" s="46" t="n"/>
    </row>
    <row r="612" ht="12.75" customHeight="1">
      <c r="A612" s="100" t="n"/>
      <c r="B612" s="101" t="n"/>
      <c r="C612" s="102" t="n"/>
      <c r="D612" s="99" t="n"/>
      <c r="E612" s="95" t="n"/>
      <c r="F612" s="95" t="n"/>
      <c r="G612" s="94" t="n"/>
      <c r="H612" s="46" t="n"/>
      <c r="I612" s="46" t="n"/>
      <c r="J612" s="46" t="n"/>
      <c r="K612" s="46" t="n"/>
      <c r="L612" s="95" t="n"/>
      <c r="M612" s="95" t="n"/>
      <c r="N612" s="95" t="n"/>
      <c r="O612" s="95" t="n"/>
      <c r="P612" s="95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  <c r="Z612" s="46" t="n"/>
    </row>
    <row r="613" ht="12.75" customHeight="1">
      <c r="A613" s="100" t="n"/>
      <c r="B613" s="101" t="n"/>
      <c r="C613" s="102" t="n"/>
      <c r="D613" s="99" t="n"/>
      <c r="E613" s="95" t="n"/>
      <c r="F613" s="95" t="n"/>
      <c r="G613" s="94" t="n"/>
      <c r="H613" s="46" t="n"/>
      <c r="I613" s="46" t="n"/>
      <c r="J613" s="46" t="n"/>
      <c r="K613" s="46" t="n"/>
      <c r="L613" s="95" t="n"/>
      <c r="M613" s="95" t="n"/>
      <c r="N613" s="95" t="n"/>
      <c r="O613" s="95" t="n"/>
      <c r="P613" s="95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  <c r="Z613" s="46" t="n"/>
    </row>
    <row r="614" ht="12.75" customHeight="1">
      <c r="A614" s="100" t="n"/>
      <c r="B614" s="101" t="n"/>
      <c r="C614" s="102" t="n"/>
      <c r="D614" s="99" t="n"/>
      <c r="E614" s="95" t="n"/>
      <c r="F614" s="95" t="n"/>
      <c r="G614" s="94" t="n"/>
      <c r="H614" s="46" t="n"/>
      <c r="I614" s="46" t="n"/>
      <c r="J614" s="46" t="n"/>
      <c r="K614" s="46" t="n"/>
      <c r="L614" s="95" t="n"/>
      <c r="M614" s="95" t="n"/>
      <c r="N614" s="95" t="n"/>
      <c r="O614" s="95" t="n"/>
      <c r="P614" s="95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  <c r="Z614" s="46" t="n"/>
    </row>
    <row r="615" ht="12.75" customHeight="1">
      <c r="A615" s="100" t="n"/>
      <c r="B615" s="101" t="n"/>
      <c r="C615" s="102" t="n"/>
      <c r="D615" s="99" t="n"/>
      <c r="E615" s="95" t="n"/>
      <c r="F615" s="95" t="n"/>
      <c r="G615" s="94" t="n"/>
      <c r="H615" s="46" t="n"/>
      <c r="I615" s="46" t="n"/>
      <c r="J615" s="46" t="n"/>
      <c r="K615" s="46" t="n"/>
      <c r="L615" s="95" t="n"/>
      <c r="M615" s="95" t="n"/>
      <c r="N615" s="95" t="n"/>
      <c r="O615" s="95" t="n"/>
      <c r="P615" s="95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  <c r="Z615" s="46" t="n"/>
    </row>
    <row r="616" ht="12.75" customHeight="1">
      <c r="A616" s="100" t="n"/>
      <c r="B616" s="101" t="n"/>
      <c r="C616" s="102" t="n"/>
      <c r="D616" s="99" t="n"/>
      <c r="E616" s="95" t="n"/>
      <c r="F616" s="95" t="n"/>
      <c r="G616" s="94" t="n"/>
      <c r="H616" s="46" t="n"/>
      <c r="I616" s="46" t="n"/>
      <c r="J616" s="46" t="n"/>
      <c r="K616" s="46" t="n"/>
      <c r="L616" s="95" t="n"/>
      <c r="M616" s="95" t="n"/>
      <c r="N616" s="95" t="n"/>
      <c r="O616" s="95" t="n"/>
      <c r="P616" s="95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  <c r="Z616" s="46" t="n"/>
    </row>
    <row r="617" ht="12.75" customHeight="1">
      <c r="A617" s="100" t="n"/>
      <c r="B617" s="101" t="n"/>
      <c r="C617" s="102" t="n"/>
      <c r="D617" s="99" t="n"/>
      <c r="E617" s="95" t="n"/>
      <c r="F617" s="95" t="n"/>
      <c r="G617" s="94" t="n"/>
      <c r="H617" s="46" t="n"/>
      <c r="I617" s="46" t="n"/>
      <c r="J617" s="46" t="n"/>
      <c r="K617" s="46" t="n"/>
      <c r="L617" s="95" t="n"/>
      <c r="M617" s="95" t="n"/>
      <c r="N617" s="95" t="n"/>
      <c r="O617" s="95" t="n"/>
      <c r="P617" s="95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  <c r="Z617" s="46" t="n"/>
    </row>
    <row r="618" ht="12.75" customHeight="1">
      <c r="A618" s="100" t="n"/>
      <c r="B618" s="101" t="n"/>
      <c r="C618" s="102" t="n"/>
      <c r="D618" s="99" t="n"/>
      <c r="E618" s="95" t="n"/>
      <c r="F618" s="95" t="n"/>
      <c r="G618" s="94" t="n"/>
      <c r="H618" s="46" t="n"/>
      <c r="I618" s="46" t="n"/>
      <c r="J618" s="46" t="n"/>
      <c r="K618" s="46" t="n"/>
      <c r="L618" s="95" t="n"/>
      <c r="M618" s="95" t="n"/>
      <c r="N618" s="95" t="n"/>
      <c r="O618" s="95" t="n"/>
      <c r="P618" s="95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  <c r="Z618" s="46" t="n"/>
    </row>
    <row r="619" ht="12.75" customHeight="1">
      <c r="A619" s="100" t="n"/>
      <c r="B619" s="101" t="n"/>
      <c r="C619" s="102" t="n"/>
      <c r="D619" s="99" t="n"/>
      <c r="E619" s="95" t="n"/>
      <c r="F619" s="95" t="n"/>
      <c r="G619" s="94" t="n"/>
      <c r="H619" s="46" t="n"/>
      <c r="I619" s="46" t="n"/>
      <c r="J619" s="46" t="n"/>
      <c r="K619" s="46" t="n"/>
      <c r="L619" s="95" t="n"/>
      <c r="M619" s="95" t="n"/>
      <c r="N619" s="95" t="n"/>
      <c r="O619" s="95" t="n"/>
      <c r="P619" s="95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  <c r="Z619" s="46" t="n"/>
    </row>
    <row r="620" ht="12.75" customHeight="1">
      <c r="A620" s="100" t="n"/>
      <c r="B620" s="101" t="n"/>
      <c r="C620" s="102" t="n"/>
      <c r="D620" s="99" t="n"/>
      <c r="E620" s="95" t="n"/>
      <c r="F620" s="95" t="n"/>
      <c r="G620" s="94" t="n"/>
      <c r="H620" s="46" t="n"/>
      <c r="I620" s="46" t="n"/>
      <c r="J620" s="46" t="n"/>
      <c r="K620" s="46" t="n"/>
      <c r="L620" s="95" t="n"/>
      <c r="M620" s="95" t="n"/>
      <c r="N620" s="95" t="n"/>
      <c r="O620" s="95" t="n"/>
      <c r="P620" s="95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  <c r="Z620" s="46" t="n"/>
    </row>
    <row r="621" ht="12.75" customHeight="1">
      <c r="A621" s="100" t="n"/>
      <c r="B621" s="101" t="n"/>
      <c r="C621" s="102" t="n"/>
      <c r="D621" s="99" t="n"/>
      <c r="E621" s="95" t="n"/>
      <c r="F621" s="95" t="n"/>
      <c r="G621" s="94" t="n"/>
      <c r="H621" s="46" t="n"/>
      <c r="I621" s="46" t="n"/>
      <c r="J621" s="46" t="n"/>
      <c r="K621" s="46" t="n"/>
      <c r="L621" s="95" t="n"/>
      <c r="M621" s="95" t="n"/>
      <c r="N621" s="95" t="n"/>
      <c r="O621" s="95" t="n"/>
      <c r="P621" s="95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  <c r="Z621" s="46" t="n"/>
    </row>
    <row r="622" ht="12.75" customHeight="1">
      <c r="A622" s="100" t="n"/>
      <c r="B622" s="101" t="n"/>
      <c r="C622" s="102" t="n"/>
      <c r="D622" s="99" t="n"/>
      <c r="E622" s="95" t="n"/>
      <c r="F622" s="95" t="n"/>
      <c r="G622" s="94" t="n"/>
      <c r="H622" s="46" t="n"/>
      <c r="I622" s="46" t="n"/>
      <c r="J622" s="46" t="n"/>
      <c r="K622" s="46" t="n"/>
      <c r="L622" s="95" t="n"/>
      <c r="M622" s="95" t="n"/>
      <c r="N622" s="95" t="n"/>
      <c r="O622" s="95" t="n"/>
      <c r="P622" s="95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  <c r="Z622" s="46" t="n"/>
    </row>
    <row r="623" ht="12.75" customHeight="1">
      <c r="A623" s="100" t="n"/>
      <c r="B623" s="101" t="n"/>
      <c r="C623" s="102" t="n"/>
      <c r="D623" s="99" t="n"/>
      <c r="E623" s="95" t="n"/>
      <c r="F623" s="95" t="n"/>
      <c r="G623" s="94" t="n"/>
      <c r="H623" s="46" t="n"/>
      <c r="I623" s="46" t="n"/>
      <c r="J623" s="46" t="n"/>
      <c r="K623" s="46" t="n"/>
      <c r="L623" s="95" t="n"/>
      <c r="M623" s="95" t="n"/>
      <c r="N623" s="95" t="n"/>
      <c r="O623" s="95" t="n"/>
      <c r="P623" s="95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  <c r="Z623" s="46" t="n"/>
    </row>
    <row r="624" ht="12.75" customHeight="1">
      <c r="A624" s="100" t="n"/>
      <c r="B624" s="101" t="n"/>
      <c r="C624" s="102" t="n"/>
      <c r="D624" s="99" t="n"/>
      <c r="E624" s="95" t="n"/>
      <c r="F624" s="95" t="n"/>
      <c r="G624" s="94" t="n"/>
      <c r="H624" s="46" t="n"/>
      <c r="I624" s="46" t="n"/>
      <c r="J624" s="46" t="n"/>
      <c r="K624" s="46" t="n"/>
      <c r="L624" s="95" t="n"/>
      <c r="M624" s="95" t="n"/>
      <c r="N624" s="95" t="n"/>
      <c r="O624" s="95" t="n"/>
      <c r="P624" s="95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  <c r="Z624" s="46" t="n"/>
    </row>
    <row r="625" ht="12.75" customHeight="1">
      <c r="A625" s="100" t="n"/>
      <c r="B625" s="101" t="n"/>
      <c r="C625" s="102" t="n"/>
      <c r="D625" s="99" t="n"/>
      <c r="E625" s="95" t="n"/>
      <c r="F625" s="95" t="n"/>
      <c r="G625" s="94" t="n"/>
      <c r="H625" s="46" t="n"/>
      <c r="I625" s="46" t="n"/>
      <c r="J625" s="46" t="n"/>
      <c r="K625" s="46" t="n"/>
      <c r="L625" s="95" t="n"/>
      <c r="M625" s="95" t="n"/>
      <c r="N625" s="95" t="n"/>
      <c r="O625" s="95" t="n"/>
      <c r="P625" s="95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  <c r="Z625" s="46" t="n"/>
    </row>
    <row r="626" ht="12.75" customHeight="1">
      <c r="A626" s="100" t="n"/>
      <c r="B626" s="101" t="n"/>
      <c r="C626" s="102" t="n"/>
      <c r="D626" s="99" t="n"/>
      <c r="E626" s="95" t="n"/>
      <c r="F626" s="95" t="n"/>
      <c r="G626" s="94" t="n"/>
      <c r="H626" s="46" t="n"/>
      <c r="I626" s="46" t="n"/>
      <c r="J626" s="46" t="n"/>
      <c r="K626" s="46" t="n"/>
      <c r="L626" s="95" t="n"/>
      <c r="M626" s="95" t="n"/>
      <c r="N626" s="95" t="n"/>
      <c r="O626" s="95" t="n"/>
      <c r="P626" s="95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  <c r="Z626" s="46" t="n"/>
    </row>
    <row r="627" ht="12.75" customHeight="1">
      <c r="A627" s="100" t="n"/>
      <c r="B627" s="101" t="n"/>
      <c r="C627" s="102" t="n"/>
      <c r="D627" s="99" t="n"/>
      <c r="E627" s="95" t="n"/>
      <c r="F627" s="95" t="n"/>
      <c r="G627" s="94" t="n"/>
      <c r="H627" s="46" t="n"/>
      <c r="I627" s="46" t="n"/>
      <c r="J627" s="46" t="n"/>
      <c r="K627" s="46" t="n"/>
      <c r="L627" s="95" t="n"/>
      <c r="M627" s="95" t="n"/>
      <c r="N627" s="95" t="n"/>
      <c r="O627" s="95" t="n"/>
      <c r="P627" s="95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  <c r="Z627" s="46" t="n"/>
    </row>
    <row r="628" ht="12.75" customHeight="1">
      <c r="A628" s="100" t="n"/>
      <c r="B628" s="101" t="n"/>
      <c r="C628" s="102" t="n"/>
      <c r="D628" s="99" t="n"/>
      <c r="E628" s="95" t="n"/>
      <c r="F628" s="95" t="n"/>
      <c r="G628" s="94" t="n"/>
      <c r="H628" s="46" t="n"/>
      <c r="I628" s="46" t="n"/>
      <c r="J628" s="46" t="n"/>
      <c r="K628" s="46" t="n"/>
      <c r="L628" s="95" t="n"/>
      <c r="M628" s="95" t="n"/>
      <c r="N628" s="95" t="n"/>
      <c r="O628" s="95" t="n"/>
      <c r="P628" s="95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  <c r="Z628" s="46" t="n"/>
    </row>
    <row r="629" ht="12.75" customHeight="1">
      <c r="A629" s="100" t="n"/>
      <c r="B629" s="101" t="n"/>
      <c r="C629" s="102" t="n"/>
      <c r="D629" s="99" t="n"/>
      <c r="E629" s="95" t="n"/>
      <c r="F629" s="95" t="n"/>
      <c r="G629" s="94" t="n"/>
      <c r="H629" s="46" t="n"/>
      <c r="I629" s="46" t="n"/>
      <c r="J629" s="46" t="n"/>
      <c r="K629" s="46" t="n"/>
      <c r="L629" s="95" t="n"/>
      <c r="M629" s="95" t="n"/>
      <c r="N629" s="95" t="n"/>
      <c r="O629" s="95" t="n"/>
      <c r="P629" s="95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  <c r="Z629" s="46" t="n"/>
    </row>
    <row r="630" ht="12.75" customHeight="1">
      <c r="A630" s="100" t="n"/>
      <c r="B630" s="101" t="n"/>
      <c r="C630" s="102" t="n"/>
      <c r="D630" s="99" t="n"/>
      <c r="E630" s="95" t="n"/>
      <c r="F630" s="95" t="n"/>
      <c r="G630" s="94" t="n"/>
      <c r="H630" s="46" t="n"/>
      <c r="I630" s="46" t="n"/>
      <c r="J630" s="46" t="n"/>
      <c r="K630" s="46" t="n"/>
      <c r="L630" s="95" t="n"/>
      <c r="M630" s="95" t="n"/>
      <c r="N630" s="95" t="n"/>
      <c r="O630" s="95" t="n"/>
      <c r="P630" s="95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  <c r="Z630" s="46" t="n"/>
    </row>
    <row r="631" ht="12.75" customHeight="1">
      <c r="A631" s="100" t="n"/>
      <c r="B631" s="101" t="n"/>
      <c r="C631" s="102" t="n"/>
      <c r="D631" s="99" t="n"/>
      <c r="E631" s="95" t="n"/>
      <c r="F631" s="95" t="n"/>
      <c r="G631" s="94" t="n"/>
      <c r="H631" s="46" t="n"/>
      <c r="I631" s="46" t="n"/>
      <c r="J631" s="46" t="n"/>
      <c r="K631" s="46" t="n"/>
      <c r="L631" s="95" t="n"/>
      <c r="M631" s="95" t="n"/>
      <c r="N631" s="95" t="n"/>
      <c r="O631" s="95" t="n"/>
      <c r="P631" s="95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  <c r="Z631" s="46" t="n"/>
    </row>
    <row r="632" ht="12.75" customHeight="1">
      <c r="A632" s="100" t="n"/>
      <c r="B632" s="101" t="n"/>
      <c r="C632" s="102" t="n"/>
      <c r="D632" s="99" t="n"/>
      <c r="E632" s="95" t="n"/>
      <c r="F632" s="95" t="n"/>
      <c r="G632" s="94" t="n"/>
      <c r="H632" s="46" t="n"/>
      <c r="I632" s="46" t="n"/>
      <c r="J632" s="46" t="n"/>
      <c r="K632" s="46" t="n"/>
      <c r="L632" s="95" t="n"/>
      <c r="M632" s="95" t="n"/>
      <c r="N632" s="95" t="n"/>
      <c r="O632" s="95" t="n"/>
      <c r="P632" s="95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  <c r="Z632" s="46" t="n"/>
    </row>
    <row r="633" ht="12.75" customHeight="1">
      <c r="A633" s="100" t="n"/>
      <c r="B633" s="101" t="n"/>
      <c r="C633" s="102" t="n"/>
      <c r="D633" s="99" t="n"/>
      <c r="E633" s="95" t="n"/>
      <c r="F633" s="95" t="n"/>
      <c r="G633" s="94" t="n"/>
      <c r="H633" s="46" t="n"/>
      <c r="I633" s="46" t="n"/>
      <c r="J633" s="46" t="n"/>
      <c r="K633" s="46" t="n"/>
      <c r="L633" s="95" t="n"/>
      <c r="M633" s="95" t="n"/>
      <c r="N633" s="95" t="n"/>
      <c r="O633" s="95" t="n"/>
      <c r="P633" s="95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  <c r="Z633" s="46" t="n"/>
    </row>
    <row r="634" ht="12.75" customHeight="1">
      <c r="A634" s="100" t="n"/>
      <c r="B634" s="101" t="n"/>
      <c r="C634" s="102" t="n"/>
      <c r="D634" s="99" t="n"/>
      <c r="E634" s="95" t="n"/>
      <c r="F634" s="95" t="n"/>
      <c r="G634" s="94" t="n"/>
      <c r="H634" s="46" t="n"/>
      <c r="I634" s="46" t="n"/>
      <c r="J634" s="46" t="n"/>
      <c r="K634" s="46" t="n"/>
      <c r="L634" s="95" t="n"/>
      <c r="M634" s="95" t="n"/>
      <c r="N634" s="95" t="n"/>
      <c r="O634" s="95" t="n"/>
      <c r="P634" s="95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  <c r="Z634" s="46" t="n"/>
    </row>
    <row r="635" ht="12.75" customHeight="1">
      <c r="A635" s="100" t="n"/>
      <c r="B635" s="101" t="n"/>
      <c r="C635" s="102" t="n"/>
      <c r="D635" s="99" t="n"/>
      <c r="E635" s="95" t="n"/>
      <c r="F635" s="95" t="n"/>
      <c r="G635" s="94" t="n"/>
      <c r="H635" s="46" t="n"/>
      <c r="I635" s="46" t="n"/>
      <c r="J635" s="46" t="n"/>
      <c r="K635" s="46" t="n"/>
      <c r="L635" s="95" t="n"/>
      <c r="M635" s="95" t="n"/>
      <c r="N635" s="95" t="n"/>
      <c r="O635" s="95" t="n"/>
      <c r="P635" s="95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  <c r="Z635" s="46" t="n"/>
    </row>
    <row r="636" ht="12.75" customHeight="1">
      <c r="A636" s="100" t="n"/>
      <c r="B636" s="101" t="n"/>
      <c r="C636" s="102" t="n"/>
      <c r="D636" s="99" t="n"/>
      <c r="E636" s="95" t="n"/>
      <c r="F636" s="95" t="n"/>
      <c r="G636" s="94" t="n"/>
      <c r="H636" s="46" t="n"/>
      <c r="I636" s="46" t="n"/>
      <c r="J636" s="46" t="n"/>
      <c r="K636" s="46" t="n"/>
      <c r="L636" s="95" t="n"/>
      <c r="M636" s="95" t="n"/>
      <c r="N636" s="95" t="n"/>
      <c r="O636" s="95" t="n"/>
      <c r="P636" s="95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  <c r="Z636" s="46" t="n"/>
    </row>
    <row r="637" ht="12.75" customHeight="1">
      <c r="A637" s="100" t="n"/>
      <c r="B637" s="101" t="n"/>
      <c r="C637" s="102" t="n"/>
      <c r="D637" s="99" t="n"/>
      <c r="E637" s="95" t="n"/>
      <c r="F637" s="95" t="n"/>
      <c r="G637" s="94" t="n"/>
      <c r="H637" s="46" t="n"/>
      <c r="I637" s="46" t="n"/>
      <c r="J637" s="46" t="n"/>
      <c r="K637" s="46" t="n"/>
      <c r="L637" s="95" t="n"/>
      <c r="M637" s="95" t="n"/>
      <c r="N637" s="95" t="n"/>
      <c r="O637" s="95" t="n"/>
      <c r="P637" s="95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  <c r="Z637" s="46" t="n"/>
    </row>
    <row r="638" ht="12.75" customHeight="1">
      <c r="A638" s="100" t="n"/>
      <c r="B638" s="101" t="n"/>
      <c r="C638" s="102" t="n"/>
      <c r="D638" s="99" t="n"/>
      <c r="E638" s="95" t="n"/>
      <c r="F638" s="95" t="n"/>
      <c r="G638" s="94" t="n"/>
      <c r="H638" s="46" t="n"/>
      <c r="I638" s="46" t="n"/>
      <c r="J638" s="46" t="n"/>
      <c r="K638" s="46" t="n"/>
      <c r="L638" s="95" t="n"/>
      <c r="M638" s="95" t="n"/>
      <c r="N638" s="95" t="n"/>
      <c r="O638" s="95" t="n"/>
      <c r="P638" s="95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  <c r="Z638" s="46" t="n"/>
    </row>
    <row r="639" ht="12.75" customHeight="1">
      <c r="A639" s="100" t="n"/>
      <c r="B639" s="101" t="n"/>
      <c r="C639" s="102" t="n"/>
      <c r="D639" s="99" t="n"/>
      <c r="E639" s="95" t="n"/>
      <c r="F639" s="95" t="n"/>
      <c r="G639" s="94" t="n"/>
      <c r="H639" s="46" t="n"/>
      <c r="I639" s="46" t="n"/>
      <c r="J639" s="46" t="n"/>
      <c r="K639" s="46" t="n"/>
      <c r="L639" s="95" t="n"/>
      <c r="M639" s="95" t="n"/>
      <c r="N639" s="95" t="n"/>
      <c r="O639" s="95" t="n"/>
      <c r="P639" s="95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  <c r="Z639" s="46" t="n"/>
    </row>
    <row r="640" ht="12.75" customHeight="1">
      <c r="A640" s="100" t="n"/>
      <c r="B640" s="101" t="n"/>
      <c r="C640" s="102" t="n"/>
      <c r="D640" s="99" t="n"/>
      <c r="E640" s="95" t="n"/>
      <c r="F640" s="95" t="n"/>
      <c r="G640" s="94" t="n"/>
      <c r="H640" s="46" t="n"/>
      <c r="I640" s="46" t="n"/>
      <c r="J640" s="46" t="n"/>
      <c r="K640" s="46" t="n"/>
      <c r="L640" s="95" t="n"/>
      <c r="M640" s="95" t="n"/>
      <c r="N640" s="95" t="n"/>
      <c r="O640" s="95" t="n"/>
      <c r="P640" s="95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  <c r="Z640" s="46" t="n"/>
    </row>
    <row r="641" ht="12.75" customHeight="1">
      <c r="A641" s="100" t="n"/>
      <c r="B641" s="101" t="n"/>
      <c r="C641" s="102" t="n"/>
      <c r="D641" s="99" t="n"/>
      <c r="E641" s="95" t="n"/>
      <c r="F641" s="95" t="n"/>
      <c r="G641" s="94" t="n"/>
      <c r="H641" s="46" t="n"/>
      <c r="I641" s="46" t="n"/>
      <c r="J641" s="46" t="n"/>
      <c r="K641" s="46" t="n"/>
      <c r="L641" s="95" t="n"/>
      <c r="M641" s="95" t="n"/>
      <c r="N641" s="95" t="n"/>
      <c r="O641" s="95" t="n"/>
      <c r="P641" s="95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  <c r="Z641" s="46" t="n"/>
    </row>
    <row r="642" ht="12.75" customHeight="1">
      <c r="A642" s="100" t="n"/>
      <c r="B642" s="101" t="n"/>
      <c r="C642" s="102" t="n"/>
      <c r="D642" s="99" t="n"/>
      <c r="E642" s="95" t="n"/>
      <c r="F642" s="95" t="n"/>
      <c r="G642" s="94" t="n"/>
      <c r="H642" s="46" t="n"/>
      <c r="I642" s="46" t="n"/>
      <c r="J642" s="46" t="n"/>
      <c r="K642" s="46" t="n"/>
      <c r="L642" s="95" t="n"/>
      <c r="M642" s="95" t="n"/>
      <c r="N642" s="95" t="n"/>
      <c r="O642" s="95" t="n"/>
      <c r="P642" s="95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  <c r="Z642" s="46" t="n"/>
    </row>
    <row r="643" ht="12.75" customHeight="1">
      <c r="A643" s="100" t="n"/>
      <c r="B643" s="101" t="n"/>
      <c r="C643" s="102" t="n"/>
      <c r="D643" s="99" t="n"/>
      <c r="E643" s="95" t="n"/>
      <c r="F643" s="95" t="n"/>
      <c r="G643" s="94" t="n"/>
      <c r="H643" s="46" t="n"/>
      <c r="I643" s="46" t="n"/>
      <c r="J643" s="46" t="n"/>
      <c r="K643" s="46" t="n"/>
      <c r="L643" s="95" t="n"/>
      <c r="M643" s="95" t="n"/>
      <c r="N643" s="95" t="n"/>
      <c r="O643" s="95" t="n"/>
      <c r="P643" s="95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  <c r="Z643" s="46" t="n"/>
    </row>
    <row r="644" ht="12.75" customHeight="1">
      <c r="A644" s="100" t="n"/>
      <c r="B644" s="101" t="n"/>
      <c r="C644" s="102" t="n"/>
      <c r="D644" s="99" t="n"/>
      <c r="E644" s="95" t="n"/>
      <c r="F644" s="95" t="n"/>
      <c r="G644" s="94" t="n"/>
      <c r="H644" s="46" t="n"/>
      <c r="I644" s="46" t="n"/>
      <c r="J644" s="46" t="n"/>
      <c r="K644" s="46" t="n"/>
      <c r="L644" s="95" t="n"/>
      <c r="M644" s="95" t="n"/>
      <c r="N644" s="95" t="n"/>
      <c r="O644" s="95" t="n"/>
      <c r="P644" s="95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  <c r="Z644" s="46" t="n"/>
    </row>
    <row r="645" ht="12.75" customHeight="1">
      <c r="A645" s="100" t="n"/>
      <c r="B645" s="101" t="n"/>
      <c r="C645" s="102" t="n"/>
      <c r="D645" s="99" t="n"/>
      <c r="E645" s="95" t="n"/>
      <c r="F645" s="95" t="n"/>
      <c r="G645" s="94" t="n"/>
      <c r="H645" s="46" t="n"/>
      <c r="I645" s="46" t="n"/>
      <c r="J645" s="46" t="n"/>
      <c r="K645" s="46" t="n"/>
      <c r="L645" s="95" t="n"/>
      <c r="M645" s="95" t="n"/>
      <c r="N645" s="95" t="n"/>
      <c r="O645" s="95" t="n"/>
      <c r="P645" s="95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  <c r="Z645" s="46" t="n"/>
    </row>
    <row r="646" ht="12.75" customHeight="1">
      <c r="A646" s="100" t="n"/>
      <c r="B646" s="101" t="n"/>
      <c r="C646" s="102" t="n"/>
      <c r="D646" s="99" t="n"/>
      <c r="E646" s="95" t="n"/>
      <c r="F646" s="95" t="n"/>
      <c r="G646" s="94" t="n"/>
      <c r="H646" s="46" t="n"/>
      <c r="I646" s="46" t="n"/>
      <c r="J646" s="46" t="n"/>
      <c r="K646" s="46" t="n"/>
      <c r="L646" s="95" t="n"/>
      <c r="M646" s="95" t="n"/>
      <c r="N646" s="95" t="n"/>
      <c r="O646" s="95" t="n"/>
      <c r="P646" s="95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  <c r="Z646" s="46" t="n"/>
    </row>
    <row r="647" ht="12.75" customHeight="1">
      <c r="A647" s="100" t="n"/>
      <c r="B647" s="101" t="n"/>
      <c r="C647" s="102" t="n"/>
      <c r="D647" s="99" t="n"/>
      <c r="E647" s="95" t="n"/>
      <c r="F647" s="95" t="n"/>
      <c r="G647" s="94" t="n"/>
      <c r="H647" s="46" t="n"/>
      <c r="I647" s="46" t="n"/>
      <c r="J647" s="46" t="n"/>
      <c r="K647" s="46" t="n"/>
      <c r="L647" s="95" t="n"/>
      <c r="M647" s="95" t="n"/>
      <c r="N647" s="95" t="n"/>
      <c r="O647" s="95" t="n"/>
      <c r="P647" s="95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  <c r="Z647" s="46" t="n"/>
    </row>
    <row r="648" ht="12.75" customHeight="1">
      <c r="A648" s="100" t="n"/>
      <c r="B648" s="101" t="n"/>
      <c r="C648" s="102" t="n"/>
      <c r="D648" s="99" t="n"/>
      <c r="E648" s="95" t="n"/>
      <c r="F648" s="95" t="n"/>
      <c r="G648" s="94" t="n"/>
      <c r="H648" s="46" t="n"/>
      <c r="I648" s="46" t="n"/>
      <c r="J648" s="46" t="n"/>
      <c r="K648" s="46" t="n"/>
      <c r="L648" s="95" t="n"/>
      <c r="M648" s="95" t="n"/>
      <c r="N648" s="95" t="n"/>
      <c r="O648" s="95" t="n"/>
      <c r="P648" s="95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  <c r="Z648" s="46" t="n"/>
    </row>
    <row r="649" ht="12.75" customHeight="1">
      <c r="A649" s="100" t="n"/>
      <c r="B649" s="101" t="n"/>
      <c r="C649" s="102" t="n"/>
      <c r="D649" s="99" t="n"/>
      <c r="E649" s="95" t="n"/>
      <c r="F649" s="95" t="n"/>
      <c r="G649" s="94" t="n"/>
      <c r="H649" s="46" t="n"/>
      <c r="I649" s="46" t="n"/>
      <c r="J649" s="46" t="n"/>
      <c r="K649" s="46" t="n"/>
      <c r="L649" s="95" t="n"/>
      <c r="M649" s="95" t="n"/>
      <c r="N649" s="95" t="n"/>
      <c r="O649" s="95" t="n"/>
      <c r="P649" s="95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  <c r="Z649" s="46" t="n"/>
    </row>
    <row r="650" ht="12.75" customHeight="1">
      <c r="A650" s="100" t="n"/>
      <c r="B650" s="101" t="n"/>
      <c r="C650" s="102" t="n"/>
      <c r="D650" s="99" t="n"/>
      <c r="E650" s="95" t="n"/>
      <c r="F650" s="95" t="n"/>
      <c r="G650" s="94" t="n"/>
      <c r="H650" s="46" t="n"/>
      <c r="I650" s="46" t="n"/>
      <c r="J650" s="46" t="n"/>
      <c r="K650" s="46" t="n"/>
      <c r="L650" s="95" t="n"/>
      <c r="M650" s="95" t="n"/>
      <c r="N650" s="95" t="n"/>
      <c r="O650" s="95" t="n"/>
      <c r="P650" s="95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  <c r="Z650" s="46" t="n"/>
    </row>
    <row r="651" ht="12.75" customHeight="1">
      <c r="A651" s="100" t="n"/>
      <c r="B651" s="101" t="n"/>
      <c r="C651" s="102" t="n"/>
      <c r="D651" s="99" t="n"/>
      <c r="E651" s="95" t="n"/>
      <c r="F651" s="95" t="n"/>
      <c r="G651" s="94" t="n"/>
      <c r="H651" s="46" t="n"/>
      <c r="I651" s="46" t="n"/>
      <c r="J651" s="46" t="n"/>
      <c r="K651" s="46" t="n"/>
      <c r="L651" s="95" t="n"/>
      <c r="M651" s="95" t="n"/>
      <c r="N651" s="95" t="n"/>
      <c r="O651" s="95" t="n"/>
      <c r="P651" s="95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  <c r="Z651" s="46" t="n"/>
    </row>
    <row r="652" ht="12.75" customHeight="1">
      <c r="A652" s="100" t="n"/>
      <c r="B652" s="101" t="n"/>
      <c r="C652" s="102" t="n"/>
      <c r="D652" s="99" t="n"/>
      <c r="E652" s="95" t="n"/>
      <c r="F652" s="95" t="n"/>
      <c r="G652" s="94" t="n"/>
      <c r="H652" s="46" t="n"/>
      <c r="I652" s="46" t="n"/>
      <c r="J652" s="46" t="n"/>
      <c r="K652" s="46" t="n"/>
      <c r="L652" s="95" t="n"/>
      <c r="M652" s="95" t="n"/>
      <c r="N652" s="95" t="n"/>
      <c r="O652" s="95" t="n"/>
      <c r="P652" s="95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  <c r="Z652" s="46" t="n"/>
    </row>
    <row r="653" ht="12.75" customHeight="1">
      <c r="A653" s="100" t="n"/>
      <c r="B653" s="101" t="n"/>
      <c r="C653" s="102" t="n"/>
      <c r="D653" s="99" t="n"/>
      <c r="E653" s="95" t="n"/>
      <c r="F653" s="95" t="n"/>
      <c r="G653" s="94" t="n"/>
      <c r="H653" s="46" t="n"/>
      <c r="I653" s="46" t="n"/>
      <c r="J653" s="46" t="n"/>
      <c r="K653" s="46" t="n"/>
      <c r="L653" s="95" t="n"/>
      <c r="M653" s="95" t="n"/>
      <c r="N653" s="95" t="n"/>
      <c r="O653" s="95" t="n"/>
      <c r="P653" s="95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  <c r="Z653" s="46" t="n"/>
    </row>
    <row r="654" ht="12.75" customHeight="1">
      <c r="A654" s="100" t="n"/>
      <c r="B654" s="101" t="n"/>
      <c r="C654" s="102" t="n"/>
      <c r="D654" s="99" t="n"/>
      <c r="E654" s="95" t="n"/>
      <c r="F654" s="95" t="n"/>
      <c r="G654" s="94" t="n"/>
      <c r="H654" s="46" t="n"/>
      <c r="I654" s="46" t="n"/>
      <c r="J654" s="46" t="n"/>
      <c r="K654" s="46" t="n"/>
      <c r="L654" s="95" t="n"/>
      <c r="M654" s="95" t="n"/>
      <c r="N654" s="95" t="n"/>
      <c r="O654" s="95" t="n"/>
      <c r="P654" s="95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  <c r="Z654" s="46" t="n"/>
    </row>
    <row r="655" ht="12.75" customHeight="1">
      <c r="A655" s="100" t="n"/>
      <c r="B655" s="101" t="n"/>
      <c r="C655" s="102" t="n"/>
      <c r="D655" s="99" t="n"/>
      <c r="E655" s="95" t="n"/>
      <c r="F655" s="95" t="n"/>
      <c r="G655" s="94" t="n"/>
      <c r="H655" s="46" t="n"/>
      <c r="I655" s="46" t="n"/>
      <c r="J655" s="46" t="n"/>
      <c r="K655" s="46" t="n"/>
      <c r="L655" s="95" t="n"/>
      <c r="M655" s="95" t="n"/>
      <c r="N655" s="95" t="n"/>
      <c r="O655" s="95" t="n"/>
      <c r="P655" s="95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  <c r="Z655" s="46" t="n"/>
    </row>
    <row r="656" ht="12.75" customHeight="1">
      <c r="A656" s="100" t="n"/>
      <c r="B656" s="101" t="n"/>
      <c r="C656" s="102" t="n"/>
      <c r="D656" s="99" t="n"/>
      <c r="E656" s="95" t="n"/>
      <c r="F656" s="95" t="n"/>
      <c r="G656" s="94" t="n"/>
      <c r="H656" s="46" t="n"/>
      <c r="I656" s="46" t="n"/>
      <c r="J656" s="46" t="n"/>
      <c r="K656" s="46" t="n"/>
      <c r="L656" s="95" t="n"/>
      <c r="M656" s="95" t="n"/>
      <c r="N656" s="95" t="n"/>
      <c r="O656" s="95" t="n"/>
      <c r="P656" s="95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  <c r="Z656" s="46" t="n"/>
    </row>
    <row r="657" ht="12.75" customHeight="1">
      <c r="A657" s="100" t="n"/>
      <c r="B657" s="101" t="n"/>
      <c r="C657" s="102" t="n"/>
      <c r="D657" s="99" t="n"/>
      <c r="E657" s="95" t="n"/>
      <c r="F657" s="95" t="n"/>
      <c r="G657" s="94" t="n"/>
      <c r="H657" s="46" t="n"/>
      <c r="I657" s="46" t="n"/>
      <c r="J657" s="46" t="n"/>
      <c r="K657" s="46" t="n"/>
      <c r="L657" s="95" t="n"/>
      <c r="M657" s="95" t="n"/>
      <c r="N657" s="95" t="n"/>
      <c r="O657" s="95" t="n"/>
      <c r="P657" s="95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  <c r="Z657" s="46" t="n"/>
    </row>
    <row r="658" ht="12.75" customHeight="1">
      <c r="A658" s="100" t="n"/>
      <c r="B658" s="101" t="n"/>
      <c r="C658" s="102" t="n"/>
      <c r="D658" s="99" t="n"/>
      <c r="E658" s="95" t="n"/>
      <c r="F658" s="95" t="n"/>
      <c r="G658" s="94" t="n"/>
      <c r="H658" s="46" t="n"/>
      <c r="I658" s="46" t="n"/>
      <c r="J658" s="46" t="n"/>
      <c r="K658" s="46" t="n"/>
      <c r="L658" s="95" t="n"/>
      <c r="M658" s="95" t="n"/>
      <c r="N658" s="95" t="n"/>
      <c r="O658" s="95" t="n"/>
      <c r="P658" s="95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  <c r="Z658" s="46" t="n"/>
    </row>
    <row r="659" ht="12.75" customHeight="1">
      <c r="A659" s="100" t="n"/>
      <c r="B659" s="101" t="n"/>
      <c r="C659" s="102" t="n"/>
      <c r="D659" s="99" t="n"/>
      <c r="E659" s="95" t="n"/>
      <c r="F659" s="95" t="n"/>
      <c r="G659" s="94" t="n"/>
      <c r="H659" s="46" t="n"/>
      <c r="I659" s="46" t="n"/>
      <c r="J659" s="46" t="n"/>
      <c r="K659" s="46" t="n"/>
      <c r="L659" s="95" t="n"/>
      <c r="M659" s="95" t="n"/>
      <c r="N659" s="95" t="n"/>
      <c r="O659" s="95" t="n"/>
      <c r="P659" s="95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  <c r="Z659" s="46" t="n"/>
    </row>
    <row r="660" ht="12.75" customHeight="1">
      <c r="A660" s="100" t="n"/>
      <c r="B660" s="101" t="n"/>
      <c r="C660" s="102" t="n"/>
      <c r="D660" s="99" t="n"/>
      <c r="E660" s="95" t="n"/>
      <c r="F660" s="95" t="n"/>
      <c r="G660" s="94" t="n"/>
      <c r="H660" s="46" t="n"/>
      <c r="I660" s="46" t="n"/>
      <c r="J660" s="46" t="n"/>
      <c r="K660" s="46" t="n"/>
      <c r="L660" s="95" t="n"/>
      <c r="M660" s="95" t="n"/>
      <c r="N660" s="95" t="n"/>
      <c r="O660" s="95" t="n"/>
      <c r="P660" s="95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  <c r="Z660" s="46" t="n"/>
    </row>
    <row r="661" ht="12.75" customHeight="1">
      <c r="A661" s="100" t="n"/>
      <c r="B661" s="101" t="n"/>
      <c r="C661" s="102" t="n"/>
      <c r="D661" s="99" t="n"/>
      <c r="E661" s="95" t="n"/>
      <c r="F661" s="95" t="n"/>
      <c r="G661" s="94" t="n"/>
      <c r="H661" s="46" t="n"/>
      <c r="I661" s="46" t="n"/>
      <c r="J661" s="46" t="n"/>
      <c r="K661" s="46" t="n"/>
      <c r="L661" s="95" t="n"/>
      <c r="M661" s="95" t="n"/>
      <c r="N661" s="95" t="n"/>
      <c r="O661" s="95" t="n"/>
      <c r="P661" s="95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  <c r="Z661" s="46" t="n"/>
    </row>
    <row r="662" ht="12.75" customHeight="1">
      <c r="A662" s="100" t="n"/>
      <c r="B662" s="101" t="n"/>
      <c r="C662" s="102" t="n"/>
      <c r="D662" s="99" t="n"/>
      <c r="E662" s="95" t="n"/>
      <c r="F662" s="95" t="n"/>
      <c r="G662" s="94" t="n"/>
      <c r="H662" s="46" t="n"/>
      <c r="I662" s="46" t="n"/>
      <c r="J662" s="46" t="n"/>
      <c r="K662" s="46" t="n"/>
      <c r="L662" s="95" t="n"/>
      <c r="M662" s="95" t="n"/>
      <c r="N662" s="95" t="n"/>
      <c r="O662" s="95" t="n"/>
      <c r="P662" s="95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  <c r="Z662" s="46" t="n"/>
    </row>
    <row r="663" ht="12.75" customHeight="1">
      <c r="A663" s="100" t="n"/>
      <c r="B663" s="101" t="n"/>
      <c r="C663" s="102" t="n"/>
      <c r="D663" s="99" t="n"/>
      <c r="E663" s="95" t="n"/>
      <c r="F663" s="95" t="n"/>
      <c r="G663" s="94" t="n"/>
      <c r="H663" s="46" t="n"/>
      <c r="I663" s="46" t="n"/>
      <c r="J663" s="46" t="n"/>
      <c r="K663" s="46" t="n"/>
      <c r="L663" s="95" t="n"/>
      <c r="M663" s="95" t="n"/>
      <c r="N663" s="95" t="n"/>
      <c r="O663" s="95" t="n"/>
      <c r="P663" s="95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  <c r="Z663" s="46" t="n"/>
    </row>
    <row r="664" ht="12.75" customHeight="1">
      <c r="A664" s="100" t="n"/>
      <c r="B664" s="101" t="n"/>
      <c r="C664" s="102" t="n"/>
      <c r="D664" s="99" t="n"/>
      <c r="E664" s="95" t="n"/>
      <c r="F664" s="95" t="n"/>
      <c r="G664" s="94" t="n"/>
      <c r="H664" s="46" t="n"/>
      <c r="I664" s="46" t="n"/>
      <c r="J664" s="46" t="n"/>
      <c r="K664" s="46" t="n"/>
      <c r="L664" s="95" t="n"/>
      <c r="M664" s="95" t="n"/>
      <c r="N664" s="95" t="n"/>
      <c r="O664" s="95" t="n"/>
      <c r="P664" s="95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  <c r="Z664" s="46" t="n"/>
    </row>
    <row r="665" ht="12.75" customHeight="1">
      <c r="A665" s="100" t="n"/>
      <c r="B665" s="101" t="n"/>
      <c r="C665" s="102" t="n"/>
      <c r="D665" s="99" t="n"/>
      <c r="E665" s="95" t="n"/>
      <c r="F665" s="95" t="n"/>
      <c r="G665" s="94" t="n"/>
      <c r="H665" s="46" t="n"/>
      <c r="I665" s="46" t="n"/>
      <c r="J665" s="46" t="n"/>
      <c r="K665" s="46" t="n"/>
      <c r="L665" s="95" t="n"/>
      <c r="M665" s="95" t="n"/>
      <c r="N665" s="95" t="n"/>
      <c r="O665" s="95" t="n"/>
      <c r="P665" s="95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  <c r="Z665" s="46" t="n"/>
    </row>
    <row r="666" ht="12.75" customHeight="1">
      <c r="A666" s="100" t="n"/>
      <c r="B666" s="101" t="n"/>
      <c r="C666" s="102" t="n"/>
      <c r="D666" s="99" t="n"/>
      <c r="E666" s="95" t="n"/>
      <c r="F666" s="95" t="n"/>
      <c r="G666" s="94" t="n"/>
      <c r="H666" s="46" t="n"/>
      <c r="I666" s="46" t="n"/>
      <c r="J666" s="46" t="n"/>
      <c r="K666" s="46" t="n"/>
      <c r="L666" s="95" t="n"/>
      <c r="M666" s="95" t="n"/>
      <c r="N666" s="95" t="n"/>
      <c r="O666" s="95" t="n"/>
      <c r="P666" s="95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  <c r="Z666" s="46" t="n"/>
    </row>
    <row r="667" ht="12.75" customHeight="1">
      <c r="A667" s="100" t="n"/>
      <c r="B667" s="101" t="n"/>
      <c r="C667" s="102" t="n"/>
      <c r="D667" s="99" t="n"/>
      <c r="E667" s="95" t="n"/>
      <c r="F667" s="95" t="n"/>
      <c r="G667" s="94" t="n"/>
      <c r="H667" s="46" t="n"/>
      <c r="I667" s="46" t="n"/>
      <c r="J667" s="46" t="n"/>
      <c r="K667" s="46" t="n"/>
      <c r="L667" s="95" t="n"/>
      <c r="M667" s="95" t="n"/>
      <c r="N667" s="95" t="n"/>
      <c r="O667" s="95" t="n"/>
      <c r="P667" s="95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  <c r="Z667" s="46" t="n"/>
    </row>
    <row r="668" ht="12.75" customHeight="1">
      <c r="A668" s="100" t="n"/>
      <c r="B668" s="101" t="n"/>
      <c r="C668" s="102" t="n"/>
      <c r="D668" s="99" t="n"/>
      <c r="E668" s="95" t="n"/>
      <c r="F668" s="95" t="n"/>
      <c r="G668" s="94" t="n"/>
      <c r="H668" s="46" t="n"/>
      <c r="I668" s="46" t="n"/>
      <c r="J668" s="46" t="n"/>
      <c r="K668" s="46" t="n"/>
      <c r="L668" s="95" t="n"/>
      <c r="M668" s="95" t="n"/>
      <c r="N668" s="95" t="n"/>
      <c r="O668" s="95" t="n"/>
      <c r="P668" s="95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  <c r="Z668" s="46" t="n"/>
    </row>
    <row r="669" ht="12.75" customHeight="1">
      <c r="A669" s="100" t="n"/>
      <c r="B669" s="101" t="n"/>
      <c r="C669" s="102" t="n"/>
      <c r="D669" s="99" t="n"/>
      <c r="E669" s="95" t="n"/>
      <c r="F669" s="95" t="n"/>
      <c r="G669" s="94" t="n"/>
      <c r="H669" s="46" t="n"/>
      <c r="I669" s="46" t="n"/>
      <c r="J669" s="46" t="n"/>
      <c r="K669" s="46" t="n"/>
      <c r="L669" s="95" t="n"/>
      <c r="M669" s="95" t="n"/>
      <c r="N669" s="95" t="n"/>
      <c r="O669" s="95" t="n"/>
      <c r="P669" s="95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  <c r="Z669" s="46" t="n"/>
    </row>
    <row r="670" ht="12.75" customHeight="1">
      <c r="A670" s="100" t="n"/>
      <c r="B670" s="101" t="n"/>
      <c r="C670" s="102" t="n"/>
      <c r="D670" s="99" t="n"/>
      <c r="E670" s="95" t="n"/>
      <c r="F670" s="95" t="n"/>
      <c r="G670" s="94" t="n"/>
      <c r="H670" s="46" t="n"/>
      <c r="I670" s="46" t="n"/>
      <c r="J670" s="46" t="n"/>
      <c r="K670" s="46" t="n"/>
      <c r="L670" s="95" t="n"/>
      <c r="M670" s="95" t="n"/>
      <c r="N670" s="95" t="n"/>
      <c r="O670" s="95" t="n"/>
      <c r="P670" s="95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  <c r="Z670" s="46" t="n"/>
    </row>
    <row r="671" ht="12.75" customHeight="1">
      <c r="A671" s="100" t="n"/>
      <c r="B671" s="101" t="n"/>
      <c r="C671" s="102" t="n"/>
      <c r="D671" s="99" t="n"/>
      <c r="E671" s="95" t="n"/>
      <c r="F671" s="95" t="n"/>
      <c r="G671" s="94" t="n"/>
      <c r="H671" s="46" t="n"/>
      <c r="I671" s="46" t="n"/>
      <c r="J671" s="46" t="n"/>
      <c r="K671" s="46" t="n"/>
      <c r="L671" s="95" t="n"/>
      <c r="M671" s="95" t="n"/>
      <c r="N671" s="95" t="n"/>
      <c r="O671" s="95" t="n"/>
      <c r="P671" s="95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  <c r="Z671" s="46" t="n"/>
    </row>
    <row r="672" ht="12.75" customHeight="1">
      <c r="A672" s="100" t="n"/>
      <c r="B672" s="101" t="n"/>
      <c r="C672" s="102" t="n"/>
      <c r="D672" s="99" t="n"/>
      <c r="E672" s="95" t="n"/>
      <c r="F672" s="95" t="n"/>
      <c r="G672" s="94" t="n"/>
      <c r="H672" s="46" t="n"/>
      <c r="I672" s="46" t="n"/>
      <c r="J672" s="46" t="n"/>
      <c r="K672" s="46" t="n"/>
      <c r="L672" s="95" t="n"/>
      <c r="M672" s="95" t="n"/>
      <c r="N672" s="95" t="n"/>
      <c r="O672" s="95" t="n"/>
      <c r="P672" s="95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  <c r="Z672" s="46" t="n"/>
    </row>
    <row r="673" ht="12.75" customHeight="1">
      <c r="A673" s="100" t="n"/>
      <c r="B673" s="101" t="n"/>
      <c r="C673" s="102" t="n"/>
      <c r="D673" s="99" t="n"/>
      <c r="E673" s="95" t="n"/>
      <c r="F673" s="95" t="n"/>
      <c r="G673" s="94" t="n"/>
      <c r="H673" s="46" t="n"/>
      <c r="I673" s="46" t="n"/>
      <c r="J673" s="46" t="n"/>
      <c r="K673" s="46" t="n"/>
      <c r="L673" s="95" t="n"/>
      <c r="M673" s="95" t="n"/>
      <c r="N673" s="95" t="n"/>
      <c r="O673" s="95" t="n"/>
      <c r="P673" s="95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  <c r="Z673" s="46" t="n"/>
    </row>
    <row r="674" ht="12.75" customHeight="1">
      <c r="A674" s="100" t="n"/>
      <c r="B674" s="101" t="n"/>
      <c r="C674" s="102" t="n"/>
      <c r="D674" s="99" t="n"/>
      <c r="E674" s="95" t="n"/>
      <c r="F674" s="95" t="n"/>
      <c r="G674" s="94" t="n"/>
      <c r="H674" s="46" t="n"/>
      <c r="I674" s="46" t="n"/>
      <c r="J674" s="46" t="n"/>
      <c r="K674" s="46" t="n"/>
      <c r="L674" s="95" t="n"/>
      <c r="M674" s="95" t="n"/>
      <c r="N674" s="95" t="n"/>
      <c r="O674" s="95" t="n"/>
      <c r="P674" s="95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  <c r="Z674" s="46" t="n"/>
    </row>
    <row r="675" ht="12.75" customHeight="1">
      <c r="A675" s="100" t="n"/>
      <c r="B675" s="101" t="n"/>
      <c r="C675" s="102" t="n"/>
      <c r="D675" s="99" t="n"/>
      <c r="E675" s="95" t="n"/>
      <c r="F675" s="95" t="n"/>
      <c r="G675" s="94" t="n"/>
      <c r="H675" s="46" t="n"/>
      <c r="I675" s="46" t="n"/>
      <c r="J675" s="46" t="n"/>
      <c r="K675" s="46" t="n"/>
      <c r="L675" s="95" t="n"/>
      <c r="M675" s="95" t="n"/>
      <c r="N675" s="95" t="n"/>
      <c r="O675" s="95" t="n"/>
      <c r="P675" s="95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  <c r="Z675" s="46" t="n"/>
    </row>
    <row r="676" ht="12.75" customHeight="1">
      <c r="A676" s="100" t="n"/>
      <c r="B676" s="101" t="n"/>
      <c r="C676" s="102" t="n"/>
      <c r="D676" s="99" t="n"/>
      <c r="E676" s="95" t="n"/>
      <c r="F676" s="95" t="n"/>
      <c r="G676" s="94" t="n"/>
      <c r="H676" s="46" t="n"/>
      <c r="I676" s="46" t="n"/>
      <c r="J676" s="46" t="n"/>
      <c r="K676" s="46" t="n"/>
      <c r="L676" s="95" t="n"/>
      <c r="M676" s="95" t="n"/>
      <c r="N676" s="95" t="n"/>
      <c r="O676" s="95" t="n"/>
      <c r="P676" s="95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  <c r="Z676" s="46" t="n"/>
    </row>
    <row r="677" ht="12.75" customHeight="1">
      <c r="A677" s="100" t="n"/>
      <c r="B677" s="101" t="n"/>
      <c r="C677" s="102" t="n"/>
      <c r="D677" s="99" t="n"/>
      <c r="E677" s="95" t="n"/>
      <c r="F677" s="95" t="n"/>
      <c r="G677" s="94" t="n"/>
      <c r="H677" s="46" t="n"/>
      <c r="I677" s="46" t="n"/>
      <c r="J677" s="46" t="n"/>
      <c r="K677" s="46" t="n"/>
      <c r="L677" s="95" t="n"/>
      <c r="M677" s="95" t="n"/>
      <c r="N677" s="95" t="n"/>
      <c r="O677" s="95" t="n"/>
      <c r="P677" s="95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  <c r="Z677" s="46" t="n"/>
    </row>
    <row r="678" ht="12.75" customHeight="1">
      <c r="A678" s="100" t="n"/>
      <c r="B678" s="101" t="n"/>
      <c r="C678" s="102" t="n"/>
      <c r="D678" s="99" t="n"/>
      <c r="E678" s="95" t="n"/>
      <c r="F678" s="95" t="n"/>
      <c r="G678" s="94" t="n"/>
      <c r="H678" s="46" t="n"/>
      <c r="I678" s="46" t="n"/>
      <c r="J678" s="46" t="n"/>
      <c r="K678" s="46" t="n"/>
      <c r="L678" s="95" t="n"/>
      <c r="M678" s="95" t="n"/>
      <c r="N678" s="95" t="n"/>
      <c r="O678" s="95" t="n"/>
      <c r="P678" s="95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  <c r="Z678" s="46" t="n"/>
    </row>
    <row r="679" ht="12.75" customHeight="1">
      <c r="A679" s="100" t="n"/>
      <c r="B679" s="101" t="n"/>
      <c r="C679" s="102" t="n"/>
      <c r="D679" s="99" t="n"/>
      <c r="E679" s="95" t="n"/>
      <c r="F679" s="95" t="n"/>
      <c r="G679" s="94" t="n"/>
      <c r="H679" s="46" t="n"/>
      <c r="I679" s="46" t="n"/>
      <c r="J679" s="46" t="n"/>
      <c r="K679" s="46" t="n"/>
      <c r="L679" s="95" t="n"/>
      <c r="M679" s="95" t="n"/>
      <c r="N679" s="95" t="n"/>
      <c r="O679" s="95" t="n"/>
      <c r="P679" s="95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  <c r="Z679" s="46" t="n"/>
    </row>
    <row r="680" ht="12.75" customHeight="1">
      <c r="A680" s="100" t="n"/>
      <c r="B680" s="101" t="n"/>
      <c r="C680" s="102" t="n"/>
      <c r="D680" s="99" t="n"/>
      <c r="E680" s="95" t="n"/>
      <c r="F680" s="95" t="n"/>
      <c r="G680" s="94" t="n"/>
      <c r="H680" s="46" t="n"/>
      <c r="I680" s="46" t="n"/>
      <c r="J680" s="46" t="n"/>
      <c r="K680" s="46" t="n"/>
      <c r="L680" s="95" t="n"/>
      <c r="M680" s="95" t="n"/>
      <c r="N680" s="95" t="n"/>
      <c r="O680" s="95" t="n"/>
      <c r="P680" s="95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  <c r="Z680" s="46" t="n"/>
    </row>
    <row r="681" ht="12.75" customHeight="1">
      <c r="A681" s="100" t="n"/>
      <c r="B681" s="101" t="n"/>
      <c r="C681" s="102" t="n"/>
      <c r="D681" s="99" t="n"/>
      <c r="E681" s="95" t="n"/>
      <c r="F681" s="95" t="n"/>
      <c r="G681" s="94" t="n"/>
      <c r="H681" s="46" t="n"/>
      <c r="I681" s="46" t="n"/>
      <c r="J681" s="46" t="n"/>
      <c r="K681" s="46" t="n"/>
      <c r="L681" s="95" t="n"/>
      <c r="M681" s="95" t="n"/>
      <c r="N681" s="95" t="n"/>
      <c r="O681" s="95" t="n"/>
      <c r="P681" s="95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  <c r="Z681" s="46" t="n"/>
    </row>
    <row r="682" ht="12.75" customHeight="1">
      <c r="A682" s="100" t="n"/>
      <c r="B682" s="101" t="n"/>
      <c r="C682" s="102" t="n"/>
      <c r="D682" s="99" t="n"/>
      <c r="E682" s="95" t="n"/>
      <c r="F682" s="95" t="n"/>
      <c r="G682" s="94" t="n"/>
      <c r="H682" s="46" t="n"/>
      <c r="I682" s="46" t="n"/>
      <c r="J682" s="46" t="n"/>
      <c r="K682" s="46" t="n"/>
      <c r="L682" s="95" t="n"/>
      <c r="M682" s="95" t="n"/>
      <c r="N682" s="95" t="n"/>
      <c r="O682" s="95" t="n"/>
      <c r="P682" s="95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  <c r="Z682" s="46" t="n"/>
    </row>
    <row r="683" ht="12.75" customHeight="1">
      <c r="A683" s="100" t="n"/>
      <c r="B683" s="101" t="n"/>
      <c r="C683" s="102" t="n"/>
      <c r="D683" s="99" t="n"/>
      <c r="E683" s="95" t="n"/>
      <c r="F683" s="95" t="n"/>
      <c r="G683" s="94" t="n"/>
      <c r="H683" s="46" t="n"/>
      <c r="I683" s="46" t="n"/>
      <c r="J683" s="46" t="n"/>
      <c r="K683" s="46" t="n"/>
      <c r="L683" s="95" t="n"/>
      <c r="M683" s="95" t="n"/>
      <c r="N683" s="95" t="n"/>
      <c r="O683" s="95" t="n"/>
      <c r="P683" s="95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  <c r="Z683" s="46" t="n"/>
    </row>
    <row r="684" ht="12.75" customHeight="1">
      <c r="A684" s="100" t="n"/>
      <c r="B684" s="101" t="n"/>
      <c r="C684" s="102" t="n"/>
      <c r="D684" s="99" t="n"/>
      <c r="E684" s="95" t="n"/>
      <c r="F684" s="95" t="n"/>
      <c r="G684" s="94" t="n"/>
      <c r="H684" s="46" t="n"/>
      <c r="I684" s="46" t="n"/>
      <c r="J684" s="46" t="n"/>
      <c r="K684" s="46" t="n"/>
      <c r="L684" s="95" t="n"/>
      <c r="M684" s="95" t="n"/>
      <c r="N684" s="95" t="n"/>
      <c r="O684" s="95" t="n"/>
      <c r="P684" s="95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  <c r="Z684" s="46" t="n"/>
    </row>
    <row r="685" ht="12.75" customHeight="1">
      <c r="A685" s="100" t="n"/>
      <c r="B685" s="101" t="n"/>
      <c r="C685" s="102" t="n"/>
      <c r="D685" s="99" t="n"/>
      <c r="E685" s="95" t="n"/>
      <c r="F685" s="95" t="n"/>
      <c r="G685" s="94" t="n"/>
      <c r="H685" s="46" t="n"/>
      <c r="I685" s="46" t="n"/>
      <c r="J685" s="46" t="n"/>
      <c r="K685" s="46" t="n"/>
      <c r="L685" s="95" t="n"/>
      <c r="M685" s="95" t="n"/>
      <c r="N685" s="95" t="n"/>
      <c r="O685" s="95" t="n"/>
      <c r="P685" s="95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  <c r="Z685" s="46" t="n"/>
    </row>
    <row r="686" ht="12.75" customHeight="1">
      <c r="A686" s="100" t="n"/>
      <c r="B686" s="101" t="n"/>
      <c r="C686" s="102" t="n"/>
      <c r="D686" s="99" t="n"/>
      <c r="E686" s="95" t="n"/>
      <c r="F686" s="95" t="n"/>
      <c r="G686" s="94" t="n"/>
      <c r="H686" s="46" t="n"/>
      <c r="I686" s="46" t="n"/>
      <c r="J686" s="46" t="n"/>
      <c r="K686" s="46" t="n"/>
      <c r="L686" s="95" t="n"/>
      <c r="M686" s="95" t="n"/>
      <c r="N686" s="95" t="n"/>
      <c r="O686" s="95" t="n"/>
      <c r="P686" s="95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  <c r="Z686" s="46" t="n"/>
    </row>
    <row r="687" ht="12.75" customHeight="1">
      <c r="A687" s="100" t="n"/>
      <c r="B687" s="101" t="n"/>
      <c r="C687" s="102" t="n"/>
      <c r="D687" s="99" t="n"/>
      <c r="E687" s="95" t="n"/>
      <c r="F687" s="95" t="n"/>
      <c r="G687" s="94" t="n"/>
      <c r="H687" s="46" t="n"/>
      <c r="I687" s="46" t="n"/>
      <c r="J687" s="46" t="n"/>
      <c r="K687" s="46" t="n"/>
      <c r="L687" s="95" t="n"/>
      <c r="M687" s="95" t="n"/>
      <c r="N687" s="95" t="n"/>
      <c r="O687" s="95" t="n"/>
      <c r="P687" s="95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  <c r="Z687" s="46" t="n"/>
    </row>
    <row r="688" ht="12.75" customHeight="1">
      <c r="A688" s="100" t="n"/>
      <c r="B688" s="101" t="n"/>
      <c r="C688" s="102" t="n"/>
      <c r="D688" s="99" t="n"/>
      <c r="E688" s="95" t="n"/>
      <c r="F688" s="95" t="n"/>
      <c r="G688" s="94" t="n"/>
      <c r="H688" s="46" t="n"/>
      <c r="I688" s="46" t="n"/>
      <c r="J688" s="46" t="n"/>
      <c r="K688" s="46" t="n"/>
      <c r="L688" s="95" t="n"/>
      <c r="M688" s="95" t="n"/>
      <c r="N688" s="95" t="n"/>
      <c r="O688" s="95" t="n"/>
      <c r="P688" s="95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  <c r="Z688" s="46" t="n"/>
    </row>
    <row r="689" ht="12.75" customHeight="1">
      <c r="A689" s="100" t="n"/>
      <c r="B689" s="101" t="n"/>
      <c r="C689" s="102" t="n"/>
      <c r="D689" s="99" t="n"/>
      <c r="E689" s="95" t="n"/>
      <c r="F689" s="95" t="n"/>
      <c r="G689" s="94" t="n"/>
      <c r="H689" s="46" t="n"/>
      <c r="I689" s="46" t="n"/>
      <c r="J689" s="46" t="n"/>
      <c r="K689" s="46" t="n"/>
      <c r="L689" s="95" t="n"/>
      <c r="M689" s="95" t="n"/>
      <c r="N689" s="95" t="n"/>
      <c r="O689" s="95" t="n"/>
      <c r="P689" s="95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  <c r="Z689" s="46" t="n"/>
    </row>
    <row r="690" ht="12.75" customHeight="1">
      <c r="A690" s="100" t="n"/>
      <c r="B690" s="101" t="n"/>
      <c r="C690" s="102" t="n"/>
      <c r="D690" s="99" t="n"/>
      <c r="E690" s="95" t="n"/>
      <c r="F690" s="95" t="n"/>
      <c r="G690" s="94" t="n"/>
      <c r="H690" s="46" t="n"/>
      <c r="I690" s="46" t="n"/>
      <c r="J690" s="46" t="n"/>
      <c r="K690" s="46" t="n"/>
      <c r="L690" s="95" t="n"/>
      <c r="M690" s="95" t="n"/>
      <c r="N690" s="95" t="n"/>
      <c r="O690" s="95" t="n"/>
      <c r="P690" s="95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  <c r="Z690" s="46" t="n"/>
    </row>
    <row r="691" ht="12.75" customHeight="1">
      <c r="A691" s="100" t="n"/>
      <c r="B691" s="101" t="n"/>
      <c r="C691" s="102" t="n"/>
      <c r="D691" s="99" t="n"/>
      <c r="E691" s="95" t="n"/>
      <c r="F691" s="95" t="n"/>
      <c r="G691" s="94" t="n"/>
      <c r="H691" s="46" t="n"/>
      <c r="I691" s="46" t="n"/>
      <c r="J691" s="46" t="n"/>
      <c r="K691" s="46" t="n"/>
      <c r="L691" s="95" t="n"/>
      <c r="M691" s="95" t="n"/>
      <c r="N691" s="95" t="n"/>
      <c r="O691" s="95" t="n"/>
      <c r="P691" s="95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  <c r="Z691" s="46" t="n"/>
    </row>
    <row r="692" ht="12.75" customHeight="1">
      <c r="A692" s="100" t="n"/>
      <c r="B692" s="101" t="n"/>
      <c r="C692" s="102" t="n"/>
      <c r="D692" s="99" t="n"/>
      <c r="E692" s="95" t="n"/>
      <c r="F692" s="95" t="n"/>
      <c r="G692" s="94" t="n"/>
      <c r="H692" s="46" t="n"/>
      <c r="I692" s="46" t="n"/>
      <c r="J692" s="46" t="n"/>
      <c r="K692" s="46" t="n"/>
      <c r="L692" s="95" t="n"/>
      <c r="M692" s="95" t="n"/>
      <c r="N692" s="95" t="n"/>
      <c r="O692" s="95" t="n"/>
      <c r="P692" s="95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  <c r="Z692" s="46" t="n"/>
    </row>
    <row r="693" ht="12.75" customHeight="1">
      <c r="A693" s="100" t="n"/>
      <c r="B693" s="101" t="n"/>
      <c r="C693" s="102" t="n"/>
      <c r="D693" s="99" t="n"/>
      <c r="E693" s="95" t="n"/>
      <c r="F693" s="95" t="n"/>
      <c r="G693" s="94" t="n"/>
      <c r="H693" s="46" t="n"/>
      <c r="I693" s="46" t="n"/>
      <c r="J693" s="46" t="n"/>
      <c r="K693" s="46" t="n"/>
      <c r="L693" s="95" t="n"/>
      <c r="M693" s="95" t="n"/>
      <c r="N693" s="95" t="n"/>
      <c r="O693" s="95" t="n"/>
      <c r="P693" s="95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  <c r="Z693" s="46" t="n"/>
    </row>
    <row r="694" ht="12.75" customHeight="1">
      <c r="A694" s="100" t="n"/>
      <c r="B694" s="101" t="n"/>
      <c r="C694" s="102" t="n"/>
      <c r="D694" s="99" t="n"/>
      <c r="E694" s="95" t="n"/>
      <c r="F694" s="95" t="n"/>
      <c r="G694" s="94" t="n"/>
      <c r="H694" s="46" t="n"/>
      <c r="I694" s="46" t="n"/>
      <c r="J694" s="46" t="n"/>
      <c r="K694" s="46" t="n"/>
      <c r="L694" s="95" t="n"/>
      <c r="M694" s="95" t="n"/>
      <c r="N694" s="95" t="n"/>
      <c r="O694" s="95" t="n"/>
      <c r="P694" s="95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  <c r="Z694" s="46" t="n"/>
    </row>
    <row r="695" ht="12.75" customHeight="1">
      <c r="A695" s="100" t="n"/>
      <c r="B695" s="101" t="n"/>
      <c r="C695" s="102" t="n"/>
      <c r="D695" s="99" t="n"/>
      <c r="E695" s="95" t="n"/>
      <c r="F695" s="95" t="n"/>
      <c r="G695" s="94" t="n"/>
      <c r="H695" s="46" t="n"/>
      <c r="I695" s="46" t="n"/>
      <c r="J695" s="46" t="n"/>
      <c r="K695" s="46" t="n"/>
      <c r="L695" s="95" t="n"/>
      <c r="M695" s="95" t="n"/>
      <c r="N695" s="95" t="n"/>
      <c r="O695" s="95" t="n"/>
      <c r="P695" s="95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  <c r="Z695" s="46" t="n"/>
    </row>
    <row r="696" ht="12.75" customHeight="1">
      <c r="A696" s="100" t="n"/>
      <c r="B696" s="101" t="n"/>
      <c r="C696" s="102" t="n"/>
      <c r="D696" s="99" t="n"/>
      <c r="E696" s="95" t="n"/>
      <c r="F696" s="95" t="n"/>
      <c r="G696" s="94" t="n"/>
      <c r="H696" s="46" t="n"/>
      <c r="I696" s="46" t="n"/>
      <c r="J696" s="46" t="n"/>
      <c r="K696" s="46" t="n"/>
      <c r="L696" s="95" t="n"/>
      <c r="M696" s="95" t="n"/>
      <c r="N696" s="95" t="n"/>
      <c r="O696" s="95" t="n"/>
      <c r="P696" s="95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  <c r="Z696" s="46" t="n"/>
    </row>
    <row r="697" ht="12.75" customHeight="1">
      <c r="A697" s="100" t="n"/>
      <c r="B697" s="101" t="n"/>
      <c r="C697" s="102" t="n"/>
      <c r="D697" s="99" t="n"/>
      <c r="E697" s="95" t="n"/>
      <c r="F697" s="95" t="n"/>
      <c r="G697" s="94" t="n"/>
      <c r="H697" s="46" t="n"/>
      <c r="I697" s="46" t="n"/>
      <c r="J697" s="46" t="n"/>
      <c r="K697" s="46" t="n"/>
      <c r="L697" s="95" t="n"/>
      <c r="M697" s="95" t="n"/>
      <c r="N697" s="95" t="n"/>
      <c r="O697" s="95" t="n"/>
      <c r="P697" s="95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  <c r="Z697" s="46" t="n"/>
    </row>
    <row r="698" ht="12.75" customHeight="1">
      <c r="A698" s="100" t="n"/>
      <c r="B698" s="101" t="n"/>
      <c r="C698" s="102" t="n"/>
      <c r="D698" s="99" t="n"/>
      <c r="E698" s="95" t="n"/>
      <c r="F698" s="95" t="n"/>
      <c r="G698" s="94" t="n"/>
      <c r="H698" s="46" t="n"/>
      <c r="I698" s="46" t="n"/>
      <c r="J698" s="46" t="n"/>
      <c r="K698" s="46" t="n"/>
      <c r="L698" s="95" t="n"/>
      <c r="M698" s="95" t="n"/>
      <c r="N698" s="95" t="n"/>
      <c r="O698" s="95" t="n"/>
      <c r="P698" s="95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  <c r="Z698" s="46" t="n"/>
    </row>
    <row r="699" ht="12.75" customHeight="1">
      <c r="A699" s="100" t="n"/>
      <c r="B699" s="101" t="n"/>
      <c r="C699" s="102" t="n"/>
      <c r="D699" s="99" t="n"/>
      <c r="E699" s="95" t="n"/>
      <c r="F699" s="95" t="n"/>
      <c r="G699" s="94" t="n"/>
      <c r="H699" s="46" t="n"/>
      <c r="I699" s="46" t="n"/>
      <c r="J699" s="46" t="n"/>
      <c r="K699" s="46" t="n"/>
      <c r="L699" s="95" t="n"/>
      <c r="M699" s="95" t="n"/>
      <c r="N699" s="95" t="n"/>
      <c r="O699" s="95" t="n"/>
      <c r="P699" s="95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  <c r="Z699" s="46" t="n"/>
    </row>
    <row r="700" ht="12.75" customHeight="1">
      <c r="A700" s="100" t="n"/>
      <c r="B700" s="101" t="n"/>
      <c r="C700" s="102" t="n"/>
      <c r="D700" s="99" t="n"/>
      <c r="E700" s="95" t="n"/>
      <c r="F700" s="95" t="n"/>
      <c r="G700" s="94" t="n"/>
      <c r="H700" s="46" t="n"/>
      <c r="I700" s="46" t="n"/>
      <c r="J700" s="46" t="n"/>
      <c r="K700" s="46" t="n"/>
      <c r="L700" s="95" t="n"/>
      <c r="M700" s="95" t="n"/>
      <c r="N700" s="95" t="n"/>
      <c r="O700" s="95" t="n"/>
      <c r="P700" s="95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  <c r="Z700" s="46" t="n"/>
    </row>
    <row r="701" ht="12.75" customHeight="1">
      <c r="A701" s="100" t="n"/>
      <c r="B701" s="101" t="n"/>
      <c r="C701" s="102" t="n"/>
      <c r="D701" s="99" t="n"/>
      <c r="E701" s="95" t="n"/>
      <c r="F701" s="95" t="n"/>
      <c r="G701" s="94" t="n"/>
      <c r="H701" s="46" t="n"/>
      <c r="I701" s="46" t="n"/>
      <c r="J701" s="46" t="n"/>
      <c r="K701" s="46" t="n"/>
      <c r="L701" s="95" t="n"/>
      <c r="M701" s="95" t="n"/>
      <c r="N701" s="95" t="n"/>
      <c r="O701" s="95" t="n"/>
      <c r="P701" s="95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  <c r="Z701" s="46" t="n"/>
    </row>
    <row r="702" ht="12.75" customHeight="1">
      <c r="A702" s="100" t="n"/>
      <c r="B702" s="101" t="n"/>
      <c r="C702" s="102" t="n"/>
      <c r="D702" s="99" t="n"/>
      <c r="E702" s="95" t="n"/>
      <c r="F702" s="95" t="n"/>
      <c r="G702" s="94" t="n"/>
      <c r="H702" s="46" t="n"/>
      <c r="I702" s="46" t="n"/>
      <c r="J702" s="46" t="n"/>
      <c r="K702" s="46" t="n"/>
      <c r="L702" s="95" t="n"/>
      <c r="M702" s="95" t="n"/>
      <c r="N702" s="95" t="n"/>
      <c r="O702" s="95" t="n"/>
      <c r="P702" s="95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  <c r="Z702" s="46" t="n"/>
    </row>
    <row r="703" ht="12.75" customHeight="1">
      <c r="A703" s="100" t="n"/>
      <c r="B703" s="101" t="n"/>
      <c r="C703" s="102" t="n"/>
      <c r="D703" s="99" t="n"/>
      <c r="E703" s="95" t="n"/>
      <c r="F703" s="95" t="n"/>
      <c r="G703" s="94" t="n"/>
      <c r="H703" s="46" t="n"/>
      <c r="I703" s="46" t="n"/>
      <c r="J703" s="46" t="n"/>
      <c r="K703" s="46" t="n"/>
      <c r="L703" s="95" t="n"/>
      <c r="M703" s="95" t="n"/>
      <c r="N703" s="95" t="n"/>
      <c r="O703" s="95" t="n"/>
      <c r="P703" s="95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  <c r="Z703" s="46" t="n"/>
    </row>
    <row r="704" ht="12.75" customHeight="1">
      <c r="A704" s="100" t="n"/>
      <c r="B704" s="101" t="n"/>
      <c r="C704" s="102" t="n"/>
      <c r="D704" s="99" t="n"/>
      <c r="E704" s="95" t="n"/>
      <c r="F704" s="95" t="n"/>
      <c r="G704" s="94" t="n"/>
      <c r="H704" s="46" t="n"/>
      <c r="I704" s="46" t="n"/>
      <c r="J704" s="46" t="n"/>
      <c r="K704" s="46" t="n"/>
      <c r="L704" s="95" t="n"/>
      <c r="M704" s="95" t="n"/>
      <c r="N704" s="95" t="n"/>
      <c r="O704" s="95" t="n"/>
      <c r="P704" s="95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  <c r="Z704" s="46" t="n"/>
    </row>
    <row r="705" ht="12.75" customHeight="1">
      <c r="A705" s="100" t="n"/>
      <c r="B705" s="101" t="n"/>
      <c r="C705" s="102" t="n"/>
      <c r="D705" s="99" t="n"/>
      <c r="E705" s="95" t="n"/>
      <c r="F705" s="95" t="n"/>
      <c r="G705" s="94" t="n"/>
      <c r="H705" s="46" t="n"/>
      <c r="I705" s="46" t="n"/>
      <c r="J705" s="46" t="n"/>
      <c r="K705" s="46" t="n"/>
      <c r="L705" s="95" t="n"/>
      <c r="M705" s="95" t="n"/>
      <c r="N705" s="95" t="n"/>
      <c r="O705" s="95" t="n"/>
      <c r="P705" s="95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  <c r="Z705" s="46" t="n"/>
    </row>
    <row r="706" ht="12.75" customHeight="1">
      <c r="A706" s="100" t="n"/>
      <c r="B706" s="101" t="n"/>
      <c r="C706" s="102" t="n"/>
      <c r="D706" s="99" t="n"/>
      <c r="E706" s="95" t="n"/>
      <c r="F706" s="95" t="n"/>
      <c r="G706" s="94" t="n"/>
      <c r="H706" s="46" t="n"/>
      <c r="I706" s="46" t="n"/>
      <c r="J706" s="46" t="n"/>
      <c r="K706" s="46" t="n"/>
      <c r="L706" s="95" t="n"/>
      <c r="M706" s="95" t="n"/>
      <c r="N706" s="95" t="n"/>
      <c r="O706" s="95" t="n"/>
      <c r="P706" s="95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  <c r="Z706" s="46" t="n"/>
    </row>
    <row r="707" ht="12.75" customHeight="1">
      <c r="A707" s="100" t="n"/>
      <c r="B707" s="101" t="n"/>
      <c r="C707" s="102" t="n"/>
      <c r="D707" s="99" t="n"/>
      <c r="E707" s="95" t="n"/>
      <c r="F707" s="95" t="n"/>
      <c r="G707" s="94" t="n"/>
      <c r="H707" s="46" t="n"/>
      <c r="I707" s="46" t="n"/>
      <c r="J707" s="46" t="n"/>
      <c r="K707" s="46" t="n"/>
      <c r="L707" s="95" t="n"/>
      <c r="M707" s="95" t="n"/>
      <c r="N707" s="95" t="n"/>
      <c r="O707" s="95" t="n"/>
      <c r="P707" s="95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  <c r="Z707" s="46" t="n"/>
    </row>
    <row r="708" ht="12.75" customHeight="1">
      <c r="A708" s="100" t="n"/>
      <c r="B708" s="101" t="n"/>
      <c r="C708" s="102" t="n"/>
      <c r="D708" s="99" t="n"/>
      <c r="E708" s="95" t="n"/>
      <c r="F708" s="95" t="n"/>
      <c r="G708" s="94" t="n"/>
      <c r="H708" s="46" t="n"/>
      <c r="I708" s="46" t="n"/>
      <c r="J708" s="46" t="n"/>
      <c r="K708" s="46" t="n"/>
      <c r="L708" s="95" t="n"/>
      <c r="M708" s="95" t="n"/>
      <c r="N708" s="95" t="n"/>
      <c r="O708" s="95" t="n"/>
      <c r="P708" s="95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  <c r="Z708" s="46" t="n"/>
    </row>
    <row r="709" ht="12.75" customHeight="1">
      <c r="A709" s="100" t="n"/>
      <c r="B709" s="101" t="n"/>
      <c r="C709" s="102" t="n"/>
      <c r="D709" s="99" t="n"/>
      <c r="E709" s="95" t="n"/>
      <c r="F709" s="95" t="n"/>
      <c r="G709" s="94" t="n"/>
      <c r="H709" s="46" t="n"/>
      <c r="I709" s="46" t="n"/>
      <c r="J709" s="46" t="n"/>
      <c r="K709" s="46" t="n"/>
      <c r="L709" s="95" t="n"/>
      <c r="M709" s="95" t="n"/>
      <c r="N709" s="95" t="n"/>
      <c r="O709" s="95" t="n"/>
      <c r="P709" s="95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  <c r="Z709" s="46" t="n"/>
    </row>
    <row r="710" ht="12.75" customHeight="1">
      <c r="A710" s="100" t="n"/>
      <c r="B710" s="101" t="n"/>
      <c r="C710" s="102" t="n"/>
      <c r="D710" s="99" t="n"/>
      <c r="E710" s="95" t="n"/>
      <c r="F710" s="95" t="n"/>
      <c r="G710" s="94" t="n"/>
      <c r="H710" s="46" t="n"/>
      <c r="I710" s="46" t="n"/>
      <c r="J710" s="46" t="n"/>
      <c r="K710" s="46" t="n"/>
      <c r="L710" s="95" t="n"/>
      <c r="M710" s="95" t="n"/>
      <c r="N710" s="95" t="n"/>
      <c r="O710" s="95" t="n"/>
      <c r="P710" s="95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  <c r="Z710" s="46" t="n"/>
    </row>
    <row r="711" ht="12.75" customHeight="1">
      <c r="A711" s="100" t="n"/>
      <c r="B711" s="101" t="n"/>
      <c r="C711" s="102" t="n"/>
      <c r="D711" s="99" t="n"/>
      <c r="E711" s="95" t="n"/>
      <c r="F711" s="95" t="n"/>
      <c r="G711" s="94" t="n"/>
      <c r="H711" s="46" t="n"/>
      <c r="I711" s="46" t="n"/>
      <c r="J711" s="46" t="n"/>
      <c r="K711" s="46" t="n"/>
      <c r="L711" s="95" t="n"/>
      <c r="M711" s="95" t="n"/>
      <c r="N711" s="95" t="n"/>
      <c r="O711" s="95" t="n"/>
      <c r="P711" s="95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  <c r="Z711" s="46" t="n"/>
    </row>
    <row r="712" ht="12.75" customHeight="1">
      <c r="A712" s="100" t="n"/>
      <c r="B712" s="101" t="n"/>
      <c r="C712" s="102" t="n"/>
      <c r="D712" s="99" t="n"/>
      <c r="E712" s="95" t="n"/>
      <c r="F712" s="95" t="n"/>
      <c r="G712" s="94" t="n"/>
      <c r="H712" s="46" t="n"/>
      <c r="I712" s="46" t="n"/>
      <c r="J712" s="46" t="n"/>
      <c r="K712" s="46" t="n"/>
      <c r="L712" s="95" t="n"/>
      <c r="M712" s="95" t="n"/>
      <c r="N712" s="95" t="n"/>
      <c r="O712" s="95" t="n"/>
      <c r="P712" s="95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  <c r="Z712" s="46" t="n"/>
    </row>
    <row r="713" ht="12.75" customHeight="1">
      <c r="A713" s="100" t="n"/>
      <c r="B713" s="101" t="n"/>
      <c r="C713" s="102" t="n"/>
      <c r="D713" s="99" t="n"/>
      <c r="E713" s="95" t="n"/>
      <c r="F713" s="95" t="n"/>
      <c r="G713" s="94" t="n"/>
      <c r="H713" s="46" t="n"/>
      <c r="I713" s="46" t="n"/>
      <c r="J713" s="46" t="n"/>
      <c r="K713" s="46" t="n"/>
      <c r="L713" s="95" t="n"/>
      <c r="M713" s="95" t="n"/>
      <c r="N713" s="95" t="n"/>
      <c r="O713" s="95" t="n"/>
      <c r="P713" s="95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  <c r="Z713" s="46" t="n"/>
    </row>
    <row r="714" ht="12.75" customHeight="1">
      <c r="A714" s="100" t="n"/>
      <c r="B714" s="101" t="n"/>
      <c r="C714" s="102" t="n"/>
      <c r="D714" s="99" t="n"/>
      <c r="E714" s="95" t="n"/>
      <c r="F714" s="95" t="n"/>
      <c r="G714" s="94" t="n"/>
      <c r="H714" s="46" t="n"/>
      <c r="I714" s="46" t="n"/>
      <c r="J714" s="46" t="n"/>
      <c r="K714" s="46" t="n"/>
      <c r="L714" s="95" t="n"/>
      <c r="M714" s="95" t="n"/>
      <c r="N714" s="95" t="n"/>
      <c r="O714" s="95" t="n"/>
      <c r="P714" s="95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  <c r="Z714" s="46" t="n"/>
    </row>
    <row r="715" ht="12.75" customHeight="1">
      <c r="A715" s="100" t="n"/>
      <c r="B715" s="101" t="n"/>
      <c r="C715" s="102" t="n"/>
      <c r="D715" s="99" t="n"/>
      <c r="E715" s="95" t="n"/>
      <c r="F715" s="95" t="n"/>
      <c r="G715" s="94" t="n"/>
      <c r="H715" s="46" t="n"/>
      <c r="I715" s="46" t="n"/>
      <c r="J715" s="46" t="n"/>
      <c r="K715" s="46" t="n"/>
      <c r="L715" s="95" t="n"/>
      <c r="M715" s="95" t="n"/>
      <c r="N715" s="95" t="n"/>
      <c r="O715" s="95" t="n"/>
      <c r="P715" s="95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  <c r="Z715" s="46" t="n"/>
    </row>
    <row r="716" ht="12.75" customHeight="1">
      <c r="A716" s="100" t="n"/>
      <c r="B716" s="101" t="n"/>
      <c r="C716" s="102" t="n"/>
      <c r="D716" s="99" t="n"/>
      <c r="E716" s="95" t="n"/>
      <c r="F716" s="95" t="n"/>
      <c r="G716" s="94" t="n"/>
      <c r="H716" s="46" t="n"/>
      <c r="I716" s="46" t="n"/>
      <c r="J716" s="46" t="n"/>
      <c r="K716" s="46" t="n"/>
      <c r="L716" s="95" t="n"/>
      <c r="M716" s="95" t="n"/>
      <c r="N716" s="95" t="n"/>
      <c r="O716" s="95" t="n"/>
      <c r="P716" s="95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  <c r="Z716" s="46" t="n"/>
    </row>
    <row r="717" ht="12.75" customHeight="1">
      <c r="A717" s="100" t="n"/>
      <c r="B717" s="101" t="n"/>
      <c r="C717" s="102" t="n"/>
      <c r="D717" s="99" t="n"/>
      <c r="E717" s="95" t="n"/>
      <c r="F717" s="95" t="n"/>
      <c r="G717" s="94" t="n"/>
      <c r="H717" s="46" t="n"/>
      <c r="I717" s="46" t="n"/>
      <c r="J717" s="46" t="n"/>
      <c r="K717" s="46" t="n"/>
      <c r="L717" s="95" t="n"/>
      <c r="M717" s="95" t="n"/>
      <c r="N717" s="95" t="n"/>
      <c r="O717" s="95" t="n"/>
      <c r="P717" s="95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  <c r="Z717" s="46" t="n"/>
    </row>
    <row r="718" ht="12.75" customHeight="1">
      <c r="A718" s="100" t="n"/>
      <c r="B718" s="101" t="n"/>
      <c r="C718" s="102" t="n"/>
      <c r="D718" s="99" t="n"/>
      <c r="E718" s="95" t="n"/>
      <c r="F718" s="95" t="n"/>
      <c r="G718" s="94" t="n"/>
      <c r="H718" s="46" t="n"/>
      <c r="I718" s="46" t="n"/>
      <c r="J718" s="46" t="n"/>
      <c r="K718" s="46" t="n"/>
      <c r="L718" s="95" t="n"/>
      <c r="M718" s="95" t="n"/>
      <c r="N718" s="95" t="n"/>
      <c r="O718" s="95" t="n"/>
      <c r="P718" s="95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  <c r="Z718" s="46" t="n"/>
    </row>
    <row r="719" ht="12.75" customHeight="1">
      <c r="A719" s="100" t="n"/>
      <c r="B719" s="101" t="n"/>
      <c r="C719" s="102" t="n"/>
      <c r="D719" s="99" t="n"/>
      <c r="E719" s="95" t="n"/>
      <c r="F719" s="95" t="n"/>
      <c r="G719" s="94" t="n"/>
      <c r="H719" s="46" t="n"/>
      <c r="I719" s="46" t="n"/>
      <c r="J719" s="46" t="n"/>
      <c r="K719" s="46" t="n"/>
      <c r="L719" s="95" t="n"/>
      <c r="M719" s="95" t="n"/>
      <c r="N719" s="95" t="n"/>
      <c r="O719" s="95" t="n"/>
      <c r="P719" s="95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  <c r="Z719" s="46" t="n"/>
    </row>
    <row r="720" ht="12.75" customHeight="1">
      <c r="A720" s="100" t="n"/>
      <c r="B720" s="101" t="n"/>
      <c r="C720" s="102" t="n"/>
      <c r="D720" s="99" t="n"/>
      <c r="E720" s="95" t="n"/>
      <c r="F720" s="95" t="n"/>
      <c r="G720" s="94" t="n"/>
      <c r="H720" s="46" t="n"/>
      <c r="I720" s="46" t="n"/>
      <c r="J720" s="46" t="n"/>
      <c r="K720" s="46" t="n"/>
      <c r="L720" s="95" t="n"/>
      <c r="M720" s="95" t="n"/>
      <c r="N720" s="95" t="n"/>
      <c r="O720" s="95" t="n"/>
      <c r="P720" s="95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  <c r="Z720" s="46" t="n"/>
    </row>
    <row r="721" ht="12.75" customHeight="1">
      <c r="A721" s="100" t="n"/>
      <c r="B721" s="101" t="n"/>
      <c r="C721" s="102" t="n"/>
      <c r="D721" s="99" t="n"/>
      <c r="E721" s="95" t="n"/>
      <c r="F721" s="95" t="n"/>
      <c r="G721" s="94" t="n"/>
      <c r="H721" s="46" t="n"/>
      <c r="I721" s="46" t="n"/>
      <c r="J721" s="46" t="n"/>
      <c r="K721" s="46" t="n"/>
      <c r="L721" s="95" t="n"/>
      <c r="M721" s="95" t="n"/>
      <c r="N721" s="95" t="n"/>
      <c r="O721" s="95" t="n"/>
      <c r="P721" s="95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  <c r="Z721" s="46" t="n"/>
    </row>
    <row r="722" ht="12.75" customHeight="1">
      <c r="A722" s="100" t="n"/>
      <c r="B722" s="101" t="n"/>
      <c r="C722" s="102" t="n"/>
      <c r="D722" s="99" t="n"/>
      <c r="E722" s="95" t="n"/>
      <c r="F722" s="95" t="n"/>
      <c r="G722" s="94" t="n"/>
      <c r="H722" s="46" t="n"/>
      <c r="I722" s="46" t="n"/>
      <c r="J722" s="46" t="n"/>
      <c r="K722" s="46" t="n"/>
      <c r="L722" s="95" t="n"/>
      <c r="M722" s="95" t="n"/>
      <c r="N722" s="95" t="n"/>
      <c r="O722" s="95" t="n"/>
      <c r="P722" s="95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  <c r="Z722" s="46" t="n"/>
    </row>
    <row r="723" ht="12.75" customHeight="1">
      <c r="A723" s="100" t="n"/>
      <c r="B723" s="101" t="n"/>
      <c r="C723" s="102" t="n"/>
      <c r="D723" s="99" t="n"/>
      <c r="E723" s="95" t="n"/>
      <c r="F723" s="95" t="n"/>
      <c r="G723" s="94" t="n"/>
      <c r="H723" s="46" t="n"/>
      <c r="I723" s="46" t="n"/>
      <c r="J723" s="46" t="n"/>
      <c r="K723" s="46" t="n"/>
      <c r="L723" s="95" t="n"/>
      <c r="M723" s="95" t="n"/>
      <c r="N723" s="95" t="n"/>
      <c r="O723" s="95" t="n"/>
      <c r="P723" s="95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  <c r="Z723" s="46" t="n"/>
    </row>
    <row r="724" ht="12.75" customHeight="1">
      <c r="A724" s="100" t="n"/>
      <c r="B724" s="101" t="n"/>
      <c r="C724" s="102" t="n"/>
      <c r="D724" s="99" t="n"/>
      <c r="E724" s="95" t="n"/>
      <c r="F724" s="95" t="n"/>
      <c r="G724" s="94" t="n"/>
      <c r="H724" s="46" t="n"/>
      <c r="I724" s="46" t="n"/>
      <c r="J724" s="46" t="n"/>
      <c r="K724" s="46" t="n"/>
      <c r="L724" s="95" t="n"/>
      <c r="M724" s="95" t="n"/>
      <c r="N724" s="95" t="n"/>
      <c r="O724" s="95" t="n"/>
      <c r="P724" s="95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  <c r="Z724" s="46" t="n"/>
    </row>
    <row r="725" ht="12.75" customHeight="1">
      <c r="A725" s="100" t="n"/>
      <c r="B725" s="101" t="n"/>
      <c r="C725" s="102" t="n"/>
      <c r="D725" s="99" t="n"/>
      <c r="E725" s="95" t="n"/>
      <c r="F725" s="95" t="n"/>
      <c r="G725" s="94" t="n"/>
      <c r="H725" s="46" t="n"/>
      <c r="I725" s="46" t="n"/>
      <c r="J725" s="46" t="n"/>
      <c r="K725" s="46" t="n"/>
      <c r="L725" s="95" t="n"/>
      <c r="M725" s="95" t="n"/>
      <c r="N725" s="95" t="n"/>
      <c r="O725" s="95" t="n"/>
      <c r="P725" s="95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  <c r="Z725" s="46" t="n"/>
    </row>
    <row r="726" ht="12.75" customHeight="1">
      <c r="A726" s="100" t="n"/>
      <c r="B726" s="101" t="n"/>
      <c r="C726" s="102" t="n"/>
      <c r="D726" s="99" t="n"/>
      <c r="E726" s="95" t="n"/>
      <c r="F726" s="95" t="n"/>
      <c r="G726" s="94" t="n"/>
      <c r="H726" s="46" t="n"/>
      <c r="I726" s="46" t="n"/>
      <c r="J726" s="46" t="n"/>
      <c r="K726" s="46" t="n"/>
      <c r="L726" s="95" t="n"/>
      <c r="M726" s="95" t="n"/>
      <c r="N726" s="95" t="n"/>
      <c r="O726" s="95" t="n"/>
      <c r="P726" s="95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  <c r="Z726" s="46" t="n"/>
    </row>
    <row r="727" ht="12.75" customHeight="1">
      <c r="A727" s="100" t="n"/>
      <c r="B727" s="101" t="n"/>
      <c r="C727" s="102" t="n"/>
      <c r="D727" s="99" t="n"/>
      <c r="E727" s="95" t="n"/>
      <c r="F727" s="95" t="n"/>
      <c r="G727" s="94" t="n"/>
      <c r="H727" s="46" t="n"/>
      <c r="I727" s="46" t="n"/>
      <c r="J727" s="46" t="n"/>
      <c r="K727" s="46" t="n"/>
      <c r="L727" s="95" t="n"/>
      <c r="M727" s="95" t="n"/>
      <c r="N727" s="95" t="n"/>
      <c r="O727" s="95" t="n"/>
      <c r="P727" s="95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  <c r="Z727" s="46" t="n"/>
    </row>
    <row r="728" ht="12.75" customHeight="1">
      <c r="A728" s="100" t="n"/>
      <c r="B728" s="101" t="n"/>
      <c r="C728" s="102" t="n"/>
      <c r="D728" s="99" t="n"/>
      <c r="E728" s="95" t="n"/>
      <c r="F728" s="95" t="n"/>
      <c r="G728" s="94" t="n"/>
      <c r="H728" s="46" t="n"/>
      <c r="I728" s="46" t="n"/>
      <c r="J728" s="46" t="n"/>
      <c r="K728" s="46" t="n"/>
      <c r="L728" s="95" t="n"/>
      <c r="M728" s="95" t="n"/>
      <c r="N728" s="95" t="n"/>
      <c r="O728" s="95" t="n"/>
      <c r="P728" s="95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  <c r="Z728" s="46" t="n"/>
    </row>
    <row r="729" ht="12.75" customHeight="1">
      <c r="A729" s="100" t="n"/>
      <c r="B729" s="101" t="n"/>
      <c r="C729" s="102" t="n"/>
      <c r="D729" s="99" t="n"/>
      <c r="E729" s="95" t="n"/>
      <c r="F729" s="95" t="n"/>
      <c r="G729" s="94" t="n"/>
      <c r="H729" s="46" t="n"/>
      <c r="I729" s="46" t="n"/>
      <c r="J729" s="46" t="n"/>
      <c r="K729" s="46" t="n"/>
      <c r="L729" s="95" t="n"/>
      <c r="M729" s="95" t="n"/>
      <c r="N729" s="95" t="n"/>
      <c r="O729" s="95" t="n"/>
      <c r="P729" s="95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  <c r="Z729" s="46" t="n"/>
    </row>
    <row r="730" ht="12.75" customHeight="1">
      <c r="A730" s="100" t="n"/>
      <c r="B730" s="101" t="n"/>
      <c r="C730" s="102" t="n"/>
      <c r="D730" s="99" t="n"/>
      <c r="E730" s="95" t="n"/>
      <c r="F730" s="95" t="n"/>
      <c r="G730" s="94" t="n"/>
      <c r="H730" s="46" t="n"/>
      <c r="I730" s="46" t="n"/>
      <c r="J730" s="46" t="n"/>
      <c r="K730" s="46" t="n"/>
      <c r="L730" s="95" t="n"/>
      <c r="M730" s="95" t="n"/>
      <c r="N730" s="95" t="n"/>
      <c r="O730" s="95" t="n"/>
      <c r="P730" s="95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  <c r="Z730" s="46" t="n"/>
    </row>
    <row r="731" ht="12.75" customHeight="1">
      <c r="A731" s="100" t="n"/>
      <c r="B731" s="101" t="n"/>
      <c r="C731" s="102" t="n"/>
      <c r="D731" s="99" t="n"/>
      <c r="E731" s="95" t="n"/>
      <c r="F731" s="95" t="n"/>
      <c r="G731" s="94" t="n"/>
      <c r="H731" s="46" t="n"/>
      <c r="I731" s="46" t="n"/>
      <c r="J731" s="46" t="n"/>
      <c r="K731" s="46" t="n"/>
      <c r="L731" s="95" t="n"/>
      <c r="M731" s="95" t="n"/>
      <c r="N731" s="95" t="n"/>
      <c r="O731" s="95" t="n"/>
      <c r="P731" s="95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  <c r="Z731" s="46" t="n"/>
    </row>
    <row r="732" ht="12.75" customHeight="1">
      <c r="A732" s="100" t="n"/>
      <c r="B732" s="101" t="n"/>
      <c r="C732" s="102" t="n"/>
      <c r="D732" s="99" t="n"/>
      <c r="E732" s="95" t="n"/>
      <c r="F732" s="95" t="n"/>
      <c r="G732" s="94" t="n"/>
      <c r="H732" s="46" t="n"/>
      <c r="I732" s="46" t="n"/>
      <c r="J732" s="46" t="n"/>
      <c r="K732" s="46" t="n"/>
      <c r="L732" s="95" t="n"/>
      <c r="M732" s="95" t="n"/>
      <c r="N732" s="95" t="n"/>
      <c r="O732" s="95" t="n"/>
      <c r="P732" s="95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  <c r="Z732" s="46" t="n"/>
    </row>
    <row r="733" ht="12.75" customHeight="1">
      <c r="A733" s="100" t="n"/>
      <c r="B733" s="101" t="n"/>
      <c r="C733" s="102" t="n"/>
      <c r="D733" s="99" t="n"/>
      <c r="E733" s="95" t="n"/>
      <c r="F733" s="95" t="n"/>
      <c r="G733" s="94" t="n"/>
      <c r="H733" s="46" t="n"/>
      <c r="I733" s="46" t="n"/>
      <c r="J733" s="46" t="n"/>
      <c r="K733" s="46" t="n"/>
      <c r="L733" s="95" t="n"/>
      <c r="M733" s="95" t="n"/>
      <c r="N733" s="95" t="n"/>
      <c r="O733" s="95" t="n"/>
      <c r="P733" s="95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  <c r="Z733" s="46" t="n"/>
    </row>
    <row r="734" ht="12.75" customHeight="1">
      <c r="A734" s="100" t="n"/>
      <c r="B734" s="101" t="n"/>
      <c r="C734" s="102" t="n"/>
      <c r="D734" s="99" t="n"/>
      <c r="E734" s="95" t="n"/>
      <c r="F734" s="95" t="n"/>
      <c r="G734" s="94" t="n"/>
      <c r="H734" s="46" t="n"/>
      <c r="I734" s="46" t="n"/>
      <c r="J734" s="46" t="n"/>
      <c r="K734" s="46" t="n"/>
      <c r="L734" s="95" t="n"/>
      <c r="M734" s="95" t="n"/>
      <c r="N734" s="95" t="n"/>
      <c r="O734" s="95" t="n"/>
      <c r="P734" s="95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  <c r="Z734" s="46" t="n"/>
    </row>
    <row r="735" ht="12.75" customHeight="1">
      <c r="A735" s="100" t="n"/>
      <c r="B735" s="101" t="n"/>
      <c r="C735" s="102" t="n"/>
      <c r="D735" s="99" t="n"/>
      <c r="E735" s="95" t="n"/>
      <c r="F735" s="95" t="n"/>
      <c r="G735" s="94" t="n"/>
      <c r="H735" s="46" t="n"/>
      <c r="I735" s="46" t="n"/>
      <c r="J735" s="46" t="n"/>
      <c r="K735" s="46" t="n"/>
      <c r="L735" s="95" t="n"/>
      <c r="M735" s="95" t="n"/>
      <c r="N735" s="95" t="n"/>
      <c r="O735" s="95" t="n"/>
      <c r="P735" s="95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  <c r="Z735" s="46" t="n"/>
    </row>
    <row r="736" ht="12.75" customHeight="1">
      <c r="A736" s="100" t="n"/>
      <c r="B736" s="101" t="n"/>
      <c r="C736" s="102" t="n"/>
      <c r="D736" s="99" t="n"/>
      <c r="E736" s="95" t="n"/>
      <c r="F736" s="95" t="n"/>
      <c r="G736" s="94" t="n"/>
      <c r="H736" s="46" t="n"/>
      <c r="I736" s="46" t="n"/>
      <c r="J736" s="46" t="n"/>
      <c r="K736" s="46" t="n"/>
      <c r="L736" s="95" t="n"/>
      <c r="M736" s="95" t="n"/>
      <c r="N736" s="95" t="n"/>
      <c r="O736" s="95" t="n"/>
      <c r="P736" s="95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  <c r="Z736" s="46" t="n"/>
    </row>
    <row r="737" ht="12.75" customHeight="1">
      <c r="A737" s="100" t="n"/>
      <c r="B737" s="101" t="n"/>
      <c r="C737" s="102" t="n"/>
      <c r="D737" s="99" t="n"/>
      <c r="E737" s="95" t="n"/>
      <c r="F737" s="95" t="n"/>
      <c r="G737" s="94" t="n"/>
      <c r="H737" s="46" t="n"/>
      <c r="I737" s="46" t="n"/>
      <c r="J737" s="46" t="n"/>
      <c r="K737" s="46" t="n"/>
      <c r="L737" s="95" t="n"/>
      <c r="M737" s="95" t="n"/>
      <c r="N737" s="95" t="n"/>
      <c r="O737" s="95" t="n"/>
      <c r="P737" s="95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  <c r="Z737" s="46" t="n"/>
    </row>
    <row r="738" ht="12.75" customHeight="1">
      <c r="A738" s="100" t="n"/>
      <c r="B738" s="101" t="n"/>
      <c r="C738" s="102" t="n"/>
      <c r="D738" s="99" t="n"/>
      <c r="E738" s="95" t="n"/>
      <c r="F738" s="95" t="n"/>
      <c r="G738" s="94" t="n"/>
      <c r="H738" s="46" t="n"/>
      <c r="I738" s="46" t="n"/>
      <c r="J738" s="46" t="n"/>
      <c r="K738" s="46" t="n"/>
      <c r="L738" s="95" t="n"/>
      <c r="M738" s="95" t="n"/>
      <c r="N738" s="95" t="n"/>
      <c r="O738" s="95" t="n"/>
      <c r="P738" s="95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  <c r="Z738" s="46" t="n"/>
    </row>
    <row r="739" ht="12.75" customHeight="1">
      <c r="A739" s="100" t="n"/>
      <c r="B739" s="101" t="n"/>
      <c r="C739" s="102" t="n"/>
      <c r="D739" s="99" t="n"/>
      <c r="E739" s="95" t="n"/>
      <c r="F739" s="95" t="n"/>
      <c r="G739" s="94" t="n"/>
      <c r="H739" s="46" t="n"/>
      <c r="I739" s="46" t="n"/>
      <c r="J739" s="46" t="n"/>
      <c r="K739" s="46" t="n"/>
      <c r="L739" s="95" t="n"/>
      <c r="M739" s="95" t="n"/>
      <c r="N739" s="95" t="n"/>
      <c r="O739" s="95" t="n"/>
      <c r="P739" s="95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  <c r="Z739" s="46" t="n"/>
    </row>
    <row r="740" ht="12.75" customHeight="1">
      <c r="A740" s="100" t="n"/>
      <c r="B740" s="101" t="n"/>
      <c r="C740" s="102" t="n"/>
      <c r="D740" s="99" t="n"/>
      <c r="E740" s="95" t="n"/>
      <c r="F740" s="95" t="n"/>
      <c r="G740" s="94" t="n"/>
      <c r="H740" s="46" t="n"/>
      <c r="I740" s="46" t="n"/>
      <c r="J740" s="46" t="n"/>
      <c r="K740" s="46" t="n"/>
      <c r="L740" s="95" t="n"/>
      <c r="M740" s="95" t="n"/>
      <c r="N740" s="95" t="n"/>
      <c r="O740" s="95" t="n"/>
      <c r="P740" s="95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  <c r="Z740" s="46" t="n"/>
    </row>
    <row r="741" ht="12.75" customHeight="1">
      <c r="A741" s="100" t="n"/>
      <c r="B741" s="101" t="n"/>
      <c r="C741" s="102" t="n"/>
      <c r="D741" s="99" t="n"/>
      <c r="E741" s="95" t="n"/>
      <c r="F741" s="95" t="n"/>
      <c r="G741" s="94" t="n"/>
      <c r="H741" s="46" t="n"/>
      <c r="I741" s="46" t="n"/>
      <c r="J741" s="46" t="n"/>
      <c r="K741" s="46" t="n"/>
      <c r="L741" s="95" t="n"/>
      <c r="M741" s="95" t="n"/>
      <c r="N741" s="95" t="n"/>
      <c r="O741" s="95" t="n"/>
      <c r="P741" s="95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  <c r="Z741" s="46" t="n"/>
    </row>
    <row r="742" ht="12.75" customHeight="1">
      <c r="A742" s="100" t="n"/>
      <c r="B742" s="101" t="n"/>
      <c r="C742" s="102" t="n"/>
      <c r="D742" s="99" t="n"/>
      <c r="E742" s="95" t="n"/>
      <c r="F742" s="95" t="n"/>
      <c r="G742" s="94" t="n"/>
      <c r="H742" s="46" t="n"/>
      <c r="I742" s="46" t="n"/>
      <c r="J742" s="46" t="n"/>
      <c r="K742" s="46" t="n"/>
      <c r="L742" s="95" t="n"/>
      <c r="M742" s="95" t="n"/>
      <c r="N742" s="95" t="n"/>
      <c r="O742" s="95" t="n"/>
      <c r="P742" s="95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  <c r="Z742" s="46" t="n"/>
    </row>
    <row r="743" ht="12.75" customHeight="1">
      <c r="A743" s="100" t="n"/>
      <c r="B743" s="101" t="n"/>
      <c r="C743" s="102" t="n"/>
      <c r="D743" s="99" t="n"/>
      <c r="E743" s="95" t="n"/>
      <c r="F743" s="95" t="n"/>
      <c r="G743" s="94" t="n"/>
      <c r="H743" s="46" t="n"/>
      <c r="I743" s="46" t="n"/>
      <c r="J743" s="46" t="n"/>
      <c r="K743" s="46" t="n"/>
      <c r="L743" s="95" t="n"/>
      <c r="M743" s="95" t="n"/>
      <c r="N743" s="95" t="n"/>
      <c r="O743" s="95" t="n"/>
      <c r="P743" s="95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  <c r="Z743" s="46" t="n"/>
    </row>
    <row r="744" ht="12.75" customHeight="1">
      <c r="A744" s="100" t="n"/>
      <c r="B744" s="101" t="n"/>
      <c r="C744" s="102" t="n"/>
      <c r="D744" s="99" t="n"/>
      <c r="E744" s="95" t="n"/>
      <c r="F744" s="95" t="n"/>
      <c r="G744" s="94" t="n"/>
      <c r="H744" s="46" t="n"/>
      <c r="I744" s="46" t="n"/>
      <c r="J744" s="46" t="n"/>
      <c r="K744" s="46" t="n"/>
      <c r="L744" s="95" t="n"/>
      <c r="M744" s="95" t="n"/>
      <c r="N744" s="95" t="n"/>
      <c r="O744" s="95" t="n"/>
      <c r="P744" s="95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  <c r="Z744" s="46" t="n"/>
    </row>
    <row r="745" ht="12.75" customHeight="1">
      <c r="A745" s="100" t="n"/>
      <c r="B745" s="101" t="n"/>
      <c r="C745" s="102" t="n"/>
      <c r="D745" s="99" t="n"/>
      <c r="E745" s="95" t="n"/>
      <c r="F745" s="95" t="n"/>
      <c r="G745" s="94" t="n"/>
      <c r="H745" s="46" t="n"/>
      <c r="I745" s="46" t="n"/>
      <c r="J745" s="46" t="n"/>
      <c r="K745" s="46" t="n"/>
      <c r="L745" s="95" t="n"/>
      <c r="M745" s="95" t="n"/>
      <c r="N745" s="95" t="n"/>
      <c r="O745" s="95" t="n"/>
      <c r="P745" s="95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  <c r="Z745" s="46" t="n"/>
    </row>
    <row r="746" ht="12.75" customHeight="1">
      <c r="A746" s="100" t="n"/>
      <c r="B746" s="101" t="n"/>
      <c r="C746" s="102" t="n"/>
      <c r="D746" s="99" t="n"/>
      <c r="E746" s="95" t="n"/>
      <c r="F746" s="95" t="n"/>
      <c r="G746" s="94" t="n"/>
      <c r="H746" s="46" t="n"/>
      <c r="I746" s="46" t="n"/>
      <c r="J746" s="46" t="n"/>
      <c r="K746" s="46" t="n"/>
      <c r="L746" s="95" t="n"/>
      <c r="M746" s="95" t="n"/>
      <c r="N746" s="95" t="n"/>
      <c r="O746" s="95" t="n"/>
      <c r="P746" s="95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  <c r="Z746" s="46" t="n"/>
    </row>
    <row r="747" ht="12.75" customHeight="1">
      <c r="A747" s="100" t="n"/>
      <c r="B747" s="101" t="n"/>
      <c r="C747" s="102" t="n"/>
      <c r="D747" s="99" t="n"/>
      <c r="E747" s="95" t="n"/>
      <c r="F747" s="95" t="n"/>
      <c r="G747" s="94" t="n"/>
      <c r="H747" s="46" t="n"/>
      <c r="I747" s="46" t="n"/>
      <c r="J747" s="46" t="n"/>
      <c r="K747" s="46" t="n"/>
      <c r="L747" s="95" t="n"/>
      <c r="M747" s="95" t="n"/>
      <c r="N747" s="95" t="n"/>
      <c r="O747" s="95" t="n"/>
      <c r="P747" s="95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  <c r="Z747" s="46" t="n"/>
    </row>
    <row r="748" ht="12.75" customHeight="1">
      <c r="A748" s="100" t="n"/>
      <c r="B748" s="101" t="n"/>
      <c r="C748" s="102" t="n"/>
      <c r="D748" s="99" t="n"/>
      <c r="E748" s="95" t="n"/>
      <c r="F748" s="95" t="n"/>
      <c r="G748" s="94" t="n"/>
      <c r="H748" s="46" t="n"/>
      <c r="I748" s="46" t="n"/>
      <c r="J748" s="46" t="n"/>
      <c r="K748" s="46" t="n"/>
      <c r="L748" s="95" t="n"/>
      <c r="M748" s="95" t="n"/>
      <c r="N748" s="95" t="n"/>
      <c r="O748" s="95" t="n"/>
      <c r="P748" s="95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  <c r="Z748" s="46" t="n"/>
    </row>
    <row r="749" ht="12.75" customHeight="1">
      <c r="A749" s="100" t="n"/>
      <c r="B749" s="101" t="n"/>
      <c r="C749" s="102" t="n"/>
      <c r="D749" s="99" t="n"/>
      <c r="E749" s="95" t="n"/>
      <c r="F749" s="95" t="n"/>
      <c r="G749" s="94" t="n"/>
      <c r="H749" s="46" t="n"/>
      <c r="I749" s="46" t="n"/>
      <c r="J749" s="46" t="n"/>
      <c r="K749" s="46" t="n"/>
      <c r="L749" s="95" t="n"/>
      <c r="M749" s="95" t="n"/>
      <c r="N749" s="95" t="n"/>
      <c r="O749" s="95" t="n"/>
      <c r="P749" s="95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  <c r="Z749" s="46" t="n"/>
    </row>
    <row r="750" ht="12.75" customHeight="1">
      <c r="A750" s="100" t="n"/>
      <c r="B750" s="101" t="n"/>
      <c r="C750" s="102" t="n"/>
      <c r="D750" s="99" t="n"/>
      <c r="E750" s="95" t="n"/>
      <c r="F750" s="95" t="n"/>
      <c r="G750" s="94" t="n"/>
      <c r="H750" s="46" t="n"/>
      <c r="I750" s="46" t="n"/>
      <c r="J750" s="46" t="n"/>
      <c r="K750" s="46" t="n"/>
      <c r="L750" s="95" t="n"/>
      <c r="M750" s="95" t="n"/>
      <c r="N750" s="95" t="n"/>
      <c r="O750" s="95" t="n"/>
      <c r="P750" s="95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  <c r="Z750" s="46" t="n"/>
    </row>
    <row r="751" ht="12.75" customHeight="1">
      <c r="A751" s="100" t="n"/>
      <c r="B751" s="101" t="n"/>
      <c r="C751" s="102" t="n"/>
      <c r="D751" s="99" t="n"/>
      <c r="E751" s="95" t="n"/>
      <c r="F751" s="95" t="n"/>
      <c r="G751" s="94" t="n"/>
      <c r="H751" s="46" t="n"/>
      <c r="I751" s="46" t="n"/>
      <c r="J751" s="46" t="n"/>
      <c r="K751" s="46" t="n"/>
      <c r="L751" s="95" t="n"/>
      <c r="M751" s="95" t="n"/>
      <c r="N751" s="95" t="n"/>
      <c r="O751" s="95" t="n"/>
      <c r="P751" s="95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  <c r="Z751" s="46" t="n"/>
    </row>
    <row r="752" ht="12.75" customHeight="1">
      <c r="A752" s="100" t="n"/>
      <c r="B752" s="101" t="n"/>
      <c r="C752" s="102" t="n"/>
      <c r="D752" s="99" t="n"/>
      <c r="E752" s="95" t="n"/>
      <c r="F752" s="95" t="n"/>
      <c r="G752" s="94" t="n"/>
      <c r="H752" s="46" t="n"/>
      <c r="I752" s="46" t="n"/>
      <c r="J752" s="46" t="n"/>
      <c r="K752" s="46" t="n"/>
      <c r="L752" s="95" t="n"/>
      <c r="M752" s="95" t="n"/>
      <c r="N752" s="95" t="n"/>
      <c r="O752" s="95" t="n"/>
      <c r="P752" s="95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  <c r="Z752" s="46" t="n"/>
    </row>
    <row r="753" ht="12.75" customHeight="1">
      <c r="A753" s="100" t="n"/>
      <c r="B753" s="101" t="n"/>
      <c r="C753" s="102" t="n"/>
      <c r="D753" s="99" t="n"/>
      <c r="E753" s="95" t="n"/>
      <c r="F753" s="95" t="n"/>
      <c r="G753" s="94" t="n"/>
      <c r="H753" s="46" t="n"/>
      <c r="I753" s="46" t="n"/>
      <c r="J753" s="46" t="n"/>
      <c r="K753" s="46" t="n"/>
      <c r="L753" s="95" t="n"/>
      <c r="M753" s="95" t="n"/>
      <c r="N753" s="95" t="n"/>
      <c r="O753" s="95" t="n"/>
      <c r="P753" s="95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  <c r="Z753" s="46" t="n"/>
    </row>
    <row r="754" ht="12.75" customHeight="1">
      <c r="A754" s="100" t="n"/>
      <c r="B754" s="101" t="n"/>
      <c r="C754" s="102" t="n"/>
      <c r="D754" s="99" t="n"/>
      <c r="E754" s="95" t="n"/>
      <c r="F754" s="95" t="n"/>
      <c r="G754" s="94" t="n"/>
      <c r="H754" s="46" t="n"/>
      <c r="I754" s="46" t="n"/>
      <c r="J754" s="46" t="n"/>
      <c r="K754" s="46" t="n"/>
      <c r="L754" s="95" t="n"/>
      <c r="M754" s="95" t="n"/>
      <c r="N754" s="95" t="n"/>
      <c r="O754" s="95" t="n"/>
      <c r="P754" s="95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  <c r="Z754" s="46" t="n"/>
    </row>
    <row r="755" ht="12.75" customHeight="1">
      <c r="A755" s="100" t="n"/>
      <c r="B755" s="101" t="n"/>
      <c r="C755" s="102" t="n"/>
      <c r="D755" s="99" t="n"/>
      <c r="E755" s="95" t="n"/>
      <c r="F755" s="95" t="n"/>
      <c r="G755" s="94" t="n"/>
      <c r="H755" s="46" t="n"/>
      <c r="I755" s="46" t="n"/>
      <c r="J755" s="46" t="n"/>
      <c r="K755" s="46" t="n"/>
      <c r="L755" s="95" t="n"/>
      <c r="M755" s="95" t="n"/>
      <c r="N755" s="95" t="n"/>
      <c r="O755" s="95" t="n"/>
      <c r="P755" s="95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  <c r="Z755" s="46" t="n"/>
    </row>
    <row r="756" ht="12.75" customHeight="1">
      <c r="A756" s="100" t="n"/>
      <c r="B756" s="101" t="n"/>
      <c r="C756" s="102" t="n"/>
      <c r="D756" s="99" t="n"/>
      <c r="E756" s="95" t="n"/>
      <c r="F756" s="95" t="n"/>
      <c r="G756" s="94" t="n"/>
      <c r="H756" s="46" t="n"/>
      <c r="I756" s="46" t="n"/>
      <c r="J756" s="46" t="n"/>
      <c r="K756" s="46" t="n"/>
      <c r="L756" s="95" t="n"/>
      <c r="M756" s="95" t="n"/>
      <c r="N756" s="95" t="n"/>
      <c r="O756" s="95" t="n"/>
      <c r="P756" s="95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  <c r="Z756" s="46" t="n"/>
    </row>
    <row r="757" ht="12.75" customHeight="1">
      <c r="A757" s="100" t="n"/>
      <c r="B757" s="101" t="n"/>
      <c r="C757" s="102" t="n"/>
      <c r="D757" s="99" t="n"/>
      <c r="E757" s="95" t="n"/>
      <c r="F757" s="95" t="n"/>
      <c r="G757" s="94" t="n"/>
      <c r="H757" s="46" t="n"/>
      <c r="I757" s="46" t="n"/>
      <c r="J757" s="46" t="n"/>
      <c r="K757" s="46" t="n"/>
      <c r="L757" s="95" t="n"/>
      <c r="M757" s="95" t="n"/>
      <c r="N757" s="95" t="n"/>
      <c r="O757" s="95" t="n"/>
      <c r="P757" s="95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  <c r="Z757" s="46" t="n"/>
    </row>
    <row r="758" ht="12.75" customHeight="1">
      <c r="A758" s="100" t="n"/>
      <c r="B758" s="101" t="n"/>
      <c r="C758" s="102" t="n"/>
      <c r="D758" s="99" t="n"/>
      <c r="E758" s="95" t="n"/>
      <c r="F758" s="95" t="n"/>
      <c r="G758" s="94" t="n"/>
      <c r="H758" s="46" t="n"/>
      <c r="I758" s="46" t="n"/>
      <c r="J758" s="46" t="n"/>
      <c r="K758" s="46" t="n"/>
      <c r="L758" s="95" t="n"/>
      <c r="M758" s="95" t="n"/>
      <c r="N758" s="95" t="n"/>
      <c r="O758" s="95" t="n"/>
      <c r="P758" s="95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  <c r="Z758" s="46" t="n"/>
    </row>
    <row r="759" ht="12.75" customHeight="1">
      <c r="A759" s="100" t="n"/>
      <c r="B759" s="101" t="n"/>
      <c r="C759" s="102" t="n"/>
      <c r="D759" s="99" t="n"/>
      <c r="E759" s="95" t="n"/>
      <c r="F759" s="95" t="n"/>
      <c r="G759" s="94" t="n"/>
      <c r="H759" s="46" t="n"/>
      <c r="I759" s="46" t="n"/>
      <c r="J759" s="46" t="n"/>
      <c r="K759" s="46" t="n"/>
      <c r="L759" s="95" t="n"/>
      <c r="M759" s="95" t="n"/>
      <c r="N759" s="95" t="n"/>
      <c r="O759" s="95" t="n"/>
      <c r="P759" s="95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  <c r="Z759" s="46" t="n"/>
    </row>
    <row r="760" ht="12.75" customHeight="1">
      <c r="A760" s="100" t="n"/>
      <c r="B760" s="101" t="n"/>
      <c r="C760" s="102" t="n"/>
      <c r="D760" s="99" t="n"/>
      <c r="E760" s="95" t="n"/>
      <c r="F760" s="95" t="n"/>
      <c r="G760" s="94" t="n"/>
      <c r="H760" s="46" t="n"/>
      <c r="I760" s="46" t="n"/>
      <c r="J760" s="46" t="n"/>
      <c r="K760" s="46" t="n"/>
      <c r="L760" s="95" t="n"/>
      <c r="M760" s="95" t="n"/>
      <c r="N760" s="95" t="n"/>
      <c r="O760" s="95" t="n"/>
      <c r="P760" s="95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  <c r="Z760" s="46" t="n"/>
    </row>
    <row r="761" ht="12.75" customHeight="1">
      <c r="A761" s="100" t="n"/>
      <c r="B761" s="101" t="n"/>
      <c r="C761" s="102" t="n"/>
      <c r="D761" s="99" t="n"/>
      <c r="E761" s="95" t="n"/>
      <c r="F761" s="95" t="n"/>
      <c r="G761" s="94" t="n"/>
      <c r="H761" s="46" t="n"/>
      <c r="I761" s="46" t="n"/>
      <c r="J761" s="46" t="n"/>
      <c r="K761" s="46" t="n"/>
      <c r="L761" s="95" t="n"/>
      <c r="M761" s="95" t="n"/>
      <c r="N761" s="95" t="n"/>
      <c r="O761" s="95" t="n"/>
      <c r="P761" s="95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  <c r="Z761" s="46" t="n"/>
    </row>
    <row r="762" ht="12.75" customHeight="1">
      <c r="A762" s="100" t="n"/>
      <c r="B762" s="101" t="n"/>
      <c r="C762" s="102" t="n"/>
      <c r="D762" s="99" t="n"/>
      <c r="E762" s="95" t="n"/>
      <c r="F762" s="95" t="n"/>
      <c r="G762" s="94" t="n"/>
      <c r="H762" s="46" t="n"/>
      <c r="I762" s="46" t="n"/>
      <c r="J762" s="46" t="n"/>
      <c r="K762" s="46" t="n"/>
      <c r="L762" s="95" t="n"/>
      <c r="M762" s="95" t="n"/>
      <c r="N762" s="95" t="n"/>
      <c r="O762" s="95" t="n"/>
      <c r="P762" s="95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  <c r="Z762" s="46" t="n"/>
    </row>
    <row r="763" ht="12.75" customHeight="1">
      <c r="A763" s="100" t="n"/>
      <c r="B763" s="101" t="n"/>
      <c r="C763" s="102" t="n"/>
      <c r="D763" s="99" t="n"/>
      <c r="E763" s="95" t="n"/>
      <c r="F763" s="95" t="n"/>
      <c r="G763" s="94" t="n"/>
      <c r="H763" s="46" t="n"/>
      <c r="I763" s="46" t="n"/>
      <c r="J763" s="46" t="n"/>
      <c r="K763" s="46" t="n"/>
      <c r="L763" s="95" t="n"/>
      <c r="M763" s="95" t="n"/>
      <c r="N763" s="95" t="n"/>
      <c r="O763" s="95" t="n"/>
      <c r="P763" s="95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  <c r="Z763" s="46" t="n"/>
    </row>
    <row r="764" ht="12.75" customHeight="1">
      <c r="A764" s="100" t="n"/>
      <c r="B764" s="101" t="n"/>
      <c r="C764" s="102" t="n"/>
      <c r="D764" s="99" t="n"/>
      <c r="E764" s="95" t="n"/>
      <c r="F764" s="95" t="n"/>
      <c r="G764" s="94" t="n"/>
      <c r="H764" s="46" t="n"/>
      <c r="I764" s="46" t="n"/>
      <c r="J764" s="46" t="n"/>
      <c r="K764" s="46" t="n"/>
      <c r="L764" s="95" t="n"/>
      <c r="M764" s="95" t="n"/>
      <c r="N764" s="95" t="n"/>
      <c r="O764" s="95" t="n"/>
      <c r="P764" s="95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  <c r="Z764" s="46" t="n"/>
    </row>
    <row r="765" ht="12.75" customHeight="1">
      <c r="A765" s="100" t="n"/>
      <c r="B765" s="101" t="n"/>
      <c r="C765" s="102" t="n"/>
      <c r="D765" s="99" t="n"/>
      <c r="E765" s="95" t="n"/>
      <c r="F765" s="95" t="n"/>
      <c r="G765" s="94" t="n"/>
      <c r="H765" s="46" t="n"/>
      <c r="I765" s="46" t="n"/>
      <c r="J765" s="46" t="n"/>
      <c r="K765" s="46" t="n"/>
      <c r="L765" s="95" t="n"/>
      <c r="M765" s="95" t="n"/>
      <c r="N765" s="95" t="n"/>
      <c r="O765" s="95" t="n"/>
      <c r="P765" s="95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  <c r="Z765" s="46" t="n"/>
    </row>
    <row r="766" ht="12.75" customHeight="1">
      <c r="A766" s="100" t="n"/>
      <c r="B766" s="101" t="n"/>
      <c r="C766" s="102" t="n"/>
      <c r="D766" s="99" t="n"/>
      <c r="E766" s="95" t="n"/>
      <c r="F766" s="95" t="n"/>
      <c r="G766" s="94" t="n"/>
      <c r="H766" s="46" t="n"/>
      <c r="I766" s="46" t="n"/>
      <c r="J766" s="46" t="n"/>
      <c r="K766" s="46" t="n"/>
      <c r="L766" s="95" t="n"/>
      <c r="M766" s="95" t="n"/>
      <c r="N766" s="95" t="n"/>
      <c r="O766" s="95" t="n"/>
      <c r="P766" s="95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  <c r="Z766" s="46" t="n"/>
    </row>
    <row r="767" ht="12.75" customHeight="1">
      <c r="A767" s="100" t="n"/>
      <c r="B767" s="101" t="n"/>
      <c r="C767" s="102" t="n"/>
      <c r="D767" s="99" t="n"/>
      <c r="E767" s="95" t="n"/>
      <c r="F767" s="95" t="n"/>
      <c r="G767" s="94" t="n"/>
      <c r="H767" s="46" t="n"/>
      <c r="I767" s="46" t="n"/>
      <c r="J767" s="46" t="n"/>
      <c r="K767" s="46" t="n"/>
      <c r="L767" s="95" t="n"/>
      <c r="M767" s="95" t="n"/>
      <c r="N767" s="95" t="n"/>
      <c r="O767" s="95" t="n"/>
      <c r="P767" s="95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  <c r="Z767" s="46" t="n"/>
    </row>
    <row r="768" ht="12.75" customHeight="1">
      <c r="A768" s="100" t="n"/>
      <c r="B768" s="101" t="n"/>
      <c r="C768" s="102" t="n"/>
      <c r="D768" s="99" t="n"/>
      <c r="E768" s="95" t="n"/>
      <c r="F768" s="95" t="n"/>
      <c r="G768" s="94" t="n"/>
      <c r="H768" s="46" t="n"/>
      <c r="I768" s="46" t="n"/>
      <c r="J768" s="46" t="n"/>
      <c r="K768" s="46" t="n"/>
      <c r="L768" s="95" t="n"/>
      <c r="M768" s="95" t="n"/>
      <c r="N768" s="95" t="n"/>
      <c r="O768" s="95" t="n"/>
      <c r="P768" s="95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  <c r="Z768" s="46" t="n"/>
    </row>
    <row r="769" ht="12.75" customHeight="1">
      <c r="A769" s="100" t="n"/>
      <c r="B769" s="101" t="n"/>
      <c r="C769" s="102" t="n"/>
      <c r="D769" s="99" t="n"/>
      <c r="E769" s="95" t="n"/>
      <c r="F769" s="95" t="n"/>
      <c r="G769" s="94" t="n"/>
      <c r="H769" s="46" t="n"/>
      <c r="I769" s="46" t="n"/>
      <c r="J769" s="46" t="n"/>
      <c r="K769" s="46" t="n"/>
      <c r="L769" s="95" t="n"/>
      <c r="M769" s="95" t="n"/>
      <c r="N769" s="95" t="n"/>
      <c r="O769" s="95" t="n"/>
      <c r="P769" s="95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  <c r="Z769" s="46" t="n"/>
    </row>
    <row r="770" ht="12.75" customHeight="1">
      <c r="A770" s="100" t="n"/>
      <c r="B770" s="101" t="n"/>
      <c r="C770" s="102" t="n"/>
      <c r="D770" s="99" t="n"/>
      <c r="E770" s="95" t="n"/>
      <c r="F770" s="95" t="n"/>
      <c r="G770" s="94" t="n"/>
      <c r="H770" s="46" t="n"/>
      <c r="I770" s="46" t="n"/>
      <c r="J770" s="46" t="n"/>
      <c r="K770" s="46" t="n"/>
      <c r="L770" s="95" t="n"/>
      <c r="M770" s="95" t="n"/>
      <c r="N770" s="95" t="n"/>
      <c r="O770" s="95" t="n"/>
      <c r="P770" s="95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  <c r="Z770" s="46" t="n"/>
    </row>
    <row r="771" ht="12.75" customHeight="1">
      <c r="A771" s="100" t="n"/>
      <c r="B771" s="101" t="n"/>
      <c r="C771" s="102" t="n"/>
      <c r="D771" s="99" t="n"/>
      <c r="E771" s="95" t="n"/>
      <c r="F771" s="95" t="n"/>
      <c r="G771" s="94" t="n"/>
      <c r="H771" s="46" t="n"/>
      <c r="I771" s="46" t="n"/>
      <c r="J771" s="46" t="n"/>
      <c r="K771" s="46" t="n"/>
      <c r="L771" s="95" t="n"/>
      <c r="M771" s="95" t="n"/>
      <c r="N771" s="95" t="n"/>
      <c r="O771" s="95" t="n"/>
      <c r="P771" s="95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  <c r="Z771" s="46" t="n"/>
    </row>
    <row r="772" ht="12.75" customHeight="1">
      <c r="A772" s="100" t="n"/>
      <c r="B772" s="101" t="n"/>
      <c r="C772" s="102" t="n"/>
      <c r="D772" s="99" t="n"/>
      <c r="E772" s="95" t="n"/>
      <c r="F772" s="95" t="n"/>
      <c r="G772" s="94" t="n"/>
      <c r="H772" s="46" t="n"/>
      <c r="I772" s="46" t="n"/>
      <c r="J772" s="46" t="n"/>
      <c r="K772" s="46" t="n"/>
      <c r="L772" s="95" t="n"/>
      <c r="M772" s="95" t="n"/>
      <c r="N772" s="95" t="n"/>
      <c r="O772" s="95" t="n"/>
      <c r="P772" s="95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  <c r="Z772" s="46" t="n"/>
    </row>
    <row r="773" ht="12.75" customHeight="1">
      <c r="A773" s="100" t="n"/>
      <c r="B773" s="101" t="n"/>
      <c r="C773" s="102" t="n"/>
      <c r="D773" s="99" t="n"/>
      <c r="E773" s="95" t="n"/>
      <c r="F773" s="95" t="n"/>
      <c r="G773" s="94" t="n"/>
      <c r="H773" s="46" t="n"/>
      <c r="I773" s="46" t="n"/>
      <c r="J773" s="46" t="n"/>
      <c r="K773" s="46" t="n"/>
      <c r="L773" s="95" t="n"/>
      <c r="M773" s="95" t="n"/>
      <c r="N773" s="95" t="n"/>
      <c r="O773" s="95" t="n"/>
      <c r="P773" s="95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  <c r="Z773" s="46" t="n"/>
    </row>
    <row r="774" ht="12.75" customHeight="1">
      <c r="A774" s="100" t="n"/>
      <c r="B774" s="101" t="n"/>
      <c r="C774" s="102" t="n"/>
      <c r="D774" s="99" t="n"/>
      <c r="E774" s="95" t="n"/>
      <c r="F774" s="95" t="n"/>
      <c r="G774" s="94" t="n"/>
      <c r="H774" s="46" t="n"/>
      <c r="I774" s="46" t="n"/>
      <c r="J774" s="46" t="n"/>
      <c r="K774" s="46" t="n"/>
      <c r="L774" s="95" t="n"/>
      <c r="M774" s="95" t="n"/>
      <c r="N774" s="95" t="n"/>
      <c r="O774" s="95" t="n"/>
      <c r="P774" s="95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  <c r="Z774" s="46" t="n"/>
    </row>
    <row r="775" ht="12.75" customHeight="1">
      <c r="A775" s="100" t="n"/>
      <c r="B775" s="101" t="n"/>
      <c r="C775" s="102" t="n"/>
      <c r="D775" s="99" t="n"/>
      <c r="E775" s="95" t="n"/>
      <c r="F775" s="95" t="n"/>
      <c r="G775" s="94" t="n"/>
      <c r="H775" s="46" t="n"/>
      <c r="I775" s="46" t="n"/>
      <c r="J775" s="46" t="n"/>
      <c r="K775" s="46" t="n"/>
      <c r="L775" s="95" t="n"/>
      <c r="M775" s="95" t="n"/>
      <c r="N775" s="95" t="n"/>
      <c r="O775" s="95" t="n"/>
      <c r="P775" s="95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  <c r="Z775" s="46" t="n"/>
    </row>
    <row r="776" ht="12.75" customHeight="1">
      <c r="A776" s="100" t="n"/>
      <c r="B776" s="101" t="n"/>
      <c r="C776" s="102" t="n"/>
      <c r="D776" s="99" t="n"/>
      <c r="E776" s="95" t="n"/>
      <c r="F776" s="95" t="n"/>
      <c r="G776" s="94" t="n"/>
      <c r="H776" s="46" t="n"/>
      <c r="I776" s="46" t="n"/>
      <c r="J776" s="46" t="n"/>
      <c r="K776" s="46" t="n"/>
      <c r="L776" s="95" t="n"/>
      <c r="M776" s="95" t="n"/>
      <c r="N776" s="95" t="n"/>
      <c r="O776" s="95" t="n"/>
      <c r="P776" s="95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  <c r="Z776" s="46" t="n"/>
    </row>
    <row r="777" ht="12.75" customHeight="1">
      <c r="A777" s="100" t="n"/>
      <c r="B777" s="101" t="n"/>
      <c r="C777" s="102" t="n"/>
      <c r="D777" s="99" t="n"/>
      <c r="E777" s="95" t="n"/>
      <c r="F777" s="95" t="n"/>
      <c r="G777" s="94" t="n"/>
      <c r="H777" s="46" t="n"/>
      <c r="I777" s="46" t="n"/>
      <c r="J777" s="46" t="n"/>
      <c r="K777" s="46" t="n"/>
      <c r="L777" s="95" t="n"/>
      <c r="M777" s="95" t="n"/>
      <c r="N777" s="95" t="n"/>
      <c r="O777" s="95" t="n"/>
      <c r="P777" s="95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  <c r="Z777" s="46" t="n"/>
    </row>
    <row r="778" ht="12.75" customHeight="1">
      <c r="A778" s="100" t="n"/>
      <c r="B778" s="101" t="n"/>
      <c r="C778" s="102" t="n"/>
      <c r="D778" s="99" t="n"/>
      <c r="E778" s="95" t="n"/>
      <c r="F778" s="95" t="n"/>
      <c r="G778" s="94" t="n"/>
      <c r="H778" s="46" t="n"/>
      <c r="I778" s="46" t="n"/>
      <c r="J778" s="46" t="n"/>
      <c r="K778" s="46" t="n"/>
      <c r="L778" s="95" t="n"/>
      <c r="M778" s="95" t="n"/>
      <c r="N778" s="95" t="n"/>
      <c r="O778" s="95" t="n"/>
      <c r="P778" s="95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  <c r="Z778" s="46" t="n"/>
    </row>
    <row r="779" ht="12.75" customHeight="1">
      <c r="A779" s="100" t="n"/>
      <c r="B779" s="101" t="n"/>
      <c r="C779" s="102" t="n"/>
      <c r="D779" s="99" t="n"/>
      <c r="E779" s="95" t="n"/>
      <c r="F779" s="95" t="n"/>
      <c r="G779" s="94" t="n"/>
      <c r="H779" s="46" t="n"/>
      <c r="I779" s="46" t="n"/>
      <c r="J779" s="46" t="n"/>
      <c r="K779" s="46" t="n"/>
      <c r="L779" s="95" t="n"/>
      <c r="M779" s="95" t="n"/>
      <c r="N779" s="95" t="n"/>
      <c r="O779" s="95" t="n"/>
      <c r="P779" s="95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  <c r="Z779" s="46" t="n"/>
    </row>
    <row r="780" ht="12.75" customHeight="1">
      <c r="A780" s="100" t="n"/>
      <c r="B780" s="101" t="n"/>
      <c r="C780" s="102" t="n"/>
      <c r="D780" s="99" t="n"/>
      <c r="E780" s="95" t="n"/>
      <c r="F780" s="95" t="n"/>
      <c r="G780" s="94" t="n"/>
      <c r="H780" s="46" t="n"/>
      <c r="I780" s="46" t="n"/>
      <c r="J780" s="46" t="n"/>
      <c r="K780" s="46" t="n"/>
      <c r="L780" s="95" t="n"/>
      <c r="M780" s="95" t="n"/>
      <c r="N780" s="95" t="n"/>
      <c r="O780" s="95" t="n"/>
      <c r="P780" s="95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  <c r="Z780" s="46" t="n"/>
    </row>
    <row r="781" ht="12.75" customHeight="1">
      <c r="A781" s="100" t="n"/>
      <c r="B781" s="101" t="n"/>
      <c r="C781" s="102" t="n"/>
      <c r="D781" s="99" t="n"/>
      <c r="E781" s="95" t="n"/>
      <c r="F781" s="95" t="n"/>
      <c r="G781" s="94" t="n"/>
      <c r="H781" s="46" t="n"/>
      <c r="I781" s="46" t="n"/>
      <c r="J781" s="46" t="n"/>
      <c r="K781" s="46" t="n"/>
      <c r="L781" s="95" t="n"/>
      <c r="M781" s="95" t="n"/>
      <c r="N781" s="95" t="n"/>
      <c r="O781" s="95" t="n"/>
      <c r="P781" s="95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  <c r="Z781" s="46" t="n"/>
    </row>
    <row r="782" ht="12.75" customHeight="1">
      <c r="A782" s="100" t="n"/>
      <c r="B782" s="101" t="n"/>
      <c r="C782" s="102" t="n"/>
      <c r="D782" s="99" t="n"/>
      <c r="E782" s="95" t="n"/>
      <c r="F782" s="95" t="n"/>
      <c r="G782" s="94" t="n"/>
      <c r="H782" s="46" t="n"/>
      <c r="I782" s="46" t="n"/>
      <c r="J782" s="46" t="n"/>
      <c r="K782" s="46" t="n"/>
      <c r="L782" s="95" t="n"/>
      <c r="M782" s="95" t="n"/>
      <c r="N782" s="95" t="n"/>
      <c r="O782" s="95" t="n"/>
      <c r="P782" s="95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  <c r="Z782" s="46" t="n"/>
    </row>
    <row r="783" ht="12.75" customHeight="1">
      <c r="A783" s="100" t="n"/>
      <c r="B783" s="101" t="n"/>
      <c r="C783" s="102" t="n"/>
      <c r="D783" s="99" t="n"/>
      <c r="E783" s="95" t="n"/>
      <c r="F783" s="95" t="n"/>
      <c r="G783" s="94" t="n"/>
      <c r="H783" s="46" t="n"/>
      <c r="I783" s="46" t="n"/>
      <c r="J783" s="46" t="n"/>
      <c r="K783" s="46" t="n"/>
      <c r="L783" s="95" t="n"/>
      <c r="M783" s="95" t="n"/>
      <c r="N783" s="95" t="n"/>
      <c r="O783" s="95" t="n"/>
      <c r="P783" s="95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  <c r="Z783" s="46" t="n"/>
    </row>
    <row r="784" ht="12.75" customHeight="1">
      <c r="A784" s="100" t="n"/>
      <c r="B784" s="101" t="n"/>
      <c r="C784" s="102" t="n"/>
      <c r="D784" s="99" t="n"/>
      <c r="E784" s="95" t="n"/>
      <c r="F784" s="95" t="n"/>
      <c r="G784" s="94" t="n"/>
      <c r="H784" s="46" t="n"/>
      <c r="I784" s="46" t="n"/>
      <c r="J784" s="46" t="n"/>
      <c r="K784" s="46" t="n"/>
      <c r="L784" s="95" t="n"/>
      <c r="M784" s="95" t="n"/>
      <c r="N784" s="95" t="n"/>
      <c r="O784" s="95" t="n"/>
      <c r="P784" s="95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  <c r="Z784" s="46" t="n"/>
    </row>
    <row r="785" ht="12.75" customHeight="1">
      <c r="A785" s="100" t="n"/>
      <c r="B785" s="101" t="n"/>
      <c r="C785" s="102" t="n"/>
      <c r="D785" s="99" t="n"/>
      <c r="E785" s="95" t="n"/>
      <c r="F785" s="95" t="n"/>
      <c r="G785" s="94" t="n"/>
      <c r="H785" s="46" t="n"/>
      <c r="I785" s="46" t="n"/>
      <c r="J785" s="46" t="n"/>
      <c r="K785" s="46" t="n"/>
      <c r="L785" s="95" t="n"/>
      <c r="M785" s="95" t="n"/>
      <c r="N785" s="95" t="n"/>
      <c r="O785" s="95" t="n"/>
      <c r="P785" s="95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  <c r="Z785" s="46" t="n"/>
    </row>
    <row r="786" ht="12.75" customHeight="1">
      <c r="A786" s="100" t="n"/>
      <c r="B786" s="101" t="n"/>
      <c r="C786" s="102" t="n"/>
      <c r="D786" s="99" t="n"/>
      <c r="E786" s="95" t="n"/>
      <c r="F786" s="95" t="n"/>
      <c r="G786" s="94" t="n"/>
      <c r="H786" s="46" t="n"/>
      <c r="I786" s="46" t="n"/>
      <c r="J786" s="46" t="n"/>
      <c r="K786" s="46" t="n"/>
      <c r="L786" s="95" t="n"/>
      <c r="M786" s="95" t="n"/>
      <c r="N786" s="95" t="n"/>
      <c r="O786" s="95" t="n"/>
      <c r="P786" s="95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  <c r="Z786" s="46" t="n"/>
    </row>
    <row r="787" ht="12.75" customHeight="1">
      <c r="A787" s="100" t="n"/>
      <c r="B787" s="101" t="n"/>
      <c r="C787" s="102" t="n"/>
      <c r="D787" s="99" t="n"/>
      <c r="E787" s="95" t="n"/>
      <c r="F787" s="95" t="n"/>
      <c r="G787" s="94" t="n"/>
      <c r="H787" s="46" t="n"/>
      <c r="I787" s="46" t="n"/>
      <c r="J787" s="46" t="n"/>
      <c r="K787" s="46" t="n"/>
      <c r="L787" s="95" t="n"/>
      <c r="M787" s="95" t="n"/>
      <c r="N787" s="95" t="n"/>
      <c r="O787" s="95" t="n"/>
      <c r="P787" s="95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  <c r="Z787" s="46" t="n"/>
    </row>
    <row r="788" ht="12.75" customHeight="1">
      <c r="A788" s="100" t="n"/>
      <c r="B788" s="101" t="n"/>
      <c r="C788" s="102" t="n"/>
      <c r="D788" s="99" t="n"/>
      <c r="E788" s="95" t="n"/>
      <c r="F788" s="95" t="n"/>
      <c r="G788" s="94" t="n"/>
      <c r="H788" s="46" t="n"/>
      <c r="I788" s="46" t="n"/>
      <c r="J788" s="46" t="n"/>
      <c r="K788" s="46" t="n"/>
      <c r="L788" s="95" t="n"/>
      <c r="M788" s="95" t="n"/>
      <c r="N788" s="95" t="n"/>
      <c r="O788" s="95" t="n"/>
      <c r="P788" s="95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  <c r="Z788" s="46" t="n"/>
    </row>
    <row r="789" ht="12.75" customHeight="1">
      <c r="A789" s="100" t="n"/>
      <c r="B789" s="101" t="n"/>
      <c r="C789" s="102" t="n"/>
      <c r="D789" s="99" t="n"/>
      <c r="E789" s="95" t="n"/>
      <c r="F789" s="95" t="n"/>
      <c r="G789" s="94" t="n"/>
      <c r="H789" s="46" t="n"/>
      <c r="I789" s="46" t="n"/>
      <c r="J789" s="46" t="n"/>
      <c r="K789" s="46" t="n"/>
      <c r="L789" s="95" t="n"/>
      <c r="M789" s="95" t="n"/>
      <c r="N789" s="95" t="n"/>
      <c r="O789" s="95" t="n"/>
      <c r="P789" s="95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  <c r="Z789" s="46" t="n"/>
    </row>
    <row r="790" ht="12.75" customHeight="1">
      <c r="A790" s="100" t="n"/>
      <c r="B790" s="101" t="n"/>
      <c r="C790" s="102" t="n"/>
      <c r="D790" s="99" t="n"/>
      <c r="E790" s="95" t="n"/>
      <c r="F790" s="95" t="n"/>
      <c r="G790" s="94" t="n"/>
      <c r="H790" s="46" t="n"/>
      <c r="I790" s="46" t="n"/>
      <c r="J790" s="46" t="n"/>
      <c r="K790" s="46" t="n"/>
      <c r="L790" s="95" t="n"/>
      <c r="M790" s="95" t="n"/>
      <c r="N790" s="95" t="n"/>
      <c r="O790" s="95" t="n"/>
      <c r="P790" s="95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  <c r="Z790" s="46" t="n"/>
    </row>
    <row r="791" ht="12.75" customHeight="1">
      <c r="A791" s="100" t="n"/>
      <c r="B791" s="101" t="n"/>
      <c r="C791" s="102" t="n"/>
      <c r="D791" s="99" t="n"/>
      <c r="E791" s="95" t="n"/>
      <c r="F791" s="95" t="n"/>
      <c r="G791" s="94" t="n"/>
      <c r="H791" s="46" t="n"/>
      <c r="I791" s="46" t="n"/>
      <c r="J791" s="46" t="n"/>
      <c r="K791" s="46" t="n"/>
      <c r="L791" s="95" t="n"/>
      <c r="M791" s="95" t="n"/>
      <c r="N791" s="95" t="n"/>
      <c r="O791" s="95" t="n"/>
      <c r="P791" s="95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  <c r="Z791" s="46" t="n"/>
    </row>
    <row r="792" ht="12.75" customHeight="1">
      <c r="A792" s="100" t="n"/>
      <c r="B792" s="101" t="n"/>
      <c r="C792" s="102" t="n"/>
      <c r="D792" s="99" t="n"/>
      <c r="E792" s="95" t="n"/>
      <c r="F792" s="95" t="n"/>
      <c r="G792" s="94" t="n"/>
      <c r="H792" s="46" t="n"/>
      <c r="I792" s="46" t="n"/>
      <c r="J792" s="46" t="n"/>
      <c r="K792" s="46" t="n"/>
      <c r="L792" s="95" t="n"/>
      <c r="M792" s="95" t="n"/>
      <c r="N792" s="95" t="n"/>
      <c r="O792" s="95" t="n"/>
      <c r="P792" s="95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  <c r="Z792" s="46" t="n"/>
    </row>
    <row r="793" ht="12.75" customHeight="1">
      <c r="A793" s="100" t="n"/>
      <c r="B793" s="101" t="n"/>
      <c r="C793" s="102" t="n"/>
      <c r="D793" s="99" t="n"/>
      <c r="E793" s="95" t="n"/>
      <c r="F793" s="95" t="n"/>
      <c r="G793" s="94" t="n"/>
      <c r="H793" s="46" t="n"/>
      <c r="I793" s="46" t="n"/>
      <c r="J793" s="46" t="n"/>
      <c r="K793" s="46" t="n"/>
      <c r="L793" s="95" t="n"/>
      <c r="M793" s="95" t="n"/>
      <c r="N793" s="95" t="n"/>
      <c r="O793" s="95" t="n"/>
      <c r="P793" s="95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  <c r="Z793" s="46" t="n"/>
    </row>
    <row r="794" ht="12.75" customHeight="1">
      <c r="A794" s="100" t="n"/>
      <c r="B794" s="101" t="n"/>
      <c r="C794" s="102" t="n"/>
      <c r="D794" s="99" t="n"/>
      <c r="E794" s="95" t="n"/>
      <c r="F794" s="95" t="n"/>
      <c r="G794" s="94" t="n"/>
      <c r="H794" s="46" t="n"/>
      <c r="I794" s="46" t="n"/>
      <c r="J794" s="46" t="n"/>
      <c r="K794" s="46" t="n"/>
      <c r="L794" s="95" t="n"/>
      <c r="M794" s="95" t="n"/>
      <c r="N794" s="95" t="n"/>
      <c r="O794" s="95" t="n"/>
      <c r="P794" s="95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  <c r="Z794" s="46" t="n"/>
    </row>
    <row r="795" ht="12.75" customHeight="1">
      <c r="A795" s="100" t="n"/>
      <c r="B795" s="101" t="n"/>
      <c r="C795" s="102" t="n"/>
      <c r="D795" s="99" t="n"/>
      <c r="E795" s="95" t="n"/>
      <c r="F795" s="95" t="n"/>
      <c r="G795" s="94" t="n"/>
      <c r="H795" s="46" t="n"/>
      <c r="I795" s="46" t="n"/>
      <c r="J795" s="46" t="n"/>
      <c r="K795" s="46" t="n"/>
      <c r="L795" s="95" t="n"/>
      <c r="M795" s="95" t="n"/>
      <c r="N795" s="95" t="n"/>
      <c r="O795" s="95" t="n"/>
      <c r="P795" s="95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  <c r="Z795" s="46" t="n"/>
    </row>
    <row r="796" ht="12.75" customHeight="1">
      <c r="A796" s="100" t="n"/>
      <c r="B796" s="101" t="n"/>
      <c r="C796" s="102" t="n"/>
      <c r="D796" s="99" t="n"/>
      <c r="E796" s="95" t="n"/>
      <c r="F796" s="95" t="n"/>
      <c r="G796" s="94" t="n"/>
      <c r="H796" s="46" t="n"/>
      <c r="I796" s="46" t="n"/>
      <c r="J796" s="46" t="n"/>
      <c r="K796" s="46" t="n"/>
      <c r="L796" s="95" t="n"/>
      <c r="M796" s="95" t="n"/>
      <c r="N796" s="95" t="n"/>
      <c r="O796" s="95" t="n"/>
      <c r="P796" s="95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  <c r="Z796" s="46" t="n"/>
    </row>
    <row r="797" ht="12.75" customHeight="1">
      <c r="A797" s="100" t="n"/>
      <c r="B797" s="101" t="n"/>
      <c r="C797" s="102" t="n"/>
      <c r="D797" s="99" t="n"/>
      <c r="E797" s="95" t="n"/>
      <c r="F797" s="95" t="n"/>
      <c r="G797" s="94" t="n"/>
      <c r="H797" s="46" t="n"/>
      <c r="I797" s="46" t="n"/>
      <c r="J797" s="46" t="n"/>
      <c r="K797" s="46" t="n"/>
      <c r="L797" s="95" t="n"/>
      <c r="M797" s="95" t="n"/>
      <c r="N797" s="95" t="n"/>
      <c r="O797" s="95" t="n"/>
      <c r="P797" s="95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  <c r="Z797" s="46" t="n"/>
    </row>
    <row r="798" ht="12.75" customHeight="1">
      <c r="A798" s="100" t="n"/>
      <c r="B798" s="101" t="n"/>
      <c r="C798" s="102" t="n"/>
      <c r="D798" s="99" t="n"/>
      <c r="E798" s="95" t="n"/>
      <c r="F798" s="95" t="n"/>
      <c r="G798" s="94" t="n"/>
      <c r="H798" s="46" t="n"/>
      <c r="I798" s="46" t="n"/>
      <c r="J798" s="46" t="n"/>
      <c r="K798" s="46" t="n"/>
      <c r="L798" s="95" t="n"/>
      <c r="M798" s="95" t="n"/>
      <c r="N798" s="95" t="n"/>
      <c r="O798" s="95" t="n"/>
      <c r="P798" s="95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  <c r="Z798" s="46" t="n"/>
    </row>
    <row r="799" ht="12.75" customHeight="1">
      <c r="A799" s="100" t="n"/>
      <c r="B799" s="101" t="n"/>
      <c r="C799" s="102" t="n"/>
      <c r="D799" s="99" t="n"/>
      <c r="E799" s="95" t="n"/>
      <c r="F799" s="95" t="n"/>
      <c r="G799" s="94" t="n"/>
      <c r="H799" s="46" t="n"/>
      <c r="I799" s="46" t="n"/>
      <c r="J799" s="46" t="n"/>
      <c r="K799" s="46" t="n"/>
      <c r="L799" s="95" t="n"/>
      <c r="M799" s="95" t="n"/>
      <c r="N799" s="95" t="n"/>
      <c r="O799" s="95" t="n"/>
      <c r="P799" s="95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  <c r="Z799" s="46" t="n"/>
    </row>
    <row r="800" ht="12.75" customHeight="1">
      <c r="A800" s="100" t="n"/>
      <c r="B800" s="101" t="n"/>
      <c r="C800" s="102" t="n"/>
      <c r="D800" s="99" t="n"/>
      <c r="E800" s="95" t="n"/>
      <c r="F800" s="95" t="n"/>
      <c r="G800" s="94" t="n"/>
      <c r="H800" s="46" t="n"/>
      <c r="I800" s="46" t="n"/>
      <c r="J800" s="46" t="n"/>
      <c r="K800" s="46" t="n"/>
      <c r="L800" s="95" t="n"/>
      <c r="M800" s="95" t="n"/>
      <c r="N800" s="95" t="n"/>
      <c r="O800" s="95" t="n"/>
      <c r="P800" s="95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  <c r="Z800" s="46" t="n"/>
    </row>
    <row r="801" ht="12.75" customHeight="1">
      <c r="A801" s="100" t="n"/>
      <c r="B801" s="101" t="n"/>
      <c r="C801" s="102" t="n"/>
      <c r="D801" s="99" t="n"/>
      <c r="E801" s="95" t="n"/>
      <c r="F801" s="95" t="n"/>
      <c r="G801" s="94" t="n"/>
      <c r="H801" s="46" t="n"/>
      <c r="I801" s="46" t="n"/>
      <c r="J801" s="46" t="n"/>
      <c r="K801" s="46" t="n"/>
      <c r="L801" s="95" t="n"/>
      <c r="M801" s="95" t="n"/>
      <c r="N801" s="95" t="n"/>
      <c r="O801" s="95" t="n"/>
      <c r="P801" s="95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  <c r="Z801" s="46" t="n"/>
    </row>
    <row r="802" ht="12.75" customHeight="1">
      <c r="A802" s="100" t="n"/>
      <c r="B802" s="101" t="n"/>
      <c r="C802" s="102" t="n"/>
      <c r="D802" s="99" t="n"/>
      <c r="E802" s="95" t="n"/>
      <c r="F802" s="95" t="n"/>
      <c r="G802" s="94" t="n"/>
      <c r="H802" s="46" t="n"/>
      <c r="I802" s="46" t="n"/>
      <c r="J802" s="46" t="n"/>
      <c r="K802" s="46" t="n"/>
      <c r="L802" s="95" t="n"/>
      <c r="M802" s="95" t="n"/>
      <c r="N802" s="95" t="n"/>
      <c r="O802" s="95" t="n"/>
      <c r="P802" s="95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  <c r="Z802" s="46" t="n"/>
    </row>
    <row r="803" ht="12.75" customHeight="1">
      <c r="A803" s="100" t="n"/>
      <c r="B803" s="101" t="n"/>
      <c r="C803" s="102" t="n"/>
      <c r="D803" s="99" t="n"/>
      <c r="E803" s="95" t="n"/>
      <c r="F803" s="95" t="n"/>
      <c r="G803" s="94" t="n"/>
      <c r="H803" s="46" t="n"/>
      <c r="I803" s="46" t="n"/>
      <c r="J803" s="46" t="n"/>
      <c r="K803" s="46" t="n"/>
      <c r="L803" s="95" t="n"/>
      <c r="M803" s="95" t="n"/>
      <c r="N803" s="95" t="n"/>
      <c r="O803" s="95" t="n"/>
      <c r="P803" s="95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  <c r="Z803" s="46" t="n"/>
    </row>
    <row r="804" ht="12.75" customHeight="1">
      <c r="A804" s="100" t="n"/>
      <c r="B804" s="101" t="n"/>
      <c r="C804" s="102" t="n"/>
      <c r="D804" s="99" t="n"/>
      <c r="E804" s="95" t="n"/>
      <c r="F804" s="95" t="n"/>
      <c r="G804" s="94" t="n"/>
      <c r="H804" s="46" t="n"/>
      <c r="I804" s="46" t="n"/>
      <c r="J804" s="46" t="n"/>
      <c r="K804" s="46" t="n"/>
      <c r="L804" s="95" t="n"/>
      <c r="M804" s="95" t="n"/>
      <c r="N804" s="95" t="n"/>
      <c r="O804" s="95" t="n"/>
      <c r="P804" s="95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  <c r="Z804" s="46" t="n"/>
    </row>
    <row r="805" ht="12.75" customHeight="1">
      <c r="A805" s="100" t="n"/>
      <c r="B805" s="101" t="n"/>
      <c r="C805" s="102" t="n"/>
      <c r="D805" s="99" t="n"/>
      <c r="E805" s="95" t="n"/>
      <c r="F805" s="95" t="n"/>
      <c r="G805" s="94" t="n"/>
      <c r="H805" s="46" t="n"/>
      <c r="I805" s="46" t="n"/>
      <c r="J805" s="46" t="n"/>
      <c r="K805" s="46" t="n"/>
      <c r="L805" s="95" t="n"/>
      <c r="M805" s="95" t="n"/>
      <c r="N805" s="95" t="n"/>
      <c r="O805" s="95" t="n"/>
      <c r="P805" s="95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  <c r="Z805" s="46" t="n"/>
    </row>
    <row r="806" ht="12.75" customHeight="1">
      <c r="A806" s="100" t="n"/>
      <c r="B806" s="101" t="n"/>
      <c r="C806" s="102" t="n"/>
      <c r="D806" s="99" t="n"/>
      <c r="E806" s="95" t="n"/>
      <c r="F806" s="95" t="n"/>
      <c r="G806" s="94" t="n"/>
      <c r="H806" s="46" t="n"/>
      <c r="I806" s="46" t="n"/>
      <c r="J806" s="46" t="n"/>
      <c r="K806" s="46" t="n"/>
      <c r="L806" s="95" t="n"/>
      <c r="M806" s="95" t="n"/>
      <c r="N806" s="95" t="n"/>
      <c r="O806" s="95" t="n"/>
      <c r="P806" s="95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  <c r="Z806" s="46" t="n"/>
    </row>
    <row r="807" ht="12.75" customHeight="1">
      <c r="A807" s="100" t="n"/>
      <c r="B807" s="101" t="n"/>
      <c r="C807" s="102" t="n"/>
      <c r="D807" s="99" t="n"/>
      <c r="E807" s="95" t="n"/>
      <c r="F807" s="95" t="n"/>
      <c r="G807" s="94" t="n"/>
      <c r="H807" s="46" t="n"/>
      <c r="I807" s="46" t="n"/>
      <c r="J807" s="46" t="n"/>
      <c r="K807" s="46" t="n"/>
      <c r="L807" s="95" t="n"/>
      <c r="M807" s="95" t="n"/>
      <c r="N807" s="95" t="n"/>
      <c r="O807" s="95" t="n"/>
      <c r="P807" s="95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  <c r="Z807" s="46" t="n"/>
    </row>
    <row r="808" ht="12.75" customHeight="1">
      <c r="A808" s="100" t="n"/>
      <c r="B808" s="101" t="n"/>
      <c r="C808" s="102" t="n"/>
      <c r="D808" s="99" t="n"/>
      <c r="E808" s="95" t="n"/>
      <c r="F808" s="95" t="n"/>
      <c r="G808" s="94" t="n"/>
      <c r="H808" s="46" t="n"/>
      <c r="I808" s="46" t="n"/>
      <c r="J808" s="46" t="n"/>
      <c r="K808" s="46" t="n"/>
      <c r="L808" s="95" t="n"/>
      <c r="M808" s="95" t="n"/>
      <c r="N808" s="95" t="n"/>
      <c r="O808" s="95" t="n"/>
      <c r="P808" s="95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  <c r="Z808" s="46" t="n"/>
    </row>
    <row r="809" ht="12.75" customHeight="1">
      <c r="A809" s="100" t="n"/>
      <c r="B809" s="101" t="n"/>
      <c r="C809" s="102" t="n"/>
      <c r="D809" s="99" t="n"/>
      <c r="E809" s="95" t="n"/>
      <c r="F809" s="95" t="n"/>
      <c r="G809" s="94" t="n"/>
      <c r="H809" s="46" t="n"/>
      <c r="I809" s="46" t="n"/>
      <c r="J809" s="46" t="n"/>
      <c r="K809" s="46" t="n"/>
      <c r="L809" s="95" t="n"/>
      <c r="M809" s="95" t="n"/>
      <c r="N809" s="95" t="n"/>
      <c r="O809" s="95" t="n"/>
      <c r="P809" s="95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  <c r="Z809" s="46" t="n"/>
    </row>
    <row r="810" ht="12.75" customHeight="1">
      <c r="A810" s="100" t="n"/>
      <c r="B810" s="101" t="n"/>
      <c r="C810" s="102" t="n"/>
      <c r="D810" s="99" t="n"/>
      <c r="E810" s="95" t="n"/>
      <c r="F810" s="95" t="n"/>
      <c r="G810" s="94" t="n"/>
      <c r="H810" s="46" t="n"/>
      <c r="I810" s="46" t="n"/>
      <c r="J810" s="46" t="n"/>
      <c r="K810" s="46" t="n"/>
      <c r="L810" s="95" t="n"/>
      <c r="M810" s="95" t="n"/>
      <c r="N810" s="95" t="n"/>
      <c r="O810" s="95" t="n"/>
      <c r="P810" s="95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  <c r="Z810" s="46" t="n"/>
    </row>
    <row r="811" ht="12.75" customHeight="1">
      <c r="A811" s="100" t="n"/>
      <c r="B811" s="101" t="n"/>
      <c r="C811" s="102" t="n"/>
      <c r="D811" s="99" t="n"/>
      <c r="E811" s="95" t="n"/>
      <c r="F811" s="95" t="n"/>
      <c r="G811" s="94" t="n"/>
      <c r="H811" s="46" t="n"/>
      <c r="I811" s="46" t="n"/>
      <c r="J811" s="46" t="n"/>
      <c r="K811" s="46" t="n"/>
      <c r="L811" s="95" t="n"/>
      <c r="M811" s="95" t="n"/>
      <c r="N811" s="95" t="n"/>
      <c r="O811" s="95" t="n"/>
      <c r="P811" s="95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  <c r="Z811" s="46" t="n"/>
    </row>
    <row r="812" ht="12.75" customHeight="1">
      <c r="A812" s="100" t="n"/>
      <c r="B812" s="101" t="n"/>
      <c r="C812" s="102" t="n"/>
      <c r="D812" s="99" t="n"/>
      <c r="E812" s="95" t="n"/>
      <c r="F812" s="95" t="n"/>
      <c r="G812" s="94" t="n"/>
      <c r="H812" s="46" t="n"/>
      <c r="I812" s="46" t="n"/>
      <c r="J812" s="46" t="n"/>
      <c r="K812" s="46" t="n"/>
      <c r="L812" s="95" t="n"/>
      <c r="M812" s="95" t="n"/>
      <c r="N812" s="95" t="n"/>
      <c r="O812" s="95" t="n"/>
      <c r="P812" s="95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  <c r="Z812" s="46" t="n"/>
    </row>
    <row r="813" ht="12.75" customHeight="1">
      <c r="A813" s="100" t="n"/>
      <c r="B813" s="101" t="n"/>
      <c r="C813" s="102" t="n"/>
      <c r="D813" s="99" t="n"/>
      <c r="E813" s="95" t="n"/>
      <c r="F813" s="95" t="n"/>
      <c r="G813" s="94" t="n"/>
      <c r="H813" s="46" t="n"/>
      <c r="I813" s="46" t="n"/>
      <c r="J813" s="46" t="n"/>
      <c r="K813" s="46" t="n"/>
      <c r="L813" s="95" t="n"/>
      <c r="M813" s="95" t="n"/>
      <c r="N813" s="95" t="n"/>
      <c r="O813" s="95" t="n"/>
      <c r="P813" s="95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  <c r="Z813" s="46" t="n"/>
    </row>
    <row r="814" ht="12.75" customHeight="1">
      <c r="A814" s="100" t="n"/>
      <c r="B814" s="101" t="n"/>
      <c r="C814" s="102" t="n"/>
      <c r="D814" s="99" t="n"/>
      <c r="E814" s="95" t="n"/>
      <c r="F814" s="95" t="n"/>
      <c r="G814" s="94" t="n"/>
      <c r="H814" s="46" t="n"/>
      <c r="I814" s="46" t="n"/>
      <c r="J814" s="46" t="n"/>
      <c r="K814" s="46" t="n"/>
      <c r="L814" s="95" t="n"/>
      <c r="M814" s="95" t="n"/>
      <c r="N814" s="95" t="n"/>
      <c r="O814" s="95" t="n"/>
      <c r="P814" s="95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  <c r="Z814" s="46" t="n"/>
    </row>
    <row r="815" ht="12.75" customHeight="1">
      <c r="A815" s="100" t="n"/>
      <c r="B815" s="101" t="n"/>
      <c r="C815" s="102" t="n"/>
      <c r="D815" s="99" t="n"/>
      <c r="E815" s="95" t="n"/>
      <c r="F815" s="95" t="n"/>
      <c r="G815" s="94" t="n"/>
      <c r="H815" s="46" t="n"/>
      <c r="I815" s="46" t="n"/>
      <c r="J815" s="46" t="n"/>
      <c r="K815" s="46" t="n"/>
      <c r="L815" s="95" t="n"/>
      <c r="M815" s="95" t="n"/>
      <c r="N815" s="95" t="n"/>
      <c r="O815" s="95" t="n"/>
      <c r="P815" s="95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  <c r="Z815" s="46" t="n"/>
    </row>
    <row r="816" ht="12.75" customHeight="1">
      <c r="A816" s="100" t="n"/>
      <c r="B816" s="101" t="n"/>
      <c r="C816" s="102" t="n"/>
      <c r="D816" s="99" t="n"/>
      <c r="E816" s="95" t="n"/>
      <c r="F816" s="95" t="n"/>
      <c r="G816" s="94" t="n"/>
      <c r="H816" s="46" t="n"/>
      <c r="I816" s="46" t="n"/>
      <c r="J816" s="46" t="n"/>
      <c r="K816" s="46" t="n"/>
      <c r="L816" s="95" t="n"/>
      <c r="M816" s="95" t="n"/>
      <c r="N816" s="95" t="n"/>
      <c r="O816" s="95" t="n"/>
      <c r="P816" s="95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  <c r="Z816" s="46" t="n"/>
    </row>
    <row r="817" ht="12.75" customHeight="1">
      <c r="A817" s="100" t="n"/>
      <c r="B817" s="101" t="n"/>
      <c r="C817" s="102" t="n"/>
      <c r="D817" s="99" t="n"/>
      <c r="E817" s="95" t="n"/>
      <c r="F817" s="95" t="n"/>
      <c r="G817" s="94" t="n"/>
      <c r="H817" s="46" t="n"/>
      <c r="I817" s="46" t="n"/>
      <c r="J817" s="46" t="n"/>
      <c r="K817" s="46" t="n"/>
      <c r="L817" s="95" t="n"/>
      <c r="M817" s="95" t="n"/>
      <c r="N817" s="95" t="n"/>
      <c r="O817" s="95" t="n"/>
      <c r="P817" s="95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  <c r="Z817" s="46" t="n"/>
    </row>
    <row r="818" ht="12.75" customHeight="1">
      <c r="A818" s="100" t="n"/>
      <c r="B818" s="101" t="n"/>
      <c r="C818" s="102" t="n"/>
      <c r="D818" s="99" t="n"/>
      <c r="E818" s="95" t="n"/>
      <c r="F818" s="95" t="n"/>
      <c r="G818" s="94" t="n"/>
      <c r="H818" s="46" t="n"/>
      <c r="I818" s="46" t="n"/>
      <c r="J818" s="46" t="n"/>
      <c r="K818" s="46" t="n"/>
      <c r="L818" s="95" t="n"/>
      <c r="M818" s="95" t="n"/>
      <c r="N818" s="95" t="n"/>
      <c r="O818" s="95" t="n"/>
      <c r="P818" s="95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  <c r="Z818" s="46" t="n"/>
    </row>
    <row r="819" ht="12.75" customHeight="1">
      <c r="A819" s="100" t="n"/>
      <c r="B819" s="101" t="n"/>
      <c r="C819" s="102" t="n"/>
      <c r="D819" s="99" t="n"/>
      <c r="E819" s="95" t="n"/>
      <c r="F819" s="95" t="n"/>
      <c r="G819" s="94" t="n"/>
      <c r="H819" s="46" t="n"/>
      <c r="I819" s="46" t="n"/>
      <c r="J819" s="46" t="n"/>
      <c r="K819" s="46" t="n"/>
      <c r="L819" s="95" t="n"/>
      <c r="M819" s="95" t="n"/>
      <c r="N819" s="95" t="n"/>
      <c r="O819" s="95" t="n"/>
      <c r="P819" s="95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  <c r="Z819" s="46" t="n"/>
    </row>
    <row r="820" ht="12.75" customHeight="1">
      <c r="A820" s="100" t="n"/>
      <c r="B820" s="101" t="n"/>
      <c r="C820" s="102" t="n"/>
      <c r="D820" s="99" t="n"/>
      <c r="E820" s="95" t="n"/>
      <c r="F820" s="95" t="n"/>
      <c r="G820" s="94" t="n"/>
      <c r="H820" s="46" t="n"/>
      <c r="I820" s="46" t="n"/>
      <c r="J820" s="46" t="n"/>
      <c r="K820" s="46" t="n"/>
      <c r="L820" s="95" t="n"/>
      <c r="M820" s="95" t="n"/>
      <c r="N820" s="95" t="n"/>
      <c r="O820" s="95" t="n"/>
      <c r="P820" s="95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  <c r="Z820" s="46" t="n"/>
    </row>
    <row r="821" ht="12.75" customHeight="1">
      <c r="A821" s="100" t="n"/>
      <c r="B821" s="101" t="n"/>
      <c r="C821" s="102" t="n"/>
      <c r="D821" s="99" t="n"/>
      <c r="E821" s="95" t="n"/>
      <c r="F821" s="95" t="n"/>
      <c r="G821" s="94" t="n"/>
      <c r="H821" s="46" t="n"/>
      <c r="I821" s="46" t="n"/>
      <c r="J821" s="46" t="n"/>
      <c r="K821" s="46" t="n"/>
      <c r="L821" s="95" t="n"/>
      <c r="M821" s="95" t="n"/>
      <c r="N821" s="95" t="n"/>
      <c r="O821" s="95" t="n"/>
      <c r="P821" s="95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  <c r="Z821" s="46" t="n"/>
    </row>
    <row r="822" ht="12.75" customHeight="1">
      <c r="A822" s="100" t="n"/>
      <c r="B822" s="101" t="n"/>
      <c r="C822" s="102" t="n"/>
      <c r="D822" s="99" t="n"/>
      <c r="E822" s="95" t="n"/>
      <c r="F822" s="95" t="n"/>
      <c r="G822" s="94" t="n"/>
      <c r="H822" s="46" t="n"/>
      <c r="I822" s="46" t="n"/>
      <c r="J822" s="46" t="n"/>
      <c r="K822" s="46" t="n"/>
      <c r="L822" s="95" t="n"/>
      <c r="M822" s="95" t="n"/>
      <c r="N822" s="95" t="n"/>
      <c r="O822" s="95" t="n"/>
      <c r="P822" s="95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  <c r="Z822" s="46" t="n"/>
    </row>
    <row r="823" ht="12.75" customHeight="1">
      <c r="A823" s="100" t="n"/>
      <c r="B823" s="101" t="n"/>
      <c r="C823" s="102" t="n"/>
      <c r="D823" s="99" t="n"/>
      <c r="E823" s="95" t="n"/>
      <c r="F823" s="95" t="n"/>
      <c r="G823" s="94" t="n"/>
      <c r="H823" s="46" t="n"/>
      <c r="I823" s="46" t="n"/>
      <c r="J823" s="46" t="n"/>
      <c r="K823" s="46" t="n"/>
      <c r="L823" s="95" t="n"/>
      <c r="M823" s="95" t="n"/>
      <c r="N823" s="95" t="n"/>
      <c r="O823" s="95" t="n"/>
      <c r="P823" s="95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  <c r="Z823" s="46" t="n"/>
    </row>
    <row r="824" ht="12.75" customHeight="1">
      <c r="A824" s="100" t="n"/>
      <c r="B824" s="101" t="n"/>
      <c r="C824" s="102" t="n"/>
      <c r="D824" s="99" t="n"/>
      <c r="E824" s="95" t="n"/>
      <c r="F824" s="95" t="n"/>
      <c r="G824" s="94" t="n"/>
      <c r="H824" s="46" t="n"/>
      <c r="I824" s="46" t="n"/>
      <c r="J824" s="46" t="n"/>
      <c r="K824" s="46" t="n"/>
      <c r="L824" s="95" t="n"/>
      <c r="M824" s="95" t="n"/>
      <c r="N824" s="95" t="n"/>
      <c r="O824" s="95" t="n"/>
      <c r="P824" s="95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  <c r="Z824" s="46" t="n"/>
    </row>
    <row r="825" ht="12.75" customHeight="1">
      <c r="A825" s="100" t="n"/>
      <c r="B825" s="101" t="n"/>
      <c r="C825" s="102" t="n"/>
      <c r="D825" s="99" t="n"/>
      <c r="E825" s="95" t="n"/>
      <c r="F825" s="95" t="n"/>
      <c r="G825" s="94" t="n"/>
      <c r="H825" s="46" t="n"/>
      <c r="I825" s="46" t="n"/>
      <c r="J825" s="46" t="n"/>
      <c r="K825" s="46" t="n"/>
      <c r="L825" s="95" t="n"/>
      <c r="M825" s="95" t="n"/>
      <c r="N825" s="95" t="n"/>
      <c r="O825" s="95" t="n"/>
      <c r="P825" s="95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  <c r="Z825" s="46" t="n"/>
    </row>
    <row r="826" ht="12.75" customHeight="1">
      <c r="A826" s="100" t="n"/>
      <c r="B826" s="101" t="n"/>
      <c r="C826" s="102" t="n"/>
      <c r="D826" s="99" t="n"/>
      <c r="E826" s="95" t="n"/>
      <c r="F826" s="95" t="n"/>
      <c r="G826" s="94" t="n"/>
      <c r="H826" s="46" t="n"/>
      <c r="I826" s="46" t="n"/>
      <c r="J826" s="46" t="n"/>
      <c r="K826" s="46" t="n"/>
      <c r="L826" s="95" t="n"/>
      <c r="M826" s="95" t="n"/>
      <c r="N826" s="95" t="n"/>
      <c r="O826" s="95" t="n"/>
      <c r="P826" s="95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  <c r="Z826" s="46" t="n"/>
    </row>
    <row r="827" ht="12.75" customHeight="1">
      <c r="A827" s="100" t="n"/>
      <c r="B827" s="101" t="n"/>
      <c r="C827" s="102" t="n"/>
      <c r="D827" s="99" t="n"/>
      <c r="E827" s="95" t="n"/>
      <c r="F827" s="95" t="n"/>
      <c r="G827" s="94" t="n"/>
      <c r="H827" s="46" t="n"/>
      <c r="I827" s="46" t="n"/>
      <c r="J827" s="46" t="n"/>
      <c r="K827" s="46" t="n"/>
      <c r="L827" s="95" t="n"/>
      <c r="M827" s="95" t="n"/>
      <c r="N827" s="95" t="n"/>
      <c r="O827" s="95" t="n"/>
      <c r="P827" s="95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  <c r="Z827" s="46" t="n"/>
    </row>
    <row r="828" ht="12.75" customHeight="1">
      <c r="A828" s="100" t="n"/>
      <c r="B828" s="101" t="n"/>
      <c r="C828" s="102" t="n"/>
      <c r="D828" s="99" t="n"/>
      <c r="E828" s="95" t="n"/>
      <c r="F828" s="95" t="n"/>
      <c r="G828" s="94" t="n"/>
      <c r="H828" s="46" t="n"/>
      <c r="I828" s="46" t="n"/>
      <c r="J828" s="46" t="n"/>
      <c r="K828" s="46" t="n"/>
      <c r="L828" s="95" t="n"/>
      <c r="M828" s="95" t="n"/>
      <c r="N828" s="95" t="n"/>
      <c r="O828" s="95" t="n"/>
      <c r="P828" s="95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  <c r="Z828" s="46" t="n"/>
    </row>
    <row r="829" ht="12.75" customHeight="1">
      <c r="A829" s="100" t="n"/>
      <c r="B829" s="101" t="n"/>
      <c r="C829" s="102" t="n"/>
      <c r="D829" s="99" t="n"/>
      <c r="E829" s="95" t="n"/>
      <c r="F829" s="95" t="n"/>
      <c r="G829" s="94" t="n"/>
      <c r="H829" s="46" t="n"/>
      <c r="I829" s="46" t="n"/>
      <c r="J829" s="46" t="n"/>
      <c r="K829" s="46" t="n"/>
      <c r="L829" s="95" t="n"/>
      <c r="M829" s="95" t="n"/>
      <c r="N829" s="95" t="n"/>
      <c r="O829" s="95" t="n"/>
      <c r="P829" s="95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  <c r="Z829" s="46" t="n"/>
    </row>
    <row r="830" ht="12.75" customHeight="1">
      <c r="A830" s="100" t="n"/>
      <c r="B830" s="101" t="n"/>
      <c r="C830" s="102" t="n"/>
      <c r="D830" s="99" t="n"/>
      <c r="E830" s="95" t="n"/>
      <c r="F830" s="95" t="n"/>
      <c r="G830" s="94" t="n"/>
      <c r="H830" s="46" t="n"/>
      <c r="I830" s="46" t="n"/>
      <c r="J830" s="46" t="n"/>
      <c r="K830" s="46" t="n"/>
      <c r="L830" s="95" t="n"/>
      <c r="M830" s="95" t="n"/>
      <c r="N830" s="95" t="n"/>
      <c r="O830" s="95" t="n"/>
      <c r="P830" s="95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  <c r="Z830" s="46" t="n"/>
    </row>
    <row r="831" ht="12.75" customHeight="1">
      <c r="A831" s="100" t="n"/>
      <c r="B831" s="101" t="n"/>
      <c r="C831" s="102" t="n"/>
      <c r="D831" s="99" t="n"/>
      <c r="E831" s="95" t="n"/>
      <c r="F831" s="95" t="n"/>
      <c r="G831" s="94" t="n"/>
      <c r="H831" s="46" t="n"/>
      <c r="I831" s="46" t="n"/>
      <c r="J831" s="46" t="n"/>
      <c r="K831" s="46" t="n"/>
      <c r="L831" s="95" t="n"/>
      <c r="M831" s="95" t="n"/>
      <c r="N831" s="95" t="n"/>
      <c r="O831" s="95" t="n"/>
      <c r="P831" s="95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  <c r="Z831" s="46" t="n"/>
    </row>
    <row r="832" ht="12.75" customHeight="1">
      <c r="A832" s="100" t="n"/>
      <c r="B832" s="101" t="n"/>
      <c r="C832" s="102" t="n"/>
      <c r="D832" s="99" t="n"/>
      <c r="E832" s="95" t="n"/>
      <c r="F832" s="95" t="n"/>
      <c r="G832" s="94" t="n"/>
      <c r="H832" s="46" t="n"/>
      <c r="I832" s="46" t="n"/>
      <c r="J832" s="46" t="n"/>
      <c r="K832" s="46" t="n"/>
      <c r="L832" s="95" t="n"/>
      <c r="M832" s="95" t="n"/>
      <c r="N832" s="95" t="n"/>
      <c r="O832" s="95" t="n"/>
      <c r="P832" s="95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  <c r="Z832" s="46" t="n"/>
    </row>
    <row r="833" ht="12.75" customHeight="1">
      <c r="A833" s="100" t="n"/>
      <c r="B833" s="101" t="n"/>
      <c r="C833" s="102" t="n"/>
      <c r="D833" s="99" t="n"/>
      <c r="E833" s="95" t="n"/>
      <c r="F833" s="95" t="n"/>
      <c r="G833" s="94" t="n"/>
      <c r="H833" s="46" t="n"/>
      <c r="I833" s="46" t="n"/>
      <c r="J833" s="46" t="n"/>
      <c r="K833" s="46" t="n"/>
      <c r="L833" s="95" t="n"/>
      <c r="M833" s="95" t="n"/>
      <c r="N833" s="95" t="n"/>
      <c r="O833" s="95" t="n"/>
      <c r="P833" s="95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  <c r="Z833" s="46" t="n"/>
    </row>
    <row r="834" ht="12.75" customHeight="1">
      <c r="A834" s="100" t="n"/>
      <c r="B834" s="101" t="n"/>
      <c r="C834" s="102" t="n"/>
      <c r="D834" s="99" t="n"/>
      <c r="E834" s="95" t="n"/>
      <c r="F834" s="95" t="n"/>
      <c r="G834" s="94" t="n"/>
      <c r="H834" s="46" t="n"/>
      <c r="I834" s="46" t="n"/>
      <c r="J834" s="46" t="n"/>
      <c r="K834" s="46" t="n"/>
      <c r="L834" s="95" t="n"/>
      <c r="M834" s="95" t="n"/>
      <c r="N834" s="95" t="n"/>
      <c r="O834" s="95" t="n"/>
      <c r="P834" s="95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  <c r="Z834" s="46" t="n"/>
    </row>
    <row r="835" ht="12.75" customHeight="1">
      <c r="A835" s="100" t="n"/>
      <c r="B835" s="101" t="n"/>
      <c r="C835" s="102" t="n"/>
      <c r="D835" s="99" t="n"/>
      <c r="E835" s="95" t="n"/>
      <c r="F835" s="95" t="n"/>
      <c r="G835" s="94" t="n"/>
      <c r="H835" s="46" t="n"/>
      <c r="I835" s="46" t="n"/>
      <c r="J835" s="46" t="n"/>
      <c r="K835" s="46" t="n"/>
      <c r="L835" s="95" t="n"/>
      <c r="M835" s="95" t="n"/>
      <c r="N835" s="95" t="n"/>
      <c r="O835" s="95" t="n"/>
      <c r="P835" s="95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  <c r="Z835" s="46" t="n"/>
    </row>
    <row r="836" ht="12.75" customHeight="1">
      <c r="A836" s="100" t="n"/>
      <c r="B836" s="101" t="n"/>
      <c r="C836" s="102" t="n"/>
      <c r="D836" s="99" t="n"/>
      <c r="E836" s="95" t="n"/>
      <c r="F836" s="95" t="n"/>
      <c r="G836" s="94" t="n"/>
      <c r="H836" s="46" t="n"/>
      <c r="I836" s="46" t="n"/>
      <c r="J836" s="46" t="n"/>
      <c r="K836" s="46" t="n"/>
      <c r="L836" s="95" t="n"/>
      <c r="M836" s="95" t="n"/>
      <c r="N836" s="95" t="n"/>
      <c r="O836" s="95" t="n"/>
      <c r="P836" s="95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  <c r="Z836" s="46" t="n"/>
    </row>
    <row r="837" ht="12.75" customHeight="1">
      <c r="A837" s="100" t="n"/>
      <c r="B837" s="101" t="n"/>
      <c r="C837" s="102" t="n"/>
      <c r="D837" s="99" t="n"/>
      <c r="E837" s="95" t="n"/>
      <c r="F837" s="95" t="n"/>
      <c r="G837" s="94" t="n"/>
      <c r="H837" s="46" t="n"/>
      <c r="I837" s="46" t="n"/>
      <c r="J837" s="46" t="n"/>
      <c r="K837" s="46" t="n"/>
      <c r="L837" s="95" t="n"/>
      <c r="M837" s="95" t="n"/>
      <c r="N837" s="95" t="n"/>
      <c r="O837" s="95" t="n"/>
      <c r="P837" s="95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  <c r="Z837" s="46" t="n"/>
    </row>
    <row r="838" ht="12.75" customHeight="1">
      <c r="A838" s="100" t="n"/>
      <c r="B838" s="101" t="n"/>
      <c r="C838" s="102" t="n"/>
      <c r="D838" s="99" t="n"/>
      <c r="E838" s="95" t="n"/>
      <c r="F838" s="95" t="n"/>
      <c r="G838" s="94" t="n"/>
      <c r="H838" s="46" t="n"/>
      <c r="I838" s="46" t="n"/>
      <c r="J838" s="46" t="n"/>
      <c r="K838" s="46" t="n"/>
      <c r="L838" s="95" t="n"/>
      <c r="M838" s="95" t="n"/>
      <c r="N838" s="95" t="n"/>
      <c r="O838" s="95" t="n"/>
      <c r="P838" s="95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  <c r="Z838" s="46" t="n"/>
    </row>
    <row r="839" ht="12.75" customHeight="1">
      <c r="A839" s="100" t="n"/>
      <c r="B839" s="101" t="n"/>
      <c r="C839" s="102" t="n"/>
      <c r="D839" s="99" t="n"/>
      <c r="E839" s="95" t="n"/>
      <c r="F839" s="95" t="n"/>
      <c r="G839" s="94" t="n"/>
      <c r="H839" s="46" t="n"/>
      <c r="I839" s="46" t="n"/>
      <c r="J839" s="46" t="n"/>
      <c r="K839" s="46" t="n"/>
      <c r="L839" s="95" t="n"/>
      <c r="M839" s="95" t="n"/>
      <c r="N839" s="95" t="n"/>
      <c r="O839" s="95" t="n"/>
      <c r="P839" s="95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  <c r="Z839" s="46" t="n"/>
    </row>
    <row r="840" ht="12.75" customHeight="1">
      <c r="A840" s="100" t="n"/>
      <c r="B840" s="101" t="n"/>
      <c r="C840" s="102" t="n"/>
      <c r="D840" s="99" t="n"/>
      <c r="E840" s="95" t="n"/>
      <c r="F840" s="95" t="n"/>
      <c r="G840" s="94" t="n"/>
      <c r="H840" s="46" t="n"/>
      <c r="I840" s="46" t="n"/>
      <c r="J840" s="46" t="n"/>
      <c r="K840" s="46" t="n"/>
      <c r="L840" s="95" t="n"/>
      <c r="M840" s="95" t="n"/>
      <c r="N840" s="95" t="n"/>
      <c r="O840" s="95" t="n"/>
      <c r="P840" s="95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  <c r="Z840" s="46" t="n"/>
    </row>
    <row r="841" ht="12.75" customHeight="1">
      <c r="A841" s="100" t="n"/>
      <c r="B841" s="101" t="n"/>
      <c r="C841" s="102" t="n"/>
      <c r="D841" s="99" t="n"/>
      <c r="E841" s="95" t="n"/>
      <c r="F841" s="95" t="n"/>
      <c r="G841" s="94" t="n"/>
      <c r="H841" s="46" t="n"/>
      <c r="I841" s="46" t="n"/>
      <c r="J841" s="46" t="n"/>
      <c r="K841" s="46" t="n"/>
      <c r="L841" s="95" t="n"/>
      <c r="M841" s="95" t="n"/>
      <c r="N841" s="95" t="n"/>
      <c r="O841" s="95" t="n"/>
      <c r="P841" s="95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  <c r="Z841" s="46" t="n"/>
    </row>
    <row r="842" ht="12.75" customHeight="1">
      <c r="A842" s="100" t="n"/>
      <c r="B842" s="101" t="n"/>
      <c r="C842" s="102" t="n"/>
      <c r="D842" s="99" t="n"/>
      <c r="E842" s="95" t="n"/>
      <c r="F842" s="95" t="n"/>
      <c r="G842" s="94" t="n"/>
      <c r="H842" s="46" t="n"/>
      <c r="I842" s="46" t="n"/>
      <c r="J842" s="46" t="n"/>
      <c r="K842" s="46" t="n"/>
      <c r="L842" s="95" t="n"/>
      <c r="M842" s="95" t="n"/>
      <c r="N842" s="95" t="n"/>
      <c r="O842" s="95" t="n"/>
      <c r="P842" s="95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  <c r="Z842" s="46" t="n"/>
    </row>
    <row r="843" ht="12.75" customHeight="1">
      <c r="A843" s="100" t="n"/>
      <c r="B843" s="101" t="n"/>
      <c r="C843" s="102" t="n"/>
      <c r="D843" s="99" t="n"/>
      <c r="E843" s="95" t="n"/>
      <c r="F843" s="95" t="n"/>
      <c r="G843" s="94" t="n"/>
      <c r="H843" s="46" t="n"/>
      <c r="I843" s="46" t="n"/>
      <c r="J843" s="46" t="n"/>
      <c r="K843" s="46" t="n"/>
      <c r="L843" s="95" t="n"/>
      <c r="M843" s="95" t="n"/>
      <c r="N843" s="95" t="n"/>
      <c r="O843" s="95" t="n"/>
      <c r="P843" s="95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  <c r="Z843" s="46" t="n"/>
    </row>
    <row r="844" ht="12.75" customHeight="1">
      <c r="A844" s="100" t="n"/>
      <c r="B844" s="101" t="n"/>
      <c r="C844" s="102" t="n"/>
      <c r="D844" s="99" t="n"/>
      <c r="E844" s="95" t="n"/>
      <c r="F844" s="95" t="n"/>
      <c r="G844" s="94" t="n"/>
      <c r="H844" s="46" t="n"/>
      <c r="I844" s="46" t="n"/>
      <c r="J844" s="46" t="n"/>
      <c r="K844" s="46" t="n"/>
      <c r="L844" s="95" t="n"/>
      <c r="M844" s="95" t="n"/>
      <c r="N844" s="95" t="n"/>
      <c r="O844" s="95" t="n"/>
      <c r="P844" s="95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  <c r="Z844" s="46" t="n"/>
    </row>
    <row r="845" ht="12.75" customHeight="1">
      <c r="A845" s="100" t="n"/>
      <c r="B845" s="101" t="n"/>
      <c r="C845" s="102" t="n"/>
      <c r="D845" s="99" t="n"/>
      <c r="E845" s="95" t="n"/>
      <c r="F845" s="95" t="n"/>
      <c r="G845" s="94" t="n"/>
      <c r="H845" s="46" t="n"/>
      <c r="I845" s="46" t="n"/>
      <c r="J845" s="46" t="n"/>
      <c r="K845" s="46" t="n"/>
      <c r="L845" s="95" t="n"/>
      <c r="M845" s="95" t="n"/>
      <c r="N845" s="95" t="n"/>
      <c r="O845" s="95" t="n"/>
      <c r="P845" s="95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  <c r="Z845" s="46" t="n"/>
    </row>
    <row r="846" ht="12.75" customHeight="1">
      <c r="A846" s="100" t="n"/>
      <c r="B846" s="101" t="n"/>
      <c r="C846" s="102" t="n"/>
      <c r="D846" s="99" t="n"/>
      <c r="E846" s="95" t="n"/>
      <c r="F846" s="95" t="n"/>
      <c r="G846" s="94" t="n"/>
      <c r="H846" s="46" t="n"/>
      <c r="I846" s="46" t="n"/>
      <c r="J846" s="46" t="n"/>
      <c r="K846" s="46" t="n"/>
      <c r="L846" s="95" t="n"/>
      <c r="M846" s="95" t="n"/>
      <c r="N846" s="95" t="n"/>
      <c r="O846" s="95" t="n"/>
      <c r="P846" s="95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  <c r="Z846" s="46" t="n"/>
    </row>
    <row r="847" ht="12.75" customHeight="1">
      <c r="A847" s="100" t="n"/>
      <c r="B847" s="101" t="n"/>
      <c r="C847" s="102" t="n"/>
      <c r="D847" s="99" t="n"/>
      <c r="E847" s="95" t="n"/>
      <c r="F847" s="95" t="n"/>
      <c r="G847" s="94" t="n"/>
      <c r="H847" s="46" t="n"/>
      <c r="I847" s="46" t="n"/>
      <c r="J847" s="46" t="n"/>
      <c r="K847" s="46" t="n"/>
      <c r="L847" s="95" t="n"/>
      <c r="M847" s="95" t="n"/>
      <c r="N847" s="95" t="n"/>
      <c r="O847" s="95" t="n"/>
      <c r="P847" s="95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  <c r="Z847" s="46" t="n"/>
    </row>
    <row r="848" ht="12.75" customHeight="1">
      <c r="A848" s="100" t="n"/>
      <c r="B848" s="101" t="n"/>
      <c r="C848" s="102" t="n"/>
      <c r="D848" s="99" t="n"/>
      <c r="E848" s="95" t="n"/>
      <c r="F848" s="95" t="n"/>
      <c r="G848" s="94" t="n"/>
      <c r="H848" s="46" t="n"/>
      <c r="I848" s="46" t="n"/>
      <c r="J848" s="46" t="n"/>
      <c r="K848" s="46" t="n"/>
      <c r="L848" s="95" t="n"/>
      <c r="M848" s="95" t="n"/>
      <c r="N848" s="95" t="n"/>
      <c r="O848" s="95" t="n"/>
      <c r="P848" s="95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  <c r="Z848" s="46" t="n"/>
    </row>
    <row r="849" ht="12.75" customHeight="1">
      <c r="A849" s="100" t="n"/>
      <c r="B849" s="101" t="n"/>
      <c r="C849" s="102" t="n"/>
      <c r="D849" s="99" t="n"/>
      <c r="E849" s="95" t="n"/>
      <c r="F849" s="95" t="n"/>
      <c r="G849" s="94" t="n"/>
      <c r="H849" s="46" t="n"/>
      <c r="I849" s="46" t="n"/>
      <c r="J849" s="46" t="n"/>
      <c r="K849" s="46" t="n"/>
      <c r="L849" s="95" t="n"/>
      <c r="M849" s="95" t="n"/>
      <c r="N849" s="95" t="n"/>
      <c r="O849" s="95" t="n"/>
      <c r="P849" s="95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  <c r="Z849" s="46" t="n"/>
    </row>
    <row r="850" ht="12.75" customHeight="1">
      <c r="A850" s="100" t="n"/>
      <c r="B850" s="101" t="n"/>
      <c r="C850" s="102" t="n"/>
      <c r="D850" s="99" t="n"/>
      <c r="E850" s="95" t="n"/>
      <c r="F850" s="95" t="n"/>
      <c r="G850" s="94" t="n"/>
      <c r="H850" s="46" t="n"/>
      <c r="I850" s="46" t="n"/>
      <c r="J850" s="46" t="n"/>
      <c r="K850" s="46" t="n"/>
      <c r="L850" s="95" t="n"/>
      <c r="M850" s="95" t="n"/>
      <c r="N850" s="95" t="n"/>
      <c r="O850" s="95" t="n"/>
      <c r="P850" s="95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  <c r="Z850" s="46" t="n"/>
    </row>
    <row r="851" ht="12.75" customHeight="1">
      <c r="A851" s="100" t="n"/>
      <c r="B851" s="101" t="n"/>
      <c r="C851" s="102" t="n"/>
      <c r="D851" s="99" t="n"/>
      <c r="E851" s="95" t="n"/>
      <c r="F851" s="95" t="n"/>
      <c r="G851" s="94" t="n"/>
      <c r="H851" s="46" t="n"/>
      <c r="I851" s="46" t="n"/>
      <c r="J851" s="46" t="n"/>
      <c r="K851" s="46" t="n"/>
      <c r="L851" s="95" t="n"/>
      <c r="M851" s="95" t="n"/>
      <c r="N851" s="95" t="n"/>
      <c r="O851" s="95" t="n"/>
      <c r="P851" s="95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  <c r="Z851" s="46" t="n"/>
    </row>
    <row r="852" ht="12.75" customHeight="1">
      <c r="A852" s="100" t="n"/>
      <c r="B852" s="101" t="n"/>
      <c r="C852" s="102" t="n"/>
      <c r="D852" s="99" t="n"/>
      <c r="E852" s="95" t="n"/>
      <c r="F852" s="95" t="n"/>
      <c r="G852" s="94" t="n"/>
      <c r="H852" s="46" t="n"/>
      <c r="I852" s="46" t="n"/>
      <c r="J852" s="46" t="n"/>
      <c r="K852" s="46" t="n"/>
      <c r="L852" s="95" t="n"/>
      <c r="M852" s="95" t="n"/>
      <c r="N852" s="95" t="n"/>
      <c r="O852" s="95" t="n"/>
      <c r="P852" s="95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  <c r="Z852" s="46" t="n"/>
    </row>
    <row r="853" ht="12.75" customHeight="1">
      <c r="A853" s="100" t="n"/>
      <c r="B853" s="101" t="n"/>
      <c r="C853" s="102" t="n"/>
      <c r="D853" s="99" t="n"/>
      <c r="E853" s="95" t="n"/>
      <c r="F853" s="95" t="n"/>
      <c r="G853" s="94" t="n"/>
      <c r="H853" s="46" t="n"/>
      <c r="I853" s="46" t="n"/>
      <c r="J853" s="46" t="n"/>
      <c r="K853" s="46" t="n"/>
      <c r="L853" s="95" t="n"/>
      <c r="M853" s="95" t="n"/>
      <c r="N853" s="95" t="n"/>
      <c r="O853" s="95" t="n"/>
      <c r="P853" s="95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  <c r="Z853" s="46" t="n"/>
    </row>
    <row r="854" ht="12.75" customHeight="1">
      <c r="A854" s="100" t="n"/>
      <c r="B854" s="101" t="n"/>
      <c r="C854" s="102" t="n"/>
      <c r="D854" s="99" t="n"/>
      <c r="E854" s="95" t="n"/>
      <c r="F854" s="95" t="n"/>
      <c r="G854" s="94" t="n"/>
      <c r="H854" s="46" t="n"/>
      <c r="I854" s="46" t="n"/>
      <c r="J854" s="46" t="n"/>
      <c r="K854" s="46" t="n"/>
      <c r="L854" s="95" t="n"/>
      <c r="M854" s="95" t="n"/>
      <c r="N854" s="95" t="n"/>
      <c r="O854" s="95" t="n"/>
      <c r="P854" s="95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  <c r="Z854" s="46" t="n"/>
    </row>
    <row r="855" ht="12.75" customHeight="1">
      <c r="A855" s="100" t="n"/>
      <c r="B855" s="101" t="n"/>
      <c r="C855" s="102" t="n"/>
      <c r="D855" s="99" t="n"/>
      <c r="E855" s="95" t="n"/>
      <c r="F855" s="95" t="n"/>
      <c r="G855" s="94" t="n"/>
      <c r="H855" s="46" t="n"/>
      <c r="I855" s="46" t="n"/>
      <c r="J855" s="46" t="n"/>
      <c r="K855" s="46" t="n"/>
      <c r="L855" s="95" t="n"/>
      <c r="M855" s="95" t="n"/>
      <c r="N855" s="95" t="n"/>
      <c r="O855" s="95" t="n"/>
      <c r="P855" s="95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  <c r="Z855" s="46" t="n"/>
    </row>
    <row r="856" ht="12.75" customHeight="1">
      <c r="A856" s="100" t="n"/>
      <c r="B856" s="101" t="n"/>
      <c r="C856" s="102" t="n"/>
      <c r="D856" s="99" t="n"/>
      <c r="E856" s="95" t="n"/>
      <c r="F856" s="95" t="n"/>
      <c r="G856" s="94" t="n"/>
      <c r="H856" s="46" t="n"/>
      <c r="I856" s="46" t="n"/>
      <c r="J856" s="46" t="n"/>
      <c r="K856" s="46" t="n"/>
      <c r="L856" s="95" t="n"/>
      <c r="M856" s="95" t="n"/>
      <c r="N856" s="95" t="n"/>
      <c r="O856" s="95" t="n"/>
      <c r="P856" s="95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  <c r="Z856" s="46" t="n"/>
    </row>
    <row r="857" ht="12.75" customHeight="1">
      <c r="A857" s="100" t="n"/>
      <c r="B857" s="101" t="n"/>
      <c r="C857" s="102" t="n"/>
      <c r="D857" s="99" t="n"/>
      <c r="E857" s="95" t="n"/>
      <c r="F857" s="95" t="n"/>
      <c r="G857" s="94" t="n"/>
      <c r="H857" s="46" t="n"/>
      <c r="I857" s="46" t="n"/>
      <c r="J857" s="46" t="n"/>
      <c r="K857" s="46" t="n"/>
      <c r="L857" s="95" t="n"/>
      <c r="M857" s="95" t="n"/>
      <c r="N857" s="95" t="n"/>
      <c r="O857" s="95" t="n"/>
      <c r="P857" s="95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  <c r="Z857" s="46" t="n"/>
    </row>
    <row r="858" ht="12.75" customHeight="1">
      <c r="A858" s="100" t="n"/>
      <c r="B858" s="101" t="n"/>
      <c r="C858" s="102" t="n"/>
      <c r="D858" s="99" t="n"/>
      <c r="E858" s="95" t="n"/>
      <c r="F858" s="95" t="n"/>
      <c r="G858" s="94" t="n"/>
      <c r="H858" s="46" t="n"/>
      <c r="I858" s="46" t="n"/>
      <c r="J858" s="46" t="n"/>
      <c r="K858" s="46" t="n"/>
      <c r="L858" s="95" t="n"/>
      <c r="M858" s="95" t="n"/>
      <c r="N858" s="95" t="n"/>
      <c r="O858" s="95" t="n"/>
      <c r="P858" s="95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  <c r="Z858" s="46" t="n"/>
    </row>
    <row r="859" ht="12.75" customHeight="1">
      <c r="A859" s="100" t="n"/>
      <c r="B859" s="101" t="n"/>
      <c r="C859" s="102" t="n"/>
      <c r="D859" s="99" t="n"/>
      <c r="E859" s="95" t="n"/>
      <c r="F859" s="95" t="n"/>
      <c r="G859" s="94" t="n"/>
      <c r="H859" s="46" t="n"/>
      <c r="I859" s="46" t="n"/>
      <c r="J859" s="46" t="n"/>
      <c r="K859" s="46" t="n"/>
      <c r="L859" s="95" t="n"/>
      <c r="M859" s="95" t="n"/>
      <c r="N859" s="95" t="n"/>
      <c r="O859" s="95" t="n"/>
      <c r="P859" s="95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  <c r="Z859" s="46" t="n"/>
    </row>
    <row r="860" ht="12.75" customHeight="1">
      <c r="A860" s="100" t="n"/>
      <c r="B860" s="101" t="n"/>
      <c r="C860" s="102" t="n"/>
      <c r="D860" s="99" t="n"/>
      <c r="E860" s="95" t="n"/>
      <c r="F860" s="95" t="n"/>
      <c r="G860" s="94" t="n"/>
      <c r="H860" s="46" t="n"/>
      <c r="I860" s="46" t="n"/>
      <c r="J860" s="46" t="n"/>
      <c r="K860" s="46" t="n"/>
      <c r="L860" s="95" t="n"/>
      <c r="M860" s="95" t="n"/>
      <c r="N860" s="95" t="n"/>
      <c r="O860" s="95" t="n"/>
      <c r="P860" s="95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  <c r="Z860" s="46" t="n"/>
    </row>
    <row r="861" ht="12.75" customHeight="1">
      <c r="A861" s="100" t="n"/>
      <c r="B861" s="101" t="n"/>
      <c r="C861" s="102" t="n"/>
      <c r="D861" s="99" t="n"/>
      <c r="E861" s="95" t="n"/>
      <c r="F861" s="95" t="n"/>
      <c r="G861" s="94" t="n"/>
      <c r="H861" s="46" t="n"/>
      <c r="I861" s="46" t="n"/>
      <c r="J861" s="46" t="n"/>
      <c r="K861" s="46" t="n"/>
      <c r="L861" s="95" t="n"/>
      <c r="M861" s="95" t="n"/>
      <c r="N861" s="95" t="n"/>
      <c r="O861" s="95" t="n"/>
      <c r="P861" s="95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  <c r="Z861" s="46" t="n"/>
    </row>
    <row r="862" ht="12.75" customHeight="1">
      <c r="A862" s="100" t="n"/>
      <c r="B862" s="101" t="n"/>
      <c r="C862" s="102" t="n"/>
      <c r="D862" s="99" t="n"/>
      <c r="E862" s="95" t="n"/>
      <c r="F862" s="95" t="n"/>
      <c r="G862" s="94" t="n"/>
      <c r="H862" s="46" t="n"/>
      <c r="I862" s="46" t="n"/>
      <c r="J862" s="46" t="n"/>
      <c r="K862" s="46" t="n"/>
      <c r="L862" s="95" t="n"/>
      <c r="M862" s="95" t="n"/>
      <c r="N862" s="95" t="n"/>
      <c r="O862" s="95" t="n"/>
      <c r="P862" s="95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  <c r="Z862" s="46" t="n"/>
    </row>
    <row r="863" ht="12.75" customHeight="1">
      <c r="A863" s="100" t="n"/>
      <c r="B863" s="101" t="n"/>
      <c r="C863" s="102" t="n"/>
      <c r="D863" s="99" t="n"/>
      <c r="E863" s="95" t="n"/>
      <c r="F863" s="95" t="n"/>
      <c r="G863" s="94" t="n"/>
      <c r="H863" s="46" t="n"/>
      <c r="I863" s="46" t="n"/>
      <c r="J863" s="46" t="n"/>
      <c r="K863" s="46" t="n"/>
      <c r="L863" s="95" t="n"/>
      <c r="M863" s="95" t="n"/>
      <c r="N863" s="95" t="n"/>
      <c r="O863" s="95" t="n"/>
      <c r="P863" s="95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  <c r="Z863" s="46" t="n"/>
    </row>
    <row r="864" ht="12.75" customHeight="1">
      <c r="A864" s="100" t="n"/>
      <c r="B864" s="101" t="n"/>
      <c r="C864" s="102" t="n"/>
      <c r="D864" s="99" t="n"/>
      <c r="E864" s="95" t="n"/>
      <c r="F864" s="95" t="n"/>
      <c r="G864" s="94" t="n"/>
      <c r="H864" s="46" t="n"/>
      <c r="I864" s="46" t="n"/>
      <c r="J864" s="46" t="n"/>
      <c r="K864" s="46" t="n"/>
      <c r="L864" s="95" t="n"/>
      <c r="M864" s="95" t="n"/>
      <c r="N864" s="95" t="n"/>
      <c r="O864" s="95" t="n"/>
      <c r="P864" s="95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  <c r="Z864" s="46" t="n"/>
    </row>
    <row r="865" ht="12.75" customHeight="1">
      <c r="A865" s="100" t="n"/>
      <c r="B865" s="101" t="n"/>
      <c r="C865" s="102" t="n"/>
      <c r="D865" s="99" t="n"/>
      <c r="E865" s="95" t="n"/>
      <c r="F865" s="95" t="n"/>
      <c r="G865" s="94" t="n"/>
      <c r="H865" s="46" t="n"/>
      <c r="I865" s="46" t="n"/>
      <c r="J865" s="46" t="n"/>
      <c r="K865" s="46" t="n"/>
      <c r="L865" s="95" t="n"/>
      <c r="M865" s="95" t="n"/>
      <c r="N865" s="95" t="n"/>
      <c r="O865" s="95" t="n"/>
      <c r="P865" s="95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  <c r="Z865" s="46" t="n"/>
    </row>
    <row r="866" ht="12.75" customHeight="1">
      <c r="A866" s="100" t="n"/>
      <c r="B866" s="101" t="n"/>
      <c r="C866" s="102" t="n"/>
      <c r="D866" s="99" t="n"/>
      <c r="E866" s="95" t="n"/>
      <c r="F866" s="95" t="n"/>
      <c r="G866" s="94" t="n"/>
      <c r="H866" s="46" t="n"/>
      <c r="I866" s="46" t="n"/>
      <c r="J866" s="46" t="n"/>
      <c r="K866" s="46" t="n"/>
      <c r="L866" s="95" t="n"/>
      <c r="M866" s="95" t="n"/>
      <c r="N866" s="95" t="n"/>
      <c r="O866" s="95" t="n"/>
      <c r="P866" s="95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  <c r="Z866" s="46" t="n"/>
    </row>
    <row r="867" ht="12.75" customHeight="1">
      <c r="A867" s="100" t="n"/>
      <c r="B867" s="101" t="n"/>
      <c r="C867" s="102" t="n"/>
      <c r="D867" s="99" t="n"/>
      <c r="E867" s="95" t="n"/>
      <c r="F867" s="95" t="n"/>
      <c r="G867" s="94" t="n"/>
      <c r="H867" s="46" t="n"/>
      <c r="I867" s="46" t="n"/>
      <c r="J867" s="46" t="n"/>
      <c r="K867" s="46" t="n"/>
      <c r="L867" s="95" t="n"/>
      <c r="M867" s="95" t="n"/>
      <c r="N867" s="95" t="n"/>
      <c r="O867" s="95" t="n"/>
      <c r="P867" s="95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  <c r="Z867" s="46" t="n"/>
    </row>
    <row r="868" ht="12.75" customHeight="1">
      <c r="A868" s="100" t="n"/>
      <c r="B868" s="101" t="n"/>
      <c r="C868" s="102" t="n"/>
      <c r="D868" s="99" t="n"/>
      <c r="E868" s="95" t="n"/>
      <c r="F868" s="95" t="n"/>
      <c r="G868" s="94" t="n"/>
      <c r="H868" s="46" t="n"/>
      <c r="I868" s="46" t="n"/>
      <c r="J868" s="46" t="n"/>
      <c r="K868" s="46" t="n"/>
      <c r="L868" s="95" t="n"/>
      <c r="M868" s="95" t="n"/>
      <c r="N868" s="95" t="n"/>
      <c r="O868" s="95" t="n"/>
      <c r="P868" s="95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  <c r="Z868" s="46" t="n"/>
    </row>
    <row r="869" ht="12.75" customHeight="1">
      <c r="A869" s="100" t="n"/>
      <c r="B869" s="101" t="n"/>
      <c r="C869" s="102" t="n"/>
      <c r="D869" s="99" t="n"/>
      <c r="E869" s="95" t="n"/>
      <c r="F869" s="95" t="n"/>
      <c r="G869" s="94" t="n"/>
      <c r="H869" s="46" t="n"/>
      <c r="I869" s="46" t="n"/>
      <c r="J869" s="46" t="n"/>
      <c r="K869" s="46" t="n"/>
      <c r="L869" s="95" t="n"/>
      <c r="M869" s="95" t="n"/>
      <c r="N869" s="95" t="n"/>
      <c r="O869" s="95" t="n"/>
      <c r="P869" s="95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  <c r="Z869" s="46" t="n"/>
    </row>
    <row r="870" ht="12.75" customHeight="1">
      <c r="A870" s="100" t="n"/>
      <c r="B870" s="101" t="n"/>
      <c r="C870" s="102" t="n"/>
      <c r="D870" s="99" t="n"/>
      <c r="E870" s="95" t="n"/>
      <c r="F870" s="95" t="n"/>
      <c r="G870" s="94" t="n"/>
      <c r="H870" s="46" t="n"/>
      <c r="I870" s="46" t="n"/>
      <c r="J870" s="46" t="n"/>
      <c r="K870" s="46" t="n"/>
      <c r="L870" s="95" t="n"/>
      <c r="M870" s="95" t="n"/>
      <c r="N870" s="95" t="n"/>
      <c r="O870" s="95" t="n"/>
      <c r="P870" s="95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  <c r="Z870" s="46" t="n"/>
    </row>
    <row r="871" ht="12.75" customHeight="1">
      <c r="A871" s="100" t="n"/>
      <c r="B871" s="101" t="n"/>
      <c r="C871" s="102" t="n"/>
      <c r="D871" s="99" t="n"/>
      <c r="E871" s="95" t="n"/>
      <c r="F871" s="95" t="n"/>
      <c r="G871" s="94" t="n"/>
      <c r="H871" s="46" t="n"/>
      <c r="I871" s="46" t="n"/>
      <c r="J871" s="46" t="n"/>
      <c r="K871" s="46" t="n"/>
      <c r="L871" s="95" t="n"/>
      <c r="M871" s="95" t="n"/>
      <c r="N871" s="95" t="n"/>
      <c r="O871" s="95" t="n"/>
      <c r="P871" s="95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  <c r="Z871" s="46" t="n"/>
    </row>
    <row r="872" ht="12.75" customHeight="1">
      <c r="A872" s="100" t="n"/>
      <c r="B872" s="101" t="n"/>
      <c r="C872" s="102" t="n"/>
      <c r="D872" s="99" t="n"/>
      <c r="E872" s="95" t="n"/>
      <c r="F872" s="95" t="n"/>
      <c r="G872" s="94" t="n"/>
      <c r="H872" s="46" t="n"/>
      <c r="I872" s="46" t="n"/>
      <c r="J872" s="46" t="n"/>
      <c r="K872" s="46" t="n"/>
      <c r="L872" s="95" t="n"/>
      <c r="M872" s="95" t="n"/>
      <c r="N872" s="95" t="n"/>
      <c r="O872" s="95" t="n"/>
      <c r="P872" s="95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  <c r="Z872" s="46" t="n"/>
    </row>
    <row r="873" ht="12.75" customHeight="1">
      <c r="A873" s="100" t="n"/>
      <c r="B873" s="101" t="n"/>
      <c r="C873" s="102" t="n"/>
      <c r="D873" s="99" t="n"/>
      <c r="E873" s="95" t="n"/>
      <c r="F873" s="95" t="n"/>
      <c r="G873" s="94" t="n"/>
      <c r="H873" s="46" t="n"/>
      <c r="I873" s="46" t="n"/>
      <c r="J873" s="46" t="n"/>
      <c r="K873" s="46" t="n"/>
      <c r="L873" s="95" t="n"/>
      <c r="M873" s="95" t="n"/>
      <c r="N873" s="95" t="n"/>
      <c r="O873" s="95" t="n"/>
      <c r="P873" s="95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  <c r="Z873" s="46" t="n"/>
    </row>
    <row r="874" ht="12.75" customHeight="1">
      <c r="A874" s="100" t="n"/>
      <c r="B874" s="101" t="n"/>
      <c r="C874" s="102" t="n"/>
      <c r="D874" s="99" t="n"/>
      <c r="E874" s="95" t="n"/>
      <c r="F874" s="95" t="n"/>
      <c r="G874" s="94" t="n"/>
      <c r="H874" s="46" t="n"/>
      <c r="I874" s="46" t="n"/>
      <c r="J874" s="46" t="n"/>
      <c r="K874" s="46" t="n"/>
      <c r="L874" s="95" t="n"/>
      <c r="M874" s="95" t="n"/>
      <c r="N874" s="95" t="n"/>
      <c r="O874" s="95" t="n"/>
      <c r="P874" s="95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  <c r="Z874" s="46" t="n"/>
    </row>
    <row r="875" ht="12.75" customHeight="1">
      <c r="A875" s="100" t="n"/>
      <c r="B875" s="101" t="n"/>
      <c r="C875" s="102" t="n"/>
      <c r="D875" s="99" t="n"/>
      <c r="E875" s="95" t="n"/>
      <c r="F875" s="95" t="n"/>
      <c r="G875" s="94" t="n"/>
      <c r="H875" s="46" t="n"/>
      <c r="I875" s="46" t="n"/>
      <c r="J875" s="46" t="n"/>
      <c r="K875" s="46" t="n"/>
      <c r="L875" s="95" t="n"/>
      <c r="M875" s="95" t="n"/>
      <c r="N875" s="95" t="n"/>
      <c r="O875" s="95" t="n"/>
      <c r="P875" s="95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  <c r="Z875" s="46" t="n"/>
    </row>
    <row r="876" ht="12.75" customHeight="1">
      <c r="A876" s="100" t="n"/>
      <c r="B876" s="101" t="n"/>
      <c r="C876" s="102" t="n"/>
      <c r="D876" s="99" t="n"/>
      <c r="E876" s="95" t="n"/>
      <c r="F876" s="95" t="n"/>
      <c r="G876" s="94" t="n"/>
      <c r="H876" s="46" t="n"/>
      <c r="I876" s="46" t="n"/>
      <c r="J876" s="46" t="n"/>
      <c r="K876" s="46" t="n"/>
      <c r="L876" s="95" t="n"/>
      <c r="M876" s="95" t="n"/>
      <c r="N876" s="95" t="n"/>
      <c r="O876" s="95" t="n"/>
      <c r="P876" s="95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  <c r="Z876" s="46" t="n"/>
    </row>
    <row r="877" ht="12.75" customHeight="1">
      <c r="A877" s="100" t="n"/>
      <c r="B877" s="101" t="n"/>
      <c r="C877" s="102" t="n"/>
      <c r="D877" s="99" t="n"/>
      <c r="E877" s="95" t="n"/>
      <c r="F877" s="95" t="n"/>
      <c r="G877" s="94" t="n"/>
      <c r="H877" s="46" t="n"/>
      <c r="I877" s="46" t="n"/>
      <c r="J877" s="46" t="n"/>
      <c r="K877" s="46" t="n"/>
      <c r="L877" s="95" t="n"/>
      <c r="M877" s="95" t="n"/>
      <c r="N877" s="95" t="n"/>
      <c r="O877" s="95" t="n"/>
      <c r="P877" s="95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  <c r="Z877" s="46" t="n"/>
    </row>
    <row r="878" ht="12.75" customHeight="1">
      <c r="A878" s="100" t="n"/>
      <c r="B878" s="101" t="n"/>
      <c r="C878" s="102" t="n"/>
      <c r="D878" s="99" t="n"/>
      <c r="E878" s="95" t="n"/>
      <c r="F878" s="95" t="n"/>
      <c r="G878" s="94" t="n"/>
      <c r="H878" s="46" t="n"/>
      <c r="I878" s="46" t="n"/>
      <c r="J878" s="46" t="n"/>
      <c r="K878" s="46" t="n"/>
      <c r="L878" s="95" t="n"/>
      <c r="M878" s="95" t="n"/>
      <c r="N878" s="95" t="n"/>
      <c r="O878" s="95" t="n"/>
      <c r="P878" s="95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  <c r="Z878" s="46" t="n"/>
    </row>
    <row r="879" ht="12.75" customHeight="1">
      <c r="A879" s="100" t="n"/>
      <c r="B879" s="101" t="n"/>
      <c r="C879" s="102" t="n"/>
      <c r="D879" s="99" t="n"/>
      <c r="E879" s="95" t="n"/>
      <c r="F879" s="95" t="n"/>
      <c r="G879" s="94" t="n"/>
      <c r="H879" s="46" t="n"/>
      <c r="I879" s="46" t="n"/>
      <c r="J879" s="46" t="n"/>
      <c r="K879" s="46" t="n"/>
      <c r="L879" s="95" t="n"/>
      <c r="M879" s="95" t="n"/>
      <c r="N879" s="95" t="n"/>
      <c r="O879" s="95" t="n"/>
      <c r="P879" s="95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  <c r="Z879" s="46" t="n"/>
    </row>
    <row r="880" ht="12.75" customHeight="1">
      <c r="A880" s="100" t="n"/>
      <c r="B880" s="101" t="n"/>
      <c r="C880" s="102" t="n"/>
      <c r="D880" s="99" t="n"/>
      <c r="E880" s="95" t="n"/>
      <c r="F880" s="95" t="n"/>
      <c r="G880" s="94" t="n"/>
      <c r="H880" s="46" t="n"/>
      <c r="I880" s="46" t="n"/>
      <c r="J880" s="46" t="n"/>
      <c r="K880" s="46" t="n"/>
      <c r="L880" s="95" t="n"/>
      <c r="M880" s="95" t="n"/>
      <c r="N880" s="95" t="n"/>
      <c r="O880" s="95" t="n"/>
      <c r="P880" s="95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  <c r="Z880" s="46" t="n"/>
    </row>
    <row r="881" ht="12.75" customHeight="1">
      <c r="A881" s="100" t="n"/>
      <c r="B881" s="101" t="n"/>
      <c r="C881" s="102" t="n"/>
      <c r="D881" s="99" t="n"/>
      <c r="E881" s="95" t="n"/>
      <c r="F881" s="95" t="n"/>
      <c r="G881" s="94" t="n"/>
      <c r="H881" s="46" t="n"/>
      <c r="I881" s="46" t="n"/>
      <c r="J881" s="46" t="n"/>
      <c r="K881" s="46" t="n"/>
      <c r="L881" s="95" t="n"/>
      <c r="M881" s="95" t="n"/>
      <c r="N881" s="95" t="n"/>
      <c r="O881" s="95" t="n"/>
      <c r="P881" s="95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  <c r="Z881" s="46" t="n"/>
    </row>
    <row r="882" ht="12.75" customHeight="1">
      <c r="A882" s="100" t="n"/>
      <c r="B882" s="101" t="n"/>
      <c r="C882" s="102" t="n"/>
      <c r="D882" s="99" t="n"/>
      <c r="E882" s="95" t="n"/>
      <c r="F882" s="95" t="n"/>
      <c r="G882" s="94" t="n"/>
      <c r="H882" s="46" t="n"/>
      <c r="I882" s="46" t="n"/>
      <c r="J882" s="46" t="n"/>
      <c r="K882" s="46" t="n"/>
      <c r="L882" s="95" t="n"/>
      <c r="M882" s="95" t="n"/>
      <c r="N882" s="95" t="n"/>
      <c r="O882" s="95" t="n"/>
      <c r="P882" s="95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  <c r="Z882" s="46" t="n"/>
    </row>
    <row r="883" ht="12.75" customHeight="1">
      <c r="A883" s="100" t="n"/>
      <c r="B883" s="101" t="n"/>
      <c r="C883" s="102" t="n"/>
      <c r="D883" s="99" t="n"/>
      <c r="E883" s="95" t="n"/>
      <c r="F883" s="95" t="n"/>
      <c r="G883" s="94" t="n"/>
      <c r="H883" s="46" t="n"/>
      <c r="I883" s="46" t="n"/>
      <c r="J883" s="46" t="n"/>
      <c r="K883" s="46" t="n"/>
      <c r="L883" s="95" t="n"/>
      <c r="M883" s="95" t="n"/>
      <c r="N883" s="95" t="n"/>
      <c r="O883" s="95" t="n"/>
      <c r="P883" s="95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  <c r="Z883" s="46" t="n"/>
    </row>
    <row r="884" ht="12.75" customHeight="1">
      <c r="A884" s="100" t="n"/>
      <c r="B884" s="101" t="n"/>
      <c r="C884" s="102" t="n"/>
      <c r="D884" s="99" t="n"/>
      <c r="E884" s="95" t="n"/>
      <c r="F884" s="95" t="n"/>
      <c r="G884" s="94" t="n"/>
      <c r="H884" s="46" t="n"/>
      <c r="I884" s="46" t="n"/>
      <c r="J884" s="46" t="n"/>
      <c r="K884" s="46" t="n"/>
      <c r="L884" s="95" t="n"/>
      <c r="M884" s="95" t="n"/>
      <c r="N884" s="95" t="n"/>
      <c r="O884" s="95" t="n"/>
      <c r="P884" s="95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  <c r="Z884" s="46" t="n"/>
    </row>
    <row r="885" ht="12.75" customHeight="1">
      <c r="A885" s="100" t="n"/>
      <c r="B885" s="101" t="n"/>
      <c r="C885" s="102" t="n"/>
      <c r="D885" s="99" t="n"/>
      <c r="E885" s="95" t="n"/>
      <c r="F885" s="95" t="n"/>
      <c r="G885" s="94" t="n"/>
      <c r="H885" s="46" t="n"/>
      <c r="I885" s="46" t="n"/>
      <c r="J885" s="46" t="n"/>
      <c r="K885" s="46" t="n"/>
      <c r="L885" s="95" t="n"/>
      <c r="M885" s="95" t="n"/>
      <c r="N885" s="95" t="n"/>
      <c r="O885" s="95" t="n"/>
      <c r="P885" s="95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  <c r="Z885" s="46" t="n"/>
    </row>
    <row r="886" ht="12.75" customHeight="1">
      <c r="A886" s="100" t="n"/>
      <c r="B886" s="101" t="n"/>
      <c r="C886" s="102" t="n"/>
      <c r="D886" s="99" t="n"/>
      <c r="E886" s="95" t="n"/>
      <c r="F886" s="95" t="n"/>
      <c r="G886" s="94" t="n"/>
      <c r="H886" s="46" t="n"/>
      <c r="I886" s="46" t="n"/>
      <c r="J886" s="46" t="n"/>
      <c r="K886" s="46" t="n"/>
      <c r="L886" s="95" t="n"/>
      <c r="M886" s="95" t="n"/>
      <c r="N886" s="95" t="n"/>
      <c r="O886" s="95" t="n"/>
      <c r="P886" s="95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  <c r="Z886" s="46" t="n"/>
    </row>
    <row r="887" ht="12.75" customHeight="1">
      <c r="A887" s="100" t="n"/>
      <c r="B887" s="101" t="n"/>
      <c r="C887" s="102" t="n"/>
      <c r="D887" s="99" t="n"/>
      <c r="E887" s="95" t="n"/>
      <c r="F887" s="95" t="n"/>
      <c r="G887" s="94" t="n"/>
      <c r="H887" s="46" t="n"/>
      <c r="I887" s="46" t="n"/>
      <c r="J887" s="46" t="n"/>
      <c r="K887" s="46" t="n"/>
      <c r="L887" s="95" t="n"/>
      <c r="M887" s="95" t="n"/>
      <c r="N887" s="95" t="n"/>
      <c r="O887" s="95" t="n"/>
      <c r="P887" s="95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  <c r="Z887" s="46" t="n"/>
    </row>
    <row r="888" ht="12.75" customHeight="1">
      <c r="A888" s="100" t="n"/>
      <c r="B888" s="101" t="n"/>
      <c r="C888" s="102" t="n"/>
      <c r="D888" s="99" t="n"/>
      <c r="E888" s="95" t="n"/>
      <c r="F888" s="95" t="n"/>
      <c r="G888" s="94" t="n"/>
      <c r="H888" s="46" t="n"/>
      <c r="I888" s="46" t="n"/>
      <c r="J888" s="46" t="n"/>
      <c r="K888" s="46" t="n"/>
      <c r="L888" s="95" t="n"/>
      <c r="M888" s="95" t="n"/>
      <c r="N888" s="95" t="n"/>
      <c r="O888" s="95" t="n"/>
      <c r="P888" s="95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  <c r="Z888" s="46" t="n"/>
    </row>
    <row r="889" ht="12.75" customHeight="1">
      <c r="A889" s="100" t="n"/>
      <c r="B889" s="101" t="n"/>
      <c r="C889" s="102" t="n"/>
      <c r="D889" s="99" t="n"/>
      <c r="E889" s="95" t="n"/>
      <c r="F889" s="95" t="n"/>
      <c r="G889" s="94" t="n"/>
      <c r="H889" s="46" t="n"/>
      <c r="I889" s="46" t="n"/>
      <c r="J889" s="46" t="n"/>
      <c r="K889" s="46" t="n"/>
      <c r="L889" s="95" t="n"/>
      <c r="M889" s="95" t="n"/>
      <c r="N889" s="95" t="n"/>
      <c r="O889" s="95" t="n"/>
      <c r="P889" s="95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  <c r="Z889" s="46" t="n"/>
    </row>
    <row r="890" ht="12.75" customHeight="1">
      <c r="A890" s="100" t="n"/>
      <c r="B890" s="101" t="n"/>
      <c r="C890" s="102" t="n"/>
      <c r="D890" s="99" t="n"/>
      <c r="E890" s="95" t="n"/>
      <c r="F890" s="95" t="n"/>
      <c r="G890" s="94" t="n"/>
      <c r="H890" s="46" t="n"/>
      <c r="I890" s="46" t="n"/>
      <c r="J890" s="46" t="n"/>
      <c r="K890" s="46" t="n"/>
      <c r="L890" s="95" t="n"/>
      <c r="M890" s="95" t="n"/>
      <c r="N890" s="95" t="n"/>
      <c r="O890" s="95" t="n"/>
      <c r="P890" s="95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  <c r="Z890" s="46" t="n"/>
    </row>
    <row r="891" ht="12.75" customHeight="1">
      <c r="A891" s="100" t="n"/>
      <c r="B891" s="101" t="n"/>
      <c r="C891" s="102" t="n"/>
      <c r="D891" s="99" t="n"/>
      <c r="E891" s="95" t="n"/>
      <c r="F891" s="95" t="n"/>
      <c r="G891" s="94" t="n"/>
      <c r="H891" s="46" t="n"/>
      <c r="I891" s="46" t="n"/>
      <c r="J891" s="46" t="n"/>
      <c r="K891" s="46" t="n"/>
      <c r="L891" s="95" t="n"/>
      <c r="M891" s="95" t="n"/>
      <c r="N891" s="95" t="n"/>
      <c r="O891" s="95" t="n"/>
      <c r="P891" s="95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  <c r="Z891" s="46" t="n"/>
    </row>
    <row r="892" ht="12.75" customHeight="1">
      <c r="A892" s="100" t="n"/>
      <c r="B892" s="101" t="n"/>
      <c r="C892" s="102" t="n"/>
      <c r="D892" s="99" t="n"/>
      <c r="E892" s="95" t="n"/>
      <c r="F892" s="95" t="n"/>
      <c r="G892" s="94" t="n"/>
      <c r="H892" s="46" t="n"/>
      <c r="I892" s="46" t="n"/>
      <c r="J892" s="46" t="n"/>
      <c r="K892" s="46" t="n"/>
      <c r="L892" s="95" t="n"/>
      <c r="M892" s="95" t="n"/>
      <c r="N892" s="95" t="n"/>
      <c r="O892" s="95" t="n"/>
      <c r="P892" s="95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  <c r="Z892" s="46" t="n"/>
    </row>
    <row r="893" ht="12.75" customHeight="1">
      <c r="A893" s="100" t="n"/>
      <c r="B893" s="101" t="n"/>
      <c r="C893" s="102" t="n"/>
      <c r="D893" s="99" t="n"/>
      <c r="E893" s="95" t="n"/>
      <c r="F893" s="95" t="n"/>
      <c r="G893" s="94" t="n"/>
      <c r="H893" s="46" t="n"/>
      <c r="I893" s="46" t="n"/>
      <c r="J893" s="46" t="n"/>
      <c r="K893" s="46" t="n"/>
      <c r="L893" s="95" t="n"/>
      <c r="M893" s="95" t="n"/>
      <c r="N893" s="95" t="n"/>
      <c r="O893" s="95" t="n"/>
      <c r="P893" s="95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  <c r="Z893" s="46" t="n"/>
    </row>
    <row r="894" ht="12.75" customHeight="1">
      <c r="A894" s="100" t="n"/>
      <c r="B894" s="101" t="n"/>
      <c r="C894" s="102" t="n"/>
      <c r="D894" s="99" t="n"/>
      <c r="E894" s="95" t="n"/>
      <c r="F894" s="95" t="n"/>
      <c r="G894" s="94" t="n"/>
      <c r="H894" s="46" t="n"/>
      <c r="I894" s="46" t="n"/>
      <c r="J894" s="46" t="n"/>
      <c r="K894" s="46" t="n"/>
      <c r="L894" s="95" t="n"/>
      <c r="M894" s="95" t="n"/>
      <c r="N894" s="95" t="n"/>
      <c r="O894" s="95" t="n"/>
      <c r="P894" s="95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  <c r="Z894" s="46" t="n"/>
    </row>
    <row r="895" ht="12.75" customHeight="1">
      <c r="A895" s="100" t="n"/>
      <c r="B895" s="101" t="n"/>
      <c r="C895" s="102" t="n"/>
      <c r="D895" s="99" t="n"/>
      <c r="E895" s="95" t="n"/>
      <c r="F895" s="95" t="n"/>
      <c r="G895" s="94" t="n"/>
      <c r="H895" s="46" t="n"/>
      <c r="I895" s="46" t="n"/>
      <c r="J895" s="46" t="n"/>
      <c r="K895" s="46" t="n"/>
      <c r="L895" s="95" t="n"/>
      <c r="M895" s="95" t="n"/>
      <c r="N895" s="95" t="n"/>
      <c r="O895" s="95" t="n"/>
      <c r="P895" s="95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  <c r="Z895" s="46" t="n"/>
    </row>
    <row r="896" ht="12.75" customHeight="1">
      <c r="A896" s="100" t="n"/>
      <c r="B896" s="101" t="n"/>
      <c r="C896" s="102" t="n"/>
      <c r="D896" s="99" t="n"/>
      <c r="E896" s="95" t="n"/>
      <c r="F896" s="95" t="n"/>
      <c r="G896" s="94" t="n"/>
      <c r="H896" s="46" t="n"/>
      <c r="I896" s="46" t="n"/>
      <c r="J896" s="46" t="n"/>
      <c r="K896" s="46" t="n"/>
      <c r="L896" s="95" t="n"/>
      <c r="M896" s="95" t="n"/>
      <c r="N896" s="95" t="n"/>
      <c r="O896" s="95" t="n"/>
      <c r="P896" s="95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  <c r="Z896" s="46" t="n"/>
    </row>
    <row r="897" ht="12.75" customHeight="1">
      <c r="A897" s="100" t="n"/>
      <c r="B897" s="101" t="n"/>
      <c r="C897" s="102" t="n"/>
      <c r="D897" s="99" t="n"/>
      <c r="E897" s="95" t="n"/>
      <c r="F897" s="95" t="n"/>
      <c r="G897" s="94" t="n"/>
      <c r="H897" s="46" t="n"/>
      <c r="I897" s="46" t="n"/>
      <c r="J897" s="46" t="n"/>
      <c r="K897" s="46" t="n"/>
      <c r="L897" s="95" t="n"/>
      <c r="M897" s="95" t="n"/>
      <c r="N897" s="95" t="n"/>
      <c r="O897" s="95" t="n"/>
      <c r="P897" s="95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  <c r="Z897" s="46" t="n"/>
    </row>
    <row r="898" ht="12.75" customHeight="1">
      <c r="A898" s="100" t="n"/>
      <c r="B898" s="101" t="n"/>
      <c r="C898" s="102" t="n"/>
      <c r="D898" s="99" t="n"/>
      <c r="E898" s="95" t="n"/>
      <c r="F898" s="95" t="n"/>
      <c r="G898" s="94" t="n"/>
      <c r="H898" s="46" t="n"/>
      <c r="I898" s="46" t="n"/>
      <c r="J898" s="46" t="n"/>
      <c r="K898" s="46" t="n"/>
      <c r="L898" s="95" t="n"/>
      <c r="M898" s="95" t="n"/>
      <c r="N898" s="95" t="n"/>
      <c r="O898" s="95" t="n"/>
      <c r="P898" s="95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  <c r="Z898" s="46" t="n"/>
    </row>
    <row r="899" ht="12.75" customHeight="1">
      <c r="A899" s="100" t="n"/>
      <c r="B899" s="101" t="n"/>
      <c r="C899" s="102" t="n"/>
      <c r="D899" s="99" t="n"/>
      <c r="E899" s="95" t="n"/>
      <c r="F899" s="95" t="n"/>
      <c r="G899" s="94" t="n"/>
      <c r="H899" s="46" t="n"/>
      <c r="I899" s="46" t="n"/>
      <c r="J899" s="46" t="n"/>
      <c r="K899" s="46" t="n"/>
      <c r="L899" s="95" t="n"/>
      <c r="M899" s="95" t="n"/>
      <c r="N899" s="95" t="n"/>
      <c r="O899" s="95" t="n"/>
      <c r="P899" s="95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  <c r="Z899" s="46" t="n"/>
    </row>
    <row r="900" ht="12.75" customHeight="1">
      <c r="A900" s="100" t="n"/>
      <c r="B900" s="101" t="n"/>
      <c r="C900" s="102" t="n"/>
      <c r="D900" s="99" t="n"/>
      <c r="E900" s="95" t="n"/>
      <c r="F900" s="95" t="n"/>
      <c r="G900" s="94" t="n"/>
      <c r="H900" s="46" t="n"/>
      <c r="I900" s="46" t="n"/>
      <c r="J900" s="46" t="n"/>
      <c r="K900" s="46" t="n"/>
      <c r="L900" s="95" t="n"/>
      <c r="M900" s="95" t="n"/>
      <c r="N900" s="95" t="n"/>
      <c r="O900" s="95" t="n"/>
      <c r="P900" s="95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  <c r="Z900" s="46" t="n"/>
    </row>
    <row r="901" ht="12.75" customHeight="1">
      <c r="A901" s="100" t="n"/>
      <c r="B901" s="101" t="n"/>
      <c r="C901" s="102" t="n"/>
      <c r="D901" s="99" t="n"/>
      <c r="E901" s="95" t="n"/>
      <c r="F901" s="95" t="n"/>
      <c r="G901" s="94" t="n"/>
      <c r="H901" s="46" t="n"/>
      <c r="I901" s="46" t="n"/>
      <c r="J901" s="46" t="n"/>
      <c r="K901" s="46" t="n"/>
      <c r="L901" s="95" t="n"/>
      <c r="M901" s="95" t="n"/>
      <c r="N901" s="95" t="n"/>
      <c r="O901" s="95" t="n"/>
      <c r="P901" s="95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  <c r="Z901" s="46" t="n"/>
    </row>
    <row r="902" ht="12.75" customHeight="1">
      <c r="A902" s="100" t="n"/>
      <c r="B902" s="101" t="n"/>
      <c r="C902" s="102" t="n"/>
      <c r="D902" s="99" t="n"/>
      <c r="E902" s="95" t="n"/>
      <c r="F902" s="95" t="n"/>
      <c r="G902" s="94" t="n"/>
      <c r="H902" s="46" t="n"/>
      <c r="I902" s="46" t="n"/>
      <c r="J902" s="46" t="n"/>
      <c r="K902" s="46" t="n"/>
      <c r="L902" s="95" t="n"/>
      <c r="M902" s="95" t="n"/>
      <c r="N902" s="95" t="n"/>
      <c r="O902" s="95" t="n"/>
      <c r="P902" s="95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  <c r="Z902" s="46" t="n"/>
    </row>
    <row r="903" ht="12.75" customHeight="1">
      <c r="A903" s="100" t="n"/>
      <c r="B903" s="101" t="n"/>
      <c r="C903" s="102" t="n"/>
      <c r="D903" s="99" t="n"/>
      <c r="E903" s="95" t="n"/>
      <c r="F903" s="95" t="n"/>
      <c r="G903" s="94" t="n"/>
      <c r="H903" s="46" t="n"/>
      <c r="I903" s="46" t="n"/>
      <c r="J903" s="46" t="n"/>
      <c r="K903" s="46" t="n"/>
      <c r="L903" s="95" t="n"/>
      <c r="M903" s="95" t="n"/>
      <c r="N903" s="95" t="n"/>
      <c r="O903" s="95" t="n"/>
      <c r="P903" s="95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  <c r="Z903" s="46" t="n"/>
    </row>
    <row r="904" ht="12.75" customHeight="1">
      <c r="A904" s="100" t="n"/>
      <c r="B904" s="101" t="n"/>
      <c r="C904" s="102" t="n"/>
      <c r="D904" s="99" t="n"/>
      <c r="E904" s="95" t="n"/>
      <c r="F904" s="95" t="n"/>
      <c r="G904" s="94" t="n"/>
      <c r="H904" s="46" t="n"/>
      <c r="I904" s="46" t="n"/>
      <c r="J904" s="46" t="n"/>
      <c r="K904" s="46" t="n"/>
      <c r="L904" s="95" t="n"/>
      <c r="M904" s="95" t="n"/>
      <c r="N904" s="95" t="n"/>
      <c r="O904" s="95" t="n"/>
      <c r="P904" s="95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  <c r="Z904" s="46" t="n"/>
    </row>
    <row r="905" ht="12.75" customHeight="1">
      <c r="A905" s="100" t="n"/>
      <c r="B905" s="101" t="n"/>
      <c r="C905" s="102" t="n"/>
      <c r="D905" s="99" t="n"/>
      <c r="E905" s="95" t="n"/>
      <c r="F905" s="95" t="n"/>
      <c r="G905" s="94" t="n"/>
      <c r="H905" s="46" t="n"/>
      <c r="I905" s="46" t="n"/>
      <c r="J905" s="46" t="n"/>
      <c r="K905" s="46" t="n"/>
      <c r="L905" s="95" t="n"/>
      <c r="M905" s="95" t="n"/>
      <c r="N905" s="95" t="n"/>
      <c r="O905" s="95" t="n"/>
      <c r="P905" s="95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  <c r="Z905" s="46" t="n"/>
    </row>
    <row r="906" ht="12.75" customHeight="1">
      <c r="A906" s="100" t="n"/>
      <c r="B906" s="101" t="n"/>
      <c r="C906" s="102" t="n"/>
      <c r="D906" s="99" t="n"/>
      <c r="E906" s="95" t="n"/>
      <c r="F906" s="95" t="n"/>
      <c r="G906" s="94" t="n"/>
      <c r="H906" s="46" t="n"/>
      <c r="I906" s="46" t="n"/>
      <c r="J906" s="46" t="n"/>
      <c r="K906" s="46" t="n"/>
      <c r="L906" s="95" t="n"/>
      <c r="M906" s="95" t="n"/>
      <c r="N906" s="95" t="n"/>
      <c r="O906" s="95" t="n"/>
      <c r="P906" s="95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  <c r="Z906" s="46" t="n"/>
    </row>
    <row r="907" ht="12.75" customHeight="1">
      <c r="A907" s="100" t="n"/>
      <c r="B907" s="101" t="n"/>
      <c r="C907" s="102" t="n"/>
      <c r="D907" s="99" t="n"/>
      <c r="E907" s="95" t="n"/>
      <c r="F907" s="95" t="n"/>
      <c r="G907" s="94" t="n"/>
      <c r="H907" s="46" t="n"/>
      <c r="I907" s="46" t="n"/>
      <c r="J907" s="46" t="n"/>
      <c r="K907" s="46" t="n"/>
      <c r="L907" s="95" t="n"/>
      <c r="M907" s="95" t="n"/>
      <c r="N907" s="95" t="n"/>
      <c r="O907" s="95" t="n"/>
      <c r="P907" s="95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  <c r="Z907" s="46" t="n"/>
    </row>
    <row r="908" ht="12.75" customHeight="1">
      <c r="A908" s="100" t="n"/>
      <c r="B908" s="101" t="n"/>
      <c r="C908" s="102" t="n"/>
      <c r="D908" s="99" t="n"/>
      <c r="E908" s="95" t="n"/>
      <c r="F908" s="95" t="n"/>
      <c r="G908" s="94" t="n"/>
      <c r="H908" s="46" t="n"/>
      <c r="I908" s="46" t="n"/>
      <c r="J908" s="46" t="n"/>
      <c r="K908" s="46" t="n"/>
      <c r="L908" s="95" t="n"/>
      <c r="M908" s="95" t="n"/>
      <c r="N908" s="95" t="n"/>
      <c r="O908" s="95" t="n"/>
      <c r="P908" s="95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  <c r="Z908" s="46" t="n"/>
    </row>
    <row r="909" ht="12.75" customHeight="1">
      <c r="A909" s="100" t="n"/>
      <c r="B909" s="101" t="n"/>
      <c r="C909" s="102" t="n"/>
      <c r="D909" s="99" t="n"/>
      <c r="E909" s="95" t="n"/>
      <c r="F909" s="95" t="n"/>
      <c r="G909" s="94" t="n"/>
      <c r="H909" s="46" t="n"/>
      <c r="I909" s="46" t="n"/>
      <c r="J909" s="46" t="n"/>
      <c r="K909" s="46" t="n"/>
      <c r="L909" s="95" t="n"/>
      <c r="M909" s="95" t="n"/>
      <c r="N909" s="95" t="n"/>
      <c r="O909" s="95" t="n"/>
      <c r="P909" s="95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  <c r="Z909" s="46" t="n"/>
    </row>
    <row r="910" ht="12.75" customHeight="1">
      <c r="A910" s="100" t="n"/>
      <c r="B910" s="101" t="n"/>
      <c r="C910" s="102" t="n"/>
      <c r="D910" s="99" t="n"/>
      <c r="E910" s="95" t="n"/>
      <c r="F910" s="95" t="n"/>
      <c r="G910" s="94" t="n"/>
      <c r="H910" s="46" t="n"/>
      <c r="I910" s="46" t="n"/>
      <c r="J910" s="46" t="n"/>
      <c r="K910" s="46" t="n"/>
      <c r="L910" s="95" t="n"/>
      <c r="M910" s="95" t="n"/>
      <c r="N910" s="95" t="n"/>
      <c r="O910" s="95" t="n"/>
      <c r="P910" s="95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  <c r="Z910" s="46" t="n"/>
    </row>
    <row r="911" ht="12.75" customHeight="1">
      <c r="A911" s="100" t="n"/>
      <c r="B911" s="101" t="n"/>
      <c r="C911" s="102" t="n"/>
      <c r="D911" s="99" t="n"/>
      <c r="E911" s="95" t="n"/>
      <c r="F911" s="95" t="n"/>
      <c r="G911" s="94" t="n"/>
      <c r="H911" s="46" t="n"/>
      <c r="I911" s="46" t="n"/>
      <c r="J911" s="46" t="n"/>
      <c r="K911" s="46" t="n"/>
      <c r="L911" s="95" t="n"/>
      <c r="M911" s="95" t="n"/>
      <c r="N911" s="95" t="n"/>
      <c r="O911" s="95" t="n"/>
      <c r="P911" s="95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  <c r="Z911" s="46" t="n"/>
    </row>
    <row r="912" ht="12.75" customHeight="1">
      <c r="A912" s="100" t="n"/>
      <c r="B912" s="101" t="n"/>
      <c r="C912" s="102" t="n"/>
      <c r="D912" s="99" t="n"/>
      <c r="E912" s="95" t="n"/>
      <c r="F912" s="95" t="n"/>
      <c r="G912" s="94" t="n"/>
      <c r="H912" s="46" t="n"/>
      <c r="I912" s="46" t="n"/>
      <c r="J912" s="46" t="n"/>
      <c r="K912" s="46" t="n"/>
      <c r="L912" s="95" t="n"/>
      <c r="M912" s="95" t="n"/>
      <c r="N912" s="95" t="n"/>
      <c r="O912" s="95" t="n"/>
      <c r="P912" s="95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  <c r="Z912" s="46" t="n"/>
    </row>
    <row r="913" ht="12.75" customHeight="1">
      <c r="A913" s="100" t="n"/>
      <c r="B913" s="101" t="n"/>
      <c r="C913" s="102" t="n"/>
      <c r="D913" s="99" t="n"/>
      <c r="E913" s="95" t="n"/>
      <c r="F913" s="95" t="n"/>
      <c r="G913" s="94" t="n"/>
      <c r="H913" s="46" t="n"/>
      <c r="I913" s="46" t="n"/>
      <c r="J913" s="46" t="n"/>
      <c r="K913" s="46" t="n"/>
      <c r="L913" s="95" t="n"/>
      <c r="M913" s="95" t="n"/>
      <c r="N913" s="95" t="n"/>
      <c r="O913" s="95" t="n"/>
      <c r="P913" s="95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  <c r="Z913" s="46" t="n"/>
    </row>
    <row r="914" ht="12.75" customHeight="1">
      <c r="A914" s="100" t="n"/>
      <c r="B914" s="101" t="n"/>
      <c r="C914" s="102" t="n"/>
      <c r="D914" s="99" t="n"/>
      <c r="E914" s="95" t="n"/>
      <c r="F914" s="95" t="n"/>
      <c r="G914" s="94" t="n"/>
      <c r="H914" s="46" t="n"/>
      <c r="I914" s="46" t="n"/>
      <c r="J914" s="46" t="n"/>
      <c r="K914" s="46" t="n"/>
      <c r="L914" s="95" t="n"/>
      <c r="M914" s="95" t="n"/>
      <c r="N914" s="95" t="n"/>
      <c r="O914" s="95" t="n"/>
      <c r="P914" s="95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  <c r="Z914" s="46" t="n"/>
    </row>
    <row r="915" ht="12.75" customHeight="1">
      <c r="A915" s="100" t="n"/>
      <c r="B915" s="101" t="n"/>
      <c r="C915" s="102" t="n"/>
      <c r="D915" s="99" t="n"/>
      <c r="E915" s="95" t="n"/>
      <c r="F915" s="95" t="n"/>
      <c r="G915" s="94" t="n"/>
      <c r="H915" s="46" t="n"/>
      <c r="I915" s="46" t="n"/>
      <c r="J915" s="46" t="n"/>
      <c r="K915" s="46" t="n"/>
      <c r="L915" s="95" t="n"/>
      <c r="M915" s="95" t="n"/>
      <c r="N915" s="95" t="n"/>
      <c r="O915" s="95" t="n"/>
      <c r="P915" s="95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  <c r="Z915" s="46" t="n"/>
    </row>
    <row r="916" ht="12.75" customHeight="1">
      <c r="A916" s="100" t="n"/>
      <c r="B916" s="101" t="n"/>
      <c r="C916" s="102" t="n"/>
      <c r="D916" s="99" t="n"/>
      <c r="E916" s="95" t="n"/>
      <c r="F916" s="95" t="n"/>
      <c r="G916" s="94" t="n"/>
      <c r="H916" s="46" t="n"/>
      <c r="I916" s="46" t="n"/>
      <c r="J916" s="46" t="n"/>
      <c r="K916" s="46" t="n"/>
      <c r="L916" s="95" t="n"/>
      <c r="M916" s="95" t="n"/>
      <c r="N916" s="95" t="n"/>
      <c r="O916" s="95" t="n"/>
      <c r="P916" s="95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  <c r="Z916" s="46" t="n"/>
    </row>
    <row r="917" ht="12.75" customHeight="1">
      <c r="A917" s="100" t="n"/>
      <c r="B917" s="101" t="n"/>
      <c r="C917" s="102" t="n"/>
      <c r="D917" s="99" t="n"/>
      <c r="E917" s="95" t="n"/>
      <c r="F917" s="95" t="n"/>
      <c r="G917" s="94" t="n"/>
      <c r="H917" s="46" t="n"/>
      <c r="I917" s="46" t="n"/>
      <c r="J917" s="46" t="n"/>
      <c r="K917" s="46" t="n"/>
      <c r="L917" s="95" t="n"/>
      <c r="M917" s="95" t="n"/>
      <c r="N917" s="95" t="n"/>
      <c r="O917" s="95" t="n"/>
      <c r="P917" s="95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  <c r="Z917" s="46" t="n"/>
    </row>
    <row r="918" ht="12.75" customHeight="1">
      <c r="A918" s="100" t="n"/>
      <c r="B918" s="101" t="n"/>
      <c r="C918" s="102" t="n"/>
      <c r="D918" s="99" t="n"/>
      <c r="E918" s="95" t="n"/>
      <c r="F918" s="95" t="n"/>
      <c r="G918" s="94" t="n"/>
      <c r="H918" s="46" t="n"/>
      <c r="I918" s="46" t="n"/>
      <c r="J918" s="46" t="n"/>
      <c r="K918" s="46" t="n"/>
      <c r="L918" s="95" t="n"/>
      <c r="M918" s="95" t="n"/>
      <c r="N918" s="95" t="n"/>
      <c r="O918" s="95" t="n"/>
      <c r="P918" s="95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  <c r="Z918" s="46" t="n"/>
    </row>
    <row r="919" ht="12.75" customHeight="1">
      <c r="A919" s="100" t="n"/>
      <c r="B919" s="101" t="n"/>
      <c r="C919" s="102" t="n"/>
      <c r="D919" s="99" t="n"/>
      <c r="E919" s="95" t="n"/>
      <c r="F919" s="95" t="n"/>
      <c r="G919" s="94" t="n"/>
      <c r="H919" s="46" t="n"/>
      <c r="I919" s="46" t="n"/>
      <c r="J919" s="46" t="n"/>
      <c r="K919" s="46" t="n"/>
      <c r="L919" s="95" t="n"/>
      <c r="M919" s="95" t="n"/>
      <c r="N919" s="95" t="n"/>
      <c r="O919" s="95" t="n"/>
      <c r="P919" s="95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  <c r="Z919" s="46" t="n"/>
    </row>
    <row r="920" ht="12.75" customHeight="1">
      <c r="A920" s="100" t="n"/>
      <c r="B920" s="101" t="n"/>
      <c r="C920" s="102" t="n"/>
      <c r="D920" s="99" t="n"/>
      <c r="E920" s="95" t="n"/>
      <c r="F920" s="95" t="n"/>
      <c r="G920" s="94" t="n"/>
      <c r="H920" s="46" t="n"/>
      <c r="I920" s="46" t="n"/>
      <c r="J920" s="46" t="n"/>
      <c r="K920" s="46" t="n"/>
      <c r="L920" s="95" t="n"/>
      <c r="M920" s="95" t="n"/>
      <c r="N920" s="95" t="n"/>
      <c r="O920" s="95" t="n"/>
      <c r="P920" s="95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  <c r="Z920" s="46" t="n"/>
    </row>
    <row r="921" ht="12.75" customHeight="1">
      <c r="A921" s="100" t="n"/>
      <c r="B921" s="101" t="n"/>
      <c r="C921" s="102" t="n"/>
      <c r="D921" s="99" t="n"/>
      <c r="E921" s="95" t="n"/>
      <c r="F921" s="95" t="n"/>
      <c r="G921" s="94" t="n"/>
      <c r="H921" s="46" t="n"/>
      <c r="I921" s="46" t="n"/>
      <c r="J921" s="46" t="n"/>
      <c r="K921" s="46" t="n"/>
      <c r="L921" s="95" t="n"/>
      <c r="M921" s="95" t="n"/>
      <c r="N921" s="95" t="n"/>
      <c r="O921" s="95" t="n"/>
      <c r="P921" s="95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  <c r="Z921" s="46" t="n"/>
    </row>
    <row r="922" ht="12.75" customHeight="1">
      <c r="A922" s="100" t="n"/>
      <c r="B922" s="101" t="n"/>
      <c r="C922" s="102" t="n"/>
      <c r="D922" s="99" t="n"/>
      <c r="E922" s="95" t="n"/>
      <c r="F922" s="95" t="n"/>
      <c r="G922" s="94" t="n"/>
      <c r="H922" s="46" t="n"/>
      <c r="I922" s="46" t="n"/>
      <c r="J922" s="46" t="n"/>
      <c r="K922" s="46" t="n"/>
      <c r="L922" s="95" t="n"/>
      <c r="M922" s="95" t="n"/>
      <c r="N922" s="95" t="n"/>
      <c r="O922" s="95" t="n"/>
      <c r="P922" s="95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  <c r="Z922" s="46" t="n"/>
    </row>
    <row r="923" ht="12.75" customHeight="1">
      <c r="A923" s="100" t="n"/>
      <c r="B923" s="101" t="n"/>
      <c r="C923" s="102" t="n"/>
      <c r="D923" s="99" t="n"/>
      <c r="E923" s="95" t="n"/>
      <c r="F923" s="95" t="n"/>
      <c r="G923" s="94" t="n"/>
      <c r="H923" s="46" t="n"/>
      <c r="I923" s="46" t="n"/>
      <c r="J923" s="46" t="n"/>
      <c r="K923" s="46" t="n"/>
      <c r="L923" s="95" t="n"/>
      <c r="M923" s="95" t="n"/>
      <c r="N923" s="95" t="n"/>
      <c r="O923" s="95" t="n"/>
      <c r="P923" s="95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  <c r="Z923" s="46" t="n"/>
    </row>
    <row r="924" ht="12.75" customHeight="1">
      <c r="A924" s="100" t="n"/>
      <c r="B924" s="101" t="n"/>
      <c r="C924" s="102" t="n"/>
      <c r="D924" s="99" t="n"/>
      <c r="E924" s="95" t="n"/>
      <c r="F924" s="95" t="n"/>
      <c r="G924" s="94" t="n"/>
      <c r="H924" s="46" t="n"/>
      <c r="I924" s="46" t="n"/>
      <c r="J924" s="46" t="n"/>
      <c r="K924" s="46" t="n"/>
      <c r="L924" s="95" t="n"/>
      <c r="M924" s="95" t="n"/>
      <c r="N924" s="95" t="n"/>
      <c r="O924" s="95" t="n"/>
      <c r="P924" s="95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  <c r="Z924" s="46" t="n"/>
    </row>
    <row r="925" ht="12.75" customHeight="1">
      <c r="A925" s="100" t="n"/>
      <c r="B925" s="101" t="n"/>
      <c r="C925" s="102" t="n"/>
      <c r="D925" s="99" t="n"/>
      <c r="E925" s="95" t="n"/>
      <c r="F925" s="95" t="n"/>
      <c r="G925" s="94" t="n"/>
      <c r="H925" s="46" t="n"/>
      <c r="I925" s="46" t="n"/>
      <c r="J925" s="46" t="n"/>
      <c r="K925" s="46" t="n"/>
      <c r="L925" s="95" t="n"/>
      <c r="M925" s="95" t="n"/>
      <c r="N925" s="95" t="n"/>
      <c r="O925" s="95" t="n"/>
      <c r="P925" s="95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  <c r="Z925" s="46" t="n"/>
    </row>
    <row r="926" ht="12.75" customHeight="1">
      <c r="A926" s="100" t="n"/>
      <c r="B926" s="101" t="n"/>
      <c r="C926" s="102" t="n"/>
      <c r="D926" s="99" t="n"/>
      <c r="E926" s="95" t="n"/>
      <c r="F926" s="95" t="n"/>
      <c r="G926" s="94" t="n"/>
      <c r="H926" s="46" t="n"/>
      <c r="I926" s="46" t="n"/>
      <c r="J926" s="46" t="n"/>
      <c r="K926" s="46" t="n"/>
      <c r="L926" s="95" t="n"/>
      <c r="M926" s="95" t="n"/>
      <c r="N926" s="95" t="n"/>
      <c r="O926" s="95" t="n"/>
      <c r="P926" s="95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  <c r="Z926" s="46" t="n"/>
    </row>
    <row r="927" ht="12.75" customHeight="1">
      <c r="A927" s="100" t="n"/>
      <c r="B927" s="101" t="n"/>
      <c r="C927" s="102" t="n"/>
      <c r="D927" s="99" t="n"/>
      <c r="E927" s="95" t="n"/>
      <c r="F927" s="95" t="n"/>
      <c r="G927" s="94" t="n"/>
      <c r="H927" s="46" t="n"/>
      <c r="I927" s="46" t="n"/>
      <c r="J927" s="46" t="n"/>
      <c r="K927" s="46" t="n"/>
      <c r="L927" s="95" t="n"/>
      <c r="M927" s="95" t="n"/>
      <c r="N927" s="95" t="n"/>
      <c r="O927" s="95" t="n"/>
      <c r="P927" s="95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  <c r="Z927" s="46" t="n"/>
    </row>
    <row r="928" ht="12.75" customHeight="1">
      <c r="A928" s="100" t="n"/>
      <c r="B928" s="101" t="n"/>
      <c r="C928" s="102" t="n"/>
      <c r="D928" s="99" t="n"/>
      <c r="E928" s="95" t="n"/>
      <c r="F928" s="95" t="n"/>
      <c r="G928" s="94" t="n"/>
      <c r="H928" s="46" t="n"/>
      <c r="I928" s="46" t="n"/>
      <c r="J928" s="46" t="n"/>
      <c r="K928" s="46" t="n"/>
      <c r="L928" s="95" t="n"/>
      <c r="M928" s="95" t="n"/>
      <c r="N928" s="95" t="n"/>
      <c r="O928" s="95" t="n"/>
      <c r="P928" s="95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  <c r="Z928" s="46" t="n"/>
    </row>
    <row r="929" ht="12.75" customHeight="1">
      <c r="A929" s="100" t="n"/>
      <c r="B929" s="101" t="n"/>
      <c r="C929" s="102" t="n"/>
      <c r="D929" s="99" t="n"/>
      <c r="E929" s="95" t="n"/>
      <c r="F929" s="95" t="n"/>
      <c r="G929" s="94" t="n"/>
      <c r="H929" s="46" t="n"/>
      <c r="I929" s="46" t="n"/>
      <c r="J929" s="46" t="n"/>
      <c r="K929" s="46" t="n"/>
      <c r="L929" s="95" t="n"/>
      <c r="M929" s="95" t="n"/>
      <c r="N929" s="95" t="n"/>
      <c r="O929" s="95" t="n"/>
      <c r="P929" s="95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  <c r="Z929" s="46" t="n"/>
    </row>
    <row r="930" ht="12.75" customHeight="1">
      <c r="A930" s="100" t="n"/>
      <c r="B930" s="101" t="n"/>
      <c r="C930" s="102" t="n"/>
      <c r="D930" s="99" t="n"/>
      <c r="E930" s="95" t="n"/>
      <c r="F930" s="95" t="n"/>
      <c r="G930" s="94" t="n"/>
      <c r="H930" s="46" t="n"/>
      <c r="I930" s="46" t="n"/>
      <c r="J930" s="46" t="n"/>
      <c r="K930" s="46" t="n"/>
      <c r="L930" s="95" t="n"/>
      <c r="M930" s="95" t="n"/>
      <c r="N930" s="95" t="n"/>
      <c r="O930" s="95" t="n"/>
      <c r="P930" s="95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  <c r="Z930" s="46" t="n"/>
    </row>
    <row r="931" ht="12.75" customHeight="1">
      <c r="A931" s="100" t="n"/>
      <c r="B931" s="101" t="n"/>
      <c r="C931" s="102" t="n"/>
      <c r="D931" s="99" t="n"/>
      <c r="E931" s="95" t="n"/>
      <c r="F931" s="95" t="n"/>
      <c r="G931" s="94" t="n"/>
      <c r="H931" s="46" t="n"/>
      <c r="I931" s="46" t="n"/>
      <c r="J931" s="46" t="n"/>
      <c r="K931" s="46" t="n"/>
      <c r="L931" s="95" t="n"/>
      <c r="M931" s="95" t="n"/>
      <c r="N931" s="95" t="n"/>
      <c r="O931" s="95" t="n"/>
      <c r="P931" s="95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  <c r="Z931" s="46" t="n"/>
    </row>
    <row r="932" ht="12.75" customHeight="1">
      <c r="A932" s="100" t="n"/>
      <c r="B932" s="101" t="n"/>
      <c r="C932" s="102" t="n"/>
      <c r="D932" s="99" t="n"/>
      <c r="E932" s="95" t="n"/>
      <c r="F932" s="95" t="n"/>
      <c r="G932" s="94" t="n"/>
      <c r="H932" s="46" t="n"/>
      <c r="I932" s="46" t="n"/>
      <c r="J932" s="46" t="n"/>
      <c r="K932" s="46" t="n"/>
      <c r="L932" s="95" t="n"/>
      <c r="M932" s="95" t="n"/>
      <c r="N932" s="95" t="n"/>
      <c r="O932" s="95" t="n"/>
      <c r="P932" s="95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  <c r="Z932" s="46" t="n"/>
    </row>
    <row r="933" ht="12.75" customHeight="1">
      <c r="A933" s="100" t="n"/>
      <c r="B933" s="101" t="n"/>
      <c r="C933" s="102" t="n"/>
      <c r="D933" s="99" t="n"/>
      <c r="E933" s="95" t="n"/>
      <c r="F933" s="95" t="n"/>
      <c r="G933" s="94" t="n"/>
      <c r="H933" s="46" t="n"/>
      <c r="I933" s="46" t="n"/>
      <c r="J933" s="46" t="n"/>
      <c r="K933" s="46" t="n"/>
      <c r="L933" s="95" t="n"/>
      <c r="M933" s="95" t="n"/>
      <c r="N933" s="95" t="n"/>
      <c r="O933" s="95" t="n"/>
      <c r="P933" s="95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  <c r="Z933" s="46" t="n"/>
    </row>
    <row r="934" ht="12.75" customHeight="1">
      <c r="A934" s="100" t="n"/>
      <c r="B934" s="101" t="n"/>
      <c r="C934" s="102" t="n"/>
      <c r="D934" s="99" t="n"/>
      <c r="E934" s="95" t="n"/>
      <c r="F934" s="95" t="n"/>
      <c r="G934" s="94" t="n"/>
      <c r="H934" s="46" t="n"/>
      <c r="I934" s="46" t="n"/>
      <c r="J934" s="46" t="n"/>
      <c r="K934" s="46" t="n"/>
      <c r="L934" s="95" t="n"/>
      <c r="M934" s="95" t="n"/>
      <c r="N934" s="95" t="n"/>
      <c r="O934" s="95" t="n"/>
      <c r="P934" s="95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  <c r="Z934" s="46" t="n"/>
    </row>
    <row r="935" ht="12.75" customHeight="1">
      <c r="A935" s="100" t="n"/>
      <c r="B935" s="101" t="n"/>
      <c r="C935" s="102" t="n"/>
      <c r="D935" s="99" t="n"/>
      <c r="E935" s="95" t="n"/>
      <c r="F935" s="95" t="n"/>
      <c r="G935" s="94" t="n"/>
      <c r="H935" s="46" t="n"/>
      <c r="I935" s="46" t="n"/>
      <c r="J935" s="46" t="n"/>
      <c r="K935" s="46" t="n"/>
      <c r="L935" s="95" t="n"/>
      <c r="M935" s="95" t="n"/>
      <c r="N935" s="95" t="n"/>
      <c r="O935" s="95" t="n"/>
      <c r="P935" s="95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  <c r="Z935" s="46" t="n"/>
    </row>
    <row r="936" ht="12.75" customHeight="1">
      <c r="A936" s="100" t="n"/>
      <c r="B936" s="101" t="n"/>
      <c r="C936" s="102" t="n"/>
      <c r="D936" s="99" t="n"/>
      <c r="E936" s="95" t="n"/>
      <c r="F936" s="95" t="n"/>
      <c r="G936" s="94" t="n"/>
      <c r="H936" s="46" t="n"/>
      <c r="I936" s="46" t="n"/>
      <c r="J936" s="46" t="n"/>
      <c r="K936" s="46" t="n"/>
      <c r="L936" s="95" t="n"/>
      <c r="M936" s="95" t="n"/>
      <c r="N936" s="95" t="n"/>
      <c r="O936" s="95" t="n"/>
      <c r="P936" s="95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  <c r="Z936" s="46" t="n"/>
    </row>
    <row r="937" ht="12.75" customHeight="1">
      <c r="A937" s="100" t="n"/>
      <c r="B937" s="101" t="n"/>
      <c r="C937" s="102" t="n"/>
      <c r="D937" s="99" t="n"/>
      <c r="E937" s="95" t="n"/>
      <c r="F937" s="95" t="n"/>
      <c r="G937" s="94" t="n"/>
      <c r="H937" s="46" t="n"/>
      <c r="I937" s="46" t="n"/>
      <c r="J937" s="46" t="n"/>
      <c r="K937" s="46" t="n"/>
      <c r="L937" s="95" t="n"/>
      <c r="M937" s="95" t="n"/>
      <c r="N937" s="95" t="n"/>
      <c r="O937" s="95" t="n"/>
      <c r="P937" s="95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  <c r="Z937" s="46" t="n"/>
    </row>
    <row r="938" ht="12.75" customHeight="1">
      <c r="A938" s="100" t="n"/>
      <c r="B938" s="101" t="n"/>
      <c r="C938" s="102" t="n"/>
      <c r="D938" s="99" t="n"/>
      <c r="E938" s="95" t="n"/>
      <c r="F938" s="95" t="n"/>
      <c r="G938" s="94" t="n"/>
      <c r="H938" s="46" t="n"/>
      <c r="I938" s="46" t="n"/>
      <c r="J938" s="46" t="n"/>
      <c r="K938" s="46" t="n"/>
      <c r="L938" s="95" t="n"/>
      <c r="M938" s="95" t="n"/>
      <c r="N938" s="95" t="n"/>
      <c r="O938" s="95" t="n"/>
      <c r="P938" s="95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  <c r="Z938" s="46" t="n"/>
    </row>
    <row r="939" ht="12.75" customHeight="1">
      <c r="A939" s="100" t="n"/>
      <c r="B939" s="101" t="n"/>
      <c r="C939" s="102" t="n"/>
      <c r="D939" s="99" t="n"/>
      <c r="E939" s="95" t="n"/>
      <c r="F939" s="95" t="n"/>
      <c r="G939" s="94" t="n"/>
      <c r="H939" s="46" t="n"/>
      <c r="I939" s="46" t="n"/>
      <c r="J939" s="46" t="n"/>
      <c r="K939" s="46" t="n"/>
      <c r="L939" s="95" t="n"/>
      <c r="M939" s="95" t="n"/>
      <c r="N939" s="95" t="n"/>
      <c r="O939" s="95" t="n"/>
      <c r="P939" s="95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  <c r="Z939" s="46" t="n"/>
    </row>
    <row r="940" ht="12.75" customHeight="1">
      <c r="A940" s="100" t="n"/>
      <c r="B940" s="101" t="n"/>
      <c r="C940" s="102" t="n"/>
      <c r="D940" s="99" t="n"/>
      <c r="E940" s="95" t="n"/>
      <c r="F940" s="95" t="n"/>
      <c r="G940" s="94" t="n"/>
      <c r="H940" s="46" t="n"/>
      <c r="I940" s="46" t="n"/>
      <c r="J940" s="46" t="n"/>
      <c r="K940" s="46" t="n"/>
      <c r="L940" s="95" t="n"/>
      <c r="M940" s="95" t="n"/>
      <c r="N940" s="95" t="n"/>
      <c r="O940" s="95" t="n"/>
      <c r="P940" s="95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  <c r="Z940" s="46" t="n"/>
    </row>
    <row r="941" ht="12.75" customHeight="1">
      <c r="A941" s="100" t="n"/>
      <c r="B941" s="101" t="n"/>
      <c r="C941" s="102" t="n"/>
      <c r="D941" s="99" t="n"/>
      <c r="E941" s="95" t="n"/>
      <c r="F941" s="95" t="n"/>
      <c r="G941" s="94" t="n"/>
      <c r="H941" s="46" t="n"/>
      <c r="I941" s="46" t="n"/>
      <c r="J941" s="46" t="n"/>
      <c r="K941" s="46" t="n"/>
      <c r="L941" s="95" t="n"/>
      <c r="M941" s="95" t="n"/>
      <c r="N941" s="95" t="n"/>
      <c r="O941" s="95" t="n"/>
      <c r="P941" s="95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  <c r="Z941" s="46" t="n"/>
    </row>
    <row r="942" ht="12.75" customHeight="1">
      <c r="A942" s="100" t="n"/>
      <c r="B942" s="101" t="n"/>
      <c r="C942" s="102" t="n"/>
      <c r="D942" s="99" t="n"/>
      <c r="E942" s="95" t="n"/>
      <c r="F942" s="95" t="n"/>
      <c r="G942" s="94" t="n"/>
      <c r="H942" s="46" t="n"/>
      <c r="I942" s="46" t="n"/>
      <c r="J942" s="46" t="n"/>
      <c r="K942" s="46" t="n"/>
      <c r="L942" s="95" t="n"/>
      <c r="M942" s="95" t="n"/>
      <c r="N942" s="95" t="n"/>
      <c r="O942" s="95" t="n"/>
      <c r="P942" s="95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  <c r="Z942" s="46" t="n"/>
    </row>
    <row r="943" ht="12.75" customHeight="1">
      <c r="A943" s="100" t="n"/>
      <c r="B943" s="101" t="n"/>
      <c r="C943" s="102" t="n"/>
      <c r="D943" s="99" t="n"/>
      <c r="E943" s="95" t="n"/>
      <c r="F943" s="95" t="n"/>
      <c r="G943" s="94" t="n"/>
      <c r="H943" s="46" t="n"/>
      <c r="I943" s="46" t="n"/>
      <c r="J943" s="46" t="n"/>
      <c r="K943" s="46" t="n"/>
      <c r="L943" s="95" t="n"/>
      <c r="M943" s="95" t="n"/>
      <c r="N943" s="95" t="n"/>
      <c r="O943" s="95" t="n"/>
      <c r="P943" s="95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  <c r="Z943" s="46" t="n"/>
    </row>
    <row r="944" ht="12.75" customHeight="1">
      <c r="A944" s="100" t="n"/>
      <c r="B944" s="101" t="n"/>
      <c r="C944" s="102" t="n"/>
      <c r="D944" s="99" t="n"/>
      <c r="E944" s="95" t="n"/>
      <c r="F944" s="95" t="n"/>
      <c r="G944" s="94" t="n"/>
      <c r="H944" s="46" t="n"/>
      <c r="I944" s="46" t="n"/>
      <c r="J944" s="46" t="n"/>
      <c r="K944" s="46" t="n"/>
      <c r="L944" s="95" t="n"/>
      <c r="M944" s="95" t="n"/>
      <c r="N944" s="95" t="n"/>
      <c r="O944" s="95" t="n"/>
      <c r="P944" s="95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  <c r="Z944" s="46" t="n"/>
    </row>
    <row r="945" ht="12.75" customHeight="1">
      <c r="A945" s="100" t="n"/>
      <c r="B945" s="101" t="n"/>
      <c r="C945" s="102" t="n"/>
      <c r="D945" s="99" t="n"/>
      <c r="E945" s="95" t="n"/>
      <c r="F945" s="95" t="n"/>
      <c r="G945" s="94" t="n"/>
      <c r="H945" s="46" t="n"/>
      <c r="I945" s="46" t="n"/>
      <c r="J945" s="46" t="n"/>
      <c r="K945" s="46" t="n"/>
      <c r="L945" s="95" t="n"/>
      <c r="M945" s="95" t="n"/>
      <c r="N945" s="95" t="n"/>
      <c r="O945" s="95" t="n"/>
      <c r="P945" s="95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  <c r="Z945" s="46" t="n"/>
    </row>
    <row r="946" ht="12.75" customHeight="1">
      <c r="A946" s="100" t="n"/>
      <c r="B946" s="101" t="n"/>
      <c r="C946" s="102" t="n"/>
      <c r="D946" s="99" t="n"/>
      <c r="E946" s="95" t="n"/>
      <c r="F946" s="95" t="n"/>
      <c r="G946" s="94" t="n"/>
      <c r="H946" s="46" t="n"/>
      <c r="I946" s="46" t="n"/>
      <c r="J946" s="46" t="n"/>
      <c r="K946" s="46" t="n"/>
      <c r="L946" s="95" t="n"/>
      <c r="M946" s="95" t="n"/>
      <c r="N946" s="95" t="n"/>
      <c r="O946" s="95" t="n"/>
      <c r="P946" s="95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  <c r="Z946" s="46" t="n"/>
    </row>
    <row r="947" ht="12.75" customHeight="1">
      <c r="A947" s="100" t="n"/>
      <c r="B947" s="101" t="n"/>
      <c r="C947" s="102" t="n"/>
      <c r="D947" s="99" t="n"/>
      <c r="E947" s="95" t="n"/>
      <c r="F947" s="95" t="n"/>
      <c r="G947" s="94" t="n"/>
      <c r="H947" s="46" t="n"/>
      <c r="I947" s="46" t="n"/>
      <c r="J947" s="46" t="n"/>
      <c r="K947" s="46" t="n"/>
      <c r="L947" s="95" t="n"/>
      <c r="M947" s="95" t="n"/>
      <c r="N947" s="95" t="n"/>
      <c r="O947" s="95" t="n"/>
      <c r="P947" s="95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  <c r="Z947" s="46" t="n"/>
    </row>
    <row r="948" ht="12.75" customHeight="1">
      <c r="A948" s="100" t="n"/>
      <c r="B948" s="101" t="n"/>
      <c r="C948" s="102" t="n"/>
      <c r="D948" s="99" t="n"/>
      <c r="E948" s="95" t="n"/>
      <c r="F948" s="95" t="n"/>
      <c r="G948" s="94" t="n"/>
      <c r="H948" s="46" t="n"/>
      <c r="I948" s="46" t="n"/>
      <c r="J948" s="46" t="n"/>
      <c r="K948" s="46" t="n"/>
      <c r="L948" s="95" t="n"/>
      <c r="M948" s="95" t="n"/>
      <c r="N948" s="95" t="n"/>
      <c r="O948" s="95" t="n"/>
      <c r="P948" s="95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  <c r="Z948" s="46" t="n"/>
    </row>
    <row r="949" ht="12.75" customHeight="1">
      <c r="A949" s="100" t="n"/>
      <c r="B949" s="101" t="n"/>
      <c r="C949" s="102" t="n"/>
      <c r="D949" s="99" t="n"/>
      <c r="E949" s="95" t="n"/>
      <c r="F949" s="95" t="n"/>
      <c r="G949" s="94" t="n"/>
      <c r="H949" s="46" t="n"/>
      <c r="I949" s="46" t="n"/>
      <c r="J949" s="46" t="n"/>
      <c r="K949" s="46" t="n"/>
      <c r="L949" s="95" t="n"/>
      <c r="M949" s="95" t="n"/>
      <c r="N949" s="95" t="n"/>
      <c r="O949" s="95" t="n"/>
      <c r="P949" s="95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  <c r="Z949" s="46" t="n"/>
    </row>
    <row r="950" ht="12.75" customHeight="1">
      <c r="A950" s="100" t="n"/>
      <c r="B950" s="101" t="n"/>
      <c r="C950" s="102" t="n"/>
      <c r="D950" s="99" t="n"/>
      <c r="E950" s="95" t="n"/>
      <c r="F950" s="95" t="n"/>
      <c r="G950" s="94" t="n"/>
      <c r="H950" s="46" t="n"/>
      <c r="I950" s="46" t="n"/>
      <c r="J950" s="46" t="n"/>
      <c r="K950" s="46" t="n"/>
      <c r="L950" s="95" t="n"/>
      <c r="M950" s="95" t="n"/>
      <c r="N950" s="95" t="n"/>
      <c r="O950" s="95" t="n"/>
      <c r="P950" s="95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  <c r="Z950" s="46" t="n"/>
    </row>
    <row r="951" ht="12.75" customHeight="1">
      <c r="A951" s="100" t="n"/>
      <c r="B951" s="101" t="n"/>
      <c r="C951" s="102" t="n"/>
      <c r="D951" s="99" t="n"/>
      <c r="E951" s="95" t="n"/>
      <c r="F951" s="95" t="n"/>
      <c r="G951" s="94" t="n"/>
      <c r="H951" s="46" t="n"/>
      <c r="I951" s="46" t="n"/>
      <c r="J951" s="46" t="n"/>
      <c r="K951" s="46" t="n"/>
      <c r="L951" s="95" t="n"/>
      <c r="M951" s="95" t="n"/>
      <c r="N951" s="95" t="n"/>
      <c r="O951" s="95" t="n"/>
      <c r="P951" s="95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  <c r="Z951" s="46" t="n"/>
    </row>
    <row r="952" ht="12.75" customHeight="1">
      <c r="A952" s="100" t="n"/>
      <c r="B952" s="101" t="n"/>
      <c r="C952" s="102" t="n"/>
      <c r="D952" s="99" t="n"/>
      <c r="E952" s="95" t="n"/>
      <c r="F952" s="95" t="n"/>
      <c r="G952" s="94" t="n"/>
      <c r="H952" s="46" t="n"/>
      <c r="I952" s="46" t="n"/>
      <c r="J952" s="46" t="n"/>
      <c r="K952" s="46" t="n"/>
      <c r="L952" s="95" t="n"/>
      <c r="M952" s="95" t="n"/>
      <c r="N952" s="95" t="n"/>
      <c r="O952" s="95" t="n"/>
      <c r="P952" s="95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  <c r="Z952" s="46" t="n"/>
    </row>
    <row r="953" ht="12.75" customHeight="1">
      <c r="A953" s="100" t="n"/>
      <c r="B953" s="101" t="n"/>
      <c r="C953" s="102" t="n"/>
      <c r="D953" s="99" t="n"/>
      <c r="E953" s="95" t="n"/>
      <c r="F953" s="95" t="n"/>
      <c r="G953" s="94" t="n"/>
      <c r="H953" s="46" t="n"/>
      <c r="I953" s="46" t="n"/>
      <c r="J953" s="46" t="n"/>
      <c r="K953" s="46" t="n"/>
      <c r="L953" s="95" t="n"/>
      <c r="M953" s="95" t="n"/>
      <c r="N953" s="95" t="n"/>
      <c r="O953" s="95" t="n"/>
      <c r="P953" s="95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  <c r="Z953" s="46" t="n"/>
    </row>
    <row r="954" ht="12.75" customHeight="1">
      <c r="A954" s="100" t="n"/>
      <c r="B954" s="101" t="n"/>
      <c r="C954" s="102" t="n"/>
      <c r="D954" s="99" t="n"/>
      <c r="E954" s="95" t="n"/>
      <c r="F954" s="95" t="n"/>
      <c r="G954" s="94" t="n"/>
      <c r="H954" s="46" t="n"/>
      <c r="I954" s="46" t="n"/>
      <c r="J954" s="46" t="n"/>
      <c r="K954" s="46" t="n"/>
      <c r="L954" s="95" t="n"/>
      <c r="M954" s="95" t="n"/>
      <c r="N954" s="95" t="n"/>
      <c r="O954" s="95" t="n"/>
      <c r="P954" s="95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  <c r="Z954" s="46" t="n"/>
    </row>
    <row r="955" ht="12.75" customHeight="1">
      <c r="A955" s="100" t="n"/>
      <c r="B955" s="101" t="n"/>
      <c r="C955" s="102" t="n"/>
      <c r="D955" s="99" t="n"/>
      <c r="E955" s="95" t="n"/>
      <c r="F955" s="95" t="n"/>
      <c r="G955" s="94" t="n"/>
      <c r="H955" s="46" t="n"/>
      <c r="I955" s="46" t="n"/>
      <c r="J955" s="46" t="n"/>
      <c r="K955" s="46" t="n"/>
      <c r="L955" s="95" t="n"/>
      <c r="M955" s="95" t="n"/>
      <c r="N955" s="95" t="n"/>
      <c r="O955" s="95" t="n"/>
      <c r="P955" s="95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  <c r="Z955" s="46" t="n"/>
    </row>
    <row r="956" ht="12.75" customHeight="1">
      <c r="A956" s="100" t="n"/>
      <c r="B956" s="101" t="n"/>
      <c r="C956" s="102" t="n"/>
      <c r="D956" s="99" t="n"/>
      <c r="E956" s="95" t="n"/>
      <c r="F956" s="95" t="n"/>
      <c r="G956" s="94" t="n"/>
      <c r="H956" s="46" t="n"/>
      <c r="I956" s="46" t="n"/>
      <c r="J956" s="46" t="n"/>
      <c r="K956" s="46" t="n"/>
      <c r="L956" s="95" t="n"/>
      <c r="M956" s="95" t="n"/>
      <c r="N956" s="95" t="n"/>
      <c r="O956" s="95" t="n"/>
      <c r="P956" s="95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  <c r="Z956" s="46" t="n"/>
    </row>
    <row r="957" ht="12.75" customHeight="1">
      <c r="A957" s="100" t="n"/>
      <c r="B957" s="101" t="n"/>
      <c r="C957" s="102" t="n"/>
      <c r="D957" s="99" t="n"/>
      <c r="E957" s="95" t="n"/>
      <c r="F957" s="95" t="n"/>
      <c r="G957" s="94" t="n"/>
      <c r="H957" s="46" t="n"/>
      <c r="I957" s="46" t="n"/>
      <c r="J957" s="46" t="n"/>
      <c r="K957" s="46" t="n"/>
      <c r="L957" s="95" t="n"/>
      <c r="M957" s="95" t="n"/>
      <c r="N957" s="95" t="n"/>
      <c r="O957" s="95" t="n"/>
      <c r="P957" s="95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  <c r="Z957" s="46" t="n"/>
    </row>
    <row r="958" ht="12.75" customHeight="1">
      <c r="A958" s="100" t="n"/>
      <c r="B958" s="101" t="n"/>
      <c r="C958" s="102" t="n"/>
      <c r="D958" s="99" t="n"/>
      <c r="E958" s="95" t="n"/>
      <c r="F958" s="95" t="n"/>
      <c r="G958" s="94" t="n"/>
      <c r="H958" s="46" t="n"/>
      <c r="I958" s="46" t="n"/>
      <c r="J958" s="46" t="n"/>
      <c r="K958" s="46" t="n"/>
      <c r="L958" s="95" t="n"/>
      <c r="M958" s="95" t="n"/>
      <c r="N958" s="95" t="n"/>
      <c r="O958" s="95" t="n"/>
      <c r="P958" s="95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  <c r="Z958" s="46" t="n"/>
    </row>
    <row r="959" ht="12.75" customHeight="1">
      <c r="A959" s="100" t="n"/>
      <c r="B959" s="101" t="n"/>
      <c r="C959" s="102" t="n"/>
      <c r="D959" s="99" t="n"/>
      <c r="E959" s="95" t="n"/>
      <c r="F959" s="95" t="n"/>
      <c r="G959" s="94" t="n"/>
      <c r="H959" s="46" t="n"/>
      <c r="I959" s="46" t="n"/>
      <c r="J959" s="46" t="n"/>
      <c r="K959" s="46" t="n"/>
      <c r="L959" s="95" t="n"/>
      <c r="M959" s="95" t="n"/>
      <c r="N959" s="95" t="n"/>
      <c r="O959" s="95" t="n"/>
      <c r="P959" s="95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  <c r="Z959" s="46" t="n"/>
    </row>
    <row r="960" ht="12.75" customHeight="1">
      <c r="A960" s="100" t="n"/>
      <c r="B960" s="101" t="n"/>
      <c r="C960" s="102" t="n"/>
      <c r="D960" s="99" t="n"/>
      <c r="E960" s="95" t="n"/>
      <c r="F960" s="95" t="n"/>
      <c r="G960" s="94" t="n"/>
      <c r="H960" s="46" t="n"/>
      <c r="I960" s="46" t="n"/>
      <c r="J960" s="46" t="n"/>
      <c r="K960" s="46" t="n"/>
      <c r="L960" s="95" t="n"/>
      <c r="M960" s="95" t="n"/>
      <c r="N960" s="95" t="n"/>
      <c r="O960" s="95" t="n"/>
      <c r="P960" s="95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  <c r="Z960" s="46" t="n"/>
    </row>
    <row r="961" ht="12.75" customHeight="1">
      <c r="A961" s="100" t="n"/>
      <c r="B961" s="101" t="n"/>
      <c r="C961" s="102" t="n"/>
      <c r="D961" s="99" t="n"/>
      <c r="E961" s="95" t="n"/>
      <c r="F961" s="95" t="n"/>
      <c r="G961" s="94" t="n"/>
      <c r="H961" s="46" t="n"/>
      <c r="I961" s="46" t="n"/>
      <c r="J961" s="46" t="n"/>
      <c r="K961" s="46" t="n"/>
      <c r="L961" s="95" t="n"/>
      <c r="M961" s="95" t="n"/>
      <c r="N961" s="95" t="n"/>
      <c r="O961" s="95" t="n"/>
      <c r="P961" s="95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  <c r="Z961" s="46" t="n"/>
    </row>
    <row r="962" ht="12.75" customHeight="1">
      <c r="A962" s="100" t="n"/>
      <c r="B962" s="101" t="n"/>
      <c r="C962" s="102" t="n"/>
      <c r="D962" s="99" t="n"/>
      <c r="E962" s="95" t="n"/>
      <c r="F962" s="95" t="n"/>
      <c r="G962" s="94" t="n"/>
      <c r="H962" s="46" t="n"/>
      <c r="I962" s="46" t="n"/>
      <c r="J962" s="46" t="n"/>
      <c r="K962" s="46" t="n"/>
      <c r="L962" s="95" t="n"/>
      <c r="M962" s="95" t="n"/>
      <c r="N962" s="95" t="n"/>
      <c r="O962" s="95" t="n"/>
      <c r="P962" s="95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  <c r="Z962" s="46" t="n"/>
    </row>
    <row r="963" ht="12.75" customHeight="1">
      <c r="A963" s="100" t="n"/>
      <c r="B963" s="101" t="n"/>
      <c r="C963" s="102" t="n"/>
      <c r="D963" s="99" t="n"/>
      <c r="E963" s="95" t="n"/>
      <c r="F963" s="95" t="n"/>
      <c r="G963" s="94" t="n"/>
      <c r="H963" s="46" t="n"/>
      <c r="I963" s="46" t="n"/>
      <c r="J963" s="46" t="n"/>
      <c r="K963" s="46" t="n"/>
      <c r="L963" s="95" t="n"/>
      <c r="M963" s="95" t="n"/>
      <c r="N963" s="95" t="n"/>
      <c r="O963" s="95" t="n"/>
      <c r="P963" s="95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  <c r="Z963" s="46" t="n"/>
    </row>
    <row r="964" ht="12.75" customHeight="1">
      <c r="A964" s="100" t="n"/>
      <c r="B964" s="101" t="n"/>
      <c r="C964" s="102" t="n"/>
      <c r="D964" s="99" t="n"/>
      <c r="E964" s="95" t="n"/>
      <c r="F964" s="95" t="n"/>
      <c r="G964" s="94" t="n"/>
      <c r="H964" s="46" t="n"/>
      <c r="I964" s="46" t="n"/>
      <c r="J964" s="46" t="n"/>
      <c r="K964" s="46" t="n"/>
      <c r="L964" s="95" t="n"/>
      <c r="M964" s="95" t="n"/>
      <c r="N964" s="95" t="n"/>
      <c r="O964" s="95" t="n"/>
      <c r="P964" s="95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  <c r="Z964" s="46" t="n"/>
    </row>
    <row r="965" ht="12.75" customHeight="1">
      <c r="A965" s="100" t="n"/>
      <c r="B965" s="101" t="n"/>
      <c r="C965" s="102" t="n"/>
      <c r="D965" s="99" t="n"/>
      <c r="E965" s="95" t="n"/>
      <c r="F965" s="95" t="n"/>
      <c r="G965" s="94" t="n"/>
      <c r="H965" s="46" t="n"/>
      <c r="I965" s="46" t="n"/>
      <c r="J965" s="46" t="n"/>
      <c r="K965" s="46" t="n"/>
      <c r="L965" s="95" t="n"/>
      <c r="M965" s="95" t="n"/>
      <c r="N965" s="95" t="n"/>
      <c r="O965" s="95" t="n"/>
      <c r="P965" s="95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  <c r="Z965" s="46" t="n"/>
    </row>
    <row r="966" ht="12.75" customHeight="1">
      <c r="A966" s="100" t="n"/>
      <c r="B966" s="101" t="n"/>
      <c r="C966" s="102" t="n"/>
      <c r="D966" s="99" t="n"/>
      <c r="E966" s="95" t="n"/>
      <c r="F966" s="95" t="n"/>
      <c r="G966" s="94" t="n"/>
      <c r="H966" s="46" t="n"/>
      <c r="I966" s="46" t="n"/>
      <c r="J966" s="46" t="n"/>
      <c r="K966" s="46" t="n"/>
      <c r="L966" s="95" t="n"/>
      <c r="M966" s="95" t="n"/>
      <c r="N966" s="95" t="n"/>
      <c r="O966" s="95" t="n"/>
      <c r="P966" s="95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  <c r="Z966" s="46" t="n"/>
    </row>
    <row r="967" ht="12.75" customHeight="1">
      <c r="A967" s="100" t="n"/>
      <c r="B967" s="101" t="n"/>
      <c r="C967" s="102" t="n"/>
      <c r="D967" s="99" t="n"/>
      <c r="E967" s="95" t="n"/>
      <c r="F967" s="95" t="n"/>
      <c r="G967" s="94" t="n"/>
      <c r="H967" s="46" t="n"/>
      <c r="I967" s="46" t="n"/>
      <c r="J967" s="46" t="n"/>
      <c r="K967" s="46" t="n"/>
      <c r="L967" s="95" t="n"/>
      <c r="M967" s="95" t="n"/>
      <c r="N967" s="95" t="n"/>
      <c r="O967" s="95" t="n"/>
      <c r="P967" s="95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  <c r="Z967" s="46" t="n"/>
    </row>
    <row r="968" ht="12.75" customHeight="1">
      <c r="A968" s="100" t="n"/>
      <c r="B968" s="101" t="n"/>
      <c r="C968" s="102" t="n"/>
      <c r="D968" s="99" t="n"/>
      <c r="E968" s="95" t="n"/>
      <c r="F968" s="95" t="n"/>
      <c r="G968" s="94" t="n"/>
      <c r="H968" s="46" t="n"/>
      <c r="I968" s="46" t="n"/>
      <c r="J968" s="46" t="n"/>
      <c r="K968" s="46" t="n"/>
      <c r="L968" s="95" t="n"/>
      <c r="M968" s="95" t="n"/>
      <c r="N968" s="95" t="n"/>
      <c r="O968" s="95" t="n"/>
      <c r="P968" s="95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  <c r="Z968" s="46" t="n"/>
    </row>
    <row r="969" ht="12.75" customHeight="1">
      <c r="A969" s="100" t="n"/>
      <c r="B969" s="101" t="n"/>
      <c r="C969" s="102" t="n"/>
      <c r="D969" s="99" t="n"/>
      <c r="E969" s="95" t="n"/>
      <c r="F969" s="95" t="n"/>
      <c r="G969" s="94" t="n"/>
      <c r="H969" s="46" t="n"/>
      <c r="I969" s="46" t="n"/>
      <c r="J969" s="46" t="n"/>
      <c r="K969" s="46" t="n"/>
      <c r="L969" s="95" t="n"/>
      <c r="M969" s="95" t="n"/>
      <c r="N969" s="95" t="n"/>
      <c r="O969" s="95" t="n"/>
      <c r="P969" s="95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  <c r="Z969" s="46" t="n"/>
    </row>
    <row r="970" ht="12.75" customHeight="1">
      <c r="A970" s="100" t="n"/>
      <c r="B970" s="101" t="n"/>
      <c r="C970" s="102" t="n"/>
      <c r="D970" s="99" t="n"/>
      <c r="E970" s="95" t="n"/>
      <c r="F970" s="95" t="n"/>
      <c r="G970" s="94" t="n"/>
      <c r="H970" s="46" t="n"/>
      <c r="I970" s="46" t="n"/>
      <c r="J970" s="46" t="n"/>
      <c r="K970" s="46" t="n"/>
      <c r="L970" s="95" t="n"/>
      <c r="M970" s="95" t="n"/>
      <c r="N970" s="95" t="n"/>
      <c r="O970" s="95" t="n"/>
      <c r="P970" s="95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  <c r="Z970" s="46" t="n"/>
    </row>
    <row r="971" ht="12.75" customHeight="1">
      <c r="A971" s="100" t="n"/>
      <c r="B971" s="101" t="n"/>
      <c r="C971" s="102" t="n"/>
      <c r="D971" s="99" t="n"/>
      <c r="E971" s="95" t="n"/>
      <c r="F971" s="95" t="n"/>
      <c r="G971" s="94" t="n"/>
      <c r="H971" s="46" t="n"/>
      <c r="I971" s="46" t="n"/>
      <c r="J971" s="46" t="n"/>
      <c r="K971" s="46" t="n"/>
      <c r="L971" s="95" t="n"/>
      <c r="M971" s="95" t="n"/>
      <c r="N971" s="95" t="n"/>
      <c r="O971" s="95" t="n"/>
      <c r="P971" s="95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  <c r="Z971" s="46" t="n"/>
    </row>
    <row r="972" ht="12.75" customHeight="1">
      <c r="A972" s="100" t="n"/>
      <c r="B972" s="101" t="n"/>
      <c r="C972" s="102" t="n"/>
      <c r="D972" s="99" t="n"/>
      <c r="E972" s="95" t="n"/>
      <c r="F972" s="95" t="n"/>
      <c r="G972" s="94" t="n"/>
      <c r="H972" s="46" t="n"/>
      <c r="I972" s="46" t="n"/>
      <c r="J972" s="46" t="n"/>
      <c r="K972" s="46" t="n"/>
      <c r="L972" s="95" t="n"/>
      <c r="M972" s="95" t="n"/>
      <c r="N972" s="95" t="n"/>
      <c r="O972" s="95" t="n"/>
      <c r="P972" s="95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  <c r="Z972" s="46" t="n"/>
    </row>
    <row r="973" ht="12.75" customHeight="1">
      <c r="A973" s="100" t="n"/>
      <c r="B973" s="101" t="n"/>
      <c r="C973" s="102" t="n"/>
      <c r="D973" s="99" t="n"/>
      <c r="E973" s="95" t="n"/>
      <c r="F973" s="95" t="n"/>
      <c r="G973" s="94" t="n"/>
      <c r="H973" s="46" t="n"/>
      <c r="I973" s="46" t="n"/>
      <c r="J973" s="46" t="n"/>
      <c r="K973" s="46" t="n"/>
      <c r="L973" s="95" t="n"/>
      <c r="M973" s="95" t="n"/>
      <c r="N973" s="95" t="n"/>
      <c r="O973" s="95" t="n"/>
      <c r="P973" s="95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  <c r="Z973" s="46" t="n"/>
    </row>
    <row r="974" ht="12.75" customHeight="1">
      <c r="A974" s="100" t="n"/>
      <c r="B974" s="101" t="n"/>
      <c r="C974" s="102" t="n"/>
      <c r="D974" s="99" t="n"/>
      <c r="E974" s="95" t="n"/>
      <c r="F974" s="95" t="n"/>
      <c r="G974" s="94" t="n"/>
      <c r="H974" s="46" t="n"/>
      <c r="I974" s="46" t="n"/>
      <c r="J974" s="46" t="n"/>
      <c r="K974" s="46" t="n"/>
      <c r="L974" s="95" t="n"/>
      <c r="M974" s="95" t="n"/>
      <c r="N974" s="95" t="n"/>
      <c r="O974" s="95" t="n"/>
      <c r="P974" s="95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  <c r="Z974" s="46" t="n"/>
    </row>
    <row r="975" ht="12.75" customHeight="1">
      <c r="A975" s="100" t="n"/>
      <c r="B975" s="101" t="n"/>
      <c r="C975" s="102" t="n"/>
      <c r="D975" s="99" t="n"/>
      <c r="E975" s="95" t="n"/>
      <c r="F975" s="95" t="n"/>
      <c r="G975" s="94" t="n"/>
      <c r="H975" s="46" t="n"/>
      <c r="I975" s="46" t="n"/>
      <c r="J975" s="46" t="n"/>
      <c r="K975" s="46" t="n"/>
      <c r="L975" s="95" t="n"/>
      <c r="M975" s="95" t="n"/>
      <c r="N975" s="95" t="n"/>
      <c r="O975" s="95" t="n"/>
      <c r="P975" s="95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  <c r="Z975" s="46" t="n"/>
    </row>
    <row r="976" ht="12.75" customHeight="1">
      <c r="A976" s="100" t="n"/>
      <c r="B976" s="101" t="n"/>
      <c r="C976" s="102" t="n"/>
      <c r="D976" s="99" t="n"/>
      <c r="E976" s="95" t="n"/>
      <c r="F976" s="95" t="n"/>
      <c r="G976" s="94" t="n"/>
      <c r="H976" s="46" t="n"/>
      <c r="I976" s="46" t="n"/>
      <c r="J976" s="46" t="n"/>
      <c r="K976" s="46" t="n"/>
      <c r="L976" s="95" t="n"/>
      <c r="M976" s="95" t="n"/>
      <c r="N976" s="95" t="n"/>
      <c r="O976" s="95" t="n"/>
      <c r="P976" s="95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  <c r="Z976" s="46" t="n"/>
    </row>
    <row r="977" ht="12.75" customHeight="1">
      <c r="A977" s="100" t="n"/>
      <c r="B977" s="101" t="n"/>
      <c r="C977" s="102" t="n"/>
      <c r="D977" s="99" t="n"/>
      <c r="E977" s="95" t="n"/>
      <c r="F977" s="95" t="n"/>
      <c r="G977" s="94" t="n"/>
      <c r="H977" s="46" t="n"/>
      <c r="I977" s="46" t="n"/>
      <c r="J977" s="46" t="n"/>
      <c r="K977" s="46" t="n"/>
      <c r="L977" s="95" t="n"/>
      <c r="M977" s="95" t="n"/>
      <c r="N977" s="95" t="n"/>
      <c r="O977" s="95" t="n"/>
      <c r="P977" s="95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  <c r="Z977" s="46" t="n"/>
    </row>
    <row r="978" ht="12.75" customHeight="1">
      <c r="A978" s="100" t="n"/>
      <c r="B978" s="101" t="n"/>
      <c r="C978" s="102" t="n"/>
      <c r="D978" s="99" t="n"/>
      <c r="E978" s="95" t="n"/>
      <c r="F978" s="95" t="n"/>
      <c r="G978" s="94" t="n"/>
      <c r="H978" s="46" t="n"/>
      <c r="I978" s="46" t="n"/>
      <c r="J978" s="46" t="n"/>
      <c r="K978" s="46" t="n"/>
      <c r="L978" s="95" t="n"/>
      <c r="M978" s="95" t="n"/>
      <c r="N978" s="95" t="n"/>
      <c r="O978" s="95" t="n"/>
      <c r="P978" s="95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  <c r="Z978" s="46" t="n"/>
    </row>
    <row r="979" ht="12.75" customHeight="1">
      <c r="A979" s="100" t="n"/>
      <c r="B979" s="101" t="n"/>
      <c r="C979" s="102" t="n"/>
      <c r="D979" s="99" t="n"/>
      <c r="E979" s="95" t="n"/>
      <c r="F979" s="95" t="n"/>
      <c r="G979" s="94" t="n"/>
      <c r="H979" s="46" t="n"/>
      <c r="I979" s="46" t="n"/>
      <c r="J979" s="46" t="n"/>
      <c r="K979" s="46" t="n"/>
      <c r="L979" s="95" t="n"/>
      <c r="M979" s="95" t="n"/>
      <c r="N979" s="95" t="n"/>
      <c r="O979" s="95" t="n"/>
      <c r="P979" s="95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  <c r="Z979" s="46" t="n"/>
    </row>
    <row r="980" ht="12.75" customHeight="1">
      <c r="A980" s="100" t="n"/>
      <c r="B980" s="101" t="n"/>
      <c r="C980" s="102" t="n"/>
      <c r="D980" s="99" t="n"/>
      <c r="E980" s="95" t="n"/>
      <c r="F980" s="95" t="n"/>
      <c r="G980" s="94" t="n"/>
      <c r="H980" s="46" t="n"/>
      <c r="I980" s="46" t="n"/>
      <c r="J980" s="46" t="n"/>
      <c r="K980" s="46" t="n"/>
      <c r="L980" s="95" t="n"/>
      <c r="M980" s="95" t="n"/>
      <c r="N980" s="95" t="n"/>
      <c r="O980" s="95" t="n"/>
      <c r="P980" s="95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  <c r="Z980" s="46" t="n"/>
    </row>
    <row r="981" ht="12.75" customHeight="1">
      <c r="A981" s="100" t="n"/>
      <c r="B981" s="101" t="n"/>
      <c r="C981" s="102" t="n"/>
      <c r="D981" s="99" t="n"/>
      <c r="E981" s="95" t="n"/>
      <c r="F981" s="95" t="n"/>
      <c r="G981" s="94" t="n"/>
      <c r="H981" s="46" t="n"/>
      <c r="I981" s="46" t="n"/>
      <c r="J981" s="46" t="n"/>
      <c r="K981" s="46" t="n"/>
      <c r="L981" s="95" t="n"/>
      <c r="M981" s="95" t="n"/>
      <c r="N981" s="95" t="n"/>
      <c r="O981" s="95" t="n"/>
      <c r="P981" s="95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  <c r="Z981" s="46" t="n"/>
    </row>
    <row r="982" ht="12.75" customHeight="1">
      <c r="A982" s="100" t="n"/>
      <c r="B982" s="101" t="n"/>
      <c r="C982" s="102" t="n"/>
      <c r="D982" s="99" t="n"/>
      <c r="E982" s="95" t="n"/>
      <c r="F982" s="95" t="n"/>
      <c r="G982" s="94" t="n"/>
      <c r="H982" s="46" t="n"/>
      <c r="I982" s="46" t="n"/>
      <c r="J982" s="46" t="n"/>
      <c r="K982" s="46" t="n"/>
      <c r="L982" s="95" t="n"/>
      <c r="M982" s="95" t="n"/>
      <c r="N982" s="95" t="n"/>
      <c r="O982" s="95" t="n"/>
      <c r="P982" s="95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  <c r="Z982" s="46" t="n"/>
    </row>
    <row r="983" ht="12.75" customHeight="1">
      <c r="A983" s="100" t="n"/>
      <c r="B983" s="101" t="n"/>
      <c r="C983" s="102" t="n"/>
      <c r="D983" s="99" t="n"/>
      <c r="E983" s="95" t="n"/>
      <c r="F983" s="95" t="n"/>
      <c r="G983" s="94" t="n"/>
      <c r="H983" s="46" t="n"/>
      <c r="I983" s="46" t="n"/>
      <c r="J983" s="46" t="n"/>
      <c r="K983" s="46" t="n"/>
      <c r="L983" s="95" t="n"/>
      <c r="M983" s="95" t="n"/>
      <c r="N983" s="95" t="n"/>
      <c r="O983" s="95" t="n"/>
      <c r="P983" s="95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  <c r="Z983" s="46" t="n"/>
    </row>
    <row r="984" ht="12.75" customHeight="1">
      <c r="A984" s="100" t="n"/>
      <c r="B984" s="101" t="n"/>
      <c r="C984" s="102" t="n"/>
      <c r="D984" s="99" t="n"/>
      <c r="E984" s="95" t="n"/>
      <c r="F984" s="95" t="n"/>
      <c r="G984" s="94" t="n"/>
      <c r="H984" s="46" t="n"/>
      <c r="I984" s="46" t="n"/>
      <c r="J984" s="46" t="n"/>
      <c r="K984" s="46" t="n"/>
      <c r="L984" s="95" t="n"/>
      <c r="M984" s="95" t="n"/>
      <c r="N984" s="95" t="n"/>
      <c r="O984" s="95" t="n"/>
      <c r="P984" s="95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  <c r="Z984" s="46" t="n"/>
    </row>
    <row r="985" ht="12.75" customHeight="1">
      <c r="A985" s="100" t="n"/>
      <c r="B985" s="101" t="n"/>
      <c r="C985" s="102" t="n"/>
      <c r="D985" s="99" t="n"/>
      <c r="E985" s="95" t="n"/>
      <c r="F985" s="95" t="n"/>
      <c r="G985" s="94" t="n"/>
      <c r="H985" s="46" t="n"/>
      <c r="I985" s="46" t="n"/>
      <c r="J985" s="46" t="n"/>
      <c r="K985" s="46" t="n"/>
      <c r="L985" s="95" t="n"/>
      <c r="M985" s="95" t="n"/>
      <c r="N985" s="95" t="n"/>
      <c r="O985" s="95" t="n"/>
      <c r="P985" s="95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  <c r="Z985" s="46" t="n"/>
    </row>
    <row r="986" ht="12.75" customHeight="1">
      <c r="A986" s="100" t="n"/>
      <c r="B986" s="101" t="n"/>
      <c r="C986" s="102" t="n"/>
      <c r="D986" s="99" t="n"/>
      <c r="E986" s="95" t="n"/>
      <c r="F986" s="95" t="n"/>
      <c r="G986" s="94" t="n"/>
      <c r="H986" s="46" t="n"/>
      <c r="I986" s="46" t="n"/>
      <c r="J986" s="46" t="n"/>
      <c r="K986" s="46" t="n"/>
      <c r="L986" s="95" t="n"/>
      <c r="M986" s="95" t="n"/>
      <c r="N986" s="95" t="n"/>
      <c r="O986" s="95" t="n"/>
      <c r="P986" s="95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  <c r="Z986" s="46" t="n"/>
    </row>
    <row r="987" ht="12.75" customHeight="1">
      <c r="A987" s="100" t="n"/>
      <c r="B987" s="101" t="n"/>
      <c r="C987" s="102" t="n"/>
      <c r="D987" s="99" t="n"/>
      <c r="E987" s="95" t="n"/>
      <c r="F987" s="95" t="n"/>
      <c r="G987" s="94" t="n"/>
      <c r="H987" s="46" t="n"/>
      <c r="I987" s="46" t="n"/>
      <c r="J987" s="46" t="n"/>
      <c r="K987" s="46" t="n"/>
      <c r="L987" s="95" t="n"/>
      <c r="M987" s="95" t="n"/>
      <c r="N987" s="95" t="n"/>
      <c r="O987" s="95" t="n"/>
      <c r="P987" s="95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  <c r="Z987" s="46" t="n"/>
    </row>
    <row r="988" ht="12.75" customHeight="1">
      <c r="A988" s="100" t="n"/>
      <c r="B988" s="101" t="n"/>
      <c r="C988" s="102" t="n"/>
      <c r="D988" s="99" t="n"/>
      <c r="E988" s="95" t="n"/>
      <c r="F988" s="95" t="n"/>
      <c r="G988" s="94" t="n"/>
      <c r="H988" s="46" t="n"/>
      <c r="I988" s="46" t="n"/>
      <c r="J988" s="46" t="n"/>
      <c r="K988" s="46" t="n"/>
      <c r="L988" s="95" t="n"/>
      <c r="M988" s="95" t="n"/>
      <c r="N988" s="95" t="n"/>
      <c r="O988" s="95" t="n"/>
      <c r="P988" s="95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  <c r="Z988" s="46" t="n"/>
    </row>
    <row r="989" ht="12.75" customHeight="1">
      <c r="A989" s="100" t="n"/>
      <c r="B989" s="101" t="n"/>
      <c r="C989" s="102" t="n"/>
      <c r="D989" s="99" t="n"/>
      <c r="E989" s="95" t="n"/>
      <c r="F989" s="95" t="n"/>
      <c r="G989" s="94" t="n"/>
      <c r="H989" s="46" t="n"/>
      <c r="I989" s="46" t="n"/>
      <c r="J989" s="46" t="n"/>
      <c r="K989" s="46" t="n"/>
      <c r="L989" s="95" t="n"/>
      <c r="M989" s="95" t="n"/>
      <c r="N989" s="95" t="n"/>
      <c r="O989" s="95" t="n"/>
      <c r="P989" s="95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  <c r="Z989" s="46" t="n"/>
    </row>
    <row r="990" ht="12.75" customHeight="1">
      <c r="A990" s="100" t="n"/>
      <c r="B990" s="101" t="n"/>
      <c r="C990" s="102" t="n"/>
      <c r="D990" s="99" t="n"/>
      <c r="E990" s="95" t="n"/>
      <c r="F990" s="95" t="n"/>
      <c r="G990" s="94" t="n"/>
      <c r="H990" s="46" t="n"/>
      <c r="I990" s="46" t="n"/>
      <c r="J990" s="46" t="n"/>
      <c r="K990" s="46" t="n"/>
      <c r="L990" s="95" t="n"/>
      <c r="M990" s="95" t="n"/>
      <c r="N990" s="95" t="n"/>
      <c r="O990" s="95" t="n"/>
      <c r="P990" s="95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  <c r="Z990" s="46" t="n"/>
    </row>
    <row r="991" ht="12.75" customHeight="1">
      <c r="A991" s="100" t="n"/>
      <c r="B991" s="101" t="n"/>
      <c r="C991" s="102" t="n"/>
      <c r="D991" s="99" t="n"/>
      <c r="E991" s="95" t="n"/>
      <c r="F991" s="95" t="n"/>
      <c r="G991" s="94" t="n"/>
      <c r="H991" s="46" t="n"/>
      <c r="I991" s="46" t="n"/>
      <c r="J991" s="46" t="n"/>
      <c r="K991" s="46" t="n"/>
      <c r="L991" s="95" t="n"/>
      <c r="M991" s="95" t="n"/>
      <c r="N991" s="95" t="n"/>
      <c r="O991" s="95" t="n"/>
      <c r="P991" s="95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  <c r="Z991" s="46" t="n"/>
    </row>
    <row r="992" ht="12.75" customHeight="1">
      <c r="A992" s="100" t="n"/>
      <c r="B992" s="101" t="n"/>
      <c r="C992" s="102" t="n"/>
      <c r="D992" s="99" t="n"/>
      <c r="E992" s="95" t="n"/>
      <c r="F992" s="95" t="n"/>
      <c r="G992" s="94" t="n"/>
      <c r="H992" s="46" t="n"/>
      <c r="I992" s="46" t="n"/>
      <c r="J992" s="46" t="n"/>
      <c r="K992" s="46" t="n"/>
      <c r="L992" s="95" t="n"/>
      <c r="M992" s="95" t="n"/>
      <c r="N992" s="95" t="n"/>
      <c r="O992" s="95" t="n"/>
      <c r="P992" s="95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  <c r="Z992" s="46" t="n"/>
    </row>
    <row r="993" ht="12.75" customHeight="1">
      <c r="A993" s="100" t="n"/>
      <c r="B993" s="101" t="n"/>
      <c r="C993" s="102" t="n"/>
      <c r="D993" s="99" t="n"/>
      <c r="E993" s="95" t="n"/>
      <c r="F993" s="95" t="n"/>
      <c r="G993" s="94" t="n"/>
      <c r="H993" s="46" t="n"/>
      <c r="I993" s="46" t="n"/>
      <c r="J993" s="46" t="n"/>
      <c r="K993" s="46" t="n"/>
      <c r="L993" s="95" t="n"/>
      <c r="M993" s="95" t="n"/>
      <c r="N993" s="95" t="n"/>
      <c r="O993" s="95" t="n"/>
      <c r="P993" s="95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  <c r="Z993" s="46" t="n"/>
    </row>
    <row r="994" ht="12.75" customHeight="1">
      <c r="A994" s="100" t="n"/>
      <c r="B994" s="101" t="n"/>
      <c r="C994" s="102" t="n"/>
      <c r="D994" s="99" t="n"/>
      <c r="E994" s="95" t="n"/>
      <c r="F994" s="95" t="n"/>
      <c r="G994" s="94" t="n"/>
      <c r="H994" s="46" t="n"/>
      <c r="I994" s="46" t="n"/>
      <c r="J994" s="46" t="n"/>
      <c r="K994" s="46" t="n"/>
      <c r="L994" s="95" t="n"/>
      <c r="M994" s="95" t="n"/>
      <c r="N994" s="95" t="n"/>
      <c r="O994" s="95" t="n"/>
      <c r="P994" s="95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  <c r="Z994" s="46" t="n"/>
    </row>
    <row r="995" ht="12.75" customHeight="1">
      <c r="A995" s="100" t="n"/>
      <c r="B995" s="101" t="n"/>
      <c r="C995" s="102" t="n"/>
      <c r="D995" s="99" t="n"/>
      <c r="E995" s="95" t="n"/>
      <c r="F995" s="95" t="n"/>
      <c r="G995" s="94" t="n"/>
      <c r="H995" s="46" t="n"/>
      <c r="I995" s="46" t="n"/>
      <c r="J995" s="46" t="n"/>
      <c r="K995" s="46" t="n"/>
      <c r="L995" s="95" t="n"/>
      <c r="M995" s="95" t="n"/>
      <c r="N995" s="95" t="n"/>
      <c r="O995" s="95" t="n"/>
      <c r="P995" s="95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  <c r="Z995" s="46" t="n"/>
    </row>
    <row r="996" ht="12.75" customHeight="1">
      <c r="A996" s="100" t="n"/>
      <c r="B996" s="101" t="n"/>
      <c r="C996" s="102" t="n"/>
      <c r="D996" s="99" t="n"/>
      <c r="E996" s="95" t="n"/>
      <c r="F996" s="95" t="n"/>
      <c r="G996" s="94" t="n"/>
      <c r="H996" s="46" t="n"/>
      <c r="I996" s="46" t="n"/>
      <c r="J996" s="46" t="n"/>
      <c r="K996" s="46" t="n"/>
      <c r="L996" s="95" t="n"/>
      <c r="M996" s="95" t="n"/>
      <c r="N996" s="95" t="n"/>
      <c r="O996" s="95" t="n"/>
      <c r="P996" s="95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  <c r="Z996" s="46" t="n"/>
    </row>
    <row r="997" ht="12.75" customHeight="1">
      <c r="A997" s="100" t="n"/>
      <c r="B997" s="101" t="n"/>
      <c r="C997" s="102" t="n"/>
      <c r="D997" s="99" t="n"/>
      <c r="E997" s="95" t="n"/>
      <c r="F997" s="95" t="n"/>
      <c r="G997" s="94" t="n"/>
      <c r="H997" s="46" t="n"/>
      <c r="I997" s="46" t="n"/>
      <c r="J997" s="46" t="n"/>
      <c r="K997" s="46" t="n"/>
      <c r="L997" s="95" t="n"/>
      <c r="M997" s="95" t="n"/>
      <c r="N997" s="95" t="n"/>
      <c r="O997" s="95" t="n"/>
      <c r="P997" s="95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  <c r="Z997" s="46" t="n"/>
    </row>
    <row r="998" ht="12.75" customHeight="1">
      <c r="A998" s="100" t="n"/>
      <c r="B998" s="101" t="n"/>
      <c r="C998" s="102" t="n"/>
      <c r="D998" s="99" t="n"/>
      <c r="E998" s="95" t="n"/>
      <c r="F998" s="95" t="n"/>
      <c r="G998" s="94" t="n"/>
      <c r="H998" s="46" t="n"/>
      <c r="I998" s="46" t="n"/>
      <c r="J998" s="46" t="n"/>
      <c r="K998" s="46" t="n"/>
      <c r="L998" s="95" t="n"/>
      <c r="M998" s="95" t="n"/>
      <c r="N998" s="95" t="n"/>
      <c r="O998" s="95" t="n"/>
      <c r="P998" s="95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  <c r="Z998" s="46" t="n"/>
    </row>
    <row r="999" ht="12.75" customHeight="1">
      <c r="A999" s="100" t="n"/>
      <c r="B999" s="101" t="n"/>
      <c r="C999" s="102" t="n"/>
      <c r="D999" s="99" t="n"/>
      <c r="E999" s="95" t="n"/>
      <c r="F999" s="95" t="n"/>
      <c r="G999" s="94" t="n"/>
      <c r="H999" s="46" t="n"/>
      <c r="I999" s="46" t="n"/>
      <c r="J999" s="46" t="n"/>
      <c r="K999" s="46" t="n"/>
      <c r="L999" s="95" t="n"/>
      <c r="M999" s="95" t="n"/>
      <c r="N999" s="95" t="n"/>
      <c r="O999" s="95" t="n"/>
      <c r="P999" s="95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  <c r="Z999" s="46" t="n"/>
    </row>
    <row r="1000" ht="12.75" customHeight="1">
      <c r="A1000" s="100" t="n"/>
      <c r="B1000" s="101" t="n"/>
      <c r="C1000" s="102" t="n"/>
      <c r="D1000" s="99" t="n"/>
      <c r="E1000" s="95" t="n"/>
      <c r="F1000" s="95" t="n"/>
      <c r="G1000" s="94" t="n"/>
      <c r="H1000" s="46" t="n"/>
      <c r="I1000" s="46" t="n"/>
      <c r="J1000" s="46" t="n"/>
      <c r="K1000" s="46" t="n"/>
      <c r="L1000" s="95" t="n"/>
      <c r="M1000" s="95" t="n"/>
      <c r="N1000" s="95" t="n"/>
      <c r="O1000" s="95" t="n"/>
      <c r="P1000" s="95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  <c r="Z1000" s="46" t="n"/>
    </row>
  </sheetData>
  <mergeCells count="3">
    <mergeCell ref="A5:P5"/>
    <mergeCell ref="A1:Q1"/>
    <mergeCell ref="A36:Q36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1"/>
  <sheetViews>
    <sheetView zoomScaleNormal="100" workbookViewId="0">
      <selection activeCell="G15" sqref="G15"/>
    </sheetView>
  </sheetViews>
  <sheetFormatPr baseColWidth="8" defaultColWidth="11.3984375" defaultRowHeight="13"/>
  <cols>
    <col width="35" customWidth="1" min="1" max="1"/>
    <col width="7" customWidth="1" min="2" max="2"/>
    <col width="7.59765625" customWidth="1" min="3" max="5"/>
    <col width="12" customWidth="1" min="6" max="6"/>
    <col width="12" customWidth="1" min="11" max="11"/>
    <col width="13" customWidth="1" min="12" max="13"/>
    <col width="16" customWidth="1" min="14" max="14"/>
  </cols>
  <sheetData>
    <row r="1" ht="18.75" customHeight="1">
      <c r="A1" s="153" t="inlineStr">
        <is>
          <t>FIFA WC 2026 — Team Scoring</t>
        </is>
      </c>
    </row>
    <row r="3" ht="31.5" customFormat="1" customHeight="1" s="105">
      <c r="A3" s="104" t="inlineStr">
        <is>
          <t>Team</t>
        </is>
      </c>
      <c r="B3" s="104" t="inlineStr">
        <is>
          <t>Grp</t>
        </is>
      </c>
      <c r="C3" s="104" t="inlineStr">
        <is>
          <t>G1</t>
        </is>
      </c>
      <c r="D3" s="104" t="inlineStr">
        <is>
          <t>G2</t>
        </is>
      </c>
      <c r="E3" s="104" t="inlineStr">
        <is>
          <t>G3</t>
        </is>
      </c>
      <c r="F3" s="104" t="inlineStr">
        <is>
          <t>Goals×0.5</t>
        </is>
      </c>
      <c r="G3" s="104" t="inlineStr">
        <is>
          <t>R32 (4)</t>
        </is>
      </c>
      <c r="H3" s="104" t="inlineStr">
        <is>
          <t>R16 (6)</t>
        </is>
      </c>
      <c r="I3" s="104" t="inlineStr">
        <is>
          <t>QF (8)</t>
        </is>
      </c>
      <c r="J3" s="104" t="inlineStr">
        <is>
          <t>SF (10)</t>
        </is>
      </c>
      <c r="K3" s="104" t="inlineStr">
        <is>
          <t>Final (13)</t>
        </is>
      </c>
      <c r="L3" s="104" t="inlineStr">
        <is>
          <t>Champ (16)</t>
        </is>
      </c>
      <c r="M3" s="104" t="inlineStr">
        <is>
          <t>TOTAL</t>
        </is>
      </c>
      <c r="N3" s="104" t="inlineStr">
        <is>
          <t>TOTAL ex-goals</t>
        </is>
      </c>
      <c r="O3" s="105" t="inlineStr">
        <is>
          <t>3rd (5)</t>
        </is>
      </c>
    </row>
    <row r="4" ht="12.75" customHeight="1">
      <c r="A4" s="106" t="inlineStr">
        <is>
          <t>Mexico</t>
        </is>
      </c>
      <c r="B4" s="107" t="inlineStr">
        <is>
          <t>A</t>
        </is>
      </c>
      <c r="C4" s="108">
        <f t="array" ref="C4">3*(SUMPRODUCT((MOD(INT((ROW('FIFA WC 2026'!$E$5:$E$76)-4)/2),3)=0)*('FIFA WC 2026'!$E$5:$E$76=A4)*ISNUMBER('FIFA WC 2026'!$F$5:$F$76)*ISNUMBER('FIFA WC 2026'!$G$5:$G$76)*('FIFA WC 2026'!$F$5:$F$76&gt;'FIFA WC 2026'!$G$5:$G$76))+SUMPRODUCT((MOD(INT((ROW('FIFA WC 2026'!$E$5:$E$76)-4)/2),3)=0)*('FIFA WC 2026'!$H$5:$H$76=A4)*ISNUMBER('FIFA WC 2026'!$F$5:$F$76)*ISNUMBER('FIFA WC 2026'!$G$5:$G$76)*('FIFA WC 2026'!$G$5:$G$76&gt;'FIFA WC 2026'!$F$5:$F$76)))+(SUMPRODUCT((MOD(INT((ROW('FIFA WC 2026'!$E$5:$E$76)-4)/2),3)=0)*((('FIFA WC 2026'!$E$5:$E$76=A4)+('FIFA WC 2026'!$H$5:$H$76=A4))&gt;0)*ISNUMBER('FIFA WC 2026'!$F$5:$F$76)*ISNUMBER('FIFA WC 2026'!$G$5:$G$76)*('FIFA WC 2026'!$F$5:$F$76='FIFA WC 2026'!$G$5:$G$76)))</f>
        <v/>
      </c>
      <c r="D4" s="108">
        <f t="array" ref="D4">3*(SUMPRODUCT((MOD(INT((ROW('FIFA WC 2026'!$E$5:$E$76)-4)/2),3)=1)*('FIFA WC 2026'!$E$5:$E$76=A4)*ISNUMBER('FIFA WC 2026'!$F$5:$F$76)*ISNUMBER('FIFA WC 2026'!$G$5:$G$76)*('FIFA WC 2026'!$F$5:$F$76&gt;'FIFA WC 2026'!$G$5:$G$76))+SUMPRODUCT((MOD(INT((ROW('FIFA WC 2026'!$E$5:$E$76)-4)/2),3)=1)*('FIFA WC 2026'!$H$5:$H$76=A4)*ISNUMBER('FIFA WC 2026'!$F$5:$F$76)*ISNUMBER('FIFA WC 2026'!$G$5:$G$76)*('FIFA WC 2026'!$G$5:$G$76&gt;'FIFA WC 2026'!$F$5:$F$76)))+(SUMPRODUCT((MOD(INT((ROW('FIFA WC 2026'!$E$5:$E$76)-4)/2),3)=1)*((('FIFA WC 2026'!$E$5:$E$76=A4)+('FIFA WC 2026'!$H$5:$H$76=A4))&gt;0)*ISNUMBER('FIFA WC 2026'!$F$5:$F$76)*ISNUMBER('FIFA WC 2026'!$G$5:$G$76)*('FIFA WC 2026'!$F$5:$F$76='FIFA WC 2026'!$G$5:$G$76)))</f>
        <v/>
      </c>
      <c r="E4" s="108">
        <f t="array" ref="E4">3*(SUMPRODUCT((MOD(INT((ROW('FIFA WC 2026'!$E$5:$E$76)-4)/2),3)=2)*('FIFA WC 2026'!$E$5:$E$76=A4)*ISNUMBER('FIFA WC 2026'!$F$5:$F$76)*ISNUMBER('FIFA WC 2026'!$G$5:$G$76)*('FIFA WC 2026'!$F$5:$F$76&gt;'FIFA WC 2026'!$G$5:$G$76))+SUMPRODUCT((MOD(INT((ROW('FIFA WC 2026'!$E$5:$E$76)-4)/2),3)=2)*('FIFA WC 2026'!$H$5:$H$76=A4)*ISNUMBER('FIFA WC 2026'!$F$5:$F$76)*ISNUMBER('FIFA WC 2026'!$G$5:$G$76)*('FIFA WC 2026'!$G$5:$G$76&gt;'FIFA WC 2026'!$F$5:$F$76)))+(SUMPRODUCT((MOD(INT((ROW('FIFA WC 2026'!$E$5:$E$76)-4)/2),3)=2)*((('FIFA WC 2026'!$E$5:$E$76=A4)+('FIFA WC 2026'!$H$5:$H$76=A4))&gt;0)*ISNUMBER('FIFA WC 2026'!$F$5:$F$76)*ISNUMBER('FIFA WC 2026'!$G$5:$G$76)*('FIFA WC 2026'!$F$5:$F$76='FIFA WC 2026'!$G$5:$G$76)))</f>
        <v/>
      </c>
      <c r="F4" s="108">
        <f t="array" ref="F4">0.5*(SUMPRODUCT(('FIFA WC 2026'!$E$5:$E$76=A4)*IFERROR('FIFA WC 2026'!$F$5:$F$76,0))+SUMPRODUCT(('FIFA WC 2026'!$H$5:$H$76=A4)*IFERROR('FIFA WC 2026'!$G$5:$G$76,0))+SUMPRODUCT(('FIFA WC 2026'!$S$5:$S$66=A4)*IFERROR('FIFA WC 2026'!$T$5:$T$66,0))+SUMPRODUCT(('FIFA WC 2026'!$W$7:$W$64=A4)*IFERROR('FIFA WC 2026'!$X$7:$X$64,0))+SUMPRODUCT(('FIFA WC 2026'!$AA$11:$AA$66=A4)*IFERROR('FIFA WC 2026'!$AB$11:$AB$66,0))+SUMPRODUCT(('FIFA WC 2026'!$AE$19:$AE$52=A4)*IFERROR('FIFA WC 2026'!$AF$19:$AF$52,0))+SUMPRODUCT(('FIFA WC 2026'!$AI$35:$AI$44=A4)*IFERROR('FIFA WC 2026'!$AJ$35:$AJ$44,0)))</f>
        <v/>
      </c>
      <c r="G4" s="108">
        <f>IF(COUNTIF('FIFA WC 2026'!$S$5:$S$66,A4)&gt;0,4,0)</f>
        <v/>
      </c>
      <c r="H4" s="108">
        <f>IF(COUNTIF('FIFA WC 2026'!$W$7:$W$64,A4)&gt;0,6,0)</f>
        <v/>
      </c>
      <c r="I4" s="108">
        <f>IF(COUNTIF('FIFA WC 2026'!$AA$11:$AA$60,A4)&gt;0,8,0)</f>
        <v/>
      </c>
      <c r="J4" s="108">
        <f>IF(COUNTIF('FIFA WC 2026'!$AE$19:$AE$52,A4)&gt;0,10,0)</f>
        <v/>
      </c>
      <c r="K4" s="108">
        <f>IF(COUNTIF('FIFA WC 2026'!$AI$35:$AI$36,A4)&gt;0,13,0)</f>
        <v/>
      </c>
      <c r="L4" s="108">
        <f>IF('FIFA WC 2026'!$AI$40=A4,16,0)</f>
        <v/>
      </c>
      <c r="M4" s="109">
        <f>SUM(C4:L4)+O4</f>
        <v/>
      </c>
      <c r="N4" s="110">
        <f>M4-F4</f>
        <v/>
      </c>
      <c r="O4">
        <f>IF('FIFA WC 2026'!$AI$41=$A4,5,0)</f>
        <v/>
      </c>
    </row>
    <row r="5" ht="12.75" customHeight="1">
      <c r="A5" s="106" t="inlineStr">
        <is>
          <t>South Africa</t>
        </is>
      </c>
      <c r="B5" s="107" t="inlineStr">
        <is>
          <t>A</t>
        </is>
      </c>
      <c r="C5" s="108">
        <f t="array" ref="C5">3*(SUMPRODUCT((MOD(INT((ROW('FIFA WC 2026'!$E$5:$E$76)-4)/2),3)=0)*('FIFA WC 2026'!$E$5:$E$76=A5)*ISNUMBER('FIFA WC 2026'!$F$5:$F$76)*ISNUMBER('FIFA WC 2026'!$G$5:$G$76)*('FIFA WC 2026'!$F$5:$F$76&gt;'FIFA WC 2026'!$G$5:$G$76))+SUMPRODUCT((MOD(INT((ROW('FIFA WC 2026'!$E$5:$E$76)-4)/2),3)=0)*('FIFA WC 2026'!$H$5:$H$76=A5)*ISNUMBER('FIFA WC 2026'!$F$5:$F$76)*ISNUMBER('FIFA WC 2026'!$G$5:$G$76)*('FIFA WC 2026'!$G$5:$G$76&gt;'FIFA WC 2026'!$F$5:$F$76)))+(SUMPRODUCT((MOD(INT((ROW('FIFA WC 2026'!$E$5:$E$76)-4)/2),3)=0)*((('FIFA WC 2026'!$E$5:$E$76=A5)+('FIFA WC 2026'!$H$5:$H$76=A5))&gt;0)*ISNUMBER('FIFA WC 2026'!$F$5:$F$76)*ISNUMBER('FIFA WC 2026'!$G$5:$G$76)*('FIFA WC 2026'!$F$5:$F$76='FIFA WC 2026'!$G$5:$G$76)))</f>
        <v/>
      </c>
      <c r="D5" s="108">
        <f t="array" ref="D5">3*(SUMPRODUCT((MOD(INT((ROW('FIFA WC 2026'!$E$5:$E$76)-4)/2),3)=1)*('FIFA WC 2026'!$E$5:$E$76=A5)*ISNUMBER('FIFA WC 2026'!$F$5:$F$76)*ISNUMBER('FIFA WC 2026'!$G$5:$G$76)*('FIFA WC 2026'!$F$5:$F$76&gt;'FIFA WC 2026'!$G$5:$G$76))+SUMPRODUCT((MOD(INT((ROW('FIFA WC 2026'!$E$5:$E$76)-4)/2),3)=1)*('FIFA WC 2026'!$H$5:$H$76=A5)*ISNUMBER('FIFA WC 2026'!$F$5:$F$76)*ISNUMBER('FIFA WC 2026'!$G$5:$G$76)*('FIFA WC 2026'!$G$5:$G$76&gt;'FIFA WC 2026'!$F$5:$F$76)))+(SUMPRODUCT((MOD(INT((ROW('FIFA WC 2026'!$E$5:$E$76)-4)/2),3)=1)*((('FIFA WC 2026'!$E$5:$E$76=A5)+('FIFA WC 2026'!$H$5:$H$76=A5))&gt;0)*ISNUMBER('FIFA WC 2026'!$F$5:$F$76)*ISNUMBER('FIFA WC 2026'!$G$5:$G$76)*('FIFA WC 2026'!$F$5:$F$76='FIFA WC 2026'!$G$5:$G$76)))</f>
        <v/>
      </c>
      <c r="E5" s="108">
        <f t="array" ref="E5">3*(SUMPRODUCT((MOD(INT((ROW('FIFA WC 2026'!$E$5:$E$76)-4)/2),3)=2)*('FIFA WC 2026'!$E$5:$E$76=A5)*ISNUMBER('FIFA WC 2026'!$F$5:$F$76)*ISNUMBER('FIFA WC 2026'!$G$5:$G$76)*('FIFA WC 2026'!$F$5:$F$76&gt;'FIFA WC 2026'!$G$5:$G$76))+SUMPRODUCT((MOD(INT((ROW('FIFA WC 2026'!$E$5:$E$76)-4)/2),3)=2)*('FIFA WC 2026'!$H$5:$H$76=A5)*ISNUMBER('FIFA WC 2026'!$F$5:$F$76)*ISNUMBER('FIFA WC 2026'!$G$5:$G$76)*('FIFA WC 2026'!$G$5:$G$76&gt;'FIFA WC 2026'!$F$5:$F$76)))+(SUMPRODUCT((MOD(INT((ROW('FIFA WC 2026'!$E$5:$E$76)-4)/2),3)=2)*((('FIFA WC 2026'!$E$5:$E$76=A5)+('FIFA WC 2026'!$H$5:$H$76=A5))&gt;0)*ISNUMBER('FIFA WC 2026'!$F$5:$F$76)*ISNUMBER('FIFA WC 2026'!$G$5:$G$76)*('FIFA WC 2026'!$F$5:$F$76='FIFA WC 2026'!$G$5:$G$76)))</f>
        <v/>
      </c>
      <c r="F5" s="108">
        <f t="array" ref="F5">0.5*(SUMPRODUCT(('FIFA WC 2026'!$E$5:$E$76=A5)*IFERROR('FIFA WC 2026'!$F$5:$F$76,0))+SUMPRODUCT(('FIFA WC 2026'!$H$5:$H$76=A5)*IFERROR('FIFA WC 2026'!$G$5:$G$76,0))+SUMPRODUCT(('FIFA WC 2026'!$S$5:$S$66=A5)*IFERROR('FIFA WC 2026'!$T$5:$T$66,0))+SUMPRODUCT(('FIFA WC 2026'!$W$7:$W$64=A5)*IFERROR('FIFA WC 2026'!$X$7:$X$64,0))+SUMPRODUCT(('FIFA WC 2026'!$AA$11:$AA$66=A5)*IFERROR('FIFA WC 2026'!$AB$11:$AB$66,0))+SUMPRODUCT(('FIFA WC 2026'!$AE$19:$AE$52=A5)*IFERROR('FIFA WC 2026'!$AF$19:$AF$52,0))+SUMPRODUCT(('FIFA WC 2026'!$AI$35:$AI$44=A5)*IFERROR('FIFA WC 2026'!$AJ$35:$AJ$44,0)))</f>
        <v/>
      </c>
      <c r="G5" s="108">
        <f>IF(COUNTIF('FIFA WC 2026'!$S$5:$S$66,A5)&gt;0,4,0)</f>
        <v/>
      </c>
      <c r="H5" s="108">
        <f>IF(COUNTIF('FIFA WC 2026'!$W$7:$W$64,A5)&gt;0,6,0)</f>
        <v/>
      </c>
      <c r="I5" s="108">
        <f>IF(COUNTIF('FIFA WC 2026'!$AA$11:$AA$60,A5)&gt;0,8,0)</f>
        <v/>
      </c>
      <c r="J5" s="108">
        <f>IF(COUNTIF('FIFA WC 2026'!$AE$19:$AE$52,A5)&gt;0,10,0)</f>
        <v/>
      </c>
      <c r="K5" s="108">
        <f>IF(COUNTIF('FIFA WC 2026'!$AI$35:$AI$36,A5)&gt;0,13,0)</f>
        <v/>
      </c>
      <c r="L5" s="108">
        <f>IF('FIFA WC 2026'!$AI$40=A5,16,0)</f>
        <v/>
      </c>
      <c r="M5" s="109">
        <f>SUM(C5:L5)+O5</f>
        <v/>
      </c>
      <c r="N5" s="110">
        <f>M5-F5</f>
        <v/>
      </c>
      <c r="O5">
        <f>IF('FIFA WC 2026'!$AI$41=$A5,5,0)</f>
        <v/>
      </c>
    </row>
    <row r="6" ht="12.75" customHeight="1">
      <c r="A6" s="106" t="inlineStr">
        <is>
          <t>South Korea</t>
        </is>
      </c>
      <c r="B6" s="107" t="inlineStr">
        <is>
          <t>A</t>
        </is>
      </c>
      <c r="C6" s="108">
        <f t="array" ref="C6">3*(SUMPRODUCT((MOD(INT((ROW('FIFA WC 2026'!$E$5:$E$76)-4)/2),3)=0)*('FIFA WC 2026'!$E$5:$E$76=A6)*ISNUMBER('FIFA WC 2026'!$F$5:$F$76)*ISNUMBER('FIFA WC 2026'!$G$5:$G$76)*('FIFA WC 2026'!$F$5:$F$76&gt;'FIFA WC 2026'!$G$5:$G$76))+SUMPRODUCT((MOD(INT((ROW('FIFA WC 2026'!$E$5:$E$76)-4)/2),3)=0)*('FIFA WC 2026'!$H$5:$H$76=A6)*ISNUMBER('FIFA WC 2026'!$F$5:$F$76)*ISNUMBER('FIFA WC 2026'!$G$5:$G$76)*('FIFA WC 2026'!$G$5:$G$76&gt;'FIFA WC 2026'!$F$5:$F$76)))+(SUMPRODUCT((MOD(INT((ROW('FIFA WC 2026'!$E$5:$E$76)-4)/2),3)=0)*((('FIFA WC 2026'!$E$5:$E$76=A6)+('FIFA WC 2026'!$H$5:$H$76=A6))&gt;0)*ISNUMBER('FIFA WC 2026'!$F$5:$F$76)*ISNUMBER('FIFA WC 2026'!$G$5:$G$76)*('FIFA WC 2026'!$F$5:$F$76='FIFA WC 2026'!$G$5:$G$76)))</f>
        <v/>
      </c>
      <c r="D6" s="108">
        <f t="array" ref="D6">3*(SUMPRODUCT((MOD(INT((ROW('FIFA WC 2026'!$E$5:$E$76)-4)/2),3)=1)*('FIFA WC 2026'!$E$5:$E$76=A6)*ISNUMBER('FIFA WC 2026'!$F$5:$F$76)*ISNUMBER('FIFA WC 2026'!$G$5:$G$76)*('FIFA WC 2026'!$F$5:$F$76&gt;'FIFA WC 2026'!$G$5:$G$76))+SUMPRODUCT((MOD(INT((ROW('FIFA WC 2026'!$E$5:$E$76)-4)/2),3)=1)*('FIFA WC 2026'!$H$5:$H$76=A6)*ISNUMBER('FIFA WC 2026'!$F$5:$F$76)*ISNUMBER('FIFA WC 2026'!$G$5:$G$76)*('FIFA WC 2026'!$G$5:$G$76&gt;'FIFA WC 2026'!$F$5:$F$76)))+(SUMPRODUCT((MOD(INT((ROW('FIFA WC 2026'!$E$5:$E$76)-4)/2),3)=1)*((('FIFA WC 2026'!$E$5:$E$76=A6)+('FIFA WC 2026'!$H$5:$H$76=A6))&gt;0)*ISNUMBER('FIFA WC 2026'!$F$5:$F$76)*ISNUMBER('FIFA WC 2026'!$G$5:$G$76)*('FIFA WC 2026'!$F$5:$F$76='FIFA WC 2026'!$G$5:$G$76)))</f>
        <v/>
      </c>
      <c r="E6" s="108">
        <f t="array" ref="E6">3*(SUMPRODUCT((MOD(INT((ROW('FIFA WC 2026'!$E$5:$E$76)-4)/2),3)=2)*('FIFA WC 2026'!$E$5:$E$76=A6)*ISNUMBER('FIFA WC 2026'!$F$5:$F$76)*ISNUMBER('FIFA WC 2026'!$G$5:$G$76)*('FIFA WC 2026'!$F$5:$F$76&gt;'FIFA WC 2026'!$G$5:$G$76))+SUMPRODUCT((MOD(INT((ROW('FIFA WC 2026'!$E$5:$E$76)-4)/2),3)=2)*('FIFA WC 2026'!$H$5:$H$76=A6)*ISNUMBER('FIFA WC 2026'!$F$5:$F$76)*ISNUMBER('FIFA WC 2026'!$G$5:$G$76)*('FIFA WC 2026'!$G$5:$G$76&gt;'FIFA WC 2026'!$F$5:$F$76)))+(SUMPRODUCT((MOD(INT((ROW('FIFA WC 2026'!$E$5:$E$76)-4)/2),3)=2)*((('FIFA WC 2026'!$E$5:$E$76=A6)+('FIFA WC 2026'!$H$5:$H$76=A6))&gt;0)*ISNUMBER('FIFA WC 2026'!$F$5:$F$76)*ISNUMBER('FIFA WC 2026'!$G$5:$G$76)*('FIFA WC 2026'!$F$5:$F$76='FIFA WC 2026'!$G$5:$G$76)))</f>
        <v/>
      </c>
      <c r="F6" s="108">
        <f t="array" ref="F6">0.5*(SUMPRODUCT(('FIFA WC 2026'!$E$5:$E$76=A6)*IFERROR('FIFA WC 2026'!$F$5:$F$76,0))+SUMPRODUCT(('FIFA WC 2026'!$H$5:$H$76=A6)*IFERROR('FIFA WC 2026'!$G$5:$G$76,0))+SUMPRODUCT(('FIFA WC 2026'!$S$5:$S$66=A6)*IFERROR('FIFA WC 2026'!$T$5:$T$66,0))+SUMPRODUCT(('FIFA WC 2026'!$W$7:$W$64=A6)*IFERROR('FIFA WC 2026'!$X$7:$X$64,0))+SUMPRODUCT(('FIFA WC 2026'!$AA$11:$AA$66=A6)*IFERROR('FIFA WC 2026'!$AB$11:$AB$66,0))+SUMPRODUCT(('FIFA WC 2026'!$AE$19:$AE$52=A6)*IFERROR('FIFA WC 2026'!$AF$19:$AF$52,0))+SUMPRODUCT(('FIFA WC 2026'!$AI$35:$AI$44=A6)*IFERROR('FIFA WC 2026'!$AJ$35:$AJ$44,0)))</f>
        <v/>
      </c>
      <c r="G6" s="108">
        <f>IF(COUNTIF('FIFA WC 2026'!$S$5:$S$66,A6)&gt;0,4,0)</f>
        <v/>
      </c>
      <c r="H6" s="108">
        <f>IF(COUNTIF('FIFA WC 2026'!$W$7:$W$64,A6)&gt;0,6,0)</f>
        <v/>
      </c>
      <c r="I6" s="108">
        <f>IF(COUNTIF('FIFA WC 2026'!$AA$11:$AA$60,A6)&gt;0,8,0)</f>
        <v/>
      </c>
      <c r="J6" s="108">
        <f>IF(COUNTIF('FIFA WC 2026'!$AE$19:$AE$52,A6)&gt;0,10,0)</f>
        <v/>
      </c>
      <c r="K6" s="108">
        <f>IF(COUNTIF('FIFA WC 2026'!$AI$35:$AI$36,A6)&gt;0,13,0)</f>
        <v/>
      </c>
      <c r="L6" s="108">
        <f>IF('FIFA WC 2026'!$AI$40=A6,16,0)</f>
        <v/>
      </c>
      <c r="M6" s="109">
        <f>SUM(C6:L6)+O6</f>
        <v/>
      </c>
      <c r="N6" s="110">
        <f>M6-F6</f>
        <v/>
      </c>
      <c r="O6">
        <f>IF('FIFA WC 2026'!$AI$41=$A6,5,0)</f>
        <v/>
      </c>
    </row>
    <row r="7" ht="12.75" customHeight="1">
      <c r="A7" s="106" t="inlineStr">
        <is>
          <t>Czechia</t>
        </is>
      </c>
      <c r="B7" s="107" t="inlineStr">
        <is>
          <t>A</t>
        </is>
      </c>
      <c r="C7" s="108">
        <f t="array" ref="C7">3*(SUMPRODUCT((MOD(INT((ROW('FIFA WC 2026'!$E$5:$E$76)-4)/2),3)=0)*('FIFA WC 2026'!$E$5:$E$76=A7)*ISNUMBER('FIFA WC 2026'!$F$5:$F$76)*ISNUMBER('FIFA WC 2026'!$G$5:$G$76)*('FIFA WC 2026'!$F$5:$F$76&gt;'FIFA WC 2026'!$G$5:$G$76))+SUMPRODUCT((MOD(INT((ROW('FIFA WC 2026'!$E$5:$E$76)-4)/2),3)=0)*('FIFA WC 2026'!$H$5:$H$76=A7)*ISNUMBER('FIFA WC 2026'!$F$5:$F$76)*ISNUMBER('FIFA WC 2026'!$G$5:$G$76)*('FIFA WC 2026'!$G$5:$G$76&gt;'FIFA WC 2026'!$F$5:$F$76)))+(SUMPRODUCT((MOD(INT((ROW('FIFA WC 2026'!$E$5:$E$76)-4)/2),3)=0)*((('FIFA WC 2026'!$E$5:$E$76=A7)+('FIFA WC 2026'!$H$5:$H$76=A7))&gt;0)*ISNUMBER('FIFA WC 2026'!$F$5:$F$76)*ISNUMBER('FIFA WC 2026'!$G$5:$G$76)*('FIFA WC 2026'!$F$5:$F$76='FIFA WC 2026'!$G$5:$G$76)))</f>
        <v/>
      </c>
      <c r="D7" s="108">
        <f t="array" ref="D7">3*(SUMPRODUCT((MOD(INT((ROW('FIFA WC 2026'!$E$5:$E$76)-4)/2),3)=1)*('FIFA WC 2026'!$E$5:$E$76=A7)*ISNUMBER('FIFA WC 2026'!$F$5:$F$76)*ISNUMBER('FIFA WC 2026'!$G$5:$G$76)*('FIFA WC 2026'!$F$5:$F$76&gt;'FIFA WC 2026'!$G$5:$G$76))+SUMPRODUCT((MOD(INT((ROW('FIFA WC 2026'!$E$5:$E$76)-4)/2),3)=1)*('FIFA WC 2026'!$H$5:$H$76=A7)*ISNUMBER('FIFA WC 2026'!$F$5:$F$76)*ISNUMBER('FIFA WC 2026'!$G$5:$G$76)*('FIFA WC 2026'!$G$5:$G$76&gt;'FIFA WC 2026'!$F$5:$F$76)))+(SUMPRODUCT((MOD(INT((ROW('FIFA WC 2026'!$E$5:$E$76)-4)/2),3)=1)*((('FIFA WC 2026'!$E$5:$E$76=A7)+('FIFA WC 2026'!$H$5:$H$76=A7))&gt;0)*ISNUMBER('FIFA WC 2026'!$F$5:$F$76)*ISNUMBER('FIFA WC 2026'!$G$5:$G$76)*('FIFA WC 2026'!$F$5:$F$76='FIFA WC 2026'!$G$5:$G$76)))</f>
        <v/>
      </c>
      <c r="E7" s="108">
        <f t="array" ref="E7">3*(SUMPRODUCT((MOD(INT((ROW('FIFA WC 2026'!$E$5:$E$76)-4)/2),3)=2)*('FIFA WC 2026'!$E$5:$E$76=A7)*ISNUMBER('FIFA WC 2026'!$F$5:$F$76)*ISNUMBER('FIFA WC 2026'!$G$5:$G$76)*('FIFA WC 2026'!$F$5:$F$76&gt;'FIFA WC 2026'!$G$5:$G$76))+SUMPRODUCT((MOD(INT((ROW('FIFA WC 2026'!$E$5:$E$76)-4)/2),3)=2)*('FIFA WC 2026'!$H$5:$H$76=A7)*ISNUMBER('FIFA WC 2026'!$F$5:$F$76)*ISNUMBER('FIFA WC 2026'!$G$5:$G$76)*('FIFA WC 2026'!$G$5:$G$76&gt;'FIFA WC 2026'!$F$5:$F$76)))+(SUMPRODUCT((MOD(INT((ROW('FIFA WC 2026'!$E$5:$E$76)-4)/2),3)=2)*((('FIFA WC 2026'!$E$5:$E$76=A7)+('FIFA WC 2026'!$H$5:$H$76=A7))&gt;0)*ISNUMBER('FIFA WC 2026'!$F$5:$F$76)*ISNUMBER('FIFA WC 2026'!$G$5:$G$76)*('FIFA WC 2026'!$F$5:$F$76='FIFA WC 2026'!$G$5:$G$76)))</f>
        <v/>
      </c>
      <c r="F7" s="108">
        <f t="array" ref="F7">0.5*(SUMPRODUCT(('FIFA WC 2026'!$E$5:$E$76=A7)*IFERROR('FIFA WC 2026'!$F$5:$F$76,0))+SUMPRODUCT(('FIFA WC 2026'!$H$5:$H$76=A7)*IFERROR('FIFA WC 2026'!$G$5:$G$76,0))+SUMPRODUCT(('FIFA WC 2026'!$S$5:$S$66=A7)*IFERROR('FIFA WC 2026'!$T$5:$T$66,0))+SUMPRODUCT(('FIFA WC 2026'!$W$7:$W$64=A7)*IFERROR('FIFA WC 2026'!$X$7:$X$64,0))+SUMPRODUCT(('FIFA WC 2026'!$AA$11:$AA$66=A7)*IFERROR('FIFA WC 2026'!$AB$11:$AB$66,0))+SUMPRODUCT(('FIFA WC 2026'!$AE$19:$AE$52=A7)*IFERROR('FIFA WC 2026'!$AF$19:$AF$52,0))+SUMPRODUCT(('FIFA WC 2026'!$AI$35:$AI$44=A7)*IFERROR('FIFA WC 2026'!$AJ$35:$AJ$44,0)))</f>
        <v/>
      </c>
      <c r="G7" s="108">
        <f>IF(COUNTIF('FIFA WC 2026'!$S$5:$S$66,A7)&gt;0,4,0)</f>
        <v/>
      </c>
      <c r="H7" s="108">
        <f>IF(COUNTIF('FIFA WC 2026'!$W$7:$W$64,A7)&gt;0,6,0)</f>
        <v/>
      </c>
      <c r="I7" s="108">
        <f>IF(COUNTIF('FIFA WC 2026'!$AA$11:$AA$60,A7)&gt;0,8,0)</f>
        <v/>
      </c>
      <c r="J7" s="108">
        <f>IF(COUNTIF('FIFA WC 2026'!$AE$19:$AE$52,A7)&gt;0,10,0)</f>
        <v/>
      </c>
      <c r="K7" s="108">
        <f>IF(COUNTIF('FIFA WC 2026'!$AI$35:$AI$36,A7)&gt;0,13,0)</f>
        <v/>
      </c>
      <c r="L7" s="108">
        <f>IF('FIFA WC 2026'!$AI$40=A7,16,0)</f>
        <v/>
      </c>
      <c r="M7" s="109">
        <f>SUM(C7:L7)+O7</f>
        <v/>
      </c>
      <c r="N7" s="110">
        <f>M7-F7</f>
        <v/>
      </c>
      <c r="O7">
        <f>IF('FIFA WC 2026'!$AI$41=$A7,5,0)</f>
        <v/>
      </c>
    </row>
    <row r="8" ht="12.75" customHeight="1">
      <c r="A8" s="27" t="inlineStr">
        <is>
          <t>Canada</t>
        </is>
      </c>
      <c r="B8" s="26" t="inlineStr">
        <is>
          <t>B</t>
        </is>
      </c>
      <c r="C8" s="28">
        <f t="array" ref="C8">3*(SUMPRODUCT((MOD(INT((ROW('FIFA WC 2026'!$E$5:$E$76)-4)/2),3)=0)*('FIFA WC 2026'!$E$5:$E$76=A8)*ISNUMBER('FIFA WC 2026'!$F$5:$F$76)*ISNUMBER('FIFA WC 2026'!$G$5:$G$76)*('FIFA WC 2026'!$F$5:$F$76&gt;'FIFA WC 2026'!$G$5:$G$76))+SUMPRODUCT((MOD(INT((ROW('FIFA WC 2026'!$E$5:$E$76)-4)/2),3)=0)*('FIFA WC 2026'!$H$5:$H$76=A8)*ISNUMBER('FIFA WC 2026'!$F$5:$F$76)*ISNUMBER('FIFA WC 2026'!$G$5:$G$76)*('FIFA WC 2026'!$G$5:$G$76&gt;'FIFA WC 2026'!$F$5:$F$76)))+(SUMPRODUCT((MOD(INT((ROW('FIFA WC 2026'!$E$5:$E$76)-4)/2),3)=0)*((('FIFA WC 2026'!$E$5:$E$76=A8)+('FIFA WC 2026'!$H$5:$H$76=A8))&gt;0)*ISNUMBER('FIFA WC 2026'!$F$5:$F$76)*ISNUMBER('FIFA WC 2026'!$G$5:$G$76)*('FIFA WC 2026'!$F$5:$F$76='FIFA WC 2026'!$G$5:$G$76)))</f>
        <v/>
      </c>
      <c r="D8" s="28">
        <f t="array" ref="D8">3*(SUMPRODUCT((MOD(INT((ROW('FIFA WC 2026'!$E$5:$E$76)-4)/2),3)=1)*('FIFA WC 2026'!$E$5:$E$76=A8)*ISNUMBER('FIFA WC 2026'!$F$5:$F$76)*ISNUMBER('FIFA WC 2026'!$G$5:$G$76)*('FIFA WC 2026'!$F$5:$F$76&gt;'FIFA WC 2026'!$G$5:$G$76))+SUMPRODUCT((MOD(INT((ROW('FIFA WC 2026'!$E$5:$E$76)-4)/2),3)=1)*('FIFA WC 2026'!$H$5:$H$76=A8)*ISNUMBER('FIFA WC 2026'!$F$5:$F$76)*ISNUMBER('FIFA WC 2026'!$G$5:$G$76)*('FIFA WC 2026'!$G$5:$G$76&gt;'FIFA WC 2026'!$F$5:$F$76)))+(SUMPRODUCT((MOD(INT((ROW('FIFA WC 2026'!$E$5:$E$76)-4)/2),3)=1)*((('FIFA WC 2026'!$E$5:$E$76=A8)+('FIFA WC 2026'!$H$5:$H$76=A8))&gt;0)*ISNUMBER('FIFA WC 2026'!$F$5:$F$76)*ISNUMBER('FIFA WC 2026'!$G$5:$G$76)*('FIFA WC 2026'!$F$5:$F$76='FIFA WC 2026'!$G$5:$G$76)))</f>
        <v/>
      </c>
      <c r="E8" s="28">
        <f t="array" ref="E8">3*(SUMPRODUCT((MOD(INT((ROW('FIFA WC 2026'!$E$5:$E$76)-4)/2),3)=2)*('FIFA WC 2026'!$E$5:$E$76=A8)*ISNUMBER('FIFA WC 2026'!$F$5:$F$76)*ISNUMBER('FIFA WC 2026'!$G$5:$G$76)*('FIFA WC 2026'!$F$5:$F$76&gt;'FIFA WC 2026'!$G$5:$G$76))+SUMPRODUCT((MOD(INT((ROW('FIFA WC 2026'!$E$5:$E$76)-4)/2),3)=2)*('FIFA WC 2026'!$H$5:$H$76=A8)*ISNUMBER('FIFA WC 2026'!$F$5:$F$76)*ISNUMBER('FIFA WC 2026'!$G$5:$G$76)*('FIFA WC 2026'!$G$5:$G$76&gt;'FIFA WC 2026'!$F$5:$F$76)))+(SUMPRODUCT((MOD(INT((ROW('FIFA WC 2026'!$E$5:$E$76)-4)/2),3)=2)*((('FIFA WC 2026'!$E$5:$E$76=A8)+('FIFA WC 2026'!$H$5:$H$76=A8))&gt;0)*ISNUMBER('FIFA WC 2026'!$F$5:$F$76)*ISNUMBER('FIFA WC 2026'!$G$5:$G$76)*('FIFA WC 2026'!$F$5:$F$76='FIFA WC 2026'!$G$5:$G$76)))</f>
        <v/>
      </c>
      <c r="F8" s="28">
        <f t="array" ref="F8">0.5*(SUMPRODUCT(('FIFA WC 2026'!$E$5:$E$76=A8)*IFERROR('FIFA WC 2026'!$F$5:$F$76,0))+SUMPRODUCT(('FIFA WC 2026'!$H$5:$H$76=A8)*IFERROR('FIFA WC 2026'!$G$5:$G$76,0))+SUMPRODUCT(('FIFA WC 2026'!$S$5:$S$66=A8)*IFERROR('FIFA WC 2026'!$T$5:$T$66,0))+SUMPRODUCT(('FIFA WC 2026'!$W$7:$W$64=A8)*IFERROR('FIFA WC 2026'!$X$7:$X$64,0))+SUMPRODUCT(('FIFA WC 2026'!$AA$11:$AA$66=A8)*IFERROR('FIFA WC 2026'!$AB$11:$AB$66,0))+SUMPRODUCT(('FIFA WC 2026'!$AE$19:$AE$52=A8)*IFERROR('FIFA WC 2026'!$AF$19:$AF$52,0))+SUMPRODUCT(('FIFA WC 2026'!$AI$35:$AI$44=A8)*IFERROR('FIFA WC 2026'!$AJ$35:$AJ$44,0)))</f>
        <v/>
      </c>
      <c r="G8" s="28">
        <f>IF(COUNTIF('FIFA WC 2026'!$S$5:$S$66,A8)&gt;0,4,0)</f>
        <v/>
      </c>
      <c r="H8" s="28">
        <f>IF(COUNTIF('FIFA WC 2026'!$W$7:$W$64,A8)&gt;0,6,0)</f>
        <v/>
      </c>
      <c r="I8" s="28">
        <f>IF(COUNTIF('FIFA WC 2026'!$AA$11:$AA$60,A8)&gt;0,8,0)</f>
        <v/>
      </c>
      <c r="J8" s="28">
        <f>IF(COUNTIF('FIFA WC 2026'!$AE$19:$AE$52,A8)&gt;0,10,0)</f>
        <v/>
      </c>
      <c r="K8" s="28">
        <f>IF(COUNTIF('FIFA WC 2026'!$AI$35:$AI$36,A8)&gt;0,13,0)</f>
        <v/>
      </c>
      <c r="L8" s="28">
        <f>IF('FIFA WC 2026'!$AI$40=A8,16,0)</f>
        <v/>
      </c>
      <c r="M8" s="111">
        <f>SUM(C8:L8)+O8</f>
        <v/>
      </c>
      <c r="N8" s="110">
        <f>M8-F8</f>
        <v/>
      </c>
      <c r="O8">
        <f>IF('FIFA WC 2026'!$AI$41=$A8,5,0)</f>
        <v/>
      </c>
    </row>
    <row r="9" ht="12.75" customHeight="1">
      <c r="A9" s="27" t="inlineStr">
        <is>
          <t>Bosnia &amp; Herzegovina</t>
        </is>
      </c>
      <c r="B9" s="26" t="inlineStr">
        <is>
          <t>B</t>
        </is>
      </c>
      <c r="C9" s="28">
        <f t="array" ref="C9">3*(SUMPRODUCT((MOD(INT((ROW('FIFA WC 2026'!$E$5:$E$76)-4)/2),3)=0)*('FIFA WC 2026'!$E$5:$E$76=A9)*ISNUMBER('FIFA WC 2026'!$F$5:$F$76)*ISNUMBER('FIFA WC 2026'!$G$5:$G$76)*('FIFA WC 2026'!$F$5:$F$76&gt;'FIFA WC 2026'!$G$5:$G$76))+SUMPRODUCT((MOD(INT((ROW('FIFA WC 2026'!$E$5:$E$76)-4)/2),3)=0)*('FIFA WC 2026'!$H$5:$H$76=A9)*ISNUMBER('FIFA WC 2026'!$F$5:$F$76)*ISNUMBER('FIFA WC 2026'!$G$5:$G$76)*('FIFA WC 2026'!$G$5:$G$76&gt;'FIFA WC 2026'!$F$5:$F$76)))+(SUMPRODUCT((MOD(INT((ROW('FIFA WC 2026'!$E$5:$E$76)-4)/2),3)=0)*((('FIFA WC 2026'!$E$5:$E$76=A9)+('FIFA WC 2026'!$H$5:$H$76=A9))&gt;0)*ISNUMBER('FIFA WC 2026'!$F$5:$F$76)*ISNUMBER('FIFA WC 2026'!$G$5:$G$76)*('FIFA WC 2026'!$F$5:$F$76='FIFA WC 2026'!$G$5:$G$76)))</f>
        <v/>
      </c>
      <c r="D9" s="28">
        <f t="array" ref="D9">3*(SUMPRODUCT((MOD(INT((ROW('FIFA WC 2026'!$E$5:$E$76)-4)/2),3)=1)*('FIFA WC 2026'!$E$5:$E$76=A9)*ISNUMBER('FIFA WC 2026'!$F$5:$F$76)*ISNUMBER('FIFA WC 2026'!$G$5:$G$76)*('FIFA WC 2026'!$F$5:$F$76&gt;'FIFA WC 2026'!$G$5:$G$76))+SUMPRODUCT((MOD(INT((ROW('FIFA WC 2026'!$E$5:$E$76)-4)/2),3)=1)*('FIFA WC 2026'!$H$5:$H$76=A9)*ISNUMBER('FIFA WC 2026'!$F$5:$F$76)*ISNUMBER('FIFA WC 2026'!$G$5:$G$76)*('FIFA WC 2026'!$G$5:$G$76&gt;'FIFA WC 2026'!$F$5:$F$76)))+(SUMPRODUCT((MOD(INT((ROW('FIFA WC 2026'!$E$5:$E$76)-4)/2),3)=1)*((('FIFA WC 2026'!$E$5:$E$76=A9)+('FIFA WC 2026'!$H$5:$H$76=A9))&gt;0)*ISNUMBER('FIFA WC 2026'!$F$5:$F$76)*ISNUMBER('FIFA WC 2026'!$G$5:$G$76)*('FIFA WC 2026'!$F$5:$F$76='FIFA WC 2026'!$G$5:$G$76)))</f>
        <v/>
      </c>
      <c r="E9" s="28">
        <f t="array" ref="E9">3*(SUMPRODUCT((MOD(INT((ROW('FIFA WC 2026'!$E$5:$E$76)-4)/2),3)=2)*('FIFA WC 2026'!$E$5:$E$76=A9)*ISNUMBER('FIFA WC 2026'!$F$5:$F$76)*ISNUMBER('FIFA WC 2026'!$G$5:$G$76)*('FIFA WC 2026'!$F$5:$F$76&gt;'FIFA WC 2026'!$G$5:$G$76))+SUMPRODUCT((MOD(INT((ROW('FIFA WC 2026'!$E$5:$E$76)-4)/2),3)=2)*('FIFA WC 2026'!$H$5:$H$76=A9)*ISNUMBER('FIFA WC 2026'!$F$5:$F$76)*ISNUMBER('FIFA WC 2026'!$G$5:$G$76)*('FIFA WC 2026'!$G$5:$G$76&gt;'FIFA WC 2026'!$F$5:$F$76)))+(SUMPRODUCT((MOD(INT((ROW('FIFA WC 2026'!$E$5:$E$76)-4)/2),3)=2)*((('FIFA WC 2026'!$E$5:$E$76=A9)+('FIFA WC 2026'!$H$5:$H$76=A9))&gt;0)*ISNUMBER('FIFA WC 2026'!$F$5:$F$76)*ISNUMBER('FIFA WC 2026'!$G$5:$G$76)*('FIFA WC 2026'!$F$5:$F$76='FIFA WC 2026'!$G$5:$G$76)))</f>
        <v/>
      </c>
      <c r="F9" s="28">
        <f t="array" ref="F9">0.5*(SUMPRODUCT(('FIFA WC 2026'!$E$5:$E$76=A9)*IFERROR('FIFA WC 2026'!$F$5:$F$76,0))+SUMPRODUCT(('FIFA WC 2026'!$H$5:$H$76=A9)*IFERROR('FIFA WC 2026'!$G$5:$G$76,0))+SUMPRODUCT(('FIFA WC 2026'!$S$5:$S$66=A9)*IFERROR('FIFA WC 2026'!$T$5:$T$66,0))+SUMPRODUCT(('FIFA WC 2026'!$W$7:$W$64=A9)*IFERROR('FIFA WC 2026'!$X$7:$X$64,0))+SUMPRODUCT(('FIFA WC 2026'!$AA$11:$AA$66=A9)*IFERROR('FIFA WC 2026'!$AB$11:$AB$66,0))+SUMPRODUCT(('FIFA WC 2026'!$AE$19:$AE$52=A9)*IFERROR('FIFA WC 2026'!$AF$19:$AF$52,0))+SUMPRODUCT(('FIFA WC 2026'!$AI$35:$AI$44=A9)*IFERROR('FIFA WC 2026'!$AJ$35:$AJ$44,0)))</f>
        <v/>
      </c>
      <c r="G9" s="28">
        <f>IF(COUNTIF('FIFA WC 2026'!$S$5:$S$66,A9)&gt;0,4,0)</f>
        <v/>
      </c>
      <c r="H9" s="28">
        <f>IF(COUNTIF('FIFA WC 2026'!$W$7:$W$64,A9)&gt;0,6,0)</f>
        <v/>
      </c>
      <c r="I9" s="28">
        <f>IF(COUNTIF('FIFA WC 2026'!$AA$11:$AA$60,A9)&gt;0,8,0)</f>
        <v/>
      </c>
      <c r="J9" s="28">
        <f>IF(COUNTIF('FIFA WC 2026'!$AE$19:$AE$52,A9)&gt;0,10,0)</f>
        <v/>
      </c>
      <c r="K9" s="28">
        <f>IF(COUNTIF('FIFA WC 2026'!$AI$35:$AI$36,A9)&gt;0,13,0)</f>
        <v/>
      </c>
      <c r="L9" s="28">
        <f>IF('FIFA WC 2026'!$AI$40=A9,16,0)</f>
        <v/>
      </c>
      <c r="M9" s="111">
        <f>SUM(C9:L9)+O9</f>
        <v/>
      </c>
      <c r="N9" s="110">
        <f>M9-F9</f>
        <v/>
      </c>
      <c r="O9">
        <f>IF('FIFA WC 2026'!$AI$41=$A9,5,0)</f>
        <v/>
      </c>
    </row>
    <row r="10" ht="12.75" customHeight="1">
      <c r="A10" s="27" t="inlineStr">
        <is>
          <t>Qatar</t>
        </is>
      </c>
      <c r="B10" s="26" t="inlineStr">
        <is>
          <t>B</t>
        </is>
      </c>
      <c r="C10" s="28">
        <f t="array" ref="C10">3*(SUMPRODUCT((MOD(INT((ROW('FIFA WC 2026'!$E$5:$E$76)-4)/2),3)=0)*('FIFA WC 2026'!$E$5:$E$76=A10)*ISNUMBER('FIFA WC 2026'!$F$5:$F$76)*ISNUMBER('FIFA WC 2026'!$G$5:$G$76)*('FIFA WC 2026'!$F$5:$F$76&gt;'FIFA WC 2026'!$G$5:$G$76))+SUMPRODUCT((MOD(INT((ROW('FIFA WC 2026'!$E$5:$E$76)-4)/2),3)=0)*('FIFA WC 2026'!$H$5:$H$76=A10)*ISNUMBER('FIFA WC 2026'!$F$5:$F$76)*ISNUMBER('FIFA WC 2026'!$G$5:$G$76)*('FIFA WC 2026'!$G$5:$G$76&gt;'FIFA WC 2026'!$F$5:$F$76)))+(SUMPRODUCT((MOD(INT((ROW('FIFA WC 2026'!$E$5:$E$76)-4)/2),3)=0)*((('FIFA WC 2026'!$E$5:$E$76=A10)+('FIFA WC 2026'!$H$5:$H$76=A10))&gt;0)*ISNUMBER('FIFA WC 2026'!$F$5:$F$76)*ISNUMBER('FIFA WC 2026'!$G$5:$G$76)*('FIFA WC 2026'!$F$5:$F$76='FIFA WC 2026'!$G$5:$G$76)))</f>
        <v/>
      </c>
      <c r="D10" s="28">
        <f t="array" ref="D10">3*(SUMPRODUCT((MOD(INT((ROW('FIFA WC 2026'!$E$5:$E$76)-4)/2),3)=1)*('FIFA WC 2026'!$E$5:$E$76=A10)*ISNUMBER('FIFA WC 2026'!$F$5:$F$76)*ISNUMBER('FIFA WC 2026'!$G$5:$G$76)*('FIFA WC 2026'!$F$5:$F$76&gt;'FIFA WC 2026'!$G$5:$G$76))+SUMPRODUCT((MOD(INT((ROW('FIFA WC 2026'!$E$5:$E$76)-4)/2),3)=1)*('FIFA WC 2026'!$H$5:$H$76=A10)*ISNUMBER('FIFA WC 2026'!$F$5:$F$76)*ISNUMBER('FIFA WC 2026'!$G$5:$G$76)*('FIFA WC 2026'!$G$5:$G$76&gt;'FIFA WC 2026'!$F$5:$F$76)))+(SUMPRODUCT((MOD(INT((ROW('FIFA WC 2026'!$E$5:$E$76)-4)/2),3)=1)*((('FIFA WC 2026'!$E$5:$E$76=A10)+('FIFA WC 2026'!$H$5:$H$76=A10))&gt;0)*ISNUMBER('FIFA WC 2026'!$F$5:$F$76)*ISNUMBER('FIFA WC 2026'!$G$5:$G$76)*('FIFA WC 2026'!$F$5:$F$76='FIFA WC 2026'!$G$5:$G$76)))</f>
        <v/>
      </c>
      <c r="E10" s="28">
        <f t="array" ref="E10">3*(SUMPRODUCT((MOD(INT((ROW('FIFA WC 2026'!$E$5:$E$76)-4)/2),3)=2)*('FIFA WC 2026'!$E$5:$E$76=A10)*ISNUMBER('FIFA WC 2026'!$F$5:$F$76)*ISNUMBER('FIFA WC 2026'!$G$5:$G$76)*('FIFA WC 2026'!$F$5:$F$76&gt;'FIFA WC 2026'!$G$5:$G$76))+SUMPRODUCT((MOD(INT((ROW('FIFA WC 2026'!$E$5:$E$76)-4)/2),3)=2)*('FIFA WC 2026'!$H$5:$H$76=A10)*ISNUMBER('FIFA WC 2026'!$F$5:$F$76)*ISNUMBER('FIFA WC 2026'!$G$5:$G$76)*('FIFA WC 2026'!$G$5:$G$76&gt;'FIFA WC 2026'!$F$5:$F$76)))+(SUMPRODUCT((MOD(INT((ROW('FIFA WC 2026'!$E$5:$E$76)-4)/2),3)=2)*((('FIFA WC 2026'!$E$5:$E$76=A10)+('FIFA WC 2026'!$H$5:$H$76=A10))&gt;0)*ISNUMBER('FIFA WC 2026'!$F$5:$F$76)*ISNUMBER('FIFA WC 2026'!$G$5:$G$76)*('FIFA WC 2026'!$F$5:$F$76='FIFA WC 2026'!$G$5:$G$76)))</f>
        <v/>
      </c>
      <c r="F10" s="28">
        <f t="array" ref="F10">0.5*(SUMPRODUCT(('FIFA WC 2026'!$E$5:$E$76=A10)*IFERROR('FIFA WC 2026'!$F$5:$F$76,0))+SUMPRODUCT(('FIFA WC 2026'!$H$5:$H$76=A10)*IFERROR('FIFA WC 2026'!$G$5:$G$76,0))+SUMPRODUCT(('FIFA WC 2026'!$S$5:$S$66=A10)*IFERROR('FIFA WC 2026'!$T$5:$T$66,0))+SUMPRODUCT(('FIFA WC 2026'!$W$7:$W$64=A10)*IFERROR('FIFA WC 2026'!$X$7:$X$64,0))+SUMPRODUCT(('FIFA WC 2026'!$AA$11:$AA$66=A10)*IFERROR('FIFA WC 2026'!$AB$11:$AB$66,0))+SUMPRODUCT(('FIFA WC 2026'!$AE$19:$AE$52=A10)*IFERROR('FIFA WC 2026'!$AF$19:$AF$52,0))+SUMPRODUCT(('FIFA WC 2026'!$AI$35:$AI$44=A10)*IFERROR('FIFA WC 2026'!$AJ$35:$AJ$44,0)))</f>
        <v/>
      </c>
      <c r="G10" s="28">
        <f>IF(COUNTIF('FIFA WC 2026'!$S$5:$S$66,A10)&gt;0,4,0)</f>
        <v/>
      </c>
      <c r="H10" s="28">
        <f>IF(COUNTIF('FIFA WC 2026'!$W$7:$W$64,A10)&gt;0,6,0)</f>
        <v/>
      </c>
      <c r="I10" s="28">
        <f>IF(COUNTIF('FIFA WC 2026'!$AA$11:$AA$60,A10)&gt;0,8,0)</f>
        <v/>
      </c>
      <c r="J10" s="28">
        <f>IF(COUNTIF('FIFA WC 2026'!$AE$19:$AE$52,A10)&gt;0,10,0)</f>
        <v/>
      </c>
      <c r="K10" s="28">
        <f>IF(COUNTIF('FIFA WC 2026'!$AI$35:$AI$36,A10)&gt;0,13,0)</f>
        <v/>
      </c>
      <c r="L10" s="28">
        <f>IF('FIFA WC 2026'!$AI$40=A10,16,0)</f>
        <v/>
      </c>
      <c r="M10" s="111">
        <f>SUM(C10:L10)+O10</f>
        <v/>
      </c>
      <c r="N10" s="110">
        <f>M10-F10</f>
        <v/>
      </c>
      <c r="O10">
        <f>IF('FIFA WC 2026'!$AI$41=$A10,5,0)</f>
        <v/>
      </c>
    </row>
    <row r="11" ht="12.75" customHeight="1">
      <c r="A11" s="27" t="inlineStr">
        <is>
          <t>Switzerland</t>
        </is>
      </c>
      <c r="B11" s="26" t="inlineStr">
        <is>
          <t>B</t>
        </is>
      </c>
      <c r="C11" s="28">
        <f t="array" ref="C11">3*(SUMPRODUCT((MOD(INT((ROW('FIFA WC 2026'!$E$5:$E$76)-4)/2),3)=0)*('FIFA WC 2026'!$E$5:$E$76=A11)*ISNUMBER('FIFA WC 2026'!$F$5:$F$76)*ISNUMBER('FIFA WC 2026'!$G$5:$G$76)*('FIFA WC 2026'!$F$5:$F$76&gt;'FIFA WC 2026'!$G$5:$G$76))+SUMPRODUCT((MOD(INT((ROW('FIFA WC 2026'!$E$5:$E$76)-4)/2),3)=0)*('FIFA WC 2026'!$H$5:$H$76=A11)*ISNUMBER('FIFA WC 2026'!$F$5:$F$76)*ISNUMBER('FIFA WC 2026'!$G$5:$G$76)*('FIFA WC 2026'!$G$5:$G$76&gt;'FIFA WC 2026'!$F$5:$F$76)))+(SUMPRODUCT((MOD(INT((ROW('FIFA WC 2026'!$E$5:$E$76)-4)/2),3)=0)*((('FIFA WC 2026'!$E$5:$E$76=A11)+('FIFA WC 2026'!$H$5:$H$76=A11))&gt;0)*ISNUMBER('FIFA WC 2026'!$F$5:$F$76)*ISNUMBER('FIFA WC 2026'!$G$5:$G$76)*('FIFA WC 2026'!$F$5:$F$76='FIFA WC 2026'!$G$5:$G$76)))</f>
        <v/>
      </c>
      <c r="D11" s="28">
        <f t="array" ref="D11">3*(SUMPRODUCT((MOD(INT((ROW('FIFA WC 2026'!$E$5:$E$76)-4)/2),3)=1)*('FIFA WC 2026'!$E$5:$E$76=A11)*ISNUMBER('FIFA WC 2026'!$F$5:$F$76)*ISNUMBER('FIFA WC 2026'!$G$5:$G$76)*('FIFA WC 2026'!$F$5:$F$76&gt;'FIFA WC 2026'!$G$5:$G$76))+SUMPRODUCT((MOD(INT((ROW('FIFA WC 2026'!$E$5:$E$76)-4)/2),3)=1)*('FIFA WC 2026'!$H$5:$H$76=A11)*ISNUMBER('FIFA WC 2026'!$F$5:$F$76)*ISNUMBER('FIFA WC 2026'!$G$5:$G$76)*('FIFA WC 2026'!$G$5:$G$76&gt;'FIFA WC 2026'!$F$5:$F$76)))+(SUMPRODUCT((MOD(INT((ROW('FIFA WC 2026'!$E$5:$E$76)-4)/2),3)=1)*((('FIFA WC 2026'!$E$5:$E$76=A11)+('FIFA WC 2026'!$H$5:$H$76=A11))&gt;0)*ISNUMBER('FIFA WC 2026'!$F$5:$F$76)*ISNUMBER('FIFA WC 2026'!$G$5:$G$76)*('FIFA WC 2026'!$F$5:$F$76='FIFA WC 2026'!$G$5:$G$76)))</f>
        <v/>
      </c>
      <c r="E11" s="28">
        <f t="array" ref="E11">3*(SUMPRODUCT((MOD(INT((ROW('FIFA WC 2026'!$E$5:$E$76)-4)/2),3)=2)*('FIFA WC 2026'!$E$5:$E$76=A11)*ISNUMBER('FIFA WC 2026'!$F$5:$F$76)*ISNUMBER('FIFA WC 2026'!$G$5:$G$76)*('FIFA WC 2026'!$F$5:$F$76&gt;'FIFA WC 2026'!$G$5:$G$76))+SUMPRODUCT((MOD(INT((ROW('FIFA WC 2026'!$E$5:$E$76)-4)/2),3)=2)*('FIFA WC 2026'!$H$5:$H$76=A11)*ISNUMBER('FIFA WC 2026'!$F$5:$F$76)*ISNUMBER('FIFA WC 2026'!$G$5:$G$76)*('FIFA WC 2026'!$G$5:$G$76&gt;'FIFA WC 2026'!$F$5:$F$76)))+(SUMPRODUCT((MOD(INT((ROW('FIFA WC 2026'!$E$5:$E$76)-4)/2),3)=2)*((('FIFA WC 2026'!$E$5:$E$76=A11)+('FIFA WC 2026'!$H$5:$H$76=A11))&gt;0)*ISNUMBER('FIFA WC 2026'!$F$5:$F$76)*ISNUMBER('FIFA WC 2026'!$G$5:$G$76)*('FIFA WC 2026'!$F$5:$F$76='FIFA WC 2026'!$G$5:$G$76)))</f>
        <v/>
      </c>
      <c r="F11" s="28">
        <f t="array" ref="F11">0.5*(SUMPRODUCT(('FIFA WC 2026'!$E$5:$E$76=A11)*IFERROR('FIFA WC 2026'!$F$5:$F$76,0))+SUMPRODUCT(('FIFA WC 2026'!$H$5:$H$76=A11)*IFERROR('FIFA WC 2026'!$G$5:$G$76,0))+SUMPRODUCT(('FIFA WC 2026'!$S$5:$S$66=A11)*IFERROR('FIFA WC 2026'!$T$5:$T$66,0))+SUMPRODUCT(('FIFA WC 2026'!$W$7:$W$64=A11)*IFERROR('FIFA WC 2026'!$X$7:$X$64,0))+SUMPRODUCT(('FIFA WC 2026'!$AA$11:$AA$66=A11)*IFERROR('FIFA WC 2026'!$AB$11:$AB$66,0))+SUMPRODUCT(('FIFA WC 2026'!$AE$19:$AE$52=A11)*IFERROR('FIFA WC 2026'!$AF$19:$AF$52,0))+SUMPRODUCT(('FIFA WC 2026'!$AI$35:$AI$44=A11)*IFERROR('FIFA WC 2026'!$AJ$35:$AJ$44,0)))</f>
        <v/>
      </c>
      <c r="G11" s="28">
        <f>IF(COUNTIF('FIFA WC 2026'!$S$5:$S$66,A11)&gt;0,4,0)</f>
        <v/>
      </c>
      <c r="H11" s="28">
        <f>IF(COUNTIF('FIFA WC 2026'!$W$7:$W$64,A11)&gt;0,6,0)</f>
        <v/>
      </c>
      <c r="I11" s="28">
        <f>IF(COUNTIF('FIFA WC 2026'!$AA$11:$AA$60,A11)&gt;0,8,0)</f>
        <v/>
      </c>
      <c r="J11" s="28">
        <f>IF(COUNTIF('FIFA WC 2026'!$AE$19:$AE$52,A11)&gt;0,10,0)</f>
        <v/>
      </c>
      <c r="K11" s="28">
        <f>IF(COUNTIF('FIFA WC 2026'!$AI$35:$AI$36,A11)&gt;0,13,0)</f>
        <v/>
      </c>
      <c r="L11" s="28">
        <f>IF('FIFA WC 2026'!$AI$40=A11,16,0)</f>
        <v/>
      </c>
      <c r="M11" s="111">
        <f>SUM(C11:L11)+O11</f>
        <v/>
      </c>
      <c r="N11" s="110">
        <f>M11-F11</f>
        <v/>
      </c>
      <c r="O11">
        <f>IF('FIFA WC 2026'!$AI$41=$A11,5,0)</f>
        <v/>
      </c>
    </row>
    <row r="12" ht="12.75" customHeight="1">
      <c r="A12" s="106" t="inlineStr">
        <is>
          <t>Brazil</t>
        </is>
      </c>
      <c r="B12" s="107" t="inlineStr">
        <is>
          <t>C</t>
        </is>
      </c>
      <c r="C12" s="108">
        <f t="array" ref="C12">3*(SUMPRODUCT((MOD(INT((ROW('FIFA WC 2026'!$E$5:$E$76)-4)/2),3)=0)*('FIFA WC 2026'!$E$5:$E$76=A12)*ISNUMBER('FIFA WC 2026'!$F$5:$F$76)*ISNUMBER('FIFA WC 2026'!$G$5:$G$76)*('FIFA WC 2026'!$F$5:$F$76&gt;'FIFA WC 2026'!$G$5:$G$76))+SUMPRODUCT((MOD(INT((ROW('FIFA WC 2026'!$E$5:$E$76)-4)/2),3)=0)*('FIFA WC 2026'!$H$5:$H$76=A12)*ISNUMBER('FIFA WC 2026'!$F$5:$F$76)*ISNUMBER('FIFA WC 2026'!$G$5:$G$76)*('FIFA WC 2026'!$G$5:$G$76&gt;'FIFA WC 2026'!$F$5:$F$76)))+(SUMPRODUCT((MOD(INT((ROW('FIFA WC 2026'!$E$5:$E$76)-4)/2),3)=0)*((('FIFA WC 2026'!$E$5:$E$76=A12)+('FIFA WC 2026'!$H$5:$H$76=A12))&gt;0)*ISNUMBER('FIFA WC 2026'!$F$5:$F$76)*ISNUMBER('FIFA WC 2026'!$G$5:$G$76)*('FIFA WC 2026'!$F$5:$F$76='FIFA WC 2026'!$G$5:$G$76)))</f>
        <v/>
      </c>
      <c r="D12" s="108">
        <f t="array" ref="D12">3*(SUMPRODUCT((MOD(INT((ROW('FIFA WC 2026'!$E$5:$E$76)-4)/2),3)=1)*('FIFA WC 2026'!$E$5:$E$76=A12)*ISNUMBER('FIFA WC 2026'!$F$5:$F$76)*ISNUMBER('FIFA WC 2026'!$G$5:$G$76)*('FIFA WC 2026'!$F$5:$F$76&gt;'FIFA WC 2026'!$G$5:$G$76))+SUMPRODUCT((MOD(INT((ROW('FIFA WC 2026'!$E$5:$E$76)-4)/2),3)=1)*('FIFA WC 2026'!$H$5:$H$76=A12)*ISNUMBER('FIFA WC 2026'!$F$5:$F$76)*ISNUMBER('FIFA WC 2026'!$G$5:$G$76)*('FIFA WC 2026'!$G$5:$G$76&gt;'FIFA WC 2026'!$F$5:$F$76)))+(SUMPRODUCT((MOD(INT((ROW('FIFA WC 2026'!$E$5:$E$76)-4)/2),3)=1)*((('FIFA WC 2026'!$E$5:$E$76=A12)+('FIFA WC 2026'!$H$5:$H$76=A12))&gt;0)*ISNUMBER('FIFA WC 2026'!$F$5:$F$76)*ISNUMBER('FIFA WC 2026'!$G$5:$G$76)*('FIFA WC 2026'!$F$5:$F$76='FIFA WC 2026'!$G$5:$G$76)))</f>
        <v/>
      </c>
      <c r="E12" s="108">
        <f t="array" ref="E12">3*(SUMPRODUCT((MOD(INT((ROW('FIFA WC 2026'!$E$5:$E$76)-4)/2),3)=2)*('FIFA WC 2026'!$E$5:$E$76=A12)*ISNUMBER('FIFA WC 2026'!$F$5:$F$76)*ISNUMBER('FIFA WC 2026'!$G$5:$G$76)*('FIFA WC 2026'!$F$5:$F$76&gt;'FIFA WC 2026'!$G$5:$G$76))+SUMPRODUCT((MOD(INT((ROW('FIFA WC 2026'!$E$5:$E$76)-4)/2),3)=2)*('FIFA WC 2026'!$H$5:$H$76=A12)*ISNUMBER('FIFA WC 2026'!$F$5:$F$76)*ISNUMBER('FIFA WC 2026'!$G$5:$G$76)*('FIFA WC 2026'!$G$5:$G$76&gt;'FIFA WC 2026'!$F$5:$F$76)))+(SUMPRODUCT((MOD(INT((ROW('FIFA WC 2026'!$E$5:$E$76)-4)/2),3)=2)*((('FIFA WC 2026'!$E$5:$E$76=A12)+('FIFA WC 2026'!$H$5:$H$76=A12))&gt;0)*ISNUMBER('FIFA WC 2026'!$F$5:$F$76)*ISNUMBER('FIFA WC 2026'!$G$5:$G$76)*('FIFA WC 2026'!$F$5:$F$76='FIFA WC 2026'!$G$5:$G$76)))</f>
        <v/>
      </c>
      <c r="F12" s="108">
        <f t="array" ref="F12">0.5*(SUMPRODUCT(('FIFA WC 2026'!$E$5:$E$76=A12)*IFERROR('FIFA WC 2026'!$F$5:$F$76,0))+SUMPRODUCT(('FIFA WC 2026'!$H$5:$H$76=A12)*IFERROR('FIFA WC 2026'!$G$5:$G$76,0))+SUMPRODUCT(('FIFA WC 2026'!$S$5:$S$66=A12)*IFERROR('FIFA WC 2026'!$T$5:$T$66,0))+SUMPRODUCT(('FIFA WC 2026'!$W$7:$W$64=A12)*IFERROR('FIFA WC 2026'!$X$7:$X$64,0))+SUMPRODUCT(('FIFA WC 2026'!$AA$11:$AA$66=A12)*IFERROR('FIFA WC 2026'!$AB$11:$AB$66,0))+SUMPRODUCT(('FIFA WC 2026'!$AE$19:$AE$52=A12)*IFERROR('FIFA WC 2026'!$AF$19:$AF$52,0))+SUMPRODUCT(('FIFA WC 2026'!$AI$35:$AI$44=A12)*IFERROR('FIFA WC 2026'!$AJ$35:$AJ$44,0)))</f>
        <v/>
      </c>
      <c r="G12" s="108">
        <f>IF(COUNTIF('FIFA WC 2026'!$S$5:$S$66,A12)&gt;0,4,0)</f>
        <v/>
      </c>
      <c r="H12" s="108">
        <f>IF(COUNTIF('FIFA WC 2026'!$W$7:$W$64,A12)&gt;0,6,0)</f>
        <v/>
      </c>
      <c r="I12" s="108">
        <f>IF(COUNTIF('FIFA WC 2026'!$AA$11:$AA$60,A12)&gt;0,8,0)</f>
        <v/>
      </c>
      <c r="J12" s="108">
        <f>IF(COUNTIF('FIFA WC 2026'!$AE$19:$AE$52,A12)&gt;0,10,0)</f>
        <v/>
      </c>
      <c r="K12" s="108">
        <f>IF(COUNTIF('FIFA WC 2026'!$AI$35:$AI$36,A12)&gt;0,13,0)</f>
        <v/>
      </c>
      <c r="L12" s="108">
        <f>IF('FIFA WC 2026'!$AI$40=A12,16,0)</f>
        <v/>
      </c>
      <c r="M12" s="109">
        <f>SUM(C12:L12)+O12</f>
        <v/>
      </c>
      <c r="N12" s="110">
        <f>M12-F12</f>
        <v/>
      </c>
      <c r="O12">
        <f>IF('FIFA WC 2026'!$AI$41=$A12,5,0)</f>
        <v/>
      </c>
    </row>
    <row r="13" ht="12.75" customHeight="1">
      <c r="A13" s="106" t="inlineStr">
        <is>
          <t>Morocco</t>
        </is>
      </c>
      <c r="B13" s="107" t="inlineStr">
        <is>
          <t>C</t>
        </is>
      </c>
      <c r="C13" s="108">
        <f t="array" ref="C13">3*(SUMPRODUCT((MOD(INT((ROW('FIFA WC 2026'!$E$5:$E$76)-4)/2),3)=0)*('FIFA WC 2026'!$E$5:$E$76=A13)*ISNUMBER('FIFA WC 2026'!$F$5:$F$76)*ISNUMBER('FIFA WC 2026'!$G$5:$G$76)*('FIFA WC 2026'!$F$5:$F$76&gt;'FIFA WC 2026'!$G$5:$G$76))+SUMPRODUCT((MOD(INT((ROW('FIFA WC 2026'!$E$5:$E$76)-4)/2),3)=0)*('FIFA WC 2026'!$H$5:$H$76=A13)*ISNUMBER('FIFA WC 2026'!$F$5:$F$76)*ISNUMBER('FIFA WC 2026'!$G$5:$G$76)*('FIFA WC 2026'!$G$5:$G$76&gt;'FIFA WC 2026'!$F$5:$F$76)))+(SUMPRODUCT((MOD(INT((ROW('FIFA WC 2026'!$E$5:$E$76)-4)/2),3)=0)*((('FIFA WC 2026'!$E$5:$E$76=A13)+('FIFA WC 2026'!$H$5:$H$76=A13))&gt;0)*ISNUMBER('FIFA WC 2026'!$F$5:$F$76)*ISNUMBER('FIFA WC 2026'!$G$5:$G$76)*('FIFA WC 2026'!$F$5:$F$76='FIFA WC 2026'!$G$5:$G$76)))</f>
        <v/>
      </c>
      <c r="D13" s="108">
        <f t="array" ref="D13">3*(SUMPRODUCT((MOD(INT((ROW('FIFA WC 2026'!$E$5:$E$76)-4)/2),3)=1)*('FIFA WC 2026'!$E$5:$E$76=A13)*ISNUMBER('FIFA WC 2026'!$F$5:$F$76)*ISNUMBER('FIFA WC 2026'!$G$5:$G$76)*('FIFA WC 2026'!$F$5:$F$76&gt;'FIFA WC 2026'!$G$5:$G$76))+SUMPRODUCT((MOD(INT((ROW('FIFA WC 2026'!$E$5:$E$76)-4)/2),3)=1)*('FIFA WC 2026'!$H$5:$H$76=A13)*ISNUMBER('FIFA WC 2026'!$F$5:$F$76)*ISNUMBER('FIFA WC 2026'!$G$5:$G$76)*('FIFA WC 2026'!$G$5:$G$76&gt;'FIFA WC 2026'!$F$5:$F$76)))+(SUMPRODUCT((MOD(INT((ROW('FIFA WC 2026'!$E$5:$E$76)-4)/2),3)=1)*((('FIFA WC 2026'!$E$5:$E$76=A13)+('FIFA WC 2026'!$H$5:$H$76=A13))&gt;0)*ISNUMBER('FIFA WC 2026'!$F$5:$F$76)*ISNUMBER('FIFA WC 2026'!$G$5:$G$76)*('FIFA WC 2026'!$F$5:$F$76='FIFA WC 2026'!$G$5:$G$76)))</f>
        <v/>
      </c>
      <c r="E13" s="108">
        <f t="array" ref="E13">3*(SUMPRODUCT((MOD(INT((ROW('FIFA WC 2026'!$E$5:$E$76)-4)/2),3)=2)*('FIFA WC 2026'!$E$5:$E$76=A13)*ISNUMBER('FIFA WC 2026'!$F$5:$F$76)*ISNUMBER('FIFA WC 2026'!$G$5:$G$76)*('FIFA WC 2026'!$F$5:$F$76&gt;'FIFA WC 2026'!$G$5:$G$76))+SUMPRODUCT((MOD(INT((ROW('FIFA WC 2026'!$E$5:$E$76)-4)/2),3)=2)*('FIFA WC 2026'!$H$5:$H$76=A13)*ISNUMBER('FIFA WC 2026'!$F$5:$F$76)*ISNUMBER('FIFA WC 2026'!$G$5:$G$76)*('FIFA WC 2026'!$G$5:$G$76&gt;'FIFA WC 2026'!$F$5:$F$76)))+(SUMPRODUCT((MOD(INT((ROW('FIFA WC 2026'!$E$5:$E$76)-4)/2),3)=2)*((('FIFA WC 2026'!$E$5:$E$76=A13)+('FIFA WC 2026'!$H$5:$H$76=A13))&gt;0)*ISNUMBER('FIFA WC 2026'!$F$5:$F$76)*ISNUMBER('FIFA WC 2026'!$G$5:$G$76)*('FIFA WC 2026'!$F$5:$F$76='FIFA WC 2026'!$G$5:$G$76)))</f>
        <v/>
      </c>
      <c r="F13" s="108">
        <f t="array" ref="F13">0.5*(SUMPRODUCT(('FIFA WC 2026'!$E$5:$E$76=A13)*IFERROR('FIFA WC 2026'!$F$5:$F$76,0))+SUMPRODUCT(('FIFA WC 2026'!$H$5:$H$76=A13)*IFERROR('FIFA WC 2026'!$G$5:$G$76,0))+SUMPRODUCT(('FIFA WC 2026'!$S$5:$S$66=A13)*IFERROR('FIFA WC 2026'!$T$5:$T$66,0))+SUMPRODUCT(('FIFA WC 2026'!$W$7:$W$64=A13)*IFERROR('FIFA WC 2026'!$X$7:$X$64,0))+SUMPRODUCT(('FIFA WC 2026'!$AA$11:$AA$66=A13)*IFERROR('FIFA WC 2026'!$AB$11:$AB$66,0))+SUMPRODUCT(('FIFA WC 2026'!$AE$19:$AE$52=A13)*IFERROR('FIFA WC 2026'!$AF$19:$AF$52,0))+SUMPRODUCT(('FIFA WC 2026'!$AI$35:$AI$44=A13)*IFERROR('FIFA WC 2026'!$AJ$35:$AJ$44,0)))</f>
        <v/>
      </c>
      <c r="G13" s="108">
        <f>IF(COUNTIF('FIFA WC 2026'!$S$5:$S$66,A13)&gt;0,4,0)</f>
        <v/>
      </c>
      <c r="H13" s="108">
        <f>IF(COUNTIF('FIFA WC 2026'!$W$7:$W$64,A13)&gt;0,6,0)</f>
        <v/>
      </c>
      <c r="I13" s="108">
        <f>IF(COUNTIF('FIFA WC 2026'!$AA$11:$AA$60,A13)&gt;0,8,0)</f>
        <v/>
      </c>
      <c r="J13" s="108">
        <f>IF(COUNTIF('FIFA WC 2026'!$AE$19:$AE$52,A13)&gt;0,10,0)</f>
        <v/>
      </c>
      <c r="K13" s="108">
        <f>IF(COUNTIF('FIFA WC 2026'!$AI$35:$AI$36,A13)&gt;0,13,0)</f>
        <v/>
      </c>
      <c r="L13" s="108">
        <f>IF('FIFA WC 2026'!$AI$40=A13,16,0)</f>
        <v/>
      </c>
      <c r="M13" s="109">
        <f>SUM(C13:L13)+O13</f>
        <v/>
      </c>
      <c r="N13" s="110">
        <f>M13-F13</f>
        <v/>
      </c>
      <c r="O13">
        <f>IF('FIFA WC 2026'!$AI$41=$A13,5,0)</f>
        <v/>
      </c>
    </row>
    <row r="14" ht="12.75" customHeight="1">
      <c r="A14" s="106" t="inlineStr">
        <is>
          <t>Haiti</t>
        </is>
      </c>
      <c r="B14" s="107" t="inlineStr">
        <is>
          <t>C</t>
        </is>
      </c>
      <c r="C14" s="108">
        <f t="array" ref="C14">3*(SUMPRODUCT((MOD(INT((ROW('FIFA WC 2026'!$E$5:$E$76)-4)/2),3)=0)*('FIFA WC 2026'!$E$5:$E$76=A14)*ISNUMBER('FIFA WC 2026'!$F$5:$F$76)*ISNUMBER('FIFA WC 2026'!$G$5:$G$76)*('FIFA WC 2026'!$F$5:$F$76&gt;'FIFA WC 2026'!$G$5:$G$76))+SUMPRODUCT((MOD(INT((ROW('FIFA WC 2026'!$E$5:$E$76)-4)/2),3)=0)*('FIFA WC 2026'!$H$5:$H$76=A14)*ISNUMBER('FIFA WC 2026'!$F$5:$F$76)*ISNUMBER('FIFA WC 2026'!$G$5:$G$76)*('FIFA WC 2026'!$G$5:$G$76&gt;'FIFA WC 2026'!$F$5:$F$76)))+(SUMPRODUCT((MOD(INT((ROW('FIFA WC 2026'!$E$5:$E$76)-4)/2),3)=0)*((('FIFA WC 2026'!$E$5:$E$76=A14)+('FIFA WC 2026'!$H$5:$H$76=A14))&gt;0)*ISNUMBER('FIFA WC 2026'!$F$5:$F$76)*ISNUMBER('FIFA WC 2026'!$G$5:$G$76)*('FIFA WC 2026'!$F$5:$F$76='FIFA WC 2026'!$G$5:$G$76)))</f>
        <v/>
      </c>
      <c r="D14" s="108">
        <f t="array" ref="D14">3*(SUMPRODUCT((MOD(INT((ROW('FIFA WC 2026'!$E$5:$E$76)-4)/2),3)=1)*('FIFA WC 2026'!$E$5:$E$76=A14)*ISNUMBER('FIFA WC 2026'!$F$5:$F$76)*ISNUMBER('FIFA WC 2026'!$G$5:$G$76)*('FIFA WC 2026'!$F$5:$F$76&gt;'FIFA WC 2026'!$G$5:$G$76))+SUMPRODUCT((MOD(INT((ROW('FIFA WC 2026'!$E$5:$E$76)-4)/2),3)=1)*('FIFA WC 2026'!$H$5:$H$76=A14)*ISNUMBER('FIFA WC 2026'!$F$5:$F$76)*ISNUMBER('FIFA WC 2026'!$G$5:$G$76)*('FIFA WC 2026'!$G$5:$G$76&gt;'FIFA WC 2026'!$F$5:$F$76)))+(SUMPRODUCT((MOD(INT((ROW('FIFA WC 2026'!$E$5:$E$76)-4)/2),3)=1)*((('FIFA WC 2026'!$E$5:$E$76=A14)+('FIFA WC 2026'!$H$5:$H$76=A14))&gt;0)*ISNUMBER('FIFA WC 2026'!$F$5:$F$76)*ISNUMBER('FIFA WC 2026'!$G$5:$G$76)*('FIFA WC 2026'!$F$5:$F$76='FIFA WC 2026'!$G$5:$G$76)))</f>
        <v/>
      </c>
      <c r="E14" s="108">
        <f t="array" ref="E14">3*(SUMPRODUCT((MOD(INT((ROW('FIFA WC 2026'!$E$5:$E$76)-4)/2),3)=2)*('FIFA WC 2026'!$E$5:$E$76=A14)*ISNUMBER('FIFA WC 2026'!$F$5:$F$76)*ISNUMBER('FIFA WC 2026'!$G$5:$G$76)*('FIFA WC 2026'!$F$5:$F$76&gt;'FIFA WC 2026'!$G$5:$G$76))+SUMPRODUCT((MOD(INT((ROW('FIFA WC 2026'!$E$5:$E$76)-4)/2),3)=2)*('FIFA WC 2026'!$H$5:$H$76=A14)*ISNUMBER('FIFA WC 2026'!$F$5:$F$76)*ISNUMBER('FIFA WC 2026'!$G$5:$G$76)*('FIFA WC 2026'!$G$5:$G$76&gt;'FIFA WC 2026'!$F$5:$F$76)))+(SUMPRODUCT((MOD(INT((ROW('FIFA WC 2026'!$E$5:$E$76)-4)/2),3)=2)*((('FIFA WC 2026'!$E$5:$E$76=A14)+('FIFA WC 2026'!$H$5:$H$76=A14))&gt;0)*ISNUMBER('FIFA WC 2026'!$F$5:$F$76)*ISNUMBER('FIFA WC 2026'!$G$5:$G$76)*('FIFA WC 2026'!$F$5:$F$76='FIFA WC 2026'!$G$5:$G$76)))</f>
        <v/>
      </c>
      <c r="F14" s="108">
        <f t="array" ref="F14">0.5*(SUMPRODUCT(('FIFA WC 2026'!$E$5:$E$76=A14)*IFERROR('FIFA WC 2026'!$F$5:$F$76,0))+SUMPRODUCT(('FIFA WC 2026'!$H$5:$H$76=A14)*IFERROR('FIFA WC 2026'!$G$5:$G$76,0))+SUMPRODUCT(('FIFA WC 2026'!$S$5:$S$66=A14)*IFERROR('FIFA WC 2026'!$T$5:$T$66,0))+SUMPRODUCT(('FIFA WC 2026'!$W$7:$W$64=A14)*IFERROR('FIFA WC 2026'!$X$7:$X$64,0))+SUMPRODUCT(('FIFA WC 2026'!$AA$11:$AA$66=A14)*IFERROR('FIFA WC 2026'!$AB$11:$AB$66,0))+SUMPRODUCT(('FIFA WC 2026'!$AE$19:$AE$52=A14)*IFERROR('FIFA WC 2026'!$AF$19:$AF$52,0))+SUMPRODUCT(('FIFA WC 2026'!$AI$35:$AI$44=A14)*IFERROR('FIFA WC 2026'!$AJ$35:$AJ$44,0)))</f>
        <v/>
      </c>
      <c r="G14" s="108">
        <f>IF(COUNTIF('FIFA WC 2026'!$S$5:$S$66,A14)&gt;0,4,0)</f>
        <v/>
      </c>
      <c r="H14" s="108">
        <f>IF(COUNTIF('FIFA WC 2026'!$W$7:$W$64,A14)&gt;0,6,0)</f>
        <v/>
      </c>
      <c r="I14" s="108">
        <f>IF(COUNTIF('FIFA WC 2026'!$AA$11:$AA$60,A14)&gt;0,8,0)</f>
        <v/>
      </c>
      <c r="J14" s="108">
        <f>IF(COUNTIF('FIFA WC 2026'!$AE$19:$AE$52,A14)&gt;0,10,0)</f>
        <v/>
      </c>
      <c r="K14" s="108">
        <f>IF(COUNTIF('FIFA WC 2026'!$AI$35:$AI$36,A14)&gt;0,13,0)</f>
        <v/>
      </c>
      <c r="L14" s="108">
        <f>IF('FIFA WC 2026'!$AI$40=A14,16,0)</f>
        <v/>
      </c>
      <c r="M14" s="109">
        <f>SUM(C14:L14)+O14</f>
        <v/>
      </c>
      <c r="N14" s="110">
        <f>M14-F14</f>
        <v/>
      </c>
      <c r="O14">
        <f>IF('FIFA WC 2026'!$AI$41=$A14,5,0)</f>
        <v/>
      </c>
    </row>
    <row r="15" ht="12.75" customHeight="1">
      <c r="A15" s="106" t="inlineStr">
        <is>
          <t>Scotland</t>
        </is>
      </c>
      <c r="B15" s="107" t="inlineStr">
        <is>
          <t>C</t>
        </is>
      </c>
      <c r="C15" s="108">
        <f t="array" ref="C15">3*(SUMPRODUCT((MOD(INT((ROW('FIFA WC 2026'!$E$5:$E$76)-4)/2),3)=0)*('FIFA WC 2026'!$E$5:$E$76=A15)*ISNUMBER('FIFA WC 2026'!$F$5:$F$76)*ISNUMBER('FIFA WC 2026'!$G$5:$G$76)*('FIFA WC 2026'!$F$5:$F$76&gt;'FIFA WC 2026'!$G$5:$G$76))+SUMPRODUCT((MOD(INT((ROW('FIFA WC 2026'!$E$5:$E$76)-4)/2),3)=0)*('FIFA WC 2026'!$H$5:$H$76=A15)*ISNUMBER('FIFA WC 2026'!$F$5:$F$76)*ISNUMBER('FIFA WC 2026'!$G$5:$G$76)*('FIFA WC 2026'!$G$5:$G$76&gt;'FIFA WC 2026'!$F$5:$F$76)))+(SUMPRODUCT((MOD(INT((ROW('FIFA WC 2026'!$E$5:$E$76)-4)/2),3)=0)*((('FIFA WC 2026'!$E$5:$E$76=A15)+('FIFA WC 2026'!$H$5:$H$76=A15))&gt;0)*ISNUMBER('FIFA WC 2026'!$F$5:$F$76)*ISNUMBER('FIFA WC 2026'!$G$5:$G$76)*('FIFA WC 2026'!$F$5:$F$76='FIFA WC 2026'!$G$5:$G$76)))</f>
        <v/>
      </c>
      <c r="D15" s="108">
        <f t="array" ref="D15">3*(SUMPRODUCT((MOD(INT((ROW('FIFA WC 2026'!$E$5:$E$76)-4)/2),3)=1)*('FIFA WC 2026'!$E$5:$E$76=A15)*ISNUMBER('FIFA WC 2026'!$F$5:$F$76)*ISNUMBER('FIFA WC 2026'!$G$5:$G$76)*('FIFA WC 2026'!$F$5:$F$76&gt;'FIFA WC 2026'!$G$5:$G$76))+SUMPRODUCT((MOD(INT((ROW('FIFA WC 2026'!$E$5:$E$76)-4)/2),3)=1)*('FIFA WC 2026'!$H$5:$H$76=A15)*ISNUMBER('FIFA WC 2026'!$F$5:$F$76)*ISNUMBER('FIFA WC 2026'!$G$5:$G$76)*('FIFA WC 2026'!$G$5:$G$76&gt;'FIFA WC 2026'!$F$5:$F$76)))+(SUMPRODUCT((MOD(INT((ROW('FIFA WC 2026'!$E$5:$E$76)-4)/2),3)=1)*((('FIFA WC 2026'!$E$5:$E$76=A15)+('FIFA WC 2026'!$H$5:$H$76=A15))&gt;0)*ISNUMBER('FIFA WC 2026'!$F$5:$F$76)*ISNUMBER('FIFA WC 2026'!$G$5:$G$76)*('FIFA WC 2026'!$F$5:$F$76='FIFA WC 2026'!$G$5:$G$76)))</f>
        <v/>
      </c>
      <c r="E15" s="108">
        <f t="array" ref="E15">3*(SUMPRODUCT((MOD(INT((ROW('FIFA WC 2026'!$E$5:$E$76)-4)/2),3)=2)*('FIFA WC 2026'!$E$5:$E$76=A15)*ISNUMBER('FIFA WC 2026'!$F$5:$F$76)*ISNUMBER('FIFA WC 2026'!$G$5:$G$76)*('FIFA WC 2026'!$F$5:$F$76&gt;'FIFA WC 2026'!$G$5:$G$76))+SUMPRODUCT((MOD(INT((ROW('FIFA WC 2026'!$E$5:$E$76)-4)/2),3)=2)*('FIFA WC 2026'!$H$5:$H$76=A15)*ISNUMBER('FIFA WC 2026'!$F$5:$F$76)*ISNUMBER('FIFA WC 2026'!$G$5:$G$76)*('FIFA WC 2026'!$G$5:$G$76&gt;'FIFA WC 2026'!$F$5:$F$76)))+(SUMPRODUCT((MOD(INT((ROW('FIFA WC 2026'!$E$5:$E$76)-4)/2),3)=2)*((('FIFA WC 2026'!$E$5:$E$76=A15)+('FIFA WC 2026'!$H$5:$H$76=A15))&gt;0)*ISNUMBER('FIFA WC 2026'!$F$5:$F$76)*ISNUMBER('FIFA WC 2026'!$G$5:$G$76)*('FIFA WC 2026'!$F$5:$F$76='FIFA WC 2026'!$G$5:$G$76)))</f>
        <v/>
      </c>
      <c r="F15" s="108">
        <f t="array" ref="F15">0.5*(SUMPRODUCT(('FIFA WC 2026'!$E$5:$E$76=A15)*IFERROR('FIFA WC 2026'!$F$5:$F$76,0))+SUMPRODUCT(('FIFA WC 2026'!$H$5:$H$76=A15)*IFERROR('FIFA WC 2026'!$G$5:$G$76,0))+SUMPRODUCT(('FIFA WC 2026'!$S$5:$S$66=A15)*IFERROR('FIFA WC 2026'!$T$5:$T$66,0))+SUMPRODUCT(('FIFA WC 2026'!$W$7:$W$64=A15)*IFERROR('FIFA WC 2026'!$X$7:$X$64,0))+SUMPRODUCT(('FIFA WC 2026'!$AA$11:$AA$66=A15)*IFERROR('FIFA WC 2026'!$AB$11:$AB$66,0))+SUMPRODUCT(('FIFA WC 2026'!$AE$19:$AE$52=A15)*IFERROR('FIFA WC 2026'!$AF$19:$AF$52,0))+SUMPRODUCT(('FIFA WC 2026'!$AI$35:$AI$44=A15)*IFERROR('FIFA WC 2026'!$AJ$35:$AJ$44,0)))</f>
        <v/>
      </c>
      <c r="G15" s="108">
        <f>IF(COUNTIF('FIFA WC 2026'!$S$5:$S$66,A15)&gt;0,4,0)</f>
        <v/>
      </c>
      <c r="H15" s="108">
        <f>IF(COUNTIF('FIFA WC 2026'!$W$7:$W$64,A15)&gt;0,6,0)</f>
        <v/>
      </c>
      <c r="I15" s="108">
        <f>IF(COUNTIF('FIFA WC 2026'!$AA$11:$AA$60,A15)&gt;0,8,0)</f>
        <v/>
      </c>
      <c r="J15" s="108">
        <f>IF(COUNTIF('FIFA WC 2026'!$AE$19:$AE$52,A15)&gt;0,10,0)</f>
        <v/>
      </c>
      <c r="K15" s="108">
        <f>IF(COUNTIF('FIFA WC 2026'!$AI$35:$AI$36,A15)&gt;0,13,0)</f>
        <v/>
      </c>
      <c r="L15" s="108">
        <f>IF('FIFA WC 2026'!$AI$40=A15,16,0)</f>
        <v/>
      </c>
      <c r="M15" s="109">
        <f>SUM(C15:L15)+O15</f>
        <v/>
      </c>
      <c r="N15" s="110">
        <f>M15-F15</f>
        <v/>
      </c>
      <c r="O15">
        <f>IF('FIFA WC 2026'!$AI$41=$A15,5,0)</f>
        <v/>
      </c>
    </row>
    <row r="16" ht="12.75" customHeight="1">
      <c r="A16" s="27" t="inlineStr">
        <is>
          <t>United States</t>
        </is>
      </c>
      <c r="B16" s="26" t="inlineStr">
        <is>
          <t>D</t>
        </is>
      </c>
      <c r="C16" s="28">
        <f t="array" ref="C16">3*(SUMPRODUCT((MOD(INT((ROW('FIFA WC 2026'!$E$5:$E$76)-4)/2),3)=0)*('FIFA WC 2026'!$E$5:$E$76=A16)*ISNUMBER('FIFA WC 2026'!$F$5:$F$76)*ISNUMBER('FIFA WC 2026'!$G$5:$G$76)*('FIFA WC 2026'!$F$5:$F$76&gt;'FIFA WC 2026'!$G$5:$G$76))+SUMPRODUCT((MOD(INT((ROW('FIFA WC 2026'!$E$5:$E$76)-4)/2),3)=0)*('FIFA WC 2026'!$H$5:$H$76=A16)*ISNUMBER('FIFA WC 2026'!$F$5:$F$76)*ISNUMBER('FIFA WC 2026'!$G$5:$G$76)*('FIFA WC 2026'!$G$5:$G$76&gt;'FIFA WC 2026'!$F$5:$F$76)))+(SUMPRODUCT((MOD(INT((ROW('FIFA WC 2026'!$E$5:$E$76)-4)/2),3)=0)*((('FIFA WC 2026'!$E$5:$E$76=A16)+('FIFA WC 2026'!$H$5:$H$76=A16))&gt;0)*ISNUMBER('FIFA WC 2026'!$F$5:$F$76)*ISNUMBER('FIFA WC 2026'!$G$5:$G$76)*('FIFA WC 2026'!$F$5:$F$76='FIFA WC 2026'!$G$5:$G$76)))</f>
        <v/>
      </c>
      <c r="D16" s="28">
        <f t="array" ref="D16">3*(SUMPRODUCT((MOD(INT((ROW('FIFA WC 2026'!$E$5:$E$76)-4)/2),3)=1)*('FIFA WC 2026'!$E$5:$E$76=A16)*ISNUMBER('FIFA WC 2026'!$F$5:$F$76)*ISNUMBER('FIFA WC 2026'!$G$5:$G$76)*('FIFA WC 2026'!$F$5:$F$76&gt;'FIFA WC 2026'!$G$5:$G$76))+SUMPRODUCT((MOD(INT((ROW('FIFA WC 2026'!$E$5:$E$76)-4)/2),3)=1)*('FIFA WC 2026'!$H$5:$H$76=A16)*ISNUMBER('FIFA WC 2026'!$F$5:$F$76)*ISNUMBER('FIFA WC 2026'!$G$5:$G$76)*('FIFA WC 2026'!$G$5:$G$76&gt;'FIFA WC 2026'!$F$5:$F$76)))+(SUMPRODUCT((MOD(INT((ROW('FIFA WC 2026'!$E$5:$E$76)-4)/2),3)=1)*((('FIFA WC 2026'!$E$5:$E$76=A16)+('FIFA WC 2026'!$H$5:$H$76=A16))&gt;0)*ISNUMBER('FIFA WC 2026'!$F$5:$F$76)*ISNUMBER('FIFA WC 2026'!$G$5:$G$76)*('FIFA WC 2026'!$F$5:$F$76='FIFA WC 2026'!$G$5:$G$76)))</f>
        <v/>
      </c>
      <c r="E16" s="28">
        <f t="array" ref="E16">3*(SUMPRODUCT((MOD(INT((ROW('FIFA WC 2026'!$E$5:$E$76)-4)/2),3)=2)*('FIFA WC 2026'!$E$5:$E$76=A16)*ISNUMBER('FIFA WC 2026'!$F$5:$F$76)*ISNUMBER('FIFA WC 2026'!$G$5:$G$76)*('FIFA WC 2026'!$F$5:$F$76&gt;'FIFA WC 2026'!$G$5:$G$76))+SUMPRODUCT((MOD(INT((ROW('FIFA WC 2026'!$E$5:$E$76)-4)/2),3)=2)*('FIFA WC 2026'!$H$5:$H$76=A16)*ISNUMBER('FIFA WC 2026'!$F$5:$F$76)*ISNUMBER('FIFA WC 2026'!$G$5:$G$76)*('FIFA WC 2026'!$G$5:$G$76&gt;'FIFA WC 2026'!$F$5:$F$76)))+(SUMPRODUCT((MOD(INT((ROW('FIFA WC 2026'!$E$5:$E$76)-4)/2),3)=2)*((('FIFA WC 2026'!$E$5:$E$76=A16)+('FIFA WC 2026'!$H$5:$H$76=A16))&gt;0)*ISNUMBER('FIFA WC 2026'!$F$5:$F$76)*ISNUMBER('FIFA WC 2026'!$G$5:$G$76)*('FIFA WC 2026'!$F$5:$F$76='FIFA WC 2026'!$G$5:$G$76)))</f>
        <v/>
      </c>
      <c r="F16" s="28">
        <f t="array" ref="F16">0.5*(SUMPRODUCT(('FIFA WC 2026'!$E$5:$E$76=A16)*IFERROR('FIFA WC 2026'!$F$5:$F$76,0))+SUMPRODUCT(('FIFA WC 2026'!$H$5:$H$76=A16)*IFERROR('FIFA WC 2026'!$G$5:$G$76,0))+SUMPRODUCT(('FIFA WC 2026'!$S$5:$S$66=A16)*IFERROR('FIFA WC 2026'!$T$5:$T$66,0))+SUMPRODUCT(('FIFA WC 2026'!$W$7:$W$64=A16)*IFERROR('FIFA WC 2026'!$X$7:$X$64,0))+SUMPRODUCT(('FIFA WC 2026'!$AA$11:$AA$66=A16)*IFERROR('FIFA WC 2026'!$AB$11:$AB$66,0))+SUMPRODUCT(('FIFA WC 2026'!$AE$19:$AE$52=A16)*IFERROR('FIFA WC 2026'!$AF$19:$AF$52,0))+SUMPRODUCT(('FIFA WC 2026'!$AI$35:$AI$44=A16)*IFERROR('FIFA WC 2026'!$AJ$35:$AJ$44,0)))</f>
        <v/>
      </c>
      <c r="G16" s="28">
        <f>IF(COUNTIF('FIFA WC 2026'!$S$5:$S$66,A16)&gt;0,4,0)</f>
        <v/>
      </c>
      <c r="H16" s="28">
        <f>IF(COUNTIF('FIFA WC 2026'!$W$7:$W$64,A16)&gt;0,6,0)</f>
        <v/>
      </c>
      <c r="I16" s="28">
        <f>IF(COUNTIF('FIFA WC 2026'!$AA$11:$AA$60,A16)&gt;0,8,0)</f>
        <v/>
      </c>
      <c r="J16" s="28">
        <f>IF(COUNTIF('FIFA WC 2026'!$AE$19:$AE$52,A16)&gt;0,10,0)</f>
        <v/>
      </c>
      <c r="K16" s="28">
        <f>IF(COUNTIF('FIFA WC 2026'!$AI$35:$AI$36,A16)&gt;0,13,0)</f>
        <v/>
      </c>
      <c r="L16" s="28">
        <f>IF('FIFA WC 2026'!$AI$40=A16,16,0)</f>
        <v/>
      </c>
      <c r="M16" s="111">
        <f>SUM(C16:L16)+O16</f>
        <v/>
      </c>
      <c r="N16" s="110">
        <f>M16-F16</f>
        <v/>
      </c>
      <c r="O16">
        <f>IF('FIFA WC 2026'!$AI$41=$A16,5,0)</f>
        <v/>
      </c>
    </row>
    <row r="17" ht="12.75" customHeight="1">
      <c r="A17" s="27" t="inlineStr">
        <is>
          <t>Paraguay</t>
        </is>
      </c>
      <c r="B17" s="26" t="inlineStr">
        <is>
          <t>D</t>
        </is>
      </c>
      <c r="C17" s="28">
        <f t="array" ref="C17">3*(SUMPRODUCT((MOD(INT((ROW('FIFA WC 2026'!$E$5:$E$76)-4)/2),3)=0)*('FIFA WC 2026'!$E$5:$E$76=A17)*ISNUMBER('FIFA WC 2026'!$F$5:$F$76)*ISNUMBER('FIFA WC 2026'!$G$5:$G$76)*('FIFA WC 2026'!$F$5:$F$76&gt;'FIFA WC 2026'!$G$5:$G$76))+SUMPRODUCT((MOD(INT((ROW('FIFA WC 2026'!$E$5:$E$76)-4)/2),3)=0)*('FIFA WC 2026'!$H$5:$H$76=A17)*ISNUMBER('FIFA WC 2026'!$F$5:$F$76)*ISNUMBER('FIFA WC 2026'!$G$5:$G$76)*('FIFA WC 2026'!$G$5:$G$76&gt;'FIFA WC 2026'!$F$5:$F$76)))+(SUMPRODUCT((MOD(INT((ROW('FIFA WC 2026'!$E$5:$E$76)-4)/2),3)=0)*((('FIFA WC 2026'!$E$5:$E$76=A17)+('FIFA WC 2026'!$H$5:$H$76=A17))&gt;0)*ISNUMBER('FIFA WC 2026'!$F$5:$F$76)*ISNUMBER('FIFA WC 2026'!$G$5:$G$76)*('FIFA WC 2026'!$F$5:$F$76='FIFA WC 2026'!$G$5:$G$76)))</f>
        <v/>
      </c>
      <c r="D17" s="28">
        <f t="array" ref="D17">3*(SUMPRODUCT((MOD(INT((ROW('FIFA WC 2026'!$E$5:$E$76)-4)/2),3)=1)*('FIFA WC 2026'!$E$5:$E$76=A17)*ISNUMBER('FIFA WC 2026'!$F$5:$F$76)*ISNUMBER('FIFA WC 2026'!$G$5:$G$76)*('FIFA WC 2026'!$F$5:$F$76&gt;'FIFA WC 2026'!$G$5:$G$76))+SUMPRODUCT((MOD(INT((ROW('FIFA WC 2026'!$E$5:$E$76)-4)/2),3)=1)*('FIFA WC 2026'!$H$5:$H$76=A17)*ISNUMBER('FIFA WC 2026'!$F$5:$F$76)*ISNUMBER('FIFA WC 2026'!$G$5:$G$76)*('FIFA WC 2026'!$G$5:$G$76&gt;'FIFA WC 2026'!$F$5:$F$76)))+(SUMPRODUCT((MOD(INT((ROW('FIFA WC 2026'!$E$5:$E$76)-4)/2),3)=1)*((('FIFA WC 2026'!$E$5:$E$76=A17)+('FIFA WC 2026'!$H$5:$H$76=A17))&gt;0)*ISNUMBER('FIFA WC 2026'!$F$5:$F$76)*ISNUMBER('FIFA WC 2026'!$G$5:$G$76)*('FIFA WC 2026'!$F$5:$F$76='FIFA WC 2026'!$G$5:$G$76)))</f>
        <v/>
      </c>
      <c r="E17" s="28">
        <f t="array" ref="E17">3*(SUMPRODUCT((MOD(INT((ROW('FIFA WC 2026'!$E$5:$E$76)-4)/2),3)=2)*('FIFA WC 2026'!$E$5:$E$76=A17)*ISNUMBER('FIFA WC 2026'!$F$5:$F$76)*ISNUMBER('FIFA WC 2026'!$G$5:$G$76)*('FIFA WC 2026'!$F$5:$F$76&gt;'FIFA WC 2026'!$G$5:$G$76))+SUMPRODUCT((MOD(INT((ROW('FIFA WC 2026'!$E$5:$E$76)-4)/2),3)=2)*('FIFA WC 2026'!$H$5:$H$76=A17)*ISNUMBER('FIFA WC 2026'!$F$5:$F$76)*ISNUMBER('FIFA WC 2026'!$G$5:$G$76)*('FIFA WC 2026'!$G$5:$G$76&gt;'FIFA WC 2026'!$F$5:$F$76)))+(SUMPRODUCT((MOD(INT((ROW('FIFA WC 2026'!$E$5:$E$76)-4)/2),3)=2)*((('FIFA WC 2026'!$E$5:$E$76=A17)+('FIFA WC 2026'!$H$5:$H$76=A17))&gt;0)*ISNUMBER('FIFA WC 2026'!$F$5:$F$76)*ISNUMBER('FIFA WC 2026'!$G$5:$G$76)*('FIFA WC 2026'!$F$5:$F$76='FIFA WC 2026'!$G$5:$G$76)))</f>
        <v/>
      </c>
      <c r="F17" s="28">
        <f t="array" ref="F17">0.5*(SUMPRODUCT(('FIFA WC 2026'!$E$5:$E$76=A17)*IFERROR('FIFA WC 2026'!$F$5:$F$76,0))+SUMPRODUCT(('FIFA WC 2026'!$H$5:$H$76=A17)*IFERROR('FIFA WC 2026'!$G$5:$G$76,0))+SUMPRODUCT(('FIFA WC 2026'!$S$5:$S$66=A17)*IFERROR('FIFA WC 2026'!$T$5:$T$66,0))+SUMPRODUCT(('FIFA WC 2026'!$W$7:$W$64=A17)*IFERROR('FIFA WC 2026'!$X$7:$X$64,0))+SUMPRODUCT(('FIFA WC 2026'!$AA$11:$AA$66=A17)*IFERROR('FIFA WC 2026'!$AB$11:$AB$66,0))+SUMPRODUCT(('FIFA WC 2026'!$AE$19:$AE$52=A17)*IFERROR('FIFA WC 2026'!$AF$19:$AF$52,0))+SUMPRODUCT(('FIFA WC 2026'!$AI$35:$AI$44=A17)*IFERROR('FIFA WC 2026'!$AJ$35:$AJ$44,0)))</f>
        <v/>
      </c>
      <c r="G17" s="28">
        <f>IF(COUNTIF('FIFA WC 2026'!$S$5:$S$66,A17)&gt;0,4,0)</f>
        <v/>
      </c>
      <c r="H17" s="28">
        <f>IF(COUNTIF('FIFA WC 2026'!$W$7:$W$64,A17)&gt;0,6,0)</f>
        <v/>
      </c>
      <c r="I17" s="28">
        <f>IF(COUNTIF('FIFA WC 2026'!$AA$11:$AA$60,A17)&gt;0,8,0)</f>
        <v/>
      </c>
      <c r="J17" s="28">
        <f>IF(COUNTIF('FIFA WC 2026'!$AE$19:$AE$52,A17)&gt;0,10,0)</f>
        <v/>
      </c>
      <c r="K17" s="28">
        <f>IF(COUNTIF('FIFA WC 2026'!$AI$35:$AI$36,A17)&gt;0,13,0)</f>
        <v/>
      </c>
      <c r="L17" s="28">
        <f>IF('FIFA WC 2026'!$AI$40=A17,16,0)</f>
        <v/>
      </c>
      <c r="M17" s="111">
        <f>SUM(C17:L17)+O17</f>
        <v/>
      </c>
      <c r="N17" s="110">
        <f>M17-F17</f>
        <v/>
      </c>
      <c r="O17">
        <f>IF('FIFA WC 2026'!$AI$41=$A17,5,0)</f>
        <v/>
      </c>
    </row>
    <row r="18" ht="12.75" customHeight="1">
      <c r="A18" s="27" t="inlineStr">
        <is>
          <t>Australia</t>
        </is>
      </c>
      <c r="B18" s="26" t="inlineStr">
        <is>
          <t>D</t>
        </is>
      </c>
      <c r="C18" s="28">
        <f t="array" ref="C18">3*(SUMPRODUCT((MOD(INT((ROW('FIFA WC 2026'!$E$5:$E$76)-4)/2),3)=0)*('FIFA WC 2026'!$E$5:$E$76=A18)*ISNUMBER('FIFA WC 2026'!$F$5:$F$76)*ISNUMBER('FIFA WC 2026'!$G$5:$G$76)*('FIFA WC 2026'!$F$5:$F$76&gt;'FIFA WC 2026'!$G$5:$G$76))+SUMPRODUCT((MOD(INT((ROW('FIFA WC 2026'!$E$5:$E$76)-4)/2),3)=0)*('FIFA WC 2026'!$H$5:$H$76=A18)*ISNUMBER('FIFA WC 2026'!$F$5:$F$76)*ISNUMBER('FIFA WC 2026'!$G$5:$G$76)*('FIFA WC 2026'!$G$5:$G$76&gt;'FIFA WC 2026'!$F$5:$F$76)))+(SUMPRODUCT((MOD(INT((ROW('FIFA WC 2026'!$E$5:$E$76)-4)/2),3)=0)*((('FIFA WC 2026'!$E$5:$E$76=A18)+('FIFA WC 2026'!$H$5:$H$76=A18))&gt;0)*ISNUMBER('FIFA WC 2026'!$F$5:$F$76)*ISNUMBER('FIFA WC 2026'!$G$5:$G$76)*('FIFA WC 2026'!$F$5:$F$76='FIFA WC 2026'!$G$5:$G$76)))</f>
        <v/>
      </c>
      <c r="D18" s="28">
        <f t="array" ref="D18">3*(SUMPRODUCT((MOD(INT((ROW('FIFA WC 2026'!$E$5:$E$76)-4)/2),3)=1)*('FIFA WC 2026'!$E$5:$E$76=A18)*ISNUMBER('FIFA WC 2026'!$F$5:$F$76)*ISNUMBER('FIFA WC 2026'!$G$5:$G$76)*('FIFA WC 2026'!$F$5:$F$76&gt;'FIFA WC 2026'!$G$5:$G$76))+SUMPRODUCT((MOD(INT((ROW('FIFA WC 2026'!$E$5:$E$76)-4)/2),3)=1)*('FIFA WC 2026'!$H$5:$H$76=A18)*ISNUMBER('FIFA WC 2026'!$F$5:$F$76)*ISNUMBER('FIFA WC 2026'!$G$5:$G$76)*('FIFA WC 2026'!$G$5:$G$76&gt;'FIFA WC 2026'!$F$5:$F$76)))+(SUMPRODUCT((MOD(INT((ROW('FIFA WC 2026'!$E$5:$E$76)-4)/2),3)=1)*((('FIFA WC 2026'!$E$5:$E$76=A18)+('FIFA WC 2026'!$H$5:$H$76=A18))&gt;0)*ISNUMBER('FIFA WC 2026'!$F$5:$F$76)*ISNUMBER('FIFA WC 2026'!$G$5:$G$76)*('FIFA WC 2026'!$F$5:$F$76='FIFA WC 2026'!$G$5:$G$76)))</f>
        <v/>
      </c>
      <c r="E18" s="28">
        <f t="array" ref="E18">3*(SUMPRODUCT((MOD(INT((ROW('FIFA WC 2026'!$E$5:$E$76)-4)/2),3)=2)*('FIFA WC 2026'!$E$5:$E$76=A18)*ISNUMBER('FIFA WC 2026'!$F$5:$F$76)*ISNUMBER('FIFA WC 2026'!$G$5:$G$76)*('FIFA WC 2026'!$F$5:$F$76&gt;'FIFA WC 2026'!$G$5:$G$76))+SUMPRODUCT((MOD(INT((ROW('FIFA WC 2026'!$E$5:$E$76)-4)/2),3)=2)*('FIFA WC 2026'!$H$5:$H$76=A18)*ISNUMBER('FIFA WC 2026'!$F$5:$F$76)*ISNUMBER('FIFA WC 2026'!$G$5:$G$76)*('FIFA WC 2026'!$G$5:$G$76&gt;'FIFA WC 2026'!$F$5:$F$76)))+(SUMPRODUCT((MOD(INT((ROW('FIFA WC 2026'!$E$5:$E$76)-4)/2),3)=2)*((('FIFA WC 2026'!$E$5:$E$76=A18)+('FIFA WC 2026'!$H$5:$H$76=A18))&gt;0)*ISNUMBER('FIFA WC 2026'!$F$5:$F$76)*ISNUMBER('FIFA WC 2026'!$G$5:$G$76)*('FIFA WC 2026'!$F$5:$F$76='FIFA WC 2026'!$G$5:$G$76)))</f>
        <v/>
      </c>
      <c r="F18" s="28">
        <f t="array" ref="F18">0.5*(SUMPRODUCT(('FIFA WC 2026'!$E$5:$E$76=A18)*IFERROR('FIFA WC 2026'!$F$5:$F$76,0))+SUMPRODUCT(('FIFA WC 2026'!$H$5:$H$76=A18)*IFERROR('FIFA WC 2026'!$G$5:$G$76,0))+SUMPRODUCT(('FIFA WC 2026'!$S$5:$S$66=A18)*IFERROR('FIFA WC 2026'!$T$5:$T$66,0))+SUMPRODUCT(('FIFA WC 2026'!$W$7:$W$64=A18)*IFERROR('FIFA WC 2026'!$X$7:$X$64,0))+SUMPRODUCT(('FIFA WC 2026'!$AA$11:$AA$66=A18)*IFERROR('FIFA WC 2026'!$AB$11:$AB$66,0))+SUMPRODUCT(('FIFA WC 2026'!$AE$19:$AE$52=A18)*IFERROR('FIFA WC 2026'!$AF$19:$AF$52,0))+SUMPRODUCT(('FIFA WC 2026'!$AI$35:$AI$44=A18)*IFERROR('FIFA WC 2026'!$AJ$35:$AJ$44,0)))</f>
        <v/>
      </c>
      <c r="G18" s="28">
        <f>IF(COUNTIF('FIFA WC 2026'!$S$5:$S$66,A18)&gt;0,4,0)</f>
        <v/>
      </c>
      <c r="H18" s="28">
        <f>IF(COUNTIF('FIFA WC 2026'!$W$7:$W$64,A18)&gt;0,6,0)</f>
        <v/>
      </c>
      <c r="I18" s="28">
        <f>IF(COUNTIF('FIFA WC 2026'!$AA$11:$AA$60,A18)&gt;0,8,0)</f>
        <v/>
      </c>
      <c r="J18" s="28">
        <f>IF(COUNTIF('FIFA WC 2026'!$AE$19:$AE$52,A18)&gt;0,10,0)</f>
        <v/>
      </c>
      <c r="K18" s="28">
        <f>IF(COUNTIF('FIFA WC 2026'!$AI$35:$AI$36,A18)&gt;0,13,0)</f>
        <v/>
      </c>
      <c r="L18" s="28">
        <f>IF('FIFA WC 2026'!$AI$40=A18,16,0)</f>
        <v/>
      </c>
      <c r="M18" s="111">
        <f>SUM(C18:L18)+O18</f>
        <v/>
      </c>
      <c r="N18" s="110">
        <f>M18-F18</f>
        <v/>
      </c>
      <c r="O18">
        <f>IF('FIFA WC 2026'!$AI$41=$A18,5,0)</f>
        <v/>
      </c>
    </row>
    <row r="19" ht="12.75" customHeight="1">
      <c r="A19" s="27" t="inlineStr">
        <is>
          <t>Türkiye</t>
        </is>
      </c>
      <c r="B19" s="26" t="inlineStr">
        <is>
          <t>D</t>
        </is>
      </c>
      <c r="C19" s="28">
        <f t="array" ref="C19">3*(SUMPRODUCT((MOD(INT((ROW('FIFA WC 2026'!$E$5:$E$76)-4)/2),3)=0)*('FIFA WC 2026'!$E$5:$E$76=A19)*ISNUMBER('FIFA WC 2026'!$F$5:$F$76)*ISNUMBER('FIFA WC 2026'!$G$5:$G$76)*('FIFA WC 2026'!$F$5:$F$76&gt;'FIFA WC 2026'!$G$5:$G$76))+SUMPRODUCT((MOD(INT((ROW('FIFA WC 2026'!$E$5:$E$76)-4)/2),3)=0)*('FIFA WC 2026'!$H$5:$H$76=A19)*ISNUMBER('FIFA WC 2026'!$F$5:$F$76)*ISNUMBER('FIFA WC 2026'!$G$5:$G$76)*('FIFA WC 2026'!$G$5:$G$76&gt;'FIFA WC 2026'!$F$5:$F$76)))+(SUMPRODUCT((MOD(INT((ROW('FIFA WC 2026'!$E$5:$E$76)-4)/2),3)=0)*((('FIFA WC 2026'!$E$5:$E$76=A19)+('FIFA WC 2026'!$H$5:$H$76=A19))&gt;0)*ISNUMBER('FIFA WC 2026'!$F$5:$F$76)*ISNUMBER('FIFA WC 2026'!$G$5:$G$76)*('FIFA WC 2026'!$F$5:$F$76='FIFA WC 2026'!$G$5:$G$76)))</f>
        <v/>
      </c>
      <c r="D19" s="28">
        <f t="array" ref="D19">3*(SUMPRODUCT((MOD(INT((ROW('FIFA WC 2026'!$E$5:$E$76)-4)/2),3)=1)*('FIFA WC 2026'!$E$5:$E$76=A19)*ISNUMBER('FIFA WC 2026'!$F$5:$F$76)*ISNUMBER('FIFA WC 2026'!$G$5:$G$76)*('FIFA WC 2026'!$F$5:$F$76&gt;'FIFA WC 2026'!$G$5:$G$76))+SUMPRODUCT((MOD(INT((ROW('FIFA WC 2026'!$E$5:$E$76)-4)/2),3)=1)*('FIFA WC 2026'!$H$5:$H$76=A19)*ISNUMBER('FIFA WC 2026'!$F$5:$F$76)*ISNUMBER('FIFA WC 2026'!$G$5:$G$76)*('FIFA WC 2026'!$G$5:$G$76&gt;'FIFA WC 2026'!$F$5:$F$76)))+(SUMPRODUCT((MOD(INT((ROW('FIFA WC 2026'!$E$5:$E$76)-4)/2),3)=1)*((('FIFA WC 2026'!$E$5:$E$76=A19)+('FIFA WC 2026'!$H$5:$H$76=A19))&gt;0)*ISNUMBER('FIFA WC 2026'!$F$5:$F$76)*ISNUMBER('FIFA WC 2026'!$G$5:$G$76)*('FIFA WC 2026'!$F$5:$F$76='FIFA WC 2026'!$G$5:$G$76)))</f>
        <v/>
      </c>
      <c r="E19" s="28">
        <f t="array" ref="E19">3*(SUMPRODUCT((MOD(INT((ROW('FIFA WC 2026'!$E$5:$E$76)-4)/2),3)=2)*('FIFA WC 2026'!$E$5:$E$76=A19)*ISNUMBER('FIFA WC 2026'!$F$5:$F$76)*ISNUMBER('FIFA WC 2026'!$G$5:$G$76)*('FIFA WC 2026'!$F$5:$F$76&gt;'FIFA WC 2026'!$G$5:$G$76))+SUMPRODUCT((MOD(INT((ROW('FIFA WC 2026'!$E$5:$E$76)-4)/2),3)=2)*('FIFA WC 2026'!$H$5:$H$76=A19)*ISNUMBER('FIFA WC 2026'!$F$5:$F$76)*ISNUMBER('FIFA WC 2026'!$G$5:$G$76)*('FIFA WC 2026'!$G$5:$G$76&gt;'FIFA WC 2026'!$F$5:$F$76)))+(SUMPRODUCT((MOD(INT((ROW('FIFA WC 2026'!$E$5:$E$76)-4)/2),3)=2)*((('FIFA WC 2026'!$E$5:$E$76=A19)+('FIFA WC 2026'!$H$5:$H$76=A19))&gt;0)*ISNUMBER('FIFA WC 2026'!$F$5:$F$76)*ISNUMBER('FIFA WC 2026'!$G$5:$G$76)*('FIFA WC 2026'!$F$5:$F$76='FIFA WC 2026'!$G$5:$G$76)))</f>
        <v/>
      </c>
      <c r="F19" s="28">
        <f t="array" ref="F19">0.5*(SUMPRODUCT(('FIFA WC 2026'!$E$5:$E$76=A19)*IFERROR('FIFA WC 2026'!$F$5:$F$76,0))+SUMPRODUCT(('FIFA WC 2026'!$H$5:$H$76=A19)*IFERROR('FIFA WC 2026'!$G$5:$G$76,0))+SUMPRODUCT(('FIFA WC 2026'!$S$5:$S$66=A19)*IFERROR('FIFA WC 2026'!$T$5:$T$66,0))+SUMPRODUCT(('FIFA WC 2026'!$W$7:$W$64=A19)*IFERROR('FIFA WC 2026'!$X$7:$X$64,0))+SUMPRODUCT(('FIFA WC 2026'!$AA$11:$AA$66=A19)*IFERROR('FIFA WC 2026'!$AB$11:$AB$66,0))+SUMPRODUCT(('FIFA WC 2026'!$AE$19:$AE$52=A19)*IFERROR('FIFA WC 2026'!$AF$19:$AF$52,0))+SUMPRODUCT(('FIFA WC 2026'!$AI$35:$AI$44=A19)*IFERROR('FIFA WC 2026'!$AJ$35:$AJ$44,0)))</f>
        <v/>
      </c>
      <c r="G19" s="28">
        <f>IF(COUNTIF('FIFA WC 2026'!$S$5:$S$66,A19)&gt;0,4,0)</f>
        <v/>
      </c>
      <c r="H19" s="28">
        <f>IF(COUNTIF('FIFA WC 2026'!$W$7:$W$64,A19)&gt;0,6,0)</f>
        <v/>
      </c>
      <c r="I19" s="28">
        <f>IF(COUNTIF('FIFA WC 2026'!$AA$11:$AA$60,A19)&gt;0,8,0)</f>
        <v/>
      </c>
      <c r="J19" s="28">
        <f>IF(COUNTIF('FIFA WC 2026'!$AE$19:$AE$52,A19)&gt;0,10,0)</f>
        <v/>
      </c>
      <c r="K19" s="28">
        <f>IF(COUNTIF('FIFA WC 2026'!$AI$35:$AI$36,A19)&gt;0,13,0)</f>
        <v/>
      </c>
      <c r="L19" s="28">
        <f>IF('FIFA WC 2026'!$AI$40=A19,16,0)</f>
        <v/>
      </c>
      <c r="M19" s="111">
        <f>SUM(C19:L19)+O19</f>
        <v/>
      </c>
      <c r="N19" s="110">
        <f>M19-F19</f>
        <v/>
      </c>
      <c r="O19">
        <f>IF('FIFA WC 2026'!$AI$41=$A19,5,0)</f>
        <v/>
      </c>
    </row>
    <row r="20" ht="12.75" customHeight="1">
      <c r="A20" s="106" t="inlineStr">
        <is>
          <t>Germany</t>
        </is>
      </c>
      <c r="B20" s="107" t="inlineStr">
        <is>
          <t>E</t>
        </is>
      </c>
      <c r="C20" s="108">
        <f t="array" ref="C20">3*(SUMPRODUCT((MOD(INT((ROW('FIFA WC 2026'!$E$5:$E$76)-4)/2),3)=0)*('FIFA WC 2026'!$E$5:$E$76=A20)*ISNUMBER('FIFA WC 2026'!$F$5:$F$76)*ISNUMBER('FIFA WC 2026'!$G$5:$G$76)*('FIFA WC 2026'!$F$5:$F$76&gt;'FIFA WC 2026'!$G$5:$G$76))+SUMPRODUCT((MOD(INT((ROW('FIFA WC 2026'!$E$5:$E$76)-4)/2),3)=0)*('FIFA WC 2026'!$H$5:$H$76=A20)*ISNUMBER('FIFA WC 2026'!$F$5:$F$76)*ISNUMBER('FIFA WC 2026'!$G$5:$G$76)*('FIFA WC 2026'!$G$5:$G$76&gt;'FIFA WC 2026'!$F$5:$F$76)))+(SUMPRODUCT((MOD(INT((ROW('FIFA WC 2026'!$E$5:$E$76)-4)/2),3)=0)*((('FIFA WC 2026'!$E$5:$E$76=A20)+('FIFA WC 2026'!$H$5:$H$76=A20))&gt;0)*ISNUMBER('FIFA WC 2026'!$F$5:$F$76)*ISNUMBER('FIFA WC 2026'!$G$5:$G$76)*('FIFA WC 2026'!$F$5:$F$76='FIFA WC 2026'!$G$5:$G$76)))</f>
        <v/>
      </c>
      <c r="D20" s="108">
        <f t="array" ref="D20">3*(SUMPRODUCT((MOD(INT((ROW('FIFA WC 2026'!$E$5:$E$76)-4)/2),3)=1)*('FIFA WC 2026'!$E$5:$E$76=A20)*ISNUMBER('FIFA WC 2026'!$F$5:$F$76)*ISNUMBER('FIFA WC 2026'!$G$5:$G$76)*('FIFA WC 2026'!$F$5:$F$76&gt;'FIFA WC 2026'!$G$5:$G$76))+SUMPRODUCT((MOD(INT((ROW('FIFA WC 2026'!$E$5:$E$76)-4)/2),3)=1)*('FIFA WC 2026'!$H$5:$H$76=A20)*ISNUMBER('FIFA WC 2026'!$F$5:$F$76)*ISNUMBER('FIFA WC 2026'!$G$5:$G$76)*('FIFA WC 2026'!$G$5:$G$76&gt;'FIFA WC 2026'!$F$5:$F$76)))+(SUMPRODUCT((MOD(INT((ROW('FIFA WC 2026'!$E$5:$E$76)-4)/2),3)=1)*((('FIFA WC 2026'!$E$5:$E$76=A20)+('FIFA WC 2026'!$H$5:$H$76=A20))&gt;0)*ISNUMBER('FIFA WC 2026'!$F$5:$F$76)*ISNUMBER('FIFA WC 2026'!$G$5:$G$76)*('FIFA WC 2026'!$F$5:$F$76='FIFA WC 2026'!$G$5:$G$76)))</f>
        <v/>
      </c>
      <c r="E20" s="108">
        <f t="array" ref="E20">3*(SUMPRODUCT((MOD(INT((ROW('FIFA WC 2026'!$E$5:$E$76)-4)/2),3)=2)*('FIFA WC 2026'!$E$5:$E$76=A20)*ISNUMBER('FIFA WC 2026'!$F$5:$F$76)*ISNUMBER('FIFA WC 2026'!$G$5:$G$76)*('FIFA WC 2026'!$F$5:$F$76&gt;'FIFA WC 2026'!$G$5:$G$76))+SUMPRODUCT((MOD(INT((ROW('FIFA WC 2026'!$E$5:$E$76)-4)/2),3)=2)*('FIFA WC 2026'!$H$5:$H$76=A20)*ISNUMBER('FIFA WC 2026'!$F$5:$F$76)*ISNUMBER('FIFA WC 2026'!$G$5:$G$76)*('FIFA WC 2026'!$G$5:$G$76&gt;'FIFA WC 2026'!$F$5:$F$76)))+(SUMPRODUCT((MOD(INT((ROW('FIFA WC 2026'!$E$5:$E$76)-4)/2),3)=2)*((('FIFA WC 2026'!$E$5:$E$76=A20)+('FIFA WC 2026'!$H$5:$H$76=A20))&gt;0)*ISNUMBER('FIFA WC 2026'!$F$5:$F$76)*ISNUMBER('FIFA WC 2026'!$G$5:$G$76)*('FIFA WC 2026'!$F$5:$F$76='FIFA WC 2026'!$G$5:$G$76)))</f>
        <v/>
      </c>
      <c r="F20" s="108">
        <f t="array" ref="F20">0.5*(SUMPRODUCT(('FIFA WC 2026'!$E$5:$E$76=A20)*IFERROR('FIFA WC 2026'!$F$5:$F$76,0))+SUMPRODUCT(('FIFA WC 2026'!$H$5:$H$76=A20)*IFERROR('FIFA WC 2026'!$G$5:$G$76,0))+SUMPRODUCT(('FIFA WC 2026'!$S$5:$S$66=A20)*IFERROR('FIFA WC 2026'!$T$5:$T$66,0))+SUMPRODUCT(('FIFA WC 2026'!$W$7:$W$64=A20)*IFERROR('FIFA WC 2026'!$X$7:$X$64,0))+SUMPRODUCT(('FIFA WC 2026'!$AA$11:$AA$66=A20)*IFERROR('FIFA WC 2026'!$AB$11:$AB$66,0))+SUMPRODUCT(('FIFA WC 2026'!$AE$19:$AE$52=A20)*IFERROR('FIFA WC 2026'!$AF$19:$AF$52,0))+SUMPRODUCT(('FIFA WC 2026'!$AI$35:$AI$44=A20)*IFERROR('FIFA WC 2026'!$AJ$35:$AJ$44,0)))</f>
        <v/>
      </c>
      <c r="G20" s="108">
        <f>IF(COUNTIF('FIFA WC 2026'!$S$5:$S$66,A20)&gt;0,4,0)</f>
        <v/>
      </c>
      <c r="H20" s="108">
        <f>IF(COUNTIF('FIFA WC 2026'!$W$7:$W$64,A20)&gt;0,6,0)</f>
        <v/>
      </c>
      <c r="I20" s="108">
        <f>IF(COUNTIF('FIFA WC 2026'!$AA$11:$AA$60,A20)&gt;0,8,0)</f>
        <v/>
      </c>
      <c r="J20" s="108">
        <f>IF(COUNTIF('FIFA WC 2026'!$AE$19:$AE$52,A20)&gt;0,10,0)</f>
        <v/>
      </c>
      <c r="K20" s="108">
        <f>IF(COUNTIF('FIFA WC 2026'!$AI$35:$AI$36,A20)&gt;0,13,0)</f>
        <v/>
      </c>
      <c r="L20" s="108">
        <f>IF('FIFA WC 2026'!$AI$40=A20,16,0)</f>
        <v/>
      </c>
      <c r="M20" s="109">
        <f>SUM(C20:L20)+O20</f>
        <v/>
      </c>
      <c r="N20" s="110">
        <f>M20-F20</f>
        <v/>
      </c>
      <c r="O20">
        <f>IF('FIFA WC 2026'!$AI$41=$A20,5,0)</f>
        <v/>
      </c>
    </row>
    <row r="21" ht="12.75" customHeight="1">
      <c r="A21" s="106" t="inlineStr">
        <is>
          <t>Curaçao</t>
        </is>
      </c>
      <c r="B21" s="107" t="inlineStr">
        <is>
          <t>E</t>
        </is>
      </c>
      <c r="C21" s="108">
        <f t="array" ref="C21">3*(SUMPRODUCT((MOD(INT((ROW('FIFA WC 2026'!$E$5:$E$76)-4)/2),3)=0)*('FIFA WC 2026'!$E$5:$E$76=A21)*ISNUMBER('FIFA WC 2026'!$F$5:$F$76)*ISNUMBER('FIFA WC 2026'!$G$5:$G$76)*('FIFA WC 2026'!$F$5:$F$76&gt;'FIFA WC 2026'!$G$5:$G$76))+SUMPRODUCT((MOD(INT((ROW('FIFA WC 2026'!$E$5:$E$76)-4)/2),3)=0)*('FIFA WC 2026'!$H$5:$H$76=A21)*ISNUMBER('FIFA WC 2026'!$F$5:$F$76)*ISNUMBER('FIFA WC 2026'!$G$5:$G$76)*('FIFA WC 2026'!$G$5:$G$76&gt;'FIFA WC 2026'!$F$5:$F$76)))+(SUMPRODUCT((MOD(INT((ROW('FIFA WC 2026'!$E$5:$E$76)-4)/2),3)=0)*((('FIFA WC 2026'!$E$5:$E$76=A21)+('FIFA WC 2026'!$H$5:$H$76=A21))&gt;0)*ISNUMBER('FIFA WC 2026'!$F$5:$F$76)*ISNUMBER('FIFA WC 2026'!$G$5:$G$76)*('FIFA WC 2026'!$F$5:$F$76='FIFA WC 2026'!$G$5:$G$76)))</f>
        <v/>
      </c>
      <c r="D21" s="108">
        <f t="array" ref="D21">3*(SUMPRODUCT((MOD(INT((ROW('FIFA WC 2026'!$E$5:$E$76)-4)/2),3)=1)*('FIFA WC 2026'!$E$5:$E$76=A21)*ISNUMBER('FIFA WC 2026'!$F$5:$F$76)*ISNUMBER('FIFA WC 2026'!$G$5:$G$76)*('FIFA WC 2026'!$F$5:$F$76&gt;'FIFA WC 2026'!$G$5:$G$76))+SUMPRODUCT((MOD(INT((ROW('FIFA WC 2026'!$E$5:$E$76)-4)/2),3)=1)*('FIFA WC 2026'!$H$5:$H$76=A21)*ISNUMBER('FIFA WC 2026'!$F$5:$F$76)*ISNUMBER('FIFA WC 2026'!$G$5:$G$76)*('FIFA WC 2026'!$G$5:$G$76&gt;'FIFA WC 2026'!$F$5:$F$76)))+(SUMPRODUCT((MOD(INT((ROW('FIFA WC 2026'!$E$5:$E$76)-4)/2),3)=1)*((('FIFA WC 2026'!$E$5:$E$76=A21)+('FIFA WC 2026'!$H$5:$H$76=A21))&gt;0)*ISNUMBER('FIFA WC 2026'!$F$5:$F$76)*ISNUMBER('FIFA WC 2026'!$G$5:$G$76)*('FIFA WC 2026'!$F$5:$F$76='FIFA WC 2026'!$G$5:$G$76)))</f>
        <v/>
      </c>
      <c r="E21" s="108">
        <f t="array" ref="E21">3*(SUMPRODUCT((MOD(INT((ROW('FIFA WC 2026'!$E$5:$E$76)-4)/2),3)=2)*('FIFA WC 2026'!$E$5:$E$76=A21)*ISNUMBER('FIFA WC 2026'!$F$5:$F$76)*ISNUMBER('FIFA WC 2026'!$G$5:$G$76)*('FIFA WC 2026'!$F$5:$F$76&gt;'FIFA WC 2026'!$G$5:$G$76))+SUMPRODUCT((MOD(INT((ROW('FIFA WC 2026'!$E$5:$E$76)-4)/2),3)=2)*('FIFA WC 2026'!$H$5:$H$76=A21)*ISNUMBER('FIFA WC 2026'!$F$5:$F$76)*ISNUMBER('FIFA WC 2026'!$G$5:$G$76)*('FIFA WC 2026'!$G$5:$G$76&gt;'FIFA WC 2026'!$F$5:$F$76)))+(SUMPRODUCT((MOD(INT((ROW('FIFA WC 2026'!$E$5:$E$76)-4)/2),3)=2)*((('FIFA WC 2026'!$E$5:$E$76=A21)+('FIFA WC 2026'!$H$5:$H$76=A21))&gt;0)*ISNUMBER('FIFA WC 2026'!$F$5:$F$76)*ISNUMBER('FIFA WC 2026'!$G$5:$G$76)*('FIFA WC 2026'!$F$5:$F$76='FIFA WC 2026'!$G$5:$G$76)))</f>
        <v/>
      </c>
      <c r="F21" s="108">
        <f t="array" ref="F21">0.5*(SUMPRODUCT(('FIFA WC 2026'!$E$5:$E$76=A21)*IFERROR('FIFA WC 2026'!$F$5:$F$76,0))+SUMPRODUCT(('FIFA WC 2026'!$H$5:$H$76=A21)*IFERROR('FIFA WC 2026'!$G$5:$G$76,0))+SUMPRODUCT(('FIFA WC 2026'!$S$5:$S$66=A21)*IFERROR('FIFA WC 2026'!$T$5:$T$66,0))+SUMPRODUCT(('FIFA WC 2026'!$W$7:$W$64=A21)*IFERROR('FIFA WC 2026'!$X$7:$X$64,0))+SUMPRODUCT(('FIFA WC 2026'!$AA$11:$AA$66=A21)*IFERROR('FIFA WC 2026'!$AB$11:$AB$66,0))+SUMPRODUCT(('FIFA WC 2026'!$AE$19:$AE$52=A21)*IFERROR('FIFA WC 2026'!$AF$19:$AF$52,0))+SUMPRODUCT(('FIFA WC 2026'!$AI$35:$AI$44=A21)*IFERROR('FIFA WC 2026'!$AJ$35:$AJ$44,0)))</f>
        <v/>
      </c>
      <c r="G21" s="108">
        <f>IF(COUNTIF('FIFA WC 2026'!$S$5:$S$66,A21)&gt;0,4,0)</f>
        <v/>
      </c>
      <c r="H21" s="108">
        <f>IF(COUNTIF('FIFA WC 2026'!$W$7:$W$64,A21)&gt;0,6,0)</f>
        <v/>
      </c>
      <c r="I21" s="108">
        <f>IF(COUNTIF('FIFA WC 2026'!$AA$11:$AA$60,A21)&gt;0,8,0)</f>
        <v/>
      </c>
      <c r="J21" s="108">
        <f>IF(COUNTIF('FIFA WC 2026'!$AE$19:$AE$52,A21)&gt;0,10,0)</f>
        <v/>
      </c>
      <c r="K21" s="108">
        <f>IF(COUNTIF('FIFA WC 2026'!$AI$35:$AI$36,A21)&gt;0,13,0)</f>
        <v/>
      </c>
      <c r="L21" s="108">
        <f>IF('FIFA WC 2026'!$AI$40=A21,16,0)</f>
        <v/>
      </c>
      <c r="M21" s="109">
        <f>SUM(C21:L21)+O21</f>
        <v/>
      </c>
      <c r="N21" s="110">
        <f>M21-F21</f>
        <v/>
      </c>
      <c r="O21">
        <f>IF('FIFA WC 2026'!$AI$41=$A21,5,0)</f>
        <v/>
      </c>
    </row>
    <row r="22" ht="12.75" customHeight="1">
      <c r="A22" s="106" t="inlineStr">
        <is>
          <t>Ivory Coast</t>
        </is>
      </c>
      <c r="B22" s="107" t="inlineStr">
        <is>
          <t>E</t>
        </is>
      </c>
      <c r="C22" s="108">
        <f t="array" ref="C22">3*(SUMPRODUCT((MOD(INT((ROW('FIFA WC 2026'!$E$5:$E$76)-4)/2),3)=0)*('FIFA WC 2026'!$E$5:$E$76=A22)*ISNUMBER('FIFA WC 2026'!$F$5:$F$76)*ISNUMBER('FIFA WC 2026'!$G$5:$G$76)*('FIFA WC 2026'!$F$5:$F$76&gt;'FIFA WC 2026'!$G$5:$G$76))+SUMPRODUCT((MOD(INT((ROW('FIFA WC 2026'!$E$5:$E$76)-4)/2),3)=0)*('FIFA WC 2026'!$H$5:$H$76=A22)*ISNUMBER('FIFA WC 2026'!$F$5:$F$76)*ISNUMBER('FIFA WC 2026'!$G$5:$G$76)*('FIFA WC 2026'!$G$5:$G$76&gt;'FIFA WC 2026'!$F$5:$F$76)))+(SUMPRODUCT((MOD(INT((ROW('FIFA WC 2026'!$E$5:$E$76)-4)/2),3)=0)*((('FIFA WC 2026'!$E$5:$E$76=A22)+('FIFA WC 2026'!$H$5:$H$76=A22))&gt;0)*ISNUMBER('FIFA WC 2026'!$F$5:$F$76)*ISNUMBER('FIFA WC 2026'!$G$5:$G$76)*('FIFA WC 2026'!$F$5:$F$76='FIFA WC 2026'!$G$5:$G$76)))</f>
        <v/>
      </c>
      <c r="D22" s="108">
        <f t="array" ref="D22">3*(SUMPRODUCT((MOD(INT((ROW('FIFA WC 2026'!$E$5:$E$76)-4)/2),3)=1)*('FIFA WC 2026'!$E$5:$E$76=A22)*ISNUMBER('FIFA WC 2026'!$F$5:$F$76)*ISNUMBER('FIFA WC 2026'!$G$5:$G$76)*('FIFA WC 2026'!$F$5:$F$76&gt;'FIFA WC 2026'!$G$5:$G$76))+SUMPRODUCT((MOD(INT((ROW('FIFA WC 2026'!$E$5:$E$76)-4)/2),3)=1)*('FIFA WC 2026'!$H$5:$H$76=A22)*ISNUMBER('FIFA WC 2026'!$F$5:$F$76)*ISNUMBER('FIFA WC 2026'!$G$5:$G$76)*('FIFA WC 2026'!$G$5:$G$76&gt;'FIFA WC 2026'!$F$5:$F$76)))+(SUMPRODUCT((MOD(INT((ROW('FIFA WC 2026'!$E$5:$E$76)-4)/2),3)=1)*((('FIFA WC 2026'!$E$5:$E$76=A22)+('FIFA WC 2026'!$H$5:$H$76=A22))&gt;0)*ISNUMBER('FIFA WC 2026'!$F$5:$F$76)*ISNUMBER('FIFA WC 2026'!$G$5:$G$76)*('FIFA WC 2026'!$F$5:$F$76='FIFA WC 2026'!$G$5:$G$76)))</f>
        <v/>
      </c>
      <c r="E22" s="108">
        <f t="array" ref="E22">3*(SUMPRODUCT((MOD(INT((ROW('FIFA WC 2026'!$E$5:$E$76)-4)/2),3)=2)*('FIFA WC 2026'!$E$5:$E$76=A22)*ISNUMBER('FIFA WC 2026'!$F$5:$F$76)*ISNUMBER('FIFA WC 2026'!$G$5:$G$76)*('FIFA WC 2026'!$F$5:$F$76&gt;'FIFA WC 2026'!$G$5:$G$76))+SUMPRODUCT((MOD(INT((ROW('FIFA WC 2026'!$E$5:$E$76)-4)/2),3)=2)*('FIFA WC 2026'!$H$5:$H$76=A22)*ISNUMBER('FIFA WC 2026'!$F$5:$F$76)*ISNUMBER('FIFA WC 2026'!$G$5:$G$76)*('FIFA WC 2026'!$G$5:$G$76&gt;'FIFA WC 2026'!$F$5:$F$76)))+(SUMPRODUCT((MOD(INT((ROW('FIFA WC 2026'!$E$5:$E$76)-4)/2),3)=2)*((('FIFA WC 2026'!$E$5:$E$76=A22)+('FIFA WC 2026'!$H$5:$H$76=A22))&gt;0)*ISNUMBER('FIFA WC 2026'!$F$5:$F$76)*ISNUMBER('FIFA WC 2026'!$G$5:$G$76)*('FIFA WC 2026'!$F$5:$F$76='FIFA WC 2026'!$G$5:$G$76)))</f>
        <v/>
      </c>
      <c r="F22" s="108">
        <f t="array" ref="F22">0.5*(SUMPRODUCT(('FIFA WC 2026'!$E$5:$E$76=A22)*IFERROR('FIFA WC 2026'!$F$5:$F$76,0))+SUMPRODUCT(('FIFA WC 2026'!$H$5:$H$76=A22)*IFERROR('FIFA WC 2026'!$G$5:$G$76,0))+SUMPRODUCT(('FIFA WC 2026'!$S$5:$S$66=A22)*IFERROR('FIFA WC 2026'!$T$5:$T$66,0))+SUMPRODUCT(('FIFA WC 2026'!$W$7:$W$64=A22)*IFERROR('FIFA WC 2026'!$X$7:$X$64,0))+SUMPRODUCT(('FIFA WC 2026'!$AA$11:$AA$66=A22)*IFERROR('FIFA WC 2026'!$AB$11:$AB$66,0))+SUMPRODUCT(('FIFA WC 2026'!$AE$19:$AE$52=A22)*IFERROR('FIFA WC 2026'!$AF$19:$AF$52,0))+SUMPRODUCT(('FIFA WC 2026'!$AI$35:$AI$44=A22)*IFERROR('FIFA WC 2026'!$AJ$35:$AJ$44,0)))</f>
        <v/>
      </c>
      <c r="G22" s="108">
        <f>IF(COUNTIF('FIFA WC 2026'!$S$5:$S$66,A22)&gt;0,4,0)</f>
        <v/>
      </c>
      <c r="H22" s="108">
        <f>IF(COUNTIF('FIFA WC 2026'!$W$7:$W$64,A22)&gt;0,6,0)</f>
        <v/>
      </c>
      <c r="I22" s="108">
        <f>IF(COUNTIF('FIFA WC 2026'!$AA$11:$AA$60,A22)&gt;0,8,0)</f>
        <v/>
      </c>
      <c r="J22" s="108">
        <f>IF(COUNTIF('FIFA WC 2026'!$AE$19:$AE$52,A22)&gt;0,10,0)</f>
        <v/>
      </c>
      <c r="K22" s="108">
        <f>IF(COUNTIF('FIFA WC 2026'!$AI$35:$AI$36,A22)&gt;0,13,0)</f>
        <v/>
      </c>
      <c r="L22" s="108">
        <f>IF('FIFA WC 2026'!$AI$40=A22,16,0)</f>
        <v/>
      </c>
      <c r="M22" s="109">
        <f>SUM(C22:L22)+O22</f>
        <v/>
      </c>
      <c r="N22" s="110">
        <f>M22-F22</f>
        <v/>
      </c>
      <c r="O22">
        <f>IF('FIFA WC 2026'!$AI$41=$A22,5,0)</f>
        <v/>
      </c>
    </row>
    <row r="23" ht="12.75" customHeight="1">
      <c r="A23" s="106" t="inlineStr">
        <is>
          <t>Ecuador</t>
        </is>
      </c>
      <c r="B23" s="107" t="inlineStr">
        <is>
          <t>E</t>
        </is>
      </c>
      <c r="C23" s="108">
        <f t="array" ref="C23">3*(SUMPRODUCT((MOD(INT((ROW('FIFA WC 2026'!$E$5:$E$76)-4)/2),3)=0)*('FIFA WC 2026'!$E$5:$E$76=A23)*ISNUMBER('FIFA WC 2026'!$F$5:$F$76)*ISNUMBER('FIFA WC 2026'!$G$5:$G$76)*('FIFA WC 2026'!$F$5:$F$76&gt;'FIFA WC 2026'!$G$5:$G$76))+SUMPRODUCT((MOD(INT((ROW('FIFA WC 2026'!$E$5:$E$76)-4)/2),3)=0)*('FIFA WC 2026'!$H$5:$H$76=A23)*ISNUMBER('FIFA WC 2026'!$F$5:$F$76)*ISNUMBER('FIFA WC 2026'!$G$5:$G$76)*('FIFA WC 2026'!$G$5:$G$76&gt;'FIFA WC 2026'!$F$5:$F$76)))+(SUMPRODUCT((MOD(INT((ROW('FIFA WC 2026'!$E$5:$E$76)-4)/2),3)=0)*((('FIFA WC 2026'!$E$5:$E$76=A23)+('FIFA WC 2026'!$H$5:$H$76=A23))&gt;0)*ISNUMBER('FIFA WC 2026'!$F$5:$F$76)*ISNUMBER('FIFA WC 2026'!$G$5:$G$76)*('FIFA WC 2026'!$F$5:$F$76='FIFA WC 2026'!$G$5:$G$76)))</f>
        <v/>
      </c>
      <c r="D23" s="108">
        <f t="array" ref="D23">3*(SUMPRODUCT((MOD(INT((ROW('FIFA WC 2026'!$E$5:$E$76)-4)/2),3)=1)*('FIFA WC 2026'!$E$5:$E$76=A23)*ISNUMBER('FIFA WC 2026'!$F$5:$F$76)*ISNUMBER('FIFA WC 2026'!$G$5:$G$76)*('FIFA WC 2026'!$F$5:$F$76&gt;'FIFA WC 2026'!$G$5:$G$76))+SUMPRODUCT((MOD(INT((ROW('FIFA WC 2026'!$E$5:$E$76)-4)/2),3)=1)*('FIFA WC 2026'!$H$5:$H$76=A23)*ISNUMBER('FIFA WC 2026'!$F$5:$F$76)*ISNUMBER('FIFA WC 2026'!$G$5:$G$76)*('FIFA WC 2026'!$G$5:$G$76&gt;'FIFA WC 2026'!$F$5:$F$76)))+(SUMPRODUCT((MOD(INT((ROW('FIFA WC 2026'!$E$5:$E$76)-4)/2),3)=1)*((('FIFA WC 2026'!$E$5:$E$76=A23)+('FIFA WC 2026'!$H$5:$H$76=A23))&gt;0)*ISNUMBER('FIFA WC 2026'!$F$5:$F$76)*ISNUMBER('FIFA WC 2026'!$G$5:$G$76)*('FIFA WC 2026'!$F$5:$F$76='FIFA WC 2026'!$G$5:$G$76)))</f>
        <v/>
      </c>
      <c r="E23" s="108">
        <f t="array" ref="E23">3*(SUMPRODUCT((MOD(INT((ROW('FIFA WC 2026'!$E$5:$E$76)-4)/2),3)=2)*('FIFA WC 2026'!$E$5:$E$76=A23)*ISNUMBER('FIFA WC 2026'!$F$5:$F$76)*ISNUMBER('FIFA WC 2026'!$G$5:$G$76)*('FIFA WC 2026'!$F$5:$F$76&gt;'FIFA WC 2026'!$G$5:$G$76))+SUMPRODUCT((MOD(INT((ROW('FIFA WC 2026'!$E$5:$E$76)-4)/2),3)=2)*('FIFA WC 2026'!$H$5:$H$76=A23)*ISNUMBER('FIFA WC 2026'!$F$5:$F$76)*ISNUMBER('FIFA WC 2026'!$G$5:$G$76)*('FIFA WC 2026'!$G$5:$G$76&gt;'FIFA WC 2026'!$F$5:$F$76)))+(SUMPRODUCT((MOD(INT((ROW('FIFA WC 2026'!$E$5:$E$76)-4)/2),3)=2)*((('FIFA WC 2026'!$E$5:$E$76=A23)+('FIFA WC 2026'!$H$5:$H$76=A23))&gt;0)*ISNUMBER('FIFA WC 2026'!$F$5:$F$76)*ISNUMBER('FIFA WC 2026'!$G$5:$G$76)*('FIFA WC 2026'!$F$5:$F$76='FIFA WC 2026'!$G$5:$G$76)))</f>
        <v/>
      </c>
      <c r="F23" s="108">
        <f t="array" ref="F23">0.5*(SUMPRODUCT(('FIFA WC 2026'!$E$5:$E$76=A23)*IFERROR('FIFA WC 2026'!$F$5:$F$76,0))+SUMPRODUCT(('FIFA WC 2026'!$H$5:$H$76=A23)*IFERROR('FIFA WC 2026'!$G$5:$G$76,0))+SUMPRODUCT(('FIFA WC 2026'!$S$5:$S$66=A23)*IFERROR('FIFA WC 2026'!$T$5:$T$66,0))+SUMPRODUCT(('FIFA WC 2026'!$W$7:$W$64=A23)*IFERROR('FIFA WC 2026'!$X$7:$X$64,0))+SUMPRODUCT(('FIFA WC 2026'!$AA$11:$AA$66=A23)*IFERROR('FIFA WC 2026'!$AB$11:$AB$66,0))+SUMPRODUCT(('FIFA WC 2026'!$AE$19:$AE$52=A23)*IFERROR('FIFA WC 2026'!$AF$19:$AF$52,0))+SUMPRODUCT(('FIFA WC 2026'!$AI$35:$AI$44=A23)*IFERROR('FIFA WC 2026'!$AJ$35:$AJ$44,0)))</f>
        <v/>
      </c>
      <c r="G23" s="108">
        <f>IF(COUNTIF('FIFA WC 2026'!$S$5:$S$66,A23)&gt;0,4,0)</f>
        <v/>
      </c>
      <c r="H23" s="108">
        <f>IF(COUNTIF('FIFA WC 2026'!$W$7:$W$64,A23)&gt;0,6,0)</f>
        <v/>
      </c>
      <c r="I23" s="108">
        <f>IF(COUNTIF('FIFA WC 2026'!$AA$11:$AA$60,A23)&gt;0,8,0)</f>
        <v/>
      </c>
      <c r="J23" s="108">
        <f>IF(COUNTIF('FIFA WC 2026'!$AE$19:$AE$52,A23)&gt;0,10,0)</f>
        <v/>
      </c>
      <c r="K23" s="108">
        <f>IF(COUNTIF('FIFA WC 2026'!$AI$35:$AI$36,A23)&gt;0,13,0)</f>
        <v/>
      </c>
      <c r="L23" s="108">
        <f>IF('FIFA WC 2026'!$AI$40=A23,16,0)</f>
        <v/>
      </c>
      <c r="M23" s="109">
        <f>SUM(C23:L23)+O23</f>
        <v/>
      </c>
      <c r="N23" s="110">
        <f>M23-F23</f>
        <v/>
      </c>
      <c r="O23">
        <f>IF('FIFA WC 2026'!$AI$41=$A23,5,0)</f>
        <v/>
      </c>
    </row>
    <row r="24" ht="12.75" customHeight="1">
      <c r="A24" s="27" t="inlineStr">
        <is>
          <t>Netherlands</t>
        </is>
      </c>
      <c r="B24" s="26" t="inlineStr">
        <is>
          <t>F</t>
        </is>
      </c>
      <c r="C24" s="28">
        <f t="array" ref="C24">3*(SUMPRODUCT((MOD(INT((ROW('FIFA WC 2026'!$E$5:$E$76)-4)/2),3)=0)*('FIFA WC 2026'!$E$5:$E$76=A24)*ISNUMBER('FIFA WC 2026'!$F$5:$F$76)*ISNUMBER('FIFA WC 2026'!$G$5:$G$76)*('FIFA WC 2026'!$F$5:$F$76&gt;'FIFA WC 2026'!$G$5:$G$76))+SUMPRODUCT((MOD(INT((ROW('FIFA WC 2026'!$E$5:$E$76)-4)/2),3)=0)*('FIFA WC 2026'!$H$5:$H$76=A24)*ISNUMBER('FIFA WC 2026'!$F$5:$F$76)*ISNUMBER('FIFA WC 2026'!$G$5:$G$76)*('FIFA WC 2026'!$G$5:$G$76&gt;'FIFA WC 2026'!$F$5:$F$76)))+(SUMPRODUCT((MOD(INT((ROW('FIFA WC 2026'!$E$5:$E$76)-4)/2),3)=0)*((('FIFA WC 2026'!$E$5:$E$76=A24)+('FIFA WC 2026'!$H$5:$H$76=A24))&gt;0)*ISNUMBER('FIFA WC 2026'!$F$5:$F$76)*ISNUMBER('FIFA WC 2026'!$G$5:$G$76)*('FIFA WC 2026'!$F$5:$F$76='FIFA WC 2026'!$G$5:$G$76)))</f>
        <v/>
      </c>
      <c r="D24" s="28">
        <f t="array" ref="D24">3*(SUMPRODUCT((MOD(INT((ROW('FIFA WC 2026'!$E$5:$E$76)-4)/2),3)=1)*('FIFA WC 2026'!$E$5:$E$76=A24)*ISNUMBER('FIFA WC 2026'!$F$5:$F$76)*ISNUMBER('FIFA WC 2026'!$G$5:$G$76)*('FIFA WC 2026'!$F$5:$F$76&gt;'FIFA WC 2026'!$G$5:$G$76))+SUMPRODUCT((MOD(INT((ROW('FIFA WC 2026'!$E$5:$E$76)-4)/2),3)=1)*('FIFA WC 2026'!$H$5:$H$76=A24)*ISNUMBER('FIFA WC 2026'!$F$5:$F$76)*ISNUMBER('FIFA WC 2026'!$G$5:$G$76)*('FIFA WC 2026'!$G$5:$G$76&gt;'FIFA WC 2026'!$F$5:$F$76)))+(SUMPRODUCT((MOD(INT((ROW('FIFA WC 2026'!$E$5:$E$76)-4)/2),3)=1)*((('FIFA WC 2026'!$E$5:$E$76=A24)+('FIFA WC 2026'!$H$5:$H$76=A24))&gt;0)*ISNUMBER('FIFA WC 2026'!$F$5:$F$76)*ISNUMBER('FIFA WC 2026'!$G$5:$G$76)*('FIFA WC 2026'!$F$5:$F$76='FIFA WC 2026'!$G$5:$G$76)))</f>
        <v/>
      </c>
      <c r="E24" s="28">
        <f t="array" ref="E24">3*(SUMPRODUCT((MOD(INT((ROW('FIFA WC 2026'!$E$5:$E$76)-4)/2),3)=2)*('FIFA WC 2026'!$E$5:$E$76=A24)*ISNUMBER('FIFA WC 2026'!$F$5:$F$76)*ISNUMBER('FIFA WC 2026'!$G$5:$G$76)*('FIFA WC 2026'!$F$5:$F$76&gt;'FIFA WC 2026'!$G$5:$G$76))+SUMPRODUCT((MOD(INT((ROW('FIFA WC 2026'!$E$5:$E$76)-4)/2),3)=2)*('FIFA WC 2026'!$H$5:$H$76=A24)*ISNUMBER('FIFA WC 2026'!$F$5:$F$76)*ISNUMBER('FIFA WC 2026'!$G$5:$G$76)*('FIFA WC 2026'!$G$5:$G$76&gt;'FIFA WC 2026'!$F$5:$F$76)))+(SUMPRODUCT((MOD(INT((ROW('FIFA WC 2026'!$E$5:$E$76)-4)/2),3)=2)*((('FIFA WC 2026'!$E$5:$E$76=A24)+('FIFA WC 2026'!$H$5:$H$76=A24))&gt;0)*ISNUMBER('FIFA WC 2026'!$F$5:$F$76)*ISNUMBER('FIFA WC 2026'!$G$5:$G$76)*('FIFA WC 2026'!$F$5:$F$76='FIFA WC 2026'!$G$5:$G$76)))</f>
        <v/>
      </c>
      <c r="F24" s="28">
        <f t="array" ref="F24">0.5*(SUMPRODUCT(('FIFA WC 2026'!$E$5:$E$76=A24)*IFERROR('FIFA WC 2026'!$F$5:$F$76,0))+SUMPRODUCT(('FIFA WC 2026'!$H$5:$H$76=A24)*IFERROR('FIFA WC 2026'!$G$5:$G$76,0))+SUMPRODUCT(('FIFA WC 2026'!$S$5:$S$66=A24)*IFERROR('FIFA WC 2026'!$T$5:$T$66,0))+SUMPRODUCT(('FIFA WC 2026'!$W$7:$W$64=A24)*IFERROR('FIFA WC 2026'!$X$7:$X$64,0))+SUMPRODUCT(('FIFA WC 2026'!$AA$11:$AA$66=A24)*IFERROR('FIFA WC 2026'!$AB$11:$AB$66,0))+SUMPRODUCT(('FIFA WC 2026'!$AE$19:$AE$52=A24)*IFERROR('FIFA WC 2026'!$AF$19:$AF$52,0))+SUMPRODUCT(('FIFA WC 2026'!$AI$35:$AI$44=A24)*IFERROR('FIFA WC 2026'!$AJ$35:$AJ$44,0)))</f>
        <v/>
      </c>
      <c r="G24" s="28">
        <f>IF(COUNTIF('FIFA WC 2026'!$S$5:$S$66,A24)&gt;0,4,0)</f>
        <v/>
      </c>
      <c r="H24" s="28">
        <f>IF(COUNTIF('FIFA WC 2026'!$W$7:$W$64,A24)&gt;0,6,0)</f>
        <v/>
      </c>
      <c r="I24" s="28">
        <f>IF(COUNTIF('FIFA WC 2026'!$AA$11:$AA$60,A24)&gt;0,8,0)</f>
        <v/>
      </c>
      <c r="J24" s="28">
        <f>IF(COUNTIF('FIFA WC 2026'!$AE$19:$AE$52,A24)&gt;0,10,0)</f>
        <v/>
      </c>
      <c r="K24" s="28">
        <f>IF(COUNTIF('FIFA WC 2026'!$AI$35:$AI$36,A24)&gt;0,13,0)</f>
        <v/>
      </c>
      <c r="L24" s="28">
        <f>IF('FIFA WC 2026'!$AI$40=A24,16,0)</f>
        <v/>
      </c>
      <c r="M24" s="111">
        <f>SUM(C24:L24)+O24</f>
        <v/>
      </c>
      <c r="N24" s="110">
        <f>M24-F24</f>
        <v/>
      </c>
      <c r="O24">
        <f>IF('FIFA WC 2026'!$AI$41=$A24,5,0)</f>
        <v/>
      </c>
    </row>
    <row r="25" ht="12.75" customHeight="1">
      <c r="A25" s="27" t="inlineStr">
        <is>
          <t>Japan</t>
        </is>
      </c>
      <c r="B25" s="26" t="inlineStr">
        <is>
          <t>F</t>
        </is>
      </c>
      <c r="C25" s="28">
        <f t="array" ref="C25">3*(SUMPRODUCT((MOD(INT((ROW('FIFA WC 2026'!$E$5:$E$76)-4)/2),3)=0)*('FIFA WC 2026'!$E$5:$E$76=A25)*ISNUMBER('FIFA WC 2026'!$F$5:$F$76)*ISNUMBER('FIFA WC 2026'!$G$5:$G$76)*('FIFA WC 2026'!$F$5:$F$76&gt;'FIFA WC 2026'!$G$5:$G$76))+SUMPRODUCT((MOD(INT((ROW('FIFA WC 2026'!$E$5:$E$76)-4)/2),3)=0)*('FIFA WC 2026'!$H$5:$H$76=A25)*ISNUMBER('FIFA WC 2026'!$F$5:$F$76)*ISNUMBER('FIFA WC 2026'!$G$5:$G$76)*('FIFA WC 2026'!$G$5:$G$76&gt;'FIFA WC 2026'!$F$5:$F$76)))+(SUMPRODUCT((MOD(INT((ROW('FIFA WC 2026'!$E$5:$E$76)-4)/2),3)=0)*((('FIFA WC 2026'!$E$5:$E$76=A25)+('FIFA WC 2026'!$H$5:$H$76=A25))&gt;0)*ISNUMBER('FIFA WC 2026'!$F$5:$F$76)*ISNUMBER('FIFA WC 2026'!$G$5:$G$76)*('FIFA WC 2026'!$F$5:$F$76='FIFA WC 2026'!$G$5:$G$76)))</f>
        <v/>
      </c>
      <c r="D25" s="28">
        <f t="array" ref="D25">3*(SUMPRODUCT((MOD(INT((ROW('FIFA WC 2026'!$E$5:$E$76)-4)/2),3)=1)*('FIFA WC 2026'!$E$5:$E$76=A25)*ISNUMBER('FIFA WC 2026'!$F$5:$F$76)*ISNUMBER('FIFA WC 2026'!$G$5:$G$76)*('FIFA WC 2026'!$F$5:$F$76&gt;'FIFA WC 2026'!$G$5:$G$76))+SUMPRODUCT((MOD(INT((ROW('FIFA WC 2026'!$E$5:$E$76)-4)/2),3)=1)*('FIFA WC 2026'!$H$5:$H$76=A25)*ISNUMBER('FIFA WC 2026'!$F$5:$F$76)*ISNUMBER('FIFA WC 2026'!$G$5:$G$76)*('FIFA WC 2026'!$G$5:$G$76&gt;'FIFA WC 2026'!$F$5:$F$76)))+(SUMPRODUCT((MOD(INT((ROW('FIFA WC 2026'!$E$5:$E$76)-4)/2),3)=1)*((('FIFA WC 2026'!$E$5:$E$76=A25)+('FIFA WC 2026'!$H$5:$H$76=A25))&gt;0)*ISNUMBER('FIFA WC 2026'!$F$5:$F$76)*ISNUMBER('FIFA WC 2026'!$G$5:$G$76)*('FIFA WC 2026'!$F$5:$F$76='FIFA WC 2026'!$G$5:$G$76)))</f>
        <v/>
      </c>
      <c r="E25" s="28">
        <f t="array" ref="E25">3*(SUMPRODUCT((MOD(INT((ROW('FIFA WC 2026'!$E$5:$E$76)-4)/2),3)=2)*('FIFA WC 2026'!$E$5:$E$76=A25)*ISNUMBER('FIFA WC 2026'!$F$5:$F$76)*ISNUMBER('FIFA WC 2026'!$G$5:$G$76)*('FIFA WC 2026'!$F$5:$F$76&gt;'FIFA WC 2026'!$G$5:$G$76))+SUMPRODUCT((MOD(INT((ROW('FIFA WC 2026'!$E$5:$E$76)-4)/2),3)=2)*('FIFA WC 2026'!$H$5:$H$76=A25)*ISNUMBER('FIFA WC 2026'!$F$5:$F$76)*ISNUMBER('FIFA WC 2026'!$G$5:$G$76)*('FIFA WC 2026'!$G$5:$G$76&gt;'FIFA WC 2026'!$F$5:$F$76)))+(SUMPRODUCT((MOD(INT((ROW('FIFA WC 2026'!$E$5:$E$76)-4)/2),3)=2)*((('FIFA WC 2026'!$E$5:$E$76=A25)+('FIFA WC 2026'!$H$5:$H$76=A25))&gt;0)*ISNUMBER('FIFA WC 2026'!$F$5:$F$76)*ISNUMBER('FIFA WC 2026'!$G$5:$G$76)*('FIFA WC 2026'!$F$5:$F$76='FIFA WC 2026'!$G$5:$G$76)))</f>
        <v/>
      </c>
      <c r="F25" s="28">
        <f t="array" ref="F25">0.5*(SUMPRODUCT(('FIFA WC 2026'!$E$5:$E$76=A25)*IFERROR('FIFA WC 2026'!$F$5:$F$76,0))+SUMPRODUCT(('FIFA WC 2026'!$H$5:$H$76=A25)*IFERROR('FIFA WC 2026'!$G$5:$G$76,0))+SUMPRODUCT(('FIFA WC 2026'!$S$5:$S$66=A25)*IFERROR('FIFA WC 2026'!$T$5:$T$66,0))+SUMPRODUCT(('FIFA WC 2026'!$W$7:$W$64=A25)*IFERROR('FIFA WC 2026'!$X$7:$X$64,0))+SUMPRODUCT(('FIFA WC 2026'!$AA$11:$AA$66=A25)*IFERROR('FIFA WC 2026'!$AB$11:$AB$66,0))+SUMPRODUCT(('FIFA WC 2026'!$AE$19:$AE$52=A25)*IFERROR('FIFA WC 2026'!$AF$19:$AF$52,0))+SUMPRODUCT(('FIFA WC 2026'!$AI$35:$AI$44=A25)*IFERROR('FIFA WC 2026'!$AJ$35:$AJ$44,0)))</f>
        <v/>
      </c>
      <c r="G25" s="28">
        <f>IF(COUNTIF('FIFA WC 2026'!$S$5:$S$66,A25)&gt;0,4,0)</f>
        <v/>
      </c>
      <c r="H25" s="28">
        <f>IF(COUNTIF('FIFA WC 2026'!$W$7:$W$64,A25)&gt;0,6,0)</f>
        <v/>
      </c>
      <c r="I25" s="28">
        <f>IF(COUNTIF('FIFA WC 2026'!$AA$11:$AA$60,A25)&gt;0,8,0)</f>
        <v/>
      </c>
      <c r="J25" s="28">
        <f>IF(COUNTIF('FIFA WC 2026'!$AE$19:$AE$52,A25)&gt;0,10,0)</f>
        <v/>
      </c>
      <c r="K25" s="28">
        <f>IF(COUNTIF('FIFA WC 2026'!$AI$35:$AI$36,A25)&gt;0,13,0)</f>
        <v/>
      </c>
      <c r="L25" s="28">
        <f>IF('FIFA WC 2026'!$AI$40=A25,16,0)</f>
        <v/>
      </c>
      <c r="M25" s="111">
        <f>SUM(C25:L25)+O25</f>
        <v/>
      </c>
      <c r="N25" s="110">
        <f>M25-F25</f>
        <v/>
      </c>
      <c r="O25">
        <f>IF('FIFA WC 2026'!$AI$41=$A25,5,0)</f>
        <v/>
      </c>
    </row>
    <row r="26" ht="12.75" customHeight="1">
      <c r="A26" s="27" t="inlineStr">
        <is>
          <t>Sweden</t>
        </is>
      </c>
      <c r="B26" s="26" t="inlineStr">
        <is>
          <t>F</t>
        </is>
      </c>
      <c r="C26" s="28">
        <f t="array" ref="C26">3*(SUMPRODUCT((MOD(INT((ROW('FIFA WC 2026'!$E$5:$E$76)-4)/2),3)=0)*('FIFA WC 2026'!$E$5:$E$76=A26)*ISNUMBER('FIFA WC 2026'!$F$5:$F$76)*ISNUMBER('FIFA WC 2026'!$G$5:$G$76)*('FIFA WC 2026'!$F$5:$F$76&gt;'FIFA WC 2026'!$G$5:$G$76))+SUMPRODUCT((MOD(INT((ROW('FIFA WC 2026'!$E$5:$E$76)-4)/2),3)=0)*('FIFA WC 2026'!$H$5:$H$76=A26)*ISNUMBER('FIFA WC 2026'!$F$5:$F$76)*ISNUMBER('FIFA WC 2026'!$G$5:$G$76)*('FIFA WC 2026'!$G$5:$G$76&gt;'FIFA WC 2026'!$F$5:$F$76)))+(SUMPRODUCT((MOD(INT((ROW('FIFA WC 2026'!$E$5:$E$76)-4)/2),3)=0)*((('FIFA WC 2026'!$E$5:$E$76=A26)+('FIFA WC 2026'!$H$5:$H$76=A26))&gt;0)*ISNUMBER('FIFA WC 2026'!$F$5:$F$76)*ISNUMBER('FIFA WC 2026'!$G$5:$G$76)*('FIFA WC 2026'!$F$5:$F$76='FIFA WC 2026'!$G$5:$G$76)))</f>
        <v/>
      </c>
      <c r="D26" s="28">
        <f t="array" ref="D26">3*(SUMPRODUCT((MOD(INT((ROW('FIFA WC 2026'!$E$5:$E$76)-4)/2),3)=1)*('FIFA WC 2026'!$E$5:$E$76=A26)*ISNUMBER('FIFA WC 2026'!$F$5:$F$76)*ISNUMBER('FIFA WC 2026'!$G$5:$G$76)*('FIFA WC 2026'!$F$5:$F$76&gt;'FIFA WC 2026'!$G$5:$G$76))+SUMPRODUCT((MOD(INT((ROW('FIFA WC 2026'!$E$5:$E$76)-4)/2),3)=1)*('FIFA WC 2026'!$H$5:$H$76=A26)*ISNUMBER('FIFA WC 2026'!$F$5:$F$76)*ISNUMBER('FIFA WC 2026'!$G$5:$G$76)*('FIFA WC 2026'!$G$5:$G$76&gt;'FIFA WC 2026'!$F$5:$F$76)))+(SUMPRODUCT((MOD(INT((ROW('FIFA WC 2026'!$E$5:$E$76)-4)/2),3)=1)*((('FIFA WC 2026'!$E$5:$E$76=A26)+('FIFA WC 2026'!$H$5:$H$76=A26))&gt;0)*ISNUMBER('FIFA WC 2026'!$F$5:$F$76)*ISNUMBER('FIFA WC 2026'!$G$5:$G$76)*('FIFA WC 2026'!$F$5:$F$76='FIFA WC 2026'!$G$5:$G$76)))</f>
        <v/>
      </c>
      <c r="E26" s="28">
        <f t="array" ref="E26">3*(SUMPRODUCT((MOD(INT((ROW('FIFA WC 2026'!$E$5:$E$76)-4)/2),3)=2)*('FIFA WC 2026'!$E$5:$E$76=A26)*ISNUMBER('FIFA WC 2026'!$F$5:$F$76)*ISNUMBER('FIFA WC 2026'!$G$5:$G$76)*('FIFA WC 2026'!$F$5:$F$76&gt;'FIFA WC 2026'!$G$5:$G$76))+SUMPRODUCT((MOD(INT((ROW('FIFA WC 2026'!$E$5:$E$76)-4)/2),3)=2)*('FIFA WC 2026'!$H$5:$H$76=A26)*ISNUMBER('FIFA WC 2026'!$F$5:$F$76)*ISNUMBER('FIFA WC 2026'!$G$5:$G$76)*('FIFA WC 2026'!$G$5:$G$76&gt;'FIFA WC 2026'!$F$5:$F$76)))+(SUMPRODUCT((MOD(INT((ROW('FIFA WC 2026'!$E$5:$E$76)-4)/2),3)=2)*((('FIFA WC 2026'!$E$5:$E$76=A26)+('FIFA WC 2026'!$H$5:$H$76=A26))&gt;0)*ISNUMBER('FIFA WC 2026'!$F$5:$F$76)*ISNUMBER('FIFA WC 2026'!$G$5:$G$76)*('FIFA WC 2026'!$F$5:$F$76='FIFA WC 2026'!$G$5:$G$76)))</f>
        <v/>
      </c>
      <c r="F26" s="28">
        <f t="array" ref="F26">0.5*(SUMPRODUCT(('FIFA WC 2026'!$E$5:$E$76=A26)*IFERROR('FIFA WC 2026'!$F$5:$F$76,0))+SUMPRODUCT(('FIFA WC 2026'!$H$5:$H$76=A26)*IFERROR('FIFA WC 2026'!$G$5:$G$76,0))+SUMPRODUCT(('FIFA WC 2026'!$S$5:$S$66=A26)*IFERROR('FIFA WC 2026'!$T$5:$T$66,0))+SUMPRODUCT(('FIFA WC 2026'!$W$7:$W$64=A26)*IFERROR('FIFA WC 2026'!$X$7:$X$64,0))+SUMPRODUCT(('FIFA WC 2026'!$AA$11:$AA$66=A26)*IFERROR('FIFA WC 2026'!$AB$11:$AB$66,0))+SUMPRODUCT(('FIFA WC 2026'!$AE$19:$AE$52=A26)*IFERROR('FIFA WC 2026'!$AF$19:$AF$52,0))+SUMPRODUCT(('FIFA WC 2026'!$AI$35:$AI$44=A26)*IFERROR('FIFA WC 2026'!$AJ$35:$AJ$44,0)))</f>
        <v/>
      </c>
      <c r="G26" s="28">
        <f>IF(COUNTIF('FIFA WC 2026'!$S$5:$S$66,A26)&gt;0,4,0)</f>
        <v/>
      </c>
      <c r="H26" s="28">
        <f>IF(COUNTIF('FIFA WC 2026'!$W$7:$W$64,A26)&gt;0,6,0)</f>
        <v/>
      </c>
      <c r="I26" s="28">
        <f>IF(COUNTIF('FIFA WC 2026'!$AA$11:$AA$60,A26)&gt;0,8,0)</f>
        <v/>
      </c>
      <c r="J26" s="28">
        <f>IF(COUNTIF('FIFA WC 2026'!$AE$19:$AE$52,A26)&gt;0,10,0)</f>
        <v/>
      </c>
      <c r="K26" s="28">
        <f>IF(COUNTIF('FIFA WC 2026'!$AI$35:$AI$36,A26)&gt;0,13,0)</f>
        <v/>
      </c>
      <c r="L26" s="28">
        <f>IF('FIFA WC 2026'!$AI$40=A26,16,0)</f>
        <v/>
      </c>
      <c r="M26" s="111">
        <f>SUM(C26:L26)+O26</f>
        <v/>
      </c>
      <c r="N26" s="110">
        <f>M26-F26</f>
        <v/>
      </c>
      <c r="O26">
        <f>IF('FIFA WC 2026'!$AI$41=$A26,5,0)</f>
        <v/>
      </c>
    </row>
    <row r="27" ht="12.75" customHeight="1">
      <c r="A27" s="27" t="inlineStr">
        <is>
          <t>Tunisia</t>
        </is>
      </c>
      <c r="B27" s="26" t="inlineStr">
        <is>
          <t>F</t>
        </is>
      </c>
      <c r="C27" s="28">
        <f t="array" ref="C27">3*(SUMPRODUCT((MOD(INT((ROW('FIFA WC 2026'!$E$5:$E$76)-4)/2),3)=0)*('FIFA WC 2026'!$E$5:$E$76=A27)*ISNUMBER('FIFA WC 2026'!$F$5:$F$76)*ISNUMBER('FIFA WC 2026'!$G$5:$G$76)*('FIFA WC 2026'!$F$5:$F$76&gt;'FIFA WC 2026'!$G$5:$G$76))+SUMPRODUCT((MOD(INT((ROW('FIFA WC 2026'!$E$5:$E$76)-4)/2),3)=0)*('FIFA WC 2026'!$H$5:$H$76=A27)*ISNUMBER('FIFA WC 2026'!$F$5:$F$76)*ISNUMBER('FIFA WC 2026'!$G$5:$G$76)*('FIFA WC 2026'!$G$5:$G$76&gt;'FIFA WC 2026'!$F$5:$F$76)))+(SUMPRODUCT((MOD(INT((ROW('FIFA WC 2026'!$E$5:$E$76)-4)/2),3)=0)*((('FIFA WC 2026'!$E$5:$E$76=A27)+('FIFA WC 2026'!$H$5:$H$76=A27))&gt;0)*ISNUMBER('FIFA WC 2026'!$F$5:$F$76)*ISNUMBER('FIFA WC 2026'!$G$5:$G$76)*('FIFA WC 2026'!$F$5:$F$76='FIFA WC 2026'!$G$5:$G$76)))</f>
        <v/>
      </c>
      <c r="D27" s="28">
        <f t="array" ref="D27">3*(SUMPRODUCT((MOD(INT((ROW('FIFA WC 2026'!$E$5:$E$76)-4)/2),3)=1)*('FIFA WC 2026'!$E$5:$E$76=A27)*ISNUMBER('FIFA WC 2026'!$F$5:$F$76)*ISNUMBER('FIFA WC 2026'!$G$5:$G$76)*('FIFA WC 2026'!$F$5:$F$76&gt;'FIFA WC 2026'!$G$5:$G$76))+SUMPRODUCT((MOD(INT((ROW('FIFA WC 2026'!$E$5:$E$76)-4)/2),3)=1)*('FIFA WC 2026'!$H$5:$H$76=A27)*ISNUMBER('FIFA WC 2026'!$F$5:$F$76)*ISNUMBER('FIFA WC 2026'!$G$5:$G$76)*('FIFA WC 2026'!$G$5:$G$76&gt;'FIFA WC 2026'!$F$5:$F$76)))+(SUMPRODUCT((MOD(INT((ROW('FIFA WC 2026'!$E$5:$E$76)-4)/2),3)=1)*((('FIFA WC 2026'!$E$5:$E$76=A27)+('FIFA WC 2026'!$H$5:$H$76=A27))&gt;0)*ISNUMBER('FIFA WC 2026'!$F$5:$F$76)*ISNUMBER('FIFA WC 2026'!$G$5:$G$76)*('FIFA WC 2026'!$F$5:$F$76='FIFA WC 2026'!$G$5:$G$76)))</f>
        <v/>
      </c>
      <c r="E27" s="28">
        <f t="array" ref="E27">3*(SUMPRODUCT((MOD(INT((ROW('FIFA WC 2026'!$E$5:$E$76)-4)/2),3)=2)*('FIFA WC 2026'!$E$5:$E$76=A27)*ISNUMBER('FIFA WC 2026'!$F$5:$F$76)*ISNUMBER('FIFA WC 2026'!$G$5:$G$76)*('FIFA WC 2026'!$F$5:$F$76&gt;'FIFA WC 2026'!$G$5:$G$76))+SUMPRODUCT((MOD(INT((ROW('FIFA WC 2026'!$E$5:$E$76)-4)/2),3)=2)*('FIFA WC 2026'!$H$5:$H$76=A27)*ISNUMBER('FIFA WC 2026'!$F$5:$F$76)*ISNUMBER('FIFA WC 2026'!$G$5:$G$76)*('FIFA WC 2026'!$G$5:$G$76&gt;'FIFA WC 2026'!$F$5:$F$76)))+(SUMPRODUCT((MOD(INT((ROW('FIFA WC 2026'!$E$5:$E$76)-4)/2),3)=2)*((('FIFA WC 2026'!$E$5:$E$76=A27)+('FIFA WC 2026'!$H$5:$H$76=A27))&gt;0)*ISNUMBER('FIFA WC 2026'!$F$5:$F$76)*ISNUMBER('FIFA WC 2026'!$G$5:$G$76)*('FIFA WC 2026'!$F$5:$F$76='FIFA WC 2026'!$G$5:$G$76)))</f>
        <v/>
      </c>
      <c r="F27" s="28">
        <f t="array" ref="F27">0.5*(SUMPRODUCT(('FIFA WC 2026'!$E$5:$E$76=A27)*IFERROR('FIFA WC 2026'!$F$5:$F$76,0))+SUMPRODUCT(('FIFA WC 2026'!$H$5:$H$76=A27)*IFERROR('FIFA WC 2026'!$G$5:$G$76,0))+SUMPRODUCT(('FIFA WC 2026'!$S$5:$S$66=A27)*IFERROR('FIFA WC 2026'!$T$5:$T$66,0))+SUMPRODUCT(('FIFA WC 2026'!$W$7:$W$64=A27)*IFERROR('FIFA WC 2026'!$X$7:$X$64,0))+SUMPRODUCT(('FIFA WC 2026'!$AA$11:$AA$66=A27)*IFERROR('FIFA WC 2026'!$AB$11:$AB$66,0))+SUMPRODUCT(('FIFA WC 2026'!$AE$19:$AE$52=A27)*IFERROR('FIFA WC 2026'!$AF$19:$AF$52,0))+SUMPRODUCT(('FIFA WC 2026'!$AI$35:$AI$44=A27)*IFERROR('FIFA WC 2026'!$AJ$35:$AJ$44,0)))</f>
        <v/>
      </c>
      <c r="G27" s="28">
        <f>IF(COUNTIF('FIFA WC 2026'!$S$5:$S$66,A27)&gt;0,4,0)</f>
        <v/>
      </c>
      <c r="H27" s="28">
        <f>IF(COUNTIF('FIFA WC 2026'!$W$7:$W$64,A27)&gt;0,6,0)</f>
        <v/>
      </c>
      <c r="I27" s="28">
        <f>IF(COUNTIF('FIFA WC 2026'!$AA$11:$AA$60,A27)&gt;0,8,0)</f>
        <v/>
      </c>
      <c r="J27" s="28">
        <f>IF(COUNTIF('FIFA WC 2026'!$AE$19:$AE$52,A27)&gt;0,10,0)</f>
        <v/>
      </c>
      <c r="K27" s="28">
        <f>IF(COUNTIF('FIFA WC 2026'!$AI$35:$AI$36,A27)&gt;0,13,0)</f>
        <v/>
      </c>
      <c r="L27" s="28">
        <f>IF('FIFA WC 2026'!$AI$40=A27,16,0)</f>
        <v/>
      </c>
      <c r="M27" s="111">
        <f>SUM(C27:L27)+O27</f>
        <v/>
      </c>
      <c r="N27" s="110">
        <f>M27-F27</f>
        <v/>
      </c>
      <c r="O27">
        <f>IF('FIFA WC 2026'!$AI$41=$A27,5,0)</f>
        <v/>
      </c>
    </row>
    <row r="28" ht="12.75" customHeight="1">
      <c r="A28" s="106" t="inlineStr">
        <is>
          <t>Belgium</t>
        </is>
      </c>
      <c r="B28" s="107" t="inlineStr">
        <is>
          <t>G</t>
        </is>
      </c>
      <c r="C28" s="108">
        <f t="array" ref="C28">3*(SUMPRODUCT((MOD(INT((ROW('FIFA WC 2026'!$E$5:$E$76)-4)/2),3)=0)*('FIFA WC 2026'!$E$5:$E$76=A28)*ISNUMBER('FIFA WC 2026'!$F$5:$F$76)*ISNUMBER('FIFA WC 2026'!$G$5:$G$76)*('FIFA WC 2026'!$F$5:$F$76&gt;'FIFA WC 2026'!$G$5:$G$76))+SUMPRODUCT((MOD(INT((ROW('FIFA WC 2026'!$E$5:$E$76)-4)/2),3)=0)*('FIFA WC 2026'!$H$5:$H$76=A28)*ISNUMBER('FIFA WC 2026'!$F$5:$F$76)*ISNUMBER('FIFA WC 2026'!$G$5:$G$76)*('FIFA WC 2026'!$G$5:$G$76&gt;'FIFA WC 2026'!$F$5:$F$76)))+(SUMPRODUCT((MOD(INT((ROW('FIFA WC 2026'!$E$5:$E$76)-4)/2),3)=0)*((('FIFA WC 2026'!$E$5:$E$76=A28)+('FIFA WC 2026'!$H$5:$H$76=A28))&gt;0)*ISNUMBER('FIFA WC 2026'!$F$5:$F$76)*ISNUMBER('FIFA WC 2026'!$G$5:$G$76)*('FIFA WC 2026'!$F$5:$F$76='FIFA WC 2026'!$G$5:$G$76)))</f>
        <v/>
      </c>
      <c r="D28" s="108">
        <f t="array" ref="D28">3*(SUMPRODUCT((MOD(INT((ROW('FIFA WC 2026'!$E$5:$E$76)-4)/2),3)=1)*('FIFA WC 2026'!$E$5:$E$76=A28)*ISNUMBER('FIFA WC 2026'!$F$5:$F$76)*ISNUMBER('FIFA WC 2026'!$G$5:$G$76)*('FIFA WC 2026'!$F$5:$F$76&gt;'FIFA WC 2026'!$G$5:$G$76))+SUMPRODUCT((MOD(INT((ROW('FIFA WC 2026'!$E$5:$E$76)-4)/2),3)=1)*('FIFA WC 2026'!$H$5:$H$76=A28)*ISNUMBER('FIFA WC 2026'!$F$5:$F$76)*ISNUMBER('FIFA WC 2026'!$G$5:$G$76)*('FIFA WC 2026'!$G$5:$G$76&gt;'FIFA WC 2026'!$F$5:$F$76)))+(SUMPRODUCT((MOD(INT((ROW('FIFA WC 2026'!$E$5:$E$76)-4)/2),3)=1)*((('FIFA WC 2026'!$E$5:$E$76=A28)+('FIFA WC 2026'!$H$5:$H$76=A28))&gt;0)*ISNUMBER('FIFA WC 2026'!$F$5:$F$76)*ISNUMBER('FIFA WC 2026'!$G$5:$G$76)*('FIFA WC 2026'!$F$5:$F$76='FIFA WC 2026'!$G$5:$G$76)))</f>
        <v/>
      </c>
      <c r="E28" s="108">
        <f t="array" ref="E28">3*(SUMPRODUCT((MOD(INT((ROW('FIFA WC 2026'!$E$5:$E$76)-4)/2),3)=2)*('FIFA WC 2026'!$E$5:$E$76=A28)*ISNUMBER('FIFA WC 2026'!$F$5:$F$76)*ISNUMBER('FIFA WC 2026'!$G$5:$G$76)*('FIFA WC 2026'!$F$5:$F$76&gt;'FIFA WC 2026'!$G$5:$G$76))+SUMPRODUCT((MOD(INT((ROW('FIFA WC 2026'!$E$5:$E$76)-4)/2),3)=2)*('FIFA WC 2026'!$H$5:$H$76=A28)*ISNUMBER('FIFA WC 2026'!$F$5:$F$76)*ISNUMBER('FIFA WC 2026'!$G$5:$G$76)*('FIFA WC 2026'!$G$5:$G$76&gt;'FIFA WC 2026'!$F$5:$F$76)))+(SUMPRODUCT((MOD(INT((ROW('FIFA WC 2026'!$E$5:$E$76)-4)/2),3)=2)*((('FIFA WC 2026'!$E$5:$E$76=A28)+('FIFA WC 2026'!$H$5:$H$76=A28))&gt;0)*ISNUMBER('FIFA WC 2026'!$F$5:$F$76)*ISNUMBER('FIFA WC 2026'!$G$5:$G$76)*('FIFA WC 2026'!$F$5:$F$76='FIFA WC 2026'!$G$5:$G$76)))</f>
        <v/>
      </c>
      <c r="F28" s="108">
        <f t="array" ref="F28">0.5*(SUMPRODUCT(('FIFA WC 2026'!$E$5:$E$76=A28)*IFERROR('FIFA WC 2026'!$F$5:$F$76,0))+SUMPRODUCT(('FIFA WC 2026'!$H$5:$H$76=A28)*IFERROR('FIFA WC 2026'!$G$5:$G$76,0))+SUMPRODUCT(('FIFA WC 2026'!$S$5:$S$66=A28)*IFERROR('FIFA WC 2026'!$T$5:$T$66,0))+SUMPRODUCT(('FIFA WC 2026'!$W$7:$W$64=A28)*IFERROR('FIFA WC 2026'!$X$7:$X$64,0))+SUMPRODUCT(('FIFA WC 2026'!$AA$11:$AA$66=A28)*IFERROR('FIFA WC 2026'!$AB$11:$AB$66,0))+SUMPRODUCT(('FIFA WC 2026'!$AE$19:$AE$52=A28)*IFERROR('FIFA WC 2026'!$AF$19:$AF$52,0))+SUMPRODUCT(('FIFA WC 2026'!$AI$35:$AI$44=A28)*IFERROR('FIFA WC 2026'!$AJ$35:$AJ$44,0)))</f>
        <v/>
      </c>
      <c r="G28" s="108">
        <f>IF(COUNTIF('FIFA WC 2026'!$S$5:$S$66,A28)&gt;0,4,0)</f>
        <v/>
      </c>
      <c r="H28" s="108">
        <f>IF(COUNTIF('FIFA WC 2026'!$W$7:$W$64,A28)&gt;0,6,0)</f>
        <v/>
      </c>
      <c r="I28" s="108">
        <f>IF(COUNTIF('FIFA WC 2026'!$AA$11:$AA$60,A28)&gt;0,8,0)</f>
        <v/>
      </c>
      <c r="J28" s="108">
        <f>IF(COUNTIF('FIFA WC 2026'!$AE$19:$AE$52,A28)&gt;0,10,0)</f>
        <v/>
      </c>
      <c r="K28" s="108">
        <f>IF(COUNTIF('FIFA WC 2026'!$AI$35:$AI$36,A28)&gt;0,13,0)</f>
        <v/>
      </c>
      <c r="L28" s="108">
        <f>IF('FIFA WC 2026'!$AI$40=A28,16,0)</f>
        <v/>
      </c>
      <c r="M28" s="109">
        <f>SUM(C28:L28)+O28</f>
        <v/>
      </c>
      <c r="N28" s="110">
        <f>M28-F28</f>
        <v/>
      </c>
      <c r="O28">
        <f>IF('FIFA WC 2026'!$AI$41=$A28,5,0)</f>
        <v/>
      </c>
    </row>
    <row r="29" ht="12.75" customHeight="1">
      <c r="A29" s="106" t="inlineStr">
        <is>
          <t>Egypt</t>
        </is>
      </c>
      <c r="B29" s="107" t="inlineStr">
        <is>
          <t>G</t>
        </is>
      </c>
      <c r="C29" s="108">
        <f t="array" ref="C29">3*(SUMPRODUCT((MOD(INT((ROW('FIFA WC 2026'!$E$5:$E$76)-4)/2),3)=0)*('FIFA WC 2026'!$E$5:$E$76=A29)*ISNUMBER('FIFA WC 2026'!$F$5:$F$76)*ISNUMBER('FIFA WC 2026'!$G$5:$G$76)*('FIFA WC 2026'!$F$5:$F$76&gt;'FIFA WC 2026'!$G$5:$G$76))+SUMPRODUCT((MOD(INT((ROW('FIFA WC 2026'!$E$5:$E$76)-4)/2),3)=0)*('FIFA WC 2026'!$H$5:$H$76=A29)*ISNUMBER('FIFA WC 2026'!$F$5:$F$76)*ISNUMBER('FIFA WC 2026'!$G$5:$G$76)*('FIFA WC 2026'!$G$5:$G$76&gt;'FIFA WC 2026'!$F$5:$F$76)))+(SUMPRODUCT((MOD(INT((ROW('FIFA WC 2026'!$E$5:$E$76)-4)/2),3)=0)*((('FIFA WC 2026'!$E$5:$E$76=A29)+('FIFA WC 2026'!$H$5:$H$76=A29))&gt;0)*ISNUMBER('FIFA WC 2026'!$F$5:$F$76)*ISNUMBER('FIFA WC 2026'!$G$5:$G$76)*('FIFA WC 2026'!$F$5:$F$76='FIFA WC 2026'!$G$5:$G$76)))</f>
        <v/>
      </c>
      <c r="D29" s="108">
        <f t="array" ref="D29">3*(SUMPRODUCT((MOD(INT((ROW('FIFA WC 2026'!$E$5:$E$76)-4)/2),3)=1)*('FIFA WC 2026'!$E$5:$E$76=A29)*ISNUMBER('FIFA WC 2026'!$F$5:$F$76)*ISNUMBER('FIFA WC 2026'!$G$5:$G$76)*('FIFA WC 2026'!$F$5:$F$76&gt;'FIFA WC 2026'!$G$5:$G$76))+SUMPRODUCT((MOD(INT((ROW('FIFA WC 2026'!$E$5:$E$76)-4)/2),3)=1)*('FIFA WC 2026'!$H$5:$H$76=A29)*ISNUMBER('FIFA WC 2026'!$F$5:$F$76)*ISNUMBER('FIFA WC 2026'!$G$5:$G$76)*('FIFA WC 2026'!$G$5:$G$76&gt;'FIFA WC 2026'!$F$5:$F$76)))+(SUMPRODUCT((MOD(INT((ROW('FIFA WC 2026'!$E$5:$E$76)-4)/2),3)=1)*((('FIFA WC 2026'!$E$5:$E$76=A29)+('FIFA WC 2026'!$H$5:$H$76=A29))&gt;0)*ISNUMBER('FIFA WC 2026'!$F$5:$F$76)*ISNUMBER('FIFA WC 2026'!$G$5:$G$76)*('FIFA WC 2026'!$F$5:$F$76='FIFA WC 2026'!$G$5:$G$76)))</f>
        <v/>
      </c>
      <c r="E29" s="108">
        <f t="array" ref="E29">3*(SUMPRODUCT((MOD(INT((ROW('FIFA WC 2026'!$E$5:$E$76)-4)/2),3)=2)*('FIFA WC 2026'!$E$5:$E$76=A29)*ISNUMBER('FIFA WC 2026'!$F$5:$F$76)*ISNUMBER('FIFA WC 2026'!$G$5:$G$76)*('FIFA WC 2026'!$F$5:$F$76&gt;'FIFA WC 2026'!$G$5:$G$76))+SUMPRODUCT((MOD(INT((ROW('FIFA WC 2026'!$E$5:$E$76)-4)/2),3)=2)*('FIFA WC 2026'!$H$5:$H$76=A29)*ISNUMBER('FIFA WC 2026'!$F$5:$F$76)*ISNUMBER('FIFA WC 2026'!$G$5:$G$76)*('FIFA WC 2026'!$G$5:$G$76&gt;'FIFA WC 2026'!$F$5:$F$76)))+(SUMPRODUCT((MOD(INT((ROW('FIFA WC 2026'!$E$5:$E$76)-4)/2),3)=2)*((('FIFA WC 2026'!$E$5:$E$76=A29)+('FIFA WC 2026'!$H$5:$H$76=A29))&gt;0)*ISNUMBER('FIFA WC 2026'!$F$5:$F$76)*ISNUMBER('FIFA WC 2026'!$G$5:$G$76)*('FIFA WC 2026'!$F$5:$F$76='FIFA WC 2026'!$G$5:$G$76)))</f>
        <v/>
      </c>
      <c r="F29" s="108">
        <f t="array" ref="F29">0.5*(SUMPRODUCT(('FIFA WC 2026'!$E$5:$E$76=A29)*IFERROR('FIFA WC 2026'!$F$5:$F$76,0))+SUMPRODUCT(('FIFA WC 2026'!$H$5:$H$76=A29)*IFERROR('FIFA WC 2026'!$G$5:$G$76,0))+SUMPRODUCT(('FIFA WC 2026'!$S$5:$S$66=A29)*IFERROR('FIFA WC 2026'!$T$5:$T$66,0))+SUMPRODUCT(('FIFA WC 2026'!$W$7:$W$64=A29)*IFERROR('FIFA WC 2026'!$X$7:$X$64,0))+SUMPRODUCT(('FIFA WC 2026'!$AA$11:$AA$66=A29)*IFERROR('FIFA WC 2026'!$AB$11:$AB$66,0))+SUMPRODUCT(('FIFA WC 2026'!$AE$19:$AE$52=A29)*IFERROR('FIFA WC 2026'!$AF$19:$AF$52,0))+SUMPRODUCT(('FIFA WC 2026'!$AI$35:$AI$44=A29)*IFERROR('FIFA WC 2026'!$AJ$35:$AJ$44,0)))</f>
        <v/>
      </c>
      <c r="G29" s="108">
        <f>IF(COUNTIF('FIFA WC 2026'!$S$5:$S$66,A29)&gt;0,4,0)</f>
        <v/>
      </c>
      <c r="H29" s="108">
        <f>IF(COUNTIF('FIFA WC 2026'!$W$7:$W$64,A29)&gt;0,6,0)</f>
        <v/>
      </c>
      <c r="I29" s="108">
        <f>IF(COUNTIF('FIFA WC 2026'!$AA$11:$AA$60,A29)&gt;0,8,0)</f>
        <v/>
      </c>
      <c r="J29" s="108">
        <f>IF(COUNTIF('FIFA WC 2026'!$AE$19:$AE$52,A29)&gt;0,10,0)</f>
        <v/>
      </c>
      <c r="K29" s="108">
        <f>IF(COUNTIF('FIFA WC 2026'!$AI$35:$AI$36,A29)&gt;0,13,0)</f>
        <v/>
      </c>
      <c r="L29" s="108">
        <f>IF('FIFA WC 2026'!$AI$40=A29,16,0)</f>
        <v/>
      </c>
      <c r="M29" s="109">
        <f>SUM(C29:L29)+O29</f>
        <v/>
      </c>
      <c r="N29" s="110">
        <f>M29-F29</f>
        <v/>
      </c>
      <c r="O29">
        <f>IF('FIFA WC 2026'!$AI$41=$A29,5,0)</f>
        <v/>
      </c>
    </row>
    <row r="30" ht="12.75" customHeight="1">
      <c r="A30" s="106" t="inlineStr">
        <is>
          <t>Iran</t>
        </is>
      </c>
      <c r="B30" s="107" t="inlineStr">
        <is>
          <t>G</t>
        </is>
      </c>
      <c r="C30" s="108">
        <f t="array" ref="C30">3*(SUMPRODUCT((MOD(INT((ROW('FIFA WC 2026'!$E$5:$E$76)-4)/2),3)=0)*('FIFA WC 2026'!$E$5:$E$76=A30)*ISNUMBER('FIFA WC 2026'!$F$5:$F$76)*ISNUMBER('FIFA WC 2026'!$G$5:$G$76)*('FIFA WC 2026'!$F$5:$F$76&gt;'FIFA WC 2026'!$G$5:$G$76))+SUMPRODUCT((MOD(INT((ROW('FIFA WC 2026'!$E$5:$E$76)-4)/2),3)=0)*('FIFA WC 2026'!$H$5:$H$76=A30)*ISNUMBER('FIFA WC 2026'!$F$5:$F$76)*ISNUMBER('FIFA WC 2026'!$G$5:$G$76)*('FIFA WC 2026'!$G$5:$G$76&gt;'FIFA WC 2026'!$F$5:$F$76)))+(SUMPRODUCT((MOD(INT((ROW('FIFA WC 2026'!$E$5:$E$76)-4)/2),3)=0)*((('FIFA WC 2026'!$E$5:$E$76=A30)+('FIFA WC 2026'!$H$5:$H$76=A30))&gt;0)*ISNUMBER('FIFA WC 2026'!$F$5:$F$76)*ISNUMBER('FIFA WC 2026'!$G$5:$G$76)*('FIFA WC 2026'!$F$5:$F$76='FIFA WC 2026'!$G$5:$G$76)))</f>
        <v/>
      </c>
      <c r="D30" s="108">
        <f t="array" ref="D30">3*(SUMPRODUCT((MOD(INT((ROW('FIFA WC 2026'!$E$5:$E$76)-4)/2),3)=1)*('FIFA WC 2026'!$E$5:$E$76=A30)*ISNUMBER('FIFA WC 2026'!$F$5:$F$76)*ISNUMBER('FIFA WC 2026'!$G$5:$G$76)*('FIFA WC 2026'!$F$5:$F$76&gt;'FIFA WC 2026'!$G$5:$G$76))+SUMPRODUCT((MOD(INT((ROW('FIFA WC 2026'!$E$5:$E$76)-4)/2),3)=1)*('FIFA WC 2026'!$H$5:$H$76=A30)*ISNUMBER('FIFA WC 2026'!$F$5:$F$76)*ISNUMBER('FIFA WC 2026'!$G$5:$G$76)*('FIFA WC 2026'!$G$5:$G$76&gt;'FIFA WC 2026'!$F$5:$F$76)))+(SUMPRODUCT((MOD(INT((ROW('FIFA WC 2026'!$E$5:$E$76)-4)/2),3)=1)*((('FIFA WC 2026'!$E$5:$E$76=A30)+('FIFA WC 2026'!$H$5:$H$76=A30))&gt;0)*ISNUMBER('FIFA WC 2026'!$F$5:$F$76)*ISNUMBER('FIFA WC 2026'!$G$5:$G$76)*('FIFA WC 2026'!$F$5:$F$76='FIFA WC 2026'!$G$5:$G$76)))</f>
        <v/>
      </c>
      <c r="E30" s="108">
        <f t="array" ref="E30">3*(SUMPRODUCT((MOD(INT((ROW('FIFA WC 2026'!$E$5:$E$76)-4)/2),3)=2)*('FIFA WC 2026'!$E$5:$E$76=A30)*ISNUMBER('FIFA WC 2026'!$F$5:$F$76)*ISNUMBER('FIFA WC 2026'!$G$5:$G$76)*('FIFA WC 2026'!$F$5:$F$76&gt;'FIFA WC 2026'!$G$5:$G$76))+SUMPRODUCT((MOD(INT((ROW('FIFA WC 2026'!$E$5:$E$76)-4)/2),3)=2)*('FIFA WC 2026'!$H$5:$H$76=A30)*ISNUMBER('FIFA WC 2026'!$F$5:$F$76)*ISNUMBER('FIFA WC 2026'!$G$5:$G$76)*('FIFA WC 2026'!$G$5:$G$76&gt;'FIFA WC 2026'!$F$5:$F$76)))+(SUMPRODUCT((MOD(INT((ROW('FIFA WC 2026'!$E$5:$E$76)-4)/2),3)=2)*((('FIFA WC 2026'!$E$5:$E$76=A30)+('FIFA WC 2026'!$H$5:$H$76=A30))&gt;0)*ISNUMBER('FIFA WC 2026'!$F$5:$F$76)*ISNUMBER('FIFA WC 2026'!$G$5:$G$76)*('FIFA WC 2026'!$F$5:$F$76='FIFA WC 2026'!$G$5:$G$76)))</f>
        <v/>
      </c>
      <c r="F30" s="108">
        <f t="array" ref="F30">0.5*(SUMPRODUCT(('FIFA WC 2026'!$E$5:$E$76=A30)*IFERROR('FIFA WC 2026'!$F$5:$F$76,0))+SUMPRODUCT(('FIFA WC 2026'!$H$5:$H$76=A30)*IFERROR('FIFA WC 2026'!$G$5:$G$76,0))+SUMPRODUCT(('FIFA WC 2026'!$S$5:$S$66=A30)*IFERROR('FIFA WC 2026'!$T$5:$T$66,0))+SUMPRODUCT(('FIFA WC 2026'!$W$7:$W$64=A30)*IFERROR('FIFA WC 2026'!$X$7:$X$64,0))+SUMPRODUCT(('FIFA WC 2026'!$AA$11:$AA$66=A30)*IFERROR('FIFA WC 2026'!$AB$11:$AB$66,0))+SUMPRODUCT(('FIFA WC 2026'!$AE$19:$AE$52=A30)*IFERROR('FIFA WC 2026'!$AF$19:$AF$52,0))+SUMPRODUCT(('FIFA WC 2026'!$AI$35:$AI$44=A30)*IFERROR('FIFA WC 2026'!$AJ$35:$AJ$44,0)))</f>
        <v/>
      </c>
      <c r="G30" s="108">
        <f>IF(COUNTIF('FIFA WC 2026'!$S$5:$S$66,A30)&gt;0,4,0)</f>
        <v/>
      </c>
      <c r="H30" s="108">
        <f>IF(COUNTIF('FIFA WC 2026'!$W$7:$W$64,A30)&gt;0,6,0)</f>
        <v/>
      </c>
      <c r="I30" s="108">
        <f>IF(COUNTIF('FIFA WC 2026'!$AA$11:$AA$60,A30)&gt;0,8,0)</f>
        <v/>
      </c>
      <c r="J30" s="108">
        <f>IF(COUNTIF('FIFA WC 2026'!$AE$19:$AE$52,A30)&gt;0,10,0)</f>
        <v/>
      </c>
      <c r="K30" s="108">
        <f>IF(COUNTIF('FIFA WC 2026'!$AI$35:$AI$36,A30)&gt;0,13,0)</f>
        <v/>
      </c>
      <c r="L30" s="108">
        <f>IF('FIFA WC 2026'!$AI$40=A30,16,0)</f>
        <v/>
      </c>
      <c r="M30" s="109">
        <f>SUM(C30:L30)+O30</f>
        <v/>
      </c>
      <c r="N30" s="110">
        <f>M30-F30</f>
        <v/>
      </c>
      <c r="O30">
        <f>IF('FIFA WC 2026'!$AI$41=$A30,5,0)</f>
        <v/>
      </c>
    </row>
    <row r="31" ht="12.75" customHeight="1">
      <c r="A31" s="106" t="inlineStr">
        <is>
          <t>New Zealand</t>
        </is>
      </c>
      <c r="B31" s="107" t="inlineStr">
        <is>
          <t>G</t>
        </is>
      </c>
      <c r="C31" s="108">
        <f t="array" ref="C31">3*(SUMPRODUCT((MOD(INT((ROW('FIFA WC 2026'!$E$5:$E$76)-4)/2),3)=0)*('FIFA WC 2026'!$E$5:$E$76=A31)*ISNUMBER('FIFA WC 2026'!$F$5:$F$76)*ISNUMBER('FIFA WC 2026'!$G$5:$G$76)*('FIFA WC 2026'!$F$5:$F$76&gt;'FIFA WC 2026'!$G$5:$G$76))+SUMPRODUCT((MOD(INT((ROW('FIFA WC 2026'!$E$5:$E$76)-4)/2),3)=0)*('FIFA WC 2026'!$H$5:$H$76=A31)*ISNUMBER('FIFA WC 2026'!$F$5:$F$76)*ISNUMBER('FIFA WC 2026'!$G$5:$G$76)*('FIFA WC 2026'!$G$5:$G$76&gt;'FIFA WC 2026'!$F$5:$F$76)))+(SUMPRODUCT((MOD(INT((ROW('FIFA WC 2026'!$E$5:$E$76)-4)/2),3)=0)*((('FIFA WC 2026'!$E$5:$E$76=A31)+('FIFA WC 2026'!$H$5:$H$76=A31))&gt;0)*ISNUMBER('FIFA WC 2026'!$F$5:$F$76)*ISNUMBER('FIFA WC 2026'!$G$5:$G$76)*('FIFA WC 2026'!$F$5:$F$76='FIFA WC 2026'!$G$5:$G$76)))</f>
        <v/>
      </c>
      <c r="D31" s="108">
        <f t="array" ref="D31">3*(SUMPRODUCT((MOD(INT((ROW('FIFA WC 2026'!$E$5:$E$76)-4)/2),3)=1)*('FIFA WC 2026'!$E$5:$E$76=A31)*ISNUMBER('FIFA WC 2026'!$F$5:$F$76)*ISNUMBER('FIFA WC 2026'!$G$5:$G$76)*('FIFA WC 2026'!$F$5:$F$76&gt;'FIFA WC 2026'!$G$5:$G$76))+SUMPRODUCT((MOD(INT((ROW('FIFA WC 2026'!$E$5:$E$76)-4)/2),3)=1)*('FIFA WC 2026'!$H$5:$H$76=A31)*ISNUMBER('FIFA WC 2026'!$F$5:$F$76)*ISNUMBER('FIFA WC 2026'!$G$5:$G$76)*('FIFA WC 2026'!$G$5:$G$76&gt;'FIFA WC 2026'!$F$5:$F$76)))+(SUMPRODUCT((MOD(INT((ROW('FIFA WC 2026'!$E$5:$E$76)-4)/2),3)=1)*((('FIFA WC 2026'!$E$5:$E$76=A31)+('FIFA WC 2026'!$H$5:$H$76=A31))&gt;0)*ISNUMBER('FIFA WC 2026'!$F$5:$F$76)*ISNUMBER('FIFA WC 2026'!$G$5:$G$76)*('FIFA WC 2026'!$F$5:$F$76='FIFA WC 2026'!$G$5:$G$76)))</f>
        <v/>
      </c>
      <c r="E31" s="108">
        <f t="array" ref="E31">3*(SUMPRODUCT((MOD(INT((ROW('FIFA WC 2026'!$E$5:$E$76)-4)/2),3)=2)*('FIFA WC 2026'!$E$5:$E$76=A31)*ISNUMBER('FIFA WC 2026'!$F$5:$F$76)*ISNUMBER('FIFA WC 2026'!$G$5:$G$76)*('FIFA WC 2026'!$F$5:$F$76&gt;'FIFA WC 2026'!$G$5:$G$76))+SUMPRODUCT((MOD(INT((ROW('FIFA WC 2026'!$E$5:$E$76)-4)/2),3)=2)*('FIFA WC 2026'!$H$5:$H$76=A31)*ISNUMBER('FIFA WC 2026'!$F$5:$F$76)*ISNUMBER('FIFA WC 2026'!$G$5:$G$76)*('FIFA WC 2026'!$G$5:$G$76&gt;'FIFA WC 2026'!$F$5:$F$76)))+(SUMPRODUCT((MOD(INT((ROW('FIFA WC 2026'!$E$5:$E$76)-4)/2),3)=2)*((('FIFA WC 2026'!$E$5:$E$76=A31)+('FIFA WC 2026'!$H$5:$H$76=A31))&gt;0)*ISNUMBER('FIFA WC 2026'!$F$5:$F$76)*ISNUMBER('FIFA WC 2026'!$G$5:$G$76)*('FIFA WC 2026'!$F$5:$F$76='FIFA WC 2026'!$G$5:$G$76)))</f>
        <v/>
      </c>
      <c r="F31" s="108">
        <f t="array" ref="F31">0.5*(SUMPRODUCT(('FIFA WC 2026'!$E$5:$E$76=A31)*IFERROR('FIFA WC 2026'!$F$5:$F$76,0))+SUMPRODUCT(('FIFA WC 2026'!$H$5:$H$76=A31)*IFERROR('FIFA WC 2026'!$G$5:$G$76,0))+SUMPRODUCT(('FIFA WC 2026'!$S$5:$S$66=A31)*IFERROR('FIFA WC 2026'!$T$5:$T$66,0))+SUMPRODUCT(('FIFA WC 2026'!$W$7:$W$64=A31)*IFERROR('FIFA WC 2026'!$X$7:$X$64,0))+SUMPRODUCT(('FIFA WC 2026'!$AA$11:$AA$66=A31)*IFERROR('FIFA WC 2026'!$AB$11:$AB$66,0))+SUMPRODUCT(('FIFA WC 2026'!$AE$19:$AE$52=A31)*IFERROR('FIFA WC 2026'!$AF$19:$AF$52,0))+SUMPRODUCT(('FIFA WC 2026'!$AI$35:$AI$44=A31)*IFERROR('FIFA WC 2026'!$AJ$35:$AJ$44,0)))</f>
        <v/>
      </c>
      <c r="G31" s="108">
        <f>IF(COUNTIF('FIFA WC 2026'!$S$5:$S$66,A31)&gt;0,4,0)</f>
        <v/>
      </c>
      <c r="H31" s="108">
        <f>IF(COUNTIF('FIFA WC 2026'!$W$7:$W$64,A31)&gt;0,6,0)</f>
        <v/>
      </c>
      <c r="I31" s="108">
        <f>IF(COUNTIF('FIFA WC 2026'!$AA$11:$AA$60,A31)&gt;0,8,0)</f>
        <v/>
      </c>
      <c r="J31" s="108">
        <f>IF(COUNTIF('FIFA WC 2026'!$AE$19:$AE$52,A31)&gt;0,10,0)</f>
        <v/>
      </c>
      <c r="K31" s="108">
        <f>IF(COUNTIF('FIFA WC 2026'!$AI$35:$AI$36,A31)&gt;0,13,0)</f>
        <v/>
      </c>
      <c r="L31" s="108">
        <f>IF('FIFA WC 2026'!$AI$40=A31,16,0)</f>
        <v/>
      </c>
      <c r="M31" s="109">
        <f>SUM(C31:L31)+O31</f>
        <v/>
      </c>
      <c r="N31" s="110">
        <f>M31-F31</f>
        <v/>
      </c>
      <c r="O31">
        <f>IF('FIFA WC 2026'!$AI$41=$A31,5,0)</f>
        <v/>
      </c>
    </row>
    <row r="32" ht="12.75" customHeight="1">
      <c r="A32" s="27" t="inlineStr">
        <is>
          <t>Spain</t>
        </is>
      </c>
      <c r="B32" s="26" t="inlineStr">
        <is>
          <t>H</t>
        </is>
      </c>
      <c r="C32" s="28">
        <f t="array" ref="C32">3*(SUMPRODUCT((MOD(INT((ROW('FIFA WC 2026'!$E$5:$E$76)-4)/2),3)=0)*('FIFA WC 2026'!$E$5:$E$76=A32)*ISNUMBER('FIFA WC 2026'!$F$5:$F$76)*ISNUMBER('FIFA WC 2026'!$G$5:$G$76)*('FIFA WC 2026'!$F$5:$F$76&gt;'FIFA WC 2026'!$G$5:$G$76))+SUMPRODUCT((MOD(INT((ROW('FIFA WC 2026'!$E$5:$E$76)-4)/2),3)=0)*('FIFA WC 2026'!$H$5:$H$76=A32)*ISNUMBER('FIFA WC 2026'!$F$5:$F$76)*ISNUMBER('FIFA WC 2026'!$G$5:$G$76)*('FIFA WC 2026'!$G$5:$G$76&gt;'FIFA WC 2026'!$F$5:$F$76)))+(SUMPRODUCT((MOD(INT((ROW('FIFA WC 2026'!$E$5:$E$76)-4)/2),3)=0)*((('FIFA WC 2026'!$E$5:$E$76=A32)+('FIFA WC 2026'!$H$5:$H$76=A32))&gt;0)*ISNUMBER('FIFA WC 2026'!$F$5:$F$76)*ISNUMBER('FIFA WC 2026'!$G$5:$G$76)*('FIFA WC 2026'!$F$5:$F$76='FIFA WC 2026'!$G$5:$G$76)))</f>
        <v/>
      </c>
      <c r="D32" s="28">
        <f t="array" ref="D32">3*(SUMPRODUCT((MOD(INT((ROW('FIFA WC 2026'!$E$5:$E$76)-4)/2),3)=1)*('FIFA WC 2026'!$E$5:$E$76=A32)*ISNUMBER('FIFA WC 2026'!$F$5:$F$76)*ISNUMBER('FIFA WC 2026'!$G$5:$G$76)*('FIFA WC 2026'!$F$5:$F$76&gt;'FIFA WC 2026'!$G$5:$G$76))+SUMPRODUCT((MOD(INT((ROW('FIFA WC 2026'!$E$5:$E$76)-4)/2),3)=1)*('FIFA WC 2026'!$H$5:$H$76=A32)*ISNUMBER('FIFA WC 2026'!$F$5:$F$76)*ISNUMBER('FIFA WC 2026'!$G$5:$G$76)*('FIFA WC 2026'!$G$5:$G$76&gt;'FIFA WC 2026'!$F$5:$F$76)))+(SUMPRODUCT((MOD(INT((ROW('FIFA WC 2026'!$E$5:$E$76)-4)/2),3)=1)*((('FIFA WC 2026'!$E$5:$E$76=A32)+('FIFA WC 2026'!$H$5:$H$76=A32))&gt;0)*ISNUMBER('FIFA WC 2026'!$F$5:$F$76)*ISNUMBER('FIFA WC 2026'!$G$5:$G$76)*('FIFA WC 2026'!$F$5:$F$76='FIFA WC 2026'!$G$5:$G$76)))</f>
        <v/>
      </c>
      <c r="E32" s="28">
        <f t="array" ref="E32">3*(SUMPRODUCT((MOD(INT((ROW('FIFA WC 2026'!$E$5:$E$76)-4)/2),3)=2)*('FIFA WC 2026'!$E$5:$E$76=A32)*ISNUMBER('FIFA WC 2026'!$F$5:$F$76)*ISNUMBER('FIFA WC 2026'!$G$5:$G$76)*('FIFA WC 2026'!$F$5:$F$76&gt;'FIFA WC 2026'!$G$5:$G$76))+SUMPRODUCT((MOD(INT((ROW('FIFA WC 2026'!$E$5:$E$76)-4)/2),3)=2)*('FIFA WC 2026'!$H$5:$H$76=A32)*ISNUMBER('FIFA WC 2026'!$F$5:$F$76)*ISNUMBER('FIFA WC 2026'!$G$5:$G$76)*('FIFA WC 2026'!$G$5:$G$76&gt;'FIFA WC 2026'!$F$5:$F$76)))+(SUMPRODUCT((MOD(INT((ROW('FIFA WC 2026'!$E$5:$E$76)-4)/2),3)=2)*((('FIFA WC 2026'!$E$5:$E$76=A32)+('FIFA WC 2026'!$H$5:$H$76=A32))&gt;0)*ISNUMBER('FIFA WC 2026'!$F$5:$F$76)*ISNUMBER('FIFA WC 2026'!$G$5:$G$76)*('FIFA WC 2026'!$F$5:$F$76='FIFA WC 2026'!$G$5:$G$76)))</f>
        <v/>
      </c>
      <c r="F32" s="28">
        <f t="array" ref="F32">0.5*(SUMPRODUCT(('FIFA WC 2026'!$E$5:$E$76=A32)*IFERROR('FIFA WC 2026'!$F$5:$F$76,0))+SUMPRODUCT(('FIFA WC 2026'!$H$5:$H$76=A32)*IFERROR('FIFA WC 2026'!$G$5:$G$76,0))+SUMPRODUCT(('FIFA WC 2026'!$S$5:$S$66=A32)*IFERROR('FIFA WC 2026'!$T$5:$T$66,0))+SUMPRODUCT(('FIFA WC 2026'!$W$7:$W$64=A32)*IFERROR('FIFA WC 2026'!$X$7:$X$64,0))+SUMPRODUCT(('FIFA WC 2026'!$AA$11:$AA$66=A32)*IFERROR('FIFA WC 2026'!$AB$11:$AB$66,0))+SUMPRODUCT(('FIFA WC 2026'!$AE$19:$AE$52=A32)*IFERROR('FIFA WC 2026'!$AF$19:$AF$52,0))+SUMPRODUCT(('FIFA WC 2026'!$AI$35:$AI$44=A32)*IFERROR('FIFA WC 2026'!$AJ$35:$AJ$44,0)))</f>
        <v/>
      </c>
      <c r="G32" s="28">
        <f>IF(COUNTIF('FIFA WC 2026'!$S$5:$S$66,A32)&gt;0,4,0)</f>
        <v/>
      </c>
      <c r="H32" s="28">
        <f>IF(COUNTIF('FIFA WC 2026'!$W$7:$W$64,A32)&gt;0,6,0)</f>
        <v/>
      </c>
      <c r="I32" s="28">
        <f>IF(COUNTIF('FIFA WC 2026'!$AA$11:$AA$60,A32)&gt;0,8,0)</f>
        <v/>
      </c>
      <c r="J32" s="28">
        <f>IF(COUNTIF('FIFA WC 2026'!$AE$19:$AE$52,A32)&gt;0,10,0)</f>
        <v/>
      </c>
      <c r="K32" s="28">
        <f>IF(COUNTIF('FIFA WC 2026'!$AI$35:$AI$36,A32)&gt;0,13,0)</f>
        <v/>
      </c>
      <c r="L32" s="28">
        <f>IF('FIFA WC 2026'!$AI$40=A32,16,0)</f>
        <v/>
      </c>
      <c r="M32" s="111">
        <f>SUM(C32:L32)+O32</f>
        <v/>
      </c>
      <c r="N32" s="110">
        <f>M32-F32</f>
        <v/>
      </c>
      <c r="O32">
        <f>IF('FIFA WC 2026'!$AI$41=$A32,5,0)</f>
        <v/>
      </c>
    </row>
    <row r="33" ht="12.75" customHeight="1">
      <c r="A33" s="27" t="inlineStr">
        <is>
          <t>Cape Verde</t>
        </is>
      </c>
      <c r="B33" s="26" t="inlineStr">
        <is>
          <t>H</t>
        </is>
      </c>
      <c r="C33" s="28">
        <f t="array" ref="C33">3*(SUMPRODUCT((MOD(INT((ROW('FIFA WC 2026'!$E$5:$E$76)-4)/2),3)=0)*('FIFA WC 2026'!$E$5:$E$76=A33)*ISNUMBER('FIFA WC 2026'!$F$5:$F$76)*ISNUMBER('FIFA WC 2026'!$G$5:$G$76)*('FIFA WC 2026'!$F$5:$F$76&gt;'FIFA WC 2026'!$G$5:$G$76))+SUMPRODUCT((MOD(INT((ROW('FIFA WC 2026'!$E$5:$E$76)-4)/2),3)=0)*('FIFA WC 2026'!$H$5:$H$76=A33)*ISNUMBER('FIFA WC 2026'!$F$5:$F$76)*ISNUMBER('FIFA WC 2026'!$G$5:$G$76)*('FIFA WC 2026'!$G$5:$G$76&gt;'FIFA WC 2026'!$F$5:$F$76)))+(SUMPRODUCT((MOD(INT((ROW('FIFA WC 2026'!$E$5:$E$76)-4)/2),3)=0)*((('FIFA WC 2026'!$E$5:$E$76=A33)+('FIFA WC 2026'!$H$5:$H$76=A33))&gt;0)*ISNUMBER('FIFA WC 2026'!$F$5:$F$76)*ISNUMBER('FIFA WC 2026'!$G$5:$G$76)*('FIFA WC 2026'!$F$5:$F$76='FIFA WC 2026'!$G$5:$G$76)))</f>
        <v/>
      </c>
      <c r="D33" s="28">
        <f t="array" ref="D33">3*(SUMPRODUCT((MOD(INT((ROW('FIFA WC 2026'!$E$5:$E$76)-4)/2),3)=1)*('FIFA WC 2026'!$E$5:$E$76=A33)*ISNUMBER('FIFA WC 2026'!$F$5:$F$76)*ISNUMBER('FIFA WC 2026'!$G$5:$G$76)*('FIFA WC 2026'!$F$5:$F$76&gt;'FIFA WC 2026'!$G$5:$G$76))+SUMPRODUCT((MOD(INT((ROW('FIFA WC 2026'!$E$5:$E$76)-4)/2),3)=1)*('FIFA WC 2026'!$H$5:$H$76=A33)*ISNUMBER('FIFA WC 2026'!$F$5:$F$76)*ISNUMBER('FIFA WC 2026'!$G$5:$G$76)*('FIFA WC 2026'!$G$5:$G$76&gt;'FIFA WC 2026'!$F$5:$F$76)))+(SUMPRODUCT((MOD(INT((ROW('FIFA WC 2026'!$E$5:$E$76)-4)/2),3)=1)*((('FIFA WC 2026'!$E$5:$E$76=A33)+('FIFA WC 2026'!$H$5:$H$76=A33))&gt;0)*ISNUMBER('FIFA WC 2026'!$F$5:$F$76)*ISNUMBER('FIFA WC 2026'!$G$5:$G$76)*('FIFA WC 2026'!$F$5:$F$76='FIFA WC 2026'!$G$5:$G$76)))</f>
        <v/>
      </c>
      <c r="E33" s="28">
        <f t="array" ref="E33">3*(SUMPRODUCT((MOD(INT((ROW('FIFA WC 2026'!$E$5:$E$76)-4)/2),3)=2)*('FIFA WC 2026'!$E$5:$E$76=A33)*ISNUMBER('FIFA WC 2026'!$F$5:$F$76)*ISNUMBER('FIFA WC 2026'!$G$5:$G$76)*('FIFA WC 2026'!$F$5:$F$76&gt;'FIFA WC 2026'!$G$5:$G$76))+SUMPRODUCT((MOD(INT((ROW('FIFA WC 2026'!$E$5:$E$76)-4)/2),3)=2)*('FIFA WC 2026'!$H$5:$H$76=A33)*ISNUMBER('FIFA WC 2026'!$F$5:$F$76)*ISNUMBER('FIFA WC 2026'!$G$5:$G$76)*('FIFA WC 2026'!$G$5:$G$76&gt;'FIFA WC 2026'!$F$5:$F$76)))+(SUMPRODUCT((MOD(INT((ROW('FIFA WC 2026'!$E$5:$E$76)-4)/2),3)=2)*((('FIFA WC 2026'!$E$5:$E$76=A33)+('FIFA WC 2026'!$H$5:$H$76=A33))&gt;0)*ISNUMBER('FIFA WC 2026'!$F$5:$F$76)*ISNUMBER('FIFA WC 2026'!$G$5:$G$76)*('FIFA WC 2026'!$F$5:$F$76='FIFA WC 2026'!$G$5:$G$76)))</f>
        <v/>
      </c>
      <c r="F33" s="28">
        <f t="array" ref="F33">0.5*(SUMPRODUCT(('FIFA WC 2026'!$E$5:$E$76=A33)*IFERROR('FIFA WC 2026'!$F$5:$F$76,0))+SUMPRODUCT(('FIFA WC 2026'!$H$5:$H$76=A33)*IFERROR('FIFA WC 2026'!$G$5:$G$76,0))+SUMPRODUCT(('FIFA WC 2026'!$S$5:$S$66=A33)*IFERROR('FIFA WC 2026'!$T$5:$T$66,0))+SUMPRODUCT(('FIFA WC 2026'!$W$7:$W$64=A33)*IFERROR('FIFA WC 2026'!$X$7:$X$64,0))+SUMPRODUCT(('FIFA WC 2026'!$AA$11:$AA$66=A33)*IFERROR('FIFA WC 2026'!$AB$11:$AB$66,0))+SUMPRODUCT(('FIFA WC 2026'!$AE$19:$AE$52=A33)*IFERROR('FIFA WC 2026'!$AF$19:$AF$52,0))+SUMPRODUCT(('FIFA WC 2026'!$AI$35:$AI$44=A33)*IFERROR('FIFA WC 2026'!$AJ$35:$AJ$44,0)))</f>
        <v/>
      </c>
      <c r="G33" s="28">
        <f>IF(COUNTIF('FIFA WC 2026'!$S$5:$S$66,A33)&gt;0,4,0)</f>
        <v/>
      </c>
      <c r="H33" s="28">
        <f>IF(COUNTIF('FIFA WC 2026'!$W$7:$W$64,A33)&gt;0,6,0)</f>
        <v/>
      </c>
      <c r="I33" s="28">
        <f>IF(COUNTIF('FIFA WC 2026'!$AA$11:$AA$60,A33)&gt;0,8,0)</f>
        <v/>
      </c>
      <c r="J33" s="28">
        <f>IF(COUNTIF('FIFA WC 2026'!$AE$19:$AE$52,A33)&gt;0,10,0)</f>
        <v/>
      </c>
      <c r="K33" s="28">
        <f>IF(COUNTIF('FIFA WC 2026'!$AI$35:$AI$36,A33)&gt;0,13,0)</f>
        <v/>
      </c>
      <c r="L33" s="28">
        <f>IF('FIFA WC 2026'!$AI$40=A33,16,0)</f>
        <v/>
      </c>
      <c r="M33" s="111">
        <f>SUM(C33:L33)+O33</f>
        <v/>
      </c>
      <c r="N33" s="110">
        <f>M33-F33</f>
        <v/>
      </c>
      <c r="O33">
        <f>IF('FIFA WC 2026'!$AI$41=$A33,5,0)</f>
        <v/>
      </c>
    </row>
    <row r="34" ht="12.75" customHeight="1">
      <c r="A34" s="27" t="inlineStr">
        <is>
          <t>Saudi Arabia</t>
        </is>
      </c>
      <c r="B34" s="26" t="inlineStr">
        <is>
          <t>H</t>
        </is>
      </c>
      <c r="C34" s="28">
        <f t="array" ref="C34">3*(SUMPRODUCT((MOD(INT((ROW('FIFA WC 2026'!$E$5:$E$76)-4)/2),3)=0)*('FIFA WC 2026'!$E$5:$E$76=A34)*ISNUMBER('FIFA WC 2026'!$F$5:$F$76)*ISNUMBER('FIFA WC 2026'!$G$5:$G$76)*('FIFA WC 2026'!$F$5:$F$76&gt;'FIFA WC 2026'!$G$5:$G$76))+SUMPRODUCT((MOD(INT((ROW('FIFA WC 2026'!$E$5:$E$76)-4)/2),3)=0)*('FIFA WC 2026'!$H$5:$H$76=A34)*ISNUMBER('FIFA WC 2026'!$F$5:$F$76)*ISNUMBER('FIFA WC 2026'!$G$5:$G$76)*('FIFA WC 2026'!$G$5:$G$76&gt;'FIFA WC 2026'!$F$5:$F$76)))+(SUMPRODUCT((MOD(INT((ROW('FIFA WC 2026'!$E$5:$E$76)-4)/2),3)=0)*((('FIFA WC 2026'!$E$5:$E$76=A34)+('FIFA WC 2026'!$H$5:$H$76=A34))&gt;0)*ISNUMBER('FIFA WC 2026'!$F$5:$F$76)*ISNUMBER('FIFA WC 2026'!$G$5:$G$76)*('FIFA WC 2026'!$F$5:$F$76='FIFA WC 2026'!$G$5:$G$76)))</f>
        <v/>
      </c>
      <c r="D34" s="28">
        <f t="array" ref="D34">3*(SUMPRODUCT((MOD(INT((ROW('FIFA WC 2026'!$E$5:$E$76)-4)/2),3)=1)*('FIFA WC 2026'!$E$5:$E$76=A34)*ISNUMBER('FIFA WC 2026'!$F$5:$F$76)*ISNUMBER('FIFA WC 2026'!$G$5:$G$76)*('FIFA WC 2026'!$F$5:$F$76&gt;'FIFA WC 2026'!$G$5:$G$76))+SUMPRODUCT((MOD(INT((ROW('FIFA WC 2026'!$E$5:$E$76)-4)/2),3)=1)*('FIFA WC 2026'!$H$5:$H$76=A34)*ISNUMBER('FIFA WC 2026'!$F$5:$F$76)*ISNUMBER('FIFA WC 2026'!$G$5:$G$76)*('FIFA WC 2026'!$G$5:$G$76&gt;'FIFA WC 2026'!$F$5:$F$76)))+(SUMPRODUCT((MOD(INT((ROW('FIFA WC 2026'!$E$5:$E$76)-4)/2),3)=1)*((('FIFA WC 2026'!$E$5:$E$76=A34)+('FIFA WC 2026'!$H$5:$H$76=A34))&gt;0)*ISNUMBER('FIFA WC 2026'!$F$5:$F$76)*ISNUMBER('FIFA WC 2026'!$G$5:$G$76)*('FIFA WC 2026'!$F$5:$F$76='FIFA WC 2026'!$G$5:$G$76)))</f>
        <v/>
      </c>
      <c r="E34" s="28">
        <f t="array" ref="E34">3*(SUMPRODUCT((MOD(INT((ROW('FIFA WC 2026'!$E$5:$E$76)-4)/2),3)=2)*('FIFA WC 2026'!$E$5:$E$76=A34)*ISNUMBER('FIFA WC 2026'!$F$5:$F$76)*ISNUMBER('FIFA WC 2026'!$G$5:$G$76)*('FIFA WC 2026'!$F$5:$F$76&gt;'FIFA WC 2026'!$G$5:$G$76))+SUMPRODUCT((MOD(INT((ROW('FIFA WC 2026'!$E$5:$E$76)-4)/2),3)=2)*('FIFA WC 2026'!$H$5:$H$76=A34)*ISNUMBER('FIFA WC 2026'!$F$5:$F$76)*ISNUMBER('FIFA WC 2026'!$G$5:$G$76)*('FIFA WC 2026'!$G$5:$G$76&gt;'FIFA WC 2026'!$F$5:$F$76)))+(SUMPRODUCT((MOD(INT((ROW('FIFA WC 2026'!$E$5:$E$76)-4)/2),3)=2)*((('FIFA WC 2026'!$E$5:$E$76=A34)+('FIFA WC 2026'!$H$5:$H$76=A34))&gt;0)*ISNUMBER('FIFA WC 2026'!$F$5:$F$76)*ISNUMBER('FIFA WC 2026'!$G$5:$G$76)*('FIFA WC 2026'!$F$5:$F$76='FIFA WC 2026'!$G$5:$G$76)))</f>
        <v/>
      </c>
      <c r="F34" s="28">
        <f t="array" ref="F34">0.5*(SUMPRODUCT(('FIFA WC 2026'!$E$5:$E$76=A34)*IFERROR('FIFA WC 2026'!$F$5:$F$76,0))+SUMPRODUCT(('FIFA WC 2026'!$H$5:$H$76=A34)*IFERROR('FIFA WC 2026'!$G$5:$G$76,0))+SUMPRODUCT(('FIFA WC 2026'!$S$5:$S$66=A34)*IFERROR('FIFA WC 2026'!$T$5:$T$66,0))+SUMPRODUCT(('FIFA WC 2026'!$W$7:$W$64=A34)*IFERROR('FIFA WC 2026'!$X$7:$X$64,0))+SUMPRODUCT(('FIFA WC 2026'!$AA$11:$AA$66=A34)*IFERROR('FIFA WC 2026'!$AB$11:$AB$66,0))+SUMPRODUCT(('FIFA WC 2026'!$AE$19:$AE$52=A34)*IFERROR('FIFA WC 2026'!$AF$19:$AF$52,0))+SUMPRODUCT(('FIFA WC 2026'!$AI$35:$AI$44=A34)*IFERROR('FIFA WC 2026'!$AJ$35:$AJ$44,0)))</f>
        <v/>
      </c>
      <c r="G34" s="28">
        <f>IF(COUNTIF('FIFA WC 2026'!$S$5:$S$66,A34)&gt;0,4,0)</f>
        <v/>
      </c>
      <c r="H34" s="28">
        <f>IF(COUNTIF('FIFA WC 2026'!$W$7:$W$64,A34)&gt;0,6,0)</f>
        <v/>
      </c>
      <c r="I34" s="28">
        <f>IF(COUNTIF('FIFA WC 2026'!$AA$11:$AA$60,A34)&gt;0,8,0)</f>
        <v/>
      </c>
      <c r="J34" s="28">
        <f>IF(COUNTIF('FIFA WC 2026'!$AE$19:$AE$52,A34)&gt;0,10,0)</f>
        <v/>
      </c>
      <c r="K34" s="28">
        <f>IF(COUNTIF('FIFA WC 2026'!$AI$35:$AI$36,A34)&gt;0,13,0)</f>
        <v/>
      </c>
      <c r="L34" s="28">
        <f>IF('FIFA WC 2026'!$AI$40=A34,16,0)</f>
        <v/>
      </c>
      <c r="M34" s="111">
        <f>SUM(C34:L34)+O34</f>
        <v/>
      </c>
      <c r="N34" s="110">
        <f>M34-F34</f>
        <v/>
      </c>
      <c r="O34">
        <f>IF('FIFA WC 2026'!$AI$41=$A34,5,0)</f>
        <v/>
      </c>
    </row>
    <row r="35" ht="12.75" customHeight="1">
      <c r="A35" s="27" t="inlineStr">
        <is>
          <t>Uruguay</t>
        </is>
      </c>
      <c r="B35" s="26" t="inlineStr">
        <is>
          <t>H</t>
        </is>
      </c>
      <c r="C35" s="28">
        <f t="array" ref="C35">3*(SUMPRODUCT((MOD(INT((ROW('FIFA WC 2026'!$E$5:$E$76)-4)/2),3)=0)*('FIFA WC 2026'!$E$5:$E$76=A35)*ISNUMBER('FIFA WC 2026'!$F$5:$F$76)*ISNUMBER('FIFA WC 2026'!$G$5:$G$76)*('FIFA WC 2026'!$F$5:$F$76&gt;'FIFA WC 2026'!$G$5:$G$76))+SUMPRODUCT((MOD(INT((ROW('FIFA WC 2026'!$E$5:$E$76)-4)/2),3)=0)*('FIFA WC 2026'!$H$5:$H$76=A35)*ISNUMBER('FIFA WC 2026'!$F$5:$F$76)*ISNUMBER('FIFA WC 2026'!$G$5:$G$76)*('FIFA WC 2026'!$G$5:$G$76&gt;'FIFA WC 2026'!$F$5:$F$76)))+(SUMPRODUCT((MOD(INT((ROW('FIFA WC 2026'!$E$5:$E$76)-4)/2),3)=0)*((('FIFA WC 2026'!$E$5:$E$76=A35)+('FIFA WC 2026'!$H$5:$H$76=A35))&gt;0)*ISNUMBER('FIFA WC 2026'!$F$5:$F$76)*ISNUMBER('FIFA WC 2026'!$G$5:$G$76)*('FIFA WC 2026'!$F$5:$F$76='FIFA WC 2026'!$G$5:$G$76)))</f>
        <v/>
      </c>
      <c r="D35" s="28">
        <f t="array" ref="D35">3*(SUMPRODUCT((MOD(INT((ROW('FIFA WC 2026'!$E$5:$E$76)-4)/2),3)=1)*('FIFA WC 2026'!$E$5:$E$76=A35)*ISNUMBER('FIFA WC 2026'!$F$5:$F$76)*ISNUMBER('FIFA WC 2026'!$G$5:$G$76)*('FIFA WC 2026'!$F$5:$F$76&gt;'FIFA WC 2026'!$G$5:$G$76))+SUMPRODUCT((MOD(INT((ROW('FIFA WC 2026'!$E$5:$E$76)-4)/2),3)=1)*('FIFA WC 2026'!$H$5:$H$76=A35)*ISNUMBER('FIFA WC 2026'!$F$5:$F$76)*ISNUMBER('FIFA WC 2026'!$G$5:$G$76)*('FIFA WC 2026'!$G$5:$G$76&gt;'FIFA WC 2026'!$F$5:$F$76)))+(SUMPRODUCT((MOD(INT((ROW('FIFA WC 2026'!$E$5:$E$76)-4)/2),3)=1)*((('FIFA WC 2026'!$E$5:$E$76=A35)+('FIFA WC 2026'!$H$5:$H$76=A35))&gt;0)*ISNUMBER('FIFA WC 2026'!$F$5:$F$76)*ISNUMBER('FIFA WC 2026'!$G$5:$G$76)*('FIFA WC 2026'!$F$5:$F$76='FIFA WC 2026'!$G$5:$G$76)))</f>
        <v/>
      </c>
      <c r="E35" s="28">
        <f t="array" ref="E35">3*(SUMPRODUCT((MOD(INT((ROW('FIFA WC 2026'!$E$5:$E$76)-4)/2),3)=2)*('FIFA WC 2026'!$E$5:$E$76=A35)*ISNUMBER('FIFA WC 2026'!$F$5:$F$76)*ISNUMBER('FIFA WC 2026'!$G$5:$G$76)*('FIFA WC 2026'!$F$5:$F$76&gt;'FIFA WC 2026'!$G$5:$G$76))+SUMPRODUCT((MOD(INT((ROW('FIFA WC 2026'!$E$5:$E$76)-4)/2),3)=2)*('FIFA WC 2026'!$H$5:$H$76=A35)*ISNUMBER('FIFA WC 2026'!$F$5:$F$76)*ISNUMBER('FIFA WC 2026'!$G$5:$G$76)*('FIFA WC 2026'!$G$5:$G$76&gt;'FIFA WC 2026'!$F$5:$F$76)))+(SUMPRODUCT((MOD(INT((ROW('FIFA WC 2026'!$E$5:$E$76)-4)/2),3)=2)*((('FIFA WC 2026'!$E$5:$E$76=A35)+('FIFA WC 2026'!$H$5:$H$76=A35))&gt;0)*ISNUMBER('FIFA WC 2026'!$F$5:$F$76)*ISNUMBER('FIFA WC 2026'!$G$5:$G$76)*('FIFA WC 2026'!$F$5:$F$76='FIFA WC 2026'!$G$5:$G$76)))</f>
        <v/>
      </c>
      <c r="F35" s="28">
        <f t="array" ref="F35">0.5*(SUMPRODUCT(('FIFA WC 2026'!$E$5:$E$76=A35)*IFERROR('FIFA WC 2026'!$F$5:$F$76,0))+SUMPRODUCT(('FIFA WC 2026'!$H$5:$H$76=A35)*IFERROR('FIFA WC 2026'!$G$5:$G$76,0))+SUMPRODUCT(('FIFA WC 2026'!$S$5:$S$66=A35)*IFERROR('FIFA WC 2026'!$T$5:$T$66,0))+SUMPRODUCT(('FIFA WC 2026'!$W$7:$W$64=A35)*IFERROR('FIFA WC 2026'!$X$7:$X$64,0))+SUMPRODUCT(('FIFA WC 2026'!$AA$11:$AA$66=A35)*IFERROR('FIFA WC 2026'!$AB$11:$AB$66,0))+SUMPRODUCT(('FIFA WC 2026'!$AE$19:$AE$52=A35)*IFERROR('FIFA WC 2026'!$AF$19:$AF$52,0))+SUMPRODUCT(('FIFA WC 2026'!$AI$35:$AI$44=A35)*IFERROR('FIFA WC 2026'!$AJ$35:$AJ$44,0)))</f>
        <v/>
      </c>
      <c r="G35" s="28">
        <f>IF(COUNTIF('FIFA WC 2026'!$S$5:$S$66,A35)&gt;0,4,0)</f>
        <v/>
      </c>
      <c r="H35" s="28">
        <f>IF(COUNTIF('FIFA WC 2026'!$W$7:$W$64,A35)&gt;0,6,0)</f>
        <v/>
      </c>
      <c r="I35" s="28">
        <f>IF(COUNTIF('FIFA WC 2026'!$AA$11:$AA$60,A35)&gt;0,8,0)</f>
        <v/>
      </c>
      <c r="J35" s="28">
        <f>IF(COUNTIF('FIFA WC 2026'!$AE$19:$AE$52,A35)&gt;0,10,0)</f>
        <v/>
      </c>
      <c r="K35" s="28">
        <f>IF(COUNTIF('FIFA WC 2026'!$AI$35:$AI$36,A35)&gt;0,13,0)</f>
        <v/>
      </c>
      <c r="L35" s="28">
        <f>IF('FIFA WC 2026'!$AI$40=A35,16,0)</f>
        <v/>
      </c>
      <c r="M35" s="111">
        <f>SUM(C35:L35)+O35</f>
        <v/>
      </c>
      <c r="N35" s="110">
        <f>M35-F35</f>
        <v/>
      </c>
      <c r="O35">
        <f>IF('FIFA WC 2026'!$AI$41=$A35,5,0)</f>
        <v/>
      </c>
    </row>
    <row r="36" ht="12.75" customHeight="1">
      <c r="A36" s="106" t="inlineStr">
        <is>
          <t>France</t>
        </is>
      </c>
      <c r="B36" s="107" t="inlineStr">
        <is>
          <t>I</t>
        </is>
      </c>
      <c r="C36" s="108">
        <f t="array" ref="C36">3*(SUMPRODUCT((MOD(INT((ROW('FIFA WC 2026'!$E$5:$E$76)-4)/2),3)=0)*('FIFA WC 2026'!$E$5:$E$76=A36)*ISNUMBER('FIFA WC 2026'!$F$5:$F$76)*ISNUMBER('FIFA WC 2026'!$G$5:$G$76)*('FIFA WC 2026'!$F$5:$F$76&gt;'FIFA WC 2026'!$G$5:$G$76))+SUMPRODUCT((MOD(INT((ROW('FIFA WC 2026'!$E$5:$E$76)-4)/2),3)=0)*('FIFA WC 2026'!$H$5:$H$76=A36)*ISNUMBER('FIFA WC 2026'!$F$5:$F$76)*ISNUMBER('FIFA WC 2026'!$G$5:$G$76)*('FIFA WC 2026'!$G$5:$G$76&gt;'FIFA WC 2026'!$F$5:$F$76)))+(SUMPRODUCT((MOD(INT((ROW('FIFA WC 2026'!$E$5:$E$76)-4)/2),3)=0)*((('FIFA WC 2026'!$E$5:$E$76=A36)+('FIFA WC 2026'!$H$5:$H$76=A36))&gt;0)*ISNUMBER('FIFA WC 2026'!$F$5:$F$76)*ISNUMBER('FIFA WC 2026'!$G$5:$G$76)*('FIFA WC 2026'!$F$5:$F$76='FIFA WC 2026'!$G$5:$G$76)))</f>
        <v/>
      </c>
      <c r="D36" s="108">
        <f t="array" ref="D36">3*(SUMPRODUCT((MOD(INT((ROW('FIFA WC 2026'!$E$5:$E$76)-4)/2),3)=1)*('FIFA WC 2026'!$E$5:$E$76=A36)*ISNUMBER('FIFA WC 2026'!$F$5:$F$76)*ISNUMBER('FIFA WC 2026'!$G$5:$G$76)*('FIFA WC 2026'!$F$5:$F$76&gt;'FIFA WC 2026'!$G$5:$G$76))+SUMPRODUCT((MOD(INT((ROW('FIFA WC 2026'!$E$5:$E$76)-4)/2),3)=1)*('FIFA WC 2026'!$H$5:$H$76=A36)*ISNUMBER('FIFA WC 2026'!$F$5:$F$76)*ISNUMBER('FIFA WC 2026'!$G$5:$G$76)*('FIFA WC 2026'!$G$5:$G$76&gt;'FIFA WC 2026'!$F$5:$F$76)))+(SUMPRODUCT((MOD(INT((ROW('FIFA WC 2026'!$E$5:$E$76)-4)/2),3)=1)*((('FIFA WC 2026'!$E$5:$E$76=A36)+('FIFA WC 2026'!$H$5:$H$76=A36))&gt;0)*ISNUMBER('FIFA WC 2026'!$F$5:$F$76)*ISNUMBER('FIFA WC 2026'!$G$5:$G$76)*('FIFA WC 2026'!$F$5:$F$76='FIFA WC 2026'!$G$5:$G$76)))</f>
        <v/>
      </c>
      <c r="E36" s="108">
        <f t="array" ref="E36">3*(SUMPRODUCT((MOD(INT((ROW('FIFA WC 2026'!$E$5:$E$76)-4)/2),3)=2)*('FIFA WC 2026'!$E$5:$E$76=A36)*ISNUMBER('FIFA WC 2026'!$F$5:$F$76)*ISNUMBER('FIFA WC 2026'!$G$5:$G$76)*('FIFA WC 2026'!$F$5:$F$76&gt;'FIFA WC 2026'!$G$5:$G$76))+SUMPRODUCT((MOD(INT((ROW('FIFA WC 2026'!$E$5:$E$76)-4)/2),3)=2)*('FIFA WC 2026'!$H$5:$H$76=A36)*ISNUMBER('FIFA WC 2026'!$F$5:$F$76)*ISNUMBER('FIFA WC 2026'!$G$5:$G$76)*('FIFA WC 2026'!$G$5:$G$76&gt;'FIFA WC 2026'!$F$5:$F$76)))+(SUMPRODUCT((MOD(INT((ROW('FIFA WC 2026'!$E$5:$E$76)-4)/2),3)=2)*((('FIFA WC 2026'!$E$5:$E$76=A36)+('FIFA WC 2026'!$H$5:$H$76=A36))&gt;0)*ISNUMBER('FIFA WC 2026'!$F$5:$F$76)*ISNUMBER('FIFA WC 2026'!$G$5:$G$76)*('FIFA WC 2026'!$F$5:$F$76='FIFA WC 2026'!$G$5:$G$76)))</f>
        <v/>
      </c>
      <c r="F36" s="108">
        <f t="array" ref="F36">0.5*(SUMPRODUCT(('FIFA WC 2026'!$E$5:$E$76=A36)*IFERROR('FIFA WC 2026'!$F$5:$F$76,0))+SUMPRODUCT(('FIFA WC 2026'!$H$5:$H$76=A36)*IFERROR('FIFA WC 2026'!$G$5:$G$76,0))+SUMPRODUCT(('FIFA WC 2026'!$S$5:$S$66=A36)*IFERROR('FIFA WC 2026'!$T$5:$T$66,0))+SUMPRODUCT(('FIFA WC 2026'!$W$7:$W$64=A36)*IFERROR('FIFA WC 2026'!$X$7:$X$64,0))+SUMPRODUCT(('FIFA WC 2026'!$AA$11:$AA$66=A36)*IFERROR('FIFA WC 2026'!$AB$11:$AB$66,0))+SUMPRODUCT(('FIFA WC 2026'!$AE$19:$AE$52=A36)*IFERROR('FIFA WC 2026'!$AF$19:$AF$52,0))+SUMPRODUCT(('FIFA WC 2026'!$AI$35:$AI$44=A36)*IFERROR('FIFA WC 2026'!$AJ$35:$AJ$44,0)))</f>
        <v/>
      </c>
      <c r="G36" s="108">
        <f>IF(COUNTIF('FIFA WC 2026'!$S$5:$S$66,A36)&gt;0,4,0)</f>
        <v/>
      </c>
      <c r="H36" s="108">
        <f>IF(COUNTIF('FIFA WC 2026'!$W$7:$W$64,A36)&gt;0,6,0)</f>
        <v/>
      </c>
      <c r="I36" s="108">
        <f>IF(COUNTIF('FIFA WC 2026'!$AA$11:$AA$60,A36)&gt;0,8,0)</f>
        <v/>
      </c>
      <c r="J36" s="108">
        <f>IF(COUNTIF('FIFA WC 2026'!$AE$19:$AE$52,A36)&gt;0,10,0)</f>
        <v/>
      </c>
      <c r="K36" s="108">
        <f>IF(COUNTIF('FIFA WC 2026'!$AI$35:$AI$36,A36)&gt;0,13,0)</f>
        <v/>
      </c>
      <c r="L36" s="108">
        <f>IF('FIFA WC 2026'!$AI$40=A36,16,0)</f>
        <v/>
      </c>
      <c r="M36" s="109">
        <f>SUM(C36:L36)+O36</f>
        <v/>
      </c>
      <c r="N36" s="110">
        <f>M36-F36</f>
        <v/>
      </c>
      <c r="O36">
        <f>IF('FIFA WC 2026'!$AI$41=$A36,5,0)</f>
        <v/>
      </c>
    </row>
    <row r="37" ht="12.75" customHeight="1">
      <c r="A37" s="106" t="inlineStr">
        <is>
          <t>Senegal</t>
        </is>
      </c>
      <c r="B37" s="107" t="inlineStr">
        <is>
          <t>I</t>
        </is>
      </c>
      <c r="C37" s="108">
        <f t="array" ref="C37">3*(SUMPRODUCT((MOD(INT((ROW('FIFA WC 2026'!$E$5:$E$76)-4)/2),3)=0)*('FIFA WC 2026'!$E$5:$E$76=A37)*ISNUMBER('FIFA WC 2026'!$F$5:$F$76)*ISNUMBER('FIFA WC 2026'!$G$5:$G$76)*('FIFA WC 2026'!$F$5:$F$76&gt;'FIFA WC 2026'!$G$5:$G$76))+SUMPRODUCT((MOD(INT((ROW('FIFA WC 2026'!$E$5:$E$76)-4)/2),3)=0)*('FIFA WC 2026'!$H$5:$H$76=A37)*ISNUMBER('FIFA WC 2026'!$F$5:$F$76)*ISNUMBER('FIFA WC 2026'!$G$5:$G$76)*('FIFA WC 2026'!$G$5:$G$76&gt;'FIFA WC 2026'!$F$5:$F$76)))+(SUMPRODUCT((MOD(INT((ROW('FIFA WC 2026'!$E$5:$E$76)-4)/2),3)=0)*((('FIFA WC 2026'!$E$5:$E$76=A37)+('FIFA WC 2026'!$H$5:$H$76=A37))&gt;0)*ISNUMBER('FIFA WC 2026'!$F$5:$F$76)*ISNUMBER('FIFA WC 2026'!$G$5:$G$76)*('FIFA WC 2026'!$F$5:$F$76='FIFA WC 2026'!$G$5:$G$76)))</f>
        <v/>
      </c>
      <c r="D37" s="108">
        <f t="array" ref="D37">3*(SUMPRODUCT((MOD(INT((ROW('FIFA WC 2026'!$E$5:$E$76)-4)/2),3)=1)*('FIFA WC 2026'!$E$5:$E$76=A37)*ISNUMBER('FIFA WC 2026'!$F$5:$F$76)*ISNUMBER('FIFA WC 2026'!$G$5:$G$76)*('FIFA WC 2026'!$F$5:$F$76&gt;'FIFA WC 2026'!$G$5:$G$76))+SUMPRODUCT((MOD(INT((ROW('FIFA WC 2026'!$E$5:$E$76)-4)/2),3)=1)*('FIFA WC 2026'!$H$5:$H$76=A37)*ISNUMBER('FIFA WC 2026'!$F$5:$F$76)*ISNUMBER('FIFA WC 2026'!$G$5:$G$76)*('FIFA WC 2026'!$G$5:$G$76&gt;'FIFA WC 2026'!$F$5:$F$76)))+(SUMPRODUCT((MOD(INT((ROW('FIFA WC 2026'!$E$5:$E$76)-4)/2),3)=1)*((('FIFA WC 2026'!$E$5:$E$76=A37)+('FIFA WC 2026'!$H$5:$H$76=A37))&gt;0)*ISNUMBER('FIFA WC 2026'!$F$5:$F$76)*ISNUMBER('FIFA WC 2026'!$G$5:$G$76)*('FIFA WC 2026'!$F$5:$F$76='FIFA WC 2026'!$G$5:$G$76)))</f>
        <v/>
      </c>
      <c r="E37" s="108">
        <f t="array" ref="E37">3*(SUMPRODUCT((MOD(INT((ROW('FIFA WC 2026'!$E$5:$E$76)-4)/2),3)=2)*('FIFA WC 2026'!$E$5:$E$76=A37)*ISNUMBER('FIFA WC 2026'!$F$5:$F$76)*ISNUMBER('FIFA WC 2026'!$G$5:$G$76)*('FIFA WC 2026'!$F$5:$F$76&gt;'FIFA WC 2026'!$G$5:$G$76))+SUMPRODUCT((MOD(INT((ROW('FIFA WC 2026'!$E$5:$E$76)-4)/2),3)=2)*('FIFA WC 2026'!$H$5:$H$76=A37)*ISNUMBER('FIFA WC 2026'!$F$5:$F$76)*ISNUMBER('FIFA WC 2026'!$G$5:$G$76)*('FIFA WC 2026'!$G$5:$G$76&gt;'FIFA WC 2026'!$F$5:$F$76)))+(SUMPRODUCT((MOD(INT((ROW('FIFA WC 2026'!$E$5:$E$76)-4)/2),3)=2)*((('FIFA WC 2026'!$E$5:$E$76=A37)+('FIFA WC 2026'!$H$5:$H$76=A37))&gt;0)*ISNUMBER('FIFA WC 2026'!$F$5:$F$76)*ISNUMBER('FIFA WC 2026'!$G$5:$G$76)*('FIFA WC 2026'!$F$5:$F$76='FIFA WC 2026'!$G$5:$G$76)))</f>
        <v/>
      </c>
      <c r="F37" s="108">
        <f t="array" ref="F37">0.5*(SUMPRODUCT(('FIFA WC 2026'!$E$5:$E$76=A37)*IFERROR('FIFA WC 2026'!$F$5:$F$76,0))+SUMPRODUCT(('FIFA WC 2026'!$H$5:$H$76=A37)*IFERROR('FIFA WC 2026'!$G$5:$G$76,0))+SUMPRODUCT(('FIFA WC 2026'!$S$5:$S$66=A37)*IFERROR('FIFA WC 2026'!$T$5:$T$66,0))+SUMPRODUCT(('FIFA WC 2026'!$W$7:$W$64=A37)*IFERROR('FIFA WC 2026'!$X$7:$X$64,0))+SUMPRODUCT(('FIFA WC 2026'!$AA$11:$AA$66=A37)*IFERROR('FIFA WC 2026'!$AB$11:$AB$66,0))+SUMPRODUCT(('FIFA WC 2026'!$AE$19:$AE$52=A37)*IFERROR('FIFA WC 2026'!$AF$19:$AF$52,0))+SUMPRODUCT(('FIFA WC 2026'!$AI$35:$AI$44=A37)*IFERROR('FIFA WC 2026'!$AJ$35:$AJ$44,0)))</f>
        <v/>
      </c>
      <c r="G37" s="108">
        <f>IF(COUNTIF('FIFA WC 2026'!$S$5:$S$66,A37)&gt;0,4,0)</f>
        <v/>
      </c>
      <c r="H37" s="108">
        <f>IF(COUNTIF('FIFA WC 2026'!$W$7:$W$64,A37)&gt;0,6,0)</f>
        <v/>
      </c>
      <c r="I37" s="108">
        <f>IF(COUNTIF('FIFA WC 2026'!$AA$11:$AA$60,A37)&gt;0,8,0)</f>
        <v/>
      </c>
      <c r="J37" s="108">
        <f>IF(COUNTIF('FIFA WC 2026'!$AE$19:$AE$52,A37)&gt;0,10,0)</f>
        <v/>
      </c>
      <c r="K37" s="108">
        <f>IF(COUNTIF('FIFA WC 2026'!$AI$35:$AI$36,A37)&gt;0,13,0)</f>
        <v/>
      </c>
      <c r="L37" s="108">
        <f>IF('FIFA WC 2026'!$AI$40=A37,16,0)</f>
        <v/>
      </c>
      <c r="M37" s="109">
        <f>SUM(C37:L37)+O37</f>
        <v/>
      </c>
      <c r="N37" s="110">
        <f>M37-F37</f>
        <v/>
      </c>
      <c r="O37">
        <f>IF('FIFA WC 2026'!$AI$41=$A37,5,0)</f>
        <v/>
      </c>
    </row>
    <row r="38" ht="12.75" customHeight="1">
      <c r="A38" s="106" t="inlineStr">
        <is>
          <t>Iraq</t>
        </is>
      </c>
      <c r="B38" s="107" t="inlineStr">
        <is>
          <t>I</t>
        </is>
      </c>
      <c r="C38" s="108">
        <f t="array" ref="C38">3*(SUMPRODUCT((MOD(INT((ROW('FIFA WC 2026'!$E$5:$E$76)-4)/2),3)=0)*('FIFA WC 2026'!$E$5:$E$76=A38)*ISNUMBER('FIFA WC 2026'!$F$5:$F$76)*ISNUMBER('FIFA WC 2026'!$G$5:$G$76)*('FIFA WC 2026'!$F$5:$F$76&gt;'FIFA WC 2026'!$G$5:$G$76))+SUMPRODUCT((MOD(INT((ROW('FIFA WC 2026'!$E$5:$E$76)-4)/2),3)=0)*('FIFA WC 2026'!$H$5:$H$76=A38)*ISNUMBER('FIFA WC 2026'!$F$5:$F$76)*ISNUMBER('FIFA WC 2026'!$G$5:$G$76)*('FIFA WC 2026'!$G$5:$G$76&gt;'FIFA WC 2026'!$F$5:$F$76)))+(SUMPRODUCT((MOD(INT((ROW('FIFA WC 2026'!$E$5:$E$76)-4)/2),3)=0)*((('FIFA WC 2026'!$E$5:$E$76=A38)+('FIFA WC 2026'!$H$5:$H$76=A38))&gt;0)*ISNUMBER('FIFA WC 2026'!$F$5:$F$76)*ISNUMBER('FIFA WC 2026'!$G$5:$G$76)*('FIFA WC 2026'!$F$5:$F$76='FIFA WC 2026'!$G$5:$G$76)))</f>
        <v/>
      </c>
      <c r="D38" s="108">
        <f t="array" ref="D38">3*(SUMPRODUCT((MOD(INT((ROW('FIFA WC 2026'!$E$5:$E$76)-4)/2),3)=1)*('FIFA WC 2026'!$E$5:$E$76=A38)*ISNUMBER('FIFA WC 2026'!$F$5:$F$76)*ISNUMBER('FIFA WC 2026'!$G$5:$G$76)*('FIFA WC 2026'!$F$5:$F$76&gt;'FIFA WC 2026'!$G$5:$G$76))+SUMPRODUCT((MOD(INT((ROW('FIFA WC 2026'!$E$5:$E$76)-4)/2),3)=1)*('FIFA WC 2026'!$H$5:$H$76=A38)*ISNUMBER('FIFA WC 2026'!$F$5:$F$76)*ISNUMBER('FIFA WC 2026'!$G$5:$G$76)*('FIFA WC 2026'!$G$5:$G$76&gt;'FIFA WC 2026'!$F$5:$F$76)))+(SUMPRODUCT((MOD(INT((ROW('FIFA WC 2026'!$E$5:$E$76)-4)/2),3)=1)*((('FIFA WC 2026'!$E$5:$E$76=A38)+('FIFA WC 2026'!$H$5:$H$76=A38))&gt;0)*ISNUMBER('FIFA WC 2026'!$F$5:$F$76)*ISNUMBER('FIFA WC 2026'!$G$5:$G$76)*('FIFA WC 2026'!$F$5:$F$76='FIFA WC 2026'!$G$5:$G$76)))</f>
        <v/>
      </c>
      <c r="E38" s="108">
        <f t="array" ref="E38">3*(SUMPRODUCT((MOD(INT((ROW('FIFA WC 2026'!$E$5:$E$76)-4)/2),3)=2)*('FIFA WC 2026'!$E$5:$E$76=A38)*ISNUMBER('FIFA WC 2026'!$F$5:$F$76)*ISNUMBER('FIFA WC 2026'!$G$5:$G$76)*('FIFA WC 2026'!$F$5:$F$76&gt;'FIFA WC 2026'!$G$5:$G$76))+SUMPRODUCT((MOD(INT((ROW('FIFA WC 2026'!$E$5:$E$76)-4)/2),3)=2)*('FIFA WC 2026'!$H$5:$H$76=A38)*ISNUMBER('FIFA WC 2026'!$F$5:$F$76)*ISNUMBER('FIFA WC 2026'!$G$5:$G$76)*('FIFA WC 2026'!$G$5:$G$76&gt;'FIFA WC 2026'!$F$5:$F$76)))+(SUMPRODUCT((MOD(INT((ROW('FIFA WC 2026'!$E$5:$E$76)-4)/2),3)=2)*((('FIFA WC 2026'!$E$5:$E$76=A38)+('FIFA WC 2026'!$H$5:$H$76=A38))&gt;0)*ISNUMBER('FIFA WC 2026'!$F$5:$F$76)*ISNUMBER('FIFA WC 2026'!$G$5:$G$76)*('FIFA WC 2026'!$F$5:$F$76='FIFA WC 2026'!$G$5:$G$76)))</f>
        <v/>
      </c>
      <c r="F38" s="108">
        <f t="array" ref="F38">0.5*(SUMPRODUCT(('FIFA WC 2026'!$E$5:$E$76=A38)*IFERROR('FIFA WC 2026'!$F$5:$F$76,0))+SUMPRODUCT(('FIFA WC 2026'!$H$5:$H$76=A38)*IFERROR('FIFA WC 2026'!$G$5:$G$76,0))+SUMPRODUCT(('FIFA WC 2026'!$S$5:$S$66=A38)*IFERROR('FIFA WC 2026'!$T$5:$T$66,0))+SUMPRODUCT(('FIFA WC 2026'!$W$7:$W$64=A38)*IFERROR('FIFA WC 2026'!$X$7:$X$64,0))+SUMPRODUCT(('FIFA WC 2026'!$AA$11:$AA$66=A38)*IFERROR('FIFA WC 2026'!$AB$11:$AB$66,0))+SUMPRODUCT(('FIFA WC 2026'!$AE$19:$AE$52=A38)*IFERROR('FIFA WC 2026'!$AF$19:$AF$52,0))+SUMPRODUCT(('FIFA WC 2026'!$AI$35:$AI$44=A38)*IFERROR('FIFA WC 2026'!$AJ$35:$AJ$44,0)))</f>
        <v/>
      </c>
      <c r="G38" s="108">
        <f>IF(COUNTIF('FIFA WC 2026'!$S$5:$S$66,A38)&gt;0,4,0)</f>
        <v/>
      </c>
      <c r="H38" s="108">
        <f>IF(COUNTIF('FIFA WC 2026'!$W$7:$W$64,A38)&gt;0,6,0)</f>
        <v/>
      </c>
      <c r="I38" s="108">
        <f>IF(COUNTIF('FIFA WC 2026'!$AA$11:$AA$60,A38)&gt;0,8,0)</f>
        <v/>
      </c>
      <c r="J38" s="108">
        <f>IF(COUNTIF('FIFA WC 2026'!$AE$19:$AE$52,A38)&gt;0,10,0)</f>
        <v/>
      </c>
      <c r="K38" s="108">
        <f>IF(COUNTIF('FIFA WC 2026'!$AI$35:$AI$36,A38)&gt;0,13,0)</f>
        <v/>
      </c>
      <c r="L38" s="108">
        <f>IF('FIFA WC 2026'!$AI$40=A38,16,0)</f>
        <v/>
      </c>
      <c r="M38" s="109">
        <f>SUM(C38:L38)+O38</f>
        <v/>
      </c>
      <c r="N38" s="110">
        <f>M38-F38</f>
        <v/>
      </c>
      <c r="O38">
        <f>IF('FIFA WC 2026'!$AI$41=$A38,5,0)</f>
        <v/>
      </c>
    </row>
    <row r="39" ht="12.75" customHeight="1">
      <c r="A39" s="106" t="inlineStr">
        <is>
          <t>Norway</t>
        </is>
      </c>
      <c r="B39" s="107" t="inlineStr">
        <is>
          <t>I</t>
        </is>
      </c>
      <c r="C39" s="108">
        <f t="array" ref="C39">3*(SUMPRODUCT((MOD(INT((ROW('FIFA WC 2026'!$E$5:$E$76)-4)/2),3)=0)*('FIFA WC 2026'!$E$5:$E$76=A39)*ISNUMBER('FIFA WC 2026'!$F$5:$F$76)*ISNUMBER('FIFA WC 2026'!$G$5:$G$76)*('FIFA WC 2026'!$F$5:$F$76&gt;'FIFA WC 2026'!$G$5:$G$76))+SUMPRODUCT((MOD(INT((ROW('FIFA WC 2026'!$E$5:$E$76)-4)/2),3)=0)*('FIFA WC 2026'!$H$5:$H$76=A39)*ISNUMBER('FIFA WC 2026'!$F$5:$F$76)*ISNUMBER('FIFA WC 2026'!$G$5:$G$76)*('FIFA WC 2026'!$G$5:$G$76&gt;'FIFA WC 2026'!$F$5:$F$76)))+(SUMPRODUCT((MOD(INT((ROW('FIFA WC 2026'!$E$5:$E$76)-4)/2),3)=0)*((('FIFA WC 2026'!$E$5:$E$76=A39)+('FIFA WC 2026'!$H$5:$H$76=A39))&gt;0)*ISNUMBER('FIFA WC 2026'!$F$5:$F$76)*ISNUMBER('FIFA WC 2026'!$G$5:$G$76)*('FIFA WC 2026'!$F$5:$F$76='FIFA WC 2026'!$G$5:$G$76)))</f>
        <v/>
      </c>
      <c r="D39" s="108">
        <f t="array" ref="D39">3*(SUMPRODUCT((MOD(INT((ROW('FIFA WC 2026'!$E$5:$E$76)-4)/2),3)=1)*('FIFA WC 2026'!$E$5:$E$76=A39)*ISNUMBER('FIFA WC 2026'!$F$5:$F$76)*ISNUMBER('FIFA WC 2026'!$G$5:$G$76)*('FIFA WC 2026'!$F$5:$F$76&gt;'FIFA WC 2026'!$G$5:$G$76))+SUMPRODUCT((MOD(INT((ROW('FIFA WC 2026'!$E$5:$E$76)-4)/2),3)=1)*('FIFA WC 2026'!$H$5:$H$76=A39)*ISNUMBER('FIFA WC 2026'!$F$5:$F$76)*ISNUMBER('FIFA WC 2026'!$G$5:$G$76)*('FIFA WC 2026'!$G$5:$G$76&gt;'FIFA WC 2026'!$F$5:$F$76)))+(SUMPRODUCT((MOD(INT((ROW('FIFA WC 2026'!$E$5:$E$76)-4)/2),3)=1)*((('FIFA WC 2026'!$E$5:$E$76=A39)+('FIFA WC 2026'!$H$5:$H$76=A39))&gt;0)*ISNUMBER('FIFA WC 2026'!$F$5:$F$76)*ISNUMBER('FIFA WC 2026'!$G$5:$G$76)*('FIFA WC 2026'!$F$5:$F$76='FIFA WC 2026'!$G$5:$G$76)))</f>
        <v/>
      </c>
      <c r="E39" s="108">
        <f t="array" ref="E39">3*(SUMPRODUCT((MOD(INT((ROW('FIFA WC 2026'!$E$5:$E$76)-4)/2),3)=2)*('FIFA WC 2026'!$E$5:$E$76=A39)*ISNUMBER('FIFA WC 2026'!$F$5:$F$76)*ISNUMBER('FIFA WC 2026'!$G$5:$G$76)*('FIFA WC 2026'!$F$5:$F$76&gt;'FIFA WC 2026'!$G$5:$G$76))+SUMPRODUCT((MOD(INT((ROW('FIFA WC 2026'!$E$5:$E$76)-4)/2),3)=2)*('FIFA WC 2026'!$H$5:$H$76=A39)*ISNUMBER('FIFA WC 2026'!$F$5:$F$76)*ISNUMBER('FIFA WC 2026'!$G$5:$G$76)*('FIFA WC 2026'!$G$5:$G$76&gt;'FIFA WC 2026'!$F$5:$F$76)))+(SUMPRODUCT((MOD(INT((ROW('FIFA WC 2026'!$E$5:$E$76)-4)/2),3)=2)*((('FIFA WC 2026'!$E$5:$E$76=A39)+('FIFA WC 2026'!$H$5:$H$76=A39))&gt;0)*ISNUMBER('FIFA WC 2026'!$F$5:$F$76)*ISNUMBER('FIFA WC 2026'!$G$5:$G$76)*('FIFA WC 2026'!$F$5:$F$76='FIFA WC 2026'!$G$5:$G$76)))</f>
        <v/>
      </c>
      <c r="F39" s="108">
        <f t="array" ref="F39">0.5*(SUMPRODUCT(('FIFA WC 2026'!$E$5:$E$76=A39)*IFERROR('FIFA WC 2026'!$F$5:$F$76,0))+SUMPRODUCT(('FIFA WC 2026'!$H$5:$H$76=A39)*IFERROR('FIFA WC 2026'!$G$5:$G$76,0))+SUMPRODUCT(('FIFA WC 2026'!$S$5:$S$66=A39)*IFERROR('FIFA WC 2026'!$T$5:$T$66,0))+SUMPRODUCT(('FIFA WC 2026'!$W$7:$W$64=A39)*IFERROR('FIFA WC 2026'!$X$7:$X$64,0))+SUMPRODUCT(('FIFA WC 2026'!$AA$11:$AA$66=A39)*IFERROR('FIFA WC 2026'!$AB$11:$AB$66,0))+SUMPRODUCT(('FIFA WC 2026'!$AE$19:$AE$52=A39)*IFERROR('FIFA WC 2026'!$AF$19:$AF$52,0))+SUMPRODUCT(('FIFA WC 2026'!$AI$35:$AI$44=A39)*IFERROR('FIFA WC 2026'!$AJ$35:$AJ$44,0)))</f>
        <v/>
      </c>
      <c r="G39" s="108">
        <f>IF(COUNTIF('FIFA WC 2026'!$S$5:$S$66,A39)&gt;0,4,0)</f>
        <v/>
      </c>
      <c r="H39" s="108">
        <f>IF(COUNTIF('FIFA WC 2026'!$W$7:$W$64,A39)&gt;0,6,0)</f>
        <v/>
      </c>
      <c r="I39" s="108">
        <f>IF(COUNTIF('FIFA WC 2026'!$AA$11:$AA$60,A39)&gt;0,8,0)</f>
        <v/>
      </c>
      <c r="J39" s="108">
        <f>IF(COUNTIF('FIFA WC 2026'!$AE$19:$AE$52,A39)&gt;0,10,0)</f>
        <v/>
      </c>
      <c r="K39" s="108">
        <f>IF(COUNTIF('FIFA WC 2026'!$AI$35:$AI$36,A39)&gt;0,13,0)</f>
        <v/>
      </c>
      <c r="L39" s="108">
        <f>IF('FIFA WC 2026'!$AI$40=A39,16,0)</f>
        <v/>
      </c>
      <c r="M39" s="109">
        <f>SUM(C39:L39)+O39</f>
        <v/>
      </c>
      <c r="N39" s="110">
        <f>M39-F39</f>
        <v/>
      </c>
      <c r="O39">
        <f>IF('FIFA WC 2026'!$AI$41=$A39,5,0)</f>
        <v/>
      </c>
    </row>
    <row r="40" ht="12.75" customHeight="1">
      <c r="A40" s="27" t="inlineStr">
        <is>
          <t>Argentina</t>
        </is>
      </c>
      <c r="B40" s="26" t="inlineStr">
        <is>
          <t>J</t>
        </is>
      </c>
      <c r="C40" s="28">
        <f t="array" ref="C40">3*(SUMPRODUCT((MOD(INT((ROW('FIFA WC 2026'!$E$5:$E$76)-4)/2),3)=0)*('FIFA WC 2026'!$E$5:$E$76=A40)*ISNUMBER('FIFA WC 2026'!$F$5:$F$76)*ISNUMBER('FIFA WC 2026'!$G$5:$G$76)*('FIFA WC 2026'!$F$5:$F$76&gt;'FIFA WC 2026'!$G$5:$G$76))+SUMPRODUCT((MOD(INT((ROW('FIFA WC 2026'!$E$5:$E$76)-4)/2),3)=0)*('FIFA WC 2026'!$H$5:$H$76=A40)*ISNUMBER('FIFA WC 2026'!$F$5:$F$76)*ISNUMBER('FIFA WC 2026'!$G$5:$G$76)*('FIFA WC 2026'!$G$5:$G$76&gt;'FIFA WC 2026'!$F$5:$F$76)))+(SUMPRODUCT((MOD(INT((ROW('FIFA WC 2026'!$E$5:$E$76)-4)/2),3)=0)*((('FIFA WC 2026'!$E$5:$E$76=A40)+('FIFA WC 2026'!$H$5:$H$76=A40))&gt;0)*ISNUMBER('FIFA WC 2026'!$F$5:$F$76)*ISNUMBER('FIFA WC 2026'!$G$5:$G$76)*('FIFA WC 2026'!$F$5:$F$76='FIFA WC 2026'!$G$5:$G$76)))</f>
        <v/>
      </c>
      <c r="D40" s="28">
        <f t="array" ref="D40">3*(SUMPRODUCT((MOD(INT((ROW('FIFA WC 2026'!$E$5:$E$76)-4)/2),3)=1)*('FIFA WC 2026'!$E$5:$E$76=A40)*ISNUMBER('FIFA WC 2026'!$F$5:$F$76)*ISNUMBER('FIFA WC 2026'!$G$5:$G$76)*('FIFA WC 2026'!$F$5:$F$76&gt;'FIFA WC 2026'!$G$5:$G$76))+SUMPRODUCT((MOD(INT((ROW('FIFA WC 2026'!$E$5:$E$76)-4)/2),3)=1)*('FIFA WC 2026'!$H$5:$H$76=A40)*ISNUMBER('FIFA WC 2026'!$F$5:$F$76)*ISNUMBER('FIFA WC 2026'!$G$5:$G$76)*('FIFA WC 2026'!$G$5:$G$76&gt;'FIFA WC 2026'!$F$5:$F$76)))+(SUMPRODUCT((MOD(INT((ROW('FIFA WC 2026'!$E$5:$E$76)-4)/2),3)=1)*((('FIFA WC 2026'!$E$5:$E$76=A40)+('FIFA WC 2026'!$H$5:$H$76=A40))&gt;0)*ISNUMBER('FIFA WC 2026'!$F$5:$F$76)*ISNUMBER('FIFA WC 2026'!$G$5:$G$76)*('FIFA WC 2026'!$F$5:$F$76='FIFA WC 2026'!$G$5:$G$76)))</f>
        <v/>
      </c>
      <c r="E40" s="28">
        <f t="array" ref="E40">3*(SUMPRODUCT((MOD(INT((ROW('FIFA WC 2026'!$E$5:$E$76)-4)/2),3)=2)*('FIFA WC 2026'!$E$5:$E$76=A40)*ISNUMBER('FIFA WC 2026'!$F$5:$F$76)*ISNUMBER('FIFA WC 2026'!$G$5:$G$76)*('FIFA WC 2026'!$F$5:$F$76&gt;'FIFA WC 2026'!$G$5:$G$76))+SUMPRODUCT((MOD(INT((ROW('FIFA WC 2026'!$E$5:$E$76)-4)/2),3)=2)*('FIFA WC 2026'!$H$5:$H$76=A40)*ISNUMBER('FIFA WC 2026'!$F$5:$F$76)*ISNUMBER('FIFA WC 2026'!$G$5:$G$76)*('FIFA WC 2026'!$G$5:$G$76&gt;'FIFA WC 2026'!$F$5:$F$76)))+(SUMPRODUCT((MOD(INT((ROW('FIFA WC 2026'!$E$5:$E$76)-4)/2),3)=2)*((('FIFA WC 2026'!$E$5:$E$76=A40)+('FIFA WC 2026'!$H$5:$H$76=A40))&gt;0)*ISNUMBER('FIFA WC 2026'!$F$5:$F$76)*ISNUMBER('FIFA WC 2026'!$G$5:$G$76)*('FIFA WC 2026'!$F$5:$F$76='FIFA WC 2026'!$G$5:$G$76)))</f>
        <v/>
      </c>
      <c r="F40" s="28">
        <f t="array" ref="F40">0.5*(SUMPRODUCT(('FIFA WC 2026'!$E$5:$E$76=A40)*IFERROR('FIFA WC 2026'!$F$5:$F$76,0))+SUMPRODUCT(('FIFA WC 2026'!$H$5:$H$76=A40)*IFERROR('FIFA WC 2026'!$G$5:$G$76,0))+SUMPRODUCT(('FIFA WC 2026'!$S$5:$S$66=A40)*IFERROR('FIFA WC 2026'!$T$5:$T$66,0))+SUMPRODUCT(('FIFA WC 2026'!$W$7:$W$64=A40)*IFERROR('FIFA WC 2026'!$X$7:$X$64,0))+SUMPRODUCT(('FIFA WC 2026'!$AA$11:$AA$66=A40)*IFERROR('FIFA WC 2026'!$AB$11:$AB$66,0))+SUMPRODUCT(('FIFA WC 2026'!$AE$19:$AE$52=A40)*IFERROR('FIFA WC 2026'!$AF$19:$AF$52,0))+SUMPRODUCT(('FIFA WC 2026'!$AI$35:$AI$44=A40)*IFERROR('FIFA WC 2026'!$AJ$35:$AJ$44,0)))</f>
        <v/>
      </c>
      <c r="G40" s="28">
        <f>IF(COUNTIF('FIFA WC 2026'!$S$5:$S$66,A40)&gt;0,4,0)</f>
        <v/>
      </c>
      <c r="H40" s="28">
        <f>IF(COUNTIF('FIFA WC 2026'!$W$7:$W$64,A40)&gt;0,6,0)</f>
        <v/>
      </c>
      <c r="I40" s="28">
        <f>IF(COUNTIF('FIFA WC 2026'!$AA$11:$AA$60,A40)&gt;0,8,0)</f>
        <v/>
      </c>
      <c r="J40" s="28">
        <f>IF(COUNTIF('FIFA WC 2026'!$AE$19:$AE$52,A40)&gt;0,10,0)</f>
        <v/>
      </c>
      <c r="K40" s="28">
        <f>IF(COUNTIF('FIFA WC 2026'!$AI$35:$AI$36,A40)&gt;0,13,0)</f>
        <v/>
      </c>
      <c r="L40" s="28">
        <f>IF('FIFA WC 2026'!$AI$40=A40,16,0)</f>
        <v/>
      </c>
      <c r="M40" s="111">
        <f>SUM(C40:L40)+O40</f>
        <v/>
      </c>
      <c r="N40" s="110">
        <f>M40-F40</f>
        <v/>
      </c>
      <c r="O40">
        <f>IF('FIFA WC 2026'!$AI$41=$A40,5,0)</f>
        <v/>
      </c>
    </row>
    <row r="41" ht="12.75" customHeight="1">
      <c r="A41" s="27" t="inlineStr">
        <is>
          <t>Algeria</t>
        </is>
      </c>
      <c r="B41" s="26" t="inlineStr">
        <is>
          <t>J</t>
        </is>
      </c>
      <c r="C41" s="28">
        <f t="array" ref="C41">3*(SUMPRODUCT((MOD(INT((ROW('FIFA WC 2026'!$E$5:$E$76)-4)/2),3)=0)*('FIFA WC 2026'!$E$5:$E$76=A41)*ISNUMBER('FIFA WC 2026'!$F$5:$F$76)*ISNUMBER('FIFA WC 2026'!$G$5:$G$76)*('FIFA WC 2026'!$F$5:$F$76&gt;'FIFA WC 2026'!$G$5:$G$76))+SUMPRODUCT((MOD(INT((ROW('FIFA WC 2026'!$E$5:$E$76)-4)/2),3)=0)*('FIFA WC 2026'!$H$5:$H$76=A41)*ISNUMBER('FIFA WC 2026'!$F$5:$F$76)*ISNUMBER('FIFA WC 2026'!$G$5:$G$76)*('FIFA WC 2026'!$G$5:$G$76&gt;'FIFA WC 2026'!$F$5:$F$76)))+(SUMPRODUCT((MOD(INT((ROW('FIFA WC 2026'!$E$5:$E$76)-4)/2),3)=0)*((('FIFA WC 2026'!$E$5:$E$76=A41)+('FIFA WC 2026'!$H$5:$H$76=A41))&gt;0)*ISNUMBER('FIFA WC 2026'!$F$5:$F$76)*ISNUMBER('FIFA WC 2026'!$G$5:$G$76)*('FIFA WC 2026'!$F$5:$F$76='FIFA WC 2026'!$G$5:$G$76)))</f>
        <v/>
      </c>
      <c r="D41" s="28">
        <f t="array" ref="D41">3*(SUMPRODUCT((MOD(INT((ROW('FIFA WC 2026'!$E$5:$E$76)-4)/2),3)=1)*('FIFA WC 2026'!$E$5:$E$76=A41)*ISNUMBER('FIFA WC 2026'!$F$5:$F$76)*ISNUMBER('FIFA WC 2026'!$G$5:$G$76)*('FIFA WC 2026'!$F$5:$F$76&gt;'FIFA WC 2026'!$G$5:$G$76))+SUMPRODUCT((MOD(INT((ROW('FIFA WC 2026'!$E$5:$E$76)-4)/2),3)=1)*('FIFA WC 2026'!$H$5:$H$76=A41)*ISNUMBER('FIFA WC 2026'!$F$5:$F$76)*ISNUMBER('FIFA WC 2026'!$G$5:$G$76)*('FIFA WC 2026'!$G$5:$G$76&gt;'FIFA WC 2026'!$F$5:$F$76)))+(SUMPRODUCT((MOD(INT((ROW('FIFA WC 2026'!$E$5:$E$76)-4)/2),3)=1)*((('FIFA WC 2026'!$E$5:$E$76=A41)+('FIFA WC 2026'!$H$5:$H$76=A41))&gt;0)*ISNUMBER('FIFA WC 2026'!$F$5:$F$76)*ISNUMBER('FIFA WC 2026'!$G$5:$G$76)*('FIFA WC 2026'!$F$5:$F$76='FIFA WC 2026'!$G$5:$G$76)))</f>
        <v/>
      </c>
      <c r="E41" s="28">
        <f t="array" ref="E41">3*(SUMPRODUCT((MOD(INT((ROW('FIFA WC 2026'!$E$5:$E$76)-4)/2),3)=2)*('FIFA WC 2026'!$E$5:$E$76=A41)*ISNUMBER('FIFA WC 2026'!$F$5:$F$76)*ISNUMBER('FIFA WC 2026'!$G$5:$G$76)*('FIFA WC 2026'!$F$5:$F$76&gt;'FIFA WC 2026'!$G$5:$G$76))+SUMPRODUCT((MOD(INT((ROW('FIFA WC 2026'!$E$5:$E$76)-4)/2),3)=2)*('FIFA WC 2026'!$H$5:$H$76=A41)*ISNUMBER('FIFA WC 2026'!$F$5:$F$76)*ISNUMBER('FIFA WC 2026'!$G$5:$G$76)*('FIFA WC 2026'!$G$5:$G$76&gt;'FIFA WC 2026'!$F$5:$F$76)))+(SUMPRODUCT((MOD(INT((ROW('FIFA WC 2026'!$E$5:$E$76)-4)/2),3)=2)*((('FIFA WC 2026'!$E$5:$E$76=A41)+('FIFA WC 2026'!$H$5:$H$76=A41))&gt;0)*ISNUMBER('FIFA WC 2026'!$F$5:$F$76)*ISNUMBER('FIFA WC 2026'!$G$5:$G$76)*('FIFA WC 2026'!$F$5:$F$76='FIFA WC 2026'!$G$5:$G$76)))</f>
        <v/>
      </c>
      <c r="F41" s="28">
        <f t="array" ref="F41">0.5*(SUMPRODUCT(('FIFA WC 2026'!$E$5:$E$76=A41)*IFERROR('FIFA WC 2026'!$F$5:$F$76,0))+SUMPRODUCT(('FIFA WC 2026'!$H$5:$H$76=A41)*IFERROR('FIFA WC 2026'!$G$5:$G$76,0))+SUMPRODUCT(('FIFA WC 2026'!$S$5:$S$66=A41)*IFERROR('FIFA WC 2026'!$T$5:$T$66,0))+SUMPRODUCT(('FIFA WC 2026'!$W$7:$W$64=A41)*IFERROR('FIFA WC 2026'!$X$7:$X$64,0))+SUMPRODUCT(('FIFA WC 2026'!$AA$11:$AA$66=A41)*IFERROR('FIFA WC 2026'!$AB$11:$AB$66,0))+SUMPRODUCT(('FIFA WC 2026'!$AE$19:$AE$52=A41)*IFERROR('FIFA WC 2026'!$AF$19:$AF$52,0))+SUMPRODUCT(('FIFA WC 2026'!$AI$35:$AI$44=A41)*IFERROR('FIFA WC 2026'!$AJ$35:$AJ$44,0)))</f>
        <v/>
      </c>
      <c r="G41" s="28">
        <f>IF(COUNTIF('FIFA WC 2026'!$S$5:$S$66,A41)&gt;0,4,0)</f>
        <v/>
      </c>
      <c r="H41" s="28">
        <f>IF(COUNTIF('FIFA WC 2026'!$W$7:$W$64,A41)&gt;0,6,0)</f>
        <v/>
      </c>
      <c r="I41" s="28">
        <f>IF(COUNTIF('FIFA WC 2026'!$AA$11:$AA$60,A41)&gt;0,8,0)</f>
        <v/>
      </c>
      <c r="J41" s="28">
        <f>IF(COUNTIF('FIFA WC 2026'!$AE$19:$AE$52,A41)&gt;0,10,0)</f>
        <v/>
      </c>
      <c r="K41" s="28">
        <f>IF(COUNTIF('FIFA WC 2026'!$AI$35:$AI$36,A41)&gt;0,13,0)</f>
        <v/>
      </c>
      <c r="L41" s="28">
        <f>IF('FIFA WC 2026'!$AI$40=A41,16,0)</f>
        <v/>
      </c>
      <c r="M41" s="111">
        <f>SUM(C41:L41)+O41</f>
        <v/>
      </c>
      <c r="N41" s="110">
        <f>M41-F41</f>
        <v/>
      </c>
      <c r="O41">
        <f>IF('FIFA WC 2026'!$AI$41=$A41,5,0)</f>
        <v/>
      </c>
    </row>
    <row r="42" ht="12.75" customHeight="1">
      <c r="A42" s="27" t="inlineStr">
        <is>
          <t>Austria</t>
        </is>
      </c>
      <c r="B42" s="26" t="inlineStr">
        <is>
          <t>J</t>
        </is>
      </c>
      <c r="C42" s="28">
        <f t="array" ref="C42">3*(SUMPRODUCT((MOD(INT((ROW('FIFA WC 2026'!$E$5:$E$76)-4)/2),3)=0)*('FIFA WC 2026'!$E$5:$E$76=A42)*ISNUMBER('FIFA WC 2026'!$F$5:$F$76)*ISNUMBER('FIFA WC 2026'!$G$5:$G$76)*('FIFA WC 2026'!$F$5:$F$76&gt;'FIFA WC 2026'!$G$5:$G$76))+SUMPRODUCT((MOD(INT((ROW('FIFA WC 2026'!$E$5:$E$76)-4)/2),3)=0)*('FIFA WC 2026'!$H$5:$H$76=A42)*ISNUMBER('FIFA WC 2026'!$F$5:$F$76)*ISNUMBER('FIFA WC 2026'!$G$5:$G$76)*('FIFA WC 2026'!$G$5:$G$76&gt;'FIFA WC 2026'!$F$5:$F$76)))+(SUMPRODUCT((MOD(INT((ROW('FIFA WC 2026'!$E$5:$E$76)-4)/2),3)=0)*((('FIFA WC 2026'!$E$5:$E$76=A42)+('FIFA WC 2026'!$H$5:$H$76=A42))&gt;0)*ISNUMBER('FIFA WC 2026'!$F$5:$F$76)*ISNUMBER('FIFA WC 2026'!$G$5:$G$76)*('FIFA WC 2026'!$F$5:$F$76='FIFA WC 2026'!$G$5:$G$76)))</f>
        <v/>
      </c>
      <c r="D42" s="28">
        <f t="array" ref="D42">3*(SUMPRODUCT((MOD(INT((ROW('FIFA WC 2026'!$E$5:$E$76)-4)/2),3)=1)*('FIFA WC 2026'!$E$5:$E$76=A42)*ISNUMBER('FIFA WC 2026'!$F$5:$F$76)*ISNUMBER('FIFA WC 2026'!$G$5:$G$76)*('FIFA WC 2026'!$F$5:$F$76&gt;'FIFA WC 2026'!$G$5:$G$76))+SUMPRODUCT((MOD(INT((ROW('FIFA WC 2026'!$E$5:$E$76)-4)/2),3)=1)*('FIFA WC 2026'!$H$5:$H$76=A42)*ISNUMBER('FIFA WC 2026'!$F$5:$F$76)*ISNUMBER('FIFA WC 2026'!$G$5:$G$76)*('FIFA WC 2026'!$G$5:$G$76&gt;'FIFA WC 2026'!$F$5:$F$76)))+(SUMPRODUCT((MOD(INT((ROW('FIFA WC 2026'!$E$5:$E$76)-4)/2),3)=1)*((('FIFA WC 2026'!$E$5:$E$76=A42)+('FIFA WC 2026'!$H$5:$H$76=A42))&gt;0)*ISNUMBER('FIFA WC 2026'!$F$5:$F$76)*ISNUMBER('FIFA WC 2026'!$G$5:$G$76)*('FIFA WC 2026'!$F$5:$F$76='FIFA WC 2026'!$G$5:$G$76)))</f>
        <v/>
      </c>
      <c r="E42" s="28">
        <f t="array" ref="E42">3*(SUMPRODUCT((MOD(INT((ROW('FIFA WC 2026'!$E$5:$E$76)-4)/2),3)=2)*('FIFA WC 2026'!$E$5:$E$76=A42)*ISNUMBER('FIFA WC 2026'!$F$5:$F$76)*ISNUMBER('FIFA WC 2026'!$G$5:$G$76)*('FIFA WC 2026'!$F$5:$F$76&gt;'FIFA WC 2026'!$G$5:$G$76))+SUMPRODUCT((MOD(INT((ROW('FIFA WC 2026'!$E$5:$E$76)-4)/2),3)=2)*('FIFA WC 2026'!$H$5:$H$76=A42)*ISNUMBER('FIFA WC 2026'!$F$5:$F$76)*ISNUMBER('FIFA WC 2026'!$G$5:$G$76)*('FIFA WC 2026'!$G$5:$G$76&gt;'FIFA WC 2026'!$F$5:$F$76)))+(SUMPRODUCT((MOD(INT((ROW('FIFA WC 2026'!$E$5:$E$76)-4)/2),3)=2)*((('FIFA WC 2026'!$E$5:$E$76=A42)+('FIFA WC 2026'!$H$5:$H$76=A42))&gt;0)*ISNUMBER('FIFA WC 2026'!$F$5:$F$76)*ISNUMBER('FIFA WC 2026'!$G$5:$G$76)*('FIFA WC 2026'!$F$5:$F$76='FIFA WC 2026'!$G$5:$G$76)))</f>
        <v/>
      </c>
      <c r="F42" s="28">
        <f t="array" ref="F42">0.5*(SUMPRODUCT(('FIFA WC 2026'!$E$5:$E$76=A42)*IFERROR('FIFA WC 2026'!$F$5:$F$76,0))+SUMPRODUCT(('FIFA WC 2026'!$H$5:$H$76=A42)*IFERROR('FIFA WC 2026'!$G$5:$G$76,0))+SUMPRODUCT(('FIFA WC 2026'!$S$5:$S$66=A42)*IFERROR('FIFA WC 2026'!$T$5:$T$66,0))+SUMPRODUCT(('FIFA WC 2026'!$W$7:$W$64=A42)*IFERROR('FIFA WC 2026'!$X$7:$X$64,0))+SUMPRODUCT(('FIFA WC 2026'!$AA$11:$AA$66=A42)*IFERROR('FIFA WC 2026'!$AB$11:$AB$66,0))+SUMPRODUCT(('FIFA WC 2026'!$AE$19:$AE$52=A42)*IFERROR('FIFA WC 2026'!$AF$19:$AF$52,0))+SUMPRODUCT(('FIFA WC 2026'!$AI$35:$AI$44=A42)*IFERROR('FIFA WC 2026'!$AJ$35:$AJ$44,0)))</f>
        <v/>
      </c>
      <c r="G42" s="28">
        <f>IF(COUNTIF('FIFA WC 2026'!$S$5:$S$66,A42)&gt;0,4,0)</f>
        <v/>
      </c>
      <c r="H42" s="28">
        <f>IF(COUNTIF('FIFA WC 2026'!$W$7:$W$64,A42)&gt;0,6,0)</f>
        <v/>
      </c>
      <c r="I42" s="28">
        <f>IF(COUNTIF('FIFA WC 2026'!$AA$11:$AA$60,A42)&gt;0,8,0)</f>
        <v/>
      </c>
      <c r="J42" s="28">
        <f>IF(COUNTIF('FIFA WC 2026'!$AE$19:$AE$52,A42)&gt;0,10,0)</f>
        <v/>
      </c>
      <c r="K42" s="28">
        <f>IF(COUNTIF('FIFA WC 2026'!$AI$35:$AI$36,A42)&gt;0,13,0)</f>
        <v/>
      </c>
      <c r="L42" s="28">
        <f>IF('FIFA WC 2026'!$AI$40=A42,16,0)</f>
        <v/>
      </c>
      <c r="M42" s="111">
        <f>SUM(C42:L42)+O42</f>
        <v/>
      </c>
      <c r="N42" s="110">
        <f>M42-F42</f>
        <v/>
      </c>
      <c r="O42">
        <f>IF('FIFA WC 2026'!$AI$41=$A42,5,0)</f>
        <v/>
      </c>
    </row>
    <row r="43" ht="12.75" customHeight="1">
      <c r="A43" s="27" t="inlineStr">
        <is>
          <t>Jordan</t>
        </is>
      </c>
      <c r="B43" s="26" t="inlineStr">
        <is>
          <t>J</t>
        </is>
      </c>
      <c r="C43" s="28">
        <f t="array" ref="C43">3*(SUMPRODUCT((MOD(INT((ROW('FIFA WC 2026'!$E$5:$E$76)-4)/2),3)=0)*('FIFA WC 2026'!$E$5:$E$76=A43)*ISNUMBER('FIFA WC 2026'!$F$5:$F$76)*ISNUMBER('FIFA WC 2026'!$G$5:$G$76)*('FIFA WC 2026'!$F$5:$F$76&gt;'FIFA WC 2026'!$G$5:$G$76))+SUMPRODUCT((MOD(INT((ROW('FIFA WC 2026'!$E$5:$E$76)-4)/2),3)=0)*('FIFA WC 2026'!$H$5:$H$76=A43)*ISNUMBER('FIFA WC 2026'!$F$5:$F$76)*ISNUMBER('FIFA WC 2026'!$G$5:$G$76)*('FIFA WC 2026'!$G$5:$G$76&gt;'FIFA WC 2026'!$F$5:$F$76)))+(SUMPRODUCT((MOD(INT((ROW('FIFA WC 2026'!$E$5:$E$76)-4)/2),3)=0)*((('FIFA WC 2026'!$E$5:$E$76=A43)+('FIFA WC 2026'!$H$5:$H$76=A43))&gt;0)*ISNUMBER('FIFA WC 2026'!$F$5:$F$76)*ISNUMBER('FIFA WC 2026'!$G$5:$G$76)*('FIFA WC 2026'!$F$5:$F$76='FIFA WC 2026'!$G$5:$G$76)))</f>
        <v/>
      </c>
      <c r="D43" s="28">
        <f t="array" ref="D43">3*(SUMPRODUCT((MOD(INT((ROW('FIFA WC 2026'!$E$5:$E$76)-4)/2),3)=1)*('FIFA WC 2026'!$E$5:$E$76=A43)*ISNUMBER('FIFA WC 2026'!$F$5:$F$76)*ISNUMBER('FIFA WC 2026'!$G$5:$G$76)*('FIFA WC 2026'!$F$5:$F$76&gt;'FIFA WC 2026'!$G$5:$G$76))+SUMPRODUCT((MOD(INT((ROW('FIFA WC 2026'!$E$5:$E$76)-4)/2),3)=1)*('FIFA WC 2026'!$H$5:$H$76=A43)*ISNUMBER('FIFA WC 2026'!$F$5:$F$76)*ISNUMBER('FIFA WC 2026'!$G$5:$G$76)*('FIFA WC 2026'!$G$5:$G$76&gt;'FIFA WC 2026'!$F$5:$F$76)))+(SUMPRODUCT((MOD(INT((ROW('FIFA WC 2026'!$E$5:$E$76)-4)/2),3)=1)*((('FIFA WC 2026'!$E$5:$E$76=A43)+('FIFA WC 2026'!$H$5:$H$76=A43))&gt;0)*ISNUMBER('FIFA WC 2026'!$F$5:$F$76)*ISNUMBER('FIFA WC 2026'!$G$5:$G$76)*('FIFA WC 2026'!$F$5:$F$76='FIFA WC 2026'!$G$5:$G$76)))</f>
        <v/>
      </c>
      <c r="E43" s="28">
        <f t="array" ref="E43">3*(SUMPRODUCT((MOD(INT((ROW('FIFA WC 2026'!$E$5:$E$76)-4)/2),3)=2)*('FIFA WC 2026'!$E$5:$E$76=A43)*ISNUMBER('FIFA WC 2026'!$F$5:$F$76)*ISNUMBER('FIFA WC 2026'!$G$5:$G$76)*('FIFA WC 2026'!$F$5:$F$76&gt;'FIFA WC 2026'!$G$5:$G$76))+SUMPRODUCT((MOD(INT((ROW('FIFA WC 2026'!$E$5:$E$76)-4)/2),3)=2)*('FIFA WC 2026'!$H$5:$H$76=A43)*ISNUMBER('FIFA WC 2026'!$F$5:$F$76)*ISNUMBER('FIFA WC 2026'!$G$5:$G$76)*('FIFA WC 2026'!$G$5:$G$76&gt;'FIFA WC 2026'!$F$5:$F$76)))+(SUMPRODUCT((MOD(INT((ROW('FIFA WC 2026'!$E$5:$E$76)-4)/2),3)=2)*((('FIFA WC 2026'!$E$5:$E$76=A43)+('FIFA WC 2026'!$H$5:$H$76=A43))&gt;0)*ISNUMBER('FIFA WC 2026'!$F$5:$F$76)*ISNUMBER('FIFA WC 2026'!$G$5:$G$76)*('FIFA WC 2026'!$F$5:$F$76='FIFA WC 2026'!$G$5:$G$76)))</f>
        <v/>
      </c>
      <c r="F43" s="28">
        <f t="array" ref="F43">0.5*(SUMPRODUCT(('FIFA WC 2026'!$E$5:$E$76=A43)*IFERROR('FIFA WC 2026'!$F$5:$F$76,0))+SUMPRODUCT(('FIFA WC 2026'!$H$5:$H$76=A43)*IFERROR('FIFA WC 2026'!$G$5:$G$76,0))+SUMPRODUCT(('FIFA WC 2026'!$S$5:$S$66=A43)*IFERROR('FIFA WC 2026'!$T$5:$T$66,0))+SUMPRODUCT(('FIFA WC 2026'!$W$7:$W$64=A43)*IFERROR('FIFA WC 2026'!$X$7:$X$64,0))+SUMPRODUCT(('FIFA WC 2026'!$AA$11:$AA$66=A43)*IFERROR('FIFA WC 2026'!$AB$11:$AB$66,0))+SUMPRODUCT(('FIFA WC 2026'!$AE$19:$AE$52=A43)*IFERROR('FIFA WC 2026'!$AF$19:$AF$52,0))+SUMPRODUCT(('FIFA WC 2026'!$AI$35:$AI$44=A43)*IFERROR('FIFA WC 2026'!$AJ$35:$AJ$44,0)))</f>
        <v/>
      </c>
      <c r="G43" s="28">
        <f>IF(COUNTIF('FIFA WC 2026'!$S$5:$S$66,A43)&gt;0,4,0)</f>
        <v/>
      </c>
      <c r="H43" s="28">
        <f>IF(COUNTIF('FIFA WC 2026'!$W$7:$W$64,A43)&gt;0,6,0)</f>
        <v/>
      </c>
      <c r="I43" s="28">
        <f>IF(COUNTIF('FIFA WC 2026'!$AA$11:$AA$60,A43)&gt;0,8,0)</f>
        <v/>
      </c>
      <c r="J43" s="28">
        <f>IF(COUNTIF('FIFA WC 2026'!$AE$19:$AE$52,A43)&gt;0,10,0)</f>
        <v/>
      </c>
      <c r="K43" s="28">
        <f>IF(COUNTIF('FIFA WC 2026'!$AI$35:$AI$36,A43)&gt;0,13,0)</f>
        <v/>
      </c>
      <c r="L43" s="28">
        <f>IF('FIFA WC 2026'!$AI$40=A43,16,0)</f>
        <v/>
      </c>
      <c r="M43" s="111">
        <f>SUM(C43:L43)+O43</f>
        <v/>
      </c>
      <c r="N43" s="110">
        <f>M43-F43</f>
        <v/>
      </c>
      <c r="O43">
        <f>IF('FIFA WC 2026'!$AI$41=$A43,5,0)</f>
        <v/>
      </c>
    </row>
    <row r="44" ht="12.75" customHeight="1">
      <c r="A44" s="106" t="inlineStr">
        <is>
          <t>Portugal</t>
        </is>
      </c>
      <c r="B44" s="107" t="inlineStr">
        <is>
          <t>K</t>
        </is>
      </c>
      <c r="C44" s="108">
        <f t="array" ref="C44">3*(SUMPRODUCT((MOD(INT((ROW('FIFA WC 2026'!$E$5:$E$76)-4)/2),3)=0)*('FIFA WC 2026'!$E$5:$E$76=A44)*ISNUMBER('FIFA WC 2026'!$F$5:$F$76)*ISNUMBER('FIFA WC 2026'!$G$5:$G$76)*('FIFA WC 2026'!$F$5:$F$76&gt;'FIFA WC 2026'!$G$5:$G$76))+SUMPRODUCT((MOD(INT((ROW('FIFA WC 2026'!$E$5:$E$76)-4)/2),3)=0)*('FIFA WC 2026'!$H$5:$H$76=A44)*ISNUMBER('FIFA WC 2026'!$F$5:$F$76)*ISNUMBER('FIFA WC 2026'!$G$5:$G$76)*('FIFA WC 2026'!$G$5:$G$76&gt;'FIFA WC 2026'!$F$5:$F$76)))+(SUMPRODUCT((MOD(INT((ROW('FIFA WC 2026'!$E$5:$E$76)-4)/2),3)=0)*((('FIFA WC 2026'!$E$5:$E$76=A44)+('FIFA WC 2026'!$H$5:$H$76=A44))&gt;0)*ISNUMBER('FIFA WC 2026'!$F$5:$F$76)*ISNUMBER('FIFA WC 2026'!$G$5:$G$76)*('FIFA WC 2026'!$F$5:$F$76='FIFA WC 2026'!$G$5:$G$76)))</f>
        <v/>
      </c>
      <c r="D44" s="108">
        <f t="array" ref="D44">3*(SUMPRODUCT((MOD(INT((ROW('FIFA WC 2026'!$E$5:$E$76)-4)/2),3)=1)*('FIFA WC 2026'!$E$5:$E$76=A44)*ISNUMBER('FIFA WC 2026'!$F$5:$F$76)*ISNUMBER('FIFA WC 2026'!$G$5:$G$76)*('FIFA WC 2026'!$F$5:$F$76&gt;'FIFA WC 2026'!$G$5:$G$76))+SUMPRODUCT((MOD(INT((ROW('FIFA WC 2026'!$E$5:$E$76)-4)/2),3)=1)*('FIFA WC 2026'!$H$5:$H$76=A44)*ISNUMBER('FIFA WC 2026'!$F$5:$F$76)*ISNUMBER('FIFA WC 2026'!$G$5:$G$76)*('FIFA WC 2026'!$G$5:$G$76&gt;'FIFA WC 2026'!$F$5:$F$76)))+(SUMPRODUCT((MOD(INT((ROW('FIFA WC 2026'!$E$5:$E$76)-4)/2),3)=1)*((('FIFA WC 2026'!$E$5:$E$76=A44)+('FIFA WC 2026'!$H$5:$H$76=A44))&gt;0)*ISNUMBER('FIFA WC 2026'!$F$5:$F$76)*ISNUMBER('FIFA WC 2026'!$G$5:$G$76)*('FIFA WC 2026'!$F$5:$F$76='FIFA WC 2026'!$G$5:$G$76)))</f>
        <v/>
      </c>
      <c r="E44" s="108">
        <f t="array" ref="E44">3*(SUMPRODUCT((MOD(INT((ROW('FIFA WC 2026'!$E$5:$E$76)-4)/2),3)=2)*('FIFA WC 2026'!$E$5:$E$76=A44)*ISNUMBER('FIFA WC 2026'!$F$5:$F$76)*ISNUMBER('FIFA WC 2026'!$G$5:$G$76)*('FIFA WC 2026'!$F$5:$F$76&gt;'FIFA WC 2026'!$G$5:$G$76))+SUMPRODUCT((MOD(INT((ROW('FIFA WC 2026'!$E$5:$E$76)-4)/2),3)=2)*('FIFA WC 2026'!$H$5:$H$76=A44)*ISNUMBER('FIFA WC 2026'!$F$5:$F$76)*ISNUMBER('FIFA WC 2026'!$G$5:$G$76)*('FIFA WC 2026'!$G$5:$G$76&gt;'FIFA WC 2026'!$F$5:$F$76)))+(SUMPRODUCT((MOD(INT((ROW('FIFA WC 2026'!$E$5:$E$76)-4)/2),3)=2)*((('FIFA WC 2026'!$E$5:$E$76=A44)+('FIFA WC 2026'!$H$5:$H$76=A44))&gt;0)*ISNUMBER('FIFA WC 2026'!$F$5:$F$76)*ISNUMBER('FIFA WC 2026'!$G$5:$G$76)*('FIFA WC 2026'!$F$5:$F$76='FIFA WC 2026'!$G$5:$G$76)))</f>
        <v/>
      </c>
      <c r="F44" s="108">
        <f t="array" ref="F44">0.5*(SUMPRODUCT(('FIFA WC 2026'!$E$5:$E$76=A44)*IFERROR('FIFA WC 2026'!$F$5:$F$76,0))+SUMPRODUCT(('FIFA WC 2026'!$H$5:$H$76=A44)*IFERROR('FIFA WC 2026'!$G$5:$G$76,0))+SUMPRODUCT(('FIFA WC 2026'!$S$5:$S$66=A44)*IFERROR('FIFA WC 2026'!$T$5:$T$66,0))+SUMPRODUCT(('FIFA WC 2026'!$W$7:$W$64=A44)*IFERROR('FIFA WC 2026'!$X$7:$X$64,0))+SUMPRODUCT(('FIFA WC 2026'!$AA$11:$AA$66=A44)*IFERROR('FIFA WC 2026'!$AB$11:$AB$66,0))+SUMPRODUCT(('FIFA WC 2026'!$AE$19:$AE$52=A44)*IFERROR('FIFA WC 2026'!$AF$19:$AF$52,0))+SUMPRODUCT(('FIFA WC 2026'!$AI$35:$AI$44=A44)*IFERROR('FIFA WC 2026'!$AJ$35:$AJ$44,0)))</f>
        <v/>
      </c>
      <c r="G44" s="108">
        <f>IF(COUNTIF('FIFA WC 2026'!$S$5:$S$66,A44)&gt;0,4,0)</f>
        <v/>
      </c>
      <c r="H44" s="108">
        <f>IF(COUNTIF('FIFA WC 2026'!$W$7:$W$64,A44)&gt;0,6,0)</f>
        <v/>
      </c>
      <c r="I44" s="108">
        <f>IF(COUNTIF('FIFA WC 2026'!$AA$11:$AA$60,A44)&gt;0,8,0)</f>
        <v/>
      </c>
      <c r="J44" s="108">
        <f>IF(COUNTIF('FIFA WC 2026'!$AE$19:$AE$52,A44)&gt;0,10,0)</f>
        <v/>
      </c>
      <c r="K44" s="108">
        <f>IF(COUNTIF('FIFA WC 2026'!$AI$35:$AI$36,A44)&gt;0,13,0)</f>
        <v/>
      </c>
      <c r="L44" s="108">
        <f>IF('FIFA WC 2026'!$AI$40=A44,16,0)</f>
        <v/>
      </c>
      <c r="M44" s="109">
        <f>SUM(C44:L44)+O44</f>
        <v/>
      </c>
      <c r="N44" s="110">
        <f>M44-F44</f>
        <v/>
      </c>
      <c r="O44">
        <f>IF('FIFA WC 2026'!$AI$41=$A44,5,0)</f>
        <v/>
      </c>
    </row>
    <row r="45" ht="12.75" customHeight="1">
      <c r="A45" s="106" t="inlineStr">
        <is>
          <t>DR Congo</t>
        </is>
      </c>
      <c r="B45" s="107" t="inlineStr">
        <is>
          <t>K</t>
        </is>
      </c>
      <c r="C45" s="108">
        <f t="array" ref="C45">3*(SUMPRODUCT((MOD(INT((ROW('FIFA WC 2026'!$E$5:$E$76)-4)/2),3)=0)*('FIFA WC 2026'!$E$5:$E$76=A45)*ISNUMBER('FIFA WC 2026'!$F$5:$F$76)*ISNUMBER('FIFA WC 2026'!$G$5:$G$76)*('FIFA WC 2026'!$F$5:$F$76&gt;'FIFA WC 2026'!$G$5:$G$76))+SUMPRODUCT((MOD(INT((ROW('FIFA WC 2026'!$E$5:$E$76)-4)/2),3)=0)*('FIFA WC 2026'!$H$5:$H$76=A45)*ISNUMBER('FIFA WC 2026'!$F$5:$F$76)*ISNUMBER('FIFA WC 2026'!$G$5:$G$76)*('FIFA WC 2026'!$G$5:$G$76&gt;'FIFA WC 2026'!$F$5:$F$76)))+(SUMPRODUCT((MOD(INT((ROW('FIFA WC 2026'!$E$5:$E$76)-4)/2),3)=0)*((('FIFA WC 2026'!$E$5:$E$76=A45)+('FIFA WC 2026'!$H$5:$H$76=A45))&gt;0)*ISNUMBER('FIFA WC 2026'!$F$5:$F$76)*ISNUMBER('FIFA WC 2026'!$G$5:$G$76)*('FIFA WC 2026'!$F$5:$F$76='FIFA WC 2026'!$G$5:$G$76)))</f>
        <v/>
      </c>
      <c r="D45" s="108">
        <f t="array" ref="D45">3*(SUMPRODUCT((MOD(INT((ROW('FIFA WC 2026'!$E$5:$E$76)-4)/2),3)=1)*('FIFA WC 2026'!$E$5:$E$76=A45)*ISNUMBER('FIFA WC 2026'!$F$5:$F$76)*ISNUMBER('FIFA WC 2026'!$G$5:$G$76)*('FIFA WC 2026'!$F$5:$F$76&gt;'FIFA WC 2026'!$G$5:$G$76))+SUMPRODUCT((MOD(INT((ROW('FIFA WC 2026'!$E$5:$E$76)-4)/2),3)=1)*('FIFA WC 2026'!$H$5:$H$76=A45)*ISNUMBER('FIFA WC 2026'!$F$5:$F$76)*ISNUMBER('FIFA WC 2026'!$G$5:$G$76)*('FIFA WC 2026'!$G$5:$G$76&gt;'FIFA WC 2026'!$F$5:$F$76)))+(SUMPRODUCT((MOD(INT((ROW('FIFA WC 2026'!$E$5:$E$76)-4)/2),3)=1)*((('FIFA WC 2026'!$E$5:$E$76=A45)+('FIFA WC 2026'!$H$5:$H$76=A45))&gt;0)*ISNUMBER('FIFA WC 2026'!$F$5:$F$76)*ISNUMBER('FIFA WC 2026'!$G$5:$G$76)*('FIFA WC 2026'!$F$5:$F$76='FIFA WC 2026'!$G$5:$G$76)))</f>
        <v/>
      </c>
      <c r="E45" s="108">
        <f t="array" ref="E45">3*(SUMPRODUCT((MOD(INT((ROW('FIFA WC 2026'!$E$5:$E$76)-4)/2),3)=2)*('FIFA WC 2026'!$E$5:$E$76=A45)*ISNUMBER('FIFA WC 2026'!$F$5:$F$76)*ISNUMBER('FIFA WC 2026'!$G$5:$G$76)*('FIFA WC 2026'!$F$5:$F$76&gt;'FIFA WC 2026'!$G$5:$G$76))+SUMPRODUCT((MOD(INT((ROW('FIFA WC 2026'!$E$5:$E$76)-4)/2),3)=2)*('FIFA WC 2026'!$H$5:$H$76=A45)*ISNUMBER('FIFA WC 2026'!$F$5:$F$76)*ISNUMBER('FIFA WC 2026'!$G$5:$G$76)*('FIFA WC 2026'!$G$5:$G$76&gt;'FIFA WC 2026'!$F$5:$F$76)))+(SUMPRODUCT((MOD(INT((ROW('FIFA WC 2026'!$E$5:$E$76)-4)/2),3)=2)*((('FIFA WC 2026'!$E$5:$E$76=A45)+('FIFA WC 2026'!$H$5:$H$76=A45))&gt;0)*ISNUMBER('FIFA WC 2026'!$F$5:$F$76)*ISNUMBER('FIFA WC 2026'!$G$5:$G$76)*('FIFA WC 2026'!$F$5:$F$76='FIFA WC 2026'!$G$5:$G$76)))</f>
        <v/>
      </c>
      <c r="F45" s="108">
        <f t="array" ref="F45">0.5*(SUMPRODUCT(('FIFA WC 2026'!$E$5:$E$76=A45)*IFERROR('FIFA WC 2026'!$F$5:$F$76,0))+SUMPRODUCT(('FIFA WC 2026'!$H$5:$H$76=A45)*IFERROR('FIFA WC 2026'!$G$5:$G$76,0))+SUMPRODUCT(('FIFA WC 2026'!$S$5:$S$66=A45)*IFERROR('FIFA WC 2026'!$T$5:$T$66,0))+SUMPRODUCT(('FIFA WC 2026'!$W$7:$W$64=A45)*IFERROR('FIFA WC 2026'!$X$7:$X$64,0))+SUMPRODUCT(('FIFA WC 2026'!$AA$11:$AA$66=A45)*IFERROR('FIFA WC 2026'!$AB$11:$AB$66,0))+SUMPRODUCT(('FIFA WC 2026'!$AE$19:$AE$52=A45)*IFERROR('FIFA WC 2026'!$AF$19:$AF$52,0))+SUMPRODUCT(('FIFA WC 2026'!$AI$35:$AI$44=A45)*IFERROR('FIFA WC 2026'!$AJ$35:$AJ$44,0)))</f>
        <v/>
      </c>
      <c r="G45" s="108">
        <f>IF(COUNTIF('FIFA WC 2026'!$S$5:$S$66,A45)&gt;0,4,0)</f>
        <v/>
      </c>
      <c r="H45" s="108">
        <f>IF(COUNTIF('FIFA WC 2026'!$W$7:$W$64,A45)&gt;0,6,0)</f>
        <v/>
      </c>
      <c r="I45" s="108">
        <f>IF(COUNTIF('FIFA WC 2026'!$AA$11:$AA$60,A45)&gt;0,8,0)</f>
        <v/>
      </c>
      <c r="J45" s="108">
        <f>IF(COUNTIF('FIFA WC 2026'!$AE$19:$AE$52,A45)&gt;0,10,0)</f>
        <v/>
      </c>
      <c r="K45" s="108">
        <f>IF(COUNTIF('FIFA WC 2026'!$AI$35:$AI$36,A45)&gt;0,13,0)</f>
        <v/>
      </c>
      <c r="L45" s="108">
        <f>IF('FIFA WC 2026'!$AI$40=A45,16,0)</f>
        <v/>
      </c>
      <c r="M45" s="109">
        <f>SUM(C45:L45)+O45</f>
        <v/>
      </c>
      <c r="N45" s="110">
        <f>M45-F45</f>
        <v/>
      </c>
      <c r="O45">
        <f>IF('FIFA WC 2026'!$AI$41=$A45,5,0)</f>
        <v/>
      </c>
    </row>
    <row r="46" ht="12.75" customHeight="1">
      <c r="A46" s="106" t="inlineStr">
        <is>
          <t>Uzbekistan</t>
        </is>
      </c>
      <c r="B46" s="107" t="inlineStr">
        <is>
          <t>K</t>
        </is>
      </c>
      <c r="C46" s="108">
        <f t="array" ref="C46">3*(SUMPRODUCT((MOD(INT((ROW('FIFA WC 2026'!$E$5:$E$76)-4)/2),3)=0)*('FIFA WC 2026'!$E$5:$E$76=A46)*ISNUMBER('FIFA WC 2026'!$F$5:$F$76)*ISNUMBER('FIFA WC 2026'!$G$5:$G$76)*('FIFA WC 2026'!$F$5:$F$76&gt;'FIFA WC 2026'!$G$5:$G$76))+SUMPRODUCT((MOD(INT((ROW('FIFA WC 2026'!$E$5:$E$76)-4)/2),3)=0)*('FIFA WC 2026'!$H$5:$H$76=A46)*ISNUMBER('FIFA WC 2026'!$F$5:$F$76)*ISNUMBER('FIFA WC 2026'!$G$5:$G$76)*('FIFA WC 2026'!$G$5:$G$76&gt;'FIFA WC 2026'!$F$5:$F$76)))+(SUMPRODUCT((MOD(INT((ROW('FIFA WC 2026'!$E$5:$E$76)-4)/2),3)=0)*((('FIFA WC 2026'!$E$5:$E$76=A46)+('FIFA WC 2026'!$H$5:$H$76=A46))&gt;0)*ISNUMBER('FIFA WC 2026'!$F$5:$F$76)*ISNUMBER('FIFA WC 2026'!$G$5:$G$76)*('FIFA WC 2026'!$F$5:$F$76='FIFA WC 2026'!$G$5:$G$76)))</f>
        <v/>
      </c>
      <c r="D46" s="108">
        <f t="array" ref="D46">3*(SUMPRODUCT((MOD(INT((ROW('FIFA WC 2026'!$E$5:$E$76)-4)/2),3)=1)*('FIFA WC 2026'!$E$5:$E$76=A46)*ISNUMBER('FIFA WC 2026'!$F$5:$F$76)*ISNUMBER('FIFA WC 2026'!$G$5:$G$76)*('FIFA WC 2026'!$F$5:$F$76&gt;'FIFA WC 2026'!$G$5:$G$76))+SUMPRODUCT((MOD(INT((ROW('FIFA WC 2026'!$E$5:$E$76)-4)/2),3)=1)*('FIFA WC 2026'!$H$5:$H$76=A46)*ISNUMBER('FIFA WC 2026'!$F$5:$F$76)*ISNUMBER('FIFA WC 2026'!$G$5:$G$76)*('FIFA WC 2026'!$G$5:$G$76&gt;'FIFA WC 2026'!$F$5:$F$76)))+(SUMPRODUCT((MOD(INT((ROW('FIFA WC 2026'!$E$5:$E$76)-4)/2),3)=1)*((('FIFA WC 2026'!$E$5:$E$76=A46)+('FIFA WC 2026'!$H$5:$H$76=A46))&gt;0)*ISNUMBER('FIFA WC 2026'!$F$5:$F$76)*ISNUMBER('FIFA WC 2026'!$G$5:$G$76)*('FIFA WC 2026'!$F$5:$F$76='FIFA WC 2026'!$G$5:$G$76)))</f>
        <v/>
      </c>
      <c r="E46" s="108">
        <f t="array" ref="E46">3*(SUMPRODUCT((MOD(INT((ROW('FIFA WC 2026'!$E$5:$E$76)-4)/2),3)=2)*('FIFA WC 2026'!$E$5:$E$76=A46)*ISNUMBER('FIFA WC 2026'!$F$5:$F$76)*ISNUMBER('FIFA WC 2026'!$G$5:$G$76)*('FIFA WC 2026'!$F$5:$F$76&gt;'FIFA WC 2026'!$G$5:$G$76))+SUMPRODUCT((MOD(INT((ROW('FIFA WC 2026'!$E$5:$E$76)-4)/2),3)=2)*('FIFA WC 2026'!$H$5:$H$76=A46)*ISNUMBER('FIFA WC 2026'!$F$5:$F$76)*ISNUMBER('FIFA WC 2026'!$G$5:$G$76)*('FIFA WC 2026'!$G$5:$G$76&gt;'FIFA WC 2026'!$F$5:$F$76)))+(SUMPRODUCT((MOD(INT((ROW('FIFA WC 2026'!$E$5:$E$76)-4)/2),3)=2)*((('FIFA WC 2026'!$E$5:$E$76=A46)+('FIFA WC 2026'!$H$5:$H$76=A46))&gt;0)*ISNUMBER('FIFA WC 2026'!$F$5:$F$76)*ISNUMBER('FIFA WC 2026'!$G$5:$G$76)*('FIFA WC 2026'!$F$5:$F$76='FIFA WC 2026'!$G$5:$G$76)))</f>
        <v/>
      </c>
      <c r="F46" s="108">
        <f t="array" ref="F46">0.5*(SUMPRODUCT(('FIFA WC 2026'!$E$5:$E$76=A46)*IFERROR('FIFA WC 2026'!$F$5:$F$76,0))+SUMPRODUCT(('FIFA WC 2026'!$H$5:$H$76=A46)*IFERROR('FIFA WC 2026'!$G$5:$G$76,0))+SUMPRODUCT(('FIFA WC 2026'!$S$5:$S$66=A46)*IFERROR('FIFA WC 2026'!$T$5:$T$66,0))+SUMPRODUCT(('FIFA WC 2026'!$W$7:$W$64=A46)*IFERROR('FIFA WC 2026'!$X$7:$X$64,0))+SUMPRODUCT(('FIFA WC 2026'!$AA$11:$AA$66=A46)*IFERROR('FIFA WC 2026'!$AB$11:$AB$66,0))+SUMPRODUCT(('FIFA WC 2026'!$AE$19:$AE$52=A46)*IFERROR('FIFA WC 2026'!$AF$19:$AF$52,0))+SUMPRODUCT(('FIFA WC 2026'!$AI$35:$AI$44=A46)*IFERROR('FIFA WC 2026'!$AJ$35:$AJ$44,0)))</f>
        <v/>
      </c>
      <c r="G46" s="108">
        <f>IF(COUNTIF('FIFA WC 2026'!$S$5:$S$66,A46)&gt;0,4,0)</f>
        <v/>
      </c>
      <c r="H46" s="108">
        <f>IF(COUNTIF('FIFA WC 2026'!$W$7:$W$64,A46)&gt;0,6,0)</f>
        <v/>
      </c>
      <c r="I46" s="108">
        <f>IF(COUNTIF('FIFA WC 2026'!$AA$11:$AA$60,A46)&gt;0,8,0)</f>
        <v/>
      </c>
      <c r="J46" s="108">
        <f>IF(COUNTIF('FIFA WC 2026'!$AE$19:$AE$52,A46)&gt;0,10,0)</f>
        <v/>
      </c>
      <c r="K46" s="108">
        <f>IF(COUNTIF('FIFA WC 2026'!$AI$35:$AI$36,A46)&gt;0,13,0)</f>
        <v/>
      </c>
      <c r="L46" s="108">
        <f>IF('FIFA WC 2026'!$AI$40=A46,16,0)</f>
        <v/>
      </c>
      <c r="M46" s="109">
        <f>SUM(C46:L46)+O46</f>
        <v/>
      </c>
      <c r="N46" s="110">
        <f>M46-F46</f>
        <v/>
      </c>
      <c r="O46">
        <f>IF('FIFA WC 2026'!$AI$41=$A46,5,0)</f>
        <v/>
      </c>
    </row>
    <row r="47" ht="12.75" customHeight="1">
      <c r="A47" s="106" t="inlineStr">
        <is>
          <t>Colombia</t>
        </is>
      </c>
      <c r="B47" s="107" t="inlineStr">
        <is>
          <t>K</t>
        </is>
      </c>
      <c r="C47" s="108">
        <f t="array" ref="C47">3*(SUMPRODUCT((MOD(INT((ROW('FIFA WC 2026'!$E$5:$E$76)-4)/2),3)=0)*('FIFA WC 2026'!$E$5:$E$76=A47)*ISNUMBER('FIFA WC 2026'!$F$5:$F$76)*ISNUMBER('FIFA WC 2026'!$G$5:$G$76)*('FIFA WC 2026'!$F$5:$F$76&gt;'FIFA WC 2026'!$G$5:$G$76))+SUMPRODUCT((MOD(INT((ROW('FIFA WC 2026'!$E$5:$E$76)-4)/2),3)=0)*('FIFA WC 2026'!$H$5:$H$76=A47)*ISNUMBER('FIFA WC 2026'!$F$5:$F$76)*ISNUMBER('FIFA WC 2026'!$G$5:$G$76)*('FIFA WC 2026'!$G$5:$G$76&gt;'FIFA WC 2026'!$F$5:$F$76)))+(SUMPRODUCT((MOD(INT((ROW('FIFA WC 2026'!$E$5:$E$76)-4)/2),3)=0)*((('FIFA WC 2026'!$E$5:$E$76=A47)+('FIFA WC 2026'!$H$5:$H$76=A47))&gt;0)*ISNUMBER('FIFA WC 2026'!$F$5:$F$76)*ISNUMBER('FIFA WC 2026'!$G$5:$G$76)*('FIFA WC 2026'!$F$5:$F$76='FIFA WC 2026'!$G$5:$G$76)))</f>
        <v/>
      </c>
      <c r="D47" s="108">
        <f t="array" ref="D47">3*(SUMPRODUCT((MOD(INT((ROW('FIFA WC 2026'!$E$5:$E$76)-4)/2),3)=1)*('FIFA WC 2026'!$E$5:$E$76=A47)*ISNUMBER('FIFA WC 2026'!$F$5:$F$76)*ISNUMBER('FIFA WC 2026'!$G$5:$G$76)*('FIFA WC 2026'!$F$5:$F$76&gt;'FIFA WC 2026'!$G$5:$G$76))+SUMPRODUCT((MOD(INT((ROW('FIFA WC 2026'!$E$5:$E$76)-4)/2),3)=1)*('FIFA WC 2026'!$H$5:$H$76=A47)*ISNUMBER('FIFA WC 2026'!$F$5:$F$76)*ISNUMBER('FIFA WC 2026'!$G$5:$G$76)*('FIFA WC 2026'!$G$5:$G$76&gt;'FIFA WC 2026'!$F$5:$F$76)))+(SUMPRODUCT((MOD(INT((ROW('FIFA WC 2026'!$E$5:$E$76)-4)/2),3)=1)*((('FIFA WC 2026'!$E$5:$E$76=A47)+('FIFA WC 2026'!$H$5:$H$76=A47))&gt;0)*ISNUMBER('FIFA WC 2026'!$F$5:$F$76)*ISNUMBER('FIFA WC 2026'!$G$5:$G$76)*('FIFA WC 2026'!$F$5:$F$76='FIFA WC 2026'!$G$5:$G$76)))</f>
        <v/>
      </c>
      <c r="E47" s="108">
        <f t="array" ref="E47">3*(SUMPRODUCT((MOD(INT((ROW('FIFA WC 2026'!$E$5:$E$76)-4)/2),3)=2)*('FIFA WC 2026'!$E$5:$E$76=A47)*ISNUMBER('FIFA WC 2026'!$F$5:$F$76)*ISNUMBER('FIFA WC 2026'!$G$5:$G$76)*('FIFA WC 2026'!$F$5:$F$76&gt;'FIFA WC 2026'!$G$5:$G$76))+SUMPRODUCT((MOD(INT((ROW('FIFA WC 2026'!$E$5:$E$76)-4)/2),3)=2)*('FIFA WC 2026'!$H$5:$H$76=A47)*ISNUMBER('FIFA WC 2026'!$F$5:$F$76)*ISNUMBER('FIFA WC 2026'!$G$5:$G$76)*('FIFA WC 2026'!$G$5:$G$76&gt;'FIFA WC 2026'!$F$5:$F$76)))+(SUMPRODUCT((MOD(INT((ROW('FIFA WC 2026'!$E$5:$E$76)-4)/2),3)=2)*((('FIFA WC 2026'!$E$5:$E$76=A47)+('FIFA WC 2026'!$H$5:$H$76=A47))&gt;0)*ISNUMBER('FIFA WC 2026'!$F$5:$F$76)*ISNUMBER('FIFA WC 2026'!$G$5:$G$76)*('FIFA WC 2026'!$F$5:$F$76='FIFA WC 2026'!$G$5:$G$76)))</f>
        <v/>
      </c>
      <c r="F47" s="108">
        <f t="array" ref="F47">0.5*(SUMPRODUCT(('FIFA WC 2026'!$E$5:$E$76=A47)*IFERROR('FIFA WC 2026'!$F$5:$F$76,0))+SUMPRODUCT(('FIFA WC 2026'!$H$5:$H$76=A47)*IFERROR('FIFA WC 2026'!$G$5:$G$76,0))+SUMPRODUCT(('FIFA WC 2026'!$S$5:$S$66=A47)*IFERROR('FIFA WC 2026'!$T$5:$T$66,0))+SUMPRODUCT(('FIFA WC 2026'!$W$7:$W$64=A47)*IFERROR('FIFA WC 2026'!$X$7:$X$64,0))+SUMPRODUCT(('FIFA WC 2026'!$AA$11:$AA$66=A47)*IFERROR('FIFA WC 2026'!$AB$11:$AB$66,0))+SUMPRODUCT(('FIFA WC 2026'!$AE$19:$AE$52=A47)*IFERROR('FIFA WC 2026'!$AF$19:$AF$52,0))+SUMPRODUCT(('FIFA WC 2026'!$AI$35:$AI$44=A47)*IFERROR('FIFA WC 2026'!$AJ$35:$AJ$44,0)))</f>
        <v/>
      </c>
      <c r="G47" s="108">
        <f>IF(COUNTIF('FIFA WC 2026'!$S$5:$S$66,A47)&gt;0,4,0)</f>
        <v/>
      </c>
      <c r="H47" s="108">
        <f>IF(COUNTIF('FIFA WC 2026'!$W$7:$W$64,A47)&gt;0,6,0)</f>
        <v/>
      </c>
      <c r="I47" s="108">
        <f>IF(COUNTIF('FIFA WC 2026'!$AA$11:$AA$60,A47)&gt;0,8,0)</f>
        <v/>
      </c>
      <c r="J47" s="108">
        <f>IF(COUNTIF('FIFA WC 2026'!$AE$19:$AE$52,A47)&gt;0,10,0)</f>
        <v/>
      </c>
      <c r="K47" s="108">
        <f>IF(COUNTIF('FIFA WC 2026'!$AI$35:$AI$36,A47)&gt;0,13,0)</f>
        <v/>
      </c>
      <c r="L47" s="108">
        <f>IF('FIFA WC 2026'!$AI$40=A47,16,0)</f>
        <v/>
      </c>
      <c r="M47" s="109">
        <f>SUM(C47:L47)+O47</f>
        <v/>
      </c>
      <c r="N47" s="110">
        <f>M47-F47</f>
        <v/>
      </c>
      <c r="O47">
        <f>IF('FIFA WC 2026'!$AI$41=$A47,5,0)</f>
        <v/>
      </c>
    </row>
    <row r="48" ht="12.75" customHeight="1">
      <c r="A48" s="27" t="inlineStr">
        <is>
          <t>England</t>
        </is>
      </c>
      <c r="B48" s="26" t="inlineStr">
        <is>
          <t>L</t>
        </is>
      </c>
      <c r="C48" s="28">
        <f t="array" ref="C48">3*(SUMPRODUCT((MOD(INT((ROW('FIFA WC 2026'!$E$5:$E$76)-4)/2),3)=0)*('FIFA WC 2026'!$E$5:$E$76=A48)*ISNUMBER('FIFA WC 2026'!$F$5:$F$76)*ISNUMBER('FIFA WC 2026'!$G$5:$G$76)*('FIFA WC 2026'!$F$5:$F$76&gt;'FIFA WC 2026'!$G$5:$G$76))+SUMPRODUCT((MOD(INT((ROW('FIFA WC 2026'!$E$5:$E$76)-4)/2),3)=0)*('FIFA WC 2026'!$H$5:$H$76=A48)*ISNUMBER('FIFA WC 2026'!$F$5:$F$76)*ISNUMBER('FIFA WC 2026'!$G$5:$G$76)*('FIFA WC 2026'!$G$5:$G$76&gt;'FIFA WC 2026'!$F$5:$F$76)))+(SUMPRODUCT((MOD(INT((ROW('FIFA WC 2026'!$E$5:$E$76)-4)/2),3)=0)*((('FIFA WC 2026'!$E$5:$E$76=A48)+('FIFA WC 2026'!$H$5:$H$76=A48))&gt;0)*ISNUMBER('FIFA WC 2026'!$F$5:$F$76)*ISNUMBER('FIFA WC 2026'!$G$5:$G$76)*('FIFA WC 2026'!$F$5:$F$76='FIFA WC 2026'!$G$5:$G$76)))</f>
        <v/>
      </c>
      <c r="D48" s="28">
        <f t="array" ref="D48">3*(SUMPRODUCT((MOD(INT((ROW('FIFA WC 2026'!$E$5:$E$76)-4)/2),3)=1)*('FIFA WC 2026'!$E$5:$E$76=A48)*ISNUMBER('FIFA WC 2026'!$F$5:$F$76)*ISNUMBER('FIFA WC 2026'!$G$5:$G$76)*('FIFA WC 2026'!$F$5:$F$76&gt;'FIFA WC 2026'!$G$5:$G$76))+SUMPRODUCT((MOD(INT((ROW('FIFA WC 2026'!$E$5:$E$76)-4)/2),3)=1)*('FIFA WC 2026'!$H$5:$H$76=A48)*ISNUMBER('FIFA WC 2026'!$F$5:$F$76)*ISNUMBER('FIFA WC 2026'!$G$5:$G$76)*('FIFA WC 2026'!$G$5:$G$76&gt;'FIFA WC 2026'!$F$5:$F$76)))+(SUMPRODUCT((MOD(INT((ROW('FIFA WC 2026'!$E$5:$E$76)-4)/2),3)=1)*((('FIFA WC 2026'!$E$5:$E$76=A48)+('FIFA WC 2026'!$H$5:$H$76=A48))&gt;0)*ISNUMBER('FIFA WC 2026'!$F$5:$F$76)*ISNUMBER('FIFA WC 2026'!$G$5:$G$76)*('FIFA WC 2026'!$F$5:$F$76='FIFA WC 2026'!$G$5:$G$76)))</f>
        <v/>
      </c>
      <c r="E48" s="28">
        <f t="array" ref="E48">3*(SUMPRODUCT((MOD(INT((ROW('FIFA WC 2026'!$E$5:$E$76)-4)/2),3)=2)*('FIFA WC 2026'!$E$5:$E$76=A48)*ISNUMBER('FIFA WC 2026'!$F$5:$F$76)*ISNUMBER('FIFA WC 2026'!$G$5:$G$76)*('FIFA WC 2026'!$F$5:$F$76&gt;'FIFA WC 2026'!$G$5:$G$76))+SUMPRODUCT((MOD(INT((ROW('FIFA WC 2026'!$E$5:$E$76)-4)/2),3)=2)*('FIFA WC 2026'!$H$5:$H$76=A48)*ISNUMBER('FIFA WC 2026'!$F$5:$F$76)*ISNUMBER('FIFA WC 2026'!$G$5:$G$76)*('FIFA WC 2026'!$G$5:$G$76&gt;'FIFA WC 2026'!$F$5:$F$76)))+(SUMPRODUCT((MOD(INT((ROW('FIFA WC 2026'!$E$5:$E$76)-4)/2),3)=2)*((('FIFA WC 2026'!$E$5:$E$76=A48)+('FIFA WC 2026'!$H$5:$H$76=A48))&gt;0)*ISNUMBER('FIFA WC 2026'!$F$5:$F$76)*ISNUMBER('FIFA WC 2026'!$G$5:$G$76)*('FIFA WC 2026'!$F$5:$F$76='FIFA WC 2026'!$G$5:$G$76)))</f>
        <v/>
      </c>
      <c r="F48" s="28">
        <f t="array" ref="F48">0.5*(SUMPRODUCT(('FIFA WC 2026'!$E$5:$E$76=A48)*IFERROR('FIFA WC 2026'!$F$5:$F$76,0))+SUMPRODUCT(('FIFA WC 2026'!$H$5:$H$76=A48)*IFERROR('FIFA WC 2026'!$G$5:$G$76,0))+SUMPRODUCT(('FIFA WC 2026'!$S$5:$S$66=A48)*IFERROR('FIFA WC 2026'!$T$5:$T$66,0))+SUMPRODUCT(('FIFA WC 2026'!$W$7:$W$64=A48)*IFERROR('FIFA WC 2026'!$X$7:$X$64,0))+SUMPRODUCT(('FIFA WC 2026'!$AA$11:$AA$66=A48)*IFERROR('FIFA WC 2026'!$AB$11:$AB$66,0))+SUMPRODUCT(('FIFA WC 2026'!$AE$19:$AE$52=A48)*IFERROR('FIFA WC 2026'!$AF$19:$AF$52,0))+SUMPRODUCT(('FIFA WC 2026'!$AI$35:$AI$44=A48)*IFERROR('FIFA WC 2026'!$AJ$35:$AJ$44,0)))</f>
        <v/>
      </c>
      <c r="G48" s="28">
        <f>IF(COUNTIF('FIFA WC 2026'!$S$5:$S$66,A48)&gt;0,4,0)</f>
        <v/>
      </c>
      <c r="H48" s="28">
        <f>IF(COUNTIF('FIFA WC 2026'!$W$7:$W$64,A48)&gt;0,6,0)</f>
        <v/>
      </c>
      <c r="I48" s="28">
        <f>IF(COUNTIF('FIFA WC 2026'!$AA$11:$AA$60,A48)&gt;0,8,0)</f>
        <v/>
      </c>
      <c r="J48" s="28">
        <f>IF(COUNTIF('FIFA WC 2026'!$AE$19:$AE$52,A48)&gt;0,10,0)</f>
        <v/>
      </c>
      <c r="K48" s="28">
        <f>IF(COUNTIF('FIFA WC 2026'!$AI$35:$AI$36,A48)&gt;0,13,0)</f>
        <v/>
      </c>
      <c r="L48" s="28">
        <f>IF('FIFA WC 2026'!$AI$40=A48,16,0)</f>
        <v/>
      </c>
      <c r="M48" s="111">
        <f>SUM(C48:L48)+O48</f>
        <v/>
      </c>
      <c r="N48" s="110">
        <f>M48-F48</f>
        <v/>
      </c>
      <c r="O48">
        <f>IF('FIFA WC 2026'!$AI$41=$A48,5,0)</f>
        <v/>
      </c>
    </row>
    <row r="49" ht="12.75" customHeight="1">
      <c r="A49" s="27" t="inlineStr">
        <is>
          <t>Croatia</t>
        </is>
      </c>
      <c r="B49" s="26" t="inlineStr">
        <is>
          <t>L</t>
        </is>
      </c>
      <c r="C49" s="28">
        <f t="array" ref="C49">3*(SUMPRODUCT((MOD(INT((ROW('FIFA WC 2026'!$E$5:$E$76)-4)/2),3)=0)*('FIFA WC 2026'!$E$5:$E$76=A49)*ISNUMBER('FIFA WC 2026'!$F$5:$F$76)*ISNUMBER('FIFA WC 2026'!$G$5:$G$76)*('FIFA WC 2026'!$F$5:$F$76&gt;'FIFA WC 2026'!$G$5:$G$76))+SUMPRODUCT((MOD(INT((ROW('FIFA WC 2026'!$E$5:$E$76)-4)/2),3)=0)*('FIFA WC 2026'!$H$5:$H$76=A49)*ISNUMBER('FIFA WC 2026'!$F$5:$F$76)*ISNUMBER('FIFA WC 2026'!$G$5:$G$76)*('FIFA WC 2026'!$G$5:$G$76&gt;'FIFA WC 2026'!$F$5:$F$76)))+(SUMPRODUCT((MOD(INT((ROW('FIFA WC 2026'!$E$5:$E$76)-4)/2),3)=0)*((('FIFA WC 2026'!$E$5:$E$76=A49)+('FIFA WC 2026'!$H$5:$H$76=A49))&gt;0)*ISNUMBER('FIFA WC 2026'!$F$5:$F$76)*ISNUMBER('FIFA WC 2026'!$G$5:$G$76)*('FIFA WC 2026'!$F$5:$F$76='FIFA WC 2026'!$G$5:$G$76)))</f>
        <v/>
      </c>
      <c r="D49" s="28">
        <f t="array" ref="D49">3*(SUMPRODUCT((MOD(INT((ROW('FIFA WC 2026'!$E$5:$E$76)-4)/2),3)=1)*('FIFA WC 2026'!$E$5:$E$76=A49)*ISNUMBER('FIFA WC 2026'!$F$5:$F$76)*ISNUMBER('FIFA WC 2026'!$G$5:$G$76)*('FIFA WC 2026'!$F$5:$F$76&gt;'FIFA WC 2026'!$G$5:$G$76))+SUMPRODUCT((MOD(INT((ROW('FIFA WC 2026'!$E$5:$E$76)-4)/2),3)=1)*('FIFA WC 2026'!$H$5:$H$76=A49)*ISNUMBER('FIFA WC 2026'!$F$5:$F$76)*ISNUMBER('FIFA WC 2026'!$G$5:$G$76)*('FIFA WC 2026'!$G$5:$G$76&gt;'FIFA WC 2026'!$F$5:$F$76)))+(SUMPRODUCT((MOD(INT((ROW('FIFA WC 2026'!$E$5:$E$76)-4)/2),3)=1)*((('FIFA WC 2026'!$E$5:$E$76=A49)+('FIFA WC 2026'!$H$5:$H$76=A49))&gt;0)*ISNUMBER('FIFA WC 2026'!$F$5:$F$76)*ISNUMBER('FIFA WC 2026'!$G$5:$G$76)*('FIFA WC 2026'!$F$5:$F$76='FIFA WC 2026'!$G$5:$G$76)))</f>
        <v/>
      </c>
      <c r="E49" s="28">
        <f t="array" ref="E49">3*(SUMPRODUCT((MOD(INT((ROW('FIFA WC 2026'!$E$5:$E$76)-4)/2),3)=2)*('FIFA WC 2026'!$E$5:$E$76=A49)*ISNUMBER('FIFA WC 2026'!$F$5:$F$76)*ISNUMBER('FIFA WC 2026'!$G$5:$G$76)*('FIFA WC 2026'!$F$5:$F$76&gt;'FIFA WC 2026'!$G$5:$G$76))+SUMPRODUCT((MOD(INT((ROW('FIFA WC 2026'!$E$5:$E$76)-4)/2),3)=2)*('FIFA WC 2026'!$H$5:$H$76=A49)*ISNUMBER('FIFA WC 2026'!$F$5:$F$76)*ISNUMBER('FIFA WC 2026'!$G$5:$G$76)*('FIFA WC 2026'!$G$5:$G$76&gt;'FIFA WC 2026'!$F$5:$F$76)))+(SUMPRODUCT((MOD(INT((ROW('FIFA WC 2026'!$E$5:$E$76)-4)/2),3)=2)*((('FIFA WC 2026'!$E$5:$E$76=A49)+('FIFA WC 2026'!$H$5:$H$76=A49))&gt;0)*ISNUMBER('FIFA WC 2026'!$F$5:$F$76)*ISNUMBER('FIFA WC 2026'!$G$5:$G$76)*('FIFA WC 2026'!$F$5:$F$76='FIFA WC 2026'!$G$5:$G$76)))</f>
        <v/>
      </c>
      <c r="F49" s="28">
        <f t="array" ref="F49">0.5*(SUMPRODUCT(('FIFA WC 2026'!$E$5:$E$76=A49)*IFERROR('FIFA WC 2026'!$F$5:$F$76,0))+SUMPRODUCT(('FIFA WC 2026'!$H$5:$H$76=A49)*IFERROR('FIFA WC 2026'!$G$5:$G$76,0))+SUMPRODUCT(('FIFA WC 2026'!$S$5:$S$66=A49)*IFERROR('FIFA WC 2026'!$T$5:$T$66,0))+SUMPRODUCT(('FIFA WC 2026'!$W$7:$W$64=A49)*IFERROR('FIFA WC 2026'!$X$7:$X$64,0))+SUMPRODUCT(('FIFA WC 2026'!$AA$11:$AA$66=A49)*IFERROR('FIFA WC 2026'!$AB$11:$AB$66,0))+SUMPRODUCT(('FIFA WC 2026'!$AE$19:$AE$52=A49)*IFERROR('FIFA WC 2026'!$AF$19:$AF$52,0))+SUMPRODUCT(('FIFA WC 2026'!$AI$35:$AI$44=A49)*IFERROR('FIFA WC 2026'!$AJ$35:$AJ$44,0)))</f>
        <v/>
      </c>
      <c r="G49" s="28">
        <f>IF(COUNTIF('FIFA WC 2026'!$S$5:$S$66,A49)&gt;0,4,0)</f>
        <v/>
      </c>
      <c r="H49" s="28">
        <f>IF(COUNTIF('FIFA WC 2026'!$W$7:$W$64,A49)&gt;0,6,0)</f>
        <v/>
      </c>
      <c r="I49" s="28">
        <f>IF(COUNTIF('FIFA WC 2026'!$AA$11:$AA$60,A49)&gt;0,8,0)</f>
        <v/>
      </c>
      <c r="J49" s="28">
        <f>IF(COUNTIF('FIFA WC 2026'!$AE$19:$AE$52,A49)&gt;0,10,0)</f>
        <v/>
      </c>
      <c r="K49" s="28">
        <f>IF(COUNTIF('FIFA WC 2026'!$AI$35:$AI$36,A49)&gt;0,13,0)</f>
        <v/>
      </c>
      <c r="L49" s="28">
        <f>IF('FIFA WC 2026'!$AI$40=A49,16,0)</f>
        <v/>
      </c>
      <c r="M49" s="111">
        <f>SUM(C49:L49)+O49</f>
        <v/>
      </c>
      <c r="N49" s="110">
        <f>M49-F49</f>
        <v/>
      </c>
      <c r="O49">
        <f>IF('FIFA WC 2026'!$AI$41=$A49,5,0)</f>
        <v/>
      </c>
    </row>
    <row r="50" ht="12.75" customHeight="1">
      <c r="A50" s="27" t="inlineStr">
        <is>
          <t>Ghana</t>
        </is>
      </c>
      <c r="B50" s="26" t="inlineStr">
        <is>
          <t>L</t>
        </is>
      </c>
      <c r="C50" s="28">
        <f t="array" ref="C50">3*(SUMPRODUCT((MOD(INT((ROW('FIFA WC 2026'!$E$5:$E$76)-4)/2),3)=0)*('FIFA WC 2026'!$E$5:$E$76=A50)*ISNUMBER('FIFA WC 2026'!$F$5:$F$76)*ISNUMBER('FIFA WC 2026'!$G$5:$G$76)*('FIFA WC 2026'!$F$5:$F$76&gt;'FIFA WC 2026'!$G$5:$G$76))+SUMPRODUCT((MOD(INT((ROW('FIFA WC 2026'!$E$5:$E$76)-4)/2),3)=0)*('FIFA WC 2026'!$H$5:$H$76=A50)*ISNUMBER('FIFA WC 2026'!$F$5:$F$76)*ISNUMBER('FIFA WC 2026'!$G$5:$G$76)*('FIFA WC 2026'!$G$5:$G$76&gt;'FIFA WC 2026'!$F$5:$F$76)))+(SUMPRODUCT((MOD(INT((ROW('FIFA WC 2026'!$E$5:$E$76)-4)/2),3)=0)*((('FIFA WC 2026'!$E$5:$E$76=A50)+('FIFA WC 2026'!$H$5:$H$76=A50))&gt;0)*ISNUMBER('FIFA WC 2026'!$F$5:$F$76)*ISNUMBER('FIFA WC 2026'!$G$5:$G$76)*('FIFA WC 2026'!$F$5:$F$76='FIFA WC 2026'!$G$5:$G$76)))</f>
        <v/>
      </c>
      <c r="D50" s="28">
        <f t="array" ref="D50">3*(SUMPRODUCT((MOD(INT((ROW('FIFA WC 2026'!$E$5:$E$76)-4)/2),3)=1)*('FIFA WC 2026'!$E$5:$E$76=A50)*ISNUMBER('FIFA WC 2026'!$F$5:$F$76)*ISNUMBER('FIFA WC 2026'!$G$5:$G$76)*('FIFA WC 2026'!$F$5:$F$76&gt;'FIFA WC 2026'!$G$5:$G$76))+SUMPRODUCT((MOD(INT((ROW('FIFA WC 2026'!$E$5:$E$76)-4)/2),3)=1)*('FIFA WC 2026'!$H$5:$H$76=A50)*ISNUMBER('FIFA WC 2026'!$F$5:$F$76)*ISNUMBER('FIFA WC 2026'!$G$5:$G$76)*('FIFA WC 2026'!$G$5:$G$76&gt;'FIFA WC 2026'!$F$5:$F$76)))+(SUMPRODUCT((MOD(INT((ROW('FIFA WC 2026'!$E$5:$E$76)-4)/2),3)=1)*((('FIFA WC 2026'!$E$5:$E$76=A50)+('FIFA WC 2026'!$H$5:$H$76=A50))&gt;0)*ISNUMBER('FIFA WC 2026'!$F$5:$F$76)*ISNUMBER('FIFA WC 2026'!$G$5:$G$76)*('FIFA WC 2026'!$F$5:$F$76='FIFA WC 2026'!$G$5:$G$76)))</f>
        <v/>
      </c>
      <c r="E50" s="28">
        <f t="array" ref="E50">3*(SUMPRODUCT((MOD(INT((ROW('FIFA WC 2026'!$E$5:$E$76)-4)/2),3)=2)*('FIFA WC 2026'!$E$5:$E$76=A50)*ISNUMBER('FIFA WC 2026'!$F$5:$F$76)*ISNUMBER('FIFA WC 2026'!$G$5:$G$76)*('FIFA WC 2026'!$F$5:$F$76&gt;'FIFA WC 2026'!$G$5:$G$76))+SUMPRODUCT((MOD(INT((ROW('FIFA WC 2026'!$E$5:$E$76)-4)/2),3)=2)*('FIFA WC 2026'!$H$5:$H$76=A50)*ISNUMBER('FIFA WC 2026'!$F$5:$F$76)*ISNUMBER('FIFA WC 2026'!$G$5:$G$76)*('FIFA WC 2026'!$G$5:$G$76&gt;'FIFA WC 2026'!$F$5:$F$76)))+(SUMPRODUCT((MOD(INT((ROW('FIFA WC 2026'!$E$5:$E$76)-4)/2),3)=2)*((('FIFA WC 2026'!$E$5:$E$76=A50)+('FIFA WC 2026'!$H$5:$H$76=A50))&gt;0)*ISNUMBER('FIFA WC 2026'!$F$5:$F$76)*ISNUMBER('FIFA WC 2026'!$G$5:$G$76)*('FIFA WC 2026'!$F$5:$F$76='FIFA WC 2026'!$G$5:$G$76)))</f>
        <v/>
      </c>
      <c r="F50" s="28">
        <f t="array" ref="F50">0.5*(SUMPRODUCT(('FIFA WC 2026'!$E$5:$E$76=A50)*IFERROR('FIFA WC 2026'!$F$5:$F$76,0))+SUMPRODUCT(('FIFA WC 2026'!$H$5:$H$76=A50)*IFERROR('FIFA WC 2026'!$G$5:$G$76,0))+SUMPRODUCT(('FIFA WC 2026'!$S$5:$S$66=A50)*IFERROR('FIFA WC 2026'!$T$5:$T$66,0))+SUMPRODUCT(('FIFA WC 2026'!$W$7:$W$64=A50)*IFERROR('FIFA WC 2026'!$X$7:$X$64,0))+SUMPRODUCT(('FIFA WC 2026'!$AA$11:$AA$66=A50)*IFERROR('FIFA WC 2026'!$AB$11:$AB$66,0))+SUMPRODUCT(('FIFA WC 2026'!$AE$19:$AE$52=A50)*IFERROR('FIFA WC 2026'!$AF$19:$AF$52,0))+SUMPRODUCT(('FIFA WC 2026'!$AI$35:$AI$44=A50)*IFERROR('FIFA WC 2026'!$AJ$35:$AJ$44,0)))</f>
        <v/>
      </c>
      <c r="G50" s="28">
        <f>IF(COUNTIF('FIFA WC 2026'!$S$5:$S$66,A50)&gt;0,4,0)</f>
        <v/>
      </c>
      <c r="H50" s="28">
        <f>IF(COUNTIF('FIFA WC 2026'!$W$7:$W$64,A50)&gt;0,6,0)</f>
        <v/>
      </c>
      <c r="I50" s="28">
        <f>IF(COUNTIF('FIFA WC 2026'!$AA$11:$AA$60,A50)&gt;0,8,0)</f>
        <v/>
      </c>
      <c r="J50" s="28">
        <f>IF(COUNTIF('FIFA WC 2026'!$AE$19:$AE$52,A50)&gt;0,10,0)</f>
        <v/>
      </c>
      <c r="K50" s="28">
        <f>IF(COUNTIF('FIFA WC 2026'!$AI$35:$AI$36,A50)&gt;0,13,0)</f>
        <v/>
      </c>
      <c r="L50" s="28">
        <f>IF('FIFA WC 2026'!$AI$40=A50,16,0)</f>
        <v/>
      </c>
      <c r="M50" s="111">
        <f>SUM(C50:L50)+O50</f>
        <v/>
      </c>
      <c r="N50" s="110">
        <f>M50-F50</f>
        <v/>
      </c>
      <c r="O50">
        <f>IF('FIFA WC 2026'!$AI$41=$A50,5,0)</f>
        <v/>
      </c>
    </row>
    <row r="51" ht="12.75" customHeight="1">
      <c r="A51" s="27" t="inlineStr">
        <is>
          <t>Panama</t>
        </is>
      </c>
      <c r="B51" s="26" t="inlineStr">
        <is>
          <t>L</t>
        </is>
      </c>
      <c r="C51" s="28">
        <f t="array" ref="C51">3*(SUMPRODUCT((MOD(INT((ROW('FIFA WC 2026'!$E$5:$E$76)-4)/2),3)=0)*('FIFA WC 2026'!$E$5:$E$76=A51)*ISNUMBER('FIFA WC 2026'!$F$5:$F$76)*ISNUMBER('FIFA WC 2026'!$G$5:$G$76)*('FIFA WC 2026'!$F$5:$F$76&gt;'FIFA WC 2026'!$G$5:$G$76))+SUMPRODUCT((MOD(INT((ROW('FIFA WC 2026'!$E$5:$E$76)-4)/2),3)=0)*('FIFA WC 2026'!$H$5:$H$76=A51)*ISNUMBER('FIFA WC 2026'!$F$5:$F$76)*ISNUMBER('FIFA WC 2026'!$G$5:$G$76)*('FIFA WC 2026'!$G$5:$G$76&gt;'FIFA WC 2026'!$F$5:$F$76)))+(SUMPRODUCT((MOD(INT((ROW('FIFA WC 2026'!$E$5:$E$76)-4)/2),3)=0)*((('FIFA WC 2026'!$E$5:$E$76=A51)+('FIFA WC 2026'!$H$5:$H$76=A51))&gt;0)*ISNUMBER('FIFA WC 2026'!$F$5:$F$76)*ISNUMBER('FIFA WC 2026'!$G$5:$G$76)*('FIFA WC 2026'!$F$5:$F$76='FIFA WC 2026'!$G$5:$G$76)))</f>
        <v/>
      </c>
      <c r="D51" s="28">
        <f t="array" ref="D51">3*(SUMPRODUCT((MOD(INT((ROW('FIFA WC 2026'!$E$5:$E$76)-4)/2),3)=1)*('FIFA WC 2026'!$E$5:$E$76=A51)*ISNUMBER('FIFA WC 2026'!$F$5:$F$76)*ISNUMBER('FIFA WC 2026'!$G$5:$G$76)*('FIFA WC 2026'!$F$5:$F$76&gt;'FIFA WC 2026'!$G$5:$G$76))+SUMPRODUCT((MOD(INT((ROW('FIFA WC 2026'!$E$5:$E$76)-4)/2),3)=1)*('FIFA WC 2026'!$H$5:$H$76=A51)*ISNUMBER('FIFA WC 2026'!$F$5:$F$76)*ISNUMBER('FIFA WC 2026'!$G$5:$G$76)*('FIFA WC 2026'!$G$5:$G$76&gt;'FIFA WC 2026'!$F$5:$F$76)))+(SUMPRODUCT((MOD(INT((ROW('FIFA WC 2026'!$E$5:$E$76)-4)/2),3)=1)*((('FIFA WC 2026'!$E$5:$E$76=A51)+('FIFA WC 2026'!$H$5:$H$76=A51))&gt;0)*ISNUMBER('FIFA WC 2026'!$F$5:$F$76)*ISNUMBER('FIFA WC 2026'!$G$5:$G$76)*('FIFA WC 2026'!$F$5:$F$76='FIFA WC 2026'!$G$5:$G$76)))</f>
        <v/>
      </c>
      <c r="E51" s="28">
        <f t="array" ref="E51">3*(SUMPRODUCT((MOD(INT((ROW('FIFA WC 2026'!$E$5:$E$76)-4)/2),3)=2)*('FIFA WC 2026'!$E$5:$E$76=A51)*ISNUMBER('FIFA WC 2026'!$F$5:$F$76)*ISNUMBER('FIFA WC 2026'!$G$5:$G$76)*('FIFA WC 2026'!$F$5:$F$76&gt;'FIFA WC 2026'!$G$5:$G$76))+SUMPRODUCT((MOD(INT((ROW('FIFA WC 2026'!$E$5:$E$76)-4)/2),3)=2)*('FIFA WC 2026'!$H$5:$H$76=A51)*ISNUMBER('FIFA WC 2026'!$F$5:$F$76)*ISNUMBER('FIFA WC 2026'!$G$5:$G$76)*('FIFA WC 2026'!$G$5:$G$76&gt;'FIFA WC 2026'!$F$5:$F$76)))+(SUMPRODUCT((MOD(INT((ROW('FIFA WC 2026'!$E$5:$E$76)-4)/2),3)=2)*((('FIFA WC 2026'!$E$5:$E$76=A51)+('FIFA WC 2026'!$H$5:$H$76=A51))&gt;0)*ISNUMBER('FIFA WC 2026'!$F$5:$F$76)*ISNUMBER('FIFA WC 2026'!$G$5:$G$76)*('FIFA WC 2026'!$F$5:$F$76='FIFA WC 2026'!$G$5:$G$76)))</f>
        <v/>
      </c>
      <c r="F51" s="28">
        <f t="array" ref="F51">0.5*(SUMPRODUCT(('FIFA WC 2026'!$E$5:$E$76=A51)*IFERROR('FIFA WC 2026'!$F$5:$F$76,0))+SUMPRODUCT(('FIFA WC 2026'!$H$5:$H$76=A51)*IFERROR('FIFA WC 2026'!$G$5:$G$76,0))+SUMPRODUCT(('FIFA WC 2026'!$S$5:$S$66=A51)*IFERROR('FIFA WC 2026'!$T$5:$T$66,0))+SUMPRODUCT(('FIFA WC 2026'!$W$7:$W$64=A51)*IFERROR('FIFA WC 2026'!$X$7:$X$64,0))+SUMPRODUCT(('FIFA WC 2026'!$AA$11:$AA$66=A51)*IFERROR('FIFA WC 2026'!$AB$11:$AB$66,0))+SUMPRODUCT(('FIFA WC 2026'!$AE$19:$AE$52=A51)*IFERROR('FIFA WC 2026'!$AF$19:$AF$52,0))+SUMPRODUCT(('FIFA WC 2026'!$AI$35:$AI$44=A51)*IFERROR('FIFA WC 2026'!$AJ$35:$AJ$44,0)))</f>
        <v/>
      </c>
      <c r="G51" s="28">
        <f>IF(COUNTIF('FIFA WC 2026'!$S$5:$S$66,A51)&gt;0,4,0)</f>
        <v/>
      </c>
      <c r="H51" s="28">
        <f>IF(COUNTIF('FIFA WC 2026'!$W$7:$W$64,A51)&gt;0,6,0)</f>
        <v/>
      </c>
      <c r="I51" s="28">
        <f>IF(COUNTIF('FIFA WC 2026'!$AA$11:$AA$60,A51)&gt;0,8,0)</f>
        <v/>
      </c>
      <c r="J51" s="28">
        <f>IF(COUNTIF('FIFA WC 2026'!$AE$19:$AE$52,A51)&gt;0,10,0)</f>
        <v/>
      </c>
      <c r="K51" s="28">
        <f>IF(COUNTIF('FIFA WC 2026'!$AI$35:$AI$36,A51)&gt;0,13,0)</f>
        <v/>
      </c>
      <c r="L51" s="28">
        <f>IF('FIFA WC 2026'!$AI$40=A51,16,0)</f>
        <v/>
      </c>
      <c r="M51" s="111">
        <f>SUM(C51:L51)+O51</f>
        <v/>
      </c>
      <c r="N51" s="110">
        <f>M51-F51</f>
        <v/>
      </c>
      <c r="O51">
        <f>IF('FIFA WC 2026'!$AI$41=$A51,5,0)</f>
        <v/>
      </c>
    </row>
  </sheetData>
  <mergeCells count="1">
    <mergeCell ref="A1:M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tabColor rgb="FFFF0000"/>
    <outlinePr summaryBelow="1" summaryRight="1"/>
    <pageSetUpPr/>
  </sheetPr>
  <dimension ref="B2:I57"/>
  <sheetViews>
    <sheetView showGridLines="0" zoomScale="150" zoomScaleNormal="150" workbookViewId="0">
      <selection activeCell="J19" sqref="J19"/>
    </sheetView>
  </sheetViews>
  <sheetFormatPr baseColWidth="8" defaultColWidth="9.19921875" defaultRowHeight="13"/>
  <cols>
    <col width="1.796875" customWidth="1" style="112" min="1" max="1"/>
    <col width="18.3984375" customWidth="1" style="112" min="2" max="2"/>
    <col width="18.59765625" customWidth="1" style="113" min="3" max="3"/>
    <col width="2.59765625" customWidth="1" style="112" min="4" max="4"/>
    <col width="16.3984375" customWidth="1" style="112" min="5" max="5"/>
    <col width="2.59765625" customWidth="1" style="112" min="6" max="6"/>
    <col width="11.59765625" customWidth="1" style="112" min="7" max="7"/>
    <col width="10.59765625" customWidth="1" style="112" min="8" max="8"/>
    <col width="18.3984375" customWidth="1" style="112" min="9" max="9"/>
    <col width="9.19921875" customWidth="1" style="112" min="10" max="16384"/>
  </cols>
  <sheetData>
    <row r="2" ht="16.5" customHeight="1">
      <c r="B2" s="114" t="inlineStr">
        <is>
          <t>Time settings</t>
        </is>
      </c>
      <c r="C2" s="115" t="n"/>
      <c r="D2" s="116" t="n"/>
    </row>
    <row r="3" ht="12.75" customHeight="1">
      <c r="B3" s="117" t="inlineStr">
        <is>
          <t>Time</t>
        </is>
      </c>
      <c r="C3" s="118" t="inlineStr">
        <is>
          <t>Enter manually below</t>
        </is>
      </c>
      <c r="D3" s="119" t="n"/>
    </row>
    <row r="4" ht="12.75" customHeight="1">
      <c r="B4" s="117" t="inlineStr">
        <is>
          <t>Example: +4 or -4</t>
        </is>
      </c>
      <c r="C4" s="120" t="n">
        <v>2</v>
      </c>
      <c r="D4" s="119" t="n"/>
    </row>
    <row r="5" ht="12.75" customHeight="1">
      <c r="B5" s="121" t="n"/>
      <c r="C5" s="122" t="n"/>
      <c r="D5" s="123" t="n"/>
    </row>
    <row r="6" ht="12.75" customHeight="1">
      <c r="B6" s="124" t="n"/>
      <c r="C6" s="124" t="n"/>
      <c r="D6" s="124" t="n"/>
    </row>
    <row r="7" ht="12.75" customHeight="1">
      <c r="B7" s="125" t="n"/>
      <c r="C7" s="126" t="n"/>
      <c r="D7" s="127" t="n"/>
      <c r="E7" s="128" t="inlineStr">
        <is>
          <t>Language ID</t>
        </is>
      </c>
      <c r="F7" s="129" t="n"/>
    </row>
    <row r="8" ht="15.75" customHeight="1">
      <c r="B8" s="130" t="inlineStr">
        <is>
          <t>FIFA WC 2026 Teams</t>
        </is>
      </c>
      <c r="C8" s="131" t="inlineStr">
        <is>
          <t>FIFA Rank</t>
        </is>
      </c>
      <c r="D8" s="119" t="n"/>
      <c r="F8" s="129" t="n"/>
      <c r="G8" s="132" t="inlineStr">
        <is>
          <t>FIFA #13–24</t>
        </is>
      </c>
      <c r="H8" s="132" t="inlineStr">
        <is>
          <t>FIFA #25–36</t>
        </is>
      </c>
      <c r="I8" s="132" t="inlineStr">
        <is>
          <t>FIFA #37+</t>
        </is>
      </c>
    </row>
    <row r="9" ht="12.75" customHeight="1">
      <c r="B9" s="117" t="inlineStr">
        <is>
          <t>France</t>
        </is>
      </c>
      <c r="C9" s="133" t="n">
        <v>1</v>
      </c>
      <c r="D9" s="119" t="n"/>
      <c r="E9" s="134" t="n">
        <v>85</v>
      </c>
      <c r="F9" s="129" t="n"/>
      <c r="G9" s="112" t="inlineStr">
        <is>
          <t>Colombia</t>
        </is>
      </c>
      <c r="H9" s="112" t="inlineStr">
        <is>
          <t>Australia</t>
        </is>
      </c>
      <c r="I9" s="112" t="inlineStr">
        <is>
          <t>DR Congo</t>
        </is>
      </c>
    </row>
    <row r="10" ht="12.75" customHeight="1">
      <c r="B10" s="117" t="inlineStr">
        <is>
          <t>Spain</t>
        </is>
      </c>
      <c r="C10" s="135" t="n">
        <v>2</v>
      </c>
      <c r="D10" s="119" t="n"/>
      <c r="E10" s="134" t="n">
        <v>84</v>
      </c>
      <c r="F10" s="129" t="n"/>
      <c r="G10" s="112" t="inlineStr">
        <is>
          <t>Senegal</t>
        </is>
      </c>
      <c r="H10" s="112" t="inlineStr">
        <is>
          <t>Algeria</t>
        </is>
      </c>
      <c r="I10" s="112" t="inlineStr">
        <is>
          <t>Uzbekistan</t>
        </is>
      </c>
    </row>
    <row r="11" ht="12.75" customHeight="1">
      <c r="B11" s="117" t="inlineStr">
        <is>
          <t>Argentina</t>
        </is>
      </c>
      <c r="C11" s="135" t="n">
        <v>3</v>
      </c>
      <c r="D11" s="119" t="n"/>
      <c r="E11" s="134" t="n">
        <v>82</v>
      </c>
      <c r="F11" s="129" t="n"/>
      <c r="G11" s="112" t="inlineStr">
        <is>
          <t>Mexico</t>
        </is>
      </c>
      <c r="H11" s="112" t="inlineStr">
        <is>
          <t>Egypt</t>
        </is>
      </c>
      <c r="I11" s="112" t="inlineStr">
        <is>
          <t>Qatar</t>
        </is>
      </c>
    </row>
    <row r="12" ht="12.75" customHeight="1">
      <c r="B12" s="117" t="inlineStr">
        <is>
          <t>England</t>
        </is>
      </c>
      <c r="C12" s="135" t="n">
        <v>4</v>
      </c>
      <c r="D12" s="119" t="n"/>
      <c r="E12" s="134" t="n">
        <v>75</v>
      </c>
      <c r="F12" s="129" t="n"/>
      <c r="G12" s="112" t="inlineStr">
        <is>
          <t>United States</t>
        </is>
      </c>
      <c r="H12" s="112" t="inlineStr">
        <is>
          <t>Canada</t>
        </is>
      </c>
      <c r="I12" s="112" t="inlineStr">
        <is>
          <t>Iraq</t>
        </is>
      </c>
    </row>
    <row r="13" ht="12.75" customHeight="1">
      <c r="B13" s="117" t="inlineStr">
        <is>
          <t>Portugal</t>
        </is>
      </c>
      <c r="C13" s="135" t="n">
        <v>5</v>
      </c>
      <c r="D13" s="119" t="n"/>
      <c r="E13" s="134" t="n">
        <v>72</v>
      </c>
      <c r="F13" s="129" t="n"/>
      <c r="G13" s="112" t="inlineStr">
        <is>
          <t>Uruguay</t>
        </is>
      </c>
      <c r="H13" s="112" t="inlineStr">
        <is>
          <t>Norway</t>
        </is>
      </c>
      <c r="I13" s="112" t="inlineStr">
        <is>
          <t>South Africa</t>
        </is>
      </c>
    </row>
    <row r="14" ht="12.75" customHeight="1">
      <c r="B14" s="117" t="inlineStr">
        <is>
          <t>Brazil</t>
        </is>
      </c>
      <c r="C14" s="135" t="n">
        <v>6</v>
      </c>
      <c r="D14" s="119" t="n"/>
      <c r="E14" s="134" t="n">
        <v>68</v>
      </c>
      <c r="F14" s="129" t="n"/>
      <c r="G14" s="112" t="inlineStr">
        <is>
          <t>Japan</t>
        </is>
      </c>
      <c r="H14" s="112" t="inlineStr">
        <is>
          <t>Panama</t>
        </is>
      </c>
      <c r="I14" s="112" t="inlineStr">
        <is>
          <t>Saudi Arabia</t>
        </is>
      </c>
    </row>
    <row r="15" ht="12.75" customHeight="1">
      <c r="B15" s="117" t="inlineStr">
        <is>
          <t>Netherlands</t>
        </is>
      </c>
      <c r="C15" s="135" t="n">
        <v>7</v>
      </c>
      <c r="D15" s="119" t="n"/>
      <c r="E15" s="134" t="n">
        <v>66</v>
      </c>
      <c r="F15" s="129" t="n"/>
      <c r="G15" s="112" t="inlineStr">
        <is>
          <t>Switzerland</t>
        </is>
      </c>
      <c r="H15" s="112" t="inlineStr">
        <is>
          <t>Ivory Coast</t>
        </is>
      </c>
      <c r="I15" s="112" t="inlineStr">
        <is>
          <t>Jordan</t>
        </is>
      </c>
    </row>
    <row r="16" ht="12.75" customHeight="1">
      <c r="B16" s="117" t="inlineStr">
        <is>
          <t>Morocco</t>
        </is>
      </c>
      <c r="C16" s="135" t="n">
        <v>8</v>
      </c>
      <c r="D16" s="119" t="n"/>
      <c r="E16" s="134" t="n">
        <v>60</v>
      </c>
      <c r="F16" s="129" t="n"/>
      <c r="G16" s="112" t="inlineStr">
        <is>
          <t>Iran</t>
        </is>
      </c>
      <c r="H16" s="112" t="inlineStr">
        <is>
          <t>Sweden</t>
        </is>
      </c>
      <c r="I16" s="112" t="inlineStr">
        <is>
          <t>Bosnia &amp; Herzegovina</t>
        </is>
      </c>
    </row>
    <row r="17" ht="12.75" customHeight="1">
      <c r="B17" s="117" t="inlineStr">
        <is>
          <t>Belgium</t>
        </is>
      </c>
      <c r="C17" s="135" t="n">
        <v>9</v>
      </c>
      <c r="D17" s="119" t="n"/>
      <c r="E17" s="128" t="inlineStr">
        <is>
          <t>GMT - 4:00</t>
        </is>
      </c>
      <c r="F17" s="129" t="n"/>
      <c r="G17" s="112" t="inlineStr">
        <is>
          <t>Türkiye</t>
        </is>
      </c>
      <c r="H17" s="112" t="inlineStr">
        <is>
          <t>Paraguay</t>
        </is>
      </c>
      <c r="I17" s="112" t="inlineStr">
        <is>
          <t>Cape Verde</t>
        </is>
      </c>
    </row>
    <row r="18" ht="12.75" customHeight="1">
      <c r="B18" s="117" t="inlineStr">
        <is>
          <t>Germany</t>
        </is>
      </c>
      <c r="C18" s="135" t="n">
        <v>10</v>
      </c>
      <c r="D18" s="119" t="n"/>
      <c r="E18" s="128" t="inlineStr">
        <is>
          <t>GMT - 3:00</t>
        </is>
      </c>
      <c r="F18" s="129" t="n"/>
      <c r="G18" s="112" t="inlineStr">
        <is>
          <t>Ecuador</t>
        </is>
      </c>
      <c r="H18" s="112" t="inlineStr">
        <is>
          <t>Czechia</t>
        </is>
      </c>
      <c r="I18" s="112" t="inlineStr">
        <is>
          <t>Ghana</t>
        </is>
      </c>
    </row>
    <row r="19" ht="12.75" customHeight="1">
      <c r="B19" s="117" t="inlineStr">
        <is>
          <t>Croatia</t>
        </is>
      </c>
      <c r="C19" s="135" t="n">
        <v>11</v>
      </c>
      <c r="D19" s="119" t="n"/>
      <c r="E19" s="128" t="inlineStr">
        <is>
          <t>GMT - 2:00</t>
        </is>
      </c>
      <c r="F19" s="129" t="n"/>
      <c r="G19" s="112" t="inlineStr">
        <is>
          <t>Austria</t>
        </is>
      </c>
      <c r="H19" s="112" t="inlineStr">
        <is>
          <t>Scotland</t>
        </is>
      </c>
      <c r="I19" s="112" t="inlineStr">
        <is>
          <t>Curaçao</t>
        </is>
      </c>
    </row>
    <row r="20" ht="12.75" customHeight="1">
      <c r="B20" s="117" t="inlineStr">
        <is>
          <t>Colombia</t>
        </is>
      </c>
      <c r="C20" s="135" t="n">
        <v>13</v>
      </c>
      <c r="D20" s="119" t="n"/>
      <c r="E20" s="128" t="inlineStr">
        <is>
          <t>GMT - 1:00</t>
        </is>
      </c>
      <c r="F20" s="129" t="n"/>
      <c r="G20" s="112" t="inlineStr">
        <is>
          <t>South Korea</t>
        </is>
      </c>
      <c r="H20" s="112" t="inlineStr">
        <is>
          <t>Tunisia</t>
        </is>
      </c>
      <c r="I20" s="112" t="inlineStr">
        <is>
          <t>Haiti</t>
        </is>
      </c>
    </row>
    <row r="21" ht="12.75" customHeight="1">
      <c r="B21" s="117" t="inlineStr">
        <is>
          <t>Senegal</t>
        </is>
      </c>
      <c r="C21" s="135" t="n">
        <v>14</v>
      </c>
      <c r="D21" s="119" t="n"/>
      <c r="E21" s="128" t="inlineStr">
        <is>
          <t>GMT</t>
        </is>
      </c>
      <c r="F21" s="129" t="n"/>
      <c r="I21" s="112" t="inlineStr">
        <is>
          <t>New Zealand</t>
        </is>
      </c>
    </row>
    <row r="22" ht="12.75" customHeight="1">
      <c r="B22" s="117" t="inlineStr">
        <is>
          <t>Mexico</t>
        </is>
      </c>
      <c r="C22" s="135" t="n">
        <v>15</v>
      </c>
      <c r="D22" s="119" t="n"/>
      <c r="E22" s="128" t="inlineStr">
        <is>
          <t>GMT + 1:00</t>
        </is>
      </c>
      <c r="F22" s="129" t="n"/>
    </row>
    <row r="23" ht="12.75" customHeight="1">
      <c r="B23" s="117" t="inlineStr">
        <is>
          <t>United States</t>
        </is>
      </c>
      <c r="C23" s="135" t="n">
        <v>16</v>
      </c>
      <c r="D23" s="119" t="n"/>
      <c r="E23" s="128" t="inlineStr">
        <is>
          <t>GMT + 2:00</t>
        </is>
      </c>
      <c r="F23" s="129" t="n"/>
    </row>
    <row r="24" ht="12.75" customHeight="1">
      <c r="B24" s="117" t="inlineStr">
        <is>
          <t>Uruguay</t>
        </is>
      </c>
      <c r="C24" s="135" t="n">
        <v>17</v>
      </c>
      <c r="D24" s="119" t="n"/>
      <c r="E24" s="128" t="inlineStr">
        <is>
          <t>GMT + 3:00</t>
        </is>
      </c>
      <c r="F24" s="129" t="n"/>
    </row>
    <row r="25" ht="12.75" customHeight="1">
      <c r="B25" s="117" t="inlineStr">
        <is>
          <t>Japan</t>
        </is>
      </c>
      <c r="C25" s="135" t="n">
        <v>18</v>
      </c>
      <c r="D25" s="119" t="n"/>
      <c r="E25" s="128" t="inlineStr">
        <is>
          <t>GMT + 4:00</t>
        </is>
      </c>
      <c r="F25" s="129" t="n"/>
    </row>
    <row r="26" ht="12.75" customHeight="1">
      <c r="B26" s="117" t="inlineStr">
        <is>
          <t>Switzerland</t>
        </is>
      </c>
      <c r="C26" s="135" t="n">
        <v>19</v>
      </c>
      <c r="D26" s="119" t="n"/>
      <c r="E26" s="128" t="inlineStr">
        <is>
          <t>GMT + 5:00</t>
        </is>
      </c>
      <c r="F26" s="129" t="n"/>
    </row>
    <row r="27" ht="12.75" customHeight="1">
      <c r="B27" s="117" t="inlineStr">
        <is>
          <t>Iran</t>
        </is>
      </c>
      <c r="C27" s="135" t="n">
        <v>21</v>
      </c>
      <c r="D27" s="119" t="n"/>
      <c r="E27" s="128" t="inlineStr">
        <is>
          <t>GMT + 6:00</t>
        </is>
      </c>
      <c r="F27" s="129" t="n"/>
    </row>
    <row r="28" ht="12.75" customHeight="1">
      <c r="B28" s="117" t="inlineStr">
        <is>
          <t>Türkiye</t>
        </is>
      </c>
      <c r="C28" s="135" t="n">
        <v>22</v>
      </c>
      <c r="D28" s="119" t="n"/>
      <c r="E28" s="128" t="inlineStr">
        <is>
          <t>GMT + 7:00</t>
        </is>
      </c>
      <c r="F28" s="129" t="n"/>
    </row>
    <row r="29" ht="12.75" customHeight="1">
      <c r="B29" s="117" t="inlineStr">
        <is>
          <t>Ecuador</t>
        </is>
      </c>
      <c r="C29" s="135" t="n">
        <v>23</v>
      </c>
      <c r="D29" s="119" t="n"/>
      <c r="E29" s="128" t="inlineStr">
        <is>
          <t>GMT + 8:00</t>
        </is>
      </c>
      <c r="F29" s="129" t="n"/>
    </row>
    <row r="30" ht="12.75" customHeight="1">
      <c r="B30" s="117" t="inlineStr">
        <is>
          <t>Austria</t>
        </is>
      </c>
      <c r="C30" s="135" t="n">
        <v>24</v>
      </c>
      <c r="D30" s="119" t="n"/>
      <c r="E30" s="128" t="inlineStr">
        <is>
          <t>GMT + 9:00</t>
        </is>
      </c>
      <c r="F30" s="129" t="n"/>
    </row>
    <row r="31" ht="12.75" customHeight="1">
      <c r="B31" s="117" t="inlineStr">
        <is>
          <t>South Korea</t>
        </is>
      </c>
      <c r="C31" s="135" t="n">
        <v>25</v>
      </c>
      <c r="D31" s="119" t="n"/>
      <c r="E31" s="128" t="inlineStr">
        <is>
          <t>GMT + 10:00</t>
        </is>
      </c>
      <c r="F31" s="129" t="n"/>
    </row>
    <row r="32" ht="12.75" customHeight="1">
      <c r="B32" s="117" t="inlineStr">
        <is>
          <t>Australia</t>
        </is>
      </c>
      <c r="C32" s="135" t="n">
        <v>27</v>
      </c>
      <c r="D32" s="119" t="n"/>
      <c r="E32" s="128" t="inlineStr">
        <is>
          <t>GMT + 11:00</t>
        </is>
      </c>
      <c r="F32" s="129" t="n"/>
    </row>
    <row r="33" ht="12.75" customHeight="1">
      <c r="B33" s="117" t="inlineStr">
        <is>
          <t>Algeria</t>
        </is>
      </c>
      <c r="C33" s="136" t="n">
        <v>28</v>
      </c>
      <c r="D33" s="119" t="n"/>
      <c r="E33" s="128" t="inlineStr">
        <is>
          <t>GMT + 12:00</t>
        </is>
      </c>
      <c r="F33" s="129" t="n"/>
    </row>
    <row r="34" ht="12.75" customHeight="1">
      <c r="B34" s="117" t="inlineStr">
        <is>
          <t>Egypt</t>
        </is>
      </c>
      <c r="C34" s="136" t="n">
        <v>29</v>
      </c>
      <c r="D34" s="119" t="n"/>
      <c r="E34" s="128" t="n"/>
      <c r="F34" s="129" t="n"/>
    </row>
    <row r="35" ht="12.75" customHeight="1">
      <c r="B35" s="117" t="inlineStr">
        <is>
          <t>Canada</t>
        </is>
      </c>
      <c r="C35" s="136" t="n">
        <v>30</v>
      </c>
      <c r="D35" s="119" t="n"/>
      <c r="E35" s="128" t="inlineStr">
        <is>
          <t>+0 min</t>
        </is>
      </c>
      <c r="F35" s="129" t="n"/>
    </row>
    <row r="36" ht="12.75" customHeight="1">
      <c r="B36" s="117" t="inlineStr">
        <is>
          <t>Norway</t>
        </is>
      </c>
      <c r="C36" s="136" t="n">
        <v>31</v>
      </c>
      <c r="D36" s="119" t="n"/>
      <c r="E36" s="128" t="inlineStr">
        <is>
          <t>+15 min</t>
        </is>
      </c>
      <c r="F36" s="129" t="n"/>
    </row>
    <row r="37" ht="12.75" customHeight="1">
      <c r="B37" s="117" t="inlineStr">
        <is>
          <t>Panama</t>
        </is>
      </c>
      <c r="C37" s="136" t="n">
        <v>33</v>
      </c>
      <c r="D37" s="119" t="n"/>
      <c r="E37" s="128" t="inlineStr">
        <is>
          <t>+30 min</t>
        </is>
      </c>
      <c r="F37" s="129" t="n"/>
    </row>
    <row r="38" ht="12.75" customHeight="1">
      <c r="B38" s="117" t="inlineStr">
        <is>
          <t>Ivory Coast</t>
        </is>
      </c>
      <c r="C38" s="136" t="n">
        <v>34</v>
      </c>
      <c r="D38" s="119" t="n"/>
      <c r="E38" s="128" t="inlineStr">
        <is>
          <t>+45 min</t>
        </is>
      </c>
      <c r="F38" s="129" t="n"/>
    </row>
    <row r="39" ht="12.75" customHeight="1">
      <c r="B39" s="117" t="inlineStr">
        <is>
          <t>Sweden</t>
        </is>
      </c>
      <c r="C39" s="136" t="n">
        <v>38</v>
      </c>
      <c r="D39" s="119" t="n"/>
      <c r="E39" s="128" t="n"/>
      <c r="F39" s="129" t="n"/>
    </row>
    <row r="40" ht="12.75" customHeight="1">
      <c r="B40" s="117" t="inlineStr">
        <is>
          <t>Paraguay</t>
        </is>
      </c>
      <c r="C40" s="135" t="n">
        <v>40</v>
      </c>
      <c r="D40" s="137" t="n"/>
      <c r="E40" s="129" t="inlineStr">
        <is>
          <t>itype</t>
        </is>
      </c>
      <c r="F40" s="129" t="n"/>
    </row>
    <row r="41" ht="12.75" customHeight="1">
      <c r="B41" s="117" t="inlineStr">
        <is>
          <t>Czechia</t>
        </is>
      </c>
      <c r="C41" s="135" t="n">
        <v>41</v>
      </c>
      <c r="D41" s="137" t="n"/>
      <c r="E41" s="129" t="n"/>
      <c r="F41" s="129" t="n"/>
    </row>
    <row r="42" ht="12.75" customHeight="1">
      <c r="B42" s="117" t="inlineStr">
        <is>
          <t>Scotland</t>
        </is>
      </c>
      <c r="C42" s="135" t="n">
        <v>43</v>
      </c>
      <c r="D42" s="137" t="n"/>
    </row>
    <row r="43" ht="12.75" customHeight="1">
      <c r="B43" s="117" t="inlineStr">
        <is>
          <t>Tunisia</t>
        </is>
      </c>
      <c r="C43" s="135" t="n">
        <v>44</v>
      </c>
      <c r="D43" s="137" t="n"/>
    </row>
    <row r="44" ht="12.75" customHeight="1">
      <c r="B44" s="117" t="inlineStr">
        <is>
          <t>DR Congo</t>
        </is>
      </c>
      <c r="C44" s="135" t="n">
        <v>46</v>
      </c>
      <c r="D44" s="137" t="n"/>
    </row>
    <row r="45" ht="12.75" customHeight="1">
      <c r="B45" s="117" t="inlineStr">
        <is>
          <t>Uzbekistan</t>
        </is>
      </c>
      <c r="C45" s="135" t="n">
        <v>50</v>
      </c>
      <c r="D45" s="137" t="n"/>
    </row>
    <row r="46" ht="12.75" customHeight="1">
      <c r="B46" s="117" t="inlineStr">
        <is>
          <t>Qatar</t>
        </is>
      </c>
      <c r="C46" s="135" t="n">
        <v>55</v>
      </c>
      <c r="D46" s="137" t="n"/>
    </row>
    <row r="47" ht="12.75" customHeight="1">
      <c r="B47" s="117" t="inlineStr">
        <is>
          <t>Iraq</t>
        </is>
      </c>
      <c r="C47" s="135" t="n">
        <v>57</v>
      </c>
      <c r="D47" s="137" t="n"/>
    </row>
    <row r="48" ht="12.75" customHeight="1">
      <c r="B48" s="117" t="inlineStr">
        <is>
          <t>South Africa</t>
        </is>
      </c>
      <c r="C48" s="135" t="n">
        <v>60</v>
      </c>
      <c r="D48" s="137" t="n"/>
    </row>
    <row r="49" ht="12.75" customHeight="1">
      <c r="B49" s="117" t="inlineStr">
        <is>
          <t>Saudi Arabia</t>
        </is>
      </c>
      <c r="C49" s="135" t="n">
        <v>61</v>
      </c>
      <c r="D49" s="137" t="n"/>
    </row>
    <row r="50" ht="12.75" customHeight="1">
      <c r="B50" s="117" t="inlineStr">
        <is>
          <t>Jordan</t>
        </is>
      </c>
      <c r="C50" s="135" t="n">
        <v>63</v>
      </c>
      <c r="D50" s="137" t="n"/>
    </row>
    <row r="51" ht="12.75" customHeight="1">
      <c r="B51" s="117" t="inlineStr">
        <is>
          <t>Bosnia &amp; Herzegovina</t>
        </is>
      </c>
      <c r="C51" s="135" t="n">
        <v>65</v>
      </c>
      <c r="D51" s="137" t="n"/>
    </row>
    <row r="52" ht="12.75" customHeight="1">
      <c r="B52" s="117" t="inlineStr">
        <is>
          <t>Cape Verde</t>
        </is>
      </c>
      <c r="C52" s="135" t="n">
        <v>69</v>
      </c>
      <c r="D52" s="137" t="n"/>
    </row>
    <row r="53" ht="12.75" customHeight="1">
      <c r="B53" s="117" t="inlineStr">
        <is>
          <t>Ghana</t>
        </is>
      </c>
      <c r="C53" s="135" t="n">
        <v>74</v>
      </c>
      <c r="D53" s="137" t="n"/>
    </row>
    <row r="54" ht="12.75" customHeight="1">
      <c r="B54" s="117" t="inlineStr">
        <is>
          <t>Curaçao</t>
        </is>
      </c>
      <c r="C54" s="135" t="n">
        <v>82</v>
      </c>
      <c r="D54" s="137" t="n"/>
    </row>
    <row r="55" ht="12.75" customHeight="1">
      <c r="B55" s="117" t="inlineStr">
        <is>
          <t>Haiti</t>
        </is>
      </c>
      <c r="C55" s="135" t="n">
        <v>84</v>
      </c>
      <c r="D55" s="137" t="n"/>
    </row>
    <row r="56" ht="12.75" customHeight="1">
      <c r="B56" s="117" t="inlineStr">
        <is>
          <t>New Zealand</t>
        </is>
      </c>
      <c r="C56" s="138" t="n">
        <v>86</v>
      </c>
      <c r="D56" s="137" t="n"/>
    </row>
    <row r="57" ht="12.75" customHeight="1">
      <c r="B57" s="139" t="n"/>
      <c r="C57" s="140" t="n"/>
      <c r="D57" s="123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zoomScaleNormal="100" workbookViewId="0">
      <selection activeCell="A1" sqref="A1"/>
    </sheetView>
  </sheetViews>
  <sheetFormatPr baseColWidth="8" defaultColWidth="11.3984375" defaultRowHeight="13"/>
  <sheetData/>
  <pageMargins left="0.7" right="0.7" top="0.75" bottom="0.75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96"/>
  <sheetViews>
    <sheetView zoomScaleNormal="100" workbookViewId="0">
      <pane ySplit="1" topLeftCell="A371" activePane="bottomLeft" state="frozen"/>
      <selection pane="bottomLeft" activeCell="A1" sqref="A1"/>
    </sheetView>
  </sheetViews>
  <sheetFormatPr baseColWidth="8" defaultColWidth="9" defaultRowHeight="13"/>
  <cols>
    <col width="9" customWidth="1" style="141" min="1" max="1"/>
    <col width="12" customWidth="1" style="141" min="2" max="2"/>
    <col width="24" customWidth="1" style="141" min="3" max="3"/>
    <col width="22" customWidth="1" style="141" min="4" max="11"/>
    <col width="9" customWidth="1" style="141" min="12" max="16384"/>
  </cols>
  <sheetData>
    <row r="1" ht="25.5" customHeight="1">
      <c r="A1" s="142" t="inlineStr">
        <is>
          <t>Scenario</t>
        </is>
      </c>
      <c r="B1" s="142" t="inlineStr">
        <is>
          <t>ComboKey</t>
        </is>
      </c>
      <c r="C1" s="142" t="inlineStr">
        <is>
          <t>ThirdPlaceGroups</t>
        </is>
      </c>
      <c r="D1" s="142" t="inlineStr">
        <is>
          <t>vs 1E (Match74) Best3rd A/B/C/D/F</t>
        </is>
      </c>
      <c r="E1" s="142" t="inlineStr">
        <is>
          <t>vs 1I (Match77) Best3rd C/D/F/G/H</t>
        </is>
      </c>
      <c r="F1" s="142" t="inlineStr">
        <is>
          <t>vs 1A (Match79) Best3rd C/E/F/H/I</t>
        </is>
      </c>
      <c r="G1" s="142" t="inlineStr">
        <is>
          <t>vs 1L (Match80) Best3rd E/H/I/J/K</t>
        </is>
      </c>
      <c r="H1" s="142" t="inlineStr">
        <is>
          <t>vs 1D (Match81) Best3rd B/E/F/I/J</t>
        </is>
      </c>
      <c r="I1" s="142" t="inlineStr">
        <is>
          <t>vs 1G (Match82) Best3rd A/E/H/I/J</t>
        </is>
      </c>
      <c r="J1" s="142" t="inlineStr">
        <is>
          <t>vs 1B (Match85) Best3rd E/F/G/I/J</t>
        </is>
      </c>
      <c r="K1" s="142" t="inlineStr">
        <is>
          <t>vs 1K (Match87) Best3rd D/E/I/J/L</t>
        </is>
      </c>
    </row>
    <row r="2" ht="12.75" customHeight="1">
      <c r="A2" s="141" t="n">
        <v>1</v>
      </c>
      <c r="B2" s="141" t="inlineStr">
        <is>
          <t>EFGHIJKL</t>
        </is>
      </c>
      <c r="C2" s="141" t="inlineStr">
        <is>
          <t>E,F,G,H,I,J,K,L</t>
        </is>
      </c>
      <c r="D2" s="141" t="inlineStr">
        <is>
          <t>F</t>
        </is>
      </c>
      <c r="E2" s="141" t="inlineStr">
        <is>
          <t>G</t>
        </is>
      </c>
      <c r="F2" s="141" t="inlineStr">
        <is>
          <t>E</t>
        </is>
      </c>
      <c r="G2" s="141" t="inlineStr">
        <is>
          <t>K</t>
        </is>
      </c>
      <c r="H2" s="141" t="inlineStr">
        <is>
          <t>I</t>
        </is>
      </c>
      <c r="I2" s="141" t="inlineStr">
        <is>
          <t>H</t>
        </is>
      </c>
      <c r="J2" s="141" t="inlineStr">
        <is>
          <t>J</t>
        </is>
      </c>
      <c r="K2" s="141" t="inlineStr">
        <is>
          <t>L</t>
        </is>
      </c>
    </row>
    <row r="3" ht="12.75" customHeight="1">
      <c r="A3" s="141" t="n">
        <v>2</v>
      </c>
      <c r="B3" s="141" t="inlineStr">
        <is>
          <t>DFGHIJKL</t>
        </is>
      </c>
      <c r="C3" s="141" t="inlineStr">
        <is>
          <t>D,F,G,H,I,J,K,L</t>
        </is>
      </c>
      <c r="D3" s="141" t="inlineStr">
        <is>
          <t>D</t>
        </is>
      </c>
      <c r="E3" s="141" t="inlineStr">
        <is>
          <t>F</t>
        </is>
      </c>
      <c r="F3" s="141" t="inlineStr">
        <is>
          <t>H</t>
        </is>
      </c>
      <c r="G3" s="141" t="inlineStr">
        <is>
          <t>K</t>
        </is>
      </c>
      <c r="H3" s="141" t="inlineStr">
        <is>
          <t>I</t>
        </is>
      </c>
      <c r="I3" s="141" t="inlineStr">
        <is>
          <t>J</t>
        </is>
      </c>
      <c r="J3" s="141" t="inlineStr">
        <is>
          <t>G</t>
        </is>
      </c>
      <c r="K3" s="141" t="inlineStr">
        <is>
          <t>L</t>
        </is>
      </c>
    </row>
    <row r="4" ht="12.75" customHeight="1">
      <c r="A4" s="141" t="n">
        <v>3</v>
      </c>
      <c r="B4" s="141" t="inlineStr">
        <is>
          <t>DEGHIJKL</t>
        </is>
      </c>
      <c r="C4" s="141" t="inlineStr">
        <is>
          <t>D,E,G,H,I,J,K,L</t>
        </is>
      </c>
      <c r="D4" s="141" t="inlineStr">
        <is>
          <t>D</t>
        </is>
      </c>
      <c r="E4" s="141" t="inlineStr">
        <is>
          <t>G</t>
        </is>
      </c>
      <c r="F4" s="141" t="inlineStr">
        <is>
          <t>E</t>
        </is>
      </c>
      <c r="G4" s="141" t="inlineStr">
        <is>
          <t>K</t>
        </is>
      </c>
      <c r="H4" s="141" t="inlineStr">
        <is>
          <t>I</t>
        </is>
      </c>
      <c r="I4" s="141" t="inlineStr">
        <is>
          <t>H</t>
        </is>
      </c>
      <c r="J4" s="141" t="inlineStr">
        <is>
          <t>J</t>
        </is>
      </c>
      <c r="K4" s="141" t="inlineStr">
        <is>
          <t>L</t>
        </is>
      </c>
    </row>
    <row r="5" ht="12.75" customHeight="1">
      <c r="A5" s="141" t="n">
        <v>4</v>
      </c>
      <c r="B5" s="141" t="inlineStr">
        <is>
          <t>DEFHIJKL</t>
        </is>
      </c>
      <c r="C5" s="141" t="inlineStr">
        <is>
          <t>D,E,F,H,I,J,K,L</t>
        </is>
      </c>
      <c r="D5" s="141" t="inlineStr">
        <is>
          <t>D</t>
        </is>
      </c>
      <c r="E5" s="141" t="inlineStr">
        <is>
          <t>F</t>
        </is>
      </c>
      <c r="F5" s="141" t="inlineStr">
        <is>
          <t>E</t>
        </is>
      </c>
      <c r="G5" s="141" t="inlineStr">
        <is>
          <t>K</t>
        </is>
      </c>
      <c r="H5" s="141" t="inlineStr">
        <is>
          <t>I</t>
        </is>
      </c>
      <c r="I5" s="141" t="inlineStr">
        <is>
          <t>H</t>
        </is>
      </c>
      <c r="J5" s="141" t="inlineStr">
        <is>
          <t>J</t>
        </is>
      </c>
      <c r="K5" s="141" t="inlineStr">
        <is>
          <t>L</t>
        </is>
      </c>
    </row>
    <row r="6" ht="12.75" customHeight="1">
      <c r="A6" s="141" t="n">
        <v>5</v>
      </c>
      <c r="B6" s="141" t="inlineStr">
        <is>
          <t>DEFGIJKL</t>
        </is>
      </c>
      <c r="C6" s="141" t="inlineStr">
        <is>
          <t>D,E,F,G,I,J,K,L</t>
        </is>
      </c>
      <c r="D6" s="141" t="inlineStr">
        <is>
          <t>D</t>
        </is>
      </c>
      <c r="E6" s="141" t="inlineStr">
        <is>
          <t>F</t>
        </is>
      </c>
      <c r="F6" s="141" t="inlineStr">
        <is>
          <t>E</t>
        </is>
      </c>
      <c r="G6" s="141" t="inlineStr">
        <is>
          <t>K</t>
        </is>
      </c>
      <c r="H6" s="141" t="inlineStr">
        <is>
          <t>I</t>
        </is>
      </c>
      <c r="I6" s="141" t="inlineStr">
        <is>
          <t>J</t>
        </is>
      </c>
      <c r="J6" s="141" t="inlineStr">
        <is>
          <t>G</t>
        </is>
      </c>
      <c r="K6" s="141" t="inlineStr">
        <is>
          <t>L</t>
        </is>
      </c>
    </row>
    <row r="7" ht="12.75" customHeight="1">
      <c r="A7" s="141" t="n">
        <v>6</v>
      </c>
      <c r="B7" s="141" t="inlineStr">
        <is>
          <t>DEFGHJKL</t>
        </is>
      </c>
      <c r="C7" s="141" t="inlineStr">
        <is>
          <t>D,E,F,G,H,J,K,L</t>
        </is>
      </c>
      <c r="D7" s="141" t="inlineStr">
        <is>
          <t>D</t>
        </is>
      </c>
      <c r="E7" s="141" t="inlineStr">
        <is>
          <t>F</t>
        </is>
      </c>
      <c r="F7" s="141" t="inlineStr">
        <is>
          <t>E</t>
        </is>
      </c>
      <c r="G7" s="141" t="inlineStr">
        <is>
          <t>K</t>
        </is>
      </c>
      <c r="H7" s="141" t="inlineStr">
        <is>
          <t>J</t>
        </is>
      </c>
      <c r="I7" s="141" t="inlineStr">
        <is>
          <t>H</t>
        </is>
      </c>
      <c r="J7" s="141" t="inlineStr">
        <is>
          <t>G</t>
        </is>
      </c>
      <c r="K7" s="141" t="inlineStr">
        <is>
          <t>L</t>
        </is>
      </c>
    </row>
    <row r="8" ht="12.75" customHeight="1">
      <c r="A8" s="141" t="n">
        <v>7</v>
      </c>
      <c r="B8" s="141" t="inlineStr">
        <is>
          <t>DEFGHIKL</t>
        </is>
      </c>
      <c r="C8" s="141" t="inlineStr">
        <is>
          <t>D,E,F,G,H,I,K,L</t>
        </is>
      </c>
      <c r="D8" s="141" t="inlineStr">
        <is>
          <t>D</t>
        </is>
      </c>
      <c r="E8" s="141" t="inlineStr">
        <is>
          <t>F</t>
        </is>
      </c>
      <c r="F8" s="141" t="inlineStr">
        <is>
          <t>E</t>
        </is>
      </c>
      <c r="G8" s="141" t="inlineStr">
        <is>
          <t>K</t>
        </is>
      </c>
      <c r="H8" s="141" t="inlineStr">
        <is>
          <t>I</t>
        </is>
      </c>
      <c r="I8" s="141" t="inlineStr">
        <is>
          <t>H</t>
        </is>
      </c>
      <c r="J8" s="141" t="inlineStr">
        <is>
          <t>G</t>
        </is>
      </c>
      <c r="K8" s="141" t="inlineStr">
        <is>
          <t>L</t>
        </is>
      </c>
    </row>
    <row r="9" ht="12.75" customHeight="1">
      <c r="A9" s="141" t="n">
        <v>8</v>
      </c>
      <c r="B9" s="141" t="inlineStr">
        <is>
          <t>DEFGHIJL</t>
        </is>
      </c>
      <c r="C9" s="141" t="inlineStr">
        <is>
          <t>D,E,F,G,H,I,J,L</t>
        </is>
      </c>
      <c r="D9" s="141" t="inlineStr">
        <is>
          <t>D</t>
        </is>
      </c>
      <c r="E9" s="141" t="inlineStr">
        <is>
          <t>F</t>
        </is>
      </c>
      <c r="F9" s="141" t="inlineStr">
        <is>
          <t>E</t>
        </is>
      </c>
      <c r="G9" s="141" t="inlineStr">
        <is>
          <t>I</t>
        </is>
      </c>
      <c r="H9" s="141" t="inlineStr">
        <is>
          <t>J</t>
        </is>
      </c>
      <c r="I9" s="141" t="inlineStr">
        <is>
          <t>H</t>
        </is>
      </c>
      <c r="J9" s="141" t="inlineStr">
        <is>
          <t>G</t>
        </is>
      </c>
      <c r="K9" s="141" t="inlineStr">
        <is>
          <t>L</t>
        </is>
      </c>
    </row>
    <row r="10" ht="12.75" customHeight="1">
      <c r="A10" s="141" t="n">
        <v>9</v>
      </c>
      <c r="B10" s="141" t="inlineStr">
        <is>
          <t>DEFGHIJK</t>
        </is>
      </c>
      <c r="C10" s="141" t="inlineStr">
        <is>
          <t>D,E,F,G,H,I,J,K</t>
        </is>
      </c>
      <c r="D10" s="141" t="inlineStr">
        <is>
          <t>D</t>
        </is>
      </c>
      <c r="E10" s="141" t="inlineStr">
        <is>
          <t>F</t>
        </is>
      </c>
      <c r="F10" s="141" t="inlineStr">
        <is>
          <t>E</t>
        </is>
      </c>
      <c r="G10" s="141" t="inlineStr">
        <is>
          <t>K</t>
        </is>
      </c>
      <c r="H10" s="141" t="inlineStr">
        <is>
          <t>J</t>
        </is>
      </c>
      <c r="I10" s="141" t="inlineStr">
        <is>
          <t>H</t>
        </is>
      </c>
      <c r="J10" s="141" t="inlineStr">
        <is>
          <t>G</t>
        </is>
      </c>
      <c r="K10" s="141" t="inlineStr">
        <is>
          <t>I</t>
        </is>
      </c>
    </row>
    <row r="11" ht="12.75" customHeight="1">
      <c r="A11" s="141" t="n">
        <v>10</v>
      </c>
      <c r="B11" s="141" t="inlineStr">
        <is>
          <t>CFGHIJKL</t>
        </is>
      </c>
      <c r="C11" s="141" t="inlineStr">
        <is>
          <t>C,F,G,H,I,J,K,L</t>
        </is>
      </c>
      <c r="D11" s="141" t="inlineStr">
        <is>
          <t>C</t>
        </is>
      </c>
      <c r="E11" s="141" t="inlineStr">
        <is>
          <t>F</t>
        </is>
      </c>
      <c r="F11" s="141" t="inlineStr">
        <is>
          <t>H</t>
        </is>
      </c>
      <c r="G11" s="141" t="inlineStr">
        <is>
          <t>K</t>
        </is>
      </c>
      <c r="H11" s="141" t="inlineStr">
        <is>
          <t>I</t>
        </is>
      </c>
      <c r="I11" s="141" t="inlineStr">
        <is>
          <t>J</t>
        </is>
      </c>
      <c r="J11" s="141" t="inlineStr">
        <is>
          <t>G</t>
        </is>
      </c>
      <c r="K11" s="141" t="inlineStr">
        <is>
          <t>L</t>
        </is>
      </c>
    </row>
    <row r="12" ht="12.75" customHeight="1">
      <c r="A12" s="141" t="n">
        <v>11</v>
      </c>
      <c r="B12" s="141" t="inlineStr">
        <is>
          <t>CEGHIJKL</t>
        </is>
      </c>
      <c r="C12" s="141" t="inlineStr">
        <is>
          <t>C,E,G,H,I,J,K,L</t>
        </is>
      </c>
      <c r="D12" s="141" t="inlineStr">
        <is>
          <t>C</t>
        </is>
      </c>
      <c r="E12" s="141" t="inlineStr">
        <is>
          <t>G</t>
        </is>
      </c>
      <c r="F12" s="141" t="inlineStr">
        <is>
          <t>E</t>
        </is>
      </c>
      <c r="G12" s="141" t="inlineStr">
        <is>
          <t>K</t>
        </is>
      </c>
      <c r="H12" s="141" t="inlineStr">
        <is>
          <t>I</t>
        </is>
      </c>
      <c r="I12" s="141" t="inlineStr">
        <is>
          <t>H</t>
        </is>
      </c>
      <c r="J12" s="141" t="inlineStr">
        <is>
          <t>J</t>
        </is>
      </c>
      <c r="K12" s="141" t="inlineStr">
        <is>
          <t>L</t>
        </is>
      </c>
    </row>
    <row r="13" ht="12.75" customHeight="1">
      <c r="A13" s="141" t="n">
        <v>12</v>
      </c>
      <c r="B13" s="141" t="inlineStr">
        <is>
          <t>CEFHIJKL</t>
        </is>
      </c>
      <c r="C13" s="141" t="inlineStr">
        <is>
          <t>C,E,F,H,I,J,K,L</t>
        </is>
      </c>
      <c r="D13" s="141" t="inlineStr">
        <is>
          <t>C</t>
        </is>
      </c>
      <c r="E13" s="141" t="inlineStr">
        <is>
          <t>F</t>
        </is>
      </c>
      <c r="F13" s="141" t="inlineStr">
        <is>
          <t>E</t>
        </is>
      </c>
      <c r="G13" s="141" t="inlineStr">
        <is>
          <t>K</t>
        </is>
      </c>
      <c r="H13" s="141" t="inlineStr">
        <is>
          <t>I</t>
        </is>
      </c>
      <c r="I13" s="141" t="inlineStr">
        <is>
          <t>H</t>
        </is>
      </c>
      <c r="J13" s="141" t="inlineStr">
        <is>
          <t>J</t>
        </is>
      </c>
      <c r="K13" s="141" t="inlineStr">
        <is>
          <t>L</t>
        </is>
      </c>
    </row>
    <row r="14" ht="12.75" customHeight="1">
      <c r="A14" s="141" t="n">
        <v>13</v>
      </c>
      <c r="B14" s="141" t="inlineStr">
        <is>
          <t>CEFGIJKL</t>
        </is>
      </c>
      <c r="C14" s="141" t="inlineStr">
        <is>
          <t>C,E,F,G,I,J,K,L</t>
        </is>
      </c>
      <c r="D14" s="141" t="inlineStr">
        <is>
          <t>C</t>
        </is>
      </c>
      <c r="E14" s="141" t="inlineStr">
        <is>
          <t>F</t>
        </is>
      </c>
      <c r="F14" s="141" t="inlineStr">
        <is>
          <t>E</t>
        </is>
      </c>
      <c r="G14" s="141" t="inlineStr">
        <is>
          <t>K</t>
        </is>
      </c>
      <c r="H14" s="141" t="inlineStr">
        <is>
          <t>I</t>
        </is>
      </c>
      <c r="I14" s="141" t="inlineStr">
        <is>
          <t>J</t>
        </is>
      </c>
      <c r="J14" s="141" t="inlineStr">
        <is>
          <t>G</t>
        </is>
      </c>
      <c r="K14" s="141" t="inlineStr">
        <is>
          <t>L</t>
        </is>
      </c>
    </row>
    <row r="15" ht="12.75" customHeight="1">
      <c r="A15" s="141" t="n">
        <v>14</v>
      </c>
      <c r="B15" s="141" t="inlineStr">
        <is>
          <t>CEFGHJKL</t>
        </is>
      </c>
      <c r="C15" s="141" t="inlineStr">
        <is>
          <t>C,E,F,G,H,J,K,L</t>
        </is>
      </c>
      <c r="D15" s="141" t="inlineStr">
        <is>
          <t>C</t>
        </is>
      </c>
      <c r="E15" s="141" t="inlineStr">
        <is>
          <t>F</t>
        </is>
      </c>
      <c r="F15" s="141" t="inlineStr">
        <is>
          <t>E</t>
        </is>
      </c>
      <c r="G15" s="141" t="inlineStr">
        <is>
          <t>K</t>
        </is>
      </c>
      <c r="H15" s="141" t="inlineStr">
        <is>
          <t>J</t>
        </is>
      </c>
      <c r="I15" s="141" t="inlineStr">
        <is>
          <t>H</t>
        </is>
      </c>
      <c r="J15" s="141" t="inlineStr">
        <is>
          <t>G</t>
        </is>
      </c>
      <c r="K15" s="141" t="inlineStr">
        <is>
          <t>L</t>
        </is>
      </c>
    </row>
    <row r="16" ht="12.75" customHeight="1">
      <c r="A16" s="141" t="n">
        <v>15</v>
      </c>
      <c r="B16" s="141" t="inlineStr">
        <is>
          <t>CEFGHIKL</t>
        </is>
      </c>
      <c r="C16" s="141" t="inlineStr">
        <is>
          <t>C,E,F,G,H,I,K,L</t>
        </is>
      </c>
      <c r="D16" s="141" t="inlineStr">
        <is>
          <t>C</t>
        </is>
      </c>
      <c r="E16" s="141" t="inlineStr">
        <is>
          <t>F</t>
        </is>
      </c>
      <c r="F16" s="141" t="inlineStr">
        <is>
          <t>E</t>
        </is>
      </c>
      <c r="G16" s="141" t="inlineStr">
        <is>
          <t>K</t>
        </is>
      </c>
      <c r="H16" s="141" t="inlineStr">
        <is>
          <t>I</t>
        </is>
      </c>
      <c r="I16" s="141" t="inlineStr">
        <is>
          <t>H</t>
        </is>
      </c>
      <c r="J16" s="141" t="inlineStr">
        <is>
          <t>G</t>
        </is>
      </c>
      <c r="K16" s="141" t="inlineStr">
        <is>
          <t>L</t>
        </is>
      </c>
    </row>
    <row r="17" ht="12.75" customHeight="1">
      <c r="A17" s="141" t="n">
        <v>16</v>
      </c>
      <c r="B17" s="141" t="inlineStr">
        <is>
          <t>CEFGHIJL</t>
        </is>
      </c>
      <c r="C17" s="141" t="inlineStr">
        <is>
          <t>C,E,F,G,H,I,J,L</t>
        </is>
      </c>
      <c r="D17" s="141" t="inlineStr">
        <is>
          <t>C</t>
        </is>
      </c>
      <c r="E17" s="141" t="inlineStr">
        <is>
          <t>F</t>
        </is>
      </c>
      <c r="F17" s="141" t="inlineStr">
        <is>
          <t>E</t>
        </is>
      </c>
      <c r="G17" s="141" t="inlineStr">
        <is>
          <t>I</t>
        </is>
      </c>
      <c r="H17" s="141" t="inlineStr">
        <is>
          <t>J</t>
        </is>
      </c>
      <c r="I17" s="141" t="inlineStr">
        <is>
          <t>H</t>
        </is>
      </c>
      <c r="J17" s="141" t="inlineStr">
        <is>
          <t>G</t>
        </is>
      </c>
      <c r="K17" s="141" t="inlineStr">
        <is>
          <t>L</t>
        </is>
      </c>
    </row>
    <row r="18" ht="12.75" customHeight="1">
      <c r="A18" s="141" t="n">
        <v>17</v>
      </c>
      <c r="B18" s="141" t="inlineStr">
        <is>
          <t>CEFGHIJK</t>
        </is>
      </c>
      <c r="C18" s="141" t="inlineStr">
        <is>
          <t>C,E,F,G,H,I,J,K</t>
        </is>
      </c>
      <c r="D18" s="141" t="inlineStr">
        <is>
          <t>C</t>
        </is>
      </c>
      <c r="E18" s="141" t="inlineStr">
        <is>
          <t>F</t>
        </is>
      </c>
      <c r="F18" s="141" t="inlineStr">
        <is>
          <t>E</t>
        </is>
      </c>
      <c r="G18" s="141" t="inlineStr">
        <is>
          <t>K</t>
        </is>
      </c>
      <c r="H18" s="141" t="inlineStr">
        <is>
          <t>J</t>
        </is>
      </c>
      <c r="I18" s="141" t="inlineStr">
        <is>
          <t>H</t>
        </is>
      </c>
      <c r="J18" s="141" t="inlineStr">
        <is>
          <t>G</t>
        </is>
      </c>
      <c r="K18" s="141" t="inlineStr">
        <is>
          <t>I</t>
        </is>
      </c>
    </row>
    <row r="19" ht="12.75" customHeight="1">
      <c r="A19" s="141" t="n">
        <v>18</v>
      </c>
      <c r="B19" s="141" t="inlineStr">
        <is>
          <t>CDGHIJKL</t>
        </is>
      </c>
      <c r="C19" s="141" t="inlineStr">
        <is>
          <t>C,D,G,H,I,J,K,L</t>
        </is>
      </c>
      <c r="D19" s="141" t="inlineStr">
        <is>
          <t>C</t>
        </is>
      </c>
      <c r="E19" s="141" t="inlineStr">
        <is>
          <t>D</t>
        </is>
      </c>
      <c r="F19" s="141" t="inlineStr">
        <is>
          <t>H</t>
        </is>
      </c>
      <c r="G19" s="141" t="inlineStr">
        <is>
          <t>K</t>
        </is>
      </c>
      <c r="H19" s="141" t="inlineStr">
        <is>
          <t>I</t>
        </is>
      </c>
      <c r="I19" s="141" t="inlineStr">
        <is>
          <t>J</t>
        </is>
      </c>
      <c r="J19" s="141" t="inlineStr">
        <is>
          <t>G</t>
        </is>
      </c>
      <c r="K19" s="141" t="inlineStr">
        <is>
          <t>L</t>
        </is>
      </c>
    </row>
    <row r="20" ht="12.75" customHeight="1">
      <c r="A20" s="141" t="n">
        <v>19</v>
      </c>
      <c r="B20" s="141" t="inlineStr">
        <is>
          <t>CDFHIJKL</t>
        </is>
      </c>
      <c r="C20" s="141" t="inlineStr">
        <is>
          <t>C,D,F,H,I,J,K,L</t>
        </is>
      </c>
      <c r="D20" s="141" t="inlineStr">
        <is>
          <t>D</t>
        </is>
      </c>
      <c r="E20" s="141" t="inlineStr">
        <is>
          <t>F</t>
        </is>
      </c>
      <c r="F20" s="141" t="inlineStr">
        <is>
          <t>C</t>
        </is>
      </c>
      <c r="G20" s="141" t="inlineStr">
        <is>
          <t>K</t>
        </is>
      </c>
      <c r="H20" s="141" t="inlineStr">
        <is>
          <t>I</t>
        </is>
      </c>
      <c r="I20" s="141" t="inlineStr">
        <is>
          <t>H</t>
        </is>
      </c>
      <c r="J20" s="141" t="inlineStr">
        <is>
          <t>J</t>
        </is>
      </c>
      <c r="K20" s="141" t="inlineStr">
        <is>
          <t>L</t>
        </is>
      </c>
    </row>
    <row r="21" ht="12.75" customHeight="1">
      <c r="A21" s="141" t="n">
        <v>20</v>
      </c>
      <c r="B21" s="141" t="inlineStr">
        <is>
          <t>CDFGIJKL</t>
        </is>
      </c>
      <c r="C21" s="141" t="inlineStr">
        <is>
          <t>C,D,F,G,I,J,K,L</t>
        </is>
      </c>
      <c r="D21" s="141" t="inlineStr">
        <is>
          <t>D</t>
        </is>
      </c>
      <c r="E21" s="141" t="inlineStr">
        <is>
          <t>F</t>
        </is>
      </c>
      <c r="F21" s="141" t="inlineStr">
        <is>
          <t>C</t>
        </is>
      </c>
      <c r="G21" s="141" t="inlineStr">
        <is>
          <t>K</t>
        </is>
      </c>
      <c r="H21" s="141" t="inlineStr">
        <is>
          <t>I</t>
        </is>
      </c>
      <c r="I21" s="141" t="inlineStr">
        <is>
          <t>J</t>
        </is>
      </c>
      <c r="J21" s="141" t="inlineStr">
        <is>
          <t>G</t>
        </is>
      </c>
      <c r="K21" s="141" t="inlineStr">
        <is>
          <t>L</t>
        </is>
      </c>
    </row>
    <row r="22" ht="12.75" customHeight="1">
      <c r="A22" s="141" t="n">
        <v>21</v>
      </c>
      <c r="B22" s="141" t="inlineStr">
        <is>
          <t>CDFGHJKL</t>
        </is>
      </c>
      <c r="C22" s="141" t="inlineStr">
        <is>
          <t>C,D,F,G,H,J,K,L</t>
        </is>
      </c>
      <c r="D22" s="141" t="inlineStr">
        <is>
          <t>D</t>
        </is>
      </c>
      <c r="E22" s="141" t="inlineStr">
        <is>
          <t>F</t>
        </is>
      </c>
      <c r="F22" s="141" t="inlineStr">
        <is>
          <t>C</t>
        </is>
      </c>
      <c r="G22" s="141" t="inlineStr">
        <is>
          <t>K</t>
        </is>
      </c>
      <c r="H22" s="141" t="inlineStr">
        <is>
          <t>J</t>
        </is>
      </c>
      <c r="I22" s="141" t="inlineStr">
        <is>
          <t>H</t>
        </is>
      </c>
      <c r="J22" s="141" t="inlineStr">
        <is>
          <t>G</t>
        </is>
      </c>
      <c r="K22" s="141" t="inlineStr">
        <is>
          <t>L</t>
        </is>
      </c>
    </row>
    <row r="23" ht="12.75" customHeight="1">
      <c r="A23" s="141" t="n">
        <v>22</v>
      </c>
      <c r="B23" s="141" t="inlineStr">
        <is>
          <t>CDFGHIKL</t>
        </is>
      </c>
      <c r="C23" s="141" t="inlineStr">
        <is>
          <t>C,D,F,G,H,I,K,L</t>
        </is>
      </c>
      <c r="D23" s="141" t="inlineStr">
        <is>
          <t>D</t>
        </is>
      </c>
      <c r="E23" s="141" t="inlineStr">
        <is>
          <t>F</t>
        </is>
      </c>
      <c r="F23" s="141" t="inlineStr">
        <is>
          <t>C</t>
        </is>
      </c>
      <c r="G23" s="141" t="inlineStr">
        <is>
          <t>K</t>
        </is>
      </c>
      <c r="H23" s="141" t="inlineStr">
        <is>
          <t>I</t>
        </is>
      </c>
      <c r="I23" s="141" t="inlineStr">
        <is>
          <t>H</t>
        </is>
      </c>
      <c r="J23" s="141" t="inlineStr">
        <is>
          <t>G</t>
        </is>
      </c>
      <c r="K23" s="141" t="inlineStr">
        <is>
          <t>L</t>
        </is>
      </c>
    </row>
    <row r="24" ht="12.75" customHeight="1">
      <c r="A24" s="141" t="n">
        <v>23</v>
      </c>
      <c r="B24" s="141" t="inlineStr">
        <is>
          <t>CDFGHIJL</t>
        </is>
      </c>
      <c r="C24" s="141" t="inlineStr">
        <is>
          <t>C,D,F,G,H,I,J,L</t>
        </is>
      </c>
      <c r="D24" s="141" t="inlineStr">
        <is>
          <t>D</t>
        </is>
      </c>
      <c r="E24" s="141" t="inlineStr">
        <is>
          <t>F</t>
        </is>
      </c>
      <c r="F24" s="141" t="inlineStr">
        <is>
          <t>C</t>
        </is>
      </c>
      <c r="G24" s="141" t="inlineStr">
        <is>
          <t>I</t>
        </is>
      </c>
      <c r="H24" s="141" t="inlineStr">
        <is>
          <t>J</t>
        </is>
      </c>
      <c r="I24" s="141" t="inlineStr">
        <is>
          <t>H</t>
        </is>
      </c>
      <c r="J24" s="141" t="inlineStr">
        <is>
          <t>G</t>
        </is>
      </c>
      <c r="K24" s="141" t="inlineStr">
        <is>
          <t>L</t>
        </is>
      </c>
    </row>
    <row r="25" ht="12.75" customHeight="1">
      <c r="A25" s="141" t="n">
        <v>24</v>
      </c>
      <c r="B25" s="141" t="inlineStr">
        <is>
          <t>CDFGHIJK</t>
        </is>
      </c>
      <c r="C25" s="141" t="inlineStr">
        <is>
          <t>C,D,F,G,H,I,J,K</t>
        </is>
      </c>
      <c r="D25" s="141" t="inlineStr">
        <is>
          <t>D</t>
        </is>
      </c>
      <c r="E25" s="141" t="inlineStr">
        <is>
          <t>F</t>
        </is>
      </c>
      <c r="F25" s="141" t="inlineStr">
        <is>
          <t>C</t>
        </is>
      </c>
      <c r="G25" s="141" t="inlineStr">
        <is>
          <t>K</t>
        </is>
      </c>
      <c r="H25" s="141" t="inlineStr">
        <is>
          <t>J</t>
        </is>
      </c>
      <c r="I25" s="141" t="inlineStr">
        <is>
          <t>H</t>
        </is>
      </c>
      <c r="J25" s="141" t="inlineStr">
        <is>
          <t>G</t>
        </is>
      </c>
      <c r="K25" s="141" t="inlineStr">
        <is>
          <t>I</t>
        </is>
      </c>
    </row>
    <row r="26" ht="12.75" customHeight="1">
      <c r="A26" s="141" t="n">
        <v>25</v>
      </c>
      <c r="B26" s="141" t="inlineStr">
        <is>
          <t>CDEHIJKL</t>
        </is>
      </c>
      <c r="C26" s="141" t="inlineStr">
        <is>
          <t>C,D,E,H,I,J,K,L</t>
        </is>
      </c>
      <c r="D26" s="141" t="inlineStr">
        <is>
          <t>C</t>
        </is>
      </c>
      <c r="E26" s="141" t="inlineStr">
        <is>
          <t>D</t>
        </is>
      </c>
      <c r="F26" s="141" t="inlineStr">
        <is>
          <t>E</t>
        </is>
      </c>
      <c r="G26" s="141" t="inlineStr">
        <is>
          <t>K</t>
        </is>
      </c>
      <c r="H26" s="141" t="inlineStr">
        <is>
          <t>I</t>
        </is>
      </c>
      <c r="I26" s="141" t="inlineStr">
        <is>
          <t>H</t>
        </is>
      </c>
      <c r="J26" s="141" t="inlineStr">
        <is>
          <t>J</t>
        </is>
      </c>
      <c r="K26" s="141" t="inlineStr">
        <is>
          <t>L</t>
        </is>
      </c>
    </row>
    <row r="27" ht="12.75" customHeight="1">
      <c r="A27" s="141" t="n">
        <v>26</v>
      </c>
      <c r="B27" s="141" t="inlineStr">
        <is>
          <t>CDEGIJKL</t>
        </is>
      </c>
      <c r="C27" s="141" t="inlineStr">
        <is>
          <t>C,D,E,G,I,J,K,L</t>
        </is>
      </c>
      <c r="D27" s="141" t="inlineStr">
        <is>
          <t>C</t>
        </is>
      </c>
      <c r="E27" s="141" t="inlineStr">
        <is>
          <t>D</t>
        </is>
      </c>
      <c r="F27" s="141" t="inlineStr">
        <is>
          <t>E</t>
        </is>
      </c>
      <c r="G27" s="141" t="inlineStr">
        <is>
          <t>K</t>
        </is>
      </c>
      <c r="H27" s="141" t="inlineStr">
        <is>
          <t>I</t>
        </is>
      </c>
      <c r="I27" s="141" t="inlineStr">
        <is>
          <t>J</t>
        </is>
      </c>
      <c r="J27" s="141" t="inlineStr">
        <is>
          <t>G</t>
        </is>
      </c>
      <c r="K27" s="141" t="inlineStr">
        <is>
          <t>L</t>
        </is>
      </c>
    </row>
    <row r="28" ht="12.75" customHeight="1">
      <c r="A28" s="141" t="n">
        <v>27</v>
      </c>
      <c r="B28" s="141" t="inlineStr">
        <is>
          <t>CDEGHJKL</t>
        </is>
      </c>
      <c r="C28" s="141" t="inlineStr">
        <is>
          <t>C,D,E,G,H,J,K,L</t>
        </is>
      </c>
      <c r="D28" s="141" t="inlineStr">
        <is>
          <t>C</t>
        </is>
      </c>
      <c r="E28" s="141" t="inlineStr">
        <is>
          <t>D</t>
        </is>
      </c>
      <c r="F28" s="141" t="inlineStr">
        <is>
          <t>E</t>
        </is>
      </c>
      <c r="G28" s="141" t="inlineStr">
        <is>
          <t>K</t>
        </is>
      </c>
      <c r="H28" s="141" t="inlineStr">
        <is>
          <t>J</t>
        </is>
      </c>
      <c r="I28" s="141" t="inlineStr">
        <is>
          <t>H</t>
        </is>
      </c>
      <c r="J28" s="141" t="inlineStr">
        <is>
          <t>G</t>
        </is>
      </c>
      <c r="K28" s="141" t="inlineStr">
        <is>
          <t>L</t>
        </is>
      </c>
    </row>
    <row r="29" ht="12.75" customHeight="1">
      <c r="A29" s="141" t="n">
        <v>28</v>
      </c>
      <c r="B29" s="141" t="inlineStr">
        <is>
          <t>CDEGHIKL</t>
        </is>
      </c>
      <c r="C29" s="141" t="inlineStr">
        <is>
          <t>C,D,E,G,H,I,K,L</t>
        </is>
      </c>
      <c r="D29" s="141" t="inlineStr">
        <is>
          <t>C</t>
        </is>
      </c>
      <c r="E29" s="141" t="inlineStr">
        <is>
          <t>D</t>
        </is>
      </c>
      <c r="F29" s="141" t="inlineStr">
        <is>
          <t>E</t>
        </is>
      </c>
      <c r="G29" s="141" t="inlineStr">
        <is>
          <t>K</t>
        </is>
      </c>
      <c r="H29" s="141" t="inlineStr">
        <is>
          <t>I</t>
        </is>
      </c>
      <c r="I29" s="141" t="inlineStr">
        <is>
          <t>H</t>
        </is>
      </c>
      <c r="J29" s="141" t="inlineStr">
        <is>
          <t>G</t>
        </is>
      </c>
      <c r="K29" s="141" t="inlineStr">
        <is>
          <t>L</t>
        </is>
      </c>
    </row>
    <row r="30" ht="12.75" customHeight="1">
      <c r="A30" s="141" t="n">
        <v>29</v>
      </c>
      <c r="B30" s="141" t="inlineStr">
        <is>
          <t>CDEGHIJL</t>
        </is>
      </c>
      <c r="C30" s="141" t="inlineStr">
        <is>
          <t>C,D,E,G,H,I,J,L</t>
        </is>
      </c>
      <c r="D30" s="141" t="inlineStr">
        <is>
          <t>C</t>
        </is>
      </c>
      <c r="E30" s="141" t="inlineStr">
        <is>
          <t>D</t>
        </is>
      </c>
      <c r="F30" s="141" t="inlineStr">
        <is>
          <t>E</t>
        </is>
      </c>
      <c r="G30" s="141" t="inlineStr">
        <is>
          <t>I</t>
        </is>
      </c>
      <c r="H30" s="141" t="inlineStr">
        <is>
          <t>J</t>
        </is>
      </c>
      <c r="I30" s="141" t="inlineStr">
        <is>
          <t>H</t>
        </is>
      </c>
      <c r="J30" s="141" t="inlineStr">
        <is>
          <t>G</t>
        </is>
      </c>
      <c r="K30" s="141" t="inlineStr">
        <is>
          <t>L</t>
        </is>
      </c>
    </row>
    <row r="31" ht="12.75" customHeight="1">
      <c r="A31" s="141" t="n">
        <v>30</v>
      </c>
      <c r="B31" s="141" t="inlineStr">
        <is>
          <t>CDEGHIJK</t>
        </is>
      </c>
      <c r="C31" s="141" t="inlineStr">
        <is>
          <t>C,D,E,G,H,I,J,K</t>
        </is>
      </c>
      <c r="D31" s="141" t="inlineStr">
        <is>
          <t>C</t>
        </is>
      </c>
      <c r="E31" s="141" t="inlineStr">
        <is>
          <t>D</t>
        </is>
      </c>
      <c r="F31" s="141" t="inlineStr">
        <is>
          <t>E</t>
        </is>
      </c>
      <c r="G31" s="141" t="inlineStr">
        <is>
          <t>K</t>
        </is>
      </c>
      <c r="H31" s="141" t="inlineStr">
        <is>
          <t>J</t>
        </is>
      </c>
      <c r="I31" s="141" t="inlineStr">
        <is>
          <t>H</t>
        </is>
      </c>
      <c r="J31" s="141" t="inlineStr">
        <is>
          <t>G</t>
        </is>
      </c>
      <c r="K31" s="141" t="inlineStr">
        <is>
          <t>I</t>
        </is>
      </c>
    </row>
    <row r="32" ht="12.75" customHeight="1">
      <c r="A32" s="141" t="n">
        <v>31</v>
      </c>
      <c r="B32" s="141" t="inlineStr">
        <is>
          <t>CDEFIJKL</t>
        </is>
      </c>
      <c r="C32" s="141" t="inlineStr">
        <is>
          <t>C,D,E,F,I,J,K,L</t>
        </is>
      </c>
      <c r="D32" s="141" t="inlineStr">
        <is>
          <t>D</t>
        </is>
      </c>
      <c r="E32" s="141" t="inlineStr">
        <is>
          <t>F</t>
        </is>
      </c>
      <c r="F32" s="141" t="inlineStr">
        <is>
          <t>C</t>
        </is>
      </c>
      <c r="G32" s="141" t="inlineStr">
        <is>
          <t>K</t>
        </is>
      </c>
      <c r="H32" s="141" t="inlineStr">
        <is>
          <t>E</t>
        </is>
      </c>
      <c r="I32" s="141" t="inlineStr">
        <is>
          <t>I</t>
        </is>
      </c>
      <c r="J32" s="141" t="inlineStr">
        <is>
          <t>J</t>
        </is>
      </c>
      <c r="K32" s="141" t="inlineStr">
        <is>
          <t>L</t>
        </is>
      </c>
    </row>
    <row r="33" ht="12.75" customHeight="1">
      <c r="A33" s="141" t="n">
        <v>32</v>
      </c>
      <c r="B33" s="141" t="inlineStr">
        <is>
          <t>CDEFHJKL</t>
        </is>
      </c>
      <c r="C33" s="141" t="inlineStr">
        <is>
          <t>C,D,E,F,H,J,K,L</t>
        </is>
      </c>
      <c r="D33" s="141" t="inlineStr">
        <is>
          <t>D</t>
        </is>
      </c>
      <c r="E33" s="141" t="inlineStr">
        <is>
          <t>F</t>
        </is>
      </c>
      <c r="F33" s="141" t="inlineStr">
        <is>
          <t>C</t>
        </is>
      </c>
      <c r="G33" s="141" t="inlineStr">
        <is>
          <t>K</t>
        </is>
      </c>
      <c r="H33" s="141" t="inlineStr">
        <is>
          <t>E</t>
        </is>
      </c>
      <c r="I33" s="141" t="inlineStr">
        <is>
          <t>H</t>
        </is>
      </c>
      <c r="J33" s="141" t="inlineStr">
        <is>
          <t>J</t>
        </is>
      </c>
      <c r="K33" s="141" t="inlineStr">
        <is>
          <t>L</t>
        </is>
      </c>
    </row>
    <row r="34" ht="12.75" customHeight="1">
      <c r="A34" s="141" t="n">
        <v>33</v>
      </c>
      <c r="B34" s="141" t="inlineStr">
        <is>
          <t>CDEFHIKL</t>
        </is>
      </c>
      <c r="C34" s="141" t="inlineStr">
        <is>
          <t>C,D,E,F,H,I,K,L</t>
        </is>
      </c>
      <c r="D34" s="141" t="inlineStr">
        <is>
          <t>D</t>
        </is>
      </c>
      <c r="E34" s="141" t="inlineStr">
        <is>
          <t>F</t>
        </is>
      </c>
      <c r="F34" s="141" t="inlineStr">
        <is>
          <t>C</t>
        </is>
      </c>
      <c r="G34" s="141" t="inlineStr">
        <is>
          <t>K</t>
        </is>
      </c>
      <c r="H34" s="141" t="inlineStr">
        <is>
          <t>I</t>
        </is>
      </c>
      <c r="I34" s="141" t="inlineStr">
        <is>
          <t>H</t>
        </is>
      </c>
      <c r="J34" s="141" t="inlineStr">
        <is>
          <t>E</t>
        </is>
      </c>
      <c r="K34" s="141" t="inlineStr">
        <is>
          <t>L</t>
        </is>
      </c>
    </row>
    <row r="35" ht="12.75" customHeight="1">
      <c r="A35" s="141" t="n">
        <v>34</v>
      </c>
      <c r="B35" s="141" t="inlineStr">
        <is>
          <t>CDEFHIJL</t>
        </is>
      </c>
      <c r="C35" s="141" t="inlineStr">
        <is>
          <t>C,D,E,F,H,I,J,L</t>
        </is>
      </c>
      <c r="D35" s="141" t="inlineStr">
        <is>
          <t>D</t>
        </is>
      </c>
      <c r="E35" s="141" t="inlineStr">
        <is>
          <t>F</t>
        </is>
      </c>
      <c r="F35" s="141" t="inlineStr">
        <is>
          <t>C</t>
        </is>
      </c>
      <c r="G35" s="141" t="inlineStr">
        <is>
          <t>I</t>
        </is>
      </c>
      <c r="H35" s="141" t="inlineStr">
        <is>
          <t>E</t>
        </is>
      </c>
      <c r="I35" s="141" t="inlineStr">
        <is>
          <t>H</t>
        </is>
      </c>
      <c r="J35" s="141" t="inlineStr">
        <is>
          <t>J</t>
        </is>
      </c>
      <c r="K35" s="141" t="inlineStr">
        <is>
          <t>L</t>
        </is>
      </c>
    </row>
    <row r="36" ht="12.75" customHeight="1">
      <c r="A36" s="141" t="n">
        <v>35</v>
      </c>
      <c r="B36" s="141" t="inlineStr">
        <is>
          <t>CDEFHIJK</t>
        </is>
      </c>
      <c r="C36" s="141" t="inlineStr">
        <is>
          <t>C,D,E,F,H,I,J,K</t>
        </is>
      </c>
      <c r="D36" s="141" t="inlineStr">
        <is>
          <t>D</t>
        </is>
      </c>
      <c r="E36" s="141" t="inlineStr">
        <is>
          <t>F</t>
        </is>
      </c>
      <c r="F36" s="141" t="inlineStr">
        <is>
          <t>C</t>
        </is>
      </c>
      <c r="G36" s="141" t="inlineStr">
        <is>
          <t>K</t>
        </is>
      </c>
      <c r="H36" s="141" t="inlineStr">
        <is>
          <t>E</t>
        </is>
      </c>
      <c r="I36" s="141" t="inlineStr">
        <is>
          <t>H</t>
        </is>
      </c>
      <c r="J36" s="141" t="inlineStr">
        <is>
          <t>J</t>
        </is>
      </c>
      <c r="K36" s="141" t="inlineStr">
        <is>
          <t>I</t>
        </is>
      </c>
    </row>
    <row r="37" ht="12.75" customHeight="1">
      <c r="A37" s="141" t="n">
        <v>36</v>
      </c>
      <c r="B37" s="141" t="inlineStr">
        <is>
          <t>CDEFGJKL</t>
        </is>
      </c>
      <c r="C37" s="141" t="inlineStr">
        <is>
          <t>C,D,E,F,G,J,K,L</t>
        </is>
      </c>
      <c r="D37" s="141" t="inlineStr">
        <is>
          <t>D</t>
        </is>
      </c>
      <c r="E37" s="141" t="inlineStr">
        <is>
          <t>F</t>
        </is>
      </c>
      <c r="F37" s="141" t="inlineStr">
        <is>
          <t>C</t>
        </is>
      </c>
      <c r="G37" s="141" t="inlineStr">
        <is>
          <t>K</t>
        </is>
      </c>
      <c r="H37" s="141" t="inlineStr">
        <is>
          <t>E</t>
        </is>
      </c>
      <c r="I37" s="141" t="inlineStr">
        <is>
          <t>J</t>
        </is>
      </c>
      <c r="J37" s="141" t="inlineStr">
        <is>
          <t>G</t>
        </is>
      </c>
      <c r="K37" s="141" t="inlineStr">
        <is>
          <t>L</t>
        </is>
      </c>
    </row>
    <row r="38" ht="12.75" customHeight="1">
      <c r="A38" s="141" t="n">
        <v>37</v>
      </c>
      <c r="B38" s="141" t="inlineStr">
        <is>
          <t>CDEFGIKL</t>
        </is>
      </c>
      <c r="C38" s="141" t="inlineStr">
        <is>
          <t>C,D,E,F,G,I,K,L</t>
        </is>
      </c>
      <c r="D38" s="141" t="inlineStr">
        <is>
          <t>D</t>
        </is>
      </c>
      <c r="E38" s="141" t="inlineStr">
        <is>
          <t>F</t>
        </is>
      </c>
      <c r="F38" s="141" t="inlineStr">
        <is>
          <t>C</t>
        </is>
      </c>
      <c r="G38" s="141" t="inlineStr">
        <is>
          <t>K</t>
        </is>
      </c>
      <c r="H38" s="141" t="inlineStr">
        <is>
          <t>E</t>
        </is>
      </c>
      <c r="I38" s="141" t="inlineStr">
        <is>
          <t>I</t>
        </is>
      </c>
      <c r="J38" s="141" t="inlineStr">
        <is>
          <t>G</t>
        </is>
      </c>
      <c r="K38" s="141" t="inlineStr">
        <is>
          <t>L</t>
        </is>
      </c>
    </row>
    <row r="39" ht="12.75" customHeight="1">
      <c r="A39" s="141" t="n">
        <v>38</v>
      </c>
      <c r="B39" s="141" t="inlineStr">
        <is>
          <t>CDEFGIJL</t>
        </is>
      </c>
      <c r="C39" s="141" t="inlineStr">
        <is>
          <t>C,D,E,F,G,I,J,L</t>
        </is>
      </c>
      <c r="D39" s="141" t="inlineStr">
        <is>
          <t>D</t>
        </is>
      </c>
      <c r="E39" s="141" t="inlineStr">
        <is>
          <t>F</t>
        </is>
      </c>
      <c r="F39" s="141" t="inlineStr">
        <is>
          <t>C</t>
        </is>
      </c>
      <c r="G39" s="141" t="inlineStr">
        <is>
          <t>I</t>
        </is>
      </c>
      <c r="H39" s="141" t="inlineStr">
        <is>
          <t>E</t>
        </is>
      </c>
      <c r="I39" s="141" t="inlineStr">
        <is>
          <t>J</t>
        </is>
      </c>
      <c r="J39" s="141" t="inlineStr">
        <is>
          <t>G</t>
        </is>
      </c>
      <c r="K39" s="141" t="inlineStr">
        <is>
          <t>L</t>
        </is>
      </c>
    </row>
    <row r="40" ht="12.75" customHeight="1">
      <c r="A40" s="141" t="n">
        <v>39</v>
      </c>
      <c r="B40" s="141" t="inlineStr">
        <is>
          <t>CDEFGIJK</t>
        </is>
      </c>
      <c r="C40" s="141" t="inlineStr">
        <is>
          <t>C,D,E,F,G,I,J,K</t>
        </is>
      </c>
      <c r="D40" s="141" t="inlineStr">
        <is>
          <t>D</t>
        </is>
      </c>
      <c r="E40" s="141" t="inlineStr">
        <is>
          <t>F</t>
        </is>
      </c>
      <c r="F40" s="141" t="inlineStr">
        <is>
          <t>C</t>
        </is>
      </c>
      <c r="G40" s="141" t="inlineStr">
        <is>
          <t>K</t>
        </is>
      </c>
      <c r="H40" s="141" t="inlineStr">
        <is>
          <t>E</t>
        </is>
      </c>
      <c r="I40" s="141" t="inlineStr">
        <is>
          <t>J</t>
        </is>
      </c>
      <c r="J40" s="141" t="inlineStr">
        <is>
          <t>G</t>
        </is>
      </c>
      <c r="K40" s="141" t="inlineStr">
        <is>
          <t>I</t>
        </is>
      </c>
    </row>
    <row r="41" ht="12.75" customHeight="1">
      <c r="A41" s="141" t="n">
        <v>40</v>
      </c>
      <c r="B41" s="141" t="inlineStr">
        <is>
          <t>CDEFGHKL</t>
        </is>
      </c>
      <c r="C41" s="141" t="inlineStr">
        <is>
          <t>C,D,E,F,G,H,K,L</t>
        </is>
      </c>
      <c r="D41" s="141" t="inlineStr">
        <is>
          <t>D</t>
        </is>
      </c>
      <c r="E41" s="141" t="inlineStr">
        <is>
          <t>F</t>
        </is>
      </c>
      <c r="F41" s="141" t="inlineStr">
        <is>
          <t>C</t>
        </is>
      </c>
      <c r="G41" s="141" t="inlineStr">
        <is>
          <t>K</t>
        </is>
      </c>
      <c r="H41" s="141" t="inlineStr">
        <is>
          <t>E</t>
        </is>
      </c>
      <c r="I41" s="141" t="inlineStr">
        <is>
          <t>H</t>
        </is>
      </c>
      <c r="J41" s="141" t="inlineStr">
        <is>
          <t>G</t>
        </is>
      </c>
      <c r="K41" s="141" t="inlineStr">
        <is>
          <t>L</t>
        </is>
      </c>
    </row>
    <row r="42" ht="12.75" customHeight="1">
      <c r="A42" s="141" t="n">
        <v>41</v>
      </c>
      <c r="B42" s="141" t="inlineStr">
        <is>
          <t>CDEFGHJL</t>
        </is>
      </c>
      <c r="C42" s="141" t="inlineStr">
        <is>
          <t>C,D,E,F,G,H,J,L</t>
        </is>
      </c>
      <c r="D42" s="141" t="inlineStr">
        <is>
          <t>D</t>
        </is>
      </c>
      <c r="E42" s="141" t="inlineStr">
        <is>
          <t>F</t>
        </is>
      </c>
      <c r="F42" s="141" t="inlineStr">
        <is>
          <t>C</t>
        </is>
      </c>
      <c r="G42" s="141" t="inlineStr">
        <is>
          <t>E</t>
        </is>
      </c>
      <c r="H42" s="141" t="inlineStr">
        <is>
          <t>J</t>
        </is>
      </c>
      <c r="I42" s="141" t="inlineStr">
        <is>
          <t>H</t>
        </is>
      </c>
      <c r="J42" s="141" t="inlineStr">
        <is>
          <t>G</t>
        </is>
      </c>
      <c r="K42" s="141" t="inlineStr">
        <is>
          <t>L</t>
        </is>
      </c>
    </row>
    <row r="43" ht="12.75" customHeight="1">
      <c r="A43" s="141" t="n">
        <v>42</v>
      </c>
      <c r="B43" s="141" t="inlineStr">
        <is>
          <t>CDEFGHJK</t>
        </is>
      </c>
      <c r="C43" s="141" t="inlineStr">
        <is>
          <t>C,D,E,F,G,H,J,K</t>
        </is>
      </c>
      <c r="D43" s="141" t="inlineStr">
        <is>
          <t>D</t>
        </is>
      </c>
      <c r="E43" s="141" t="inlineStr">
        <is>
          <t>F</t>
        </is>
      </c>
      <c r="F43" s="141" t="inlineStr">
        <is>
          <t>C</t>
        </is>
      </c>
      <c r="G43" s="141" t="inlineStr">
        <is>
          <t>K</t>
        </is>
      </c>
      <c r="H43" s="141" t="inlineStr">
        <is>
          <t>J</t>
        </is>
      </c>
      <c r="I43" s="141" t="inlineStr">
        <is>
          <t>H</t>
        </is>
      </c>
      <c r="J43" s="141" t="inlineStr">
        <is>
          <t>G</t>
        </is>
      </c>
      <c r="K43" s="141" t="inlineStr">
        <is>
          <t>E</t>
        </is>
      </c>
    </row>
    <row r="44" ht="12.75" customHeight="1">
      <c r="A44" s="141" t="n">
        <v>43</v>
      </c>
      <c r="B44" s="141" t="inlineStr">
        <is>
          <t>CDEFGHIL</t>
        </is>
      </c>
      <c r="C44" s="141" t="inlineStr">
        <is>
          <t>C,D,E,F,G,H,I,L</t>
        </is>
      </c>
      <c r="D44" s="141" t="inlineStr">
        <is>
          <t>D</t>
        </is>
      </c>
      <c r="E44" s="141" t="inlineStr">
        <is>
          <t>F</t>
        </is>
      </c>
      <c r="F44" s="141" t="inlineStr">
        <is>
          <t>C</t>
        </is>
      </c>
      <c r="G44" s="141" t="inlineStr">
        <is>
          <t>I</t>
        </is>
      </c>
      <c r="H44" s="141" t="inlineStr">
        <is>
          <t>E</t>
        </is>
      </c>
      <c r="I44" s="141" t="inlineStr">
        <is>
          <t>H</t>
        </is>
      </c>
      <c r="J44" s="141" t="inlineStr">
        <is>
          <t>G</t>
        </is>
      </c>
      <c r="K44" s="141" t="inlineStr">
        <is>
          <t>L</t>
        </is>
      </c>
    </row>
    <row r="45" ht="12.75" customHeight="1">
      <c r="A45" s="141" t="n">
        <v>44</v>
      </c>
      <c r="B45" s="141" t="inlineStr">
        <is>
          <t>CDEFGHIK</t>
        </is>
      </c>
      <c r="C45" s="141" t="inlineStr">
        <is>
          <t>C,D,E,F,G,H,I,K</t>
        </is>
      </c>
      <c r="D45" s="141" t="inlineStr">
        <is>
          <t>D</t>
        </is>
      </c>
      <c r="E45" s="141" t="inlineStr">
        <is>
          <t>F</t>
        </is>
      </c>
      <c r="F45" s="141" t="inlineStr">
        <is>
          <t>C</t>
        </is>
      </c>
      <c r="G45" s="141" t="inlineStr">
        <is>
          <t>K</t>
        </is>
      </c>
      <c r="H45" s="141" t="inlineStr">
        <is>
          <t>E</t>
        </is>
      </c>
      <c r="I45" s="141" t="inlineStr">
        <is>
          <t>H</t>
        </is>
      </c>
      <c r="J45" s="141" t="inlineStr">
        <is>
          <t>G</t>
        </is>
      </c>
      <c r="K45" s="141" t="inlineStr">
        <is>
          <t>I</t>
        </is>
      </c>
    </row>
    <row r="46" ht="12.75" customHeight="1">
      <c r="A46" s="141" t="n">
        <v>45</v>
      </c>
      <c r="B46" s="141" t="inlineStr">
        <is>
          <t>CDEFGHIJ</t>
        </is>
      </c>
      <c r="C46" s="141" t="inlineStr">
        <is>
          <t>C,D,E,F,G,H,I,J</t>
        </is>
      </c>
      <c r="D46" s="141" t="inlineStr">
        <is>
          <t>D</t>
        </is>
      </c>
      <c r="E46" s="141" t="inlineStr">
        <is>
          <t>F</t>
        </is>
      </c>
      <c r="F46" s="141" t="inlineStr">
        <is>
          <t>C</t>
        </is>
      </c>
      <c r="G46" s="141" t="inlineStr">
        <is>
          <t>I</t>
        </is>
      </c>
      <c r="H46" s="141" t="inlineStr">
        <is>
          <t>J</t>
        </is>
      </c>
      <c r="I46" s="141" t="inlineStr">
        <is>
          <t>H</t>
        </is>
      </c>
      <c r="J46" s="141" t="inlineStr">
        <is>
          <t>G</t>
        </is>
      </c>
      <c r="K46" s="141" t="inlineStr">
        <is>
          <t>E</t>
        </is>
      </c>
    </row>
    <row r="47" ht="12.75" customHeight="1">
      <c r="A47" s="141" t="n">
        <v>46</v>
      </c>
      <c r="B47" s="141" t="inlineStr">
        <is>
          <t>BFGHIJKL</t>
        </is>
      </c>
      <c r="C47" s="141" t="inlineStr">
        <is>
          <t>B,F,G,H,I,J,K,L</t>
        </is>
      </c>
      <c r="D47" s="141" t="inlineStr">
        <is>
          <t>F</t>
        </is>
      </c>
      <c r="E47" s="141" t="inlineStr">
        <is>
          <t>G</t>
        </is>
      </c>
      <c r="F47" s="141" t="inlineStr">
        <is>
          <t>H</t>
        </is>
      </c>
      <c r="G47" s="141" t="inlineStr">
        <is>
          <t>K</t>
        </is>
      </c>
      <c r="H47" s="141" t="inlineStr">
        <is>
          <t>B</t>
        </is>
      </c>
      <c r="I47" s="141" t="inlineStr">
        <is>
          <t>I</t>
        </is>
      </c>
      <c r="J47" s="141" t="inlineStr">
        <is>
          <t>J</t>
        </is>
      </c>
      <c r="K47" s="141" t="inlineStr">
        <is>
          <t>L</t>
        </is>
      </c>
    </row>
    <row r="48" ht="12.75" customHeight="1">
      <c r="A48" s="141" t="n">
        <v>47</v>
      </c>
      <c r="B48" s="141" t="inlineStr">
        <is>
          <t>BEGHIJKL</t>
        </is>
      </c>
      <c r="C48" s="141" t="inlineStr">
        <is>
          <t>B,E,G,H,I,J,K,L</t>
        </is>
      </c>
      <c r="D48" s="141" t="inlineStr">
        <is>
          <t>B</t>
        </is>
      </c>
      <c r="E48" s="141" t="inlineStr">
        <is>
          <t>G</t>
        </is>
      </c>
      <c r="F48" s="141" t="inlineStr">
        <is>
          <t>E</t>
        </is>
      </c>
      <c r="G48" s="141" t="inlineStr">
        <is>
          <t>K</t>
        </is>
      </c>
      <c r="H48" s="141" t="inlineStr">
        <is>
          <t>I</t>
        </is>
      </c>
      <c r="I48" s="141" t="inlineStr">
        <is>
          <t>H</t>
        </is>
      </c>
      <c r="J48" s="141" t="inlineStr">
        <is>
          <t>J</t>
        </is>
      </c>
      <c r="K48" s="141" t="inlineStr">
        <is>
          <t>L</t>
        </is>
      </c>
    </row>
    <row r="49" ht="12.75" customHeight="1">
      <c r="A49" s="141" t="n">
        <v>48</v>
      </c>
      <c r="B49" s="141" t="inlineStr">
        <is>
          <t>BEFHIJKL</t>
        </is>
      </c>
      <c r="C49" s="141" t="inlineStr">
        <is>
          <t>B,E,F,H,I,J,K,L</t>
        </is>
      </c>
      <c r="D49" s="141" t="inlineStr">
        <is>
          <t>F</t>
        </is>
      </c>
      <c r="E49" s="141" t="inlineStr">
        <is>
          <t>H</t>
        </is>
      </c>
      <c r="F49" s="141" t="inlineStr">
        <is>
          <t>E</t>
        </is>
      </c>
      <c r="G49" s="141" t="inlineStr">
        <is>
          <t>K</t>
        </is>
      </c>
      <c r="H49" s="141" t="inlineStr">
        <is>
          <t>B</t>
        </is>
      </c>
      <c r="I49" s="141" t="inlineStr">
        <is>
          <t>I</t>
        </is>
      </c>
      <c r="J49" s="141" t="inlineStr">
        <is>
          <t>J</t>
        </is>
      </c>
      <c r="K49" s="141" t="inlineStr">
        <is>
          <t>L</t>
        </is>
      </c>
    </row>
    <row r="50" ht="12.75" customHeight="1">
      <c r="A50" s="141" t="n">
        <v>49</v>
      </c>
      <c r="B50" s="141" t="inlineStr">
        <is>
          <t>BEFGIJKL</t>
        </is>
      </c>
      <c r="C50" s="141" t="inlineStr">
        <is>
          <t>B,E,F,G,I,J,K,L</t>
        </is>
      </c>
      <c r="D50" s="141" t="inlineStr">
        <is>
          <t>F</t>
        </is>
      </c>
      <c r="E50" s="141" t="inlineStr">
        <is>
          <t>G</t>
        </is>
      </c>
      <c r="F50" s="141" t="inlineStr">
        <is>
          <t>E</t>
        </is>
      </c>
      <c r="G50" s="141" t="inlineStr">
        <is>
          <t>K</t>
        </is>
      </c>
      <c r="H50" s="141" t="inlineStr">
        <is>
          <t>B</t>
        </is>
      </c>
      <c r="I50" s="141" t="inlineStr">
        <is>
          <t>I</t>
        </is>
      </c>
      <c r="J50" s="141" t="inlineStr">
        <is>
          <t>J</t>
        </is>
      </c>
      <c r="K50" s="141" t="inlineStr">
        <is>
          <t>L</t>
        </is>
      </c>
    </row>
    <row r="51" ht="12.75" customHeight="1">
      <c r="A51" s="141" t="n">
        <v>50</v>
      </c>
      <c r="B51" s="141" t="inlineStr">
        <is>
          <t>BEFGHJKL</t>
        </is>
      </c>
      <c r="C51" s="141" t="inlineStr">
        <is>
          <t>B,E,F,G,H,J,K,L</t>
        </is>
      </c>
      <c r="D51" s="141" t="inlineStr">
        <is>
          <t>F</t>
        </is>
      </c>
      <c r="E51" s="141" t="inlineStr">
        <is>
          <t>G</t>
        </is>
      </c>
      <c r="F51" s="141" t="inlineStr">
        <is>
          <t>E</t>
        </is>
      </c>
      <c r="G51" s="141" t="inlineStr">
        <is>
          <t>K</t>
        </is>
      </c>
      <c r="H51" s="141" t="inlineStr">
        <is>
          <t>B</t>
        </is>
      </c>
      <c r="I51" s="141" t="inlineStr">
        <is>
          <t>H</t>
        </is>
      </c>
      <c r="J51" s="141" t="inlineStr">
        <is>
          <t>J</t>
        </is>
      </c>
      <c r="K51" s="141" t="inlineStr">
        <is>
          <t>L</t>
        </is>
      </c>
    </row>
    <row r="52" ht="12.75" customHeight="1">
      <c r="A52" s="141" t="n">
        <v>51</v>
      </c>
      <c r="B52" s="141" t="inlineStr">
        <is>
          <t>BEFGHIKL</t>
        </is>
      </c>
      <c r="C52" s="141" t="inlineStr">
        <is>
          <t>B,E,F,G,H,I,K,L</t>
        </is>
      </c>
      <c r="D52" s="141" t="inlineStr">
        <is>
          <t>F</t>
        </is>
      </c>
      <c r="E52" s="141" t="inlineStr">
        <is>
          <t>H</t>
        </is>
      </c>
      <c r="F52" s="141" t="inlineStr">
        <is>
          <t>E</t>
        </is>
      </c>
      <c r="G52" s="141" t="inlineStr">
        <is>
          <t>K</t>
        </is>
      </c>
      <c r="H52" s="141" t="inlineStr">
        <is>
          <t>B</t>
        </is>
      </c>
      <c r="I52" s="141" t="inlineStr">
        <is>
          <t>I</t>
        </is>
      </c>
      <c r="J52" s="141" t="inlineStr">
        <is>
          <t>G</t>
        </is>
      </c>
      <c r="K52" s="141" t="inlineStr">
        <is>
          <t>L</t>
        </is>
      </c>
    </row>
    <row r="53" ht="12.75" customHeight="1">
      <c r="A53" s="141" t="n">
        <v>52</v>
      </c>
      <c r="B53" s="141" t="inlineStr">
        <is>
          <t>BEFGHIJL</t>
        </is>
      </c>
      <c r="C53" s="141" t="inlineStr">
        <is>
          <t>B,E,F,G,H,I,J,L</t>
        </is>
      </c>
      <c r="D53" s="141" t="inlineStr">
        <is>
          <t>F</t>
        </is>
      </c>
      <c r="E53" s="141" t="inlineStr">
        <is>
          <t>G</t>
        </is>
      </c>
      <c r="F53" s="141" t="inlineStr">
        <is>
          <t>E</t>
        </is>
      </c>
      <c r="G53" s="141" t="inlineStr">
        <is>
          <t>I</t>
        </is>
      </c>
      <c r="H53" s="141" t="inlineStr">
        <is>
          <t>B</t>
        </is>
      </c>
      <c r="I53" s="141" t="inlineStr">
        <is>
          <t>H</t>
        </is>
      </c>
      <c r="J53" s="141" t="inlineStr">
        <is>
          <t>J</t>
        </is>
      </c>
      <c r="K53" s="141" t="inlineStr">
        <is>
          <t>L</t>
        </is>
      </c>
    </row>
    <row r="54" ht="12.75" customHeight="1">
      <c r="A54" s="141" t="n">
        <v>53</v>
      </c>
      <c r="B54" s="141" t="inlineStr">
        <is>
          <t>BEFGHIJK</t>
        </is>
      </c>
      <c r="C54" s="141" t="inlineStr">
        <is>
          <t>B,E,F,G,H,I,J,K</t>
        </is>
      </c>
      <c r="D54" s="141" t="inlineStr">
        <is>
          <t>F</t>
        </is>
      </c>
      <c r="E54" s="141" t="inlineStr">
        <is>
          <t>G</t>
        </is>
      </c>
      <c r="F54" s="141" t="inlineStr">
        <is>
          <t>E</t>
        </is>
      </c>
      <c r="G54" s="141" t="inlineStr">
        <is>
          <t>K</t>
        </is>
      </c>
      <c r="H54" s="141" t="inlineStr">
        <is>
          <t>B</t>
        </is>
      </c>
      <c r="I54" s="141" t="inlineStr">
        <is>
          <t>H</t>
        </is>
      </c>
      <c r="J54" s="141" t="inlineStr">
        <is>
          <t>J</t>
        </is>
      </c>
      <c r="K54" s="141" t="inlineStr">
        <is>
          <t>I</t>
        </is>
      </c>
    </row>
    <row r="55" ht="12.75" customHeight="1">
      <c r="A55" s="141" t="n">
        <v>54</v>
      </c>
      <c r="B55" s="141" t="inlineStr">
        <is>
          <t>BDGHIJKL</t>
        </is>
      </c>
      <c r="C55" s="141" t="inlineStr">
        <is>
          <t>B,D,G,H,I,J,K,L</t>
        </is>
      </c>
      <c r="D55" s="141" t="inlineStr">
        <is>
          <t>D</t>
        </is>
      </c>
      <c r="E55" s="141" t="inlineStr">
        <is>
          <t>G</t>
        </is>
      </c>
      <c r="F55" s="141" t="inlineStr">
        <is>
          <t>H</t>
        </is>
      </c>
      <c r="G55" s="141" t="inlineStr">
        <is>
          <t>K</t>
        </is>
      </c>
      <c r="H55" s="141" t="inlineStr">
        <is>
          <t>B</t>
        </is>
      </c>
      <c r="I55" s="141" t="inlineStr">
        <is>
          <t>I</t>
        </is>
      </c>
      <c r="J55" s="141" t="inlineStr">
        <is>
          <t>J</t>
        </is>
      </c>
      <c r="K55" s="141" t="inlineStr">
        <is>
          <t>L</t>
        </is>
      </c>
    </row>
    <row r="56" ht="12.75" customHeight="1">
      <c r="A56" s="141" t="n">
        <v>55</v>
      </c>
      <c r="B56" s="141" t="inlineStr">
        <is>
          <t>BDFHIJKL</t>
        </is>
      </c>
      <c r="C56" s="141" t="inlineStr">
        <is>
          <t>B,D,F,H,I,J,K,L</t>
        </is>
      </c>
      <c r="D56" s="141" t="inlineStr">
        <is>
          <t>D</t>
        </is>
      </c>
      <c r="E56" s="141" t="inlineStr">
        <is>
          <t>F</t>
        </is>
      </c>
      <c r="F56" s="141" t="inlineStr">
        <is>
          <t>H</t>
        </is>
      </c>
      <c r="G56" s="141" t="inlineStr">
        <is>
          <t>K</t>
        </is>
      </c>
      <c r="H56" s="141" t="inlineStr">
        <is>
          <t>B</t>
        </is>
      </c>
      <c r="I56" s="141" t="inlineStr">
        <is>
          <t>I</t>
        </is>
      </c>
      <c r="J56" s="141" t="inlineStr">
        <is>
          <t>J</t>
        </is>
      </c>
      <c r="K56" s="141" t="inlineStr">
        <is>
          <t>L</t>
        </is>
      </c>
    </row>
    <row r="57" ht="12.75" customHeight="1">
      <c r="A57" s="141" t="n">
        <v>56</v>
      </c>
      <c r="B57" s="141" t="inlineStr">
        <is>
          <t>BDFGIJKL</t>
        </is>
      </c>
      <c r="C57" s="141" t="inlineStr">
        <is>
          <t>B,D,F,G,I,J,K,L</t>
        </is>
      </c>
      <c r="D57" s="141" t="inlineStr">
        <is>
          <t>D</t>
        </is>
      </c>
      <c r="E57" s="141" t="inlineStr">
        <is>
          <t>F</t>
        </is>
      </c>
      <c r="F57" s="141" t="inlineStr">
        <is>
          <t>I</t>
        </is>
      </c>
      <c r="G57" s="141" t="inlineStr">
        <is>
          <t>K</t>
        </is>
      </c>
      <c r="H57" s="141" t="inlineStr">
        <is>
          <t>B</t>
        </is>
      </c>
      <c r="I57" s="141" t="inlineStr">
        <is>
          <t>J</t>
        </is>
      </c>
      <c r="J57" s="141" t="inlineStr">
        <is>
          <t>G</t>
        </is>
      </c>
      <c r="K57" s="141" t="inlineStr">
        <is>
          <t>L</t>
        </is>
      </c>
    </row>
    <row r="58" ht="12.75" customHeight="1">
      <c r="A58" s="141" t="n">
        <v>57</v>
      </c>
      <c r="B58" s="141" t="inlineStr">
        <is>
          <t>BDFGHJKL</t>
        </is>
      </c>
      <c r="C58" s="141" t="inlineStr">
        <is>
          <t>B,D,F,G,H,J,K,L</t>
        </is>
      </c>
      <c r="D58" s="141" t="inlineStr">
        <is>
          <t>D</t>
        </is>
      </c>
      <c r="E58" s="141" t="inlineStr">
        <is>
          <t>F</t>
        </is>
      </c>
      <c r="F58" s="141" t="inlineStr">
        <is>
          <t>H</t>
        </is>
      </c>
      <c r="G58" s="141" t="inlineStr">
        <is>
          <t>K</t>
        </is>
      </c>
      <c r="H58" s="141" t="inlineStr">
        <is>
          <t>B</t>
        </is>
      </c>
      <c r="I58" s="141" t="inlineStr">
        <is>
          <t>J</t>
        </is>
      </c>
      <c r="J58" s="141" t="inlineStr">
        <is>
          <t>G</t>
        </is>
      </c>
      <c r="K58" s="141" t="inlineStr">
        <is>
          <t>L</t>
        </is>
      </c>
    </row>
    <row r="59" ht="12.75" customHeight="1">
      <c r="A59" s="141" t="n">
        <v>58</v>
      </c>
      <c r="B59" s="141" t="inlineStr">
        <is>
          <t>BDFGHIKL</t>
        </is>
      </c>
      <c r="C59" s="141" t="inlineStr">
        <is>
          <t>B,D,F,G,H,I,K,L</t>
        </is>
      </c>
      <c r="D59" s="141" t="inlineStr">
        <is>
          <t>D</t>
        </is>
      </c>
      <c r="E59" s="141" t="inlineStr">
        <is>
          <t>F</t>
        </is>
      </c>
      <c r="F59" s="141" t="inlineStr">
        <is>
          <t>H</t>
        </is>
      </c>
      <c r="G59" s="141" t="inlineStr">
        <is>
          <t>K</t>
        </is>
      </c>
      <c r="H59" s="141" t="inlineStr">
        <is>
          <t>B</t>
        </is>
      </c>
      <c r="I59" s="141" t="inlineStr">
        <is>
          <t>I</t>
        </is>
      </c>
      <c r="J59" s="141" t="inlineStr">
        <is>
          <t>G</t>
        </is>
      </c>
      <c r="K59" s="141" t="inlineStr">
        <is>
          <t>L</t>
        </is>
      </c>
    </row>
    <row r="60" ht="12.75" customHeight="1">
      <c r="A60" s="141" t="n">
        <v>59</v>
      </c>
      <c r="B60" s="141" t="inlineStr">
        <is>
          <t>BDFGHIJL</t>
        </is>
      </c>
      <c r="C60" s="141" t="inlineStr">
        <is>
          <t>B,D,F,G,H,I,J,L</t>
        </is>
      </c>
      <c r="D60" s="141" t="inlineStr">
        <is>
          <t>D</t>
        </is>
      </c>
      <c r="E60" s="141" t="inlineStr">
        <is>
          <t>F</t>
        </is>
      </c>
      <c r="F60" s="141" t="inlineStr">
        <is>
          <t>H</t>
        </is>
      </c>
      <c r="G60" s="141" t="inlineStr">
        <is>
          <t>I</t>
        </is>
      </c>
      <c r="H60" s="141" t="inlineStr">
        <is>
          <t>B</t>
        </is>
      </c>
      <c r="I60" s="141" t="inlineStr">
        <is>
          <t>J</t>
        </is>
      </c>
      <c r="J60" s="141" t="inlineStr">
        <is>
          <t>G</t>
        </is>
      </c>
      <c r="K60" s="141" t="inlineStr">
        <is>
          <t>L</t>
        </is>
      </c>
    </row>
    <row r="61" ht="12.75" customHeight="1">
      <c r="A61" s="141" t="n">
        <v>60</v>
      </c>
      <c r="B61" s="141" t="inlineStr">
        <is>
          <t>BDFGHIJK</t>
        </is>
      </c>
      <c r="C61" s="141" t="inlineStr">
        <is>
          <t>B,D,F,G,H,I,J,K</t>
        </is>
      </c>
      <c r="D61" s="141" t="inlineStr">
        <is>
          <t>D</t>
        </is>
      </c>
      <c r="E61" s="141" t="inlineStr">
        <is>
          <t>F</t>
        </is>
      </c>
      <c r="F61" s="141" t="inlineStr">
        <is>
          <t>H</t>
        </is>
      </c>
      <c r="G61" s="141" t="inlineStr">
        <is>
          <t>K</t>
        </is>
      </c>
      <c r="H61" s="141" t="inlineStr">
        <is>
          <t>B</t>
        </is>
      </c>
      <c r="I61" s="141" t="inlineStr">
        <is>
          <t>J</t>
        </is>
      </c>
      <c r="J61" s="141" t="inlineStr">
        <is>
          <t>G</t>
        </is>
      </c>
      <c r="K61" s="141" t="inlineStr">
        <is>
          <t>I</t>
        </is>
      </c>
    </row>
    <row r="62" ht="12.75" customHeight="1">
      <c r="A62" s="141" t="n">
        <v>61</v>
      </c>
      <c r="B62" s="141" t="inlineStr">
        <is>
          <t>BDEHIJKL</t>
        </is>
      </c>
      <c r="C62" s="141" t="inlineStr">
        <is>
          <t>B,D,E,H,I,J,K,L</t>
        </is>
      </c>
      <c r="D62" s="141" t="inlineStr">
        <is>
          <t>D</t>
        </is>
      </c>
      <c r="E62" s="141" t="inlineStr">
        <is>
          <t>H</t>
        </is>
      </c>
      <c r="F62" s="141" t="inlineStr">
        <is>
          <t>E</t>
        </is>
      </c>
      <c r="G62" s="141" t="inlineStr">
        <is>
          <t>K</t>
        </is>
      </c>
      <c r="H62" s="141" t="inlineStr">
        <is>
          <t>B</t>
        </is>
      </c>
      <c r="I62" s="141" t="inlineStr">
        <is>
          <t>I</t>
        </is>
      </c>
      <c r="J62" s="141" t="inlineStr">
        <is>
          <t>J</t>
        </is>
      </c>
      <c r="K62" s="141" t="inlineStr">
        <is>
          <t>L</t>
        </is>
      </c>
    </row>
    <row r="63" ht="12.75" customHeight="1">
      <c r="A63" s="141" t="n">
        <v>62</v>
      </c>
      <c r="B63" s="141" t="inlineStr">
        <is>
          <t>BDEGIJKL</t>
        </is>
      </c>
      <c r="C63" s="141" t="inlineStr">
        <is>
          <t>B,D,E,G,I,J,K,L</t>
        </is>
      </c>
      <c r="D63" s="141" t="inlineStr">
        <is>
          <t>D</t>
        </is>
      </c>
      <c r="E63" s="141" t="inlineStr">
        <is>
          <t>G</t>
        </is>
      </c>
      <c r="F63" s="141" t="inlineStr">
        <is>
          <t>E</t>
        </is>
      </c>
      <c r="G63" s="141" t="inlineStr">
        <is>
          <t>K</t>
        </is>
      </c>
      <c r="H63" s="141" t="inlineStr">
        <is>
          <t>B</t>
        </is>
      </c>
      <c r="I63" s="141" t="inlineStr">
        <is>
          <t>I</t>
        </is>
      </c>
      <c r="J63" s="141" t="inlineStr">
        <is>
          <t>J</t>
        </is>
      </c>
      <c r="K63" s="141" t="inlineStr">
        <is>
          <t>L</t>
        </is>
      </c>
    </row>
    <row r="64" ht="12.75" customHeight="1">
      <c r="A64" s="141" t="n">
        <v>63</v>
      </c>
      <c r="B64" s="141" t="inlineStr">
        <is>
          <t>BDEGHJKL</t>
        </is>
      </c>
      <c r="C64" s="141" t="inlineStr">
        <is>
          <t>B,D,E,G,H,J,K,L</t>
        </is>
      </c>
      <c r="D64" s="141" t="inlineStr">
        <is>
          <t>D</t>
        </is>
      </c>
      <c r="E64" s="141" t="inlineStr">
        <is>
          <t>G</t>
        </is>
      </c>
      <c r="F64" s="141" t="inlineStr">
        <is>
          <t>E</t>
        </is>
      </c>
      <c r="G64" s="141" t="inlineStr">
        <is>
          <t>K</t>
        </is>
      </c>
      <c r="H64" s="141" t="inlineStr">
        <is>
          <t>B</t>
        </is>
      </c>
      <c r="I64" s="141" t="inlineStr">
        <is>
          <t>H</t>
        </is>
      </c>
      <c r="J64" s="141" t="inlineStr">
        <is>
          <t>J</t>
        </is>
      </c>
      <c r="K64" s="141" t="inlineStr">
        <is>
          <t>L</t>
        </is>
      </c>
    </row>
    <row r="65" ht="12.75" customHeight="1">
      <c r="A65" s="141" t="n">
        <v>64</v>
      </c>
      <c r="B65" s="141" t="inlineStr">
        <is>
          <t>BDEGHIKL</t>
        </is>
      </c>
      <c r="C65" s="141" t="inlineStr">
        <is>
          <t>B,D,E,G,H,I,K,L</t>
        </is>
      </c>
      <c r="D65" s="141" t="inlineStr">
        <is>
          <t>D</t>
        </is>
      </c>
      <c r="E65" s="141" t="inlineStr">
        <is>
          <t>H</t>
        </is>
      </c>
      <c r="F65" s="141" t="inlineStr">
        <is>
          <t>E</t>
        </is>
      </c>
      <c r="G65" s="141" t="inlineStr">
        <is>
          <t>K</t>
        </is>
      </c>
      <c r="H65" s="141" t="inlineStr">
        <is>
          <t>B</t>
        </is>
      </c>
      <c r="I65" s="141" t="inlineStr">
        <is>
          <t>I</t>
        </is>
      </c>
      <c r="J65" s="141" t="inlineStr">
        <is>
          <t>G</t>
        </is>
      </c>
      <c r="K65" s="141" t="inlineStr">
        <is>
          <t>L</t>
        </is>
      </c>
    </row>
    <row r="66" ht="12.75" customHeight="1">
      <c r="A66" s="141" t="n">
        <v>65</v>
      </c>
      <c r="B66" s="141" t="inlineStr">
        <is>
          <t>BDEGHIJL</t>
        </is>
      </c>
      <c r="C66" s="141" t="inlineStr">
        <is>
          <t>B,D,E,G,H,I,J,L</t>
        </is>
      </c>
      <c r="D66" s="141" t="inlineStr">
        <is>
          <t>D</t>
        </is>
      </c>
      <c r="E66" s="141" t="inlineStr">
        <is>
          <t>G</t>
        </is>
      </c>
      <c r="F66" s="141" t="inlineStr">
        <is>
          <t>E</t>
        </is>
      </c>
      <c r="G66" s="141" t="inlineStr">
        <is>
          <t>I</t>
        </is>
      </c>
      <c r="H66" s="141" t="inlineStr">
        <is>
          <t>B</t>
        </is>
      </c>
      <c r="I66" s="141" t="inlineStr">
        <is>
          <t>H</t>
        </is>
      </c>
      <c r="J66" s="141" t="inlineStr">
        <is>
          <t>J</t>
        </is>
      </c>
      <c r="K66" s="141" t="inlineStr">
        <is>
          <t>L</t>
        </is>
      </c>
    </row>
    <row r="67" ht="12.75" customHeight="1">
      <c r="A67" s="141" t="n">
        <v>66</v>
      </c>
      <c r="B67" s="141" t="inlineStr">
        <is>
          <t>BDEGHIJK</t>
        </is>
      </c>
      <c r="C67" s="141" t="inlineStr">
        <is>
          <t>B,D,E,G,H,I,J,K</t>
        </is>
      </c>
      <c r="D67" s="141" t="inlineStr">
        <is>
          <t>D</t>
        </is>
      </c>
      <c r="E67" s="141" t="inlineStr">
        <is>
          <t>G</t>
        </is>
      </c>
      <c r="F67" s="141" t="inlineStr">
        <is>
          <t>E</t>
        </is>
      </c>
      <c r="G67" s="141" t="inlineStr">
        <is>
          <t>K</t>
        </is>
      </c>
      <c r="H67" s="141" t="inlineStr">
        <is>
          <t>B</t>
        </is>
      </c>
      <c r="I67" s="141" t="inlineStr">
        <is>
          <t>H</t>
        </is>
      </c>
      <c r="J67" s="141" t="inlineStr">
        <is>
          <t>J</t>
        </is>
      </c>
      <c r="K67" s="141" t="inlineStr">
        <is>
          <t>I</t>
        </is>
      </c>
    </row>
    <row r="68" ht="12.75" customHeight="1">
      <c r="A68" s="141" t="n">
        <v>67</v>
      </c>
      <c r="B68" s="141" t="inlineStr">
        <is>
          <t>BDEFIJKL</t>
        </is>
      </c>
      <c r="C68" s="141" t="inlineStr">
        <is>
          <t>B,D,E,F,I,J,K,L</t>
        </is>
      </c>
      <c r="D68" s="141" t="inlineStr">
        <is>
          <t>D</t>
        </is>
      </c>
      <c r="E68" s="141" t="inlineStr">
        <is>
          <t>F</t>
        </is>
      </c>
      <c r="F68" s="141" t="inlineStr">
        <is>
          <t>E</t>
        </is>
      </c>
      <c r="G68" s="141" t="inlineStr">
        <is>
          <t>K</t>
        </is>
      </c>
      <c r="H68" s="141" t="inlineStr">
        <is>
          <t>B</t>
        </is>
      </c>
      <c r="I68" s="141" t="inlineStr">
        <is>
          <t>I</t>
        </is>
      </c>
      <c r="J68" s="141" t="inlineStr">
        <is>
          <t>J</t>
        </is>
      </c>
      <c r="K68" s="141" t="inlineStr">
        <is>
          <t>L</t>
        </is>
      </c>
    </row>
    <row r="69" ht="12.75" customHeight="1">
      <c r="A69" s="141" t="n">
        <v>68</v>
      </c>
      <c r="B69" s="141" t="inlineStr">
        <is>
          <t>BDEFHJKL</t>
        </is>
      </c>
      <c r="C69" s="141" t="inlineStr">
        <is>
          <t>B,D,E,F,H,J,K,L</t>
        </is>
      </c>
      <c r="D69" s="141" t="inlineStr">
        <is>
          <t>D</t>
        </is>
      </c>
      <c r="E69" s="141" t="inlineStr">
        <is>
          <t>F</t>
        </is>
      </c>
      <c r="F69" s="141" t="inlineStr">
        <is>
          <t>E</t>
        </is>
      </c>
      <c r="G69" s="141" t="inlineStr">
        <is>
          <t>K</t>
        </is>
      </c>
      <c r="H69" s="141" t="inlineStr">
        <is>
          <t>B</t>
        </is>
      </c>
      <c r="I69" s="141" t="inlineStr">
        <is>
          <t>H</t>
        </is>
      </c>
      <c r="J69" s="141" t="inlineStr">
        <is>
          <t>J</t>
        </is>
      </c>
      <c r="K69" s="141" t="inlineStr">
        <is>
          <t>L</t>
        </is>
      </c>
    </row>
    <row r="70" ht="12.75" customHeight="1">
      <c r="A70" s="141" t="n">
        <v>69</v>
      </c>
      <c r="B70" s="141" t="inlineStr">
        <is>
          <t>BDEFHIKL</t>
        </is>
      </c>
      <c r="C70" s="141" t="inlineStr">
        <is>
          <t>B,D,E,F,H,I,K,L</t>
        </is>
      </c>
      <c r="D70" s="141" t="inlineStr">
        <is>
          <t>D</t>
        </is>
      </c>
      <c r="E70" s="141" t="inlineStr">
        <is>
          <t>F</t>
        </is>
      </c>
      <c r="F70" s="141" t="inlineStr">
        <is>
          <t>E</t>
        </is>
      </c>
      <c r="G70" s="141" t="inlineStr">
        <is>
          <t>K</t>
        </is>
      </c>
      <c r="H70" s="141" t="inlineStr">
        <is>
          <t>B</t>
        </is>
      </c>
      <c r="I70" s="141" t="inlineStr">
        <is>
          <t>H</t>
        </is>
      </c>
      <c r="J70" s="141" t="inlineStr">
        <is>
          <t>I</t>
        </is>
      </c>
      <c r="K70" s="141" t="inlineStr">
        <is>
          <t>L</t>
        </is>
      </c>
    </row>
    <row r="71" ht="12.75" customHeight="1">
      <c r="A71" s="141" t="n">
        <v>70</v>
      </c>
      <c r="B71" s="141" t="inlineStr">
        <is>
          <t>BDEFHIJL</t>
        </is>
      </c>
      <c r="C71" s="141" t="inlineStr">
        <is>
          <t>B,D,E,F,H,I,J,L</t>
        </is>
      </c>
      <c r="D71" s="141" t="inlineStr">
        <is>
          <t>D</t>
        </is>
      </c>
      <c r="E71" s="141" t="inlineStr">
        <is>
          <t>F</t>
        </is>
      </c>
      <c r="F71" s="141" t="inlineStr">
        <is>
          <t>E</t>
        </is>
      </c>
      <c r="G71" s="141" t="inlineStr">
        <is>
          <t>I</t>
        </is>
      </c>
      <c r="H71" s="141" t="inlineStr">
        <is>
          <t>B</t>
        </is>
      </c>
      <c r="I71" s="141" t="inlineStr">
        <is>
          <t>H</t>
        </is>
      </c>
      <c r="J71" s="141" t="inlineStr">
        <is>
          <t>J</t>
        </is>
      </c>
      <c r="K71" s="141" t="inlineStr">
        <is>
          <t>L</t>
        </is>
      </c>
    </row>
    <row r="72" ht="12.75" customHeight="1">
      <c r="A72" s="141" t="n">
        <v>71</v>
      </c>
      <c r="B72" s="141" t="inlineStr">
        <is>
          <t>BDEFHIJK</t>
        </is>
      </c>
      <c r="C72" s="141" t="inlineStr">
        <is>
          <t>B,D,E,F,H,I,J,K</t>
        </is>
      </c>
      <c r="D72" s="141" t="inlineStr">
        <is>
          <t>D</t>
        </is>
      </c>
      <c r="E72" s="141" t="inlineStr">
        <is>
          <t>F</t>
        </is>
      </c>
      <c r="F72" s="141" t="inlineStr">
        <is>
          <t>E</t>
        </is>
      </c>
      <c r="G72" s="141" t="inlineStr">
        <is>
          <t>K</t>
        </is>
      </c>
      <c r="H72" s="141" t="inlineStr">
        <is>
          <t>B</t>
        </is>
      </c>
      <c r="I72" s="141" t="inlineStr">
        <is>
          <t>H</t>
        </is>
      </c>
      <c r="J72" s="141" t="inlineStr">
        <is>
          <t>J</t>
        </is>
      </c>
      <c r="K72" s="141" t="inlineStr">
        <is>
          <t>I</t>
        </is>
      </c>
    </row>
    <row r="73" ht="12.75" customHeight="1">
      <c r="A73" s="141" t="n">
        <v>72</v>
      </c>
      <c r="B73" s="141" t="inlineStr">
        <is>
          <t>BDEFGJKL</t>
        </is>
      </c>
      <c r="C73" s="141" t="inlineStr">
        <is>
          <t>B,D,E,F,G,J,K,L</t>
        </is>
      </c>
      <c r="D73" s="141" t="inlineStr">
        <is>
          <t>D</t>
        </is>
      </c>
      <c r="E73" s="141" t="inlineStr">
        <is>
          <t>F</t>
        </is>
      </c>
      <c r="F73" s="141" t="inlineStr">
        <is>
          <t>E</t>
        </is>
      </c>
      <c r="G73" s="141" t="inlineStr">
        <is>
          <t>K</t>
        </is>
      </c>
      <c r="H73" s="141" t="inlineStr">
        <is>
          <t>B</t>
        </is>
      </c>
      <c r="I73" s="141" t="inlineStr">
        <is>
          <t>J</t>
        </is>
      </c>
      <c r="J73" s="141" t="inlineStr">
        <is>
          <t>G</t>
        </is>
      </c>
      <c r="K73" s="141" t="inlineStr">
        <is>
          <t>L</t>
        </is>
      </c>
    </row>
    <row r="74" ht="12.75" customHeight="1">
      <c r="A74" s="141" t="n">
        <v>73</v>
      </c>
      <c r="B74" s="141" t="inlineStr">
        <is>
          <t>BDEFGIKL</t>
        </is>
      </c>
      <c r="C74" s="141" t="inlineStr">
        <is>
          <t>B,D,E,F,G,I,K,L</t>
        </is>
      </c>
      <c r="D74" s="141" t="inlineStr">
        <is>
          <t>D</t>
        </is>
      </c>
      <c r="E74" s="141" t="inlineStr">
        <is>
          <t>F</t>
        </is>
      </c>
      <c r="F74" s="141" t="inlineStr">
        <is>
          <t>E</t>
        </is>
      </c>
      <c r="G74" s="141" t="inlineStr">
        <is>
          <t>K</t>
        </is>
      </c>
      <c r="H74" s="141" t="inlineStr">
        <is>
          <t>B</t>
        </is>
      </c>
      <c r="I74" s="141" t="inlineStr">
        <is>
          <t>I</t>
        </is>
      </c>
      <c r="J74" s="141" t="inlineStr">
        <is>
          <t>G</t>
        </is>
      </c>
      <c r="K74" s="141" t="inlineStr">
        <is>
          <t>L</t>
        </is>
      </c>
    </row>
    <row r="75" ht="12.75" customHeight="1">
      <c r="A75" s="141" t="n">
        <v>74</v>
      </c>
      <c r="B75" s="141" t="inlineStr">
        <is>
          <t>BDEFGIJL</t>
        </is>
      </c>
      <c r="C75" s="141" t="inlineStr">
        <is>
          <t>B,D,E,F,G,I,J,L</t>
        </is>
      </c>
      <c r="D75" s="141" t="inlineStr">
        <is>
          <t>D</t>
        </is>
      </c>
      <c r="E75" s="141" t="inlineStr">
        <is>
          <t>F</t>
        </is>
      </c>
      <c r="F75" s="141" t="inlineStr">
        <is>
          <t>E</t>
        </is>
      </c>
      <c r="G75" s="141" t="inlineStr">
        <is>
          <t>I</t>
        </is>
      </c>
      <c r="H75" s="141" t="inlineStr">
        <is>
          <t>B</t>
        </is>
      </c>
      <c r="I75" s="141" t="inlineStr">
        <is>
          <t>J</t>
        </is>
      </c>
      <c r="J75" s="141" t="inlineStr">
        <is>
          <t>G</t>
        </is>
      </c>
      <c r="K75" s="141" t="inlineStr">
        <is>
          <t>L</t>
        </is>
      </c>
    </row>
    <row r="76" ht="12.75" customHeight="1">
      <c r="A76" s="141" t="n">
        <v>75</v>
      </c>
      <c r="B76" s="141" t="inlineStr">
        <is>
          <t>BDEFGIJK</t>
        </is>
      </c>
      <c r="C76" s="141" t="inlineStr">
        <is>
          <t>B,D,E,F,G,I,J,K</t>
        </is>
      </c>
      <c r="D76" s="141" t="inlineStr">
        <is>
          <t>D</t>
        </is>
      </c>
      <c r="E76" s="141" t="inlineStr">
        <is>
          <t>F</t>
        </is>
      </c>
      <c r="F76" s="141" t="inlineStr">
        <is>
          <t>E</t>
        </is>
      </c>
      <c r="G76" s="141" t="inlineStr">
        <is>
          <t>K</t>
        </is>
      </c>
      <c r="H76" s="141" t="inlineStr">
        <is>
          <t>B</t>
        </is>
      </c>
      <c r="I76" s="141" t="inlineStr">
        <is>
          <t>J</t>
        </is>
      </c>
      <c r="J76" s="141" t="inlineStr">
        <is>
          <t>G</t>
        </is>
      </c>
      <c r="K76" s="141" t="inlineStr">
        <is>
          <t>I</t>
        </is>
      </c>
    </row>
    <row r="77" ht="12.75" customHeight="1">
      <c r="A77" s="141" t="n">
        <v>76</v>
      </c>
      <c r="B77" s="141" t="inlineStr">
        <is>
          <t>BDEFGHKL</t>
        </is>
      </c>
      <c r="C77" s="141" t="inlineStr">
        <is>
          <t>B,D,E,F,G,H,K,L</t>
        </is>
      </c>
      <c r="D77" s="141" t="inlineStr">
        <is>
          <t>D</t>
        </is>
      </c>
      <c r="E77" s="141" t="inlineStr">
        <is>
          <t>F</t>
        </is>
      </c>
      <c r="F77" s="141" t="inlineStr">
        <is>
          <t>E</t>
        </is>
      </c>
      <c r="G77" s="141" t="inlineStr">
        <is>
          <t>K</t>
        </is>
      </c>
      <c r="H77" s="141" t="inlineStr">
        <is>
          <t>B</t>
        </is>
      </c>
      <c r="I77" s="141" t="inlineStr">
        <is>
          <t>H</t>
        </is>
      </c>
      <c r="J77" s="141" t="inlineStr">
        <is>
          <t>G</t>
        </is>
      </c>
      <c r="K77" s="141" t="inlineStr">
        <is>
          <t>L</t>
        </is>
      </c>
    </row>
    <row r="78" ht="12.75" customHeight="1">
      <c r="A78" s="141" t="n">
        <v>77</v>
      </c>
      <c r="B78" s="141" t="inlineStr">
        <is>
          <t>BDEFGHJL</t>
        </is>
      </c>
      <c r="C78" s="141" t="inlineStr">
        <is>
          <t>B,D,E,F,G,H,J,L</t>
        </is>
      </c>
      <c r="D78" s="141" t="inlineStr">
        <is>
          <t>D</t>
        </is>
      </c>
      <c r="E78" s="141" t="inlineStr">
        <is>
          <t>F</t>
        </is>
      </c>
      <c r="F78" s="141" t="inlineStr">
        <is>
          <t>H</t>
        </is>
      </c>
      <c r="G78" s="141" t="inlineStr">
        <is>
          <t>E</t>
        </is>
      </c>
      <c r="H78" s="141" t="inlineStr">
        <is>
          <t>B</t>
        </is>
      </c>
      <c r="I78" s="141" t="inlineStr">
        <is>
          <t>J</t>
        </is>
      </c>
      <c r="J78" s="141" t="inlineStr">
        <is>
          <t>G</t>
        </is>
      </c>
      <c r="K78" s="141" t="inlineStr">
        <is>
          <t>L</t>
        </is>
      </c>
    </row>
    <row r="79" ht="12.75" customHeight="1">
      <c r="A79" s="141" t="n">
        <v>78</v>
      </c>
      <c r="B79" s="141" t="inlineStr">
        <is>
          <t>BDEFGHJK</t>
        </is>
      </c>
      <c r="C79" s="141" t="inlineStr">
        <is>
          <t>B,D,E,F,G,H,J,K</t>
        </is>
      </c>
      <c r="D79" s="141" t="inlineStr">
        <is>
          <t>D</t>
        </is>
      </c>
      <c r="E79" s="141" t="inlineStr">
        <is>
          <t>F</t>
        </is>
      </c>
      <c r="F79" s="141" t="inlineStr">
        <is>
          <t>H</t>
        </is>
      </c>
      <c r="G79" s="141" t="inlineStr">
        <is>
          <t>K</t>
        </is>
      </c>
      <c r="H79" s="141" t="inlineStr">
        <is>
          <t>B</t>
        </is>
      </c>
      <c r="I79" s="141" t="inlineStr">
        <is>
          <t>J</t>
        </is>
      </c>
      <c r="J79" s="141" t="inlineStr">
        <is>
          <t>G</t>
        </is>
      </c>
      <c r="K79" s="141" t="inlineStr">
        <is>
          <t>E</t>
        </is>
      </c>
    </row>
    <row r="80" ht="12.75" customHeight="1">
      <c r="A80" s="141" t="n">
        <v>79</v>
      </c>
      <c r="B80" s="141" t="inlineStr">
        <is>
          <t>BDEFGHIL</t>
        </is>
      </c>
      <c r="C80" s="141" t="inlineStr">
        <is>
          <t>B,D,E,F,G,H,I,L</t>
        </is>
      </c>
      <c r="D80" s="141" t="inlineStr">
        <is>
          <t>D</t>
        </is>
      </c>
      <c r="E80" s="141" t="inlineStr">
        <is>
          <t>F</t>
        </is>
      </c>
      <c r="F80" s="141" t="inlineStr">
        <is>
          <t>E</t>
        </is>
      </c>
      <c r="G80" s="141" t="inlineStr">
        <is>
          <t>I</t>
        </is>
      </c>
      <c r="H80" s="141" t="inlineStr">
        <is>
          <t>B</t>
        </is>
      </c>
      <c r="I80" s="141" t="inlineStr">
        <is>
          <t>H</t>
        </is>
      </c>
      <c r="J80" s="141" t="inlineStr">
        <is>
          <t>G</t>
        </is>
      </c>
      <c r="K80" s="141" t="inlineStr">
        <is>
          <t>L</t>
        </is>
      </c>
    </row>
    <row r="81" ht="12.75" customHeight="1">
      <c r="A81" s="141" t="n">
        <v>80</v>
      </c>
      <c r="B81" s="141" t="inlineStr">
        <is>
          <t>BDEFGHIK</t>
        </is>
      </c>
      <c r="C81" s="141" t="inlineStr">
        <is>
          <t>B,D,E,F,G,H,I,K</t>
        </is>
      </c>
      <c r="D81" s="141" t="inlineStr">
        <is>
          <t>D</t>
        </is>
      </c>
      <c r="E81" s="141" t="inlineStr">
        <is>
          <t>F</t>
        </is>
      </c>
      <c r="F81" s="141" t="inlineStr">
        <is>
          <t>E</t>
        </is>
      </c>
      <c r="G81" s="141" t="inlineStr">
        <is>
          <t>K</t>
        </is>
      </c>
      <c r="H81" s="141" t="inlineStr">
        <is>
          <t>B</t>
        </is>
      </c>
      <c r="I81" s="141" t="inlineStr">
        <is>
          <t>H</t>
        </is>
      </c>
      <c r="J81" s="141" t="inlineStr">
        <is>
          <t>G</t>
        </is>
      </c>
      <c r="K81" s="141" t="inlineStr">
        <is>
          <t>I</t>
        </is>
      </c>
    </row>
    <row r="82" ht="12.75" customHeight="1">
      <c r="A82" s="141" t="n">
        <v>81</v>
      </c>
      <c r="B82" s="141" t="inlineStr">
        <is>
          <t>BDEFGHIJ</t>
        </is>
      </c>
      <c r="C82" s="141" t="inlineStr">
        <is>
          <t>B,D,E,F,G,H,I,J</t>
        </is>
      </c>
      <c r="D82" s="141" t="inlineStr">
        <is>
          <t>D</t>
        </is>
      </c>
      <c r="E82" s="141" t="inlineStr">
        <is>
          <t>F</t>
        </is>
      </c>
      <c r="F82" s="141" t="inlineStr">
        <is>
          <t>H</t>
        </is>
      </c>
      <c r="G82" s="141" t="inlineStr">
        <is>
          <t>I</t>
        </is>
      </c>
      <c r="H82" s="141" t="inlineStr">
        <is>
          <t>B</t>
        </is>
      </c>
      <c r="I82" s="141" t="inlineStr">
        <is>
          <t>J</t>
        </is>
      </c>
      <c r="J82" s="141" t="inlineStr">
        <is>
          <t>G</t>
        </is>
      </c>
      <c r="K82" s="141" t="inlineStr">
        <is>
          <t>E</t>
        </is>
      </c>
    </row>
    <row r="83" ht="12.75" customHeight="1">
      <c r="A83" s="141" t="n">
        <v>82</v>
      </c>
      <c r="B83" s="141" t="inlineStr">
        <is>
          <t>BCGHIJKL</t>
        </is>
      </c>
      <c r="C83" s="141" t="inlineStr">
        <is>
          <t>B,C,G,H,I,J,K,L</t>
        </is>
      </c>
      <c r="D83" s="141" t="inlineStr">
        <is>
          <t>C</t>
        </is>
      </c>
      <c r="E83" s="141" t="inlineStr">
        <is>
          <t>G</t>
        </is>
      </c>
      <c r="F83" s="141" t="inlineStr">
        <is>
          <t>H</t>
        </is>
      </c>
      <c r="G83" s="141" t="inlineStr">
        <is>
          <t>K</t>
        </is>
      </c>
      <c r="H83" s="141" t="inlineStr">
        <is>
          <t>B</t>
        </is>
      </c>
      <c r="I83" s="141" t="inlineStr">
        <is>
          <t>I</t>
        </is>
      </c>
      <c r="J83" s="141" t="inlineStr">
        <is>
          <t>J</t>
        </is>
      </c>
      <c r="K83" s="141" t="inlineStr">
        <is>
          <t>L</t>
        </is>
      </c>
    </row>
    <row r="84" ht="12.75" customHeight="1">
      <c r="A84" s="141" t="n">
        <v>83</v>
      </c>
      <c r="B84" s="141" t="inlineStr">
        <is>
          <t>BCFHIJKL</t>
        </is>
      </c>
      <c r="C84" s="141" t="inlineStr">
        <is>
          <t>B,C,F,H,I,J,K,L</t>
        </is>
      </c>
      <c r="D84" s="141" t="inlineStr">
        <is>
          <t>C</t>
        </is>
      </c>
      <c r="E84" s="141" t="inlineStr">
        <is>
          <t>F</t>
        </is>
      </c>
      <c r="F84" s="141" t="inlineStr">
        <is>
          <t>H</t>
        </is>
      </c>
      <c r="G84" s="141" t="inlineStr">
        <is>
          <t>K</t>
        </is>
      </c>
      <c r="H84" s="141" t="inlineStr">
        <is>
          <t>B</t>
        </is>
      </c>
      <c r="I84" s="141" t="inlineStr">
        <is>
          <t>I</t>
        </is>
      </c>
      <c r="J84" s="141" t="inlineStr">
        <is>
          <t>J</t>
        </is>
      </c>
      <c r="K84" s="141" t="inlineStr">
        <is>
          <t>L</t>
        </is>
      </c>
    </row>
    <row r="85" ht="12.75" customHeight="1">
      <c r="A85" s="141" t="n">
        <v>84</v>
      </c>
      <c r="B85" s="141" t="inlineStr">
        <is>
          <t>BCFGIJKL</t>
        </is>
      </c>
      <c r="C85" s="141" t="inlineStr">
        <is>
          <t>B,C,F,G,I,J,K,L</t>
        </is>
      </c>
      <c r="D85" s="141" t="inlineStr">
        <is>
          <t>C</t>
        </is>
      </c>
      <c r="E85" s="141" t="inlineStr">
        <is>
          <t>F</t>
        </is>
      </c>
      <c r="F85" s="141" t="inlineStr">
        <is>
          <t>I</t>
        </is>
      </c>
      <c r="G85" s="141" t="inlineStr">
        <is>
          <t>K</t>
        </is>
      </c>
      <c r="H85" s="141" t="inlineStr">
        <is>
          <t>B</t>
        </is>
      </c>
      <c r="I85" s="141" t="inlineStr">
        <is>
          <t>J</t>
        </is>
      </c>
      <c r="J85" s="141" t="inlineStr">
        <is>
          <t>G</t>
        </is>
      </c>
      <c r="K85" s="141" t="inlineStr">
        <is>
          <t>L</t>
        </is>
      </c>
    </row>
    <row r="86" ht="12.75" customHeight="1">
      <c r="A86" s="141" t="n">
        <v>85</v>
      </c>
      <c r="B86" s="141" t="inlineStr">
        <is>
          <t>BCFGHJKL</t>
        </is>
      </c>
      <c r="C86" s="141" t="inlineStr">
        <is>
          <t>B,C,F,G,H,J,K,L</t>
        </is>
      </c>
      <c r="D86" s="141" t="inlineStr">
        <is>
          <t>C</t>
        </is>
      </c>
      <c r="E86" s="141" t="inlineStr">
        <is>
          <t>F</t>
        </is>
      </c>
      <c r="F86" s="141" t="inlineStr">
        <is>
          <t>H</t>
        </is>
      </c>
      <c r="G86" s="141" t="inlineStr">
        <is>
          <t>K</t>
        </is>
      </c>
      <c r="H86" s="141" t="inlineStr">
        <is>
          <t>B</t>
        </is>
      </c>
      <c r="I86" s="141" t="inlineStr">
        <is>
          <t>J</t>
        </is>
      </c>
      <c r="J86" s="141" t="inlineStr">
        <is>
          <t>G</t>
        </is>
      </c>
      <c r="K86" s="141" t="inlineStr">
        <is>
          <t>L</t>
        </is>
      </c>
    </row>
    <row r="87" ht="12.75" customHeight="1">
      <c r="A87" s="141" t="n">
        <v>86</v>
      </c>
      <c r="B87" s="141" t="inlineStr">
        <is>
          <t>BCFGHIKL</t>
        </is>
      </c>
      <c r="C87" s="141" t="inlineStr">
        <is>
          <t>B,C,F,G,H,I,K,L</t>
        </is>
      </c>
      <c r="D87" s="141" t="inlineStr">
        <is>
          <t>C</t>
        </is>
      </c>
      <c r="E87" s="141" t="inlineStr">
        <is>
          <t>F</t>
        </is>
      </c>
      <c r="F87" s="141" t="inlineStr">
        <is>
          <t>H</t>
        </is>
      </c>
      <c r="G87" s="141" t="inlineStr">
        <is>
          <t>K</t>
        </is>
      </c>
      <c r="H87" s="141" t="inlineStr">
        <is>
          <t>B</t>
        </is>
      </c>
      <c r="I87" s="141" t="inlineStr">
        <is>
          <t>I</t>
        </is>
      </c>
      <c r="J87" s="141" t="inlineStr">
        <is>
          <t>G</t>
        </is>
      </c>
      <c r="K87" s="141" t="inlineStr">
        <is>
          <t>L</t>
        </is>
      </c>
    </row>
    <row r="88" ht="12.75" customHeight="1">
      <c r="A88" s="141" t="n">
        <v>87</v>
      </c>
      <c r="B88" s="141" t="inlineStr">
        <is>
          <t>BCFGHIJL</t>
        </is>
      </c>
      <c r="C88" s="141" t="inlineStr">
        <is>
          <t>B,C,F,G,H,I,J,L</t>
        </is>
      </c>
      <c r="D88" s="141" t="inlineStr">
        <is>
          <t>C</t>
        </is>
      </c>
      <c r="E88" s="141" t="inlineStr">
        <is>
          <t>F</t>
        </is>
      </c>
      <c r="F88" s="141" t="inlineStr">
        <is>
          <t>H</t>
        </is>
      </c>
      <c r="G88" s="141" t="inlineStr">
        <is>
          <t>I</t>
        </is>
      </c>
      <c r="H88" s="141" t="inlineStr">
        <is>
          <t>B</t>
        </is>
      </c>
      <c r="I88" s="141" t="inlineStr">
        <is>
          <t>J</t>
        </is>
      </c>
      <c r="J88" s="141" t="inlineStr">
        <is>
          <t>G</t>
        </is>
      </c>
      <c r="K88" s="141" t="inlineStr">
        <is>
          <t>L</t>
        </is>
      </c>
    </row>
    <row r="89" ht="12.75" customHeight="1">
      <c r="A89" s="141" t="n">
        <v>88</v>
      </c>
      <c r="B89" s="141" t="inlineStr">
        <is>
          <t>BCFGHIJK</t>
        </is>
      </c>
      <c r="C89" s="141" t="inlineStr">
        <is>
          <t>B,C,F,G,H,I,J,K</t>
        </is>
      </c>
      <c r="D89" s="141" t="inlineStr">
        <is>
          <t>C</t>
        </is>
      </c>
      <c r="E89" s="141" t="inlineStr">
        <is>
          <t>F</t>
        </is>
      </c>
      <c r="F89" s="141" t="inlineStr">
        <is>
          <t>H</t>
        </is>
      </c>
      <c r="G89" s="141" t="inlineStr">
        <is>
          <t>K</t>
        </is>
      </c>
      <c r="H89" s="141" t="inlineStr">
        <is>
          <t>B</t>
        </is>
      </c>
      <c r="I89" s="141" t="inlineStr">
        <is>
          <t>J</t>
        </is>
      </c>
      <c r="J89" s="141" t="inlineStr">
        <is>
          <t>G</t>
        </is>
      </c>
      <c r="K89" s="141" t="inlineStr">
        <is>
          <t>I</t>
        </is>
      </c>
    </row>
    <row r="90" ht="12.75" customHeight="1">
      <c r="A90" s="141" t="n">
        <v>89</v>
      </c>
      <c r="B90" s="141" t="inlineStr">
        <is>
          <t>BCEHIJKL</t>
        </is>
      </c>
      <c r="C90" s="141" t="inlineStr">
        <is>
          <t>B,C,E,H,I,J,K,L</t>
        </is>
      </c>
      <c r="D90" s="141" t="inlineStr">
        <is>
          <t>C</t>
        </is>
      </c>
      <c r="E90" s="141" t="inlineStr">
        <is>
          <t>H</t>
        </is>
      </c>
      <c r="F90" s="141" t="inlineStr">
        <is>
          <t>E</t>
        </is>
      </c>
      <c r="G90" s="141" t="inlineStr">
        <is>
          <t>K</t>
        </is>
      </c>
      <c r="H90" s="141" t="inlineStr">
        <is>
          <t>B</t>
        </is>
      </c>
      <c r="I90" s="141" t="inlineStr">
        <is>
          <t>I</t>
        </is>
      </c>
      <c r="J90" s="141" t="inlineStr">
        <is>
          <t>J</t>
        </is>
      </c>
      <c r="K90" s="141" t="inlineStr">
        <is>
          <t>L</t>
        </is>
      </c>
    </row>
    <row r="91" ht="12.75" customHeight="1">
      <c r="A91" s="141" t="n">
        <v>90</v>
      </c>
      <c r="B91" s="141" t="inlineStr">
        <is>
          <t>BCEGIJKL</t>
        </is>
      </c>
      <c r="C91" s="141" t="inlineStr">
        <is>
          <t>B,C,E,G,I,J,K,L</t>
        </is>
      </c>
      <c r="D91" s="141" t="inlineStr">
        <is>
          <t>C</t>
        </is>
      </c>
      <c r="E91" s="141" t="inlineStr">
        <is>
          <t>G</t>
        </is>
      </c>
      <c r="F91" s="141" t="inlineStr">
        <is>
          <t>E</t>
        </is>
      </c>
      <c r="G91" s="141" t="inlineStr">
        <is>
          <t>K</t>
        </is>
      </c>
      <c r="H91" s="141" t="inlineStr">
        <is>
          <t>B</t>
        </is>
      </c>
      <c r="I91" s="141" t="inlineStr">
        <is>
          <t>I</t>
        </is>
      </c>
      <c r="J91" s="141" t="inlineStr">
        <is>
          <t>J</t>
        </is>
      </c>
      <c r="K91" s="141" t="inlineStr">
        <is>
          <t>L</t>
        </is>
      </c>
    </row>
    <row r="92" ht="12.75" customHeight="1">
      <c r="A92" s="141" t="n">
        <v>91</v>
      </c>
      <c r="B92" s="141" t="inlineStr">
        <is>
          <t>BCEGHJKL</t>
        </is>
      </c>
      <c r="C92" s="141" t="inlineStr">
        <is>
          <t>B,C,E,G,H,J,K,L</t>
        </is>
      </c>
      <c r="D92" s="141" t="inlineStr">
        <is>
          <t>C</t>
        </is>
      </c>
      <c r="E92" s="141" t="inlineStr">
        <is>
          <t>G</t>
        </is>
      </c>
      <c r="F92" s="141" t="inlineStr">
        <is>
          <t>E</t>
        </is>
      </c>
      <c r="G92" s="141" t="inlineStr">
        <is>
          <t>K</t>
        </is>
      </c>
      <c r="H92" s="141" t="inlineStr">
        <is>
          <t>B</t>
        </is>
      </c>
      <c r="I92" s="141" t="inlineStr">
        <is>
          <t>H</t>
        </is>
      </c>
      <c r="J92" s="141" t="inlineStr">
        <is>
          <t>J</t>
        </is>
      </c>
      <c r="K92" s="141" t="inlineStr">
        <is>
          <t>L</t>
        </is>
      </c>
    </row>
    <row r="93" ht="12.75" customHeight="1">
      <c r="A93" s="141" t="n">
        <v>92</v>
      </c>
      <c r="B93" s="141" t="inlineStr">
        <is>
          <t>BCEGHIKL</t>
        </is>
      </c>
      <c r="C93" s="141" t="inlineStr">
        <is>
          <t>B,C,E,G,H,I,K,L</t>
        </is>
      </c>
      <c r="D93" s="141" t="inlineStr">
        <is>
          <t>C</t>
        </is>
      </c>
      <c r="E93" s="141" t="inlineStr">
        <is>
          <t>H</t>
        </is>
      </c>
      <c r="F93" s="141" t="inlineStr">
        <is>
          <t>E</t>
        </is>
      </c>
      <c r="G93" s="141" t="inlineStr">
        <is>
          <t>K</t>
        </is>
      </c>
      <c r="H93" s="141" t="inlineStr">
        <is>
          <t>B</t>
        </is>
      </c>
      <c r="I93" s="141" t="inlineStr">
        <is>
          <t>I</t>
        </is>
      </c>
      <c r="J93" s="141" t="inlineStr">
        <is>
          <t>G</t>
        </is>
      </c>
      <c r="K93" s="141" t="inlineStr">
        <is>
          <t>L</t>
        </is>
      </c>
    </row>
    <row r="94" ht="12.75" customHeight="1">
      <c r="A94" s="141" t="n">
        <v>93</v>
      </c>
      <c r="B94" s="141" t="inlineStr">
        <is>
          <t>BCEGHIJL</t>
        </is>
      </c>
      <c r="C94" s="141" t="inlineStr">
        <is>
          <t>B,C,E,G,H,I,J,L</t>
        </is>
      </c>
      <c r="D94" s="141" t="inlineStr">
        <is>
          <t>C</t>
        </is>
      </c>
      <c r="E94" s="141" t="inlineStr">
        <is>
          <t>G</t>
        </is>
      </c>
      <c r="F94" s="141" t="inlineStr">
        <is>
          <t>E</t>
        </is>
      </c>
      <c r="G94" s="141" t="inlineStr">
        <is>
          <t>I</t>
        </is>
      </c>
      <c r="H94" s="141" t="inlineStr">
        <is>
          <t>B</t>
        </is>
      </c>
      <c r="I94" s="141" t="inlineStr">
        <is>
          <t>H</t>
        </is>
      </c>
      <c r="J94" s="141" t="inlineStr">
        <is>
          <t>J</t>
        </is>
      </c>
      <c r="K94" s="141" t="inlineStr">
        <is>
          <t>L</t>
        </is>
      </c>
    </row>
    <row r="95" ht="12.75" customHeight="1">
      <c r="A95" s="141" t="n">
        <v>94</v>
      </c>
      <c r="B95" s="141" t="inlineStr">
        <is>
          <t>BCEGHIJK</t>
        </is>
      </c>
      <c r="C95" s="141" t="inlineStr">
        <is>
          <t>B,C,E,G,H,I,J,K</t>
        </is>
      </c>
      <c r="D95" s="141" t="inlineStr">
        <is>
          <t>C</t>
        </is>
      </c>
      <c r="E95" s="141" t="inlineStr">
        <is>
          <t>G</t>
        </is>
      </c>
      <c r="F95" s="141" t="inlineStr">
        <is>
          <t>E</t>
        </is>
      </c>
      <c r="G95" s="141" t="inlineStr">
        <is>
          <t>K</t>
        </is>
      </c>
      <c r="H95" s="141" t="inlineStr">
        <is>
          <t>B</t>
        </is>
      </c>
      <c r="I95" s="141" t="inlineStr">
        <is>
          <t>H</t>
        </is>
      </c>
      <c r="J95" s="141" t="inlineStr">
        <is>
          <t>J</t>
        </is>
      </c>
      <c r="K95" s="141" t="inlineStr">
        <is>
          <t>I</t>
        </is>
      </c>
    </row>
    <row r="96" ht="12.75" customHeight="1">
      <c r="A96" s="141" t="n">
        <v>95</v>
      </c>
      <c r="B96" s="141" t="inlineStr">
        <is>
          <t>BCEFIJKL</t>
        </is>
      </c>
      <c r="C96" s="141" t="inlineStr">
        <is>
          <t>B,C,E,F,I,J,K,L</t>
        </is>
      </c>
      <c r="D96" s="141" t="inlineStr">
        <is>
          <t>C</t>
        </is>
      </c>
      <c r="E96" s="141" t="inlineStr">
        <is>
          <t>F</t>
        </is>
      </c>
      <c r="F96" s="141" t="inlineStr">
        <is>
          <t>E</t>
        </is>
      </c>
      <c r="G96" s="141" t="inlineStr">
        <is>
          <t>K</t>
        </is>
      </c>
      <c r="H96" s="141" t="inlineStr">
        <is>
          <t>B</t>
        </is>
      </c>
      <c r="I96" s="141" t="inlineStr">
        <is>
          <t>I</t>
        </is>
      </c>
      <c r="J96" s="141" t="inlineStr">
        <is>
          <t>J</t>
        </is>
      </c>
      <c r="K96" s="141" t="inlineStr">
        <is>
          <t>L</t>
        </is>
      </c>
    </row>
    <row r="97" ht="12.75" customHeight="1">
      <c r="A97" s="141" t="n">
        <v>96</v>
      </c>
      <c r="B97" s="141" t="inlineStr">
        <is>
          <t>BCEFHJKL</t>
        </is>
      </c>
      <c r="C97" s="141" t="inlineStr">
        <is>
          <t>B,C,E,F,H,J,K,L</t>
        </is>
      </c>
      <c r="D97" s="141" t="inlineStr">
        <is>
          <t>C</t>
        </is>
      </c>
      <c r="E97" s="141" t="inlineStr">
        <is>
          <t>F</t>
        </is>
      </c>
      <c r="F97" s="141" t="inlineStr">
        <is>
          <t>E</t>
        </is>
      </c>
      <c r="G97" s="141" t="inlineStr">
        <is>
          <t>K</t>
        </is>
      </c>
      <c r="H97" s="141" t="inlineStr">
        <is>
          <t>B</t>
        </is>
      </c>
      <c r="I97" s="141" t="inlineStr">
        <is>
          <t>H</t>
        </is>
      </c>
      <c r="J97" s="141" t="inlineStr">
        <is>
          <t>J</t>
        </is>
      </c>
      <c r="K97" s="141" t="inlineStr">
        <is>
          <t>L</t>
        </is>
      </c>
    </row>
    <row r="98" ht="12.75" customHeight="1">
      <c r="A98" s="141" t="n">
        <v>97</v>
      </c>
      <c r="B98" s="141" t="inlineStr">
        <is>
          <t>BCEFHIKL</t>
        </is>
      </c>
      <c r="C98" s="141" t="inlineStr">
        <is>
          <t>B,C,E,F,H,I,K,L</t>
        </is>
      </c>
      <c r="D98" s="141" t="inlineStr">
        <is>
          <t>C</t>
        </is>
      </c>
      <c r="E98" s="141" t="inlineStr">
        <is>
          <t>F</t>
        </is>
      </c>
      <c r="F98" s="141" t="inlineStr">
        <is>
          <t>E</t>
        </is>
      </c>
      <c r="G98" s="141" t="inlineStr">
        <is>
          <t>K</t>
        </is>
      </c>
      <c r="H98" s="141" t="inlineStr">
        <is>
          <t>B</t>
        </is>
      </c>
      <c r="I98" s="141" t="inlineStr">
        <is>
          <t>H</t>
        </is>
      </c>
      <c r="J98" s="141" t="inlineStr">
        <is>
          <t>I</t>
        </is>
      </c>
      <c r="K98" s="141" t="inlineStr">
        <is>
          <t>L</t>
        </is>
      </c>
    </row>
    <row r="99" ht="12.75" customHeight="1">
      <c r="A99" s="141" t="n">
        <v>98</v>
      </c>
      <c r="B99" s="141" t="inlineStr">
        <is>
          <t>BCEFHIJL</t>
        </is>
      </c>
      <c r="C99" s="141" t="inlineStr">
        <is>
          <t>B,C,E,F,H,I,J,L</t>
        </is>
      </c>
      <c r="D99" s="141" t="inlineStr">
        <is>
          <t>C</t>
        </is>
      </c>
      <c r="E99" s="141" t="inlineStr">
        <is>
          <t>F</t>
        </is>
      </c>
      <c r="F99" s="141" t="inlineStr">
        <is>
          <t>E</t>
        </is>
      </c>
      <c r="G99" s="141" t="inlineStr">
        <is>
          <t>I</t>
        </is>
      </c>
      <c r="H99" s="141" t="inlineStr">
        <is>
          <t>B</t>
        </is>
      </c>
      <c r="I99" s="141" t="inlineStr">
        <is>
          <t>H</t>
        </is>
      </c>
      <c r="J99" s="141" t="inlineStr">
        <is>
          <t>J</t>
        </is>
      </c>
      <c r="K99" s="141" t="inlineStr">
        <is>
          <t>L</t>
        </is>
      </c>
    </row>
    <row r="100" ht="12.75" customHeight="1">
      <c r="A100" s="141" t="n">
        <v>99</v>
      </c>
      <c r="B100" s="141" t="inlineStr">
        <is>
          <t>BCEFHIJK</t>
        </is>
      </c>
      <c r="C100" s="141" t="inlineStr">
        <is>
          <t>B,C,E,F,H,I,J,K</t>
        </is>
      </c>
      <c r="D100" s="141" t="inlineStr">
        <is>
          <t>C</t>
        </is>
      </c>
      <c r="E100" s="141" t="inlineStr">
        <is>
          <t>F</t>
        </is>
      </c>
      <c r="F100" s="141" t="inlineStr">
        <is>
          <t>E</t>
        </is>
      </c>
      <c r="G100" s="141" t="inlineStr">
        <is>
          <t>K</t>
        </is>
      </c>
      <c r="H100" s="141" t="inlineStr">
        <is>
          <t>B</t>
        </is>
      </c>
      <c r="I100" s="141" t="inlineStr">
        <is>
          <t>H</t>
        </is>
      </c>
      <c r="J100" s="141" t="inlineStr">
        <is>
          <t>J</t>
        </is>
      </c>
      <c r="K100" s="141" t="inlineStr">
        <is>
          <t>I</t>
        </is>
      </c>
    </row>
    <row r="101" ht="12.75" customHeight="1">
      <c r="A101" s="141" t="n">
        <v>100</v>
      </c>
      <c r="B101" s="141" t="inlineStr">
        <is>
          <t>BCEFGJKL</t>
        </is>
      </c>
      <c r="C101" s="141" t="inlineStr">
        <is>
          <t>B,C,E,F,G,J,K,L</t>
        </is>
      </c>
      <c r="D101" s="141" t="inlineStr">
        <is>
          <t>C</t>
        </is>
      </c>
      <c r="E101" s="141" t="inlineStr">
        <is>
          <t>F</t>
        </is>
      </c>
      <c r="F101" s="141" t="inlineStr">
        <is>
          <t>E</t>
        </is>
      </c>
      <c r="G101" s="141" t="inlineStr">
        <is>
          <t>K</t>
        </is>
      </c>
      <c r="H101" s="141" t="inlineStr">
        <is>
          <t>B</t>
        </is>
      </c>
      <c r="I101" s="141" t="inlineStr">
        <is>
          <t>J</t>
        </is>
      </c>
      <c r="J101" s="141" t="inlineStr">
        <is>
          <t>G</t>
        </is>
      </c>
      <c r="K101" s="141" t="inlineStr">
        <is>
          <t>L</t>
        </is>
      </c>
    </row>
    <row r="102" ht="12.75" customHeight="1">
      <c r="A102" s="141" t="n">
        <v>101</v>
      </c>
      <c r="B102" s="141" t="inlineStr">
        <is>
          <t>BCEFGIKL</t>
        </is>
      </c>
      <c r="C102" s="141" t="inlineStr">
        <is>
          <t>B,C,E,F,G,I,K,L</t>
        </is>
      </c>
      <c r="D102" s="141" t="inlineStr">
        <is>
          <t>C</t>
        </is>
      </c>
      <c r="E102" s="141" t="inlineStr">
        <is>
          <t>F</t>
        </is>
      </c>
      <c r="F102" s="141" t="inlineStr">
        <is>
          <t>E</t>
        </is>
      </c>
      <c r="G102" s="141" t="inlineStr">
        <is>
          <t>K</t>
        </is>
      </c>
      <c r="H102" s="141" t="inlineStr">
        <is>
          <t>B</t>
        </is>
      </c>
      <c r="I102" s="141" t="inlineStr">
        <is>
          <t>I</t>
        </is>
      </c>
      <c r="J102" s="141" t="inlineStr">
        <is>
          <t>G</t>
        </is>
      </c>
      <c r="K102" s="141" t="inlineStr">
        <is>
          <t>L</t>
        </is>
      </c>
    </row>
    <row r="103" ht="12.75" customHeight="1">
      <c r="A103" s="141" t="n">
        <v>102</v>
      </c>
      <c r="B103" s="141" t="inlineStr">
        <is>
          <t>BCEFGIJL</t>
        </is>
      </c>
      <c r="C103" s="141" t="inlineStr">
        <is>
          <t>B,C,E,F,G,I,J,L</t>
        </is>
      </c>
      <c r="D103" s="141" t="inlineStr">
        <is>
          <t>C</t>
        </is>
      </c>
      <c r="E103" s="141" t="inlineStr">
        <is>
          <t>F</t>
        </is>
      </c>
      <c r="F103" s="141" t="inlineStr">
        <is>
          <t>E</t>
        </is>
      </c>
      <c r="G103" s="141" t="inlineStr">
        <is>
          <t>I</t>
        </is>
      </c>
      <c r="H103" s="141" t="inlineStr">
        <is>
          <t>B</t>
        </is>
      </c>
      <c r="I103" s="141" t="inlineStr">
        <is>
          <t>J</t>
        </is>
      </c>
      <c r="J103" s="141" t="inlineStr">
        <is>
          <t>G</t>
        </is>
      </c>
      <c r="K103" s="141" t="inlineStr">
        <is>
          <t>L</t>
        </is>
      </c>
    </row>
    <row r="104" ht="12.75" customHeight="1">
      <c r="A104" s="141" t="n">
        <v>103</v>
      </c>
      <c r="B104" s="141" t="inlineStr">
        <is>
          <t>BCEFGIJK</t>
        </is>
      </c>
      <c r="C104" s="141" t="inlineStr">
        <is>
          <t>B,C,E,F,G,I,J,K</t>
        </is>
      </c>
      <c r="D104" s="141" t="inlineStr">
        <is>
          <t>C</t>
        </is>
      </c>
      <c r="E104" s="141" t="inlineStr">
        <is>
          <t>F</t>
        </is>
      </c>
      <c r="F104" s="141" t="inlineStr">
        <is>
          <t>E</t>
        </is>
      </c>
      <c r="G104" s="141" t="inlineStr">
        <is>
          <t>K</t>
        </is>
      </c>
      <c r="H104" s="141" t="inlineStr">
        <is>
          <t>B</t>
        </is>
      </c>
      <c r="I104" s="141" t="inlineStr">
        <is>
          <t>J</t>
        </is>
      </c>
      <c r="J104" s="141" t="inlineStr">
        <is>
          <t>G</t>
        </is>
      </c>
      <c r="K104" s="141" t="inlineStr">
        <is>
          <t>I</t>
        </is>
      </c>
    </row>
    <row r="105" ht="12.75" customHeight="1">
      <c r="A105" s="141" t="n">
        <v>104</v>
      </c>
      <c r="B105" s="141" t="inlineStr">
        <is>
          <t>BCEFGHKL</t>
        </is>
      </c>
      <c r="C105" s="141" t="inlineStr">
        <is>
          <t>B,C,E,F,G,H,K,L</t>
        </is>
      </c>
      <c r="D105" s="141" t="inlineStr">
        <is>
          <t>C</t>
        </is>
      </c>
      <c r="E105" s="141" t="inlineStr">
        <is>
          <t>F</t>
        </is>
      </c>
      <c r="F105" s="141" t="inlineStr">
        <is>
          <t>E</t>
        </is>
      </c>
      <c r="G105" s="141" t="inlineStr">
        <is>
          <t>K</t>
        </is>
      </c>
      <c r="H105" s="141" t="inlineStr">
        <is>
          <t>B</t>
        </is>
      </c>
      <c r="I105" s="141" t="inlineStr">
        <is>
          <t>H</t>
        </is>
      </c>
      <c r="J105" s="141" t="inlineStr">
        <is>
          <t>G</t>
        </is>
      </c>
      <c r="K105" s="141" t="inlineStr">
        <is>
          <t>L</t>
        </is>
      </c>
    </row>
    <row r="106" ht="12.75" customHeight="1">
      <c r="A106" s="141" t="n">
        <v>105</v>
      </c>
      <c r="B106" s="141" t="inlineStr">
        <is>
          <t>BCEFGHJL</t>
        </is>
      </c>
      <c r="C106" s="141" t="inlineStr">
        <is>
          <t>B,C,E,F,G,H,J,L</t>
        </is>
      </c>
      <c r="D106" s="141" t="inlineStr">
        <is>
          <t>C</t>
        </is>
      </c>
      <c r="E106" s="141" t="inlineStr">
        <is>
          <t>F</t>
        </is>
      </c>
      <c r="F106" s="141" t="inlineStr">
        <is>
          <t>H</t>
        </is>
      </c>
      <c r="G106" s="141" t="inlineStr">
        <is>
          <t>E</t>
        </is>
      </c>
      <c r="H106" s="141" t="inlineStr">
        <is>
          <t>B</t>
        </is>
      </c>
      <c r="I106" s="141" t="inlineStr">
        <is>
          <t>J</t>
        </is>
      </c>
      <c r="J106" s="141" t="inlineStr">
        <is>
          <t>G</t>
        </is>
      </c>
      <c r="K106" s="141" t="inlineStr">
        <is>
          <t>L</t>
        </is>
      </c>
    </row>
    <row r="107" ht="12.75" customHeight="1">
      <c r="A107" s="141" t="n">
        <v>106</v>
      </c>
      <c r="B107" s="141" t="inlineStr">
        <is>
          <t>BCEFGHJK</t>
        </is>
      </c>
      <c r="C107" s="141" t="inlineStr">
        <is>
          <t>B,C,E,F,G,H,J,K</t>
        </is>
      </c>
      <c r="D107" s="141" t="inlineStr">
        <is>
          <t>C</t>
        </is>
      </c>
      <c r="E107" s="141" t="inlineStr">
        <is>
          <t>F</t>
        </is>
      </c>
      <c r="F107" s="141" t="inlineStr">
        <is>
          <t>H</t>
        </is>
      </c>
      <c r="G107" s="141" t="inlineStr">
        <is>
          <t>K</t>
        </is>
      </c>
      <c r="H107" s="141" t="inlineStr">
        <is>
          <t>B</t>
        </is>
      </c>
      <c r="I107" s="141" t="inlineStr">
        <is>
          <t>J</t>
        </is>
      </c>
      <c r="J107" s="141" t="inlineStr">
        <is>
          <t>G</t>
        </is>
      </c>
      <c r="K107" s="141" t="inlineStr">
        <is>
          <t>E</t>
        </is>
      </c>
    </row>
    <row r="108" ht="12.75" customHeight="1">
      <c r="A108" s="141" t="n">
        <v>107</v>
      </c>
      <c r="B108" s="141" t="inlineStr">
        <is>
          <t>BCEFGHIL</t>
        </is>
      </c>
      <c r="C108" s="141" t="inlineStr">
        <is>
          <t>B,C,E,F,G,H,I,L</t>
        </is>
      </c>
      <c r="D108" s="141" t="inlineStr">
        <is>
          <t>C</t>
        </is>
      </c>
      <c r="E108" s="141" t="inlineStr">
        <is>
          <t>F</t>
        </is>
      </c>
      <c r="F108" s="141" t="inlineStr">
        <is>
          <t>E</t>
        </is>
      </c>
      <c r="G108" s="141" t="inlineStr">
        <is>
          <t>I</t>
        </is>
      </c>
      <c r="H108" s="141" t="inlineStr">
        <is>
          <t>B</t>
        </is>
      </c>
      <c r="I108" s="141" t="inlineStr">
        <is>
          <t>H</t>
        </is>
      </c>
      <c r="J108" s="141" t="inlineStr">
        <is>
          <t>G</t>
        </is>
      </c>
      <c r="K108" s="141" t="inlineStr">
        <is>
          <t>L</t>
        </is>
      </c>
    </row>
    <row r="109" ht="12.75" customHeight="1">
      <c r="A109" s="141" t="n">
        <v>108</v>
      </c>
      <c r="B109" s="141" t="inlineStr">
        <is>
          <t>BCEFGHIK</t>
        </is>
      </c>
      <c r="C109" s="141" t="inlineStr">
        <is>
          <t>B,C,E,F,G,H,I,K</t>
        </is>
      </c>
      <c r="D109" s="141" t="inlineStr">
        <is>
          <t>C</t>
        </is>
      </c>
      <c r="E109" s="141" t="inlineStr">
        <is>
          <t>F</t>
        </is>
      </c>
      <c r="F109" s="141" t="inlineStr">
        <is>
          <t>E</t>
        </is>
      </c>
      <c r="G109" s="141" t="inlineStr">
        <is>
          <t>K</t>
        </is>
      </c>
      <c r="H109" s="141" t="inlineStr">
        <is>
          <t>B</t>
        </is>
      </c>
      <c r="I109" s="141" t="inlineStr">
        <is>
          <t>H</t>
        </is>
      </c>
      <c r="J109" s="141" t="inlineStr">
        <is>
          <t>G</t>
        </is>
      </c>
      <c r="K109" s="141" t="inlineStr">
        <is>
          <t>I</t>
        </is>
      </c>
    </row>
    <row r="110" ht="12.75" customHeight="1">
      <c r="A110" s="141" t="n">
        <v>109</v>
      </c>
      <c r="B110" s="141" t="inlineStr">
        <is>
          <t>BCEFGHIJ</t>
        </is>
      </c>
      <c r="C110" s="141" t="inlineStr">
        <is>
          <t>B,C,E,F,G,H,I,J</t>
        </is>
      </c>
      <c r="D110" s="141" t="inlineStr">
        <is>
          <t>C</t>
        </is>
      </c>
      <c r="E110" s="141" t="inlineStr">
        <is>
          <t>F</t>
        </is>
      </c>
      <c r="F110" s="141" t="inlineStr">
        <is>
          <t>H</t>
        </is>
      </c>
      <c r="G110" s="141" t="inlineStr">
        <is>
          <t>I</t>
        </is>
      </c>
      <c r="H110" s="141" t="inlineStr">
        <is>
          <t>B</t>
        </is>
      </c>
      <c r="I110" s="141" t="inlineStr">
        <is>
          <t>J</t>
        </is>
      </c>
      <c r="J110" s="141" t="inlineStr">
        <is>
          <t>G</t>
        </is>
      </c>
      <c r="K110" s="141" t="inlineStr">
        <is>
          <t>E</t>
        </is>
      </c>
    </row>
    <row r="111" ht="12.75" customHeight="1">
      <c r="A111" s="141" t="n">
        <v>110</v>
      </c>
      <c r="B111" s="141" t="inlineStr">
        <is>
          <t>BCDHIJKL</t>
        </is>
      </c>
      <c r="C111" s="141" t="inlineStr">
        <is>
          <t>B,C,D,H,I,J,K,L</t>
        </is>
      </c>
      <c r="D111" s="141" t="inlineStr">
        <is>
          <t>C</t>
        </is>
      </c>
      <c r="E111" s="141" t="inlineStr">
        <is>
          <t>D</t>
        </is>
      </c>
      <c r="F111" s="141" t="inlineStr">
        <is>
          <t>H</t>
        </is>
      </c>
      <c r="G111" s="141" t="inlineStr">
        <is>
          <t>K</t>
        </is>
      </c>
      <c r="H111" s="141" t="inlineStr">
        <is>
          <t>B</t>
        </is>
      </c>
      <c r="I111" s="141" t="inlineStr">
        <is>
          <t>I</t>
        </is>
      </c>
      <c r="J111" s="141" t="inlineStr">
        <is>
          <t>J</t>
        </is>
      </c>
      <c r="K111" s="141" t="inlineStr">
        <is>
          <t>L</t>
        </is>
      </c>
    </row>
    <row r="112" ht="12.75" customHeight="1">
      <c r="A112" s="141" t="n">
        <v>111</v>
      </c>
      <c r="B112" s="141" t="inlineStr">
        <is>
          <t>BCDGIJKL</t>
        </is>
      </c>
      <c r="C112" s="141" t="inlineStr">
        <is>
          <t>B,C,D,G,I,J,K,L</t>
        </is>
      </c>
      <c r="D112" s="141" t="inlineStr">
        <is>
          <t>C</t>
        </is>
      </c>
      <c r="E112" s="141" t="inlineStr">
        <is>
          <t>D</t>
        </is>
      </c>
      <c r="F112" s="141" t="inlineStr">
        <is>
          <t>I</t>
        </is>
      </c>
      <c r="G112" s="141" t="inlineStr">
        <is>
          <t>K</t>
        </is>
      </c>
      <c r="H112" s="141" t="inlineStr">
        <is>
          <t>B</t>
        </is>
      </c>
      <c r="I112" s="141" t="inlineStr">
        <is>
          <t>J</t>
        </is>
      </c>
      <c r="J112" s="141" t="inlineStr">
        <is>
          <t>G</t>
        </is>
      </c>
      <c r="K112" s="141" t="inlineStr">
        <is>
          <t>L</t>
        </is>
      </c>
    </row>
    <row r="113" ht="12.75" customHeight="1">
      <c r="A113" s="141" t="n">
        <v>112</v>
      </c>
      <c r="B113" s="141" t="inlineStr">
        <is>
          <t>BCDGHJKL</t>
        </is>
      </c>
      <c r="C113" s="141" t="inlineStr">
        <is>
          <t>B,C,D,G,H,J,K,L</t>
        </is>
      </c>
      <c r="D113" s="141" t="inlineStr">
        <is>
          <t>C</t>
        </is>
      </c>
      <c r="E113" s="141" t="inlineStr">
        <is>
          <t>D</t>
        </is>
      </c>
      <c r="F113" s="141" t="inlineStr">
        <is>
          <t>H</t>
        </is>
      </c>
      <c r="G113" s="141" t="inlineStr">
        <is>
          <t>K</t>
        </is>
      </c>
      <c r="H113" s="141" t="inlineStr">
        <is>
          <t>B</t>
        </is>
      </c>
      <c r="I113" s="141" t="inlineStr">
        <is>
          <t>J</t>
        </is>
      </c>
      <c r="J113" s="141" t="inlineStr">
        <is>
          <t>G</t>
        </is>
      </c>
      <c r="K113" s="141" t="inlineStr">
        <is>
          <t>L</t>
        </is>
      </c>
    </row>
    <row r="114" ht="12.75" customHeight="1">
      <c r="A114" s="141" t="n">
        <v>113</v>
      </c>
      <c r="B114" s="141" t="inlineStr">
        <is>
          <t>BCDGHIKL</t>
        </is>
      </c>
      <c r="C114" s="141" t="inlineStr">
        <is>
          <t>B,C,D,G,H,I,K,L</t>
        </is>
      </c>
      <c r="D114" s="141" t="inlineStr">
        <is>
          <t>C</t>
        </is>
      </c>
      <c r="E114" s="141" t="inlineStr">
        <is>
          <t>D</t>
        </is>
      </c>
      <c r="F114" s="141" t="inlineStr">
        <is>
          <t>H</t>
        </is>
      </c>
      <c r="G114" s="141" t="inlineStr">
        <is>
          <t>K</t>
        </is>
      </c>
      <c r="H114" s="141" t="inlineStr">
        <is>
          <t>B</t>
        </is>
      </c>
      <c r="I114" s="141" t="inlineStr">
        <is>
          <t>I</t>
        </is>
      </c>
      <c r="J114" s="141" t="inlineStr">
        <is>
          <t>G</t>
        </is>
      </c>
      <c r="K114" s="141" t="inlineStr">
        <is>
          <t>L</t>
        </is>
      </c>
    </row>
    <row r="115" ht="12.75" customHeight="1">
      <c r="A115" s="141" t="n">
        <v>114</v>
      </c>
      <c r="B115" s="141" t="inlineStr">
        <is>
          <t>BCDGHIJL</t>
        </is>
      </c>
      <c r="C115" s="141" t="inlineStr">
        <is>
          <t>B,C,D,G,H,I,J,L</t>
        </is>
      </c>
      <c r="D115" s="141" t="inlineStr">
        <is>
          <t>C</t>
        </is>
      </c>
      <c r="E115" s="141" t="inlineStr">
        <is>
          <t>D</t>
        </is>
      </c>
      <c r="F115" s="141" t="inlineStr">
        <is>
          <t>H</t>
        </is>
      </c>
      <c r="G115" s="141" t="inlineStr">
        <is>
          <t>I</t>
        </is>
      </c>
      <c r="H115" s="141" t="inlineStr">
        <is>
          <t>B</t>
        </is>
      </c>
      <c r="I115" s="141" t="inlineStr">
        <is>
          <t>J</t>
        </is>
      </c>
      <c r="J115" s="141" t="inlineStr">
        <is>
          <t>G</t>
        </is>
      </c>
      <c r="K115" s="141" t="inlineStr">
        <is>
          <t>L</t>
        </is>
      </c>
    </row>
    <row r="116" ht="12.75" customHeight="1">
      <c r="A116" s="141" t="n">
        <v>115</v>
      </c>
      <c r="B116" s="141" t="inlineStr">
        <is>
          <t>BCDGHIJK</t>
        </is>
      </c>
      <c r="C116" s="141" t="inlineStr">
        <is>
          <t>B,C,D,G,H,I,J,K</t>
        </is>
      </c>
      <c r="D116" s="141" t="inlineStr">
        <is>
          <t>C</t>
        </is>
      </c>
      <c r="E116" s="141" t="inlineStr">
        <is>
          <t>D</t>
        </is>
      </c>
      <c r="F116" s="141" t="inlineStr">
        <is>
          <t>H</t>
        </is>
      </c>
      <c r="G116" s="141" t="inlineStr">
        <is>
          <t>K</t>
        </is>
      </c>
      <c r="H116" s="141" t="inlineStr">
        <is>
          <t>B</t>
        </is>
      </c>
      <c r="I116" s="141" t="inlineStr">
        <is>
          <t>J</t>
        </is>
      </c>
      <c r="J116" s="141" t="inlineStr">
        <is>
          <t>G</t>
        </is>
      </c>
      <c r="K116" s="141" t="inlineStr">
        <is>
          <t>I</t>
        </is>
      </c>
    </row>
    <row r="117" ht="12.75" customHeight="1">
      <c r="A117" s="141" t="n">
        <v>116</v>
      </c>
      <c r="B117" s="141" t="inlineStr">
        <is>
          <t>BCDFIJKL</t>
        </is>
      </c>
      <c r="C117" s="141" t="inlineStr">
        <is>
          <t>B,C,D,F,I,J,K,L</t>
        </is>
      </c>
      <c r="D117" s="141" t="inlineStr">
        <is>
          <t>D</t>
        </is>
      </c>
      <c r="E117" s="141" t="inlineStr">
        <is>
          <t>F</t>
        </is>
      </c>
      <c r="F117" s="141" t="inlineStr">
        <is>
          <t>C</t>
        </is>
      </c>
      <c r="G117" s="141" t="inlineStr">
        <is>
          <t>K</t>
        </is>
      </c>
      <c r="H117" s="141" t="inlineStr">
        <is>
          <t>B</t>
        </is>
      </c>
      <c r="I117" s="141" t="inlineStr">
        <is>
          <t>I</t>
        </is>
      </c>
      <c r="J117" s="141" t="inlineStr">
        <is>
          <t>J</t>
        </is>
      </c>
      <c r="K117" s="141" t="inlineStr">
        <is>
          <t>L</t>
        </is>
      </c>
    </row>
    <row r="118" ht="12.75" customHeight="1">
      <c r="A118" s="141" t="n">
        <v>117</v>
      </c>
      <c r="B118" s="141" t="inlineStr">
        <is>
          <t>BCDFHJKL</t>
        </is>
      </c>
      <c r="C118" s="141" t="inlineStr">
        <is>
          <t>B,C,D,F,H,J,K,L</t>
        </is>
      </c>
      <c r="D118" s="141" t="inlineStr">
        <is>
          <t>D</t>
        </is>
      </c>
      <c r="E118" s="141" t="inlineStr">
        <is>
          <t>F</t>
        </is>
      </c>
      <c r="F118" s="141" t="inlineStr">
        <is>
          <t>C</t>
        </is>
      </c>
      <c r="G118" s="141" t="inlineStr">
        <is>
          <t>K</t>
        </is>
      </c>
      <c r="H118" s="141" t="inlineStr">
        <is>
          <t>B</t>
        </is>
      </c>
      <c r="I118" s="141" t="inlineStr">
        <is>
          <t>H</t>
        </is>
      </c>
      <c r="J118" s="141" t="inlineStr">
        <is>
          <t>J</t>
        </is>
      </c>
      <c r="K118" s="141" t="inlineStr">
        <is>
          <t>L</t>
        </is>
      </c>
    </row>
    <row r="119" ht="12.75" customHeight="1">
      <c r="A119" s="141" t="n">
        <v>118</v>
      </c>
      <c r="B119" s="141" t="inlineStr">
        <is>
          <t>BCDFHIKL</t>
        </is>
      </c>
      <c r="C119" s="141" t="inlineStr">
        <is>
          <t>B,C,D,F,H,I,K,L</t>
        </is>
      </c>
      <c r="D119" s="141" t="inlineStr">
        <is>
          <t>D</t>
        </is>
      </c>
      <c r="E119" s="141" t="inlineStr">
        <is>
          <t>F</t>
        </is>
      </c>
      <c r="F119" s="141" t="inlineStr">
        <is>
          <t>C</t>
        </is>
      </c>
      <c r="G119" s="141" t="inlineStr">
        <is>
          <t>K</t>
        </is>
      </c>
      <c r="H119" s="141" t="inlineStr">
        <is>
          <t>B</t>
        </is>
      </c>
      <c r="I119" s="141" t="inlineStr">
        <is>
          <t>H</t>
        </is>
      </c>
      <c r="J119" s="141" t="inlineStr">
        <is>
          <t>I</t>
        </is>
      </c>
      <c r="K119" s="141" t="inlineStr">
        <is>
          <t>L</t>
        </is>
      </c>
    </row>
    <row r="120" ht="12.75" customHeight="1">
      <c r="A120" s="141" t="n">
        <v>119</v>
      </c>
      <c r="B120" s="141" t="inlineStr">
        <is>
          <t>BCDFHIJL</t>
        </is>
      </c>
      <c r="C120" s="141" t="inlineStr">
        <is>
          <t>B,C,D,F,H,I,J,L</t>
        </is>
      </c>
      <c r="D120" s="141" t="inlineStr">
        <is>
          <t>D</t>
        </is>
      </c>
      <c r="E120" s="141" t="inlineStr">
        <is>
          <t>F</t>
        </is>
      </c>
      <c r="F120" s="141" t="inlineStr">
        <is>
          <t>C</t>
        </is>
      </c>
      <c r="G120" s="141" t="inlineStr">
        <is>
          <t>I</t>
        </is>
      </c>
      <c r="H120" s="141" t="inlineStr">
        <is>
          <t>B</t>
        </is>
      </c>
      <c r="I120" s="141" t="inlineStr">
        <is>
          <t>H</t>
        </is>
      </c>
      <c r="J120" s="141" t="inlineStr">
        <is>
          <t>J</t>
        </is>
      </c>
      <c r="K120" s="141" t="inlineStr">
        <is>
          <t>L</t>
        </is>
      </c>
    </row>
    <row r="121" ht="12.75" customHeight="1">
      <c r="A121" s="141" t="n">
        <v>120</v>
      </c>
      <c r="B121" s="141" t="inlineStr">
        <is>
          <t>BCDFHIJK</t>
        </is>
      </c>
      <c r="C121" s="141" t="inlineStr">
        <is>
          <t>B,C,D,F,H,I,J,K</t>
        </is>
      </c>
      <c r="D121" s="141" t="inlineStr">
        <is>
          <t>D</t>
        </is>
      </c>
      <c r="E121" s="141" t="inlineStr">
        <is>
          <t>F</t>
        </is>
      </c>
      <c r="F121" s="141" t="inlineStr">
        <is>
          <t>C</t>
        </is>
      </c>
      <c r="G121" s="141" t="inlineStr">
        <is>
          <t>K</t>
        </is>
      </c>
      <c r="H121" s="141" t="inlineStr">
        <is>
          <t>B</t>
        </is>
      </c>
      <c r="I121" s="141" t="inlineStr">
        <is>
          <t>H</t>
        </is>
      </c>
      <c r="J121" s="141" t="inlineStr">
        <is>
          <t>J</t>
        </is>
      </c>
      <c r="K121" s="141" t="inlineStr">
        <is>
          <t>I</t>
        </is>
      </c>
    </row>
    <row r="122" ht="12.75" customHeight="1">
      <c r="A122" s="141" t="n">
        <v>121</v>
      </c>
      <c r="B122" s="141" t="inlineStr">
        <is>
          <t>BCDFGJKL</t>
        </is>
      </c>
      <c r="C122" s="141" t="inlineStr">
        <is>
          <t>B,C,D,F,G,J,K,L</t>
        </is>
      </c>
      <c r="D122" s="141" t="inlineStr">
        <is>
          <t>D</t>
        </is>
      </c>
      <c r="E122" s="141" t="inlineStr">
        <is>
          <t>F</t>
        </is>
      </c>
      <c r="F122" s="141" t="inlineStr">
        <is>
          <t>C</t>
        </is>
      </c>
      <c r="G122" s="141" t="inlineStr">
        <is>
          <t>K</t>
        </is>
      </c>
      <c r="H122" s="141" t="inlineStr">
        <is>
          <t>B</t>
        </is>
      </c>
      <c r="I122" s="141" t="inlineStr">
        <is>
          <t>J</t>
        </is>
      </c>
      <c r="J122" s="141" t="inlineStr">
        <is>
          <t>G</t>
        </is>
      </c>
      <c r="K122" s="141" t="inlineStr">
        <is>
          <t>L</t>
        </is>
      </c>
    </row>
    <row r="123" ht="12.75" customHeight="1">
      <c r="A123" s="141" t="n">
        <v>122</v>
      </c>
      <c r="B123" s="141" t="inlineStr">
        <is>
          <t>BCDFGIKL</t>
        </is>
      </c>
      <c r="C123" s="141" t="inlineStr">
        <is>
          <t>B,C,D,F,G,I,K,L</t>
        </is>
      </c>
      <c r="D123" s="141" t="inlineStr">
        <is>
          <t>D</t>
        </is>
      </c>
      <c r="E123" s="141" t="inlineStr">
        <is>
          <t>F</t>
        </is>
      </c>
      <c r="F123" s="141" t="inlineStr">
        <is>
          <t>C</t>
        </is>
      </c>
      <c r="G123" s="141" t="inlineStr">
        <is>
          <t>K</t>
        </is>
      </c>
      <c r="H123" s="141" t="inlineStr">
        <is>
          <t>B</t>
        </is>
      </c>
      <c r="I123" s="141" t="inlineStr">
        <is>
          <t>I</t>
        </is>
      </c>
      <c r="J123" s="141" t="inlineStr">
        <is>
          <t>G</t>
        </is>
      </c>
      <c r="K123" s="141" t="inlineStr">
        <is>
          <t>L</t>
        </is>
      </c>
    </row>
    <row r="124" ht="12.75" customHeight="1">
      <c r="A124" s="141" t="n">
        <v>123</v>
      </c>
      <c r="B124" s="141" t="inlineStr">
        <is>
          <t>BCDFGIJL</t>
        </is>
      </c>
      <c r="C124" s="141" t="inlineStr">
        <is>
          <t>B,C,D,F,G,I,J,L</t>
        </is>
      </c>
      <c r="D124" s="141" t="inlineStr">
        <is>
          <t>D</t>
        </is>
      </c>
      <c r="E124" s="141" t="inlineStr">
        <is>
          <t>F</t>
        </is>
      </c>
      <c r="F124" s="141" t="inlineStr">
        <is>
          <t>C</t>
        </is>
      </c>
      <c r="G124" s="141" t="inlineStr">
        <is>
          <t>I</t>
        </is>
      </c>
      <c r="H124" s="141" t="inlineStr">
        <is>
          <t>B</t>
        </is>
      </c>
      <c r="I124" s="141" t="inlineStr">
        <is>
          <t>J</t>
        </is>
      </c>
      <c r="J124" s="141" t="inlineStr">
        <is>
          <t>G</t>
        </is>
      </c>
      <c r="K124" s="141" t="inlineStr">
        <is>
          <t>L</t>
        </is>
      </c>
    </row>
    <row r="125" ht="12.75" customHeight="1">
      <c r="A125" s="141" t="n">
        <v>124</v>
      </c>
      <c r="B125" s="141" t="inlineStr">
        <is>
          <t>BCDFGIJK</t>
        </is>
      </c>
      <c r="C125" s="141" t="inlineStr">
        <is>
          <t>B,C,D,F,G,I,J,K</t>
        </is>
      </c>
      <c r="D125" s="141" t="inlineStr">
        <is>
          <t>D</t>
        </is>
      </c>
      <c r="E125" s="141" t="inlineStr">
        <is>
          <t>F</t>
        </is>
      </c>
      <c r="F125" s="141" t="inlineStr">
        <is>
          <t>C</t>
        </is>
      </c>
      <c r="G125" s="141" t="inlineStr">
        <is>
          <t>K</t>
        </is>
      </c>
      <c r="H125" s="141" t="inlineStr">
        <is>
          <t>B</t>
        </is>
      </c>
      <c r="I125" s="141" t="inlineStr">
        <is>
          <t>J</t>
        </is>
      </c>
      <c r="J125" s="141" t="inlineStr">
        <is>
          <t>G</t>
        </is>
      </c>
      <c r="K125" s="141" t="inlineStr">
        <is>
          <t>I</t>
        </is>
      </c>
    </row>
    <row r="126" ht="12.75" customHeight="1">
      <c r="A126" s="141" t="n">
        <v>125</v>
      </c>
      <c r="B126" s="141" t="inlineStr">
        <is>
          <t>BCDFGHKL</t>
        </is>
      </c>
      <c r="C126" s="141" t="inlineStr">
        <is>
          <t>B,C,D,F,G,H,K,L</t>
        </is>
      </c>
      <c r="D126" s="141" t="inlineStr">
        <is>
          <t>D</t>
        </is>
      </c>
      <c r="E126" s="141" t="inlineStr">
        <is>
          <t>F</t>
        </is>
      </c>
      <c r="F126" s="141" t="inlineStr">
        <is>
          <t>C</t>
        </is>
      </c>
      <c r="G126" s="141" t="inlineStr">
        <is>
          <t>K</t>
        </is>
      </c>
      <c r="H126" s="141" t="inlineStr">
        <is>
          <t>B</t>
        </is>
      </c>
      <c r="I126" s="141" t="inlineStr">
        <is>
          <t>H</t>
        </is>
      </c>
      <c r="J126" s="141" t="inlineStr">
        <is>
          <t>G</t>
        </is>
      </c>
      <c r="K126" s="141" t="inlineStr">
        <is>
          <t>L</t>
        </is>
      </c>
    </row>
    <row r="127" ht="12.75" customHeight="1">
      <c r="A127" s="141" t="n">
        <v>126</v>
      </c>
      <c r="B127" s="141" t="inlineStr">
        <is>
          <t>BCDFGHJL</t>
        </is>
      </c>
      <c r="C127" s="141" t="inlineStr">
        <is>
          <t>B,C,D,F,G,H,J,L</t>
        </is>
      </c>
      <c r="D127" s="141" t="inlineStr">
        <is>
          <t>D</t>
        </is>
      </c>
      <c r="E127" s="141" t="inlineStr">
        <is>
          <t>F</t>
        </is>
      </c>
      <c r="F127" s="141" t="inlineStr">
        <is>
          <t>C</t>
        </is>
      </c>
      <c r="G127" s="141" t="inlineStr">
        <is>
          <t>J</t>
        </is>
      </c>
      <c r="H127" s="141" t="inlineStr">
        <is>
          <t>B</t>
        </is>
      </c>
      <c r="I127" s="141" t="inlineStr">
        <is>
          <t>H</t>
        </is>
      </c>
      <c r="J127" s="141" t="inlineStr">
        <is>
          <t>G</t>
        </is>
      </c>
      <c r="K127" s="141" t="inlineStr">
        <is>
          <t>L</t>
        </is>
      </c>
    </row>
    <row r="128" ht="12.75" customHeight="1">
      <c r="A128" s="141" t="n">
        <v>127</v>
      </c>
      <c r="B128" s="141" t="inlineStr">
        <is>
          <t>BCDFGHJK</t>
        </is>
      </c>
      <c r="C128" s="141" t="inlineStr">
        <is>
          <t>B,C,D,F,G,H,J,K</t>
        </is>
      </c>
      <c r="D128" s="141" t="inlineStr">
        <is>
          <t>C</t>
        </is>
      </c>
      <c r="E128" s="141" t="inlineStr">
        <is>
          <t>F</t>
        </is>
      </c>
      <c r="F128" s="141" t="inlineStr">
        <is>
          <t>H</t>
        </is>
      </c>
      <c r="G128" s="141" t="inlineStr">
        <is>
          <t>K</t>
        </is>
      </c>
      <c r="H128" s="141" t="inlineStr">
        <is>
          <t>B</t>
        </is>
      </c>
      <c r="I128" s="141" t="inlineStr">
        <is>
          <t>J</t>
        </is>
      </c>
      <c r="J128" s="141" t="inlineStr">
        <is>
          <t>G</t>
        </is>
      </c>
      <c r="K128" s="141" t="inlineStr">
        <is>
          <t>D</t>
        </is>
      </c>
    </row>
    <row r="129" ht="12.75" customHeight="1">
      <c r="A129" s="141" t="n">
        <v>128</v>
      </c>
      <c r="B129" s="141" t="inlineStr">
        <is>
          <t>BCDFGHIL</t>
        </is>
      </c>
      <c r="C129" s="141" t="inlineStr">
        <is>
          <t>B,C,D,F,G,H,I,L</t>
        </is>
      </c>
      <c r="D129" s="141" t="inlineStr">
        <is>
          <t>D</t>
        </is>
      </c>
      <c r="E129" s="141" t="inlineStr">
        <is>
          <t>F</t>
        </is>
      </c>
      <c r="F129" s="141" t="inlineStr">
        <is>
          <t>C</t>
        </is>
      </c>
      <c r="G129" s="141" t="inlineStr">
        <is>
          <t>I</t>
        </is>
      </c>
      <c r="H129" s="141" t="inlineStr">
        <is>
          <t>B</t>
        </is>
      </c>
      <c r="I129" s="141" t="inlineStr">
        <is>
          <t>H</t>
        </is>
      </c>
      <c r="J129" s="141" t="inlineStr">
        <is>
          <t>G</t>
        </is>
      </c>
      <c r="K129" s="141" t="inlineStr">
        <is>
          <t>L</t>
        </is>
      </c>
    </row>
    <row r="130" ht="12.75" customHeight="1">
      <c r="A130" s="141" t="n">
        <v>129</v>
      </c>
      <c r="B130" s="141" t="inlineStr">
        <is>
          <t>BCDFGHIK</t>
        </is>
      </c>
      <c r="C130" s="141" t="inlineStr">
        <is>
          <t>B,C,D,F,G,H,I,K</t>
        </is>
      </c>
      <c r="D130" s="141" t="inlineStr">
        <is>
          <t>D</t>
        </is>
      </c>
      <c r="E130" s="141" t="inlineStr">
        <is>
          <t>F</t>
        </is>
      </c>
      <c r="F130" s="141" t="inlineStr">
        <is>
          <t>C</t>
        </is>
      </c>
      <c r="G130" s="141" t="inlineStr">
        <is>
          <t>K</t>
        </is>
      </c>
      <c r="H130" s="141" t="inlineStr">
        <is>
          <t>B</t>
        </is>
      </c>
      <c r="I130" s="141" t="inlineStr">
        <is>
          <t>H</t>
        </is>
      </c>
      <c r="J130" s="141" t="inlineStr">
        <is>
          <t>G</t>
        </is>
      </c>
      <c r="K130" s="141" t="inlineStr">
        <is>
          <t>I</t>
        </is>
      </c>
    </row>
    <row r="131" ht="12.75" customHeight="1">
      <c r="A131" s="141" t="n">
        <v>130</v>
      </c>
      <c r="B131" s="141" t="inlineStr">
        <is>
          <t>BCDFGHIJ</t>
        </is>
      </c>
      <c r="C131" s="141" t="inlineStr">
        <is>
          <t>B,C,D,F,G,H,I,J</t>
        </is>
      </c>
      <c r="D131" s="141" t="inlineStr">
        <is>
          <t>C</t>
        </is>
      </c>
      <c r="E131" s="141" t="inlineStr">
        <is>
          <t>F</t>
        </is>
      </c>
      <c r="F131" s="141" t="inlineStr">
        <is>
          <t>H</t>
        </is>
      </c>
      <c r="G131" s="141" t="inlineStr">
        <is>
          <t>I</t>
        </is>
      </c>
      <c r="H131" s="141" t="inlineStr">
        <is>
          <t>B</t>
        </is>
      </c>
      <c r="I131" s="141" t="inlineStr">
        <is>
          <t>J</t>
        </is>
      </c>
      <c r="J131" s="141" t="inlineStr">
        <is>
          <t>G</t>
        </is>
      </c>
      <c r="K131" s="141" t="inlineStr">
        <is>
          <t>D</t>
        </is>
      </c>
    </row>
    <row r="132" ht="12.75" customHeight="1">
      <c r="A132" s="141" t="n">
        <v>131</v>
      </c>
      <c r="B132" s="141" t="inlineStr">
        <is>
          <t>BCDEIJKL</t>
        </is>
      </c>
      <c r="C132" s="141" t="inlineStr">
        <is>
          <t>B,C,D,E,I,J,K,L</t>
        </is>
      </c>
      <c r="D132" s="141" t="inlineStr">
        <is>
          <t>C</t>
        </is>
      </c>
      <c r="E132" s="141" t="inlineStr">
        <is>
          <t>D</t>
        </is>
      </c>
      <c r="F132" s="141" t="inlineStr">
        <is>
          <t>E</t>
        </is>
      </c>
      <c r="G132" s="141" t="inlineStr">
        <is>
          <t>K</t>
        </is>
      </c>
      <c r="H132" s="141" t="inlineStr">
        <is>
          <t>B</t>
        </is>
      </c>
      <c r="I132" s="141" t="inlineStr">
        <is>
          <t>I</t>
        </is>
      </c>
      <c r="J132" s="141" t="inlineStr">
        <is>
          <t>J</t>
        </is>
      </c>
      <c r="K132" s="141" t="inlineStr">
        <is>
          <t>L</t>
        </is>
      </c>
    </row>
    <row r="133" ht="12.75" customHeight="1">
      <c r="A133" s="141" t="n">
        <v>132</v>
      </c>
      <c r="B133" s="141" t="inlineStr">
        <is>
          <t>BCDEHJKL</t>
        </is>
      </c>
      <c r="C133" s="141" t="inlineStr">
        <is>
          <t>B,C,D,E,H,J,K,L</t>
        </is>
      </c>
      <c r="D133" s="141" t="inlineStr">
        <is>
          <t>C</t>
        </is>
      </c>
      <c r="E133" s="141" t="inlineStr">
        <is>
          <t>D</t>
        </is>
      </c>
      <c r="F133" s="141" t="inlineStr">
        <is>
          <t>E</t>
        </is>
      </c>
      <c r="G133" s="141" t="inlineStr">
        <is>
          <t>K</t>
        </is>
      </c>
      <c r="H133" s="141" t="inlineStr">
        <is>
          <t>B</t>
        </is>
      </c>
      <c r="I133" s="141" t="inlineStr">
        <is>
          <t>H</t>
        </is>
      </c>
      <c r="J133" s="141" t="inlineStr">
        <is>
          <t>J</t>
        </is>
      </c>
      <c r="K133" s="141" t="inlineStr">
        <is>
          <t>L</t>
        </is>
      </c>
    </row>
    <row r="134" ht="12.75" customHeight="1">
      <c r="A134" s="141" t="n">
        <v>133</v>
      </c>
      <c r="B134" s="141" t="inlineStr">
        <is>
          <t>BCDEHIKL</t>
        </is>
      </c>
      <c r="C134" s="141" t="inlineStr">
        <is>
          <t>B,C,D,E,H,I,K,L</t>
        </is>
      </c>
      <c r="D134" s="141" t="inlineStr">
        <is>
          <t>C</t>
        </is>
      </c>
      <c r="E134" s="141" t="inlineStr">
        <is>
          <t>D</t>
        </is>
      </c>
      <c r="F134" s="141" t="inlineStr">
        <is>
          <t>E</t>
        </is>
      </c>
      <c r="G134" s="141" t="inlineStr">
        <is>
          <t>K</t>
        </is>
      </c>
      <c r="H134" s="141" t="inlineStr">
        <is>
          <t>B</t>
        </is>
      </c>
      <c r="I134" s="141" t="inlineStr">
        <is>
          <t>H</t>
        </is>
      </c>
      <c r="J134" s="141" t="inlineStr">
        <is>
          <t>I</t>
        </is>
      </c>
      <c r="K134" s="141" t="inlineStr">
        <is>
          <t>L</t>
        </is>
      </c>
    </row>
    <row r="135" ht="12.75" customHeight="1">
      <c r="A135" s="141" t="n">
        <v>134</v>
      </c>
      <c r="B135" s="141" t="inlineStr">
        <is>
          <t>BCDEHIJL</t>
        </is>
      </c>
      <c r="C135" s="141" t="inlineStr">
        <is>
          <t>B,C,D,E,H,I,J,L</t>
        </is>
      </c>
      <c r="D135" s="141" t="inlineStr">
        <is>
          <t>C</t>
        </is>
      </c>
      <c r="E135" s="141" t="inlineStr">
        <is>
          <t>D</t>
        </is>
      </c>
      <c r="F135" s="141" t="inlineStr">
        <is>
          <t>E</t>
        </is>
      </c>
      <c r="G135" s="141" t="inlineStr">
        <is>
          <t>I</t>
        </is>
      </c>
      <c r="H135" s="141" t="inlineStr">
        <is>
          <t>B</t>
        </is>
      </c>
      <c r="I135" s="141" t="inlineStr">
        <is>
          <t>H</t>
        </is>
      </c>
      <c r="J135" s="141" t="inlineStr">
        <is>
          <t>J</t>
        </is>
      </c>
      <c r="K135" s="141" t="inlineStr">
        <is>
          <t>L</t>
        </is>
      </c>
    </row>
    <row r="136" ht="12.75" customHeight="1">
      <c r="A136" s="141" t="n">
        <v>135</v>
      </c>
      <c r="B136" s="141" t="inlineStr">
        <is>
          <t>BCDEHIJK</t>
        </is>
      </c>
      <c r="C136" s="141" t="inlineStr">
        <is>
          <t>B,C,D,E,H,I,J,K</t>
        </is>
      </c>
      <c r="D136" s="141" t="inlineStr">
        <is>
          <t>C</t>
        </is>
      </c>
      <c r="E136" s="141" t="inlineStr">
        <is>
          <t>D</t>
        </is>
      </c>
      <c r="F136" s="141" t="inlineStr">
        <is>
          <t>E</t>
        </is>
      </c>
      <c r="G136" s="141" t="inlineStr">
        <is>
          <t>K</t>
        </is>
      </c>
      <c r="H136" s="141" t="inlineStr">
        <is>
          <t>B</t>
        </is>
      </c>
      <c r="I136" s="141" t="inlineStr">
        <is>
          <t>H</t>
        </is>
      </c>
      <c r="J136" s="141" t="inlineStr">
        <is>
          <t>J</t>
        </is>
      </c>
      <c r="K136" s="141" t="inlineStr">
        <is>
          <t>I</t>
        </is>
      </c>
    </row>
    <row r="137" ht="12.75" customHeight="1">
      <c r="A137" s="141" t="n">
        <v>136</v>
      </c>
      <c r="B137" s="141" t="inlineStr">
        <is>
          <t>BCDEGJKL</t>
        </is>
      </c>
      <c r="C137" s="141" t="inlineStr">
        <is>
          <t>B,C,D,E,G,J,K,L</t>
        </is>
      </c>
      <c r="D137" s="141" t="inlineStr">
        <is>
          <t>C</t>
        </is>
      </c>
      <c r="E137" s="141" t="inlineStr">
        <is>
          <t>D</t>
        </is>
      </c>
      <c r="F137" s="141" t="inlineStr">
        <is>
          <t>E</t>
        </is>
      </c>
      <c r="G137" s="141" t="inlineStr">
        <is>
          <t>K</t>
        </is>
      </c>
      <c r="H137" s="141" t="inlineStr">
        <is>
          <t>B</t>
        </is>
      </c>
      <c r="I137" s="141" t="inlineStr">
        <is>
          <t>J</t>
        </is>
      </c>
      <c r="J137" s="141" t="inlineStr">
        <is>
          <t>G</t>
        </is>
      </c>
      <c r="K137" s="141" t="inlineStr">
        <is>
          <t>L</t>
        </is>
      </c>
    </row>
    <row r="138" ht="12.75" customHeight="1">
      <c r="A138" s="141" t="n">
        <v>137</v>
      </c>
      <c r="B138" s="141" t="inlineStr">
        <is>
          <t>BCDEGIKL</t>
        </is>
      </c>
      <c r="C138" s="141" t="inlineStr">
        <is>
          <t>B,C,D,E,G,I,K,L</t>
        </is>
      </c>
      <c r="D138" s="141" t="inlineStr">
        <is>
          <t>C</t>
        </is>
      </c>
      <c r="E138" s="141" t="inlineStr">
        <is>
          <t>D</t>
        </is>
      </c>
      <c r="F138" s="141" t="inlineStr">
        <is>
          <t>E</t>
        </is>
      </c>
      <c r="G138" s="141" t="inlineStr">
        <is>
          <t>K</t>
        </is>
      </c>
      <c r="H138" s="141" t="inlineStr">
        <is>
          <t>B</t>
        </is>
      </c>
      <c r="I138" s="141" t="inlineStr">
        <is>
          <t>I</t>
        </is>
      </c>
      <c r="J138" s="141" t="inlineStr">
        <is>
          <t>G</t>
        </is>
      </c>
      <c r="K138" s="141" t="inlineStr">
        <is>
          <t>L</t>
        </is>
      </c>
    </row>
    <row r="139" ht="12.75" customHeight="1">
      <c r="A139" s="141" t="n">
        <v>138</v>
      </c>
      <c r="B139" s="141" t="inlineStr">
        <is>
          <t>BCDEGIJL</t>
        </is>
      </c>
      <c r="C139" s="141" t="inlineStr">
        <is>
          <t>B,C,D,E,G,I,J,L</t>
        </is>
      </c>
      <c r="D139" s="141" t="inlineStr">
        <is>
          <t>C</t>
        </is>
      </c>
      <c r="E139" s="141" t="inlineStr">
        <is>
          <t>D</t>
        </is>
      </c>
      <c r="F139" s="141" t="inlineStr">
        <is>
          <t>E</t>
        </is>
      </c>
      <c r="G139" s="141" t="inlineStr">
        <is>
          <t>I</t>
        </is>
      </c>
      <c r="H139" s="141" t="inlineStr">
        <is>
          <t>B</t>
        </is>
      </c>
      <c r="I139" s="141" t="inlineStr">
        <is>
          <t>J</t>
        </is>
      </c>
      <c r="J139" s="141" t="inlineStr">
        <is>
          <t>G</t>
        </is>
      </c>
      <c r="K139" s="141" t="inlineStr">
        <is>
          <t>L</t>
        </is>
      </c>
    </row>
    <row r="140" ht="12.75" customHeight="1">
      <c r="A140" s="141" t="n">
        <v>139</v>
      </c>
      <c r="B140" s="141" t="inlineStr">
        <is>
          <t>BCDEGIJK</t>
        </is>
      </c>
      <c r="C140" s="141" t="inlineStr">
        <is>
          <t>B,C,D,E,G,I,J,K</t>
        </is>
      </c>
      <c r="D140" s="141" t="inlineStr">
        <is>
          <t>C</t>
        </is>
      </c>
      <c r="E140" s="141" t="inlineStr">
        <is>
          <t>D</t>
        </is>
      </c>
      <c r="F140" s="141" t="inlineStr">
        <is>
          <t>E</t>
        </is>
      </c>
      <c r="G140" s="141" t="inlineStr">
        <is>
          <t>K</t>
        </is>
      </c>
      <c r="H140" s="141" t="inlineStr">
        <is>
          <t>B</t>
        </is>
      </c>
      <c r="I140" s="141" t="inlineStr">
        <is>
          <t>J</t>
        </is>
      </c>
      <c r="J140" s="141" t="inlineStr">
        <is>
          <t>G</t>
        </is>
      </c>
      <c r="K140" s="141" t="inlineStr">
        <is>
          <t>I</t>
        </is>
      </c>
    </row>
    <row r="141" ht="12.75" customHeight="1">
      <c r="A141" s="141" t="n">
        <v>140</v>
      </c>
      <c r="B141" s="141" t="inlineStr">
        <is>
          <t>BCDEGHKL</t>
        </is>
      </c>
      <c r="C141" s="141" t="inlineStr">
        <is>
          <t>B,C,D,E,G,H,K,L</t>
        </is>
      </c>
      <c r="D141" s="141" t="inlineStr">
        <is>
          <t>C</t>
        </is>
      </c>
      <c r="E141" s="141" t="inlineStr">
        <is>
          <t>D</t>
        </is>
      </c>
      <c r="F141" s="141" t="inlineStr">
        <is>
          <t>E</t>
        </is>
      </c>
      <c r="G141" s="141" t="inlineStr">
        <is>
          <t>K</t>
        </is>
      </c>
      <c r="H141" s="141" t="inlineStr">
        <is>
          <t>B</t>
        </is>
      </c>
      <c r="I141" s="141" t="inlineStr">
        <is>
          <t>H</t>
        </is>
      </c>
      <c r="J141" s="141" t="inlineStr">
        <is>
          <t>G</t>
        </is>
      </c>
      <c r="K141" s="141" t="inlineStr">
        <is>
          <t>L</t>
        </is>
      </c>
    </row>
    <row r="142" ht="12.75" customHeight="1">
      <c r="A142" s="141" t="n">
        <v>141</v>
      </c>
      <c r="B142" s="141" t="inlineStr">
        <is>
          <t>BCDEGHJL</t>
        </is>
      </c>
      <c r="C142" s="141" t="inlineStr">
        <is>
          <t>B,C,D,E,G,H,J,L</t>
        </is>
      </c>
      <c r="D142" s="141" t="inlineStr">
        <is>
          <t>C</t>
        </is>
      </c>
      <c r="E142" s="141" t="inlineStr">
        <is>
          <t>D</t>
        </is>
      </c>
      <c r="F142" s="141" t="inlineStr">
        <is>
          <t>H</t>
        </is>
      </c>
      <c r="G142" s="141" t="inlineStr">
        <is>
          <t>E</t>
        </is>
      </c>
      <c r="H142" s="141" t="inlineStr">
        <is>
          <t>B</t>
        </is>
      </c>
      <c r="I142" s="141" t="inlineStr">
        <is>
          <t>J</t>
        </is>
      </c>
      <c r="J142" s="141" t="inlineStr">
        <is>
          <t>G</t>
        </is>
      </c>
      <c r="K142" s="141" t="inlineStr">
        <is>
          <t>L</t>
        </is>
      </c>
    </row>
    <row r="143" ht="12.75" customHeight="1">
      <c r="A143" s="141" t="n">
        <v>142</v>
      </c>
      <c r="B143" s="141" t="inlineStr">
        <is>
          <t>BCDEGHJK</t>
        </is>
      </c>
      <c r="C143" s="141" t="inlineStr">
        <is>
          <t>B,C,D,E,G,H,J,K</t>
        </is>
      </c>
      <c r="D143" s="141" t="inlineStr">
        <is>
          <t>C</t>
        </is>
      </c>
      <c r="E143" s="141" t="inlineStr">
        <is>
          <t>D</t>
        </is>
      </c>
      <c r="F143" s="141" t="inlineStr">
        <is>
          <t>H</t>
        </is>
      </c>
      <c r="G143" s="141" t="inlineStr">
        <is>
          <t>K</t>
        </is>
      </c>
      <c r="H143" s="141" t="inlineStr">
        <is>
          <t>B</t>
        </is>
      </c>
      <c r="I143" s="141" t="inlineStr">
        <is>
          <t>J</t>
        </is>
      </c>
      <c r="J143" s="141" t="inlineStr">
        <is>
          <t>G</t>
        </is>
      </c>
      <c r="K143" s="141" t="inlineStr">
        <is>
          <t>E</t>
        </is>
      </c>
    </row>
    <row r="144" ht="12.75" customHeight="1">
      <c r="A144" s="141" t="n">
        <v>143</v>
      </c>
      <c r="B144" s="141" t="inlineStr">
        <is>
          <t>BCDEGHIL</t>
        </is>
      </c>
      <c r="C144" s="141" t="inlineStr">
        <is>
          <t>B,C,D,E,G,H,I,L</t>
        </is>
      </c>
      <c r="D144" s="141" t="inlineStr">
        <is>
          <t>C</t>
        </is>
      </c>
      <c r="E144" s="141" t="inlineStr">
        <is>
          <t>D</t>
        </is>
      </c>
      <c r="F144" s="141" t="inlineStr">
        <is>
          <t>E</t>
        </is>
      </c>
      <c r="G144" s="141" t="inlineStr">
        <is>
          <t>I</t>
        </is>
      </c>
      <c r="H144" s="141" t="inlineStr">
        <is>
          <t>B</t>
        </is>
      </c>
      <c r="I144" s="141" t="inlineStr">
        <is>
          <t>H</t>
        </is>
      </c>
      <c r="J144" s="141" t="inlineStr">
        <is>
          <t>G</t>
        </is>
      </c>
      <c r="K144" s="141" t="inlineStr">
        <is>
          <t>L</t>
        </is>
      </c>
    </row>
    <row r="145" ht="12.75" customHeight="1">
      <c r="A145" s="141" t="n">
        <v>144</v>
      </c>
      <c r="B145" s="141" t="inlineStr">
        <is>
          <t>BCDEGHIK</t>
        </is>
      </c>
      <c r="C145" s="141" t="inlineStr">
        <is>
          <t>B,C,D,E,G,H,I,K</t>
        </is>
      </c>
      <c r="D145" s="141" t="inlineStr">
        <is>
          <t>C</t>
        </is>
      </c>
      <c r="E145" s="141" t="inlineStr">
        <is>
          <t>D</t>
        </is>
      </c>
      <c r="F145" s="141" t="inlineStr">
        <is>
          <t>E</t>
        </is>
      </c>
      <c r="G145" s="141" t="inlineStr">
        <is>
          <t>K</t>
        </is>
      </c>
      <c r="H145" s="141" t="inlineStr">
        <is>
          <t>B</t>
        </is>
      </c>
      <c r="I145" s="141" t="inlineStr">
        <is>
          <t>H</t>
        </is>
      </c>
      <c r="J145" s="141" t="inlineStr">
        <is>
          <t>G</t>
        </is>
      </c>
      <c r="K145" s="141" t="inlineStr">
        <is>
          <t>I</t>
        </is>
      </c>
    </row>
    <row r="146" ht="12.75" customHeight="1">
      <c r="A146" s="141" t="n">
        <v>145</v>
      </c>
      <c r="B146" s="141" t="inlineStr">
        <is>
          <t>BCDEGHIJ</t>
        </is>
      </c>
      <c r="C146" s="141" t="inlineStr">
        <is>
          <t>B,C,D,E,G,H,I,J</t>
        </is>
      </c>
      <c r="D146" s="141" t="inlineStr">
        <is>
          <t>C</t>
        </is>
      </c>
      <c r="E146" s="141" t="inlineStr">
        <is>
          <t>D</t>
        </is>
      </c>
      <c r="F146" s="141" t="inlineStr">
        <is>
          <t>H</t>
        </is>
      </c>
      <c r="G146" s="141" t="inlineStr">
        <is>
          <t>I</t>
        </is>
      </c>
      <c r="H146" s="141" t="inlineStr">
        <is>
          <t>B</t>
        </is>
      </c>
      <c r="I146" s="141" t="inlineStr">
        <is>
          <t>J</t>
        </is>
      </c>
      <c r="J146" s="141" t="inlineStr">
        <is>
          <t>G</t>
        </is>
      </c>
      <c r="K146" s="141" t="inlineStr">
        <is>
          <t>E</t>
        </is>
      </c>
    </row>
    <row r="147" ht="12.75" customHeight="1">
      <c r="A147" s="141" t="n">
        <v>146</v>
      </c>
      <c r="B147" s="141" t="inlineStr">
        <is>
          <t>BCDEFJKL</t>
        </is>
      </c>
      <c r="C147" s="141" t="inlineStr">
        <is>
          <t>B,C,D,E,F,J,K,L</t>
        </is>
      </c>
      <c r="D147" s="141" t="inlineStr">
        <is>
          <t>D</t>
        </is>
      </c>
      <c r="E147" s="141" t="inlineStr">
        <is>
          <t>F</t>
        </is>
      </c>
      <c r="F147" s="141" t="inlineStr">
        <is>
          <t>C</t>
        </is>
      </c>
      <c r="G147" s="141" t="inlineStr">
        <is>
          <t>K</t>
        </is>
      </c>
      <c r="H147" s="141" t="inlineStr">
        <is>
          <t>B</t>
        </is>
      </c>
      <c r="I147" s="141" t="inlineStr">
        <is>
          <t>E</t>
        </is>
      </c>
      <c r="J147" s="141" t="inlineStr">
        <is>
          <t>J</t>
        </is>
      </c>
      <c r="K147" s="141" t="inlineStr">
        <is>
          <t>L</t>
        </is>
      </c>
    </row>
    <row r="148" ht="12.75" customHeight="1">
      <c r="A148" s="141" t="n">
        <v>147</v>
      </c>
      <c r="B148" s="141" t="inlineStr">
        <is>
          <t>BCDEFIKL</t>
        </is>
      </c>
      <c r="C148" s="141" t="inlineStr">
        <is>
          <t>B,C,D,E,F,I,K,L</t>
        </is>
      </c>
      <c r="D148" s="141" t="inlineStr">
        <is>
          <t>D</t>
        </is>
      </c>
      <c r="E148" s="141" t="inlineStr">
        <is>
          <t>F</t>
        </is>
      </c>
      <c r="F148" s="141" t="inlineStr">
        <is>
          <t>C</t>
        </is>
      </c>
      <c r="G148" s="141" t="inlineStr">
        <is>
          <t>K</t>
        </is>
      </c>
      <c r="H148" s="141" t="inlineStr">
        <is>
          <t>B</t>
        </is>
      </c>
      <c r="I148" s="141" t="inlineStr">
        <is>
          <t>I</t>
        </is>
      </c>
      <c r="J148" s="141" t="inlineStr">
        <is>
          <t>E</t>
        </is>
      </c>
      <c r="K148" s="141" t="inlineStr">
        <is>
          <t>L</t>
        </is>
      </c>
    </row>
    <row r="149" ht="12.75" customHeight="1">
      <c r="A149" s="141" t="n">
        <v>148</v>
      </c>
      <c r="B149" s="141" t="inlineStr">
        <is>
          <t>BCDEFIJL</t>
        </is>
      </c>
      <c r="C149" s="141" t="inlineStr">
        <is>
          <t>B,C,D,E,F,I,J,L</t>
        </is>
      </c>
      <c r="D149" s="141" t="inlineStr">
        <is>
          <t>D</t>
        </is>
      </c>
      <c r="E149" s="141" t="inlineStr">
        <is>
          <t>F</t>
        </is>
      </c>
      <c r="F149" s="141" t="inlineStr">
        <is>
          <t>C</t>
        </is>
      </c>
      <c r="G149" s="141" t="inlineStr">
        <is>
          <t>I</t>
        </is>
      </c>
      <c r="H149" s="141" t="inlineStr">
        <is>
          <t>B</t>
        </is>
      </c>
      <c r="I149" s="141" t="inlineStr">
        <is>
          <t>E</t>
        </is>
      </c>
      <c r="J149" s="141" t="inlineStr">
        <is>
          <t>J</t>
        </is>
      </c>
      <c r="K149" s="141" t="inlineStr">
        <is>
          <t>L</t>
        </is>
      </c>
    </row>
    <row r="150" ht="12.75" customHeight="1">
      <c r="A150" s="141" t="n">
        <v>149</v>
      </c>
      <c r="B150" s="141" t="inlineStr">
        <is>
          <t>BCDEFIJK</t>
        </is>
      </c>
      <c r="C150" s="141" t="inlineStr">
        <is>
          <t>B,C,D,E,F,I,J,K</t>
        </is>
      </c>
      <c r="D150" s="141" t="inlineStr">
        <is>
          <t>D</t>
        </is>
      </c>
      <c r="E150" s="141" t="inlineStr">
        <is>
          <t>F</t>
        </is>
      </c>
      <c r="F150" s="141" t="inlineStr">
        <is>
          <t>C</t>
        </is>
      </c>
      <c r="G150" s="141" t="inlineStr">
        <is>
          <t>K</t>
        </is>
      </c>
      <c r="H150" s="141" t="inlineStr">
        <is>
          <t>B</t>
        </is>
      </c>
      <c r="I150" s="141" t="inlineStr">
        <is>
          <t>E</t>
        </is>
      </c>
      <c r="J150" s="141" t="inlineStr">
        <is>
          <t>J</t>
        </is>
      </c>
      <c r="K150" s="141" t="inlineStr">
        <is>
          <t>I</t>
        </is>
      </c>
    </row>
    <row r="151" ht="12.75" customHeight="1">
      <c r="A151" s="141" t="n">
        <v>150</v>
      </c>
      <c r="B151" s="141" t="inlineStr">
        <is>
          <t>BCDEFHKL</t>
        </is>
      </c>
      <c r="C151" s="141" t="inlineStr">
        <is>
          <t>B,C,D,E,F,H,K,L</t>
        </is>
      </c>
      <c r="D151" s="141" t="inlineStr">
        <is>
          <t>D</t>
        </is>
      </c>
      <c r="E151" s="141" t="inlineStr">
        <is>
          <t>F</t>
        </is>
      </c>
      <c r="F151" s="141" t="inlineStr">
        <is>
          <t>C</t>
        </is>
      </c>
      <c r="G151" s="141" t="inlineStr">
        <is>
          <t>K</t>
        </is>
      </c>
      <c r="H151" s="141" t="inlineStr">
        <is>
          <t>B</t>
        </is>
      </c>
      <c r="I151" s="141" t="inlineStr">
        <is>
          <t>H</t>
        </is>
      </c>
      <c r="J151" s="141" t="inlineStr">
        <is>
          <t>E</t>
        </is>
      </c>
      <c r="K151" s="141" t="inlineStr">
        <is>
          <t>L</t>
        </is>
      </c>
    </row>
    <row r="152" ht="12.75" customHeight="1">
      <c r="A152" s="141" t="n">
        <v>151</v>
      </c>
      <c r="B152" s="141" t="inlineStr">
        <is>
          <t>BCDEFHJL</t>
        </is>
      </c>
      <c r="C152" s="141" t="inlineStr">
        <is>
          <t>B,C,D,E,F,H,J,L</t>
        </is>
      </c>
      <c r="D152" s="141" t="inlineStr">
        <is>
          <t>D</t>
        </is>
      </c>
      <c r="E152" s="141" t="inlineStr">
        <is>
          <t>F</t>
        </is>
      </c>
      <c r="F152" s="141" t="inlineStr">
        <is>
          <t>C</t>
        </is>
      </c>
      <c r="G152" s="141" t="inlineStr">
        <is>
          <t>E</t>
        </is>
      </c>
      <c r="H152" s="141" t="inlineStr">
        <is>
          <t>B</t>
        </is>
      </c>
      <c r="I152" s="141" t="inlineStr">
        <is>
          <t>H</t>
        </is>
      </c>
      <c r="J152" s="141" t="inlineStr">
        <is>
          <t>J</t>
        </is>
      </c>
      <c r="K152" s="141" t="inlineStr">
        <is>
          <t>L</t>
        </is>
      </c>
    </row>
    <row r="153" ht="12.75" customHeight="1">
      <c r="A153" s="141" t="n">
        <v>152</v>
      </c>
      <c r="B153" s="141" t="inlineStr">
        <is>
          <t>BCDEFHJK</t>
        </is>
      </c>
      <c r="C153" s="141" t="inlineStr">
        <is>
          <t>B,C,D,E,F,H,J,K</t>
        </is>
      </c>
      <c r="D153" s="141" t="inlineStr">
        <is>
          <t>D</t>
        </is>
      </c>
      <c r="E153" s="141" t="inlineStr">
        <is>
          <t>F</t>
        </is>
      </c>
      <c r="F153" s="141" t="inlineStr">
        <is>
          <t>C</t>
        </is>
      </c>
      <c r="G153" s="141" t="inlineStr">
        <is>
          <t>K</t>
        </is>
      </c>
      <c r="H153" s="141" t="inlineStr">
        <is>
          <t>B</t>
        </is>
      </c>
      <c r="I153" s="141" t="inlineStr">
        <is>
          <t>H</t>
        </is>
      </c>
      <c r="J153" s="141" t="inlineStr">
        <is>
          <t>J</t>
        </is>
      </c>
      <c r="K153" s="141" t="inlineStr">
        <is>
          <t>E</t>
        </is>
      </c>
    </row>
    <row r="154" ht="12.75" customHeight="1">
      <c r="A154" s="141" t="n">
        <v>153</v>
      </c>
      <c r="B154" s="141" t="inlineStr">
        <is>
          <t>BCDEFHIL</t>
        </is>
      </c>
      <c r="C154" s="141" t="inlineStr">
        <is>
          <t>B,C,D,E,F,H,I,L</t>
        </is>
      </c>
      <c r="D154" s="141" t="inlineStr">
        <is>
          <t>D</t>
        </is>
      </c>
      <c r="E154" s="141" t="inlineStr">
        <is>
          <t>F</t>
        </is>
      </c>
      <c r="F154" s="141" t="inlineStr">
        <is>
          <t>C</t>
        </is>
      </c>
      <c r="G154" s="141" t="inlineStr">
        <is>
          <t>I</t>
        </is>
      </c>
      <c r="H154" s="141" t="inlineStr">
        <is>
          <t>B</t>
        </is>
      </c>
      <c r="I154" s="141" t="inlineStr">
        <is>
          <t>H</t>
        </is>
      </c>
      <c r="J154" s="141" t="inlineStr">
        <is>
          <t>E</t>
        </is>
      </c>
      <c r="K154" s="141" t="inlineStr">
        <is>
          <t>L</t>
        </is>
      </c>
    </row>
    <row r="155" ht="12.75" customHeight="1">
      <c r="A155" s="141" t="n">
        <v>154</v>
      </c>
      <c r="B155" s="141" t="inlineStr">
        <is>
          <t>BCDEFHIK</t>
        </is>
      </c>
      <c r="C155" s="141" t="inlineStr">
        <is>
          <t>B,C,D,E,F,H,I,K</t>
        </is>
      </c>
      <c r="D155" s="141" t="inlineStr">
        <is>
          <t>D</t>
        </is>
      </c>
      <c r="E155" s="141" t="inlineStr">
        <is>
          <t>F</t>
        </is>
      </c>
      <c r="F155" s="141" t="inlineStr">
        <is>
          <t>C</t>
        </is>
      </c>
      <c r="G155" s="141" t="inlineStr">
        <is>
          <t>K</t>
        </is>
      </c>
      <c r="H155" s="141" t="inlineStr">
        <is>
          <t>B</t>
        </is>
      </c>
      <c r="I155" s="141" t="inlineStr">
        <is>
          <t>H</t>
        </is>
      </c>
      <c r="J155" s="141" t="inlineStr">
        <is>
          <t>E</t>
        </is>
      </c>
      <c r="K155" s="141" t="inlineStr">
        <is>
          <t>I</t>
        </is>
      </c>
    </row>
    <row r="156" ht="12.75" customHeight="1">
      <c r="A156" s="141" t="n">
        <v>155</v>
      </c>
      <c r="B156" s="141" t="inlineStr">
        <is>
          <t>BCDEFHIJ</t>
        </is>
      </c>
      <c r="C156" s="141" t="inlineStr">
        <is>
          <t>B,C,D,E,F,H,I,J</t>
        </is>
      </c>
      <c r="D156" s="141" t="inlineStr">
        <is>
          <t>D</t>
        </is>
      </c>
      <c r="E156" s="141" t="inlineStr">
        <is>
          <t>F</t>
        </is>
      </c>
      <c r="F156" s="141" t="inlineStr">
        <is>
          <t>C</t>
        </is>
      </c>
      <c r="G156" s="141" t="inlineStr">
        <is>
          <t>I</t>
        </is>
      </c>
      <c r="H156" s="141" t="inlineStr">
        <is>
          <t>B</t>
        </is>
      </c>
      <c r="I156" s="141" t="inlineStr">
        <is>
          <t>H</t>
        </is>
      </c>
      <c r="J156" s="141" t="inlineStr">
        <is>
          <t>J</t>
        </is>
      </c>
      <c r="K156" s="141" t="inlineStr">
        <is>
          <t>E</t>
        </is>
      </c>
    </row>
    <row r="157" ht="12.75" customHeight="1">
      <c r="A157" s="141" t="n">
        <v>156</v>
      </c>
      <c r="B157" s="141" t="inlineStr">
        <is>
          <t>BCDEFGKL</t>
        </is>
      </c>
      <c r="C157" s="141" t="inlineStr">
        <is>
          <t>B,C,D,E,F,G,K,L</t>
        </is>
      </c>
      <c r="D157" s="141" t="inlineStr">
        <is>
          <t>D</t>
        </is>
      </c>
      <c r="E157" s="141" t="inlineStr">
        <is>
          <t>F</t>
        </is>
      </c>
      <c r="F157" s="141" t="inlineStr">
        <is>
          <t>C</t>
        </is>
      </c>
      <c r="G157" s="141" t="inlineStr">
        <is>
          <t>K</t>
        </is>
      </c>
      <c r="H157" s="141" t="inlineStr">
        <is>
          <t>B</t>
        </is>
      </c>
      <c r="I157" s="141" t="inlineStr">
        <is>
          <t>E</t>
        </is>
      </c>
      <c r="J157" s="141" t="inlineStr">
        <is>
          <t>G</t>
        </is>
      </c>
      <c r="K157" s="141" t="inlineStr">
        <is>
          <t>L</t>
        </is>
      </c>
    </row>
    <row r="158" ht="12.75" customHeight="1">
      <c r="A158" s="141" t="n">
        <v>157</v>
      </c>
      <c r="B158" s="141" t="inlineStr">
        <is>
          <t>BCDEFGJL</t>
        </is>
      </c>
      <c r="C158" s="141" t="inlineStr">
        <is>
          <t>B,C,D,E,F,G,J,L</t>
        </is>
      </c>
      <c r="D158" s="141" t="inlineStr">
        <is>
          <t>D</t>
        </is>
      </c>
      <c r="E158" s="141" t="inlineStr">
        <is>
          <t>F</t>
        </is>
      </c>
      <c r="F158" s="141" t="inlineStr">
        <is>
          <t>C</t>
        </is>
      </c>
      <c r="G158" s="141" t="inlineStr">
        <is>
          <t>E</t>
        </is>
      </c>
      <c r="H158" s="141" t="inlineStr">
        <is>
          <t>B</t>
        </is>
      </c>
      <c r="I158" s="141" t="inlineStr">
        <is>
          <t>J</t>
        </is>
      </c>
      <c r="J158" s="141" t="inlineStr">
        <is>
          <t>G</t>
        </is>
      </c>
      <c r="K158" s="141" t="inlineStr">
        <is>
          <t>L</t>
        </is>
      </c>
    </row>
    <row r="159" ht="12.75" customHeight="1">
      <c r="A159" s="141" t="n">
        <v>158</v>
      </c>
      <c r="B159" s="141" t="inlineStr">
        <is>
          <t>BCDEFGJK</t>
        </is>
      </c>
      <c r="C159" s="141" t="inlineStr">
        <is>
          <t>B,C,D,E,F,G,J,K</t>
        </is>
      </c>
      <c r="D159" s="141" t="inlineStr">
        <is>
          <t>D</t>
        </is>
      </c>
      <c r="E159" s="141" t="inlineStr">
        <is>
          <t>F</t>
        </is>
      </c>
      <c r="F159" s="141" t="inlineStr">
        <is>
          <t>C</t>
        </is>
      </c>
      <c r="G159" s="141" t="inlineStr">
        <is>
          <t>K</t>
        </is>
      </c>
      <c r="H159" s="141" t="inlineStr">
        <is>
          <t>B</t>
        </is>
      </c>
      <c r="I159" s="141" t="inlineStr">
        <is>
          <t>J</t>
        </is>
      </c>
      <c r="J159" s="141" t="inlineStr">
        <is>
          <t>G</t>
        </is>
      </c>
      <c r="K159" s="141" t="inlineStr">
        <is>
          <t>E</t>
        </is>
      </c>
    </row>
    <row r="160" ht="12.75" customHeight="1">
      <c r="A160" s="141" t="n">
        <v>159</v>
      </c>
      <c r="B160" s="141" t="inlineStr">
        <is>
          <t>BCDEFGIL</t>
        </is>
      </c>
      <c r="C160" s="141" t="inlineStr">
        <is>
          <t>B,C,D,E,F,G,I,L</t>
        </is>
      </c>
      <c r="D160" s="141" t="inlineStr">
        <is>
          <t>D</t>
        </is>
      </c>
      <c r="E160" s="141" t="inlineStr">
        <is>
          <t>F</t>
        </is>
      </c>
      <c r="F160" s="141" t="inlineStr">
        <is>
          <t>C</t>
        </is>
      </c>
      <c r="G160" s="141" t="inlineStr">
        <is>
          <t>I</t>
        </is>
      </c>
      <c r="H160" s="141" t="inlineStr">
        <is>
          <t>B</t>
        </is>
      </c>
      <c r="I160" s="141" t="inlineStr">
        <is>
          <t>E</t>
        </is>
      </c>
      <c r="J160" s="141" t="inlineStr">
        <is>
          <t>G</t>
        </is>
      </c>
      <c r="K160" s="141" t="inlineStr">
        <is>
          <t>L</t>
        </is>
      </c>
    </row>
    <row r="161" ht="12.75" customHeight="1">
      <c r="A161" s="141" t="n">
        <v>160</v>
      </c>
      <c r="B161" s="141" t="inlineStr">
        <is>
          <t>BCDEFGIK</t>
        </is>
      </c>
      <c r="C161" s="141" t="inlineStr">
        <is>
          <t>B,C,D,E,F,G,I,K</t>
        </is>
      </c>
      <c r="D161" s="141" t="inlineStr">
        <is>
          <t>D</t>
        </is>
      </c>
      <c r="E161" s="141" t="inlineStr">
        <is>
          <t>F</t>
        </is>
      </c>
      <c r="F161" s="141" t="inlineStr">
        <is>
          <t>C</t>
        </is>
      </c>
      <c r="G161" s="141" t="inlineStr">
        <is>
          <t>K</t>
        </is>
      </c>
      <c r="H161" s="141" t="inlineStr">
        <is>
          <t>B</t>
        </is>
      </c>
      <c r="I161" s="141" t="inlineStr">
        <is>
          <t>E</t>
        </is>
      </c>
      <c r="J161" s="141" t="inlineStr">
        <is>
          <t>G</t>
        </is>
      </c>
      <c r="K161" s="141" t="inlineStr">
        <is>
          <t>I</t>
        </is>
      </c>
    </row>
    <row r="162" ht="12.75" customHeight="1">
      <c r="A162" s="141" t="n">
        <v>161</v>
      </c>
      <c r="B162" s="141" t="inlineStr">
        <is>
          <t>BCDEFGIJ</t>
        </is>
      </c>
      <c r="C162" s="141" t="inlineStr">
        <is>
          <t>B,C,D,E,F,G,I,J</t>
        </is>
      </c>
      <c r="D162" s="141" t="inlineStr">
        <is>
          <t>D</t>
        </is>
      </c>
      <c r="E162" s="141" t="inlineStr">
        <is>
          <t>F</t>
        </is>
      </c>
      <c r="F162" s="141" t="inlineStr">
        <is>
          <t>C</t>
        </is>
      </c>
      <c r="G162" s="141" t="inlineStr">
        <is>
          <t>I</t>
        </is>
      </c>
      <c r="H162" s="141" t="inlineStr">
        <is>
          <t>B</t>
        </is>
      </c>
      <c r="I162" s="141" t="inlineStr">
        <is>
          <t>J</t>
        </is>
      </c>
      <c r="J162" s="141" t="inlineStr">
        <is>
          <t>G</t>
        </is>
      </c>
      <c r="K162" s="141" t="inlineStr">
        <is>
          <t>E</t>
        </is>
      </c>
    </row>
    <row r="163" ht="12.75" customHeight="1">
      <c r="A163" s="141" t="n">
        <v>162</v>
      </c>
      <c r="B163" s="141" t="inlineStr">
        <is>
          <t>BCDEFGHL</t>
        </is>
      </c>
      <c r="C163" s="141" t="inlineStr">
        <is>
          <t>B,C,D,E,F,G,H,L</t>
        </is>
      </c>
      <c r="D163" s="141" t="inlineStr">
        <is>
          <t>D</t>
        </is>
      </c>
      <c r="E163" s="141" t="inlineStr">
        <is>
          <t>F</t>
        </is>
      </c>
      <c r="F163" s="141" t="inlineStr">
        <is>
          <t>C</t>
        </is>
      </c>
      <c r="G163" s="141" t="inlineStr">
        <is>
          <t>E</t>
        </is>
      </c>
      <c r="H163" s="141" t="inlineStr">
        <is>
          <t>B</t>
        </is>
      </c>
      <c r="I163" s="141" t="inlineStr">
        <is>
          <t>H</t>
        </is>
      </c>
      <c r="J163" s="141" t="inlineStr">
        <is>
          <t>G</t>
        </is>
      </c>
      <c r="K163" s="141" t="inlineStr">
        <is>
          <t>L</t>
        </is>
      </c>
    </row>
    <row r="164" ht="12.75" customHeight="1">
      <c r="A164" s="141" t="n">
        <v>163</v>
      </c>
      <c r="B164" s="141" t="inlineStr">
        <is>
          <t>BCDEFGHK</t>
        </is>
      </c>
      <c r="C164" s="141" t="inlineStr">
        <is>
          <t>B,C,D,E,F,G,H,K</t>
        </is>
      </c>
      <c r="D164" s="141" t="inlineStr">
        <is>
          <t>D</t>
        </is>
      </c>
      <c r="E164" s="141" t="inlineStr">
        <is>
          <t>F</t>
        </is>
      </c>
      <c r="F164" s="141" t="inlineStr">
        <is>
          <t>C</t>
        </is>
      </c>
      <c r="G164" s="141" t="inlineStr">
        <is>
          <t>K</t>
        </is>
      </c>
      <c r="H164" s="141" t="inlineStr">
        <is>
          <t>B</t>
        </is>
      </c>
      <c r="I164" s="141" t="inlineStr">
        <is>
          <t>H</t>
        </is>
      </c>
      <c r="J164" s="141" t="inlineStr">
        <is>
          <t>G</t>
        </is>
      </c>
      <c r="K164" s="141" t="inlineStr">
        <is>
          <t>E</t>
        </is>
      </c>
    </row>
    <row r="165" ht="12.75" customHeight="1">
      <c r="A165" s="141" t="n">
        <v>164</v>
      </c>
      <c r="B165" s="141" t="inlineStr">
        <is>
          <t>BCDEFGHJ</t>
        </is>
      </c>
      <c r="C165" s="141" t="inlineStr">
        <is>
          <t>B,C,D,E,F,G,H,J</t>
        </is>
      </c>
      <c r="D165" s="141" t="inlineStr">
        <is>
          <t>C</t>
        </is>
      </c>
      <c r="E165" s="141" t="inlineStr">
        <is>
          <t>F</t>
        </is>
      </c>
      <c r="F165" s="141" t="inlineStr">
        <is>
          <t>H</t>
        </is>
      </c>
      <c r="G165" s="141" t="inlineStr">
        <is>
          <t>E</t>
        </is>
      </c>
      <c r="H165" s="141" t="inlineStr">
        <is>
          <t>B</t>
        </is>
      </c>
      <c r="I165" s="141" t="inlineStr">
        <is>
          <t>J</t>
        </is>
      </c>
      <c r="J165" s="141" t="inlineStr">
        <is>
          <t>G</t>
        </is>
      </c>
      <c r="K165" s="141" t="inlineStr">
        <is>
          <t>D</t>
        </is>
      </c>
    </row>
    <row r="166" ht="12.75" customHeight="1">
      <c r="A166" s="141" t="n">
        <v>165</v>
      </c>
      <c r="B166" s="141" t="inlineStr">
        <is>
          <t>BCDEFGHI</t>
        </is>
      </c>
      <c r="C166" s="141" t="inlineStr">
        <is>
          <t>B,C,D,E,F,G,H,I</t>
        </is>
      </c>
      <c r="D166" s="141" t="inlineStr">
        <is>
          <t>D</t>
        </is>
      </c>
      <c r="E166" s="141" t="inlineStr">
        <is>
          <t>F</t>
        </is>
      </c>
      <c r="F166" s="141" t="inlineStr">
        <is>
          <t>C</t>
        </is>
      </c>
      <c r="G166" s="141" t="inlineStr">
        <is>
          <t>I</t>
        </is>
      </c>
      <c r="H166" s="141" t="inlineStr">
        <is>
          <t>B</t>
        </is>
      </c>
      <c r="I166" s="141" t="inlineStr">
        <is>
          <t>H</t>
        </is>
      </c>
      <c r="J166" s="141" t="inlineStr">
        <is>
          <t>G</t>
        </is>
      </c>
      <c r="K166" s="141" t="inlineStr">
        <is>
          <t>E</t>
        </is>
      </c>
    </row>
    <row r="167" ht="12.75" customHeight="1">
      <c r="A167" s="141" t="n">
        <v>166</v>
      </c>
      <c r="B167" s="141" t="inlineStr">
        <is>
          <t>AFGHIJKL</t>
        </is>
      </c>
      <c r="C167" s="141" t="inlineStr">
        <is>
          <t>A,F,G,H,I,J,K,L</t>
        </is>
      </c>
      <c r="D167" s="141" t="inlineStr">
        <is>
          <t>F</t>
        </is>
      </c>
      <c r="E167" s="141" t="inlineStr">
        <is>
          <t>G</t>
        </is>
      </c>
      <c r="F167" s="141" t="inlineStr">
        <is>
          <t>H</t>
        </is>
      </c>
      <c r="G167" s="141" t="inlineStr">
        <is>
          <t>K</t>
        </is>
      </c>
      <c r="H167" s="141" t="inlineStr">
        <is>
          <t>I</t>
        </is>
      </c>
      <c r="I167" s="141" t="inlineStr">
        <is>
          <t>A</t>
        </is>
      </c>
      <c r="J167" s="141" t="inlineStr">
        <is>
          <t>J</t>
        </is>
      </c>
      <c r="K167" s="141" t="inlineStr">
        <is>
          <t>L</t>
        </is>
      </c>
    </row>
    <row r="168" ht="12.75" customHeight="1">
      <c r="A168" s="141" t="n">
        <v>167</v>
      </c>
      <c r="B168" s="141" t="inlineStr">
        <is>
          <t>AEGHIJKL</t>
        </is>
      </c>
      <c r="C168" s="141" t="inlineStr">
        <is>
          <t>A,E,G,H,I,J,K,L</t>
        </is>
      </c>
      <c r="D168" s="141" t="inlineStr">
        <is>
          <t>A</t>
        </is>
      </c>
      <c r="E168" s="141" t="inlineStr">
        <is>
          <t>G</t>
        </is>
      </c>
      <c r="F168" s="141" t="inlineStr">
        <is>
          <t>E</t>
        </is>
      </c>
      <c r="G168" s="141" t="inlineStr">
        <is>
          <t>K</t>
        </is>
      </c>
      <c r="H168" s="141" t="inlineStr">
        <is>
          <t>I</t>
        </is>
      </c>
      <c r="I168" s="141" t="inlineStr">
        <is>
          <t>H</t>
        </is>
      </c>
      <c r="J168" s="141" t="inlineStr">
        <is>
          <t>J</t>
        </is>
      </c>
      <c r="K168" s="141" t="inlineStr">
        <is>
          <t>L</t>
        </is>
      </c>
    </row>
    <row r="169" ht="12.75" customHeight="1">
      <c r="A169" s="141" t="n">
        <v>168</v>
      </c>
      <c r="B169" s="141" t="inlineStr">
        <is>
          <t>AEFHIJKL</t>
        </is>
      </c>
      <c r="C169" s="141" t="inlineStr">
        <is>
          <t>A,E,F,H,I,J,K,L</t>
        </is>
      </c>
      <c r="D169" s="141" t="inlineStr">
        <is>
          <t>F</t>
        </is>
      </c>
      <c r="E169" s="141" t="inlineStr">
        <is>
          <t>H</t>
        </is>
      </c>
      <c r="F169" s="141" t="inlineStr">
        <is>
          <t>E</t>
        </is>
      </c>
      <c r="G169" s="141" t="inlineStr">
        <is>
          <t>K</t>
        </is>
      </c>
      <c r="H169" s="141" t="inlineStr">
        <is>
          <t>I</t>
        </is>
      </c>
      <c r="I169" s="141" t="inlineStr">
        <is>
          <t>A</t>
        </is>
      </c>
      <c r="J169" s="141" t="inlineStr">
        <is>
          <t>J</t>
        </is>
      </c>
      <c r="K169" s="141" t="inlineStr">
        <is>
          <t>L</t>
        </is>
      </c>
    </row>
    <row r="170" ht="12.75" customHeight="1">
      <c r="A170" s="141" t="n">
        <v>169</v>
      </c>
      <c r="B170" s="141" t="inlineStr">
        <is>
          <t>AEFGIJKL</t>
        </is>
      </c>
      <c r="C170" s="141" t="inlineStr">
        <is>
          <t>A,E,F,G,I,J,K,L</t>
        </is>
      </c>
      <c r="D170" s="141" t="inlineStr">
        <is>
          <t>F</t>
        </is>
      </c>
      <c r="E170" s="141" t="inlineStr">
        <is>
          <t>G</t>
        </is>
      </c>
      <c r="F170" s="141" t="inlineStr">
        <is>
          <t>E</t>
        </is>
      </c>
      <c r="G170" s="141" t="inlineStr">
        <is>
          <t>K</t>
        </is>
      </c>
      <c r="H170" s="141" t="inlineStr">
        <is>
          <t>I</t>
        </is>
      </c>
      <c r="I170" s="141" t="inlineStr">
        <is>
          <t>A</t>
        </is>
      </c>
      <c r="J170" s="141" t="inlineStr">
        <is>
          <t>J</t>
        </is>
      </c>
      <c r="K170" s="141" t="inlineStr">
        <is>
          <t>L</t>
        </is>
      </c>
    </row>
    <row r="171" ht="12.75" customHeight="1">
      <c r="A171" s="141" t="n">
        <v>170</v>
      </c>
      <c r="B171" s="141" t="inlineStr">
        <is>
          <t>AEFGHJKL</t>
        </is>
      </c>
      <c r="C171" s="141" t="inlineStr">
        <is>
          <t>A,E,F,G,H,J,K,L</t>
        </is>
      </c>
      <c r="D171" s="141" t="inlineStr">
        <is>
          <t>F</t>
        </is>
      </c>
      <c r="E171" s="141" t="inlineStr">
        <is>
          <t>H</t>
        </is>
      </c>
      <c r="F171" s="141" t="inlineStr">
        <is>
          <t>E</t>
        </is>
      </c>
      <c r="G171" s="141" t="inlineStr">
        <is>
          <t>K</t>
        </is>
      </c>
      <c r="H171" s="141" t="inlineStr">
        <is>
          <t>J</t>
        </is>
      </c>
      <c r="I171" s="141" t="inlineStr">
        <is>
          <t>A</t>
        </is>
      </c>
      <c r="J171" s="141" t="inlineStr">
        <is>
          <t>G</t>
        </is>
      </c>
      <c r="K171" s="141" t="inlineStr">
        <is>
          <t>L</t>
        </is>
      </c>
    </row>
    <row r="172" ht="12.75" customHeight="1">
      <c r="A172" s="141" t="n">
        <v>171</v>
      </c>
      <c r="B172" s="141" t="inlineStr">
        <is>
          <t>AEFGHIKL</t>
        </is>
      </c>
      <c r="C172" s="141" t="inlineStr">
        <is>
          <t>A,E,F,G,H,I,K,L</t>
        </is>
      </c>
      <c r="D172" s="141" t="inlineStr">
        <is>
          <t>F</t>
        </is>
      </c>
      <c r="E172" s="141" t="inlineStr">
        <is>
          <t>H</t>
        </is>
      </c>
      <c r="F172" s="141" t="inlineStr">
        <is>
          <t>E</t>
        </is>
      </c>
      <c r="G172" s="141" t="inlineStr">
        <is>
          <t>K</t>
        </is>
      </c>
      <c r="H172" s="141" t="inlineStr">
        <is>
          <t>I</t>
        </is>
      </c>
      <c r="I172" s="141" t="inlineStr">
        <is>
          <t>A</t>
        </is>
      </c>
      <c r="J172" s="141" t="inlineStr">
        <is>
          <t>G</t>
        </is>
      </c>
      <c r="K172" s="141" t="inlineStr">
        <is>
          <t>L</t>
        </is>
      </c>
    </row>
    <row r="173" ht="12.75" customHeight="1">
      <c r="A173" s="141" t="n">
        <v>172</v>
      </c>
      <c r="B173" s="141" t="inlineStr">
        <is>
          <t>AEFGHIJL</t>
        </is>
      </c>
      <c r="C173" s="141" t="inlineStr">
        <is>
          <t>A,E,F,G,H,I,J,L</t>
        </is>
      </c>
      <c r="D173" s="141" t="inlineStr">
        <is>
          <t>F</t>
        </is>
      </c>
      <c r="E173" s="141" t="inlineStr">
        <is>
          <t>H</t>
        </is>
      </c>
      <c r="F173" s="141" t="inlineStr">
        <is>
          <t>E</t>
        </is>
      </c>
      <c r="G173" s="141" t="inlineStr">
        <is>
          <t>I</t>
        </is>
      </c>
      <c r="H173" s="141" t="inlineStr">
        <is>
          <t>J</t>
        </is>
      </c>
      <c r="I173" s="141" t="inlineStr">
        <is>
          <t>A</t>
        </is>
      </c>
      <c r="J173" s="141" t="inlineStr">
        <is>
          <t>G</t>
        </is>
      </c>
      <c r="K173" s="141" t="inlineStr">
        <is>
          <t>L</t>
        </is>
      </c>
    </row>
    <row r="174" ht="12.75" customHeight="1">
      <c r="A174" s="141" t="n">
        <v>173</v>
      </c>
      <c r="B174" s="141" t="inlineStr">
        <is>
          <t>AEFGHIJK</t>
        </is>
      </c>
      <c r="C174" s="141" t="inlineStr">
        <is>
          <t>A,E,F,G,H,I,J,K</t>
        </is>
      </c>
      <c r="D174" s="141" t="inlineStr">
        <is>
          <t>F</t>
        </is>
      </c>
      <c r="E174" s="141" t="inlineStr">
        <is>
          <t>H</t>
        </is>
      </c>
      <c r="F174" s="141" t="inlineStr">
        <is>
          <t>E</t>
        </is>
      </c>
      <c r="G174" s="141" t="inlineStr">
        <is>
          <t>K</t>
        </is>
      </c>
      <c r="H174" s="141" t="inlineStr">
        <is>
          <t>J</t>
        </is>
      </c>
      <c r="I174" s="141" t="inlineStr">
        <is>
          <t>A</t>
        </is>
      </c>
      <c r="J174" s="141" t="inlineStr">
        <is>
          <t>G</t>
        </is>
      </c>
      <c r="K174" s="141" t="inlineStr">
        <is>
          <t>I</t>
        </is>
      </c>
    </row>
    <row r="175" ht="12.75" customHeight="1">
      <c r="A175" s="141" t="n">
        <v>174</v>
      </c>
      <c r="B175" s="141" t="inlineStr">
        <is>
          <t>ADGHIJKL</t>
        </is>
      </c>
      <c r="C175" s="141" t="inlineStr">
        <is>
          <t>A,D,G,H,I,J,K,L</t>
        </is>
      </c>
      <c r="D175" s="141" t="inlineStr">
        <is>
          <t>D</t>
        </is>
      </c>
      <c r="E175" s="141" t="inlineStr">
        <is>
          <t>G</t>
        </is>
      </c>
      <c r="F175" s="141" t="inlineStr">
        <is>
          <t>H</t>
        </is>
      </c>
      <c r="G175" s="141" t="inlineStr">
        <is>
          <t>K</t>
        </is>
      </c>
      <c r="H175" s="141" t="inlineStr">
        <is>
          <t>I</t>
        </is>
      </c>
      <c r="I175" s="141" t="inlineStr">
        <is>
          <t>A</t>
        </is>
      </c>
      <c r="J175" s="141" t="inlineStr">
        <is>
          <t>J</t>
        </is>
      </c>
      <c r="K175" s="141" t="inlineStr">
        <is>
          <t>L</t>
        </is>
      </c>
    </row>
    <row r="176" ht="12.75" customHeight="1">
      <c r="A176" s="141" t="n">
        <v>175</v>
      </c>
      <c r="B176" s="141" t="inlineStr">
        <is>
          <t>ADFHIJKL</t>
        </is>
      </c>
      <c r="C176" s="141" t="inlineStr">
        <is>
          <t>A,D,F,H,I,J,K,L</t>
        </is>
      </c>
      <c r="D176" s="141" t="inlineStr">
        <is>
          <t>D</t>
        </is>
      </c>
      <c r="E176" s="141" t="inlineStr">
        <is>
          <t>F</t>
        </is>
      </c>
      <c r="F176" s="141" t="inlineStr">
        <is>
          <t>H</t>
        </is>
      </c>
      <c r="G176" s="141" t="inlineStr">
        <is>
          <t>K</t>
        </is>
      </c>
      <c r="H176" s="141" t="inlineStr">
        <is>
          <t>I</t>
        </is>
      </c>
      <c r="I176" s="141" t="inlineStr">
        <is>
          <t>A</t>
        </is>
      </c>
      <c r="J176" s="141" t="inlineStr">
        <is>
          <t>J</t>
        </is>
      </c>
      <c r="K176" s="141" t="inlineStr">
        <is>
          <t>L</t>
        </is>
      </c>
    </row>
    <row r="177" ht="12.75" customHeight="1">
      <c r="A177" s="141" t="n">
        <v>176</v>
      </c>
      <c r="B177" s="141" t="inlineStr">
        <is>
          <t>ADFGIJKL</t>
        </is>
      </c>
      <c r="C177" s="141" t="inlineStr">
        <is>
          <t>A,D,F,G,I,J,K,L</t>
        </is>
      </c>
      <c r="D177" s="141" t="inlineStr">
        <is>
          <t>D</t>
        </is>
      </c>
      <c r="E177" s="141" t="inlineStr">
        <is>
          <t>F</t>
        </is>
      </c>
      <c r="F177" s="141" t="inlineStr">
        <is>
          <t>I</t>
        </is>
      </c>
      <c r="G177" s="141" t="inlineStr">
        <is>
          <t>K</t>
        </is>
      </c>
      <c r="H177" s="141" t="inlineStr">
        <is>
          <t>J</t>
        </is>
      </c>
      <c r="I177" s="141" t="inlineStr">
        <is>
          <t>A</t>
        </is>
      </c>
      <c r="J177" s="141" t="inlineStr">
        <is>
          <t>G</t>
        </is>
      </c>
      <c r="K177" s="141" t="inlineStr">
        <is>
          <t>L</t>
        </is>
      </c>
    </row>
    <row r="178" ht="12.75" customHeight="1">
      <c r="A178" s="141" t="n">
        <v>177</v>
      </c>
      <c r="B178" s="141" t="inlineStr">
        <is>
          <t>ADFGHJKL</t>
        </is>
      </c>
      <c r="C178" s="141" t="inlineStr">
        <is>
          <t>A,D,F,G,H,J,K,L</t>
        </is>
      </c>
      <c r="D178" s="141" t="inlineStr">
        <is>
          <t>D</t>
        </is>
      </c>
      <c r="E178" s="141" t="inlineStr">
        <is>
          <t>F</t>
        </is>
      </c>
      <c r="F178" s="141" t="inlineStr">
        <is>
          <t>H</t>
        </is>
      </c>
      <c r="G178" s="141" t="inlineStr">
        <is>
          <t>K</t>
        </is>
      </c>
      <c r="H178" s="141" t="inlineStr">
        <is>
          <t>J</t>
        </is>
      </c>
      <c r="I178" s="141" t="inlineStr">
        <is>
          <t>A</t>
        </is>
      </c>
      <c r="J178" s="141" t="inlineStr">
        <is>
          <t>G</t>
        </is>
      </c>
      <c r="K178" s="141" t="inlineStr">
        <is>
          <t>L</t>
        </is>
      </c>
    </row>
    <row r="179" ht="12.75" customHeight="1">
      <c r="A179" s="141" t="n">
        <v>178</v>
      </c>
      <c r="B179" s="141" t="inlineStr">
        <is>
          <t>ADFGHIKL</t>
        </is>
      </c>
      <c r="C179" s="141" t="inlineStr">
        <is>
          <t>A,D,F,G,H,I,K,L</t>
        </is>
      </c>
      <c r="D179" s="141" t="inlineStr">
        <is>
          <t>D</t>
        </is>
      </c>
      <c r="E179" s="141" t="inlineStr">
        <is>
          <t>F</t>
        </is>
      </c>
      <c r="F179" s="141" t="inlineStr">
        <is>
          <t>H</t>
        </is>
      </c>
      <c r="G179" s="141" t="inlineStr">
        <is>
          <t>K</t>
        </is>
      </c>
      <c r="H179" s="141" t="inlineStr">
        <is>
          <t>I</t>
        </is>
      </c>
      <c r="I179" s="141" t="inlineStr">
        <is>
          <t>A</t>
        </is>
      </c>
      <c r="J179" s="141" t="inlineStr">
        <is>
          <t>G</t>
        </is>
      </c>
      <c r="K179" s="141" t="inlineStr">
        <is>
          <t>L</t>
        </is>
      </c>
    </row>
    <row r="180" ht="12.75" customHeight="1">
      <c r="A180" s="141" t="n">
        <v>179</v>
      </c>
      <c r="B180" s="141" t="inlineStr">
        <is>
          <t>ADFGHIJL</t>
        </is>
      </c>
      <c r="C180" s="141" t="inlineStr">
        <is>
          <t>A,D,F,G,H,I,J,L</t>
        </is>
      </c>
      <c r="D180" s="141" t="inlineStr">
        <is>
          <t>D</t>
        </is>
      </c>
      <c r="E180" s="141" t="inlineStr">
        <is>
          <t>F</t>
        </is>
      </c>
      <c r="F180" s="141" t="inlineStr">
        <is>
          <t>H</t>
        </is>
      </c>
      <c r="G180" s="141" t="inlineStr">
        <is>
          <t>I</t>
        </is>
      </c>
      <c r="H180" s="141" t="inlineStr">
        <is>
          <t>J</t>
        </is>
      </c>
      <c r="I180" s="141" t="inlineStr">
        <is>
          <t>A</t>
        </is>
      </c>
      <c r="J180" s="141" t="inlineStr">
        <is>
          <t>G</t>
        </is>
      </c>
      <c r="K180" s="141" t="inlineStr">
        <is>
          <t>L</t>
        </is>
      </c>
    </row>
    <row r="181" ht="12.75" customHeight="1">
      <c r="A181" s="141" t="n">
        <v>180</v>
      </c>
      <c r="B181" s="141" t="inlineStr">
        <is>
          <t>ADFGHIJK</t>
        </is>
      </c>
      <c r="C181" s="141" t="inlineStr">
        <is>
          <t>A,D,F,G,H,I,J,K</t>
        </is>
      </c>
      <c r="D181" s="141" t="inlineStr">
        <is>
          <t>D</t>
        </is>
      </c>
      <c r="E181" s="141" t="inlineStr">
        <is>
          <t>F</t>
        </is>
      </c>
      <c r="F181" s="141" t="inlineStr">
        <is>
          <t>H</t>
        </is>
      </c>
      <c r="G181" s="141" t="inlineStr">
        <is>
          <t>K</t>
        </is>
      </c>
      <c r="H181" s="141" t="inlineStr">
        <is>
          <t>J</t>
        </is>
      </c>
      <c r="I181" s="141" t="inlineStr">
        <is>
          <t>A</t>
        </is>
      </c>
      <c r="J181" s="141" t="inlineStr">
        <is>
          <t>G</t>
        </is>
      </c>
      <c r="K181" s="141" t="inlineStr">
        <is>
          <t>I</t>
        </is>
      </c>
    </row>
    <row r="182" ht="12.75" customHeight="1">
      <c r="A182" s="141" t="n">
        <v>181</v>
      </c>
      <c r="B182" s="141" t="inlineStr">
        <is>
          <t>ADEHIJKL</t>
        </is>
      </c>
      <c r="C182" s="141" t="inlineStr">
        <is>
          <t>A,D,E,H,I,J,K,L</t>
        </is>
      </c>
      <c r="D182" s="141" t="inlineStr">
        <is>
          <t>D</t>
        </is>
      </c>
      <c r="E182" s="141" t="inlineStr">
        <is>
          <t>H</t>
        </is>
      </c>
      <c r="F182" s="141" t="inlineStr">
        <is>
          <t>E</t>
        </is>
      </c>
      <c r="G182" s="141" t="inlineStr">
        <is>
          <t>K</t>
        </is>
      </c>
      <c r="H182" s="141" t="inlineStr">
        <is>
          <t>I</t>
        </is>
      </c>
      <c r="I182" s="141" t="inlineStr">
        <is>
          <t>A</t>
        </is>
      </c>
      <c r="J182" s="141" t="inlineStr">
        <is>
          <t>J</t>
        </is>
      </c>
      <c r="K182" s="141" t="inlineStr">
        <is>
          <t>L</t>
        </is>
      </c>
    </row>
    <row r="183" ht="12.75" customHeight="1">
      <c r="A183" s="141" t="n">
        <v>182</v>
      </c>
      <c r="B183" s="141" t="inlineStr">
        <is>
          <t>ADEGIJKL</t>
        </is>
      </c>
      <c r="C183" s="141" t="inlineStr">
        <is>
          <t>A,D,E,G,I,J,K,L</t>
        </is>
      </c>
      <c r="D183" s="141" t="inlineStr">
        <is>
          <t>D</t>
        </is>
      </c>
      <c r="E183" s="141" t="inlineStr">
        <is>
          <t>G</t>
        </is>
      </c>
      <c r="F183" s="141" t="inlineStr">
        <is>
          <t>E</t>
        </is>
      </c>
      <c r="G183" s="141" t="inlineStr">
        <is>
          <t>K</t>
        </is>
      </c>
      <c r="H183" s="141" t="inlineStr">
        <is>
          <t>I</t>
        </is>
      </c>
      <c r="I183" s="141" t="inlineStr">
        <is>
          <t>A</t>
        </is>
      </c>
      <c r="J183" s="141" t="inlineStr">
        <is>
          <t>J</t>
        </is>
      </c>
      <c r="K183" s="141" t="inlineStr">
        <is>
          <t>L</t>
        </is>
      </c>
    </row>
    <row r="184" ht="12.75" customHeight="1">
      <c r="A184" s="141" t="n">
        <v>183</v>
      </c>
      <c r="B184" s="141" t="inlineStr">
        <is>
          <t>ADEGHJKL</t>
        </is>
      </c>
      <c r="C184" s="141" t="inlineStr">
        <is>
          <t>A,D,E,G,H,J,K,L</t>
        </is>
      </c>
      <c r="D184" s="141" t="inlineStr">
        <is>
          <t>D</t>
        </is>
      </c>
      <c r="E184" s="141" t="inlineStr">
        <is>
          <t>H</t>
        </is>
      </c>
      <c r="F184" s="141" t="inlineStr">
        <is>
          <t>E</t>
        </is>
      </c>
      <c r="G184" s="141" t="inlineStr">
        <is>
          <t>K</t>
        </is>
      </c>
      <c r="H184" s="141" t="inlineStr">
        <is>
          <t>J</t>
        </is>
      </c>
      <c r="I184" s="141" t="inlineStr">
        <is>
          <t>A</t>
        </is>
      </c>
      <c r="J184" s="141" t="inlineStr">
        <is>
          <t>G</t>
        </is>
      </c>
      <c r="K184" s="141" t="inlineStr">
        <is>
          <t>L</t>
        </is>
      </c>
    </row>
    <row r="185" ht="12.75" customHeight="1">
      <c r="A185" s="141" t="n">
        <v>184</v>
      </c>
      <c r="B185" s="141" t="inlineStr">
        <is>
          <t>ADEGHIKL</t>
        </is>
      </c>
      <c r="C185" s="141" t="inlineStr">
        <is>
          <t>A,D,E,G,H,I,K,L</t>
        </is>
      </c>
      <c r="D185" s="141" t="inlineStr">
        <is>
          <t>D</t>
        </is>
      </c>
      <c r="E185" s="141" t="inlineStr">
        <is>
          <t>H</t>
        </is>
      </c>
      <c r="F185" s="141" t="inlineStr">
        <is>
          <t>E</t>
        </is>
      </c>
      <c r="G185" s="141" t="inlineStr">
        <is>
          <t>K</t>
        </is>
      </c>
      <c r="H185" s="141" t="inlineStr">
        <is>
          <t>I</t>
        </is>
      </c>
      <c r="I185" s="141" t="inlineStr">
        <is>
          <t>A</t>
        </is>
      </c>
      <c r="J185" s="141" t="inlineStr">
        <is>
          <t>G</t>
        </is>
      </c>
      <c r="K185" s="141" t="inlineStr">
        <is>
          <t>L</t>
        </is>
      </c>
    </row>
    <row r="186" ht="12.75" customHeight="1">
      <c r="A186" s="141" t="n">
        <v>185</v>
      </c>
      <c r="B186" s="141" t="inlineStr">
        <is>
          <t>ADEGHIJL</t>
        </is>
      </c>
      <c r="C186" s="141" t="inlineStr">
        <is>
          <t>A,D,E,G,H,I,J,L</t>
        </is>
      </c>
      <c r="D186" s="141" t="inlineStr">
        <is>
          <t>D</t>
        </is>
      </c>
      <c r="E186" s="141" t="inlineStr">
        <is>
          <t>H</t>
        </is>
      </c>
      <c r="F186" s="141" t="inlineStr">
        <is>
          <t>E</t>
        </is>
      </c>
      <c r="G186" s="141" t="inlineStr">
        <is>
          <t>I</t>
        </is>
      </c>
      <c r="H186" s="141" t="inlineStr">
        <is>
          <t>J</t>
        </is>
      </c>
      <c r="I186" s="141" t="inlineStr">
        <is>
          <t>A</t>
        </is>
      </c>
      <c r="J186" s="141" t="inlineStr">
        <is>
          <t>G</t>
        </is>
      </c>
      <c r="K186" s="141" t="inlineStr">
        <is>
          <t>L</t>
        </is>
      </c>
    </row>
    <row r="187" ht="12.75" customHeight="1">
      <c r="A187" s="141" t="n">
        <v>186</v>
      </c>
      <c r="B187" s="141" t="inlineStr">
        <is>
          <t>ADEGHIJK</t>
        </is>
      </c>
      <c r="C187" s="141" t="inlineStr">
        <is>
          <t>A,D,E,G,H,I,J,K</t>
        </is>
      </c>
      <c r="D187" s="141" t="inlineStr">
        <is>
          <t>D</t>
        </is>
      </c>
      <c r="E187" s="141" t="inlineStr">
        <is>
          <t>H</t>
        </is>
      </c>
      <c r="F187" s="141" t="inlineStr">
        <is>
          <t>E</t>
        </is>
      </c>
      <c r="G187" s="141" t="inlineStr">
        <is>
          <t>K</t>
        </is>
      </c>
      <c r="H187" s="141" t="inlineStr">
        <is>
          <t>J</t>
        </is>
      </c>
      <c r="I187" s="141" t="inlineStr">
        <is>
          <t>A</t>
        </is>
      </c>
      <c r="J187" s="141" t="inlineStr">
        <is>
          <t>G</t>
        </is>
      </c>
      <c r="K187" s="141" t="inlineStr">
        <is>
          <t>I</t>
        </is>
      </c>
    </row>
    <row r="188" ht="12.75" customHeight="1">
      <c r="A188" s="141" t="n">
        <v>187</v>
      </c>
      <c r="B188" s="141" t="inlineStr">
        <is>
          <t>ADEFIJKL</t>
        </is>
      </c>
      <c r="C188" s="141" t="inlineStr">
        <is>
          <t>A,D,E,F,I,J,K,L</t>
        </is>
      </c>
      <c r="D188" s="141" t="inlineStr">
        <is>
          <t>D</t>
        </is>
      </c>
      <c r="E188" s="141" t="inlineStr">
        <is>
          <t>F</t>
        </is>
      </c>
      <c r="F188" s="141" t="inlineStr">
        <is>
          <t>E</t>
        </is>
      </c>
      <c r="G188" s="141" t="inlineStr">
        <is>
          <t>K</t>
        </is>
      </c>
      <c r="H188" s="141" t="inlineStr">
        <is>
          <t>I</t>
        </is>
      </c>
      <c r="I188" s="141" t="inlineStr">
        <is>
          <t>A</t>
        </is>
      </c>
      <c r="J188" s="141" t="inlineStr">
        <is>
          <t>J</t>
        </is>
      </c>
      <c r="K188" s="141" t="inlineStr">
        <is>
          <t>L</t>
        </is>
      </c>
    </row>
    <row r="189" ht="12.75" customHeight="1">
      <c r="A189" s="141" t="n">
        <v>188</v>
      </c>
      <c r="B189" s="141" t="inlineStr">
        <is>
          <t>ADEFHJKL</t>
        </is>
      </c>
      <c r="C189" s="141" t="inlineStr">
        <is>
          <t>A,D,E,F,H,J,K,L</t>
        </is>
      </c>
      <c r="D189" s="141" t="inlineStr">
        <is>
          <t>D</t>
        </is>
      </c>
      <c r="E189" s="141" t="inlineStr">
        <is>
          <t>F</t>
        </is>
      </c>
      <c r="F189" s="141" t="inlineStr">
        <is>
          <t>H</t>
        </is>
      </c>
      <c r="G189" s="141" t="inlineStr">
        <is>
          <t>K</t>
        </is>
      </c>
      <c r="H189" s="141" t="inlineStr">
        <is>
          <t>E</t>
        </is>
      </c>
      <c r="I189" s="141" t="inlineStr">
        <is>
          <t>A</t>
        </is>
      </c>
      <c r="J189" s="141" t="inlineStr">
        <is>
          <t>J</t>
        </is>
      </c>
      <c r="K189" s="141" t="inlineStr">
        <is>
          <t>L</t>
        </is>
      </c>
    </row>
    <row r="190" ht="12.75" customHeight="1">
      <c r="A190" s="141" t="n">
        <v>189</v>
      </c>
      <c r="B190" s="141" t="inlineStr">
        <is>
          <t>ADEFHIKL</t>
        </is>
      </c>
      <c r="C190" s="141" t="inlineStr">
        <is>
          <t>A,D,E,F,H,I,K,L</t>
        </is>
      </c>
      <c r="D190" s="141" t="inlineStr">
        <is>
          <t>D</t>
        </is>
      </c>
      <c r="E190" s="141" t="inlineStr">
        <is>
          <t>F</t>
        </is>
      </c>
      <c r="F190" s="141" t="inlineStr">
        <is>
          <t>H</t>
        </is>
      </c>
      <c r="G190" s="141" t="inlineStr">
        <is>
          <t>K</t>
        </is>
      </c>
      <c r="H190" s="141" t="inlineStr">
        <is>
          <t>I</t>
        </is>
      </c>
      <c r="I190" s="141" t="inlineStr">
        <is>
          <t>A</t>
        </is>
      </c>
      <c r="J190" s="141" t="inlineStr">
        <is>
          <t>E</t>
        </is>
      </c>
      <c r="K190" s="141" t="inlineStr">
        <is>
          <t>L</t>
        </is>
      </c>
    </row>
    <row r="191" ht="12.75" customHeight="1">
      <c r="A191" s="141" t="n">
        <v>190</v>
      </c>
      <c r="B191" s="141" t="inlineStr">
        <is>
          <t>ADEFHIJL</t>
        </is>
      </c>
      <c r="C191" s="141" t="inlineStr">
        <is>
          <t>A,D,E,F,H,I,J,L</t>
        </is>
      </c>
      <c r="D191" s="141" t="inlineStr">
        <is>
          <t>D</t>
        </is>
      </c>
      <c r="E191" s="141" t="inlineStr">
        <is>
          <t>F</t>
        </is>
      </c>
      <c r="F191" s="141" t="inlineStr">
        <is>
          <t>H</t>
        </is>
      </c>
      <c r="G191" s="141" t="inlineStr">
        <is>
          <t>I</t>
        </is>
      </c>
      <c r="H191" s="141" t="inlineStr">
        <is>
          <t>E</t>
        </is>
      </c>
      <c r="I191" s="141" t="inlineStr">
        <is>
          <t>A</t>
        </is>
      </c>
      <c r="J191" s="141" t="inlineStr">
        <is>
          <t>J</t>
        </is>
      </c>
      <c r="K191" s="141" t="inlineStr">
        <is>
          <t>L</t>
        </is>
      </c>
    </row>
    <row r="192" ht="12.75" customHeight="1">
      <c r="A192" s="141" t="n">
        <v>191</v>
      </c>
      <c r="B192" s="141" t="inlineStr">
        <is>
          <t>ADEFHIJK</t>
        </is>
      </c>
      <c r="C192" s="141" t="inlineStr">
        <is>
          <t>A,D,E,F,H,I,J,K</t>
        </is>
      </c>
      <c r="D192" s="141" t="inlineStr">
        <is>
          <t>D</t>
        </is>
      </c>
      <c r="E192" s="141" t="inlineStr">
        <is>
          <t>F</t>
        </is>
      </c>
      <c r="F192" s="141" t="inlineStr">
        <is>
          <t>H</t>
        </is>
      </c>
      <c r="G192" s="141" t="inlineStr">
        <is>
          <t>K</t>
        </is>
      </c>
      <c r="H192" s="141" t="inlineStr">
        <is>
          <t>E</t>
        </is>
      </c>
      <c r="I192" s="141" t="inlineStr">
        <is>
          <t>A</t>
        </is>
      </c>
      <c r="J192" s="141" t="inlineStr">
        <is>
          <t>J</t>
        </is>
      </c>
      <c r="K192" s="141" t="inlineStr">
        <is>
          <t>I</t>
        </is>
      </c>
    </row>
    <row r="193" ht="12.75" customHeight="1">
      <c r="A193" s="141" t="n">
        <v>192</v>
      </c>
      <c r="B193" s="141" t="inlineStr">
        <is>
          <t>ADEFGJKL</t>
        </is>
      </c>
      <c r="C193" s="141" t="inlineStr">
        <is>
          <t>A,D,E,F,G,J,K,L</t>
        </is>
      </c>
      <c r="D193" s="141" t="inlineStr">
        <is>
          <t>D</t>
        </is>
      </c>
      <c r="E193" s="141" t="inlineStr">
        <is>
          <t>F</t>
        </is>
      </c>
      <c r="F193" s="141" t="inlineStr">
        <is>
          <t>E</t>
        </is>
      </c>
      <c r="G193" s="141" t="inlineStr">
        <is>
          <t>K</t>
        </is>
      </c>
      <c r="H193" s="141" t="inlineStr">
        <is>
          <t>J</t>
        </is>
      </c>
      <c r="I193" s="141" t="inlineStr">
        <is>
          <t>A</t>
        </is>
      </c>
      <c r="J193" s="141" t="inlineStr">
        <is>
          <t>G</t>
        </is>
      </c>
      <c r="K193" s="141" t="inlineStr">
        <is>
          <t>L</t>
        </is>
      </c>
    </row>
    <row r="194" ht="12.75" customHeight="1">
      <c r="A194" s="141" t="n">
        <v>193</v>
      </c>
      <c r="B194" s="141" t="inlineStr">
        <is>
          <t>ADEFGIKL</t>
        </is>
      </c>
      <c r="C194" s="141" t="inlineStr">
        <is>
          <t>A,D,E,F,G,I,K,L</t>
        </is>
      </c>
      <c r="D194" s="141" t="inlineStr">
        <is>
          <t>D</t>
        </is>
      </c>
      <c r="E194" s="141" t="inlineStr">
        <is>
          <t>F</t>
        </is>
      </c>
      <c r="F194" s="141" t="inlineStr">
        <is>
          <t>E</t>
        </is>
      </c>
      <c r="G194" s="141" t="inlineStr">
        <is>
          <t>K</t>
        </is>
      </c>
      <c r="H194" s="141" t="inlineStr">
        <is>
          <t>I</t>
        </is>
      </c>
      <c r="I194" s="141" t="inlineStr">
        <is>
          <t>A</t>
        </is>
      </c>
      <c r="J194" s="141" t="inlineStr">
        <is>
          <t>G</t>
        </is>
      </c>
      <c r="K194" s="141" t="inlineStr">
        <is>
          <t>L</t>
        </is>
      </c>
    </row>
    <row r="195" ht="12.75" customHeight="1">
      <c r="A195" s="141" t="n">
        <v>194</v>
      </c>
      <c r="B195" s="141" t="inlineStr">
        <is>
          <t>ADEFGIJL</t>
        </is>
      </c>
      <c r="C195" s="141" t="inlineStr">
        <is>
          <t>A,D,E,F,G,I,J,L</t>
        </is>
      </c>
      <c r="D195" s="141" t="inlineStr">
        <is>
          <t>D</t>
        </is>
      </c>
      <c r="E195" s="141" t="inlineStr">
        <is>
          <t>F</t>
        </is>
      </c>
      <c r="F195" s="141" t="inlineStr">
        <is>
          <t>E</t>
        </is>
      </c>
      <c r="G195" s="141" t="inlineStr">
        <is>
          <t>I</t>
        </is>
      </c>
      <c r="H195" s="141" t="inlineStr">
        <is>
          <t>J</t>
        </is>
      </c>
      <c r="I195" s="141" t="inlineStr">
        <is>
          <t>A</t>
        </is>
      </c>
      <c r="J195" s="141" t="inlineStr">
        <is>
          <t>G</t>
        </is>
      </c>
      <c r="K195" s="141" t="inlineStr">
        <is>
          <t>L</t>
        </is>
      </c>
    </row>
    <row r="196" ht="12.75" customHeight="1">
      <c r="A196" s="141" t="n">
        <v>195</v>
      </c>
      <c r="B196" s="141" t="inlineStr">
        <is>
          <t>ADEFGIJK</t>
        </is>
      </c>
      <c r="C196" s="141" t="inlineStr">
        <is>
          <t>A,D,E,F,G,I,J,K</t>
        </is>
      </c>
      <c r="D196" s="141" t="inlineStr">
        <is>
          <t>D</t>
        </is>
      </c>
      <c r="E196" s="141" t="inlineStr">
        <is>
          <t>F</t>
        </is>
      </c>
      <c r="F196" s="141" t="inlineStr">
        <is>
          <t>E</t>
        </is>
      </c>
      <c r="G196" s="141" t="inlineStr">
        <is>
          <t>K</t>
        </is>
      </c>
      <c r="H196" s="141" t="inlineStr">
        <is>
          <t>J</t>
        </is>
      </c>
      <c r="I196" s="141" t="inlineStr">
        <is>
          <t>A</t>
        </is>
      </c>
      <c r="J196" s="141" t="inlineStr">
        <is>
          <t>G</t>
        </is>
      </c>
      <c r="K196" s="141" t="inlineStr">
        <is>
          <t>I</t>
        </is>
      </c>
    </row>
    <row r="197" ht="12.75" customHeight="1">
      <c r="A197" s="141" t="n">
        <v>196</v>
      </c>
      <c r="B197" s="141" t="inlineStr">
        <is>
          <t>ADEFGHKL</t>
        </is>
      </c>
      <c r="C197" s="141" t="inlineStr">
        <is>
          <t>A,D,E,F,G,H,K,L</t>
        </is>
      </c>
      <c r="D197" s="141" t="inlineStr">
        <is>
          <t>D</t>
        </is>
      </c>
      <c r="E197" s="141" t="inlineStr">
        <is>
          <t>F</t>
        </is>
      </c>
      <c r="F197" s="141" t="inlineStr">
        <is>
          <t>H</t>
        </is>
      </c>
      <c r="G197" s="141" t="inlineStr">
        <is>
          <t>K</t>
        </is>
      </c>
      <c r="H197" s="141" t="inlineStr">
        <is>
          <t>E</t>
        </is>
      </c>
      <c r="I197" s="141" t="inlineStr">
        <is>
          <t>A</t>
        </is>
      </c>
      <c r="J197" s="141" t="inlineStr">
        <is>
          <t>G</t>
        </is>
      </c>
      <c r="K197" s="141" t="inlineStr">
        <is>
          <t>L</t>
        </is>
      </c>
    </row>
    <row r="198" ht="12.75" customHeight="1">
      <c r="A198" s="141" t="n">
        <v>197</v>
      </c>
      <c r="B198" s="141" t="inlineStr">
        <is>
          <t>ADEFGHJL</t>
        </is>
      </c>
      <c r="C198" s="141" t="inlineStr">
        <is>
          <t>A,D,E,F,G,H,J,L</t>
        </is>
      </c>
      <c r="D198" s="141" t="inlineStr">
        <is>
          <t>D</t>
        </is>
      </c>
      <c r="E198" s="141" t="inlineStr">
        <is>
          <t>F</t>
        </is>
      </c>
      <c r="F198" s="141" t="inlineStr">
        <is>
          <t>H</t>
        </is>
      </c>
      <c r="G198" s="141" t="inlineStr">
        <is>
          <t>E</t>
        </is>
      </c>
      <c r="H198" s="141" t="inlineStr">
        <is>
          <t>J</t>
        </is>
      </c>
      <c r="I198" s="141" t="inlineStr">
        <is>
          <t>A</t>
        </is>
      </c>
      <c r="J198" s="141" t="inlineStr">
        <is>
          <t>G</t>
        </is>
      </c>
      <c r="K198" s="141" t="inlineStr">
        <is>
          <t>L</t>
        </is>
      </c>
    </row>
    <row r="199" ht="12.75" customHeight="1">
      <c r="A199" s="141" t="n">
        <v>198</v>
      </c>
      <c r="B199" s="141" t="inlineStr">
        <is>
          <t>ADEFGHJK</t>
        </is>
      </c>
      <c r="C199" s="141" t="inlineStr">
        <is>
          <t>A,D,E,F,G,H,J,K</t>
        </is>
      </c>
      <c r="D199" s="141" t="inlineStr">
        <is>
          <t>D</t>
        </is>
      </c>
      <c r="E199" s="141" t="inlineStr">
        <is>
          <t>F</t>
        </is>
      </c>
      <c r="F199" s="141" t="inlineStr">
        <is>
          <t>H</t>
        </is>
      </c>
      <c r="G199" s="141" t="inlineStr">
        <is>
          <t>K</t>
        </is>
      </c>
      <c r="H199" s="141" t="inlineStr">
        <is>
          <t>J</t>
        </is>
      </c>
      <c r="I199" s="141" t="inlineStr">
        <is>
          <t>A</t>
        </is>
      </c>
      <c r="J199" s="141" t="inlineStr">
        <is>
          <t>G</t>
        </is>
      </c>
      <c r="K199" s="141" t="inlineStr">
        <is>
          <t>E</t>
        </is>
      </c>
    </row>
    <row r="200" ht="12.75" customHeight="1">
      <c r="A200" s="141" t="n">
        <v>199</v>
      </c>
      <c r="B200" s="141" t="inlineStr">
        <is>
          <t>ADEFGHIL</t>
        </is>
      </c>
      <c r="C200" s="141" t="inlineStr">
        <is>
          <t>A,D,E,F,G,H,I,L</t>
        </is>
      </c>
      <c r="D200" s="141" t="inlineStr">
        <is>
          <t>D</t>
        </is>
      </c>
      <c r="E200" s="141" t="inlineStr">
        <is>
          <t>F</t>
        </is>
      </c>
      <c r="F200" s="141" t="inlineStr">
        <is>
          <t>H</t>
        </is>
      </c>
      <c r="G200" s="141" t="inlineStr">
        <is>
          <t>I</t>
        </is>
      </c>
      <c r="H200" s="141" t="inlineStr">
        <is>
          <t>E</t>
        </is>
      </c>
      <c r="I200" s="141" t="inlineStr">
        <is>
          <t>A</t>
        </is>
      </c>
      <c r="J200" s="141" t="inlineStr">
        <is>
          <t>G</t>
        </is>
      </c>
      <c r="K200" s="141" t="inlineStr">
        <is>
          <t>L</t>
        </is>
      </c>
    </row>
    <row r="201" ht="12.75" customHeight="1">
      <c r="A201" s="141" t="n">
        <v>200</v>
      </c>
      <c r="B201" s="141" t="inlineStr">
        <is>
          <t>ADEFGHIK</t>
        </is>
      </c>
      <c r="C201" s="141" t="inlineStr">
        <is>
          <t>A,D,E,F,G,H,I,K</t>
        </is>
      </c>
      <c r="D201" s="141" t="inlineStr">
        <is>
          <t>D</t>
        </is>
      </c>
      <c r="E201" s="141" t="inlineStr">
        <is>
          <t>F</t>
        </is>
      </c>
      <c r="F201" s="141" t="inlineStr">
        <is>
          <t>H</t>
        </is>
      </c>
      <c r="G201" s="141" t="inlineStr">
        <is>
          <t>K</t>
        </is>
      </c>
      <c r="H201" s="141" t="inlineStr">
        <is>
          <t>E</t>
        </is>
      </c>
      <c r="I201" s="141" t="inlineStr">
        <is>
          <t>A</t>
        </is>
      </c>
      <c r="J201" s="141" t="inlineStr">
        <is>
          <t>G</t>
        </is>
      </c>
      <c r="K201" s="141" t="inlineStr">
        <is>
          <t>I</t>
        </is>
      </c>
    </row>
    <row r="202" ht="12.75" customHeight="1">
      <c r="A202" s="141" t="n">
        <v>201</v>
      </c>
      <c r="B202" s="141" t="inlineStr">
        <is>
          <t>ADEFGHIJ</t>
        </is>
      </c>
      <c r="C202" s="141" t="inlineStr">
        <is>
          <t>A,D,E,F,G,H,I,J</t>
        </is>
      </c>
      <c r="D202" s="141" t="inlineStr">
        <is>
          <t>D</t>
        </is>
      </c>
      <c r="E202" s="141" t="inlineStr">
        <is>
          <t>F</t>
        </is>
      </c>
      <c r="F202" s="141" t="inlineStr">
        <is>
          <t>H</t>
        </is>
      </c>
      <c r="G202" s="141" t="inlineStr">
        <is>
          <t>I</t>
        </is>
      </c>
      <c r="H202" s="141" t="inlineStr">
        <is>
          <t>J</t>
        </is>
      </c>
      <c r="I202" s="141" t="inlineStr">
        <is>
          <t>A</t>
        </is>
      </c>
      <c r="J202" s="141" t="inlineStr">
        <is>
          <t>G</t>
        </is>
      </c>
      <c r="K202" s="141" t="inlineStr">
        <is>
          <t>E</t>
        </is>
      </c>
    </row>
    <row r="203" ht="12.75" customHeight="1">
      <c r="A203" s="141" t="n">
        <v>202</v>
      </c>
      <c r="B203" s="141" t="inlineStr">
        <is>
          <t>ACGHIJKL</t>
        </is>
      </c>
      <c r="C203" s="141" t="inlineStr">
        <is>
          <t>A,C,G,H,I,J,K,L</t>
        </is>
      </c>
      <c r="D203" s="141" t="inlineStr">
        <is>
          <t>C</t>
        </is>
      </c>
      <c r="E203" s="141" t="inlineStr">
        <is>
          <t>G</t>
        </is>
      </c>
      <c r="F203" s="141" t="inlineStr">
        <is>
          <t>H</t>
        </is>
      </c>
      <c r="G203" s="141" t="inlineStr">
        <is>
          <t>K</t>
        </is>
      </c>
      <c r="H203" s="141" t="inlineStr">
        <is>
          <t>I</t>
        </is>
      </c>
      <c r="I203" s="141" t="inlineStr">
        <is>
          <t>A</t>
        </is>
      </c>
      <c r="J203" s="141" t="inlineStr">
        <is>
          <t>J</t>
        </is>
      </c>
      <c r="K203" s="141" t="inlineStr">
        <is>
          <t>L</t>
        </is>
      </c>
    </row>
    <row r="204" ht="12.75" customHeight="1">
      <c r="A204" s="141" t="n">
        <v>203</v>
      </c>
      <c r="B204" s="141" t="inlineStr">
        <is>
          <t>ACFHIJKL</t>
        </is>
      </c>
      <c r="C204" s="141" t="inlineStr">
        <is>
          <t>A,C,F,H,I,J,K,L</t>
        </is>
      </c>
      <c r="D204" s="141" t="inlineStr">
        <is>
          <t>C</t>
        </is>
      </c>
      <c r="E204" s="141" t="inlineStr">
        <is>
          <t>F</t>
        </is>
      </c>
      <c r="F204" s="141" t="inlineStr">
        <is>
          <t>H</t>
        </is>
      </c>
      <c r="G204" s="141" t="inlineStr">
        <is>
          <t>K</t>
        </is>
      </c>
      <c r="H204" s="141" t="inlineStr">
        <is>
          <t>I</t>
        </is>
      </c>
      <c r="I204" s="141" t="inlineStr">
        <is>
          <t>A</t>
        </is>
      </c>
      <c r="J204" s="141" t="inlineStr">
        <is>
          <t>J</t>
        </is>
      </c>
      <c r="K204" s="141" t="inlineStr">
        <is>
          <t>L</t>
        </is>
      </c>
    </row>
    <row r="205" ht="12.75" customHeight="1">
      <c r="A205" s="141" t="n">
        <v>204</v>
      </c>
      <c r="B205" s="141" t="inlineStr">
        <is>
          <t>ACFGIJKL</t>
        </is>
      </c>
      <c r="C205" s="141" t="inlineStr">
        <is>
          <t>A,C,F,G,I,J,K,L</t>
        </is>
      </c>
      <c r="D205" s="141" t="inlineStr">
        <is>
          <t>C</t>
        </is>
      </c>
      <c r="E205" s="141" t="inlineStr">
        <is>
          <t>F</t>
        </is>
      </c>
      <c r="F205" s="141" t="inlineStr">
        <is>
          <t>I</t>
        </is>
      </c>
      <c r="G205" s="141" t="inlineStr">
        <is>
          <t>K</t>
        </is>
      </c>
      <c r="H205" s="141" t="inlineStr">
        <is>
          <t>J</t>
        </is>
      </c>
      <c r="I205" s="141" t="inlineStr">
        <is>
          <t>A</t>
        </is>
      </c>
      <c r="J205" s="141" t="inlineStr">
        <is>
          <t>G</t>
        </is>
      </c>
      <c r="K205" s="141" t="inlineStr">
        <is>
          <t>L</t>
        </is>
      </c>
    </row>
    <row r="206" ht="12.75" customHeight="1">
      <c r="A206" s="141" t="n">
        <v>205</v>
      </c>
      <c r="B206" s="141" t="inlineStr">
        <is>
          <t>ACFGHJKL</t>
        </is>
      </c>
      <c r="C206" s="141" t="inlineStr">
        <is>
          <t>A,C,F,G,H,J,K,L</t>
        </is>
      </c>
      <c r="D206" s="141" t="inlineStr">
        <is>
          <t>C</t>
        </is>
      </c>
      <c r="E206" s="141" t="inlineStr">
        <is>
          <t>F</t>
        </is>
      </c>
      <c r="F206" s="141" t="inlineStr">
        <is>
          <t>H</t>
        </is>
      </c>
      <c r="G206" s="141" t="inlineStr">
        <is>
          <t>K</t>
        </is>
      </c>
      <c r="H206" s="141" t="inlineStr">
        <is>
          <t>J</t>
        </is>
      </c>
      <c r="I206" s="141" t="inlineStr">
        <is>
          <t>A</t>
        </is>
      </c>
      <c r="J206" s="141" t="inlineStr">
        <is>
          <t>G</t>
        </is>
      </c>
      <c r="K206" s="141" t="inlineStr">
        <is>
          <t>L</t>
        </is>
      </c>
    </row>
    <row r="207" ht="12.75" customHeight="1">
      <c r="A207" s="141" t="n">
        <v>206</v>
      </c>
      <c r="B207" s="141" t="inlineStr">
        <is>
          <t>ACFGHIKL</t>
        </is>
      </c>
      <c r="C207" s="141" t="inlineStr">
        <is>
          <t>A,C,F,G,H,I,K,L</t>
        </is>
      </c>
      <c r="D207" s="141" t="inlineStr">
        <is>
          <t>C</t>
        </is>
      </c>
      <c r="E207" s="141" t="inlineStr">
        <is>
          <t>F</t>
        </is>
      </c>
      <c r="F207" s="141" t="inlineStr">
        <is>
          <t>H</t>
        </is>
      </c>
      <c r="G207" s="141" t="inlineStr">
        <is>
          <t>K</t>
        </is>
      </c>
      <c r="H207" s="141" t="inlineStr">
        <is>
          <t>I</t>
        </is>
      </c>
      <c r="I207" s="141" t="inlineStr">
        <is>
          <t>A</t>
        </is>
      </c>
      <c r="J207" s="141" t="inlineStr">
        <is>
          <t>G</t>
        </is>
      </c>
      <c r="K207" s="141" t="inlineStr">
        <is>
          <t>L</t>
        </is>
      </c>
    </row>
    <row r="208" ht="12.75" customHeight="1">
      <c r="A208" s="141" t="n">
        <v>207</v>
      </c>
      <c r="B208" s="141" t="inlineStr">
        <is>
          <t>ACFGHIJL</t>
        </is>
      </c>
      <c r="C208" s="141" t="inlineStr">
        <is>
          <t>A,C,F,G,H,I,J,L</t>
        </is>
      </c>
      <c r="D208" s="141" t="inlineStr">
        <is>
          <t>C</t>
        </is>
      </c>
      <c r="E208" s="141" t="inlineStr">
        <is>
          <t>F</t>
        </is>
      </c>
      <c r="F208" s="141" t="inlineStr">
        <is>
          <t>H</t>
        </is>
      </c>
      <c r="G208" s="141" t="inlineStr">
        <is>
          <t>I</t>
        </is>
      </c>
      <c r="H208" s="141" t="inlineStr">
        <is>
          <t>J</t>
        </is>
      </c>
      <c r="I208" s="141" t="inlineStr">
        <is>
          <t>A</t>
        </is>
      </c>
      <c r="J208" s="141" t="inlineStr">
        <is>
          <t>G</t>
        </is>
      </c>
      <c r="K208" s="141" t="inlineStr">
        <is>
          <t>L</t>
        </is>
      </c>
    </row>
    <row r="209" ht="12.75" customHeight="1">
      <c r="A209" s="141" t="n">
        <v>208</v>
      </c>
      <c r="B209" s="141" t="inlineStr">
        <is>
          <t>ACFGHIJK</t>
        </is>
      </c>
      <c r="C209" s="141" t="inlineStr">
        <is>
          <t>A,C,F,G,H,I,J,K</t>
        </is>
      </c>
      <c r="D209" s="141" t="inlineStr">
        <is>
          <t>C</t>
        </is>
      </c>
      <c r="E209" s="141" t="inlineStr">
        <is>
          <t>F</t>
        </is>
      </c>
      <c r="F209" s="141" t="inlineStr">
        <is>
          <t>H</t>
        </is>
      </c>
      <c r="G209" s="141" t="inlineStr">
        <is>
          <t>K</t>
        </is>
      </c>
      <c r="H209" s="141" t="inlineStr">
        <is>
          <t>J</t>
        </is>
      </c>
      <c r="I209" s="141" t="inlineStr">
        <is>
          <t>A</t>
        </is>
      </c>
      <c r="J209" s="141" t="inlineStr">
        <is>
          <t>G</t>
        </is>
      </c>
      <c r="K209" s="141" t="inlineStr">
        <is>
          <t>I</t>
        </is>
      </c>
    </row>
    <row r="210" ht="12.75" customHeight="1">
      <c r="A210" s="141" t="n">
        <v>209</v>
      </c>
      <c r="B210" s="141" t="inlineStr">
        <is>
          <t>ACEHIJKL</t>
        </is>
      </c>
      <c r="C210" s="141" t="inlineStr">
        <is>
          <t>A,C,E,H,I,J,K,L</t>
        </is>
      </c>
      <c r="D210" s="141" t="inlineStr">
        <is>
          <t>C</t>
        </is>
      </c>
      <c r="E210" s="141" t="inlineStr">
        <is>
          <t>H</t>
        </is>
      </c>
      <c r="F210" s="141" t="inlineStr">
        <is>
          <t>E</t>
        </is>
      </c>
      <c r="G210" s="141" t="inlineStr">
        <is>
          <t>K</t>
        </is>
      </c>
      <c r="H210" s="141" t="inlineStr">
        <is>
          <t>I</t>
        </is>
      </c>
      <c r="I210" s="141" t="inlineStr">
        <is>
          <t>A</t>
        </is>
      </c>
      <c r="J210" s="141" t="inlineStr">
        <is>
          <t>J</t>
        </is>
      </c>
      <c r="K210" s="141" t="inlineStr">
        <is>
          <t>L</t>
        </is>
      </c>
    </row>
    <row r="211" ht="12.75" customHeight="1">
      <c r="A211" s="141" t="n">
        <v>210</v>
      </c>
      <c r="B211" s="141" t="inlineStr">
        <is>
          <t>ACEGIJKL</t>
        </is>
      </c>
      <c r="C211" s="141" t="inlineStr">
        <is>
          <t>A,C,E,G,I,J,K,L</t>
        </is>
      </c>
      <c r="D211" s="141" t="inlineStr">
        <is>
          <t>C</t>
        </is>
      </c>
      <c r="E211" s="141" t="inlineStr">
        <is>
          <t>G</t>
        </is>
      </c>
      <c r="F211" s="141" t="inlineStr">
        <is>
          <t>E</t>
        </is>
      </c>
      <c r="G211" s="141" t="inlineStr">
        <is>
          <t>K</t>
        </is>
      </c>
      <c r="H211" s="141" t="inlineStr">
        <is>
          <t>I</t>
        </is>
      </c>
      <c r="I211" s="141" t="inlineStr">
        <is>
          <t>A</t>
        </is>
      </c>
      <c r="J211" s="141" t="inlineStr">
        <is>
          <t>J</t>
        </is>
      </c>
      <c r="K211" s="141" t="inlineStr">
        <is>
          <t>L</t>
        </is>
      </c>
    </row>
    <row r="212" ht="12.75" customHeight="1">
      <c r="A212" s="141" t="n">
        <v>211</v>
      </c>
      <c r="B212" s="141" t="inlineStr">
        <is>
          <t>ACEGHJKL</t>
        </is>
      </c>
      <c r="C212" s="141" t="inlineStr">
        <is>
          <t>A,C,E,G,H,J,K,L</t>
        </is>
      </c>
      <c r="D212" s="141" t="inlineStr">
        <is>
          <t>C</t>
        </is>
      </c>
      <c r="E212" s="141" t="inlineStr">
        <is>
          <t>H</t>
        </is>
      </c>
      <c r="F212" s="141" t="inlineStr">
        <is>
          <t>E</t>
        </is>
      </c>
      <c r="G212" s="141" t="inlineStr">
        <is>
          <t>K</t>
        </is>
      </c>
      <c r="H212" s="141" t="inlineStr">
        <is>
          <t>J</t>
        </is>
      </c>
      <c r="I212" s="141" t="inlineStr">
        <is>
          <t>A</t>
        </is>
      </c>
      <c r="J212" s="141" t="inlineStr">
        <is>
          <t>G</t>
        </is>
      </c>
      <c r="K212" s="141" t="inlineStr">
        <is>
          <t>L</t>
        </is>
      </c>
    </row>
    <row r="213" ht="12.75" customHeight="1">
      <c r="A213" s="141" t="n">
        <v>212</v>
      </c>
      <c r="B213" s="141" t="inlineStr">
        <is>
          <t>ACEGHIKL</t>
        </is>
      </c>
      <c r="C213" s="141" t="inlineStr">
        <is>
          <t>A,C,E,G,H,I,K,L</t>
        </is>
      </c>
      <c r="D213" s="141" t="inlineStr">
        <is>
          <t>C</t>
        </is>
      </c>
      <c r="E213" s="141" t="inlineStr">
        <is>
          <t>H</t>
        </is>
      </c>
      <c r="F213" s="141" t="inlineStr">
        <is>
          <t>E</t>
        </is>
      </c>
      <c r="G213" s="141" t="inlineStr">
        <is>
          <t>K</t>
        </is>
      </c>
      <c r="H213" s="141" t="inlineStr">
        <is>
          <t>I</t>
        </is>
      </c>
      <c r="I213" s="141" t="inlineStr">
        <is>
          <t>A</t>
        </is>
      </c>
      <c r="J213" s="141" t="inlineStr">
        <is>
          <t>G</t>
        </is>
      </c>
      <c r="K213" s="141" t="inlineStr">
        <is>
          <t>L</t>
        </is>
      </c>
    </row>
    <row r="214" ht="12.75" customHeight="1">
      <c r="A214" s="141" t="n">
        <v>213</v>
      </c>
      <c r="B214" s="141" t="inlineStr">
        <is>
          <t>ACEGHIJL</t>
        </is>
      </c>
      <c r="C214" s="141" t="inlineStr">
        <is>
          <t>A,C,E,G,H,I,J,L</t>
        </is>
      </c>
      <c r="D214" s="141" t="inlineStr">
        <is>
          <t>C</t>
        </is>
      </c>
      <c r="E214" s="141" t="inlineStr">
        <is>
          <t>H</t>
        </is>
      </c>
      <c r="F214" s="141" t="inlineStr">
        <is>
          <t>E</t>
        </is>
      </c>
      <c r="G214" s="141" t="inlineStr">
        <is>
          <t>I</t>
        </is>
      </c>
      <c r="H214" s="141" t="inlineStr">
        <is>
          <t>J</t>
        </is>
      </c>
      <c r="I214" s="141" t="inlineStr">
        <is>
          <t>A</t>
        </is>
      </c>
      <c r="J214" s="141" t="inlineStr">
        <is>
          <t>G</t>
        </is>
      </c>
      <c r="K214" s="141" t="inlineStr">
        <is>
          <t>L</t>
        </is>
      </c>
    </row>
    <row r="215" ht="12.75" customHeight="1">
      <c r="A215" s="141" t="n">
        <v>214</v>
      </c>
      <c r="B215" s="141" t="inlineStr">
        <is>
          <t>ACEGHIJK</t>
        </is>
      </c>
      <c r="C215" s="141" t="inlineStr">
        <is>
          <t>A,C,E,G,H,I,J,K</t>
        </is>
      </c>
      <c r="D215" s="141" t="inlineStr">
        <is>
          <t>C</t>
        </is>
      </c>
      <c r="E215" s="141" t="inlineStr">
        <is>
          <t>H</t>
        </is>
      </c>
      <c r="F215" s="141" t="inlineStr">
        <is>
          <t>E</t>
        </is>
      </c>
      <c r="G215" s="141" t="inlineStr">
        <is>
          <t>K</t>
        </is>
      </c>
      <c r="H215" s="141" t="inlineStr">
        <is>
          <t>J</t>
        </is>
      </c>
      <c r="I215" s="141" t="inlineStr">
        <is>
          <t>A</t>
        </is>
      </c>
      <c r="J215" s="141" t="inlineStr">
        <is>
          <t>G</t>
        </is>
      </c>
      <c r="K215" s="141" t="inlineStr">
        <is>
          <t>I</t>
        </is>
      </c>
    </row>
    <row r="216" ht="12.75" customHeight="1">
      <c r="A216" s="141" t="n">
        <v>215</v>
      </c>
      <c r="B216" s="141" t="inlineStr">
        <is>
          <t>ACEFIJKL</t>
        </is>
      </c>
      <c r="C216" s="141" t="inlineStr">
        <is>
          <t>A,C,E,F,I,J,K,L</t>
        </is>
      </c>
      <c r="D216" s="141" t="inlineStr">
        <is>
          <t>C</t>
        </is>
      </c>
      <c r="E216" s="141" t="inlineStr">
        <is>
          <t>F</t>
        </is>
      </c>
      <c r="F216" s="141" t="inlineStr">
        <is>
          <t>E</t>
        </is>
      </c>
      <c r="G216" s="141" t="inlineStr">
        <is>
          <t>K</t>
        </is>
      </c>
      <c r="H216" s="141" t="inlineStr">
        <is>
          <t>I</t>
        </is>
      </c>
      <c r="I216" s="141" t="inlineStr">
        <is>
          <t>A</t>
        </is>
      </c>
      <c r="J216" s="141" t="inlineStr">
        <is>
          <t>J</t>
        </is>
      </c>
      <c r="K216" s="141" t="inlineStr">
        <is>
          <t>L</t>
        </is>
      </c>
    </row>
    <row r="217" ht="12.75" customHeight="1">
      <c r="A217" s="141" t="n">
        <v>216</v>
      </c>
      <c r="B217" s="141" t="inlineStr">
        <is>
          <t>ACEFHJKL</t>
        </is>
      </c>
      <c r="C217" s="141" t="inlineStr">
        <is>
          <t>A,C,E,F,H,J,K,L</t>
        </is>
      </c>
      <c r="D217" s="141" t="inlineStr">
        <is>
          <t>C</t>
        </is>
      </c>
      <c r="E217" s="141" t="inlineStr">
        <is>
          <t>F</t>
        </is>
      </c>
      <c r="F217" s="141" t="inlineStr">
        <is>
          <t>H</t>
        </is>
      </c>
      <c r="G217" s="141" t="inlineStr">
        <is>
          <t>K</t>
        </is>
      </c>
      <c r="H217" s="141" t="inlineStr">
        <is>
          <t>E</t>
        </is>
      </c>
      <c r="I217" s="141" t="inlineStr">
        <is>
          <t>A</t>
        </is>
      </c>
      <c r="J217" s="141" t="inlineStr">
        <is>
          <t>J</t>
        </is>
      </c>
      <c r="K217" s="141" t="inlineStr">
        <is>
          <t>L</t>
        </is>
      </c>
    </row>
    <row r="218" ht="12.75" customHeight="1">
      <c r="A218" s="141" t="n">
        <v>217</v>
      </c>
      <c r="B218" s="141" t="inlineStr">
        <is>
          <t>ACEFHIKL</t>
        </is>
      </c>
      <c r="C218" s="141" t="inlineStr">
        <is>
          <t>A,C,E,F,H,I,K,L</t>
        </is>
      </c>
      <c r="D218" s="141" t="inlineStr">
        <is>
          <t>C</t>
        </is>
      </c>
      <c r="E218" s="141" t="inlineStr">
        <is>
          <t>F</t>
        </is>
      </c>
      <c r="F218" s="141" t="inlineStr">
        <is>
          <t>H</t>
        </is>
      </c>
      <c r="G218" s="141" t="inlineStr">
        <is>
          <t>K</t>
        </is>
      </c>
      <c r="H218" s="141" t="inlineStr">
        <is>
          <t>I</t>
        </is>
      </c>
      <c r="I218" s="141" t="inlineStr">
        <is>
          <t>A</t>
        </is>
      </c>
      <c r="J218" s="141" t="inlineStr">
        <is>
          <t>E</t>
        </is>
      </c>
      <c r="K218" s="141" t="inlineStr">
        <is>
          <t>L</t>
        </is>
      </c>
    </row>
    <row r="219" ht="12.75" customHeight="1">
      <c r="A219" s="141" t="n">
        <v>218</v>
      </c>
      <c r="B219" s="141" t="inlineStr">
        <is>
          <t>ACEFHIJL</t>
        </is>
      </c>
      <c r="C219" s="141" t="inlineStr">
        <is>
          <t>A,C,E,F,H,I,J,L</t>
        </is>
      </c>
      <c r="D219" s="141" t="inlineStr">
        <is>
          <t>C</t>
        </is>
      </c>
      <c r="E219" s="141" t="inlineStr">
        <is>
          <t>F</t>
        </is>
      </c>
      <c r="F219" s="141" t="inlineStr">
        <is>
          <t>H</t>
        </is>
      </c>
      <c r="G219" s="141" t="inlineStr">
        <is>
          <t>I</t>
        </is>
      </c>
      <c r="H219" s="141" t="inlineStr">
        <is>
          <t>E</t>
        </is>
      </c>
      <c r="I219" s="141" t="inlineStr">
        <is>
          <t>A</t>
        </is>
      </c>
      <c r="J219" s="141" t="inlineStr">
        <is>
          <t>J</t>
        </is>
      </c>
      <c r="K219" s="141" t="inlineStr">
        <is>
          <t>L</t>
        </is>
      </c>
    </row>
    <row r="220" ht="12.75" customHeight="1">
      <c r="A220" s="141" t="n">
        <v>219</v>
      </c>
      <c r="B220" s="141" t="inlineStr">
        <is>
          <t>ACEFHIJK</t>
        </is>
      </c>
      <c r="C220" s="141" t="inlineStr">
        <is>
          <t>A,C,E,F,H,I,J,K</t>
        </is>
      </c>
      <c r="D220" s="141" t="inlineStr">
        <is>
          <t>C</t>
        </is>
      </c>
      <c r="E220" s="141" t="inlineStr">
        <is>
          <t>F</t>
        </is>
      </c>
      <c r="F220" s="141" t="inlineStr">
        <is>
          <t>H</t>
        </is>
      </c>
      <c r="G220" s="141" t="inlineStr">
        <is>
          <t>K</t>
        </is>
      </c>
      <c r="H220" s="141" t="inlineStr">
        <is>
          <t>E</t>
        </is>
      </c>
      <c r="I220" s="141" t="inlineStr">
        <is>
          <t>A</t>
        </is>
      </c>
      <c r="J220" s="141" t="inlineStr">
        <is>
          <t>J</t>
        </is>
      </c>
      <c r="K220" s="141" t="inlineStr">
        <is>
          <t>I</t>
        </is>
      </c>
    </row>
    <row r="221" ht="12.75" customHeight="1">
      <c r="A221" s="141" t="n">
        <v>220</v>
      </c>
      <c r="B221" s="141" t="inlineStr">
        <is>
          <t>ACEFGJKL</t>
        </is>
      </c>
      <c r="C221" s="141" t="inlineStr">
        <is>
          <t>A,C,E,F,G,J,K,L</t>
        </is>
      </c>
      <c r="D221" s="141" t="inlineStr">
        <is>
          <t>C</t>
        </is>
      </c>
      <c r="E221" s="141" t="inlineStr">
        <is>
          <t>F</t>
        </is>
      </c>
      <c r="F221" s="141" t="inlineStr">
        <is>
          <t>E</t>
        </is>
      </c>
      <c r="G221" s="141" t="inlineStr">
        <is>
          <t>K</t>
        </is>
      </c>
      <c r="H221" s="141" t="inlineStr">
        <is>
          <t>J</t>
        </is>
      </c>
      <c r="I221" s="141" t="inlineStr">
        <is>
          <t>A</t>
        </is>
      </c>
      <c r="J221" s="141" t="inlineStr">
        <is>
          <t>G</t>
        </is>
      </c>
      <c r="K221" s="141" t="inlineStr">
        <is>
          <t>L</t>
        </is>
      </c>
    </row>
    <row r="222" ht="12.75" customHeight="1">
      <c r="A222" s="141" t="n">
        <v>221</v>
      </c>
      <c r="B222" s="141" t="inlineStr">
        <is>
          <t>ACEFGIKL</t>
        </is>
      </c>
      <c r="C222" s="141" t="inlineStr">
        <is>
          <t>A,C,E,F,G,I,K,L</t>
        </is>
      </c>
      <c r="D222" s="141" t="inlineStr">
        <is>
          <t>C</t>
        </is>
      </c>
      <c r="E222" s="141" t="inlineStr">
        <is>
          <t>F</t>
        </is>
      </c>
      <c r="F222" s="141" t="inlineStr">
        <is>
          <t>E</t>
        </is>
      </c>
      <c r="G222" s="141" t="inlineStr">
        <is>
          <t>K</t>
        </is>
      </c>
      <c r="H222" s="141" t="inlineStr">
        <is>
          <t>I</t>
        </is>
      </c>
      <c r="I222" s="141" t="inlineStr">
        <is>
          <t>A</t>
        </is>
      </c>
      <c r="J222" s="141" t="inlineStr">
        <is>
          <t>G</t>
        </is>
      </c>
      <c r="K222" s="141" t="inlineStr">
        <is>
          <t>L</t>
        </is>
      </c>
    </row>
    <row r="223" ht="12.75" customHeight="1">
      <c r="A223" s="141" t="n">
        <v>222</v>
      </c>
      <c r="B223" s="141" t="inlineStr">
        <is>
          <t>ACEFGIJL</t>
        </is>
      </c>
      <c r="C223" s="141" t="inlineStr">
        <is>
          <t>A,C,E,F,G,I,J,L</t>
        </is>
      </c>
      <c r="D223" s="141" t="inlineStr">
        <is>
          <t>C</t>
        </is>
      </c>
      <c r="E223" s="141" t="inlineStr">
        <is>
          <t>F</t>
        </is>
      </c>
      <c r="F223" s="141" t="inlineStr">
        <is>
          <t>E</t>
        </is>
      </c>
      <c r="G223" s="141" t="inlineStr">
        <is>
          <t>I</t>
        </is>
      </c>
      <c r="H223" s="141" t="inlineStr">
        <is>
          <t>J</t>
        </is>
      </c>
      <c r="I223" s="141" t="inlineStr">
        <is>
          <t>A</t>
        </is>
      </c>
      <c r="J223" s="141" t="inlineStr">
        <is>
          <t>G</t>
        </is>
      </c>
      <c r="K223" s="141" t="inlineStr">
        <is>
          <t>L</t>
        </is>
      </c>
    </row>
    <row r="224" ht="12.75" customHeight="1">
      <c r="A224" s="141" t="n">
        <v>223</v>
      </c>
      <c r="B224" s="141" t="inlineStr">
        <is>
          <t>ACEFGIJK</t>
        </is>
      </c>
      <c r="C224" s="141" t="inlineStr">
        <is>
          <t>A,C,E,F,G,I,J,K</t>
        </is>
      </c>
      <c r="D224" s="141" t="inlineStr">
        <is>
          <t>C</t>
        </is>
      </c>
      <c r="E224" s="141" t="inlineStr">
        <is>
          <t>F</t>
        </is>
      </c>
      <c r="F224" s="141" t="inlineStr">
        <is>
          <t>E</t>
        </is>
      </c>
      <c r="G224" s="141" t="inlineStr">
        <is>
          <t>K</t>
        </is>
      </c>
      <c r="H224" s="141" t="inlineStr">
        <is>
          <t>J</t>
        </is>
      </c>
      <c r="I224" s="141" t="inlineStr">
        <is>
          <t>A</t>
        </is>
      </c>
      <c r="J224" s="141" t="inlineStr">
        <is>
          <t>G</t>
        </is>
      </c>
      <c r="K224" s="141" t="inlineStr">
        <is>
          <t>I</t>
        </is>
      </c>
    </row>
    <row r="225" ht="12.75" customHeight="1">
      <c r="A225" s="141" t="n">
        <v>224</v>
      </c>
      <c r="B225" s="141" t="inlineStr">
        <is>
          <t>ACEFGHKL</t>
        </is>
      </c>
      <c r="C225" s="141" t="inlineStr">
        <is>
          <t>A,C,E,F,G,H,K,L</t>
        </is>
      </c>
      <c r="D225" s="141" t="inlineStr">
        <is>
          <t>C</t>
        </is>
      </c>
      <c r="E225" s="141" t="inlineStr">
        <is>
          <t>F</t>
        </is>
      </c>
      <c r="F225" s="141" t="inlineStr">
        <is>
          <t>H</t>
        </is>
      </c>
      <c r="G225" s="141" t="inlineStr">
        <is>
          <t>K</t>
        </is>
      </c>
      <c r="H225" s="141" t="inlineStr">
        <is>
          <t>E</t>
        </is>
      </c>
      <c r="I225" s="141" t="inlineStr">
        <is>
          <t>A</t>
        </is>
      </c>
      <c r="J225" s="141" t="inlineStr">
        <is>
          <t>G</t>
        </is>
      </c>
      <c r="K225" s="141" t="inlineStr">
        <is>
          <t>L</t>
        </is>
      </c>
    </row>
    <row r="226" ht="12.75" customHeight="1">
      <c r="A226" s="141" t="n">
        <v>225</v>
      </c>
      <c r="B226" s="141" t="inlineStr">
        <is>
          <t>ACEFGHJL</t>
        </is>
      </c>
      <c r="C226" s="141" t="inlineStr">
        <is>
          <t>A,C,E,F,G,H,J,L</t>
        </is>
      </c>
      <c r="D226" s="141" t="inlineStr">
        <is>
          <t>C</t>
        </is>
      </c>
      <c r="E226" s="141" t="inlineStr">
        <is>
          <t>F</t>
        </is>
      </c>
      <c r="F226" s="141" t="inlineStr">
        <is>
          <t>H</t>
        </is>
      </c>
      <c r="G226" s="141" t="inlineStr">
        <is>
          <t>E</t>
        </is>
      </c>
      <c r="H226" s="141" t="inlineStr">
        <is>
          <t>J</t>
        </is>
      </c>
      <c r="I226" s="141" t="inlineStr">
        <is>
          <t>A</t>
        </is>
      </c>
      <c r="J226" s="141" t="inlineStr">
        <is>
          <t>G</t>
        </is>
      </c>
      <c r="K226" s="141" t="inlineStr">
        <is>
          <t>L</t>
        </is>
      </c>
    </row>
    <row r="227" ht="12.75" customHeight="1">
      <c r="A227" s="141" t="n">
        <v>226</v>
      </c>
      <c r="B227" s="141" t="inlineStr">
        <is>
          <t>ACEFGHJK</t>
        </is>
      </c>
      <c r="C227" s="141" t="inlineStr">
        <is>
          <t>A,C,E,F,G,H,J,K</t>
        </is>
      </c>
      <c r="D227" s="141" t="inlineStr">
        <is>
          <t>C</t>
        </is>
      </c>
      <c r="E227" s="141" t="inlineStr">
        <is>
          <t>F</t>
        </is>
      </c>
      <c r="F227" s="141" t="inlineStr">
        <is>
          <t>H</t>
        </is>
      </c>
      <c r="G227" s="141" t="inlineStr">
        <is>
          <t>K</t>
        </is>
      </c>
      <c r="H227" s="141" t="inlineStr">
        <is>
          <t>J</t>
        </is>
      </c>
      <c r="I227" s="141" t="inlineStr">
        <is>
          <t>A</t>
        </is>
      </c>
      <c r="J227" s="141" t="inlineStr">
        <is>
          <t>G</t>
        </is>
      </c>
      <c r="K227" s="141" t="inlineStr">
        <is>
          <t>E</t>
        </is>
      </c>
    </row>
    <row r="228" ht="12.75" customHeight="1">
      <c r="A228" s="141" t="n">
        <v>227</v>
      </c>
      <c r="B228" s="141" t="inlineStr">
        <is>
          <t>ACEFGHIL</t>
        </is>
      </c>
      <c r="C228" s="141" t="inlineStr">
        <is>
          <t>A,C,E,F,G,H,I,L</t>
        </is>
      </c>
      <c r="D228" s="141" t="inlineStr">
        <is>
          <t>C</t>
        </is>
      </c>
      <c r="E228" s="141" t="inlineStr">
        <is>
          <t>F</t>
        </is>
      </c>
      <c r="F228" s="141" t="inlineStr">
        <is>
          <t>H</t>
        </is>
      </c>
      <c r="G228" s="141" t="inlineStr">
        <is>
          <t>I</t>
        </is>
      </c>
      <c r="H228" s="141" t="inlineStr">
        <is>
          <t>E</t>
        </is>
      </c>
      <c r="I228" s="141" t="inlineStr">
        <is>
          <t>A</t>
        </is>
      </c>
      <c r="J228" s="141" t="inlineStr">
        <is>
          <t>G</t>
        </is>
      </c>
      <c r="K228" s="141" t="inlineStr">
        <is>
          <t>L</t>
        </is>
      </c>
    </row>
    <row r="229" ht="12.75" customHeight="1">
      <c r="A229" s="141" t="n">
        <v>228</v>
      </c>
      <c r="B229" s="141" t="inlineStr">
        <is>
          <t>ACEFGHIK</t>
        </is>
      </c>
      <c r="C229" s="141" t="inlineStr">
        <is>
          <t>A,C,E,F,G,H,I,K</t>
        </is>
      </c>
      <c r="D229" s="141" t="inlineStr">
        <is>
          <t>C</t>
        </is>
      </c>
      <c r="E229" s="141" t="inlineStr">
        <is>
          <t>F</t>
        </is>
      </c>
      <c r="F229" s="141" t="inlineStr">
        <is>
          <t>H</t>
        </is>
      </c>
      <c r="G229" s="141" t="inlineStr">
        <is>
          <t>K</t>
        </is>
      </c>
      <c r="H229" s="141" t="inlineStr">
        <is>
          <t>E</t>
        </is>
      </c>
      <c r="I229" s="141" t="inlineStr">
        <is>
          <t>A</t>
        </is>
      </c>
      <c r="J229" s="141" t="inlineStr">
        <is>
          <t>G</t>
        </is>
      </c>
      <c r="K229" s="141" t="inlineStr">
        <is>
          <t>I</t>
        </is>
      </c>
    </row>
    <row r="230" ht="12.75" customHeight="1">
      <c r="A230" s="141" t="n">
        <v>229</v>
      </c>
      <c r="B230" s="141" t="inlineStr">
        <is>
          <t>ACEFGHIJ</t>
        </is>
      </c>
      <c r="C230" s="141" t="inlineStr">
        <is>
          <t>A,C,E,F,G,H,I,J</t>
        </is>
      </c>
      <c r="D230" s="141" t="inlineStr">
        <is>
          <t>C</t>
        </is>
      </c>
      <c r="E230" s="141" t="inlineStr">
        <is>
          <t>F</t>
        </is>
      </c>
      <c r="F230" s="141" t="inlineStr">
        <is>
          <t>H</t>
        </is>
      </c>
      <c r="G230" s="141" t="inlineStr">
        <is>
          <t>I</t>
        </is>
      </c>
      <c r="H230" s="141" t="inlineStr">
        <is>
          <t>J</t>
        </is>
      </c>
      <c r="I230" s="141" t="inlineStr">
        <is>
          <t>A</t>
        </is>
      </c>
      <c r="J230" s="141" t="inlineStr">
        <is>
          <t>G</t>
        </is>
      </c>
      <c r="K230" s="141" t="inlineStr">
        <is>
          <t>E</t>
        </is>
      </c>
    </row>
    <row r="231" ht="12.75" customHeight="1">
      <c r="A231" s="141" t="n">
        <v>230</v>
      </c>
      <c r="B231" s="141" t="inlineStr">
        <is>
          <t>ACDHIJKL</t>
        </is>
      </c>
      <c r="C231" s="141" t="inlineStr">
        <is>
          <t>A,C,D,H,I,J,K,L</t>
        </is>
      </c>
      <c r="D231" s="141" t="inlineStr">
        <is>
          <t>C</t>
        </is>
      </c>
      <c r="E231" s="141" t="inlineStr">
        <is>
          <t>D</t>
        </is>
      </c>
      <c r="F231" s="141" t="inlineStr">
        <is>
          <t>H</t>
        </is>
      </c>
      <c r="G231" s="141" t="inlineStr">
        <is>
          <t>K</t>
        </is>
      </c>
      <c r="H231" s="141" t="inlineStr">
        <is>
          <t>I</t>
        </is>
      </c>
      <c r="I231" s="141" t="inlineStr">
        <is>
          <t>A</t>
        </is>
      </c>
      <c r="J231" s="141" t="inlineStr">
        <is>
          <t>J</t>
        </is>
      </c>
      <c r="K231" s="141" t="inlineStr">
        <is>
          <t>L</t>
        </is>
      </c>
    </row>
    <row r="232" ht="12.75" customHeight="1">
      <c r="A232" s="141" t="n">
        <v>231</v>
      </c>
      <c r="B232" s="141" t="inlineStr">
        <is>
          <t>ACDGIJKL</t>
        </is>
      </c>
      <c r="C232" s="141" t="inlineStr">
        <is>
          <t>A,C,D,G,I,J,K,L</t>
        </is>
      </c>
      <c r="D232" s="141" t="inlineStr">
        <is>
          <t>C</t>
        </is>
      </c>
      <c r="E232" s="141" t="inlineStr">
        <is>
          <t>D</t>
        </is>
      </c>
      <c r="F232" s="141" t="inlineStr">
        <is>
          <t>I</t>
        </is>
      </c>
      <c r="G232" s="141" t="inlineStr">
        <is>
          <t>K</t>
        </is>
      </c>
      <c r="H232" s="141" t="inlineStr">
        <is>
          <t>J</t>
        </is>
      </c>
      <c r="I232" s="141" t="inlineStr">
        <is>
          <t>A</t>
        </is>
      </c>
      <c r="J232" s="141" t="inlineStr">
        <is>
          <t>G</t>
        </is>
      </c>
      <c r="K232" s="141" t="inlineStr">
        <is>
          <t>L</t>
        </is>
      </c>
    </row>
    <row r="233" ht="12.75" customHeight="1">
      <c r="A233" s="141" t="n">
        <v>232</v>
      </c>
      <c r="B233" s="141" t="inlineStr">
        <is>
          <t>ACDGHJKL</t>
        </is>
      </c>
      <c r="C233" s="141" t="inlineStr">
        <is>
          <t>A,C,D,G,H,J,K,L</t>
        </is>
      </c>
      <c r="D233" s="141" t="inlineStr">
        <is>
          <t>C</t>
        </is>
      </c>
      <c r="E233" s="141" t="inlineStr">
        <is>
          <t>D</t>
        </is>
      </c>
      <c r="F233" s="141" t="inlineStr">
        <is>
          <t>H</t>
        </is>
      </c>
      <c r="G233" s="141" t="inlineStr">
        <is>
          <t>K</t>
        </is>
      </c>
      <c r="H233" s="141" t="inlineStr">
        <is>
          <t>J</t>
        </is>
      </c>
      <c r="I233" s="141" t="inlineStr">
        <is>
          <t>A</t>
        </is>
      </c>
      <c r="J233" s="141" t="inlineStr">
        <is>
          <t>G</t>
        </is>
      </c>
      <c r="K233" s="141" t="inlineStr">
        <is>
          <t>L</t>
        </is>
      </c>
    </row>
    <row r="234" ht="12.75" customHeight="1">
      <c r="A234" s="141" t="n">
        <v>233</v>
      </c>
      <c r="B234" s="141" t="inlineStr">
        <is>
          <t>ACDGHIKL</t>
        </is>
      </c>
      <c r="C234" s="141" t="inlineStr">
        <is>
          <t>A,C,D,G,H,I,K,L</t>
        </is>
      </c>
      <c r="D234" s="141" t="inlineStr">
        <is>
          <t>C</t>
        </is>
      </c>
      <c r="E234" s="141" t="inlineStr">
        <is>
          <t>D</t>
        </is>
      </c>
      <c r="F234" s="141" t="inlineStr">
        <is>
          <t>H</t>
        </is>
      </c>
      <c r="G234" s="141" t="inlineStr">
        <is>
          <t>K</t>
        </is>
      </c>
      <c r="H234" s="141" t="inlineStr">
        <is>
          <t>I</t>
        </is>
      </c>
      <c r="I234" s="141" t="inlineStr">
        <is>
          <t>A</t>
        </is>
      </c>
      <c r="J234" s="141" t="inlineStr">
        <is>
          <t>G</t>
        </is>
      </c>
      <c r="K234" s="141" t="inlineStr">
        <is>
          <t>L</t>
        </is>
      </c>
    </row>
    <row r="235" ht="12.75" customHeight="1">
      <c r="A235" s="141" t="n">
        <v>234</v>
      </c>
      <c r="B235" s="141" t="inlineStr">
        <is>
          <t>ACDGHIJL</t>
        </is>
      </c>
      <c r="C235" s="141" t="inlineStr">
        <is>
          <t>A,C,D,G,H,I,J,L</t>
        </is>
      </c>
      <c r="D235" s="141" t="inlineStr">
        <is>
          <t>C</t>
        </is>
      </c>
      <c r="E235" s="141" t="inlineStr">
        <is>
          <t>D</t>
        </is>
      </c>
      <c r="F235" s="141" t="inlineStr">
        <is>
          <t>H</t>
        </is>
      </c>
      <c r="G235" s="141" t="inlineStr">
        <is>
          <t>I</t>
        </is>
      </c>
      <c r="H235" s="141" t="inlineStr">
        <is>
          <t>J</t>
        </is>
      </c>
      <c r="I235" s="141" t="inlineStr">
        <is>
          <t>A</t>
        </is>
      </c>
      <c r="J235" s="141" t="inlineStr">
        <is>
          <t>G</t>
        </is>
      </c>
      <c r="K235" s="141" t="inlineStr">
        <is>
          <t>L</t>
        </is>
      </c>
    </row>
    <row r="236" ht="12.75" customHeight="1">
      <c r="A236" s="141" t="n">
        <v>235</v>
      </c>
      <c r="B236" s="141" t="inlineStr">
        <is>
          <t>ACDGHIJK</t>
        </is>
      </c>
      <c r="C236" s="141" t="inlineStr">
        <is>
          <t>A,C,D,G,H,I,J,K</t>
        </is>
      </c>
      <c r="D236" s="141" t="inlineStr">
        <is>
          <t>C</t>
        </is>
      </c>
      <c r="E236" s="141" t="inlineStr">
        <is>
          <t>D</t>
        </is>
      </c>
      <c r="F236" s="141" t="inlineStr">
        <is>
          <t>H</t>
        </is>
      </c>
      <c r="G236" s="141" t="inlineStr">
        <is>
          <t>K</t>
        </is>
      </c>
      <c r="H236" s="141" t="inlineStr">
        <is>
          <t>J</t>
        </is>
      </c>
      <c r="I236" s="141" t="inlineStr">
        <is>
          <t>A</t>
        </is>
      </c>
      <c r="J236" s="141" t="inlineStr">
        <is>
          <t>G</t>
        </is>
      </c>
      <c r="K236" s="141" t="inlineStr">
        <is>
          <t>I</t>
        </is>
      </c>
    </row>
    <row r="237" ht="12.75" customHeight="1">
      <c r="A237" s="141" t="n">
        <v>236</v>
      </c>
      <c r="B237" s="141" t="inlineStr">
        <is>
          <t>ACDFIJKL</t>
        </is>
      </c>
      <c r="C237" s="141" t="inlineStr">
        <is>
          <t>A,C,D,F,I,J,K,L</t>
        </is>
      </c>
      <c r="D237" s="141" t="inlineStr">
        <is>
          <t>D</t>
        </is>
      </c>
      <c r="E237" s="141" t="inlineStr">
        <is>
          <t>F</t>
        </is>
      </c>
      <c r="F237" s="141" t="inlineStr">
        <is>
          <t>C</t>
        </is>
      </c>
      <c r="G237" s="141" t="inlineStr">
        <is>
          <t>K</t>
        </is>
      </c>
      <c r="H237" s="141" t="inlineStr">
        <is>
          <t>I</t>
        </is>
      </c>
      <c r="I237" s="141" t="inlineStr">
        <is>
          <t>A</t>
        </is>
      </c>
      <c r="J237" s="141" t="inlineStr">
        <is>
          <t>J</t>
        </is>
      </c>
      <c r="K237" s="141" t="inlineStr">
        <is>
          <t>L</t>
        </is>
      </c>
    </row>
    <row r="238" ht="12.75" customHeight="1">
      <c r="A238" s="141" t="n">
        <v>237</v>
      </c>
      <c r="B238" s="141" t="inlineStr">
        <is>
          <t>ACDFHJKL</t>
        </is>
      </c>
      <c r="C238" s="141" t="inlineStr">
        <is>
          <t>A,C,D,F,H,J,K,L</t>
        </is>
      </c>
      <c r="D238" s="141" t="inlineStr">
        <is>
          <t>C</t>
        </is>
      </c>
      <c r="E238" s="141" t="inlineStr">
        <is>
          <t>D</t>
        </is>
      </c>
      <c r="F238" s="141" t="inlineStr">
        <is>
          <t>H</t>
        </is>
      </c>
      <c r="G238" s="141" t="inlineStr">
        <is>
          <t>K</t>
        </is>
      </c>
      <c r="H238" s="141" t="inlineStr">
        <is>
          <t>F</t>
        </is>
      </c>
      <c r="I238" s="141" t="inlineStr">
        <is>
          <t>A</t>
        </is>
      </c>
      <c r="J238" s="141" t="inlineStr">
        <is>
          <t>J</t>
        </is>
      </c>
      <c r="K238" s="141" t="inlineStr">
        <is>
          <t>L</t>
        </is>
      </c>
    </row>
    <row r="239" ht="12.75" customHeight="1">
      <c r="A239" s="141" t="n">
        <v>238</v>
      </c>
      <c r="B239" s="141" t="inlineStr">
        <is>
          <t>ACDFHIKL</t>
        </is>
      </c>
      <c r="C239" s="141" t="inlineStr">
        <is>
          <t>A,C,D,F,H,I,K,L</t>
        </is>
      </c>
      <c r="D239" s="141" t="inlineStr">
        <is>
          <t>C</t>
        </is>
      </c>
      <c r="E239" s="141" t="inlineStr">
        <is>
          <t>D</t>
        </is>
      </c>
      <c r="F239" s="141" t="inlineStr">
        <is>
          <t>H</t>
        </is>
      </c>
      <c r="G239" s="141" t="inlineStr">
        <is>
          <t>K</t>
        </is>
      </c>
      <c r="H239" s="141" t="inlineStr">
        <is>
          <t>I</t>
        </is>
      </c>
      <c r="I239" s="141" t="inlineStr">
        <is>
          <t>A</t>
        </is>
      </c>
      <c r="J239" s="141" t="inlineStr">
        <is>
          <t>F</t>
        </is>
      </c>
      <c r="K239" s="141" t="inlineStr">
        <is>
          <t>L</t>
        </is>
      </c>
    </row>
    <row r="240" ht="12.75" customHeight="1">
      <c r="A240" s="141" t="n">
        <v>239</v>
      </c>
      <c r="B240" s="141" t="inlineStr">
        <is>
          <t>ACDFHIJL</t>
        </is>
      </c>
      <c r="C240" s="141" t="inlineStr">
        <is>
          <t>A,C,D,F,H,I,J,L</t>
        </is>
      </c>
      <c r="D240" s="141" t="inlineStr">
        <is>
          <t>C</t>
        </is>
      </c>
      <c r="E240" s="141" t="inlineStr">
        <is>
          <t>D</t>
        </is>
      </c>
      <c r="F240" s="141" t="inlineStr">
        <is>
          <t>H</t>
        </is>
      </c>
      <c r="G240" s="141" t="inlineStr">
        <is>
          <t>I</t>
        </is>
      </c>
      <c r="H240" s="141" t="inlineStr">
        <is>
          <t>F</t>
        </is>
      </c>
      <c r="I240" s="141" t="inlineStr">
        <is>
          <t>A</t>
        </is>
      </c>
      <c r="J240" s="141" t="inlineStr">
        <is>
          <t>J</t>
        </is>
      </c>
      <c r="K240" s="141" t="inlineStr">
        <is>
          <t>L</t>
        </is>
      </c>
    </row>
    <row r="241" ht="12.75" customHeight="1">
      <c r="A241" s="141" t="n">
        <v>240</v>
      </c>
      <c r="B241" s="141" t="inlineStr">
        <is>
          <t>ACDFHIJK</t>
        </is>
      </c>
      <c r="C241" s="141" t="inlineStr">
        <is>
          <t>A,C,D,F,H,I,J,K</t>
        </is>
      </c>
      <c r="D241" s="141" t="inlineStr">
        <is>
          <t>C</t>
        </is>
      </c>
      <c r="E241" s="141" t="inlineStr">
        <is>
          <t>D</t>
        </is>
      </c>
      <c r="F241" s="141" t="inlineStr">
        <is>
          <t>H</t>
        </is>
      </c>
      <c r="G241" s="141" t="inlineStr">
        <is>
          <t>K</t>
        </is>
      </c>
      <c r="H241" s="141" t="inlineStr">
        <is>
          <t>F</t>
        </is>
      </c>
      <c r="I241" s="141" t="inlineStr">
        <is>
          <t>A</t>
        </is>
      </c>
      <c r="J241" s="141" t="inlineStr">
        <is>
          <t>J</t>
        </is>
      </c>
      <c r="K241" s="141" t="inlineStr">
        <is>
          <t>I</t>
        </is>
      </c>
    </row>
    <row r="242" ht="12.75" customHeight="1">
      <c r="A242" s="141" t="n">
        <v>241</v>
      </c>
      <c r="B242" s="141" t="inlineStr">
        <is>
          <t>ACDFGJKL</t>
        </is>
      </c>
      <c r="C242" s="141" t="inlineStr">
        <is>
          <t>A,C,D,F,G,J,K,L</t>
        </is>
      </c>
      <c r="D242" s="141" t="inlineStr">
        <is>
          <t>D</t>
        </is>
      </c>
      <c r="E242" s="141" t="inlineStr">
        <is>
          <t>F</t>
        </is>
      </c>
      <c r="F242" s="141" t="inlineStr">
        <is>
          <t>C</t>
        </is>
      </c>
      <c r="G242" s="141" t="inlineStr">
        <is>
          <t>K</t>
        </is>
      </c>
      <c r="H242" s="141" t="inlineStr">
        <is>
          <t>J</t>
        </is>
      </c>
      <c r="I242" s="141" t="inlineStr">
        <is>
          <t>A</t>
        </is>
      </c>
      <c r="J242" s="141" t="inlineStr">
        <is>
          <t>G</t>
        </is>
      </c>
      <c r="K242" s="141" t="inlineStr">
        <is>
          <t>L</t>
        </is>
      </c>
    </row>
    <row r="243" ht="12.75" customHeight="1">
      <c r="A243" s="141" t="n">
        <v>242</v>
      </c>
      <c r="B243" s="141" t="inlineStr">
        <is>
          <t>ACDFGIKL</t>
        </is>
      </c>
      <c r="C243" s="141" t="inlineStr">
        <is>
          <t>A,C,D,F,G,I,K,L</t>
        </is>
      </c>
      <c r="D243" s="141" t="inlineStr">
        <is>
          <t>D</t>
        </is>
      </c>
      <c r="E243" s="141" t="inlineStr">
        <is>
          <t>F</t>
        </is>
      </c>
      <c r="F243" s="141" t="inlineStr">
        <is>
          <t>C</t>
        </is>
      </c>
      <c r="G243" s="141" t="inlineStr">
        <is>
          <t>K</t>
        </is>
      </c>
      <c r="H243" s="141" t="inlineStr">
        <is>
          <t>I</t>
        </is>
      </c>
      <c r="I243" s="141" t="inlineStr">
        <is>
          <t>A</t>
        </is>
      </c>
      <c r="J243" s="141" t="inlineStr">
        <is>
          <t>G</t>
        </is>
      </c>
      <c r="K243" s="141" t="inlineStr">
        <is>
          <t>L</t>
        </is>
      </c>
    </row>
    <row r="244" ht="12.75" customHeight="1">
      <c r="A244" s="141" t="n">
        <v>243</v>
      </c>
      <c r="B244" s="141" t="inlineStr">
        <is>
          <t>ACDFGIJL</t>
        </is>
      </c>
      <c r="C244" s="141" t="inlineStr">
        <is>
          <t>A,C,D,F,G,I,J,L</t>
        </is>
      </c>
      <c r="D244" s="141" t="inlineStr">
        <is>
          <t>D</t>
        </is>
      </c>
      <c r="E244" s="141" t="inlineStr">
        <is>
          <t>F</t>
        </is>
      </c>
      <c r="F244" s="141" t="inlineStr">
        <is>
          <t>C</t>
        </is>
      </c>
      <c r="G244" s="141" t="inlineStr">
        <is>
          <t>I</t>
        </is>
      </c>
      <c r="H244" s="141" t="inlineStr">
        <is>
          <t>J</t>
        </is>
      </c>
      <c r="I244" s="141" t="inlineStr">
        <is>
          <t>A</t>
        </is>
      </c>
      <c r="J244" s="141" t="inlineStr">
        <is>
          <t>G</t>
        </is>
      </c>
      <c r="K244" s="141" t="inlineStr">
        <is>
          <t>L</t>
        </is>
      </c>
    </row>
    <row r="245" ht="12.75" customHeight="1">
      <c r="A245" s="141" t="n">
        <v>244</v>
      </c>
      <c r="B245" s="141" t="inlineStr">
        <is>
          <t>ACDFGIJK</t>
        </is>
      </c>
      <c r="C245" s="141" t="inlineStr">
        <is>
          <t>A,C,D,F,G,I,J,K</t>
        </is>
      </c>
      <c r="D245" s="141" t="inlineStr">
        <is>
          <t>D</t>
        </is>
      </c>
      <c r="E245" s="141" t="inlineStr">
        <is>
          <t>F</t>
        </is>
      </c>
      <c r="F245" s="141" t="inlineStr">
        <is>
          <t>C</t>
        </is>
      </c>
      <c r="G245" s="141" t="inlineStr">
        <is>
          <t>K</t>
        </is>
      </c>
      <c r="H245" s="141" t="inlineStr">
        <is>
          <t>J</t>
        </is>
      </c>
      <c r="I245" s="141" t="inlineStr">
        <is>
          <t>A</t>
        </is>
      </c>
      <c r="J245" s="141" t="inlineStr">
        <is>
          <t>G</t>
        </is>
      </c>
      <c r="K245" s="141" t="inlineStr">
        <is>
          <t>I</t>
        </is>
      </c>
    </row>
    <row r="246" ht="12.75" customHeight="1">
      <c r="A246" s="141" t="n">
        <v>245</v>
      </c>
      <c r="B246" s="141" t="inlineStr">
        <is>
          <t>ACDFGHKL</t>
        </is>
      </c>
      <c r="C246" s="141" t="inlineStr">
        <is>
          <t>A,C,D,F,G,H,K,L</t>
        </is>
      </c>
      <c r="D246" s="141" t="inlineStr">
        <is>
          <t>C</t>
        </is>
      </c>
      <c r="E246" s="141" t="inlineStr">
        <is>
          <t>D</t>
        </is>
      </c>
      <c r="F246" s="141" t="inlineStr">
        <is>
          <t>H</t>
        </is>
      </c>
      <c r="G246" s="141" t="inlineStr">
        <is>
          <t>K</t>
        </is>
      </c>
      <c r="H246" s="141" t="inlineStr">
        <is>
          <t>F</t>
        </is>
      </c>
      <c r="I246" s="141" t="inlineStr">
        <is>
          <t>A</t>
        </is>
      </c>
      <c r="J246" s="141" t="inlineStr">
        <is>
          <t>G</t>
        </is>
      </c>
      <c r="K246" s="141" t="inlineStr">
        <is>
          <t>L</t>
        </is>
      </c>
    </row>
    <row r="247" ht="12.75" customHeight="1">
      <c r="A247" s="141" t="n">
        <v>246</v>
      </c>
      <c r="B247" s="141" t="inlineStr">
        <is>
          <t>ACDFGHJL</t>
        </is>
      </c>
      <c r="C247" s="141" t="inlineStr">
        <is>
          <t>A,C,D,F,G,H,J,L</t>
        </is>
      </c>
      <c r="D247" s="141" t="inlineStr">
        <is>
          <t>D</t>
        </is>
      </c>
      <c r="E247" s="141" t="inlineStr">
        <is>
          <t>F</t>
        </is>
      </c>
      <c r="F247" s="141" t="inlineStr">
        <is>
          <t>C</t>
        </is>
      </c>
      <c r="G247" s="141" t="inlineStr">
        <is>
          <t>H</t>
        </is>
      </c>
      <c r="H247" s="141" t="inlineStr">
        <is>
          <t>J</t>
        </is>
      </c>
      <c r="I247" s="141" t="inlineStr">
        <is>
          <t>A</t>
        </is>
      </c>
      <c r="J247" s="141" t="inlineStr">
        <is>
          <t>G</t>
        </is>
      </c>
      <c r="K247" s="141" t="inlineStr">
        <is>
          <t>L</t>
        </is>
      </c>
    </row>
    <row r="248" ht="12.75" customHeight="1">
      <c r="A248" s="141" t="n">
        <v>247</v>
      </c>
      <c r="B248" s="141" t="inlineStr">
        <is>
          <t>ACDFGHJK</t>
        </is>
      </c>
      <c r="C248" s="141" t="inlineStr">
        <is>
          <t>A,C,D,F,G,H,J,K</t>
        </is>
      </c>
      <c r="D248" s="141" t="inlineStr">
        <is>
          <t>C</t>
        </is>
      </c>
      <c r="E248" s="141" t="inlineStr">
        <is>
          <t>F</t>
        </is>
      </c>
      <c r="F248" s="141" t="inlineStr">
        <is>
          <t>H</t>
        </is>
      </c>
      <c r="G248" s="141" t="inlineStr">
        <is>
          <t>K</t>
        </is>
      </c>
      <c r="H248" s="141" t="inlineStr">
        <is>
          <t>J</t>
        </is>
      </c>
      <c r="I248" s="141" t="inlineStr">
        <is>
          <t>A</t>
        </is>
      </c>
      <c r="J248" s="141" t="inlineStr">
        <is>
          <t>G</t>
        </is>
      </c>
      <c r="K248" s="141" t="inlineStr">
        <is>
          <t>D</t>
        </is>
      </c>
    </row>
    <row r="249" ht="12.75" customHeight="1">
      <c r="A249" s="141" t="n">
        <v>248</v>
      </c>
      <c r="B249" s="141" t="inlineStr">
        <is>
          <t>ACDFGHIL</t>
        </is>
      </c>
      <c r="C249" s="141" t="inlineStr">
        <is>
          <t>A,C,D,F,G,H,I,L</t>
        </is>
      </c>
      <c r="D249" s="141" t="inlineStr">
        <is>
          <t>C</t>
        </is>
      </c>
      <c r="E249" s="141" t="inlineStr">
        <is>
          <t>D</t>
        </is>
      </c>
      <c r="F249" s="141" t="inlineStr">
        <is>
          <t>H</t>
        </is>
      </c>
      <c r="G249" s="141" t="inlineStr">
        <is>
          <t>I</t>
        </is>
      </c>
      <c r="H249" s="141" t="inlineStr">
        <is>
          <t>F</t>
        </is>
      </c>
      <c r="I249" s="141" t="inlineStr">
        <is>
          <t>A</t>
        </is>
      </c>
      <c r="J249" s="141" t="inlineStr">
        <is>
          <t>G</t>
        </is>
      </c>
      <c r="K249" s="141" t="inlineStr">
        <is>
          <t>L</t>
        </is>
      </c>
    </row>
    <row r="250" ht="12.75" customHeight="1">
      <c r="A250" s="141" t="n">
        <v>249</v>
      </c>
      <c r="B250" s="141" t="inlineStr">
        <is>
          <t>ACDFGHIK</t>
        </is>
      </c>
      <c r="C250" s="141" t="inlineStr">
        <is>
          <t>A,C,D,F,G,H,I,K</t>
        </is>
      </c>
      <c r="D250" s="141" t="inlineStr">
        <is>
          <t>C</t>
        </is>
      </c>
      <c r="E250" s="141" t="inlineStr">
        <is>
          <t>D</t>
        </is>
      </c>
      <c r="F250" s="141" t="inlineStr">
        <is>
          <t>H</t>
        </is>
      </c>
      <c r="G250" s="141" t="inlineStr">
        <is>
          <t>K</t>
        </is>
      </c>
      <c r="H250" s="141" t="inlineStr">
        <is>
          <t>F</t>
        </is>
      </c>
      <c r="I250" s="141" t="inlineStr">
        <is>
          <t>A</t>
        </is>
      </c>
      <c r="J250" s="141" t="inlineStr">
        <is>
          <t>G</t>
        </is>
      </c>
      <c r="K250" s="141" t="inlineStr">
        <is>
          <t>I</t>
        </is>
      </c>
    </row>
    <row r="251" ht="12.75" customHeight="1">
      <c r="A251" s="141" t="n">
        <v>250</v>
      </c>
      <c r="B251" s="141" t="inlineStr">
        <is>
          <t>ACDFGHIJ</t>
        </is>
      </c>
      <c r="C251" s="141" t="inlineStr">
        <is>
          <t>A,C,D,F,G,H,I,J</t>
        </is>
      </c>
      <c r="D251" s="141" t="inlineStr">
        <is>
          <t>C</t>
        </is>
      </c>
      <c r="E251" s="141" t="inlineStr">
        <is>
          <t>F</t>
        </is>
      </c>
      <c r="F251" s="141" t="inlineStr">
        <is>
          <t>H</t>
        </is>
      </c>
      <c r="G251" s="141" t="inlineStr">
        <is>
          <t>I</t>
        </is>
      </c>
      <c r="H251" s="141" t="inlineStr">
        <is>
          <t>J</t>
        </is>
      </c>
      <c r="I251" s="141" t="inlineStr">
        <is>
          <t>A</t>
        </is>
      </c>
      <c r="J251" s="141" t="inlineStr">
        <is>
          <t>G</t>
        </is>
      </c>
      <c r="K251" s="141" t="inlineStr">
        <is>
          <t>D</t>
        </is>
      </c>
    </row>
    <row r="252" ht="12.75" customHeight="1">
      <c r="A252" s="141" t="n">
        <v>251</v>
      </c>
      <c r="B252" s="141" t="inlineStr">
        <is>
          <t>ACDEIJKL</t>
        </is>
      </c>
      <c r="C252" s="141" t="inlineStr">
        <is>
          <t>A,C,D,E,I,J,K,L</t>
        </is>
      </c>
      <c r="D252" s="141" t="inlineStr">
        <is>
          <t>C</t>
        </is>
      </c>
      <c r="E252" s="141" t="inlineStr">
        <is>
          <t>D</t>
        </is>
      </c>
      <c r="F252" s="141" t="inlineStr">
        <is>
          <t>E</t>
        </is>
      </c>
      <c r="G252" s="141" t="inlineStr">
        <is>
          <t>K</t>
        </is>
      </c>
      <c r="H252" s="141" t="inlineStr">
        <is>
          <t>I</t>
        </is>
      </c>
      <c r="I252" s="141" t="inlineStr">
        <is>
          <t>A</t>
        </is>
      </c>
      <c r="J252" s="141" t="inlineStr">
        <is>
          <t>J</t>
        </is>
      </c>
      <c r="K252" s="141" t="inlineStr">
        <is>
          <t>L</t>
        </is>
      </c>
    </row>
    <row r="253" ht="12.75" customHeight="1">
      <c r="A253" s="141" t="n">
        <v>252</v>
      </c>
      <c r="B253" s="141" t="inlineStr">
        <is>
          <t>ACDEHJKL</t>
        </is>
      </c>
      <c r="C253" s="141" t="inlineStr">
        <is>
          <t>A,C,D,E,H,J,K,L</t>
        </is>
      </c>
      <c r="D253" s="141" t="inlineStr">
        <is>
          <t>C</t>
        </is>
      </c>
      <c r="E253" s="141" t="inlineStr">
        <is>
          <t>D</t>
        </is>
      </c>
      <c r="F253" s="141" t="inlineStr">
        <is>
          <t>H</t>
        </is>
      </c>
      <c r="G253" s="141" t="inlineStr">
        <is>
          <t>K</t>
        </is>
      </c>
      <c r="H253" s="141" t="inlineStr">
        <is>
          <t>E</t>
        </is>
      </c>
      <c r="I253" s="141" t="inlineStr">
        <is>
          <t>A</t>
        </is>
      </c>
      <c r="J253" s="141" t="inlineStr">
        <is>
          <t>J</t>
        </is>
      </c>
      <c r="K253" s="141" t="inlineStr">
        <is>
          <t>L</t>
        </is>
      </c>
    </row>
    <row r="254" ht="12.75" customHeight="1">
      <c r="A254" s="141" t="n">
        <v>253</v>
      </c>
      <c r="B254" s="141" t="inlineStr">
        <is>
          <t>ACDEHIKL</t>
        </is>
      </c>
      <c r="C254" s="141" t="inlineStr">
        <is>
          <t>A,C,D,E,H,I,K,L</t>
        </is>
      </c>
      <c r="D254" s="141" t="inlineStr">
        <is>
          <t>C</t>
        </is>
      </c>
      <c r="E254" s="141" t="inlineStr">
        <is>
          <t>D</t>
        </is>
      </c>
      <c r="F254" s="141" t="inlineStr">
        <is>
          <t>H</t>
        </is>
      </c>
      <c r="G254" s="141" t="inlineStr">
        <is>
          <t>K</t>
        </is>
      </c>
      <c r="H254" s="141" t="inlineStr">
        <is>
          <t>I</t>
        </is>
      </c>
      <c r="I254" s="141" t="inlineStr">
        <is>
          <t>A</t>
        </is>
      </c>
      <c r="J254" s="141" t="inlineStr">
        <is>
          <t>E</t>
        </is>
      </c>
      <c r="K254" s="141" t="inlineStr">
        <is>
          <t>L</t>
        </is>
      </c>
    </row>
    <row r="255" ht="12.75" customHeight="1">
      <c r="A255" s="141" t="n">
        <v>254</v>
      </c>
      <c r="B255" s="141" t="inlineStr">
        <is>
          <t>ACDEHIJL</t>
        </is>
      </c>
      <c r="C255" s="141" t="inlineStr">
        <is>
          <t>A,C,D,E,H,I,J,L</t>
        </is>
      </c>
      <c r="D255" s="141" t="inlineStr">
        <is>
          <t>C</t>
        </is>
      </c>
      <c r="E255" s="141" t="inlineStr">
        <is>
          <t>D</t>
        </is>
      </c>
      <c r="F255" s="141" t="inlineStr">
        <is>
          <t>H</t>
        </is>
      </c>
      <c r="G255" s="141" t="inlineStr">
        <is>
          <t>I</t>
        </is>
      </c>
      <c r="H255" s="141" t="inlineStr">
        <is>
          <t>E</t>
        </is>
      </c>
      <c r="I255" s="141" t="inlineStr">
        <is>
          <t>A</t>
        </is>
      </c>
      <c r="J255" s="141" t="inlineStr">
        <is>
          <t>J</t>
        </is>
      </c>
      <c r="K255" s="141" t="inlineStr">
        <is>
          <t>L</t>
        </is>
      </c>
    </row>
    <row r="256" ht="12.75" customHeight="1">
      <c r="A256" s="141" t="n">
        <v>255</v>
      </c>
      <c r="B256" s="141" t="inlineStr">
        <is>
          <t>ACDEHIJK</t>
        </is>
      </c>
      <c r="C256" s="141" t="inlineStr">
        <is>
          <t>A,C,D,E,H,I,J,K</t>
        </is>
      </c>
      <c r="D256" s="141" t="inlineStr">
        <is>
          <t>C</t>
        </is>
      </c>
      <c r="E256" s="141" t="inlineStr">
        <is>
          <t>D</t>
        </is>
      </c>
      <c r="F256" s="141" t="inlineStr">
        <is>
          <t>H</t>
        </is>
      </c>
      <c r="G256" s="141" t="inlineStr">
        <is>
          <t>K</t>
        </is>
      </c>
      <c r="H256" s="141" t="inlineStr">
        <is>
          <t>E</t>
        </is>
      </c>
      <c r="I256" s="141" t="inlineStr">
        <is>
          <t>A</t>
        </is>
      </c>
      <c r="J256" s="141" t="inlineStr">
        <is>
          <t>J</t>
        </is>
      </c>
      <c r="K256" s="141" t="inlineStr">
        <is>
          <t>I</t>
        </is>
      </c>
    </row>
    <row r="257" ht="12.75" customHeight="1">
      <c r="A257" s="141" t="n">
        <v>256</v>
      </c>
      <c r="B257" s="141" t="inlineStr">
        <is>
          <t>ACDEGJKL</t>
        </is>
      </c>
      <c r="C257" s="141" t="inlineStr">
        <is>
          <t>A,C,D,E,G,J,K,L</t>
        </is>
      </c>
      <c r="D257" s="141" t="inlineStr">
        <is>
          <t>C</t>
        </is>
      </c>
      <c r="E257" s="141" t="inlineStr">
        <is>
          <t>D</t>
        </is>
      </c>
      <c r="F257" s="141" t="inlineStr">
        <is>
          <t>E</t>
        </is>
      </c>
      <c r="G257" s="141" t="inlineStr">
        <is>
          <t>K</t>
        </is>
      </c>
      <c r="H257" s="141" t="inlineStr">
        <is>
          <t>J</t>
        </is>
      </c>
      <c r="I257" s="141" t="inlineStr">
        <is>
          <t>A</t>
        </is>
      </c>
      <c r="J257" s="141" t="inlineStr">
        <is>
          <t>G</t>
        </is>
      </c>
      <c r="K257" s="141" t="inlineStr">
        <is>
          <t>L</t>
        </is>
      </c>
    </row>
    <row r="258" ht="12.75" customHeight="1">
      <c r="A258" s="141" t="n">
        <v>257</v>
      </c>
      <c r="B258" s="141" t="inlineStr">
        <is>
          <t>ACDEGIKL</t>
        </is>
      </c>
      <c r="C258" s="141" t="inlineStr">
        <is>
          <t>A,C,D,E,G,I,K,L</t>
        </is>
      </c>
      <c r="D258" s="141" t="inlineStr">
        <is>
          <t>C</t>
        </is>
      </c>
      <c r="E258" s="141" t="inlineStr">
        <is>
          <t>D</t>
        </is>
      </c>
      <c r="F258" s="141" t="inlineStr">
        <is>
          <t>E</t>
        </is>
      </c>
      <c r="G258" s="141" t="inlineStr">
        <is>
          <t>K</t>
        </is>
      </c>
      <c r="H258" s="141" t="inlineStr">
        <is>
          <t>I</t>
        </is>
      </c>
      <c r="I258" s="141" t="inlineStr">
        <is>
          <t>A</t>
        </is>
      </c>
      <c r="J258" s="141" t="inlineStr">
        <is>
          <t>G</t>
        </is>
      </c>
      <c r="K258" s="141" t="inlineStr">
        <is>
          <t>L</t>
        </is>
      </c>
    </row>
    <row r="259" ht="12.75" customHeight="1">
      <c r="A259" s="141" t="n">
        <v>258</v>
      </c>
      <c r="B259" s="141" t="inlineStr">
        <is>
          <t>ACDEGIJL</t>
        </is>
      </c>
      <c r="C259" s="141" t="inlineStr">
        <is>
          <t>A,C,D,E,G,I,J,L</t>
        </is>
      </c>
      <c r="D259" s="141" t="inlineStr">
        <is>
          <t>C</t>
        </is>
      </c>
      <c r="E259" s="141" t="inlineStr">
        <is>
          <t>D</t>
        </is>
      </c>
      <c r="F259" s="141" t="inlineStr">
        <is>
          <t>E</t>
        </is>
      </c>
      <c r="G259" s="141" t="inlineStr">
        <is>
          <t>I</t>
        </is>
      </c>
      <c r="H259" s="141" t="inlineStr">
        <is>
          <t>J</t>
        </is>
      </c>
      <c r="I259" s="141" t="inlineStr">
        <is>
          <t>A</t>
        </is>
      </c>
      <c r="J259" s="141" t="inlineStr">
        <is>
          <t>G</t>
        </is>
      </c>
      <c r="K259" s="141" t="inlineStr">
        <is>
          <t>L</t>
        </is>
      </c>
    </row>
    <row r="260" ht="12.75" customHeight="1">
      <c r="A260" s="141" t="n">
        <v>259</v>
      </c>
      <c r="B260" s="141" t="inlineStr">
        <is>
          <t>ACDEGIJK</t>
        </is>
      </c>
      <c r="C260" s="141" t="inlineStr">
        <is>
          <t>A,C,D,E,G,I,J,K</t>
        </is>
      </c>
      <c r="D260" s="141" t="inlineStr">
        <is>
          <t>C</t>
        </is>
      </c>
      <c r="E260" s="141" t="inlineStr">
        <is>
          <t>D</t>
        </is>
      </c>
      <c r="F260" s="141" t="inlineStr">
        <is>
          <t>E</t>
        </is>
      </c>
      <c r="G260" s="141" t="inlineStr">
        <is>
          <t>K</t>
        </is>
      </c>
      <c r="H260" s="141" t="inlineStr">
        <is>
          <t>J</t>
        </is>
      </c>
      <c r="I260" s="141" t="inlineStr">
        <is>
          <t>A</t>
        </is>
      </c>
      <c r="J260" s="141" t="inlineStr">
        <is>
          <t>G</t>
        </is>
      </c>
      <c r="K260" s="141" t="inlineStr">
        <is>
          <t>I</t>
        </is>
      </c>
    </row>
    <row r="261" ht="12.75" customHeight="1">
      <c r="A261" s="141" t="n">
        <v>260</v>
      </c>
      <c r="B261" s="141" t="inlineStr">
        <is>
          <t>ACDEGHKL</t>
        </is>
      </c>
      <c r="C261" s="141" t="inlineStr">
        <is>
          <t>A,C,D,E,G,H,K,L</t>
        </is>
      </c>
      <c r="D261" s="141" t="inlineStr">
        <is>
          <t>C</t>
        </is>
      </c>
      <c r="E261" s="141" t="inlineStr">
        <is>
          <t>D</t>
        </is>
      </c>
      <c r="F261" s="141" t="inlineStr">
        <is>
          <t>H</t>
        </is>
      </c>
      <c r="G261" s="141" t="inlineStr">
        <is>
          <t>K</t>
        </is>
      </c>
      <c r="H261" s="141" t="inlineStr">
        <is>
          <t>E</t>
        </is>
      </c>
      <c r="I261" s="141" t="inlineStr">
        <is>
          <t>A</t>
        </is>
      </c>
      <c r="J261" s="141" t="inlineStr">
        <is>
          <t>G</t>
        </is>
      </c>
      <c r="K261" s="141" t="inlineStr">
        <is>
          <t>L</t>
        </is>
      </c>
    </row>
    <row r="262" ht="12.75" customHeight="1">
      <c r="A262" s="141" t="n">
        <v>261</v>
      </c>
      <c r="B262" s="141" t="inlineStr">
        <is>
          <t>ACDEGHJL</t>
        </is>
      </c>
      <c r="C262" s="141" t="inlineStr">
        <is>
          <t>A,C,D,E,G,H,J,L</t>
        </is>
      </c>
      <c r="D262" s="141" t="inlineStr">
        <is>
          <t>C</t>
        </is>
      </c>
      <c r="E262" s="141" t="inlineStr">
        <is>
          <t>D</t>
        </is>
      </c>
      <c r="F262" s="141" t="inlineStr">
        <is>
          <t>H</t>
        </is>
      </c>
      <c r="G262" s="141" t="inlineStr">
        <is>
          <t>E</t>
        </is>
      </c>
      <c r="H262" s="141" t="inlineStr">
        <is>
          <t>J</t>
        </is>
      </c>
      <c r="I262" s="141" t="inlineStr">
        <is>
          <t>A</t>
        </is>
      </c>
      <c r="J262" s="141" t="inlineStr">
        <is>
          <t>G</t>
        </is>
      </c>
      <c r="K262" s="141" t="inlineStr">
        <is>
          <t>L</t>
        </is>
      </c>
    </row>
    <row r="263" ht="12.75" customHeight="1">
      <c r="A263" s="141" t="n">
        <v>262</v>
      </c>
      <c r="B263" s="141" t="inlineStr">
        <is>
          <t>ACDEGHJK</t>
        </is>
      </c>
      <c r="C263" s="141" t="inlineStr">
        <is>
          <t>A,C,D,E,G,H,J,K</t>
        </is>
      </c>
      <c r="D263" s="141" t="inlineStr">
        <is>
          <t>C</t>
        </is>
      </c>
      <c r="E263" s="141" t="inlineStr">
        <is>
          <t>D</t>
        </is>
      </c>
      <c r="F263" s="141" t="inlineStr">
        <is>
          <t>H</t>
        </is>
      </c>
      <c r="G263" s="141" t="inlineStr">
        <is>
          <t>K</t>
        </is>
      </c>
      <c r="H263" s="141" t="inlineStr">
        <is>
          <t>J</t>
        </is>
      </c>
      <c r="I263" s="141" t="inlineStr">
        <is>
          <t>A</t>
        </is>
      </c>
      <c r="J263" s="141" t="inlineStr">
        <is>
          <t>G</t>
        </is>
      </c>
      <c r="K263" s="141" t="inlineStr">
        <is>
          <t>E</t>
        </is>
      </c>
    </row>
    <row r="264" ht="12.75" customHeight="1">
      <c r="A264" s="141" t="n">
        <v>263</v>
      </c>
      <c r="B264" s="141" t="inlineStr">
        <is>
          <t>ACDEGHIL</t>
        </is>
      </c>
      <c r="C264" s="141" t="inlineStr">
        <is>
          <t>A,C,D,E,G,H,I,L</t>
        </is>
      </c>
      <c r="D264" s="141" t="inlineStr">
        <is>
          <t>C</t>
        </is>
      </c>
      <c r="E264" s="141" t="inlineStr">
        <is>
          <t>D</t>
        </is>
      </c>
      <c r="F264" s="141" t="inlineStr">
        <is>
          <t>H</t>
        </is>
      </c>
      <c r="G264" s="141" t="inlineStr">
        <is>
          <t>I</t>
        </is>
      </c>
      <c r="H264" s="141" t="inlineStr">
        <is>
          <t>E</t>
        </is>
      </c>
      <c r="I264" s="141" t="inlineStr">
        <is>
          <t>A</t>
        </is>
      </c>
      <c r="J264" s="141" t="inlineStr">
        <is>
          <t>G</t>
        </is>
      </c>
      <c r="K264" s="141" t="inlineStr">
        <is>
          <t>L</t>
        </is>
      </c>
    </row>
    <row r="265" ht="12.75" customHeight="1">
      <c r="A265" s="141" t="n">
        <v>264</v>
      </c>
      <c r="B265" s="141" t="inlineStr">
        <is>
          <t>ACDEGHIK</t>
        </is>
      </c>
      <c r="C265" s="141" t="inlineStr">
        <is>
          <t>A,C,D,E,G,H,I,K</t>
        </is>
      </c>
      <c r="D265" s="141" t="inlineStr">
        <is>
          <t>C</t>
        </is>
      </c>
      <c r="E265" s="141" t="inlineStr">
        <is>
          <t>D</t>
        </is>
      </c>
      <c r="F265" s="141" t="inlineStr">
        <is>
          <t>H</t>
        </is>
      </c>
      <c r="G265" s="141" t="inlineStr">
        <is>
          <t>K</t>
        </is>
      </c>
      <c r="H265" s="141" t="inlineStr">
        <is>
          <t>E</t>
        </is>
      </c>
      <c r="I265" s="141" t="inlineStr">
        <is>
          <t>A</t>
        </is>
      </c>
      <c r="J265" s="141" t="inlineStr">
        <is>
          <t>G</t>
        </is>
      </c>
      <c r="K265" s="141" t="inlineStr">
        <is>
          <t>I</t>
        </is>
      </c>
    </row>
    <row r="266" ht="12.75" customHeight="1">
      <c r="A266" s="141" t="n">
        <v>265</v>
      </c>
      <c r="B266" s="141" t="inlineStr">
        <is>
          <t>ACDEGHIJ</t>
        </is>
      </c>
      <c r="C266" s="141" t="inlineStr">
        <is>
          <t>A,C,D,E,G,H,I,J</t>
        </is>
      </c>
      <c r="D266" s="141" t="inlineStr">
        <is>
          <t>C</t>
        </is>
      </c>
      <c r="E266" s="141" t="inlineStr">
        <is>
          <t>D</t>
        </is>
      </c>
      <c r="F266" s="141" t="inlineStr">
        <is>
          <t>H</t>
        </is>
      </c>
      <c r="G266" s="141" t="inlineStr">
        <is>
          <t>I</t>
        </is>
      </c>
      <c r="H266" s="141" t="inlineStr">
        <is>
          <t>J</t>
        </is>
      </c>
      <c r="I266" s="141" t="inlineStr">
        <is>
          <t>A</t>
        </is>
      </c>
      <c r="J266" s="141" t="inlineStr">
        <is>
          <t>G</t>
        </is>
      </c>
      <c r="K266" s="141" t="inlineStr">
        <is>
          <t>E</t>
        </is>
      </c>
    </row>
    <row r="267" ht="12.75" customHeight="1">
      <c r="A267" s="141" t="n">
        <v>266</v>
      </c>
      <c r="B267" s="141" t="inlineStr">
        <is>
          <t>ACDEFJKL</t>
        </is>
      </c>
      <c r="C267" s="141" t="inlineStr">
        <is>
          <t>A,C,D,E,F,J,K,L</t>
        </is>
      </c>
      <c r="D267" s="141" t="inlineStr">
        <is>
          <t>D</t>
        </is>
      </c>
      <c r="E267" s="141" t="inlineStr">
        <is>
          <t>F</t>
        </is>
      </c>
      <c r="F267" s="141" t="inlineStr">
        <is>
          <t>C</t>
        </is>
      </c>
      <c r="G267" s="141" t="inlineStr">
        <is>
          <t>K</t>
        </is>
      </c>
      <c r="H267" s="141" t="inlineStr">
        <is>
          <t>E</t>
        </is>
      </c>
      <c r="I267" s="141" t="inlineStr">
        <is>
          <t>A</t>
        </is>
      </c>
      <c r="J267" s="141" t="inlineStr">
        <is>
          <t>J</t>
        </is>
      </c>
      <c r="K267" s="141" t="inlineStr">
        <is>
          <t>L</t>
        </is>
      </c>
    </row>
    <row r="268" ht="12.75" customHeight="1">
      <c r="A268" s="141" t="n">
        <v>267</v>
      </c>
      <c r="B268" s="141" t="inlineStr">
        <is>
          <t>ACDEFIKL</t>
        </is>
      </c>
      <c r="C268" s="141" t="inlineStr">
        <is>
          <t>A,C,D,E,F,I,K,L</t>
        </is>
      </c>
      <c r="D268" s="141" t="inlineStr">
        <is>
          <t>D</t>
        </is>
      </c>
      <c r="E268" s="141" t="inlineStr">
        <is>
          <t>F</t>
        </is>
      </c>
      <c r="F268" s="141" t="inlineStr">
        <is>
          <t>C</t>
        </is>
      </c>
      <c r="G268" s="141" t="inlineStr">
        <is>
          <t>K</t>
        </is>
      </c>
      <c r="H268" s="141" t="inlineStr">
        <is>
          <t>I</t>
        </is>
      </c>
      <c r="I268" s="141" t="inlineStr">
        <is>
          <t>A</t>
        </is>
      </c>
      <c r="J268" s="141" t="inlineStr">
        <is>
          <t>E</t>
        </is>
      </c>
      <c r="K268" s="141" t="inlineStr">
        <is>
          <t>L</t>
        </is>
      </c>
    </row>
    <row r="269" ht="12.75" customHeight="1">
      <c r="A269" s="141" t="n">
        <v>268</v>
      </c>
      <c r="B269" s="141" t="inlineStr">
        <is>
          <t>ACDEFIJL</t>
        </is>
      </c>
      <c r="C269" s="141" t="inlineStr">
        <is>
          <t>A,C,D,E,F,I,J,L</t>
        </is>
      </c>
      <c r="D269" s="141" t="inlineStr">
        <is>
          <t>D</t>
        </is>
      </c>
      <c r="E269" s="141" t="inlineStr">
        <is>
          <t>F</t>
        </is>
      </c>
      <c r="F269" s="141" t="inlineStr">
        <is>
          <t>C</t>
        </is>
      </c>
      <c r="G269" s="141" t="inlineStr">
        <is>
          <t>I</t>
        </is>
      </c>
      <c r="H269" s="141" t="inlineStr">
        <is>
          <t>E</t>
        </is>
      </c>
      <c r="I269" s="141" t="inlineStr">
        <is>
          <t>A</t>
        </is>
      </c>
      <c r="J269" s="141" t="inlineStr">
        <is>
          <t>J</t>
        </is>
      </c>
      <c r="K269" s="141" t="inlineStr">
        <is>
          <t>L</t>
        </is>
      </c>
    </row>
    <row r="270" ht="12.75" customHeight="1">
      <c r="A270" s="141" t="n">
        <v>269</v>
      </c>
      <c r="B270" s="141" t="inlineStr">
        <is>
          <t>ACDEFIJK</t>
        </is>
      </c>
      <c r="C270" s="141" t="inlineStr">
        <is>
          <t>A,C,D,E,F,I,J,K</t>
        </is>
      </c>
      <c r="D270" s="141" t="inlineStr">
        <is>
          <t>D</t>
        </is>
      </c>
      <c r="E270" s="141" t="inlineStr">
        <is>
          <t>F</t>
        </is>
      </c>
      <c r="F270" s="141" t="inlineStr">
        <is>
          <t>C</t>
        </is>
      </c>
      <c r="G270" s="141" t="inlineStr">
        <is>
          <t>K</t>
        </is>
      </c>
      <c r="H270" s="141" t="inlineStr">
        <is>
          <t>E</t>
        </is>
      </c>
      <c r="I270" s="141" t="inlineStr">
        <is>
          <t>A</t>
        </is>
      </c>
      <c r="J270" s="141" t="inlineStr">
        <is>
          <t>J</t>
        </is>
      </c>
      <c r="K270" s="141" t="inlineStr">
        <is>
          <t>I</t>
        </is>
      </c>
    </row>
    <row r="271" ht="12.75" customHeight="1">
      <c r="A271" s="141" t="n">
        <v>270</v>
      </c>
      <c r="B271" s="141" t="inlineStr">
        <is>
          <t>ACDEFHKL</t>
        </is>
      </c>
      <c r="C271" s="141" t="inlineStr">
        <is>
          <t>A,C,D,E,F,H,K,L</t>
        </is>
      </c>
      <c r="D271" s="141" t="inlineStr">
        <is>
          <t>C</t>
        </is>
      </c>
      <c r="E271" s="141" t="inlineStr">
        <is>
          <t>D</t>
        </is>
      </c>
      <c r="F271" s="141" t="inlineStr">
        <is>
          <t>H</t>
        </is>
      </c>
      <c r="G271" s="141" t="inlineStr">
        <is>
          <t>K</t>
        </is>
      </c>
      <c r="H271" s="141" t="inlineStr">
        <is>
          <t>F</t>
        </is>
      </c>
      <c r="I271" s="141" t="inlineStr">
        <is>
          <t>A</t>
        </is>
      </c>
      <c r="J271" s="141" t="inlineStr">
        <is>
          <t>E</t>
        </is>
      </c>
      <c r="K271" s="141" t="inlineStr">
        <is>
          <t>L</t>
        </is>
      </c>
    </row>
    <row r="272" ht="12.75" customHeight="1">
      <c r="A272" s="141" t="n">
        <v>271</v>
      </c>
      <c r="B272" s="141" t="inlineStr">
        <is>
          <t>ACDEFHJL</t>
        </is>
      </c>
      <c r="C272" s="141" t="inlineStr">
        <is>
          <t>A,C,D,E,F,H,J,L</t>
        </is>
      </c>
      <c r="D272" s="141" t="inlineStr">
        <is>
          <t>C</t>
        </is>
      </c>
      <c r="E272" s="141" t="inlineStr">
        <is>
          <t>D</t>
        </is>
      </c>
      <c r="F272" s="141" t="inlineStr">
        <is>
          <t>H</t>
        </is>
      </c>
      <c r="G272" s="141" t="inlineStr">
        <is>
          <t>E</t>
        </is>
      </c>
      <c r="H272" s="141" t="inlineStr">
        <is>
          <t>F</t>
        </is>
      </c>
      <c r="I272" s="141" t="inlineStr">
        <is>
          <t>A</t>
        </is>
      </c>
      <c r="J272" s="141" t="inlineStr">
        <is>
          <t>J</t>
        </is>
      </c>
      <c r="K272" s="141" t="inlineStr">
        <is>
          <t>L</t>
        </is>
      </c>
    </row>
    <row r="273" ht="12.75" customHeight="1">
      <c r="A273" s="141" t="n">
        <v>272</v>
      </c>
      <c r="B273" s="141" t="inlineStr">
        <is>
          <t>ACDEFHJK</t>
        </is>
      </c>
      <c r="C273" s="141" t="inlineStr">
        <is>
          <t>A,C,D,E,F,H,J,K</t>
        </is>
      </c>
      <c r="D273" s="141" t="inlineStr">
        <is>
          <t>C</t>
        </is>
      </c>
      <c r="E273" s="141" t="inlineStr">
        <is>
          <t>F</t>
        </is>
      </c>
      <c r="F273" s="141" t="inlineStr">
        <is>
          <t>H</t>
        </is>
      </c>
      <c r="G273" s="141" t="inlineStr">
        <is>
          <t>K</t>
        </is>
      </c>
      <c r="H273" s="141" t="inlineStr">
        <is>
          <t>E</t>
        </is>
      </c>
      <c r="I273" s="141" t="inlineStr">
        <is>
          <t>A</t>
        </is>
      </c>
      <c r="J273" s="141" t="inlineStr">
        <is>
          <t>J</t>
        </is>
      </c>
      <c r="K273" s="141" t="inlineStr">
        <is>
          <t>D</t>
        </is>
      </c>
    </row>
    <row r="274" ht="12.75" customHeight="1">
      <c r="A274" s="141" t="n">
        <v>273</v>
      </c>
      <c r="B274" s="141" t="inlineStr">
        <is>
          <t>ACDEFHIL</t>
        </is>
      </c>
      <c r="C274" s="141" t="inlineStr">
        <is>
          <t>A,C,D,E,F,H,I,L</t>
        </is>
      </c>
      <c r="D274" s="141" t="inlineStr">
        <is>
          <t>C</t>
        </is>
      </c>
      <c r="E274" s="141" t="inlineStr">
        <is>
          <t>D</t>
        </is>
      </c>
      <c r="F274" s="141" t="inlineStr">
        <is>
          <t>H</t>
        </is>
      </c>
      <c r="G274" s="141" t="inlineStr">
        <is>
          <t>I</t>
        </is>
      </c>
      <c r="H274" s="141" t="inlineStr">
        <is>
          <t>F</t>
        </is>
      </c>
      <c r="I274" s="141" t="inlineStr">
        <is>
          <t>A</t>
        </is>
      </c>
      <c r="J274" s="141" t="inlineStr">
        <is>
          <t>E</t>
        </is>
      </c>
      <c r="K274" s="141" t="inlineStr">
        <is>
          <t>L</t>
        </is>
      </c>
    </row>
    <row r="275" ht="12.75" customHeight="1">
      <c r="A275" s="141" t="n">
        <v>274</v>
      </c>
      <c r="B275" s="141" t="inlineStr">
        <is>
          <t>ACDEFHIK</t>
        </is>
      </c>
      <c r="C275" s="141" t="inlineStr">
        <is>
          <t>A,C,D,E,F,H,I,K</t>
        </is>
      </c>
      <c r="D275" s="141" t="inlineStr">
        <is>
          <t>C</t>
        </is>
      </c>
      <c r="E275" s="141" t="inlineStr">
        <is>
          <t>D</t>
        </is>
      </c>
      <c r="F275" s="141" t="inlineStr">
        <is>
          <t>H</t>
        </is>
      </c>
      <c r="G275" s="141" t="inlineStr">
        <is>
          <t>K</t>
        </is>
      </c>
      <c r="H275" s="141" t="inlineStr">
        <is>
          <t>F</t>
        </is>
      </c>
      <c r="I275" s="141" t="inlineStr">
        <is>
          <t>A</t>
        </is>
      </c>
      <c r="J275" s="141" t="inlineStr">
        <is>
          <t>E</t>
        </is>
      </c>
      <c r="K275" s="141" t="inlineStr">
        <is>
          <t>I</t>
        </is>
      </c>
    </row>
    <row r="276" ht="12.75" customHeight="1">
      <c r="A276" s="141" t="n">
        <v>275</v>
      </c>
      <c r="B276" s="141" t="inlineStr">
        <is>
          <t>ACDEFHIJ</t>
        </is>
      </c>
      <c r="C276" s="141" t="inlineStr">
        <is>
          <t>A,C,D,E,F,H,I,J</t>
        </is>
      </c>
      <c r="D276" s="141" t="inlineStr">
        <is>
          <t>C</t>
        </is>
      </c>
      <c r="E276" s="141" t="inlineStr">
        <is>
          <t>F</t>
        </is>
      </c>
      <c r="F276" s="141" t="inlineStr">
        <is>
          <t>H</t>
        </is>
      </c>
      <c r="G276" s="141" t="inlineStr">
        <is>
          <t>I</t>
        </is>
      </c>
      <c r="H276" s="141" t="inlineStr">
        <is>
          <t>E</t>
        </is>
      </c>
      <c r="I276" s="141" t="inlineStr">
        <is>
          <t>A</t>
        </is>
      </c>
      <c r="J276" s="141" t="inlineStr">
        <is>
          <t>J</t>
        </is>
      </c>
      <c r="K276" s="141" t="inlineStr">
        <is>
          <t>D</t>
        </is>
      </c>
    </row>
    <row r="277" ht="12.75" customHeight="1">
      <c r="A277" s="141" t="n">
        <v>276</v>
      </c>
      <c r="B277" s="141" t="inlineStr">
        <is>
          <t>ACDEFGKL</t>
        </is>
      </c>
      <c r="C277" s="141" t="inlineStr">
        <is>
          <t>A,C,D,E,F,G,K,L</t>
        </is>
      </c>
      <c r="D277" s="141" t="inlineStr">
        <is>
          <t>D</t>
        </is>
      </c>
      <c r="E277" s="141" t="inlineStr">
        <is>
          <t>F</t>
        </is>
      </c>
      <c r="F277" s="141" t="inlineStr">
        <is>
          <t>C</t>
        </is>
      </c>
      <c r="G277" s="141" t="inlineStr">
        <is>
          <t>K</t>
        </is>
      </c>
      <c r="H277" s="141" t="inlineStr">
        <is>
          <t>E</t>
        </is>
      </c>
      <c r="I277" s="141" t="inlineStr">
        <is>
          <t>A</t>
        </is>
      </c>
      <c r="J277" s="141" t="inlineStr">
        <is>
          <t>G</t>
        </is>
      </c>
      <c r="K277" s="141" t="inlineStr">
        <is>
          <t>L</t>
        </is>
      </c>
    </row>
    <row r="278" ht="12.75" customHeight="1">
      <c r="A278" s="141" t="n">
        <v>277</v>
      </c>
      <c r="B278" s="141" t="inlineStr">
        <is>
          <t>ACDEFGJL</t>
        </is>
      </c>
      <c r="C278" s="141" t="inlineStr">
        <is>
          <t>A,C,D,E,F,G,J,L</t>
        </is>
      </c>
      <c r="D278" s="141" t="inlineStr">
        <is>
          <t>D</t>
        </is>
      </c>
      <c r="E278" s="141" t="inlineStr">
        <is>
          <t>F</t>
        </is>
      </c>
      <c r="F278" s="141" t="inlineStr">
        <is>
          <t>C</t>
        </is>
      </c>
      <c r="G278" s="141" t="inlineStr">
        <is>
          <t>E</t>
        </is>
      </c>
      <c r="H278" s="141" t="inlineStr">
        <is>
          <t>J</t>
        </is>
      </c>
      <c r="I278" s="141" t="inlineStr">
        <is>
          <t>A</t>
        </is>
      </c>
      <c r="J278" s="141" t="inlineStr">
        <is>
          <t>G</t>
        </is>
      </c>
      <c r="K278" s="141" t="inlineStr">
        <is>
          <t>L</t>
        </is>
      </c>
    </row>
    <row r="279" ht="12.75" customHeight="1">
      <c r="A279" s="141" t="n">
        <v>278</v>
      </c>
      <c r="B279" s="141" t="inlineStr">
        <is>
          <t>ACDEFGJK</t>
        </is>
      </c>
      <c r="C279" s="141" t="inlineStr">
        <is>
          <t>A,C,D,E,F,G,J,K</t>
        </is>
      </c>
      <c r="D279" s="141" t="inlineStr">
        <is>
          <t>D</t>
        </is>
      </c>
      <c r="E279" s="141" t="inlineStr">
        <is>
          <t>F</t>
        </is>
      </c>
      <c r="F279" s="141" t="inlineStr">
        <is>
          <t>C</t>
        </is>
      </c>
      <c r="G279" s="141" t="inlineStr">
        <is>
          <t>K</t>
        </is>
      </c>
      <c r="H279" s="141" t="inlineStr">
        <is>
          <t>J</t>
        </is>
      </c>
      <c r="I279" s="141" t="inlineStr">
        <is>
          <t>A</t>
        </is>
      </c>
      <c r="J279" s="141" t="inlineStr">
        <is>
          <t>G</t>
        </is>
      </c>
      <c r="K279" s="141" t="inlineStr">
        <is>
          <t>E</t>
        </is>
      </c>
    </row>
    <row r="280" ht="12.75" customHeight="1">
      <c r="A280" s="141" t="n">
        <v>279</v>
      </c>
      <c r="B280" s="141" t="inlineStr">
        <is>
          <t>ACDEFGIL</t>
        </is>
      </c>
      <c r="C280" s="141" t="inlineStr">
        <is>
          <t>A,C,D,E,F,G,I,L</t>
        </is>
      </c>
      <c r="D280" s="141" t="inlineStr">
        <is>
          <t>D</t>
        </is>
      </c>
      <c r="E280" s="141" t="inlineStr">
        <is>
          <t>F</t>
        </is>
      </c>
      <c r="F280" s="141" t="inlineStr">
        <is>
          <t>C</t>
        </is>
      </c>
      <c r="G280" s="141" t="inlineStr">
        <is>
          <t>I</t>
        </is>
      </c>
      <c r="H280" s="141" t="inlineStr">
        <is>
          <t>E</t>
        </is>
      </c>
      <c r="I280" s="141" t="inlineStr">
        <is>
          <t>A</t>
        </is>
      </c>
      <c r="J280" s="141" t="inlineStr">
        <is>
          <t>G</t>
        </is>
      </c>
      <c r="K280" s="141" t="inlineStr">
        <is>
          <t>L</t>
        </is>
      </c>
    </row>
    <row r="281" ht="12.75" customHeight="1">
      <c r="A281" s="141" t="n">
        <v>280</v>
      </c>
      <c r="B281" s="141" t="inlineStr">
        <is>
          <t>ACDEFGIK</t>
        </is>
      </c>
      <c r="C281" s="141" t="inlineStr">
        <is>
          <t>A,C,D,E,F,G,I,K</t>
        </is>
      </c>
      <c r="D281" s="141" t="inlineStr">
        <is>
          <t>D</t>
        </is>
      </c>
      <c r="E281" s="141" t="inlineStr">
        <is>
          <t>F</t>
        </is>
      </c>
      <c r="F281" s="141" t="inlineStr">
        <is>
          <t>C</t>
        </is>
      </c>
      <c r="G281" s="141" t="inlineStr">
        <is>
          <t>K</t>
        </is>
      </c>
      <c r="H281" s="141" t="inlineStr">
        <is>
          <t>E</t>
        </is>
      </c>
      <c r="I281" s="141" t="inlineStr">
        <is>
          <t>A</t>
        </is>
      </c>
      <c r="J281" s="141" t="inlineStr">
        <is>
          <t>G</t>
        </is>
      </c>
      <c r="K281" s="141" t="inlineStr">
        <is>
          <t>I</t>
        </is>
      </c>
    </row>
    <row r="282" ht="12.75" customHeight="1">
      <c r="A282" s="141" t="n">
        <v>281</v>
      </c>
      <c r="B282" s="141" t="inlineStr">
        <is>
          <t>ACDEFGIJ</t>
        </is>
      </c>
      <c r="C282" s="141" t="inlineStr">
        <is>
          <t>A,C,D,E,F,G,I,J</t>
        </is>
      </c>
      <c r="D282" s="141" t="inlineStr">
        <is>
          <t>D</t>
        </is>
      </c>
      <c r="E282" s="141" t="inlineStr">
        <is>
          <t>F</t>
        </is>
      </c>
      <c r="F282" s="141" t="inlineStr">
        <is>
          <t>C</t>
        </is>
      </c>
      <c r="G282" s="141" t="inlineStr">
        <is>
          <t>I</t>
        </is>
      </c>
      <c r="H282" s="141" t="inlineStr">
        <is>
          <t>J</t>
        </is>
      </c>
      <c r="I282" s="141" t="inlineStr">
        <is>
          <t>A</t>
        </is>
      </c>
      <c r="J282" s="141" t="inlineStr">
        <is>
          <t>G</t>
        </is>
      </c>
      <c r="K282" s="141" t="inlineStr">
        <is>
          <t>E</t>
        </is>
      </c>
    </row>
    <row r="283" ht="12.75" customHeight="1">
      <c r="A283" s="141" t="n">
        <v>282</v>
      </c>
      <c r="B283" s="141" t="inlineStr">
        <is>
          <t>ACDEFGHL</t>
        </is>
      </c>
      <c r="C283" s="141" t="inlineStr">
        <is>
          <t>A,C,D,E,F,G,H,L</t>
        </is>
      </c>
      <c r="D283" s="141" t="inlineStr">
        <is>
          <t>C</t>
        </is>
      </c>
      <c r="E283" s="141" t="inlineStr">
        <is>
          <t>D</t>
        </is>
      </c>
      <c r="F283" s="141" t="inlineStr">
        <is>
          <t>H</t>
        </is>
      </c>
      <c r="G283" s="141" t="inlineStr">
        <is>
          <t>E</t>
        </is>
      </c>
      <c r="H283" s="141" t="inlineStr">
        <is>
          <t>F</t>
        </is>
      </c>
      <c r="I283" s="141" t="inlineStr">
        <is>
          <t>A</t>
        </is>
      </c>
      <c r="J283" s="141" t="inlineStr">
        <is>
          <t>G</t>
        </is>
      </c>
      <c r="K283" s="141" t="inlineStr">
        <is>
          <t>L</t>
        </is>
      </c>
    </row>
    <row r="284" ht="12.75" customHeight="1">
      <c r="A284" s="141" t="n">
        <v>283</v>
      </c>
      <c r="B284" s="141" t="inlineStr">
        <is>
          <t>ACDEFGHK</t>
        </is>
      </c>
      <c r="C284" s="141" t="inlineStr">
        <is>
          <t>A,C,D,E,F,G,H,K</t>
        </is>
      </c>
      <c r="D284" s="141" t="inlineStr">
        <is>
          <t>C</t>
        </is>
      </c>
      <c r="E284" s="141" t="inlineStr">
        <is>
          <t>F</t>
        </is>
      </c>
      <c r="F284" s="141" t="inlineStr">
        <is>
          <t>H</t>
        </is>
      </c>
      <c r="G284" s="141" t="inlineStr">
        <is>
          <t>K</t>
        </is>
      </c>
      <c r="H284" s="141" t="inlineStr">
        <is>
          <t>E</t>
        </is>
      </c>
      <c r="I284" s="141" t="inlineStr">
        <is>
          <t>A</t>
        </is>
      </c>
      <c r="J284" s="141" t="inlineStr">
        <is>
          <t>G</t>
        </is>
      </c>
      <c r="K284" s="141" t="inlineStr">
        <is>
          <t>D</t>
        </is>
      </c>
    </row>
    <row r="285" ht="12.75" customHeight="1">
      <c r="A285" s="141" t="n">
        <v>284</v>
      </c>
      <c r="B285" s="141" t="inlineStr">
        <is>
          <t>ACDEFGHJ</t>
        </is>
      </c>
      <c r="C285" s="141" t="inlineStr">
        <is>
          <t>A,C,D,E,F,G,H,J</t>
        </is>
      </c>
      <c r="D285" s="141" t="inlineStr">
        <is>
          <t>C</t>
        </is>
      </c>
      <c r="E285" s="141" t="inlineStr">
        <is>
          <t>F</t>
        </is>
      </c>
      <c r="F285" s="141" t="inlineStr">
        <is>
          <t>H</t>
        </is>
      </c>
      <c r="G285" s="141" t="inlineStr">
        <is>
          <t>E</t>
        </is>
      </c>
      <c r="H285" s="141" t="inlineStr">
        <is>
          <t>J</t>
        </is>
      </c>
      <c r="I285" s="141" t="inlineStr">
        <is>
          <t>A</t>
        </is>
      </c>
      <c r="J285" s="141" t="inlineStr">
        <is>
          <t>G</t>
        </is>
      </c>
      <c r="K285" s="141" t="inlineStr">
        <is>
          <t>D</t>
        </is>
      </c>
    </row>
    <row r="286" ht="12.75" customHeight="1">
      <c r="A286" s="141" t="n">
        <v>285</v>
      </c>
      <c r="B286" s="141" t="inlineStr">
        <is>
          <t>ACDEFGHI</t>
        </is>
      </c>
      <c r="C286" s="141" t="inlineStr">
        <is>
          <t>A,C,D,E,F,G,H,I</t>
        </is>
      </c>
      <c r="D286" s="141" t="inlineStr">
        <is>
          <t>C</t>
        </is>
      </c>
      <c r="E286" s="141" t="inlineStr">
        <is>
          <t>F</t>
        </is>
      </c>
      <c r="F286" s="141" t="inlineStr">
        <is>
          <t>H</t>
        </is>
      </c>
      <c r="G286" s="141" t="inlineStr">
        <is>
          <t>I</t>
        </is>
      </c>
      <c r="H286" s="141" t="inlineStr">
        <is>
          <t>E</t>
        </is>
      </c>
      <c r="I286" s="141" t="inlineStr">
        <is>
          <t>A</t>
        </is>
      </c>
      <c r="J286" s="141" t="inlineStr">
        <is>
          <t>G</t>
        </is>
      </c>
      <c r="K286" s="141" t="inlineStr">
        <is>
          <t>D</t>
        </is>
      </c>
    </row>
    <row r="287" ht="12.75" customHeight="1">
      <c r="A287" s="141" t="n">
        <v>286</v>
      </c>
      <c r="B287" s="141" t="inlineStr">
        <is>
          <t>ABGHIJKL</t>
        </is>
      </c>
      <c r="C287" s="141" t="inlineStr">
        <is>
          <t>A,B,G,H,I,J,K,L</t>
        </is>
      </c>
      <c r="D287" s="141" t="inlineStr">
        <is>
          <t>A</t>
        </is>
      </c>
      <c r="E287" s="141" t="inlineStr">
        <is>
          <t>G</t>
        </is>
      </c>
      <c r="F287" s="141" t="inlineStr">
        <is>
          <t>H</t>
        </is>
      </c>
      <c r="G287" s="141" t="inlineStr">
        <is>
          <t>K</t>
        </is>
      </c>
      <c r="H287" s="141" t="inlineStr">
        <is>
          <t>B</t>
        </is>
      </c>
      <c r="I287" s="141" t="inlineStr">
        <is>
          <t>I</t>
        </is>
      </c>
      <c r="J287" s="141" t="inlineStr">
        <is>
          <t>J</t>
        </is>
      </c>
      <c r="K287" s="141" t="inlineStr">
        <is>
          <t>L</t>
        </is>
      </c>
    </row>
    <row r="288" ht="12.75" customHeight="1">
      <c r="A288" s="141" t="n">
        <v>287</v>
      </c>
      <c r="B288" s="141" t="inlineStr">
        <is>
          <t>ABFHIJKL</t>
        </is>
      </c>
      <c r="C288" s="141" t="inlineStr">
        <is>
          <t>A,B,F,H,I,J,K,L</t>
        </is>
      </c>
      <c r="D288" s="141" t="inlineStr">
        <is>
          <t>A</t>
        </is>
      </c>
      <c r="E288" s="141" t="inlineStr">
        <is>
          <t>F</t>
        </is>
      </c>
      <c r="F288" s="141" t="inlineStr">
        <is>
          <t>H</t>
        </is>
      </c>
      <c r="G288" s="141" t="inlineStr">
        <is>
          <t>K</t>
        </is>
      </c>
      <c r="H288" s="141" t="inlineStr">
        <is>
          <t>B</t>
        </is>
      </c>
      <c r="I288" s="141" t="inlineStr">
        <is>
          <t>I</t>
        </is>
      </c>
      <c r="J288" s="141" t="inlineStr">
        <is>
          <t>J</t>
        </is>
      </c>
      <c r="K288" s="141" t="inlineStr">
        <is>
          <t>L</t>
        </is>
      </c>
    </row>
    <row r="289" ht="12.75" customHeight="1">
      <c r="A289" s="141" t="n">
        <v>288</v>
      </c>
      <c r="B289" s="141" t="inlineStr">
        <is>
          <t>ABFGIJKL</t>
        </is>
      </c>
      <c r="C289" s="141" t="inlineStr">
        <is>
          <t>A,B,F,G,I,J,K,L</t>
        </is>
      </c>
      <c r="D289" s="141" t="inlineStr">
        <is>
          <t>F</t>
        </is>
      </c>
      <c r="E289" s="141" t="inlineStr">
        <is>
          <t>G</t>
        </is>
      </c>
      <c r="F289" s="141" t="inlineStr">
        <is>
          <t>I</t>
        </is>
      </c>
      <c r="G289" s="141" t="inlineStr">
        <is>
          <t>K</t>
        </is>
      </c>
      <c r="H289" s="141" t="inlineStr">
        <is>
          <t>B</t>
        </is>
      </c>
      <c r="I289" s="141" t="inlineStr">
        <is>
          <t>A</t>
        </is>
      </c>
      <c r="J289" s="141" t="inlineStr">
        <is>
          <t>J</t>
        </is>
      </c>
      <c r="K289" s="141" t="inlineStr">
        <is>
          <t>L</t>
        </is>
      </c>
    </row>
    <row r="290" ht="12.75" customHeight="1">
      <c r="A290" s="141" t="n">
        <v>289</v>
      </c>
      <c r="B290" s="141" t="inlineStr">
        <is>
          <t>ABFGHJKL</t>
        </is>
      </c>
      <c r="C290" s="141" t="inlineStr">
        <is>
          <t>A,B,F,G,H,J,K,L</t>
        </is>
      </c>
      <c r="D290" s="141" t="inlineStr">
        <is>
          <t>F</t>
        </is>
      </c>
      <c r="E290" s="141" t="inlineStr">
        <is>
          <t>G</t>
        </is>
      </c>
      <c r="F290" s="141" t="inlineStr">
        <is>
          <t>H</t>
        </is>
      </c>
      <c r="G290" s="141" t="inlineStr">
        <is>
          <t>K</t>
        </is>
      </c>
      <c r="H290" s="141" t="inlineStr">
        <is>
          <t>B</t>
        </is>
      </c>
      <c r="I290" s="141" t="inlineStr">
        <is>
          <t>A</t>
        </is>
      </c>
      <c r="J290" s="141" t="inlineStr">
        <is>
          <t>J</t>
        </is>
      </c>
      <c r="K290" s="141" t="inlineStr">
        <is>
          <t>L</t>
        </is>
      </c>
    </row>
    <row r="291" ht="12.75" customHeight="1">
      <c r="A291" s="141" t="n">
        <v>290</v>
      </c>
      <c r="B291" s="141" t="inlineStr">
        <is>
          <t>ABFGHIKL</t>
        </is>
      </c>
      <c r="C291" s="141" t="inlineStr">
        <is>
          <t>A,B,F,G,H,I,K,L</t>
        </is>
      </c>
      <c r="D291" s="141" t="inlineStr">
        <is>
          <t>A</t>
        </is>
      </c>
      <c r="E291" s="141" t="inlineStr">
        <is>
          <t>F</t>
        </is>
      </c>
      <c r="F291" s="141" t="inlineStr">
        <is>
          <t>H</t>
        </is>
      </c>
      <c r="G291" s="141" t="inlineStr">
        <is>
          <t>K</t>
        </is>
      </c>
      <c r="H291" s="141" t="inlineStr">
        <is>
          <t>B</t>
        </is>
      </c>
      <c r="I291" s="141" t="inlineStr">
        <is>
          <t>I</t>
        </is>
      </c>
      <c r="J291" s="141" t="inlineStr">
        <is>
          <t>G</t>
        </is>
      </c>
      <c r="K291" s="141" t="inlineStr">
        <is>
          <t>L</t>
        </is>
      </c>
    </row>
    <row r="292" ht="12.75" customHeight="1">
      <c r="A292" s="141" t="n">
        <v>291</v>
      </c>
      <c r="B292" s="141" t="inlineStr">
        <is>
          <t>ABFGHIJL</t>
        </is>
      </c>
      <c r="C292" s="141" t="inlineStr">
        <is>
          <t>A,B,F,G,H,I,J,L</t>
        </is>
      </c>
      <c r="D292" s="141" t="inlineStr">
        <is>
          <t>F</t>
        </is>
      </c>
      <c r="E292" s="141" t="inlineStr">
        <is>
          <t>G</t>
        </is>
      </c>
      <c r="F292" s="141" t="inlineStr">
        <is>
          <t>H</t>
        </is>
      </c>
      <c r="G292" s="141" t="inlineStr">
        <is>
          <t>I</t>
        </is>
      </c>
      <c r="H292" s="141" t="inlineStr">
        <is>
          <t>B</t>
        </is>
      </c>
      <c r="I292" s="141" t="inlineStr">
        <is>
          <t>A</t>
        </is>
      </c>
      <c r="J292" s="141" t="inlineStr">
        <is>
          <t>J</t>
        </is>
      </c>
      <c r="K292" s="141" t="inlineStr">
        <is>
          <t>L</t>
        </is>
      </c>
    </row>
    <row r="293" ht="12.75" customHeight="1">
      <c r="A293" s="141" t="n">
        <v>292</v>
      </c>
      <c r="B293" s="141" t="inlineStr">
        <is>
          <t>ABFGHIJK</t>
        </is>
      </c>
      <c r="C293" s="141" t="inlineStr">
        <is>
          <t>A,B,F,G,H,I,J,K</t>
        </is>
      </c>
      <c r="D293" s="141" t="inlineStr">
        <is>
          <t>F</t>
        </is>
      </c>
      <c r="E293" s="141" t="inlineStr">
        <is>
          <t>G</t>
        </is>
      </c>
      <c r="F293" s="141" t="inlineStr">
        <is>
          <t>H</t>
        </is>
      </c>
      <c r="G293" s="141" t="inlineStr">
        <is>
          <t>K</t>
        </is>
      </c>
      <c r="H293" s="141" t="inlineStr">
        <is>
          <t>B</t>
        </is>
      </c>
      <c r="I293" s="141" t="inlineStr">
        <is>
          <t>A</t>
        </is>
      </c>
      <c r="J293" s="141" t="inlineStr">
        <is>
          <t>J</t>
        </is>
      </c>
      <c r="K293" s="141" t="inlineStr">
        <is>
          <t>I</t>
        </is>
      </c>
    </row>
    <row r="294" ht="12.75" customHeight="1">
      <c r="A294" s="141" t="n">
        <v>293</v>
      </c>
      <c r="B294" s="141" t="inlineStr">
        <is>
          <t>ABEHIJKL</t>
        </is>
      </c>
      <c r="C294" s="141" t="inlineStr">
        <is>
          <t>A,B,E,H,I,J,K,L</t>
        </is>
      </c>
      <c r="D294" s="141" t="inlineStr">
        <is>
          <t>A</t>
        </is>
      </c>
      <c r="E294" s="141" t="inlineStr">
        <is>
          <t>H</t>
        </is>
      </c>
      <c r="F294" s="141" t="inlineStr">
        <is>
          <t>E</t>
        </is>
      </c>
      <c r="G294" s="141" t="inlineStr">
        <is>
          <t>K</t>
        </is>
      </c>
      <c r="H294" s="141" t="inlineStr">
        <is>
          <t>B</t>
        </is>
      </c>
      <c r="I294" s="141" t="inlineStr">
        <is>
          <t>I</t>
        </is>
      </c>
      <c r="J294" s="141" t="inlineStr">
        <is>
          <t>J</t>
        </is>
      </c>
      <c r="K294" s="141" t="inlineStr">
        <is>
          <t>L</t>
        </is>
      </c>
    </row>
    <row r="295" ht="12.75" customHeight="1">
      <c r="A295" s="141" t="n">
        <v>294</v>
      </c>
      <c r="B295" s="141" t="inlineStr">
        <is>
          <t>ABEGIJKL</t>
        </is>
      </c>
      <c r="C295" s="141" t="inlineStr">
        <is>
          <t>A,B,E,G,I,J,K,L</t>
        </is>
      </c>
      <c r="D295" s="141" t="inlineStr">
        <is>
          <t>A</t>
        </is>
      </c>
      <c r="E295" s="141" t="inlineStr">
        <is>
          <t>G</t>
        </is>
      </c>
      <c r="F295" s="141" t="inlineStr">
        <is>
          <t>E</t>
        </is>
      </c>
      <c r="G295" s="141" t="inlineStr">
        <is>
          <t>K</t>
        </is>
      </c>
      <c r="H295" s="141" t="inlineStr">
        <is>
          <t>B</t>
        </is>
      </c>
      <c r="I295" s="141" t="inlineStr">
        <is>
          <t>I</t>
        </is>
      </c>
      <c r="J295" s="141" t="inlineStr">
        <is>
          <t>J</t>
        </is>
      </c>
      <c r="K295" s="141" t="inlineStr">
        <is>
          <t>L</t>
        </is>
      </c>
    </row>
    <row r="296" ht="12.75" customHeight="1">
      <c r="A296" s="141" t="n">
        <v>295</v>
      </c>
      <c r="B296" s="141" t="inlineStr">
        <is>
          <t>ABEGHJKL</t>
        </is>
      </c>
      <c r="C296" s="141" t="inlineStr">
        <is>
          <t>A,B,E,G,H,J,K,L</t>
        </is>
      </c>
      <c r="D296" s="141" t="inlineStr">
        <is>
          <t>A</t>
        </is>
      </c>
      <c r="E296" s="141" t="inlineStr">
        <is>
          <t>G</t>
        </is>
      </c>
      <c r="F296" s="141" t="inlineStr">
        <is>
          <t>E</t>
        </is>
      </c>
      <c r="G296" s="141" t="inlineStr">
        <is>
          <t>K</t>
        </is>
      </c>
      <c r="H296" s="141" t="inlineStr">
        <is>
          <t>B</t>
        </is>
      </c>
      <c r="I296" s="141" t="inlineStr">
        <is>
          <t>H</t>
        </is>
      </c>
      <c r="J296" s="141" t="inlineStr">
        <is>
          <t>J</t>
        </is>
      </c>
      <c r="K296" s="141" t="inlineStr">
        <is>
          <t>L</t>
        </is>
      </c>
    </row>
    <row r="297" ht="12.75" customHeight="1">
      <c r="A297" s="141" t="n">
        <v>296</v>
      </c>
      <c r="B297" s="141" t="inlineStr">
        <is>
          <t>ABEGHIKL</t>
        </is>
      </c>
      <c r="C297" s="141" t="inlineStr">
        <is>
          <t>A,B,E,G,H,I,K,L</t>
        </is>
      </c>
      <c r="D297" s="141" t="inlineStr">
        <is>
          <t>A</t>
        </is>
      </c>
      <c r="E297" s="141" t="inlineStr">
        <is>
          <t>H</t>
        </is>
      </c>
      <c r="F297" s="141" t="inlineStr">
        <is>
          <t>E</t>
        </is>
      </c>
      <c r="G297" s="141" t="inlineStr">
        <is>
          <t>K</t>
        </is>
      </c>
      <c r="H297" s="141" t="inlineStr">
        <is>
          <t>B</t>
        </is>
      </c>
      <c r="I297" s="141" t="inlineStr">
        <is>
          <t>I</t>
        </is>
      </c>
      <c r="J297" s="141" t="inlineStr">
        <is>
          <t>G</t>
        </is>
      </c>
      <c r="K297" s="141" t="inlineStr">
        <is>
          <t>L</t>
        </is>
      </c>
    </row>
    <row r="298" ht="12.75" customHeight="1">
      <c r="A298" s="141" t="n">
        <v>297</v>
      </c>
      <c r="B298" s="141" t="inlineStr">
        <is>
          <t>ABEGHIJL</t>
        </is>
      </c>
      <c r="C298" s="141" t="inlineStr">
        <is>
          <t>A,B,E,G,H,I,J,L</t>
        </is>
      </c>
      <c r="D298" s="141" t="inlineStr">
        <is>
          <t>A</t>
        </is>
      </c>
      <c r="E298" s="141" t="inlineStr">
        <is>
          <t>G</t>
        </is>
      </c>
      <c r="F298" s="141" t="inlineStr">
        <is>
          <t>E</t>
        </is>
      </c>
      <c r="G298" s="141" t="inlineStr">
        <is>
          <t>I</t>
        </is>
      </c>
      <c r="H298" s="141" t="inlineStr">
        <is>
          <t>B</t>
        </is>
      </c>
      <c r="I298" s="141" t="inlineStr">
        <is>
          <t>H</t>
        </is>
      </c>
      <c r="J298" s="141" t="inlineStr">
        <is>
          <t>J</t>
        </is>
      </c>
      <c r="K298" s="141" t="inlineStr">
        <is>
          <t>L</t>
        </is>
      </c>
    </row>
    <row r="299" ht="12.75" customHeight="1">
      <c r="A299" s="141" t="n">
        <v>298</v>
      </c>
      <c r="B299" s="141" t="inlineStr">
        <is>
          <t>ABEGHIJK</t>
        </is>
      </c>
      <c r="C299" s="141" t="inlineStr">
        <is>
          <t>A,B,E,G,H,I,J,K</t>
        </is>
      </c>
      <c r="D299" s="141" t="inlineStr">
        <is>
          <t>A</t>
        </is>
      </c>
      <c r="E299" s="141" t="inlineStr">
        <is>
          <t>G</t>
        </is>
      </c>
      <c r="F299" s="141" t="inlineStr">
        <is>
          <t>E</t>
        </is>
      </c>
      <c r="G299" s="141" t="inlineStr">
        <is>
          <t>K</t>
        </is>
      </c>
      <c r="H299" s="141" t="inlineStr">
        <is>
          <t>B</t>
        </is>
      </c>
      <c r="I299" s="141" t="inlineStr">
        <is>
          <t>H</t>
        </is>
      </c>
      <c r="J299" s="141" t="inlineStr">
        <is>
          <t>J</t>
        </is>
      </c>
      <c r="K299" s="141" t="inlineStr">
        <is>
          <t>I</t>
        </is>
      </c>
    </row>
    <row r="300" ht="12.75" customHeight="1">
      <c r="A300" s="141" t="n">
        <v>299</v>
      </c>
      <c r="B300" s="141" t="inlineStr">
        <is>
          <t>ABEFIJKL</t>
        </is>
      </c>
      <c r="C300" s="141" t="inlineStr">
        <is>
          <t>A,B,E,F,I,J,K,L</t>
        </is>
      </c>
      <c r="D300" s="141" t="inlineStr">
        <is>
          <t>A</t>
        </is>
      </c>
      <c r="E300" s="141" t="inlineStr">
        <is>
          <t>F</t>
        </is>
      </c>
      <c r="F300" s="141" t="inlineStr">
        <is>
          <t>E</t>
        </is>
      </c>
      <c r="G300" s="141" t="inlineStr">
        <is>
          <t>K</t>
        </is>
      </c>
      <c r="H300" s="141" t="inlineStr">
        <is>
          <t>B</t>
        </is>
      </c>
      <c r="I300" s="141" t="inlineStr">
        <is>
          <t>I</t>
        </is>
      </c>
      <c r="J300" s="141" t="inlineStr">
        <is>
          <t>J</t>
        </is>
      </c>
      <c r="K300" s="141" t="inlineStr">
        <is>
          <t>L</t>
        </is>
      </c>
    </row>
    <row r="301" ht="12.75" customHeight="1">
      <c r="A301" s="141" t="n">
        <v>300</v>
      </c>
      <c r="B301" s="141" t="inlineStr">
        <is>
          <t>ABEFHJKL</t>
        </is>
      </c>
      <c r="C301" s="141" t="inlineStr">
        <is>
          <t>A,B,E,F,H,J,K,L</t>
        </is>
      </c>
      <c r="D301" s="141" t="inlineStr">
        <is>
          <t>F</t>
        </is>
      </c>
      <c r="E301" s="141" t="inlineStr">
        <is>
          <t>H</t>
        </is>
      </c>
      <c r="F301" s="141" t="inlineStr">
        <is>
          <t>E</t>
        </is>
      </c>
      <c r="G301" s="141" t="inlineStr">
        <is>
          <t>K</t>
        </is>
      </c>
      <c r="H301" s="141" t="inlineStr">
        <is>
          <t>B</t>
        </is>
      </c>
      <c r="I301" s="141" t="inlineStr">
        <is>
          <t>A</t>
        </is>
      </c>
      <c r="J301" s="141" t="inlineStr">
        <is>
          <t>J</t>
        </is>
      </c>
      <c r="K301" s="141" t="inlineStr">
        <is>
          <t>L</t>
        </is>
      </c>
    </row>
    <row r="302" ht="12.75" customHeight="1">
      <c r="A302" s="141" t="n">
        <v>301</v>
      </c>
      <c r="B302" s="141" t="inlineStr">
        <is>
          <t>ABEFHIKL</t>
        </is>
      </c>
      <c r="C302" s="141" t="inlineStr">
        <is>
          <t>A,B,E,F,H,I,K,L</t>
        </is>
      </c>
      <c r="D302" s="141" t="inlineStr">
        <is>
          <t>F</t>
        </is>
      </c>
      <c r="E302" s="141" t="inlineStr">
        <is>
          <t>H</t>
        </is>
      </c>
      <c r="F302" s="141" t="inlineStr">
        <is>
          <t>E</t>
        </is>
      </c>
      <c r="G302" s="141" t="inlineStr">
        <is>
          <t>K</t>
        </is>
      </c>
      <c r="H302" s="141" t="inlineStr">
        <is>
          <t>B</t>
        </is>
      </c>
      <c r="I302" s="141" t="inlineStr">
        <is>
          <t>A</t>
        </is>
      </c>
      <c r="J302" s="141" t="inlineStr">
        <is>
          <t>I</t>
        </is>
      </c>
      <c r="K302" s="141" t="inlineStr">
        <is>
          <t>L</t>
        </is>
      </c>
    </row>
    <row r="303" ht="12.75" customHeight="1">
      <c r="A303" s="141" t="n">
        <v>302</v>
      </c>
      <c r="B303" s="141" t="inlineStr">
        <is>
          <t>ABEFHIJL</t>
        </is>
      </c>
      <c r="C303" s="141" t="inlineStr">
        <is>
          <t>A,B,E,F,H,I,J,L</t>
        </is>
      </c>
      <c r="D303" s="141" t="inlineStr">
        <is>
          <t>F</t>
        </is>
      </c>
      <c r="E303" s="141" t="inlineStr">
        <is>
          <t>H</t>
        </is>
      </c>
      <c r="F303" s="141" t="inlineStr">
        <is>
          <t>E</t>
        </is>
      </c>
      <c r="G303" s="141" t="inlineStr">
        <is>
          <t>I</t>
        </is>
      </c>
      <c r="H303" s="141" t="inlineStr">
        <is>
          <t>B</t>
        </is>
      </c>
      <c r="I303" s="141" t="inlineStr">
        <is>
          <t>A</t>
        </is>
      </c>
      <c r="J303" s="141" t="inlineStr">
        <is>
          <t>J</t>
        </is>
      </c>
      <c r="K303" s="141" t="inlineStr">
        <is>
          <t>L</t>
        </is>
      </c>
    </row>
    <row r="304" ht="12.75" customHeight="1">
      <c r="A304" s="141" t="n">
        <v>303</v>
      </c>
      <c r="B304" s="141" t="inlineStr">
        <is>
          <t>ABEFHIJK</t>
        </is>
      </c>
      <c r="C304" s="141" t="inlineStr">
        <is>
          <t>A,B,E,F,H,I,J,K</t>
        </is>
      </c>
      <c r="D304" s="141" t="inlineStr">
        <is>
          <t>F</t>
        </is>
      </c>
      <c r="E304" s="141" t="inlineStr">
        <is>
          <t>H</t>
        </is>
      </c>
      <c r="F304" s="141" t="inlineStr">
        <is>
          <t>E</t>
        </is>
      </c>
      <c r="G304" s="141" t="inlineStr">
        <is>
          <t>K</t>
        </is>
      </c>
      <c r="H304" s="141" t="inlineStr">
        <is>
          <t>B</t>
        </is>
      </c>
      <c r="I304" s="141" t="inlineStr">
        <is>
          <t>A</t>
        </is>
      </c>
      <c r="J304" s="141" t="inlineStr">
        <is>
          <t>J</t>
        </is>
      </c>
      <c r="K304" s="141" t="inlineStr">
        <is>
          <t>I</t>
        </is>
      </c>
    </row>
    <row r="305" ht="12.75" customHeight="1">
      <c r="A305" s="141" t="n">
        <v>304</v>
      </c>
      <c r="B305" s="141" t="inlineStr">
        <is>
          <t>ABEFGJKL</t>
        </is>
      </c>
      <c r="C305" s="141" t="inlineStr">
        <is>
          <t>A,B,E,F,G,J,K,L</t>
        </is>
      </c>
      <c r="D305" s="141" t="inlineStr">
        <is>
          <t>F</t>
        </is>
      </c>
      <c r="E305" s="141" t="inlineStr">
        <is>
          <t>G</t>
        </is>
      </c>
      <c r="F305" s="141" t="inlineStr">
        <is>
          <t>E</t>
        </is>
      </c>
      <c r="G305" s="141" t="inlineStr">
        <is>
          <t>K</t>
        </is>
      </c>
      <c r="H305" s="141" t="inlineStr">
        <is>
          <t>B</t>
        </is>
      </c>
      <c r="I305" s="141" t="inlineStr">
        <is>
          <t>A</t>
        </is>
      </c>
      <c r="J305" s="141" t="inlineStr">
        <is>
          <t>J</t>
        </is>
      </c>
      <c r="K305" s="141" t="inlineStr">
        <is>
          <t>L</t>
        </is>
      </c>
    </row>
    <row r="306" ht="12.75" customHeight="1">
      <c r="A306" s="141" t="n">
        <v>305</v>
      </c>
      <c r="B306" s="141" t="inlineStr">
        <is>
          <t>ABEFGIKL</t>
        </is>
      </c>
      <c r="C306" s="141" t="inlineStr">
        <is>
          <t>A,B,E,F,G,I,K,L</t>
        </is>
      </c>
      <c r="D306" s="141" t="inlineStr">
        <is>
          <t>A</t>
        </is>
      </c>
      <c r="E306" s="141" t="inlineStr">
        <is>
          <t>F</t>
        </is>
      </c>
      <c r="F306" s="141" t="inlineStr">
        <is>
          <t>E</t>
        </is>
      </c>
      <c r="G306" s="141" t="inlineStr">
        <is>
          <t>K</t>
        </is>
      </c>
      <c r="H306" s="141" t="inlineStr">
        <is>
          <t>B</t>
        </is>
      </c>
      <c r="I306" s="141" t="inlineStr">
        <is>
          <t>I</t>
        </is>
      </c>
      <c r="J306" s="141" t="inlineStr">
        <is>
          <t>G</t>
        </is>
      </c>
      <c r="K306" s="141" t="inlineStr">
        <is>
          <t>L</t>
        </is>
      </c>
    </row>
    <row r="307" ht="12.75" customHeight="1">
      <c r="A307" s="141" t="n">
        <v>306</v>
      </c>
      <c r="B307" s="141" t="inlineStr">
        <is>
          <t>ABEFGIJL</t>
        </is>
      </c>
      <c r="C307" s="141" t="inlineStr">
        <is>
          <t>A,B,E,F,G,I,J,L</t>
        </is>
      </c>
      <c r="D307" s="141" t="inlineStr">
        <is>
          <t>F</t>
        </is>
      </c>
      <c r="E307" s="141" t="inlineStr">
        <is>
          <t>G</t>
        </is>
      </c>
      <c r="F307" s="141" t="inlineStr">
        <is>
          <t>E</t>
        </is>
      </c>
      <c r="G307" s="141" t="inlineStr">
        <is>
          <t>I</t>
        </is>
      </c>
      <c r="H307" s="141" t="inlineStr">
        <is>
          <t>B</t>
        </is>
      </c>
      <c r="I307" s="141" t="inlineStr">
        <is>
          <t>A</t>
        </is>
      </c>
      <c r="J307" s="141" t="inlineStr">
        <is>
          <t>J</t>
        </is>
      </c>
      <c r="K307" s="141" t="inlineStr">
        <is>
          <t>L</t>
        </is>
      </c>
    </row>
    <row r="308" ht="12.75" customHeight="1">
      <c r="A308" s="141" t="n">
        <v>307</v>
      </c>
      <c r="B308" s="141" t="inlineStr">
        <is>
          <t>ABEFGIJK</t>
        </is>
      </c>
      <c r="C308" s="141" t="inlineStr">
        <is>
          <t>A,B,E,F,G,I,J,K</t>
        </is>
      </c>
      <c r="D308" s="141" t="inlineStr">
        <is>
          <t>F</t>
        </is>
      </c>
      <c r="E308" s="141" t="inlineStr">
        <is>
          <t>G</t>
        </is>
      </c>
      <c r="F308" s="141" t="inlineStr">
        <is>
          <t>E</t>
        </is>
      </c>
      <c r="G308" s="141" t="inlineStr">
        <is>
          <t>K</t>
        </is>
      </c>
      <c r="H308" s="141" t="inlineStr">
        <is>
          <t>B</t>
        </is>
      </c>
      <c r="I308" s="141" t="inlineStr">
        <is>
          <t>A</t>
        </is>
      </c>
      <c r="J308" s="141" t="inlineStr">
        <is>
          <t>J</t>
        </is>
      </c>
      <c r="K308" s="141" t="inlineStr">
        <is>
          <t>I</t>
        </is>
      </c>
    </row>
    <row r="309" ht="12.75" customHeight="1">
      <c r="A309" s="141" t="n">
        <v>308</v>
      </c>
      <c r="B309" s="141" t="inlineStr">
        <is>
          <t>ABEFGHKL</t>
        </is>
      </c>
      <c r="C309" s="141" t="inlineStr">
        <is>
          <t>A,B,E,F,G,H,K,L</t>
        </is>
      </c>
      <c r="D309" s="141" t="inlineStr">
        <is>
          <t>F</t>
        </is>
      </c>
      <c r="E309" s="141" t="inlineStr">
        <is>
          <t>H</t>
        </is>
      </c>
      <c r="F309" s="141" t="inlineStr">
        <is>
          <t>E</t>
        </is>
      </c>
      <c r="G309" s="141" t="inlineStr">
        <is>
          <t>K</t>
        </is>
      </c>
      <c r="H309" s="141" t="inlineStr">
        <is>
          <t>B</t>
        </is>
      </c>
      <c r="I309" s="141" t="inlineStr">
        <is>
          <t>A</t>
        </is>
      </c>
      <c r="J309" s="141" t="inlineStr">
        <is>
          <t>G</t>
        </is>
      </c>
      <c r="K309" s="141" t="inlineStr">
        <is>
          <t>L</t>
        </is>
      </c>
    </row>
    <row r="310" ht="12.75" customHeight="1">
      <c r="A310" s="141" t="n">
        <v>309</v>
      </c>
      <c r="B310" s="141" t="inlineStr">
        <is>
          <t>ABEFGHJL</t>
        </is>
      </c>
      <c r="C310" s="141" t="inlineStr">
        <is>
          <t>A,B,E,F,G,H,J,L</t>
        </is>
      </c>
      <c r="D310" s="141" t="inlineStr">
        <is>
          <t>F</t>
        </is>
      </c>
      <c r="E310" s="141" t="inlineStr">
        <is>
          <t>G</t>
        </is>
      </c>
      <c r="F310" s="141" t="inlineStr">
        <is>
          <t>H</t>
        </is>
      </c>
      <c r="G310" s="141" t="inlineStr">
        <is>
          <t>E</t>
        </is>
      </c>
      <c r="H310" s="141" t="inlineStr">
        <is>
          <t>B</t>
        </is>
      </c>
      <c r="I310" s="141" t="inlineStr">
        <is>
          <t>A</t>
        </is>
      </c>
      <c r="J310" s="141" t="inlineStr">
        <is>
          <t>J</t>
        </is>
      </c>
      <c r="K310" s="141" t="inlineStr">
        <is>
          <t>L</t>
        </is>
      </c>
    </row>
    <row r="311" ht="12.75" customHeight="1">
      <c r="A311" s="141" t="n">
        <v>310</v>
      </c>
      <c r="B311" s="141" t="inlineStr">
        <is>
          <t>ABEFGHJK</t>
        </is>
      </c>
      <c r="C311" s="141" t="inlineStr">
        <is>
          <t>A,B,E,F,G,H,J,K</t>
        </is>
      </c>
      <c r="D311" s="141" t="inlineStr">
        <is>
          <t>F</t>
        </is>
      </c>
      <c r="E311" s="141" t="inlineStr">
        <is>
          <t>G</t>
        </is>
      </c>
      <c r="F311" s="141" t="inlineStr">
        <is>
          <t>H</t>
        </is>
      </c>
      <c r="G311" s="141" t="inlineStr">
        <is>
          <t>K</t>
        </is>
      </c>
      <c r="H311" s="141" t="inlineStr">
        <is>
          <t>B</t>
        </is>
      </c>
      <c r="I311" s="141" t="inlineStr">
        <is>
          <t>A</t>
        </is>
      </c>
      <c r="J311" s="141" t="inlineStr">
        <is>
          <t>J</t>
        </is>
      </c>
      <c r="K311" s="141" t="inlineStr">
        <is>
          <t>E</t>
        </is>
      </c>
    </row>
    <row r="312" ht="12.75" customHeight="1">
      <c r="A312" s="141" t="n">
        <v>311</v>
      </c>
      <c r="B312" s="141" t="inlineStr">
        <is>
          <t>ABEFGHIL</t>
        </is>
      </c>
      <c r="C312" s="141" t="inlineStr">
        <is>
          <t>A,B,E,F,G,H,I,L</t>
        </is>
      </c>
      <c r="D312" s="141" t="inlineStr">
        <is>
          <t>F</t>
        </is>
      </c>
      <c r="E312" s="141" t="inlineStr">
        <is>
          <t>H</t>
        </is>
      </c>
      <c r="F312" s="141" t="inlineStr">
        <is>
          <t>E</t>
        </is>
      </c>
      <c r="G312" s="141" t="inlineStr">
        <is>
          <t>I</t>
        </is>
      </c>
      <c r="H312" s="141" t="inlineStr">
        <is>
          <t>B</t>
        </is>
      </c>
      <c r="I312" s="141" t="inlineStr">
        <is>
          <t>A</t>
        </is>
      </c>
      <c r="J312" s="141" t="inlineStr">
        <is>
          <t>G</t>
        </is>
      </c>
      <c r="K312" s="141" t="inlineStr">
        <is>
          <t>L</t>
        </is>
      </c>
    </row>
    <row r="313" ht="12.75" customHeight="1">
      <c r="A313" s="141" t="n">
        <v>312</v>
      </c>
      <c r="B313" s="141" t="inlineStr">
        <is>
          <t>ABEFGHIK</t>
        </is>
      </c>
      <c r="C313" s="141" t="inlineStr">
        <is>
          <t>A,B,E,F,G,H,I,K</t>
        </is>
      </c>
      <c r="D313" s="141" t="inlineStr">
        <is>
          <t>F</t>
        </is>
      </c>
      <c r="E313" s="141" t="inlineStr">
        <is>
          <t>H</t>
        </is>
      </c>
      <c r="F313" s="141" t="inlineStr">
        <is>
          <t>E</t>
        </is>
      </c>
      <c r="G313" s="141" t="inlineStr">
        <is>
          <t>K</t>
        </is>
      </c>
      <c r="H313" s="141" t="inlineStr">
        <is>
          <t>B</t>
        </is>
      </c>
      <c r="I313" s="141" t="inlineStr">
        <is>
          <t>A</t>
        </is>
      </c>
      <c r="J313" s="141" t="inlineStr">
        <is>
          <t>G</t>
        </is>
      </c>
      <c r="K313" s="141" t="inlineStr">
        <is>
          <t>I</t>
        </is>
      </c>
    </row>
    <row r="314" ht="12.75" customHeight="1">
      <c r="A314" s="141" t="n">
        <v>313</v>
      </c>
      <c r="B314" s="141" t="inlineStr">
        <is>
          <t>ABEFGHIJ</t>
        </is>
      </c>
      <c r="C314" s="141" t="inlineStr">
        <is>
          <t>A,B,E,F,G,H,I,J</t>
        </is>
      </c>
      <c r="D314" s="141" t="inlineStr">
        <is>
          <t>F</t>
        </is>
      </c>
      <c r="E314" s="141" t="inlineStr">
        <is>
          <t>G</t>
        </is>
      </c>
      <c r="F314" s="141" t="inlineStr">
        <is>
          <t>H</t>
        </is>
      </c>
      <c r="G314" s="141" t="inlineStr">
        <is>
          <t>I</t>
        </is>
      </c>
      <c r="H314" s="141" t="inlineStr">
        <is>
          <t>B</t>
        </is>
      </c>
      <c r="I314" s="141" t="inlineStr">
        <is>
          <t>A</t>
        </is>
      </c>
      <c r="J314" s="141" t="inlineStr">
        <is>
          <t>J</t>
        </is>
      </c>
      <c r="K314" s="141" t="inlineStr">
        <is>
          <t>E</t>
        </is>
      </c>
    </row>
    <row r="315" ht="12.75" customHeight="1">
      <c r="A315" s="141" t="n">
        <v>314</v>
      </c>
      <c r="B315" s="141" t="inlineStr">
        <is>
          <t>ABDHIJKL</t>
        </is>
      </c>
      <c r="C315" s="141" t="inlineStr">
        <is>
          <t>A,B,D,H,I,J,K,L</t>
        </is>
      </c>
      <c r="D315" s="141" t="inlineStr">
        <is>
          <t>D</t>
        </is>
      </c>
      <c r="E315" s="141" t="inlineStr">
        <is>
          <t>H</t>
        </is>
      </c>
      <c r="F315" s="141" t="inlineStr">
        <is>
          <t>I</t>
        </is>
      </c>
      <c r="G315" s="141" t="inlineStr">
        <is>
          <t>K</t>
        </is>
      </c>
      <c r="H315" s="141" t="inlineStr">
        <is>
          <t>B</t>
        </is>
      </c>
      <c r="I315" s="141" t="inlineStr">
        <is>
          <t>A</t>
        </is>
      </c>
      <c r="J315" s="141" t="inlineStr">
        <is>
          <t>J</t>
        </is>
      </c>
      <c r="K315" s="141" t="inlineStr">
        <is>
          <t>L</t>
        </is>
      </c>
    </row>
    <row r="316" ht="12.75" customHeight="1">
      <c r="A316" s="141" t="n">
        <v>315</v>
      </c>
      <c r="B316" s="141" t="inlineStr">
        <is>
          <t>ABDGIJKL</t>
        </is>
      </c>
      <c r="C316" s="141" t="inlineStr">
        <is>
          <t>A,B,D,G,I,J,K,L</t>
        </is>
      </c>
      <c r="D316" s="141" t="inlineStr">
        <is>
          <t>D</t>
        </is>
      </c>
      <c r="E316" s="141" t="inlineStr">
        <is>
          <t>G</t>
        </is>
      </c>
      <c r="F316" s="141" t="inlineStr">
        <is>
          <t>I</t>
        </is>
      </c>
      <c r="G316" s="141" t="inlineStr">
        <is>
          <t>K</t>
        </is>
      </c>
      <c r="H316" s="141" t="inlineStr">
        <is>
          <t>B</t>
        </is>
      </c>
      <c r="I316" s="141" t="inlineStr">
        <is>
          <t>A</t>
        </is>
      </c>
      <c r="J316" s="141" t="inlineStr">
        <is>
          <t>J</t>
        </is>
      </c>
      <c r="K316" s="141" t="inlineStr">
        <is>
          <t>L</t>
        </is>
      </c>
    </row>
    <row r="317" ht="12.75" customHeight="1">
      <c r="A317" s="141" t="n">
        <v>316</v>
      </c>
      <c r="B317" s="141" t="inlineStr">
        <is>
          <t>ABDGHJKL</t>
        </is>
      </c>
      <c r="C317" s="141" t="inlineStr">
        <is>
          <t>A,B,D,G,H,J,K,L</t>
        </is>
      </c>
      <c r="D317" s="141" t="inlineStr">
        <is>
          <t>D</t>
        </is>
      </c>
      <c r="E317" s="141" t="inlineStr">
        <is>
          <t>G</t>
        </is>
      </c>
      <c r="F317" s="141" t="inlineStr">
        <is>
          <t>H</t>
        </is>
      </c>
      <c r="G317" s="141" t="inlineStr">
        <is>
          <t>K</t>
        </is>
      </c>
      <c r="H317" s="141" t="inlineStr">
        <is>
          <t>B</t>
        </is>
      </c>
      <c r="I317" s="141" t="inlineStr">
        <is>
          <t>A</t>
        </is>
      </c>
      <c r="J317" s="141" t="inlineStr">
        <is>
          <t>J</t>
        </is>
      </c>
      <c r="K317" s="141" t="inlineStr">
        <is>
          <t>L</t>
        </is>
      </c>
    </row>
    <row r="318" ht="12.75" customHeight="1">
      <c r="A318" s="141" t="n">
        <v>317</v>
      </c>
      <c r="B318" s="141" t="inlineStr">
        <is>
          <t>ABDGHIKL</t>
        </is>
      </c>
      <c r="C318" s="141" t="inlineStr">
        <is>
          <t>A,B,D,G,H,I,K,L</t>
        </is>
      </c>
      <c r="D318" s="141" t="inlineStr">
        <is>
          <t>D</t>
        </is>
      </c>
      <c r="E318" s="141" t="inlineStr">
        <is>
          <t>H</t>
        </is>
      </c>
      <c r="F318" s="141" t="inlineStr">
        <is>
          <t>I</t>
        </is>
      </c>
      <c r="G318" s="141" t="inlineStr">
        <is>
          <t>K</t>
        </is>
      </c>
      <c r="H318" s="141" t="inlineStr">
        <is>
          <t>B</t>
        </is>
      </c>
      <c r="I318" s="141" t="inlineStr">
        <is>
          <t>A</t>
        </is>
      </c>
      <c r="J318" s="141" t="inlineStr">
        <is>
          <t>G</t>
        </is>
      </c>
      <c r="K318" s="141" t="inlineStr">
        <is>
          <t>L</t>
        </is>
      </c>
    </row>
    <row r="319" ht="12.75" customHeight="1">
      <c r="A319" s="141" t="n">
        <v>318</v>
      </c>
      <c r="B319" s="141" t="inlineStr">
        <is>
          <t>ABDGHIJL</t>
        </is>
      </c>
      <c r="C319" s="141" t="inlineStr">
        <is>
          <t>A,B,D,G,H,I,J,L</t>
        </is>
      </c>
      <c r="D319" s="141" t="inlineStr">
        <is>
          <t>D</t>
        </is>
      </c>
      <c r="E319" s="141" t="inlineStr">
        <is>
          <t>G</t>
        </is>
      </c>
      <c r="F319" s="141" t="inlineStr">
        <is>
          <t>H</t>
        </is>
      </c>
      <c r="G319" s="141" t="inlineStr">
        <is>
          <t>I</t>
        </is>
      </c>
      <c r="H319" s="141" t="inlineStr">
        <is>
          <t>B</t>
        </is>
      </c>
      <c r="I319" s="141" t="inlineStr">
        <is>
          <t>A</t>
        </is>
      </c>
      <c r="J319" s="141" t="inlineStr">
        <is>
          <t>J</t>
        </is>
      </c>
      <c r="K319" s="141" t="inlineStr">
        <is>
          <t>L</t>
        </is>
      </c>
    </row>
    <row r="320" ht="12.75" customHeight="1">
      <c r="A320" s="141" t="n">
        <v>319</v>
      </c>
      <c r="B320" s="141" t="inlineStr">
        <is>
          <t>ABDGHIJK</t>
        </is>
      </c>
      <c r="C320" s="141" t="inlineStr">
        <is>
          <t>A,B,D,G,H,I,J,K</t>
        </is>
      </c>
      <c r="D320" s="141" t="inlineStr">
        <is>
          <t>D</t>
        </is>
      </c>
      <c r="E320" s="141" t="inlineStr">
        <is>
          <t>G</t>
        </is>
      </c>
      <c r="F320" s="141" t="inlineStr">
        <is>
          <t>H</t>
        </is>
      </c>
      <c r="G320" s="141" t="inlineStr">
        <is>
          <t>K</t>
        </is>
      </c>
      <c r="H320" s="141" t="inlineStr">
        <is>
          <t>B</t>
        </is>
      </c>
      <c r="I320" s="141" t="inlineStr">
        <is>
          <t>A</t>
        </is>
      </c>
      <c r="J320" s="141" t="inlineStr">
        <is>
          <t>J</t>
        </is>
      </c>
      <c r="K320" s="141" t="inlineStr">
        <is>
          <t>I</t>
        </is>
      </c>
    </row>
    <row r="321" ht="12.75" customHeight="1">
      <c r="A321" s="141" t="n">
        <v>320</v>
      </c>
      <c r="B321" s="141" t="inlineStr">
        <is>
          <t>ABDFIJKL</t>
        </is>
      </c>
      <c r="C321" s="141" t="inlineStr">
        <is>
          <t>A,B,D,F,I,J,K,L</t>
        </is>
      </c>
      <c r="D321" s="141" t="inlineStr">
        <is>
          <t>D</t>
        </is>
      </c>
      <c r="E321" s="141" t="inlineStr">
        <is>
          <t>F</t>
        </is>
      </c>
      <c r="F321" s="141" t="inlineStr">
        <is>
          <t>I</t>
        </is>
      </c>
      <c r="G321" s="141" t="inlineStr">
        <is>
          <t>K</t>
        </is>
      </c>
      <c r="H321" s="141" t="inlineStr">
        <is>
          <t>B</t>
        </is>
      </c>
      <c r="I321" s="141" t="inlineStr">
        <is>
          <t>A</t>
        </is>
      </c>
      <c r="J321" s="141" t="inlineStr">
        <is>
          <t>J</t>
        </is>
      </c>
      <c r="K321" s="141" t="inlineStr">
        <is>
          <t>L</t>
        </is>
      </c>
    </row>
    <row r="322" ht="12.75" customHeight="1">
      <c r="A322" s="141" t="n">
        <v>321</v>
      </c>
      <c r="B322" s="141" t="inlineStr">
        <is>
          <t>ABDFHJKL</t>
        </is>
      </c>
      <c r="C322" s="141" t="inlineStr">
        <is>
          <t>A,B,D,F,H,J,K,L</t>
        </is>
      </c>
      <c r="D322" s="141" t="inlineStr">
        <is>
          <t>D</t>
        </is>
      </c>
      <c r="E322" s="141" t="inlineStr">
        <is>
          <t>F</t>
        </is>
      </c>
      <c r="F322" s="141" t="inlineStr">
        <is>
          <t>H</t>
        </is>
      </c>
      <c r="G322" s="141" t="inlineStr">
        <is>
          <t>K</t>
        </is>
      </c>
      <c r="H322" s="141" t="inlineStr">
        <is>
          <t>B</t>
        </is>
      </c>
      <c r="I322" s="141" t="inlineStr">
        <is>
          <t>A</t>
        </is>
      </c>
      <c r="J322" s="141" t="inlineStr">
        <is>
          <t>J</t>
        </is>
      </c>
      <c r="K322" s="141" t="inlineStr">
        <is>
          <t>L</t>
        </is>
      </c>
    </row>
    <row r="323" ht="12.75" customHeight="1">
      <c r="A323" s="141" t="n">
        <v>322</v>
      </c>
      <c r="B323" s="141" t="inlineStr">
        <is>
          <t>ABDFHIKL</t>
        </is>
      </c>
      <c r="C323" s="141" t="inlineStr">
        <is>
          <t>A,B,D,F,H,I,K,L</t>
        </is>
      </c>
      <c r="D323" s="141" t="inlineStr">
        <is>
          <t>D</t>
        </is>
      </c>
      <c r="E323" s="141" t="inlineStr">
        <is>
          <t>F</t>
        </is>
      </c>
      <c r="F323" s="141" t="inlineStr">
        <is>
          <t>H</t>
        </is>
      </c>
      <c r="G323" s="141" t="inlineStr">
        <is>
          <t>K</t>
        </is>
      </c>
      <c r="H323" s="141" t="inlineStr">
        <is>
          <t>B</t>
        </is>
      </c>
      <c r="I323" s="141" t="inlineStr">
        <is>
          <t>A</t>
        </is>
      </c>
      <c r="J323" s="141" t="inlineStr">
        <is>
          <t>I</t>
        </is>
      </c>
      <c r="K323" s="141" t="inlineStr">
        <is>
          <t>L</t>
        </is>
      </c>
    </row>
    <row r="324" ht="12.75" customHeight="1">
      <c r="A324" s="141" t="n">
        <v>323</v>
      </c>
      <c r="B324" s="141" t="inlineStr">
        <is>
          <t>ABDFHIJL</t>
        </is>
      </c>
      <c r="C324" s="141" t="inlineStr">
        <is>
          <t>A,B,D,F,H,I,J,L</t>
        </is>
      </c>
      <c r="D324" s="141" t="inlineStr">
        <is>
          <t>D</t>
        </is>
      </c>
      <c r="E324" s="141" t="inlineStr">
        <is>
          <t>F</t>
        </is>
      </c>
      <c r="F324" s="141" t="inlineStr">
        <is>
          <t>H</t>
        </is>
      </c>
      <c r="G324" s="141" t="inlineStr">
        <is>
          <t>I</t>
        </is>
      </c>
      <c r="H324" s="141" t="inlineStr">
        <is>
          <t>B</t>
        </is>
      </c>
      <c r="I324" s="141" t="inlineStr">
        <is>
          <t>A</t>
        </is>
      </c>
      <c r="J324" s="141" t="inlineStr">
        <is>
          <t>J</t>
        </is>
      </c>
      <c r="K324" s="141" t="inlineStr">
        <is>
          <t>L</t>
        </is>
      </c>
    </row>
    <row r="325" ht="12.75" customHeight="1">
      <c r="A325" s="141" t="n">
        <v>324</v>
      </c>
      <c r="B325" s="141" t="inlineStr">
        <is>
          <t>ABDFHIJK</t>
        </is>
      </c>
      <c r="C325" s="141" t="inlineStr">
        <is>
          <t>A,B,D,F,H,I,J,K</t>
        </is>
      </c>
      <c r="D325" s="141" t="inlineStr">
        <is>
          <t>D</t>
        </is>
      </c>
      <c r="E325" s="141" t="inlineStr">
        <is>
          <t>F</t>
        </is>
      </c>
      <c r="F325" s="141" t="inlineStr">
        <is>
          <t>H</t>
        </is>
      </c>
      <c r="G325" s="141" t="inlineStr">
        <is>
          <t>K</t>
        </is>
      </c>
      <c r="H325" s="141" t="inlineStr">
        <is>
          <t>B</t>
        </is>
      </c>
      <c r="I325" s="141" t="inlineStr">
        <is>
          <t>A</t>
        </is>
      </c>
      <c r="J325" s="141" t="inlineStr">
        <is>
          <t>J</t>
        </is>
      </c>
      <c r="K325" s="141" t="inlineStr">
        <is>
          <t>I</t>
        </is>
      </c>
    </row>
    <row r="326" ht="12.75" customHeight="1">
      <c r="A326" s="141" t="n">
        <v>325</v>
      </c>
      <c r="B326" s="141" t="inlineStr">
        <is>
          <t>ABDFGJKL</t>
        </is>
      </c>
      <c r="C326" s="141" t="inlineStr">
        <is>
          <t>A,B,D,F,G,J,K,L</t>
        </is>
      </c>
      <c r="D326" s="141" t="inlineStr">
        <is>
          <t>D</t>
        </is>
      </c>
      <c r="E326" s="141" t="inlineStr">
        <is>
          <t>G</t>
        </is>
      </c>
      <c r="F326" s="141" t="inlineStr">
        <is>
          <t>F</t>
        </is>
      </c>
      <c r="G326" s="141" t="inlineStr">
        <is>
          <t>K</t>
        </is>
      </c>
      <c r="H326" s="141" t="inlineStr">
        <is>
          <t>B</t>
        </is>
      </c>
      <c r="I326" s="141" t="inlineStr">
        <is>
          <t>A</t>
        </is>
      </c>
      <c r="J326" s="141" t="inlineStr">
        <is>
          <t>J</t>
        </is>
      </c>
      <c r="K326" s="141" t="inlineStr">
        <is>
          <t>L</t>
        </is>
      </c>
    </row>
    <row r="327" ht="12.75" customHeight="1">
      <c r="A327" s="141" t="n">
        <v>326</v>
      </c>
      <c r="B327" s="141" t="inlineStr">
        <is>
          <t>ABDFGIKL</t>
        </is>
      </c>
      <c r="C327" s="141" t="inlineStr">
        <is>
          <t>A,B,D,F,G,I,K,L</t>
        </is>
      </c>
      <c r="D327" s="141" t="inlineStr">
        <is>
          <t>D</t>
        </is>
      </c>
      <c r="E327" s="141" t="inlineStr">
        <is>
          <t>F</t>
        </is>
      </c>
      <c r="F327" s="141" t="inlineStr">
        <is>
          <t>I</t>
        </is>
      </c>
      <c r="G327" s="141" t="inlineStr">
        <is>
          <t>K</t>
        </is>
      </c>
      <c r="H327" s="141" t="inlineStr">
        <is>
          <t>B</t>
        </is>
      </c>
      <c r="I327" s="141" t="inlineStr">
        <is>
          <t>A</t>
        </is>
      </c>
      <c r="J327" s="141" t="inlineStr">
        <is>
          <t>G</t>
        </is>
      </c>
      <c r="K327" s="141" t="inlineStr">
        <is>
          <t>L</t>
        </is>
      </c>
    </row>
    <row r="328" ht="12.75" customHeight="1">
      <c r="A328" s="141" t="n">
        <v>327</v>
      </c>
      <c r="B328" s="141" t="inlineStr">
        <is>
          <t>ABDFGIJL</t>
        </is>
      </c>
      <c r="C328" s="141" t="inlineStr">
        <is>
          <t>A,B,D,F,G,I,J,L</t>
        </is>
      </c>
      <c r="D328" s="141" t="inlineStr">
        <is>
          <t>D</t>
        </is>
      </c>
      <c r="E328" s="141" t="inlineStr">
        <is>
          <t>G</t>
        </is>
      </c>
      <c r="F328" s="141" t="inlineStr">
        <is>
          <t>F</t>
        </is>
      </c>
      <c r="G328" s="141" t="inlineStr">
        <is>
          <t>I</t>
        </is>
      </c>
      <c r="H328" s="141" t="inlineStr">
        <is>
          <t>B</t>
        </is>
      </c>
      <c r="I328" s="141" t="inlineStr">
        <is>
          <t>A</t>
        </is>
      </c>
      <c r="J328" s="141" t="inlineStr">
        <is>
          <t>J</t>
        </is>
      </c>
      <c r="K328" s="141" t="inlineStr">
        <is>
          <t>L</t>
        </is>
      </c>
    </row>
    <row r="329" ht="12.75" customHeight="1">
      <c r="A329" s="141" t="n">
        <v>328</v>
      </c>
      <c r="B329" s="141" t="inlineStr">
        <is>
          <t>ABDFGIJK</t>
        </is>
      </c>
      <c r="C329" s="141" t="inlineStr">
        <is>
          <t>A,B,D,F,G,I,J,K</t>
        </is>
      </c>
      <c r="D329" s="141" t="inlineStr">
        <is>
          <t>D</t>
        </is>
      </c>
      <c r="E329" s="141" t="inlineStr">
        <is>
          <t>G</t>
        </is>
      </c>
      <c r="F329" s="141" t="inlineStr">
        <is>
          <t>F</t>
        </is>
      </c>
      <c r="G329" s="141" t="inlineStr">
        <is>
          <t>K</t>
        </is>
      </c>
      <c r="H329" s="141" t="inlineStr">
        <is>
          <t>B</t>
        </is>
      </c>
      <c r="I329" s="141" t="inlineStr">
        <is>
          <t>A</t>
        </is>
      </c>
      <c r="J329" s="141" t="inlineStr">
        <is>
          <t>J</t>
        </is>
      </c>
      <c r="K329" s="141" t="inlineStr">
        <is>
          <t>I</t>
        </is>
      </c>
    </row>
    <row r="330" ht="12.75" customHeight="1">
      <c r="A330" s="141" t="n">
        <v>329</v>
      </c>
      <c r="B330" s="141" t="inlineStr">
        <is>
          <t>ABDFGHKL</t>
        </is>
      </c>
      <c r="C330" s="141" t="inlineStr">
        <is>
          <t>A,B,D,F,G,H,K,L</t>
        </is>
      </c>
      <c r="D330" s="141" t="inlineStr">
        <is>
          <t>D</t>
        </is>
      </c>
      <c r="E330" s="141" t="inlineStr">
        <is>
          <t>F</t>
        </is>
      </c>
      <c r="F330" s="141" t="inlineStr">
        <is>
          <t>H</t>
        </is>
      </c>
      <c r="G330" s="141" t="inlineStr">
        <is>
          <t>K</t>
        </is>
      </c>
      <c r="H330" s="141" t="inlineStr">
        <is>
          <t>B</t>
        </is>
      </c>
      <c r="I330" s="141" t="inlineStr">
        <is>
          <t>A</t>
        </is>
      </c>
      <c r="J330" s="141" t="inlineStr">
        <is>
          <t>G</t>
        </is>
      </c>
      <c r="K330" s="141" t="inlineStr">
        <is>
          <t>L</t>
        </is>
      </c>
    </row>
    <row r="331" ht="12.75" customHeight="1">
      <c r="A331" s="141" t="n">
        <v>330</v>
      </c>
      <c r="B331" s="141" t="inlineStr">
        <is>
          <t>ABDFGHJL</t>
        </is>
      </c>
      <c r="C331" s="141" t="inlineStr">
        <is>
          <t>A,B,D,F,G,H,J,L</t>
        </is>
      </c>
      <c r="D331" s="141" t="inlineStr">
        <is>
          <t>D</t>
        </is>
      </c>
      <c r="E331" s="141" t="inlineStr">
        <is>
          <t>F</t>
        </is>
      </c>
      <c r="F331" s="141" t="inlineStr">
        <is>
          <t>H</t>
        </is>
      </c>
      <c r="G331" s="141" t="inlineStr">
        <is>
          <t>J</t>
        </is>
      </c>
      <c r="H331" s="141" t="inlineStr">
        <is>
          <t>B</t>
        </is>
      </c>
      <c r="I331" s="141" t="inlineStr">
        <is>
          <t>A</t>
        </is>
      </c>
      <c r="J331" s="141" t="inlineStr">
        <is>
          <t>G</t>
        </is>
      </c>
      <c r="K331" s="141" t="inlineStr">
        <is>
          <t>L</t>
        </is>
      </c>
    </row>
    <row r="332" ht="12.75" customHeight="1">
      <c r="A332" s="141" t="n">
        <v>331</v>
      </c>
      <c r="B332" s="141" t="inlineStr">
        <is>
          <t>ABDFGHJK</t>
        </is>
      </c>
      <c r="C332" s="141" t="inlineStr">
        <is>
          <t>A,B,D,F,G,H,J,K</t>
        </is>
      </c>
      <c r="D332" s="141" t="inlineStr">
        <is>
          <t>D</t>
        </is>
      </c>
      <c r="E332" s="141" t="inlineStr">
        <is>
          <t>F</t>
        </is>
      </c>
      <c r="F332" s="141" t="inlineStr">
        <is>
          <t>H</t>
        </is>
      </c>
      <c r="G332" s="141" t="inlineStr">
        <is>
          <t>K</t>
        </is>
      </c>
      <c r="H332" s="141" t="inlineStr">
        <is>
          <t>B</t>
        </is>
      </c>
      <c r="I332" s="141" t="inlineStr">
        <is>
          <t>A</t>
        </is>
      </c>
      <c r="J332" s="141" t="inlineStr">
        <is>
          <t>G</t>
        </is>
      </c>
      <c r="K332" s="141" t="inlineStr">
        <is>
          <t>J</t>
        </is>
      </c>
    </row>
    <row r="333" ht="12.75" customHeight="1">
      <c r="A333" s="141" t="n">
        <v>332</v>
      </c>
      <c r="B333" s="141" t="inlineStr">
        <is>
          <t>ABDFGHIL</t>
        </is>
      </c>
      <c r="C333" s="141" t="inlineStr">
        <is>
          <t>A,B,D,F,G,H,I,L</t>
        </is>
      </c>
      <c r="D333" s="141" t="inlineStr">
        <is>
          <t>D</t>
        </is>
      </c>
      <c r="E333" s="141" t="inlineStr">
        <is>
          <t>F</t>
        </is>
      </c>
      <c r="F333" s="141" t="inlineStr">
        <is>
          <t>H</t>
        </is>
      </c>
      <c r="G333" s="141" t="inlineStr">
        <is>
          <t>I</t>
        </is>
      </c>
      <c r="H333" s="141" t="inlineStr">
        <is>
          <t>B</t>
        </is>
      </c>
      <c r="I333" s="141" t="inlineStr">
        <is>
          <t>A</t>
        </is>
      </c>
      <c r="J333" s="141" t="inlineStr">
        <is>
          <t>G</t>
        </is>
      </c>
      <c r="K333" s="141" t="inlineStr">
        <is>
          <t>L</t>
        </is>
      </c>
    </row>
    <row r="334" ht="12.75" customHeight="1">
      <c r="A334" s="141" t="n">
        <v>333</v>
      </c>
      <c r="B334" s="141" t="inlineStr">
        <is>
          <t>ABDFGHIK</t>
        </is>
      </c>
      <c r="C334" s="141" t="inlineStr">
        <is>
          <t>A,B,D,F,G,H,I,K</t>
        </is>
      </c>
      <c r="D334" s="141" t="inlineStr">
        <is>
          <t>D</t>
        </is>
      </c>
      <c r="E334" s="141" t="inlineStr">
        <is>
          <t>F</t>
        </is>
      </c>
      <c r="F334" s="141" t="inlineStr">
        <is>
          <t>H</t>
        </is>
      </c>
      <c r="G334" s="141" t="inlineStr">
        <is>
          <t>K</t>
        </is>
      </c>
      <c r="H334" s="141" t="inlineStr">
        <is>
          <t>B</t>
        </is>
      </c>
      <c r="I334" s="141" t="inlineStr">
        <is>
          <t>A</t>
        </is>
      </c>
      <c r="J334" s="141" t="inlineStr">
        <is>
          <t>G</t>
        </is>
      </c>
      <c r="K334" s="141" t="inlineStr">
        <is>
          <t>I</t>
        </is>
      </c>
    </row>
    <row r="335" ht="12.75" customHeight="1">
      <c r="A335" s="141" t="n">
        <v>334</v>
      </c>
      <c r="B335" s="141" t="inlineStr">
        <is>
          <t>ABDFGHIJ</t>
        </is>
      </c>
      <c r="C335" s="141" t="inlineStr">
        <is>
          <t>A,B,D,F,G,H,I,J</t>
        </is>
      </c>
      <c r="D335" s="141" t="inlineStr">
        <is>
          <t>D</t>
        </is>
      </c>
      <c r="E335" s="141" t="inlineStr">
        <is>
          <t>F</t>
        </is>
      </c>
      <c r="F335" s="141" t="inlineStr">
        <is>
          <t>H</t>
        </is>
      </c>
      <c r="G335" s="141" t="inlineStr">
        <is>
          <t>J</t>
        </is>
      </c>
      <c r="H335" s="141" t="inlineStr">
        <is>
          <t>B</t>
        </is>
      </c>
      <c r="I335" s="141" t="inlineStr">
        <is>
          <t>A</t>
        </is>
      </c>
      <c r="J335" s="141" t="inlineStr">
        <is>
          <t>G</t>
        </is>
      </c>
      <c r="K335" s="141" t="inlineStr">
        <is>
          <t>I</t>
        </is>
      </c>
    </row>
    <row r="336" ht="12.75" customHeight="1">
      <c r="A336" s="141" t="n">
        <v>335</v>
      </c>
      <c r="B336" s="141" t="inlineStr">
        <is>
          <t>ABDEIJKL</t>
        </is>
      </c>
      <c r="C336" s="141" t="inlineStr">
        <is>
          <t>A,B,D,E,I,J,K,L</t>
        </is>
      </c>
      <c r="D336" s="141" t="inlineStr">
        <is>
          <t>A</t>
        </is>
      </c>
      <c r="E336" s="141" t="inlineStr">
        <is>
          <t>D</t>
        </is>
      </c>
      <c r="F336" s="141" t="inlineStr">
        <is>
          <t>E</t>
        </is>
      </c>
      <c r="G336" s="141" t="inlineStr">
        <is>
          <t>K</t>
        </is>
      </c>
      <c r="H336" s="141" t="inlineStr">
        <is>
          <t>B</t>
        </is>
      </c>
      <c r="I336" s="141" t="inlineStr">
        <is>
          <t>I</t>
        </is>
      </c>
      <c r="J336" s="141" t="inlineStr">
        <is>
          <t>J</t>
        </is>
      </c>
      <c r="K336" s="141" t="inlineStr">
        <is>
          <t>L</t>
        </is>
      </c>
    </row>
    <row r="337" ht="12.75" customHeight="1">
      <c r="A337" s="141" t="n">
        <v>336</v>
      </c>
      <c r="B337" s="141" t="inlineStr">
        <is>
          <t>ABDEHJKL</t>
        </is>
      </c>
      <c r="C337" s="141" t="inlineStr">
        <is>
          <t>A,B,D,E,H,J,K,L</t>
        </is>
      </c>
      <c r="D337" s="141" t="inlineStr">
        <is>
          <t>D</t>
        </is>
      </c>
      <c r="E337" s="141" t="inlineStr">
        <is>
          <t>H</t>
        </is>
      </c>
      <c r="F337" s="141" t="inlineStr">
        <is>
          <t>E</t>
        </is>
      </c>
      <c r="G337" s="141" t="inlineStr">
        <is>
          <t>K</t>
        </is>
      </c>
      <c r="H337" s="141" t="inlineStr">
        <is>
          <t>B</t>
        </is>
      </c>
      <c r="I337" s="141" t="inlineStr">
        <is>
          <t>A</t>
        </is>
      </c>
      <c r="J337" s="141" t="inlineStr">
        <is>
          <t>J</t>
        </is>
      </c>
      <c r="K337" s="141" t="inlineStr">
        <is>
          <t>L</t>
        </is>
      </c>
    </row>
    <row r="338" ht="12.75" customHeight="1">
      <c r="A338" s="141" t="n">
        <v>337</v>
      </c>
      <c r="B338" s="141" t="inlineStr">
        <is>
          <t>ABDEHIKL</t>
        </is>
      </c>
      <c r="C338" s="141" t="inlineStr">
        <is>
          <t>A,B,D,E,H,I,K,L</t>
        </is>
      </c>
      <c r="D338" s="141" t="inlineStr">
        <is>
          <t>D</t>
        </is>
      </c>
      <c r="E338" s="141" t="inlineStr">
        <is>
          <t>H</t>
        </is>
      </c>
      <c r="F338" s="141" t="inlineStr">
        <is>
          <t>E</t>
        </is>
      </c>
      <c r="G338" s="141" t="inlineStr">
        <is>
          <t>K</t>
        </is>
      </c>
      <c r="H338" s="141" t="inlineStr">
        <is>
          <t>B</t>
        </is>
      </c>
      <c r="I338" s="141" t="inlineStr">
        <is>
          <t>A</t>
        </is>
      </c>
      <c r="J338" s="141" t="inlineStr">
        <is>
          <t>I</t>
        </is>
      </c>
      <c r="K338" s="141" t="inlineStr">
        <is>
          <t>L</t>
        </is>
      </c>
    </row>
    <row r="339" ht="12.75" customHeight="1">
      <c r="A339" s="141" t="n">
        <v>338</v>
      </c>
      <c r="B339" s="141" t="inlineStr">
        <is>
          <t>ABDEHIJL</t>
        </is>
      </c>
      <c r="C339" s="141" t="inlineStr">
        <is>
          <t>A,B,D,E,H,I,J,L</t>
        </is>
      </c>
      <c r="D339" s="141" t="inlineStr">
        <is>
          <t>D</t>
        </is>
      </c>
      <c r="E339" s="141" t="inlineStr">
        <is>
          <t>H</t>
        </is>
      </c>
      <c r="F339" s="141" t="inlineStr">
        <is>
          <t>E</t>
        </is>
      </c>
      <c r="G339" s="141" t="inlineStr">
        <is>
          <t>I</t>
        </is>
      </c>
      <c r="H339" s="141" t="inlineStr">
        <is>
          <t>B</t>
        </is>
      </c>
      <c r="I339" s="141" t="inlineStr">
        <is>
          <t>A</t>
        </is>
      </c>
      <c r="J339" s="141" t="inlineStr">
        <is>
          <t>J</t>
        </is>
      </c>
      <c r="K339" s="141" t="inlineStr">
        <is>
          <t>L</t>
        </is>
      </c>
    </row>
    <row r="340" ht="12.75" customHeight="1">
      <c r="A340" s="141" t="n">
        <v>339</v>
      </c>
      <c r="B340" s="141" t="inlineStr">
        <is>
          <t>ABDEHIJK</t>
        </is>
      </c>
      <c r="C340" s="141" t="inlineStr">
        <is>
          <t>A,B,D,E,H,I,J,K</t>
        </is>
      </c>
      <c r="D340" s="141" t="inlineStr">
        <is>
          <t>D</t>
        </is>
      </c>
      <c r="E340" s="141" t="inlineStr">
        <is>
          <t>H</t>
        </is>
      </c>
      <c r="F340" s="141" t="inlineStr">
        <is>
          <t>E</t>
        </is>
      </c>
      <c r="G340" s="141" t="inlineStr">
        <is>
          <t>K</t>
        </is>
      </c>
      <c r="H340" s="141" t="inlineStr">
        <is>
          <t>B</t>
        </is>
      </c>
      <c r="I340" s="141" t="inlineStr">
        <is>
          <t>A</t>
        </is>
      </c>
      <c r="J340" s="141" t="inlineStr">
        <is>
          <t>J</t>
        </is>
      </c>
      <c r="K340" s="141" t="inlineStr">
        <is>
          <t>I</t>
        </is>
      </c>
    </row>
    <row r="341" ht="12.75" customHeight="1">
      <c r="A341" s="141" t="n">
        <v>340</v>
      </c>
      <c r="B341" s="141" t="inlineStr">
        <is>
          <t>ABDEGJKL</t>
        </is>
      </c>
      <c r="C341" s="141" t="inlineStr">
        <is>
          <t>A,B,D,E,G,J,K,L</t>
        </is>
      </c>
      <c r="D341" s="141" t="inlineStr">
        <is>
          <t>D</t>
        </is>
      </c>
      <c r="E341" s="141" t="inlineStr">
        <is>
          <t>G</t>
        </is>
      </c>
      <c r="F341" s="141" t="inlineStr">
        <is>
          <t>E</t>
        </is>
      </c>
      <c r="G341" s="141" t="inlineStr">
        <is>
          <t>K</t>
        </is>
      </c>
      <c r="H341" s="141" t="inlineStr">
        <is>
          <t>B</t>
        </is>
      </c>
      <c r="I341" s="141" t="inlineStr">
        <is>
          <t>A</t>
        </is>
      </c>
      <c r="J341" s="141" t="inlineStr">
        <is>
          <t>J</t>
        </is>
      </c>
      <c r="K341" s="141" t="inlineStr">
        <is>
          <t>L</t>
        </is>
      </c>
    </row>
    <row r="342" ht="12.75" customHeight="1">
      <c r="A342" s="141" t="n">
        <v>341</v>
      </c>
      <c r="B342" s="141" t="inlineStr">
        <is>
          <t>ABDEGIKL</t>
        </is>
      </c>
      <c r="C342" s="141" t="inlineStr">
        <is>
          <t>A,B,D,E,G,I,K,L</t>
        </is>
      </c>
      <c r="D342" s="141" t="inlineStr">
        <is>
          <t>A</t>
        </is>
      </c>
      <c r="E342" s="141" t="inlineStr">
        <is>
          <t>D</t>
        </is>
      </c>
      <c r="F342" s="141" t="inlineStr">
        <is>
          <t>E</t>
        </is>
      </c>
      <c r="G342" s="141" t="inlineStr">
        <is>
          <t>K</t>
        </is>
      </c>
      <c r="H342" s="141" t="inlineStr">
        <is>
          <t>B</t>
        </is>
      </c>
      <c r="I342" s="141" t="inlineStr">
        <is>
          <t>I</t>
        </is>
      </c>
      <c r="J342" s="141" t="inlineStr">
        <is>
          <t>G</t>
        </is>
      </c>
      <c r="K342" s="141" t="inlineStr">
        <is>
          <t>L</t>
        </is>
      </c>
    </row>
    <row r="343" ht="12.75" customHeight="1">
      <c r="A343" s="141" t="n">
        <v>342</v>
      </c>
      <c r="B343" s="141" t="inlineStr">
        <is>
          <t>ABDEGIJL</t>
        </is>
      </c>
      <c r="C343" s="141" t="inlineStr">
        <is>
          <t>A,B,D,E,G,I,J,L</t>
        </is>
      </c>
      <c r="D343" s="141" t="inlineStr">
        <is>
          <t>D</t>
        </is>
      </c>
      <c r="E343" s="141" t="inlineStr">
        <is>
          <t>G</t>
        </is>
      </c>
      <c r="F343" s="141" t="inlineStr">
        <is>
          <t>E</t>
        </is>
      </c>
      <c r="G343" s="141" t="inlineStr">
        <is>
          <t>I</t>
        </is>
      </c>
      <c r="H343" s="141" t="inlineStr">
        <is>
          <t>B</t>
        </is>
      </c>
      <c r="I343" s="141" t="inlineStr">
        <is>
          <t>A</t>
        </is>
      </c>
      <c r="J343" s="141" t="inlineStr">
        <is>
          <t>J</t>
        </is>
      </c>
      <c r="K343" s="141" t="inlineStr">
        <is>
          <t>L</t>
        </is>
      </c>
    </row>
    <row r="344" ht="12.75" customHeight="1">
      <c r="A344" s="141" t="n">
        <v>343</v>
      </c>
      <c r="B344" s="141" t="inlineStr">
        <is>
          <t>ABDEGIJK</t>
        </is>
      </c>
      <c r="C344" s="141" t="inlineStr">
        <is>
          <t>A,B,D,E,G,I,J,K</t>
        </is>
      </c>
      <c r="D344" s="141" t="inlineStr">
        <is>
          <t>D</t>
        </is>
      </c>
      <c r="E344" s="141" t="inlineStr">
        <is>
          <t>G</t>
        </is>
      </c>
      <c r="F344" s="141" t="inlineStr">
        <is>
          <t>E</t>
        </is>
      </c>
      <c r="G344" s="141" t="inlineStr">
        <is>
          <t>K</t>
        </is>
      </c>
      <c r="H344" s="141" t="inlineStr">
        <is>
          <t>B</t>
        </is>
      </c>
      <c r="I344" s="141" t="inlineStr">
        <is>
          <t>A</t>
        </is>
      </c>
      <c r="J344" s="141" t="inlineStr">
        <is>
          <t>J</t>
        </is>
      </c>
      <c r="K344" s="141" t="inlineStr">
        <is>
          <t>I</t>
        </is>
      </c>
    </row>
    <row r="345" ht="12.75" customHeight="1">
      <c r="A345" s="141" t="n">
        <v>344</v>
      </c>
      <c r="B345" s="141" t="inlineStr">
        <is>
          <t>ABDEGHKL</t>
        </is>
      </c>
      <c r="C345" s="141" t="inlineStr">
        <is>
          <t>A,B,D,E,G,H,K,L</t>
        </is>
      </c>
      <c r="D345" s="141" t="inlineStr">
        <is>
          <t>D</t>
        </is>
      </c>
      <c r="E345" s="141" t="inlineStr">
        <is>
          <t>H</t>
        </is>
      </c>
      <c r="F345" s="141" t="inlineStr">
        <is>
          <t>E</t>
        </is>
      </c>
      <c r="G345" s="141" t="inlineStr">
        <is>
          <t>K</t>
        </is>
      </c>
      <c r="H345" s="141" t="inlineStr">
        <is>
          <t>B</t>
        </is>
      </c>
      <c r="I345" s="141" t="inlineStr">
        <is>
          <t>A</t>
        </is>
      </c>
      <c r="J345" s="141" t="inlineStr">
        <is>
          <t>G</t>
        </is>
      </c>
      <c r="K345" s="141" t="inlineStr">
        <is>
          <t>L</t>
        </is>
      </c>
    </row>
    <row r="346" ht="12.75" customHeight="1">
      <c r="A346" s="141" t="n">
        <v>345</v>
      </c>
      <c r="B346" s="141" t="inlineStr">
        <is>
          <t>ABDEGHJL</t>
        </is>
      </c>
      <c r="C346" s="141" t="inlineStr">
        <is>
          <t>A,B,D,E,G,H,J,L</t>
        </is>
      </c>
      <c r="D346" s="141" t="inlineStr">
        <is>
          <t>D</t>
        </is>
      </c>
      <c r="E346" s="141" t="inlineStr">
        <is>
          <t>G</t>
        </is>
      </c>
      <c r="F346" s="141" t="inlineStr">
        <is>
          <t>H</t>
        </is>
      </c>
      <c r="G346" s="141" t="inlineStr">
        <is>
          <t>E</t>
        </is>
      </c>
      <c r="H346" s="141" t="inlineStr">
        <is>
          <t>B</t>
        </is>
      </c>
      <c r="I346" s="141" t="inlineStr">
        <is>
          <t>A</t>
        </is>
      </c>
      <c r="J346" s="141" t="inlineStr">
        <is>
          <t>J</t>
        </is>
      </c>
      <c r="K346" s="141" t="inlineStr">
        <is>
          <t>L</t>
        </is>
      </c>
    </row>
    <row r="347" ht="12.75" customHeight="1">
      <c r="A347" s="141" t="n">
        <v>346</v>
      </c>
      <c r="B347" s="141" t="inlineStr">
        <is>
          <t>ABDEGHJK</t>
        </is>
      </c>
      <c r="C347" s="141" t="inlineStr">
        <is>
          <t>A,B,D,E,G,H,J,K</t>
        </is>
      </c>
      <c r="D347" s="141" t="inlineStr">
        <is>
          <t>D</t>
        </is>
      </c>
      <c r="E347" s="141" t="inlineStr">
        <is>
          <t>G</t>
        </is>
      </c>
      <c r="F347" s="141" t="inlineStr">
        <is>
          <t>H</t>
        </is>
      </c>
      <c r="G347" s="141" t="inlineStr">
        <is>
          <t>K</t>
        </is>
      </c>
      <c r="H347" s="141" t="inlineStr">
        <is>
          <t>B</t>
        </is>
      </c>
      <c r="I347" s="141" t="inlineStr">
        <is>
          <t>A</t>
        </is>
      </c>
      <c r="J347" s="141" t="inlineStr">
        <is>
          <t>J</t>
        </is>
      </c>
      <c r="K347" s="141" t="inlineStr">
        <is>
          <t>E</t>
        </is>
      </c>
    </row>
    <row r="348" ht="12.75" customHeight="1">
      <c r="A348" s="141" t="n">
        <v>347</v>
      </c>
      <c r="B348" s="141" t="inlineStr">
        <is>
          <t>ABDEGHIL</t>
        </is>
      </c>
      <c r="C348" s="141" t="inlineStr">
        <is>
          <t>A,B,D,E,G,H,I,L</t>
        </is>
      </c>
      <c r="D348" s="141" t="inlineStr">
        <is>
          <t>D</t>
        </is>
      </c>
      <c r="E348" s="141" t="inlineStr">
        <is>
          <t>H</t>
        </is>
      </c>
      <c r="F348" s="141" t="inlineStr">
        <is>
          <t>E</t>
        </is>
      </c>
      <c r="G348" s="141" t="inlineStr">
        <is>
          <t>I</t>
        </is>
      </c>
      <c r="H348" s="141" t="inlineStr">
        <is>
          <t>B</t>
        </is>
      </c>
      <c r="I348" s="141" t="inlineStr">
        <is>
          <t>A</t>
        </is>
      </c>
      <c r="J348" s="141" t="inlineStr">
        <is>
          <t>G</t>
        </is>
      </c>
      <c r="K348" s="141" t="inlineStr">
        <is>
          <t>L</t>
        </is>
      </c>
    </row>
    <row r="349" ht="12.75" customHeight="1">
      <c r="A349" s="141" t="n">
        <v>348</v>
      </c>
      <c r="B349" s="141" t="inlineStr">
        <is>
          <t>ABDEGHIK</t>
        </is>
      </c>
      <c r="C349" s="141" t="inlineStr">
        <is>
          <t>A,B,D,E,G,H,I,K</t>
        </is>
      </c>
      <c r="D349" s="141" t="inlineStr">
        <is>
          <t>D</t>
        </is>
      </c>
      <c r="E349" s="141" t="inlineStr">
        <is>
          <t>H</t>
        </is>
      </c>
      <c r="F349" s="141" t="inlineStr">
        <is>
          <t>E</t>
        </is>
      </c>
      <c r="G349" s="141" t="inlineStr">
        <is>
          <t>K</t>
        </is>
      </c>
      <c r="H349" s="141" t="inlineStr">
        <is>
          <t>B</t>
        </is>
      </c>
      <c r="I349" s="141" t="inlineStr">
        <is>
          <t>A</t>
        </is>
      </c>
      <c r="J349" s="141" t="inlineStr">
        <is>
          <t>G</t>
        </is>
      </c>
      <c r="K349" s="141" t="inlineStr">
        <is>
          <t>I</t>
        </is>
      </c>
    </row>
    <row r="350" ht="12.75" customHeight="1">
      <c r="A350" s="141" t="n">
        <v>349</v>
      </c>
      <c r="B350" s="141" t="inlineStr">
        <is>
          <t>ABDEGHIJ</t>
        </is>
      </c>
      <c r="C350" s="141" t="inlineStr">
        <is>
          <t>A,B,D,E,G,H,I,J</t>
        </is>
      </c>
      <c r="D350" s="141" t="inlineStr">
        <is>
          <t>D</t>
        </is>
      </c>
      <c r="E350" s="141" t="inlineStr">
        <is>
          <t>G</t>
        </is>
      </c>
      <c r="F350" s="141" t="inlineStr">
        <is>
          <t>H</t>
        </is>
      </c>
      <c r="G350" s="141" t="inlineStr">
        <is>
          <t>I</t>
        </is>
      </c>
      <c r="H350" s="141" t="inlineStr">
        <is>
          <t>B</t>
        </is>
      </c>
      <c r="I350" s="141" t="inlineStr">
        <is>
          <t>A</t>
        </is>
      </c>
      <c r="J350" s="141" t="inlineStr">
        <is>
          <t>J</t>
        </is>
      </c>
      <c r="K350" s="141" t="inlineStr">
        <is>
          <t>E</t>
        </is>
      </c>
    </row>
    <row r="351" ht="12.75" customHeight="1">
      <c r="A351" s="141" t="n">
        <v>350</v>
      </c>
      <c r="B351" s="141" t="inlineStr">
        <is>
          <t>ABDEFJKL</t>
        </is>
      </c>
      <c r="C351" s="141" t="inlineStr">
        <is>
          <t>A,B,D,E,F,J,K,L</t>
        </is>
      </c>
      <c r="D351" s="141" t="inlineStr">
        <is>
          <t>D</t>
        </is>
      </c>
      <c r="E351" s="141" t="inlineStr">
        <is>
          <t>F</t>
        </is>
      </c>
      <c r="F351" s="141" t="inlineStr">
        <is>
          <t>E</t>
        </is>
      </c>
      <c r="G351" s="141" t="inlineStr">
        <is>
          <t>K</t>
        </is>
      </c>
      <c r="H351" s="141" t="inlineStr">
        <is>
          <t>B</t>
        </is>
      </c>
      <c r="I351" s="141" t="inlineStr">
        <is>
          <t>A</t>
        </is>
      </c>
      <c r="J351" s="141" t="inlineStr">
        <is>
          <t>J</t>
        </is>
      </c>
      <c r="K351" s="141" t="inlineStr">
        <is>
          <t>L</t>
        </is>
      </c>
    </row>
    <row r="352" ht="12.75" customHeight="1">
      <c r="A352" s="141" t="n">
        <v>351</v>
      </c>
      <c r="B352" s="141" t="inlineStr">
        <is>
          <t>ABDEFIKL</t>
        </is>
      </c>
      <c r="C352" s="141" t="inlineStr">
        <is>
          <t>A,B,D,E,F,I,K,L</t>
        </is>
      </c>
      <c r="D352" s="141" t="inlineStr">
        <is>
          <t>D</t>
        </is>
      </c>
      <c r="E352" s="141" t="inlineStr">
        <is>
          <t>F</t>
        </is>
      </c>
      <c r="F352" s="141" t="inlineStr">
        <is>
          <t>E</t>
        </is>
      </c>
      <c r="G352" s="141" t="inlineStr">
        <is>
          <t>K</t>
        </is>
      </c>
      <c r="H352" s="141" t="inlineStr">
        <is>
          <t>B</t>
        </is>
      </c>
      <c r="I352" s="141" t="inlineStr">
        <is>
          <t>A</t>
        </is>
      </c>
      <c r="J352" s="141" t="inlineStr">
        <is>
          <t>I</t>
        </is>
      </c>
      <c r="K352" s="141" t="inlineStr">
        <is>
          <t>L</t>
        </is>
      </c>
    </row>
    <row r="353" ht="12.75" customHeight="1">
      <c r="A353" s="141" t="n">
        <v>352</v>
      </c>
      <c r="B353" s="141" t="inlineStr">
        <is>
          <t>ABDEFIJL</t>
        </is>
      </c>
      <c r="C353" s="141" t="inlineStr">
        <is>
          <t>A,B,D,E,F,I,J,L</t>
        </is>
      </c>
      <c r="D353" s="141" t="inlineStr">
        <is>
          <t>D</t>
        </is>
      </c>
      <c r="E353" s="141" t="inlineStr">
        <is>
          <t>F</t>
        </is>
      </c>
      <c r="F353" s="141" t="inlineStr">
        <is>
          <t>E</t>
        </is>
      </c>
      <c r="G353" s="141" t="inlineStr">
        <is>
          <t>I</t>
        </is>
      </c>
      <c r="H353" s="141" t="inlineStr">
        <is>
          <t>B</t>
        </is>
      </c>
      <c r="I353" s="141" t="inlineStr">
        <is>
          <t>A</t>
        </is>
      </c>
      <c r="J353" s="141" t="inlineStr">
        <is>
          <t>J</t>
        </is>
      </c>
      <c r="K353" s="141" t="inlineStr">
        <is>
          <t>L</t>
        </is>
      </c>
    </row>
    <row r="354" ht="12.75" customHeight="1">
      <c r="A354" s="141" t="n">
        <v>353</v>
      </c>
      <c r="B354" s="141" t="inlineStr">
        <is>
          <t>ABDEFIJK</t>
        </is>
      </c>
      <c r="C354" s="141" t="inlineStr">
        <is>
          <t>A,B,D,E,F,I,J,K</t>
        </is>
      </c>
      <c r="D354" s="141" t="inlineStr">
        <is>
          <t>D</t>
        </is>
      </c>
      <c r="E354" s="141" t="inlineStr">
        <is>
          <t>F</t>
        </is>
      </c>
      <c r="F354" s="141" t="inlineStr">
        <is>
          <t>E</t>
        </is>
      </c>
      <c r="G354" s="141" t="inlineStr">
        <is>
          <t>K</t>
        </is>
      </c>
      <c r="H354" s="141" t="inlineStr">
        <is>
          <t>B</t>
        </is>
      </c>
      <c r="I354" s="141" t="inlineStr">
        <is>
          <t>A</t>
        </is>
      </c>
      <c r="J354" s="141" t="inlineStr">
        <is>
          <t>J</t>
        </is>
      </c>
      <c r="K354" s="141" t="inlineStr">
        <is>
          <t>I</t>
        </is>
      </c>
    </row>
    <row r="355" ht="12.75" customHeight="1">
      <c r="A355" s="141" t="n">
        <v>354</v>
      </c>
      <c r="B355" s="141" t="inlineStr">
        <is>
          <t>ABDEFHKL</t>
        </is>
      </c>
      <c r="C355" s="141" t="inlineStr">
        <is>
          <t>A,B,D,E,F,H,K,L</t>
        </is>
      </c>
      <c r="D355" s="141" t="inlineStr">
        <is>
          <t>D</t>
        </is>
      </c>
      <c r="E355" s="141" t="inlineStr">
        <is>
          <t>F</t>
        </is>
      </c>
      <c r="F355" s="141" t="inlineStr">
        <is>
          <t>H</t>
        </is>
      </c>
      <c r="G355" s="141" t="inlineStr">
        <is>
          <t>K</t>
        </is>
      </c>
      <c r="H355" s="141" t="inlineStr">
        <is>
          <t>B</t>
        </is>
      </c>
      <c r="I355" s="141" t="inlineStr">
        <is>
          <t>A</t>
        </is>
      </c>
      <c r="J355" s="141" t="inlineStr">
        <is>
          <t>E</t>
        </is>
      </c>
      <c r="K355" s="141" t="inlineStr">
        <is>
          <t>L</t>
        </is>
      </c>
    </row>
    <row r="356" ht="12.75" customHeight="1">
      <c r="A356" s="141" t="n">
        <v>355</v>
      </c>
      <c r="B356" s="141" t="inlineStr">
        <is>
          <t>ABDEFHJL</t>
        </is>
      </c>
      <c r="C356" s="141" t="inlineStr">
        <is>
          <t>A,B,D,E,F,H,J,L</t>
        </is>
      </c>
      <c r="D356" s="141" t="inlineStr">
        <is>
          <t>D</t>
        </is>
      </c>
      <c r="E356" s="141" t="inlineStr">
        <is>
          <t>F</t>
        </is>
      </c>
      <c r="F356" s="141" t="inlineStr">
        <is>
          <t>H</t>
        </is>
      </c>
      <c r="G356" s="141" t="inlineStr">
        <is>
          <t>E</t>
        </is>
      </c>
      <c r="H356" s="141" t="inlineStr">
        <is>
          <t>B</t>
        </is>
      </c>
      <c r="I356" s="141" t="inlineStr">
        <is>
          <t>A</t>
        </is>
      </c>
      <c r="J356" s="141" t="inlineStr">
        <is>
          <t>J</t>
        </is>
      </c>
      <c r="K356" s="141" t="inlineStr">
        <is>
          <t>L</t>
        </is>
      </c>
    </row>
    <row r="357" ht="12.75" customHeight="1">
      <c r="A357" s="141" t="n">
        <v>356</v>
      </c>
      <c r="B357" s="141" t="inlineStr">
        <is>
          <t>ABDEFHJK</t>
        </is>
      </c>
      <c r="C357" s="141" t="inlineStr">
        <is>
          <t>A,B,D,E,F,H,J,K</t>
        </is>
      </c>
      <c r="D357" s="141" t="inlineStr">
        <is>
          <t>D</t>
        </is>
      </c>
      <c r="E357" s="141" t="inlineStr">
        <is>
          <t>F</t>
        </is>
      </c>
      <c r="F357" s="141" t="inlineStr">
        <is>
          <t>H</t>
        </is>
      </c>
      <c r="G357" s="141" t="inlineStr">
        <is>
          <t>K</t>
        </is>
      </c>
      <c r="H357" s="141" t="inlineStr">
        <is>
          <t>B</t>
        </is>
      </c>
      <c r="I357" s="141" t="inlineStr">
        <is>
          <t>A</t>
        </is>
      </c>
      <c r="J357" s="141" t="inlineStr">
        <is>
          <t>J</t>
        </is>
      </c>
      <c r="K357" s="141" t="inlineStr">
        <is>
          <t>E</t>
        </is>
      </c>
    </row>
    <row r="358" ht="12.75" customHeight="1">
      <c r="A358" s="141" t="n">
        <v>357</v>
      </c>
      <c r="B358" s="141" t="inlineStr">
        <is>
          <t>ABDEFHIL</t>
        </is>
      </c>
      <c r="C358" s="141" t="inlineStr">
        <is>
          <t>A,B,D,E,F,H,I,L</t>
        </is>
      </c>
      <c r="D358" s="141" t="inlineStr">
        <is>
          <t>D</t>
        </is>
      </c>
      <c r="E358" s="141" t="inlineStr">
        <is>
          <t>F</t>
        </is>
      </c>
      <c r="F358" s="141" t="inlineStr">
        <is>
          <t>H</t>
        </is>
      </c>
      <c r="G358" s="141" t="inlineStr">
        <is>
          <t>I</t>
        </is>
      </c>
      <c r="H358" s="141" t="inlineStr">
        <is>
          <t>B</t>
        </is>
      </c>
      <c r="I358" s="141" t="inlineStr">
        <is>
          <t>A</t>
        </is>
      </c>
      <c r="J358" s="141" t="inlineStr">
        <is>
          <t>E</t>
        </is>
      </c>
      <c r="K358" s="141" t="inlineStr">
        <is>
          <t>L</t>
        </is>
      </c>
    </row>
    <row r="359" ht="12.75" customHeight="1">
      <c r="A359" s="141" t="n">
        <v>358</v>
      </c>
      <c r="B359" s="141" t="inlineStr">
        <is>
          <t>ABDEFHIK</t>
        </is>
      </c>
      <c r="C359" s="141" t="inlineStr">
        <is>
          <t>A,B,D,E,F,H,I,K</t>
        </is>
      </c>
      <c r="D359" s="141" t="inlineStr">
        <is>
          <t>D</t>
        </is>
      </c>
      <c r="E359" s="141" t="inlineStr">
        <is>
          <t>F</t>
        </is>
      </c>
      <c r="F359" s="141" t="inlineStr">
        <is>
          <t>H</t>
        </is>
      </c>
      <c r="G359" s="141" t="inlineStr">
        <is>
          <t>K</t>
        </is>
      </c>
      <c r="H359" s="141" t="inlineStr">
        <is>
          <t>B</t>
        </is>
      </c>
      <c r="I359" s="141" t="inlineStr">
        <is>
          <t>A</t>
        </is>
      </c>
      <c r="J359" s="141" t="inlineStr">
        <is>
          <t>E</t>
        </is>
      </c>
      <c r="K359" s="141" t="inlineStr">
        <is>
          <t>I</t>
        </is>
      </c>
    </row>
    <row r="360" ht="12.75" customHeight="1">
      <c r="A360" s="141" t="n">
        <v>359</v>
      </c>
      <c r="B360" s="141" t="inlineStr">
        <is>
          <t>ABDEFHIJ</t>
        </is>
      </c>
      <c r="C360" s="141" t="inlineStr">
        <is>
          <t>A,B,D,E,F,H,I,J</t>
        </is>
      </c>
      <c r="D360" s="141" t="inlineStr">
        <is>
          <t>D</t>
        </is>
      </c>
      <c r="E360" s="141" t="inlineStr">
        <is>
          <t>F</t>
        </is>
      </c>
      <c r="F360" s="141" t="inlineStr">
        <is>
          <t>H</t>
        </is>
      </c>
      <c r="G360" s="141" t="inlineStr">
        <is>
          <t>I</t>
        </is>
      </c>
      <c r="H360" s="141" t="inlineStr">
        <is>
          <t>B</t>
        </is>
      </c>
      <c r="I360" s="141" t="inlineStr">
        <is>
          <t>A</t>
        </is>
      </c>
      <c r="J360" s="141" t="inlineStr">
        <is>
          <t>J</t>
        </is>
      </c>
      <c r="K360" s="141" t="inlineStr">
        <is>
          <t>E</t>
        </is>
      </c>
    </row>
    <row r="361" ht="12.75" customHeight="1">
      <c r="A361" s="141" t="n">
        <v>360</v>
      </c>
      <c r="B361" s="141" t="inlineStr">
        <is>
          <t>ABDEFGKL</t>
        </is>
      </c>
      <c r="C361" s="141" t="inlineStr">
        <is>
          <t>A,B,D,E,F,G,K,L</t>
        </is>
      </c>
      <c r="D361" s="141" t="inlineStr">
        <is>
          <t>D</t>
        </is>
      </c>
      <c r="E361" s="141" t="inlineStr">
        <is>
          <t>F</t>
        </is>
      </c>
      <c r="F361" s="141" t="inlineStr">
        <is>
          <t>E</t>
        </is>
      </c>
      <c r="G361" s="141" t="inlineStr">
        <is>
          <t>K</t>
        </is>
      </c>
      <c r="H361" s="141" t="inlineStr">
        <is>
          <t>B</t>
        </is>
      </c>
      <c r="I361" s="141" t="inlineStr">
        <is>
          <t>A</t>
        </is>
      </c>
      <c r="J361" s="141" t="inlineStr">
        <is>
          <t>G</t>
        </is>
      </c>
      <c r="K361" s="141" t="inlineStr">
        <is>
          <t>L</t>
        </is>
      </c>
    </row>
    <row r="362" ht="12.75" customHeight="1">
      <c r="A362" s="141" t="n">
        <v>361</v>
      </c>
      <c r="B362" s="141" t="inlineStr">
        <is>
          <t>ABDEFGJL</t>
        </is>
      </c>
      <c r="C362" s="141" t="inlineStr">
        <is>
          <t>A,B,D,E,F,G,J,L</t>
        </is>
      </c>
      <c r="D362" s="141" t="inlineStr">
        <is>
          <t>D</t>
        </is>
      </c>
      <c r="E362" s="141" t="inlineStr">
        <is>
          <t>F</t>
        </is>
      </c>
      <c r="F362" s="141" t="inlineStr">
        <is>
          <t>E</t>
        </is>
      </c>
      <c r="G362" s="141" t="inlineStr">
        <is>
          <t>J</t>
        </is>
      </c>
      <c r="H362" s="141" t="inlineStr">
        <is>
          <t>B</t>
        </is>
      </c>
      <c r="I362" s="141" t="inlineStr">
        <is>
          <t>A</t>
        </is>
      </c>
      <c r="J362" s="141" t="inlineStr">
        <is>
          <t>G</t>
        </is>
      </c>
      <c r="K362" s="141" t="inlineStr">
        <is>
          <t>L</t>
        </is>
      </c>
    </row>
    <row r="363" ht="12.75" customHeight="1">
      <c r="A363" s="141" t="n">
        <v>362</v>
      </c>
      <c r="B363" s="141" t="inlineStr">
        <is>
          <t>ABDEFGJK</t>
        </is>
      </c>
      <c r="C363" s="141" t="inlineStr">
        <is>
          <t>A,B,D,E,F,G,J,K</t>
        </is>
      </c>
      <c r="D363" s="141" t="inlineStr">
        <is>
          <t>D</t>
        </is>
      </c>
      <c r="E363" s="141" t="inlineStr">
        <is>
          <t>F</t>
        </is>
      </c>
      <c r="F363" s="141" t="inlineStr">
        <is>
          <t>E</t>
        </is>
      </c>
      <c r="G363" s="141" t="inlineStr">
        <is>
          <t>K</t>
        </is>
      </c>
      <c r="H363" s="141" t="inlineStr">
        <is>
          <t>B</t>
        </is>
      </c>
      <c r="I363" s="141" t="inlineStr">
        <is>
          <t>A</t>
        </is>
      </c>
      <c r="J363" s="141" t="inlineStr">
        <is>
          <t>G</t>
        </is>
      </c>
      <c r="K363" s="141" t="inlineStr">
        <is>
          <t>J</t>
        </is>
      </c>
    </row>
    <row r="364" ht="12.75" customHeight="1">
      <c r="A364" s="141" t="n">
        <v>363</v>
      </c>
      <c r="B364" s="141" t="inlineStr">
        <is>
          <t>ABDEFGIL</t>
        </is>
      </c>
      <c r="C364" s="141" t="inlineStr">
        <is>
          <t>A,B,D,E,F,G,I,L</t>
        </is>
      </c>
      <c r="D364" s="141" t="inlineStr">
        <is>
          <t>D</t>
        </is>
      </c>
      <c r="E364" s="141" t="inlineStr">
        <is>
          <t>F</t>
        </is>
      </c>
      <c r="F364" s="141" t="inlineStr">
        <is>
          <t>E</t>
        </is>
      </c>
      <c r="G364" s="141" t="inlineStr">
        <is>
          <t>I</t>
        </is>
      </c>
      <c r="H364" s="141" t="inlineStr">
        <is>
          <t>B</t>
        </is>
      </c>
      <c r="I364" s="141" t="inlineStr">
        <is>
          <t>A</t>
        </is>
      </c>
      <c r="J364" s="141" t="inlineStr">
        <is>
          <t>G</t>
        </is>
      </c>
      <c r="K364" s="141" t="inlineStr">
        <is>
          <t>L</t>
        </is>
      </c>
    </row>
    <row r="365" ht="12.75" customHeight="1">
      <c r="A365" s="141" t="n">
        <v>364</v>
      </c>
      <c r="B365" s="141" t="inlineStr">
        <is>
          <t>ABDEFGIK</t>
        </is>
      </c>
      <c r="C365" s="141" t="inlineStr">
        <is>
          <t>A,B,D,E,F,G,I,K</t>
        </is>
      </c>
      <c r="D365" s="141" t="inlineStr">
        <is>
          <t>D</t>
        </is>
      </c>
      <c r="E365" s="141" t="inlineStr">
        <is>
          <t>F</t>
        </is>
      </c>
      <c r="F365" s="141" t="inlineStr">
        <is>
          <t>E</t>
        </is>
      </c>
      <c r="G365" s="141" t="inlineStr">
        <is>
          <t>K</t>
        </is>
      </c>
      <c r="H365" s="141" t="inlineStr">
        <is>
          <t>B</t>
        </is>
      </c>
      <c r="I365" s="141" t="inlineStr">
        <is>
          <t>A</t>
        </is>
      </c>
      <c r="J365" s="141" t="inlineStr">
        <is>
          <t>G</t>
        </is>
      </c>
      <c r="K365" s="141" t="inlineStr">
        <is>
          <t>I</t>
        </is>
      </c>
    </row>
    <row r="366" ht="12.75" customHeight="1">
      <c r="A366" s="141" t="n">
        <v>365</v>
      </c>
      <c r="B366" s="141" t="inlineStr">
        <is>
          <t>ABDEFGIJ</t>
        </is>
      </c>
      <c r="C366" s="141" t="inlineStr">
        <is>
          <t>A,B,D,E,F,G,I,J</t>
        </is>
      </c>
      <c r="D366" s="141" t="inlineStr">
        <is>
          <t>D</t>
        </is>
      </c>
      <c r="E366" s="141" t="inlineStr">
        <is>
          <t>F</t>
        </is>
      </c>
      <c r="F366" s="141" t="inlineStr">
        <is>
          <t>E</t>
        </is>
      </c>
      <c r="G366" s="141" t="inlineStr">
        <is>
          <t>J</t>
        </is>
      </c>
      <c r="H366" s="141" t="inlineStr">
        <is>
          <t>B</t>
        </is>
      </c>
      <c r="I366" s="141" t="inlineStr">
        <is>
          <t>A</t>
        </is>
      </c>
      <c r="J366" s="141" t="inlineStr">
        <is>
          <t>G</t>
        </is>
      </c>
      <c r="K366" s="141" t="inlineStr">
        <is>
          <t>I</t>
        </is>
      </c>
    </row>
    <row r="367" ht="12.75" customHeight="1">
      <c r="A367" s="141" t="n">
        <v>366</v>
      </c>
      <c r="B367" s="141" t="inlineStr">
        <is>
          <t>ABDEFGHL</t>
        </is>
      </c>
      <c r="C367" s="141" t="inlineStr">
        <is>
          <t>A,B,D,E,F,G,H,L</t>
        </is>
      </c>
      <c r="D367" s="141" t="inlineStr">
        <is>
          <t>D</t>
        </is>
      </c>
      <c r="E367" s="141" t="inlineStr">
        <is>
          <t>F</t>
        </is>
      </c>
      <c r="F367" s="141" t="inlineStr">
        <is>
          <t>H</t>
        </is>
      </c>
      <c r="G367" s="141" t="inlineStr">
        <is>
          <t>E</t>
        </is>
      </c>
      <c r="H367" s="141" t="inlineStr">
        <is>
          <t>B</t>
        </is>
      </c>
      <c r="I367" s="141" t="inlineStr">
        <is>
          <t>A</t>
        </is>
      </c>
      <c r="J367" s="141" t="inlineStr">
        <is>
          <t>G</t>
        </is>
      </c>
      <c r="K367" s="141" t="inlineStr">
        <is>
          <t>L</t>
        </is>
      </c>
    </row>
    <row r="368" ht="12.75" customHeight="1">
      <c r="A368" s="141" t="n">
        <v>367</v>
      </c>
      <c r="B368" s="141" t="inlineStr">
        <is>
          <t>ABDEFGHK</t>
        </is>
      </c>
      <c r="C368" s="141" t="inlineStr">
        <is>
          <t>A,B,D,E,F,G,H,K</t>
        </is>
      </c>
      <c r="D368" s="141" t="inlineStr">
        <is>
          <t>D</t>
        </is>
      </c>
      <c r="E368" s="141" t="inlineStr">
        <is>
          <t>F</t>
        </is>
      </c>
      <c r="F368" s="141" t="inlineStr">
        <is>
          <t>H</t>
        </is>
      </c>
      <c r="G368" s="141" t="inlineStr">
        <is>
          <t>K</t>
        </is>
      </c>
      <c r="H368" s="141" t="inlineStr">
        <is>
          <t>B</t>
        </is>
      </c>
      <c r="I368" s="141" t="inlineStr">
        <is>
          <t>A</t>
        </is>
      </c>
      <c r="J368" s="141" t="inlineStr">
        <is>
          <t>G</t>
        </is>
      </c>
      <c r="K368" s="141" t="inlineStr">
        <is>
          <t>E</t>
        </is>
      </c>
    </row>
    <row r="369" ht="12.75" customHeight="1">
      <c r="A369" s="141" t="n">
        <v>368</v>
      </c>
      <c r="B369" s="141" t="inlineStr">
        <is>
          <t>ABDEFGHJ</t>
        </is>
      </c>
      <c r="C369" s="141" t="inlineStr">
        <is>
          <t>A,B,D,E,F,G,H,J</t>
        </is>
      </c>
      <c r="D369" s="141" t="inlineStr">
        <is>
          <t>D</t>
        </is>
      </c>
      <c r="E369" s="141" t="inlineStr">
        <is>
          <t>F</t>
        </is>
      </c>
      <c r="F369" s="141" t="inlineStr">
        <is>
          <t>H</t>
        </is>
      </c>
      <c r="G369" s="141" t="inlineStr">
        <is>
          <t>J</t>
        </is>
      </c>
      <c r="H369" s="141" t="inlineStr">
        <is>
          <t>B</t>
        </is>
      </c>
      <c r="I369" s="141" t="inlineStr">
        <is>
          <t>A</t>
        </is>
      </c>
      <c r="J369" s="141" t="inlineStr">
        <is>
          <t>G</t>
        </is>
      </c>
      <c r="K369" s="141" t="inlineStr">
        <is>
          <t>E</t>
        </is>
      </c>
    </row>
    <row r="370" ht="12.75" customHeight="1">
      <c r="A370" s="141" t="n">
        <v>369</v>
      </c>
      <c r="B370" s="141" t="inlineStr">
        <is>
          <t>ABDEFGHI</t>
        </is>
      </c>
      <c r="C370" s="141" t="inlineStr">
        <is>
          <t>A,B,D,E,F,G,H,I</t>
        </is>
      </c>
      <c r="D370" s="141" t="inlineStr">
        <is>
          <t>D</t>
        </is>
      </c>
      <c r="E370" s="141" t="inlineStr">
        <is>
          <t>F</t>
        </is>
      </c>
      <c r="F370" s="141" t="inlineStr">
        <is>
          <t>H</t>
        </is>
      </c>
      <c r="G370" s="141" t="inlineStr">
        <is>
          <t>I</t>
        </is>
      </c>
      <c r="H370" s="141" t="inlineStr">
        <is>
          <t>B</t>
        </is>
      </c>
      <c r="I370" s="141" t="inlineStr">
        <is>
          <t>A</t>
        </is>
      </c>
      <c r="J370" s="141" t="inlineStr">
        <is>
          <t>G</t>
        </is>
      </c>
      <c r="K370" s="141" t="inlineStr">
        <is>
          <t>E</t>
        </is>
      </c>
    </row>
    <row r="371" ht="12.75" customHeight="1">
      <c r="A371" s="141" t="n">
        <v>370</v>
      </c>
      <c r="B371" s="141" t="inlineStr">
        <is>
          <t>ABCHIJKL</t>
        </is>
      </c>
      <c r="C371" s="141" t="inlineStr">
        <is>
          <t>A,B,C,H,I,J,K,L</t>
        </is>
      </c>
      <c r="D371" s="141" t="inlineStr">
        <is>
          <t>C</t>
        </is>
      </c>
      <c r="E371" s="141" t="inlineStr">
        <is>
          <t>H</t>
        </is>
      </c>
      <c r="F371" s="141" t="inlineStr">
        <is>
          <t>I</t>
        </is>
      </c>
      <c r="G371" s="141" t="inlineStr">
        <is>
          <t>K</t>
        </is>
      </c>
      <c r="H371" s="141" t="inlineStr">
        <is>
          <t>B</t>
        </is>
      </c>
      <c r="I371" s="141" t="inlineStr">
        <is>
          <t>A</t>
        </is>
      </c>
      <c r="J371" s="141" t="inlineStr">
        <is>
          <t>J</t>
        </is>
      </c>
      <c r="K371" s="141" t="inlineStr">
        <is>
          <t>L</t>
        </is>
      </c>
    </row>
    <row r="372" ht="12.75" customHeight="1">
      <c r="A372" s="141" t="n">
        <v>371</v>
      </c>
      <c r="B372" s="141" t="inlineStr">
        <is>
          <t>ABCGIJKL</t>
        </is>
      </c>
      <c r="C372" s="141" t="inlineStr">
        <is>
          <t>A,B,C,G,I,J,K,L</t>
        </is>
      </c>
      <c r="D372" s="141" t="inlineStr">
        <is>
          <t>C</t>
        </is>
      </c>
      <c r="E372" s="141" t="inlineStr">
        <is>
          <t>G</t>
        </is>
      </c>
      <c r="F372" s="141" t="inlineStr">
        <is>
          <t>I</t>
        </is>
      </c>
      <c r="G372" s="141" t="inlineStr">
        <is>
          <t>K</t>
        </is>
      </c>
      <c r="H372" s="141" t="inlineStr">
        <is>
          <t>B</t>
        </is>
      </c>
      <c r="I372" s="141" t="inlineStr">
        <is>
          <t>A</t>
        </is>
      </c>
      <c r="J372" s="141" t="inlineStr">
        <is>
          <t>J</t>
        </is>
      </c>
      <c r="K372" s="141" t="inlineStr">
        <is>
          <t>L</t>
        </is>
      </c>
    </row>
    <row r="373" ht="12.75" customHeight="1">
      <c r="A373" s="141" t="n">
        <v>372</v>
      </c>
      <c r="B373" s="141" t="inlineStr">
        <is>
          <t>ABCGHJKL</t>
        </is>
      </c>
      <c r="C373" s="141" t="inlineStr">
        <is>
          <t>A,B,C,G,H,J,K,L</t>
        </is>
      </c>
      <c r="D373" s="141" t="inlineStr">
        <is>
          <t>C</t>
        </is>
      </c>
      <c r="E373" s="141" t="inlineStr">
        <is>
          <t>G</t>
        </is>
      </c>
      <c r="F373" s="141" t="inlineStr">
        <is>
          <t>H</t>
        </is>
      </c>
      <c r="G373" s="141" t="inlineStr">
        <is>
          <t>K</t>
        </is>
      </c>
      <c r="H373" s="141" t="inlineStr">
        <is>
          <t>B</t>
        </is>
      </c>
      <c r="I373" s="141" t="inlineStr">
        <is>
          <t>A</t>
        </is>
      </c>
      <c r="J373" s="141" t="inlineStr">
        <is>
          <t>J</t>
        </is>
      </c>
      <c r="K373" s="141" t="inlineStr">
        <is>
          <t>L</t>
        </is>
      </c>
    </row>
    <row r="374" ht="12.75" customHeight="1">
      <c r="A374" s="141" t="n">
        <v>373</v>
      </c>
      <c r="B374" s="141" t="inlineStr">
        <is>
          <t>ABCGHIKL</t>
        </is>
      </c>
      <c r="C374" s="141" t="inlineStr">
        <is>
          <t>A,B,C,G,H,I,K,L</t>
        </is>
      </c>
      <c r="D374" s="141" t="inlineStr">
        <is>
          <t>C</t>
        </is>
      </c>
      <c r="E374" s="141" t="inlineStr">
        <is>
          <t>H</t>
        </is>
      </c>
      <c r="F374" s="141" t="inlineStr">
        <is>
          <t>I</t>
        </is>
      </c>
      <c r="G374" s="141" t="inlineStr">
        <is>
          <t>K</t>
        </is>
      </c>
      <c r="H374" s="141" t="inlineStr">
        <is>
          <t>B</t>
        </is>
      </c>
      <c r="I374" s="141" t="inlineStr">
        <is>
          <t>A</t>
        </is>
      </c>
      <c r="J374" s="141" t="inlineStr">
        <is>
          <t>G</t>
        </is>
      </c>
      <c r="K374" s="141" t="inlineStr">
        <is>
          <t>L</t>
        </is>
      </c>
    </row>
    <row r="375" ht="12.75" customHeight="1">
      <c r="A375" s="141" t="n">
        <v>374</v>
      </c>
      <c r="B375" s="141" t="inlineStr">
        <is>
          <t>ABCGHIJL</t>
        </is>
      </c>
      <c r="C375" s="141" t="inlineStr">
        <is>
          <t>A,B,C,G,H,I,J,L</t>
        </is>
      </c>
      <c r="D375" s="141" t="inlineStr">
        <is>
          <t>C</t>
        </is>
      </c>
      <c r="E375" s="141" t="inlineStr">
        <is>
          <t>G</t>
        </is>
      </c>
      <c r="F375" s="141" t="inlineStr">
        <is>
          <t>H</t>
        </is>
      </c>
      <c r="G375" s="141" t="inlineStr">
        <is>
          <t>I</t>
        </is>
      </c>
      <c r="H375" s="141" t="inlineStr">
        <is>
          <t>B</t>
        </is>
      </c>
      <c r="I375" s="141" t="inlineStr">
        <is>
          <t>A</t>
        </is>
      </c>
      <c r="J375" s="141" t="inlineStr">
        <is>
          <t>J</t>
        </is>
      </c>
      <c r="K375" s="141" t="inlineStr">
        <is>
          <t>L</t>
        </is>
      </c>
    </row>
    <row r="376" ht="12.75" customHeight="1">
      <c r="A376" s="141" t="n">
        <v>375</v>
      </c>
      <c r="B376" s="141" t="inlineStr">
        <is>
          <t>ABCGHIJK</t>
        </is>
      </c>
      <c r="C376" s="141" t="inlineStr">
        <is>
          <t>A,B,C,G,H,I,J,K</t>
        </is>
      </c>
      <c r="D376" s="141" t="inlineStr">
        <is>
          <t>C</t>
        </is>
      </c>
      <c r="E376" s="141" t="inlineStr">
        <is>
          <t>G</t>
        </is>
      </c>
      <c r="F376" s="141" t="inlineStr">
        <is>
          <t>H</t>
        </is>
      </c>
      <c r="G376" s="141" t="inlineStr">
        <is>
          <t>K</t>
        </is>
      </c>
      <c r="H376" s="141" t="inlineStr">
        <is>
          <t>B</t>
        </is>
      </c>
      <c r="I376" s="141" t="inlineStr">
        <is>
          <t>A</t>
        </is>
      </c>
      <c r="J376" s="141" t="inlineStr">
        <is>
          <t>J</t>
        </is>
      </c>
      <c r="K376" s="141" t="inlineStr">
        <is>
          <t>I</t>
        </is>
      </c>
    </row>
    <row r="377" ht="12.75" customHeight="1">
      <c r="A377" s="141" t="n">
        <v>376</v>
      </c>
      <c r="B377" s="141" t="inlineStr">
        <is>
          <t>ABCFIJKL</t>
        </is>
      </c>
      <c r="C377" s="141" t="inlineStr">
        <is>
          <t>A,B,C,F,I,J,K,L</t>
        </is>
      </c>
      <c r="D377" s="141" t="inlineStr">
        <is>
          <t>C</t>
        </is>
      </c>
      <c r="E377" s="141" t="inlineStr">
        <is>
          <t>F</t>
        </is>
      </c>
      <c r="F377" s="141" t="inlineStr">
        <is>
          <t>I</t>
        </is>
      </c>
      <c r="G377" s="141" t="inlineStr">
        <is>
          <t>K</t>
        </is>
      </c>
      <c r="H377" s="141" t="inlineStr">
        <is>
          <t>B</t>
        </is>
      </c>
      <c r="I377" s="141" t="inlineStr">
        <is>
          <t>A</t>
        </is>
      </c>
      <c r="J377" s="141" t="inlineStr">
        <is>
          <t>J</t>
        </is>
      </c>
      <c r="K377" s="141" t="inlineStr">
        <is>
          <t>L</t>
        </is>
      </c>
    </row>
    <row r="378" ht="12.75" customHeight="1">
      <c r="A378" s="141" t="n">
        <v>377</v>
      </c>
      <c r="B378" s="141" t="inlineStr">
        <is>
          <t>ABCFHJKL</t>
        </is>
      </c>
      <c r="C378" s="141" t="inlineStr">
        <is>
          <t>A,B,C,F,H,J,K,L</t>
        </is>
      </c>
      <c r="D378" s="141" t="inlineStr">
        <is>
          <t>C</t>
        </is>
      </c>
      <c r="E378" s="141" t="inlineStr">
        <is>
          <t>F</t>
        </is>
      </c>
      <c r="F378" s="141" t="inlineStr">
        <is>
          <t>H</t>
        </is>
      </c>
      <c r="G378" s="141" t="inlineStr">
        <is>
          <t>K</t>
        </is>
      </c>
      <c r="H378" s="141" t="inlineStr">
        <is>
          <t>B</t>
        </is>
      </c>
      <c r="I378" s="141" t="inlineStr">
        <is>
          <t>A</t>
        </is>
      </c>
      <c r="J378" s="141" t="inlineStr">
        <is>
          <t>J</t>
        </is>
      </c>
      <c r="K378" s="141" t="inlineStr">
        <is>
          <t>L</t>
        </is>
      </c>
    </row>
    <row r="379" ht="12.75" customHeight="1">
      <c r="A379" s="141" t="n">
        <v>378</v>
      </c>
      <c r="B379" s="141" t="inlineStr">
        <is>
          <t>ABCFHIKL</t>
        </is>
      </c>
      <c r="C379" s="141" t="inlineStr">
        <is>
          <t>A,B,C,F,H,I,K,L</t>
        </is>
      </c>
      <c r="D379" s="141" t="inlineStr">
        <is>
          <t>C</t>
        </is>
      </c>
      <c r="E379" s="141" t="inlineStr">
        <is>
          <t>F</t>
        </is>
      </c>
      <c r="F379" s="141" t="inlineStr">
        <is>
          <t>H</t>
        </is>
      </c>
      <c r="G379" s="141" t="inlineStr">
        <is>
          <t>K</t>
        </is>
      </c>
      <c r="H379" s="141" t="inlineStr">
        <is>
          <t>B</t>
        </is>
      </c>
      <c r="I379" s="141" t="inlineStr">
        <is>
          <t>A</t>
        </is>
      </c>
      <c r="J379" s="141" t="inlineStr">
        <is>
          <t>I</t>
        </is>
      </c>
      <c r="K379" s="141" t="inlineStr">
        <is>
          <t>L</t>
        </is>
      </c>
    </row>
    <row r="380" ht="12.75" customHeight="1">
      <c r="A380" s="141" t="n">
        <v>379</v>
      </c>
      <c r="B380" s="141" t="inlineStr">
        <is>
          <t>ABCFHIJL</t>
        </is>
      </c>
      <c r="C380" s="141" t="inlineStr">
        <is>
          <t>A,B,C,F,H,I,J,L</t>
        </is>
      </c>
      <c r="D380" s="141" t="inlineStr">
        <is>
          <t>C</t>
        </is>
      </c>
      <c r="E380" s="141" t="inlineStr">
        <is>
          <t>F</t>
        </is>
      </c>
      <c r="F380" s="141" t="inlineStr">
        <is>
          <t>H</t>
        </is>
      </c>
      <c r="G380" s="141" t="inlineStr">
        <is>
          <t>I</t>
        </is>
      </c>
      <c r="H380" s="141" t="inlineStr">
        <is>
          <t>B</t>
        </is>
      </c>
      <c r="I380" s="141" t="inlineStr">
        <is>
          <t>A</t>
        </is>
      </c>
      <c r="J380" s="141" t="inlineStr">
        <is>
          <t>J</t>
        </is>
      </c>
      <c r="K380" s="141" t="inlineStr">
        <is>
          <t>L</t>
        </is>
      </c>
    </row>
    <row r="381" ht="12.75" customHeight="1">
      <c r="A381" s="141" t="n">
        <v>380</v>
      </c>
      <c r="B381" s="141" t="inlineStr">
        <is>
          <t>ABCFHIJK</t>
        </is>
      </c>
      <c r="C381" s="141" t="inlineStr">
        <is>
          <t>A,B,C,F,H,I,J,K</t>
        </is>
      </c>
      <c r="D381" s="141" t="inlineStr">
        <is>
          <t>C</t>
        </is>
      </c>
      <c r="E381" s="141" t="inlineStr">
        <is>
          <t>F</t>
        </is>
      </c>
      <c r="F381" s="141" t="inlineStr">
        <is>
          <t>H</t>
        </is>
      </c>
      <c r="G381" s="141" t="inlineStr">
        <is>
          <t>K</t>
        </is>
      </c>
      <c r="H381" s="141" t="inlineStr">
        <is>
          <t>B</t>
        </is>
      </c>
      <c r="I381" s="141" t="inlineStr">
        <is>
          <t>A</t>
        </is>
      </c>
      <c r="J381" s="141" t="inlineStr">
        <is>
          <t>J</t>
        </is>
      </c>
      <c r="K381" s="141" t="inlineStr">
        <is>
          <t>I</t>
        </is>
      </c>
    </row>
    <row r="382" ht="12.75" customHeight="1">
      <c r="A382" s="141" t="n">
        <v>381</v>
      </c>
      <c r="B382" s="141" t="inlineStr">
        <is>
          <t>ABCFGJKL</t>
        </is>
      </c>
      <c r="C382" s="141" t="inlineStr">
        <is>
          <t>A,B,C,F,G,J,K,L</t>
        </is>
      </c>
      <c r="D382" s="141" t="inlineStr">
        <is>
          <t>F</t>
        </is>
      </c>
      <c r="E382" s="141" t="inlineStr">
        <is>
          <t>G</t>
        </is>
      </c>
      <c r="F382" s="141" t="inlineStr">
        <is>
          <t>C</t>
        </is>
      </c>
      <c r="G382" s="141" t="inlineStr">
        <is>
          <t>K</t>
        </is>
      </c>
      <c r="H382" s="141" t="inlineStr">
        <is>
          <t>B</t>
        </is>
      </c>
      <c r="I382" s="141" t="inlineStr">
        <is>
          <t>A</t>
        </is>
      </c>
      <c r="J382" s="141" t="inlineStr">
        <is>
          <t>J</t>
        </is>
      </c>
      <c r="K382" s="141" t="inlineStr">
        <is>
          <t>L</t>
        </is>
      </c>
    </row>
    <row r="383" ht="12.75" customHeight="1">
      <c r="A383" s="141" t="n">
        <v>382</v>
      </c>
      <c r="B383" s="141" t="inlineStr">
        <is>
          <t>ABCFGIKL</t>
        </is>
      </c>
      <c r="C383" s="141" t="inlineStr">
        <is>
          <t>A,B,C,F,G,I,K,L</t>
        </is>
      </c>
      <c r="D383" s="141" t="inlineStr">
        <is>
          <t>C</t>
        </is>
      </c>
      <c r="E383" s="141" t="inlineStr">
        <is>
          <t>F</t>
        </is>
      </c>
      <c r="F383" s="141" t="inlineStr">
        <is>
          <t>I</t>
        </is>
      </c>
      <c r="G383" s="141" t="inlineStr">
        <is>
          <t>K</t>
        </is>
      </c>
      <c r="H383" s="141" t="inlineStr">
        <is>
          <t>B</t>
        </is>
      </c>
      <c r="I383" s="141" t="inlineStr">
        <is>
          <t>A</t>
        </is>
      </c>
      <c r="J383" s="141" t="inlineStr">
        <is>
          <t>G</t>
        </is>
      </c>
      <c r="K383" s="141" t="inlineStr">
        <is>
          <t>L</t>
        </is>
      </c>
    </row>
    <row r="384" ht="12.75" customHeight="1">
      <c r="A384" s="141" t="n">
        <v>383</v>
      </c>
      <c r="B384" s="141" t="inlineStr">
        <is>
          <t>ABCFGIJL</t>
        </is>
      </c>
      <c r="C384" s="141" t="inlineStr">
        <is>
          <t>A,B,C,F,G,I,J,L</t>
        </is>
      </c>
      <c r="D384" s="141" t="inlineStr">
        <is>
          <t>F</t>
        </is>
      </c>
      <c r="E384" s="141" t="inlineStr">
        <is>
          <t>G</t>
        </is>
      </c>
      <c r="F384" s="141" t="inlineStr">
        <is>
          <t>C</t>
        </is>
      </c>
      <c r="G384" s="141" t="inlineStr">
        <is>
          <t>I</t>
        </is>
      </c>
      <c r="H384" s="141" t="inlineStr">
        <is>
          <t>B</t>
        </is>
      </c>
      <c r="I384" s="141" t="inlineStr">
        <is>
          <t>A</t>
        </is>
      </c>
      <c r="J384" s="141" t="inlineStr">
        <is>
          <t>J</t>
        </is>
      </c>
      <c r="K384" s="141" t="inlineStr">
        <is>
          <t>L</t>
        </is>
      </c>
    </row>
    <row r="385" ht="12.75" customHeight="1">
      <c r="A385" s="141" t="n">
        <v>384</v>
      </c>
      <c r="B385" s="141" t="inlineStr">
        <is>
          <t>ABCFGIJK</t>
        </is>
      </c>
      <c r="C385" s="141" t="inlineStr">
        <is>
          <t>A,B,C,F,G,I,J,K</t>
        </is>
      </c>
      <c r="D385" s="141" t="inlineStr">
        <is>
          <t>F</t>
        </is>
      </c>
      <c r="E385" s="141" t="inlineStr">
        <is>
          <t>G</t>
        </is>
      </c>
      <c r="F385" s="141" t="inlineStr">
        <is>
          <t>C</t>
        </is>
      </c>
      <c r="G385" s="141" t="inlineStr">
        <is>
          <t>K</t>
        </is>
      </c>
      <c r="H385" s="141" t="inlineStr">
        <is>
          <t>B</t>
        </is>
      </c>
      <c r="I385" s="141" t="inlineStr">
        <is>
          <t>A</t>
        </is>
      </c>
      <c r="J385" s="141" t="inlineStr">
        <is>
          <t>J</t>
        </is>
      </c>
      <c r="K385" s="141" t="inlineStr">
        <is>
          <t>I</t>
        </is>
      </c>
    </row>
    <row r="386" ht="12.75" customHeight="1">
      <c r="A386" s="141" t="n">
        <v>385</v>
      </c>
      <c r="B386" s="141" t="inlineStr">
        <is>
          <t>ABCFGHKL</t>
        </is>
      </c>
      <c r="C386" s="141" t="inlineStr">
        <is>
          <t>A,B,C,F,G,H,K,L</t>
        </is>
      </c>
      <c r="D386" s="141" t="inlineStr">
        <is>
          <t>C</t>
        </is>
      </c>
      <c r="E386" s="141" t="inlineStr">
        <is>
          <t>F</t>
        </is>
      </c>
      <c r="F386" s="141" t="inlineStr">
        <is>
          <t>H</t>
        </is>
      </c>
      <c r="G386" s="141" t="inlineStr">
        <is>
          <t>K</t>
        </is>
      </c>
      <c r="H386" s="141" t="inlineStr">
        <is>
          <t>B</t>
        </is>
      </c>
      <c r="I386" s="141" t="inlineStr">
        <is>
          <t>A</t>
        </is>
      </c>
      <c r="J386" s="141" t="inlineStr">
        <is>
          <t>G</t>
        </is>
      </c>
      <c r="K386" s="141" t="inlineStr">
        <is>
          <t>L</t>
        </is>
      </c>
    </row>
    <row r="387" ht="12.75" customHeight="1">
      <c r="A387" s="141" t="n">
        <v>386</v>
      </c>
      <c r="B387" s="141" t="inlineStr">
        <is>
          <t>ABCFGHJL</t>
        </is>
      </c>
      <c r="C387" s="141" t="inlineStr">
        <is>
          <t>A,B,C,F,G,H,J,L</t>
        </is>
      </c>
      <c r="D387" s="141" t="inlineStr">
        <is>
          <t>C</t>
        </is>
      </c>
      <c r="E387" s="141" t="inlineStr">
        <is>
          <t>F</t>
        </is>
      </c>
      <c r="F387" s="141" t="inlineStr">
        <is>
          <t>H</t>
        </is>
      </c>
      <c r="G387" s="141" t="inlineStr">
        <is>
          <t>J</t>
        </is>
      </c>
      <c r="H387" s="141" t="inlineStr">
        <is>
          <t>B</t>
        </is>
      </c>
      <c r="I387" s="141" t="inlineStr">
        <is>
          <t>A</t>
        </is>
      </c>
      <c r="J387" s="141" t="inlineStr">
        <is>
          <t>G</t>
        </is>
      </c>
      <c r="K387" s="141" t="inlineStr">
        <is>
          <t>L</t>
        </is>
      </c>
    </row>
    <row r="388" ht="12.75" customHeight="1">
      <c r="A388" s="141" t="n">
        <v>387</v>
      </c>
      <c r="B388" s="141" t="inlineStr">
        <is>
          <t>ABCFGHJK</t>
        </is>
      </c>
      <c r="C388" s="141" t="inlineStr">
        <is>
          <t>A,B,C,F,G,H,J,K</t>
        </is>
      </c>
      <c r="D388" s="141" t="inlineStr">
        <is>
          <t>C</t>
        </is>
      </c>
      <c r="E388" s="141" t="inlineStr">
        <is>
          <t>F</t>
        </is>
      </c>
      <c r="F388" s="141" t="inlineStr">
        <is>
          <t>H</t>
        </is>
      </c>
      <c r="G388" s="141" t="inlineStr">
        <is>
          <t>K</t>
        </is>
      </c>
      <c r="H388" s="141" t="inlineStr">
        <is>
          <t>B</t>
        </is>
      </c>
      <c r="I388" s="141" t="inlineStr">
        <is>
          <t>A</t>
        </is>
      </c>
      <c r="J388" s="141" t="inlineStr">
        <is>
          <t>G</t>
        </is>
      </c>
      <c r="K388" s="141" t="inlineStr">
        <is>
          <t>J</t>
        </is>
      </c>
    </row>
    <row r="389" ht="12.75" customHeight="1">
      <c r="A389" s="141" t="n">
        <v>388</v>
      </c>
      <c r="B389" s="141" t="inlineStr">
        <is>
          <t>ABCFGHIL</t>
        </is>
      </c>
      <c r="C389" s="141" t="inlineStr">
        <is>
          <t>A,B,C,F,G,H,I,L</t>
        </is>
      </c>
      <c r="D389" s="141" t="inlineStr">
        <is>
          <t>C</t>
        </is>
      </c>
      <c r="E389" s="141" t="inlineStr">
        <is>
          <t>F</t>
        </is>
      </c>
      <c r="F389" s="141" t="inlineStr">
        <is>
          <t>H</t>
        </is>
      </c>
      <c r="G389" s="141" t="inlineStr">
        <is>
          <t>I</t>
        </is>
      </c>
      <c r="H389" s="141" t="inlineStr">
        <is>
          <t>B</t>
        </is>
      </c>
      <c r="I389" s="141" t="inlineStr">
        <is>
          <t>A</t>
        </is>
      </c>
      <c r="J389" s="141" t="inlineStr">
        <is>
          <t>G</t>
        </is>
      </c>
      <c r="K389" s="141" t="inlineStr">
        <is>
          <t>L</t>
        </is>
      </c>
    </row>
    <row r="390" ht="12.75" customHeight="1">
      <c r="A390" s="141" t="n">
        <v>389</v>
      </c>
      <c r="B390" s="141" t="inlineStr">
        <is>
          <t>ABCFGHIK</t>
        </is>
      </c>
      <c r="C390" s="141" t="inlineStr">
        <is>
          <t>A,B,C,F,G,H,I,K</t>
        </is>
      </c>
      <c r="D390" s="141" t="inlineStr">
        <is>
          <t>C</t>
        </is>
      </c>
      <c r="E390" s="141" t="inlineStr">
        <is>
          <t>F</t>
        </is>
      </c>
      <c r="F390" s="141" t="inlineStr">
        <is>
          <t>H</t>
        </is>
      </c>
      <c r="G390" s="141" t="inlineStr">
        <is>
          <t>K</t>
        </is>
      </c>
      <c r="H390" s="141" t="inlineStr">
        <is>
          <t>B</t>
        </is>
      </c>
      <c r="I390" s="141" t="inlineStr">
        <is>
          <t>A</t>
        </is>
      </c>
      <c r="J390" s="141" t="inlineStr">
        <is>
          <t>G</t>
        </is>
      </c>
      <c r="K390" s="141" t="inlineStr">
        <is>
          <t>I</t>
        </is>
      </c>
    </row>
    <row r="391" ht="12.75" customHeight="1">
      <c r="A391" s="141" t="n">
        <v>390</v>
      </c>
      <c r="B391" s="141" t="inlineStr">
        <is>
          <t>ABCFGHIJ</t>
        </is>
      </c>
      <c r="C391" s="141" t="inlineStr">
        <is>
          <t>A,B,C,F,G,H,I,J</t>
        </is>
      </c>
      <c r="D391" s="141" t="inlineStr">
        <is>
          <t>C</t>
        </is>
      </c>
      <c r="E391" s="141" t="inlineStr">
        <is>
          <t>F</t>
        </is>
      </c>
      <c r="F391" s="141" t="inlineStr">
        <is>
          <t>H</t>
        </is>
      </c>
      <c r="G391" s="141" t="inlineStr">
        <is>
          <t>J</t>
        </is>
      </c>
      <c r="H391" s="141" t="inlineStr">
        <is>
          <t>B</t>
        </is>
      </c>
      <c r="I391" s="141" t="inlineStr">
        <is>
          <t>A</t>
        </is>
      </c>
      <c r="J391" s="141" t="inlineStr">
        <is>
          <t>G</t>
        </is>
      </c>
      <c r="K391" s="141" t="inlineStr">
        <is>
          <t>I</t>
        </is>
      </c>
    </row>
    <row r="392" ht="12.75" customHeight="1">
      <c r="A392" s="141" t="n">
        <v>391</v>
      </c>
      <c r="B392" s="141" t="inlineStr">
        <is>
          <t>ABCEIJKL</t>
        </is>
      </c>
      <c r="C392" s="141" t="inlineStr">
        <is>
          <t>A,B,C,E,I,J,K,L</t>
        </is>
      </c>
      <c r="D392" s="141" t="inlineStr">
        <is>
          <t>A</t>
        </is>
      </c>
      <c r="E392" s="141" t="inlineStr">
        <is>
          <t>C</t>
        </is>
      </c>
      <c r="F392" s="141" t="inlineStr">
        <is>
          <t>E</t>
        </is>
      </c>
      <c r="G392" s="141" t="inlineStr">
        <is>
          <t>K</t>
        </is>
      </c>
      <c r="H392" s="141" t="inlineStr">
        <is>
          <t>B</t>
        </is>
      </c>
      <c r="I392" s="141" t="inlineStr">
        <is>
          <t>I</t>
        </is>
      </c>
      <c r="J392" s="141" t="inlineStr">
        <is>
          <t>J</t>
        </is>
      </c>
      <c r="K392" s="141" t="inlineStr">
        <is>
          <t>L</t>
        </is>
      </c>
    </row>
    <row r="393" ht="12.75" customHeight="1">
      <c r="A393" s="141" t="n">
        <v>392</v>
      </c>
      <c r="B393" s="141" t="inlineStr">
        <is>
          <t>ABCEHJKL</t>
        </is>
      </c>
      <c r="C393" s="141" t="inlineStr">
        <is>
          <t>A,B,C,E,H,J,K,L</t>
        </is>
      </c>
      <c r="D393" s="141" t="inlineStr">
        <is>
          <t>C</t>
        </is>
      </c>
      <c r="E393" s="141" t="inlineStr">
        <is>
          <t>H</t>
        </is>
      </c>
      <c r="F393" s="141" t="inlineStr">
        <is>
          <t>E</t>
        </is>
      </c>
      <c r="G393" s="141" t="inlineStr">
        <is>
          <t>K</t>
        </is>
      </c>
      <c r="H393" s="141" t="inlineStr">
        <is>
          <t>B</t>
        </is>
      </c>
      <c r="I393" s="141" t="inlineStr">
        <is>
          <t>A</t>
        </is>
      </c>
      <c r="J393" s="141" t="inlineStr">
        <is>
          <t>J</t>
        </is>
      </c>
      <c r="K393" s="141" t="inlineStr">
        <is>
          <t>L</t>
        </is>
      </c>
    </row>
    <row r="394" ht="12.75" customHeight="1">
      <c r="A394" s="141" t="n">
        <v>393</v>
      </c>
      <c r="B394" s="141" t="inlineStr">
        <is>
          <t>ABCEHIKL</t>
        </is>
      </c>
      <c r="C394" s="141" t="inlineStr">
        <is>
          <t>A,B,C,E,H,I,K,L</t>
        </is>
      </c>
      <c r="D394" s="141" t="inlineStr">
        <is>
          <t>C</t>
        </is>
      </c>
      <c r="E394" s="141" t="inlineStr">
        <is>
          <t>H</t>
        </is>
      </c>
      <c r="F394" s="141" t="inlineStr">
        <is>
          <t>E</t>
        </is>
      </c>
      <c r="G394" s="141" t="inlineStr">
        <is>
          <t>K</t>
        </is>
      </c>
      <c r="H394" s="141" t="inlineStr">
        <is>
          <t>B</t>
        </is>
      </c>
      <c r="I394" s="141" t="inlineStr">
        <is>
          <t>A</t>
        </is>
      </c>
      <c r="J394" s="141" t="inlineStr">
        <is>
          <t>I</t>
        </is>
      </c>
      <c r="K394" s="141" t="inlineStr">
        <is>
          <t>L</t>
        </is>
      </c>
    </row>
    <row r="395" ht="12.75" customHeight="1">
      <c r="A395" s="141" t="n">
        <v>394</v>
      </c>
      <c r="B395" s="141" t="inlineStr">
        <is>
          <t>ABCEHIJL</t>
        </is>
      </c>
      <c r="C395" s="141" t="inlineStr">
        <is>
          <t>A,B,C,E,H,I,J,L</t>
        </is>
      </c>
      <c r="D395" s="141" t="inlineStr">
        <is>
          <t>C</t>
        </is>
      </c>
      <c r="E395" s="141" t="inlineStr">
        <is>
          <t>H</t>
        </is>
      </c>
      <c r="F395" s="141" t="inlineStr">
        <is>
          <t>E</t>
        </is>
      </c>
      <c r="G395" s="141" t="inlineStr">
        <is>
          <t>I</t>
        </is>
      </c>
      <c r="H395" s="141" t="inlineStr">
        <is>
          <t>B</t>
        </is>
      </c>
      <c r="I395" s="141" t="inlineStr">
        <is>
          <t>A</t>
        </is>
      </c>
      <c r="J395" s="141" t="inlineStr">
        <is>
          <t>J</t>
        </is>
      </c>
      <c r="K395" s="141" t="inlineStr">
        <is>
          <t>L</t>
        </is>
      </c>
    </row>
    <row r="396" ht="12.75" customHeight="1">
      <c r="A396" s="141" t="n">
        <v>395</v>
      </c>
      <c r="B396" s="141" t="inlineStr">
        <is>
          <t>ABCEHIJK</t>
        </is>
      </c>
      <c r="C396" s="141" t="inlineStr">
        <is>
          <t>A,B,C,E,H,I,J,K</t>
        </is>
      </c>
      <c r="D396" s="141" t="inlineStr">
        <is>
          <t>C</t>
        </is>
      </c>
      <c r="E396" s="141" t="inlineStr">
        <is>
          <t>H</t>
        </is>
      </c>
      <c r="F396" s="141" t="inlineStr">
        <is>
          <t>E</t>
        </is>
      </c>
      <c r="G396" s="141" t="inlineStr">
        <is>
          <t>K</t>
        </is>
      </c>
      <c r="H396" s="141" t="inlineStr">
        <is>
          <t>B</t>
        </is>
      </c>
      <c r="I396" s="141" t="inlineStr">
        <is>
          <t>A</t>
        </is>
      </c>
      <c r="J396" s="141" t="inlineStr">
        <is>
          <t>J</t>
        </is>
      </c>
      <c r="K396" s="141" t="inlineStr">
        <is>
          <t>I</t>
        </is>
      </c>
    </row>
    <row r="397" ht="12.75" customHeight="1">
      <c r="A397" s="141" t="n">
        <v>396</v>
      </c>
      <c r="B397" s="141" t="inlineStr">
        <is>
          <t>ABCEGJKL</t>
        </is>
      </c>
      <c r="C397" s="141" t="inlineStr">
        <is>
          <t>A,B,C,E,G,J,K,L</t>
        </is>
      </c>
      <c r="D397" s="141" t="inlineStr">
        <is>
          <t>C</t>
        </is>
      </c>
      <c r="E397" s="141" t="inlineStr">
        <is>
          <t>G</t>
        </is>
      </c>
      <c r="F397" s="141" t="inlineStr">
        <is>
          <t>E</t>
        </is>
      </c>
      <c r="G397" s="141" t="inlineStr">
        <is>
          <t>K</t>
        </is>
      </c>
      <c r="H397" s="141" t="inlineStr">
        <is>
          <t>B</t>
        </is>
      </c>
      <c r="I397" s="141" t="inlineStr">
        <is>
          <t>A</t>
        </is>
      </c>
      <c r="J397" s="141" t="inlineStr">
        <is>
          <t>J</t>
        </is>
      </c>
      <c r="K397" s="141" t="inlineStr">
        <is>
          <t>L</t>
        </is>
      </c>
    </row>
    <row r="398" ht="12.75" customHeight="1">
      <c r="A398" s="141" t="n">
        <v>397</v>
      </c>
      <c r="B398" s="141" t="inlineStr">
        <is>
          <t>ABCEGIKL</t>
        </is>
      </c>
      <c r="C398" s="141" t="inlineStr">
        <is>
          <t>A,B,C,E,G,I,K,L</t>
        </is>
      </c>
      <c r="D398" s="141" t="inlineStr">
        <is>
          <t>A</t>
        </is>
      </c>
      <c r="E398" s="141" t="inlineStr">
        <is>
          <t>C</t>
        </is>
      </c>
      <c r="F398" s="141" t="inlineStr">
        <is>
          <t>E</t>
        </is>
      </c>
      <c r="G398" s="141" t="inlineStr">
        <is>
          <t>K</t>
        </is>
      </c>
      <c r="H398" s="141" t="inlineStr">
        <is>
          <t>B</t>
        </is>
      </c>
      <c r="I398" s="141" t="inlineStr">
        <is>
          <t>I</t>
        </is>
      </c>
      <c r="J398" s="141" t="inlineStr">
        <is>
          <t>G</t>
        </is>
      </c>
      <c r="K398" s="141" t="inlineStr">
        <is>
          <t>L</t>
        </is>
      </c>
    </row>
    <row r="399" ht="12.75" customHeight="1">
      <c r="A399" s="141" t="n">
        <v>398</v>
      </c>
      <c r="B399" s="141" t="inlineStr">
        <is>
          <t>ABCEGIJL</t>
        </is>
      </c>
      <c r="C399" s="141" t="inlineStr">
        <is>
          <t>A,B,C,E,G,I,J,L</t>
        </is>
      </c>
      <c r="D399" s="141" t="inlineStr">
        <is>
          <t>C</t>
        </is>
      </c>
      <c r="E399" s="141" t="inlineStr">
        <is>
          <t>G</t>
        </is>
      </c>
      <c r="F399" s="141" t="inlineStr">
        <is>
          <t>E</t>
        </is>
      </c>
      <c r="G399" s="141" t="inlineStr">
        <is>
          <t>I</t>
        </is>
      </c>
      <c r="H399" s="141" t="inlineStr">
        <is>
          <t>B</t>
        </is>
      </c>
      <c r="I399" s="141" t="inlineStr">
        <is>
          <t>A</t>
        </is>
      </c>
      <c r="J399" s="141" t="inlineStr">
        <is>
          <t>J</t>
        </is>
      </c>
      <c r="K399" s="141" t="inlineStr">
        <is>
          <t>L</t>
        </is>
      </c>
    </row>
    <row r="400" ht="12.75" customHeight="1">
      <c r="A400" s="141" t="n">
        <v>399</v>
      </c>
      <c r="B400" s="141" t="inlineStr">
        <is>
          <t>ABCEGIJK</t>
        </is>
      </c>
      <c r="C400" s="141" t="inlineStr">
        <is>
          <t>A,B,C,E,G,I,J,K</t>
        </is>
      </c>
      <c r="D400" s="141" t="inlineStr">
        <is>
          <t>C</t>
        </is>
      </c>
      <c r="E400" s="141" t="inlineStr">
        <is>
          <t>G</t>
        </is>
      </c>
      <c r="F400" s="141" t="inlineStr">
        <is>
          <t>E</t>
        </is>
      </c>
      <c r="G400" s="141" t="inlineStr">
        <is>
          <t>K</t>
        </is>
      </c>
      <c r="H400" s="141" t="inlineStr">
        <is>
          <t>B</t>
        </is>
      </c>
      <c r="I400" s="141" t="inlineStr">
        <is>
          <t>A</t>
        </is>
      </c>
      <c r="J400" s="141" t="inlineStr">
        <is>
          <t>J</t>
        </is>
      </c>
      <c r="K400" s="141" t="inlineStr">
        <is>
          <t>I</t>
        </is>
      </c>
    </row>
    <row r="401" ht="12.75" customHeight="1">
      <c r="A401" s="141" t="n">
        <v>400</v>
      </c>
      <c r="B401" s="141" t="inlineStr">
        <is>
          <t>ABCEGHKL</t>
        </is>
      </c>
      <c r="C401" s="141" t="inlineStr">
        <is>
          <t>A,B,C,E,G,H,K,L</t>
        </is>
      </c>
      <c r="D401" s="141" t="inlineStr">
        <is>
          <t>C</t>
        </is>
      </c>
      <c r="E401" s="141" t="inlineStr">
        <is>
          <t>H</t>
        </is>
      </c>
      <c r="F401" s="141" t="inlineStr">
        <is>
          <t>E</t>
        </is>
      </c>
      <c r="G401" s="141" t="inlineStr">
        <is>
          <t>K</t>
        </is>
      </c>
      <c r="H401" s="141" t="inlineStr">
        <is>
          <t>B</t>
        </is>
      </c>
      <c r="I401" s="141" t="inlineStr">
        <is>
          <t>A</t>
        </is>
      </c>
      <c r="J401" s="141" t="inlineStr">
        <is>
          <t>G</t>
        </is>
      </c>
      <c r="K401" s="141" t="inlineStr">
        <is>
          <t>L</t>
        </is>
      </c>
    </row>
    <row r="402" ht="12.75" customHeight="1">
      <c r="A402" s="141" t="n">
        <v>401</v>
      </c>
      <c r="B402" s="141" t="inlineStr">
        <is>
          <t>ABCEGHJL</t>
        </is>
      </c>
      <c r="C402" s="141" t="inlineStr">
        <is>
          <t>A,B,C,E,G,H,J,L</t>
        </is>
      </c>
      <c r="D402" s="141" t="inlineStr">
        <is>
          <t>C</t>
        </is>
      </c>
      <c r="E402" s="141" t="inlineStr">
        <is>
          <t>G</t>
        </is>
      </c>
      <c r="F402" s="141" t="inlineStr">
        <is>
          <t>H</t>
        </is>
      </c>
      <c r="G402" s="141" t="inlineStr">
        <is>
          <t>E</t>
        </is>
      </c>
      <c r="H402" s="141" t="inlineStr">
        <is>
          <t>B</t>
        </is>
      </c>
      <c r="I402" s="141" t="inlineStr">
        <is>
          <t>A</t>
        </is>
      </c>
      <c r="J402" s="141" t="inlineStr">
        <is>
          <t>J</t>
        </is>
      </c>
      <c r="K402" s="141" t="inlineStr">
        <is>
          <t>L</t>
        </is>
      </c>
    </row>
    <row r="403" ht="12.75" customHeight="1">
      <c r="A403" s="141" t="n">
        <v>402</v>
      </c>
      <c r="B403" s="141" t="inlineStr">
        <is>
          <t>ABCEGHJK</t>
        </is>
      </c>
      <c r="C403" s="141" t="inlineStr">
        <is>
          <t>A,B,C,E,G,H,J,K</t>
        </is>
      </c>
      <c r="D403" s="141" t="inlineStr">
        <is>
          <t>C</t>
        </is>
      </c>
      <c r="E403" s="141" t="inlineStr">
        <is>
          <t>G</t>
        </is>
      </c>
      <c r="F403" s="141" t="inlineStr">
        <is>
          <t>H</t>
        </is>
      </c>
      <c r="G403" s="141" t="inlineStr">
        <is>
          <t>K</t>
        </is>
      </c>
      <c r="H403" s="141" t="inlineStr">
        <is>
          <t>B</t>
        </is>
      </c>
      <c r="I403" s="141" t="inlineStr">
        <is>
          <t>A</t>
        </is>
      </c>
      <c r="J403" s="141" t="inlineStr">
        <is>
          <t>J</t>
        </is>
      </c>
      <c r="K403" s="141" t="inlineStr">
        <is>
          <t>E</t>
        </is>
      </c>
    </row>
    <row r="404" ht="12.75" customHeight="1">
      <c r="A404" s="141" t="n">
        <v>403</v>
      </c>
      <c r="B404" s="141" t="inlineStr">
        <is>
          <t>ABCEGHIL</t>
        </is>
      </c>
      <c r="C404" s="141" t="inlineStr">
        <is>
          <t>A,B,C,E,G,H,I,L</t>
        </is>
      </c>
      <c r="D404" s="141" t="inlineStr">
        <is>
          <t>C</t>
        </is>
      </c>
      <c r="E404" s="141" t="inlineStr">
        <is>
          <t>H</t>
        </is>
      </c>
      <c r="F404" s="141" t="inlineStr">
        <is>
          <t>E</t>
        </is>
      </c>
      <c r="G404" s="141" t="inlineStr">
        <is>
          <t>I</t>
        </is>
      </c>
      <c r="H404" s="141" t="inlineStr">
        <is>
          <t>B</t>
        </is>
      </c>
      <c r="I404" s="141" t="inlineStr">
        <is>
          <t>A</t>
        </is>
      </c>
      <c r="J404" s="141" t="inlineStr">
        <is>
          <t>G</t>
        </is>
      </c>
      <c r="K404" s="141" t="inlineStr">
        <is>
          <t>L</t>
        </is>
      </c>
    </row>
    <row r="405" ht="12.75" customHeight="1">
      <c r="A405" s="141" t="n">
        <v>404</v>
      </c>
      <c r="B405" s="141" t="inlineStr">
        <is>
          <t>ABCEGHIK</t>
        </is>
      </c>
      <c r="C405" s="141" t="inlineStr">
        <is>
          <t>A,B,C,E,G,H,I,K</t>
        </is>
      </c>
      <c r="D405" s="141" t="inlineStr">
        <is>
          <t>C</t>
        </is>
      </c>
      <c r="E405" s="141" t="inlineStr">
        <is>
          <t>H</t>
        </is>
      </c>
      <c r="F405" s="141" t="inlineStr">
        <is>
          <t>E</t>
        </is>
      </c>
      <c r="G405" s="141" t="inlineStr">
        <is>
          <t>K</t>
        </is>
      </c>
      <c r="H405" s="141" t="inlineStr">
        <is>
          <t>B</t>
        </is>
      </c>
      <c r="I405" s="141" t="inlineStr">
        <is>
          <t>A</t>
        </is>
      </c>
      <c r="J405" s="141" t="inlineStr">
        <is>
          <t>G</t>
        </is>
      </c>
      <c r="K405" s="141" t="inlineStr">
        <is>
          <t>I</t>
        </is>
      </c>
    </row>
    <row r="406" ht="12.75" customHeight="1">
      <c r="A406" s="141" t="n">
        <v>405</v>
      </c>
      <c r="B406" s="141" t="inlineStr">
        <is>
          <t>ABCEGHIJ</t>
        </is>
      </c>
      <c r="C406" s="141" t="inlineStr">
        <is>
          <t>A,B,C,E,G,H,I,J</t>
        </is>
      </c>
      <c r="D406" s="141" t="inlineStr">
        <is>
          <t>C</t>
        </is>
      </c>
      <c r="E406" s="141" t="inlineStr">
        <is>
          <t>G</t>
        </is>
      </c>
      <c r="F406" s="141" t="inlineStr">
        <is>
          <t>H</t>
        </is>
      </c>
      <c r="G406" s="141" t="inlineStr">
        <is>
          <t>I</t>
        </is>
      </c>
      <c r="H406" s="141" t="inlineStr">
        <is>
          <t>B</t>
        </is>
      </c>
      <c r="I406" s="141" t="inlineStr">
        <is>
          <t>A</t>
        </is>
      </c>
      <c r="J406" s="141" t="inlineStr">
        <is>
          <t>J</t>
        </is>
      </c>
      <c r="K406" s="141" t="inlineStr">
        <is>
          <t>E</t>
        </is>
      </c>
    </row>
    <row r="407" ht="12.75" customHeight="1">
      <c r="A407" s="141" t="n">
        <v>406</v>
      </c>
      <c r="B407" s="141" t="inlineStr">
        <is>
          <t>ABCEFJKL</t>
        </is>
      </c>
      <c r="C407" s="141" t="inlineStr">
        <is>
          <t>A,B,C,E,F,J,K,L</t>
        </is>
      </c>
      <c r="D407" s="141" t="inlineStr">
        <is>
          <t>C</t>
        </is>
      </c>
      <c r="E407" s="141" t="inlineStr">
        <is>
          <t>F</t>
        </is>
      </c>
      <c r="F407" s="141" t="inlineStr">
        <is>
          <t>E</t>
        </is>
      </c>
      <c r="G407" s="141" t="inlineStr">
        <is>
          <t>K</t>
        </is>
      </c>
      <c r="H407" s="141" t="inlineStr">
        <is>
          <t>B</t>
        </is>
      </c>
      <c r="I407" s="141" t="inlineStr">
        <is>
          <t>A</t>
        </is>
      </c>
      <c r="J407" s="141" t="inlineStr">
        <is>
          <t>J</t>
        </is>
      </c>
      <c r="K407" s="141" t="inlineStr">
        <is>
          <t>L</t>
        </is>
      </c>
    </row>
    <row r="408" ht="12.75" customHeight="1">
      <c r="A408" s="141" t="n">
        <v>407</v>
      </c>
      <c r="B408" s="141" t="inlineStr">
        <is>
          <t>ABCEFIKL</t>
        </is>
      </c>
      <c r="C408" s="141" t="inlineStr">
        <is>
          <t>A,B,C,E,F,I,K,L</t>
        </is>
      </c>
      <c r="D408" s="141" t="inlineStr">
        <is>
          <t>C</t>
        </is>
      </c>
      <c r="E408" s="141" t="inlineStr">
        <is>
          <t>F</t>
        </is>
      </c>
      <c r="F408" s="141" t="inlineStr">
        <is>
          <t>E</t>
        </is>
      </c>
      <c r="G408" s="141" t="inlineStr">
        <is>
          <t>K</t>
        </is>
      </c>
      <c r="H408" s="141" t="inlineStr">
        <is>
          <t>B</t>
        </is>
      </c>
      <c r="I408" s="141" t="inlineStr">
        <is>
          <t>A</t>
        </is>
      </c>
      <c r="J408" s="141" t="inlineStr">
        <is>
          <t>I</t>
        </is>
      </c>
      <c r="K408" s="141" t="inlineStr">
        <is>
          <t>L</t>
        </is>
      </c>
    </row>
    <row r="409" ht="12.75" customHeight="1">
      <c r="A409" s="141" t="n">
        <v>408</v>
      </c>
      <c r="B409" s="141" t="inlineStr">
        <is>
          <t>ABCEFIJL</t>
        </is>
      </c>
      <c r="C409" s="141" t="inlineStr">
        <is>
          <t>A,B,C,E,F,I,J,L</t>
        </is>
      </c>
      <c r="D409" s="141" t="inlineStr">
        <is>
          <t>C</t>
        </is>
      </c>
      <c r="E409" s="141" t="inlineStr">
        <is>
          <t>F</t>
        </is>
      </c>
      <c r="F409" s="141" t="inlineStr">
        <is>
          <t>E</t>
        </is>
      </c>
      <c r="G409" s="141" t="inlineStr">
        <is>
          <t>I</t>
        </is>
      </c>
      <c r="H409" s="141" t="inlineStr">
        <is>
          <t>B</t>
        </is>
      </c>
      <c r="I409" s="141" t="inlineStr">
        <is>
          <t>A</t>
        </is>
      </c>
      <c r="J409" s="141" t="inlineStr">
        <is>
          <t>J</t>
        </is>
      </c>
      <c r="K409" s="141" t="inlineStr">
        <is>
          <t>L</t>
        </is>
      </c>
    </row>
    <row r="410" ht="12.75" customHeight="1">
      <c r="A410" s="141" t="n">
        <v>409</v>
      </c>
      <c r="B410" s="141" t="inlineStr">
        <is>
          <t>ABCEFIJK</t>
        </is>
      </c>
      <c r="C410" s="141" t="inlineStr">
        <is>
          <t>A,B,C,E,F,I,J,K</t>
        </is>
      </c>
      <c r="D410" s="141" t="inlineStr">
        <is>
          <t>C</t>
        </is>
      </c>
      <c r="E410" s="141" t="inlineStr">
        <is>
          <t>F</t>
        </is>
      </c>
      <c r="F410" s="141" t="inlineStr">
        <is>
          <t>E</t>
        </is>
      </c>
      <c r="G410" s="141" t="inlineStr">
        <is>
          <t>K</t>
        </is>
      </c>
      <c r="H410" s="141" t="inlineStr">
        <is>
          <t>B</t>
        </is>
      </c>
      <c r="I410" s="141" t="inlineStr">
        <is>
          <t>A</t>
        </is>
      </c>
      <c r="J410" s="141" t="inlineStr">
        <is>
          <t>J</t>
        </is>
      </c>
      <c r="K410" s="141" t="inlineStr">
        <is>
          <t>I</t>
        </is>
      </c>
    </row>
    <row r="411" ht="12.75" customHeight="1">
      <c r="A411" s="141" t="n">
        <v>410</v>
      </c>
      <c r="B411" s="141" t="inlineStr">
        <is>
          <t>ABCEFHKL</t>
        </is>
      </c>
      <c r="C411" s="141" t="inlineStr">
        <is>
          <t>A,B,C,E,F,H,K,L</t>
        </is>
      </c>
      <c r="D411" s="141" t="inlineStr">
        <is>
          <t>C</t>
        </is>
      </c>
      <c r="E411" s="141" t="inlineStr">
        <is>
          <t>F</t>
        </is>
      </c>
      <c r="F411" s="141" t="inlineStr">
        <is>
          <t>H</t>
        </is>
      </c>
      <c r="G411" s="141" t="inlineStr">
        <is>
          <t>K</t>
        </is>
      </c>
      <c r="H411" s="141" t="inlineStr">
        <is>
          <t>B</t>
        </is>
      </c>
      <c r="I411" s="141" t="inlineStr">
        <is>
          <t>A</t>
        </is>
      </c>
      <c r="J411" s="141" t="inlineStr">
        <is>
          <t>E</t>
        </is>
      </c>
      <c r="K411" s="141" t="inlineStr">
        <is>
          <t>L</t>
        </is>
      </c>
    </row>
    <row r="412" ht="12.75" customHeight="1">
      <c r="A412" s="141" t="n">
        <v>411</v>
      </c>
      <c r="B412" s="141" t="inlineStr">
        <is>
          <t>ABCEFHJL</t>
        </is>
      </c>
      <c r="C412" s="141" t="inlineStr">
        <is>
          <t>A,B,C,E,F,H,J,L</t>
        </is>
      </c>
      <c r="D412" s="141" t="inlineStr">
        <is>
          <t>C</t>
        </is>
      </c>
      <c r="E412" s="141" t="inlineStr">
        <is>
          <t>F</t>
        </is>
      </c>
      <c r="F412" s="141" t="inlineStr">
        <is>
          <t>H</t>
        </is>
      </c>
      <c r="G412" s="141" t="inlineStr">
        <is>
          <t>E</t>
        </is>
      </c>
      <c r="H412" s="141" t="inlineStr">
        <is>
          <t>B</t>
        </is>
      </c>
      <c r="I412" s="141" t="inlineStr">
        <is>
          <t>A</t>
        </is>
      </c>
      <c r="J412" s="141" t="inlineStr">
        <is>
          <t>J</t>
        </is>
      </c>
      <c r="K412" s="141" t="inlineStr">
        <is>
          <t>L</t>
        </is>
      </c>
    </row>
    <row r="413" ht="12.75" customHeight="1">
      <c r="A413" s="141" t="n">
        <v>412</v>
      </c>
      <c r="B413" s="141" t="inlineStr">
        <is>
          <t>ABCEFHJK</t>
        </is>
      </c>
      <c r="C413" s="141" t="inlineStr">
        <is>
          <t>A,B,C,E,F,H,J,K</t>
        </is>
      </c>
      <c r="D413" s="141" t="inlineStr">
        <is>
          <t>C</t>
        </is>
      </c>
      <c r="E413" s="141" t="inlineStr">
        <is>
          <t>F</t>
        </is>
      </c>
      <c r="F413" s="141" t="inlineStr">
        <is>
          <t>H</t>
        </is>
      </c>
      <c r="G413" s="141" t="inlineStr">
        <is>
          <t>K</t>
        </is>
      </c>
      <c r="H413" s="141" t="inlineStr">
        <is>
          <t>B</t>
        </is>
      </c>
      <c r="I413" s="141" t="inlineStr">
        <is>
          <t>A</t>
        </is>
      </c>
      <c r="J413" s="141" t="inlineStr">
        <is>
          <t>J</t>
        </is>
      </c>
      <c r="K413" s="141" t="inlineStr">
        <is>
          <t>E</t>
        </is>
      </c>
    </row>
    <row r="414" ht="12.75" customHeight="1">
      <c r="A414" s="141" t="n">
        <v>413</v>
      </c>
      <c r="B414" s="141" t="inlineStr">
        <is>
          <t>ABCEFHIL</t>
        </is>
      </c>
      <c r="C414" s="141" t="inlineStr">
        <is>
          <t>A,B,C,E,F,H,I,L</t>
        </is>
      </c>
      <c r="D414" s="141" t="inlineStr">
        <is>
          <t>C</t>
        </is>
      </c>
      <c r="E414" s="141" t="inlineStr">
        <is>
          <t>F</t>
        </is>
      </c>
      <c r="F414" s="141" t="inlineStr">
        <is>
          <t>H</t>
        </is>
      </c>
      <c r="G414" s="141" t="inlineStr">
        <is>
          <t>I</t>
        </is>
      </c>
      <c r="H414" s="141" t="inlineStr">
        <is>
          <t>B</t>
        </is>
      </c>
      <c r="I414" s="141" t="inlineStr">
        <is>
          <t>A</t>
        </is>
      </c>
      <c r="J414" s="141" t="inlineStr">
        <is>
          <t>E</t>
        </is>
      </c>
      <c r="K414" s="141" t="inlineStr">
        <is>
          <t>L</t>
        </is>
      </c>
    </row>
    <row r="415" ht="12.75" customHeight="1">
      <c r="A415" s="141" t="n">
        <v>414</v>
      </c>
      <c r="B415" s="141" t="inlineStr">
        <is>
          <t>ABCEFHIK</t>
        </is>
      </c>
      <c r="C415" s="141" t="inlineStr">
        <is>
          <t>A,B,C,E,F,H,I,K</t>
        </is>
      </c>
      <c r="D415" s="141" t="inlineStr">
        <is>
          <t>C</t>
        </is>
      </c>
      <c r="E415" s="141" t="inlineStr">
        <is>
          <t>F</t>
        </is>
      </c>
      <c r="F415" s="141" t="inlineStr">
        <is>
          <t>H</t>
        </is>
      </c>
      <c r="G415" s="141" t="inlineStr">
        <is>
          <t>K</t>
        </is>
      </c>
      <c r="H415" s="141" t="inlineStr">
        <is>
          <t>B</t>
        </is>
      </c>
      <c r="I415" s="141" t="inlineStr">
        <is>
          <t>A</t>
        </is>
      </c>
      <c r="J415" s="141" t="inlineStr">
        <is>
          <t>E</t>
        </is>
      </c>
      <c r="K415" s="141" t="inlineStr">
        <is>
          <t>I</t>
        </is>
      </c>
    </row>
    <row r="416" ht="12.75" customHeight="1">
      <c r="A416" s="141" t="n">
        <v>415</v>
      </c>
      <c r="B416" s="141" t="inlineStr">
        <is>
          <t>ABCEFHIJ</t>
        </is>
      </c>
      <c r="C416" s="141" t="inlineStr">
        <is>
          <t>A,B,C,E,F,H,I,J</t>
        </is>
      </c>
      <c r="D416" s="141" t="inlineStr">
        <is>
          <t>C</t>
        </is>
      </c>
      <c r="E416" s="141" t="inlineStr">
        <is>
          <t>F</t>
        </is>
      </c>
      <c r="F416" s="141" t="inlineStr">
        <is>
          <t>H</t>
        </is>
      </c>
      <c r="G416" s="141" t="inlineStr">
        <is>
          <t>I</t>
        </is>
      </c>
      <c r="H416" s="141" t="inlineStr">
        <is>
          <t>B</t>
        </is>
      </c>
      <c r="I416" s="141" t="inlineStr">
        <is>
          <t>A</t>
        </is>
      </c>
      <c r="J416" s="141" t="inlineStr">
        <is>
          <t>J</t>
        </is>
      </c>
      <c r="K416" s="141" t="inlineStr">
        <is>
          <t>E</t>
        </is>
      </c>
    </row>
    <row r="417" ht="12.75" customHeight="1">
      <c r="A417" s="141" t="n">
        <v>416</v>
      </c>
      <c r="B417" s="141" t="inlineStr">
        <is>
          <t>ABCEFGKL</t>
        </is>
      </c>
      <c r="C417" s="141" t="inlineStr">
        <is>
          <t>A,B,C,E,F,G,K,L</t>
        </is>
      </c>
      <c r="D417" s="141" t="inlineStr">
        <is>
          <t>C</t>
        </is>
      </c>
      <c r="E417" s="141" t="inlineStr">
        <is>
          <t>F</t>
        </is>
      </c>
      <c r="F417" s="141" t="inlineStr">
        <is>
          <t>E</t>
        </is>
      </c>
      <c r="G417" s="141" t="inlineStr">
        <is>
          <t>K</t>
        </is>
      </c>
      <c r="H417" s="141" t="inlineStr">
        <is>
          <t>B</t>
        </is>
      </c>
      <c r="I417" s="141" t="inlineStr">
        <is>
          <t>A</t>
        </is>
      </c>
      <c r="J417" s="141" t="inlineStr">
        <is>
          <t>G</t>
        </is>
      </c>
      <c r="K417" s="141" t="inlineStr">
        <is>
          <t>L</t>
        </is>
      </c>
    </row>
    <row r="418" ht="12.75" customHeight="1">
      <c r="A418" s="141" t="n">
        <v>417</v>
      </c>
      <c r="B418" s="141" t="inlineStr">
        <is>
          <t>ABCEFGJL</t>
        </is>
      </c>
      <c r="C418" s="141" t="inlineStr">
        <is>
          <t>A,B,C,E,F,G,J,L</t>
        </is>
      </c>
      <c r="D418" s="141" t="inlineStr">
        <is>
          <t>C</t>
        </is>
      </c>
      <c r="E418" s="141" t="inlineStr">
        <is>
          <t>F</t>
        </is>
      </c>
      <c r="F418" s="141" t="inlineStr">
        <is>
          <t>E</t>
        </is>
      </c>
      <c r="G418" s="141" t="inlineStr">
        <is>
          <t>J</t>
        </is>
      </c>
      <c r="H418" s="141" t="inlineStr">
        <is>
          <t>B</t>
        </is>
      </c>
      <c r="I418" s="141" t="inlineStr">
        <is>
          <t>A</t>
        </is>
      </c>
      <c r="J418" s="141" t="inlineStr">
        <is>
          <t>G</t>
        </is>
      </c>
      <c r="K418" s="141" t="inlineStr">
        <is>
          <t>L</t>
        </is>
      </c>
    </row>
    <row r="419" ht="12.75" customHeight="1">
      <c r="A419" s="141" t="n">
        <v>418</v>
      </c>
      <c r="B419" s="141" t="inlineStr">
        <is>
          <t>ABCEFGJK</t>
        </is>
      </c>
      <c r="C419" s="141" t="inlineStr">
        <is>
          <t>A,B,C,E,F,G,J,K</t>
        </is>
      </c>
      <c r="D419" s="141" t="inlineStr">
        <is>
          <t>C</t>
        </is>
      </c>
      <c r="E419" s="141" t="inlineStr">
        <is>
          <t>F</t>
        </is>
      </c>
      <c r="F419" s="141" t="inlineStr">
        <is>
          <t>E</t>
        </is>
      </c>
      <c r="G419" s="141" t="inlineStr">
        <is>
          <t>K</t>
        </is>
      </c>
      <c r="H419" s="141" t="inlineStr">
        <is>
          <t>B</t>
        </is>
      </c>
      <c r="I419" s="141" t="inlineStr">
        <is>
          <t>A</t>
        </is>
      </c>
      <c r="J419" s="141" t="inlineStr">
        <is>
          <t>G</t>
        </is>
      </c>
      <c r="K419" s="141" t="inlineStr">
        <is>
          <t>J</t>
        </is>
      </c>
    </row>
    <row r="420" ht="12.75" customHeight="1">
      <c r="A420" s="141" t="n">
        <v>419</v>
      </c>
      <c r="B420" s="141" t="inlineStr">
        <is>
          <t>ABCEFGIL</t>
        </is>
      </c>
      <c r="C420" s="141" t="inlineStr">
        <is>
          <t>A,B,C,E,F,G,I,L</t>
        </is>
      </c>
      <c r="D420" s="141" t="inlineStr">
        <is>
          <t>C</t>
        </is>
      </c>
      <c r="E420" s="141" t="inlineStr">
        <is>
          <t>F</t>
        </is>
      </c>
      <c r="F420" s="141" t="inlineStr">
        <is>
          <t>E</t>
        </is>
      </c>
      <c r="G420" s="141" t="inlineStr">
        <is>
          <t>I</t>
        </is>
      </c>
      <c r="H420" s="141" t="inlineStr">
        <is>
          <t>B</t>
        </is>
      </c>
      <c r="I420" s="141" t="inlineStr">
        <is>
          <t>A</t>
        </is>
      </c>
      <c r="J420" s="141" t="inlineStr">
        <is>
          <t>G</t>
        </is>
      </c>
      <c r="K420" s="141" t="inlineStr">
        <is>
          <t>L</t>
        </is>
      </c>
    </row>
    <row r="421" ht="12.75" customHeight="1">
      <c r="A421" s="141" t="n">
        <v>420</v>
      </c>
      <c r="B421" s="141" t="inlineStr">
        <is>
          <t>ABCEFGIK</t>
        </is>
      </c>
      <c r="C421" s="141" t="inlineStr">
        <is>
          <t>A,B,C,E,F,G,I,K</t>
        </is>
      </c>
      <c r="D421" s="141" t="inlineStr">
        <is>
          <t>C</t>
        </is>
      </c>
      <c r="E421" s="141" t="inlineStr">
        <is>
          <t>F</t>
        </is>
      </c>
      <c r="F421" s="141" t="inlineStr">
        <is>
          <t>E</t>
        </is>
      </c>
      <c r="G421" s="141" t="inlineStr">
        <is>
          <t>K</t>
        </is>
      </c>
      <c r="H421" s="141" t="inlineStr">
        <is>
          <t>B</t>
        </is>
      </c>
      <c r="I421" s="141" t="inlineStr">
        <is>
          <t>A</t>
        </is>
      </c>
      <c r="J421" s="141" t="inlineStr">
        <is>
          <t>G</t>
        </is>
      </c>
      <c r="K421" s="141" t="inlineStr">
        <is>
          <t>I</t>
        </is>
      </c>
    </row>
    <row r="422" ht="12.75" customHeight="1">
      <c r="A422" s="141" t="n">
        <v>421</v>
      </c>
      <c r="B422" s="141" t="inlineStr">
        <is>
          <t>ABCEFGIJ</t>
        </is>
      </c>
      <c r="C422" s="141" t="inlineStr">
        <is>
          <t>A,B,C,E,F,G,I,J</t>
        </is>
      </c>
      <c r="D422" s="141" t="inlineStr">
        <is>
          <t>C</t>
        </is>
      </c>
      <c r="E422" s="141" t="inlineStr">
        <is>
          <t>F</t>
        </is>
      </c>
      <c r="F422" s="141" t="inlineStr">
        <is>
          <t>E</t>
        </is>
      </c>
      <c r="G422" s="141" t="inlineStr">
        <is>
          <t>J</t>
        </is>
      </c>
      <c r="H422" s="141" t="inlineStr">
        <is>
          <t>B</t>
        </is>
      </c>
      <c r="I422" s="141" t="inlineStr">
        <is>
          <t>A</t>
        </is>
      </c>
      <c r="J422" s="141" t="inlineStr">
        <is>
          <t>G</t>
        </is>
      </c>
      <c r="K422" s="141" t="inlineStr">
        <is>
          <t>I</t>
        </is>
      </c>
    </row>
    <row r="423" ht="12.75" customHeight="1">
      <c r="A423" s="141" t="n">
        <v>422</v>
      </c>
      <c r="B423" s="141" t="inlineStr">
        <is>
          <t>ABCEFGHL</t>
        </is>
      </c>
      <c r="C423" s="141" t="inlineStr">
        <is>
          <t>A,B,C,E,F,G,H,L</t>
        </is>
      </c>
      <c r="D423" s="141" t="inlineStr">
        <is>
          <t>C</t>
        </is>
      </c>
      <c r="E423" s="141" t="inlineStr">
        <is>
          <t>F</t>
        </is>
      </c>
      <c r="F423" s="141" t="inlineStr">
        <is>
          <t>H</t>
        </is>
      </c>
      <c r="G423" s="141" t="inlineStr">
        <is>
          <t>E</t>
        </is>
      </c>
      <c r="H423" s="141" t="inlineStr">
        <is>
          <t>B</t>
        </is>
      </c>
      <c r="I423" s="141" t="inlineStr">
        <is>
          <t>A</t>
        </is>
      </c>
      <c r="J423" s="141" t="inlineStr">
        <is>
          <t>G</t>
        </is>
      </c>
      <c r="K423" s="141" t="inlineStr">
        <is>
          <t>L</t>
        </is>
      </c>
    </row>
    <row r="424" ht="12.75" customHeight="1">
      <c r="A424" s="141" t="n">
        <v>423</v>
      </c>
      <c r="B424" s="141" t="inlineStr">
        <is>
          <t>ABCEFGHK</t>
        </is>
      </c>
      <c r="C424" s="141" t="inlineStr">
        <is>
          <t>A,B,C,E,F,G,H,K</t>
        </is>
      </c>
      <c r="D424" s="141" t="inlineStr">
        <is>
          <t>C</t>
        </is>
      </c>
      <c r="E424" s="141" t="inlineStr">
        <is>
          <t>F</t>
        </is>
      </c>
      <c r="F424" s="141" t="inlineStr">
        <is>
          <t>H</t>
        </is>
      </c>
      <c r="G424" s="141" t="inlineStr">
        <is>
          <t>K</t>
        </is>
      </c>
      <c r="H424" s="141" t="inlineStr">
        <is>
          <t>B</t>
        </is>
      </c>
      <c r="I424" s="141" t="inlineStr">
        <is>
          <t>A</t>
        </is>
      </c>
      <c r="J424" s="141" t="inlineStr">
        <is>
          <t>G</t>
        </is>
      </c>
      <c r="K424" s="141" t="inlineStr">
        <is>
          <t>E</t>
        </is>
      </c>
    </row>
    <row r="425" ht="12.75" customHeight="1">
      <c r="A425" s="141" t="n">
        <v>424</v>
      </c>
      <c r="B425" s="141" t="inlineStr">
        <is>
          <t>ABCEFGHJ</t>
        </is>
      </c>
      <c r="C425" s="141" t="inlineStr">
        <is>
          <t>A,B,C,E,F,G,H,J</t>
        </is>
      </c>
      <c r="D425" s="141" t="inlineStr">
        <is>
          <t>C</t>
        </is>
      </c>
      <c r="E425" s="141" t="inlineStr">
        <is>
          <t>F</t>
        </is>
      </c>
      <c r="F425" s="141" t="inlineStr">
        <is>
          <t>H</t>
        </is>
      </c>
      <c r="G425" s="141" t="inlineStr">
        <is>
          <t>J</t>
        </is>
      </c>
      <c r="H425" s="141" t="inlineStr">
        <is>
          <t>B</t>
        </is>
      </c>
      <c r="I425" s="141" t="inlineStr">
        <is>
          <t>A</t>
        </is>
      </c>
      <c r="J425" s="141" t="inlineStr">
        <is>
          <t>G</t>
        </is>
      </c>
      <c r="K425" s="141" t="inlineStr">
        <is>
          <t>E</t>
        </is>
      </c>
    </row>
    <row r="426" ht="12.75" customHeight="1">
      <c r="A426" s="141" t="n">
        <v>425</v>
      </c>
      <c r="B426" s="141" t="inlineStr">
        <is>
          <t>ABCEFGHI</t>
        </is>
      </c>
      <c r="C426" s="141" t="inlineStr">
        <is>
          <t>A,B,C,E,F,G,H,I</t>
        </is>
      </c>
      <c r="D426" s="141" t="inlineStr">
        <is>
          <t>C</t>
        </is>
      </c>
      <c r="E426" s="141" t="inlineStr">
        <is>
          <t>F</t>
        </is>
      </c>
      <c r="F426" s="141" t="inlineStr">
        <is>
          <t>H</t>
        </is>
      </c>
      <c r="G426" s="141" t="inlineStr">
        <is>
          <t>I</t>
        </is>
      </c>
      <c r="H426" s="141" t="inlineStr">
        <is>
          <t>B</t>
        </is>
      </c>
      <c r="I426" s="141" t="inlineStr">
        <is>
          <t>A</t>
        </is>
      </c>
      <c r="J426" s="141" t="inlineStr">
        <is>
          <t>G</t>
        </is>
      </c>
      <c r="K426" s="141" t="inlineStr">
        <is>
          <t>E</t>
        </is>
      </c>
    </row>
    <row r="427" ht="12.75" customHeight="1">
      <c r="A427" s="141" t="n">
        <v>426</v>
      </c>
      <c r="B427" s="141" t="inlineStr">
        <is>
          <t>ABCDIJKL</t>
        </is>
      </c>
      <c r="C427" s="141" t="inlineStr">
        <is>
          <t>A,B,C,D,I,J,K,L</t>
        </is>
      </c>
      <c r="D427" s="141" t="inlineStr">
        <is>
          <t>C</t>
        </is>
      </c>
      <c r="E427" s="141" t="inlineStr">
        <is>
          <t>D</t>
        </is>
      </c>
      <c r="F427" s="141" t="inlineStr">
        <is>
          <t>I</t>
        </is>
      </c>
      <c r="G427" s="141" t="inlineStr">
        <is>
          <t>K</t>
        </is>
      </c>
      <c r="H427" s="141" t="inlineStr">
        <is>
          <t>B</t>
        </is>
      </c>
      <c r="I427" s="141" t="inlineStr">
        <is>
          <t>A</t>
        </is>
      </c>
      <c r="J427" s="141" t="inlineStr">
        <is>
          <t>J</t>
        </is>
      </c>
      <c r="K427" s="141" t="inlineStr">
        <is>
          <t>L</t>
        </is>
      </c>
    </row>
    <row r="428" ht="12.75" customHeight="1">
      <c r="A428" s="141" t="n">
        <v>427</v>
      </c>
      <c r="B428" s="141" t="inlineStr">
        <is>
          <t>ABCDHJKL</t>
        </is>
      </c>
      <c r="C428" s="141" t="inlineStr">
        <is>
          <t>A,B,C,D,H,J,K,L</t>
        </is>
      </c>
      <c r="D428" s="141" t="inlineStr">
        <is>
          <t>C</t>
        </is>
      </c>
      <c r="E428" s="141" t="inlineStr">
        <is>
          <t>D</t>
        </is>
      </c>
      <c r="F428" s="141" t="inlineStr">
        <is>
          <t>H</t>
        </is>
      </c>
      <c r="G428" s="141" t="inlineStr">
        <is>
          <t>K</t>
        </is>
      </c>
      <c r="H428" s="141" t="inlineStr">
        <is>
          <t>B</t>
        </is>
      </c>
      <c r="I428" s="141" t="inlineStr">
        <is>
          <t>A</t>
        </is>
      </c>
      <c r="J428" s="141" t="inlineStr">
        <is>
          <t>J</t>
        </is>
      </c>
      <c r="K428" s="141" t="inlineStr">
        <is>
          <t>L</t>
        </is>
      </c>
    </row>
    <row r="429" ht="12.75" customHeight="1">
      <c r="A429" s="141" t="n">
        <v>428</v>
      </c>
      <c r="B429" s="141" t="inlineStr">
        <is>
          <t>ABCDHIKL</t>
        </is>
      </c>
      <c r="C429" s="141" t="inlineStr">
        <is>
          <t>A,B,C,D,H,I,K,L</t>
        </is>
      </c>
      <c r="D429" s="141" t="inlineStr">
        <is>
          <t>C</t>
        </is>
      </c>
      <c r="E429" s="141" t="inlineStr">
        <is>
          <t>D</t>
        </is>
      </c>
      <c r="F429" s="141" t="inlineStr">
        <is>
          <t>H</t>
        </is>
      </c>
      <c r="G429" s="141" t="inlineStr">
        <is>
          <t>K</t>
        </is>
      </c>
      <c r="H429" s="141" t="inlineStr">
        <is>
          <t>B</t>
        </is>
      </c>
      <c r="I429" s="141" t="inlineStr">
        <is>
          <t>A</t>
        </is>
      </c>
      <c r="J429" s="141" t="inlineStr">
        <is>
          <t>I</t>
        </is>
      </c>
      <c r="K429" s="141" t="inlineStr">
        <is>
          <t>L</t>
        </is>
      </c>
    </row>
    <row r="430" ht="12.75" customHeight="1">
      <c r="A430" s="141" t="n">
        <v>429</v>
      </c>
      <c r="B430" s="141" t="inlineStr">
        <is>
          <t>ABCDHIJL</t>
        </is>
      </c>
      <c r="C430" s="141" t="inlineStr">
        <is>
          <t>A,B,C,D,H,I,J,L</t>
        </is>
      </c>
      <c r="D430" s="141" t="inlineStr">
        <is>
          <t>C</t>
        </is>
      </c>
      <c r="E430" s="141" t="inlineStr">
        <is>
          <t>D</t>
        </is>
      </c>
      <c r="F430" s="141" t="inlineStr">
        <is>
          <t>H</t>
        </is>
      </c>
      <c r="G430" s="141" t="inlineStr">
        <is>
          <t>I</t>
        </is>
      </c>
      <c r="H430" s="141" t="inlineStr">
        <is>
          <t>B</t>
        </is>
      </c>
      <c r="I430" s="141" t="inlineStr">
        <is>
          <t>A</t>
        </is>
      </c>
      <c r="J430" s="141" t="inlineStr">
        <is>
          <t>J</t>
        </is>
      </c>
      <c r="K430" s="141" t="inlineStr">
        <is>
          <t>L</t>
        </is>
      </c>
    </row>
    <row r="431" ht="12.75" customHeight="1">
      <c r="A431" s="141" t="n">
        <v>430</v>
      </c>
      <c r="B431" s="141" t="inlineStr">
        <is>
          <t>ABCDHIJK</t>
        </is>
      </c>
      <c r="C431" s="141" t="inlineStr">
        <is>
          <t>A,B,C,D,H,I,J,K</t>
        </is>
      </c>
      <c r="D431" s="141" t="inlineStr">
        <is>
          <t>C</t>
        </is>
      </c>
      <c r="E431" s="141" t="inlineStr">
        <is>
          <t>D</t>
        </is>
      </c>
      <c r="F431" s="141" t="inlineStr">
        <is>
          <t>H</t>
        </is>
      </c>
      <c r="G431" s="141" t="inlineStr">
        <is>
          <t>K</t>
        </is>
      </c>
      <c r="H431" s="141" t="inlineStr">
        <is>
          <t>B</t>
        </is>
      </c>
      <c r="I431" s="141" t="inlineStr">
        <is>
          <t>A</t>
        </is>
      </c>
      <c r="J431" s="141" t="inlineStr">
        <is>
          <t>J</t>
        </is>
      </c>
      <c r="K431" s="141" t="inlineStr">
        <is>
          <t>I</t>
        </is>
      </c>
    </row>
    <row r="432" ht="12.75" customHeight="1">
      <c r="A432" s="141" t="n">
        <v>431</v>
      </c>
      <c r="B432" s="141" t="inlineStr">
        <is>
          <t>ABCDGJKL</t>
        </is>
      </c>
      <c r="C432" s="141" t="inlineStr">
        <is>
          <t>A,B,C,D,G,J,K,L</t>
        </is>
      </c>
      <c r="D432" s="141" t="inlineStr">
        <is>
          <t>D</t>
        </is>
      </c>
      <c r="E432" s="141" t="inlineStr">
        <is>
          <t>G</t>
        </is>
      </c>
      <c r="F432" s="141" t="inlineStr">
        <is>
          <t>C</t>
        </is>
      </c>
      <c r="G432" s="141" t="inlineStr">
        <is>
          <t>K</t>
        </is>
      </c>
      <c r="H432" s="141" t="inlineStr">
        <is>
          <t>B</t>
        </is>
      </c>
      <c r="I432" s="141" t="inlineStr">
        <is>
          <t>A</t>
        </is>
      </c>
      <c r="J432" s="141" t="inlineStr">
        <is>
          <t>J</t>
        </is>
      </c>
      <c r="K432" s="141" t="inlineStr">
        <is>
          <t>L</t>
        </is>
      </c>
    </row>
    <row r="433" ht="12.75" customHeight="1">
      <c r="A433" s="141" t="n">
        <v>432</v>
      </c>
      <c r="B433" s="141" t="inlineStr">
        <is>
          <t>ABCDGIKL</t>
        </is>
      </c>
      <c r="C433" s="141" t="inlineStr">
        <is>
          <t>A,B,C,D,G,I,K,L</t>
        </is>
      </c>
      <c r="D433" s="141" t="inlineStr">
        <is>
          <t>C</t>
        </is>
      </c>
      <c r="E433" s="141" t="inlineStr">
        <is>
          <t>D</t>
        </is>
      </c>
      <c r="F433" s="141" t="inlineStr">
        <is>
          <t>I</t>
        </is>
      </c>
      <c r="G433" s="141" t="inlineStr">
        <is>
          <t>K</t>
        </is>
      </c>
      <c r="H433" s="141" t="inlineStr">
        <is>
          <t>B</t>
        </is>
      </c>
      <c r="I433" s="141" t="inlineStr">
        <is>
          <t>A</t>
        </is>
      </c>
      <c r="J433" s="141" t="inlineStr">
        <is>
          <t>G</t>
        </is>
      </c>
      <c r="K433" s="141" t="inlineStr">
        <is>
          <t>L</t>
        </is>
      </c>
    </row>
    <row r="434" ht="12.75" customHeight="1">
      <c r="A434" s="141" t="n">
        <v>433</v>
      </c>
      <c r="B434" s="141" t="inlineStr">
        <is>
          <t>ABCDGIJL</t>
        </is>
      </c>
      <c r="C434" s="141" t="inlineStr">
        <is>
          <t>A,B,C,D,G,I,J,L</t>
        </is>
      </c>
      <c r="D434" s="141" t="inlineStr">
        <is>
          <t>D</t>
        </is>
      </c>
      <c r="E434" s="141" t="inlineStr">
        <is>
          <t>G</t>
        </is>
      </c>
      <c r="F434" s="141" t="inlineStr">
        <is>
          <t>C</t>
        </is>
      </c>
      <c r="G434" s="141" t="inlineStr">
        <is>
          <t>I</t>
        </is>
      </c>
      <c r="H434" s="141" t="inlineStr">
        <is>
          <t>B</t>
        </is>
      </c>
      <c r="I434" s="141" t="inlineStr">
        <is>
          <t>A</t>
        </is>
      </c>
      <c r="J434" s="141" t="inlineStr">
        <is>
          <t>J</t>
        </is>
      </c>
      <c r="K434" s="141" t="inlineStr">
        <is>
          <t>L</t>
        </is>
      </c>
    </row>
    <row r="435" ht="12.75" customHeight="1">
      <c r="A435" s="141" t="n">
        <v>434</v>
      </c>
      <c r="B435" s="141" t="inlineStr">
        <is>
          <t>ABCDGIJK</t>
        </is>
      </c>
      <c r="C435" s="141" t="inlineStr">
        <is>
          <t>A,B,C,D,G,I,J,K</t>
        </is>
      </c>
      <c r="D435" s="141" t="inlineStr">
        <is>
          <t>D</t>
        </is>
      </c>
      <c r="E435" s="141" t="inlineStr">
        <is>
          <t>G</t>
        </is>
      </c>
      <c r="F435" s="141" t="inlineStr">
        <is>
          <t>C</t>
        </is>
      </c>
      <c r="G435" s="141" t="inlineStr">
        <is>
          <t>K</t>
        </is>
      </c>
      <c r="H435" s="141" t="inlineStr">
        <is>
          <t>B</t>
        </is>
      </c>
      <c r="I435" s="141" t="inlineStr">
        <is>
          <t>A</t>
        </is>
      </c>
      <c r="J435" s="141" t="inlineStr">
        <is>
          <t>J</t>
        </is>
      </c>
      <c r="K435" s="141" t="inlineStr">
        <is>
          <t>I</t>
        </is>
      </c>
    </row>
    <row r="436" ht="12.75" customHeight="1">
      <c r="A436" s="141" t="n">
        <v>435</v>
      </c>
      <c r="B436" s="141" t="inlineStr">
        <is>
          <t>ABCDGHKL</t>
        </is>
      </c>
      <c r="C436" s="141" t="inlineStr">
        <is>
          <t>A,B,C,D,G,H,K,L</t>
        </is>
      </c>
      <c r="D436" s="141" t="inlineStr">
        <is>
          <t>C</t>
        </is>
      </c>
      <c r="E436" s="141" t="inlineStr">
        <is>
          <t>D</t>
        </is>
      </c>
      <c r="F436" s="141" t="inlineStr">
        <is>
          <t>H</t>
        </is>
      </c>
      <c r="G436" s="141" t="inlineStr">
        <is>
          <t>K</t>
        </is>
      </c>
      <c r="H436" s="141" t="inlineStr">
        <is>
          <t>B</t>
        </is>
      </c>
      <c r="I436" s="141" t="inlineStr">
        <is>
          <t>A</t>
        </is>
      </c>
      <c r="J436" s="141" t="inlineStr">
        <is>
          <t>G</t>
        </is>
      </c>
      <c r="K436" s="141" t="inlineStr">
        <is>
          <t>L</t>
        </is>
      </c>
    </row>
    <row r="437" ht="12.75" customHeight="1">
      <c r="A437" s="141" t="n">
        <v>436</v>
      </c>
      <c r="B437" s="141" t="inlineStr">
        <is>
          <t>ABCDGHJL</t>
        </is>
      </c>
      <c r="C437" s="141" t="inlineStr">
        <is>
          <t>A,B,C,D,G,H,J,L</t>
        </is>
      </c>
      <c r="D437" s="141" t="inlineStr">
        <is>
          <t>C</t>
        </is>
      </c>
      <c r="E437" s="141" t="inlineStr">
        <is>
          <t>D</t>
        </is>
      </c>
      <c r="F437" s="141" t="inlineStr">
        <is>
          <t>H</t>
        </is>
      </c>
      <c r="G437" s="141" t="inlineStr">
        <is>
          <t>J</t>
        </is>
      </c>
      <c r="H437" s="141" t="inlineStr">
        <is>
          <t>B</t>
        </is>
      </c>
      <c r="I437" s="141" t="inlineStr">
        <is>
          <t>A</t>
        </is>
      </c>
      <c r="J437" s="141" t="inlineStr">
        <is>
          <t>G</t>
        </is>
      </c>
      <c r="K437" s="141" t="inlineStr">
        <is>
          <t>L</t>
        </is>
      </c>
    </row>
    <row r="438" ht="12.75" customHeight="1">
      <c r="A438" s="141" t="n">
        <v>437</v>
      </c>
      <c r="B438" s="141" t="inlineStr">
        <is>
          <t>ABCDGHJK</t>
        </is>
      </c>
      <c r="C438" s="141" t="inlineStr">
        <is>
          <t>A,B,C,D,G,H,J,K</t>
        </is>
      </c>
      <c r="D438" s="141" t="inlineStr">
        <is>
          <t>C</t>
        </is>
      </c>
      <c r="E438" s="141" t="inlineStr">
        <is>
          <t>D</t>
        </is>
      </c>
      <c r="F438" s="141" t="inlineStr">
        <is>
          <t>H</t>
        </is>
      </c>
      <c r="G438" s="141" t="inlineStr">
        <is>
          <t>K</t>
        </is>
      </c>
      <c r="H438" s="141" t="inlineStr">
        <is>
          <t>B</t>
        </is>
      </c>
      <c r="I438" s="141" t="inlineStr">
        <is>
          <t>A</t>
        </is>
      </c>
      <c r="J438" s="141" t="inlineStr">
        <is>
          <t>G</t>
        </is>
      </c>
      <c r="K438" s="141" t="inlineStr">
        <is>
          <t>J</t>
        </is>
      </c>
    </row>
    <row r="439" ht="12.75" customHeight="1">
      <c r="A439" s="141" t="n">
        <v>438</v>
      </c>
      <c r="B439" s="141" t="inlineStr">
        <is>
          <t>ABCDGHIL</t>
        </is>
      </c>
      <c r="C439" s="141" t="inlineStr">
        <is>
          <t>A,B,C,D,G,H,I,L</t>
        </is>
      </c>
      <c r="D439" s="141" t="inlineStr">
        <is>
          <t>C</t>
        </is>
      </c>
      <c r="E439" s="141" t="inlineStr">
        <is>
          <t>D</t>
        </is>
      </c>
      <c r="F439" s="141" t="inlineStr">
        <is>
          <t>H</t>
        </is>
      </c>
      <c r="G439" s="141" t="inlineStr">
        <is>
          <t>I</t>
        </is>
      </c>
      <c r="H439" s="141" t="inlineStr">
        <is>
          <t>B</t>
        </is>
      </c>
      <c r="I439" s="141" t="inlineStr">
        <is>
          <t>A</t>
        </is>
      </c>
      <c r="J439" s="141" t="inlineStr">
        <is>
          <t>G</t>
        </is>
      </c>
      <c r="K439" s="141" t="inlineStr">
        <is>
          <t>L</t>
        </is>
      </c>
    </row>
    <row r="440" ht="12.75" customHeight="1">
      <c r="A440" s="141" t="n">
        <v>439</v>
      </c>
      <c r="B440" s="141" t="inlineStr">
        <is>
          <t>ABCDGHIK</t>
        </is>
      </c>
      <c r="C440" s="141" t="inlineStr">
        <is>
          <t>A,B,C,D,G,H,I,K</t>
        </is>
      </c>
      <c r="D440" s="141" t="inlineStr">
        <is>
          <t>C</t>
        </is>
      </c>
      <c r="E440" s="141" t="inlineStr">
        <is>
          <t>D</t>
        </is>
      </c>
      <c r="F440" s="141" t="inlineStr">
        <is>
          <t>H</t>
        </is>
      </c>
      <c r="G440" s="141" t="inlineStr">
        <is>
          <t>K</t>
        </is>
      </c>
      <c r="H440" s="141" t="inlineStr">
        <is>
          <t>B</t>
        </is>
      </c>
      <c r="I440" s="141" t="inlineStr">
        <is>
          <t>A</t>
        </is>
      </c>
      <c r="J440" s="141" t="inlineStr">
        <is>
          <t>G</t>
        </is>
      </c>
      <c r="K440" s="141" t="inlineStr">
        <is>
          <t>I</t>
        </is>
      </c>
    </row>
    <row r="441" ht="12.75" customHeight="1">
      <c r="A441" s="141" t="n">
        <v>440</v>
      </c>
      <c r="B441" s="141" t="inlineStr">
        <is>
          <t>ABCDGHIJ</t>
        </is>
      </c>
      <c r="C441" s="141" t="inlineStr">
        <is>
          <t>A,B,C,D,G,H,I,J</t>
        </is>
      </c>
      <c r="D441" s="141" t="inlineStr">
        <is>
          <t>C</t>
        </is>
      </c>
      <c r="E441" s="141" t="inlineStr">
        <is>
          <t>D</t>
        </is>
      </c>
      <c r="F441" s="141" t="inlineStr">
        <is>
          <t>H</t>
        </is>
      </c>
      <c r="G441" s="141" t="inlineStr">
        <is>
          <t>J</t>
        </is>
      </c>
      <c r="H441" s="141" t="inlineStr">
        <is>
          <t>B</t>
        </is>
      </c>
      <c r="I441" s="141" t="inlineStr">
        <is>
          <t>A</t>
        </is>
      </c>
      <c r="J441" s="141" t="inlineStr">
        <is>
          <t>G</t>
        </is>
      </c>
      <c r="K441" s="141" t="inlineStr">
        <is>
          <t>I</t>
        </is>
      </c>
    </row>
    <row r="442" ht="12.75" customHeight="1">
      <c r="A442" s="141" t="n">
        <v>441</v>
      </c>
      <c r="B442" s="141" t="inlineStr">
        <is>
          <t>ABCDFJKL</t>
        </is>
      </c>
      <c r="C442" s="141" t="inlineStr">
        <is>
          <t>A,B,C,D,F,J,K,L</t>
        </is>
      </c>
      <c r="D442" s="141" t="inlineStr">
        <is>
          <t>D</t>
        </is>
      </c>
      <c r="E442" s="141" t="inlineStr">
        <is>
          <t>F</t>
        </is>
      </c>
      <c r="F442" s="141" t="inlineStr">
        <is>
          <t>C</t>
        </is>
      </c>
      <c r="G442" s="141" t="inlineStr">
        <is>
          <t>K</t>
        </is>
      </c>
      <c r="H442" s="141" t="inlineStr">
        <is>
          <t>B</t>
        </is>
      </c>
      <c r="I442" s="141" t="inlineStr">
        <is>
          <t>A</t>
        </is>
      </c>
      <c r="J442" s="141" t="inlineStr">
        <is>
          <t>J</t>
        </is>
      </c>
      <c r="K442" s="141" t="inlineStr">
        <is>
          <t>L</t>
        </is>
      </c>
    </row>
    <row r="443" ht="12.75" customHeight="1">
      <c r="A443" s="141" t="n">
        <v>442</v>
      </c>
      <c r="B443" s="141" t="inlineStr">
        <is>
          <t>ABCDFIKL</t>
        </is>
      </c>
      <c r="C443" s="141" t="inlineStr">
        <is>
          <t>A,B,C,D,F,I,K,L</t>
        </is>
      </c>
      <c r="D443" s="141" t="inlineStr">
        <is>
          <t>D</t>
        </is>
      </c>
      <c r="E443" s="141" t="inlineStr">
        <is>
          <t>F</t>
        </is>
      </c>
      <c r="F443" s="141" t="inlineStr">
        <is>
          <t>C</t>
        </is>
      </c>
      <c r="G443" s="141" t="inlineStr">
        <is>
          <t>K</t>
        </is>
      </c>
      <c r="H443" s="141" t="inlineStr">
        <is>
          <t>B</t>
        </is>
      </c>
      <c r="I443" s="141" t="inlineStr">
        <is>
          <t>A</t>
        </is>
      </c>
      <c r="J443" s="141" t="inlineStr">
        <is>
          <t>I</t>
        </is>
      </c>
      <c r="K443" s="141" t="inlineStr">
        <is>
          <t>L</t>
        </is>
      </c>
    </row>
    <row r="444" ht="12.75" customHeight="1">
      <c r="A444" s="141" t="n">
        <v>443</v>
      </c>
      <c r="B444" s="141" t="inlineStr">
        <is>
          <t>ABCDFIJL</t>
        </is>
      </c>
      <c r="C444" s="141" t="inlineStr">
        <is>
          <t>A,B,C,D,F,I,J,L</t>
        </is>
      </c>
      <c r="D444" s="141" t="inlineStr">
        <is>
          <t>D</t>
        </is>
      </c>
      <c r="E444" s="141" t="inlineStr">
        <is>
          <t>F</t>
        </is>
      </c>
      <c r="F444" s="141" t="inlineStr">
        <is>
          <t>C</t>
        </is>
      </c>
      <c r="G444" s="141" t="inlineStr">
        <is>
          <t>I</t>
        </is>
      </c>
      <c r="H444" s="141" t="inlineStr">
        <is>
          <t>B</t>
        </is>
      </c>
      <c r="I444" s="141" t="inlineStr">
        <is>
          <t>A</t>
        </is>
      </c>
      <c r="J444" s="141" t="inlineStr">
        <is>
          <t>J</t>
        </is>
      </c>
      <c r="K444" s="141" t="inlineStr">
        <is>
          <t>L</t>
        </is>
      </c>
    </row>
    <row r="445" ht="12.75" customHeight="1">
      <c r="A445" s="141" t="n">
        <v>444</v>
      </c>
      <c r="B445" s="141" t="inlineStr">
        <is>
          <t>ABCDFIJK</t>
        </is>
      </c>
      <c r="C445" s="141" t="inlineStr">
        <is>
          <t>A,B,C,D,F,I,J,K</t>
        </is>
      </c>
      <c r="D445" s="141" t="inlineStr">
        <is>
          <t>D</t>
        </is>
      </c>
      <c r="E445" s="141" t="inlineStr">
        <is>
          <t>F</t>
        </is>
      </c>
      <c r="F445" s="141" t="inlineStr">
        <is>
          <t>C</t>
        </is>
      </c>
      <c r="G445" s="141" t="inlineStr">
        <is>
          <t>K</t>
        </is>
      </c>
      <c r="H445" s="141" t="inlineStr">
        <is>
          <t>B</t>
        </is>
      </c>
      <c r="I445" s="141" t="inlineStr">
        <is>
          <t>A</t>
        </is>
      </c>
      <c r="J445" s="141" t="inlineStr">
        <is>
          <t>J</t>
        </is>
      </c>
      <c r="K445" s="141" t="inlineStr">
        <is>
          <t>I</t>
        </is>
      </c>
    </row>
    <row r="446" ht="12.75" customHeight="1">
      <c r="A446" s="141" t="n">
        <v>445</v>
      </c>
      <c r="B446" s="141" t="inlineStr">
        <is>
          <t>ABCDFHKL</t>
        </is>
      </c>
      <c r="C446" s="141" t="inlineStr">
        <is>
          <t>A,B,C,D,F,H,K,L</t>
        </is>
      </c>
      <c r="D446" s="141" t="inlineStr">
        <is>
          <t>C</t>
        </is>
      </c>
      <c r="E446" s="141" t="inlineStr">
        <is>
          <t>D</t>
        </is>
      </c>
      <c r="F446" s="141" t="inlineStr">
        <is>
          <t>H</t>
        </is>
      </c>
      <c r="G446" s="141" t="inlineStr">
        <is>
          <t>K</t>
        </is>
      </c>
      <c r="H446" s="141" t="inlineStr">
        <is>
          <t>B</t>
        </is>
      </c>
      <c r="I446" s="141" t="inlineStr">
        <is>
          <t>A</t>
        </is>
      </c>
      <c r="J446" s="141" t="inlineStr">
        <is>
          <t>F</t>
        </is>
      </c>
      <c r="K446" s="141" t="inlineStr">
        <is>
          <t>L</t>
        </is>
      </c>
    </row>
    <row r="447" ht="12.75" customHeight="1">
      <c r="A447" s="141" t="n">
        <v>446</v>
      </c>
      <c r="B447" s="141" t="inlineStr">
        <is>
          <t>ABCDFHJL</t>
        </is>
      </c>
      <c r="C447" s="141" t="inlineStr">
        <is>
          <t>A,B,C,D,F,H,J,L</t>
        </is>
      </c>
      <c r="D447" s="141" t="inlineStr">
        <is>
          <t>D</t>
        </is>
      </c>
      <c r="E447" s="141" t="inlineStr">
        <is>
          <t>F</t>
        </is>
      </c>
      <c r="F447" s="141" t="inlineStr">
        <is>
          <t>C</t>
        </is>
      </c>
      <c r="G447" s="141" t="inlineStr">
        <is>
          <t>H</t>
        </is>
      </c>
      <c r="H447" s="141" t="inlineStr">
        <is>
          <t>B</t>
        </is>
      </c>
      <c r="I447" s="141" t="inlineStr">
        <is>
          <t>A</t>
        </is>
      </c>
      <c r="J447" s="141" t="inlineStr">
        <is>
          <t>J</t>
        </is>
      </c>
      <c r="K447" s="141" t="inlineStr">
        <is>
          <t>L</t>
        </is>
      </c>
    </row>
    <row r="448" ht="12.75" customHeight="1">
      <c r="A448" s="141" t="n">
        <v>447</v>
      </c>
      <c r="B448" s="141" t="inlineStr">
        <is>
          <t>ABCDFHJK</t>
        </is>
      </c>
      <c r="C448" s="141" t="inlineStr">
        <is>
          <t>A,B,C,D,F,H,J,K</t>
        </is>
      </c>
      <c r="D448" s="141" t="inlineStr">
        <is>
          <t>C</t>
        </is>
      </c>
      <c r="E448" s="141" t="inlineStr">
        <is>
          <t>F</t>
        </is>
      </c>
      <c r="F448" s="141" t="inlineStr">
        <is>
          <t>H</t>
        </is>
      </c>
      <c r="G448" s="141" t="inlineStr">
        <is>
          <t>K</t>
        </is>
      </c>
      <c r="H448" s="141" t="inlineStr">
        <is>
          <t>B</t>
        </is>
      </c>
      <c r="I448" s="141" t="inlineStr">
        <is>
          <t>A</t>
        </is>
      </c>
      <c r="J448" s="141" t="inlineStr">
        <is>
          <t>J</t>
        </is>
      </c>
      <c r="K448" s="141" t="inlineStr">
        <is>
          <t>D</t>
        </is>
      </c>
    </row>
    <row r="449" ht="12.75" customHeight="1">
      <c r="A449" s="141" t="n">
        <v>448</v>
      </c>
      <c r="B449" s="141" t="inlineStr">
        <is>
          <t>ABCDFHIL</t>
        </is>
      </c>
      <c r="C449" s="141" t="inlineStr">
        <is>
          <t>A,B,C,D,F,H,I,L</t>
        </is>
      </c>
      <c r="D449" s="141" t="inlineStr">
        <is>
          <t>C</t>
        </is>
      </c>
      <c r="E449" s="141" t="inlineStr">
        <is>
          <t>D</t>
        </is>
      </c>
      <c r="F449" s="141" t="inlineStr">
        <is>
          <t>H</t>
        </is>
      </c>
      <c r="G449" s="141" t="inlineStr">
        <is>
          <t>I</t>
        </is>
      </c>
      <c r="H449" s="141" t="inlineStr">
        <is>
          <t>B</t>
        </is>
      </c>
      <c r="I449" s="141" t="inlineStr">
        <is>
          <t>A</t>
        </is>
      </c>
      <c r="J449" s="141" t="inlineStr">
        <is>
          <t>F</t>
        </is>
      </c>
      <c r="K449" s="141" t="inlineStr">
        <is>
          <t>L</t>
        </is>
      </c>
    </row>
    <row r="450" ht="12.75" customHeight="1">
      <c r="A450" s="141" t="n">
        <v>449</v>
      </c>
      <c r="B450" s="141" t="inlineStr">
        <is>
          <t>ABCDFHIK</t>
        </is>
      </c>
      <c r="C450" s="141" t="inlineStr">
        <is>
          <t>A,B,C,D,F,H,I,K</t>
        </is>
      </c>
      <c r="D450" s="141" t="inlineStr">
        <is>
          <t>C</t>
        </is>
      </c>
      <c r="E450" s="141" t="inlineStr">
        <is>
          <t>D</t>
        </is>
      </c>
      <c r="F450" s="141" t="inlineStr">
        <is>
          <t>H</t>
        </is>
      </c>
      <c r="G450" s="141" t="inlineStr">
        <is>
          <t>K</t>
        </is>
      </c>
      <c r="H450" s="141" t="inlineStr">
        <is>
          <t>B</t>
        </is>
      </c>
      <c r="I450" s="141" t="inlineStr">
        <is>
          <t>A</t>
        </is>
      </c>
      <c r="J450" s="141" t="inlineStr">
        <is>
          <t>F</t>
        </is>
      </c>
      <c r="K450" s="141" t="inlineStr">
        <is>
          <t>I</t>
        </is>
      </c>
    </row>
    <row r="451" ht="12.75" customHeight="1">
      <c r="A451" s="141" t="n">
        <v>450</v>
      </c>
      <c r="B451" s="141" t="inlineStr">
        <is>
          <t>ABCDFHIJ</t>
        </is>
      </c>
      <c r="C451" s="141" t="inlineStr">
        <is>
          <t>A,B,C,D,F,H,I,J</t>
        </is>
      </c>
      <c r="D451" s="141" t="inlineStr">
        <is>
          <t>C</t>
        </is>
      </c>
      <c r="E451" s="141" t="inlineStr">
        <is>
          <t>F</t>
        </is>
      </c>
      <c r="F451" s="141" t="inlineStr">
        <is>
          <t>H</t>
        </is>
      </c>
      <c r="G451" s="141" t="inlineStr">
        <is>
          <t>I</t>
        </is>
      </c>
      <c r="H451" s="141" t="inlineStr">
        <is>
          <t>B</t>
        </is>
      </c>
      <c r="I451" s="141" t="inlineStr">
        <is>
          <t>A</t>
        </is>
      </c>
      <c r="J451" s="141" t="inlineStr">
        <is>
          <t>J</t>
        </is>
      </c>
      <c r="K451" s="141" t="inlineStr">
        <is>
          <t>D</t>
        </is>
      </c>
    </row>
    <row r="452" ht="12.75" customHeight="1">
      <c r="A452" s="141" t="n">
        <v>451</v>
      </c>
      <c r="B452" s="141" t="inlineStr">
        <is>
          <t>ABCDFGKL</t>
        </is>
      </c>
      <c r="C452" s="141" t="inlineStr">
        <is>
          <t>A,B,C,D,F,G,K,L</t>
        </is>
      </c>
      <c r="D452" s="141" t="inlineStr">
        <is>
          <t>D</t>
        </is>
      </c>
      <c r="E452" s="141" t="inlineStr">
        <is>
          <t>F</t>
        </is>
      </c>
      <c r="F452" s="141" t="inlineStr">
        <is>
          <t>C</t>
        </is>
      </c>
      <c r="G452" s="141" t="inlineStr">
        <is>
          <t>K</t>
        </is>
      </c>
      <c r="H452" s="141" t="inlineStr">
        <is>
          <t>B</t>
        </is>
      </c>
      <c r="I452" s="141" t="inlineStr">
        <is>
          <t>A</t>
        </is>
      </c>
      <c r="J452" s="141" t="inlineStr">
        <is>
          <t>G</t>
        </is>
      </c>
      <c r="K452" s="141" t="inlineStr">
        <is>
          <t>L</t>
        </is>
      </c>
    </row>
    <row r="453" ht="12.75" customHeight="1">
      <c r="A453" s="141" t="n">
        <v>452</v>
      </c>
      <c r="B453" s="141" t="inlineStr">
        <is>
          <t>ABCDFGJL</t>
        </is>
      </c>
      <c r="C453" s="141" t="inlineStr">
        <is>
          <t>A,B,C,D,F,G,J,L</t>
        </is>
      </c>
      <c r="D453" s="141" t="inlineStr">
        <is>
          <t>D</t>
        </is>
      </c>
      <c r="E453" s="141" t="inlineStr">
        <is>
          <t>F</t>
        </is>
      </c>
      <c r="F453" s="141" t="inlineStr">
        <is>
          <t>C</t>
        </is>
      </c>
      <c r="G453" s="141" t="inlineStr">
        <is>
          <t>J</t>
        </is>
      </c>
      <c r="H453" s="141" t="inlineStr">
        <is>
          <t>B</t>
        </is>
      </c>
      <c r="I453" s="141" t="inlineStr">
        <is>
          <t>A</t>
        </is>
      </c>
      <c r="J453" s="141" t="inlineStr">
        <is>
          <t>G</t>
        </is>
      </c>
      <c r="K453" s="141" t="inlineStr">
        <is>
          <t>L</t>
        </is>
      </c>
    </row>
    <row r="454" ht="12.75" customHeight="1">
      <c r="A454" s="141" t="n">
        <v>453</v>
      </c>
      <c r="B454" s="141" t="inlineStr">
        <is>
          <t>ABCDFGJK</t>
        </is>
      </c>
      <c r="C454" s="141" t="inlineStr">
        <is>
          <t>A,B,C,D,F,G,J,K</t>
        </is>
      </c>
      <c r="D454" s="141" t="inlineStr">
        <is>
          <t>D</t>
        </is>
      </c>
      <c r="E454" s="141" t="inlineStr">
        <is>
          <t>F</t>
        </is>
      </c>
      <c r="F454" s="141" t="inlineStr">
        <is>
          <t>C</t>
        </is>
      </c>
      <c r="G454" s="141" t="inlineStr">
        <is>
          <t>K</t>
        </is>
      </c>
      <c r="H454" s="141" t="inlineStr">
        <is>
          <t>B</t>
        </is>
      </c>
      <c r="I454" s="141" t="inlineStr">
        <is>
          <t>A</t>
        </is>
      </c>
      <c r="J454" s="141" t="inlineStr">
        <is>
          <t>G</t>
        </is>
      </c>
      <c r="K454" s="141" t="inlineStr">
        <is>
          <t>J</t>
        </is>
      </c>
    </row>
    <row r="455" ht="12.75" customHeight="1">
      <c r="A455" s="141" t="n">
        <v>454</v>
      </c>
      <c r="B455" s="141" t="inlineStr">
        <is>
          <t>ABCDFGIL</t>
        </is>
      </c>
      <c r="C455" s="141" t="inlineStr">
        <is>
          <t>A,B,C,D,F,G,I,L</t>
        </is>
      </c>
      <c r="D455" s="141" t="inlineStr">
        <is>
          <t>D</t>
        </is>
      </c>
      <c r="E455" s="141" t="inlineStr">
        <is>
          <t>F</t>
        </is>
      </c>
      <c r="F455" s="141" t="inlineStr">
        <is>
          <t>C</t>
        </is>
      </c>
      <c r="G455" s="141" t="inlineStr">
        <is>
          <t>I</t>
        </is>
      </c>
      <c r="H455" s="141" t="inlineStr">
        <is>
          <t>B</t>
        </is>
      </c>
      <c r="I455" s="141" t="inlineStr">
        <is>
          <t>A</t>
        </is>
      </c>
      <c r="J455" s="141" t="inlineStr">
        <is>
          <t>G</t>
        </is>
      </c>
      <c r="K455" s="141" t="inlineStr">
        <is>
          <t>L</t>
        </is>
      </c>
    </row>
    <row r="456" ht="12.75" customHeight="1">
      <c r="A456" s="141" t="n">
        <v>455</v>
      </c>
      <c r="B456" s="141" t="inlineStr">
        <is>
          <t>ABCDFGIK</t>
        </is>
      </c>
      <c r="C456" s="141" t="inlineStr">
        <is>
          <t>A,B,C,D,F,G,I,K</t>
        </is>
      </c>
      <c r="D456" s="141" t="inlineStr">
        <is>
          <t>D</t>
        </is>
      </c>
      <c r="E456" s="141" t="inlineStr">
        <is>
          <t>F</t>
        </is>
      </c>
      <c r="F456" s="141" t="inlineStr">
        <is>
          <t>C</t>
        </is>
      </c>
      <c r="G456" s="141" t="inlineStr">
        <is>
          <t>K</t>
        </is>
      </c>
      <c r="H456" s="141" t="inlineStr">
        <is>
          <t>B</t>
        </is>
      </c>
      <c r="I456" s="141" t="inlineStr">
        <is>
          <t>A</t>
        </is>
      </c>
      <c r="J456" s="141" t="inlineStr">
        <is>
          <t>G</t>
        </is>
      </c>
      <c r="K456" s="141" t="inlineStr">
        <is>
          <t>I</t>
        </is>
      </c>
    </row>
    <row r="457" ht="12.75" customHeight="1">
      <c r="A457" s="141" t="n">
        <v>456</v>
      </c>
      <c r="B457" s="141" t="inlineStr">
        <is>
          <t>ABCDFGIJ</t>
        </is>
      </c>
      <c r="C457" s="141" t="inlineStr">
        <is>
          <t>A,B,C,D,F,G,I,J</t>
        </is>
      </c>
      <c r="D457" s="141" t="inlineStr">
        <is>
          <t>D</t>
        </is>
      </c>
      <c r="E457" s="141" t="inlineStr">
        <is>
          <t>F</t>
        </is>
      </c>
      <c r="F457" s="141" t="inlineStr">
        <is>
          <t>C</t>
        </is>
      </c>
      <c r="G457" s="141" t="inlineStr">
        <is>
          <t>J</t>
        </is>
      </c>
      <c r="H457" s="141" t="inlineStr">
        <is>
          <t>B</t>
        </is>
      </c>
      <c r="I457" s="141" t="inlineStr">
        <is>
          <t>A</t>
        </is>
      </c>
      <c r="J457" s="141" t="inlineStr">
        <is>
          <t>G</t>
        </is>
      </c>
      <c r="K457" s="141" t="inlineStr">
        <is>
          <t>I</t>
        </is>
      </c>
    </row>
    <row r="458" ht="12.75" customHeight="1">
      <c r="A458" s="141" t="n">
        <v>457</v>
      </c>
      <c r="B458" s="141" t="inlineStr">
        <is>
          <t>ABCDFGHL</t>
        </is>
      </c>
      <c r="C458" s="141" t="inlineStr">
        <is>
          <t>A,B,C,D,F,G,H,L</t>
        </is>
      </c>
      <c r="D458" s="141" t="inlineStr">
        <is>
          <t>D</t>
        </is>
      </c>
      <c r="E458" s="141" t="inlineStr">
        <is>
          <t>F</t>
        </is>
      </c>
      <c r="F458" s="141" t="inlineStr">
        <is>
          <t>C</t>
        </is>
      </c>
      <c r="G458" s="141" t="inlineStr">
        <is>
          <t>H</t>
        </is>
      </c>
      <c r="H458" s="141" t="inlineStr">
        <is>
          <t>B</t>
        </is>
      </c>
      <c r="I458" s="141" t="inlineStr">
        <is>
          <t>A</t>
        </is>
      </c>
      <c r="J458" s="141" t="inlineStr">
        <is>
          <t>G</t>
        </is>
      </c>
      <c r="K458" s="141" t="inlineStr">
        <is>
          <t>L</t>
        </is>
      </c>
    </row>
    <row r="459" ht="12.75" customHeight="1">
      <c r="A459" s="141" t="n">
        <v>458</v>
      </c>
      <c r="B459" s="141" t="inlineStr">
        <is>
          <t>ABCDFGHK</t>
        </is>
      </c>
      <c r="C459" s="141" t="inlineStr">
        <is>
          <t>A,B,C,D,F,G,H,K</t>
        </is>
      </c>
      <c r="D459" s="141" t="inlineStr">
        <is>
          <t>C</t>
        </is>
      </c>
      <c r="E459" s="141" t="inlineStr">
        <is>
          <t>F</t>
        </is>
      </c>
      <c r="F459" s="141" t="inlineStr">
        <is>
          <t>H</t>
        </is>
      </c>
      <c r="G459" s="141" t="inlineStr">
        <is>
          <t>K</t>
        </is>
      </c>
      <c r="H459" s="141" t="inlineStr">
        <is>
          <t>B</t>
        </is>
      </c>
      <c r="I459" s="141" t="inlineStr">
        <is>
          <t>A</t>
        </is>
      </c>
      <c r="J459" s="141" t="inlineStr">
        <is>
          <t>G</t>
        </is>
      </c>
      <c r="K459" s="141" t="inlineStr">
        <is>
          <t>D</t>
        </is>
      </c>
    </row>
    <row r="460" ht="12.75" customHeight="1">
      <c r="A460" s="141" t="n">
        <v>459</v>
      </c>
      <c r="B460" s="141" t="inlineStr">
        <is>
          <t>ABCDFGHJ</t>
        </is>
      </c>
      <c r="C460" s="141" t="inlineStr">
        <is>
          <t>A,B,C,D,F,G,H,J</t>
        </is>
      </c>
      <c r="D460" s="141" t="inlineStr">
        <is>
          <t>C</t>
        </is>
      </c>
      <c r="E460" s="141" t="inlineStr">
        <is>
          <t>F</t>
        </is>
      </c>
      <c r="F460" s="141" t="inlineStr">
        <is>
          <t>H</t>
        </is>
      </c>
      <c r="G460" s="141" t="inlineStr">
        <is>
          <t>J</t>
        </is>
      </c>
      <c r="H460" s="141" t="inlineStr">
        <is>
          <t>B</t>
        </is>
      </c>
      <c r="I460" s="141" t="inlineStr">
        <is>
          <t>A</t>
        </is>
      </c>
      <c r="J460" s="141" t="inlineStr">
        <is>
          <t>G</t>
        </is>
      </c>
      <c r="K460" s="141" t="inlineStr">
        <is>
          <t>D</t>
        </is>
      </c>
    </row>
    <row r="461" ht="12.75" customHeight="1">
      <c r="A461" s="141" t="n">
        <v>460</v>
      </c>
      <c r="B461" s="141" t="inlineStr">
        <is>
          <t>ABCDFGHI</t>
        </is>
      </c>
      <c r="C461" s="141" t="inlineStr">
        <is>
          <t>A,B,C,D,F,G,H,I</t>
        </is>
      </c>
      <c r="D461" s="141" t="inlineStr">
        <is>
          <t>C</t>
        </is>
      </c>
      <c r="E461" s="141" t="inlineStr">
        <is>
          <t>F</t>
        </is>
      </c>
      <c r="F461" s="141" t="inlineStr">
        <is>
          <t>H</t>
        </is>
      </c>
      <c r="G461" s="141" t="inlineStr">
        <is>
          <t>I</t>
        </is>
      </c>
      <c r="H461" s="141" t="inlineStr">
        <is>
          <t>B</t>
        </is>
      </c>
      <c r="I461" s="141" t="inlineStr">
        <is>
          <t>A</t>
        </is>
      </c>
      <c r="J461" s="141" t="inlineStr">
        <is>
          <t>G</t>
        </is>
      </c>
      <c r="K461" s="141" t="inlineStr">
        <is>
          <t>D</t>
        </is>
      </c>
    </row>
    <row r="462" ht="12.75" customHeight="1">
      <c r="A462" s="141" t="n">
        <v>461</v>
      </c>
      <c r="B462" s="141" t="inlineStr">
        <is>
          <t>ABCDEJKL</t>
        </is>
      </c>
      <c r="C462" s="141" t="inlineStr">
        <is>
          <t>A,B,C,D,E,J,K,L</t>
        </is>
      </c>
      <c r="D462" s="141" t="inlineStr">
        <is>
          <t>C</t>
        </is>
      </c>
      <c r="E462" s="141" t="inlineStr">
        <is>
          <t>D</t>
        </is>
      </c>
      <c r="F462" s="141" t="inlineStr">
        <is>
          <t>E</t>
        </is>
      </c>
      <c r="G462" s="141" t="inlineStr">
        <is>
          <t>K</t>
        </is>
      </c>
      <c r="H462" s="141" t="inlineStr">
        <is>
          <t>B</t>
        </is>
      </c>
      <c r="I462" s="141" t="inlineStr">
        <is>
          <t>A</t>
        </is>
      </c>
      <c r="J462" s="141" t="inlineStr">
        <is>
          <t>J</t>
        </is>
      </c>
      <c r="K462" s="141" t="inlineStr">
        <is>
          <t>L</t>
        </is>
      </c>
    </row>
    <row r="463" ht="12.75" customHeight="1">
      <c r="A463" s="141" t="n">
        <v>462</v>
      </c>
      <c r="B463" s="141" t="inlineStr">
        <is>
          <t>ABCDEIKL</t>
        </is>
      </c>
      <c r="C463" s="141" t="inlineStr">
        <is>
          <t>A,B,C,D,E,I,K,L</t>
        </is>
      </c>
      <c r="D463" s="141" t="inlineStr">
        <is>
          <t>C</t>
        </is>
      </c>
      <c r="E463" s="141" t="inlineStr">
        <is>
          <t>D</t>
        </is>
      </c>
      <c r="F463" s="141" t="inlineStr">
        <is>
          <t>E</t>
        </is>
      </c>
      <c r="G463" s="141" t="inlineStr">
        <is>
          <t>K</t>
        </is>
      </c>
      <c r="H463" s="141" t="inlineStr">
        <is>
          <t>B</t>
        </is>
      </c>
      <c r="I463" s="141" t="inlineStr">
        <is>
          <t>A</t>
        </is>
      </c>
      <c r="J463" s="141" t="inlineStr">
        <is>
          <t>I</t>
        </is>
      </c>
      <c r="K463" s="141" t="inlineStr">
        <is>
          <t>L</t>
        </is>
      </c>
    </row>
    <row r="464" ht="12.75" customHeight="1">
      <c r="A464" s="141" t="n">
        <v>463</v>
      </c>
      <c r="B464" s="141" t="inlineStr">
        <is>
          <t>ABCDEIJL</t>
        </is>
      </c>
      <c r="C464" s="141" t="inlineStr">
        <is>
          <t>A,B,C,D,E,I,J,L</t>
        </is>
      </c>
      <c r="D464" s="141" t="inlineStr">
        <is>
          <t>C</t>
        </is>
      </c>
      <c r="E464" s="141" t="inlineStr">
        <is>
          <t>D</t>
        </is>
      </c>
      <c r="F464" s="141" t="inlineStr">
        <is>
          <t>E</t>
        </is>
      </c>
      <c r="G464" s="141" t="inlineStr">
        <is>
          <t>I</t>
        </is>
      </c>
      <c r="H464" s="141" t="inlineStr">
        <is>
          <t>B</t>
        </is>
      </c>
      <c r="I464" s="141" t="inlineStr">
        <is>
          <t>A</t>
        </is>
      </c>
      <c r="J464" s="141" t="inlineStr">
        <is>
          <t>J</t>
        </is>
      </c>
      <c r="K464" s="141" t="inlineStr">
        <is>
          <t>L</t>
        </is>
      </c>
    </row>
    <row r="465" ht="12.75" customHeight="1">
      <c r="A465" s="141" t="n">
        <v>464</v>
      </c>
      <c r="B465" s="141" t="inlineStr">
        <is>
          <t>ABCDEIJK</t>
        </is>
      </c>
      <c r="C465" s="141" t="inlineStr">
        <is>
          <t>A,B,C,D,E,I,J,K</t>
        </is>
      </c>
      <c r="D465" s="141" t="inlineStr">
        <is>
          <t>C</t>
        </is>
      </c>
      <c r="E465" s="141" t="inlineStr">
        <is>
          <t>D</t>
        </is>
      </c>
      <c r="F465" s="141" t="inlineStr">
        <is>
          <t>E</t>
        </is>
      </c>
      <c r="G465" s="141" t="inlineStr">
        <is>
          <t>K</t>
        </is>
      </c>
      <c r="H465" s="141" t="inlineStr">
        <is>
          <t>B</t>
        </is>
      </c>
      <c r="I465" s="141" t="inlineStr">
        <is>
          <t>A</t>
        </is>
      </c>
      <c r="J465" s="141" t="inlineStr">
        <is>
          <t>J</t>
        </is>
      </c>
      <c r="K465" s="141" t="inlineStr">
        <is>
          <t>I</t>
        </is>
      </c>
    </row>
    <row r="466" ht="12.75" customHeight="1">
      <c r="A466" s="141" t="n">
        <v>465</v>
      </c>
      <c r="B466" s="141" t="inlineStr">
        <is>
          <t>ABCDEHKL</t>
        </is>
      </c>
      <c r="C466" s="141" t="inlineStr">
        <is>
          <t>A,B,C,D,E,H,K,L</t>
        </is>
      </c>
      <c r="D466" s="141" t="inlineStr">
        <is>
          <t>C</t>
        </is>
      </c>
      <c r="E466" s="141" t="inlineStr">
        <is>
          <t>D</t>
        </is>
      </c>
      <c r="F466" s="141" t="inlineStr">
        <is>
          <t>H</t>
        </is>
      </c>
      <c r="G466" s="141" t="inlineStr">
        <is>
          <t>K</t>
        </is>
      </c>
      <c r="H466" s="141" t="inlineStr">
        <is>
          <t>B</t>
        </is>
      </c>
      <c r="I466" s="141" t="inlineStr">
        <is>
          <t>A</t>
        </is>
      </c>
      <c r="J466" s="141" t="inlineStr">
        <is>
          <t>E</t>
        </is>
      </c>
      <c r="K466" s="141" t="inlineStr">
        <is>
          <t>L</t>
        </is>
      </c>
    </row>
    <row r="467" ht="12.75" customHeight="1">
      <c r="A467" s="141" t="n">
        <v>466</v>
      </c>
      <c r="B467" s="141" t="inlineStr">
        <is>
          <t>ABCDEHJL</t>
        </is>
      </c>
      <c r="C467" s="141" t="inlineStr">
        <is>
          <t>A,B,C,D,E,H,J,L</t>
        </is>
      </c>
      <c r="D467" s="141" t="inlineStr">
        <is>
          <t>C</t>
        </is>
      </c>
      <c r="E467" s="141" t="inlineStr">
        <is>
          <t>D</t>
        </is>
      </c>
      <c r="F467" s="141" t="inlineStr">
        <is>
          <t>H</t>
        </is>
      </c>
      <c r="G467" s="141" t="inlineStr">
        <is>
          <t>E</t>
        </is>
      </c>
      <c r="H467" s="141" t="inlineStr">
        <is>
          <t>B</t>
        </is>
      </c>
      <c r="I467" s="141" t="inlineStr">
        <is>
          <t>A</t>
        </is>
      </c>
      <c r="J467" s="141" t="inlineStr">
        <is>
          <t>J</t>
        </is>
      </c>
      <c r="K467" s="141" t="inlineStr">
        <is>
          <t>L</t>
        </is>
      </c>
    </row>
    <row r="468" ht="12.75" customHeight="1">
      <c r="A468" s="141" t="n">
        <v>467</v>
      </c>
      <c r="B468" s="141" t="inlineStr">
        <is>
          <t>ABCDEHJK</t>
        </is>
      </c>
      <c r="C468" s="141" t="inlineStr">
        <is>
          <t>A,B,C,D,E,H,J,K</t>
        </is>
      </c>
      <c r="D468" s="141" t="inlineStr">
        <is>
          <t>C</t>
        </is>
      </c>
      <c r="E468" s="141" t="inlineStr">
        <is>
          <t>D</t>
        </is>
      </c>
      <c r="F468" s="141" t="inlineStr">
        <is>
          <t>H</t>
        </is>
      </c>
      <c r="G468" s="141" t="inlineStr">
        <is>
          <t>K</t>
        </is>
      </c>
      <c r="H468" s="141" t="inlineStr">
        <is>
          <t>B</t>
        </is>
      </c>
      <c r="I468" s="141" t="inlineStr">
        <is>
          <t>A</t>
        </is>
      </c>
      <c r="J468" s="141" t="inlineStr">
        <is>
          <t>J</t>
        </is>
      </c>
      <c r="K468" s="141" t="inlineStr">
        <is>
          <t>E</t>
        </is>
      </c>
    </row>
    <row r="469" ht="12.75" customHeight="1">
      <c r="A469" s="141" t="n">
        <v>468</v>
      </c>
      <c r="B469" s="141" t="inlineStr">
        <is>
          <t>ABCDEHIL</t>
        </is>
      </c>
      <c r="C469" s="141" t="inlineStr">
        <is>
          <t>A,B,C,D,E,H,I,L</t>
        </is>
      </c>
      <c r="D469" s="141" t="inlineStr">
        <is>
          <t>C</t>
        </is>
      </c>
      <c r="E469" s="141" t="inlineStr">
        <is>
          <t>D</t>
        </is>
      </c>
      <c r="F469" s="141" t="inlineStr">
        <is>
          <t>H</t>
        </is>
      </c>
      <c r="G469" s="141" t="inlineStr">
        <is>
          <t>I</t>
        </is>
      </c>
      <c r="H469" s="141" t="inlineStr">
        <is>
          <t>B</t>
        </is>
      </c>
      <c r="I469" s="141" t="inlineStr">
        <is>
          <t>A</t>
        </is>
      </c>
      <c r="J469" s="141" t="inlineStr">
        <is>
          <t>E</t>
        </is>
      </c>
      <c r="K469" s="141" t="inlineStr">
        <is>
          <t>L</t>
        </is>
      </c>
    </row>
    <row r="470" ht="12.75" customHeight="1">
      <c r="A470" s="141" t="n">
        <v>469</v>
      </c>
      <c r="B470" s="141" t="inlineStr">
        <is>
          <t>ABCDEHIK</t>
        </is>
      </c>
      <c r="C470" s="141" t="inlineStr">
        <is>
          <t>A,B,C,D,E,H,I,K</t>
        </is>
      </c>
      <c r="D470" s="141" t="inlineStr">
        <is>
          <t>C</t>
        </is>
      </c>
      <c r="E470" s="141" t="inlineStr">
        <is>
          <t>D</t>
        </is>
      </c>
      <c r="F470" s="141" t="inlineStr">
        <is>
          <t>H</t>
        </is>
      </c>
      <c r="G470" s="141" t="inlineStr">
        <is>
          <t>K</t>
        </is>
      </c>
      <c r="H470" s="141" t="inlineStr">
        <is>
          <t>B</t>
        </is>
      </c>
      <c r="I470" s="141" t="inlineStr">
        <is>
          <t>A</t>
        </is>
      </c>
      <c r="J470" s="141" t="inlineStr">
        <is>
          <t>E</t>
        </is>
      </c>
      <c r="K470" s="141" t="inlineStr">
        <is>
          <t>I</t>
        </is>
      </c>
    </row>
    <row r="471" ht="12.75" customHeight="1">
      <c r="A471" s="141" t="n">
        <v>470</v>
      </c>
      <c r="B471" s="141" t="inlineStr">
        <is>
          <t>ABCDEHIJ</t>
        </is>
      </c>
      <c r="C471" s="141" t="inlineStr">
        <is>
          <t>A,B,C,D,E,H,I,J</t>
        </is>
      </c>
      <c r="D471" s="141" t="inlineStr">
        <is>
          <t>C</t>
        </is>
      </c>
      <c r="E471" s="141" t="inlineStr">
        <is>
          <t>D</t>
        </is>
      </c>
      <c r="F471" s="141" t="inlineStr">
        <is>
          <t>H</t>
        </is>
      </c>
      <c r="G471" s="141" t="inlineStr">
        <is>
          <t>I</t>
        </is>
      </c>
      <c r="H471" s="141" t="inlineStr">
        <is>
          <t>B</t>
        </is>
      </c>
      <c r="I471" s="141" t="inlineStr">
        <is>
          <t>A</t>
        </is>
      </c>
      <c r="J471" s="141" t="inlineStr">
        <is>
          <t>J</t>
        </is>
      </c>
      <c r="K471" s="141" t="inlineStr">
        <is>
          <t>E</t>
        </is>
      </c>
    </row>
    <row r="472" ht="12.75" customHeight="1">
      <c r="A472" s="141" t="n">
        <v>471</v>
      </c>
      <c r="B472" s="141" t="inlineStr">
        <is>
          <t>ABCDEGKL</t>
        </is>
      </c>
      <c r="C472" s="141" t="inlineStr">
        <is>
          <t>A,B,C,D,E,G,K,L</t>
        </is>
      </c>
      <c r="D472" s="141" t="inlineStr">
        <is>
          <t>C</t>
        </is>
      </c>
      <c r="E472" s="141" t="inlineStr">
        <is>
          <t>D</t>
        </is>
      </c>
      <c r="F472" s="141" t="inlineStr">
        <is>
          <t>E</t>
        </is>
      </c>
      <c r="G472" s="141" t="inlineStr">
        <is>
          <t>K</t>
        </is>
      </c>
      <c r="H472" s="141" t="inlineStr">
        <is>
          <t>B</t>
        </is>
      </c>
      <c r="I472" s="141" t="inlineStr">
        <is>
          <t>A</t>
        </is>
      </c>
      <c r="J472" s="141" t="inlineStr">
        <is>
          <t>G</t>
        </is>
      </c>
      <c r="K472" s="141" t="inlineStr">
        <is>
          <t>L</t>
        </is>
      </c>
    </row>
    <row r="473" ht="12.75" customHeight="1">
      <c r="A473" s="141" t="n">
        <v>472</v>
      </c>
      <c r="B473" s="141" t="inlineStr">
        <is>
          <t>ABCDEGJL</t>
        </is>
      </c>
      <c r="C473" s="141" t="inlineStr">
        <is>
          <t>A,B,C,D,E,G,J,L</t>
        </is>
      </c>
      <c r="D473" s="141" t="inlineStr">
        <is>
          <t>C</t>
        </is>
      </c>
      <c r="E473" s="141" t="inlineStr">
        <is>
          <t>D</t>
        </is>
      </c>
      <c r="F473" s="141" t="inlineStr">
        <is>
          <t>E</t>
        </is>
      </c>
      <c r="G473" s="141" t="inlineStr">
        <is>
          <t>J</t>
        </is>
      </c>
      <c r="H473" s="141" t="inlineStr">
        <is>
          <t>B</t>
        </is>
      </c>
      <c r="I473" s="141" t="inlineStr">
        <is>
          <t>A</t>
        </is>
      </c>
      <c r="J473" s="141" t="inlineStr">
        <is>
          <t>G</t>
        </is>
      </c>
      <c r="K473" s="141" t="inlineStr">
        <is>
          <t>L</t>
        </is>
      </c>
    </row>
    <row r="474" ht="12.75" customHeight="1">
      <c r="A474" s="141" t="n">
        <v>473</v>
      </c>
      <c r="B474" s="141" t="inlineStr">
        <is>
          <t>ABCDEGJK</t>
        </is>
      </c>
      <c r="C474" s="141" t="inlineStr">
        <is>
          <t>A,B,C,D,E,G,J,K</t>
        </is>
      </c>
      <c r="D474" s="141" t="inlineStr">
        <is>
          <t>C</t>
        </is>
      </c>
      <c r="E474" s="141" t="inlineStr">
        <is>
          <t>D</t>
        </is>
      </c>
      <c r="F474" s="141" t="inlineStr">
        <is>
          <t>E</t>
        </is>
      </c>
      <c r="G474" s="141" t="inlineStr">
        <is>
          <t>K</t>
        </is>
      </c>
      <c r="H474" s="141" t="inlineStr">
        <is>
          <t>B</t>
        </is>
      </c>
      <c r="I474" s="141" t="inlineStr">
        <is>
          <t>A</t>
        </is>
      </c>
      <c r="J474" s="141" t="inlineStr">
        <is>
          <t>G</t>
        </is>
      </c>
      <c r="K474" s="141" t="inlineStr">
        <is>
          <t>J</t>
        </is>
      </c>
    </row>
    <row r="475" ht="12.75" customHeight="1">
      <c r="A475" s="141" t="n">
        <v>474</v>
      </c>
      <c r="B475" s="141" t="inlineStr">
        <is>
          <t>ABCDEGIL</t>
        </is>
      </c>
      <c r="C475" s="141" t="inlineStr">
        <is>
          <t>A,B,C,D,E,G,I,L</t>
        </is>
      </c>
      <c r="D475" s="141" t="inlineStr">
        <is>
          <t>C</t>
        </is>
      </c>
      <c r="E475" s="141" t="inlineStr">
        <is>
          <t>D</t>
        </is>
      </c>
      <c r="F475" s="141" t="inlineStr">
        <is>
          <t>E</t>
        </is>
      </c>
      <c r="G475" s="141" t="inlineStr">
        <is>
          <t>I</t>
        </is>
      </c>
      <c r="H475" s="141" t="inlineStr">
        <is>
          <t>B</t>
        </is>
      </c>
      <c r="I475" s="141" t="inlineStr">
        <is>
          <t>A</t>
        </is>
      </c>
      <c r="J475" s="141" t="inlineStr">
        <is>
          <t>G</t>
        </is>
      </c>
      <c r="K475" s="141" t="inlineStr">
        <is>
          <t>L</t>
        </is>
      </c>
    </row>
    <row r="476" ht="12.75" customHeight="1">
      <c r="A476" s="141" t="n">
        <v>475</v>
      </c>
      <c r="B476" s="141" t="inlineStr">
        <is>
          <t>ABCDEGIK</t>
        </is>
      </c>
      <c r="C476" s="141" t="inlineStr">
        <is>
          <t>A,B,C,D,E,G,I,K</t>
        </is>
      </c>
      <c r="D476" s="141" t="inlineStr">
        <is>
          <t>C</t>
        </is>
      </c>
      <c r="E476" s="141" t="inlineStr">
        <is>
          <t>D</t>
        </is>
      </c>
      <c r="F476" s="141" t="inlineStr">
        <is>
          <t>E</t>
        </is>
      </c>
      <c r="G476" s="141" t="inlineStr">
        <is>
          <t>K</t>
        </is>
      </c>
      <c r="H476" s="141" t="inlineStr">
        <is>
          <t>B</t>
        </is>
      </c>
      <c r="I476" s="141" t="inlineStr">
        <is>
          <t>A</t>
        </is>
      </c>
      <c r="J476" s="141" t="inlineStr">
        <is>
          <t>G</t>
        </is>
      </c>
      <c r="K476" s="141" t="inlineStr">
        <is>
          <t>I</t>
        </is>
      </c>
    </row>
    <row r="477" ht="12.75" customHeight="1">
      <c r="A477" s="141" t="n">
        <v>476</v>
      </c>
      <c r="B477" s="141" t="inlineStr">
        <is>
          <t>ABCDEGIJ</t>
        </is>
      </c>
      <c r="C477" s="141" t="inlineStr">
        <is>
          <t>A,B,C,D,E,G,I,J</t>
        </is>
      </c>
      <c r="D477" s="141" t="inlineStr">
        <is>
          <t>C</t>
        </is>
      </c>
      <c r="E477" s="141" t="inlineStr">
        <is>
          <t>D</t>
        </is>
      </c>
      <c r="F477" s="141" t="inlineStr">
        <is>
          <t>E</t>
        </is>
      </c>
      <c r="G477" s="141" t="inlineStr">
        <is>
          <t>J</t>
        </is>
      </c>
      <c r="H477" s="141" t="inlineStr">
        <is>
          <t>B</t>
        </is>
      </c>
      <c r="I477" s="141" t="inlineStr">
        <is>
          <t>A</t>
        </is>
      </c>
      <c r="J477" s="141" t="inlineStr">
        <is>
          <t>G</t>
        </is>
      </c>
      <c r="K477" s="141" t="inlineStr">
        <is>
          <t>I</t>
        </is>
      </c>
    </row>
    <row r="478" ht="12.75" customHeight="1">
      <c r="A478" s="141" t="n">
        <v>477</v>
      </c>
      <c r="B478" s="141" t="inlineStr">
        <is>
          <t>ABCDEGHL</t>
        </is>
      </c>
      <c r="C478" s="141" t="inlineStr">
        <is>
          <t>A,B,C,D,E,G,H,L</t>
        </is>
      </c>
      <c r="D478" s="141" t="inlineStr">
        <is>
          <t>C</t>
        </is>
      </c>
      <c r="E478" s="141" t="inlineStr">
        <is>
          <t>D</t>
        </is>
      </c>
      <c r="F478" s="141" t="inlineStr">
        <is>
          <t>H</t>
        </is>
      </c>
      <c r="G478" s="141" t="inlineStr">
        <is>
          <t>E</t>
        </is>
      </c>
      <c r="H478" s="141" t="inlineStr">
        <is>
          <t>B</t>
        </is>
      </c>
      <c r="I478" s="141" t="inlineStr">
        <is>
          <t>A</t>
        </is>
      </c>
      <c r="J478" s="141" t="inlineStr">
        <is>
          <t>G</t>
        </is>
      </c>
      <c r="K478" s="141" t="inlineStr">
        <is>
          <t>L</t>
        </is>
      </c>
    </row>
    <row r="479" ht="12.75" customHeight="1">
      <c r="A479" s="141" t="n">
        <v>478</v>
      </c>
      <c r="B479" s="141" t="inlineStr">
        <is>
          <t>ABCDEGHK</t>
        </is>
      </c>
      <c r="C479" s="141" t="inlineStr">
        <is>
          <t>A,B,C,D,E,G,H,K</t>
        </is>
      </c>
      <c r="D479" s="141" t="inlineStr">
        <is>
          <t>C</t>
        </is>
      </c>
      <c r="E479" s="141" t="inlineStr">
        <is>
          <t>D</t>
        </is>
      </c>
      <c r="F479" s="141" t="inlineStr">
        <is>
          <t>H</t>
        </is>
      </c>
      <c r="G479" s="141" t="inlineStr">
        <is>
          <t>K</t>
        </is>
      </c>
      <c r="H479" s="141" t="inlineStr">
        <is>
          <t>B</t>
        </is>
      </c>
      <c r="I479" s="141" t="inlineStr">
        <is>
          <t>A</t>
        </is>
      </c>
      <c r="J479" s="141" t="inlineStr">
        <is>
          <t>G</t>
        </is>
      </c>
      <c r="K479" s="141" t="inlineStr">
        <is>
          <t>E</t>
        </is>
      </c>
    </row>
    <row r="480" ht="12.75" customHeight="1">
      <c r="A480" s="141" t="n">
        <v>479</v>
      </c>
      <c r="B480" s="141" t="inlineStr">
        <is>
          <t>ABCDEGHJ</t>
        </is>
      </c>
      <c r="C480" s="141" t="inlineStr">
        <is>
          <t>A,B,C,D,E,G,H,J</t>
        </is>
      </c>
      <c r="D480" s="141" t="inlineStr">
        <is>
          <t>C</t>
        </is>
      </c>
      <c r="E480" s="141" t="inlineStr">
        <is>
          <t>D</t>
        </is>
      </c>
      <c r="F480" s="141" t="inlineStr">
        <is>
          <t>H</t>
        </is>
      </c>
      <c r="G480" s="141" t="inlineStr">
        <is>
          <t>J</t>
        </is>
      </c>
      <c r="H480" s="141" t="inlineStr">
        <is>
          <t>B</t>
        </is>
      </c>
      <c r="I480" s="141" t="inlineStr">
        <is>
          <t>A</t>
        </is>
      </c>
      <c r="J480" s="141" t="inlineStr">
        <is>
          <t>G</t>
        </is>
      </c>
      <c r="K480" s="141" t="inlineStr">
        <is>
          <t>E</t>
        </is>
      </c>
    </row>
    <row r="481" ht="12.75" customHeight="1">
      <c r="A481" s="141" t="n">
        <v>480</v>
      </c>
      <c r="B481" s="141" t="inlineStr">
        <is>
          <t>ABCDEGHI</t>
        </is>
      </c>
      <c r="C481" s="141" t="inlineStr">
        <is>
          <t>A,B,C,D,E,G,H,I</t>
        </is>
      </c>
      <c r="D481" s="141" t="inlineStr">
        <is>
          <t>C</t>
        </is>
      </c>
      <c r="E481" s="141" t="inlineStr">
        <is>
          <t>D</t>
        </is>
      </c>
      <c r="F481" s="141" t="inlineStr">
        <is>
          <t>H</t>
        </is>
      </c>
      <c r="G481" s="141" t="inlineStr">
        <is>
          <t>I</t>
        </is>
      </c>
      <c r="H481" s="141" t="inlineStr">
        <is>
          <t>B</t>
        </is>
      </c>
      <c r="I481" s="141" t="inlineStr">
        <is>
          <t>A</t>
        </is>
      </c>
      <c r="J481" s="141" t="inlineStr">
        <is>
          <t>G</t>
        </is>
      </c>
      <c r="K481" s="141" t="inlineStr">
        <is>
          <t>E</t>
        </is>
      </c>
    </row>
    <row r="482" ht="12.75" customHeight="1">
      <c r="A482" s="141" t="n">
        <v>481</v>
      </c>
      <c r="B482" s="141" t="inlineStr">
        <is>
          <t>ABCDEFKL</t>
        </is>
      </c>
      <c r="C482" s="141" t="inlineStr">
        <is>
          <t>A,B,C,D,E,F,K,L</t>
        </is>
      </c>
      <c r="D482" s="141" t="inlineStr">
        <is>
          <t>D</t>
        </is>
      </c>
      <c r="E482" s="141" t="inlineStr">
        <is>
          <t>F</t>
        </is>
      </c>
      <c r="F482" s="141" t="inlineStr">
        <is>
          <t>C</t>
        </is>
      </c>
      <c r="G482" s="141" t="inlineStr">
        <is>
          <t>K</t>
        </is>
      </c>
      <c r="H482" s="141" t="inlineStr">
        <is>
          <t>B</t>
        </is>
      </c>
      <c r="I482" s="141" t="inlineStr">
        <is>
          <t>A</t>
        </is>
      </c>
      <c r="J482" s="141" t="inlineStr">
        <is>
          <t>E</t>
        </is>
      </c>
      <c r="K482" s="141" t="inlineStr">
        <is>
          <t>L</t>
        </is>
      </c>
    </row>
    <row r="483" ht="12.75" customHeight="1">
      <c r="A483" s="141" t="n">
        <v>482</v>
      </c>
      <c r="B483" s="141" t="inlineStr">
        <is>
          <t>ABCDEFJL</t>
        </is>
      </c>
      <c r="C483" s="141" t="inlineStr">
        <is>
          <t>A,B,C,D,E,F,J,L</t>
        </is>
      </c>
      <c r="D483" s="141" t="inlineStr">
        <is>
          <t>D</t>
        </is>
      </c>
      <c r="E483" s="141" t="inlineStr">
        <is>
          <t>F</t>
        </is>
      </c>
      <c r="F483" s="141" t="inlineStr">
        <is>
          <t>C</t>
        </is>
      </c>
      <c r="G483" s="141" t="inlineStr">
        <is>
          <t>E</t>
        </is>
      </c>
      <c r="H483" s="141" t="inlineStr">
        <is>
          <t>B</t>
        </is>
      </c>
      <c r="I483" s="141" t="inlineStr">
        <is>
          <t>A</t>
        </is>
      </c>
      <c r="J483" s="141" t="inlineStr">
        <is>
          <t>J</t>
        </is>
      </c>
      <c r="K483" s="141" t="inlineStr">
        <is>
          <t>L</t>
        </is>
      </c>
    </row>
    <row r="484" ht="12.75" customHeight="1">
      <c r="A484" s="141" t="n">
        <v>483</v>
      </c>
      <c r="B484" s="141" t="inlineStr">
        <is>
          <t>ABCDEFJK</t>
        </is>
      </c>
      <c r="C484" s="141" t="inlineStr">
        <is>
          <t>A,B,C,D,E,F,J,K</t>
        </is>
      </c>
      <c r="D484" s="141" t="inlineStr">
        <is>
          <t>D</t>
        </is>
      </c>
      <c r="E484" s="141" t="inlineStr">
        <is>
          <t>F</t>
        </is>
      </c>
      <c r="F484" s="141" t="inlineStr">
        <is>
          <t>C</t>
        </is>
      </c>
      <c r="G484" s="141" t="inlineStr">
        <is>
          <t>K</t>
        </is>
      </c>
      <c r="H484" s="141" t="inlineStr">
        <is>
          <t>B</t>
        </is>
      </c>
      <c r="I484" s="141" t="inlineStr">
        <is>
          <t>A</t>
        </is>
      </c>
      <c r="J484" s="141" t="inlineStr">
        <is>
          <t>J</t>
        </is>
      </c>
      <c r="K484" s="141" t="inlineStr">
        <is>
          <t>E</t>
        </is>
      </c>
    </row>
    <row r="485" ht="12.75" customHeight="1">
      <c r="A485" s="141" t="n">
        <v>484</v>
      </c>
      <c r="B485" s="141" t="inlineStr">
        <is>
          <t>ABCDEFIL</t>
        </is>
      </c>
      <c r="C485" s="141" t="inlineStr">
        <is>
          <t>A,B,C,D,E,F,I,L</t>
        </is>
      </c>
      <c r="D485" s="141" t="inlineStr">
        <is>
          <t>D</t>
        </is>
      </c>
      <c r="E485" s="141" t="inlineStr">
        <is>
          <t>F</t>
        </is>
      </c>
      <c r="F485" s="141" t="inlineStr">
        <is>
          <t>C</t>
        </is>
      </c>
      <c r="G485" s="141" t="inlineStr">
        <is>
          <t>I</t>
        </is>
      </c>
      <c r="H485" s="141" t="inlineStr">
        <is>
          <t>B</t>
        </is>
      </c>
      <c r="I485" s="141" t="inlineStr">
        <is>
          <t>A</t>
        </is>
      </c>
      <c r="J485" s="141" t="inlineStr">
        <is>
          <t>E</t>
        </is>
      </c>
      <c r="K485" s="141" t="inlineStr">
        <is>
          <t>L</t>
        </is>
      </c>
    </row>
    <row r="486" ht="12.75" customHeight="1">
      <c r="A486" s="141" t="n">
        <v>485</v>
      </c>
      <c r="B486" s="141" t="inlineStr">
        <is>
          <t>ABCDEFIK</t>
        </is>
      </c>
      <c r="C486" s="141" t="inlineStr">
        <is>
          <t>A,B,C,D,E,F,I,K</t>
        </is>
      </c>
      <c r="D486" s="141" t="inlineStr">
        <is>
          <t>D</t>
        </is>
      </c>
      <c r="E486" s="141" t="inlineStr">
        <is>
          <t>F</t>
        </is>
      </c>
      <c r="F486" s="141" t="inlineStr">
        <is>
          <t>C</t>
        </is>
      </c>
      <c r="G486" s="141" t="inlineStr">
        <is>
          <t>K</t>
        </is>
      </c>
      <c r="H486" s="141" t="inlineStr">
        <is>
          <t>B</t>
        </is>
      </c>
      <c r="I486" s="141" t="inlineStr">
        <is>
          <t>A</t>
        </is>
      </c>
      <c r="J486" s="141" t="inlineStr">
        <is>
          <t>E</t>
        </is>
      </c>
      <c r="K486" s="141" t="inlineStr">
        <is>
          <t>I</t>
        </is>
      </c>
    </row>
    <row r="487" ht="12.75" customHeight="1">
      <c r="A487" s="141" t="n">
        <v>486</v>
      </c>
      <c r="B487" s="141" t="inlineStr">
        <is>
          <t>ABCDEFIJ</t>
        </is>
      </c>
      <c r="C487" s="141" t="inlineStr">
        <is>
          <t>A,B,C,D,E,F,I,J</t>
        </is>
      </c>
      <c r="D487" s="141" t="inlineStr">
        <is>
          <t>D</t>
        </is>
      </c>
      <c r="E487" s="141" t="inlineStr">
        <is>
          <t>F</t>
        </is>
      </c>
      <c r="F487" s="141" t="inlineStr">
        <is>
          <t>C</t>
        </is>
      </c>
      <c r="G487" s="141" t="inlineStr">
        <is>
          <t>I</t>
        </is>
      </c>
      <c r="H487" s="141" t="inlineStr">
        <is>
          <t>B</t>
        </is>
      </c>
      <c r="I487" s="141" t="inlineStr">
        <is>
          <t>A</t>
        </is>
      </c>
      <c r="J487" s="141" t="inlineStr">
        <is>
          <t>J</t>
        </is>
      </c>
      <c r="K487" s="141" t="inlineStr">
        <is>
          <t>E</t>
        </is>
      </c>
    </row>
    <row r="488" ht="12.75" customHeight="1">
      <c r="A488" s="141" t="n">
        <v>487</v>
      </c>
      <c r="B488" s="141" t="inlineStr">
        <is>
          <t>ABCDEFHL</t>
        </is>
      </c>
      <c r="C488" s="141" t="inlineStr">
        <is>
          <t>A,B,C,D,E,F,H,L</t>
        </is>
      </c>
      <c r="D488" s="141" t="inlineStr">
        <is>
          <t>C</t>
        </is>
      </c>
      <c r="E488" s="141" t="inlineStr">
        <is>
          <t>D</t>
        </is>
      </c>
      <c r="F488" s="141" t="inlineStr">
        <is>
          <t>H</t>
        </is>
      </c>
      <c r="G488" s="141" t="inlineStr">
        <is>
          <t>E</t>
        </is>
      </c>
      <c r="H488" s="141" t="inlineStr">
        <is>
          <t>B</t>
        </is>
      </c>
      <c r="I488" s="141" t="inlineStr">
        <is>
          <t>A</t>
        </is>
      </c>
      <c r="J488" s="141" t="inlineStr">
        <is>
          <t>F</t>
        </is>
      </c>
      <c r="K488" s="141" t="inlineStr">
        <is>
          <t>L</t>
        </is>
      </c>
    </row>
    <row r="489" ht="12.75" customHeight="1">
      <c r="A489" s="141" t="n">
        <v>488</v>
      </c>
      <c r="B489" s="141" t="inlineStr">
        <is>
          <t>ABCDEFHK</t>
        </is>
      </c>
      <c r="C489" s="141" t="inlineStr">
        <is>
          <t>A,B,C,D,E,F,H,K</t>
        </is>
      </c>
      <c r="D489" s="141" t="inlineStr">
        <is>
          <t>C</t>
        </is>
      </c>
      <c r="E489" s="141" t="inlineStr">
        <is>
          <t>F</t>
        </is>
      </c>
      <c r="F489" s="141" t="inlineStr">
        <is>
          <t>H</t>
        </is>
      </c>
      <c r="G489" s="141" t="inlineStr">
        <is>
          <t>K</t>
        </is>
      </c>
      <c r="H489" s="141" t="inlineStr">
        <is>
          <t>B</t>
        </is>
      </c>
      <c r="I489" s="141" t="inlineStr">
        <is>
          <t>A</t>
        </is>
      </c>
      <c r="J489" s="141" t="inlineStr">
        <is>
          <t>E</t>
        </is>
      </c>
      <c r="K489" s="141" t="inlineStr">
        <is>
          <t>D</t>
        </is>
      </c>
    </row>
    <row r="490" ht="12.75" customHeight="1">
      <c r="A490" s="141" t="n">
        <v>489</v>
      </c>
      <c r="B490" s="141" t="inlineStr">
        <is>
          <t>ABCDEFHJ</t>
        </is>
      </c>
      <c r="C490" s="141" t="inlineStr">
        <is>
          <t>A,B,C,D,E,F,H,J</t>
        </is>
      </c>
      <c r="D490" s="141" t="inlineStr">
        <is>
          <t>C</t>
        </is>
      </c>
      <c r="E490" s="141" t="inlineStr">
        <is>
          <t>F</t>
        </is>
      </c>
      <c r="F490" s="141" t="inlineStr">
        <is>
          <t>H</t>
        </is>
      </c>
      <c r="G490" s="141" t="inlineStr">
        <is>
          <t>E</t>
        </is>
      </c>
      <c r="H490" s="141" t="inlineStr">
        <is>
          <t>B</t>
        </is>
      </c>
      <c r="I490" s="141" t="inlineStr">
        <is>
          <t>A</t>
        </is>
      </c>
      <c r="J490" s="141" t="inlineStr">
        <is>
          <t>J</t>
        </is>
      </c>
      <c r="K490" s="141" t="inlineStr">
        <is>
          <t>D</t>
        </is>
      </c>
    </row>
    <row r="491" ht="12.75" customHeight="1">
      <c r="A491" s="141" t="n">
        <v>490</v>
      </c>
      <c r="B491" s="141" t="inlineStr">
        <is>
          <t>ABCDEFHI</t>
        </is>
      </c>
      <c r="C491" s="141" t="inlineStr">
        <is>
          <t>A,B,C,D,E,F,H,I</t>
        </is>
      </c>
      <c r="D491" s="141" t="inlineStr">
        <is>
          <t>C</t>
        </is>
      </c>
      <c r="E491" s="141" t="inlineStr">
        <is>
          <t>F</t>
        </is>
      </c>
      <c r="F491" s="141" t="inlineStr">
        <is>
          <t>H</t>
        </is>
      </c>
      <c r="G491" s="141" t="inlineStr">
        <is>
          <t>I</t>
        </is>
      </c>
      <c r="H491" s="141" t="inlineStr">
        <is>
          <t>B</t>
        </is>
      </c>
      <c r="I491" s="141" t="inlineStr">
        <is>
          <t>A</t>
        </is>
      </c>
      <c r="J491" s="141" t="inlineStr">
        <is>
          <t>E</t>
        </is>
      </c>
      <c r="K491" s="141" t="inlineStr">
        <is>
          <t>D</t>
        </is>
      </c>
    </row>
    <row r="492" ht="12.75" customHeight="1">
      <c r="A492" s="141" t="n">
        <v>491</v>
      </c>
      <c r="B492" s="141" t="inlineStr">
        <is>
          <t>ABCDEFGL</t>
        </is>
      </c>
      <c r="C492" s="141" t="inlineStr">
        <is>
          <t>A,B,C,D,E,F,G,L</t>
        </is>
      </c>
      <c r="D492" s="141" t="inlineStr">
        <is>
          <t>D</t>
        </is>
      </c>
      <c r="E492" s="141" t="inlineStr">
        <is>
          <t>F</t>
        </is>
      </c>
      <c r="F492" s="141" t="inlineStr">
        <is>
          <t>C</t>
        </is>
      </c>
      <c r="G492" s="141" t="inlineStr">
        <is>
          <t>E</t>
        </is>
      </c>
      <c r="H492" s="141" t="inlineStr">
        <is>
          <t>B</t>
        </is>
      </c>
      <c r="I492" s="141" t="inlineStr">
        <is>
          <t>A</t>
        </is>
      </c>
      <c r="J492" s="141" t="inlineStr">
        <is>
          <t>G</t>
        </is>
      </c>
      <c r="K492" s="141" t="inlineStr">
        <is>
          <t>L</t>
        </is>
      </c>
    </row>
    <row r="493" ht="12.75" customHeight="1">
      <c r="A493" s="141" t="n">
        <v>492</v>
      </c>
      <c r="B493" s="141" t="inlineStr">
        <is>
          <t>ABCDEFGK</t>
        </is>
      </c>
      <c r="C493" s="141" t="inlineStr">
        <is>
          <t>A,B,C,D,E,F,G,K</t>
        </is>
      </c>
      <c r="D493" s="141" t="inlineStr">
        <is>
          <t>D</t>
        </is>
      </c>
      <c r="E493" s="141" t="inlineStr">
        <is>
          <t>F</t>
        </is>
      </c>
      <c r="F493" s="141" t="inlineStr">
        <is>
          <t>C</t>
        </is>
      </c>
      <c r="G493" s="141" t="inlineStr">
        <is>
          <t>K</t>
        </is>
      </c>
      <c r="H493" s="141" t="inlineStr">
        <is>
          <t>B</t>
        </is>
      </c>
      <c r="I493" s="141" t="inlineStr">
        <is>
          <t>A</t>
        </is>
      </c>
      <c r="J493" s="141" t="inlineStr">
        <is>
          <t>G</t>
        </is>
      </c>
      <c r="K493" s="141" t="inlineStr">
        <is>
          <t>E</t>
        </is>
      </c>
    </row>
    <row r="494" ht="12.75" customHeight="1">
      <c r="A494" s="141" t="n">
        <v>493</v>
      </c>
      <c r="B494" s="141" t="inlineStr">
        <is>
          <t>ABCDEFGJ</t>
        </is>
      </c>
      <c r="C494" s="141" t="inlineStr">
        <is>
          <t>A,B,C,D,E,F,G,J</t>
        </is>
      </c>
      <c r="D494" s="141" t="inlineStr">
        <is>
          <t>D</t>
        </is>
      </c>
      <c r="E494" s="141" t="inlineStr">
        <is>
          <t>F</t>
        </is>
      </c>
      <c r="F494" s="141" t="inlineStr">
        <is>
          <t>C</t>
        </is>
      </c>
      <c r="G494" s="141" t="inlineStr">
        <is>
          <t>J</t>
        </is>
      </c>
      <c r="H494" s="141" t="inlineStr">
        <is>
          <t>B</t>
        </is>
      </c>
      <c r="I494" s="141" t="inlineStr">
        <is>
          <t>A</t>
        </is>
      </c>
      <c r="J494" s="141" t="inlineStr">
        <is>
          <t>G</t>
        </is>
      </c>
      <c r="K494" s="141" t="inlineStr">
        <is>
          <t>E</t>
        </is>
      </c>
    </row>
    <row r="495" ht="12.75" customHeight="1">
      <c r="A495" s="141" t="n">
        <v>494</v>
      </c>
      <c r="B495" s="141" t="inlineStr">
        <is>
          <t>ABCDEFGI</t>
        </is>
      </c>
      <c r="C495" s="141" t="inlineStr">
        <is>
          <t>A,B,C,D,E,F,G,I</t>
        </is>
      </c>
      <c r="D495" s="141" t="inlineStr">
        <is>
          <t>D</t>
        </is>
      </c>
      <c r="E495" s="141" t="inlineStr">
        <is>
          <t>F</t>
        </is>
      </c>
      <c r="F495" s="141" t="inlineStr">
        <is>
          <t>C</t>
        </is>
      </c>
      <c r="G495" s="141" t="inlineStr">
        <is>
          <t>I</t>
        </is>
      </c>
      <c r="H495" s="141" t="inlineStr">
        <is>
          <t>B</t>
        </is>
      </c>
      <c r="I495" s="141" t="inlineStr">
        <is>
          <t>A</t>
        </is>
      </c>
      <c r="J495" s="141" t="inlineStr">
        <is>
          <t>G</t>
        </is>
      </c>
      <c r="K495" s="141" t="inlineStr">
        <is>
          <t>E</t>
        </is>
      </c>
    </row>
    <row r="496" ht="12.75" customHeight="1">
      <c r="A496" s="141" t="n">
        <v>495</v>
      </c>
      <c r="B496" s="141" t="inlineStr">
        <is>
          <t>ABCDEFGH</t>
        </is>
      </c>
      <c r="C496" s="141" t="inlineStr">
        <is>
          <t>A,B,C,D,E,F,G,H</t>
        </is>
      </c>
      <c r="D496" s="141" t="inlineStr">
        <is>
          <t>C</t>
        </is>
      </c>
      <c r="E496" s="141" t="inlineStr">
        <is>
          <t>F</t>
        </is>
      </c>
      <c r="F496" s="141" t="inlineStr">
        <is>
          <t>H</t>
        </is>
      </c>
      <c r="G496" s="141" t="inlineStr">
        <is>
          <t>E</t>
        </is>
      </c>
      <c r="H496" s="141" t="inlineStr">
        <is>
          <t>B</t>
        </is>
      </c>
      <c r="I496" s="141" t="inlineStr">
        <is>
          <t>A</t>
        </is>
      </c>
      <c r="J496" s="141" t="inlineStr">
        <is>
          <t>G</t>
        </is>
      </c>
      <c r="K496" s="141" t="inlineStr">
        <is>
          <t>D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Denys Kozyr</dc:creator>
  <dc:title>Eufa Euro 2016 Schedule</dc:title>
  <dc:language>en-US</dc:language>
  <dcterms:created xsi:type="dcterms:W3CDTF">2008-09-24T12:14:29Z</dcterms:created>
  <dcterms:modified xsi:type="dcterms:W3CDTF">2026-06-13T12:15:59Z</dcterms:modified>
  <cp:lastModifiedBy>Tihomir Chakarov</cp:lastModifiedBy>
  <cp:revision>12</cp:revision>
  <cp:lastPrinted>2016-04-03T12:59:36Z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HyperlinksChanged" fmtid="{D5CDD505-2E9C-101B-9397-08002B2CF9AE}" pid="2">
    <vt:bool>0</vt:bool>
  </property>
  <property name="LinksUpToDate" fmtid="{D5CDD505-2E9C-101B-9397-08002B2CF9AE}" pid="3">
    <vt:bool>0</vt:bool>
  </property>
  <property name="ScaleCrop" fmtid="{D5CDD505-2E9C-101B-9397-08002B2CF9AE}" pid="4">
    <vt:bool>0</vt:bool>
  </property>
  <property name="ShareDoc" fmtid="{D5CDD505-2E9C-101B-9397-08002B2CF9AE}" pid="5">
    <vt:bool>0</vt:bool>
  </property>
  <property name="SV_QUERY_LIST_4F35BF76-6C0D-4D9B-82B2-816C12CF3733" fmtid="{D5CDD505-2E9C-101B-9397-08002B2CF9AE}" pid="6">
    <vt:lpwstr>empty_477D106A-C0D6-4607-AEBD-E2C9D60EA279</vt:lpwstr>
  </property>
  <property name="SV_HIDDEN_GRID_QUERY_LIST_4F35BF76-6C0D-4D9B-82B2-816C12CF3733" fmtid="{D5CDD505-2E9C-101B-9397-08002B2CF9AE}" pid="7">
    <vt:lpwstr>empty_477D106A-C0D6-4607-AEBD-E2C9D60EA279</vt:lpwstr>
  </property>
</Properties>
</file>